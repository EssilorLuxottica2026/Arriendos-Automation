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luxotticagroup-my.sharepoint.com/personal/contimpro01_essilorluxottica_id/Documents/Desktop/Essilor/Arriendos/data/input/"/>
    </mc:Choice>
  </mc:AlternateContent>
  <xr:revisionPtr revIDLastSave="0" documentId="13_ncr:1_{37D29C71-A67A-4A4B-8BD5-F27E8185053C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Condiciones" sheetId="1" state="hidden" r:id="rId1"/>
    <sheet name="CONTABILIZACION" sheetId="8" r:id="rId2"/>
    <sheet name="CHILE" sheetId="25" r:id="rId3"/>
    <sheet name="PERU " sheetId="18" r:id="rId4"/>
    <sheet name="ECUADOR" sheetId="22" r:id="rId5"/>
    <sheet name="COLOMBIA" sheetId="24" r:id="rId6"/>
    <sheet name="ARGENTINA" sheetId="26" r:id="rId7"/>
    <sheet name="URUGUAY" sheetId="27" r:id="rId8"/>
    <sheet name="CUENTAS" sheetId="9" state="hidden" r:id="rId9"/>
  </sheets>
  <externalReferences>
    <externalReference r:id="rId10"/>
  </externalReferences>
  <definedNames>
    <definedName name="_xlnm._FilterDatabase" localSheetId="6" hidden="1">ARGENTINA!$A$5:$Z$46</definedName>
    <definedName name="_xlnm._FilterDatabase" localSheetId="2" hidden="1">CHILE!$A$5:$AB$350</definedName>
    <definedName name="_xlnm._FilterDatabase" localSheetId="5" hidden="1">COLOMBIA!$A$6:$XEX$158</definedName>
    <definedName name="_xlnm._FilterDatabase" localSheetId="1" hidden="1">CONTABILIZACION!$A$1:$D$29</definedName>
    <definedName name="_xlnm._FilterDatabase" localSheetId="4" hidden="1">ECUADOR!$A$5:$AD$58</definedName>
    <definedName name="_xlnm._FilterDatabase" localSheetId="3" hidden="1">'PERU '!$A$5:$XEZ$311</definedName>
    <definedName name="_xlnm._FilterDatabase" localSheetId="7" hidden="1">URUGUAY!$A$5:$Y$15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6" l="1"/>
  <c r="S4" i="24"/>
  <c r="S3" i="22"/>
  <c r="W3" i="18"/>
  <c r="U3" i="18"/>
  <c r="S3" i="18"/>
  <c r="U3" i="25"/>
  <c r="V3" i="25"/>
  <c r="S3" i="25"/>
  <c r="S3" i="26" l="1"/>
  <c r="T4" i="24"/>
  <c r="U3" i="22"/>
  <c r="T3" i="22"/>
  <c r="T3" i="18"/>
  <c r="Y3" i="18"/>
  <c r="R3" i="18"/>
  <c r="R3" i="27"/>
  <c r="U3" i="26"/>
  <c r="W2" i="26" s="1"/>
  <c r="T3" i="26"/>
  <c r="Q2" i="26" s="1"/>
  <c r="W3" i="22"/>
  <c r="W3" i="25"/>
  <c r="V4" i="24"/>
  <c r="U4" i="24"/>
  <c r="V3" i="26" l="1"/>
  <c r="Y3" i="22"/>
  <c r="A1" i="26"/>
  <c r="S2" i="24" l="1"/>
  <c r="R2" i="18" l="1"/>
  <c r="Z2" i="18" l="1"/>
  <c r="M286" i="18" l="1"/>
  <c r="X3" i="25" l="1"/>
  <c r="F311" i="18" l="1"/>
  <c r="L311" i="18" s="1"/>
  <c r="F310" i="18"/>
  <c r="L310" i="18" s="1"/>
  <c r="T3" i="27" l="1"/>
  <c r="T2" i="25" l="1"/>
  <c r="Y3" i="27" l="1"/>
  <c r="X2" i="25"/>
  <c r="S3" i="27"/>
  <c r="U3" i="27"/>
  <c r="V2" i="27" s="1"/>
  <c r="Z3" i="26"/>
  <c r="Y2" i="25" l="1"/>
  <c r="V3" i="27" l="1"/>
  <c r="W2" i="27" s="1"/>
  <c r="Z3" i="22" l="1"/>
  <c r="W4" i="24" l="1"/>
  <c r="X3" i="24" s="1"/>
  <c r="Z2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tc={2923CE0D-011B-4985-B50D-09CABFE172E4}</author>
    <author>tc={1B504D32-596E-4F17-B750-2C3739321B6D}</author>
  </authors>
  <commentList>
    <comment ref="O12" authorId="0" shapeId="0" xr:uid="{2923CE0D-011B-4985-B50D-09CABFE172E4}">
      <text>
        <t>[Threaded comment]
Your version of Excel allows you to read this threaded comment; however, any edits to it will get removed if the file is opened in a newer version of Excel. Learn more: https://go.microsoft.com/fwlink/?linkid=870924
Comment:
    Nueva fecha de vigencia en proceso de aprobación</t>
      </text>
    </comment>
    <comment ref="O21" authorId="1" shapeId="0" xr:uid="{1B504D32-596E-4F17-B750-2C3739321B6D}">
      <text>
        <t>[Threaded comment]
Your version of Excel allows you to read this threaded comment; however, any edits to it will get removed if the file is opened in a newer version of Excel. Learn more: https://go.microsoft.com/fwlink/?linkid=870924
Comment:
    Nueva fecha de vigencia en proceso de aprobación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tc={B4C03D15-6221-4186-BAA9-6A191FB86EFD}</author>
    <author>tc={1506303E-2D97-4173-93C8-522E71D910F5}</author>
    <author>tc={FDC0A3CE-5F47-458E-B80A-6E3EC1AEE95D}</author>
  </authors>
  <commentList>
    <comment ref="O8" authorId="0" shapeId="0" xr:uid="{B4C03D15-6221-4186-BAA9-6A191FB86EFD}">
      <text>
        <t>[Threaded comment]
Your version of Excel allows you to read this threaded comment; however, any edits to it will get removed if the file is opened in a newer version of Excel. Learn more: https://go.microsoft.com/fwlink/?linkid=870924
Comment:
    Tiene 1 año de renovación automatica… pedir actualziación en VC</t>
      </text>
    </comment>
    <comment ref="O9" authorId="1" shapeId="0" xr:uid="{1506303E-2D97-4173-93C8-522E71D910F5}">
      <text>
        <t>[Threaded comment]
Your version of Excel allows you to read this threaded comment; however, any edits to it will get removed if the file is opened in a newer version of Excel. Learn more: https://go.microsoft.com/fwlink/?linkid=870924
Comment:
    Nuevo vigencia en proceso de firma</t>
      </text>
    </comment>
    <comment ref="O18" authorId="2" shapeId="0" xr:uid="{FDC0A3CE-5F47-458E-B80A-6E3EC1AEE9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Renovado automaticamente por 5 años - pedir actualización en VC</t>
      </text>
    </comment>
  </commentList>
</comments>
</file>

<file path=xl/sharedStrings.xml><?xml version="1.0" encoding="utf-8"?>
<sst xmlns="http://schemas.openxmlformats.org/spreadsheetml/2006/main" count="12094" uniqueCount="3729">
  <si>
    <t>Condicion</t>
  </si>
  <si>
    <t>Nombre</t>
  </si>
  <si>
    <t>Comentario</t>
  </si>
  <si>
    <t>P580</t>
  </si>
  <si>
    <t>RENT MIN RENT</t>
  </si>
  <si>
    <t>Renta Minima o Renta Fija</t>
  </si>
  <si>
    <t>W570</t>
  </si>
  <si>
    <t>RENT ADDITONAL DECEMBER</t>
  </si>
  <si>
    <t>Renta adicional de Diciembre</t>
  </si>
  <si>
    <t>P340</t>
  </si>
  <si>
    <t>MEDIA</t>
  </si>
  <si>
    <t>Fondos de Promoción Variable</t>
  </si>
  <si>
    <t>P160</t>
  </si>
  <si>
    <t>CAM Fixed</t>
  </si>
  <si>
    <t>Gastos Comunes / Administraciones</t>
  </si>
  <si>
    <t>P350</t>
  </si>
  <si>
    <t>MEDIA FIXED</t>
  </si>
  <si>
    <t>Fondos de Promoción Fija</t>
  </si>
  <si>
    <t>W530</t>
  </si>
  <si>
    <t xml:space="preserve">RENT KEY MONEY </t>
  </si>
  <si>
    <t>Key Money / VIC</t>
  </si>
  <si>
    <t>Q160</t>
  </si>
  <si>
    <t>SELL CAM Fixed</t>
  </si>
  <si>
    <t>Gastos Comunes / Administraciones - Selling (COLOMBIA)</t>
  </si>
  <si>
    <t>Q340</t>
  </si>
  <si>
    <t>SELL MEDIA</t>
  </si>
  <si>
    <t>Fondos de Promoción Variable - Selling (COLOMBIA)</t>
  </si>
  <si>
    <t>P100</t>
  </si>
  <si>
    <t>CAM ADMIN FEE</t>
  </si>
  <si>
    <t>P590</t>
  </si>
  <si>
    <t>RENT MIN RENT ADJ</t>
  </si>
  <si>
    <t>P110</t>
  </si>
  <si>
    <t>CAM COMMON AREA</t>
  </si>
  <si>
    <t>Cuenta</t>
  </si>
  <si>
    <t>Registro</t>
  </si>
  <si>
    <t>Observación</t>
  </si>
  <si>
    <t>Facturas asociadas a contratos en REM con condiciones con montos</t>
  </si>
  <si>
    <t>Facturas de Key Money asociadas a contratos en REM con indicación de montos</t>
  </si>
  <si>
    <t>Facturas de Key Money asociadas a contratos no cargados en REM</t>
  </si>
  <si>
    <t>Facturas de Renta Fija asociadas a contratos no cargados en REM</t>
  </si>
  <si>
    <t>Facturas de Renta Variable para TODOS los contratos</t>
  </si>
  <si>
    <r>
      <t>COLOMBIA</t>
    </r>
    <r>
      <rPr>
        <sz val="10"/>
        <color rgb="FF595959"/>
        <rFont val="Segoe UI"/>
        <family val="2"/>
      </rPr>
      <t>: siguiendo lo mencionado pero para ceco G&amp;A</t>
    </r>
  </si>
  <si>
    <t>Facturas de Fondo Promoción asociadas a contratos no cargados en REM</t>
  </si>
  <si>
    <t>Facturas de Gtos Comunes asociadas a contratos no cargados en REM</t>
  </si>
  <si>
    <r>
      <t>USO SOLO COLOMBIA</t>
    </r>
    <r>
      <rPr>
        <sz val="10"/>
        <color rgb="FF595959"/>
        <rFont val="Segoe UI"/>
        <family val="2"/>
      </rPr>
      <t xml:space="preserve"> y para ceco SELLING</t>
    </r>
  </si>
  <si>
    <t>COLOMBIA: siguiendo lo mencionado pero para ceco G&amp;A</t>
  </si>
  <si>
    <t>Facturas Desmantelamiento</t>
  </si>
  <si>
    <t>USO SOLO COLOMBIA</t>
  </si>
  <si>
    <t>USO SOLO CHILE - PERU</t>
  </si>
  <si>
    <t>USO SOLO ECUADOR</t>
  </si>
  <si>
    <t>P350/P340</t>
  </si>
  <si>
    <t>W530/P590</t>
  </si>
  <si>
    <t>Contratos REM</t>
  </si>
  <si>
    <t>8137 - GMO Chile S.A.</t>
  </si>
  <si>
    <t>SAP REM</t>
  </si>
  <si>
    <t>MONTO POR CONDICIÓN</t>
  </si>
  <si>
    <t>Company Code</t>
  </si>
  <si>
    <t>Contract</t>
  </si>
  <si>
    <t>Contract name</t>
  </si>
  <si>
    <t>Contract start date</t>
  </si>
  <si>
    <t>End of Term</t>
  </si>
  <si>
    <t>Contract Currency</t>
  </si>
  <si>
    <t>Asset</t>
  </si>
  <si>
    <t>Sub-number</t>
  </si>
  <si>
    <t>Original Asset</t>
  </si>
  <si>
    <t>Asset Class</t>
  </si>
  <si>
    <t>Valuation Rule</t>
  </si>
  <si>
    <t>Old contract</t>
  </si>
  <si>
    <t>Term in months</t>
  </si>
  <si>
    <t>Created on</t>
  </si>
  <si>
    <t>CeCo</t>
  </si>
  <si>
    <t>End of Term en Virtual Contract</t>
  </si>
  <si>
    <t>Status En Virtual Contract</t>
  </si>
  <si>
    <t>Status en REM</t>
  </si>
  <si>
    <t>RENT MIN RENT UF</t>
  </si>
  <si>
    <t>CAM</t>
  </si>
  <si>
    <t>OBSERVACIONES</t>
  </si>
  <si>
    <t>8137</t>
  </si>
  <si>
    <t>1000007</t>
  </si>
  <si>
    <t>LEASING AUTO ARVAL</t>
  </si>
  <si>
    <t>CLP</t>
  </si>
  <si>
    <t>8137017</t>
  </si>
  <si>
    <t>N/A</t>
  </si>
  <si>
    <t>OK</t>
  </si>
  <si>
    <t>VIGENTE</t>
  </si>
  <si>
    <t>NUEVO 2024</t>
  </si>
  <si>
    <t>8137027</t>
  </si>
  <si>
    <t>8137014</t>
  </si>
  <si>
    <t>1000008</t>
  </si>
  <si>
    <t>1-0003</t>
  </si>
  <si>
    <t>8137118</t>
  </si>
  <si>
    <t>1000009</t>
  </si>
  <si>
    <t>1-0009</t>
  </si>
  <si>
    <t>8137052</t>
  </si>
  <si>
    <t>1000010</t>
  </si>
  <si>
    <t>8137021</t>
  </si>
  <si>
    <t>1000011</t>
  </si>
  <si>
    <t>8137009</t>
  </si>
  <si>
    <t>1000012</t>
  </si>
  <si>
    <t>8137041</t>
  </si>
  <si>
    <t>1000013</t>
  </si>
  <si>
    <t>1-8137084</t>
  </si>
  <si>
    <t>8137084</t>
  </si>
  <si>
    <t>1000014</t>
  </si>
  <si>
    <t>1000015</t>
  </si>
  <si>
    <t>8137001</t>
  </si>
  <si>
    <t>1000016</t>
  </si>
  <si>
    <t>8137071</t>
  </si>
  <si>
    <t>5000000</t>
  </si>
  <si>
    <t>ECO COSTANERA CENTER AV. ANDRES BELLO N° 2465. LOCAL N° 138 PROVIDENCIA</t>
  </si>
  <si>
    <t>90000360</t>
  </si>
  <si>
    <t>0</t>
  </si>
  <si>
    <t>90000160</t>
  </si>
  <si>
    <t>7505</t>
  </si>
  <si>
    <t>IFRS_LUX</t>
  </si>
  <si>
    <t>5-5790</t>
  </si>
  <si>
    <t>24</t>
  </si>
  <si>
    <t>5790</t>
  </si>
  <si>
    <t>5000002</t>
  </si>
  <si>
    <t>SUNGLASS HUT APUMANQUE AV. MANQUEHUE SUR N°31. LOCAL N°83. BODEGA N°148 Y ESTACI</t>
  </si>
  <si>
    <t>90000362</t>
  </si>
  <si>
    <t>90000162</t>
  </si>
  <si>
    <t>5-6519</t>
  </si>
  <si>
    <t>59</t>
  </si>
  <si>
    <t>6519</t>
  </si>
  <si>
    <t>REACTIVADO 2024</t>
  </si>
  <si>
    <t>5000004</t>
  </si>
  <si>
    <t>ECO ANTOFAGASTA ARTURO PRAT N°671. LOCAL B ANTOFAGASTA</t>
  </si>
  <si>
    <t>90000491</t>
  </si>
  <si>
    <t>90000164</t>
  </si>
  <si>
    <t>5-4840</t>
  </si>
  <si>
    <t>60</t>
  </si>
  <si>
    <t>4840</t>
  </si>
  <si>
    <t>POR VENCER</t>
  </si>
  <si>
    <t>5000009</t>
  </si>
  <si>
    <t>ECO LIDER LINARES AV. ANÍBAL LEÓN BUSTOS N°0280. LOCAL 11 LINARES</t>
  </si>
  <si>
    <t>90000364</t>
  </si>
  <si>
    <t>90000169</t>
  </si>
  <si>
    <t>5-4844</t>
  </si>
  <si>
    <t>48</t>
  </si>
  <si>
    <t>4844</t>
  </si>
  <si>
    <t>5000019</t>
  </si>
  <si>
    <t>ECO MALL PLAZA EL TREBOL AV. JORGE ALESSANDRI N° 3177. LOCAL A-224/A226 TALCAHUA</t>
  </si>
  <si>
    <t>90000374</t>
  </si>
  <si>
    <t>90000179</t>
  </si>
  <si>
    <t>5-4853</t>
  </si>
  <si>
    <t>61</t>
  </si>
  <si>
    <t>4853</t>
  </si>
  <si>
    <t>5000022</t>
  </si>
  <si>
    <t>ECO MALL PLAZA TOBALABA AV. CAMILO HENRÍQUEZ N°3692. LOCALES C-249 Y C-253 PUENT</t>
  </si>
  <si>
    <t>90000377</t>
  </si>
  <si>
    <t>90000182</t>
  </si>
  <si>
    <t>5-4187</t>
  </si>
  <si>
    <t>51</t>
  </si>
  <si>
    <t>4187</t>
  </si>
  <si>
    <t>CESADO 2024 - SIN NOTICE</t>
  </si>
  <si>
    <t>5000024</t>
  </si>
  <si>
    <t>ECO MATÍAS COUSIÑO MONEDA N°946 SANTIAGO</t>
  </si>
  <si>
    <t>90000379</t>
  </si>
  <si>
    <t>90000184</t>
  </si>
  <si>
    <t>5-4013</t>
  </si>
  <si>
    <t>119</t>
  </si>
  <si>
    <t>4013</t>
  </si>
  <si>
    <t>5000028</t>
  </si>
  <si>
    <t>ECO TALCA CALLE UNO SUR N°1313 TALCA</t>
  </si>
  <si>
    <t>90000380</t>
  </si>
  <si>
    <t>90000188</t>
  </si>
  <si>
    <t>5-5664</t>
  </si>
  <si>
    <t>5664</t>
  </si>
  <si>
    <t>5000031</t>
  </si>
  <si>
    <t>GMO ANTOFAGASTA ARTURO PRAT N° 660 AL 690 ANTOFAGASTA</t>
  </si>
  <si>
    <t>90000382</t>
  </si>
  <si>
    <t>90000191</t>
  </si>
  <si>
    <t>5-3472</t>
  </si>
  <si>
    <t>36</t>
  </si>
  <si>
    <t>3472</t>
  </si>
  <si>
    <t>5000039</t>
  </si>
  <si>
    <t>GMO MALL COSTANERA CENTER AV. ANDRÉS BELLO N°2447. LOCAL 1166 PROVIDENCIA</t>
  </si>
  <si>
    <t>90000387</t>
  </si>
  <si>
    <t>90000199</t>
  </si>
  <si>
    <t>5-3852</t>
  </si>
  <si>
    <t>3852</t>
  </si>
  <si>
    <t>5000042</t>
  </si>
  <si>
    <t>GMO HUERFANOS I HUÉRFANOS N°1067 SANTIAGO</t>
  </si>
  <si>
    <t>90000390</t>
  </si>
  <si>
    <t>90000202</t>
  </si>
  <si>
    <t>5-1695</t>
  </si>
  <si>
    <t>1695</t>
  </si>
  <si>
    <t>5000044</t>
  </si>
  <si>
    <t>GMO HUERFANOS III HUÉRFANOS N°891 SANTIAGO</t>
  </si>
  <si>
    <t>90000508</t>
  </si>
  <si>
    <t>90000204</t>
  </si>
  <si>
    <t>5-3589</t>
  </si>
  <si>
    <t>3589</t>
  </si>
  <si>
    <t>5000052</t>
  </si>
  <si>
    <t>GMO JUMBO PORTAL OSORNO PLAZA YUNGAY N°609. LOCAL 1004 OSORNO</t>
  </si>
  <si>
    <t>90000398</t>
  </si>
  <si>
    <t>90000212</t>
  </si>
  <si>
    <t>5-3461</t>
  </si>
  <si>
    <t>3461</t>
  </si>
  <si>
    <t>5000055</t>
  </si>
  <si>
    <t>GMO LOS ANGELES I COLON N°411 LOS ANGELES</t>
  </si>
  <si>
    <t>90000499</t>
  </si>
  <si>
    <t>90000215</t>
  </si>
  <si>
    <t>5-3440</t>
  </si>
  <si>
    <t>3440</t>
  </si>
  <si>
    <t>5000059</t>
  </si>
  <si>
    <t>GMO MALL ARAUCO MAIPÚ II AV. AMÉRICO VESPUCIO N°399. LOCAL 355 MAIPU</t>
  </si>
  <si>
    <t>90000404</t>
  </si>
  <si>
    <t>90000219</t>
  </si>
  <si>
    <t>5-3532</t>
  </si>
  <si>
    <t>3532</t>
  </si>
  <si>
    <t>5000060</t>
  </si>
  <si>
    <t>GMO MALL ARAUCO SAN ANTONIO CENTRO COMERCIAL ARAUCO SAN ANTONIO. RAMÓN BARROS LU</t>
  </si>
  <si>
    <t>90000405</t>
  </si>
  <si>
    <t>90000220</t>
  </si>
  <si>
    <t>5-3639</t>
  </si>
  <si>
    <t>3639</t>
  </si>
  <si>
    <t>5000062</t>
  </si>
  <si>
    <t>GMO MALL CENTER CURICÓ AV. BERNARDO O´HIGGINS N°201. LOCAL 28 CURICÓ</t>
  </si>
  <si>
    <t>90000407</t>
  </si>
  <si>
    <t>90000222</t>
  </si>
  <si>
    <t>5-3498</t>
  </si>
  <si>
    <t>3498</t>
  </si>
  <si>
    <t>5000063</t>
  </si>
  <si>
    <t>GMO MALL PATIO RANCAGUA SARGENTO JOSÉ BERNARDO CUEVAS N°483. LOCALES 149 Y 151 R</t>
  </si>
  <si>
    <t>90000408</t>
  </si>
  <si>
    <t>90000223</t>
  </si>
  <si>
    <t>5-3403</t>
  </si>
  <si>
    <t>3403</t>
  </si>
  <si>
    <t>5000064</t>
  </si>
  <si>
    <t>GMO MALL FLORIDA CENTER AV. VICUÑA MACKENNA N°6100. LOCAL 2029 LA FLORIDA</t>
  </si>
  <si>
    <t>90000409</t>
  </si>
  <si>
    <t>90000224</t>
  </si>
  <si>
    <t>5-3531</t>
  </si>
  <si>
    <t>3531</t>
  </si>
  <si>
    <t>5000067</t>
  </si>
  <si>
    <t>GMO MALL MARINA ARAUCO AV. LIBERTAD N°1348. LOCAL 124 VIÑA DEL MAR</t>
  </si>
  <si>
    <t>90000411</t>
  </si>
  <si>
    <t>90000227</t>
  </si>
  <si>
    <t>5-3399</t>
  </si>
  <si>
    <t>3399</t>
  </si>
  <si>
    <t>5000069</t>
  </si>
  <si>
    <t>GMO MALL PANORÁMICO AV. 11 DE SEPTIEMBRE N°2155. LOCALES 13. 210 Y 212 PROVIDENC</t>
  </si>
  <si>
    <t>90000413</t>
  </si>
  <si>
    <t>90000229</t>
  </si>
  <si>
    <t>5-3401</t>
  </si>
  <si>
    <t>138</t>
  </si>
  <si>
    <t>3401</t>
  </si>
  <si>
    <t>CESADO 2023 - SIN NOTICE</t>
  </si>
  <si>
    <t>5000070</t>
  </si>
  <si>
    <t>GMO MALL PARQUE ARAUCO AV. KENNEDY N°5413. LOCAL 141 LAS CONDES</t>
  </si>
  <si>
    <t>90000414</t>
  </si>
  <si>
    <t>90000230</t>
  </si>
  <si>
    <t>5-1001</t>
  </si>
  <si>
    <t>17</t>
  </si>
  <si>
    <t>1001</t>
  </si>
  <si>
    <t>5000072</t>
  </si>
  <si>
    <t>GMO MALL PASEO QUILIN MAR TIRRENO N°3349. LOCAL 1073 PEÑALOLEN</t>
  </si>
  <si>
    <t>90000416</t>
  </si>
  <si>
    <t>90000232</t>
  </si>
  <si>
    <t>5-3480</t>
  </si>
  <si>
    <t>3480</t>
  </si>
  <si>
    <t>5000073</t>
  </si>
  <si>
    <t>GMO MALL PASEO SAN BERNARDO URMENETA N°661. 663.665. 669 Y EYZAGUIRRE N°642. LOC</t>
  </si>
  <si>
    <t>90000417</t>
  </si>
  <si>
    <t>90000233</t>
  </si>
  <si>
    <t>5-3528</t>
  </si>
  <si>
    <t>3528</t>
  </si>
  <si>
    <t>5000077</t>
  </si>
  <si>
    <t>GMO MALL PLAZA COPIAPÓ MAIPÚ N°0110. LOCALES A-1189/A-1193 COPIAPO</t>
  </si>
  <si>
    <t>90000421</t>
  </si>
  <si>
    <t>90000237</t>
  </si>
  <si>
    <t>5-3889</t>
  </si>
  <si>
    <t>3889</t>
  </si>
  <si>
    <t>5000081</t>
  </si>
  <si>
    <t>GMO MALL PLAZA LA SERENA AV. ALBERTO SOLARI N°1400. LOCALES A-150A - A-154A LA S</t>
  </si>
  <si>
    <t>90000424</t>
  </si>
  <si>
    <t>90000241</t>
  </si>
  <si>
    <t>5-3431</t>
  </si>
  <si>
    <t>126</t>
  </si>
  <si>
    <t>3431</t>
  </si>
  <si>
    <t>5000084</t>
  </si>
  <si>
    <t>GMO MALL PLAZA OESTE AV. AMÉRICO VESPUCIO N°1501. LOCALES C-137 / C-141 CERRILLO</t>
  </si>
  <si>
    <t>90000427</t>
  </si>
  <si>
    <t>90000244</t>
  </si>
  <si>
    <t>5-3418</t>
  </si>
  <si>
    <t>75</t>
  </si>
  <si>
    <t>3418</t>
  </si>
  <si>
    <t>5000085</t>
  </si>
  <si>
    <t>GMO MALL PLAZA SUR AV. PRESIDENTE ALESSANDRI N°20040. LOCALES B-1017 / B-1019 SA</t>
  </si>
  <si>
    <t>90000428</t>
  </si>
  <si>
    <t>90000245</t>
  </si>
  <si>
    <t>5-3565</t>
  </si>
  <si>
    <t>121</t>
  </si>
  <si>
    <t>3565</t>
  </si>
  <si>
    <t>5000087</t>
  </si>
  <si>
    <t>GMO MALL PLAZA VESPUCIO AV. VICUÑA MACKENNA ORIENTE N°7110. LOCALES 281-282-283</t>
  </si>
  <si>
    <t>90000430</t>
  </si>
  <si>
    <t>90000247</t>
  </si>
  <si>
    <t>5-3432</t>
  </si>
  <si>
    <t>3432</t>
  </si>
  <si>
    <t>5000090</t>
  </si>
  <si>
    <t>GMO VIÑA OUTLET PARK CAMINO INTERNACIONAL N°2440. LOCAL LC 42 VIÑA DEL MAR</t>
  </si>
  <si>
    <t>90000433</t>
  </si>
  <si>
    <t>90000250</t>
  </si>
  <si>
    <t>5-3977</t>
  </si>
  <si>
    <t>3977</t>
  </si>
  <si>
    <t>5000094</t>
  </si>
  <si>
    <t>GMO SAN FERNANDO AV. BERNARDO O´HIGGINS . EX CALLE LAJA. LOCAL 636 RANCAGUA</t>
  </si>
  <si>
    <t>90000501</t>
  </si>
  <si>
    <t>90000254</t>
  </si>
  <si>
    <t>5-3987</t>
  </si>
  <si>
    <t>3987</t>
  </si>
  <si>
    <t>5000098</t>
  </si>
  <si>
    <t>GMO VALPARAISO AV. CONDELL N° 1595 Y 1599 VALPARAISO</t>
  </si>
  <si>
    <t>90000439</t>
  </si>
  <si>
    <t>90000258</t>
  </si>
  <si>
    <t>5-3402</t>
  </si>
  <si>
    <t>3402</t>
  </si>
  <si>
    <t>5000099</t>
  </si>
  <si>
    <t>GMO VIÑA DEL MAR AV. VALPARAÍSO N°622-A VIÑA DEL MAR</t>
  </si>
  <si>
    <t>90000440</t>
  </si>
  <si>
    <t>90000259</t>
  </si>
  <si>
    <t>5-3433</t>
  </si>
  <si>
    <t>63</t>
  </si>
  <si>
    <t>3433</t>
  </si>
  <si>
    <t>5000100</t>
  </si>
  <si>
    <t>SUNGLASS HUT COSTANERA CENTER AV. ANDRÉS BELLO N°2447. LOCAL 3123 PROVIDENCIA</t>
  </si>
  <si>
    <t>90000441</t>
  </si>
  <si>
    <t>90000260</t>
  </si>
  <si>
    <t>5-5831</t>
  </si>
  <si>
    <t>5831</t>
  </si>
  <si>
    <t>5000103</t>
  </si>
  <si>
    <t>SUNGLASS HUT BUENAVENTURA SAN IGNACIO N°300. LOCAL 128 QUILICURA</t>
  </si>
  <si>
    <t>90000444</t>
  </si>
  <si>
    <t>90000263</t>
  </si>
  <si>
    <t>5-6297</t>
  </si>
  <si>
    <t>52</t>
  </si>
  <si>
    <t>6297</t>
  </si>
  <si>
    <t>5000104</t>
  </si>
  <si>
    <t>SUNGALSS HUT MALL LA DEHESA AV. LA DEHESA N°1445. LOCAL 1054 LAS CONDES</t>
  </si>
  <si>
    <t>90000502</t>
  </si>
  <si>
    <t>90000264</t>
  </si>
  <si>
    <t>5-5803</t>
  </si>
  <si>
    <t>53</t>
  </si>
  <si>
    <t>5803</t>
  </si>
  <si>
    <t>5000105</t>
  </si>
  <si>
    <t>SUNGLASS HUT MARINA ARAUCO AV. LIBERTAD N°1348. LOCAL 55 VIÑA DEL MAR</t>
  </si>
  <si>
    <t>90000445</t>
  </si>
  <si>
    <t>90000265</t>
  </si>
  <si>
    <t>5-5791</t>
  </si>
  <si>
    <t>96</t>
  </si>
  <si>
    <t>5791</t>
  </si>
  <si>
    <t>5000108</t>
  </si>
  <si>
    <t>SUNGLASS HUT MALL PLAZA ANTOFAGASTA AV. BALMACEDA N°2355. LOCALES L-110/L-112 AN</t>
  </si>
  <si>
    <t>90000448</t>
  </si>
  <si>
    <t>90000268</t>
  </si>
  <si>
    <t>5-5805</t>
  </si>
  <si>
    <t>5805</t>
  </si>
  <si>
    <t>5000109</t>
  </si>
  <si>
    <t>SUNGLASS HUT MALL PLAZA CALAMA AV. BALMACEDA N°3242. LOCAL A-267 CALAMA</t>
  </si>
  <si>
    <t>90000449</t>
  </si>
  <si>
    <t>90000269</t>
  </si>
  <si>
    <t>5-6506</t>
  </si>
  <si>
    <t>6506</t>
  </si>
  <si>
    <t>5000110</t>
  </si>
  <si>
    <t>SUNGLASS HUT MALL PLAZA COPIAPÓ CALLE MAIPÚ N° 0110. LOCAL A-2037 COPIAPO</t>
  </si>
  <si>
    <t>90000450</t>
  </si>
  <si>
    <t>90000270</t>
  </si>
  <si>
    <t>5-5868</t>
  </si>
  <si>
    <t>5868</t>
  </si>
  <si>
    <t>5000115</t>
  </si>
  <si>
    <t>SUNGLASS HUT OUTLET CURAUMA AV. LOMAS DE LA LUZ N°4650. LOCAL 11 VALPARAISO</t>
  </si>
  <si>
    <t>90000453</t>
  </si>
  <si>
    <t>90000275</t>
  </si>
  <si>
    <t>5-6523</t>
  </si>
  <si>
    <t>50</t>
  </si>
  <si>
    <t>6523</t>
  </si>
  <si>
    <t>5000122</t>
  </si>
  <si>
    <t>SUNGALSS HUT MALL SPORT AV. LAS CONDES N°13451 LAS CONDES</t>
  </si>
  <si>
    <t>90000459</t>
  </si>
  <si>
    <t>90000282</t>
  </si>
  <si>
    <t>5-6536</t>
  </si>
  <si>
    <t>43</t>
  </si>
  <si>
    <t>6536</t>
  </si>
  <si>
    <t>5000124</t>
  </si>
  <si>
    <t>SUNGLASS HUT ARAUCO PREMIUM OUTLET COQUIMBO CAMINO LA CANTERA N°2325 . LOCAL 08</t>
  </si>
  <si>
    <t>90000460</t>
  </si>
  <si>
    <t>90000284</t>
  </si>
  <si>
    <t>5-8623</t>
  </si>
  <si>
    <t>8623</t>
  </si>
  <si>
    <t>5000127</t>
  </si>
  <si>
    <t>SUNGLASS HUT ARAUCO MAIPÚ AV. AMERICO VESPUCIO N°399. INDIVIDUALIZADO N°1-20 MAI</t>
  </si>
  <si>
    <t>90000462</t>
  </si>
  <si>
    <t>90000287</t>
  </si>
  <si>
    <t>5-8622</t>
  </si>
  <si>
    <t>40</t>
  </si>
  <si>
    <t>8622</t>
  </si>
  <si>
    <t>5000134</t>
  </si>
  <si>
    <t>RAY BAN PARQUE ARAUCO AV. KENNEDY N°5413. LOCAL 318 LAS CONDES</t>
  </si>
  <si>
    <t>90000469</t>
  </si>
  <si>
    <t>90000294</t>
  </si>
  <si>
    <t>5-8941</t>
  </si>
  <si>
    <t>8941</t>
  </si>
  <si>
    <t>5000135</t>
  </si>
  <si>
    <t>SUNGLASS HUT MALL PLAZA LOS DOMINICOS AV. PADRE HURTADO SUR N°875. LOCAL C-1068</t>
  </si>
  <si>
    <t>90000470</t>
  </si>
  <si>
    <t>90000295</t>
  </si>
  <si>
    <t>5-9117</t>
  </si>
  <si>
    <t>72</t>
  </si>
  <si>
    <t>9117</t>
  </si>
  <si>
    <t>5000138</t>
  </si>
  <si>
    <t>GMO VIVO IMPERIO HUÉRFANOS 830 LOCAL TM2040 SANTIAGO</t>
  </si>
  <si>
    <t>90000473</t>
  </si>
  <si>
    <t>90000298</t>
  </si>
  <si>
    <t>5-9094</t>
  </si>
  <si>
    <t>9094</t>
  </si>
  <si>
    <t>5000139</t>
  </si>
  <si>
    <t>SUNGLASS HUT VIVO IMPERIO HUERFANOS 830 LOCAL 1012 SANTIAGO</t>
  </si>
  <si>
    <t>90000474</t>
  </si>
  <si>
    <t>90000299</t>
  </si>
  <si>
    <t>5-9147</t>
  </si>
  <si>
    <t>9147</t>
  </si>
  <si>
    <t>5000142</t>
  </si>
  <si>
    <t>ECONOPTICAS MALL PLAZA NORTE AV. AMÉRICO VESPUCIO N°1737 LOCALES 2109-2113 HUECH</t>
  </si>
  <si>
    <t>90000477</t>
  </si>
  <si>
    <t>90000302</t>
  </si>
  <si>
    <t>5-9203</t>
  </si>
  <si>
    <t>9203</t>
  </si>
  <si>
    <t>5000143</t>
  </si>
  <si>
    <t>RAY BAN MARINA ARAUCO AV. LIBERTAD N° 1348 LOCAL 228 VIÑA DEL MAR</t>
  </si>
  <si>
    <t>90000478</t>
  </si>
  <si>
    <t>90000303</t>
  </si>
  <si>
    <t>5-9246</t>
  </si>
  <si>
    <t>9246</t>
  </si>
  <si>
    <t>5000146</t>
  </si>
  <si>
    <t>GMO PASEO BALMACEDA CALLE BALMACEDA N°2885 LOCAL128 LA SERENA</t>
  </si>
  <si>
    <t>90000481</t>
  </si>
  <si>
    <t>90000306</t>
  </si>
  <si>
    <t>5-9239</t>
  </si>
  <si>
    <t>9239</t>
  </si>
  <si>
    <t>5000150</t>
  </si>
  <si>
    <t>ECO LIDER LOS ANDES SANTA TERESA N°683. LOCAL 44 LOS ANDES</t>
  </si>
  <si>
    <t>90000484</t>
  </si>
  <si>
    <t>90000310</t>
  </si>
  <si>
    <t>5-5660</t>
  </si>
  <si>
    <t>5660</t>
  </si>
  <si>
    <t>5000151</t>
  </si>
  <si>
    <t>ECO MALL PUENTE ALTO CONCHA Y TORO N°26. LOCALES 21. 22 Y 25 PUENTE ALTO</t>
  </si>
  <si>
    <t>90000503</t>
  </si>
  <si>
    <t>90000311</t>
  </si>
  <si>
    <t>5-4841</t>
  </si>
  <si>
    <t>4841</t>
  </si>
  <si>
    <t>5000155</t>
  </si>
  <si>
    <t>GMO OUTLET LA FLORIDA SANTA DELIA N° 8937. LOCAL 1132 LA FLORIDA</t>
  </si>
  <si>
    <t>90000487</t>
  </si>
  <si>
    <t>90000315</t>
  </si>
  <si>
    <t>5-8726</t>
  </si>
  <si>
    <t>8726</t>
  </si>
  <si>
    <t>5000158</t>
  </si>
  <si>
    <t>SUNGLASS HUT PLAZA MAULE AV. CIRCUNVALACIÓN ORIENTE N°1055 LOCAL 137 MAULE</t>
  </si>
  <si>
    <t>90000490</t>
  </si>
  <si>
    <t>90000318</t>
  </si>
  <si>
    <t>5-9521</t>
  </si>
  <si>
    <t>9521</t>
  </si>
  <si>
    <t>5000159</t>
  </si>
  <si>
    <t>GMO MALL PLAZA LOS RIOS VALDIVIA ARAUCO N°561. LOCAL 108 VALDIVIA</t>
  </si>
  <si>
    <t>90000320</t>
  </si>
  <si>
    <t>IFRS_IN</t>
  </si>
  <si>
    <t>5000066</t>
  </si>
  <si>
    <t>3466</t>
  </si>
  <si>
    <t>5000163</t>
  </si>
  <si>
    <t>9634-GMO MALL PLAZA ARICA-T190</t>
  </si>
  <si>
    <t>90000331</t>
  </si>
  <si>
    <t>5-9634</t>
  </si>
  <si>
    <t>9634</t>
  </si>
  <si>
    <t>5000169</t>
  </si>
  <si>
    <t>3398 GMO MALL APUMANQUE  MANQUEHUE SUR N°31, L 62 Y 66 T008</t>
  </si>
  <si>
    <t>90000358</t>
  </si>
  <si>
    <t>5-3398</t>
  </si>
  <si>
    <t>12</t>
  </si>
  <si>
    <t>3398</t>
  </si>
  <si>
    <t>5000172</t>
  </si>
  <si>
    <t>A607-OPV_O.PV LOCAL ÑUÑOA</t>
  </si>
  <si>
    <t>90000510</t>
  </si>
  <si>
    <t>5-A607</t>
  </si>
  <si>
    <t>120</t>
  </si>
  <si>
    <t>A607</t>
  </si>
  <si>
    <t>5000174</t>
  </si>
  <si>
    <t>F175-OPV_O.PV MALL ALTO LAS CONDES</t>
  </si>
  <si>
    <t>90000512</t>
  </si>
  <si>
    <t>5-F175</t>
  </si>
  <si>
    <t>F175</t>
  </si>
  <si>
    <t>5000175</t>
  </si>
  <si>
    <t>F176-OPV_O.PV LOS ANGELES</t>
  </si>
  <si>
    <t>90000513</t>
  </si>
  <si>
    <t>5-F176</t>
  </si>
  <si>
    <t>F176</t>
  </si>
  <si>
    <t>5000177</t>
  </si>
  <si>
    <t>F178-OPV_O.PV LOCAL ANTOFAGASTA</t>
  </si>
  <si>
    <t>90000515</t>
  </si>
  <si>
    <t>5-F178</t>
  </si>
  <si>
    <t>F178</t>
  </si>
  <si>
    <t>5000178</t>
  </si>
  <si>
    <t>F179-OPV_O.PV MALL APUMANQUE A</t>
  </si>
  <si>
    <t>90000516</t>
  </si>
  <si>
    <t>5-F1791</t>
  </si>
  <si>
    <t>F179</t>
  </si>
  <si>
    <t>5000181</t>
  </si>
  <si>
    <t>F181-OPV_O.PV MALL PLAZA SUR (SAN B</t>
  </si>
  <si>
    <t>90000519</t>
  </si>
  <si>
    <t>5-F181</t>
  </si>
  <si>
    <t>110</t>
  </si>
  <si>
    <t>F181</t>
  </si>
  <si>
    <t>5000182</t>
  </si>
  <si>
    <t>F182-OPV_O.PV LOCAL MALL BIOBIO</t>
  </si>
  <si>
    <t>90000520</t>
  </si>
  <si>
    <t>5-F182</t>
  </si>
  <si>
    <t>117</t>
  </si>
  <si>
    <t>F182</t>
  </si>
  <si>
    <t>5000183</t>
  </si>
  <si>
    <t>F183-OPV_O.PV MALL CALAMA</t>
  </si>
  <si>
    <t>90000521</t>
  </si>
  <si>
    <t>5-F183</t>
  </si>
  <si>
    <t>F183</t>
  </si>
  <si>
    <t>5000184</t>
  </si>
  <si>
    <t>F184-OPV_O.PV MALL COSTANERA CENTER</t>
  </si>
  <si>
    <t>90000522</t>
  </si>
  <si>
    <t>5-F184</t>
  </si>
  <si>
    <t>F184</t>
  </si>
  <si>
    <t>5000187</t>
  </si>
  <si>
    <t>F187-OPV_O.PV LOCAL CURICO</t>
  </si>
  <si>
    <t>90000525</t>
  </si>
  <si>
    <t>5-F187</t>
  </si>
  <si>
    <t>F187</t>
  </si>
  <si>
    <t>5000189</t>
  </si>
  <si>
    <t>F189-OPV_O.PV MALL FLORIDA CENTER</t>
  </si>
  <si>
    <t>90000527</t>
  </si>
  <si>
    <t>5-F189</t>
  </si>
  <si>
    <t>F189</t>
  </si>
  <si>
    <t>5000193</t>
  </si>
  <si>
    <t>F193-OPV_O.PV LOCAL MANQUEHUE</t>
  </si>
  <si>
    <t>90000531</t>
  </si>
  <si>
    <t>5-F193</t>
  </si>
  <si>
    <t>144</t>
  </si>
  <si>
    <t>F193</t>
  </si>
  <si>
    <t>5000194</t>
  </si>
  <si>
    <t>F194-OPV_O.PV MALL MARINA ARAUCO</t>
  </si>
  <si>
    <t>90000532</t>
  </si>
  <si>
    <t>5-F194</t>
  </si>
  <si>
    <t>F194</t>
  </si>
  <si>
    <t>5000195</t>
  </si>
  <si>
    <t>F196-OPV_O.PV MALL PLAZA NORTE</t>
  </si>
  <si>
    <t>90000533</t>
  </si>
  <si>
    <t>5-F196</t>
  </si>
  <si>
    <t>F196</t>
  </si>
  <si>
    <t>5000196</t>
  </si>
  <si>
    <t>F197-OPV_O.PV MALL PLAZA OESTE</t>
  </si>
  <si>
    <t>90000534</t>
  </si>
  <si>
    <t>5-F197</t>
  </si>
  <si>
    <t>135</t>
  </si>
  <si>
    <t>F197</t>
  </si>
  <si>
    <t>5000198</t>
  </si>
  <si>
    <t>F199-OPV_O.PV LOCAL PUERTO MONTT</t>
  </si>
  <si>
    <t>90000536</t>
  </si>
  <si>
    <t>5-F199</t>
  </si>
  <si>
    <t>F199</t>
  </si>
  <si>
    <t>5000200</t>
  </si>
  <si>
    <t>F201-OPV_O.PV PORTAL RANCAGUA</t>
  </si>
  <si>
    <t>90000538</t>
  </si>
  <si>
    <t>5-F201</t>
  </si>
  <si>
    <t>F201</t>
  </si>
  <si>
    <t>5000201</t>
  </si>
  <si>
    <t>F202-OPV_O.PV LOCAL LYON</t>
  </si>
  <si>
    <t>90000539</t>
  </si>
  <si>
    <t>5-F202</t>
  </si>
  <si>
    <t>F202</t>
  </si>
  <si>
    <t>5000202</t>
  </si>
  <si>
    <t>F203-OPV_O.PV LOCAL LA SERENA</t>
  </si>
  <si>
    <t>90000540</t>
  </si>
  <si>
    <t>5-F203</t>
  </si>
  <si>
    <t>30</t>
  </si>
  <si>
    <t>F203</t>
  </si>
  <si>
    <t>5000204</t>
  </si>
  <si>
    <t>F205-OPV_O.PV MALL TEMUCO</t>
  </si>
  <si>
    <t>90000542</t>
  </si>
  <si>
    <t>5-F205</t>
  </si>
  <si>
    <t>F205</t>
  </si>
  <si>
    <t>5000205</t>
  </si>
  <si>
    <t>F206-OPV_O.PV LOCAL TOBALABA</t>
  </si>
  <si>
    <t>90000543</t>
  </si>
  <si>
    <t>5-F206</t>
  </si>
  <si>
    <t>F206</t>
  </si>
  <si>
    <t>5000206</t>
  </si>
  <si>
    <t>F207-OPV_O.PV LOCAL PLAZA EL TREBOL</t>
  </si>
  <si>
    <t>90000544</t>
  </si>
  <si>
    <t>5-F207</t>
  </si>
  <si>
    <t>F207</t>
  </si>
  <si>
    <t>5000209</t>
  </si>
  <si>
    <t>F210-OPV_O.PV ARAUCO MAIPU</t>
  </si>
  <si>
    <t>90000547</t>
  </si>
  <si>
    <t>5-F210</t>
  </si>
  <si>
    <t>103</t>
  </si>
  <si>
    <t>F210</t>
  </si>
  <si>
    <t>5000212</t>
  </si>
  <si>
    <t>F213-OPV_O.PV MALL PLAZA EGANA</t>
  </si>
  <si>
    <t>90000550</t>
  </si>
  <si>
    <t>5-F213</t>
  </si>
  <si>
    <t>132</t>
  </si>
  <si>
    <t>F213</t>
  </si>
  <si>
    <t>5000215</t>
  </si>
  <si>
    <t>F216-OPV_O.PV LOCAL LA SERENA PRAT</t>
  </si>
  <si>
    <t>90000553</t>
  </si>
  <si>
    <t>5-F216</t>
  </si>
  <si>
    <t>F216</t>
  </si>
  <si>
    <t>5000216</t>
  </si>
  <si>
    <t>F217-OPV_O.PV SAN FERNANDO</t>
  </si>
  <si>
    <t>90000554</t>
  </si>
  <si>
    <t>5-F217</t>
  </si>
  <si>
    <t>F217</t>
  </si>
  <si>
    <t>5000221</t>
  </si>
  <si>
    <t>A792 RAY BAN COSTANERA CENTER AV. ANDRES BELLO 2447 LOCAL 2117</t>
  </si>
  <si>
    <t>90000559</t>
  </si>
  <si>
    <t>5-A792</t>
  </si>
  <si>
    <t>A792</t>
  </si>
  <si>
    <t>5000222</t>
  </si>
  <si>
    <t>9606 SUNGLASS HUT AEROPUERTO INTERNACIONAL ESPIGON E</t>
  </si>
  <si>
    <t>90000572</t>
  </si>
  <si>
    <t>5-9606</t>
  </si>
  <si>
    <t>81</t>
  </si>
  <si>
    <t>9606</t>
  </si>
  <si>
    <t>5000223</t>
  </si>
  <si>
    <t>F689 RAY BAN MALL PLAZA EL TREBOL</t>
  </si>
  <si>
    <t>90000573</t>
  </si>
  <si>
    <t>5-F689</t>
  </si>
  <si>
    <t>F689</t>
  </si>
  <si>
    <t>5000224</t>
  </si>
  <si>
    <t>F737-RAY BAN MALL PLAZA LA SERENA</t>
  </si>
  <si>
    <t>90000574</t>
  </si>
  <si>
    <t>5-F737</t>
  </si>
  <si>
    <t>F737</t>
  </si>
  <si>
    <t>5000225</t>
  </si>
  <si>
    <t>F738 RAY BAN MALL PLAZA ANTOFAGASTA</t>
  </si>
  <si>
    <t>90000575</t>
  </si>
  <si>
    <t>5-F738</t>
  </si>
  <si>
    <t>F738</t>
  </si>
  <si>
    <t>5000226</t>
  </si>
  <si>
    <t>F739-SUNGLASS HUT MALL PLAZA EGAÑA</t>
  </si>
  <si>
    <t>90000576</t>
  </si>
  <si>
    <t>5-F739</t>
  </si>
  <si>
    <t>F739</t>
  </si>
  <si>
    <t>5000227</t>
  </si>
  <si>
    <t>4254 ECO PUERTO MONTT PASEO TALCA ESQUINA URMENETA N°143. LOCA</t>
  </si>
  <si>
    <t>5-0025</t>
  </si>
  <si>
    <t>4254</t>
  </si>
  <si>
    <t>5000228</t>
  </si>
  <si>
    <t>SUNGLASS HUT MALL PLAZA NORTE AV. AMÉRICO VESPUCIO N°1737, LOCAL A-1120</t>
  </si>
  <si>
    <t>90000577</t>
  </si>
  <si>
    <t>6514</t>
  </si>
  <si>
    <t>5000229</t>
  </si>
  <si>
    <t>GMO MALL LA DEHESA AV. LA DEHESA N°1445. LOCAL 1017 LAS CONDES</t>
  </si>
  <si>
    <t>90000578</t>
  </si>
  <si>
    <t>5000065</t>
  </si>
  <si>
    <t>3465</t>
  </si>
  <si>
    <t>5000230</t>
  </si>
  <si>
    <t>P110-OPV_O.PV MALL PASEO VALDIVIA</t>
  </si>
  <si>
    <t>90000579</t>
  </si>
  <si>
    <t>5-P110</t>
  </si>
  <si>
    <t>5000231</t>
  </si>
  <si>
    <t>GMO Outlet Temuco</t>
  </si>
  <si>
    <t>90000586</t>
  </si>
  <si>
    <t>5-P167</t>
  </si>
  <si>
    <t>P167</t>
  </si>
  <si>
    <t>5000232</t>
  </si>
  <si>
    <t>P109-SGH Mall Paseo Valdivia</t>
  </si>
  <si>
    <t>90000587</t>
  </si>
  <si>
    <t>5-P109</t>
  </si>
  <si>
    <t>P109</t>
  </si>
  <si>
    <t>5000233</t>
  </si>
  <si>
    <t>GMO TEMUCO II MANUEL MONTT N°807 TEMUCO</t>
  </si>
  <si>
    <t>90000589</t>
  </si>
  <si>
    <t>5000097</t>
  </si>
  <si>
    <t>3529</t>
  </si>
  <si>
    <t>5000234</t>
  </si>
  <si>
    <t>F204-OPV_O.PV MALL TALCA</t>
  </si>
  <si>
    <t>90000590</t>
  </si>
  <si>
    <t>5000203</t>
  </si>
  <si>
    <t>F204</t>
  </si>
  <si>
    <t>5000235</t>
  </si>
  <si>
    <t>P340-OPV_O.PV PORTAL LA DEHESA II</t>
  </si>
  <si>
    <t>90000591</t>
  </si>
  <si>
    <t>5-P340</t>
  </si>
  <si>
    <t>5000236</t>
  </si>
  <si>
    <t>P761-ECO LOCAL PROVIDENCIA</t>
  </si>
  <si>
    <t>90000592</t>
  </si>
  <si>
    <t>P761</t>
  </si>
  <si>
    <t>18</t>
  </si>
  <si>
    <t>5000237</t>
  </si>
  <si>
    <t>P341 GMO OUTLET ZONA FRANCA PUNTA ARENAS  BENAVENTE 550 1201 / PUERTO MONTT</t>
  </si>
  <si>
    <t>90000593</t>
  </si>
  <si>
    <t>5-P341</t>
  </si>
  <si>
    <t>P341</t>
  </si>
  <si>
    <t>5000238</t>
  </si>
  <si>
    <t>GMO ARAUCO BUENAVENTURA OUTLET SAN IGNACIO N°500. LOCAL 29-A QUILICURA</t>
  </si>
  <si>
    <t>5-0035</t>
  </si>
  <si>
    <t>3849</t>
  </si>
  <si>
    <t>5000239</t>
  </si>
  <si>
    <t>GMO PARQUE ANGAMOS AV. ANGAMOS N°02170 - LOCAL 132 ANTOFAGASTA</t>
  </si>
  <si>
    <t>5-0147</t>
  </si>
  <si>
    <t>9358</t>
  </si>
  <si>
    <t>5000240</t>
  </si>
  <si>
    <t>GMO ARAUCO CHILLÁN CALLE EL ROBLE N°770. LOCAL 310-A CHILLAN</t>
  </si>
  <si>
    <t>5-0033</t>
  </si>
  <si>
    <t>3988</t>
  </si>
  <si>
    <t>5000241</t>
  </si>
  <si>
    <t>ECO SAN ANTONIO SAN ANTONIO N°288 SANTIAGO</t>
  </si>
  <si>
    <t>5-0027</t>
  </si>
  <si>
    <t>3993</t>
  </si>
  <si>
    <t>5000242</t>
  </si>
  <si>
    <t>F219-OPV_O.PV VINA DEL MAR VERGARA</t>
  </si>
  <si>
    <t>5-0218</t>
  </si>
  <si>
    <t>F219</t>
  </si>
  <si>
    <t>5000244</t>
  </si>
  <si>
    <t>SUNGLASS HUT MALL PARQUE ARAUCO AV. PRESIDENTE KENNEDY N°5413. LOCAL 105 LAS CON</t>
  </si>
  <si>
    <t>5-0107</t>
  </si>
  <si>
    <t>5795</t>
  </si>
  <si>
    <t>5000245</t>
  </si>
  <si>
    <t>ECO BARROS ARANA II CALLE BARROS ARANA N° 756. LOCAL N°1. GALERIA COLONIAL CONCE</t>
  </si>
  <si>
    <t>5-0001</t>
  </si>
  <si>
    <t>5703</t>
  </si>
  <si>
    <t>5000246</t>
  </si>
  <si>
    <t>GMO MALL TALCA AV. CIRCUNVALACIÓN ORIENTE N°1055. LOCALES 116 Y 117 TALCA</t>
  </si>
  <si>
    <t>5-0068</t>
  </si>
  <si>
    <t>3441</t>
  </si>
  <si>
    <t>5000247</t>
  </si>
  <si>
    <t>P743-GMO MALL PASEO DUNAS</t>
  </si>
  <si>
    <t>5-P743</t>
  </si>
  <si>
    <t>P743</t>
  </si>
  <si>
    <t>NUEVO 2024 - no aplica renta los primeros 2 años</t>
  </si>
  <si>
    <t>5000248</t>
  </si>
  <si>
    <t>GMO VIVO COQUIMBO AV. GENERAL BAQUEDANO N° 8. CAMILO HENRÍQUEZ N°10. VALERAL N°1</t>
  </si>
  <si>
    <t>5-0136</t>
  </si>
  <si>
    <t>8966</t>
  </si>
  <si>
    <t>5000249</t>
  </si>
  <si>
    <t>F211-OPV_O.PV COQUIMBO</t>
  </si>
  <si>
    <t>5-0210</t>
  </si>
  <si>
    <t>F211</t>
  </si>
  <si>
    <t>5000250</t>
  </si>
  <si>
    <t>SUNGLASS HUT VIVO COQUIMBO VARELA 1524 LOCAL 1236-1240 COQUIMBO</t>
  </si>
  <si>
    <t>5-0140</t>
  </si>
  <si>
    <t>9093</t>
  </si>
  <si>
    <t>5000251</t>
  </si>
  <si>
    <t>P744 Ray Ban Jumbo Portal Temuco AV. ALEMANIA N°0671. LOCAL 3069 TEMUCO</t>
  </si>
  <si>
    <t>5-P744</t>
  </si>
  <si>
    <t>P744</t>
  </si>
  <si>
    <t>5000252</t>
  </si>
  <si>
    <t>SGH Aeropuerto Antofagasta</t>
  </si>
  <si>
    <t>5-P764</t>
  </si>
  <si>
    <t>P764</t>
  </si>
  <si>
    <t>5000253</t>
  </si>
  <si>
    <t>GMO JUMBO COPIAPÓ - T101</t>
  </si>
  <si>
    <t>5-0046</t>
  </si>
  <si>
    <t>3590</t>
  </si>
  <si>
    <t>5000254</t>
  </si>
  <si>
    <t>RAY BAN ALTO LAS CONDES-R004</t>
  </si>
  <si>
    <t>5-0166</t>
  </si>
  <si>
    <t>9637</t>
  </si>
  <si>
    <t>5000255</t>
  </si>
  <si>
    <t>GMO JUMBO RANCAGUA - T014</t>
  </si>
  <si>
    <t>5-054</t>
  </si>
  <si>
    <t>3413</t>
  </si>
  <si>
    <t>5000256</t>
  </si>
  <si>
    <t>SUNGLASS HUT MALL ALTO LAS CONDES - S033</t>
  </si>
  <si>
    <t>5-0102</t>
  </si>
  <si>
    <t>5845</t>
  </si>
  <si>
    <t>5000257</t>
  </si>
  <si>
    <t>GMO MALL ALTO LAS CONDES II AV. KENNEDY N°9001. LOCAL 1020 LAS CONDES</t>
  </si>
  <si>
    <t>5-0058</t>
  </si>
  <si>
    <t>3559</t>
  </si>
  <si>
    <t>5000258</t>
  </si>
  <si>
    <t>CASA MATRIZ. EDIFICIO CORPORATIVO AV. DEL VALLE N°992. LOTE N°132 (EDIFICIO CORP</t>
  </si>
  <si>
    <t>5-121</t>
  </si>
  <si>
    <t>8137074</t>
  </si>
  <si>
    <t>8509-CASA MATRIZ. CDD</t>
  </si>
  <si>
    <t>8509</t>
  </si>
  <si>
    <t>5000259</t>
  </si>
  <si>
    <t>6535-SUNGLASS HUT MALL FLORIDA CENTER - S053</t>
  </si>
  <si>
    <t>5-0120</t>
  </si>
  <si>
    <t>6535</t>
  </si>
  <si>
    <t>5000260</t>
  </si>
  <si>
    <t>GMO OVALLE PASEO VICUÑA MACKENNA N°161-B OVALLE</t>
  </si>
  <si>
    <t>5-0092</t>
  </si>
  <si>
    <t>3558</t>
  </si>
  <si>
    <t>5000261</t>
  </si>
  <si>
    <t>GMO JUMBO PORTAL TEMUCO AV. ALEMANIA N°0671. LOCAL 1087 OSORNO</t>
  </si>
  <si>
    <t>5-0053</t>
  </si>
  <si>
    <t>3479</t>
  </si>
  <si>
    <t>5000262</t>
  </si>
  <si>
    <t>ECO JUMBO PORTAL TEMUCO AV. ALEMANIA N°0671. LOCAL N°2018 TEMUCO</t>
  </si>
  <si>
    <t>5-007</t>
  </si>
  <si>
    <t>4552</t>
  </si>
  <si>
    <t>5000263</t>
  </si>
  <si>
    <t>ECO VIÑA DEL MAR AV. VALPARAÍSO N°527. LOCAL 1 VALPARAISO</t>
  </si>
  <si>
    <t>5-0029</t>
  </si>
  <si>
    <t>4190</t>
  </si>
  <si>
    <t>5000264</t>
  </si>
  <si>
    <t>A552 GMO JUMBO EL LLANO</t>
  </si>
  <si>
    <t>5-0168</t>
  </si>
  <si>
    <t>A552</t>
  </si>
  <si>
    <t>5000265</t>
  </si>
  <si>
    <t>GMO CONCEPCIÓN I BARROS ARANA N°751 CONCEPCIÓN</t>
  </si>
  <si>
    <t>5-0036</t>
  </si>
  <si>
    <t>3435</t>
  </si>
  <si>
    <t>5000266</t>
  </si>
  <si>
    <t>GMO ARICA 21 DE MAYO N°269 ARICA</t>
  </si>
  <si>
    <t>5-0034</t>
  </si>
  <si>
    <t>3475</t>
  </si>
  <si>
    <t>5000267</t>
  </si>
  <si>
    <t>F208-OPV_O.PV PLAZA VESPUCIO</t>
  </si>
  <si>
    <t>5-207</t>
  </si>
  <si>
    <t>F208</t>
  </si>
  <si>
    <t>5000268</t>
  </si>
  <si>
    <t>GMO ESTADO ESTADO N°111 SANTIAGO</t>
  </si>
  <si>
    <t>5-0040</t>
  </si>
  <si>
    <t>3454</t>
  </si>
  <si>
    <t>5000269</t>
  </si>
  <si>
    <t>GMO OUTLET VIVO MAIPÚ LOTE B-1 FRENTE AV. LO ESPEJO N°943. LOCAL 120 MAIPU</t>
  </si>
  <si>
    <t>5-0091</t>
  </si>
  <si>
    <t>3884</t>
  </si>
  <si>
    <t>5000270</t>
  </si>
  <si>
    <t>GMO JUMBO PORTAL EL BELLOTO AV. RAMÓN FREIRE N°2414. LOCAL 1098 QUILPUÉ</t>
  </si>
  <si>
    <t>5-3845</t>
  </si>
  <si>
    <t>3845</t>
  </si>
  <si>
    <t>5000271</t>
  </si>
  <si>
    <t>GMO LINARES CALLE INDEPENDENCIA N° 537 ENTRE CHACABUCO Y LAUTARO LOCAL 3 LINARES</t>
  </si>
  <si>
    <t>5-00129</t>
  </si>
  <si>
    <t>8696</t>
  </si>
  <si>
    <t>5000272</t>
  </si>
  <si>
    <t>F186-OPV_O.PV LOCAL CONCEPCION CENT</t>
  </si>
  <si>
    <t>5-00186</t>
  </si>
  <si>
    <t>F186</t>
  </si>
  <si>
    <t>5000273</t>
  </si>
  <si>
    <t>GMO EUROCENTRO AHUMADA N° 79 AL 99. LOCALES B.C.D.E. N° 115 Y 116 SANTIAGO</t>
  </si>
  <si>
    <t>5-041</t>
  </si>
  <si>
    <t>3536</t>
  </si>
  <si>
    <t>5000274</t>
  </si>
  <si>
    <t>GMO OPEN PLAZA OVALLE PROLONGACIÓN BENAVENTE N°1075. LOCAL 1100 COQUIMBO</t>
  </si>
  <si>
    <t>5-089</t>
  </si>
  <si>
    <t>3978</t>
  </si>
  <si>
    <t>5000276</t>
  </si>
  <si>
    <t>R362 RAY BAN COSTANERA CENTER</t>
  </si>
  <si>
    <t>5-R362</t>
  </si>
  <si>
    <t>R362</t>
  </si>
  <si>
    <t>5000277</t>
  </si>
  <si>
    <t>Q257-GMO OPEN RANCAGUA</t>
  </si>
  <si>
    <t>5-Q257</t>
  </si>
  <si>
    <t>Q257</t>
  </si>
  <si>
    <t>5000278</t>
  </si>
  <si>
    <t>Q260- GMO HOSPITAL MILITAR SANTIAGO</t>
  </si>
  <si>
    <t>5-Q260</t>
  </si>
  <si>
    <t>Q260</t>
  </si>
  <si>
    <t>5000279</t>
  </si>
  <si>
    <t>F192-OPV_O.PV PASEO HUERFANOS</t>
  </si>
  <si>
    <t>5-00192</t>
  </si>
  <si>
    <t>F192</t>
  </si>
  <si>
    <t>5000280</t>
  </si>
  <si>
    <t>GMO JUMBO CHILLÁN CARRETERA LONGITUDINAL N°134. LOCAL 1011 CHILLAN</t>
  </si>
  <si>
    <t>5-0045</t>
  </si>
  <si>
    <t>3473</t>
  </si>
  <si>
    <t>5000281</t>
  </si>
  <si>
    <t>GMO JUMBO LOS ANDES ARGENTINA N°805. LOCAL 1004 LOS ANDES</t>
  </si>
  <si>
    <t>5-0049</t>
  </si>
  <si>
    <t>3499</t>
  </si>
  <si>
    <t>5000282</t>
  </si>
  <si>
    <t>GMO JUMBO PEÑALOLEN AV. SANCHEZ FONTECILLA N°12200. LOCAL 1055 PEÑALOLEN</t>
  </si>
  <si>
    <t>5-0050</t>
  </si>
  <si>
    <t>3537</t>
  </si>
  <si>
    <t>5000283</t>
  </si>
  <si>
    <t>GMO JUMBO VALDIVIA CALLE ERRAZURIZ 1040. VALDIVIA LOCAL 1074 VALDIVIA</t>
  </si>
  <si>
    <t>5-0133</t>
  </si>
  <si>
    <t>8940</t>
  </si>
  <si>
    <t>5000284</t>
  </si>
  <si>
    <t>Q370 GMO MALL PASEO PUERTO VARAS</t>
  </si>
  <si>
    <t>5-Q370</t>
  </si>
  <si>
    <t>Q370</t>
  </si>
  <si>
    <t>5000285</t>
  </si>
  <si>
    <t>R452-SOLARIS MALL PARQUE ARAUCO</t>
  </si>
  <si>
    <t>5-R452</t>
  </si>
  <si>
    <t>R452</t>
  </si>
  <si>
    <t>5000286</t>
  </si>
  <si>
    <t>ECO LIDER VIÑA DEL MAR AV 15 NORTE N°961. LOCAL 245 VIÑA DEL MAR</t>
  </si>
  <si>
    <t>5-0013</t>
  </si>
  <si>
    <t>4239</t>
  </si>
  <si>
    <t>5000287</t>
  </si>
  <si>
    <t>GMO TALCA CALLE UNO SUR N°1330 - 1334 LOCALES 1-2 TALCA</t>
  </si>
  <si>
    <t>5-0095</t>
  </si>
  <si>
    <t>3474</t>
  </si>
  <si>
    <t>5000288</t>
  </si>
  <si>
    <t>GMO CONCEPCIÓN II BARROS ARANA N°582 CONCEPCIÓN</t>
  </si>
  <si>
    <t>5-0037</t>
  </si>
  <si>
    <t>3546</t>
  </si>
  <si>
    <t>5000289</t>
  </si>
  <si>
    <t>GMO MACHALI AV. SAN JUAN N°133-C. LOCAL 8 RANCAGUA</t>
  </si>
  <si>
    <t>5-0056</t>
  </si>
  <si>
    <t>3877</t>
  </si>
  <si>
    <t>1000000</t>
  </si>
  <si>
    <t>LEASING AUTO SANTANDER</t>
  </si>
  <si>
    <t>90000321</t>
  </si>
  <si>
    <t>7510</t>
  </si>
  <si>
    <t/>
  </si>
  <si>
    <t>CESADO</t>
  </si>
  <si>
    <t>CERRADA</t>
  </si>
  <si>
    <t>Auto</t>
  </si>
  <si>
    <t>90000322</t>
  </si>
  <si>
    <t>8137028/8137052</t>
  </si>
  <si>
    <t>90000323</t>
  </si>
  <si>
    <t>90000324</t>
  </si>
  <si>
    <t>90000325</t>
  </si>
  <si>
    <t>90000326</t>
  </si>
  <si>
    <t>8137061/8137020/8137021/8137047</t>
  </si>
  <si>
    <t>90000327</t>
  </si>
  <si>
    <t>90000333</t>
  </si>
  <si>
    <t>8137020</t>
  </si>
  <si>
    <t>1000001</t>
  </si>
  <si>
    <t>90000344</t>
  </si>
  <si>
    <t>8137047</t>
  </si>
  <si>
    <t>90000345</t>
  </si>
  <si>
    <t>8137095</t>
  </si>
  <si>
    <t>1000002</t>
  </si>
  <si>
    <t>90000338</t>
  </si>
  <si>
    <t>90000339</t>
  </si>
  <si>
    <t>1000003</t>
  </si>
  <si>
    <t>LEASING AUTO ARVAL - RWLF46 GV</t>
  </si>
  <si>
    <t>90000567</t>
  </si>
  <si>
    <t>7515</t>
  </si>
  <si>
    <t>LEASING AUTO ARVAL - RWPF64 AR</t>
  </si>
  <si>
    <t>90000565</t>
  </si>
  <si>
    <t>Auto // cambio de ceco</t>
  </si>
  <si>
    <t>LEASING AUTO ARVAL - RWPF76 OI</t>
  </si>
  <si>
    <t>90000562</t>
  </si>
  <si>
    <t>LEASING AUTO ARVAL - RWPF75 SD</t>
  </si>
  <si>
    <t>90000563</t>
  </si>
  <si>
    <t>LEASING AUTO ARVAL - RWPF65 SA</t>
  </si>
  <si>
    <t>90000564</t>
  </si>
  <si>
    <t>LEASING AUTO ARVAL - WJX16 FG</t>
  </si>
  <si>
    <t>90000566</t>
  </si>
  <si>
    <t>LEASING AUTO ARVAL - RWJX26 RO</t>
  </si>
  <si>
    <t>90000568</t>
  </si>
  <si>
    <t>LEASING AUTO ARVAL - RWPF64 PE</t>
  </si>
  <si>
    <t>90000580</t>
  </si>
  <si>
    <t>1000004</t>
  </si>
  <si>
    <t>LEASING AUTO ARVAL - RWPF24 VR</t>
  </si>
  <si>
    <t>90000569</t>
  </si>
  <si>
    <t>1000005</t>
  </si>
  <si>
    <t>LEASING AUTO ARVAL - RXXD77 PS</t>
  </si>
  <si>
    <t>90000570</t>
  </si>
  <si>
    <t>1000006</t>
  </si>
  <si>
    <t>LEASING AUTO ARVAL - RYZF71 PE</t>
  </si>
  <si>
    <t>90000571</t>
  </si>
  <si>
    <t>3000001</t>
  </si>
  <si>
    <t>ARRIENDO EQUIPO COMPUTACIONAL HP ANEXO 1</t>
  </si>
  <si>
    <t>USD</t>
  </si>
  <si>
    <t>90000340</t>
  </si>
  <si>
    <t>7565</t>
  </si>
  <si>
    <t>Equipo</t>
  </si>
  <si>
    <t>3000002</t>
  </si>
  <si>
    <t>ARRIENDO EQUIPO COMPUTACIONAL HP ANEXO 2</t>
  </si>
  <si>
    <t>90000341</t>
  </si>
  <si>
    <t>3000003</t>
  </si>
  <si>
    <t>ARRIENDO EQUIPO COMPUTACIONAL HP ANEXO 3</t>
  </si>
  <si>
    <t>90000342</t>
  </si>
  <si>
    <t>3000004</t>
  </si>
  <si>
    <t>ARRIENDO EQUIPO COMPUTACIONAL HP ANEXO 4</t>
  </si>
  <si>
    <t>90000343</t>
  </si>
  <si>
    <t>3000005</t>
  </si>
  <si>
    <t>ARRIENDO IMPRESORAS CHILE 1</t>
  </si>
  <si>
    <t>90000346</t>
  </si>
  <si>
    <t>7560</t>
  </si>
  <si>
    <t>90000347</t>
  </si>
  <si>
    <t>90000348</t>
  </si>
  <si>
    <t>90000349</t>
  </si>
  <si>
    <t>3000006</t>
  </si>
  <si>
    <t>90000350</t>
  </si>
  <si>
    <t>3000007</t>
  </si>
  <si>
    <t>90000351</t>
  </si>
  <si>
    <t>3000008</t>
  </si>
  <si>
    <t>90000352</t>
  </si>
  <si>
    <t>31</t>
  </si>
  <si>
    <t>5000001</t>
  </si>
  <si>
    <t>90000361</t>
  </si>
  <si>
    <t>90000161</t>
  </si>
  <si>
    <t>5-5703</t>
  </si>
  <si>
    <t>REEMPLAZO 5-245</t>
  </si>
  <si>
    <t>5000003</t>
  </si>
  <si>
    <t>ECO MALL PLAZA LOS RIOS VALDIVIA ARAUCO N°561. LOCAL 108 VALDIVIA</t>
  </si>
  <si>
    <t>90000163</t>
  </si>
  <si>
    <t>5-5788</t>
  </si>
  <si>
    <t>5788</t>
  </si>
  <si>
    <t>Tienda cerrada</t>
  </si>
  <si>
    <t>5000005</t>
  </si>
  <si>
    <t>ECO CONCEPCIÓN CALLE O´HIGGINS N°730- 760. LOCAL N° 33 CONCEPCIÓN</t>
  </si>
  <si>
    <t>90000165</t>
  </si>
  <si>
    <t>5-5662</t>
  </si>
  <si>
    <t>5662</t>
  </si>
  <si>
    <t>5000006</t>
  </si>
  <si>
    <t>ECO CURICÓ CALLE ARTURO PRAT N° 399 CURICÓ</t>
  </si>
  <si>
    <t>90000492</t>
  </si>
  <si>
    <t>90000166</t>
  </si>
  <si>
    <t>5-5675</t>
  </si>
  <si>
    <t>5675</t>
  </si>
  <si>
    <t>VENCIDO</t>
  </si>
  <si>
    <t>5000007</t>
  </si>
  <si>
    <t>90000363</t>
  </si>
  <si>
    <t>90000167</t>
  </si>
  <si>
    <t>5-4552</t>
  </si>
  <si>
    <t>REEMPLAZO 5-262</t>
  </si>
  <si>
    <t>5000008</t>
  </si>
  <si>
    <t>ECO LIDER ARICA AV. DIEGO PORTALES N°2291. LOCAL N° 26 ARICA</t>
  </si>
  <si>
    <t>90000168</t>
  </si>
  <si>
    <t>5-4265</t>
  </si>
  <si>
    <t>4265</t>
  </si>
  <si>
    <t>5000010</t>
  </si>
  <si>
    <t>ECO LIDER OVALLE RECINTO INTERIOR ESTACIÓN N°48. LOCAL 12 OVALLE</t>
  </si>
  <si>
    <t>90000365</t>
  </si>
  <si>
    <t>90000170</t>
  </si>
  <si>
    <t>5-4553</t>
  </si>
  <si>
    <t>4553</t>
  </si>
  <si>
    <t>5000011</t>
  </si>
  <si>
    <t>ECO LIDER PUENTE ALTO CONCHA Y TORO ORIENTE N°1149. LOCAL 1 PUENTE ALTO</t>
  </si>
  <si>
    <t>90000366</t>
  </si>
  <si>
    <t>90000171</t>
  </si>
  <si>
    <t>5-4191</t>
  </si>
  <si>
    <t>4191</t>
  </si>
  <si>
    <t>5000013</t>
  </si>
  <si>
    <t>90000368</t>
  </si>
  <si>
    <t>90000173</t>
  </si>
  <si>
    <t>5-4239</t>
  </si>
  <si>
    <t>REEMPLAZO 5-286</t>
  </si>
  <si>
    <t>5000014</t>
  </si>
  <si>
    <t>ECO MALL DEL CENTRO DE SANTIAGO PUENTE 689. LOCAL145 Y 147 SANTIAGO</t>
  </si>
  <si>
    <t>90000369</t>
  </si>
  <si>
    <t>90000174</t>
  </si>
  <si>
    <t>5-5655</t>
  </si>
  <si>
    <t>5655</t>
  </si>
  <si>
    <t>5000015</t>
  </si>
  <si>
    <t>ECO MALL FLORIDA CENTER AV. VICUÑA MACKENNA N°6100. LOCAL 1105 LA FLORIDA</t>
  </si>
  <si>
    <t>90000370</t>
  </si>
  <si>
    <t>90000175</t>
  </si>
  <si>
    <t>5-5672</t>
  </si>
  <si>
    <t>5672</t>
  </si>
  <si>
    <t>5000016</t>
  </si>
  <si>
    <t>ECO MALL PANORÁMICO AV. 11 DE SEPTIEMBRE N°2155. LOCALES 131 Y 172 PROVIDENCIA</t>
  </si>
  <si>
    <t>90000371</t>
  </si>
  <si>
    <t>90000176</t>
  </si>
  <si>
    <t>5-4156</t>
  </si>
  <si>
    <t>71</t>
  </si>
  <si>
    <t>4156</t>
  </si>
  <si>
    <t>5000017</t>
  </si>
  <si>
    <t>ECO MALL PASEO COSTANERA ILLAPEL N°10. LOCAL 114-A PUERTO MONTT</t>
  </si>
  <si>
    <t>90000372</t>
  </si>
  <si>
    <t>90000177</t>
  </si>
  <si>
    <t>5-4854</t>
  </si>
  <si>
    <t>4854</t>
  </si>
  <si>
    <t>5000018</t>
  </si>
  <si>
    <t>ECO MALL PLAZA ANTOFAGASTA AV. BALMACEDA N° 2355. LOCAL 219 ANTOFAGASTA</t>
  </si>
  <si>
    <t>90000506</t>
  </si>
  <si>
    <t>90000178</t>
  </si>
  <si>
    <t>5-5659</t>
  </si>
  <si>
    <t>5659</t>
  </si>
  <si>
    <t>5000020</t>
  </si>
  <si>
    <t>ECO MALL PLAZA LA SERENA AV. ALBERTO SOLARI N°1400. LOCAL A-202 LA SERENA</t>
  </si>
  <si>
    <t>90000375</t>
  </si>
  <si>
    <t>90000180</t>
  </si>
  <si>
    <t>5-4252</t>
  </si>
  <si>
    <t>156</t>
  </si>
  <si>
    <t>4252</t>
  </si>
  <si>
    <t>5000021</t>
  </si>
  <si>
    <t>ECO MALL PLAZA OESTE AV. AMÉRICO VESPUCIO N°1501. LOCALES D-217b/D-221 CERRILLOS</t>
  </si>
  <si>
    <t>90000376</t>
  </si>
  <si>
    <t>90000181</t>
  </si>
  <si>
    <t>5-3995</t>
  </si>
  <si>
    <t>3995</t>
  </si>
  <si>
    <t>5000023</t>
  </si>
  <si>
    <t>ECO MALL PLAZA VESPUCIO AV. VICUÑA MACKENNA ORIENTE N° 7110. LOCALES 047 LA FLOR</t>
  </si>
  <si>
    <t>90000378</t>
  </si>
  <si>
    <t>90000183</t>
  </si>
  <si>
    <t>5-3997</t>
  </si>
  <si>
    <t>3997</t>
  </si>
  <si>
    <t>5000025</t>
  </si>
  <si>
    <t>ECO PUERTO MONTT PASEO TALCA ESQUINA URMENETA N°143. LOCAL 2 PUERTO MONTT</t>
  </si>
  <si>
    <t>90000493</t>
  </si>
  <si>
    <t>90000185</t>
  </si>
  <si>
    <t>5-4254</t>
  </si>
  <si>
    <t>REEMPLAZO 5-227</t>
  </si>
  <si>
    <t>5000026</t>
  </si>
  <si>
    <t>ECO RANCAGUA PASEO INDEPENDENCIA N°719. LOCAL A RANCAGUA</t>
  </si>
  <si>
    <t>90000494</t>
  </si>
  <si>
    <t>90000186</t>
  </si>
  <si>
    <t>5-5676</t>
  </si>
  <si>
    <t>5676</t>
  </si>
  <si>
    <t>5000027</t>
  </si>
  <si>
    <t>90000495</t>
  </si>
  <si>
    <t>90000187</t>
  </si>
  <si>
    <t>5-3993</t>
  </si>
  <si>
    <t>REEMPLAZO 5-241</t>
  </si>
  <si>
    <t>5000029</t>
  </si>
  <si>
    <t>90000381</t>
  </si>
  <si>
    <t>90000189</t>
  </si>
  <si>
    <t>5-4190</t>
  </si>
  <si>
    <t>REEMPLAZO 5-263</t>
  </si>
  <si>
    <t>5000030</t>
  </si>
  <si>
    <t>GMO LIDER COPIAPÓ CHACABUCO N°120. LOCAL 6 COPIAPO</t>
  </si>
  <si>
    <t>90000190</t>
  </si>
  <si>
    <t>5-3483</t>
  </si>
  <si>
    <t>3483</t>
  </si>
  <si>
    <t>5000032</t>
  </si>
  <si>
    <t>GMO APOQUINDO AV. APOQUINDO N°4775. LOCAL 2 LAS CONDES</t>
  </si>
  <si>
    <t>90000496</t>
  </si>
  <si>
    <t>90000192</t>
  </si>
  <si>
    <t>5-3447</t>
  </si>
  <si>
    <t>3447</t>
  </si>
  <si>
    <t>5000033</t>
  </si>
  <si>
    <t>90000383</t>
  </si>
  <si>
    <t>90000193</t>
  </si>
  <si>
    <t>5-3988</t>
  </si>
  <si>
    <t>REEMPLAZO 5-240</t>
  </si>
  <si>
    <t>5000034</t>
  </si>
  <si>
    <t>90000497</t>
  </si>
  <si>
    <t>90000194</t>
  </si>
  <si>
    <t>5-3475</t>
  </si>
  <si>
    <t>REEMPLAZO 5-266</t>
  </si>
  <si>
    <t>5000035</t>
  </si>
  <si>
    <t>90000384</t>
  </si>
  <si>
    <t>90000195</t>
  </si>
  <si>
    <t>5-3849</t>
  </si>
  <si>
    <t>REEMPLAZO 5-238</t>
  </si>
  <si>
    <t>5000036</t>
  </si>
  <si>
    <t>90000385</t>
  </si>
  <si>
    <t>90000196</t>
  </si>
  <si>
    <t>5-3435</t>
  </si>
  <si>
    <t>REEMPLAZO 5-265</t>
  </si>
  <si>
    <t>5000037</t>
  </si>
  <si>
    <t>90000498</t>
  </si>
  <si>
    <t>90000197</t>
  </si>
  <si>
    <t>5-3546</t>
  </si>
  <si>
    <t>REEMPLAZO 5-288</t>
  </si>
  <si>
    <t>5000038</t>
  </si>
  <si>
    <t>GMO COPIAPÓ CALLE CALLE ATACAMA N°601. LOCAL 1 COPIAPO</t>
  </si>
  <si>
    <t>90000507</t>
  </si>
  <si>
    <t>90000198</t>
  </si>
  <si>
    <t>5-3847</t>
  </si>
  <si>
    <t>3847</t>
  </si>
  <si>
    <t>CESADO 2024 - SIN NOTICE // Tienda cerrada</t>
  </si>
  <si>
    <t>5000040</t>
  </si>
  <si>
    <t>90000388</t>
  </si>
  <si>
    <t>90000200</t>
  </si>
  <si>
    <t>5-3454</t>
  </si>
  <si>
    <t>REEMPLAZO 5-268</t>
  </si>
  <si>
    <t>5000041</t>
  </si>
  <si>
    <t>90000389</t>
  </si>
  <si>
    <t>90000201</t>
  </si>
  <si>
    <t>5-3536</t>
  </si>
  <si>
    <t>REEMPLAZO 5-273</t>
  </si>
  <si>
    <t>5000043</t>
  </si>
  <si>
    <t>GMO HUERFANOS II PASEO HUERFANOS N°785 SANTIAGO</t>
  </si>
  <si>
    <t>90000391</t>
  </si>
  <si>
    <t>90000203</t>
  </si>
  <si>
    <t>5-3434</t>
  </si>
  <si>
    <t>3434</t>
  </si>
  <si>
    <t>5000045</t>
  </si>
  <si>
    <t>90000393</t>
  </si>
  <si>
    <t>90000205</t>
  </si>
  <si>
    <t>5-3473</t>
  </si>
  <si>
    <t>REEMPLAZO 5-280</t>
  </si>
  <si>
    <t>5000046</t>
  </si>
  <si>
    <t>GMO JUMBO COPIAPÓ AV. COPAYAPU N°2406. LOCAL 1014 COPIAPO</t>
  </si>
  <si>
    <t>90000394</t>
  </si>
  <si>
    <t>90000206</t>
  </si>
  <si>
    <t>5-3590</t>
  </si>
  <si>
    <t>REEMPLAZO 5-253</t>
  </si>
  <si>
    <t>5000047</t>
  </si>
  <si>
    <t>90000395</t>
  </si>
  <si>
    <t>90000207</t>
  </si>
  <si>
    <t>REEMPLAZO 5-270</t>
  </si>
  <si>
    <t>5000048</t>
  </si>
  <si>
    <t>GMO JUMBO LA SERENA RUTA 5. PARCELA 69. SECTOR VEGA SUR. LOCAL 1023 LA SERENA</t>
  </si>
  <si>
    <t>90000208</t>
  </si>
  <si>
    <t>5-3539</t>
  </si>
  <si>
    <t>3539</t>
  </si>
  <si>
    <t>5000049</t>
  </si>
  <si>
    <t>90000396</t>
  </si>
  <si>
    <t>90000209</t>
  </si>
  <si>
    <t>5-3499</t>
  </si>
  <si>
    <t>REEMPLAZO 5-281</t>
  </si>
  <si>
    <t>5000050</t>
  </si>
  <si>
    <t>90000397</t>
  </si>
  <si>
    <t>90000210</t>
  </si>
  <si>
    <t>5-3537</t>
  </si>
  <si>
    <t>REEMPLAZO 5-282</t>
  </si>
  <si>
    <t>5000051</t>
  </si>
  <si>
    <t>GMO JUMBO PORTAL CALAMA AV. CHORRILLOS N° 1759. LOCAL 1013 CALAMA</t>
  </si>
  <si>
    <t>90000211</t>
  </si>
  <si>
    <t>5-3848</t>
  </si>
  <si>
    <t>3848</t>
  </si>
  <si>
    <t>5000053</t>
  </si>
  <si>
    <t>90000399</t>
  </si>
  <si>
    <t>90000213</t>
  </si>
  <si>
    <t>5-3479</t>
  </si>
  <si>
    <t>REEMPLAZO 5-261</t>
  </si>
  <si>
    <t>5000056</t>
  </si>
  <si>
    <t>90000401</t>
  </si>
  <si>
    <t>90000216</t>
  </si>
  <si>
    <t>5-3877</t>
  </si>
  <si>
    <t>REEMPLAZO 5-289</t>
  </si>
  <si>
    <t>5000057</t>
  </si>
  <si>
    <t>GMO MAIPÚ PUMAY AV. PAJARITOS N°1918 MAIPU</t>
  </si>
  <si>
    <t>90000402</t>
  </si>
  <si>
    <t>90000217</t>
  </si>
  <si>
    <t>5-3445</t>
  </si>
  <si>
    <t>3445</t>
  </si>
  <si>
    <t>5000058</t>
  </si>
  <si>
    <t>90000403</t>
  </si>
  <si>
    <t>90000218</t>
  </si>
  <si>
    <t>5-3559</t>
  </si>
  <si>
    <t>REEMPLAZO 5-257</t>
  </si>
  <si>
    <t>5000061</t>
  </si>
  <si>
    <t>GMO MALL CENTER CONCEPCIÓN BARROS ARANA N° 1038. LOCAL 4/02 CONCEPCIÓN</t>
  </si>
  <si>
    <t>90000406</t>
  </si>
  <si>
    <t>90000221</t>
  </si>
  <si>
    <t>5-3873</t>
  </si>
  <si>
    <t>3873</t>
  </si>
  <si>
    <t>GMO MALL LA DEHESA AV. LA DEHESA N°1445. LOCAL 1015 LAS CONDES</t>
  </si>
  <si>
    <t>90000410</t>
  </si>
  <si>
    <t>90000225</t>
  </si>
  <si>
    <t>5-3465</t>
  </si>
  <si>
    <t>REEMPLAZO 5-229</t>
  </si>
  <si>
    <t>CESADO 2023 - 01.09.2023</t>
  </si>
  <si>
    <t>GMO MALL PLAZA LOS RIOS ARAUCO N°561. LOCALES 124 Y 128 VALDIVIA</t>
  </si>
  <si>
    <t>90000226</t>
  </si>
  <si>
    <t>5-3466</t>
  </si>
  <si>
    <t>67</t>
  </si>
  <si>
    <t>REEMPLAZO 5-159</t>
  </si>
  <si>
    <t>5000068</t>
  </si>
  <si>
    <t>90000412</t>
  </si>
  <si>
    <t>90000228</t>
  </si>
  <si>
    <t>5-3441</t>
  </si>
  <si>
    <t>REEMPLAZO 5-246</t>
  </si>
  <si>
    <t>5000071</t>
  </si>
  <si>
    <t>GMO MALL PASEO DEL MAR PUERTO MONTT URMENETA N°580; LOCALES 120 Y 121 PUERTO MON</t>
  </si>
  <si>
    <t>90000415</t>
  </si>
  <si>
    <t>90000231</t>
  </si>
  <si>
    <t>5-3436</t>
  </si>
  <si>
    <t>3436</t>
  </si>
  <si>
    <t>5000074</t>
  </si>
  <si>
    <t>GMO MALL PLAZA ALAMEDA AV. LIBERTADOR BERNARDO O´HIGGINS N°3470. LOCALES N° A-20</t>
  </si>
  <si>
    <t>90000418</t>
  </si>
  <si>
    <t>90000234</t>
  </si>
  <si>
    <t>5-3545</t>
  </si>
  <si>
    <t>3545</t>
  </si>
  <si>
    <t>5000075</t>
  </si>
  <si>
    <t>GMO MALL PLAZA ANTOFAGASTA AV. BALMACEDA N°2355. LOCAL L-145 ANTOFAGASTA</t>
  </si>
  <si>
    <t>90000419</t>
  </si>
  <si>
    <t>90000235</t>
  </si>
  <si>
    <t>5-3485</t>
  </si>
  <si>
    <t>3485</t>
  </si>
  <si>
    <t>5000076</t>
  </si>
  <si>
    <t>GMO MALL PLAZA CALAMA AV. BALMACEDA N°3242. LOCAL 140 CALAMA</t>
  </si>
  <si>
    <t>90000420</t>
  </si>
  <si>
    <t>90000236</t>
  </si>
  <si>
    <t>5-3477</t>
  </si>
  <si>
    <t>3477</t>
  </si>
  <si>
    <t>5000078</t>
  </si>
  <si>
    <t>GMO MALL PLAZA DE LAS AMÉRICAS IQUIQUE AV. HÉROES DE LA CONCEPCIÓN N°2555. LOCAL</t>
  </si>
  <si>
    <t>90000422</t>
  </si>
  <si>
    <t>90000238</t>
  </si>
  <si>
    <t>5-3505</t>
  </si>
  <si>
    <t>64</t>
  </si>
  <si>
    <t>3505</t>
  </si>
  <si>
    <t>5000079</t>
  </si>
  <si>
    <t>GMO MALL PLAZA EGAÑA AV. LARRAÍN N°5862. LOCAL A-2040 LA REINA</t>
  </si>
  <si>
    <t>90000500</t>
  </si>
  <si>
    <t>90000239</t>
  </si>
  <si>
    <t>5-3883</t>
  </si>
  <si>
    <t>3883</t>
  </si>
  <si>
    <t>5000080</t>
  </si>
  <si>
    <t>GMO MALL PLAZA EL TREBOL AV. JORGE ALESSANDRI N°3177. LOCALES C-117 / C-119 TALC</t>
  </si>
  <si>
    <t>90000423</t>
  </si>
  <si>
    <t>90000240</t>
  </si>
  <si>
    <t>5-3430</t>
  </si>
  <si>
    <t>3430</t>
  </si>
  <si>
    <t>5000082</t>
  </si>
  <si>
    <t>GMO MALL PLAZA LOS ANGELES VALDIVIA N° 440. LOCALES 234 - 235-A VALDIVIA</t>
  </si>
  <si>
    <t>90000425</t>
  </si>
  <si>
    <t>90000242</t>
  </si>
  <si>
    <t>5-3455</t>
  </si>
  <si>
    <t>3455</t>
  </si>
  <si>
    <t>5000083</t>
  </si>
  <si>
    <t>GMO MALL PLAZA NORTE AV. AMÉRICO VESPUCIO N°1737. LOCALES 1128 - 1132 HUECHURABA</t>
  </si>
  <si>
    <t>90000426</t>
  </si>
  <si>
    <t>90000243</t>
  </si>
  <si>
    <t>5-3463</t>
  </si>
  <si>
    <t>3463</t>
  </si>
  <si>
    <t>5000086</t>
  </si>
  <si>
    <t>GMO MALL PLAZA TOBALABA AV. CAMILO HENRÍQUEZ N°3692. LOCALES B-142 7 B-146 PUENT</t>
  </si>
  <si>
    <t>90000429</t>
  </si>
  <si>
    <t>90000246</t>
  </si>
  <si>
    <t>5-3415</t>
  </si>
  <si>
    <t>3415</t>
  </si>
  <si>
    <t>5000088</t>
  </si>
  <si>
    <t>GMO MALL PLAZA VESPUCIO II AV. VICUÑA MACKENNA ORIENTE N°7110. LOCALES 302-A/302</t>
  </si>
  <si>
    <t>90000431</t>
  </si>
  <si>
    <t>90000248</t>
  </si>
  <si>
    <t>5-3564</t>
  </si>
  <si>
    <t>3564</t>
  </si>
  <si>
    <t>5000089</t>
  </si>
  <si>
    <t>90000432</t>
  </si>
  <si>
    <t>90000249</t>
  </si>
  <si>
    <t>5-3978</t>
  </si>
  <si>
    <t>REEMPLAZO 5-274</t>
  </si>
  <si>
    <t>5000091</t>
  </si>
  <si>
    <t>90000434</t>
  </si>
  <si>
    <t>90000251</t>
  </si>
  <si>
    <t>5-3884</t>
  </si>
  <si>
    <t>REEMPLAZO 5-269</t>
  </si>
  <si>
    <t>5000092</t>
  </si>
  <si>
    <t>90000435</t>
  </si>
  <si>
    <t>90000252</t>
  </si>
  <si>
    <t>5-3558</t>
  </si>
  <si>
    <t>REEMPLAZO 5-260</t>
  </si>
  <si>
    <t>5000093</t>
  </si>
  <si>
    <t>GMO PUNTA ARENAS CALLE CALLE BORIES N°952 PUNTA ARENAS</t>
  </si>
  <si>
    <t>90000253</t>
  </si>
  <si>
    <t>5-3846</t>
  </si>
  <si>
    <t>3846</t>
  </si>
  <si>
    <t>5000095</t>
  </si>
  <si>
    <t>90000436</t>
  </si>
  <si>
    <t>90000255</t>
  </si>
  <si>
    <t>5-3474</t>
  </si>
  <si>
    <t>REEMPLAZO 5-287</t>
  </si>
  <si>
    <t>5000096</t>
  </si>
  <si>
    <t>GMO TEMUCO I MANUEL BULNES N°392. LOCAL 4 TEMUCO</t>
  </si>
  <si>
    <t>90000437</t>
  </si>
  <si>
    <t>90000256</t>
  </si>
  <si>
    <t>5-3438</t>
  </si>
  <si>
    <t>3438</t>
  </si>
  <si>
    <t>90000438</t>
  </si>
  <si>
    <t>90000257</t>
  </si>
  <si>
    <t>5-3529</t>
  </si>
  <si>
    <t>84</t>
  </si>
  <si>
    <t>REEMPLAZO 5-233</t>
  </si>
  <si>
    <t>5000101</t>
  </si>
  <si>
    <t>SUNGLASS HUT AEROPUERTO SANTIAGO AEROPUERTO ARTURO MERINO BENITEZ DE SANTIAGO. L</t>
  </si>
  <si>
    <t>90000442</t>
  </si>
  <si>
    <t>90000261</t>
  </si>
  <si>
    <t>5-5867</t>
  </si>
  <si>
    <t>5867</t>
  </si>
  <si>
    <t>5000102</t>
  </si>
  <si>
    <t>SUNGLASS HUT MALL ALTO LAS CONDES AV. KENNEDY N°9001. LOCAL 3060 LAS CONDES</t>
  </si>
  <si>
    <t>90000443</t>
  </si>
  <si>
    <t>90000262</t>
  </si>
  <si>
    <t>5-5845</t>
  </si>
  <si>
    <t>REEMPLAZO 5-256</t>
  </si>
  <si>
    <t>5000106</t>
  </si>
  <si>
    <t>SUNGLASS HUT MALL CASA COSTANERA NUEVA COSTANERA N°3900. LOCAL TM208 VITACURA</t>
  </si>
  <si>
    <t>90000446</t>
  </si>
  <si>
    <t>90000266</t>
  </si>
  <si>
    <t>5-6513</t>
  </si>
  <si>
    <t>6513</t>
  </si>
  <si>
    <t>5000107</t>
  </si>
  <si>
    <t>90000447</t>
  </si>
  <si>
    <t>90000267</t>
  </si>
  <si>
    <t>5-5795</t>
  </si>
  <si>
    <t>REEMPLAZO 5-244</t>
  </si>
  <si>
    <t>5000111</t>
  </si>
  <si>
    <t>SUNGLASS HUT MALL PLAZA DE LAS AMERICAS IQUIQUE AV. HÉROES DE LA CONCEPCIÓN N°25</t>
  </si>
  <si>
    <t>90000271</t>
  </si>
  <si>
    <t>5-6502</t>
  </si>
  <si>
    <t>6502</t>
  </si>
  <si>
    <t>5000112</t>
  </si>
  <si>
    <t>SUNGLASS HUT MALL PLAZA LA SERENA AV. ALBERTO SOLARI N°1400. LOCAL C-125 LA SERE</t>
  </si>
  <si>
    <t>90000451</t>
  </si>
  <si>
    <t>90000272</t>
  </si>
  <si>
    <t>5-6503</t>
  </si>
  <si>
    <t>6503</t>
  </si>
  <si>
    <t>5000113</t>
  </si>
  <si>
    <t>SUNGLASS HUT MALL PLAZA OESTE AV. AMÉRICO VESPUCIO N°1501. LOCAL BA-156 CERRILLO</t>
  </si>
  <si>
    <t>90000273</t>
  </si>
  <si>
    <t>5-6507</t>
  </si>
  <si>
    <t>6507</t>
  </si>
  <si>
    <t>5000114</t>
  </si>
  <si>
    <t>SUNGLASS HUT MALL PLAZA VESPUCIO AV. VICUÑA MACKENNA ORIENTE N°7110. LOCAL 279 L</t>
  </si>
  <si>
    <t>90000452</t>
  </si>
  <si>
    <t>90000274</t>
  </si>
  <si>
    <t>5-5822</t>
  </si>
  <si>
    <t>58</t>
  </si>
  <si>
    <t>5822</t>
  </si>
  <si>
    <t>5000116</t>
  </si>
  <si>
    <t>SUNGLASS HUT AEROPUERTO CALAMA AEROPUERTO EL LOA DE CALAMA. UBICADO EN EL LADO A</t>
  </si>
  <si>
    <t>90000454</t>
  </si>
  <si>
    <t>90000276</t>
  </si>
  <si>
    <t>5-6521</t>
  </si>
  <si>
    <t>6521</t>
  </si>
  <si>
    <t>5000117</t>
  </si>
  <si>
    <t>SUNGLASS HUT MALL PLAZA NORTE AV. AMÉRICO VESPUCIO N°1737. LOCAL P-2269 HUECHURA</t>
  </si>
  <si>
    <t>90000455</t>
  </si>
  <si>
    <t>90000277</t>
  </si>
  <si>
    <t>5-6514</t>
  </si>
  <si>
    <t>REEMPLAZO 5-228</t>
  </si>
  <si>
    <t>5000118</t>
  </si>
  <si>
    <t>SUNGLASS HUT MALL PLAZA VESPUCIO II AV. VICUÑA MACKENNA ORIENTE N°7110. LOCAL N°</t>
  </si>
  <si>
    <t>90000278</t>
  </si>
  <si>
    <t>5-6518</t>
  </si>
  <si>
    <t>6518</t>
  </si>
  <si>
    <t>5000119</t>
  </si>
  <si>
    <t>SUNGLASS HUT MALL PLAZA EL TREBOL AV. JORGE ALESSANDRI N°3177. LOCAL C-132 TALCA</t>
  </si>
  <si>
    <t>90000456</t>
  </si>
  <si>
    <t>90000279</t>
  </si>
  <si>
    <t>5-6531</t>
  </si>
  <si>
    <t>6531</t>
  </si>
  <si>
    <t>5000120</t>
  </si>
  <si>
    <t>SUNGLASS HUT MALL FLORIDA CENTER AV. VICUÑA MACKENNA N°6100. LOCAL 1069 LA FLORI</t>
  </si>
  <si>
    <t>90000457</t>
  </si>
  <si>
    <t>90000280</t>
  </si>
  <si>
    <t>5-6535</t>
  </si>
  <si>
    <t>REEMPLAZO 5-259</t>
  </si>
  <si>
    <t>5000121</t>
  </si>
  <si>
    <t>90000458</t>
  </si>
  <si>
    <t>90000281</t>
  </si>
  <si>
    <t>1-8137040</t>
  </si>
  <si>
    <t>180</t>
  </si>
  <si>
    <t>REEMPLAZADO 5-0145</t>
  </si>
  <si>
    <t>5000123</t>
  </si>
  <si>
    <t>GMO MALL CASA COSTANERA AV. NUEVA COSTANERA N°3900. LOCAL TM228 LAS CONDES</t>
  </si>
  <si>
    <t>90000505</t>
  </si>
  <si>
    <t>90000283</t>
  </si>
  <si>
    <t>5-3990</t>
  </si>
  <si>
    <t>3990</t>
  </si>
  <si>
    <t>Arriendo variable</t>
  </si>
  <si>
    <t>5000125</t>
  </si>
  <si>
    <t>SUNGLASS HUT PROVIDENCIA AV. PROVIDENCIA N°2103 LOCAL 4 PROVIDENCIA</t>
  </si>
  <si>
    <t>90000285</t>
  </si>
  <si>
    <t>5-8624</t>
  </si>
  <si>
    <t>8624</t>
  </si>
  <si>
    <t>5000126</t>
  </si>
  <si>
    <t>SUNGLASS HUT MALL PLAZA TOBALABA AV. CAMILO HENRÍQUEZ N°3692. LOCALES C-169/C-16</t>
  </si>
  <si>
    <t>90000461</t>
  </si>
  <si>
    <t>90000286</t>
  </si>
  <si>
    <t>5-6539</t>
  </si>
  <si>
    <t>6539</t>
  </si>
  <si>
    <t>5000128</t>
  </si>
  <si>
    <t>SUNGLASS HUT HOTEL W AV. ISIDORA GOYENECHEA N°3000. LOCAL 106-C LAS CONDES</t>
  </si>
  <si>
    <t>90000463</t>
  </si>
  <si>
    <t>90000288</t>
  </si>
  <si>
    <t>5-8621</t>
  </si>
  <si>
    <t>8621</t>
  </si>
  <si>
    <t>5000129</t>
  </si>
  <si>
    <t>90000464</t>
  </si>
  <si>
    <t>90000289</t>
  </si>
  <si>
    <t>5-8696</t>
  </si>
  <si>
    <t>REEMPLAZO 5-271</t>
  </si>
  <si>
    <t>5000130</t>
  </si>
  <si>
    <t>SUNGALSS HUT AGUSTINAS AGUSTINAS N°961 SANTIAGO</t>
  </si>
  <si>
    <t>90000465</t>
  </si>
  <si>
    <t>90000290</t>
  </si>
  <si>
    <t>5-8748</t>
  </si>
  <si>
    <t>8748</t>
  </si>
  <si>
    <t>5000131</t>
  </si>
  <si>
    <t>GMO ALTO PEÑALOLEN CONSISTORIAL N°2100. LOTE 3 LOCAL 118 PEÑALOLEN</t>
  </si>
  <si>
    <t>90000466</t>
  </si>
  <si>
    <t>90000291</t>
  </si>
  <si>
    <t>5-8725</t>
  </si>
  <si>
    <t>8725</t>
  </si>
  <si>
    <t>5000132</t>
  </si>
  <si>
    <t>SUNGLASS HUT AEROPUERTO LA SERENA AERODROMO LA FLORIDA DE LA SERENA IV REGIÓN CO</t>
  </si>
  <si>
    <t>90000467</t>
  </si>
  <si>
    <t>90000292</t>
  </si>
  <si>
    <t>5-6936</t>
  </si>
  <si>
    <t>8939</t>
  </si>
  <si>
    <t>5000133</t>
  </si>
  <si>
    <t>90000468</t>
  </si>
  <si>
    <t>90000293</t>
  </si>
  <si>
    <t>5-8940</t>
  </si>
  <si>
    <t>REEMPLAZO 5-283</t>
  </si>
  <si>
    <t>5000136</t>
  </si>
  <si>
    <t>90000471</t>
  </si>
  <si>
    <t>90000296</t>
  </si>
  <si>
    <t>5-8966</t>
  </si>
  <si>
    <t>REEMPLAZO 5-248</t>
  </si>
  <si>
    <t>5000137</t>
  </si>
  <si>
    <t>GMO LOS DOMINICOS AV. PADRE HURATDO SUR N° 875 LOCAL D-2028 LAS CONDES</t>
  </si>
  <si>
    <t>90000472</t>
  </si>
  <si>
    <t>90000297</t>
  </si>
  <si>
    <t>5-8967</t>
  </si>
  <si>
    <t>8967</t>
  </si>
  <si>
    <t>5000140</t>
  </si>
  <si>
    <t>90000475</t>
  </si>
  <si>
    <t>90000300</t>
  </si>
  <si>
    <t>5-9093</t>
  </si>
  <si>
    <t>REEMPLAZO 5-250</t>
  </si>
  <si>
    <t>5000141</t>
  </si>
  <si>
    <t>SUNGLASS HUT AEROPUERTO NACIONAL CALLE ARMANDO CORTINEZ NORTE N°11501 LOCAL 800-</t>
  </si>
  <si>
    <t>90000476</t>
  </si>
  <si>
    <t>90000301</t>
  </si>
  <si>
    <t>5-9087</t>
  </si>
  <si>
    <t>55</t>
  </si>
  <si>
    <t>9087</t>
  </si>
  <si>
    <t>VARIABLE</t>
  </si>
  <si>
    <t>5000144</t>
  </si>
  <si>
    <t>GMO MALL PASEO ROSS VALPARAISO AV. ARGENTINA N° 540 LOCAL 208 VALPARAISO</t>
  </si>
  <si>
    <t>90000479</t>
  </si>
  <si>
    <t>90000304</t>
  </si>
  <si>
    <t>5-9237</t>
  </si>
  <si>
    <t>9237</t>
  </si>
  <si>
    <t>5000145</t>
  </si>
  <si>
    <t>GMO MALL PLAZA VESPUCIO III AV. VICUÑA MACKENNA ORIENTE N°7110 LOCALES 404-405-4</t>
  </si>
  <si>
    <t>90000480</t>
  </si>
  <si>
    <t>90000305</t>
  </si>
  <si>
    <t>5-9244</t>
  </si>
  <si>
    <t>9244</t>
  </si>
  <si>
    <t>5000147</t>
  </si>
  <si>
    <t>90000482</t>
  </si>
  <si>
    <t>90000307</t>
  </si>
  <si>
    <t>5-9358</t>
  </si>
  <si>
    <t>REEMPLAZO 5-239</t>
  </si>
  <si>
    <t>5000148</t>
  </si>
  <si>
    <t>SUNGLASS HUT PATIO BELLAVISTA CALLE DARDIGNAC N°63 HOY 65 LOCAL 7 PROVIDENCIA</t>
  </si>
  <si>
    <t>90000308</t>
  </si>
  <si>
    <t>5-9398</t>
  </si>
  <si>
    <t>9398</t>
  </si>
  <si>
    <t>5000149</t>
  </si>
  <si>
    <t>CENTRO ÓPTICO PASEO ROSS VALPARAISO AV. ARGENTINA N°540 LOCAL 206 VALPARAISO</t>
  </si>
  <si>
    <t>90000483</t>
  </si>
  <si>
    <t>90000309</t>
  </si>
  <si>
    <t>5-9607</t>
  </si>
  <si>
    <t>9519</t>
  </si>
  <si>
    <t>5000152</t>
  </si>
  <si>
    <t>GMO LIDER PUNTA ARENAS AV. EDUARDO FREI MONTALVA. LOCALES 124. 126 Y 128 PUNTA A</t>
  </si>
  <si>
    <t>90000485</t>
  </si>
  <si>
    <t>90000312</t>
  </si>
  <si>
    <t>5-8472</t>
  </si>
  <si>
    <t>8472</t>
  </si>
  <si>
    <t>5000153</t>
  </si>
  <si>
    <t>GMO COYHAIQUE CALLE ARTURO PRAT N°455 COYHAIQUE</t>
  </si>
  <si>
    <t>90000504</t>
  </si>
  <si>
    <t>90000313</t>
  </si>
  <si>
    <t>5-3522</t>
  </si>
  <si>
    <t>3522</t>
  </si>
  <si>
    <t>5000154</t>
  </si>
  <si>
    <t>GMO MONEDA MONEDA N°1031 SANTIAGO</t>
  </si>
  <si>
    <t>90000486</t>
  </si>
  <si>
    <t>90000314</t>
  </si>
  <si>
    <t>5-3397</t>
  </si>
  <si>
    <t>3397</t>
  </si>
  <si>
    <t>5000156</t>
  </si>
  <si>
    <t>GMO MALL INDEPENDENCIA INDEPENDENCIA N° 565 LOCAL N° TM-136 INDEPENDENCIA</t>
  </si>
  <si>
    <t>90000488</t>
  </si>
  <si>
    <t>90000316</t>
  </si>
  <si>
    <t>5-9149</t>
  </si>
  <si>
    <t>9149</t>
  </si>
  <si>
    <t>5000157</t>
  </si>
  <si>
    <t>ECO MALL INDEPENDENCIA INDEPENDENCIA 565 LOCAL 229 INDEPENDENCIA</t>
  </si>
  <si>
    <t>90000489</t>
  </si>
  <si>
    <t>90000317</t>
  </si>
  <si>
    <t>5-9148</t>
  </si>
  <si>
    <t>9148</t>
  </si>
  <si>
    <t>REEMPLAZO 5-275</t>
  </si>
  <si>
    <t>5000160</t>
  </si>
  <si>
    <t>SUNGLASS HUT AEROPUERTO INTERNACIONAL ESPIGON C</t>
  </si>
  <si>
    <t>90000328</t>
  </si>
  <si>
    <t>5-9520</t>
  </si>
  <si>
    <t>9520</t>
  </si>
  <si>
    <t>5000161</t>
  </si>
  <si>
    <t>9635-SUNGLAS HUT AEROPUERTO PUERTO MONTT</t>
  </si>
  <si>
    <t>90000330</t>
  </si>
  <si>
    <t>5-9635</t>
  </si>
  <si>
    <t>9635</t>
  </si>
  <si>
    <t>5000162</t>
  </si>
  <si>
    <t>879-GMO ARAUCO QUILICURA-T146</t>
  </si>
  <si>
    <t>90000329</t>
  </si>
  <si>
    <t>5-3879</t>
  </si>
  <si>
    <t>3879</t>
  </si>
  <si>
    <t>5000164</t>
  </si>
  <si>
    <t>GMO LA SERENA CALLE ARTURO PRAT N°562 LA SERENA</t>
  </si>
  <si>
    <t>90000353</t>
  </si>
  <si>
    <t>5-C957</t>
  </si>
  <si>
    <t>C957</t>
  </si>
  <si>
    <t>5000165</t>
  </si>
  <si>
    <t>RAY BAN AEROPUERTO INTERNACIONAL ESPIGON C CALLE JEAN MERMOZ N°2150, LOTEO AEROP</t>
  </si>
  <si>
    <t>90000334</t>
  </si>
  <si>
    <t>9607</t>
  </si>
  <si>
    <t>5000166</t>
  </si>
  <si>
    <t>9637-RAY BAN ALTO LAS CONDES-R004 AV. KENNEDY N°9001 LOCAL 1031</t>
  </si>
  <si>
    <t>90000335</t>
  </si>
  <si>
    <t>5-9637</t>
  </si>
  <si>
    <t>REEMPLAZO 5-254</t>
  </si>
  <si>
    <t>5000167</t>
  </si>
  <si>
    <t>ECONOPTICAS MALL PLAZA LOS ANGELES</t>
  </si>
  <si>
    <t>90000355</t>
  </si>
  <si>
    <t>5-4838</t>
  </si>
  <si>
    <t>4838</t>
  </si>
  <si>
    <t>5000168</t>
  </si>
  <si>
    <t>90000357</t>
  </si>
  <si>
    <t>5-A552</t>
  </si>
  <si>
    <t>REEMPLAZO 5-264</t>
  </si>
  <si>
    <t>5000170</t>
  </si>
  <si>
    <t>5673 ECONOPTICAS LIDER PUNTA ARENAS AV. ED FREI MONT 110 L108 /110 V86</t>
  </si>
  <si>
    <t>90000359</t>
  </si>
  <si>
    <t>5-5673</t>
  </si>
  <si>
    <t>5673</t>
  </si>
  <si>
    <t>REEMPLAZO 5-243</t>
  </si>
  <si>
    <t>5000171</t>
  </si>
  <si>
    <t>A604-OPV_O.PV PUNTA ARENAS</t>
  </si>
  <si>
    <t>90000509</t>
  </si>
  <si>
    <t>5-A604</t>
  </si>
  <si>
    <t>A604</t>
  </si>
  <si>
    <t>5000173</t>
  </si>
  <si>
    <t>F174-OPV_O.PV AHUMADA</t>
  </si>
  <si>
    <t>90000511</t>
  </si>
  <si>
    <t>5-F174</t>
  </si>
  <si>
    <t>F174</t>
  </si>
  <si>
    <t>5000176</t>
  </si>
  <si>
    <t>F177-OPV_O.PV LOCAL ANTOFAGASTA CEN</t>
  </si>
  <si>
    <t>90000514</t>
  </si>
  <si>
    <t>5-F177</t>
  </si>
  <si>
    <t>47</t>
  </si>
  <si>
    <t>F177</t>
  </si>
  <si>
    <t>5000179</t>
  </si>
  <si>
    <t>F179-OPV_O.PV MALL APUMANQUE B</t>
  </si>
  <si>
    <t>90000517</t>
  </si>
  <si>
    <t>5-F1792</t>
  </si>
  <si>
    <t>283</t>
  </si>
  <si>
    <t>REEMPLAZO 5-178</t>
  </si>
  <si>
    <t>5000180</t>
  </si>
  <si>
    <t>F180-OPV_O.PV MALL PARQUE ARAUCO</t>
  </si>
  <si>
    <t>90000518</t>
  </si>
  <si>
    <t>5-F180</t>
  </si>
  <si>
    <t>74</t>
  </si>
  <si>
    <t>F180</t>
  </si>
  <si>
    <t>5000185</t>
  </si>
  <si>
    <t>F185-OPV_O.PV CHILLAN</t>
  </si>
  <si>
    <t>90000523</t>
  </si>
  <si>
    <t>5-F185</t>
  </si>
  <si>
    <t>88</t>
  </si>
  <si>
    <t>F185</t>
  </si>
  <si>
    <t>5000186</t>
  </si>
  <si>
    <t>90000524</t>
  </si>
  <si>
    <t>5-F186</t>
  </si>
  <si>
    <t>REEMPLAZO 5-272</t>
  </si>
  <si>
    <t>5000188</t>
  </si>
  <si>
    <t>F188-OPV_O.PV PORTAL LA DEHESA</t>
  </si>
  <si>
    <t>90000526</t>
  </si>
  <si>
    <t>5-F188</t>
  </si>
  <si>
    <t>F188</t>
  </si>
  <si>
    <t>REEMPLAZO 5-235</t>
  </si>
  <si>
    <t>5000190</t>
  </si>
  <si>
    <t>F190-OPV_O.PV LOCAL ISAPRE FUNDACIO</t>
  </si>
  <si>
    <t>90000528</t>
  </si>
  <si>
    <t>5-F190</t>
  </si>
  <si>
    <t>F190</t>
  </si>
  <si>
    <t>5000191</t>
  </si>
  <si>
    <t>F191-OPV_O.PV HOSMIL SANTIAGO</t>
  </si>
  <si>
    <t>90000529</t>
  </si>
  <si>
    <t>5-F191</t>
  </si>
  <si>
    <t>85</t>
  </si>
  <si>
    <t>F191</t>
  </si>
  <si>
    <t>5000192</t>
  </si>
  <si>
    <t>90000530</t>
  </si>
  <si>
    <t>5-F192</t>
  </si>
  <si>
    <t>73</t>
  </si>
  <si>
    <t>REEMPLAZO 5-279</t>
  </si>
  <si>
    <t>5000197</t>
  </si>
  <si>
    <t>F198-OPV_O.PV OSORNO</t>
  </si>
  <si>
    <t>90000535</t>
  </si>
  <si>
    <t>5-F198</t>
  </si>
  <si>
    <t>F198</t>
  </si>
  <si>
    <t>5000199</t>
  </si>
  <si>
    <t>F200-OPV_O.PV LOCAL PROVIDENCIA</t>
  </si>
  <si>
    <t>90000537</t>
  </si>
  <si>
    <t>5-F200</t>
  </si>
  <si>
    <t>F200</t>
  </si>
  <si>
    <t>CESADO 2024 - Notice 27.02.2024 // Tienda cerrada</t>
  </si>
  <si>
    <t>90000541</t>
  </si>
  <si>
    <t>5-F204</t>
  </si>
  <si>
    <t>128</t>
  </si>
  <si>
    <t>REEMPLAZO 5-234</t>
  </si>
  <si>
    <t>5000207</t>
  </si>
  <si>
    <t>90000545</t>
  </si>
  <si>
    <t>5-F208</t>
  </si>
  <si>
    <t>136</t>
  </si>
  <si>
    <t>REEMPLAZO 5-267</t>
  </si>
  <si>
    <t>5000208</t>
  </si>
  <si>
    <t>F209-OPV_O.PV LOCAL ARICA</t>
  </si>
  <si>
    <t>90000546</t>
  </si>
  <si>
    <t>5-F209</t>
  </si>
  <si>
    <t>F209</t>
  </si>
  <si>
    <t>5000210</t>
  </si>
  <si>
    <t>90000548</t>
  </si>
  <si>
    <t>5-F211</t>
  </si>
  <si>
    <t>62</t>
  </si>
  <si>
    <t>REEMPLAZO 5-249</t>
  </si>
  <si>
    <t>5000211</t>
  </si>
  <si>
    <t>F212-OPV_O.PV LOS DOMINICOS</t>
  </si>
  <si>
    <t>90000549</t>
  </si>
  <si>
    <t>5-F212</t>
  </si>
  <si>
    <t>F212</t>
  </si>
  <si>
    <t>5000213</t>
  </si>
  <si>
    <t>F214-OPV_O.PV VIVO IMPERIO</t>
  </si>
  <si>
    <t>90000551</t>
  </si>
  <si>
    <t>5-F214</t>
  </si>
  <si>
    <t>F214</t>
  </si>
  <si>
    <t>5000214</t>
  </si>
  <si>
    <t>F215-OPV_O.PV IQUIQUE</t>
  </si>
  <si>
    <t>90000552</t>
  </si>
  <si>
    <t>5-F215</t>
  </si>
  <si>
    <t>F215</t>
  </si>
  <si>
    <t>5000217</t>
  </si>
  <si>
    <t>F218-OPV_O.PV VALDIVIA</t>
  </si>
  <si>
    <t>90000555</t>
  </si>
  <si>
    <t>5-F218</t>
  </si>
  <si>
    <t>F218</t>
  </si>
  <si>
    <t>5000218</t>
  </si>
  <si>
    <t>90000556</t>
  </si>
  <si>
    <t>5-F219</t>
  </si>
  <si>
    <t>REEMPLAZO 5-242</t>
  </si>
  <si>
    <t>5000219</t>
  </si>
  <si>
    <t>F172-GMO PARQUE ARAUCO II AV. KENNEDY NÂ°5413 LOCAL 422 PENDIENTE ADENDA</t>
  </si>
  <si>
    <t>90000561</t>
  </si>
  <si>
    <t>5-F172</t>
  </si>
  <si>
    <t>46</t>
  </si>
  <si>
    <t>F172</t>
  </si>
  <si>
    <t>5000220</t>
  </si>
  <si>
    <t>F214-OPV_O.PV VIVO IMPERIO BODEGA</t>
  </si>
  <si>
    <t>90000558</t>
  </si>
  <si>
    <t>5000243</t>
  </si>
  <si>
    <t>5-0170</t>
  </si>
  <si>
    <t>5000275</t>
  </si>
  <si>
    <t>8138 - GMO Peru</t>
  </si>
  <si>
    <t>Tipo FP</t>
  </si>
  <si>
    <t>Tipo GC</t>
  </si>
  <si>
    <t>8138053</t>
  </si>
  <si>
    <t>8138</t>
  </si>
  <si>
    <t>GMO PLAZA SAN MIGUEL AV. LA MARINA CON AV. UNIVERSITARIA. TIENDA N° 003-004. C.C</t>
  </si>
  <si>
    <t>PEN</t>
  </si>
  <si>
    <t>6936</t>
  </si>
  <si>
    <t>Monto</t>
  </si>
  <si>
    <t>GMO CHACARILLA CAL. MONTERREY CDRA. 2 S/N TIENDA N° 24 - C.C. CAMINOS DEL INCA S</t>
  </si>
  <si>
    <t>90000003</t>
  </si>
  <si>
    <t>5-6938</t>
  </si>
  <si>
    <t>6938</t>
  </si>
  <si>
    <t>6945</t>
  </si>
  <si>
    <t>10% sobre RF</t>
  </si>
  <si>
    <t>GMO METRO LIMATAMBO AV. ANGAMOS ESTE N° 2681 LOCAL LM-08/LM-09 SAN BORJA</t>
  </si>
  <si>
    <t>5-6947</t>
  </si>
  <si>
    <t>6947</t>
  </si>
  <si>
    <t>1% sobre las vta</t>
  </si>
  <si>
    <t>5000012</t>
  </si>
  <si>
    <t>GMO METRO CANADA AV. CANADA N° 1110 LOCAL N° 1024. URB. SANTA CATALINA LA VICTOR</t>
  </si>
  <si>
    <t>90000012</t>
  </si>
  <si>
    <t>5-6949</t>
  </si>
  <si>
    <t>6949</t>
  </si>
  <si>
    <t>GMO PLAZA DEL SOL PIURA CALLE CUZCO N° 801 LOCAL L-013 PIURA</t>
  </si>
  <si>
    <t>5-6956</t>
  </si>
  <si>
    <t>6956</t>
  </si>
  <si>
    <t>GMO HUANCAVELICA 1 JR. HUANCAVELICA N° 258 LIMA</t>
  </si>
  <si>
    <t>90000332</t>
  </si>
  <si>
    <t>90000022</t>
  </si>
  <si>
    <t>5-6963</t>
  </si>
  <si>
    <t>6963</t>
  </si>
  <si>
    <t>GMO METRO GARZÓN GENERAL GARZON N° 1337. LOCAL N° 1114 JESUS MARIA</t>
  </si>
  <si>
    <t>90000023</t>
  </si>
  <si>
    <t>5-6964</t>
  </si>
  <si>
    <t>6964</t>
  </si>
  <si>
    <t>GMO ANGAMOS AV. ANGAMOS ESTE N° 729 SURQUILLO</t>
  </si>
  <si>
    <t>90000024</t>
  </si>
  <si>
    <t>5-6965</t>
  </si>
  <si>
    <t>6965</t>
  </si>
  <si>
    <t>GMO MERCADERES CALLE MERCADERES N° 308 Y 308-A AREQUIPA</t>
  </si>
  <si>
    <t>90000336</t>
  </si>
  <si>
    <t>90000026</t>
  </si>
  <si>
    <t>5-6967</t>
  </si>
  <si>
    <t>6967</t>
  </si>
  <si>
    <t>GMO SAN MARTIN CALLE SAN MARTIN N° 636 TACNA</t>
  </si>
  <si>
    <t>90000337</t>
  </si>
  <si>
    <t>90000027</t>
  </si>
  <si>
    <t>5-6968</t>
  </si>
  <si>
    <t>6968</t>
  </si>
  <si>
    <t>GMO ELIAS AGUIRRE CALLE ELIAS AGUIRRE N° 584 -588 CHICLAYO</t>
  </si>
  <si>
    <t>90000028</t>
  </si>
  <si>
    <t>5-6969</t>
  </si>
  <si>
    <t>6969</t>
  </si>
  <si>
    <t>GMO ZARATE AV. GRAN CHIMU N° 389. SECCION N° 04. URB. ZARATE SAN JUAN DE LURIGAN</t>
  </si>
  <si>
    <t>90000029</t>
  </si>
  <si>
    <t>5-6970</t>
  </si>
  <si>
    <t>6970</t>
  </si>
  <si>
    <t>GMO EL QUINDE CAJAMARCA JR. SOR MANUELA GIL N° 151. LC-318 Y LC-320 - C.C. EL QU</t>
  </si>
  <si>
    <t>5-6971</t>
  </si>
  <si>
    <t>6971</t>
  </si>
  <si>
    <t>GMO LARCO 2 AV. LARCO N° 733 MIRAFLORES</t>
  </si>
  <si>
    <t>90000031</t>
  </si>
  <si>
    <t>5-6972</t>
  </si>
  <si>
    <t>6972</t>
  </si>
  <si>
    <t>GMO HORACIO URTEAGA AV. HORACIO URTEAGA N° 1315 JESUS MARIA</t>
  </si>
  <si>
    <t>90000032</t>
  </si>
  <si>
    <t>5-6973</t>
  </si>
  <si>
    <t>6973</t>
  </si>
  <si>
    <t>GMO METRO COMAS AV. TUPAC AMARU N° 3900. URB. LA PASCANA LOCAL 1104 COMAS</t>
  </si>
  <si>
    <t>90000033</t>
  </si>
  <si>
    <t>5-6974</t>
  </si>
  <si>
    <t>6974</t>
  </si>
  <si>
    <t>GMO RAUL FERRERO AV. RAUL FERRERO N° 1350 LA MOLINA</t>
  </si>
  <si>
    <t>90000034</t>
  </si>
  <si>
    <t>5-6975</t>
  </si>
  <si>
    <t>6975</t>
  </si>
  <si>
    <t>GMO LARCOMAR AV. MALECON DE LA RESERVA N° 610 LOCAL 317 - C.C. LARCOMAR MIRAFLOR</t>
  </si>
  <si>
    <t>5-6976</t>
  </si>
  <si>
    <t>6976</t>
  </si>
  <si>
    <t>GMO LINCE 2 AV. JUAN PARDO DE ZELA N° 409-411 LINCE</t>
  </si>
  <si>
    <t>90000036</t>
  </si>
  <si>
    <t>5-6978</t>
  </si>
  <si>
    <t>6978</t>
  </si>
  <si>
    <t>GMO SANCHEZ CERRO - PIURA AV. SANCHEZ CERRO N° 667 PIURA PIURA</t>
  </si>
  <si>
    <t>90000038</t>
  </si>
  <si>
    <t>5-6980</t>
  </si>
  <si>
    <t>6980</t>
  </si>
  <si>
    <t>GMO CMDT. ESPINAR AV. COMANDANTE ESPINAR 349 LIMA LIMA MIRAFLORES MIRAFLORES</t>
  </si>
  <si>
    <t>90000039</t>
  </si>
  <si>
    <t>5-6981</t>
  </si>
  <si>
    <t>6981</t>
  </si>
  <si>
    <t>GMO BOLIVAR CAL. BOLIVAR 574 B2T3 (TDA B2-T3.PRIMER PISO INTERNO.) LA LIBERTAD T</t>
  </si>
  <si>
    <t>90000040</t>
  </si>
  <si>
    <t>5-6982</t>
  </si>
  <si>
    <t>6982</t>
  </si>
  <si>
    <t>GMO CARLOS IZAGUIRRE 1 AV. CARLOS A. IZAGUIRRE N° 415 URB.PANAMERICANA NORTE LOS</t>
  </si>
  <si>
    <t>90000041</t>
  </si>
  <si>
    <t>5-6983</t>
  </si>
  <si>
    <t>6983</t>
  </si>
  <si>
    <t>GMO PASEO DE LA BREÑA HUANCAYO AV.PASEO LA BREÑA N° 125 Y133. LOCAL COMERCIAL 10</t>
  </si>
  <si>
    <t>90000043</t>
  </si>
  <si>
    <t>5-6985</t>
  </si>
  <si>
    <t>6985</t>
  </si>
  <si>
    <t>GMO REAL PLAZA TRUJILLO AV. CESAR VALLEJO OESTE N° 1345. LOCAL LC-105 TRUJILLO</t>
  </si>
  <si>
    <t>90000354</t>
  </si>
  <si>
    <t>5-6986</t>
  </si>
  <si>
    <t>6986</t>
  </si>
  <si>
    <t>6991</t>
  </si>
  <si>
    <t>Prorrata</t>
  </si>
  <si>
    <t>GMO PROSPERO JR. PROSPERO N° 472 IQUITOS</t>
  </si>
  <si>
    <t>90000049</t>
  </si>
  <si>
    <t>5-6992</t>
  </si>
  <si>
    <t>6992</t>
  </si>
  <si>
    <t>GMO FALA CHICLAYO AV. VICTOR RAUL HAYA DE LA TORRE N° 250. LOCAL N° LC-05 CHICLA</t>
  </si>
  <si>
    <t>5-6993</t>
  </si>
  <si>
    <t>6993</t>
  </si>
  <si>
    <t>GMO PERAL CALLE PERAL N° 110. TDA 5-6 AREQUIPA</t>
  </si>
  <si>
    <t>90000051</t>
  </si>
  <si>
    <t>5-6994</t>
  </si>
  <si>
    <t>6994</t>
  </si>
  <si>
    <t>GMO MAGDALENA CALLE LEONCIO PRADO N° 704 MAGDALENA DEL MAR</t>
  </si>
  <si>
    <t>90000052</t>
  </si>
  <si>
    <t>5-6997</t>
  </si>
  <si>
    <t>6997</t>
  </si>
  <si>
    <t>GMO LADISLAO JR. LADISLAO ESPINAR N° 595 CHIMBOTE</t>
  </si>
  <si>
    <t>90000055</t>
  </si>
  <si>
    <t>5-7168</t>
  </si>
  <si>
    <t>7168</t>
  </si>
  <si>
    <t>GMO BOLOGNESI AV. BOLOGNESI N° 670 SECCIÓN 02 TACNA</t>
  </si>
  <si>
    <t>90000056</t>
  </si>
  <si>
    <t>5-7169</t>
  </si>
  <si>
    <t>7169</t>
  </si>
  <si>
    <t>GMO DASSO AV. MIGUEL DASSO 108 SAN ISIDRO</t>
  </si>
  <si>
    <t>90000060</t>
  </si>
  <si>
    <t>5-7203</t>
  </si>
  <si>
    <t>7203</t>
  </si>
  <si>
    <t>GMO CARLOS IZAGUIRRE 2 AV. CARLOS A.IZAGUIRRE NRO.785 URB. MERCURIO LOS OLIVOS L</t>
  </si>
  <si>
    <t>90000373</t>
  </si>
  <si>
    <t>90000063</t>
  </si>
  <si>
    <t>5-7218</t>
  </si>
  <si>
    <t>7218</t>
  </si>
  <si>
    <t>GMO METRO ATE AV. LA MOLINA N° 378. LOCAL N° 1140 ATE</t>
  </si>
  <si>
    <t>90000064</t>
  </si>
  <si>
    <t>5-7219</t>
  </si>
  <si>
    <t>7219</t>
  </si>
  <si>
    <t>GMO CANTA CALLAO AV. ELMER FAUCETT Y ALEJANDRO BERTELLO S/N LOCAL N° LC-06 CALLA</t>
  </si>
  <si>
    <t>5-7227</t>
  </si>
  <si>
    <t>7227</t>
  </si>
  <si>
    <t>GMO MALL AVENTURA BELLAVISTA AV. OSCAR R. BENAVIDES 3866. LOCAL N° A-1015 Y A-10</t>
  </si>
  <si>
    <t>5-7231</t>
  </si>
  <si>
    <t>7231</t>
  </si>
  <si>
    <t>GMO METRO LIMA NORTE AV. ALFREDO MENDIOLA N° 1400. C.C. PLAZA NORTE. LOCAL N° 11</t>
  </si>
  <si>
    <t>90000074</t>
  </si>
  <si>
    <t>5-7358</t>
  </si>
  <si>
    <t>7358</t>
  </si>
  <si>
    <t>GMO REAL PLAZA SANTA CLARA AV. LA ESTRELLA N° 133 LOCAL N° LC-102A ATE</t>
  </si>
  <si>
    <t>5-7359</t>
  </si>
  <si>
    <t>7359</t>
  </si>
  <si>
    <t>GMO REAL PLAZA CENTRO CIVICO AV. GARCILAZO DE LA VEGA N° 1310. LOCAL LS- 01 LIMA</t>
  </si>
  <si>
    <t>5-7367</t>
  </si>
  <si>
    <t>7367</t>
  </si>
  <si>
    <t>GMO STRIP CENTER CHORRILLOS AV. ALAMEDA SUR ESQ. AV. SAN MARCOS MZ II. LOCAL 105</t>
  </si>
  <si>
    <t>90000083</t>
  </si>
  <si>
    <t>5-7368</t>
  </si>
  <si>
    <t>7368</t>
  </si>
  <si>
    <t>GMO REAL PLAZA AREQUIPA AV. EJERCITO N° 1009. LOCAL N° LC-211 CAYMA</t>
  </si>
  <si>
    <t>90000214</t>
  </si>
  <si>
    <t>5-7381</t>
  </si>
  <si>
    <t>7381</t>
  </si>
  <si>
    <t>GMO OPEN PLAZA PIURA AV. ANDRES AVELINO CÁCERES N° 147. URB. MIRAFLORES. LOCAL L</t>
  </si>
  <si>
    <t>90000400</t>
  </si>
  <si>
    <t>5-7384</t>
  </si>
  <si>
    <t>7384</t>
  </si>
  <si>
    <t>GMO PLAZA DEL SOL HUACHO CALLE COLÓN N° 601. LOCAL LC-139 HUACHO</t>
  </si>
  <si>
    <t>5-7386</t>
  </si>
  <si>
    <t>7386</t>
  </si>
  <si>
    <t>GMO REAL PLAZA PRIMAVERA AV. ANGAMOS ESTE N° 2681. LOCAL N° 208 SAN BORJA</t>
  </si>
  <si>
    <t>5-7390</t>
  </si>
  <si>
    <t>7390</t>
  </si>
  <si>
    <t>GMO REAL PLAZA PIURA AV. SANCHEZ CERRO N° 234. ZONA INDUSTRIAL ANTIGUA PIURA. LO</t>
  </si>
  <si>
    <t>5-7391</t>
  </si>
  <si>
    <t>7391</t>
  </si>
  <si>
    <t>GMO REAL PLAZA JULIACA JR. TUMBES N° 391. CERCADO PUNO SAN ROMÁN. LOCAL N| 129 J</t>
  </si>
  <si>
    <t>5-7393</t>
  </si>
  <si>
    <t>7393</t>
  </si>
  <si>
    <t>GMO AGUSTINO PLAZA JR. ANCASH N° 2151. LOCAL N° 118 EL AGUSTINO</t>
  </si>
  <si>
    <t>5-7395</t>
  </si>
  <si>
    <t>7395</t>
  </si>
  <si>
    <t>GMO METRO CHACLACAYO AV. NICOLÁS AYLLÓN N° 965. LOCAL N° 1032 CHACLACAYO</t>
  </si>
  <si>
    <t>90000104</t>
  </si>
  <si>
    <t>5-7401</t>
  </si>
  <si>
    <t>7401</t>
  </si>
  <si>
    <t>GMO BAJADA BALTA AV. MALECÓN BALTA N° 650. LOCAL N° 107 MIRAFLORES</t>
  </si>
  <si>
    <t>5-7406</t>
  </si>
  <si>
    <t>7406</t>
  </si>
  <si>
    <t>GMO STRIP CENTER CAÑETE AV. MARISCAL OSCAR BENAVIDES S/N LOTE 01 Y 02. LOCAL L 1</t>
  </si>
  <si>
    <t>5-7420</t>
  </si>
  <si>
    <t>7420</t>
  </si>
  <si>
    <t>GMO STRIP BARRANCA CALLE CASTILLA N° 370. LOCAL L- 108 BARRANCA</t>
  </si>
  <si>
    <t>90000122</t>
  </si>
  <si>
    <t>5-7421</t>
  </si>
  <si>
    <t>7421</t>
  </si>
  <si>
    <t>GMO REAL PLAZA SALAVERRY AV. FELIPE SANTIAGO SALAVERRY CUADRA 24 CRUCE CON AV. P</t>
  </si>
  <si>
    <t>5-7423</t>
  </si>
  <si>
    <t>7423</t>
  </si>
  <si>
    <t>GMO TOTTUS SULLANA AV. PANAMERICANA MZ. 401. URB. SANTA ROSA. LOCAL N° 2 SULLANA</t>
  </si>
  <si>
    <t>5-7428</t>
  </si>
  <si>
    <t>7428</t>
  </si>
  <si>
    <t>GMO PROCERES AV. PROCERES DE LA INDEPENDENCIA N° 1657-1659 PSJ. LOS PELITRES N°</t>
  </si>
  <si>
    <t>90000130</t>
  </si>
  <si>
    <t>5-7430</t>
  </si>
  <si>
    <t>7430</t>
  </si>
  <si>
    <t>GMO LIMA OUTLET AEROPUERTO AV. ELMER FAUCETT N° 3443 C/ CALLE CORPAC N° 142. LOC</t>
  </si>
  <si>
    <t>5-7431</t>
  </si>
  <si>
    <t>7431</t>
  </si>
  <si>
    <t>GMO REAL PLAZA PUCALLPA AV. CENTENARIO MANZANA N° 365. LOTE N° 16. LOCAL N° LC-1</t>
  </si>
  <si>
    <t>5-7434</t>
  </si>
  <si>
    <t>7434</t>
  </si>
  <si>
    <t>GMO LA RAMBLA BRASIL AV. BRASIL N° 714-792. JR. CENTENARIO N° 100 Y AV. JUAN PAB</t>
  </si>
  <si>
    <t>5-7437</t>
  </si>
  <si>
    <t>7437</t>
  </si>
  <si>
    <t>GMO MEGA PLAZA PISCO AV. LAS AMÉRICAS ESQ. CON AV. FERMÍN TANGÜIS. LOCAL L10 PIS</t>
  </si>
  <si>
    <t>90000142</t>
  </si>
  <si>
    <t>5-7443</t>
  </si>
  <si>
    <t>7443</t>
  </si>
  <si>
    <t>GMO OPEN PLAZA HUANUCO JR. DOS DE MAYO S/N. LOCAL LC-12 HUANUCO</t>
  </si>
  <si>
    <t>90000143</t>
  </si>
  <si>
    <t>5-7444</t>
  </si>
  <si>
    <t>7444</t>
  </si>
  <si>
    <t>GMO METRO PROCERES SV. MZ. N-1 LT. 05-APV LOS PINOS. LOCAL N°1132 SAN JUAN DE LU</t>
  </si>
  <si>
    <t>90000144</t>
  </si>
  <si>
    <t>5-7445</t>
  </si>
  <si>
    <t>7445</t>
  </si>
  <si>
    <t>GMO OPEN PLAZA ATOCONGO AV. CIRCUNVALACIÓN N° 1803. LOCAL LC:22 SAN JUAN DE MIRA</t>
  </si>
  <si>
    <t>5-7447</t>
  </si>
  <si>
    <t>7447</t>
  </si>
  <si>
    <t>GMO OUTLET LURIN PARCELA C41 Y ÁREA REMANENTE 1-B. EN EL PREDIO LAS SALINAS. LOC</t>
  </si>
  <si>
    <t>5-8588</t>
  </si>
  <si>
    <t>8588</t>
  </si>
  <si>
    <t>SUNGLASS HUT OUTLET LURIN PARCELA C-41 Y ÁREA REMANENTE 1-B. EN EL PREDIO LAS SA</t>
  </si>
  <si>
    <t>5-8627</t>
  </si>
  <si>
    <t>8627</t>
  </si>
  <si>
    <t>SUNGLASS HUT MALL AVENTURA PLAZA TRUJILLO AMÉRICA OESTE N° 750. URB. EL INGENIO.</t>
  </si>
  <si>
    <t>5-8629</t>
  </si>
  <si>
    <t>8629</t>
  </si>
  <si>
    <t>GMO REAL PLAZA CHORRILLOS (EX ECONO) AV. GUARDIA CIVIL N° 927. LOS FAISANES - UR</t>
  </si>
  <si>
    <t>5-8633</t>
  </si>
  <si>
    <t>8633</t>
  </si>
  <si>
    <t>GMO OPEN PLAZA HUANCAYO AV. FERROCARRIL N° 146 - 150. ESQ. CON PROLONGACIÓN SAN</t>
  </si>
  <si>
    <t>5-8700</t>
  </si>
  <si>
    <t>8700</t>
  </si>
  <si>
    <t>GMO MOQUEGUA AV. CIRCUNVALACIÓN LOTE 1-B. SUBLOTE 1. FUNDO EL GRAMADAL. LOCAL 12</t>
  </si>
  <si>
    <t>5-8701</t>
  </si>
  <si>
    <t>8701</t>
  </si>
  <si>
    <t>SUNGLASS HUT MALL AVENTURA CAYMA AV. EJÉRCITO S/N. LOCAL N° A-1001 CAYMA</t>
  </si>
  <si>
    <t>5-8856</t>
  </si>
  <si>
    <t>8856</t>
  </si>
  <si>
    <t>SUNGLASS HUT REAL PLAZA TRUJILLO AV. CESAR VALLEJO OESTE N° 1345 LOCAL LC 156 TR</t>
  </si>
  <si>
    <t>5-9005</t>
  </si>
  <si>
    <t>9005</t>
  </si>
  <si>
    <t>SUNGLASS HUT OPEN PLAZA PIURA AV. ANDRES AVELINO CACERES N°147 LOCAL LC - 57 URB</t>
  </si>
  <si>
    <t>5-9064</t>
  </si>
  <si>
    <t>9064</t>
  </si>
  <si>
    <t>SUNGLASS HUT INOUTLET FAUCETT AV. ELMER FAUCETT N° 3443 C/ CALLE CORPAC N° 142.</t>
  </si>
  <si>
    <t>5-9066</t>
  </si>
  <si>
    <t>9066</t>
  </si>
  <si>
    <t>GMO PLAZA LIMA SUR 2 AV. PROLONGACION PASEO DE LA REPUBLICA S/N LOCAL LI201B CHO</t>
  </si>
  <si>
    <t>5-9169</t>
  </si>
  <si>
    <t>9169</t>
  </si>
  <si>
    <t>GMO MERCADERES 2 CALLE MERCADERES N° 104 AREQUIPA</t>
  </si>
  <si>
    <t>5-9170</t>
  </si>
  <si>
    <t>9170</t>
  </si>
  <si>
    <t>GMO MAR PLAZA ILO TIENDA N° T06 DEL CENTRO COMERCIAL MAR PLAZA ILO. JIRON ABTAO</t>
  </si>
  <si>
    <t>5-9202</t>
  </si>
  <si>
    <t>9202</t>
  </si>
  <si>
    <t>GMO COSTAMAR TUMBES CALLE SAN MARTIN Y ABAD PUELL N° 770 LOCAL N° 111 TUMBES</t>
  </si>
  <si>
    <t>5-9234</t>
  </si>
  <si>
    <t>9234</t>
  </si>
  <si>
    <t>9236</t>
  </si>
  <si>
    <t>GMO REAL PLAZA VILLA MARIA DEL TRIUNFO AV. PACHACUTEC N° 3721 - 3781. PJ. CESAR</t>
  </si>
  <si>
    <t>5-9252</t>
  </si>
  <si>
    <t>9252</t>
  </si>
  <si>
    <t>GMO SAN BORJA 2 AV. JAVIER PRADO ESTE N° 2050 LOCAL LC-213</t>
  </si>
  <si>
    <t>5-9583</t>
  </si>
  <si>
    <t>9583</t>
  </si>
  <si>
    <t>D184 GMO REAL PLAZA PURUCHUCO P278 AV. NICOLAS AYLLON 4770 LOCAL LC. 244</t>
  </si>
  <si>
    <t xml:space="preserve"> </t>
  </si>
  <si>
    <t>5-D184</t>
  </si>
  <si>
    <t>D184</t>
  </si>
  <si>
    <t>F416 RB LARCOMAR P284 L229</t>
  </si>
  <si>
    <t>5-F416</t>
  </si>
  <si>
    <t>F416</t>
  </si>
  <si>
    <t>F740  SUNGLASS HUT REAL PLAZA CHICLAYO  P287</t>
  </si>
  <si>
    <t>5-F740</t>
  </si>
  <si>
    <t>F740</t>
  </si>
  <si>
    <t>R466 - EL HUANCAVELICA 2</t>
  </si>
  <si>
    <t>R466</t>
  </si>
  <si>
    <t>GMO MALL AVENTURA IQUITOS AV. CAPITAN JOSE ABELARDO QUIÑONES 1050 LOCAL N° A-100</t>
  </si>
  <si>
    <t>P188</t>
  </si>
  <si>
    <t>SGH REAL PLAZA SALAVERRY AV. FELIPE SANTIAGO SALAVERRY Nro. 2370 LOCAL LC-347A</t>
  </si>
  <si>
    <t>P189</t>
  </si>
  <si>
    <t>GMO MALL AVENTURA SAN JUAN DE LURIGANCHO</t>
  </si>
  <si>
    <t>P200</t>
  </si>
  <si>
    <t>F611 - SUNGLASS HUT PORTAL LA MOLINA</t>
  </si>
  <si>
    <t>5-F611</t>
  </si>
  <si>
    <t>F611</t>
  </si>
  <si>
    <t>GMO PLAZA PORTAL LA MOLINA</t>
  </si>
  <si>
    <t>5-7417</t>
  </si>
  <si>
    <t>F417</t>
  </si>
  <si>
    <t>GMO MONTEBELLO CAL. MONTE BELLO 173 TIENDA A URB. CHACARILLA DEL ESTANQUE SANTIA</t>
  </si>
  <si>
    <t>6939</t>
  </si>
  <si>
    <t>6959_GMO EL POLO AV. LA ENCALADA N° 1415 TIENDA B-108 SANTIAGO DE SURCO</t>
  </si>
  <si>
    <t>6959</t>
  </si>
  <si>
    <t>6941_GMO MORELLI CALLE CESAR MORELLI N° 175 SAN BORJA</t>
  </si>
  <si>
    <t>6941</t>
  </si>
  <si>
    <t>7351_GMO LIMA NORTE AV. ALFREDOMENDIOLA N° 1400 INT 131/133 INDEP</t>
  </si>
  <si>
    <t>7351</t>
  </si>
  <si>
    <t>7388_GMO MALL AVENTURA AREQUIPA AV. PORONGOCHE N° 500. LOCAL N° A-1041 Y A-1043</t>
  </si>
  <si>
    <t>7388</t>
  </si>
  <si>
    <t>7348-GMO OPEN PLAZA TRUJILLO</t>
  </si>
  <si>
    <t>7348</t>
  </si>
  <si>
    <t>P654-SGH BEGONIAS</t>
  </si>
  <si>
    <t>P654</t>
  </si>
  <si>
    <t>6940-GMO LARCO 1 AV. LARCO N° 481 MIRAFLORES</t>
  </si>
  <si>
    <t>5-6940</t>
  </si>
  <si>
    <t>6940</t>
  </si>
  <si>
    <t>GMO REAL PLAZA HUANUCO JIRÓN INDEPENDENCIA N° 1601 (CDRAS. 16 Y 17). URBANIZACIÓ</t>
  </si>
  <si>
    <t>5-7415</t>
  </si>
  <si>
    <t>7415</t>
  </si>
  <si>
    <t>GMO REAL PLAZA CHICLAYO 1 AV. MIGUEL DE CERVANTES N° 300 P.J. MURO Y DIEGO FERRE</t>
  </si>
  <si>
    <t>5-6961</t>
  </si>
  <si>
    <t>6961</t>
  </si>
  <si>
    <t>M120_GV TOPSA ECONOLENTES SODIMAC JOCKEY PLAZA</t>
  </si>
  <si>
    <t>M120</t>
  </si>
  <si>
    <t>7360-GMO HUARAL CALLE DERECHA N° 423 HUARAL</t>
  </si>
  <si>
    <t>5-7360</t>
  </si>
  <si>
    <t>7360</t>
  </si>
  <si>
    <t>M101_GV TOPSA_ECONOLENTES ATOCONGO</t>
  </si>
  <si>
    <t>PE002-PEO-0012</t>
  </si>
  <si>
    <t>M101</t>
  </si>
  <si>
    <t>M094_GV TOPSA_ECONOLENTES CONO NORTE</t>
  </si>
  <si>
    <t>PE002-ORE-0004</t>
  </si>
  <si>
    <t>M094</t>
  </si>
  <si>
    <t>M093_GV TOPSA_ECONOLENTES CHACARILLA</t>
  </si>
  <si>
    <t>PE002-PEO_0001C</t>
  </si>
  <si>
    <t>M093</t>
  </si>
  <si>
    <t>M092_GV TOPSA_ECONOLENTES LIMA NORTE</t>
  </si>
  <si>
    <t>PE002-PEO_2015</t>
  </si>
  <si>
    <t>M092</t>
  </si>
  <si>
    <t>M154_GV TOPSA_ECONOLENTES MEGAPLAZA</t>
  </si>
  <si>
    <t>PE002-PEO_0118</t>
  </si>
  <si>
    <t>M154</t>
  </si>
  <si>
    <t>M111_GV TOPSA_ECONOLENTES MINKA CALLAO</t>
  </si>
  <si>
    <t>PE002-PEO_033</t>
  </si>
  <si>
    <t>M111</t>
  </si>
  <si>
    <t>M127_GV TOPSA_ECONOLENTES MEGAPLAZA CAÃETE</t>
  </si>
  <si>
    <t>PE002-PEO_0077B</t>
  </si>
  <si>
    <t>M127</t>
  </si>
  <si>
    <t>M122_GV TOPSA_ECONOLENTES MEGAPLAZA CHIMBOTE</t>
  </si>
  <si>
    <t>PE002-PEO_0060</t>
  </si>
  <si>
    <t>M122</t>
  </si>
  <si>
    <t>M152_GV TOPSA_ECONOLENTES MALL PLAZA COMAS</t>
  </si>
  <si>
    <t>PE002-PEO_0116</t>
  </si>
  <si>
    <t>M152</t>
  </si>
  <si>
    <t>M141_GV TOPSA_ECONOLENTES OPEN PUCALLPA</t>
  </si>
  <si>
    <t>PE002-PEO_0103</t>
  </si>
  <si>
    <t>M141</t>
  </si>
  <si>
    <t>M119_GV TOPSA_ECONOLENTES PRIMAVERA</t>
  </si>
  <si>
    <t>PE002-PEO-0055</t>
  </si>
  <si>
    <t>M119</t>
  </si>
  <si>
    <t>M112_GV TOPSA_ECONOLENTES PLAZA VEA CHORRILLOS</t>
  </si>
  <si>
    <t>PE002-PEO_0034</t>
  </si>
  <si>
    <t>M112</t>
  </si>
  <si>
    <t>M114_GV TOPSA_ECONOLENTES PLAZA VEA CHOSICA</t>
  </si>
  <si>
    <t>PE002-PEO_0040</t>
  </si>
  <si>
    <t>M114</t>
  </si>
  <si>
    <t>M128_GV TOPSA_ECONOLENTES PLAZA VEA CUSCO</t>
  </si>
  <si>
    <t>PE002-PEO_0081</t>
  </si>
  <si>
    <t>M128</t>
  </si>
  <si>
    <t>M106_GV TOPSA_ECONOLENTES PLAZA VEA HUANCAYO</t>
  </si>
  <si>
    <t>PE002-PEO_0022</t>
  </si>
  <si>
    <t>M106</t>
  </si>
  <si>
    <t>M113_GV TOPSA_ECONOLENTES PLAZA VEA JOCKEY PLAZA</t>
  </si>
  <si>
    <t>PE002-PEO_0036</t>
  </si>
  <si>
    <t>M113</t>
  </si>
  <si>
    <t>M134_GV TOPSA_ECONOLENTES PLAZA VEA LA BOLICHERA</t>
  </si>
  <si>
    <t>PE002-PEO_0094</t>
  </si>
  <si>
    <t>M134</t>
  </si>
  <si>
    <t>M098_GV TOPSA_ECONOLENTES PLAZA VEA LA MOLINA</t>
  </si>
  <si>
    <t>PE002-PEO_0008</t>
  </si>
  <si>
    <t>M098</t>
  </si>
  <si>
    <t>M136_GV TOPSA_ECONOLENTES PLAZA VEA LA PLACITA</t>
  </si>
  <si>
    <t>PE002-PEO_0096</t>
  </si>
  <si>
    <t>M136</t>
  </si>
  <si>
    <t>M133_GV TOPSA_ECONOLENTES PLAZA VEA LURIN</t>
  </si>
  <si>
    <t>PE002-PEO_0054</t>
  </si>
  <si>
    <t>M133</t>
  </si>
  <si>
    <t>M095_GV TOPSA_ECONOLENTES PLAZA VEA MIRAFLORES</t>
  </si>
  <si>
    <t>PE002-PEO_0005</t>
  </si>
  <si>
    <t>M095</t>
  </si>
  <si>
    <t>M118_GV TOPSA_ECONOLENTES PLAZA VEA PIURA</t>
  </si>
  <si>
    <t>PE002-PEO_0052</t>
  </si>
  <si>
    <t>M118</t>
  </si>
  <si>
    <t>M102_GV TOPSA_ECONOLENTES PLAZA VEA PRIMAVERA</t>
  </si>
  <si>
    <t>PE002-PEO_0013</t>
  </si>
  <si>
    <t>M102</t>
  </si>
  <si>
    <t>M115_GV TOPSA_ECONOLENTES PLAZA VEA SALAVERRY</t>
  </si>
  <si>
    <t>PE002-PEO_0041</t>
  </si>
  <si>
    <t>M115</t>
  </si>
  <si>
    <t>M125_GV TOPSA_ECONOLENTES PLAZA VEA SAN BORJA</t>
  </si>
  <si>
    <t>PE002-PEO_0066</t>
  </si>
  <si>
    <t>M125</t>
  </si>
  <si>
    <t>M110_GV TOPSA_ECONOLENTES PLAZA VEA SANTA CLARA</t>
  </si>
  <si>
    <t>PE002-PEO_0030</t>
  </si>
  <si>
    <t>M110</t>
  </si>
  <si>
    <t>M139_GV TOPSA_ECONOLENTES PLAZA VEA SUCRE</t>
  </si>
  <si>
    <t>PE002-PEO_0101</t>
  </si>
  <si>
    <t>M139</t>
  </si>
  <si>
    <t>M103_GV TOPSA_ECONOLENTES PLAZA VEA TRUJILLO</t>
  </si>
  <si>
    <t>PE002-PEO_0014</t>
  </si>
  <si>
    <t>M103</t>
  </si>
  <si>
    <t>M105_GV TOPSA_ECONOLENTES PLAZA VEA UNICACHI</t>
  </si>
  <si>
    <t>PE002-PEO_0020</t>
  </si>
  <si>
    <t>M105</t>
  </si>
  <si>
    <t>M135_GV TOPSA_ECONOLENTES PLAZA VEA VENADO</t>
  </si>
  <si>
    <t>PE002-PEO_0095</t>
  </si>
  <si>
    <t>M135</t>
  </si>
  <si>
    <t>M137_GV TOPSA_ECONOLENTES PLAZA VEA HIGUERETA</t>
  </si>
  <si>
    <t>PE002-PEO_0098</t>
  </si>
  <si>
    <t>M137</t>
  </si>
  <si>
    <t>M140_GV TOPSA_ECONOLENTES RAMBLA SAN BORJA</t>
  </si>
  <si>
    <t>PEO_0102</t>
  </si>
  <si>
    <t>M140</t>
  </si>
  <si>
    <t>N721_GV TOPSA_ECONOLENTES REAL PLAZA AREQUIPA</t>
  </si>
  <si>
    <t>PE002-PEO-0120</t>
  </si>
  <si>
    <t>N721</t>
  </si>
  <si>
    <t>O534_GV TOPSA_ECONOLENTES REAL PLAZA CENTRO CÃVICO</t>
  </si>
  <si>
    <t>PE002-PEO_0121</t>
  </si>
  <si>
    <t>O534</t>
  </si>
  <si>
    <t>M151_GV TOPSA_ECONOLENTES REAL PLAZA CHICLAYO</t>
  </si>
  <si>
    <t>PE002-PEO_0114</t>
  </si>
  <si>
    <t>M151</t>
  </si>
  <si>
    <t>M143_GV TOPSA_ECONOLENTES REAL PLAZA JULIACA</t>
  </si>
  <si>
    <t>PEO_0105</t>
  </si>
  <si>
    <t>M143</t>
  </si>
  <si>
    <t>M149_GV TOPSA_ECONOLENTES REAL PLAZA PURUCHUCO</t>
  </si>
  <si>
    <t>PE002-PEO-0112</t>
  </si>
  <si>
    <t>M149</t>
  </si>
  <si>
    <t>M124_GV TOPSA_ECONOLENTES SANTA ANITA</t>
  </si>
  <si>
    <t>PE002-PEO_0065</t>
  </si>
  <si>
    <t>M124</t>
  </si>
  <si>
    <t>M099_GV TOPSA_ECONOLENTES SODIMAC CONO NORTE</t>
  </si>
  <si>
    <t>PE002-PEO-0009</t>
  </si>
  <si>
    <t>M099</t>
  </si>
  <si>
    <t>M097_GV TOPSA_ECONOLENTES SODIMAC SAN MIGUEL</t>
  </si>
  <si>
    <t>PE002-ORE-0007</t>
  </si>
  <si>
    <t>M097</t>
  </si>
  <si>
    <t xml:space="preserve">M116_GV TOPSA_ECONOLENTES TOTTUS LA MOLINA </t>
  </si>
  <si>
    <t>PE002-PEO-0048</t>
  </si>
  <si>
    <t>M116</t>
  </si>
  <si>
    <t>M121_GV TOPSA_ECONOLENTES VILLA EL SALVADOR</t>
  </si>
  <si>
    <t>PE002-PEO-0057</t>
  </si>
  <si>
    <t>M121</t>
  </si>
  <si>
    <t>M138_GV TOPSA_ECONOLENTES SURQUILLO</t>
  </si>
  <si>
    <t>PE002-PEO-0100</t>
  </si>
  <si>
    <t>M138</t>
  </si>
  <si>
    <t>M174_GV TOPSA_VISION CENTER AURORA</t>
  </si>
  <si>
    <t>PE002-PEO_1028B</t>
  </si>
  <si>
    <t>M174</t>
  </si>
  <si>
    <t>M170_GV TOPSA_VISION CENTER AVENTURA AREQUIPA</t>
  </si>
  <si>
    <t>PE002-PEO_1021B</t>
  </si>
  <si>
    <t>M170</t>
  </si>
  <si>
    <t>M167_GV TOPSA_VISION CENTER CAJAMARCA</t>
  </si>
  <si>
    <t>PE002-PEO_1017</t>
  </si>
  <si>
    <t>M167</t>
  </si>
  <si>
    <t>M157_GV TOPSA_VISION CENTER CHACARILLA</t>
  </si>
  <si>
    <t>PE002-PEO_1002B</t>
  </si>
  <si>
    <t>M157</t>
  </si>
  <si>
    <t>M190_GV TOPSA_VISION CENTER CHACARILLA 2</t>
  </si>
  <si>
    <t>PE002-PEO_2003</t>
  </si>
  <si>
    <t>M190</t>
  </si>
  <si>
    <t>M165_GV TOPSA_VISION CENTER LA MOLINA</t>
  </si>
  <si>
    <t>PE002-PEO_1012</t>
  </si>
  <si>
    <t>M165</t>
  </si>
  <si>
    <t>M173_GV TOPSA_VISION CENTER LIBERTADORES</t>
  </si>
  <si>
    <t>PE002-PEO_1027</t>
  </si>
  <si>
    <t>M173</t>
  </si>
  <si>
    <t>M176_GV TOPSA_VISION CENTER MARSANO</t>
  </si>
  <si>
    <t>PE002-PEO-1031</t>
  </si>
  <si>
    <t>M176</t>
  </si>
  <si>
    <t>M177_GV TOPSA_VISION CENTER OPEN PIURA</t>
  </si>
  <si>
    <t>PE002-PEO-1032</t>
  </si>
  <si>
    <t>M177</t>
  </si>
  <si>
    <t>M158_GV TOPSA_VISION CENTER POLO</t>
  </si>
  <si>
    <t>PE002-PEO_1003B</t>
  </si>
  <si>
    <t>M158</t>
  </si>
  <si>
    <t>5000290</t>
  </si>
  <si>
    <t>M172_GV TOPSA_VISION CENTER REAL PLAZA HUANCAYO</t>
  </si>
  <si>
    <t>PEO_1026</t>
  </si>
  <si>
    <t>M172</t>
  </si>
  <si>
    <t>5000291</t>
  </si>
  <si>
    <t>M189_GV TOPSA_VISION CENTER REAL PLAZA PURUCHUCO</t>
  </si>
  <si>
    <t>PE002-PEO-1064</t>
  </si>
  <si>
    <t>M189</t>
  </si>
  <si>
    <t>5000293</t>
  </si>
  <si>
    <t>M175_GV TOPSA_VISION CENTER SHELL</t>
  </si>
  <si>
    <t>PE002-PEO_1030B</t>
  </si>
  <si>
    <t>M175</t>
  </si>
  <si>
    <t>5000294</t>
  </si>
  <si>
    <t>N720_GV TOPSA_VISION CENTER BEGONIAS</t>
  </si>
  <si>
    <t>PE002-PEO_1069</t>
  </si>
  <si>
    <t>N720</t>
  </si>
  <si>
    <t>5000295</t>
  </si>
  <si>
    <t>M166_GV TOPSA_VISION CENTER CHORRILLOS</t>
  </si>
  <si>
    <t>PE002-PEO_1015</t>
  </si>
  <si>
    <t>M166</t>
  </si>
  <si>
    <t>5000298</t>
  </si>
  <si>
    <t xml:space="preserve">O676_GV TOPSA_ECONOLENTES PORTAL LA MOLINA </t>
  </si>
  <si>
    <t>PE002-PEO_0123</t>
  </si>
  <si>
    <t>O676</t>
  </si>
  <si>
    <t>5000299</t>
  </si>
  <si>
    <t xml:space="preserve">O890_GV TOPSA_VISION CENTER PORTAL LA MOLINA </t>
  </si>
  <si>
    <t>PE002-PEO_1072</t>
  </si>
  <si>
    <t>O890</t>
  </si>
  <si>
    <t>5000300</t>
  </si>
  <si>
    <t>O891_GV TOPSA_ECONOLENTES MALL AVENTURA SAN JUAN DE LURIGANCHO</t>
  </si>
  <si>
    <t>PE002-PEO_0122</t>
  </si>
  <si>
    <t>O891</t>
  </si>
  <si>
    <t>5000302</t>
  </si>
  <si>
    <t>Q088_SUNGLASS HUT REAL PLAZA CUSCO</t>
  </si>
  <si>
    <t>Q088</t>
  </si>
  <si>
    <t>5000303</t>
  </si>
  <si>
    <t>P874 - SUNGLASS HUT PARQUE ARAUCO LA MOLINA</t>
  </si>
  <si>
    <t>P874</t>
  </si>
  <si>
    <t>5000304</t>
  </si>
  <si>
    <t>M186_GV TOPSA_VISION CENTER REAL PLAZA SALAVERRY</t>
  </si>
  <si>
    <t>M186</t>
  </si>
  <si>
    <t>5000308</t>
  </si>
  <si>
    <t>GMO BARRANCA JR. JOSÉ GÁLVEZ N° 320 BARRANCA</t>
  </si>
  <si>
    <t>5-7361</t>
  </si>
  <si>
    <t>7361</t>
  </si>
  <si>
    <t>5000310</t>
  </si>
  <si>
    <t>GMO LIMA NORTE 2 AV. ALFREDO MENDIOLA N° 1400. LOCAL S - 270 S - 272 INDEPENDENC</t>
  </si>
  <si>
    <t>5-7436</t>
  </si>
  <si>
    <t>7436</t>
  </si>
  <si>
    <t>5000311</t>
  </si>
  <si>
    <t>7371 - GMO ELIAS AGUIRRE 2 CALLE ELIAS AGUIRRE N° 380 CHICLAYO</t>
  </si>
  <si>
    <t>5-0084</t>
  </si>
  <si>
    <t>7371</t>
  </si>
  <si>
    <t>5000313</t>
  </si>
  <si>
    <t>8138074 - OFICINA PATIO LAS CAMELIAS</t>
  </si>
  <si>
    <t>5-0189</t>
  </si>
  <si>
    <t>8138074</t>
  </si>
  <si>
    <t>5000314</t>
  </si>
  <si>
    <t>M182_GV TOPSA_LA RAMBLA SAN BORJA</t>
  </si>
  <si>
    <t>M182</t>
  </si>
  <si>
    <t>5000315</t>
  </si>
  <si>
    <t>AV. LA MARINA N° 2000-2100 TIENDA C 219 CENTRO COMERCIAL PLAZA SAN MIGUEL</t>
  </si>
  <si>
    <t>5-C955</t>
  </si>
  <si>
    <t>C955</t>
  </si>
  <si>
    <t>5000316</t>
  </si>
  <si>
    <t>M100_GV TOPSA_ECONOLENTES CHORRILLOS</t>
  </si>
  <si>
    <t>M100</t>
  </si>
  <si>
    <t>5000317</t>
  </si>
  <si>
    <t>M109 GV TOPSA ECONOLENTES TOTTUS PUENTE PIEDRA</t>
  </si>
  <si>
    <t>M109</t>
  </si>
  <si>
    <t>5000319</t>
  </si>
  <si>
    <t>GMO METRO SAN JUAN DE LURIGANCHO AV. PROCERES DE LA INDEPENDENCIA N° 1632. MZ. P</t>
  </si>
  <si>
    <t>5-010</t>
  </si>
  <si>
    <t>6946</t>
  </si>
  <si>
    <t>5000320</t>
  </si>
  <si>
    <t>R465 - EL  LINCE 2</t>
  </si>
  <si>
    <t>R465</t>
  </si>
  <si>
    <t>5000321</t>
  </si>
  <si>
    <t>M179_GV TOPSA_VISION CENTER AVENTURA TRUJILLO</t>
  </si>
  <si>
    <t>5-275</t>
  </si>
  <si>
    <t>M179</t>
  </si>
  <si>
    <t>5000322</t>
  </si>
  <si>
    <t>M147_GV TOPSA_ECONOLENTES BELLAVISTA</t>
  </si>
  <si>
    <t>5-222</t>
  </si>
  <si>
    <t>M147</t>
  </si>
  <si>
    <t>5000323</t>
  </si>
  <si>
    <t>GMO JR. DE LA UNION 1 JIRÓN UNIÓN N° 575 LIMA</t>
  </si>
  <si>
    <t>5-018</t>
  </si>
  <si>
    <t>6957</t>
  </si>
  <si>
    <t>5000324</t>
  </si>
  <si>
    <t>8893-GMO BEGONIAS 2 C.C. BEGONIAS #3 UBICADO ENTRE LAS CALLES LAS BEGONIA</t>
  </si>
  <si>
    <t>5-166</t>
  </si>
  <si>
    <t>8893</t>
  </si>
  <si>
    <t>5000325</t>
  </si>
  <si>
    <t>8586 - GMO MALL DEL SUR AV. LOS LIRIOS N° 301. LOCAL N° LCS-1010 SN JUAN DE MIRA</t>
  </si>
  <si>
    <t>8586</t>
  </si>
  <si>
    <t>5000326</t>
  </si>
  <si>
    <t>8591 GMO OUTLET MINKA AV. ARGENTINA N° 3093. CALLE 3. PABELLÓN 09. LOCAL N° 108</t>
  </si>
  <si>
    <t>8591</t>
  </si>
  <si>
    <t>5000327</t>
  </si>
  <si>
    <t>Q233 SGH MALL AVENTURA CHICLAYO, AV. PANAMERICANA N° 639, LOCAL A-1021 LAMBAYEQU</t>
  </si>
  <si>
    <t>Q233</t>
  </si>
  <si>
    <t>5000328</t>
  </si>
  <si>
    <t>F415 GMO AVENTURA CHICALYO P283</t>
  </si>
  <si>
    <t>5-019</t>
  </si>
  <si>
    <t>F415</t>
  </si>
  <si>
    <t>5000331</t>
  </si>
  <si>
    <t>GMO MALL AVENTURA STA ANITA 2 AV. CARRETERA CENTRAL N° 111. LOCAL N° B-1026</t>
  </si>
  <si>
    <t>5-109</t>
  </si>
  <si>
    <t>7408</t>
  </si>
  <si>
    <t>5000333</t>
  </si>
  <si>
    <t>M169 V.C. SAN MIGUEL AV. LA MARINA CON AV. UNIVERSITARIA. TIENDA N° 29-30 C.C.</t>
  </si>
  <si>
    <t>M169</t>
  </si>
  <si>
    <t>5000334</t>
  </si>
  <si>
    <t>M091_GV TOPSA_ECONOLENTES PLAZA SAN MIGUEL</t>
  </si>
  <si>
    <t>PE002-ORE-2002</t>
  </si>
  <si>
    <t>M091</t>
  </si>
  <si>
    <t>5000335</t>
  </si>
  <si>
    <t>6951 GMO LINCE 1 AV. JUAN PARDO DE ZELA N° 266 LINCE</t>
  </si>
  <si>
    <t>5-013</t>
  </si>
  <si>
    <t>6951</t>
  </si>
  <si>
    <t>5000337</t>
  </si>
  <si>
    <t>7377 GMO CUSCO CALLE AYACUCHO N° 248. FRACCIÓN B CUSCO</t>
  </si>
  <si>
    <t>7377</t>
  </si>
  <si>
    <t>5000339</t>
  </si>
  <si>
    <t>Q234 SGH REAL PLAZA PIURA, AV. SÁNCHEZ CERRO N°234-239 LOTE A-B Z.I. C.C. REAL P</t>
  </si>
  <si>
    <t>Q234</t>
  </si>
  <si>
    <t>5000340</t>
  </si>
  <si>
    <t>7432 GMO PASO 28 DE JULIO AV. 28 DE JULIO. PRIMER PISO N° 1035 MIRAFLORES</t>
  </si>
  <si>
    <t>5-132</t>
  </si>
  <si>
    <t>7432</t>
  </si>
  <si>
    <t>5000341</t>
  </si>
  <si>
    <t>9172 RAY BAN PLAZA SAN MIGUEL AV. LA MARINA N° 2000 TIENDA T009 CC PZA SN MIGUEL</t>
  </si>
  <si>
    <t>5-177</t>
  </si>
  <si>
    <t>9172</t>
  </si>
  <si>
    <t>5000342</t>
  </si>
  <si>
    <t>R457 - EL HUANCAVELICA</t>
  </si>
  <si>
    <t>R457</t>
  </si>
  <si>
    <t>5000343</t>
  </si>
  <si>
    <t>R458 - EL  LADISLAO - CHIMBOTE</t>
  </si>
  <si>
    <t>5000054</t>
  </si>
  <si>
    <t>R458</t>
  </si>
  <si>
    <t>5000344</t>
  </si>
  <si>
    <t>R460 - EL ANGAMOS</t>
  </si>
  <si>
    <t>5000336</t>
  </si>
  <si>
    <t>R460</t>
  </si>
  <si>
    <t>5000345</t>
  </si>
  <si>
    <t>R467 - EL CENTRO CIVICO</t>
  </si>
  <si>
    <t>R467</t>
  </si>
  <si>
    <t>5000346</t>
  </si>
  <si>
    <t>R468 - EL ELIAS AGUIRRE</t>
  </si>
  <si>
    <t>5000312</t>
  </si>
  <si>
    <t>R468</t>
  </si>
  <si>
    <t>5000347</t>
  </si>
  <si>
    <t>R469 - EL MONTEBELLO</t>
  </si>
  <si>
    <t>R469</t>
  </si>
  <si>
    <t>5000348</t>
  </si>
  <si>
    <t>R472 - EL REAL PLAZA PIURA</t>
  </si>
  <si>
    <t>R472</t>
  </si>
  <si>
    <t>5000349</t>
  </si>
  <si>
    <t>R479 - EL  RAMBLA BRASIL</t>
  </si>
  <si>
    <t>R479</t>
  </si>
  <si>
    <t>5000350</t>
  </si>
  <si>
    <t>R478 - EL REAL PLAZA HUANCAYO</t>
  </si>
  <si>
    <t>R478</t>
  </si>
  <si>
    <t>5000351</t>
  </si>
  <si>
    <t>9190 SGH PLAZA SAN MIGUEL AV. LA MARINA N° 2000 TIENDA N° 72 CC PLAZA SAN MIGUEL</t>
  </si>
  <si>
    <t>5-194</t>
  </si>
  <si>
    <t>9190</t>
  </si>
  <si>
    <t>5000352</t>
  </si>
  <si>
    <t>R464 - EL  MEGA PLAZA</t>
  </si>
  <si>
    <t>R464</t>
  </si>
  <si>
    <t>5000353</t>
  </si>
  <si>
    <t>R470 - EL SANTA CLARA</t>
  </si>
  <si>
    <t>R470</t>
  </si>
  <si>
    <t>5000354</t>
  </si>
  <si>
    <t>R471 - EL AVENTURA MALL AREQUIPA</t>
  </si>
  <si>
    <t>R471</t>
  </si>
  <si>
    <t>5000356</t>
  </si>
  <si>
    <t>R474 - EL CERRO COLORADO AREQUIPA</t>
  </si>
  <si>
    <t>R474</t>
  </si>
  <si>
    <t>5000357</t>
  </si>
  <si>
    <t>R475 - EL REAL PLAZA HUANUCO</t>
  </si>
  <si>
    <t>R475</t>
  </si>
  <si>
    <t>5000358</t>
  </si>
  <si>
    <t>Q557 - EL PLAZA LIMA SUR</t>
  </si>
  <si>
    <t>Q557</t>
  </si>
  <si>
    <t>5000359</t>
  </si>
  <si>
    <t>R456 - EL AVENTURA MALL TRUJILLO</t>
  </si>
  <si>
    <t>R456</t>
  </si>
  <si>
    <t>5000360</t>
  </si>
  <si>
    <t>R461 - EL AVENTURA MALL BELLAVISTA</t>
  </si>
  <si>
    <t>R461</t>
  </si>
  <si>
    <t>5000361</t>
  </si>
  <si>
    <t>R462 - EL LIMA NORTE</t>
  </si>
  <si>
    <t>5000309</t>
  </si>
  <si>
    <t>R462</t>
  </si>
  <si>
    <t>5000362</t>
  </si>
  <si>
    <t>R463 - EL LINCE</t>
  </si>
  <si>
    <t>5000305</t>
  </si>
  <si>
    <t>R463</t>
  </si>
  <si>
    <t>8138053 CAMIONETA BMW MOD :X3 20I  2020 OP 57931AFB</t>
  </si>
  <si>
    <t>CD SURQUILLO CALLE JEAN PAUL SARTRE N° 158 SURQUILLO</t>
  </si>
  <si>
    <t>90000000</t>
  </si>
  <si>
    <t>1-8138039</t>
  </si>
  <si>
    <t>8500</t>
  </si>
  <si>
    <t>REEMPLAZO 5-197</t>
  </si>
  <si>
    <t>8449</t>
  </si>
  <si>
    <t>8138016</t>
  </si>
  <si>
    <t>8138078</t>
  </si>
  <si>
    <t>8138081</t>
  </si>
  <si>
    <t>8138098</t>
  </si>
  <si>
    <t>8138106</t>
  </si>
  <si>
    <t>8138105</t>
  </si>
  <si>
    <t>GMO JOCKEY PLAZA AV. JAVIER PRADO ESTE 4200. LOCAL COMERCIAL 286 SANTIAGO DE SUR</t>
  </si>
  <si>
    <t>90000002</t>
  </si>
  <si>
    <t>5-6937</t>
  </si>
  <si>
    <t>6937</t>
  </si>
  <si>
    <t>REEMPLAZO 5-196</t>
  </si>
  <si>
    <t>90000004</t>
  </si>
  <si>
    <t>5-6939</t>
  </si>
  <si>
    <t>REEMPLAZO 5-207</t>
  </si>
  <si>
    <t>GMO LARCO 1 AV. LARCO N° 481 MIRAFLORES</t>
  </si>
  <si>
    <t>90000005</t>
  </si>
  <si>
    <t>REEMPLAZO 5-215</t>
  </si>
  <si>
    <t>GMO MORELLI CALLE CESAR MORELLI N° 175 SAN BORJA</t>
  </si>
  <si>
    <t>90000319</t>
  </si>
  <si>
    <t>90000006</t>
  </si>
  <si>
    <t>5-6941</t>
  </si>
  <si>
    <t>REEMPLAZO 5-210</t>
  </si>
  <si>
    <t>90000007</t>
  </si>
  <si>
    <t>GMO METRO LOS OLIVOS AV. ALFREDO MENDIOLA N° 3900. MZ. A LT. 5Y 6 - URB. IND.. P</t>
  </si>
  <si>
    <t>90000008</t>
  </si>
  <si>
    <t>5-6943</t>
  </si>
  <si>
    <t>6943</t>
  </si>
  <si>
    <t>90000010</t>
  </si>
  <si>
    <t>90000013</t>
  </si>
  <si>
    <t>90000014</t>
  </si>
  <si>
    <t>GMO METRO EMANCIPACION JR. CUZCO N° 245. LOCAL 1148 LIMA</t>
  </si>
  <si>
    <t>90000015</t>
  </si>
  <si>
    <t>5-6954</t>
  </si>
  <si>
    <t>6954</t>
  </si>
  <si>
    <t>90000016</t>
  </si>
  <si>
    <t>90000018</t>
  </si>
  <si>
    <t>GMO EL POLO AV. LA ENCALADA N° 1415 TIENDA B-108 SANTIAGO DE SURCO</t>
  </si>
  <si>
    <t>90000020</t>
  </si>
  <si>
    <t>5-6959</t>
  </si>
  <si>
    <t>REEMPLAZO 5-209</t>
  </si>
  <si>
    <t>REEMPLAZO 5-217</t>
  </si>
  <si>
    <t>GMO SAN JUAN DE MIRAFLORES AV. SAN JUAN N° 1091 (LOTE 2. MZA. G-3. URB. SAN JUAN</t>
  </si>
  <si>
    <t>90000025</t>
  </si>
  <si>
    <t>5-6966</t>
  </si>
  <si>
    <t>6966</t>
  </si>
  <si>
    <t>GMO HUANCAVELICA 2 AV. HUANCAVELICA N° 490 LIMA</t>
  </si>
  <si>
    <t>90000037</t>
  </si>
  <si>
    <t>5-6979</t>
  </si>
  <si>
    <t>6979</t>
  </si>
  <si>
    <t>90000042</t>
  </si>
  <si>
    <t>GMO JR. DE LA UNION 3 JR. DE LA UNION N° 739 LIMA</t>
  </si>
  <si>
    <t>90000045</t>
  </si>
  <si>
    <t>5-6988</t>
  </si>
  <si>
    <t>6988</t>
  </si>
  <si>
    <t>90000356</t>
  </si>
  <si>
    <t>ECONOPTICAS MALL AVENTURA TRUJILLO AV. AMERICA OESTE N° 750 - URB. EL INGENIO. L</t>
  </si>
  <si>
    <t>5-6990</t>
  </si>
  <si>
    <t>6990</t>
  </si>
  <si>
    <t>REEMPLAZO 5-200</t>
  </si>
  <si>
    <t>ECONÓPTICAS HUANCAVELICA JIRÓN HUANCAVELICA N° 244 LIMA</t>
  </si>
  <si>
    <t>90000053</t>
  </si>
  <si>
    <t>5-6998</t>
  </si>
  <si>
    <t>6998</t>
  </si>
  <si>
    <t>REEMPLAZO 5-208</t>
  </si>
  <si>
    <t>90000054</t>
  </si>
  <si>
    <t>90000367</t>
  </si>
  <si>
    <t>GMO PLAZA SOL ICA AV. SAN MARTIN N° 727 -763. LOCAL 110 ICA</t>
  </si>
  <si>
    <t>5-7198</t>
  </si>
  <si>
    <t>7198</t>
  </si>
  <si>
    <t>90000059</t>
  </si>
  <si>
    <t>90000061</t>
  </si>
  <si>
    <t>90000062</t>
  </si>
  <si>
    <t>GMO REAL PLAZA HUANCAYO AV. FERROCARRIL N° 1035. LOCAL LC -257 HUANCAYO</t>
  </si>
  <si>
    <t>5-7222</t>
  </si>
  <si>
    <t>7222</t>
  </si>
  <si>
    <t>GMO JOCKEY PLAZA 2DA NAVE AV. JAVIER PRADO ESTE N° 4200. PARCELA B Y F. LOCAL N°</t>
  </si>
  <si>
    <t>8</t>
  </si>
  <si>
    <t>8625</t>
  </si>
  <si>
    <t>GMO LIMA NORTE AV. ALFREDOMENDIOLA N° 1400 INT 131/133 INDEPENDENCIA</t>
  </si>
  <si>
    <t>5-7351</t>
  </si>
  <si>
    <t>REEMPLAZO 5-211</t>
  </si>
  <si>
    <t>ECONOPTICAS LIMA NORTE AV. ALFREDO MENDIOLA N° 1400 INT S-104/106 INDEPENDENCIA</t>
  </si>
  <si>
    <t>5-7352</t>
  </si>
  <si>
    <t>7352</t>
  </si>
  <si>
    <t>REEMPLAZO 5-309</t>
  </si>
  <si>
    <t>ECONOPTICAS LINCE AV. JUAN PARDO DE ZELA N° 270 LINCE</t>
  </si>
  <si>
    <t>90000072</t>
  </si>
  <si>
    <t>5-7353</t>
  </si>
  <si>
    <t>7353</t>
  </si>
  <si>
    <t>REEMPLAZO 5-305</t>
  </si>
  <si>
    <t>GMO HUARAL CALLE DERECHA N° 423 HUARAL</t>
  </si>
  <si>
    <t>90000076</t>
  </si>
  <si>
    <t>REEMPLAZO 5-219</t>
  </si>
  <si>
    <t>90000077</t>
  </si>
  <si>
    <t>GMO ICA AV. MUNICIPALIDAD N° 254 ICA</t>
  </si>
  <si>
    <t>90000078</t>
  </si>
  <si>
    <t>5-7362</t>
  </si>
  <si>
    <t>7362</t>
  </si>
  <si>
    <t>90000079</t>
  </si>
  <si>
    <t>90000080</t>
  </si>
  <si>
    <t>90000084</t>
  </si>
  <si>
    <t>90000085</t>
  </si>
  <si>
    <t>GMO SULLANA CALLE TRANSVERSAL ENRIQUE PALACIOS N°590 SULLANA</t>
  </si>
  <si>
    <t>90000086</t>
  </si>
  <si>
    <t>5-7373</t>
  </si>
  <si>
    <t>7373</t>
  </si>
  <si>
    <t>90000087</t>
  </si>
  <si>
    <t>90000088</t>
  </si>
  <si>
    <t>90000089</t>
  </si>
  <si>
    <t>GMO OPEN PLAZA ANGAMOS (EX-ECONO OP ANGAMOS) AV. ANGAMOS N° 1803. LOCAL LC -09 S</t>
  </si>
  <si>
    <t>5-7380</t>
  </si>
  <si>
    <t>7380</t>
  </si>
  <si>
    <t>ECONOPTICAS OPEN PLAZA PIURA SUB LOTE SECCION SECTOR 1-B. URB. MIRAFLORES II PAR</t>
  </si>
  <si>
    <t>5-7385</t>
  </si>
  <si>
    <t>7385</t>
  </si>
  <si>
    <t>GMO MALL AVENTURA AREQUIPA AV. PORONGOCHE N° 500. LOCAL N° A-1041 Y A-1043 PAUCA</t>
  </si>
  <si>
    <t>5-7388</t>
  </si>
  <si>
    <t>REEMPLAZO 5-212</t>
  </si>
  <si>
    <t>GMO VILLA EL SALVADOR AV. LIMA SUB LOTE A-1. LOCAL SL-102 VILLA EL SALVADOR</t>
  </si>
  <si>
    <t>5-7402</t>
  </si>
  <si>
    <t>7402</t>
  </si>
  <si>
    <t>7404</t>
  </si>
  <si>
    <t>GMO EL SOL CUSCO AV. EL SOL N° 348 CUSCO</t>
  </si>
  <si>
    <t>90000107</t>
  </si>
  <si>
    <t>5-7405</t>
  </si>
  <si>
    <t>7405</t>
  </si>
  <si>
    <t>GMO SAN BORJA URB. SAN BORJA. MANZANA I-2. LOCAL N° 101-102 SAN BORJA</t>
  </si>
  <si>
    <t>5-7410</t>
  </si>
  <si>
    <t>7410</t>
  </si>
  <si>
    <t>7411</t>
  </si>
  <si>
    <t>90000114</t>
  </si>
  <si>
    <t>7413</t>
  </si>
  <si>
    <t>90000115</t>
  </si>
  <si>
    <t>REEMPLAZO 5-216</t>
  </si>
  <si>
    <t>GMO CERRO COLORADO AV. AVIACIÓN N° 602. LOCAL N° LC - 138 AREQUIPA</t>
  </si>
  <si>
    <t>5-7416</t>
  </si>
  <si>
    <t>7416</t>
  </si>
  <si>
    <t>GMO OPEN PLAZA PUCALLPA AV. CENTENARIO N° 4614 C/ CARRETERA FEDERICO BASADRE K.M</t>
  </si>
  <si>
    <t>90000119</t>
  </si>
  <si>
    <t>5-7418</t>
  </si>
  <si>
    <t>7418</t>
  </si>
  <si>
    <t>ECONOPTICAS REAL PLAZA CAJAMARCA AV. EVITAMIENTO NORTE LOTE 1A. LOCAL LC- 223/22</t>
  </si>
  <si>
    <t>5-7422</t>
  </si>
  <si>
    <t>7422</t>
  </si>
  <si>
    <t>7424</t>
  </si>
  <si>
    <t>7426</t>
  </si>
  <si>
    <t>GMO CONQUISTADORES AV. CONQUISTADORES N° 310 SAN ISIDRO</t>
  </si>
  <si>
    <t>5-7429</t>
  </si>
  <si>
    <t>7429</t>
  </si>
  <si>
    <t>GMO OPEN PLAZA LA MARINA AV. LA MARINA N° 2355. LOCAL LC:16-A SAN MIGUEL</t>
  </si>
  <si>
    <t>5-7433</t>
  </si>
  <si>
    <t>7433</t>
  </si>
  <si>
    <t>GMO METRO OVALO PAPAL AV. JUAN PABLO II CON AV. AMÉRICA OESTE. LOTE 1 MZ. J. PIS</t>
  </si>
  <si>
    <t>90000138</t>
  </si>
  <si>
    <t>5-7438</t>
  </si>
  <si>
    <t>7438</t>
  </si>
  <si>
    <t>GMO METRO BALTA CHICLAYO AV. JOSÉ BALTA N° 155. LOCAL N° 1132 CHICLAYO</t>
  </si>
  <si>
    <t>90000139</t>
  </si>
  <si>
    <t>5-7440</t>
  </si>
  <si>
    <t>7440</t>
  </si>
  <si>
    <t>90000140</t>
  </si>
  <si>
    <t>GMO OPEN PLAZA CAJAMARCA LOTE 1. AV. EVITAMIENTO NORTE S/N. ZONA DE SAN ANTONIO.</t>
  </si>
  <si>
    <t>5-7442</t>
  </si>
  <si>
    <t>7442</t>
  </si>
  <si>
    <t>ECONOPTICAS REAL PLAZA HUANCAYO AV. FERROCARRIL N° S/N. SECTOR 14 (FERROCARRIL 1</t>
  </si>
  <si>
    <t>5-8590</t>
  </si>
  <si>
    <t>8590</t>
  </si>
  <si>
    <t>REEMPLAZO 5-220</t>
  </si>
  <si>
    <t>GMO ASIA LOTE A. SUB LOTE 2. EX LOTE 4. EX FUNDO LA ISLA-ASIA. KM 97.5 PANAMERIC</t>
  </si>
  <si>
    <t>90000152</t>
  </si>
  <si>
    <t>5-8592</t>
  </si>
  <si>
    <t>8592</t>
  </si>
  <si>
    <t>5-8625</t>
  </si>
  <si>
    <t>REEMPLAZO 5-069</t>
  </si>
  <si>
    <t>SUNGLASS HUT JOCKEY PLAZA 2DA NAVE AV. JAVIER PRADO ESTE N° 4200. PARCELA B Y F.</t>
  </si>
  <si>
    <t>5-8626</t>
  </si>
  <si>
    <t>8626</t>
  </si>
  <si>
    <t>REEMPLAZO 5-195</t>
  </si>
  <si>
    <t>SUNGLASS HUT MALL AVENTURA PLAZA AREQUIPA - PORONGOCHE AV. PORONGOCHE N° 500. LO</t>
  </si>
  <si>
    <t>5-8630</t>
  </si>
  <si>
    <t>8630</t>
  </si>
  <si>
    <t>GMO METRO BREÑA ESQ. AV. VENEZUELA CON AV. ALFONSO UGARTE. LOCAL N° 1004 BREÑA</t>
  </si>
  <si>
    <t>5-8632</t>
  </si>
  <si>
    <t>8632</t>
  </si>
  <si>
    <t>8855</t>
  </si>
  <si>
    <t>GMO STRIP CENTER VILLA EL SAVADOR 2 MANZANA D PARCELA 3 DE LA SOCIEDAD UNION DE</t>
  </si>
  <si>
    <t>5-8894</t>
  </si>
  <si>
    <t>8894</t>
  </si>
  <si>
    <t>REEMPLAZO 5-193</t>
  </si>
  <si>
    <t>SUNGLASS HUT REAL PLAZA VILLA MARIA DEL TRIUNFO AV. PACHACUTEC N° 3721-3781. CES</t>
  </si>
  <si>
    <t>5-9004</t>
  </si>
  <si>
    <t>9004</t>
  </si>
  <si>
    <t>SUNGLASS HUT PLAZA NORTE AV. ALFREDO MENDIOLA N° 1400 LOCAL N-116 INDEPENDENCIA</t>
  </si>
  <si>
    <t>5-9065</t>
  </si>
  <si>
    <t>9065</t>
  </si>
  <si>
    <t>SUNGLASS HUT CENTRO CIVICO AV. GARCILAZO DE LA VEGA N° 1337 LOCAL LC-118 LIMA</t>
  </si>
  <si>
    <t>5-9118</t>
  </si>
  <si>
    <t>9118</t>
  </si>
  <si>
    <t>9171</t>
  </si>
  <si>
    <t>RAY BAN JOCKEY PLAZA AV. JAVIER PRADO ESTE N° 4200 LOCAL B3-30 SANTIAGO DE SURCO</t>
  </si>
  <si>
    <t>5-9173</t>
  </si>
  <si>
    <t>9173</t>
  </si>
  <si>
    <t>SUNGLASS HUT PLAZA SAN MIGUEL AV. LA MARINA N° 2000 TIENDA N° 72 CC PLAZA SAN MI</t>
  </si>
  <si>
    <t>5-9190</t>
  </si>
  <si>
    <t>REEMPLAZO 5-194</t>
  </si>
  <si>
    <t>SUNGLASS HUT EL QUINDE CAJAMARCA AV. RAFAEL HOYOS RUBIO JR. SOL MANUELA GIL N° 1</t>
  </si>
  <si>
    <t>5-9522</t>
  </si>
  <si>
    <t>9522</t>
  </si>
  <si>
    <t>GMO OPEN PLAZA TRUJILLO AV. AMERICA NORTE N° 1245. URB. LOS JARDINES. PISO 2. LO</t>
  </si>
  <si>
    <t>8138/5000069</t>
  </si>
  <si>
    <t>REEMPLAZO 5-213</t>
  </si>
  <si>
    <t>M090_GV TOPSA_ECONOLENTES JOCKEY PLAZA</t>
  </si>
  <si>
    <t>PE002-PEO_2001Z</t>
  </si>
  <si>
    <t>M090</t>
  </si>
  <si>
    <t>M146_GV TOPSA_ECONOLENTES LIMA</t>
  </si>
  <si>
    <t>PE002-PEO_1016</t>
  </si>
  <si>
    <t>M146</t>
  </si>
  <si>
    <t>M131_GV TOPSA_ECONOLENTES MALL DEL SUR</t>
  </si>
  <si>
    <t>M131</t>
  </si>
  <si>
    <t>M150_GV TOPSA_ECONOLENTES MALL PLAZA AREQUIPA</t>
  </si>
  <si>
    <t>PE002-PEO_0113</t>
  </si>
  <si>
    <t>M150</t>
  </si>
  <si>
    <t>M187_GV TOPSA_VISION CENTER MALL DEL SUR</t>
  </si>
  <si>
    <t>PE002-PEO_1060B</t>
  </si>
  <si>
    <t>M187</t>
  </si>
  <si>
    <t>M163_GV TOPSA_VISION CENTER REAL PLAZA PRIMAVERA</t>
  </si>
  <si>
    <t>M163</t>
  </si>
  <si>
    <t>5000292</t>
  </si>
  <si>
    <t>5000296</t>
  </si>
  <si>
    <t>M185_GV TOPSA_VISION CENTER CERRO COLORADO</t>
  </si>
  <si>
    <t>M185</t>
  </si>
  <si>
    <t>5000297</t>
  </si>
  <si>
    <t>M156_GV TOPSA_VISION CENTER JOCKEY PLAZA</t>
  </si>
  <si>
    <t>PE002-PEO_1001B</t>
  </si>
  <si>
    <t>M156</t>
  </si>
  <si>
    <t>5000306</t>
  </si>
  <si>
    <t>5000307</t>
  </si>
  <si>
    <t>O986 VISION CENTER REAL PLAZA CUSCO</t>
  </si>
  <si>
    <t>O986</t>
  </si>
  <si>
    <t>REVISAR FECHAS</t>
  </si>
  <si>
    <t>M184</t>
  </si>
  <si>
    <t>M142</t>
  </si>
  <si>
    <t>5000330</t>
  </si>
  <si>
    <t>M183 VISION CENTER REAL PLAZA TRUJILLO, AV. CESAR VALLEJO OESTE No.1345, LC-135A</t>
  </si>
  <si>
    <t>M183</t>
  </si>
  <si>
    <t>5000355</t>
  </si>
  <si>
    <t>R473 - EL QUINDE ICA</t>
  </si>
  <si>
    <t>R473</t>
  </si>
  <si>
    <t>VU restante</t>
  </si>
  <si>
    <t>Incremento depreciación</t>
  </si>
  <si>
    <t>8139 - GMO Ecuador</t>
  </si>
  <si>
    <t xml:space="preserve">CAM </t>
  </si>
  <si>
    <t>8139</t>
  </si>
  <si>
    <t>LEASING AUTO AVIS MAREAUTO</t>
  </si>
  <si>
    <t>8139015</t>
  </si>
  <si>
    <t>CENTRO DE DISTRIBUCION Y TALLER BODEGA 14 BODEGA N° 14. UBICADAS EN COMPLEJO DE</t>
  </si>
  <si>
    <t>90000001</t>
  </si>
  <si>
    <t>1-8453-2</t>
  </si>
  <si>
    <t>8453</t>
  </si>
  <si>
    <t>GMO RIOCENTRO SUR C.C RIO CENTRO SUR LOCAL # 03 PB. AV. 25 DE JULIO. AL LADO DE</t>
  </si>
  <si>
    <t>5-6780</t>
  </si>
  <si>
    <t>6780</t>
  </si>
  <si>
    <t>GMO EL BOSQUE C.C EL BOSQUE LOCAL COMERCIAL #243Ñ DEL NIVEL 2. DE LA PARROQUIA C</t>
  </si>
  <si>
    <t>5-6781</t>
  </si>
  <si>
    <t>6781</t>
  </si>
  <si>
    <t>GMO LAS AMERICAS SUPERMAXI PLAZA LAS AMERICAS # 01 PB. SITUADO EN AV. DE LAS AME</t>
  </si>
  <si>
    <t>5-6782</t>
  </si>
  <si>
    <t>6782</t>
  </si>
  <si>
    <t>GMO C.C. IÑAQUITO C.C IÑAQUITO # A-155 . C-110 Y C-120 EN LOS CORREDORES DE LA P</t>
  </si>
  <si>
    <t>5-6786</t>
  </si>
  <si>
    <t>29</t>
  </si>
  <si>
    <t>6786</t>
  </si>
  <si>
    <t>SI</t>
  </si>
  <si>
    <t>GMO MALL ANDES C.C. MALL LOS ANDES #240 EN NIVEL 2. AV. VICTOR HUGO S/N ATAHUALP</t>
  </si>
  <si>
    <t>90000057</t>
  </si>
  <si>
    <t>90000009</t>
  </si>
  <si>
    <t>5-6788</t>
  </si>
  <si>
    <t>6788</t>
  </si>
  <si>
    <t>GMO MALL DEL SOL 2 C.C. MALL DEL SOL LOCAL # L021-022 UBICADO EN AV. JOAQUIN ORR</t>
  </si>
  <si>
    <t>90000058</t>
  </si>
  <si>
    <t>5-6790</t>
  </si>
  <si>
    <t>6790</t>
  </si>
  <si>
    <t>GMO LA PLAZA C.C LA PLAZA SHOPPING CENTER LOCAL # 64 Y 65 PB UBICADO EN AVENIDA</t>
  </si>
  <si>
    <t>90000011</t>
  </si>
  <si>
    <t>5-6882</t>
  </si>
  <si>
    <t>6882</t>
  </si>
  <si>
    <t>GMO EL CONDADO C.C. EL CONDADO S.A # L268 DE LA PLANTA SEGUNDA UBICADO EN AV. DE</t>
  </si>
  <si>
    <t>5-6883</t>
  </si>
  <si>
    <t>6883</t>
  </si>
  <si>
    <t>GMO MACHALA C.C. EL PASEO SHOPPING MACHALA LOCAL # 63-64. UBICADO EN KM 2 VIA MA</t>
  </si>
  <si>
    <t>5-6884</t>
  </si>
  <si>
    <t>6884</t>
  </si>
  <si>
    <t>GMO EL RECREO LOCAL COMERCIAL # N154. UBICADO AV. PEDRO VICENTE MALDONADO  QUITO</t>
  </si>
  <si>
    <t>5-6891</t>
  </si>
  <si>
    <t>6891</t>
  </si>
  <si>
    <t>GMO LOJA C.C. ORTIZ EN PB. UBICADO EN CALLE BOLIVAR 07-71 Y DIEZ DE AGOSTO 14-21</t>
  </si>
  <si>
    <t>90000094</t>
  </si>
  <si>
    <t>90000021</t>
  </si>
  <si>
    <t>5-6897</t>
  </si>
  <si>
    <t>6897</t>
  </si>
  <si>
    <t>GMO CUENCA MARISCAL LOCAL EN PLANTA BAJA UBICADO EN CALLE MARISCAL SUCRE N° 7-18</t>
  </si>
  <si>
    <t>5-6902</t>
  </si>
  <si>
    <t>6902</t>
  </si>
  <si>
    <t>GMO MALL SUR 2 C.C. MALL DEL SUR LOCAL N° 131 Y 132 EN PLANTA ALTA. UBICADO EN A</t>
  </si>
  <si>
    <t>90000075</t>
  </si>
  <si>
    <t>5-6903</t>
  </si>
  <si>
    <t>6903</t>
  </si>
  <si>
    <t>GMO CITY MALL C.C. CITY MALL LOCAL N° 155 Y 156 EN PLANTA ALTA. UBICADO EN MZ. 1</t>
  </si>
  <si>
    <t>90000030</t>
  </si>
  <si>
    <t>5-6908</t>
  </si>
  <si>
    <t>6908</t>
  </si>
  <si>
    <t>GMO ROYAL SCALA C.C. ROYAL PLAZA LOCAL SIGNADO N° L145 EN PLANTA BAJA. UBICADO E</t>
  </si>
  <si>
    <t>90000082</t>
  </si>
  <si>
    <t>5-6925</t>
  </si>
  <si>
    <t>6925</t>
  </si>
  <si>
    <t>GMO LAGUNA MALL C.C. LAGUNA MALL 113. UBICADO EN AV. MARIANO ACOSTA Y AV. FRAY V</t>
  </si>
  <si>
    <t>5-6929</t>
  </si>
  <si>
    <t>6929</t>
  </si>
  <si>
    <t>GMO POLICENTRO 3 C.C. POLICENTRO LOCAL N° 08 EN PB. UBICADO EN LA AV. DEL PERIOD</t>
  </si>
  <si>
    <t>5-8578</t>
  </si>
  <si>
    <t>8578</t>
  </si>
  <si>
    <t>GMO MALL EL JARDIN CC. AV MALL EL JARDIN AV. AMAZONAS N°6-114 Y AV. REPUBLICA LO</t>
  </si>
  <si>
    <t>90000090</t>
  </si>
  <si>
    <t>5-8715</t>
  </si>
  <si>
    <t>8715</t>
  </si>
  <si>
    <t>Si</t>
  </si>
  <si>
    <t>GMO SAN MARINO C.C. SAN MARINO SHOPPING LOCAL N° PB-31. UBICADO EN AV. FCO DE OR</t>
  </si>
  <si>
    <t>90000097</t>
  </si>
  <si>
    <t>6900</t>
  </si>
  <si>
    <t>F818-GMO MALL DEL NORTE</t>
  </si>
  <si>
    <t>90000098</t>
  </si>
  <si>
    <t>5-F818</t>
  </si>
  <si>
    <t>F818</t>
  </si>
  <si>
    <t>6893 GMO PASEO MILAGRO C.C. EL PASEO SHOPPING MILAGRO LOCAL #12-13</t>
  </si>
  <si>
    <t>90000101</t>
  </si>
  <si>
    <t>6893</t>
  </si>
  <si>
    <t>6907_GMO PASEO QUEVEDO C.C. EL PASEO SHOPPING QUEVEDO LOCAL N° 24-25.</t>
  </si>
  <si>
    <t>6907</t>
  </si>
  <si>
    <t>GMO RIOCENTRO NORTE C.C. RIOCENTRO NORTE LOCAL N° 18-19-20 EN PB. UBICADO EN AV.</t>
  </si>
  <si>
    <t>5-6905</t>
  </si>
  <si>
    <t>6905</t>
  </si>
  <si>
    <t>GMO DURAN C.C. EL PASEO SHOPPING DURAN LOCAL N° 42-43. UBICADO FRENTE A LA AUTOP</t>
  </si>
  <si>
    <t>5-6932</t>
  </si>
  <si>
    <t>6932</t>
  </si>
  <si>
    <t>GMO PASEO LIBERTAD C.C EL PASEO SHOPPING LA PENINSULA LOCAL # 70-71 EN PA. BARRI</t>
  </si>
  <si>
    <t>5-6783</t>
  </si>
  <si>
    <t>30-01-2025</t>
  </si>
  <si>
    <t>6783</t>
  </si>
  <si>
    <t>GMO PASEO RIOBAMBA C.C. EL PASEO SHOPPING RIOBAMBA LOCAL N° 98-99. UBICADO EN AV</t>
  </si>
  <si>
    <t>5-6909</t>
  </si>
  <si>
    <t>6909</t>
  </si>
  <si>
    <t>GMO URDESA SOLAR CON DOS ENTRADAS INDEPENDIENTES CORRESPONDIENTE A LOCALES A Y B</t>
  </si>
  <si>
    <t>5-6923</t>
  </si>
  <si>
    <t>6923</t>
  </si>
  <si>
    <t>GMO HIPER COSTA C.C. HIPERMARKET KM 14 VIA A LA COSTA. LOCAL L-10. UBICADO A LA</t>
  </si>
  <si>
    <t>5-6931</t>
  </si>
  <si>
    <t>6931</t>
  </si>
  <si>
    <t>GMO EL DORADO C.C. RIOCENTRO EL DORADO LOCAL N° 13 EN PB. UBICADO EN KM 10.5 DE</t>
  </si>
  <si>
    <t>5-6933</t>
  </si>
  <si>
    <t>6933</t>
  </si>
  <si>
    <t>P697 - GMO GRAN PIAZZA MACHALA AV. PAQUISHA, MANZANA U-20 N° 1D</t>
  </si>
  <si>
    <t>P697</t>
  </si>
  <si>
    <t>9639 GMO EL PORTAL AV. GALO PLAZA LASSO Y AV, SIMÓN BOLIVAR P2-69</t>
  </si>
  <si>
    <t>5-046</t>
  </si>
  <si>
    <t>9639</t>
  </si>
  <si>
    <t>Q252 - SGH MALL DEL SOL AVENIDA JOAQUIN ORRANTIA Y JUAN TANGA PARROQ.URB TANQUI</t>
  </si>
  <si>
    <t>Q252</t>
  </si>
  <si>
    <t>6890 - GMO GRANADOS C.C GRANADOS PLAZA LOCAL PA-025 EN NIVEL ALTO.</t>
  </si>
  <si>
    <t>5-015</t>
  </si>
  <si>
    <t>6890</t>
  </si>
  <si>
    <t>GMO MALL DEL PACIFICO CC. MALL DEL PACIFICO LOCAL N° PB-055 EN LA PLANTA BAJA AV</t>
  </si>
  <si>
    <t>5-045</t>
  </si>
  <si>
    <t>8858</t>
  </si>
  <si>
    <t>GMO SAN LUIS C.C. SAN LUIS SHOPPING LOCAL # N1-102-103 EN EL PISO 1 . UBICADO EN</t>
  </si>
  <si>
    <t>6895</t>
  </si>
  <si>
    <t>6924 GMO PASEO BABAHOYO C.C. EL PASEO SHOPPING BABAHOYO LOCAL N° 41-42.</t>
  </si>
  <si>
    <t>5-033</t>
  </si>
  <si>
    <t>6924</t>
  </si>
  <si>
    <t>6904 GMO QUICENTRO SUR</t>
  </si>
  <si>
    <t>5-047</t>
  </si>
  <si>
    <t>6904</t>
  </si>
  <si>
    <t>P947 - GMO BOMBOLI CENTRO COMERCIAL BOMBOLI SHOPPING - P2 - 031</t>
  </si>
  <si>
    <t>p947</t>
  </si>
  <si>
    <t>90000096</t>
  </si>
  <si>
    <t>38</t>
  </si>
  <si>
    <t>3000000</t>
  </si>
  <si>
    <t>8138016-ARRIOENDO DE IMPRESORAS</t>
  </si>
  <si>
    <t>90000048</t>
  </si>
  <si>
    <t>33</t>
  </si>
  <si>
    <t>8139016</t>
  </si>
  <si>
    <t>90000093</t>
  </si>
  <si>
    <t>Bodega cerrada</t>
  </si>
  <si>
    <t>GMO POLICENTRO 1 C.C POLICENTRO. LOCAL # 101 PB- ENTRE LA AV. PRIMERA . LA CALLE</t>
  </si>
  <si>
    <t>90000050</t>
  </si>
  <si>
    <t>5-6778</t>
  </si>
  <si>
    <t>6778</t>
  </si>
  <si>
    <t>GMO RIOCENTRO CEIBOS C.C RIO CENTRO CEIBOS LOCAL # 26 PB. AV. DEL BOMBERO. VIA A</t>
  </si>
  <si>
    <t>5-6779</t>
  </si>
  <si>
    <t>6779</t>
  </si>
  <si>
    <t>39</t>
  </si>
  <si>
    <t>GMO EL PASEO PORTOVIEJO C.C EL PASEO SHOPPING PORTOVIEJO LOCAL #80-81. UBICADO E</t>
  </si>
  <si>
    <t>90000065</t>
  </si>
  <si>
    <t>90000017</t>
  </si>
  <si>
    <t>5-6892</t>
  </si>
  <si>
    <t>6892</t>
  </si>
  <si>
    <t>90000066</t>
  </si>
  <si>
    <t>90000067</t>
  </si>
  <si>
    <t>90000019</t>
  </si>
  <si>
    <t>GMO EL PASEO MANTA C.C. EL PASEO SHOPPING MANTA LOCAL N° 32 PLANTA ALTA. UBICADO</t>
  </si>
  <si>
    <t>90000068</t>
  </si>
  <si>
    <t>5-6896</t>
  </si>
  <si>
    <t>6896</t>
  </si>
  <si>
    <t>GMO PASEO SANTO DOMINGO C.C. EL PASEO SHOPPING SANTO DOMINGO LOCAL N° 50-51. UBI</t>
  </si>
  <si>
    <t>90000070</t>
  </si>
  <si>
    <t>5-6898</t>
  </si>
  <si>
    <t>6898</t>
  </si>
  <si>
    <t>90000071</t>
  </si>
  <si>
    <t>GMO QUICENTRO NORTE C.C. QUICENTRO SHOPPING LOCAL N° 59-A EN PLANTA BAJA  QUITO</t>
  </si>
  <si>
    <t>90000073</t>
  </si>
  <si>
    <t>5-6901</t>
  </si>
  <si>
    <t>6901</t>
  </si>
  <si>
    <t>90000081</t>
  </si>
  <si>
    <t>GMO CANTON DAULE C.C. EL PASEO SHOPPING DAULE LOCAL N° 27. UBICADO EN AV. VICENT</t>
  </si>
  <si>
    <t>90000035</t>
  </si>
  <si>
    <t>5-6926</t>
  </si>
  <si>
    <t>6926</t>
  </si>
  <si>
    <t>GMO LA MALTERIA C.C. LA MALTERIA PLAZA LOCAL PB-068 EN PLANTA BAJA. UBICADO EN A</t>
  </si>
  <si>
    <t>5-6927</t>
  </si>
  <si>
    <t>6927</t>
  </si>
  <si>
    <t>GMO MALL DEL SOL 3 C.C. MALL DEL SOL LOCAL N° A-020. UBICADO ENTRE LA AV. JOAQUI</t>
  </si>
  <si>
    <t>90000046</t>
  </si>
  <si>
    <t>5-6934</t>
  </si>
  <si>
    <t>6934</t>
  </si>
  <si>
    <t>GMO RIOCENTRO ENTRERIOS SECTOR DE LA PUNTILLA - LA AURORA. CANTON SAMBORONDON A</t>
  </si>
  <si>
    <t>90000091</t>
  </si>
  <si>
    <t>90000044</t>
  </si>
  <si>
    <t>5-8717</t>
  </si>
  <si>
    <t>8717</t>
  </si>
  <si>
    <t>90000092</t>
  </si>
  <si>
    <t>90000047</t>
  </si>
  <si>
    <t>90000100</t>
  </si>
  <si>
    <t>8140 - GMO Colombia</t>
  </si>
  <si>
    <t>SELL CAM</t>
  </si>
  <si>
    <t>8140</t>
  </si>
  <si>
    <t>CENTRO COMERCIAL CHIA I AV PRADILLA N 900 ESTE. LOCAL 1246 LA VICTORIA</t>
  </si>
  <si>
    <t>COP</t>
  </si>
  <si>
    <t>90000129</t>
  </si>
  <si>
    <t>5-6556</t>
  </si>
  <si>
    <t>6556</t>
  </si>
  <si>
    <t>CENTRO COMERCIAL OVIEDO CARRERA 43A N°6 SUR 15- LOCAL. 111 MEDELLIN</t>
  </si>
  <si>
    <t>5-6561</t>
  </si>
  <si>
    <t>6561</t>
  </si>
  <si>
    <t>CENTRO COMERCIAL GRAN ESTACIÓN I AV LA ESPERANZA N 62-49 BOGOTA. D.C.</t>
  </si>
  <si>
    <t>90000131</t>
  </si>
  <si>
    <t>5-6564</t>
  </si>
  <si>
    <t>6564</t>
  </si>
  <si>
    <t>TIENDA 12 AV 19 CON 138 AVENIDA 19 # 139-18 BOGOTA. D.C.</t>
  </si>
  <si>
    <t>90000133</t>
  </si>
  <si>
    <t>5-6572</t>
  </si>
  <si>
    <t>6572</t>
  </si>
  <si>
    <t>CENTRO COMERCIAL CHIPICHAPE AV 6A NORTE 37AN-97 LOCALES 5-11 Y 5-44 CALI</t>
  </si>
  <si>
    <t>90000137</t>
  </si>
  <si>
    <t>5-6600</t>
  </si>
  <si>
    <t>6600</t>
  </si>
  <si>
    <t>TIENDA 25 CARRERA 8 CARRERA 8 N 20-14/40 PEREIRA</t>
  </si>
  <si>
    <t>5-6601</t>
  </si>
  <si>
    <t>6601</t>
  </si>
  <si>
    <t>CENTRO COMERCIAL PALMETTO PLAZA CALLE 9 Nº 48-81 LOCAL 148 CALI</t>
  </si>
  <si>
    <t>5-6602</t>
  </si>
  <si>
    <t>6602</t>
  </si>
  <si>
    <t>CENTRO COMERCIAL LA FLORIDA CAÑAVERAL CARRERA 31 # 26 A - 27 LOCAL. 211 BUCARAMA</t>
  </si>
  <si>
    <t>5-6606</t>
  </si>
  <si>
    <t>6606</t>
  </si>
  <si>
    <t>CENTRO COMERCIAL MEGAMALL AV. QUEBRADA SECA NO.33A-100 LOCAL. 70 - 71 BUCARAMANG</t>
  </si>
  <si>
    <t>90000145</t>
  </si>
  <si>
    <t>5-6620</t>
  </si>
  <si>
    <t>6620</t>
  </si>
  <si>
    <t>CENTRO COMERCIAL SALITRE PLAZA CARREA 68B NO. 24-39 LOCAL 2-60 BOGOTA. D.C.</t>
  </si>
  <si>
    <t>90000148</t>
  </si>
  <si>
    <t>5-6627</t>
  </si>
  <si>
    <t>6627</t>
  </si>
  <si>
    <t>CENTRO COMERCIAL CABLE PLAZA CARRERA 21 NO. 20 -18 LOCAL. 114 MANIZALES</t>
  </si>
  <si>
    <t>90000153</t>
  </si>
  <si>
    <t>5-6640</t>
  </si>
  <si>
    <t>6640</t>
  </si>
  <si>
    <t>CENTRO COMERCIAL CARIBE PLAZA CALLE 29 NO 22 - 108 LOCAL. 1-14 CARTAGENA</t>
  </si>
  <si>
    <t>90000155</t>
  </si>
  <si>
    <t>5-6688</t>
  </si>
  <si>
    <t>6688</t>
  </si>
  <si>
    <t>CENTRO COMERCIAL CARRERA 11 CARRERA 11 NO 84 - 09 LOCAL. 7 BOGOTA. D.C.</t>
  </si>
  <si>
    <t>90000157</t>
  </si>
  <si>
    <t>5-6693</t>
  </si>
  <si>
    <t>49</t>
  </si>
  <si>
    <t>6693</t>
  </si>
  <si>
    <t>CENTRO COMERCIAL SANTA FE II AV.EL POBLADO CARRERA 43A NO 7 SUR - 170 LOCAL 9148</t>
  </si>
  <si>
    <t>5-6699</t>
  </si>
  <si>
    <t>6699</t>
  </si>
  <si>
    <t>CENTRO COMERCIAL CENTRO MAYOR I CALLE 38 A SUR N° 34D - 50 AVENIDA CARRERA 27 NO</t>
  </si>
  <si>
    <t>5-6700</t>
  </si>
  <si>
    <t>6700</t>
  </si>
  <si>
    <t>CENTRO 93 CARRERA 15 NO 93 - 60 LOCAL. 117 BOGOTA. D.C.</t>
  </si>
  <si>
    <t>5-6701</t>
  </si>
  <si>
    <t>6701</t>
  </si>
  <si>
    <t>CENTRO COMERCIAL PORTAL DEL PRADO CALLE 53 NO 46 - 192 LOCAL. 1-60 BARRANQUILLA</t>
  </si>
  <si>
    <t>5-6714</t>
  </si>
  <si>
    <t>6714</t>
  </si>
  <si>
    <t>CENTRO COMERCIAL LOS FUNDADORES CALLE 33B NO 20 - 03 LOCAL. 249 MANIZALES</t>
  </si>
  <si>
    <t>5-6716</t>
  </si>
  <si>
    <t>6716</t>
  </si>
  <si>
    <t>CENTRO COMERCIAL CENTRO MAYOR II CALLE 38 A SUR NO 34D - 50 AVENIDA CARRERA 27</t>
  </si>
  <si>
    <t>5-6717</t>
  </si>
  <si>
    <t>6717</t>
  </si>
  <si>
    <t>CENTRO COMERCIAL LOS MOLINOS CALLE 30 A N° 82A - 26 LOCAL 1006 MEDELLIN</t>
  </si>
  <si>
    <t>5-6759</t>
  </si>
  <si>
    <t>6759</t>
  </si>
  <si>
    <t>CENTRO COMERCIAL COUNTRY CALLE 78 Nº 53-70 LOCAL. 1-29 BARRANQUILLA</t>
  </si>
  <si>
    <t>5-6760</t>
  </si>
  <si>
    <t>6760</t>
  </si>
  <si>
    <t>CENTRO COMERCIAL LA ESTACIÓN IBAGUE INTERSECCION ENTRE LA AVENIDA 60 Y LA AVENID</t>
  </si>
  <si>
    <t>5-6764</t>
  </si>
  <si>
    <t>6764</t>
  </si>
  <si>
    <t>CENTRO COMERCIAL GIRARDOT CARRERA 7A N°73-77 LOCALES 118-119 GIRARDOT</t>
  </si>
  <si>
    <t>5-6776</t>
  </si>
  <si>
    <t>6776</t>
  </si>
  <si>
    <t>CENTRO COMERCIAL UNICO PASTO CALLE 22 NO. 6 - 61 LOCAL. 60 PASTO</t>
  </si>
  <si>
    <t>5-8583</t>
  </si>
  <si>
    <t>8583</t>
  </si>
  <si>
    <t>CENTRO COMERCIAL OUTLET UNICO CALI CARRERA 3 # 52-82 BARRIO SALOMIA LOCAL COMERC</t>
  </si>
  <si>
    <t>5-8585</t>
  </si>
  <si>
    <t>8585</t>
  </si>
  <si>
    <t>CENTRO COMERCIAL ARRECIFE CARRERA 4 N°11A-119 LOCAL 113. SANTA MARTA PEREIRA</t>
  </si>
  <si>
    <t>5-8712</t>
  </si>
  <si>
    <t>8712</t>
  </si>
  <si>
    <t>CENTRO COMERCIAL UNICO OUTLET VILLAVICENCIO CARRERA 22 N° 8C-67 LOCAL 33 A BARRI</t>
  </si>
  <si>
    <t>5-8714</t>
  </si>
  <si>
    <t>8714</t>
  </si>
  <si>
    <t>CENTRO COMERCIAL PARQUE DE LA COLINA CARRERA 58D N° 146-51. LOCAL 346 BOGOTA. D.</t>
  </si>
  <si>
    <t>5-8859</t>
  </si>
  <si>
    <t>8859</t>
  </si>
  <si>
    <t>CENTRO COMERCIAL UNICO NEIVA CALLE 64 N°1D140 LOCAL 16 NEIVA</t>
  </si>
  <si>
    <t>5-8969</t>
  </si>
  <si>
    <t>8969</t>
  </si>
  <si>
    <t>SUNGLASS HUT CENTRO COMERCIAL ANDINO CARRERA 12 N°82-02 LOCAL 02-31 BOGOTA. D.C.</t>
  </si>
  <si>
    <t>90000069</t>
  </si>
  <si>
    <t>5-9058</t>
  </si>
  <si>
    <t>9058</t>
  </si>
  <si>
    <t>RAY BAN CENTRO COMERCIAL UNICENTRO AV. 15 N°124-30 LOCAL 2-272 BOGOTA. D.C.</t>
  </si>
  <si>
    <t>5-9205</t>
  </si>
  <si>
    <t>9205</t>
  </si>
  <si>
    <t>SUNGLASS HUT MULTIPLAZA CALLE 19A N°72-57 LOCAL A 132 BOGOTA. D.C.</t>
  </si>
  <si>
    <t>5-9302</t>
  </si>
  <si>
    <t>9302</t>
  </si>
  <si>
    <t>SUNGLASS HUT FONTANAR VÍA CHÍA KM 2.5 CAJICÁ CHIA</t>
  </si>
  <si>
    <t>5-9305</t>
  </si>
  <si>
    <t>9305</t>
  </si>
  <si>
    <t>RAY BAN CENTRO COMERCIAL ANDINO CARRERA 12 N° 82-02 LOCAL 1-46 - 1-48. BODEGA 43</t>
  </si>
  <si>
    <t>5-9355</t>
  </si>
  <si>
    <t>9355</t>
  </si>
  <si>
    <t>CIUDADELA COMERCIAL UNICENTRO AVENIDA CARRERA 15 # 124 - 30 LOCAL. 1-176 BOGOTA.</t>
  </si>
  <si>
    <t>5-6603</t>
  </si>
  <si>
    <t>6603</t>
  </si>
  <si>
    <t>CENTRO COMERCIAL SANTA FE I CALLE 185 N °45-03 LOCAL 2-127 Y 2-126 BOGOTA. D.C.</t>
  </si>
  <si>
    <t>5-6553</t>
  </si>
  <si>
    <t>6553</t>
  </si>
  <si>
    <t>6563-CENTRO COMERCIAL LOS MOLINOS I-T007</t>
  </si>
  <si>
    <t>90000112</t>
  </si>
  <si>
    <t>5-6563</t>
  </si>
  <si>
    <t>6563</t>
  </si>
  <si>
    <t>6652 GMO CENTRO COMERCIAL PORTAL DE LA 80 CALLE 80 NO. 110 - 52  LOCAL. 1-100</t>
  </si>
  <si>
    <t>5-6652</t>
  </si>
  <si>
    <t>6652</t>
  </si>
  <si>
    <t>6636 GMO CENTRO COMERCIAL MAYORCA  CALLE 51 SUR NO. 48 T49</t>
  </si>
  <si>
    <t>90000116</t>
  </si>
  <si>
    <t>5-6636</t>
  </si>
  <si>
    <t>16</t>
  </si>
  <si>
    <t>6636</t>
  </si>
  <si>
    <t>6629 GMO TIENDA 45 CEDRITOS 2 T045</t>
  </si>
  <si>
    <t>5-6629</t>
  </si>
  <si>
    <t>6629</t>
  </si>
  <si>
    <t>6621 GMO CENTRO COMERCIAL LA QUINTA T039</t>
  </si>
  <si>
    <t>90000125</t>
  </si>
  <si>
    <t>5-6621</t>
  </si>
  <si>
    <t>6621</t>
  </si>
  <si>
    <t>A854 GMO CC PARQUE ARBOLEDA T138</t>
  </si>
  <si>
    <t>5-A854</t>
  </si>
  <si>
    <t>A854</t>
  </si>
  <si>
    <t>A997 SUNGLASS HUT AEROPUERTO EL DORADO 2</t>
  </si>
  <si>
    <t>5-A997</t>
  </si>
  <si>
    <t>A997</t>
  </si>
  <si>
    <t>8525 CENTRO DE DISTRIBUCIÓN</t>
  </si>
  <si>
    <t>GMO_TAX</t>
  </si>
  <si>
    <t>5-8525</t>
  </si>
  <si>
    <t>8525</t>
  </si>
  <si>
    <t>P362  SGH Mall Plaza Buenavista</t>
  </si>
  <si>
    <t>5-P362</t>
  </si>
  <si>
    <t>P362</t>
  </si>
  <si>
    <t>P757  Sunglass Hut Mall Plaza Cali</t>
  </si>
  <si>
    <t>5-P757</t>
  </si>
  <si>
    <t>P757</t>
  </si>
  <si>
    <t>C965 RAY BAN SERREZUELA CARRERA 11 #  39-21 LOCAL 109</t>
  </si>
  <si>
    <t>C965</t>
  </si>
  <si>
    <t>8580 CENTRO COMERCIAL GRAN PLAZA DEL SOL CARRERA 32 N. 30-15 LOCAL 2-06 / 2-07</t>
  </si>
  <si>
    <t>5-055</t>
  </si>
  <si>
    <t>8580</t>
  </si>
  <si>
    <t>6686 T61AV. SAN MARTIN. UBICADO EN CARRERA 2 NO. 10 - 44 CARTAGENA</t>
  </si>
  <si>
    <t>5-031</t>
  </si>
  <si>
    <t>6686</t>
  </si>
  <si>
    <t>CENTRO COMERCIAL VIVA VILLAVICENCIO CALLE 7 # 45-185 LOCAL # 134B VILLAVICENCIO</t>
  </si>
  <si>
    <t>8584</t>
  </si>
  <si>
    <t>CENTRO COMERCIAL PARQUE CARACOLÍ CARRERA 27 N. 29 - 145 S.U.C. SLC109 BUCARAMANG</t>
  </si>
  <si>
    <t>5-0057</t>
  </si>
  <si>
    <t>8582</t>
  </si>
  <si>
    <t>P336 SGH Aeropuerto Barranquilla</t>
  </si>
  <si>
    <t>5-P336</t>
  </si>
  <si>
    <t>P336</t>
  </si>
  <si>
    <t>CENTRO COMERCIAL UNICENTRO VILLAVICENCIO AV. 40 N°26-C-10 LOCALES 133-134 VILLAV</t>
  </si>
  <si>
    <t>5-0080</t>
  </si>
  <si>
    <t>9101</t>
  </si>
  <si>
    <t>6626-CENTRO COMERCIAL HAYUELOS - T041</t>
  </si>
  <si>
    <t>5-0022</t>
  </si>
  <si>
    <t>6626</t>
  </si>
  <si>
    <t>6711 GMO CENTRO COMERCIAL SAN NICOLAS  T78</t>
  </si>
  <si>
    <t>5-00116</t>
  </si>
  <si>
    <t>6711</t>
  </si>
  <si>
    <t>P834-PLAZA LA SERREZUELA SAS</t>
  </si>
  <si>
    <t>5-P834</t>
  </si>
  <si>
    <t>P834</t>
  </si>
  <si>
    <t>CENTRO COMERCIAL UNICO OUTLET BARRANQUILLA CALLE 74 N°38D-103 LOCAL 75 BARRANQUI</t>
  </si>
  <si>
    <t>5-077</t>
  </si>
  <si>
    <t>9072</t>
  </si>
  <si>
    <t>9575_GMO CENTRO COMERCIAL EL CACIQUE_ T134</t>
  </si>
  <si>
    <t>5-0104</t>
  </si>
  <si>
    <t>9575</t>
  </si>
  <si>
    <t>8140074-NUEVA OFICINA ADMINISTRACIÓN COLOMBIA</t>
  </si>
  <si>
    <t>5-0099</t>
  </si>
  <si>
    <t>8140074</t>
  </si>
  <si>
    <t>CENTRO COMERCIAL BUENAVISTA AVENIDA DEL LIBERTADOR CALLE 14 N° 34-01 LOCAL 11 SA</t>
  </si>
  <si>
    <t>6767</t>
  </si>
  <si>
    <t>CENTRO COMERCIAL BOCAGRANDE CARRERA 1 12-118 LOCAL 1-14 CARTAGENA CARTAGENA</t>
  </si>
  <si>
    <t>5-0066</t>
  </si>
  <si>
    <t>8751</t>
  </si>
  <si>
    <t>Q137 GMO Unico Bucaramanga</t>
  </si>
  <si>
    <t>5-0148</t>
  </si>
  <si>
    <t>Q137</t>
  </si>
  <si>
    <t>CENTRO COMERCIAL PREMIUM PLAZA CALLE 29 NO.43G-10 LOCAL 1328 MEDELLIN</t>
  </si>
  <si>
    <t>5-0019</t>
  </si>
  <si>
    <t>6619</t>
  </si>
  <si>
    <t>6687 GMO CENTRO COMERCIAL PLAZA IMPERIAL  T64</t>
  </si>
  <si>
    <t>5-0114</t>
  </si>
  <si>
    <t>6687</t>
  </si>
  <si>
    <t>CENTRO COMERCIAL UNICENTRO II AV. 15 N°124-30 LOCAL 1-018 BOGOTA. D.C.</t>
  </si>
  <si>
    <t>5-0081</t>
  </si>
  <si>
    <t>E924 GMO CENTRO COMERCIAL EL TESORO II ETAPA 4A</t>
  </si>
  <si>
    <t>5-0123</t>
  </si>
  <si>
    <t>E924</t>
  </si>
  <si>
    <t>AUTO LEASING BBVA COLOMBIA : 0401-1000-00002701700</t>
  </si>
  <si>
    <t>8140015</t>
  </si>
  <si>
    <t>AUTO LEASING BBVA COLOMBIA</t>
  </si>
  <si>
    <t>35</t>
  </si>
  <si>
    <t>8140059</t>
  </si>
  <si>
    <t>ARRIENDO BIOMETRICOS PROYECTO GEO VICTORIA</t>
  </si>
  <si>
    <t>90000102</t>
  </si>
  <si>
    <t>CENTRO COMERCIAL EL TESORO CARRERA 25A N 1A SUR 45 LOCAL 1178 MEDELLIN</t>
  </si>
  <si>
    <t>90000128</t>
  </si>
  <si>
    <t>5-6554</t>
  </si>
  <si>
    <t>6554</t>
  </si>
  <si>
    <t>CENTRO COMERCIAL SAN DIEGO CALLE 34 N° 43 -66 L. 114 (C-14) MEDELLIN</t>
  </si>
  <si>
    <t>90000127</t>
  </si>
  <si>
    <t>5-6568</t>
  </si>
  <si>
    <t>6568</t>
  </si>
  <si>
    <t>TIENDA PRIME TOWER CALLE 100 N°19 -61 LOCAL. 102 BOGOTA. D.C.</t>
  </si>
  <si>
    <t>90000132</t>
  </si>
  <si>
    <t>5-6570</t>
  </si>
  <si>
    <t>6570</t>
  </si>
  <si>
    <t>TIENDA 14 PEREIRA CARRERA 7 N 20-24 PEREIRA</t>
  </si>
  <si>
    <t>90000134</t>
  </si>
  <si>
    <t>5-6574</t>
  </si>
  <si>
    <t>6574</t>
  </si>
  <si>
    <t>TIENDA 17 CHAPINERO CARRERA 13 N 58- 82/88 BOGOTA. D.C.</t>
  </si>
  <si>
    <t>5-6577</t>
  </si>
  <si>
    <t>6577</t>
  </si>
  <si>
    <t>TIENDA 18 LA ORIENTAL CARRERA 46 N° 49A-33 MEDELLIN</t>
  </si>
  <si>
    <t>90000135</t>
  </si>
  <si>
    <t>5-6586</t>
  </si>
  <si>
    <t>6586</t>
  </si>
  <si>
    <t>CENTRO COMERCIAL UNICENTRO DE CALI CALLE 13 CON CARRERA 100 LOCAL: 259 CALI</t>
  </si>
  <si>
    <t>90000136</t>
  </si>
  <si>
    <t>5-6599</t>
  </si>
  <si>
    <t>141</t>
  </si>
  <si>
    <t>6599</t>
  </si>
  <si>
    <t>COSMOCENTRO CIUDADELA COMERCIAL CALLE 5 # 50-103 LOCAL. 29 CALI</t>
  </si>
  <si>
    <t>90000141</t>
  </si>
  <si>
    <t>5-6610</t>
  </si>
  <si>
    <t>6610</t>
  </si>
  <si>
    <t>CENTRO BOGOTÁ CALLE 19 # 4 - 98 LOCAL: 102 BOGOTA. D.C.</t>
  </si>
  <si>
    <t>5-6616</t>
  </si>
  <si>
    <t>6616</t>
  </si>
  <si>
    <t>CENTRO COMERCIAL BOULEVAR NIZA CARRERA 52 # 125 A - 59 LOCAL. 1-106 BOGOTA. D.C.</t>
  </si>
  <si>
    <t>5-6617</t>
  </si>
  <si>
    <t>114</t>
  </si>
  <si>
    <t>6617</t>
  </si>
  <si>
    <t>5-6619</t>
  </si>
  <si>
    <t>REEMPLAZO 5-149</t>
  </si>
  <si>
    <t>CENTRO COMERCIAL SALITRE PLAZA CARRERA 68B NO. 24-39 LOCAL 2-52 BOGOTA. D.C.</t>
  </si>
  <si>
    <t>90000146</t>
  </si>
  <si>
    <t>90000099</t>
  </si>
  <si>
    <t>5-6623</t>
  </si>
  <si>
    <t>6623</t>
  </si>
  <si>
    <t>CENTRO COMERCIAL HAYUELOS CALLE 29 NO. 80-25 LOCAL. 1-123 BOGOTA. D.C.</t>
  </si>
  <si>
    <t>90000147</t>
  </si>
  <si>
    <t>5-6626</t>
  </si>
  <si>
    <t>REEMPLAZO 5-140</t>
  </si>
  <si>
    <t>TIENDA 44 GALERIA CARRERA 23 NO. 53-10 BOGOTA. D.C.</t>
  </si>
  <si>
    <t>90000149</t>
  </si>
  <si>
    <t>5-6628</t>
  </si>
  <si>
    <t>6628</t>
  </si>
  <si>
    <t>CENTRO COMERCIAL PLAZA LAS AMERICAS CARRERA 71D NO. 6 - 94 SUR. LOCAL 1226 BOGOT</t>
  </si>
  <si>
    <t>90000150</t>
  </si>
  <si>
    <t>5-6632</t>
  </si>
  <si>
    <t>6632</t>
  </si>
  <si>
    <t>REEMPLAZO 5-129</t>
  </si>
  <si>
    <t>TIENDA 48 CENTRO AVIANCA CARRERA 7 NO. 16 - 74 BOGOTA. D.C.</t>
  </si>
  <si>
    <t>90000151</t>
  </si>
  <si>
    <t>5-6633</t>
  </si>
  <si>
    <t>6633</t>
  </si>
  <si>
    <t>TIENDA 51 ARMENIA 2 CARRERA 14 NO. 17 - 21 ARMENIA</t>
  </si>
  <si>
    <t>5-6638</t>
  </si>
  <si>
    <t>6638</t>
  </si>
  <si>
    <t>T53 AV CHILE 2 CALLE 72 NO. 9 - 29 BOGOTA. D.C.</t>
  </si>
  <si>
    <t>5-6649</t>
  </si>
  <si>
    <t>6649</t>
  </si>
  <si>
    <t>T61 AV SAN MARTIN AV. SAN MARTIN. UBICADO EN CARRERA 2 NO. 10 - 44 CARTAGENA</t>
  </si>
  <si>
    <t>90000154</t>
  </si>
  <si>
    <t>5-6686</t>
  </si>
  <si>
    <t>REEMPLAZO 5-134</t>
  </si>
  <si>
    <t>CENTRO COMERCIAL JARDIN PLAZA CARRERA 100 Y 98 Y AVENIDA SIMON BOLIVAR Y CALLE 1</t>
  </si>
  <si>
    <t>90000156</t>
  </si>
  <si>
    <t>5-6692</t>
  </si>
  <si>
    <t>6692</t>
  </si>
  <si>
    <t>CENTRO COMERCIAL PREMIER EL LIMONAR CALLE 5 NO 69- 03 LOCAL. 274 CALI</t>
  </si>
  <si>
    <t>90000158</t>
  </si>
  <si>
    <t>5-6694</t>
  </si>
  <si>
    <t>6694</t>
  </si>
  <si>
    <t>TIENDA 73 ENVIGADO CARRERA 43 NO 36 SUR -84 LOCAL. 4 ENVIGADO</t>
  </si>
  <si>
    <t>5-6696</t>
  </si>
  <si>
    <t>6696</t>
  </si>
  <si>
    <t>CENTRO COMERCIAL MULTICENTRO CARRERA 5 NO 66 - 123/ 61 - 41 LOCAL. 205 IBAGUE</t>
  </si>
  <si>
    <t>5-6715</t>
  </si>
  <si>
    <t>54</t>
  </si>
  <si>
    <t>6715</t>
  </si>
  <si>
    <t>PASEO CENTRO BUCARAMANGA CALLE 35 NO 17 - 02 LOCAL 01 BUCARAMANGA</t>
  </si>
  <si>
    <t>5-6719</t>
  </si>
  <si>
    <t>6719</t>
  </si>
  <si>
    <t>CENTRO COMERCIAL CALIMA CALLE 19 Nº 28-80 LOCAL. A-13 BOGOTA. D.C.</t>
  </si>
  <si>
    <t>5-6761</t>
  </si>
  <si>
    <t>22</t>
  </si>
  <si>
    <t>6761</t>
  </si>
  <si>
    <t>CENTRO COMERCIAL ATLANTIS PLAZA CALLE 81 # 13-05 LOCAL 004 BOGOTA. D.C.</t>
  </si>
  <si>
    <t>5-6762</t>
  </si>
  <si>
    <t>66</t>
  </si>
  <si>
    <t>6762</t>
  </si>
  <si>
    <t>CENTRO COMERCIAL TITAN PLAZA AV CARRERA 72 # 80-94 LOCAL 2-014A BOGOTA. D.C.</t>
  </si>
  <si>
    <t>90000172</t>
  </si>
  <si>
    <t>5-6763-1</t>
  </si>
  <si>
    <t>65</t>
  </si>
  <si>
    <t>6763</t>
  </si>
  <si>
    <t>CENTRO COMERCIAL SANTA FE III CALLE 185 N 45-03 LOCAL N1-188 BOGOTA. D.C.</t>
  </si>
  <si>
    <t>5-6766</t>
  </si>
  <si>
    <t>6766</t>
  </si>
  <si>
    <t>5-6767</t>
  </si>
  <si>
    <t>REEMPLAZO 5-146</t>
  </si>
  <si>
    <t>CENTRO COMERCIAL GRAN PLAZA DEL SOL CARRERA 32 N. 30-15 LOCAL 2-06 / 2-07 BARRAN</t>
  </si>
  <si>
    <t>5-8580</t>
  </si>
  <si>
    <t>REEMPLAZO 5-133</t>
  </si>
  <si>
    <t>CENTRO COMERCIAL CENTENARIO AVENIDA 4N # 7N-46/64 LOCAL 111 CALI</t>
  </si>
  <si>
    <t>5-8581</t>
  </si>
  <si>
    <t>8581</t>
  </si>
  <si>
    <t>5-8582</t>
  </si>
  <si>
    <t>REEMPLAZO 5-137</t>
  </si>
  <si>
    <t>5-8584</t>
  </si>
  <si>
    <t>REEMPLAZO 5-135</t>
  </si>
  <si>
    <t>CENTRO COMERCIAL AVENTURA PH CARRERA 43A N° 18 SUR 135 CON NOMNECLATURA PROVISIO</t>
  </si>
  <si>
    <t>5-8713</t>
  </si>
  <si>
    <t>8713</t>
  </si>
  <si>
    <t>CENTRO COMERCIAL UNICENTRO PEREIRA AVENIDA 30 DE AGOSTO N° 75-51. LOCAL COMERCIA</t>
  </si>
  <si>
    <t>5-8749</t>
  </si>
  <si>
    <t>8749</t>
  </si>
  <si>
    <t>CENTRO COMERCIAL CIUDAD VICTORIA CARRERA 11 BIS N° 17-20 LOCAL 107 PEREIRA</t>
  </si>
  <si>
    <t>5-8750</t>
  </si>
  <si>
    <t>8750</t>
  </si>
  <si>
    <t>5-8751</t>
  </si>
  <si>
    <t>REEMPLAZO 5-147</t>
  </si>
  <si>
    <t>CENTRO COMERCIAL ANTARES CARRERA 4A # 31-40 LOCAL 2-261 SOACHA</t>
  </si>
  <si>
    <t>5-8860</t>
  </si>
  <si>
    <t>8860</t>
  </si>
  <si>
    <t>CENTRO COMERCIAL UNICO YUMBO CALLE 15 N°-30 LOCAL 08 YUMBO</t>
  </si>
  <si>
    <t>5-8968</t>
  </si>
  <si>
    <t>8968</t>
  </si>
  <si>
    <t>CENTRO COMERCIAL PUERTA DEL NORTE P.H. DIAGONAL 55 N°34-67 LOCALES 2-067 / 2-068</t>
  </si>
  <si>
    <t>5-8974</t>
  </si>
  <si>
    <t>8974</t>
  </si>
  <si>
    <t>CENTRO COMERCIAL LOS GLOBOS CALLET 72 N°52-42 LOCAL 8 BARRANQUILLA</t>
  </si>
  <si>
    <t>5-8975</t>
  </si>
  <si>
    <t>23</t>
  </si>
  <si>
    <t>8975</t>
  </si>
  <si>
    <t>CENTRO COMERCIAL MALL PLAZA EL CASTILLO AVENIDA PEDRO DE HEREDIA CARRERA 13 N° 3</t>
  </si>
  <si>
    <t>5-8976</t>
  </si>
  <si>
    <t>8976</t>
  </si>
  <si>
    <t>CENTRO COMERCIAL PASEO SAN RAFAEL CALLE 134 N°55-30 LOCALES 102-103 BOGOTA. D.C.</t>
  </si>
  <si>
    <t>5-9053</t>
  </si>
  <si>
    <t>9053</t>
  </si>
  <si>
    <t>EDIFICIO VIDA (ED.COLORES) CALLE 5D N°38A - 35 LOCAL 1 CALI</t>
  </si>
  <si>
    <t>5-9057</t>
  </si>
  <si>
    <t>21</t>
  </si>
  <si>
    <t>9057</t>
  </si>
  <si>
    <t>5-9072</t>
  </si>
  <si>
    <t>REEMPLAZO 5-143</t>
  </si>
  <si>
    <t>CENTRO COMERCIAL LA FLORIDA CALLE 1 N°65-150 LOCAL 1-383 MEDELLIN</t>
  </si>
  <si>
    <t>5-9096</t>
  </si>
  <si>
    <t>9096</t>
  </si>
  <si>
    <t>CENTRO COMERCIAL SANTA FE IV CARRERA 43 A N°7 SUR - 170 LOCAL 1198 MEDELLIN</t>
  </si>
  <si>
    <t>5-9100</t>
  </si>
  <si>
    <t>9100</t>
  </si>
  <si>
    <t>5-9101</t>
  </si>
  <si>
    <t>REEMPLAZO 5-139</t>
  </si>
  <si>
    <t>5-9102</t>
  </si>
  <si>
    <t>9102</t>
  </si>
  <si>
    <t>CENTRO COMERCIAL UNICENTRO ARMENIA CARRERA 14 N°6-02 LOCAL L2-78 ARMENIA</t>
  </si>
  <si>
    <t>5-9103</t>
  </si>
  <si>
    <t>9103</t>
  </si>
  <si>
    <t>SUNGLASS HUT CENTRO COMERCIAL UNICENTRO CARRERA 15 N°124-30 LOCAL 2-185 BOGOTA.</t>
  </si>
  <si>
    <t>5-9104</t>
  </si>
  <si>
    <t>9104</t>
  </si>
  <si>
    <t>CENTRO COMERCIAL MULTIPLAZA LA FELICIDAD CALLE 19-A N°72-57. AV. BOYACÁ CON CALL</t>
  </si>
  <si>
    <t>5-9120</t>
  </si>
  <si>
    <t>9120</t>
  </si>
  <si>
    <t>SUNGLASS HUT SANTA FE CALLE 185 N°45-03 LOCAL N-1-071 BOGOTA. D.C.</t>
  </si>
  <si>
    <t>5-9177</t>
  </si>
  <si>
    <t>9177</t>
  </si>
  <si>
    <t>RAY BAN CENTRO COMERCIAL SANTA FE N°45-03 DE LA CALLE 185 LOCAL -36 BOGOTA. D.C.</t>
  </si>
  <si>
    <t>5-9208</t>
  </si>
  <si>
    <t>9208</t>
  </si>
  <si>
    <t>CENTRO COMERCIAL AVENIDA DE CHILE CALLE 72 N°10-34 LOCAL 122 - 127 BOGOTA. D.C.</t>
  </si>
  <si>
    <t>5-9209</t>
  </si>
  <si>
    <t>9209</t>
  </si>
  <si>
    <t>RAY BAN PARQUE COLINA CARRERA N°58D N°146-51 LOCAL 118 BOGOTA. D.C.</t>
  </si>
  <si>
    <t>5-9264</t>
  </si>
  <si>
    <t>9264</t>
  </si>
  <si>
    <t>SUNGLASS HUT AEROPUERTO EL DORADO AEROPUERTO EL DORADO LOCAL GAA21040 BOGOTA. D.</t>
  </si>
  <si>
    <t>5-9301</t>
  </si>
  <si>
    <t>9301</t>
  </si>
  <si>
    <t>Contrato variable</t>
  </si>
  <si>
    <t>SUNGLASS HUT COLINA CARRERA N°58-D N°146-51 BOGOTA. D.C.</t>
  </si>
  <si>
    <t>5-9303</t>
  </si>
  <si>
    <t>9303</t>
  </si>
  <si>
    <t>SUNGLASS HUT PREMIUM OUTLET ARAUCO LOCAL 35A SOPO</t>
  </si>
  <si>
    <t>5-9304</t>
  </si>
  <si>
    <t>9304</t>
  </si>
  <si>
    <t>CENTRO COMERCIAL TITAN PLAZA AV. CARRERA 72 # 80-94 LOCAL 2-014 BOGOTA. D.C.</t>
  </si>
  <si>
    <t>5-6763-2</t>
  </si>
  <si>
    <t>8140074-OFICINA ADMINISTRACIÓN GMO COLOMBIA</t>
  </si>
  <si>
    <t>CESADO 2023 - SIN NOTICE // OF cerrada</t>
  </si>
  <si>
    <t>C940_GMO FONTANAR</t>
  </si>
  <si>
    <t>90000105</t>
  </si>
  <si>
    <t>5-C940</t>
  </si>
  <si>
    <t>C940</t>
  </si>
  <si>
    <t>9458_CENTRO COMERCIAL PALATINO_T131</t>
  </si>
  <si>
    <t>90000106</t>
  </si>
  <si>
    <t>5-9458</t>
  </si>
  <si>
    <t>9458</t>
  </si>
  <si>
    <t>REEMPLAZO 5-136</t>
  </si>
  <si>
    <t>5-9575</t>
  </si>
  <si>
    <t>32</t>
  </si>
  <si>
    <t>REEMPLAZO 5-144</t>
  </si>
  <si>
    <t>9595_GMO MANIZALES_T132</t>
  </si>
  <si>
    <t>90000111</t>
  </si>
  <si>
    <t>5-9595</t>
  </si>
  <si>
    <t>9595</t>
  </si>
  <si>
    <t>9596_RAY BAN BARRANQUILLA</t>
  </si>
  <si>
    <t>90000109</t>
  </si>
  <si>
    <t>5-9596</t>
  </si>
  <si>
    <t>34</t>
  </si>
  <si>
    <t>9596</t>
  </si>
  <si>
    <t>90000110</t>
  </si>
  <si>
    <t>5-C965</t>
  </si>
  <si>
    <t>REEMPLAZO 5-132</t>
  </si>
  <si>
    <t>GMO CENTRO COMERCIAL UNICENTRO CALLE 13 CON CARRERA 100 LOCAL 224 T019</t>
  </si>
  <si>
    <t>5-6598</t>
  </si>
  <si>
    <t>6598</t>
  </si>
  <si>
    <t>6660 GMO CENTRO COM.  BUENAVISTA CARRERA 53 CALLE 99 T055</t>
  </si>
  <si>
    <t>90000117</t>
  </si>
  <si>
    <t>5-6660</t>
  </si>
  <si>
    <t>6660</t>
  </si>
  <si>
    <t>90000118</t>
  </si>
  <si>
    <t>5-6687</t>
  </si>
  <si>
    <t>REEMPLAZO 5-150</t>
  </si>
  <si>
    <t>6573 GMO CENTRO COMERCIAL GRAN ESTACIÓN II  T013</t>
  </si>
  <si>
    <t>5-6573</t>
  </si>
  <si>
    <t>6573</t>
  </si>
  <si>
    <t>90000120</t>
  </si>
  <si>
    <t>5-6711</t>
  </si>
  <si>
    <t>REEMPLAZO 5-141</t>
  </si>
  <si>
    <t>9216 GMO GRAN ESTACIÓN III T133</t>
  </si>
  <si>
    <t>90000121</t>
  </si>
  <si>
    <t>5-9216</t>
  </si>
  <si>
    <t>9216</t>
  </si>
  <si>
    <t>6718 GMO  CARRERA 15 CON 85 T83</t>
  </si>
  <si>
    <t>90000123</t>
  </si>
  <si>
    <t>5-6718</t>
  </si>
  <si>
    <t>6718</t>
  </si>
  <si>
    <t>6685 GMO CENTRO COMERCIAL PANORAMA T60</t>
  </si>
  <si>
    <t>90000124</t>
  </si>
  <si>
    <t>5-6685</t>
  </si>
  <si>
    <t>6685</t>
  </si>
  <si>
    <t>9636 GMO Viva Envigado</t>
  </si>
  <si>
    <t>90000126</t>
  </si>
  <si>
    <t>5-9636</t>
  </si>
  <si>
    <t>9636</t>
  </si>
  <si>
    <t>5-E924</t>
  </si>
  <si>
    <t>REEMPLAZO 5-152</t>
  </si>
  <si>
    <t>CENTRO DE DISTRIBUCION</t>
  </si>
  <si>
    <t>6632-5000026</t>
  </si>
  <si>
    <t>G001 - La Optica S.A.</t>
  </si>
  <si>
    <t>VIRTUAL CONTRACT</t>
  </si>
  <si>
    <t>G001</t>
  </si>
  <si>
    <t>O653_GV_WAREHOUSE MAS VISIÓN</t>
  </si>
  <si>
    <t>ARS</t>
  </si>
  <si>
    <t>AR001-ORE_0002(2)</t>
  </si>
  <si>
    <t>O653</t>
  </si>
  <si>
    <t>M060_GV_MAS VISIÓN PARQUE BROWN</t>
  </si>
  <si>
    <t>AR001-ARO_0002 (3)</t>
  </si>
  <si>
    <t>M060</t>
  </si>
  <si>
    <t>M061_GV_MAS VISIÓN UNICENTER</t>
  </si>
  <si>
    <t>AR001-ARO_0003 (2)</t>
  </si>
  <si>
    <t>M061</t>
  </si>
  <si>
    <t>M062_GV_MAS VISIÓN ABASTO</t>
  </si>
  <si>
    <t>AR001-ARO_0004(3)</t>
  </si>
  <si>
    <t>45</t>
  </si>
  <si>
    <t>M062</t>
  </si>
  <si>
    <t>M063_GV_MAS VISIÓN LOMAS</t>
  </si>
  <si>
    <t>AR001-ARO_0006(3)</t>
  </si>
  <si>
    <t>M063</t>
  </si>
  <si>
    <t>M064_GV_MAS VISIÓN JUMBO SAN MARTÍN</t>
  </si>
  <si>
    <t>AR001-ARO_0007(1)</t>
  </si>
  <si>
    <t>M064</t>
  </si>
  <si>
    <t>M065_GV_MAS VISIÓN PLAZA OESTE</t>
  </si>
  <si>
    <t>AR001-ARO_0009 (3)</t>
  </si>
  <si>
    <t>M065</t>
  </si>
  <si>
    <t>M066_GV_MAS VISIÓN QUILMES</t>
  </si>
  <si>
    <t>AR001-ARO_0010(3)</t>
  </si>
  <si>
    <t>M066</t>
  </si>
  <si>
    <t>M067_GV_MAS VISIÓN PILAR</t>
  </si>
  <si>
    <t>AR001-ARO_0011(3)</t>
  </si>
  <si>
    <t>M067</t>
  </si>
  <si>
    <t>M076_GV_MAS VISIÓN JUMBO PALERMO</t>
  </si>
  <si>
    <t>AR001-ARO_0034(2)</t>
  </si>
  <si>
    <t>M076</t>
  </si>
  <si>
    <t>M078_GV_MAS VISIÓN SOLAR</t>
  </si>
  <si>
    <t>AR001-ARO_0039(3)</t>
  </si>
  <si>
    <t>M078</t>
  </si>
  <si>
    <t>M079_GV_MAS VISIÓN AVELLANEDA</t>
  </si>
  <si>
    <t>AR001-ARO_0042(2)</t>
  </si>
  <si>
    <t>M079</t>
  </si>
  <si>
    <t>M081_GV_MAS VISIÓN ESCOBAR</t>
  </si>
  <si>
    <t>AR001-ARO_0048(1)</t>
  </si>
  <si>
    <t>M081</t>
  </si>
  <si>
    <t>M073_GV_MAS VISIÓN LOS ANDES</t>
  </si>
  <si>
    <t>AR001-ARO_0031(4)</t>
  </si>
  <si>
    <t>M073</t>
  </si>
  <si>
    <t>N662_GV_MAS VISIÓN ALTO PALERMO</t>
  </si>
  <si>
    <t>AR001-ARO_0069(1)</t>
  </si>
  <si>
    <t>N662</t>
  </si>
  <si>
    <t>M083_GV_MAS VISIÓN GALERIAS</t>
  </si>
  <si>
    <t>AR001-ARO_0060(2)</t>
  </si>
  <si>
    <t>M083</t>
  </si>
  <si>
    <t>M070_GV_MAS VISIÓN CORDOBA SHOPPING</t>
  </si>
  <si>
    <t>AR001-ARO_0025(2)</t>
  </si>
  <si>
    <t>M070</t>
  </si>
  <si>
    <t>M072_GV_MAS VISIÓN ALTO ROSARIO</t>
  </si>
  <si>
    <t>AR001-ARO_0029(2)</t>
  </si>
  <si>
    <t>M072</t>
  </si>
  <si>
    <t>M071_GV_MAS VISIÓN PATIO OLMOS</t>
  </si>
  <si>
    <t>AR001-ARO_0026(3)</t>
  </si>
  <si>
    <t>M071</t>
  </si>
  <si>
    <t>O777_GV_MAS VISIÓN ALTO NOA</t>
  </si>
  <si>
    <t>AR001-ARO_0071</t>
  </si>
  <si>
    <t>O777</t>
  </si>
  <si>
    <t>M088_MAS VISIÓN ALCORTA</t>
  </si>
  <si>
    <t>M088</t>
  </si>
  <si>
    <t>M075_MAS VISIÓN RIVADAVIA</t>
  </si>
  <si>
    <t>M075</t>
  </si>
  <si>
    <t>M086_GV_MAS VISIÓN URQUIZA</t>
  </si>
  <si>
    <t>M086</t>
  </si>
  <si>
    <t>Q103 SUNGLASS HUT EZEIZA</t>
  </si>
  <si>
    <t>Q103</t>
  </si>
  <si>
    <t>Q104 SUNGLASS HUT ALCORTA</t>
  </si>
  <si>
    <t>Q104</t>
  </si>
  <si>
    <t>Q105 SUNGLASS HUT MAR DEL PLATA</t>
  </si>
  <si>
    <t>Q105</t>
  </si>
  <si>
    <t>Q106_SUNGLASS HUT GALERIAS PACIFICO</t>
  </si>
  <si>
    <t>Q106</t>
  </si>
  <si>
    <t>M087_GV_MAS VISIÓN SAN JUSTO</t>
  </si>
  <si>
    <t>M087</t>
  </si>
  <si>
    <t>M074_GV_MAS VISIÓN DOT</t>
  </si>
  <si>
    <t>M074</t>
  </si>
  <si>
    <t>R126_GV_MAS VISION NEUQUEN</t>
  </si>
  <si>
    <t>R126</t>
  </si>
  <si>
    <t>G001Z54500_GV_OFICINA MAS VISIÓN</t>
  </si>
  <si>
    <t>G001Z54500</t>
  </si>
  <si>
    <t>Q102_SUNGLAS HUT UNICENTER</t>
  </si>
  <si>
    <t>Q102</t>
  </si>
  <si>
    <t>M077_GV_MAS VISIÓN MENDOZA PLAZA</t>
  </si>
  <si>
    <t>M077</t>
  </si>
  <si>
    <t>R446_GV_MAS VISIÓN TUCUMÁN</t>
  </si>
  <si>
    <t>R446</t>
  </si>
  <si>
    <t>M080_GV_MAS VISIÓN CABILDO</t>
  </si>
  <si>
    <t>AR001-ARO_0045(3)</t>
  </si>
  <si>
    <t>M080</t>
  </si>
  <si>
    <t>M082_GV_MAS VISIÓN TOM</t>
  </si>
  <si>
    <t>AR001-ARO_0059(1)</t>
  </si>
  <si>
    <t>M082</t>
  </si>
  <si>
    <t>M084_GV_MAS VISIÓN FLORIDA</t>
  </si>
  <si>
    <t>AR001-ARO_0064(3)</t>
  </si>
  <si>
    <t>M084</t>
  </si>
  <si>
    <t>M069_GV_MAS VISIÓN DINOSAURIO</t>
  </si>
  <si>
    <t>AR001-ARO_0022(2)</t>
  </si>
  <si>
    <t>M069</t>
  </si>
  <si>
    <t>M825_GV_MAS VISIÓN NUEVOCENTRO</t>
  </si>
  <si>
    <t>AR001-ARO_0070(2)</t>
  </si>
  <si>
    <t>M825</t>
  </si>
  <si>
    <t>AR001-ARO_0038(3)</t>
  </si>
  <si>
    <t>G275 - Tylor S.A.</t>
  </si>
  <si>
    <t>G275</t>
  </si>
  <si>
    <t>M204_GV UR BULEVAR ARTIGAS Y RIVERA</t>
  </si>
  <si>
    <t>UYU</t>
  </si>
  <si>
    <t>UY003-UYO_1008</t>
  </si>
  <si>
    <t>M204</t>
  </si>
  <si>
    <t>O652</t>
  </si>
  <si>
    <t>M201_GV UR PORTONES (SHOPPING)</t>
  </si>
  <si>
    <t>UY003-UYO_1012</t>
  </si>
  <si>
    <t>M201</t>
  </si>
  <si>
    <t>M197_GV UR COSTA URBANA</t>
  </si>
  <si>
    <t>UY003-UYO_0009 (2)</t>
  </si>
  <si>
    <t>M197</t>
  </si>
  <si>
    <t>M195_GV UR PUNTA CARRETAS</t>
  </si>
  <si>
    <t>M195</t>
  </si>
  <si>
    <t>M198_GV UR CENTRO</t>
  </si>
  <si>
    <t>M198</t>
  </si>
  <si>
    <t>M202_GV UR TRES CRUCES</t>
  </si>
  <si>
    <t>M202</t>
  </si>
  <si>
    <t>P828_GV UR LA PAPELARIA - SUNGLASS HUT</t>
  </si>
  <si>
    <t>P828</t>
  </si>
  <si>
    <t>O899_GV UR PUNTA SHOPPING GRAN VISION</t>
  </si>
  <si>
    <t>O899</t>
  </si>
  <si>
    <t>M194_GV UR CASA CENTRAL</t>
  </si>
  <si>
    <t>M194</t>
  </si>
  <si>
    <t>M199_GV UR MONTEVIDEO SHOPPING</t>
  </si>
  <si>
    <t>UY003-UYO_1002</t>
  </si>
  <si>
    <t>M199</t>
  </si>
  <si>
    <t>G275Z54500_GV UR 18 DE JULIO SUBLEASE</t>
  </si>
  <si>
    <t>UY003-UYO_1013</t>
  </si>
  <si>
    <t>G275Z54500</t>
  </si>
  <si>
    <t>Clasificación</t>
  </si>
  <si>
    <t>Concepto</t>
  </si>
  <si>
    <t>1139120001 ROU BUILDING OPERATING</t>
  </si>
  <si>
    <t>Assets</t>
  </si>
  <si>
    <t>Activo por Derecho de Uso</t>
  </si>
  <si>
    <t>1139200001 ACC DEPR - ROU BLDG OPERATING</t>
  </si>
  <si>
    <t>Depreciación Acumulada por Derecho de Uso</t>
  </si>
  <si>
    <t>1138180002 ROU ASSET CLEARING ACCOUNT</t>
  </si>
  <si>
    <t>Cuenta Transitoria de traspaso entre Activo y Pasivo por Derecho de Uso
Se utilizo para reconocer inicialmente los valores netos (Activo - Dep. Acumulada) al 01-01-2019</t>
  </si>
  <si>
    <t>1234150001 Lease Liability - Long term</t>
  </si>
  <si>
    <t>Liability</t>
  </si>
  <si>
    <t>Pasivo por Derecho de Uso.
Se reconoce el 100% en esta cuenta al momento del registro inicial de un contrato.</t>
  </si>
  <si>
    <t>1245150001 Lease Liability - Short Term</t>
  </si>
  <si>
    <t>Pasivo por Derecho de Uso a Corto Plazo.
Se reconoce la proporción a corto plazo del pasivo por derecho de Uso utilizando contrapartida en la cuenta 1234150001. Se realiza a cada cierre de Q.</t>
  </si>
  <si>
    <t>1234150008 Lease Liability Transitory – Long Term</t>
  </si>
  <si>
    <t>Cuenta Transitoría de Pasivo que se utiliza para compensar los pagos realizados se debe compensar con la cuenta 1234150001.</t>
  </si>
  <si>
    <t>1240130029 Lease Clearing Vendor</t>
  </si>
  <si>
    <t>1245150017 INVOICES TO BE RECEIVED LEASES</t>
  </si>
  <si>
    <t>Cuenta IBR en la cual se contabilizan las facturas recibidas asociadas a Derecho de Uso + gtos por arrendamientos (Gto Común, Fondo Promoción, etc) que se encuentran cargados en SAP REM.
Tiene como contrapartida la rebaja del pasivo realizada al Pasivo por Derecho de Uso (1234150001).</t>
  </si>
  <si>
    <t>1211210002 GANANCIAS RETENIDAS AJUSTE MANUAL</t>
  </si>
  <si>
    <t>Equity</t>
  </si>
  <si>
    <t>Cuenta en la cual se reconocio el efecto patrimonial por la implementación de IFRS16</t>
  </si>
  <si>
    <t>1719140011 Interest Expense on Lease Liabilities</t>
  </si>
  <si>
    <t>Expense</t>
  </si>
  <si>
    <t>Gasto Financiero generados por Pasivos de Derecho de Uso</t>
  </si>
  <si>
    <t>1636100001 DEPRECIATION - ROU BUILDING OPERATING</t>
  </si>
  <si>
    <t>Gasto por depreciación de activos por Derecho de Uso</t>
  </si>
  <si>
    <t>RAY BAN PARQUE ARAUCO II AV. KENNEDY N°5413. LOCAL 318 LAS CONDES</t>
  </si>
  <si>
    <t>5-Q497</t>
  </si>
  <si>
    <t>5-0285</t>
  </si>
  <si>
    <t>Q497</t>
  </si>
  <si>
    <t>5000363</t>
  </si>
  <si>
    <t>5000364</t>
  </si>
  <si>
    <t>5000365</t>
  </si>
  <si>
    <t>R480 ECONOPTICAS REAL PLAZA SALAVERRY P282</t>
  </si>
  <si>
    <t>Q515 GMO UNICACHI PRO</t>
  </si>
  <si>
    <t>R480</t>
  </si>
  <si>
    <t>Q515</t>
  </si>
  <si>
    <t>5-192</t>
  </si>
  <si>
    <t>5-289</t>
  </si>
  <si>
    <t>5-0073</t>
  </si>
  <si>
    <t>REEMPLAZO 5-153</t>
  </si>
  <si>
    <t>5-052</t>
  </si>
  <si>
    <t>5-0023</t>
  </si>
  <si>
    <t>5-0190</t>
  </si>
  <si>
    <t>5-0275</t>
  </si>
  <si>
    <t>5000366</t>
  </si>
  <si>
    <t>5000367</t>
  </si>
  <si>
    <t>5000368</t>
  </si>
  <si>
    <t>5000369</t>
  </si>
  <si>
    <t>5000370</t>
  </si>
  <si>
    <t>5000371</t>
  </si>
  <si>
    <t>Q668 SUNGLASS HUT DISTRITO ARCOS</t>
  </si>
  <si>
    <t>Q668</t>
  </si>
  <si>
    <t>5-0113</t>
  </si>
  <si>
    <t>REEMPLAZO 5-0154</t>
  </si>
  <si>
    <t>7424 GMO REAL PLAZA CAJAMARCA AV. EVITAMIENTO NORTE LOTE 1A. LC- 111 CAJAMARCA</t>
  </si>
  <si>
    <t>R477 ECONOLENTES REAL PLAZA PUCALLPA</t>
  </si>
  <si>
    <t>7426 GMO REAL PLAZA CUSCO</t>
  </si>
  <si>
    <t>6991 - GMO MALL AVENTURA TRUJILLO</t>
  </si>
  <si>
    <t>8855 - GMO MALL AVENTURA CAYMA</t>
  </si>
  <si>
    <t>5-065</t>
  </si>
  <si>
    <t>5-125</t>
  </si>
  <si>
    <t>5-135</t>
  </si>
  <si>
    <t>5-127</t>
  </si>
  <si>
    <t>5-048</t>
  </si>
  <si>
    <t>5-164</t>
  </si>
  <si>
    <t>R477</t>
  </si>
  <si>
    <t>REEMPLAZO 5-366</t>
  </si>
  <si>
    <t>REEMPLAZO 5-295</t>
  </si>
  <si>
    <t>REEMPLAZO 5-294</t>
  </si>
  <si>
    <t>REEMPLAZO 5-293</t>
  </si>
  <si>
    <t>REEMPLAZO 5-292</t>
  </si>
  <si>
    <t>REEMPLAZO 5-291</t>
  </si>
  <si>
    <t>5-0248</t>
  </si>
  <si>
    <t>5-0250</t>
  </si>
  <si>
    <t>REEMPLAZO 5-296</t>
  </si>
  <si>
    <t>REEMPLAZO 5-297</t>
  </si>
  <si>
    <t>5000372</t>
  </si>
  <si>
    <t>5000373</t>
  </si>
  <si>
    <t>5000374</t>
  </si>
  <si>
    <t>5000375</t>
  </si>
  <si>
    <t>5000376</t>
  </si>
  <si>
    <t>5000377</t>
  </si>
  <si>
    <t>5000379</t>
  </si>
  <si>
    <t>M142 - ECONOLENTES REAL PLAZA CAJAMARCA</t>
  </si>
  <si>
    <t>7413 GMO STRIP CENTER CHINCHA PROLONGACIÓN</t>
  </si>
  <si>
    <t>9236 GMO MEGAPLAZA HUARAL</t>
  </si>
  <si>
    <t>M184 VISION CENTER REAL PLAZA PIURA</t>
  </si>
  <si>
    <t>5-229</t>
  </si>
  <si>
    <t>5-329</t>
  </si>
  <si>
    <t>O936</t>
  </si>
  <si>
    <t>5000378</t>
  </si>
  <si>
    <t>5000380</t>
  </si>
  <si>
    <t>5000381</t>
  </si>
  <si>
    <t>5000382</t>
  </si>
  <si>
    <t>5000384</t>
  </si>
  <si>
    <t>7411_GMO QUINDE ICA AV LOS MAESTROS N° 206 LOCAL LC-127 . 129 ICA</t>
  </si>
  <si>
    <t>9171_GMO MINKA 3 AV. ARGENTINA N° 3093 Y PASAJE EL SOL S/N LOCAL L250 CALLAO</t>
  </si>
  <si>
    <t>6945_GMO MEGAPLAZA AV. ALFREDO MENDIOLA 3698 LOCAL 027</t>
  </si>
  <si>
    <t>7404_GMO MEGAPLAZA CHIMBOTE LOTIZACION PARQUE GRAN CHAVÍN.</t>
  </si>
  <si>
    <t>Q264_GMO ASIA _ CENTRO COMERCIAL BOULEVARD ASIA</t>
  </si>
  <si>
    <t>Q264</t>
  </si>
  <si>
    <t>5-0249</t>
  </si>
  <si>
    <t>REEMPLAZO 5-298</t>
  </si>
  <si>
    <t>90000103</t>
  </si>
  <si>
    <t>90000659</t>
  </si>
  <si>
    <t>90000557</t>
  </si>
  <si>
    <t>90000581</t>
  </si>
  <si>
    <t>90000582</t>
  </si>
  <si>
    <t>90000583</t>
  </si>
  <si>
    <t>90000584</t>
  </si>
  <si>
    <t>90000585</t>
  </si>
  <si>
    <t>90000594</t>
  </si>
  <si>
    <t>90000595</t>
  </si>
  <si>
    <t>90000596</t>
  </si>
  <si>
    <t>90000597</t>
  </si>
  <si>
    <t>90000598</t>
  </si>
  <si>
    <t>90000599</t>
  </si>
  <si>
    <t>90000601</t>
  </si>
  <si>
    <t>90000602</t>
  </si>
  <si>
    <t>90000603</t>
  </si>
  <si>
    <t>90000604</t>
  </si>
  <si>
    <t>90000606</t>
  </si>
  <si>
    <t>90000611</t>
  </si>
  <si>
    <t>90000612</t>
  </si>
  <si>
    <t>90000613</t>
  </si>
  <si>
    <t>90000614</t>
  </si>
  <si>
    <t>90000615</t>
  </si>
  <si>
    <t>90000616</t>
  </si>
  <si>
    <t>90000617</t>
  </si>
  <si>
    <t>90000621</t>
  </si>
  <si>
    <t>90000623</t>
  </si>
  <si>
    <t>90000624</t>
  </si>
  <si>
    <t>90000626</t>
  </si>
  <si>
    <t>90000628</t>
  </si>
  <si>
    <t>90000631</t>
  </si>
  <si>
    <t>90000632</t>
  </si>
  <si>
    <t>90000633</t>
  </si>
  <si>
    <t>90000641</t>
  </si>
  <si>
    <t>90000640</t>
  </si>
  <si>
    <t>90000642</t>
  </si>
  <si>
    <t>90000646</t>
  </si>
  <si>
    <t>90000648</t>
  </si>
  <si>
    <t>90000649</t>
  </si>
  <si>
    <t>90000660</t>
  </si>
  <si>
    <t>90000657</t>
  </si>
  <si>
    <t>90000655</t>
  </si>
  <si>
    <t>90000656</t>
  </si>
  <si>
    <t>90000658</t>
  </si>
  <si>
    <t>90000664</t>
  </si>
  <si>
    <t>90000700</t>
  </si>
  <si>
    <t>90000666</t>
  </si>
  <si>
    <t>90000667</t>
  </si>
  <si>
    <t>90000669</t>
  </si>
  <si>
    <t>90000673</t>
  </si>
  <si>
    <t>90000674</t>
  </si>
  <si>
    <t>90000675</t>
  </si>
  <si>
    <t>90000676</t>
  </si>
  <si>
    <t>90000680</t>
  </si>
  <si>
    <t>90000684</t>
  </si>
  <si>
    <t>90000687</t>
  </si>
  <si>
    <t>90000688</t>
  </si>
  <si>
    <t>90000690</t>
  </si>
  <si>
    <t>90000693</t>
  </si>
  <si>
    <t>90000695</t>
  </si>
  <si>
    <t>90000696</t>
  </si>
  <si>
    <t>90000697</t>
  </si>
  <si>
    <t>90000698</t>
  </si>
  <si>
    <t>90000699</t>
  </si>
  <si>
    <t>90000702</t>
  </si>
  <si>
    <t>90000703</t>
  </si>
  <si>
    <t>90000704</t>
  </si>
  <si>
    <t>90000705</t>
  </si>
  <si>
    <t>90000706</t>
  </si>
  <si>
    <t>90000707</t>
  </si>
  <si>
    <t>90000708</t>
  </si>
  <si>
    <t>90000709</t>
  </si>
  <si>
    <t>90000710</t>
  </si>
  <si>
    <t>90000713</t>
  </si>
  <si>
    <t>90000714</t>
  </si>
  <si>
    <t>90000715</t>
  </si>
  <si>
    <t>90000716</t>
  </si>
  <si>
    <t>90000717</t>
  </si>
  <si>
    <t>90000718</t>
  </si>
  <si>
    <t>90000719</t>
  </si>
  <si>
    <t>90000720</t>
  </si>
  <si>
    <t>90000723</t>
  </si>
  <si>
    <t>90000724</t>
  </si>
  <si>
    <t>90000725</t>
  </si>
  <si>
    <t>90000726</t>
  </si>
  <si>
    <t>90000727</t>
  </si>
  <si>
    <t>90000728</t>
  </si>
  <si>
    <t>90000729</t>
  </si>
  <si>
    <t>90000730</t>
  </si>
  <si>
    <t>90000731</t>
  </si>
  <si>
    <t>90000732</t>
  </si>
  <si>
    <t>90000733</t>
  </si>
  <si>
    <t>90000734</t>
  </si>
  <si>
    <t>90000735</t>
  </si>
  <si>
    <t>90000736</t>
  </si>
  <si>
    <t>90000742</t>
  </si>
  <si>
    <t>90000738</t>
  </si>
  <si>
    <t>90000743</t>
  </si>
  <si>
    <t>90000740</t>
  </si>
  <si>
    <t>90000741</t>
  </si>
  <si>
    <t>90000745</t>
  </si>
  <si>
    <t>90000560</t>
  </si>
  <si>
    <t>90000588</t>
  </si>
  <si>
    <t>90000600</t>
  </si>
  <si>
    <t>90000607</t>
  </si>
  <si>
    <t>90000609</t>
  </si>
  <si>
    <t>90000618</t>
  </si>
  <si>
    <t>90000627</t>
  </si>
  <si>
    <t>90000630</t>
  </si>
  <si>
    <t>90000644</t>
  </si>
  <si>
    <t>90000645</t>
  </si>
  <si>
    <t>90000670</t>
  </si>
  <si>
    <t>90000685</t>
  </si>
  <si>
    <t>90000712</t>
  </si>
  <si>
    <t>90000711</t>
  </si>
  <si>
    <t>AR001-ORE_0001(</t>
  </si>
  <si>
    <t>AR001-ARO_0032</t>
  </si>
  <si>
    <t>AR001-ARO_0067</t>
  </si>
  <si>
    <t>5-Q106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</si>
</sst>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_ ;_ @_ "/>
    <numFmt numFmtId="165" formatCode="_-* #,##0.00\ _€_-;\-* #,##0.00\ _€_-;_-* &quot;-&quot;??\ _€_-;_-@_-"/>
    <numFmt numFmtId="166" formatCode="&quot;Highlight&quot;;&quot;&quot;;&quot;&quot;"/>
    <numFmt numFmtId="167" formatCode="_ * #,##0.00_ ;_ * \-#,##0.00_ ;_ * &quot;-&quot;_ ;_ @_ 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2"/>
      <color theme="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strike/>
      <sz val="8"/>
      <name val="Segoe UI"/>
      <family val="2"/>
    </font>
    <font>
      <b/>
      <strike/>
      <sz val="8"/>
      <name val="Segoe UI"/>
      <family val="2"/>
    </font>
    <font>
      <strike/>
      <sz val="8"/>
      <color theme="1"/>
      <name val="Segoe UI"/>
      <family val="2"/>
    </font>
    <font>
      <sz val="8"/>
      <color rgb="FF333333"/>
      <name val="Segoe UI"/>
      <family val="2"/>
    </font>
    <font>
      <b/>
      <sz val="10"/>
      <color rgb="FFFFFFFF"/>
      <name val="Segoe UI"/>
      <family val="2"/>
    </font>
    <font>
      <sz val="10"/>
      <color rgb="FF595959"/>
      <name val="Segoe UI"/>
      <family val="2"/>
    </font>
    <font>
      <b/>
      <sz val="10"/>
      <color rgb="FF595959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8"/>
      <color theme="0"/>
      <name val="Segoe UI"/>
      <family val="2"/>
    </font>
    <font>
      <b/>
      <sz val="8"/>
      <color theme="1"/>
      <name val="Segoe UI"/>
      <family val="2"/>
    </font>
    <font>
      <sz val="8"/>
      <color rgb="FFFF0000"/>
      <name val="Segoe UI"/>
      <family val="2"/>
    </font>
    <font>
      <sz val="10"/>
      <color theme="0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EF3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82B3"/>
      </left>
      <right/>
      <top style="medium">
        <color rgb="FF0082B3"/>
      </top>
      <bottom style="medium">
        <color rgb="FF0082B3"/>
      </bottom>
      <diagonal/>
    </border>
    <border>
      <left style="medium">
        <color rgb="FF0082B3"/>
      </left>
      <right/>
      <top/>
      <bottom style="medium">
        <color rgb="FF0082B3"/>
      </bottom>
      <diagonal/>
    </border>
    <border>
      <left style="medium">
        <color rgb="FF0082B3"/>
      </left>
      <right style="medium">
        <color rgb="FF0082B3"/>
      </right>
      <top style="medium">
        <color rgb="FF0082B3"/>
      </top>
      <bottom/>
      <diagonal/>
    </border>
    <border>
      <left style="medium">
        <color rgb="FF0082B3"/>
      </left>
      <right/>
      <top/>
      <bottom/>
      <diagonal/>
    </border>
    <border>
      <left style="medium">
        <color rgb="FF0082B3"/>
      </left>
      <right/>
      <top style="medium">
        <color rgb="FF0082B3"/>
      </top>
      <bottom/>
      <diagonal/>
    </border>
    <border>
      <left style="medium">
        <color rgb="FF0082B3"/>
      </left>
      <right style="medium">
        <color rgb="FF0082B3"/>
      </right>
      <top/>
      <bottom/>
      <diagonal/>
    </border>
    <border>
      <left style="medium">
        <color rgb="FF0082B3"/>
      </left>
      <right style="medium">
        <color rgb="FF0082B3"/>
      </right>
      <top/>
      <bottom style="medium">
        <color rgb="FF0082B3"/>
      </bottom>
      <diagonal/>
    </border>
  </borders>
  <cellStyleXfs count="47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8" fillId="6" borderId="0" applyProtection="0">
      <alignment horizontal="left" vertical="center" indent="1"/>
    </xf>
    <xf numFmtId="0" fontId="9" fillId="0" borderId="0">
      <alignment horizontal="left" vertical="center" wrapText="1" indent="1"/>
    </xf>
    <xf numFmtId="14" fontId="9" fillId="0" borderId="0">
      <alignment horizontal="right" vertical="center" indent="4"/>
    </xf>
    <xf numFmtId="166" fontId="2" fillId="0" borderId="0" applyFill="0" applyBorder="0">
      <alignment horizontal="left" vertical="center" indent="1"/>
    </xf>
    <xf numFmtId="0" fontId="1" fillId="0" borderId="0"/>
    <xf numFmtId="0" fontId="10" fillId="0" borderId="0"/>
    <xf numFmtId="0" fontId="1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0" fontId="12" fillId="0" borderId="0"/>
    <xf numFmtId="0" fontId="1" fillId="0" borderId="0"/>
    <xf numFmtId="165" fontId="1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0" fontId="14" fillId="0" borderId="0"/>
    <xf numFmtId="0" fontId="1" fillId="0" borderId="0"/>
    <xf numFmtId="165" fontId="1" fillId="0" borderId="0" applyFont="0" applyFill="0" applyBorder="0" applyAlignment="0" applyProtection="0"/>
    <xf numFmtId="0" fontId="3" fillId="0" borderId="0"/>
    <xf numFmtId="0" fontId="3" fillId="0" borderId="0"/>
    <xf numFmtId="0" fontId="15" fillId="0" borderId="0"/>
    <xf numFmtId="0" fontId="16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</cellStyleXfs>
  <cellXfs count="189">
    <xf numFmtId="0" fontId="0" fillId="0" borderId="0" xfId="0"/>
    <xf numFmtId="0" fontId="5" fillId="0" borderId="0" xfId="18" applyFont="1" applyAlignment="1">
      <alignment horizontal="center" vertical="center"/>
    </xf>
    <xf numFmtId="0" fontId="13" fillId="0" borderId="0" xfId="0" applyFont="1" applyAlignment="1">
      <alignment vertical="center"/>
    </xf>
    <xf numFmtId="0" fontId="4" fillId="0" borderId="0" xfId="18" applyFont="1" applyAlignment="1">
      <alignment horizontal="center" vertical="center"/>
    </xf>
    <xf numFmtId="0" fontId="4" fillId="0" borderId="0" xfId="18" applyFont="1" applyAlignment="1">
      <alignment vertical="center"/>
    </xf>
    <xf numFmtId="0" fontId="4" fillId="0" borderId="0" xfId="18" applyFont="1" applyAlignment="1">
      <alignment horizontal="left" vertical="center"/>
    </xf>
    <xf numFmtId="0" fontId="4" fillId="0" borderId="0" xfId="18" applyFont="1" applyAlignment="1">
      <alignment horizontal="left" vertical="center" wrapText="1"/>
    </xf>
    <xf numFmtId="0" fontId="21" fillId="2" borderId="1" xfId="1" applyFont="1" applyFill="1" applyBorder="1" applyAlignment="1">
      <alignment horizontal="center" vertical="center" wrapText="1"/>
    </xf>
    <xf numFmtId="0" fontId="21" fillId="2" borderId="1" xfId="18" applyFont="1" applyFill="1" applyBorder="1" applyAlignment="1">
      <alignment horizontal="center" vertical="center" wrapText="1"/>
    </xf>
    <xf numFmtId="0" fontId="20" fillId="0" borderId="0" xfId="1" applyFont="1" applyAlignment="1">
      <alignment vertical="top"/>
    </xf>
    <xf numFmtId="164" fontId="23" fillId="11" borderId="0" xfId="46" applyFont="1" applyFill="1" applyAlignment="1">
      <alignment horizontal="center" vertical="center"/>
    </xf>
    <xf numFmtId="0" fontId="17" fillId="0" borderId="0" xfId="0" applyFont="1" applyAlignment="1">
      <alignment vertical="top"/>
    </xf>
    <xf numFmtId="14" fontId="17" fillId="0" borderId="0" xfId="0" applyNumberFormat="1" applyFont="1" applyAlignment="1">
      <alignment horizontal="right" vertical="top"/>
    </xf>
    <xf numFmtId="0" fontId="17" fillId="0" borderId="0" xfId="0" applyFont="1"/>
    <xf numFmtId="0" fontId="20" fillId="0" borderId="0" xfId="0" applyFont="1" applyAlignment="1">
      <alignment vertical="top"/>
    </xf>
    <xf numFmtId="0" fontId="21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top"/>
    </xf>
    <xf numFmtId="0" fontId="21" fillId="5" borderId="0" xfId="0" applyFont="1" applyFill="1" applyAlignment="1">
      <alignment horizontal="center" vertical="top"/>
    </xf>
    <xf numFmtId="1" fontId="20" fillId="0" borderId="0" xfId="0" applyNumberFormat="1" applyFont="1" applyAlignment="1">
      <alignment horizontal="center" vertical="top"/>
    </xf>
    <xf numFmtId="164" fontId="21" fillId="2" borderId="1" xfId="23" applyFont="1" applyFill="1" applyBorder="1" applyAlignment="1">
      <alignment horizontal="center" vertical="center" wrapText="1"/>
    </xf>
    <xf numFmtId="0" fontId="20" fillId="0" borderId="0" xfId="0" quotePrefix="1" applyFont="1" applyAlignment="1">
      <alignment horizontal="center" vertical="top"/>
    </xf>
    <xf numFmtId="167" fontId="21" fillId="11" borderId="0" xfId="46" applyNumberFormat="1" applyFont="1" applyFill="1" applyAlignment="1">
      <alignment horizontal="center" vertical="center"/>
    </xf>
    <xf numFmtId="164" fontId="24" fillId="11" borderId="0" xfId="46" applyFont="1" applyFill="1" applyAlignment="1">
      <alignment horizontal="right" vertical="top"/>
    </xf>
    <xf numFmtId="164" fontId="22" fillId="11" borderId="0" xfId="46" applyFont="1" applyFill="1" applyAlignment="1">
      <alignment horizontal="right" vertical="top"/>
    </xf>
    <xf numFmtId="0" fontId="20" fillId="10" borderId="0" xfId="38" applyFont="1" applyFill="1" applyAlignment="1">
      <alignment horizontal="center" vertical="top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21" fillId="0" borderId="0" xfId="1" applyFont="1" applyAlignment="1">
      <alignment horizontal="center" vertical="top"/>
    </xf>
    <xf numFmtId="0" fontId="19" fillId="0" borderId="0" xfId="1" applyFont="1" applyAlignment="1">
      <alignment horizontal="left" vertical="top"/>
    </xf>
    <xf numFmtId="0" fontId="19" fillId="0" borderId="0" xfId="0" applyFont="1" applyAlignment="1">
      <alignment horizontal="left" vertical="top"/>
    </xf>
    <xf numFmtId="164" fontId="21" fillId="11" borderId="0" xfId="46" applyFont="1" applyFill="1" applyAlignment="1">
      <alignment horizontal="center" vertical="center"/>
    </xf>
    <xf numFmtId="0" fontId="20" fillId="0" borderId="0" xfId="2" applyFont="1"/>
    <xf numFmtId="0" fontId="20" fillId="0" borderId="0" xfId="2" applyFont="1" applyAlignment="1">
      <alignment vertical="top"/>
    </xf>
    <xf numFmtId="0" fontId="20" fillId="3" borderId="0" xfId="2" applyFont="1" applyFill="1"/>
    <xf numFmtId="0" fontId="21" fillId="4" borderId="0" xfId="2" applyFont="1" applyFill="1" applyAlignment="1">
      <alignment horizontal="center" vertical="center"/>
    </xf>
    <xf numFmtId="0" fontId="18" fillId="0" borderId="0" xfId="14" applyFont="1"/>
    <xf numFmtId="0" fontId="27" fillId="0" borderId="5" xfId="14" applyFont="1" applyBorder="1" applyAlignment="1">
      <alignment horizontal="left" vertical="center" indent="1"/>
    </xf>
    <xf numFmtId="0" fontId="27" fillId="0" borderId="6" xfId="14" applyFont="1" applyBorder="1" applyAlignment="1">
      <alignment horizontal="left" vertical="center" indent="1"/>
    </xf>
    <xf numFmtId="0" fontId="27" fillId="0" borderId="6" xfId="14" applyFont="1" applyBorder="1" applyAlignment="1">
      <alignment horizontal="left" vertical="center" wrapText="1" indent="1"/>
    </xf>
    <xf numFmtId="3" fontId="18" fillId="0" borderId="0" xfId="14" applyNumberFormat="1" applyFont="1"/>
    <xf numFmtId="0" fontId="27" fillId="0" borderId="8" xfId="14" applyFont="1" applyBorder="1" applyAlignment="1">
      <alignment horizontal="left" vertical="center" wrapText="1" indent="1"/>
    </xf>
    <xf numFmtId="0" fontId="28" fillId="0" borderId="6" xfId="14" applyFont="1" applyBorder="1" applyAlignment="1">
      <alignment horizontal="left" vertical="center" wrapText="1" indent="1"/>
    </xf>
    <xf numFmtId="0" fontId="28" fillId="8" borderId="8" xfId="14" applyFont="1" applyFill="1" applyBorder="1" applyAlignment="1">
      <alignment horizontal="left" vertical="center" wrapText="1" indent="1"/>
    </xf>
    <xf numFmtId="0" fontId="27" fillId="8" borderId="8" xfId="14" applyFont="1" applyFill="1" applyBorder="1" applyAlignment="1">
      <alignment horizontal="left" vertical="center" wrapText="1" indent="1"/>
    </xf>
    <xf numFmtId="0" fontId="27" fillId="8" borderId="6" xfId="14" applyFont="1" applyFill="1" applyBorder="1" applyAlignment="1">
      <alignment horizontal="left" vertical="center" wrapText="1" indent="1"/>
    </xf>
    <xf numFmtId="4" fontId="18" fillId="0" borderId="0" xfId="14" applyNumberFormat="1" applyFont="1"/>
    <xf numFmtId="0" fontId="18" fillId="0" borderId="0" xfId="0" applyFont="1" applyAlignment="1">
      <alignment vertical="top" wrapText="1"/>
    </xf>
    <xf numFmtId="0" fontId="26" fillId="7" borderId="0" xfId="14" applyFont="1" applyFill="1" applyAlignment="1">
      <alignment horizontal="center" vertical="center"/>
    </xf>
    <xf numFmtId="0" fontId="27" fillId="9" borderId="8" xfId="14" applyFont="1" applyFill="1" applyBorder="1" applyAlignment="1">
      <alignment horizontal="left" vertical="center" wrapText="1" indent="1"/>
    </xf>
    <xf numFmtId="0" fontId="28" fillId="9" borderId="8" xfId="14" applyFont="1" applyFill="1" applyBorder="1" applyAlignment="1">
      <alignment horizontal="left" vertical="center" wrapText="1" indent="1"/>
    </xf>
    <xf numFmtId="0" fontId="27" fillId="9" borderId="6" xfId="14" applyFont="1" applyFill="1" applyBorder="1" applyAlignment="1">
      <alignment horizontal="left" vertical="center" wrapText="1" indent="1"/>
    </xf>
    <xf numFmtId="0" fontId="28" fillId="0" borderId="5" xfId="14" applyFont="1" applyBorder="1" applyAlignment="1">
      <alignment horizontal="center" vertical="center"/>
    </xf>
    <xf numFmtId="0" fontId="28" fillId="0" borderId="6" xfId="14" applyFont="1" applyBorder="1" applyAlignment="1">
      <alignment horizontal="center" vertical="center"/>
    </xf>
    <xf numFmtId="0" fontId="29" fillId="0" borderId="0" xfId="14" applyFont="1" applyAlignment="1">
      <alignment horizontal="center"/>
    </xf>
    <xf numFmtId="164" fontId="17" fillId="0" borderId="0" xfId="0" applyNumberFormat="1" applyFont="1"/>
    <xf numFmtId="14" fontId="17" fillId="0" borderId="0" xfId="0" applyNumberFormat="1" applyFont="1" applyAlignment="1">
      <alignment horizontal="center" vertical="top"/>
    </xf>
    <xf numFmtId="14" fontId="20" fillId="0" borderId="0" xfId="0" applyNumberFormat="1" applyFont="1" applyAlignment="1">
      <alignment horizontal="center" vertical="top"/>
    </xf>
    <xf numFmtId="0" fontId="19" fillId="0" borderId="0" xfId="1" applyFont="1" applyAlignment="1">
      <alignment horizontal="left" vertical="center"/>
    </xf>
    <xf numFmtId="0" fontId="20" fillId="0" borderId="0" xfId="1" applyFont="1" applyAlignment="1">
      <alignment horizontal="center" vertical="center"/>
    </xf>
    <xf numFmtId="0" fontId="20" fillId="0" borderId="0" xfId="1" applyFont="1" applyAlignment="1">
      <alignment vertical="center"/>
    </xf>
    <xf numFmtId="0" fontId="17" fillId="0" borderId="0" xfId="0" applyFont="1" applyAlignment="1">
      <alignment vertical="center"/>
    </xf>
    <xf numFmtId="0" fontId="20" fillId="0" borderId="0" xfId="18" applyFont="1" applyAlignment="1">
      <alignment horizontal="center" vertical="center"/>
    </xf>
    <xf numFmtId="0" fontId="20" fillId="0" borderId="0" xfId="18" applyFont="1" applyAlignment="1">
      <alignment vertical="center"/>
    </xf>
    <xf numFmtId="0" fontId="20" fillId="0" borderId="0" xfId="38" applyFont="1" applyAlignment="1">
      <alignment horizontal="center" vertical="center"/>
    </xf>
    <xf numFmtId="14" fontId="20" fillId="0" borderId="0" xfId="38" applyNumberFormat="1" applyFont="1" applyAlignment="1">
      <alignment horizontal="center" vertical="center"/>
    </xf>
    <xf numFmtId="0" fontId="20" fillId="0" borderId="0" xfId="38" applyFont="1" applyAlignment="1">
      <alignment vertical="center"/>
    </xf>
    <xf numFmtId="0" fontId="21" fillId="5" borderId="0" xfId="1" applyFont="1" applyFill="1" applyAlignment="1">
      <alignment horizontal="center" vertical="center"/>
    </xf>
    <xf numFmtId="0" fontId="20" fillId="0" borderId="0" xfId="38" quotePrefix="1" applyFont="1" applyAlignment="1">
      <alignment vertical="center"/>
    </xf>
    <xf numFmtId="0" fontId="20" fillId="10" borderId="0" xfId="38" applyFont="1" applyFill="1" applyAlignment="1">
      <alignment horizontal="center" vertical="center"/>
    </xf>
    <xf numFmtId="0" fontId="20" fillId="0" borderId="0" xfId="38" quotePrefix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0" xfId="38" applyFont="1" applyAlignment="1">
      <alignment horizontal="center" vertical="top"/>
    </xf>
    <xf numFmtId="164" fontId="17" fillId="0" borderId="0" xfId="46" applyFont="1"/>
    <xf numFmtId="0" fontId="21" fillId="12" borderId="1" xfId="18" applyFont="1" applyFill="1" applyBorder="1" applyAlignment="1">
      <alignment horizontal="center" vertical="center" wrapText="1"/>
    </xf>
    <xf numFmtId="164" fontId="21" fillId="12" borderId="1" xfId="23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20" fillId="12" borderId="0" xfId="0" applyFont="1" applyFill="1" applyAlignment="1">
      <alignment vertical="top"/>
    </xf>
    <xf numFmtId="164" fontId="17" fillId="0" borderId="0" xfId="0" applyNumberFormat="1" applyFont="1" applyAlignment="1">
      <alignment vertical="center"/>
    </xf>
    <xf numFmtId="164" fontId="17" fillId="0" borderId="0" xfId="46" applyFont="1" applyAlignment="1">
      <alignment vertical="center"/>
    </xf>
    <xf numFmtId="0" fontId="20" fillId="0" borderId="0" xfId="0" applyFont="1" applyAlignment="1">
      <alignment horizontal="center" vertical="center"/>
    </xf>
    <xf numFmtId="49" fontId="21" fillId="2" borderId="1" xfId="18" applyNumberFormat="1" applyFont="1" applyFill="1" applyBorder="1" applyAlignment="1">
      <alignment horizontal="center" vertical="center" wrapText="1"/>
    </xf>
    <xf numFmtId="49" fontId="20" fillId="0" borderId="0" xfId="1" applyNumberFormat="1" applyFont="1" applyAlignment="1">
      <alignment horizontal="center" vertical="center"/>
    </xf>
    <xf numFmtId="49" fontId="20" fillId="0" borderId="0" xfId="1" quotePrefix="1" applyNumberFormat="1" applyFont="1" applyAlignment="1">
      <alignment horizontal="center" vertical="center"/>
    </xf>
    <xf numFmtId="49" fontId="21" fillId="2" borderId="1" xfId="1" applyNumberFormat="1" applyFont="1" applyFill="1" applyBorder="1" applyAlignment="1">
      <alignment horizontal="center" vertical="center" wrapText="1"/>
    </xf>
    <xf numFmtId="49" fontId="20" fillId="0" borderId="0" xfId="0" applyNumberFormat="1" applyFont="1" applyAlignment="1">
      <alignment horizontal="center" vertical="top"/>
    </xf>
    <xf numFmtId="49" fontId="20" fillId="0" borderId="0" xfId="0" quotePrefix="1" applyNumberFormat="1" applyFont="1" applyAlignment="1">
      <alignment horizontal="center" vertical="top"/>
    </xf>
    <xf numFmtId="0" fontId="17" fillId="12" borderId="0" xfId="0" applyFont="1" applyFill="1" applyAlignment="1">
      <alignment horizontal="left" vertical="center"/>
    </xf>
    <xf numFmtId="0" fontId="20" fillId="0" borderId="0" xfId="0" quotePrefix="1" applyFont="1" applyAlignment="1">
      <alignment vertical="top"/>
    </xf>
    <xf numFmtId="49" fontId="20" fillId="0" borderId="0" xfId="0" applyNumberFormat="1" applyFont="1" applyAlignment="1">
      <alignment horizontal="center" vertical="center"/>
    </xf>
    <xf numFmtId="0" fontId="20" fillId="12" borderId="0" xfId="1" applyFont="1" applyFill="1" applyAlignment="1">
      <alignment vertical="center"/>
    </xf>
    <xf numFmtId="0" fontId="20" fillId="12" borderId="0" xfId="0" applyFont="1" applyFill="1" applyAlignment="1">
      <alignment horizontal="center" vertical="top"/>
    </xf>
    <xf numFmtId="0" fontId="20" fillId="9" borderId="0" xfId="38" applyFont="1" applyFill="1" applyAlignment="1">
      <alignment vertical="center"/>
    </xf>
    <xf numFmtId="0" fontId="17" fillId="0" borderId="0" xfId="0" applyFont="1" applyAlignment="1">
      <alignment horizontal="left" vertical="center"/>
    </xf>
    <xf numFmtId="0" fontId="30" fillId="0" borderId="0" xfId="1" applyFont="1" applyAlignment="1">
      <alignment horizontal="center" vertical="center"/>
    </xf>
    <xf numFmtId="0" fontId="30" fillId="0" borderId="0" xfId="1" applyFont="1" applyAlignment="1">
      <alignment vertical="center"/>
    </xf>
    <xf numFmtId="49" fontId="30" fillId="0" borderId="0" xfId="1" applyNumberFormat="1" applyFont="1" applyAlignment="1">
      <alignment horizontal="center" vertical="center"/>
    </xf>
    <xf numFmtId="164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/>
    <xf numFmtId="14" fontId="17" fillId="12" borderId="0" xfId="0" applyNumberFormat="1" applyFont="1" applyFill="1" applyAlignment="1">
      <alignment horizontal="center" vertical="top"/>
    </xf>
    <xf numFmtId="0" fontId="17" fillId="13" borderId="0" xfId="0" applyFont="1" applyFill="1"/>
    <xf numFmtId="14" fontId="17" fillId="0" borderId="0" xfId="0" applyNumberFormat="1" applyFont="1" applyAlignment="1">
      <alignment horizontal="center"/>
    </xf>
    <xf numFmtId="0" fontId="0" fillId="0" borderId="0" xfId="0" applyAlignment="1">
      <alignment horizontal="left" vertical="top"/>
    </xf>
    <xf numFmtId="49" fontId="20" fillId="0" borderId="0" xfId="38" applyNumberFormat="1" applyFont="1" applyAlignment="1">
      <alignment horizontal="center" vertical="center"/>
    </xf>
    <xf numFmtId="49" fontId="20" fillId="0" borderId="0" xfId="38" quotePrefix="1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top"/>
    </xf>
    <xf numFmtId="0" fontId="17" fillId="14" borderId="0" xfId="0" applyFont="1" applyFill="1" applyAlignment="1">
      <alignment horizontal="center"/>
    </xf>
    <xf numFmtId="0" fontId="0" fillId="0" borderId="0" xfId="0" applyAlignment="1">
      <alignment vertical="top"/>
    </xf>
    <xf numFmtId="14" fontId="17" fillId="0" borderId="0" xfId="0" applyNumberFormat="1" applyFont="1"/>
    <xf numFmtId="0" fontId="20" fillId="12" borderId="0" xfId="0" applyFont="1" applyFill="1" applyAlignment="1">
      <alignment horizontal="left" vertical="top"/>
    </xf>
    <xf numFmtId="0" fontId="17" fillId="12" borderId="0" xfId="0" applyFont="1" applyFill="1"/>
    <xf numFmtId="0" fontId="17" fillId="12" borderId="0" xfId="0" applyFont="1" applyFill="1" applyAlignment="1">
      <alignment vertical="top"/>
    </xf>
    <xf numFmtId="0" fontId="31" fillId="0" borderId="0" xfId="0" applyFont="1" applyAlignment="1">
      <alignment vertical="center"/>
    </xf>
    <xf numFmtId="164" fontId="31" fillId="0" borderId="0" xfId="0" applyNumberFormat="1" applyFont="1" applyAlignment="1">
      <alignment vertical="center"/>
    </xf>
    <xf numFmtId="164" fontId="31" fillId="0" borderId="0" xfId="46" applyFont="1" applyAlignment="1">
      <alignment vertical="center"/>
    </xf>
    <xf numFmtId="164" fontId="31" fillId="0" borderId="0" xfId="0" applyNumberFormat="1" applyFont="1"/>
    <xf numFmtId="164" fontId="31" fillId="0" borderId="0" xfId="46" applyFont="1"/>
    <xf numFmtId="0" fontId="31" fillId="0" borderId="0" xfId="0" applyFont="1"/>
    <xf numFmtId="49" fontId="17" fillId="0" borderId="0" xfId="0" quotePrefix="1" applyNumberFormat="1" applyFont="1" applyAlignment="1">
      <alignment horizontal="center" vertical="top"/>
    </xf>
    <xf numFmtId="17" fontId="17" fillId="0" borderId="0" xfId="0" applyNumberFormat="1" applyFont="1" applyAlignment="1">
      <alignment horizontal="center" vertical="top"/>
    </xf>
    <xf numFmtId="49" fontId="21" fillId="2" borderId="1" xfId="23" applyNumberFormat="1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/>
    </xf>
    <xf numFmtId="14" fontId="17" fillId="11" borderId="0" xfId="0" applyNumberFormat="1" applyFont="1" applyFill="1" applyAlignment="1">
      <alignment horizontal="center" vertical="center"/>
    </xf>
    <xf numFmtId="167" fontId="17" fillId="0" borderId="0" xfId="46" applyNumberFormat="1" applyFont="1" applyAlignment="1">
      <alignment horizontal="center"/>
    </xf>
    <xf numFmtId="0" fontId="32" fillId="0" borderId="0" xfId="0" applyFont="1" applyAlignment="1">
      <alignment horizontal="center"/>
    </xf>
    <xf numFmtId="49" fontId="17" fillId="9" borderId="0" xfId="0" applyNumberFormat="1" applyFont="1" applyFill="1" applyAlignment="1">
      <alignment horizontal="center" vertical="top"/>
    </xf>
    <xf numFmtId="0" fontId="21" fillId="9" borderId="0" xfId="18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17" fillId="0" borderId="0" xfId="0" quotePrefix="1" applyFont="1" applyAlignment="1">
      <alignment horizontal="center"/>
    </xf>
    <xf numFmtId="49" fontId="20" fillId="9" borderId="0" xfId="0" applyNumberFormat="1" applyFont="1" applyFill="1" applyAlignment="1">
      <alignment horizontal="center" vertical="top"/>
    </xf>
    <xf numFmtId="0" fontId="20" fillId="9" borderId="0" xfId="0" applyFont="1" applyFill="1" applyAlignment="1">
      <alignment horizontal="center" vertical="top"/>
    </xf>
    <xf numFmtId="0" fontId="17" fillId="0" borderId="0" xfId="0" quotePrefix="1" applyFont="1" applyAlignment="1">
      <alignment horizontal="center" vertical="top"/>
    </xf>
    <xf numFmtId="0" fontId="33" fillId="0" borderId="0" xfId="0" applyFont="1"/>
    <xf numFmtId="164" fontId="33" fillId="0" borderId="0" xfId="46" applyFont="1"/>
    <xf numFmtId="164" fontId="33" fillId="0" borderId="0" xfId="0" applyNumberFormat="1" applyFont="1"/>
    <xf numFmtId="1" fontId="20" fillId="12" borderId="0" xfId="0" applyNumberFormat="1" applyFont="1" applyFill="1" applyAlignment="1">
      <alignment horizontal="center" vertical="top"/>
    </xf>
    <xf numFmtId="164" fontId="21" fillId="0" borderId="0" xfId="46" applyFont="1" applyFill="1" applyAlignment="1">
      <alignment horizontal="center" vertical="center"/>
    </xf>
    <xf numFmtId="0" fontId="34" fillId="0" borderId="0" xfId="0" applyFont="1"/>
    <xf numFmtId="17" fontId="17" fillId="0" borderId="0" xfId="0" quotePrefix="1" applyNumberFormat="1" applyFont="1" applyAlignment="1">
      <alignment horizontal="center" vertical="top"/>
    </xf>
    <xf numFmtId="17" fontId="20" fillId="0" borderId="0" xfId="38" quotePrefix="1" applyNumberFormat="1" applyFont="1" applyAlignment="1">
      <alignment horizontal="center" vertical="center"/>
    </xf>
    <xf numFmtId="17" fontId="17" fillId="0" borderId="0" xfId="0" quotePrefix="1" applyNumberFormat="1" applyFont="1" applyAlignment="1">
      <alignment horizontal="center"/>
    </xf>
    <xf numFmtId="167" fontId="21" fillId="11" borderId="0" xfId="46" applyNumberFormat="1" applyFont="1" applyFill="1" applyAlignment="1">
      <alignment horizontal="center" vertical="center" wrapText="1"/>
    </xf>
    <xf numFmtId="0" fontId="21" fillId="2" borderId="1" xfId="1" applyFont="1" applyFill="1" applyBorder="1" applyAlignment="1">
      <alignment vertical="center" wrapText="1"/>
    </xf>
    <xf numFmtId="14" fontId="17" fillId="0" borderId="0" xfId="0" applyNumberFormat="1" applyFont="1" applyAlignment="1">
      <alignment vertical="top"/>
    </xf>
    <xf numFmtId="14" fontId="17" fillId="0" borderId="0" xfId="0" applyNumberFormat="1" applyFont="1" applyAlignment="1">
      <alignment vertical="center"/>
    </xf>
    <xf numFmtId="0" fontId="21" fillId="15" borderId="1" xfId="0" applyFont="1" applyFill="1" applyBorder="1" applyAlignment="1">
      <alignment horizontal="center" vertical="center" wrapText="1"/>
    </xf>
    <xf numFmtId="167" fontId="21" fillId="15" borderId="0" xfId="46" applyNumberFormat="1" applyFont="1" applyFill="1" applyAlignment="1">
      <alignment horizontal="center" vertical="center"/>
    </xf>
    <xf numFmtId="164" fontId="31" fillId="0" borderId="0" xfId="46" applyFont="1" applyFill="1" applyAlignment="1">
      <alignment vertical="center"/>
    </xf>
    <xf numFmtId="0" fontId="17" fillId="12" borderId="0" xfId="0" applyFont="1" applyFill="1" applyAlignment="1">
      <alignment horizontal="center" vertical="top"/>
    </xf>
    <xf numFmtId="49" fontId="25" fillId="0" borderId="0" xfId="1" quotePrefix="1" applyNumberFormat="1" applyFont="1" applyAlignment="1" applyProtection="1">
      <alignment horizontal="center" vertical="center"/>
      <protection locked="0"/>
    </xf>
    <xf numFmtId="49" fontId="17" fillId="0" borderId="0" xfId="0" applyNumberFormat="1" applyFont="1" applyAlignment="1">
      <alignment horizontal="center" vertical="center"/>
    </xf>
    <xf numFmtId="49" fontId="17" fillId="12" borderId="0" xfId="0" applyNumberFormat="1" applyFont="1" applyFill="1" applyAlignment="1">
      <alignment horizontal="center" vertical="top"/>
    </xf>
    <xf numFmtId="49" fontId="20" fillId="0" borderId="0" xfId="0" applyNumberFormat="1" applyFont="1" applyAlignment="1">
      <alignment vertical="top"/>
    </xf>
    <xf numFmtId="164" fontId="20" fillId="0" borderId="0" xfId="1" applyNumberFormat="1" applyFont="1" applyAlignment="1">
      <alignment horizontal="center" vertical="center"/>
    </xf>
    <xf numFmtId="0" fontId="20" fillId="12" borderId="0" xfId="1" applyFont="1" applyFill="1" applyAlignment="1">
      <alignment horizontal="center" vertical="center"/>
    </xf>
    <xf numFmtId="167" fontId="17" fillId="0" borderId="0" xfId="0" applyNumberFormat="1" applyFont="1"/>
    <xf numFmtId="0" fontId="17" fillId="0" borderId="0" xfId="0" quotePrefix="1" applyFont="1" applyAlignment="1">
      <alignment horizontal="center" vertical="center"/>
    </xf>
    <xf numFmtId="167" fontId="20" fillId="0" borderId="0" xfId="1" applyNumberFormat="1" applyFont="1" applyAlignment="1">
      <alignment horizontal="center" vertical="center"/>
    </xf>
    <xf numFmtId="49" fontId="17" fillId="0" borderId="0" xfId="0" quotePrefix="1" applyNumberFormat="1" applyFont="1" applyAlignment="1">
      <alignment horizontal="center" vertical="center"/>
    </xf>
    <xf numFmtId="49" fontId="17" fillId="0" borderId="0" xfId="0" applyNumberFormat="1" applyFont="1"/>
    <xf numFmtId="49" fontId="20" fillId="0" borderId="0" xfId="0" quotePrefix="1" applyNumberFormat="1" applyFont="1" applyAlignment="1">
      <alignment vertical="top"/>
    </xf>
    <xf numFmtId="49" fontId="17" fillId="0" borderId="0" xfId="0" applyNumberFormat="1" applyFont="1" applyAlignment="1">
      <alignment vertical="top"/>
    </xf>
    <xf numFmtId="0" fontId="32" fillId="2" borderId="2" xfId="18" applyFont="1" applyFill="1" applyBorder="1" applyAlignment="1">
      <alignment horizontal="center" vertical="center" wrapText="1"/>
    </xf>
    <xf numFmtId="0" fontId="32" fillId="2" borderId="3" xfId="18" applyFont="1" applyFill="1" applyBorder="1" applyAlignment="1">
      <alignment horizontal="center" vertical="center" wrapText="1"/>
    </xf>
    <xf numFmtId="0" fontId="32" fillId="2" borderId="4" xfId="18" applyFont="1" applyFill="1" applyBorder="1" applyAlignment="1">
      <alignment horizontal="center" vertical="center" wrapText="1"/>
    </xf>
    <xf numFmtId="0" fontId="28" fillId="8" borderId="7" xfId="14" applyFont="1" applyFill="1" applyBorder="1" applyAlignment="1">
      <alignment horizontal="center" vertical="center"/>
    </xf>
    <xf numFmtId="0" fontId="28" fillId="8" borderId="10" xfId="14" applyFont="1" applyFill="1" applyBorder="1" applyAlignment="1">
      <alignment horizontal="center" vertical="center"/>
    </xf>
    <xf numFmtId="0" fontId="28" fillId="8" borderId="11" xfId="14" applyFont="1" applyFill="1" applyBorder="1" applyAlignment="1">
      <alignment horizontal="center" vertical="center"/>
    </xf>
    <xf numFmtId="0" fontId="27" fillId="8" borderId="9" xfId="14" applyFont="1" applyFill="1" applyBorder="1" applyAlignment="1">
      <alignment horizontal="left" vertical="center" indent="1"/>
    </xf>
    <xf numFmtId="0" fontId="27" fillId="8" borderId="8" xfId="14" applyFont="1" applyFill="1" applyBorder="1" applyAlignment="1">
      <alignment horizontal="left" vertical="center" indent="1"/>
    </xf>
    <xf numFmtId="0" fontId="27" fillId="8" borderId="6" xfId="14" applyFont="1" applyFill="1" applyBorder="1" applyAlignment="1">
      <alignment horizontal="left" vertical="center" indent="1"/>
    </xf>
    <xf numFmtId="0" fontId="28" fillId="0" borderId="7" xfId="14" applyFont="1" applyBorder="1" applyAlignment="1">
      <alignment horizontal="center" vertical="center"/>
    </xf>
    <xf numFmtId="0" fontId="28" fillId="0" borderId="10" xfId="14" applyFont="1" applyBorder="1" applyAlignment="1">
      <alignment horizontal="center" vertical="center"/>
    </xf>
    <xf numFmtId="0" fontId="28" fillId="0" borderId="11" xfId="14" applyFont="1" applyBorder="1" applyAlignment="1">
      <alignment horizontal="center" vertical="center"/>
    </xf>
    <xf numFmtId="0" fontId="27" fillId="0" borderId="9" xfId="14" applyFont="1" applyBorder="1" applyAlignment="1">
      <alignment horizontal="left" vertical="center" indent="1"/>
    </xf>
    <xf numFmtId="0" fontId="27" fillId="0" borderId="8" xfId="14" applyFont="1" applyBorder="1" applyAlignment="1">
      <alignment horizontal="left" vertical="center" indent="1"/>
    </xf>
    <xf numFmtId="0" fontId="27" fillId="0" borderId="6" xfId="14" applyFont="1" applyBorder="1" applyAlignment="1">
      <alignment horizontal="left" vertical="center" indent="1"/>
    </xf>
    <xf numFmtId="0" fontId="28" fillId="9" borderId="7" xfId="14" applyFont="1" applyFill="1" applyBorder="1" applyAlignment="1">
      <alignment horizontal="center" vertical="center"/>
    </xf>
    <xf numFmtId="0" fontId="28" fillId="9" borderId="11" xfId="14" applyFont="1" applyFill="1" applyBorder="1" applyAlignment="1">
      <alignment horizontal="center" vertical="center"/>
    </xf>
    <xf numFmtId="0" fontId="28" fillId="9" borderId="10" xfId="14" applyFont="1" applyFill="1" applyBorder="1" applyAlignment="1">
      <alignment horizontal="center" vertical="center"/>
    </xf>
    <xf numFmtId="0" fontId="27" fillId="9" borderId="9" xfId="14" applyFont="1" applyFill="1" applyBorder="1" applyAlignment="1">
      <alignment horizontal="left" vertical="center" indent="1"/>
    </xf>
    <xf numFmtId="0" fontId="27" fillId="9" borderId="8" xfId="14" applyFont="1" applyFill="1" applyBorder="1" applyAlignment="1">
      <alignment horizontal="left" vertical="center" indent="1"/>
    </xf>
    <xf numFmtId="0" fontId="27" fillId="9" borderId="6" xfId="14" applyFont="1" applyFill="1" applyBorder="1" applyAlignment="1">
      <alignment horizontal="left" vertical="center" indent="1"/>
    </xf>
    <xf numFmtId="0" fontId="21" fillId="2" borderId="2" xfId="18" applyFont="1" applyFill="1" applyBorder="1" applyAlignment="1">
      <alignment horizontal="center" vertical="center" wrapText="1"/>
    </xf>
    <xf numFmtId="0" fontId="21" fillId="2" borderId="3" xfId="18" applyFont="1" applyFill="1" applyBorder="1" applyAlignment="1">
      <alignment horizontal="center" vertical="center" wrapText="1"/>
    </xf>
    <xf numFmtId="0" fontId="21" fillId="2" borderId="4" xfId="18" applyFont="1" applyFill="1" applyBorder="1" applyAlignment="1">
      <alignment horizontal="center" vertical="center" wrapText="1"/>
    </xf>
    <xf numFmtId="164" fontId="21" fillId="11" borderId="0" xfId="46" applyFont="1" applyFill="1" applyAlignment="1">
      <alignment horizontal="center" vertical="center"/>
    </xf>
    <xf numFmtId="167" fontId="21" fillId="11" borderId="0" xfId="46" applyNumberFormat="1" applyFont="1" applyFill="1" applyAlignment="1">
      <alignment horizontal="center" vertical="center" wrapText="1"/>
    </xf>
  </cellXfs>
  <cellStyles count="47">
    <cellStyle name="Comma [0]" xfId="46" builtinId="6"/>
    <cellStyle name="Fecha" xfId="12" xr:uid="{00000000-0005-0000-0000-000000000000}"/>
    <cellStyle name="Icono de resaltado" xfId="13" xr:uid="{00000000-0005-0000-0000-000001000000}"/>
    <cellStyle name="Millares [0] 2" xfId="9" xr:uid="{00000000-0005-0000-0000-000002000000}"/>
    <cellStyle name="Millares [0] 2 2" xfId="23" xr:uid="{00000000-0005-0000-0000-000003000000}"/>
    <cellStyle name="Millares 2" xfId="24" xr:uid="{00000000-0005-0000-0000-000004000000}"/>
    <cellStyle name="Millares 3" xfId="28" xr:uid="{00000000-0005-0000-0000-000005000000}"/>
    <cellStyle name="Millares 4" xfId="30" xr:uid="{00000000-0005-0000-0000-000006000000}"/>
    <cellStyle name="Millares 5" xfId="33" xr:uid="{00000000-0005-0000-0000-000007000000}"/>
    <cellStyle name="Millares 6" xfId="40" xr:uid="{00000000-0005-0000-0000-000008000000}"/>
    <cellStyle name="Millares 7" xfId="41" xr:uid="{00000000-0005-0000-0000-000009000000}"/>
    <cellStyle name="Millares 8" xfId="42" xr:uid="{00000000-0005-0000-0000-00000A000000}"/>
    <cellStyle name="Normal" xfId="0" builtinId="0"/>
    <cellStyle name="Normal 10" xfId="15" xr:uid="{00000000-0005-0000-0000-00000C000000}"/>
    <cellStyle name="Normal 10 2" xfId="25" xr:uid="{00000000-0005-0000-0000-00000D000000}"/>
    <cellStyle name="Normal 11" xfId="17" xr:uid="{00000000-0005-0000-0000-00000E000000}"/>
    <cellStyle name="Normal 12" xfId="16" xr:uid="{00000000-0005-0000-0000-00000F000000}"/>
    <cellStyle name="Normal 12 2" xfId="29" xr:uid="{00000000-0005-0000-0000-000010000000}"/>
    <cellStyle name="Normal 13" xfId="27" xr:uid="{00000000-0005-0000-0000-000011000000}"/>
    <cellStyle name="Normal 14" xfId="26" xr:uid="{00000000-0005-0000-0000-000012000000}"/>
    <cellStyle name="Normal 14 2" xfId="35" xr:uid="{00000000-0005-0000-0000-000013000000}"/>
    <cellStyle name="Normal 15" xfId="32" xr:uid="{00000000-0005-0000-0000-000014000000}"/>
    <cellStyle name="Normal 16" xfId="31" xr:uid="{00000000-0005-0000-0000-000015000000}"/>
    <cellStyle name="Normal 16 2" xfId="43" xr:uid="{00000000-0005-0000-0000-000016000000}"/>
    <cellStyle name="Normal 17" xfId="36" xr:uid="{00000000-0005-0000-0000-000017000000}"/>
    <cellStyle name="Normal 17 2" xfId="38" xr:uid="{00000000-0005-0000-0000-000018000000}"/>
    <cellStyle name="Normal 18" xfId="34" xr:uid="{00000000-0005-0000-0000-000019000000}"/>
    <cellStyle name="Normal 19" xfId="37" xr:uid="{00000000-0005-0000-0000-00001A000000}"/>
    <cellStyle name="Normal 19 2" xfId="44" xr:uid="{00000000-0005-0000-0000-00001B000000}"/>
    <cellStyle name="Normal 2" xfId="2" xr:uid="{00000000-0005-0000-0000-00001C000000}"/>
    <cellStyle name="Normal 2 2" xfId="5" xr:uid="{00000000-0005-0000-0000-00001D000000}"/>
    <cellStyle name="Normal 2 3" xfId="18" xr:uid="{00000000-0005-0000-0000-00001E000000}"/>
    <cellStyle name="Normal 20" xfId="45" xr:uid="{00000000-0005-0000-0000-00001F000000}"/>
    <cellStyle name="Normal 21" xfId="39" xr:uid="{00000000-0005-0000-0000-000020000000}"/>
    <cellStyle name="Normal 3" xfId="4" xr:uid="{00000000-0005-0000-0000-000021000000}"/>
    <cellStyle name="Normal 3 2" xfId="6" xr:uid="{00000000-0005-0000-0000-000022000000}"/>
    <cellStyle name="Normal 3 2 2" xfId="20" xr:uid="{00000000-0005-0000-0000-000023000000}"/>
    <cellStyle name="Normal 4" xfId="3" xr:uid="{00000000-0005-0000-0000-000024000000}"/>
    <cellStyle name="Normal 4 2" xfId="19" xr:uid="{00000000-0005-0000-0000-000025000000}"/>
    <cellStyle name="Normal 5" xfId="11" xr:uid="{00000000-0005-0000-0000-000026000000}"/>
    <cellStyle name="Normal 6" xfId="14" xr:uid="{00000000-0005-0000-0000-000027000000}"/>
    <cellStyle name="Normal 7" xfId="1" xr:uid="{00000000-0005-0000-0000-000028000000}"/>
    <cellStyle name="Normal 8" xfId="7" xr:uid="{00000000-0005-0000-0000-000029000000}"/>
    <cellStyle name="Normal 8 2" xfId="21" xr:uid="{00000000-0005-0000-0000-00002A000000}"/>
    <cellStyle name="Normal 9" xfId="8" xr:uid="{00000000-0005-0000-0000-00002B000000}"/>
    <cellStyle name="Normal 9 2" xfId="22" xr:uid="{00000000-0005-0000-0000-00002C000000}"/>
    <cellStyle name="Título 2 2" xfId="1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nerosRFA\Desktop\8138\Modelo%20IT\EXPORT.XLSX" TargetMode="External"/><Relationship Id="rId1" Type="http://schemas.openxmlformats.org/officeDocument/2006/relationships/externalLinkPath" Target="https://luxotticagroup.sharepoint.com/Users/LinerosRFA/Desktop/8138/Modelo%20IT/EX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Contract</v>
          </cell>
          <cell r="C1" t="str">
            <v>Contract Name</v>
          </cell>
          <cell r="D1" t="str">
            <v>Real Estate Key</v>
          </cell>
          <cell r="E1" t="str">
            <v>Contract start date</v>
          </cell>
          <cell r="F1" t="str">
            <v>End of Term</v>
          </cell>
          <cell r="G1" t="str">
            <v>Profit Center</v>
          </cell>
          <cell r="H1" t="str">
            <v>Contract Currency</v>
          </cell>
          <cell r="I1" t="str">
            <v>Contract Type</v>
          </cell>
          <cell r="J1" t="str">
            <v>Contr.type text</v>
          </cell>
          <cell r="K1" t="str">
            <v>Desc. Asset Valid From</v>
          </cell>
          <cell r="L1" t="str">
            <v>Desc. Asset Valid To</v>
          </cell>
          <cell r="M1" t="str">
            <v>Company Code</v>
          </cell>
          <cell r="N1" t="str">
            <v>Asset</v>
          </cell>
          <cell r="O1" t="str">
            <v>Sub-number</v>
          </cell>
          <cell r="P1" t="str">
            <v>Asset Class</v>
          </cell>
          <cell r="Q1" t="str">
            <v>Asset Class Description</v>
          </cell>
          <cell r="R1" t="str">
            <v>Row Valid From</v>
          </cell>
          <cell r="S1" t="str">
            <v>Row Valid To</v>
          </cell>
          <cell r="T1" t="str">
            <v>First Acquisition on</v>
          </cell>
          <cell r="U1" t="str">
            <v>Capitalized On</v>
          </cell>
          <cell r="V1" t="str">
            <v>Asset</v>
          </cell>
          <cell r="W1" t="str">
            <v>Obj. Identification</v>
          </cell>
          <cell r="X1" t="str">
            <v>Object Description</v>
          </cell>
          <cell r="Y1" t="str">
            <v>Valuation Rule</v>
          </cell>
          <cell r="Z1" t="str">
            <v>Name of Valuation Rule</v>
          </cell>
          <cell r="AA1" t="str">
            <v>Number</v>
          </cell>
          <cell r="AB1" t="str">
            <v>Posting Status</v>
          </cell>
          <cell r="AC1" t="str">
            <v>Valuation Status</v>
          </cell>
          <cell r="AD1" t="str">
            <v>Rule Status</v>
          </cell>
          <cell r="AE1" t="str">
            <v>Valuation Relevance</v>
          </cell>
          <cell r="AF1" t="str">
            <v>Valuation Relevance</v>
          </cell>
        </row>
        <row r="2">
          <cell r="B2" t="str">
            <v>5000000</v>
          </cell>
          <cell r="C2" t="str">
            <v>M204_GV UR BULEVAR ARTIGAS Y RIVERA</v>
          </cell>
          <cell r="D2" t="str">
            <v>REC G275/5000000</v>
          </cell>
          <cell r="E2">
            <v>42459</v>
          </cell>
          <cell r="F2">
            <v>46265</v>
          </cell>
          <cell r="G2" t="str">
            <v>M204</v>
          </cell>
          <cell r="H2" t="str">
            <v>UYU</v>
          </cell>
          <cell r="I2" t="str">
            <v>Z006</v>
          </cell>
          <cell r="J2" t="str">
            <v>REAL ESTATE LEASE</v>
          </cell>
          <cell r="L2">
            <v>2958465</v>
          </cell>
          <cell r="M2" t="str">
            <v>G275</v>
          </cell>
          <cell r="N2" t="str">
            <v>90000001</v>
          </cell>
          <cell r="O2" t="str">
            <v>0</v>
          </cell>
          <cell r="P2" t="str">
            <v>7505</v>
          </cell>
          <cell r="Q2" t="str">
            <v>BUILDING.LEASE.OPERATING</v>
          </cell>
          <cell r="S2">
            <v>2958465</v>
          </cell>
          <cell r="T2">
            <v>45323</v>
          </cell>
          <cell r="U2">
            <v>45323</v>
          </cell>
          <cell r="V2" t="str">
            <v>FXA G275/90000001/0</v>
          </cell>
          <cell r="W2" t="str">
            <v>RO G275/1/2</v>
          </cell>
          <cell r="X2" t="str">
            <v>O652_GV UR BULEVAR ARTIGAS Y RIVERA</v>
          </cell>
          <cell r="Y2" t="str">
            <v>IFRS_LUX</v>
          </cell>
          <cell r="Z2" t="str">
            <v>New IFRS rule, replaces old IFRS_IN</v>
          </cell>
          <cell r="AA2" t="str">
            <v>3</v>
          </cell>
          <cell r="AB2" t="str">
            <v/>
          </cell>
          <cell r="AC2" t="str">
            <v/>
          </cell>
          <cell r="AD2" t="str">
            <v/>
          </cell>
          <cell r="AE2" t="str">
            <v>RELE</v>
          </cell>
          <cell r="AF2" t="str">
            <v>Relevant for evaluation processes</v>
          </cell>
        </row>
        <row r="3">
          <cell r="B3" t="str">
            <v>5000000</v>
          </cell>
          <cell r="C3" t="str">
            <v>M204_GV UR BULEVAR ARTIGAS Y RIVERA</v>
          </cell>
          <cell r="D3" t="str">
            <v>REC G275/5000000</v>
          </cell>
          <cell r="E3">
            <v>42459</v>
          </cell>
          <cell r="F3">
            <v>46265</v>
          </cell>
          <cell r="G3" t="str">
            <v>M204</v>
          </cell>
          <cell r="H3" t="str">
            <v>UYU</v>
          </cell>
          <cell r="I3" t="str">
            <v>Z006</v>
          </cell>
          <cell r="J3" t="str">
            <v>REAL ESTATE LEASE</v>
          </cell>
          <cell r="L3">
            <v>2958465</v>
          </cell>
          <cell r="M3" t="str">
            <v>G275</v>
          </cell>
          <cell r="N3" t="str">
            <v>90000001</v>
          </cell>
          <cell r="O3" t="str">
            <v>0</v>
          </cell>
          <cell r="P3" t="str">
            <v>7505</v>
          </cell>
          <cell r="Q3" t="str">
            <v>BUILDING.LEASE.OPERATING</v>
          </cell>
          <cell r="S3">
            <v>2958465</v>
          </cell>
          <cell r="T3">
            <v>45323</v>
          </cell>
          <cell r="U3">
            <v>45323</v>
          </cell>
          <cell r="V3" t="str">
            <v>FXA G275/90000001/0</v>
          </cell>
          <cell r="W3" t="str">
            <v>RO G275/1/2</v>
          </cell>
          <cell r="X3" t="str">
            <v>O652_GV UR BULEVAR ARTIGAS Y RIVERA</v>
          </cell>
          <cell r="Y3" t="str">
            <v>GMO_TAX</v>
          </cell>
          <cell r="Z3" t="str">
            <v>New GMO TAX replaces GMO_TAX_05</v>
          </cell>
          <cell r="AA3" t="str">
            <v>4</v>
          </cell>
          <cell r="AB3" t="str">
            <v/>
          </cell>
          <cell r="AC3" t="str">
            <v/>
          </cell>
          <cell r="AD3" t="str">
            <v/>
          </cell>
          <cell r="AE3" t="str">
            <v>RELE</v>
          </cell>
          <cell r="AF3" t="str">
            <v>Relevant for evaluation processes</v>
          </cell>
        </row>
        <row r="4">
          <cell r="B4" t="str">
            <v>5000000</v>
          </cell>
          <cell r="C4" t="str">
            <v>M204_GV UR BULEVAR ARTIGAS Y RIVERA</v>
          </cell>
          <cell r="D4" t="str">
            <v>REC G275/5000000</v>
          </cell>
          <cell r="E4">
            <v>42459</v>
          </cell>
          <cell r="F4">
            <v>46265</v>
          </cell>
          <cell r="G4" t="str">
            <v>M204</v>
          </cell>
          <cell r="H4" t="str">
            <v>UYU</v>
          </cell>
          <cell r="I4" t="str">
            <v>Z006</v>
          </cell>
          <cell r="J4" t="str">
            <v>REAL ESTATE LEASE</v>
          </cell>
          <cell r="L4">
            <v>2958465</v>
          </cell>
          <cell r="M4" t="str">
            <v>G275</v>
          </cell>
          <cell r="N4" t="str">
            <v>90000000</v>
          </cell>
          <cell r="O4" t="str">
            <v>0</v>
          </cell>
          <cell r="P4" t="str">
            <v>7505</v>
          </cell>
          <cell r="Q4" t="str">
            <v>BUILDING.LEASE.OPERATING</v>
          </cell>
          <cell r="S4">
            <v>2958465</v>
          </cell>
          <cell r="T4">
            <v>45323</v>
          </cell>
          <cell r="U4">
            <v>45323</v>
          </cell>
          <cell r="V4" t="str">
            <v>FXA G275/90000000/0</v>
          </cell>
          <cell r="W4" t="str">
            <v>RO G275/1/1</v>
          </cell>
          <cell r="X4" t="str">
            <v>M204_GV UR BULEVAR ARTIGAS Y RIVERA</v>
          </cell>
          <cell r="Y4" t="str">
            <v>IFRS_LUX</v>
          </cell>
          <cell r="Z4" t="str">
            <v>New IFRS rule, replaces old IFRS_IN</v>
          </cell>
          <cell r="AA4" t="str">
            <v>5</v>
          </cell>
          <cell r="AB4" t="str">
            <v/>
          </cell>
          <cell r="AC4" t="str">
            <v/>
          </cell>
          <cell r="AD4" t="str">
            <v/>
          </cell>
          <cell r="AE4" t="str">
            <v>RELE</v>
          </cell>
          <cell r="AF4" t="str">
            <v>Relevant for evaluation processes</v>
          </cell>
        </row>
        <row r="5">
          <cell r="B5" t="str">
            <v>5000000</v>
          </cell>
          <cell r="C5" t="str">
            <v>M204_GV UR BULEVAR ARTIGAS Y RIVERA</v>
          </cell>
          <cell r="D5" t="str">
            <v>REC G275/5000000</v>
          </cell>
          <cell r="E5">
            <v>42459</v>
          </cell>
          <cell r="F5">
            <v>46265</v>
          </cell>
          <cell r="G5" t="str">
            <v>M204</v>
          </cell>
          <cell r="H5" t="str">
            <v>UYU</v>
          </cell>
          <cell r="I5" t="str">
            <v>Z006</v>
          </cell>
          <cell r="J5" t="str">
            <v>REAL ESTATE LEASE</v>
          </cell>
          <cell r="L5">
            <v>2958465</v>
          </cell>
          <cell r="M5" t="str">
            <v>G275</v>
          </cell>
          <cell r="N5" t="str">
            <v>90000000</v>
          </cell>
          <cell r="O5" t="str">
            <v>0</v>
          </cell>
          <cell r="P5" t="str">
            <v>7505</v>
          </cell>
          <cell r="Q5" t="str">
            <v>BUILDING.LEASE.OPERATING</v>
          </cell>
          <cell r="S5">
            <v>2958465</v>
          </cell>
          <cell r="T5">
            <v>45323</v>
          </cell>
          <cell r="U5">
            <v>45323</v>
          </cell>
          <cell r="V5" t="str">
            <v>FXA G275/90000000/0</v>
          </cell>
          <cell r="W5" t="str">
            <v>RO G275/1/1</v>
          </cell>
          <cell r="X5" t="str">
            <v>M204_GV UR BULEVAR ARTIGAS Y RIVERA</v>
          </cell>
          <cell r="Y5" t="str">
            <v>GMO_TAX</v>
          </cell>
          <cell r="Z5" t="str">
            <v>New GMO TAX replaces GMO_TAX_05</v>
          </cell>
          <cell r="AA5" t="str">
            <v>6</v>
          </cell>
          <cell r="AB5" t="str">
            <v/>
          </cell>
          <cell r="AC5" t="str">
            <v/>
          </cell>
          <cell r="AD5" t="str">
            <v/>
          </cell>
          <cell r="AE5" t="str">
            <v>RELE</v>
          </cell>
          <cell r="AF5" t="str">
            <v>Relevant for evaluation processes</v>
          </cell>
        </row>
        <row r="6">
          <cell r="B6" t="str">
            <v>5000001</v>
          </cell>
          <cell r="C6" t="str">
            <v>M201_GV UR PORTONES (SHOPPING)</v>
          </cell>
          <cell r="D6" t="str">
            <v>REC G275/5000001</v>
          </cell>
          <cell r="E6">
            <v>44197</v>
          </cell>
          <cell r="F6">
            <v>45657</v>
          </cell>
          <cell r="G6" t="str">
            <v>M201</v>
          </cell>
          <cell r="H6" t="str">
            <v>UYU</v>
          </cell>
          <cell r="I6" t="str">
            <v>Z006</v>
          </cell>
          <cell r="J6" t="str">
            <v>REAL ESTATE LEASE</v>
          </cell>
          <cell r="L6">
            <v>2958465</v>
          </cell>
          <cell r="M6" t="str">
            <v>G275</v>
          </cell>
          <cell r="N6" t="str">
            <v>90000002</v>
          </cell>
          <cell r="O6" t="str">
            <v>0</v>
          </cell>
          <cell r="P6" t="str">
            <v>7505</v>
          </cell>
          <cell r="Q6" t="str">
            <v>BUILDING.LEASE.OPERATING</v>
          </cell>
          <cell r="S6">
            <v>2958465</v>
          </cell>
          <cell r="T6">
            <v>45323</v>
          </cell>
          <cell r="U6">
            <v>45323</v>
          </cell>
          <cell r="V6" t="str">
            <v>FXA G275/90000002/0</v>
          </cell>
          <cell r="W6" t="str">
            <v>RO G275/2/1</v>
          </cell>
          <cell r="X6" t="str">
            <v>M201_GV UR PORTONES (SHOPPING)</v>
          </cell>
          <cell r="Y6" t="str">
            <v>IFRS_LUX</v>
          </cell>
          <cell r="Z6" t="str">
            <v>New IFRS rule, replaces old IFRS_IN</v>
          </cell>
          <cell r="AA6" t="str">
            <v>1</v>
          </cell>
          <cell r="AB6" t="str">
            <v/>
          </cell>
          <cell r="AC6" t="str">
            <v/>
          </cell>
          <cell r="AD6" t="str">
            <v/>
          </cell>
          <cell r="AE6" t="str">
            <v>RELE</v>
          </cell>
          <cell r="AF6" t="str">
            <v>Relevant for evaluation processes</v>
          </cell>
        </row>
        <row r="7">
          <cell r="B7" t="str">
            <v>5000001</v>
          </cell>
          <cell r="C7" t="str">
            <v>M201_GV UR PORTONES (SHOPPING)</v>
          </cell>
          <cell r="D7" t="str">
            <v>REC G275/5000001</v>
          </cell>
          <cell r="E7">
            <v>44197</v>
          </cell>
          <cell r="F7">
            <v>45657</v>
          </cell>
          <cell r="G7" t="str">
            <v>M201</v>
          </cell>
          <cell r="H7" t="str">
            <v>UYU</v>
          </cell>
          <cell r="I7" t="str">
            <v>Z006</v>
          </cell>
          <cell r="J7" t="str">
            <v>REAL ESTATE LEASE</v>
          </cell>
          <cell r="L7">
            <v>2958465</v>
          </cell>
          <cell r="M7" t="str">
            <v>G275</v>
          </cell>
          <cell r="N7" t="str">
            <v>90000002</v>
          </cell>
          <cell r="O7" t="str">
            <v>0</v>
          </cell>
          <cell r="P7" t="str">
            <v>7505</v>
          </cell>
          <cell r="Q7" t="str">
            <v>BUILDING.LEASE.OPERATING</v>
          </cell>
          <cell r="S7">
            <v>2958465</v>
          </cell>
          <cell r="T7">
            <v>45323</v>
          </cell>
          <cell r="U7">
            <v>45323</v>
          </cell>
          <cell r="V7" t="str">
            <v>FXA G275/90000002/0</v>
          </cell>
          <cell r="W7" t="str">
            <v>RO G275/2/1</v>
          </cell>
          <cell r="X7" t="str">
            <v>M201_GV UR PORTONES (SHOPPING)</v>
          </cell>
          <cell r="Y7" t="str">
            <v>GMO_TAX</v>
          </cell>
          <cell r="Z7" t="str">
            <v>New GMO TAX replaces GMO_TAX_05</v>
          </cell>
          <cell r="AA7" t="str">
            <v>2</v>
          </cell>
          <cell r="AB7" t="str">
            <v/>
          </cell>
          <cell r="AC7" t="str">
            <v/>
          </cell>
          <cell r="AD7" t="str">
            <v/>
          </cell>
          <cell r="AE7" t="str">
            <v>RELE</v>
          </cell>
          <cell r="AF7" t="str">
            <v>Relevant for evaluation processes</v>
          </cell>
        </row>
        <row r="8">
          <cell r="B8" t="str">
            <v>5000002</v>
          </cell>
          <cell r="C8" t="str">
            <v>M199_GV UR MONTEVIDEO SHOPPING</v>
          </cell>
          <cell r="D8" t="str">
            <v>REC G275/5000002</v>
          </cell>
          <cell r="E8">
            <v>42302</v>
          </cell>
          <cell r="F8">
            <v>45930</v>
          </cell>
          <cell r="G8" t="str">
            <v>M199</v>
          </cell>
          <cell r="H8" t="str">
            <v>UYU</v>
          </cell>
          <cell r="I8" t="str">
            <v>Z006</v>
          </cell>
          <cell r="J8" t="str">
            <v>REAL ESTATE LEASE</v>
          </cell>
          <cell r="L8">
            <v>2958465</v>
          </cell>
          <cell r="M8" t="str">
            <v>G275</v>
          </cell>
          <cell r="N8" t="str">
            <v>90000003</v>
          </cell>
          <cell r="O8" t="str">
            <v>0</v>
          </cell>
          <cell r="P8" t="str">
            <v>7505</v>
          </cell>
          <cell r="Q8" t="str">
            <v>BUILDING.LEASE.OPERATING</v>
          </cell>
          <cell r="S8">
            <v>2958465</v>
          </cell>
          <cell r="T8">
            <v>45323</v>
          </cell>
          <cell r="U8">
            <v>45323</v>
          </cell>
          <cell r="V8" t="str">
            <v>FXA G275/90000003/0</v>
          </cell>
          <cell r="W8" t="str">
            <v>RO G275/3/1</v>
          </cell>
          <cell r="X8" t="str">
            <v>M199_GV UR MONTEVIDEO SHOPPING</v>
          </cell>
          <cell r="Y8" t="str">
            <v>IFRS_LUX</v>
          </cell>
          <cell r="Z8" t="str">
            <v>New IFRS rule, replaces old IFRS_IN</v>
          </cell>
          <cell r="AA8" t="str">
            <v>1</v>
          </cell>
          <cell r="AB8" t="str">
            <v/>
          </cell>
          <cell r="AC8" t="str">
            <v/>
          </cell>
          <cell r="AD8" t="str">
            <v/>
          </cell>
          <cell r="AE8" t="str">
            <v>RELE</v>
          </cell>
          <cell r="AF8" t="str">
            <v>Relevant for evaluation processes</v>
          </cell>
        </row>
        <row r="9">
          <cell r="B9" t="str">
            <v>5000002</v>
          </cell>
          <cell r="C9" t="str">
            <v>M199_GV UR MONTEVIDEO SHOPPING</v>
          </cell>
          <cell r="D9" t="str">
            <v>REC G275/5000002</v>
          </cell>
          <cell r="E9">
            <v>42302</v>
          </cell>
          <cell r="F9">
            <v>45930</v>
          </cell>
          <cell r="G9" t="str">
            <v>M199</v>
          </cell>
          <cell r="H9" t="str">
            <v>UYU</v>
          </cell>
          <cell r="I9" t="str">
            <v>Z006</v>
          </cell>
          <cell r="J9" t="str">
            <v>REAL ESTATE LEASE</v>
          </cell>
          <cell r="L9">
            <v>2958465</v>
          </cell>
          <cell r="M9" t="str">
            <v>G275</v>
          </cell>
          <cell r="N9" t="str">
            <v>90000003</v>
          </cell>
          <cell r="O9" t="str">
            <v>0</v>
          </cell>
          <cell r="P9" t="str">
            <v>7505</v>
          </cell>
          <cell r="Q9" t="str">
            <v>BUILDING.LEASE.OPERATING</v>
          </cell>
          <cell r="S9">
            <v>2958465</v>
          </cell>
          <cell r="T9">
            <v>45323</v>
          </cell>
          <cell r="U9">
            <v>45323</v>
          </cell>
          <cell r="V9" t="str">
            <v>FXA G275/90000003/0</v>
          </cell>
          <cell r="W9" t="str">
            <v>RO G275/3/1</v>
          </cell>
          <cell r="X9" t="str">
            <v>M199_GV UR MONTEVIDEO SHOPPING</v>
          </cell>
          <cell r="Y9" t="str">
            <v>GMO_TAX</v>
          </cell>
          <cell r="Z9" t="str">
            <v>New GMO TAX replaces GMO_TAX_05</v>
          </cell>
          <cell r="AA9" t="str">
            <v>2</v>
          </cell>
          <cell r="AB9" t="str">
            <v/>
          </cell>
          <cell r="AC9" t="str">
            <v/>
          </cell>
          <cell r="AD9" t="str">
            <v/>
          </cell>
          <cell r="AE9" t="str">
            <v>RELE</v>
          </cell>
          <cell r="AF9" t="str">
            <v>Relevant for evaluation processes</v>
          </cell>
        </row>
        <row r="10">
          <cell r="B10" t="str">
            <v>5000003</v>
          </cell>
          <cell r="C10" t="str">
            <v>M197_GV UR COSTA URBANA</v>
          </cell>
          <cell r="D10" t="str">
            <v>REC G275/5000003</v>
          </cell>
          <cell r="E10">
            <v>45047</v>
          </cell>
          <cell r="F10">
            <v>46507</v>
          </cell>
          <cell r="G10" t="str">
            <v>M197</v>
          </cell>
          <cell r="H10" t="str">
            <v>UYU</v>
          </cell>
          <cell r="I10" t="str">
            <v>Z006</v>
          </cell>
          <cell r="J10" t="str">
            <v>REAL ESTATE LEASE</v>
          </cell>
          <cell r="L10">
            <v>2958465</v>
          </cell>
          <cell r="M10" t="str">
            <v>G275</v>
          </cell>
          <cell r="N10" t="str">
            <v>90000004</v>
          </cell>
          <cell r="O10" t="str">
            <v>0</v>
          </cell>
          <cell r="P10" t="str">
            <v>7505</v>
          </cell>
          <cell r="Q10" t="str">
            <v>BUILDING.LEASE.OPERATING</v>
          </cell>
          <cell r="S10">
            <v>2958465</v>
          </cell>
          <cell r="T10">
            <v>45323</v>
          </cell>
          <cell r="U10">
            <v>45323</v>
          </cell>
          <cell r="V10" t="str">
            <v>FXA G275/90000004/0</v>
          </cell>
          <cell r="W10" t="str">
            <v>RO G275/4/1</v>
          </cell>
          <cell r="X10" t="str">
            <v>M197_GV UR COSTA URBANA</v>
          </cell>
          <cell r="Y10" t="str">
            <v>IFRS_LUX</v>
          </cell>
          <cell r="Z10" t="str">
            <v>New IFRS rule, replaces old IFRS_IN</v>
          </cell>
          <cell r="AA10" t="str">
            <v>1</v>
          </cell>
          <cell r="AB10" t="str">
            <v/>
          </cell>
          <cell r="AC10" t="str">
            <v/>
          </cell>
          <cell r="AD10" t="str">
            <v/>
          </cell>
          <cell r="AE10" t="str">
            <v>RELE</v>
          </cell>
          <cell r="AF10" t="str">
            <v>Relevant for evaluation processes</v>
          </cell>
        </row>
        <row r="11">
          <cell r="B11" t="str">
            <v>5000003</v>
          </cell>
          <cell r="C11" t="str">
            <v>M197_GV UR COSTA URBANA</v>
          </cell>
          <cell r="D11" t="str">
            <v>REC G275/5000003</v>
          </cell>
          <cell r="E11">
            <v>45047</v>
          </cell>
          <cell r="F11">
            <v>46507</v>
          </cell>
          <cell r="G11" t="str">
            <v>M197</v>
          </cell>
          <cell r="H11" t="str">
            <v>UYU</v>
          </cell>
          <cell r="I11" t="str">
            <v>Z006</v>
          </cell>
          <cell r="J11" t="str">
            <v>REAL ESTATE LEASE</v>
          </cell>
          <cell r="L11">
            <v>2958465</v>
          </cell>
          <cell r="M11" t="str">
            <v>G275</v>
          </cell>
          <cell r="N11" t="str">
            <v>90000004</v>
          </cell>
          <cell r="O11" t="str">
            <v>0</v>
          </cell>
          <cell r="P11" t="str">
            <v>7505</v>
          </cell>
          <cell r="Q11" t="str">
            <v>BUILDING.LEASE.OPERATING</v>
          </cell>
          <cell r="S11">
            <v>2958465</v>
          </cell>
          <cell r="T11">
            <v>45323</v>
          </cell>
          <cell r="U11">
            <v>45323</v>
          </cell>
          <cell r="V11" t="str">
            <v>FXA G275/90000004/0</v>
          </cell>
          <cell r="W11" t="str">
            <v>RO G275/4/1</v>
          </cell>
          <cell r="X11" t="str">
            <v>M197_GV UR COSTA URBANA</v>
          </cell>
          <cell r="Y11" t="str">
            <v>GMO_TAX</v>
          </cell>
          <cell r="Z11" t="str">
            <v>New GMO TAX replaces GMO_TAX_05</v>
          </cell>
          <cell r="AA11" t="str">
            <v>2</v>
          </cell>
          <cell r="AB11" t="str">
            <v/>
          </cell>
          <cell r="AC11" t="str">
            <v/>
          </cell>
          <cell r="AD11" t="str">
            <v/>
          </cell>
          <cell r="AE11" t="str">
            <v>RELE</v>
          </cell>
          <cell r="AF11" t="str">
            <v>Relevant for evaluation processes</v>
          </cell>
        </row>
        <row r="12">
          <cell r="B12" t="str">
            <v>5000004</v>
          </cell>
          <cell r="C12" t="str">
            <v>M196_GV UR TUNEL</v>
          </cell>
          <cell r="D12" t="str">
            <v>REC G275/5000004</v>
          </cell>
          <cell r="E12">
            <v>41456</v>
          </cell>
          <cell r="F12">
            <v>45626</v>
          </cell>
          <cell r="G12" t="str">
            <v>M196</v>
          </cell>
          <cell r="H12" t="str">
            <v>UYU</v>
          </cell>
          <cell r="I12" t="str">
            <v>Z006</v>
          </cell>
          <cell r="J12" t="str">
            <v>REAL ESTATE LEASE</v>
          </cell>
          <cell r="L12">
            <v>2958465</v>
          </cell>
          <cell r="M12" t="str">
            <v>G275</v>
          </cell>
          <cell r="N12" t="str">
            <v>90000005</v>
          </cell>
          <cell r="O12" t="str">
            <v>0</v>
          </cell>
          <cell r="P12" t="str">
            <v>7505</v>
          </cell>
          <cell r="Q12" t="str">
            <v>BUILDING.LEASE.OPERATING</v>
          </cell>
          <cell r="S12">
            <v>2958465</v>
          </cell>
          <cell r="T12">
            <v>45323</v>
          </cell>
          <cell r="U12">
            <v>45323</v>
          </cell>
          <cell r="V12" t="str">
            <v>FXA G275/90000005/0</v>
          </cell>
          <cell r="W12" t="str">
            <v>RO G275/5/1</v>
          </cell>
          <cell r="X12" t="str">
            <v>M196_GV UR TUNEL</v>
          </cell>
          <cell r="Y12" t="str">
            <v>IFRS_LUX</v>
          </cell>
          <cell r="Z12" t="str">
            <v>New IFRS rule, replaces old IFRS_IN</v>
          </cell>
          <cell r="AA12" t="str">
            <v>1</v>
          </cell>
          <cell r="AB12" t="str">
            <v/>
          </cell>
          <cell r="AC12" t="str">
            <v/>
          </cell>
          <cell r="AD12" t="str">
            <v/>
          </cell>
          <cell r="AE12" t="str">
            <v>RELE</v>
          </cell>
          <cell r="AF12" t="str">
            <v>Relevant for evaluation processes</v>
          </cell>
        </row>
        <row r="13">
          <cell r="B13" t="str">
            <v>5000004</v>
          </cell>
          <cell r="C13" t="str">
            <v>M196_GV UR TUNEL</v>
          </cell>
          <cell r="D13" t="str">
            <v>REC G275/5000004</v>
          </cell>
          <cell r="E13">
            <v>41456</v>
          </cell>
          <cell r="F13">
            <v>45626</v>
          </cell>
          <cell r="G13" t="str">
            <v>M196</v>
          </cell>
          <cell r="H13" t="str">
            <v>UYU</v>
          </cell>
          <cell r="I13" t="str">
            <v>Z006</v>
          </cell>
          <cell r="J13" t="str">
            <v>REAL ESTATE LEASE</v>
          </cell>
          <cell r="L13">
            <v>2958465</v>
          </cell>
          <cell r="M13" t="str">
            <v>G275</v>
          </cell>
          <cell r="N13" t="str">
            <v>90000005</v>
          </cell>
          <cell r="O13" t="str">
            <v>0</v>
          </cell>
          <cell r="P13" t="str">
            <v>7505</v>
          </cell>
          <cell r="Q13" t="str">
            <v>BUILDING.LEASE.OPERATING</v>
          </cell>
          <cell r="S13">
            <v>2958465</v>
          </cell>
          <cell r="T13">
            <v>45323</v>
          </cell>
          <cell r="U13">
            <v>45323</v>
          </cell>
          <cell r="V13" t="str">
            <v>FXA G275/90000005/0</v>
          </cell>
          <cell r="W13" t="str">
            <v>RO G275/5/1</v>
          </cell>
          <cell r="X13" t="str">
            <v>M196_GV UR TUNEL</v>
          </cell>
          <cell r="Y13" t="str">
            <v>GMO_TAX</v>
          </cell>
          <cell r="Z13" t="str">
            <v>New GMO TAX replaces GMO_TAX_05</v>
          </cell>
          <cell r="AA13" t="str">
            <v>2</v>
          </cell>
          <cell r="AB13" t="str">
            <v/>
          </cell>
          <cell r="AC13" t="str">
            <v/>
          </cell>
          <cell r="AD13" t="str">
            <v/>
          </cell>
          <cell r="AE13" t="str">
            <v>RELE</v>
          </cell>
          <cell r="AF13" t="str">
            <v>Relevant for evaluation processes</v>
          </cell>
        </row>
        <row r="14">
          <cell r="B14" t="str">
            <v>5000005</v>
          </cell>
          <cell r="C14" t="str">
            <v>M194_GV UR CASA CENTRAL</v>
          </cell>
          <cell r="D14" t="str">
            <v>REC G275/5000005</v>
          </cell>
          <cell r="E14">
            <v>43435</v>
          </cell>
          <cell r="F14">
            <v>45456</v>
          </cell>
          <cell r="G14" t="str">
            <v>M194</v>
          </cell>
          <cell r="H14" t="str">
            <v>UYU</v>
          </cell>
          <cell r="I14" t="str">
            <v>Z006</v>
          </cell>
          <cell r="J14" t="str">
            <v>REAL ESTATE LEASE</v>
          </cell>
          <cell r="L14">
            <v>2958465</v>
          </cell>
          <cell r="M14" t="str">
            <v>G275</v>
          </cell>
          <cell r="N14" t="str">
            <v>90000006</v>
          </cell>
          <cell r="O14" t="str">
            <v>0</v>
          </cell>
          <cell r="P14" t="str">
            <v>7505</v>
          </cell>
          <cell r="Q14" t="str">
            <v>BUILDING.LEASE.OPERATING</v>
          </cell>
          <cell r="S14">
            <v>2958465</v>
          </cell>
          <cell r="T14">
            <v>45323</v>
          </cell>
          <cell r="U14">
            <v>45323</v>
          </cell>
          <cell r="V14" t="str">
            <v>FXA G275/90000006/0</v>
          </cell>
          <cell r="W14" t="str">
            <v>RO G275/6/1</v>
          </cell>
          <cell r="X14" t="str">
            <v>M194_GV UR CASA CENTRAL</v>
          </cell>
          <cell r="Y14" t="str">
            <v>IFRS_LUX</v>
          </cell>
          <cell r="Z14" t="str">
            <v>New IFRS rule, replaces old IFRS_IN</v>
          </cell>
          <cell r="AA14" t="str">
            <v>1</v>
          </cell>
          <cell r="AB14" t="str">
            <v/>
          </cell>
          <cell r="AC14" t="str">
            <v/>
          </cell>
          <cell r="AD14" t="str">
            <v/>
          </cell>
          <cell r="AE14" t="str">
            <v>RELE</v>
          </cell>
          <cell r="AF14" t="str">
            <v>Relevant for evaluation processes</v>
          </cell>
        </row>
        <row r="15">
          <cell r="B15" t="str">
            <v>5000005</v>
          </cell>
          <cell r="C15" t="str">
            <v>M194_GV UR CASA CENTRAL</v>
          </cell>
          <cell r="D15" t="str">
            <v>REC G275/5000005</v>
          </cell>
          <cell r="E15">
            <v>43435</v>
          </cell>
          <cell r="F15">
            <v>45456</v>
          </cell>
          <cell r="G15" t="str">
            <v>M194</v>
          </cell>
          <cell r="H15" t="str">
            <v>UYU</v>
          </cell>
          <cell r="I15" t="str">
            <v>Z006</v>
          </cell>
          <cell r="J15" t="str">
            <v>REAL ESTATE LEASE</v>
          </cell>
          <cell r="L15">
            <v>2958465</v>
          </cell>
          <cell r="M15" t="str">
            <v>G275</v>
          </cell>
          <cell r="N15" t="str">
            <v>90000006</v>
          </cell>
          <cell r="O15" t="str">
            <v>0</v>
          </cell>
          <cell r="P15" t="str">
            <v>7505</v>
          </cell>
          <cell r="Q15" t="str">
            <v>BUILDING.LEASE.OPERATING</v>
          </cell>
          <cell r="S15">
            <v>2958465</v>
          </cell>
          <cell r="T15">
            <v>45323</v>
          </cell>
          <cell r="U15">
            <v>45323</v>
          </cell>
          <cell r="V15" t="str">
            <v>FXA G275/90000006/0</v>
          </cell>
          <cell r="W15" t="str">
            <v>RO G275/6/1</v>
          </cell>
          <cell r="X15" t="str">
            <v>M194_GV UR CASA CENTRAL</v>
          </cell>
          <cell r="Y15" t="str">
            <v>GMO_TAX</v>
          </cell>
          <cell r="Z15" t="str">
            <v>New GMO TAX replaces GMO_TAX_05</v>
          </cell>
          <cell r="AA15" t="str">
            <v>2</v>
          </cell>
          <cell r="AB15" t="str">
            <v/>
          </cell>
          <cell r="AC15" t="str">
            <v/>
          </cell>
          <cell r="AD15" t="str">
            <v/>
          </cell>
          <cell r="AE15" t="str">
            <v>RELE</v>
          </cell>
          <cell r="AF15" t="str">
            <v>Relevant for evaluation processes</v>
          </cell>
        </row>
        <row r="16">
          <cell r="B16" t="str">
            <v>5000006</v>
          </cell>
          <cell r="C16" t="str">
            <v>G275Z54500_GV UR 18 DE JULIO SUBLEASE</v>
          </cell>
          <cell r="D16" t="str">
            <v>REC G275/5000006</v>
          </cell>
          <cell r="E16">
            <v>44256</v>
          </cell>
          <cell r="F16">
            <v>45900</v>
          </cell>
          <cell r="G16" t="str">
            <v>G275Z54500</v>
          </cell>
          <cell r="H16" t="str">
            <v>UYU</v>
          </cell>
          <cell r="I16" t="str">
            <v>Z006</v>
          </cell>
          <cell r="J16" t="str">
            <v>REAL ESTATE LEASE</v>
          </cell>
          <cell r="L16">
            <v>2958465</v>
          </cell>
          <cell r="M16" t="str">
            <v>G275</v>
          </cell>
          <cell r="N16" t="str">
            <v>90000007</v>
          </cell>
          <cell r="O16" t="str">
            <v>0</v>
          </cell>
          <cell r="P16" t="str">
            <v>7505</v>
          </cell>
          <cell r="Q16" t="str">
            <v>BUILDING.LEASE.OPERATING</v>
          </cell>
          <cell r="S16">
            <v>2958465</v>
          </cell>
          <cell r="T16">
            <v>45323</v>
          </cell>
          <cell r="U16">
            <v>45323</v>
          </cell>
          <cell r="V16" t="str">
            <v>FXA G275/90000007/0</v>
          </cell>
          <cell r="W16" t="str">
            <v>RO G275/7/1</v>
          </cell>
          <cell r="X16" t="str">
            <v>G275Z54500_GV UR 18 DE JULIO</v>
          </cell>
          <cell r="Y16" t="str">
            <v>IFRS_LUX</v>
          </cell>
          <cell r="Z16" t="str">
            <v>New IFRS rule, replaces old IFRS_IN</v>
          </cell>
          <cell r="AA16" t="str">
            <v>1</v>
          </cell>
          <cell r="AB16" t="str">
            <v/>
          </cell>
          <cell r="AC16" t="str">
            <v/>
          </cell>
          <cell r="AD16" t="str">
            <v/>
          </cell>
          <cell r="AE16" t="str">
            <v>RELE</v>
          </cell>
          <cell r="AF16" t="str">
            <v>Relevant for evaluation processes</v>
          </cell>
        </row>
        <row r="17">
          <cell r="B17" t="str">
            <v>5000006</v>
          </cell>
          <cell r="C17" t="str">
            <v>G275Z54500_GV UR 18 DE JULIO SUBLEASE</v>
          </cell>
          <cell r="D17" t="str">
            <v>REC G275/5000006</v>
          </cell>
          <cell r="E17">
            <v>44256</v>
          </cell>
          <cell r="F17">
            <v>45900</v>
          </cell>
          <cell r="G17" t="str">
            <v>G275Z54500</v>
          </cell>
          <cell r="H17" t="str">
            <v>UYU</v>
          </cell>
          <cell r="I17" t="str">
            <v>Z006</v>
          </cell>
          <cell r="J17" t="str">
            <v>REAL ESTATE LEASE</v>
          </cell>
          <cell r="L17">
            <v>2958465</v>
          </cell>
          <cell r="M17" t="str">
            <v>G275</v>
          </cell>
          <cell r="N17" t="str">
            <v>90000007</v>
          </cell>
          <cell r="O17" t="str">
            <v>0</v>
          </cell>
          <cell r="P17" t="str">
            <v>7505</v>
          </cell>
          <cell r="Q17" t="str">
            <v>BUILDING.LEASE.OPERATING</v>
          </cell>
          <cell r="S17">
            <v>2958465</v>
          </cell>
          <cell r="T17">
            <v>45323</v>
          </cell>
          <cell r="U17">
            <v>45323</v>
          </cell>
          <cell r="V17" t="str">
            <v>FXA G275/90000007/0</v>
          </cell>
          <cell r="W17" t="str">
            <v>RO G275/7/1</v>
          </cell>
          <cell r="X17" t="str">
            <v>G275Z54500_GV UR 18 DE JULIO</v>
          </cell>
          <cell r="Y17" t="str">
            <v>GMO_TAX</v>
          </cell>
          <cell r="Z17" t="str">
            <v>New GMO TAX replaces GMO_TAX_05</v>
          </cell>
          <cell r="AA17" t="str">
            <v>3</v>
          </cell>
          <cell r="AB17" t="str">
            <v/>
          </cell>
          <cell r="AC17" t="str">
            <v/>
          </cell>
          <cell r="AD17" t="str">
            <v/>
          </cell>
          <cell r="AE17" t="str">
            <v>RELE</v>
          </cell>
          <cell r="AF17" t="str">
            <v>Relevant for evaluation processes</v>
          </cell>
        </row>
        <row r="18">
          <cell r="B18" t="str">
            <v>5000007</v>
          </cell>
          <cell r="C18" t="str">
            <v>M195_GV UR PUNTA CARRETAS</v>
          </cell>
          <cell r="D18" t="str">
            <v>REC G275/5000007</v>
          </cell>
          <cell r="E18">
            <v>45292</v>
          </cell>
          <cell r="F18">
            <v>46858</v>
          </cell>
          <cell r="G18" t="str">
            <v>M195</v>
          </cell>
          <cell r="H18" t="str">
            <v>UYU</v>
          </cell>
          <cell r="I18" t="str">
            <v>Z006</v>
          </cell>
          <cell r="J18" t="str">
            <v>REAL ESTATE LEASE</v>
          </cell>
          <cell r="L18">
            <v>2958465</v>
          </cell>
          <cell r="M18" t="str">
            <v>G275</v>
          </cell>
          <cell r="N18" t="str">
            <v>90000008</v>
          </cell>
          <cell r="O18" t="str">
            <v>0</v>
          </cell>
          <cell r="P18" t="str">
            <v>7505</v>
          </cell>
          <cell r="Q18" t="str">
            <v>BUILDING.LEASE.OPERATING</v>
          </cell>
          <cell r="S18">
            <v>2958465</v>
          </cell>
          <cell r="T18">
            <v>45292</v>
          </cell>
          <cell r="U18">
            <v>45292</v>
          </cell>
          <cell r="V18" t="str">
            <v>FXA G275/90000008/0</v>
          </cell>
          <cell r="W18" t="str">
            <v>RO G275/8/1</v>
          </cell>
          <cell r="X18" t="str">
            <v>M195_GV UR PUNTA CARRETAS</v>
          </cell>
          <cell r="Y18" t="str">
            <v>IFRS_LUX</v>
          </cell>
          <cell r="Z18" t="str">
            <v>New IFRS rule, replaces old IFRS_IN</v>
          </cell>
          <cell r="AA18" t="str">
            <v>1</v>
          </cell>
          <cell r="AB18" t="str">
            <v/>
          </cell>
          <cell r="AC18" t="str">
            <v/>
          </cell>
          <cell r="AD18" t="str">
            <v/>
          </cell>
          <cell r="AE18" t="str">
            <v>RELE</v>
          </cell>
          <cell r="AF18" t="str">
            <v>Relevant for evaluation processes</v>
          </cell>
        </row>
        <row r="19">
          <cell r="B19" t="str">
            <v>5000007</v>
          </cell>
          <cell r="C19" t="str">
            <v>M195_GV UR PUNTA CARRETAS</v>
          </cell>
          <cell r="D19" t="str">
            <v>REC G275/5000007</v>
          </cell>
          <cell r="E19">
            <v>45292</v>
          </cell>
          <cell r="F19">
            <v>46858</v>
          </cell>
          <cell r="G19" t="str">
            <v>M195</v>
          </cell>
          <cell r="H19" t="str">
            <v>UYU</v>
          </cell>
          <cell r="I19" t="str">
            <v>Z006</v>
          </cell>
          <cell r="J19" t="str">
            <v>REAL ESTATE LEASE</v>
          </cell>
          <cell r="L19">
            <v>2958465</v>
          </cell>
          <cell r="M19" t="str">
            <v>G275</v>
          </cell>
          <cell r="N19" t="str">
            <v>90000008</v>
          </cell>
          <cell r="O19" t="str">
            <v>0</v>
          </cell>
          <cell r="P19" t="str">
            <v>7505</v>
          </cell>
          <cell r="Q19" t="str">
            <v>BUILDING.LEASE.OPERATING</v>
          </cell>
          <cell r="S19">
            <v>2958465</v>
          </cell>
          <cell r="T19">
            <v>45292</v>
          </cell>
          <cell r="U19">
            <v>45292</v>
          </cell>
          <cell r="V19" t="str">
            <v>FXA G275/90000008/0</v>
          </cell>
          <cell r="W19" t="str">
            <v>RO G275/8/1</v>
          </cell>
          <cell r="X19" t="str">
            <v>M195_GV UR PUNTA CARRETAS</v>
          </cell>
          <cell r="Y19" t="str">
            <v>GMO_TAX</v>
          </cell>
          <cell r="Z19" t="str">
            <v>New GMO TAX replaces GMO_TAX_05</v>
          </cell>
          <cell r="AA19" t="str">
            <v>2</v>
          </cell>
          <cell r="AB19" t="str">
            <v/>
          </cell>
          <cell r="AC19" t="str">
            <v/>
          </cell>
          <cell r="AD19" t="str">
            <v/>
          </cell>
          <cell r="AE19" t="str">
            <v>RELE</v>
          </cell>
          <cell r="AF19" t="str">
            <v>Relevant for evaluation processes</v>
          </cell>
        </row>
        <row r="20">
          <cell r="B20" t="str">
            <v>5000008</v>
          </cell>
          <cell r="C20" t="str">
            <v>M198_GV UR CENTRO</v>
          </cell>
          <cell r="D20" t="str">
            <v>REC G275/5000008</v>
          </cell>
          <cell r="E20">
            <v>45292</v>
          </cell>
          <cell r="F20">
            <v>46455</v>
          </cell>
          <cell r="G20" t="str">
            <v>M198</v>
          </cell>
          <cell r="H20" t="str">
            <v>USD</v>
          </cell>
          <cell r="I20" t="str">
            <v>Z006</v>
          </cell>
          <cell r="J20" t="str">
            <v>REAL ESTATE LEASE</v>
          </cell>
          <cell r="L20">
            <v>2958465</v>
          </cell>
          <cell r="M20" t="str">
            <v>G275</v>
          </cell>
          <cell r="N20" t="str">
            <v>90000009</v>
          </cell>
          <cell r="O20" t="str">
            <v>0</v>
          </cell>
          <cell r="P20" t="str">
            <v>7505</v>
          </cell>
          <cell r="Q20" t="str">
            <v>BUILDING.LEASE.OPERATING</v>
          </cell>
          <cell r="S20">
            <v>2958465</v>
          </cell>
          <cell r="T20">
            <v>45292</v>
          </cell>
          <cell r="U20">
            <v>45292</v>
          </cell>
          <cell r="V20" t="str">
            <v>FXA G275/90000009/0</v>
          </cell>
          <cell r="W20" t="str">
            <v>RO G275/9/1</v>
          </cell>
          <cell r="X20" t="str">
            <v>M198_GV UR CENTRO</v>
          </cell>
          <cell r="Y20" t="str">
            <v>IFRS_LUX</v>
          </cell>
          <cell r="Z20" t="str">
            <v>New IFRS rule, replaces old IFRS_IN</v>
          </cell>
          <cell r="AA20" t="str">
            <v>1</v>
          </cell>
          <cell r="AB20" t="str">
            <v/>
          </cell>
          <cell r="AC20" t="str">
            <v/>
          </cell>
          <cell r="AD20" t="str">
            <v/>
          </cell>
          <cell r="AE20" t="str">
            <v>RELE</v>
          </cell>
          <cell r="AF20" t="str">
            <v>Relevant for evaluation processes</v>
          </cell>
        </row>
        <row r="21">
          <cell r="B21" t="str">
            <v>5000008</v>
          </cell>
          <cell r="C21" t="str">
            <v>M198_GV UR CENTRO</v>
          </cell>
          <cell r="D21" t="str">
            <v>REC G275/5000008</v>
          </cell>
          <cell r="E21">
            <v>45292</v>
          </cell>
          <cell r="F21">
            <v>46455</v>
          </cell>
          <cell r="G21" t="str">
            <v>M198</v>
          </cell>
          <cell r="H21" t="str">
            <v>USD</v>
          </cell>
          <cell r="I21" t="str">
            <v>Z006</v>
          </cell>
          <cell r="J21" t="str">
            <v>REAL ESTATE LEASE</v>
          </cell>
          <cell r="L21">
            <v>2958465</v>
          </cell>
          <cell r="M21" t="str">
            <v>G275</v>
          </cell>
          <cell r="N21" t="str">
            <v>90000009</v>
          </cell>
          <cell r="O21" t="str">
            <v>0</v>
          </cell>
          <cell r="P21" t="str">
            <v>7505</v>
          </cell>
          <cell r="Q21" t="str">
            <v>BUILDING.LEASE.OPERATING</v>
          </cell>
          <cell r="S21">
            <v>2958465</v>
          </cell>
          <cell r="T21">
            <v>45292</v>
          </cell>
          <cell r="U21">
            <v>45292</v>
          </cell>
          <cell r="V21" t="str">
            <v>FXA G275/90000009/0</v>
          </cell>
          <cell r="W21" t="str">
            <v>RO G275/9/1</v>
          </cell>
          <cell r="X21" t="str">
            <v>M198_GV UR CENTRO</v>
          </cell>
          <cell r="Y21" t="str">
            <v>GMO_TAX</v>
          </cell>
          <cell r="Z21" t="str">
            <v>New GMO TAX replaces GMO_TAX_05</v>
          </cell>
          <cell r="AA21" t="str">
            <v>2</v>
          </cell>
          <cell r="AB21" t="str">
            <v/>
          </cell>
          <cell r="AC21" t="str">
            <v/>
          </cell>
          <cell r="AD21" t="str">
            <v/>
          </cell>
          <cell r="AE21" t="str">
            <v>RELE</v>
          </cell>
          <cell r="AF21" t="str">
            <v>Relevant for evaluation processes</v>
          </cell>
        </row>
        <row r="22">
          <cell r="B22" t="str">
            <v>5000009</v>
          </cell>
          <cell r="C22" t="str">
            <v>M202_GV UR TRES CRUCES</v>
          </cell>
          <cell r="D22" t="str">
            <v>REC G275/5000009</v>
          </cell>
          <cell r="E22">
            <v>45153</v>
          </cell>
          <cell r="F22">
            <v>46832</v>
          </cell>
          <cell r="G22" t="str">
            <v>M202</v>
          </cell>
          <cell r="H22" t="str">
            <v>UYU</v>
          </cell>
          <cell r="I22" t="str">
            <v>Z006</v>
          </cell>
          <cell r="J22" t="str">
            <v>REAL ESTATE LEASE</v>
          </cell>
          <cell r="L22">
            <v>2958465</v>
          </cell>
          <cell r="M22" t="str">
            <v>G275</v>
          </cell>
          <cell r="N22" t="str">
            <v>90000010</v>
          </cell>
          <cell r="O22" t="str">
            <v>0</v>
          </cell>
          <cell r="P22" t="str">
            <v>7505</v>
          </cell>
          <cell r="Q22" t="str">
            <v>BUILDING.LEASE.OPERATING</v>
          </cell>
          <cell r="S22">
            <v>2958465</v>
          </cell>
          <cell r="T22">
            <v>45153</v>
          </cell>
          <cell r="U22">
            <v>45153</v>
          </cell>
          <cell r="V22" t="str">
            <v>FXA G275/90000010/0</v>
          </cell>
          <cell r="W22" t="str">
            <v>RO G275/10/1</v>
          </cell>
          <cell r="X22" t="str">
            <v>M202_GV UR TRES CRUCES</v>
          </cell>
          <cell r="Y22" t="str">
            <v>IFRS_LUX</v>
          </cell>
          <cell r="Z22" t="str">
            <v>New IFRS rule, replaces old IFRS_IN</v>
          </cell>
          <cell r="AA22" t="str">
            <v>1</v>
          </cell>
          <cell r="AB22" t="str">
            <v/>
          </cell>
          <cell r="AC22" t="str">
            <v/>
          </cell>
          <cell r="AD22" t="str">
            <v/>
          </cell>
          <cell r="AE22" t="str">
            <v>RELE</v>
          </cell>
          <cell r="AF22" t="str">
            <v>Relevant for evaluation processes</v>
          </cell>
        </row>
        <row r="23">
          <cell r="B23" t="str">
            <v>5000009</v>
          </cell>
          <cell r="C23" t="str">
            <v>M202_GV UR TRES CRUCES</v>
          </cell>
          <cell r="D23" t="str">
            <v>REC G275/5000009</v>
          </cell>
          <cell r="E23">
            <v>45153</v>
          </cell>
          <cell r="F23">
            <v>46832</v>
          </cell>
          <cell r="G23" t="str">
            <v>M202</v>
          </cell>
          <cell r="H23" t="str">
            <v>UYU</v>
          </cell>
          <cell r="I23" t="str">
            <v>Z006</v>
          </cell>
          <cell r="J23" t="str">
            <v>REAL ESTATE LEASE</v>
          </cell>
          <cell r="L23">
            <v>2958465</v>
          </cell>
          <cell r="M23" t="str">
            <v>G275</v>
          </cell>
          <cell r="N23" t="str">
            <v>90000010</v>
          </cell>
          <cell r="O23" t="str">
            <v>0</v>
          </cell>
          <cell r="P23" t="str">
            <v>7505</v>
          </cell>
          <cell r="Q23" t="str">
            <v>BUILDING.LEASE.OPERATING</v>
          </cell>
          <cell r="S23">
            <v>2958465</v>
          </cell>
          <cell r="T23">
            <v>45153</v>
          </cell>
          <cell r="U23">
            <v>45153</v>
          </cell>
          <cell r="V23" t="str">
            <v>FXA G275/90000010/0</v>
          </cell>
          <cell r="W23" t="str">
            <v>RO G275/10/1</v>
          </cell>
          <cell r="X23" t="str">
            <v>M202_GV UR TRES CRUCES</v>
          </cell>
          <cell r="Y23" t="str">
            <v>GMO_TAX</v>
          </cell>
          <cell r="Z23" t="str">
            <v>New GMO TAX replaces GMO_TAX_05</v>
          </cell>
          <cell r="AA23" t="str">
            <v>2</v>
          </cell>
          <cell r="AB23" t="str">
            <v/>
          </cell>
          <cell r="AC23" t="str">
            <v/>
          </cell>
          <cell r="AD23" t="str">
            <v/>
          </cell>
          <cell r="AE23" t="str">
            <v>RELE</v>
          </cell>
          <cell r="AF23" t="str">
            <v>Relevant for evaluation processes</v>
          </cell>
        </row>
        <row r="24">
          <cell r="B24" t="str">
            <v>5000010</v>
          </cell>
          <cell r="C24" t="str">
            <v>P828_GV UR LA PAPELARIA - SUNGLASS HUT</v>
          </cell>
          <cell r="D24" t="str">
            <v>REC G275/5000010</v>
          </cell>
          <cell r="E24">
            <v>45421</v>
          </cell>
          <cell r="F24">
            <v>47107</v>
          </cell>
          <cell r="G24" t="str">
            <v>P828</v>
          </cell>
          <cell r="H24" t="str">
            <v>UYU</v>
          </cell>
          <cell r="I24" t="str">
            <v>Z006</v>
          </cell>
          <cell r="J24" t="str">
            <v>REAL ESTATE LEASE</v>
          </cell>
          <cell r="L24">
            <v>2958465</v>
          </cell>
          <cell r="M24" t="str">
            <v>G275</v>
          </cell>
          <cell r="N24" t="str">
            <v>90000011</v>
          </cell>
          <cell r="O24" t="str">
            <v>0</v>
          </cell>
          <cell r="P24" t="str">
            <v>7505</v>
          </cell>
          <cell r="Q24" t="str">
            <v>BUILDING.LEASE.OPERATING</v>
          </cell>
          <cell r="S24">
            <v>2958465</v>
          </cell>
          <cell r="T24">
            <v>45283</v>
          </cell>
          <cell r="U24">
            <v>45283</v>
          </cell>
          <cell r="V24" t="str">
            <v>FXA G275/90000011/0</v>
          </cell>
          <cell r="W24" t="str">
            <v>RO G275/11/1</v>
          </cell>
          <cell r="X24" t="str">
            <v>P828_GV UR LA PAPELARIA - SUNGLASS HUT</v>
          </cell>
          <cell r="Y24" t="str">
            <v>IFRS_LUX</v>
          </cell>
          <cell r="Z24" t="str">
            <v>New IFRS rule, replaces old IFRS_IN</v>
          </cell>
          <cell r="AA24" t="str">
            <v>1</v>
          </cell>
          <cell r="AB24" t="str">
            <v/>
          </cell>
          <cell r="AC24" t="str">
            <v/>
          </cell>
          <cell r="AD24" t="str">
            <v/>
          </cell>
          <cell r="AE24" t="str">
            <v>RELE</v>
          </cell>
          <cell r="AF24" t="str">
            <v>Relevant for evaluation processes</v>
          </cell>
        </row>
        <row r="25">
          <cell r="B25" t="str">
            <v>5000010</v>
          </cell>
          <cell r="C25" t="str">
            <v>P828_GV UR LA PAPELARIA - SUNGLASS HUT</v>
          </cell>
          <cell r="D25" t="str">
            <v>REC G275/5000010</v>
          </cell>
          <cell r="E25">
            <v>45421</v>
          </cell>
          <cell r="F25">
            <v>47107</v>
          </cell>
          <cell r="G25" t="str">
            <v>P828</v>
          </cell>
          <cell r="H25" t="str">
            <v>UYU</v>
          </cell>
          <cell r="I25" t="str">
            <v>Z006</v>
          </cell>
          <cell r="J25" t="str">
            <v>REAL ESTATE LEASE</v>
          </cell>
          <cell r="L25">
            <v>2958465</v>
          </cell>
          <cell r="M25" t="str">
            <v>G275</v>
          </cell>
          <cell r="N25" t="str">
            <v>90000011</v>
          </cell>
          <cell r="O25" t="str">
            <v>0</v>
          </cell>
          <cell r="P25" t="str">
            <v>7505</v>
          </cell>
          <cell r="Q25" t="str">
            <v>BUILDING.LEASE.OPERATING</v>
          </cell>
          <cell r="S25">
            <v>2958465</v>
          </cell>
          <cell r="T25">
            <v>45283</v>
          </cell>
          <cell r="U25">
            <v>45283</v>
          </cell>
          <cell r="V25" t="str">
            <v>FXA G275/90000011/0</v>
          </cell>
          <cell r="W25" t="str">
            <v>RO G275/11/1</v>
          </cell>
          <cell r="X25" t="str">
            <v>P828_GV UR LA PAPELARIA - SUNGLASS HUT</v>
          </cell>
          <cell r="Y25" t="str">
            <v>GMO_TAX</v>
          </cell>
          <cell r="Z25" t="str">
            <v>New GMO TAX replaces GMO_TAX_05</v>
          </cell>
          <cell r="AA25" t="str">
            <v>2</v>
          </cell>
          <cell r="AB25" t="str">
            <v/>
          </cell>
          <cell r="AC25" t="str">
            <v/>
          </cell>
          <cell r="AD25" t="str">
            <v/>
          </cell>
          <cell r="AE25" t="str">
            <v>RELE</v>
          </cell>
          <cell r="AF25" t="str">
            <v>Relevant for evaluation processes</v>
          </cell>
        </row>
        <row r="26">
          <cell r="B26" t="str">
            <v>5000011</v>
          </cell>
          <cell r="C26" t="str">
            <v>O899_GV UR PUNTA SHOPPING GRAN VISION</v>
          </cell>
          <cell r="D26" t="str">
            <v>REC G275/5000011</v>
          </cell>
          <cell r="E26">
            <v>45245</v>
          </cell>
          <cell r="F26">
            <v>46705</v>
          </cell>
          <cell r="G26" t="str">
            <v>O899</v>
          </cell>
          <cell r="H26" t="str">
            <v>USD</v>
          </cell>
          <cell r="I26" t="str">
            <v>Z006</v>
          </cell>
          <cell r="J26" t="str">
            <v>REAL ESTATE LEASE</v>
          </cell>
          <cell r="L26">
            <v>2958465</v>
          </cell>
          <cell r="M26" t="str">
            <v>G275</v>
          </cell>
          <cell r="N26" t="str">
            <v>90000012</v>
          </cell>
          <cell r="O26" t="str">
            <v>0</v>
          </cell>
          <cell r="P26" t="str">
            <v>7505</v>
          </cell>
          <cell r="Q26" t="str">
            <v>BUILDING.LEASE.OPERATING</v>
          </cell>
          <cell r="S26">
            <v>2958465</v>
          </cell>
          <cell r="T26">
            <v>45245</v>
          </cell>
          <cell r="U26">
            <v>45245</v>
          </cell>
          <cell r="V26" t="str">
            <v>FXA G275/90000012/0</v>
          </cell>
          <cell r="W26" t="str">
            <v>RO G275/12/1</v>
          </cell>
          <cell r="X26" t="str">
            <v>O899_GV UR PUNTA SHOPPING GRAN VISION</v>
          </cell>
          <cell r="Y26" t="str">
            <v>IFRS_LUX</v>
          </cell>
          <cell r="Z26" t="str">
            <v>New IFRS rule, replaces old IFRS_IN</v>
          </cell>
          <cell r="AA26" t="str">
            <v>1</v>
          </cell>
          <cell r="AB26" t="str">
            <v/>
          </cell>
          <cell r="AC26" t="str">
            <v/>
          </cell>
          <cell r="AD26" t="str">
            <v/>
          </cell>
          <cell r="AE26" t="str">
            <v>RELE</v>
          </cell>
          <cell r="AF26" t="str">
            <v>Relevant for evaluation processes</v>
          </cell>
        </row>
        <row r="27">
          <cell r="B27" t="str">
            <v>5000011</v>
          </cell>
          <cell r="C27" t="str">
            <v>O899_GV UR PUNTA SHOPPING GRAN VISION</v>
          </cell>
          <cell r="D27" t="str">
            <v>REC G275/5000011</v>
          </cell>
          <cell r="E27">
            <v>45245</v>
          </cell>
          <cell r="F27">
            <v>46705</v>
          </cell>
          <cell r="G27" t="str">
            <v>O899</v>
          </cell>
          <cell r="H27" t="str">
            <v>USD</v>
          </cell>
          <cell r="I27" t="str">
            <v>Z006</v>
          </cell>
          <cell r="J27" t="str">
            <v>REAL ESTATE LEASE</v>
          </cell>
          <cell r="L27">
            <v>2958465</v>
          </cell>
          <cell r="M27" t="str">
            <v>G275</v>
          </cell>
          <cell r="N27" t="str">
            <v>90000012</v>
          </cell>
          <cell r="O27" t="str">
            <v>0</v>
          </cell>
          <cell r="P27" t="str">
            <v>7505</v>
          </cell>
          <cell r="Q27" t="str">
            <v>BUILDING.LEASE.OPERATING</v>
          </cell>
          <cell r="S27">
            <v>2958465</v>
          </cell>
          <cell r="T27">
            <v>45245</v>
          </cell>
          <cell r="U27">
            <v>45245</v>
          </cell>
          <cell r="V27" t="str">
            <v>FXA G275/90000012/0</v>
          </cell>
          <cell r="W27" t="str">
            <v>RO G275/12/1</v>
          </cell>
          <cell r="X27" t="str">
            <v>O899_GV UR PUNTA SHOPPING GRAN VISION</v>
          </cell>
          <cell r="Y27" t="str">
            <v>GMO_TAX</v>
          </cell>
          <cell r="Z27" t="str">
            <v>New GMO TAX replaces GMO_TAX_05</v>
          </cell>
          <cell r="AA27" t="str">
            <v>2</v>
          </cell>
          <cell r="AB27" t="str">
            <v/>
          </cell>
          <cell r="AC27" t="str">
            <v/>
          </cell>
          <cell r="AD27" t="str">
            <v/>
          </cell>
          <cell r="AE27" t="str">
            <v>RELE</v>
          </cell>
          <cell r="AF27" t="str">
            <v>Relevant for evaluation processes</v>
          </cell>
        </row>
        <row r="28">
          <cell r="B28" t="str">
            <v>5000012</v>
          </cell>
          <cell r="C28" t="str">
            <v>M194_GV UR CASA CENTRAL</v>
          </cell>
          <cell r="D28" t="str">
            <v>REC G275/5000012</v>
          </cell>
          <cell r="E28">
            <v>45457</v>
          </cell>
          <cell r="F28">
            <v>47282</v>
          </cell>
          <cell r="G28" t="str">
            <v>M194</v>
          </cell>
          <cell r="H28" t="str">
            <v>UYU</v>
          </cell>
          <cell r="I28" t="str">
            <v>Z006</v>
          </cell>
          <cell r="J28" t="str">
            <v>REAL ESTATE LEASE</v>
          </cell>
          <cell r="L28">
            <v>2958465</v>
          </cell>
          <cell r="M28" t="str">
            <v>G275</v>
          </cell>
          <cell r="N28" t="str">
            <v>90000013</v>
          </cell>
          <cell r="O28" t="str">
            <v>0</v>
          </cell>
          <cell r="P28" t="str">
            <v>7505</v>
          </cell>
          <cell r="Q28" t="str">
            <v>BUILDING.LEASE.OPERATING</v>
          </cell>
          <cell r="S28">
            <v>2958465</v>
          </cell>
          <cell r="T28">
            <v>45457</v>
          </cell>
          <cell r="U28">
            <v>45457</v>
          </cell>
          <cell r="V28" t="str">
            <v>FXA G275/90000013/0</v>
          </cell>
          <cell r="W28" t="str">
            <v>RO G275/6/1</v>
          </cell>
          <cell r="X28" t="str">
            <v>M194_GV UR CASA CENTRAL</v>
          </cell>
          <cell r="Y28" t="str">
            <v>IFRS_LUX</v>
          </cell>
          <cell r="Z28" t="str">
            <v>New IFRS rule, replaces old IFRS_IN</v>
          </cell>
          <cell r="AA28" t="str">
            <v>1</v>
          </cell>
          <cell r="AB28" t="str">
            <v/>
          </cell>
          <cell r="AC28" t="str">
            <v/>
          </cell>
          <cell r="AD28" t="str">
            <v/>
          </cell>
          <cell r="AE28" t="str">
            <v>RELE</v>
          </cell>
          <cell r="AF28" t="str">
            <v>Relevant for evaluation processes</v>
          </cell>
        </row>
        <row r="29">
          <cell r="B29" t="str">
            <v>5000012</v>
          </cell>
          <cell r="C29" t="str">
            <v>M194_GV UR CASA CENTRAL</v>
          </cell>
          <cell r="D29" t="str">
            <v>REC G275/5000012</v>
          </cell>
          <cell r="E29">
            <v>45457</v>
          </cell>
          <cell r="F29">
            <v>47282</v>
          </cell>
          <cell r="G29" t="str">
            <v>M194</v>
          </cell>
          <cell r="H29" t="str">
            <v>UYU</v>
          </cell>
          <cell r="I29" t="str">
            <v>Z006</v>
          </cell>
          <cell r="J29" t="str">
            <v>REAL ESTATE LEASE</v>
          </cell>
          <cell r="L29">
            <v>2958465</v>
          </cell>
          <cell r="M29" t="str">
            <v>G275</v>
          </cell>
          <cell r="N29" t="str">
            <v>90000013</v>
          </cell>
          <cell r="O29" t="str">
            <v>0</v>
          </cell>
          <cell r="P29" t="str">
            <v>7505</v>
          </cell>
          <cell r="Q29" t="str">
            <v>BUILDING.LEASE.OPERATING</v>
          </cell>
          <cell r="S29">
            <v>2958465</v>
          </cell>
          <cell r="T29">
            <v>45457</v>
          </cell>
          <cell r="U29">
            <v>45457</v>
          </cell>
          <cell r="V29" t="str">
            <v>FXA G275/90000013/0</v>
          </cell>
          <cell r="W29" t="str">
            <v>RO G275/6/1</v>
          </cell>
          <cell r="X29" t="str">
            <v>M194_GV UR CASA CENTRAL</v>
          </cell>
          <cell r="Y29" t="str">
            <v>GMO_TAX</v>
          </cell>
          <cell r="Z29" t="str">
            <v>New GMO TAX replaces GMO_TAX_05</v>
          </cell>
          <cell r="AA29" t="str">
            <v>2</v>
          </cell>
          <cell r="AB29" t="str">
            <v/>
          </cell>
          <cell r="AC29" t="str">
            <v/>
          </cell>
          <cell r="AD29" t="str">
            <v/>
          </cell>
          <cell r="AE29" t="str">
            <v>RELE</v>
          </cell>
          <cell r="AF29" t="str">
            <v>Relevant for evaluation processes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omez Susan" id="{25F2BB33-8ADE-4D69-8904-939A237320DB}" userId="S::Susan.Gomez@cl.luxottica.com::88773dcd-9ed7-4633-9730-9b0951c34a9f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2" dT="2024-03-08T20:58:48.40" personId="{25F2BB33-8ADE-4D69-8904-939A237320DB}" id="{2923CE0D-011B-4985-B50D-09CABFE172E4}">
    <text>Nueva fecha de vigencia en proceso de aprobación</text>
  </threadedComment>
  <threadedComment ref="O21" dT="2024-03-08T20:58:48.40" personId="{25F2BB33-8ADE-4D69-8904-939A237320DB}" id="{1B504D32-596E-4F17-B750-2C3739321B6D}">
    <text>Nueva fecha de vigencia en proceso de aprobación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8" dT="2024-03-08T20:51:12.67" personId="{25F2BB33-8ADE-4D69-8904-939A237320DB}" id="{B4C03D15-6221-4186-BAA9-6A191FB86EFD}">
    <text>Tiene 1 año de renovación automatica… pedir actualziación en VC</text>
  </threadedComment>
  <threadedComment ref="O9" dT="2024-03-08T20:52:12.41" personId="{25F2BB33-8ADE-4D69-8904-939A237320DB}" id="{1506303E-2D97-4173-93C8-522E71D910F5}">
    <text>Nuevo vigencia en proceso de firma</text>
  </threadedComment>
  <threadedComment ref="O18" dT="2024-03-08T20:52:46.31" personId="{25F2BB33-8ADE-4D69-8904-939A237320DB}" id="{FDC0A3CE-5F47-458E-B80A-6E3EC1AEE95D}">
    <text>Renovado automaticamente por 5 años - pedir actualización en VC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739"/>
  <sheetViews>
    <sheetView workbookViewId="0"/>
  </sheetViews>
  <sheetFormatPr defaultColWidth="11.44140625" defaultRowHeight="11.4" x14ac:dyDescent="0.25"/>
  <cols>
    <col min="1" max="1" width="7.6640625" style="13" bestFit="1" customWidth="1"/>
    <col min="2" max="2" width="11.44140625" style="13"/>
    <col min="3" max="3" width="39.5546875" style="13" bestFit="1" customWidth="1"/>
    <col min="4" max="16384" width="11.44140625" style="13"/>
  </cols>
  <sheetData>
    <row r="1" spans="1:6" x14ac:dyDescent="0.25">
      <c r="A1" s="34" t="s">
        <v>0</v>
      </c>
      <c r="B1" s="34" t="s">
        <v>1</v>
      </c>
      <c r="C1" s="34" t="s">
        <v>2</v>
      </c>
      <c r="D1" s="9"/>
      <c r="E1" s="9"/>
      <c r="F1" s="9"/>
    </row>
    <row r="2" spans="1:6" x14ac:dyDescent="0.25">
      <c r="A2" s="31" t="s">
        <v>3</v>
      </c>
      <c r="B2" s="32" t="s">
        <v>4</v>
      </c>
      <c r="C2" s="32" t="s">
        <v>5</v>
      </c>
      <c r="D2" s="9"/>
      <c r="E2" s="9"/>
      <c r="F2" s="9"/>
    </row>
    <row r="3" spans="1:6" x14ac:dyDescent="0.25">
      <c r="A3" s="31" t="s">
        <v>6</v>
      </c>
      <c r="B3" s="32" t="s">
        <v>7</v>
      </c>
      <c r="C3" s="32" t="s">
        <v>8</v>
      </c>
      <c r="D3" s="9"/>
      <c r="E3" s="9"/>
      <c r="F3" s="9"/>
    </row>
    <row r="4" spans="1:6" x14ac:dyDescent="0.25">
      <c r="A4" s="31" t="s">
        <v>9</v>
      </c>
      <c r="B4" s="32" t="s">
        <v>10</v>
      </c>
      <c r="C4" s="32" t="s">
        <v>11</v>
      </c>
      <c r="D4" s="9"/>
      <c r="E4" s="9"/>
      <c r="F4" s="9"/>
    </row>
    <row r="5" spans="1:6" x14ac:dyDescent="0.25">
      <c r="A5" s="31" t="s">
        <v>12</v>
      </c>
      <c r="B5" s="32" t="s">
        <v>13</v>
      </c>
      <c r="C5" s="32" t="s">
        <v>14</v>
      </c>
      <c r="D5" s="9"/>
      <c r="E5" s="9"/>
      <c r="F5" s="9"/>
    </row>
    <row r="6" spans="1:6" x14ac:dyDescent="0.25">
      <c r="A6" s="33" t="s">
        <v>15</v>
      </c>
      <c r="B6" s="32" t="s">
        <v>16</v>
      </c>
      <c r="C6" s="32" t="s">
        <v>17</v>
      </c>
      <c r="D6" s="9"/>
      <c r="E6" s="9"/>
      <c r="F6" s="9"/>
    </row>
    <row r="7" spans="1:6" x14ac:dyDescent="0.25">
      <c r="A7" s="32" t="s">
        <v>18</v>
      </c>
      <c r="B7" s="32" t="s">
        <v>19</v>
      </c>
      <c r="C7" s="32" t="s">
        <v>20</v>
      </c>
      <c r="D7" s="32"/>
      <c r="E7" s="9"/>
      <c r="F7" s="9"/>
    </row>
    <row r="8" spans="1:6" x14ac:dyDescent="0.25">
      <c r="A8" s="31" t="s">
        <v>21</v>
      </c>
      <c r="B8" s="32" t="s">
        <v>22</v>
      </c>
      <c r="C8" s="32" t="s">
        <v>23</v>
      </c>
      <c r="D8" s="32"/>
      <c r="E8" s="9"/>
      <c r="F8" s="9"/>
    </row>
    <row r="9" spans="1:6" x14ac:dyDescent="0.25">
      <c r="A9" s="31" t="s">
        <v>24</v>
      </c>
      <c r="B9" s="32" t="s">
        <v>25</v>
      </c>
      <c r="C9" s="32" t="s">
        <v>26</v>
      </c>
      <c r="D9" s="32"/>
      <c r="E9" s="9"/>
      <c r="F9" s="9"/>
    </row>
    <row r="10" spans="1:6" x14ac:dyDescent="0.25">
      <c r="A10" s="31" t="s">
        <v>27</v>
      </c>
      <c r="B10" s="32" t="s">
        <v>28</v>
      </c>
      <c r="C10" s="9"/>
      <c r="D10" s="32"/>
      <c r="E10" s="9"/>
      <c r="F10" s="9"/>
    </row>
    <row r="11" spans="1:6" x14ac:dyDescent="0.25">
      <c r="A11" s="31" t="s">
        <v>29</v>
      </c>
      <c r="B11" s="32" t="s">
        <v>30</v>
      </c>
      <c r="C11" s="9"/>
      <c r="D11" s="32"/>
      <c r="E11" s="9"/>
      <c r="F11" s="32"/>
    </row>
    <row r="12" spans="1:6" x14ac:dyDescent="0.25">
      <c r="A12" s="31" t="s">
        <v>31</v>
      </c>
      <c r="B12" s="32" t="s">
        <v>32</v>
      </c>
      <c r="C12" s="9"/>
      <c r="D12" s="32"/>
      <c r="E12" s="9"/>
      <c r="F12" s="32"/>
    </row>
    <row r="13" spans="1:6" x14ac:dyDescent="0.25">
      <c r="A13" s="9"/>
      <c r="B13" s="9"/>
      <c r="C13" s="9"/>
      <c r="D13" s="32"/>
      <c r="E13" s="9"/>
      <c r="F13" s="32"/>
    </row>
    <row r="14" spans="1:6" x14ac:dyDescent="0.25">
      <c r="A14" s="9"/>
      <c r="B14" s="9"/>
      <c r="C14" s="9"/>
      <c r="D14" s="32"/>
      <c r="E14" s="9"/>
      <c r="F14" s="32"/>
    </row>
    <row r="15" spans="1:6" x14ac:dyDescent="0.25">
      <c r="A15" s="9"/>
      <c r="B15" s="9"/>
      <c r="C15" s="9"/>
      <c r="D15" s="32"/>
      <c r="E15" s="9"/>
      <c r="F15" s="32"/>
    </row>
    <row r="16" spans="1:6" x14ac:dyDescent="0.25">
      <c r="A16" s="9"/>
      <c r="B16" s="9"/>
      <c r="C16" s="9"/>
      <c r="D16" s="32"/>
      <c r="E16" s="9"/>
      <c r="F16" s="32"/>
    </row>
    <row r="17" spans="4:6" x14ac:dyDescent="0.25">
      <c r="D17" s="32"/>
      <c r="E17" s="9"/>
      <c r="F17" s="32"/>
    </row>
    <row r="18" spans="4:6" x14ac:dyDescent="0.25">
      <c r="D18" s="32"/>
      <c r="E18" s="9"/>
      <c r="F18" s="32"/>
    </row>
    <row r="19" spans="4:6" x14ac:dyDescent="0.25">
      <c r="D19" s="32"/>
      <c r="E19" s="9"/>
      <c r="F19" s="32"/>
    </row>
    <row r="20" spans="4:6" x14ac:dyDescent="0.25">
      <c r="D20" s="32"/>
      <c r="E20" s="9"/>
      <c r="F20" s="32"/>
    </row>
    <row r="21" spans="4:6" x14ac:dyDescent="0.25">
      <c r="D21" s="32"/>
      <c r="E21" s="9"/>
      <c r="F21" s="32"/>
    </row>
    <row r="22" spans="4:6" x14ac:dyDescent="0.25">
      <c r="D22" s="32"/>
      <c r="E22" s="9"/>
      <c r="F22" s="32"/>
    </row>
    <row r="23" spans="4:6" x14ac:dyDescent="0.25">
      <c r="D23" s="32"/>
      <c r="E23" s="9"/>
      <c r="F23" s="32"/>
    </row>
    <row r="24" spans="4:6" x14ac:dyDescent="0.25">
      <c r="D24" s="32"/>
      <c r="E24" s="9"/>
      <c r="F24" s="32"/>
    </row>
    <row r="25" spans="4:6" x14ac:dyDescent="0.25">
      <c r="D25" s="32"/>
      <c r="E25" s="9"/>
      <c r="F25" s="32"/>
    </row>
    <row r="26" spans="4:6" x14ac:dyDescent="0.25">
      <c r="D26" s="32"/>
      <c r="E26" s="9"/>
      <c r="F26" s="32"/>
    </row>
    <row r="27" spans="4:6" x14ac:dyDescent="0.25">
      <c r="D27" s="32"/>
      <c r="E27" s="9"/>
      <c r="F27" s="32"/>
    </row>
    <row r="28" spans="4:6" x14ac:dyDescent="0.25">
      <c r="D28" s="32"/>
      <c r="E28" s="9"/>
      <c r="F28" s="32"/>
    </row>
    <row r="29" spans="4:6" x14ac:dyDescent="0.25">
      <c r="D29" s="32"/>
      <c r="E29" s="9"/>
      <c r="F29" s="32"/>
    </row>
    <row r="30" spans="4:6" x14ac:dyDescent="0.25">
      <c r="D30" s="32"/>
      <c r="E30" s="9"/>
      <c r="F30" s="32"/>
    </row>
    <row r="31" spans="4:6" x14ac:dyDescent="0.25">
      <c r="D31" s="32"/>
      <c r="E31" s="9"/>
      <c r="F31" s="32"/>
    </row>
    <row r="32" spans="4:6" x14ac:dyDescent="0.25">
      <c r="D32" s="32"/>
      <c r="E32" s="9"/>
      <c r="F32" s="32"/>
    </row>
    <row r="33" spans="4:6" x14ac:dyDescent="0.25">
      <c r="D33" s="32"/>
      <c r="E33" s="9"/>
      <c r="F33" s="32"/>
    </row>
    <row r="34" spans="4:6" x14ac:dyDescent="0.25">
      <c r="D34" s="32"/>
      <c r="E34" s="9"/>
      <c r="F34" s="32"/>
    </row>
    <row r="35" spans="4:6" x14ac:dyDescent="0.25">
      <c r="D35" s="32"/>
      <c r="E35" s="9"/>
      <c r="F35" s="32"/>
    </row>
    <row r="36" spans="4:6" x14ac:dyDescent="0.25">
      <c r="D36" s="32"/>
      <c r="E36" s="9"/>
      <c r="F36" s="32"/>
    </row>
    <row r="37" spans="4:6" x14ac:dyDescent="0.25">
      <c r="D37" s="32"/>
      <c r="E37" s="9"/>
      <c r="F37" s="32"/>
    </row>
    <row r="38" spans="4:6" x14ac:dyDescent="0.25">
      <c r="D38" s="32"/>
      <c r="E38" s="9"/>
      <c r="F38" s="32"/>
    </row>
    <row r="39" spans="4:6" x14ac:dyDescent="0.25">
      <c r="D39" s="32"/>
      <c r="E39" s="9"/>
      <c r="F39" s="32"/>
    </row>
    <row r="40" spans="4:6" x14ac:dyDescent="0.25">
      <c r="D40" s="32"/>
      <c r="E40" s="9"/>
      <c r="F40" s="32"/>
    </row>
    <row r="41" spans="4:6" x14ac:dyDescent="0.25">
      <c r="D41" s="32"/>
      <c r="E41" s="9"/>
      <c r="F41" s="32"/>
    </row>
    <row r="42" spans="4:6" x14ac:dyDescent="0.25">
      <c r="D42" s="32"/>
      <c r="E42" s="9"/>
      <c r="F42" s="32"/>
    </row>
    <row r="43" spans="4:6" x14ac:dyDescent="0.25">
      <c r="D43" s="32"/>
      <c r="E43" s="9"/>
      <c r="F43" s="32"/>
    </row>
    <row r="44" spans="4:6" x14ac:dyDescent="0.25">
      <c r="D44" s="32"/>
      <c r="E44" s="9"/>
      <c r="F44" s="32"/>
    </row>
    <row r="45" spans="4:6" x14ac:dyDescent="0.25">
      <c r="D45" s="32"/>
      <c r="E45" s="9"/>
      <c r="F45" s="32"/>
    </row>
    <row r="46" spans="4:6" x14ac:dyDescent="0.25">
      <c r="D46" s="32"/>
      <c r="E46" s="9"/>
      <c r="F46" s="32"/>
    </row>
    <row r="47" spans="4:6" x14ac:dyDescent="0.25">
      <c r="D47" s="32"/>
      <c r="E47" s="9"/>
      <c r="F47" s="32"/>
    </row>
    <row r="48" spans="4:6" x14ac:dyDescent="0.25">
      <c r="D48" s="32"/>
      <c r="E48" s="9"/>
      <c r="F48" s="32"/>
    </row>
    <row r="49" spans="4:6" x14ac:dyDescent="0.25">
      <c r="D49" s="32"/>
      <c r="E49" s="9"/>
      <c r="F49" s="32"/>
    </row>
    <row r="50" spans="4:6" x14ac:dyDescent="0.25">
      <c r="D50" s="32"/>
      <c r="E50" s="9"/>
      <c r="F50" s="32"/>
    </row>
    <row r="51" spans="4:6" x14ac:dyDescent="0.25">
      <c r="D51" s="32"/>
      <c r="E51" s="9"/>
      <c r="F51" s="32"/>
    </row>
    <row r="52" spans="4:6" x14ac:dyDescent="0.25">
      <c r="D52" s="32"/>
      <c r="E52" s="9"/>
      <c r="F52" s="32"/>
    </row>
    <row r="53" spans="4:6" x14ac:dyDescent="0.25">
      <c r="D53" s="32"/>
      <c r="E53" s="9"/>
      <c r="F53" s="32"/>
    </row>
    <row r="54" spans="4:6" x14ac:dyDescent="0.25">
      <c r="D54" s="32"/>
      <c r="E54" s="9"/>
      <c r="F54" s="32"/>
    </row>
    <row r="55" spans="4:6" x14ac:dyDescent="0.25">
      <c r="D55" s="32"/>
      <c r="E55" s="9"/>
      <c r="F55" s="32"/>
    </row>
    <row r="56" spans="4:6" x14ac:dyDescent="0.25">
      <c r="D56" s="32"/>
      <c r="E56" s="9"/>
      <c r="F56" s="32"/>
    </row>
    <row r="57" spans="4:6" x14ac:dyDescent="0.25">
      <c r="D57" s="32"/>
      <c r="E57" s="9"/>
      <c r="F57" s="32"/>
    </row>
    <row r="58" spans="4:6" x14ac:dyDescent="0.25">
      <c r="D58" s="32"/>
      <c r="E58" s="9"/>
      <c r="F58" s="32"/>
    </row>
    <row r="59" spans="4:6" x14ac:dyDescent="0.25">
      <c r="D59" s="32"/>
      <c r="E59" s="9"/>
      <c r="F59" s="32"/>
    </row>
    <row r="60" spans="4:6" x14ac:dyDescent="0.25">
      <c r="D60" s="32"/>
      <c r="E60" s="9"/>
      <c r="F60" s="32"/>
    </row>
    <row r="61" spans="4:6" x14ac:dyDescent="0.25">
      <c r="D61" s="32"/>
      <c r="E61" s="9"/>
      <c r="F61" s="32"/>
    </row>
    <row r="62" spans="4:6" x14ac:dyDescent="0.25">
      <c r="D62" s="32"/>
      <c r="E62" s="9"/>
      <c r="F62" s="32"/>
    </row>
    <row r="63" spans="4:6" x14ac:dyDescent="0.25">
      <c r="D63" s="32"/>
      <c r="E63" s="9"/>
      <c r="F63" s="32"/>
    </row>
    <row r="64" spans="4:6" x14ac:dyDescent="0.25">
      <c r="D64" s="32"/>
      <c r="E64" s="9"/>
      <c r="F64" s="32"/>
    </row>
    <row r="65" spans="4:6" x14ac:dyDescent="0.25">
      <c r="D65" s="32"/>
      <c r="E65" s="9"/>
      <c r="F65" s="32"/>
    </row>
    <row r="66" spans="4:6" x14ac:dyDescent="0.25">
      <c r="D66" s="32"/>
      <c r="E66" s="9"/>
      <c r="F66" s="32"/>
    </row>
    <row r="67" spans="4:6" x14ac:dyDescent="0.25">
      <c r="D67" s="32"/>
      <c r="E67" s="9"/>
      <c r="F67" s="32"/>
    </row>
    <row r="68" spans="4:6" x14ac:dyDescent="0.25">
      <c r="D68" s="32"/>
      <c r="E68" s="9"/>
      <c r="F68" s="32"/>
    </row>
    <row r="69" spans="4:6" x14ac:dyDescent="0.25">
      <c r="D69" s="32"/>
      <c r="E69" s="9"/>
      <c r="F69" s="32"/>
    </row>
    <row r="70" spans="4:6" x14ac:dyDescent="0.25">
      <c r="D70" s="32"/>
      <c r="E70" s="9"/>
      <c r="F70" s="32"/>
    </row>
    <row r="71" spans="4:6" x14ac:dyDescent="0.25">
      <c r="D71" s="32"/>
      <c r="E71" s="9"/>
      <c r="F71" s="32"/>
    </row>
    <row r="72" spans="4:6" x14ac:dyDescent="0.25">
      <c r="D72" s="32"/>
      <c r="E72" s="9"/>
      <c r="F72" s="32"/>
    </row>
    <row r="73" spans="4:6" x14ac:dyDescent="0.25">
      <c r="D73" s="32"/>
      <c r="E73" s="9"/>
      <c r="F73" s="32"/>
    </row>
    <row r="74" spans="4:6" x14ac:dyDescent="0.25">
      <c r="D74" s="32"/>
      <c r="E74" s="9"/>
      <c r="F74" s="32"/>
    </row>
    <row r="75" spans="4:6" x14ac:dyDescent="0.25">
      <c r="D75" s="32"/>
      <c r="E75" s="9"/>
      <c r="F75" s="32"/>
    </row>
    <row r="76" spans="4:6" x14ac:dyDescent="0.25">
      <c r="D76" s="32"/>
      <c r="E76" s="9"/>
      <c r="F76" s="32"/>
    </row>
    <row r="77" spans="4:6" x14ac:dyDescent="0.25">
      <c r="D77" s="32"/>
      <c r="E77" s="9"/>
      <c r="F77" s="32"/>
    </row>
    <row r="78" spans="4:6" x14ac:dyDescent="0.25">
      <c r="D78" s="32"/>
      <c r="E78" s="9"/>
      <c r="F78" s="32"/>
    </row>
    <row r="79" spans="4:6" x14ac:dyDescent="0.25">
      <c r="D79" s="32"/>
      <c r="E79" s="9"/>
      <c r="F79" s="32"/>
    </row>
    <row r="80" spans="4:6" x14ac:dyDescent="0.25">
      <c r="D80" s="32"/>
      <c r="E80" s="9"/>
      <c r="F80" s="32"/>
    </row>
    <row r="81" spans="4:6" x14ac:dyDescent="0.25">
      <c r="D81" s="32"/>
      <c r="E81" s="9"/>
      <c r="F81" s="32"/>
    </row>
    <row r="82" spans="4:6" x14ac:dyDescent="0.25">
      <c r="D82" s="32"/>
      <c r="E82" s="9"/>
      <c r="F82" s="32"/>
    </row>
    <row r="83" spans="4:6" x14ac:dyDescent="0.25">
      <c r="D83" s="32"/>
      <c r="E83" s="9"/>
      <c r="F83" s="32"/>
    </row>
    <row r="84" spans="4:6" x14ac:dyDescent="0.25">
      <c r="D84" s="32"/>
      <c r="E84" s="9"/>
      <c r="F84" s="32"/>
    </row>
    <row r="85" spans="4:6" x14ac:dyDescent="0.25">
      <c r="D85" s="32"/>
      <c r="E85" s="9"/>
      <c r="F85" s="32"/>
    </row>
    <row r="86" spans="4:6" x14ac:dyDescent="0.25">
      <c r="D86" s="32"/>
      <c r="E86" s="9"/>
      <c r="F86" s="32"/>
    </row>
    <row r="87" spans="4:6" x14ac:dyDescent="0.25">
      <c r="D87" s="32"/>
      <c r="E87" s="9"/>
      <c r="F87" s="32"/>
    </row>
    <row r="88" spans="4:6" x14ac:dyDescent="0.25">
      <c r="D88" s="32"/>
      <c r="E88" s="9"/>
      <c r="F88" s="32"/>
    </row>
    <row r="89" spans="4:6" x14ac:dyDescent="0.25">
      <c r="D89" s="32"/>
      <c r="E89" s="9"/>
      <c r="F89" s="32"/>
    </row>
    <row r="90" spans="4:6" x14ac:dyDescent="0.25">
      <c r="D90" s="32"/>
      <c r="E90" s="9"/>
      <c r="F90" s="32"/>
    </row>
    <row r="91" spans="4:6" x14ac:dyDescent="0.25">
      <c r="D91" s="32"/>
      <c r="E91" s="9"/>
      <c r="F91" s="32"/>
    </row>
    <row r="92" spans="4:6" x14ac:dyDescent="0.25">
      <c r="D92" s="32"/>
      <c r="E92" s="9"/>
      <c r="F92" s="32"/>
    </row>
    <row r="93" spans="4:6" x14ac:dyDescent="0.25">
      <c r="D93" s="32"/>
      <c r="E93" s="9"/>
      <c r="F93" s="32"/>
    </row>
    <row r="94" spans="4:6" x14ac:dyDescent="0.25">
      <c r="D94" s="32"/>
      <c r="E94" s="9"/>
      <c r="F94" s="32"/>
    </row>
    <row r="95" spans="4:6" x14ac:dyDescent="0.25">
      <c r="D95" s="32"/>
      <c r="E95" s="9"/>
      <c r="F95" s="32"/>
    </row>
    <row r="96" spans="4:6" x14ac:dyDescent="0.25">
      <c r="D96" s="32"/>
      <c r="E96" s="9"/>
      <c r="F96" s="32"/>
    </row>
    <row r="97" spans="4:6" x14ac:dyDescent="0.25">
      <c r="D97" s="32"/>
      <c r="E97" s="9"/>
      <c r="F97" s="32"/>
    </row>
    <row r="98" spans="4:6" x14ac:dyDescent="0.25">
      <c r="D98" s="32"/>
      <c r="E98" s="9"/>
      <c r="F98" s="32"/>
    </row>
    <row r="99" spans="4:6" x14ac:dyDescent="0.25">
      <c r="D99" s="32"/>
      <c r="E99" s="9"/>
      <c r="F99" s="32"/>
    </row>
    <row r="100" spans="4:6" x14ac:dyDescent="0.25">
      <c r="D100" s="32"/>
      <c r="E100" s="9"/>
      <c r="F100" s="32"/>
    </row>
    <row r="101" spans="4:6" x14ac:dyDescent="0.25">
      <c r="D101" s="32"/>
      <c r="E101" s="9"/>
      <c r="F101" s="32"/>
    </row>
    <row r="102" spans="4:6" x14ac:dyDescent="0.25">
      <c r="D102" s="32"/>
      <c r="E102" s="9"/>
      <c r="F102" s="32"/>
    </row>
    <row r="103" spans="4:6" x14ac:dyDescent="0.25">
      <c r="D103" s="32"/>
      <c r="E103" s="9"/>
      <c r="F103" s="32"/>
    </row>
    <row r="104" spans="4:6" x14ac:dyDescent="0.25">
      <c r="D104" s="32"/>
      <c r="E104" s="9"/>
      <c r="F104" s="32"/>
    </row>
    <row r="105" spans="4:6" x14ac:dyDescent="0.25">
      <c r="D105" s="32"/>
      <c r="E105" s="9"/>
      <c r="F105" s="32"/>
    </row>
    <row r="106" spans="4:6" x14ac:dyDescent="0.25">
      <c r="D106" s="32"/>
      <c r="E106" s="9"/>
      <c r="F106" s="32"/>
    </row>
    <row r="107" spans="4:6" x14ac:dyDescent="0.25">
      <c r="D107" s="32"/>
      <c r="E107" s="9"/>
      <c r="F107" s="32"/>
    </row>
    <row r="108" spans="4:6" x14ac:dyDescent="0.25">
      <c r="D108" s="32"/>
      <c r="E108" s="9"/>
      <c r="F108" s="32"/>
    </row>
    <row r="109" spans="4:6" x14ac:dyDescent="0.25">
      <c r="D109" s="32"/>
      <c r="E109" s="9"/>
      <c r="F109" s="32"/>
    </row>
    <row r="110" spans="4:6" x14ac:dyDescent="0.25">
      <c r="D110" s="32"/>
      <c r="E110" s="9"/>
      <c r="F110" s="32"/>
    </row>
    <row r="111" spans="4:6" x14ac:dyDescent="0.25">
      <c r="D111" s="32"/>
      <c r="E111" s="9"/>
      <c r="F111" s="32"/>
    </row>
    <row r="112" spans="4:6" x14ac:dyDescent="0.25">
      <c r="D112" s="32"/>
      <c r="E112" s="9"/>
      <c r="F112" s="32"/>
    </row>
    <row r="113" spans="4:6" x14ac:dyDescent="0.25">
      <c r="D113" s="32"/>
      <c r="E113" s="9"/>
      <c r="F113" s="32"/>
    </row>
    <row r="114" spans="4:6" x14ac:dyDescent="0.25">
      <c r="D114" s="32"/>
      <c r="E114" s="9"/>
      <c r="F114" s="32"/>
    </row>
    <row r="115" spans="4:6" x14ac:dyDescent="0.25">
      <c r="D115" s="32"/>
      <c r="E115" s="9"/>
      <c r="F115" s="32"/>
    </row>
    <row r="116" spans="4:6" x14ac:dyDescent="0.25">
      <c r="D116" s="32"/>
      <c r="E116" s="9"/>
      <c r="F116" s="32"/>
    </row>
    <row r="117" spans="4:6" x14ac:dyDescent="0.25">
      <c r="D117" s="32"/>
      <c r="E117" s="9"/>
      <c r="F117" s="32"/>
    </row>
    <row r="118" spans="4:6" x14ac:dyDescent="0.25">
      <c r="D118" s="32"/>
      <c r="E118" s="9"/>
      <c r="F118" s="32"/>
    </row>
    <row r="119" spans="4:6" x14ac:dyDescent="0.25">
      <c r="D119" s="32"/>
      <c r="E119" s="9"/>
      <c r="F119" s="32"/>
    </row>
    <row r="120" spans="4:6" x14ac:dyDescent="0.25">
      <c r="D120" s="32"/>
      <c r="E120" s="9"/>
      <c r="F120" s="32"/>
    </row>
    <row r="121" spans="4:6" x14ac:dyDescent="0.25">
      <c r="D121" s="32"/>
      <c r="E121" s="9"/>
      <c r="F121" s="32"/>
    </row>
    <row r="122" spans="4:6" x14ac:dyDescent="0.25">
      <c r="D122" s="32"/>
      <c r="E122" s="9"/>
      <c r="F122" s="32"/>
    </row>
    <row r="123" spans="4:6" x14ac:dyDescent="0.25">
      <c r="D123" s="32"/>
      <c r="E123" s="9"/>
      <c r="F123" s="32"/>
    </row>
    <row r="124" spans="4:6" x14ac:dyDescent="0.25">
      <c r="D124" s="32"/>
      <c r="E124" s="9"/>
      <c r="F124" s="32"/>
    </row>
    <row r="125" spans="4:6" x14ac:dyDescent="0.25">
      <c r="D125" s="32"/>
      <c r="E125" s="9"/>
      <c r="F125" s="32"/>
    </row>
    <row r="126" spans="4:6" x14ac:dyDescent="0.25">
      <c r="D126" s="32"/>
      <c r="E126" s="9"/>
      <c r="F126" s="32"/>
    </row>
    <row r="127" spans="4:6" x14ac:dyDescent="0.25">
      <c r="D127" s="32"/>
      <c r="E127" s="9"/>
      <c r="F127" s="32"/>
    </row>
    <row r="128" spans="4:6" x14ac:dyDescent="0.25">
      <c r="D128" s="32"/>
      <c r="E128" s="9"/>
      <c r="F128" s="32"/>
    </row>
    <row r="129" spans="4:6" x14ac:dyDescent="0.25">
      <c r="D129" s="32"/>
      <c r="E129" s="9"/>
      <c r="F129" s="32"/>
    </row>
    <row r="130" spans="4:6" x14ac:dyDescent="0.25">
      <c r="D130" s="32"/>
      <c r="E130" s="9"/>
      <c r="F130" s="32"/>
    </row>
    <row r="131" spans="4:6" x14ac:dyDescent="0.25">
      <c r="D131" s="32"/>
      <c r="E131" s="9"/>
      <c r="F131" s="32"/>
    </row>
    <row r="132" spans="4:6" x14ac:dyDescent="0.25">
      <c r="D132" s="32"/>
      <c r="E132" s="9"/>
      <c r="F132" s="32"/>
    </row>
    <row r="133" spans="4:6" x14ac:dyDescent="0.25">
      <c r="D133" s="32"/>
      <c r="E133" s="9"/>
      <c r="F133" s="32"/>
    </row>
    <row r="134" spans="4:6" x14ac:dyDescent="0.25">
      <c r="D134" s="32"/>
      <c r="E134" s="9"/>
      <c r="F134" s="32"/>
    </row>
    <row r="135" spans="4:6" x14ac:dyDescent="0.25">
      <c r="D135" s="32"/>
      <c r="E135" s="9"/>
      <c r="F135" s="32"/>
    </row>
    <row r="136" spans="4:6" x14ac:dyDescent="0.25">
      <c r="D136" s="32"/>
      <c r="E136" s="9"/>
      <c r="F136" s="32"/>
    </row>
    <row r="137" spans="4:6" x14ac:dyDescent="0.25">
      <c r="D137" s="32"/>
      <c r="E137" s="9"/>
      <c r="F137" s="32"/>
    </row>
    <row r="138" spans="4:6" x14ac:dyDescent="0.25">
      <c r="D138" s="32"/>
      <c r="E138" s="9"/>
      <c r="F138" s="32"/>
    </row>
    <row r="139" spans="4:6" x14ac:dyDescent="0.25">
      <c r="D139" s="32"/>
      <c r="E139" s="9"/>
      <c r="F139" s="32"/>
    </row>
    <row r="140" spans="4:6" x14ac:dyDescent="0.25">
      <c r="D140" s="32"/>
      <c r="E140" s="9"/>
      <c r="F140" s="32"/>
    </row>
    <row r="141" spans="4:6" x14ac:dyDescent="0.25">
      <c r="D141" s="32"/>
      <c r="E141" s="9"/>
      <c r="F141" s="32"/>
    </row>
    <row r="142" spans="4:6" x14ac:dyDescent="0.25">
      <c r="D142" s="32"/>
      <c r="E142" s="9"/>
      <c r="F142" s="32"/>
    </row>
    <row r="143" spans="4:6" x14ac:dyDescent="0.25">
      <c r="D143" s="32"/>
      <c r="E143" s="9"/>
      <c r="F143" s="32"/>
    </row>
    <row r="144" spans="4:6" x14ac:dyDescent="0.25">
      <c r="D144" s="32"/>
      <c r="E144" s="9"/>
      <c r="F144" s="32"/>
    </row>
    <row r="145" spans="4:6" x14ac:dyDescent="0.25">
      <c r="D145" s="32"/>
      <c r="E145" s="9"/>
      <c r="F145" s="32"/>
    </row>
    <row r="146" spans="4:6" x14ac:dyDescent="0.25">
      <c r="D146" s="32"/>
      <c r="E146" s="9"/>
      <c r="F146" s="32"/>
    </row>
    <row r="147" spans="4:6" x14ac:dyDescent="0.25">
      <c r="D147" s="32"/>
      <c r="E147" s="9"/>
      <c r="F147" s="32"/>
    </row>
    <row r="148" spans="4:6" x14ac:dyDescent="0.25">
      <c r="D148" s="32"/>
      <c r="E148" s="9"/>
      <c r="F148" s="32"/>
    </row>
    <row r="149" spans="4:6" x14ac:dyDescent="0.25">
      <c r="D149" s="32"/>
      <c r="E149" s="9"/>
      <c r="F149" s="32"/>
    </row>
    <row r="150" spans="4:6" x14ac:dyDescent="0.25">
      <c r="D150" s="32"/>
      <c r="E150" s="9"/>
      <c r="F150" s="32"/>
    </row>
    <row r="151" spans="4:6" x14ac:dyDescent="0.25">
      <c r="D151" s="32"/>
      <c r="E151" s="9"/>
      <c r="F151" s="32"/>
    </row>
    <row r="152" spans="4:6" x14ac:dyDescent="0.25">
      <c r="D152" s="32"/>
      <c r="E152" s="9"/>
      <c r="F152" s="32"/>
    </row>
    <row r="153" spans="4:6" x14ac:dyDescent="0.25">
      <c r="D153" s="32"/>
      <c r="E153" s="9"/>
      <c r="F153" s="32"/>
    </row>
    <row r="154" spans="4:6" x14ac:dyDescent="0.25">
      <c r="D154" s="32"/>
      <c r="E154" s="9"/>
      <c r="F154" s="32"/>
    </row>
    <row r="155" spans="4:6" x14ac:dyDescent="0.25">
      <c r="D155" s="32"/>
      <c r="E155" s="9"/>
      <c r="F155" s="32"/>
    </row>
    <row r="156" spans="4:6" x14ac:dyDescent="0.25">
      <c r="D156" s="32"/>
      <c r="E156" s="9"/>
      <c r="F156" s="32"/>
    </row>
    <row r="157" spans="4:6" x14ac:dyDescent="0.25">
      <c r="D157" s="32"/>
      <c r="E157" s="9"/>
      <c r="F157" s="32"/>
    </row>
    <row r="158" spans="4:6" x14ac:dyDescent="0.25">
      <c r="D158" s="32"/>
      <c r="E158" s="9"/>
      <c r="F158" s="32"/>
    </row>
    <row r="159" spans="4:6" x14ac:dyDescent="0.25">
      <c r="D159" s="32"/>
      <c r="E159" s="9"/>
      <c r="F159" s="32"/>
    </row>
    <row r="160" spans="4:6" x14ac:dyDescent="0.25">
      <c r="D160" s="32"/>
      <c r="E160" s="9"/>
      <c r="F160" s="32"/>
    </row>
    <row r="161" spans="4:6" x14ac:dyDescent="0.25">
      <c r="D161" s="32"/>
      <c r="E161" s="9"/>
      <c r="F161" s="32"/>
    </row>
    <row r="162" spans="4:6" x14ac:dyDescent="0.25">
      <c r="D162" s="32"/>
      <c r="E162" s="9"/>
      <c r="F162" s="32"/>
    </row>
    <row r="163" spans="4:6" x14ac:dyDescent="0.25">
      <c r="D163" s="32"/>
      <c r="E163" s="9"/>
      <c r="F163" s="32"/>
    </row>
    <row r="164" spans="4:6" x14ac:dyDescent="0.25">
      <c r="D164" s="32"/>
      <c r="E164" s="9"/>
      <c r="F164" s="32"/>
    </row>
    <row r="165" spans="4:6" x14ac:dyDescent="0.25">
      <c r="D165" s="32"/>
      <c r="E165" s="9"/>
      <c r="F165" s="32"/>
    </row>
    <row r="166" spans="4:6" x14ac:dyDescent="0.25">
      <c r="D166" s="32"/>
      <c r="E166" s="9"/>
      <c r="F166" s="32"/>
    </row>
    <row r="167" spans="4:6" x14ac:dyDescent="0.25">
      <c r="D167" s="32"/>
      <c r="E167" s="9"/>
      <c r="F167" s="32"/>
    </row>
    <row r="168" spans="4:6" x14ac:dyDescent="0.25">
      <c r="D168" s="32"/>
      <c r="E168" s="9"/>
      <c r="F168" s="32"/>
    </row>
    <row r="169" spans="4:6" x14ac:dyDescent="0.25">
      <c r="D169" s="32"/>
      <c r="E169" s="9"/>
      <c r="F169" s="32"/>
    </row>
    <row r="170" spans="4:6" x14ac:dyDescent="0.25">
      <c r="D170" s="32"/>
      <c r="E170" s="9"/>
      <c r="F170" s="32"/>
    </row>
    <row r="171" spans="4:6" x14ac:dyDescent="0.25">
      <c r="D171" s="32"/>
      <c r="E171" s="9"/>
      <c r="F171" s="32"/>
    </row>
    <row r="172" spans="4:6" x14ac:dyDescent="0.25">
      <c r="D172" s="32"/>
      <c r="E172" s="9"/>
      <c r="F172" s="32"/>
    </row>
    <row r="173" spans="4:6" x14ac:dyDescent="0.25">
      <c r="D173" s="32"/>
      <c r="E173" s="9"/>
      <c r="F173" s="32"/>
    </row>
    <row r="174" spans="4:6" x14ac:dyDescent="0.25">
      <c r="D174" s="32"/>
      <c r="E174" s="9"/>
      <c r="F174" s="32"/>
    </row>
    <row r="175" spans="4:6" x14ac:dyDescent="0.25">
      <c r="D175" s="32"/>
      <c r="E175" s="9"/>
      <c r="F175" s="32"/>
    </row>
    <row r="176" spans="4:6" x14ac:dyDescent="0.25">
      <c r="D176" s="32"/>
      <c r="E176" s="9"/>
      <c r="F176" s="32"/>
    </row>
    <row r="177" spans="4:6" x14ac:dyDescent="0.25">
      <c r="D177" s="32"/>
      <c r="E177" s="9"/>
      <c r="F177" s="32"/>
    </row>
    <row r="178" spans="4:6" x14ac:dyDescent="0.25">
      <c r="D178" s="32"/>
      <c r="E178" s="9"/>
      <c r="F178" s="32"/>
    </row>
    <row r="179" spans="4:6" x14ac:dyDescent="0.25">
      <c r="D179" s="32"/>
      <c r="E179" s="9"/>
      <c r="F179" s="32"/>
    </row>
    <row r="180" spans="4:6" x14ac:dyDescent="0.25">
      <c r="D180" s="32"/>
      <c r="E180" s="9"/>
      <c r="F180" s="32"/>
    </row>
    <row r="181" spans="4:6" x14ac:dyDescent="0.25">
      <c r="D181" s="32"/>
      <c r="E181" s="9"/>
      <c r="F181" s="32"/>
    </row>
    <row r="182" spans="4:6" x14ac:dyDescent="0.25">
      <c r="D182" s="32"/>
      <c r="E182" s="9"/>
      <c r="F182" s="32"/>
    </row>
    <row r="183" spans="4:6" x14ac:dyDescent="0.25">
      <c r="D183" s="32"/>
      <c r="E183" s="9"/>
      <c r="F183" s="32"/>
    </row>
    <row r="184" spans="4:6" x14ac:dyDescent="0.25">
      <c r="D184" s="32"/>
      <c r="E184" s="9"/>
      <c r="F184" s="32"/>
    </row>
    <row r="185" spans="4:6" x14ac:dyDescent="0.25">
      <c r="D185" s="32"/>
      <c r="E185" s="9"/>
      <c r="F185" s="32"/>
    </row>
    <row r="186" spans="4:6" x14ac:dyDescent="0.25">
      <c r="D186" s="32"/>
      <c r="E186" s="9"/>
      <c r="F186" s="32"/>
    </row>
    <row r="187" spans="4:6" x14ac:dyDescent="0.25">
      <c r="D187" s="32"/>
      <c r="E187" s="9"/>
      <c r="F187" s="32"/>
    </row>
    <row r="188" spans="4:6" x14ac:dyDescent="0.25">
      <c r="D188" s="32"/>
      <c r="E188" s="9"/>
      <c r="F188" s="9"/>
    </row>
    <row r="189" spans="4:6" x14ac:dyDescent="0.25">
      <c r="D189" s="32"/>
      <c r="E189" s="9"/>
      <c r="F189" s="9"/>
    </row>
    <row r="190" spans="4:6" x14ac:dyDescent="0.25">
      <c r="D190" s="32"/>
      <c r="E190" s="9"/>
      <c r="F190" s="9"/>
    </row>
    <row r="191" spans="4:6" x14ac:dyDescent="0.25">
      <c r="D191" s="32"/>
      <c r="E191" s="9"/>
      <c r="F191" s="9"/>
    </row>
    <row r="192" spans="4:6" x14ac:dyDescent="0.25">
      <c r="D192" s="32"/>
      <c r="E192" s="9"/>
      <c r="F192" s="9"/>
    </row>
    <row r="193" spans="4:4" x14ac:dyDescent="0.25">
      <c r="D193" s="32"/>
    </row>
    <row r="194" spans="4:4" x14ac:dyDescent="0.25">
      <c r="D194" s="32"/>
    </row>
    <row r="195" spans="4:4" x14ac:dyDescent="0.25">
      <c r="D195" s="32"/>
    </row>
    <row r="196" spans="4:4" x14ac:dyDescent="0.25">
      <c r="D196" s="32"/>
    </row>
    <row r="197" spans="4:4" x14ac:dyDescent="0.25">
      <c r="D197" s="32"/>
    </row>
    <row r="198" spans="4:4" x14ac:dyDescent="0.25">
      <c r="D198" s="32"/>
    </row>
    <row r="199" spans="4:4" x14ac:dyDescent="0.25">
      <c r="D199" s="32"/>
    </row>
    <row r="200" spans="4:4" x14ac:dyDescent="0.25">
      <c r="D200" s="32"/>
    </row>
    <row r="201" spans="4:4" x14ac:dyDescent="0.25">
      <c r="D201" s="32"/>
    </row>
    <row r="202" spans="4:4" x14ac:dyDescent="0.25">
      <c r="D202" s="32"/>
    </row>
    <row r="203" spans="4:4" x14ac:dyDescent="0.25">
      <c r="D203" s="32"/>
    </row>
    <row r="204" spans="4:4" x14ac:dyDescent="0.25">
      <c r="D204" s="32"/>
    </row>
    <row r="205" spans="4:4" x14ac:dyDescent="0.25">
      <c r="D205" s="32"/>
    </row>
    <row r="206" spans="4:4" x14ac:dyDescent="0.25">
      <c r="D206" s="32"/>
    </row>
    <row r="207" spans="4:4" x14ac:dyDescent="0.25">
      <c r="D207" s="32"/>
    </row>
    <row r="208" spans="4:4" x14ac:dyDescent="0.25">
      <c r="D208" s="32"/>
    </row>
    <row r="209" spans="4:4" x14ac:dyDescent="0.25">
      <c r="D209" s="32"/>
    </row>
    <row r="210" spans="4:4" x14ac:dyDescent="0.25">
      <c r="D210" s="32"/>
    </row>
    <row r="211" spans="4:4" x14ac:dyDescent="0.25">
      <c r="D211" s="32"/>
    </row>
    <row r="212" spans="4:4" x14ac:dyDescent="0.25">
      <c r="D212" s="32"/>
    </row>
    <row r="213" spans="4:4" x14ac:dyDescent="0.25">
      <c r="D213" s="32"/>
    </row>
    <row r="214" spans="4:4" x14ac:dyDescent="0.25">
      <c r="D214" s="32"/>
    </row>
    <row r="215" spans="4:4" x14ac:dyDescent="0.25">
      <c r="D215" s="32"/>
    </row>
    <row r="216" spans="4:4" x14ac:dyDescent="0.25">
      <c r="D216" s="32"/>
    </row>
    <row r="217" spans="4:4" x14ac:dyDescent="0.25">
      <c r="D217" s="32"/>
    </row>
    <row r="218" spans="4:4" x14ac:dyDescent="0.25">
      <c r="D218" s="32"/>
    </row>
    <row r="219" spans="4:4" x14ac:dyDescent="0.25">
      <c r="D219" s="32"/>
    </row>
    <row r="220" spans="4:4" x14ac:dyDescent="0.25">
      <c r="D220" s="32"/>
    </row>
    <row r="221" spans="4:4" x14ac:dyDescent="0.25">
      <c r="D221" s="32"/>
    </row>
    <row r="222" spans="4:4" x14ac:dyDescent="0.25">
      <c r="D222" s="32"/>
    </row>
    <row r="223" spans="4:4" x14ac:dyDescent="0.25">
      <c r="D223" s="32"/>
    </row>
    <row r="224" spans="4:4" x14ac:dyDescent="0.25">
      <c r="D224" s="32"/>
    </row>
    <row r="225" spans="4:4" x14ac:dyDescent="0.25">
      <c r="D225" s="32"/>
    </row>
    <row r="226" spans="4:4" x14ac:dyDescent="0.25">
      <c r="D226" s="32"/>
    </row>
    <row r="227" spans="4:4" x14ac:dyDescent="0.25">
      <c r="D227" s="32"/>
    </row>
    <row r="228" spans="4:4" x14ac:dyDescent="0.25">
      <c r="D228" s="32"/>
    </row>
    <row r="229" spans="4:4" x14ac:dyDescent="0.25">
      <c r="D229" s="32"/>
    </row>
    <row r="230" spans="4:4" x14ac:dyDescent="0.25">
      <c r="D230" s="32"/>
    </row>
    <row r="231" spans="4:4" x14ac:dyDescent="0.25">
      <c r="D231" s="32"/>
    </row>
    <row r="232" spans="4:4" x14ac:dyDescent="0.25">
      <c r="D232" s="32"/>
    </row>
    <row r="233" spans="4:4" x14ac:dyDescent="0.25">
      <c r="D233" s="32"/>
    </row>
    <row r="234" spans="4:4" x14ac:dyDescent="0.25">
      <c r="D234" s="32"/>
    </row>
    <row r="235" spans="4:4" x14ac:dyDescent="0.25">
      <c r="D235" s="32"/>
    </row>
    <row r="236" spans="4:4" x14ac:dyDescent="0.25">
      <c r="D236" s="32"/>
    </row>
    <row r="237" spans="4:4" x14ac:dyDescent="0.25">
      <c r="D237" s="32"/>
    </row>
    <row r="238" spans="4:4" x14ac:dyDescent="0.25">
      <c r="D238" s="32"/>
    </row>
    <row r="239" spans="4:4" x14ac:dyDescent="0.25">
      <c r="D239" s="32"/>
    </row>
    <row r="240" spans="4:4" x14ac:dyDescent="0.25">
      <c r="D240" s="32"/>
    </row>
    <row r="241" spans="4:4" x14ac:dyDescent="0.25">
      <c r="D241" s="32"/>
    </row>
    <row r="242" spans="4:4" x14ac:dyDescent="0.25">
      <c r="D242" s="32"/>
    </row>
    <row r="243" spans="4:4" x14ac:dyDescent="0.25">
      <c r="D243" s="32"/>
    </row>
    <row r="244" spans="4:4" x14ac:dyDescent="0.25">
      <c r="D244" s="32"/>
    </row>
    <row r="245" spans="4:4" x14ac:dyDescent="0.25">
      <c r="D245" s="32"/>
    </row>
    <row r="246" spans="4:4" x14ac:dyDescent="0.25">
      <c r="D246" s="32"/>
    </row>
    <row r="247" spans="4:4" x14ac:dyDescent="0.25">
      <c r="D247" s="32"/>
    </row>
    <row r="248" spans="4:4" x14ac:dyDescent="0.25">
      <c r="D248" s="32"/>
    </row>
    <row r="249" spans="4:4" x14ac:dyDescent="0.25">
      <c r="D249" s="32"/>
    </row>
    <row r="250" spans="4:4" x14ac:dyDescent="0.25">
      <c r="D250" s="32"/>
    </row>
    <row r="251" spans="4:4" x14ac:dyDescent="0.25">
      <c r="D251" s="32"/>
    </row>
    <row r="252" spans="4:4" x14ac:dyDescent="0.25">
      <c r="D252" s="32"/>
    </row>
    <row r="253" spans="4:4" x14ac:dyDescent="0.25">
      <c r="D253" s="32"/>
    </row>
    <row r="254" spans="4:4" x14ac:dyDescent="0.25">
      <c r="D254" s="32"/>
    </row>
    <row r="255" spans="4:4" x14ac:dyDescent="0.25">
      <c r="D255" s="32"/>
    </row>
    <row r="256" spans="4:4" x14ac:dyDescent="0.25">
      <c r="D256" s="32"/>
    </row>
    <row r="257" spans="4:4" x14ac:dyDescent="0.25">
      <c r="D257" s="32"/>
    </row>
    <row r="258" spans="4:4" x14ac:dyDescent="0.25">
      <c r="D258" s="32"/>
    </row>
    <row r="259" spans="4:4" x14ac:dyDescent="0.25">
      <c r="D259" s="32"/>
    </row>
    <row r="260" spans="4:4" x14ac:dyDescent="0.25">
      <c r="D260" s="32"/>
    </row>
    <row r="261" spans="4:4" x14ac:dyDescent="0.25">
      <c r="D261" s="32"/>
    </row>
    <row r="262" spans="4:4" x14ac:dyDescent="0.25">
      <c r="D262" s="32"/>
    </row>
    <row r="263" spans="4:4" x14ac:dyDescent="0.25">
      <c r="D263" s="32"/>
    </row>
    <row r="264" spans="4:4" x14ac:dyDescent="0.25">
      <c r="D264" s="32"/>
    </row>
    <row r="265" spans="4:4" x14ac:dyDescent="0.25">
      <c r="D265" s="32"/>
    </row>
    <row r="266" spans="4:4" x14ac:dyDescent="0.25">
      <c r="D266" s="32"/>
    </row>
    <row r="267" spans="4:4" x14ac:dyDescent="0.25">
      <c r="D267" s="32"/>
    </row>
    <row r="268" spans="4:4" x14ac:dyDescent="0.25">
      <c r="D268" s="32"/>
    </row>
    <row r="269" spans="4:4" x14ac:dyDescent="0.25">
      <c r="D269" s="32"/>
    </row>
    <row r="270" spans="4:4" x14ac:dyDescent="0.25">
      <c r="D270" s="32"/>
    </row>
    <row r="271" spans="4:4" x14ac:dyDescent="0.25">
      <c r="D271" s="32"/>
    </row>
    <row r="272" spans="4:4" x14ac:dyDescent="0.25">
      <c r="D272" s="32"/>
    </row>
    <row r="273" spans="4:4" x14ac:dyDescent="0.25">
      <c r="D273" s="32"/>
    </row>
    <row r="274" spans="4:4" x14ac:dyDescent="0.25">
      <c r="D274" s="32"/>
    </row>
    <row r="275" spans="4:4" x14ac:dyDescent="0.25">
      <c r="D275" s="32"/>
    </row>
    <row r="276" spans="4:4" x14ac:dyDescent="0.25">
      <c r="D276" s="32"/>
    </row>
    <row r="277" spans="4:4" x14ac:dyDescent="0.25">
      <c r="D277" s="32"/>
    </row>
    <row r="278" spans="4:4" x14ac:dyDescent="0.25">
      <c r="D278" s="32"/>
    </row>
    <row r="279" spans="4:4" x14ac:dyDescent="0.25">
      <c r="D279" s="32"/>
    </row>
    <row r="280" spans="4:4" x14ac:dyDescent="0.25">
      <c r="D280" s="32"/>
    </row>
    <row r="281" spans="4:4" x14ac:dyDescent="0.25">
      <c r="D281" s="32"/>
    </row>
    <row r="282" spans="4:4" x14ac:dyDescent="0.25">
      <c r="D282" s="32"/>
    </row>
    <row r="283" spans="4:4" x14ac:dyDescent="0.25">
      <c r="D283" s="32"/>
    </row>
    <row r="284" spans="4:4" x14ac:dyDescent="0.25">
      <c r="D284" s="32"/>
    </row>
    <row r="285" spans="4:4" x14ac:dyDescent="0.25">
      <c r="D285" s="32"/>
    </row>
    <row r="286" spans="4:4" x14ac:dyDescent="0.25">
      <c r="D286" s="32"/>
    </row>
    <row r="287" spans="4:4" x14ac:dyDescent="0.25">
      <c r="D287" s="32"/>
    </row>
    <row r="288" spans="4:4" x14ac:dyDescent="0.25">
      <c r="D288" s="32"/>
    </row>
    <row r="289" spans="4:4" x14ac:dyDescent="0.25">
      <c r="D289" s="32"/>
    </row>
    <row r="290" spans="4:4" x14ac:dyDescent="0.25">
      <c r="D290" s="32"/>
    </row>
    <row r="291" spans="4:4" x14ac:dyDescent="0.25">
      <c r="D291" s="32"/>
    </row>
    <row r="292" spans="4:4" x14ac:dyDescent="0.25">
      <c r="D292" s="32"/>
    </row>
    <row r="293" spans="4:4" x14ac:dyDescent="0.25">
      <c r="D293" s="32"/>
    </row>
    <row r="294" spans="4:4" x14ac:dyDescent="0.25">
      <c r="D294" s="32"/>
    </row>
    <row r="295" spans="4:4" x14ac:dyDescent="0.25">
      <c r="D295" s="32"/>
    </row>
    <row r="296" spans="4:4" x14ac:dyDescent="0.25">
      <c r="D296" s="32"/>
    </row>
    <row r="297" spans="4:4" x14ac:dyDescent="0.25">
      <c r="D297" s="32"/>
    </row>
    <row r="298" spans="4:4" x14ac:dyDescent="0.25">
      <c r="D298" s="32"/>
    </row>
    <row r="299" spans="4:4" x14ac:dyDescent="0.25">
      <c r="D299" s="32"/>
    </row>
    <row r="300" spans="4:4" x14ac:dyDescent="0.25">
      <c r="D300" s="32"/>
    </row>
    <row r="301" spans="4:4" x14ac:dyDescent="0.25">
      <c r="D301" s="32"/>
    </row>
    <row r="302" spans="4:4" x14ac:dyDescent="0.25">
      <c r="D302" s="32"/>
    </row>
    <row r="303" spans="4:4" x14ac:dyDescent="0.25">
      <c r="D303" s="32"/>
    </row>
    <row r="304" spans="4:4" x14ac:dyDescent="0.25">
      <c r="D304" s="32"/>
    </row>
    <row r="305" spans="4:4" x14ac:dyDescent="0.25">
      <c r="D305" s="32"/>
    </row>
    <row r="306" spans="4:4" x14ac:dyDescent="0.25">
      <c r="D306" s="32"/>
    </row>
    <row r="307" spans="4:4" x14ac:dyDescent="0.25">
      <c r="D307" s="32"/>
    </row>
    <row r="308" spans="4:4" x14ac:dyDescent="0.25">
      <c r="D308" s="32"/>
    </row>
    <row r="309" spans="4:4" x14ac:dyDescent="0.25">
      <c r="D309" s="32"/>
    </row>
    <row r="310" spans="4:4" x14ac:dyDescent="0.25">
      <c r="D310" s="32"/>
    </row>
    <row r="311" spans="4:4" x14ac:dyDescent="0.25">
      <c r="D311" s="32"/>
    </row>
    <row r="312" spans="4:4" x14ac:dyDescent="0.25">
      <c r="D312" s="32"/>
    </row>
    <row r="313" spans="4:4" x14ac:dyDescent="0.25">
      <c r="D313" s="32"/>
    </row>
    <row r="314" spans="4:4" x14ac:dyDescent="0.25">
      <c r="D314" s="32"/>
    </row>
    <row r="315" spans="4:4" x14ac:dyDescent="0.25">
      <c r="D315" s="32"/>
    </row>
    <row r="316" spans="4:4" x14ac:dyDescent="0.25">
      <c r="D316" s="32"/>
    </row>
    <row r="317" spans="4:4" x14ac:dyDescent="0.25">
      <c r="D317" s="32"/>
    </row>
    <row r="318" spans="4:4" x14ac:dyDescent="0.25">
      <c r="D318" s="32"/>
    </row>
    <row r="319" spans="4:4" x14ac:dyDescent="0.25">
      <c r="D319" s="32"/>
    </row>
    <row r="320" spans="4:4" x14ac:dyDescent="0.25">
      <c r="D320" s="32"/>
    </row>
    <row r="321" spans="4:4" x14ac:dyDescent="0.25">
      <c r="D321" s="32"/>
    </row>
    <row r="322" spans="4:4" x14ac:dyDescent="0.25">
      <c r="D322" s="32"/>
    </row>
    <row r="323" spans="4:4" x14ac:dyDescent="0.25">
      <c r="D323" s="32"/>
    </row>
    <row r="324" spans="4:4" x14ac:dyDescent="0.25">
      <c r="D324" s="32"/>
    </row>
    <row r="325" spans="4:4" x14ac:dyDescent="0.25">
      <c r="D325" s="32"/>
    </row>
    <row r="326" spans="4:4" x14ac:dyDescent="0.25">
      <c r="D326" s="32"/>
    </row>
    <row r="327" spans="4:4" x14ac:dyDescent="0.25">
      <c r="D327" s="32"/>
    </row>
    <row r="328" spans="4:4" x14ac:dyDescent="0.25">
      <c r="D328" s="32"/>
    </row>
    <row r="329" spans="4:4" x14ac:dyDescent="0.25">
      <c r="D329" s="32"/>
    </row>
    <row r="330" spans="4:4" x14ac:dyDescent="0.25">
      <c r="D330" s="32"/>
    </row>
    <row r="331" spans="4:4" x14ac:dyDescent="0.25">
      <c r="D331" s="32"/>
    </row>
    <row r="332" spans="4:4" x14ac:dyDescent="0.25">
      <c r="D332" s="32"/>
    </row>
    <row r="333" spans="4:4" x14ac:dyDescent="0.25">
      <c r="D333" s="32"/>
    </row>
    <row r="334" spans="4:4" x14ac:dyDescent="0.25">
      <c r="D334" s="32"/>
    </row>
    <row r="335" spans="4:4" x14ac:dyDescent="0.25">
      <c r="D335" s="32"/>
    </row>
    <row r="336" spans="4:4" x14ac:dyDescent="0.25">
      <c r="D336" s="32"/>
    </row>
    <row r="337" spans="4:4" x14ac:dyDescent="0.25">
      <c r="D337" s="32"/>
    </row>
    <row r="338" spans="4:4" x14ac:dyDescent="0.25">
      <c r="D338" s="32"/>
    </row>
    <row r="339" spans="4:4" x14ac:dyDescent="0.25">
      <c r="D339" s="32"/>
    </row>
    <row r="340" spans="4:4" x14ac:dyDescent="0.25">
      <c r="D340" s="32"/>
    </row>
    <row r="341" spans="4:4" x14ac:dyDescent="0.25">
      <c r="D341" s="32"/>
    </row>
    <row r="342" spans="4:4" x14ac:dyDescent="0.25">
      <c r="D342" s="32"/>
    </row>
    <row r="343" spans="4:4" x14ac:dyDescent="0.25">
      <c r="D343" s="32"/>
    </row>
    <row r="344" spans="4:4" x14ac:dyDescent="0.25">
      <c r="D344" s="32"/>
    </row>
    <row r="345" spans="4:4" x14ac:dyDescent="0.25">
      <c r="D345" s="32"/>
    </row>
    <row r="346" spans="4:4" x14ac:dyDescent="0.25">
      <c r="D346" s="32"/>
    </row>
    <row r="347" spans="4:4" x14ac:dyDescent="0.25">
      <c r="D347" s="32"/>
    </row>
    <row r="348" spans="4:4" x14ac:dyDescent="0.25">
      <c r="D348" s="32"/>
    </row>
    <row r="349" spans="4:4" x14ac:dyDescent="0.25">
      <c r="D349" s="32"/>
    </row>
    <row r="350" spans="4:4" x14ac:dyDescent="0.25">
      <c r="D350" s="32"/>
    </row>
    <row r="351" spans="4:4" x14ac:dyDescent="0.25">
      <c r="D351" s="32"/>
    </row>
    <row r="352" spans="4:4" x14ac:dyDescent="0.25">
      <c r="D352" s="32"/>
    </row>
    <row r="353" spans="4:4" x14ac:dyDescent="0.25">
      <c r="D353" s="32"/>
    </row>
    <row r="354" spans="4:4" x14ac:dyDescent="0.25">
      <c r="D354" s="32"/>
    </row>
    <row r="355" spans="4:4" x14ac:dyDescent="0.25">
      <c r="D355" s="32"/>
    </row>
    <row r="356" spans="4:4" x14ac:dyDescent="0.25">
      <c r="D356" s="32"/>
    </row>
    <row r="357" spans="4:4" x14ac:dyDescent="0.25">
      <c r="D357" s="32"/>
    </row>
    <row r="358" spans="4:4" x14ac:dyDescent="0.25">
      <c r="D358" s="32"/>
    </row>
    <row r="359" spans="4:4" x14ac:dyDescent="0.25">
      <c r="D359" s="32"/>
    </row>
    <row r="360" spans="4:4" x14ac:dyDescent="0.25">
      <c r="D360" s="32"/>
    </row>
    <row r="361" spans="4:4" x14ac:dyDescent="0.25">
      <c r="D361" s="32"/>
    </row>
    <row r="362" spans="4:4" x14ac:dyDescent="0.25">
      <c r="D362" s="32"/>
    </row>
    <row r="363" spans="4:4" x14ac:dyDescent="0.25">
      <c r="D363" s="32"/>
    </row>
    <row r="364" spans="4:4" x14ac:dyDescent="0.25">
      <c r="D364" s="32"/>
    </row>
    <row r="365" spans="4:4" x14ac:dyDescent="0.25">
      <c r="D365" s="32"/>
    </row>
    <row r="366" spans="4:4" x14ac:dyDescent="0.25">
      <c r="D366" s="32"/>
    </row>
    <row r="367" spans="4:4" x14ac:dyDescent="0.25">
      <c r="D367" s="32"/>
    </row>
    <row r="368" spans="4:4" x14ac:dyDescent="0.25">
      <c r="D368" s="32"/>
    </row>
    <row r="369" spans="4:4" x14ac:dyDescent="0.25">
      <c r="D369" s="32"/>
    </row>
    <row r="370" spans="4:4" x14ac:dyDescent="0.25">
      <c r="D370" s="32"/>
    </row>
    <row r="371" spans="4:4" x14ac:dyDescent="0.25">
      <c r="D371" s="32"/>
    </row>
    <row r="372" spans="4:4" x14ac:dyDescent="0.25">
      <c r="D372" s="32"/>
    </row>
    <row r="373" spans="4:4" x14ac:dyDescent="0.25">
      <c r="D373" s="32"/>
    </row>
    <row r="374" spans="4:4" x14ac:dyDescent="0.25">
      <c r="D374" s="32"/>
    </row>
    <row r="375" spans="4:4" x14ac:dyDescent="0.25">
      <c r="D375" s="32"/>
    </row>
    <row r="376" spans="4:4" x14ac:dyDescent="0.25">
      <c r="D376" s="32"/>
    </row>
    <row r="377" spans="4:4" x14ac:dyDescent="0.25">
      <c r="D377" s="32"/>
    </row>
    <row r="378" spans="4:4" x14ac:dyDescent="0.25">
      <c r="D378" s="32"/>
    </row>
    <row r="379" spans="4:4" x14ac:dyDescent="0.25">
      <c r="D379" s="32"/>
    </row>
    <row r="380" spans="4:4" x14ac:dyDescent="0.25">
      <c r="D380" s="32"/>
    </row>
    <row r="381" spans="4:4" x14ac:dyDescent="0.25">
      <c r="D381" s="32"/>
    </row>
    <row r="382" spans="4:4" x14ac:dyDescent="0.25">
      <c r="D382" s="32"/>
    </row>
    <row r="383" spans="4:4" x14ac:dyDescent="0.25">
      <c r="D383" s="32"/>
    </row>
    <row r="384" spans="4:4" x14ac:dyDescent="0.25">
      <c r="D384" s="32"/>
    </row>
    <row r="385" spans="4:4" x14ac:dyDescent="0.25">
      <c r="D385" s="32"/>
    </row>
    <row r="386" spans="4:4" x14ac:dyDescent="0.25">
      <c r="D386" s="32"/>
    </row>
    <row r="387" spans="4:4" x14ac:dyDescent="0.25">
      <c r="D387" s="32"/>
    </row>
    <row r="388" spans="4:4" x14ac:dyDescent="0.25">
      <c r="D388" s="32"/>
    </row>
    <row r="389" spans="4:4" x14ac:dyDescent="0.25">
      <c r="D389" s="32"/>
    </row>
    <row r="390" spans="4:4" x14ac:dyDescent="0.25">
      <c r="D390" s="32"/>
    </row>
    <row r="391" spans="4:4" x14ac:dyDescent="0.25">
      <c r="D391" s="32"/>
    </row>
    <row r="392" spans="4:4" x14ac:dyDescent="0.25">
      <c r="D392" s="32"/>
    </row>
    <row r="393" spans="4:4" x14ac:dyDescent="0.25">
      <c r="D393" s="32"/>
    </row>
    <row r="394" spans="4:4" x14ac:dyDescent="0.25">
      <c r="D394" s="32"/>
    </row>
    <row r="395" spans="4:4" x14ac:dyDescent="0.25">
      <c r="D395" s="32"/>
    </row>
    <row r="396" spans="4:4" x14ac:dyDescent="0.25">
      <c r="D396" s="32"/>
    </row>
    <row r="397" spans="4:4" x14ac:dyDescent="0.25">
      <c r="D397" s="32"/>
    </row>
    <row r="398" spans="4:4" x14ac:dyDescent="0.25">
      <c r="D398" s="32"/>
    </row>
    <row r="399" spans="4:4" x14ac:dyDescent="0.25">
      <c r="D399" s="32"/>
    </row>
    <row r="400" spans="4:4" x14ac:dyDescent="0.25">
      <c r="D400" s="32"/>
    </row>
    <row r="401" spans="4:4" x14ac:dyDescent="0.25">
      <c r="D401" s="32"/>
    </row>
    <row r="402" spans="4:4" x14ac:dyDescent="0.25">
      <c r="D402" s="32"/>
    </row>
    <row r="403" spans="4:4" x14ac:dyDescent="0.25">
      <c r="D403" s="32"/>
    </row>
    <row r="404" spans="4:4" x14ac:dyDescent="0.25">
      <c r="D404" s="32"/>
    </row>
    <row r="405" spans="4:4" x14ac:dyDescent="0.25">
      <c r="D405" s="32"/>
    </row>
    <row r="406" spans="4:4" x14ac:dyDescent="0.25">
      <c r="D406" s="32"/>
    </row>
    <row r="407" spans="4:4" x14ac:dyDescent="0.25">
      <c r="D407" s="32"/>
    </row>
    <row r="408" spans="4:4" x14ac:dyDescent="0.25">
      <c r="D408" s="32"/>
    </row>
    <row r="409" spans="4:4" x14ac:dyDescent="0.25">
      <c r="D409" s="32"/>
    </row>
    <row r="410" spans="4:4" x14ac:dyDescent="0.25">
      <c r="D410" s="32"/>
    </row>
    <row r="411" spans="4:4" x14ac:dyDescent="0.25">
      <c r="D411" s="32"/>
    </row>
    <row r="412" spans="4:4" x14ac:dyDescent="0.25">
      <c r="D412" s="32"/>
    </row>
    <row r="413" spans="4:4" x14ac:dyDescent="0.25">
      <c r="D413" s="32"/>
    </row>
    <row r="414" spans="4:4" x14ac:dyDescent="0.25">
      <c r="D414" s="32"/>
    </row>
    <row r="415" spans="4:4" x14ac:dyDescent="0.25">
      <c r="D415" s="32"/>
    </row>
    <row r="416" spans="4:4" x14ac:dyDescent="0.25">
      <c r="D416" s="32"/>
    </row>
    <row r="417" spans="4:4" x14ac:dyDescent="0.25">
      <c r="D417" s="32"/>
    </row>
    <row r="418" spans="4:4" x14ac:dyDescent="0.25">
      <c r="D418" s="32"/>
    </row>
    <row r="419" spans="4:4" x14ac:dyDescent="0.25">
      <c r="D419" s="32"/>
    </row>
    <row r="420" spans="4:4" x14ac:dyDescent="0.25">
      <c r="D420" s="32"/>
    </row>
    <row r="421" spans="4:4" x14ac:dyDescent="0.25">
      <c r="D421" s="32"/>
    </row>
    <row r="422" spans="4:4" x14ac:dyDescent="0.25">
      <c r="D422" s="32"/>
    </row>
    <row r="423" spans="4:4" x14ac:dyDescent="0.25">
      <c r="D423" s="32"/>
    </row>
    <row r="424" spans="4:4" x14ac:dyDescent="0.25">
      <c r="D424" s="32"/>
    </row>
    <row r="425" spans="4:4" x14ac:dyDescent="0.25">
      <c r="D425" s="32"/>
    </row>
    <row r="426" spans="4:4" x14ac:dyDescent="0.25">
      <c r="D426" s="32"/>
    </row>
    <row r="427" spans="4:4" x14ac:dyDescent="0.25">
      <c r="D427" s="32"/>
    </row>
    <row r="428" spans="4:4" x14ac:dyDescent="0.25">
      <c r="D428" s="32"/>
    </row>
    <row r="429" spans="4:4" x14ac:dyDescent="0.25">
      <c r="D429" s="32"/>
    </row>
    <row r="430" spans="4:4" x14ac:dyDescent="0.25">
      <c r="D430" s="32"/>
    </row>
    <row r="431" spans="4:4" x14ac:dyDescent="0.25">
      <c r="D431" s="32"/>
    </row>
    <row r="432" spans="4:4" x14ac:dyDescent="0.25">
      <c r="D432" s="32"/>
    </row>
    <row r="433" spans="4:4" x14ac:dyDescent="0.25">
      <c r="D433" s="32"/>
    </row>
    <row r="434" spans="4:4" x14ac:dyDescent="0.25">
      <c r="D434" s="32"/>
    </row>
    <row r="435" spans="4:4" x14ac:dyDescent="0.25">
      <c r="D435" s="32"/>
    </row>
    <row r="436" spans="4:4" x14ac:dyDescent="0.25">
      <c r="D436" s="32"/>
    </row>
    <row r="437" spans="4:4" x14ac:dyDescent="0.25">
      <c r="D437" s="32"/>
    </row>
    <row r="438" spans="4:4" x14ac:dyDescent="0.25">
      <c r="D438" s="32"/>
    </row>
    <row r="439" spans="4:4" x14ac:dyDescent="0.25">
      <c r="D439" s="32"/>
    </row>
    <row r="440" spans="4:4" x14ac:dyDescent="0.25">
      <c r="D440" s="32"/>
    </row>
    <row r="441" spans="4:4" x14ac:dyDescent="0.25">
      <c r="D441" s="32"/>
    </row>
    <row r="442" spans="4:4" x14ac:dyDescent="0.25">
      <c r="D442" s="32"/>
    </row>
    <row r="443" spans="4:4" x14ac:dyDescent="0.25">
      <c r="D443" s="32"/>
    </row>
    <row r="444" spans="4:4" x14ac:dyDescent="0.25">
      <c r="D444" s="32"/>
    </row>
    <row r="445" spans="4:4" x14ac:dyDescent="0.25">
      <c r="D445" s="32"/>
    </row>
    <row r="446" spans="4:4" x14ac:dyDescent="0.25">
      <c r="D446" s="32"/>
    </row>
    <row r="447" spans="4:4" x14ac:dyDescent="0.25">
      <c r="D447" s="32"/>
    </row>
    <row r="448" spans="4:4" x14ac:dyDescent="0.25">
      <c r="D448" s="32"/>
    </row>
    <row r="449" spans="4:4" x14ac:dyDescent="0.25">
      <c r="D449" s="32"/>
    </row>
    <row r="450" spans="4:4" x14ac:dyDescent="0.25">
      <c r="D450" s="32"/>
    </row>
    <row r="451" spans="4:4" x14ac:dyDescent="0.25">
      <c r="D451" s="32"/>
    </row>
    <row r="452" spans="4:4" x14ac:dyDescent="0.25">
      <c r="D452" s="32"/>
    </row>
    <row r="453" spans="4:4" x14ac:dyDescent="0.25">
      <c r="D453" s="32"/>
    </row>
    <row r="454" spans="4:4" x14ac:dyDescent="0.25">
      <c r="D454" s="32"/>
    </row>
    <row r="455" spans="4:4" x14ac:dyDescent="0.25">
      <c r="D455" s="32"/>
    </row>
    <row r="456" spans="4:4" x14ac:dyDescent="0.25">
      <c r="D456" s="32"/>
    </row>
    <row r="457" spans="4:4" x14ac:dyDescent="0.25">
      <c r="D457" s="32"/>
    </row>
    <row r="458" spans="4:4" x14ac:dyDescent="0.25">
      <c r="D458" s="32"/>
    </row>
    <row r="459" spans="4:4" x14ac:dyDescent="0.25">
      <c r="D459" s="32"/>
    </row>
    <row r="460" spans="4:4" x14ac:dyDescent="0.25">
      <c r="D460" s="32"/>
    </row>
    <row r="461" spans="4:4" x14ac:dyDescent="0.25">
      <c r="D461" s="32"/>
    </row>
    <row r="462" spans="4:4" x14ac:dyDescent="0.25">
      <c r="D462" s="32"/>
    </row>
    <row r="463" spans="4:4" x14ac:dyDescent="0.25">
      <c r="D463" s="32"/>
    </row>
    <row r="464" spans="4:4" x14ac:dyDescent="0.25">
      <c r="D464" s="32"/>
    </row>
    <row r="465" spans="4:4" x14ac:dyDescent="0.25">
      <c r="D465" s="32"/>
    </row>
    <row r="466" spans="4:4" x14ac:dyDescent="0.25">
      <c r="D466" s="32"/>
    </row>
    <row r="467" spans="4:4" x14ac:dyDescent="0.25">
      <c r="D467" s="32"/>
    </row>
    <row r="468" spans="4:4" x14ac:dyDescent="0.25">
      <c r="D468" s="32"/>
    </row>
    <row r="469" spans="4:4" x14ac:dyDescent="0.25">
      <c r="D469" s="32"/>
    </row>
    <row r="470" spans="4:4" x14ac:dyDescent="0.25">
      <c r="D470" s="32"/>
    </row>
    <row r="471" spans="4:4" x14ac:dyDescent="0.25">
      <c r="D471" s="32"/>
    </row>
    <row r="472" spans="4:4" x14ac:dyDescent="0.25">
      <c r="D472" s="32"/>
    </row>
    <row r="473" spans="4:4" x14ac:dyDescent="0.25">
      <c r="D473" s="32"/>
    </row>
    <row r="474" spans="4:4" x14ac:dyDescent="0.25">
      <c r="D474" s="32"/>
    </row>
    <row r="475" spans="4:4" x14ac:dyDescent="0.25">
      <c r="D475" s="32"/>
    </row>
    <row r="476" spans="4:4" x14ac:dyDescent="0.25">
      <c r="D476" s="32"/>
    </row>
    <row r="477" spans="4:4" x14ac:dyDescent="0.25">
      <c r="D477" s="32"/>
    </row>
    <row r="478" spans="4:4" x14ac:dyDescent="0.25">
      <c r="D478" s="32"/>
    </row>
    <row r="479" spans="4:4" x14ac:dyDescent="0.25">
      <c r="D479" s="32"/>
    </row>
    <row r="480" spans="4:4" x14ac:dyDescent="0.25">
      <c r="D480" s="32"/>
    </row>
    <row r="481" spans="4:4" x14ac:dyDescent="0.25">
      <c r="D481" s="32"/>
    </row>
    <row r="482" spans="4:4" x14ac:dyDescent="0.25">
      <c r="D482" s="32"/>
    </row>
    <row r="483" spans="4:4" x14ac:dyDescent="0.25">
      <c r="D483" s="32"/>
    </row>
    <row r="484" spans="4:4" x14ac:dyDescent="0.25">
      <c r="D484" s="32"/>
    </row>
    <row r="485" spans="4:4" x14ac:dyDescent="0.25">
      <c r="D485" s="32"/>
    </row>
    <row r="486" spans="4:4" x14ac:dyDescent="0.25">
      <c r="D486" s="32"/>
    </row>
    <row r="487" spans="4:4" x14ac:dyDescent="0.25">
      <c r="D487" s="32"/>
    </row>
    <row r="488" spans="4:4" x14ac:dyDescent="0.25">
      <c r="D488" s="32"/>
    </row>
    <row r="489" spans="4:4" x14ac:dyDescent="0.25">
      <c r="D489" s="32"/>
    </row>
    <row r="490" spans="4:4" x14ac:dyDescent="0.25">
      <c r="D490" s="32"/>
    </row>
    <row r="491" spans="4:4" x14ac:dyDescent="0.25">
      <c r="D491" s="32"/>
    </row>
    <row r="492" spans="4:4" x14ac:dyDescent="0.25">
      <c r="D492" s="32"/>
    </row>
    <row r="493" spans="4:4" x14ac:dyDescent="0.25">
      <c r="D493" s="32"/>
    </row>
    <row r="494" spans="4:4" x14ac:dyDescent="0.25">
      <c r="D494" s="32"/>
    </row>
    <row r="495" spans="4:4" x14ac:dyDescent="0.25">
      <c r="D495" s="32"/>
    </row>
    <row r="496" spans="4:4" x14ac:dyDescent="0.25">
      <c r="D496" s="32"/>
    </row>
    <row r="497" spans="4:4" x14ac:dyDescent="0.25">
      <c r="D497" s="32"/>
    </row>
    <row r="498" spans="4:4" x14ac:dyDescent="0.25">
      <c r="D498" s="32"/>
    </row>
    <row r="499" spans="4:4" x14ac:dyDescent="0.25">
      <c r="D499" s="32"/>
    </row>
    <row r="500" spans="4:4" x14ac:dyDescent="0.25">
      <c r="D500" s="32"/>
    </row>
    <row r="501" spans="4:4" x14ac:dyDescent="0.25">
      <c r="D501" s="32"/>
    </row>
    <row r="502" spans="4:4" x14ac:dyDescent="0.25">
      <c r="D502" s="32"/>
    </row>
    <row r="503" spans="4:4" x14ac:dyDescent="0.25">
      <c r="D503" s="32"/>
    </row>
    <row r="504" spans="4:4" x14ac:dyDescent="0.25">
      <c r="D504" s="32"/>
    </row>
    <row r="505" spans="4:4" x14ac:dyDescent="0.25">
      <c r="D505" s="32"/>
    </row>
    <row r="506" spans="4:4" x14ac:dyDescent="0.25">
      <c r="D506" s="32"/>
    </row>
    <row r="507" spans="4:4" x14ac:dyDescent="0.25">
      <c r="D507" s="32"/>
    </row>
    <row r="508" spans="4:4" x14ac:dyDescent="0.25">
      <c r="D508" s="32"/>
    </row>
    <row r="509" spans="4:4" x14ac:dyDescent="0.25">
      <c r="D509" s="32"/>
    </row>
    <row r="510" spans="4:4" x14ac:dyDescent="0.25">
      <c r="D510" s="32"/>
    </row>
    <row r="511" spans="4:4" x14ac:dyDescent="0.25">
      <c r="D511" s="32"/>
    </row>
    <row r="512" spans="4:4" x14ac:dyDescent="0.25">
      <c r="D512" s="32"/>
    </row>
    <row r="513" spans="4:4" x14ac:dyDescent="0.25">
      <c r="D513" s="32"/>
    </row>
    <row r="514" spans="4:4" x14ac:dyDescent="0.25">
      <c r="D514" s="32"/>
    </row>
    <row r="515" spans="4:4" x14ac:dyDescent="0.25">
      <c r="D515" s="32"/>
    </row>
    <row r="516" spans="4:4" x14ac:dyDescent="0.25">
      <c r="D516" s="32"/>
    </row>
    <row r="517" spans="4:4" x14ac:dyDescent="0.25">
      <c r="D517" s="32"/>
    </row>
    <row r="518" spans="4:4" x14ac:dyDescent="0.25">
      <c r="D518" s="32"/>
    </row>
    <row r="519" spans="4:4" x14ac:dyDescent="0.25">
      <c r="D519" s="32"/>
    </row>
    <row r="520" spans="4:4" x14ac:dyDescent="0.25">
      <c r="D520" s="32"/>
    </row>
    <row r="521" spans="4:4" x14ac:dyDescent="0.25">
      <c r="D521" s="32"/>
    </row>
    <row r="522" spans="4:4" x14ac:dyDescent="0.25">
      <c r="D522" s="32"/>
    </row>
    <row r="523" spans="4:4" x14ac:dyDescent="0.25">
      <c r="D523" s="32"/>
    </row>
    <row r="524" spans="4:4" x14ac:dyDescent="0.25">
      <c r="D524" s="32"/>
    </row>
    <row r="525" spans="4:4" x14ac:dyDescent="0.25">
      <c r="D525" s="32"/>
    </row>
    <row r="526" spans="4:4" x14ac:dyDescent="0.25">
      <c r="D526" s="32"/>
    </row>
    <row r="527" spans="4:4" x14ac:dyDescent="0.25">
      <c r="D527" s="32"/>
    </row>
    <row r="528" spans="4:4" x14ac:dyDescent="0.25">
      <c r="D528" s="32"/>
    </row>
    <row r="529" spans="4:4" x14ac:dyDescent="0.25">
      <c r="D529" s="32"/>
    </row>
    <row r="530" spans="4:4" x14ac:dyDescent="0.25">
      <c r="D530" s="32"/>
    </row>
    <row r="531" spans="4:4" x14ac:dyDescent="0.25">
      <c r="D531" s="32"/>
    </row>
    <row r="532" spans="4:4" x14ac:dyDescent="0.25">
      <c r="D532" s="32"/>
    </row>
    <row r="533" spans="4:4" x14ac:dyDescent="0.25">
      <c r="D533" s="32"/>
    </row>
    <row r="534" spans="4:4" x14ac:dyDescent="0.25">
      <c r="D534" s="32"/>
    </row>
    <row r="535" spans="4:4" x14ac:dyDescent="0.25">
      <c r="D535" s="32"/>
    </row>
    <row r="536" spans="4:4" x14ac:dyDescent="0.25">
      <c r="D536" s="32"/>
    </row>
    <row r="537" spans="4:4" x14ac:dyDescent="0.25">
      <c r="D537" s="32"/>
    </row>
    <row r="538" spans="4:4" x14ac:dyDescent="0.25">
      <c r="D538" s="32"/>
    </row>
    <row r="539" spans="4:4" x14ac:dyDescent="0.25">
      <c r="D539" s="32"/>
    </row>
    <row r="540" spans="4:4" x14ac:dyDescent="0.25">
      <c r="D540" s="32"/>
    </row>
    <row r="541" spans="4:4" x14ac:dyDescent="0.25">
      <c r="D541" s="32"/>
    </row>
    <row r="542" spans="4:4" x14ac:dyDescent="0.25">
      <c r="D542" s="32"/>
    </row>
    <row r="543" spans="4:4" x14ac:dyDescent="0.25">
      <c r="D543" s="32"/>
    </row>
    <row r="544" spans="4:4" x14ac:dyDescent="0.25">
      <c r="D544" s="32"/>
    </row>
    <row r="545" spans="4:4" x14ac:dyDescent="0.25">
      <c r="D545" s="32"/>
    </row>
    <row r="546" spans="4:4" x14ac:dyDescent="0.25">
      <c r="D546" s="32"/>
    </row>
    <row r="547" spans="4:4" x14ac:dyDescent="0.25">
      <c r="D547" s="32"/>
    </row>
    <row r="548" spans="4:4" x14ac:dyDescent="0.25">
      <c r="D548" s="32"/>
    </row>
    <row r="549" spans="4:4" x14ac:dyDescent="0.25">
      <c r="D549" s="32"/>
    </row>
    <row r="550" spans="4:4" x14ac:dyDescent="0.25">
      <c r="D550" s="32"/>
    </row>
    <row r="551" spans="4:4" x14ac:dyDescent="0.25">
      <c r="D551" s="32"/>
    </row>
    <row r="552" spans="4:4" x14ac:dyDescent="0.25">
      <c r="D552" s="32"/>
    </row>
    <row r="553" spans="4:4" x14ac:dyDescent="0.25">
      <c r="D553" s="32"/>
    </row>
    <row r="554" spans="4:4" x14ac:dyDescent="0.25">
      <c r="D554" s="32"/>
    </row>
    <row r="555" spans="4:4" x14ac:dyDescent="0.25">
      <c r="D555" s="32"/>
    </row>
    <row r="556" spans="4:4" x14ac:dyDescent="0.25">
      <c r="D556" s="32"/>
    </row>
    <row r="557" spans="4:4" x14ac:dyDescent="0.25">
      <c r="D557" s="32"/>
    </row>
    <row r="558" spans="4:4" x14ac:dyDescent="0.25">
      <c r="D558" s="32"/>
    </row>
    <row r="559" spans="4:4" x14ac:dyDescent="0.25">
      <c r="D559" s="32"/>
    </row>
    <row r="560" spans="4:4" x14ac:dyDescent="0.25">
      <c r="D560" s="32"/>
    </row>
    <row r="561" spans="4:4" x14ac:dyDescent="0.25">
      <c r="D561" s="32"/>
    </row>
    <row r="562" spans="4:4" x14ac:dyDescent="0.25">
      <c r="D562" s="32"/>
    </row>
    <row r="563" spans="4:4" x14ac:dyDescent="0.25">
      <c r="D563" s="32"/>
    </row>
    <row r="564" spans="4:4" x14ac:dyDescent="0.25">
      <c r="D564" s="32"/>
    </row>
    <row r="565" spans="4:4" x14ac:dyDescent="0.25">
      <c r="D565" s="32"/>
    </row>
    <row r="566" spans="4:4" x14ac:dyDescent="0.25">
      <c r="D566" s="32"/>
    </row>
    <row r="567" spans="4:4" x14ac:dyDescent="0.25">
      <c r="D567" s="32"/>
    </row>
    <row r="568" spans="4:4" x14ac:dyDescent="0.25">
      <c r="D568" s="32"/>
    </row>
    <row r="569" spans="4:4" x14ac:dyDescent="0.25">
      <c r="D569" s="32"/>
    </row>
    <row r="570" spans="4:4" x14ac:dyDescent="0.25">
      <c r="D570" s="32"/>
    </row>
    <row r="571" spans="4:4" x14ac:dyDescent="0.25">
      <c r="D571" s="32"/>
    </row>
    <row r="572" spans="4:4" x14ac:dyDescent="0.25">
      <c r="D572" s="32"/>
    </row>
    <row r="573" spans="4:4" x14ac:dyDescent="0.25">
      <c r="D573" s="32"/>
    </row>
    <row r="574" spans="4:4" x14ac:dyDescent="0.25">
      <c r="D574" s="32"/>
    </row>
    <row r="575" spans="4:4" x14ac:dyDescent="0.25">
      <c r="D575" s="32"/>
    </row>
    <row r="576" spans="4:4" x14ac:dyDescent="0.25">
      <c r="D576" s="32"/>
    </row>
    <row r="577" spans="4:4" x14ac:dyDescent="0.25">
      <c r="D577" s="32"/>
    </row>
    <row r="578" spans="4:4" x14ac:dyDescent="0.25">
      <c r="D578" s="32"/>
    </row>
    <row r="579" spans="4:4" x14ac:dyDescent="0.25">
      <c r="D579" s="32"/>
    </row>
    <row r="580" spans="4:4" x14ac:dyDescent="0.25">
      <c r="D580" s="32"/>
    </row>
    <row r="581" spans="4:4" x14ac:dyDescent="0.25">
      <c r="D581" s="32"/>
    </row>
    <row r="582" spans="4:4" x14ac:dyDescent="0.25">
      <c r="D582" s="32"/>
    </row>
    <row r="583" spans="4:4" x14ac:dyDescent="0.25">
      <c r="D583" s="32"/>
    </row>
    <row r="584" spans="4:4" x14ac:dyDescent="0.25">
      <c r="D584" s="32"/>
    </row>
    <row r="585" spans="4:4" x14ac:dyDescent="0.25">
      <c r="D585" s="32"/>
    </row>
    <row r="586" spans="4:4" x14ac:dyDescent="0.25">
      <c r="D586" s="32"/>
    </row>
    <row r="587" spans="4:4" x14ac:dyDescent="0.25">
      <c r="D587" s="32"/>
    </row>
    <row r="588" spans="4:4" x14ac:dyDescent="0.25">
      <c r="D588" s="32"/>
    </row>
    <row r="589" spans="4:4" x14ac:dyDescent="0.25">
      <c r="D589" s="32"/>
    </row>
    <row r="590" spans="4:4" x14ac:dyDescent="0.25">
      <c r="D590" s="32"/>
    </row>
    <row r="591" spans="4:4" x14ac:dyDescent="0.25">
      <c r="D591" s="32"/>
    </row>
    <row r="592" spans="4:4" x14ac:dyDescent="0.25">
      <c r="D592" s="32"/>
    </row>
    <row r="593" spans="4:4" x14ac:dyDescent="0.25">
      <c r="D593" s="32"/>
    </row>
    <row r="594" spans="4:4" x14ac:dyDescent="0.25">
      <c r="D594" s="32"/>
    </row>
    <row r="595" spans="4:4" x14ac:dyDescent="0.25">
      <c r="D595" s="32"/>
    </row>
    <row r="596" spans="4:4" x14ac:dyDescent="0.25">
      <c r="D596" s="32"/>
    </row>
    <row r="597" spans="4:4" x14ac:dyDescent="0.25">
      <c r="D597" s="32"/>
    </row>
    <row r="598" spans="4:4" x14ac:dyDescent="0.25">
      <c r="D598" s="32"/>
    </row>
    <row r="599" spans="4:4" x14ac:dyDescent="0.25">
      <c r="D599" s="32"/>
    </row>
    <row r="600" spans="4:4" x14ac:dyDescent="0.25">
      <c r="D600" s="32"/>
    </row>
    <row r="601" spans="4:4" x14ac:dyDescent="0.25">
      <c r="D601" s="32"/>
    </row>
    <row r="602" spans="4:4" x14ac:dyDescent="0.25">
      <c r="D602" s="32"/>
    </row>
    <row r="603" spans="4:4" x14ac:dyDescent="0.25">
      <c r="D603" s="32"/>
    </row>
    <row r="604" spans="4:4" x14ac:dyDescent="0.25">
      <c r="D604" s="32"/>
    </row>
    <row r="605" spans="4:4" x14ac:dyDescent="0.25">
      <c r="D605" s="32"/>
    </row>
    <row r="606" spans="4:4" x14ac:dyDescent="0.25">
      <c r="D606" s="32"/>
    </row>
    <row r="607" spans="4:4" x14ac:dyDescent="0.25">
      <c r="D607" s="32"/>
    </row>
    <row r="608" spans="4:4" x14ac:dyDescent="0.25">
      <c r="D608" s="32"/>
    </row>
    <row r="609" spans="4:4" x14ac:dyDescent="0.25">
      <c r="D609" s="32"/>
    </row>
    <row r="610" spans="4:4" x14ac:dyDescent="0.25">
      <c r="D610" s="32"/>
    </row>
    <row r="611" spans="4:4" x14ac:dyDescent="0.25">
      <c r="D611" s="32"/>
    </row>
    <row r="612" spans="4:4" x14ac:dyDescent="0.25">
      <c r="D612" s="32"/>
    </row>
    <row r="613" spans="4:4" x14ac:dyDescent="0.25">
      <c r="D613" s="32"/>
    </row>
    <row r="614" spans="4:4" x14ac:dyDescent="0.25">
      <c r="D614" s="32"/>
    </row>
    <row r="615" spans="4:4" x14ac:dyDescent="0.25">
      <c r="D615" s="32"/>
    </row>
    <row r="616" spans="4:4" x14ac:dyDescent="0.25">
      <c r="D616" s="32"/>
    </row>
    <row r="617" spans="4:4" x14ac:dyDescent="0.25">
      <c r="D617" s="32"/>
    </row>
    <row r="618" spans="4:4" x14ac:dyDescent="0.25">
      <c r="D618" s="32"/>
    </row>
    <row r="619" spans="4:4" x14ac:dyDescent="0.25">
      <c r="D619" s="32"/>
    </row>
    <row r="620" spans="4:4" x14ac:dyDescent="0.25">
      <c r="D620" s="32"/>
    </row>
    <row r="621" spans="4:4" x14ac:dyDescent="0.25">
      <c r="D621" s="32"/>
    </row>
    <row r="622" spans="4:4" x14ac:dyDescent="0.25">
      <c r="D622" s="32"/>
    </row>
    <row r="623" spans="4:4" x14ac:dyDescent="0.25">
      <c r="D623" s="32"/>
    </row>
    <row r="624" spans="4:4" x14ac:dyDescent="0.25">
      <c r="D624" s="32"/>
    </row>
    <row r="625" spans="4:4" x14ac:dyDescent="0.25">
      <c r="D625" s="32"/>
    </row>
    <row r="626" spans="4:4" x14ac:dyDescent="0.25">
      <c r="D626" s="32"/>
    </row>
    <row r="627" spans="4:4" x14ac:dyDescent="0.25">
      <c r="D627" s="32"/>
    </row>
    <row r="628" spans="4:4" x14ac:dyDescent="0.25">
      <c r="D628" s="32"/>
    </row>
    <row r="629" spans="4:4" x14ac:dyDescent="0.25">
      <c r="D629" s="32"/>
    </row>
    <row r="630" spans="4:4" x14ac:dyDescent="0.25">
      <c r="D630" s="32"/>
    </row>
    <row r="631" spans="4:4" x14ac:dyDescent="0.25">
      <c r="D631" s="32"/>
    </row>
    <row r="632" spans="4:4" x14ac:dyDescent="0.25">
      <c r="D632" s="32"/>
    </row>
    <row r="633" spans="4:4" x14ac:dyDescent="0.25">
      <c r="D633" s="32"/>
    </row>
    <row r="634" spans="4:4" x14ac:dyDescent="0.25">
      <c r="D634" s="32"/>
    </row>
    <row r="635" spans="4:4" x14ac:dyDescent="0.25">
      <c r="D635" s="32"/>
    </row>
    <row r="636" spans="4:4" x14ac:dyDescent="0.25">
      <c r="D636" s="32"/>
    </row>
    <row r="637" spans="4:4" x14ac:dyDescent="0.25">
      <c r="D637" s="32"/>
    </row>
    <row r="638" spans="4:4" x14ac:dyDescent="0.25">
      <c r="D638" s="32"/>
    </row>
    <row r="639" spans="4:4" x14ac:dyDescent="0.25">
      <c r="D639" s="32"/>
    </row>
    <row r="640" spans="4:4" x14ac:dyDescent="0.25">
      <c r="D640" s="32"/>
    </row>
    <row r="641" spans="4:4" x14ac:dyDescent="0.25">
      <c r="D641" s="32"/>
    </row>
    <row r="642" spans="4:4" x14ac:dyDescent="0.25">
      <c r="D642" s="32"/>
    </row>
    <row r="643" spans="4:4" x14ac:dyDescent="0.25">
      <c r="D643" s="32"/>
    </row>
    <row r="644" spans="4:4" x14ac:dyDescent="0.25">
      <c r="D644" s="32"/>
    </row>
    <row r="645" spans="4:4" x14ac:dyDescent="0.25">
      <c r="D645" s="32"/>
    </row>
    <row r="646" spans="4:4" x14ac:dyDescent="0.25">
      <c r="D646" s="32"/>
    </row>
    <row r="647" spans="4:4" x14ac:dyDescent="0.25">
      <c r="D647" s="32"/>
    </row>
    <row r="648" spans="4:4" x14ac:dyDescent="0.25">
      <c r="D648" s="32"/>
    </row>
    <row r="649" spans="4:4" x14ac:dyDescent="0.25">
      <c r="D649" s="32"/>
    </row>
    <row r="650" spans="4:4" x14ac:dyDescent="0.25">
      <c r="D650" s="32"/>
    </row>
    <row r="651" spans="4:4" x14ac:dyDescent="0.25">
      <c r="D651" s="32"/>
    </row>
    <row r="652" spans="4:4" x14ac:dyDescent="0.25">
      <c r="D652" s="32"/>
    </row>
    <row r="653" spans="4:4" x14ac:dyDescent="0.25">
      <c r="D653" s="32"/>
    </row>
    <row r="654" spans="4:4" x14ac:dyDescent="0.25">
      <c r="D654" s="32"/>
    </row>
    <row r="655" spans="4:4" x14ac:dyDescent="0.25">
      <c r="D655" s="32"/>
    </row>
    <row r="656" spans="4:4" x14ac:dyDescent="0.25">
      <c r="D656" s="32"/>
    </row>
    <row r="657" spans="4:4" x14ac:dyDescent="0.25">
      <c r="D657" s="32"/>
    </row>
    <row r="658" spans="4:4" x14ac:dyDescent="0.25">
      <c r="D658" s="32"/>
    </row>
    <row r="659" spans="4:4" x14ac:dyDescent="0.25">
      <c r="D659" s="32"/>
    </row>
    <row r="660" spans="4:4" x14ac:dyDescent="0.25">
      <c r="D660" s="32"/>
    </row>
    <row r="661" spans="4:4" x14ac:dyDescent="0.25">
      <c r="D661" s="32"/>
    </row>
    <row r="662" spans="4:4" x14ac:dyDescent="0.25">
      <c r="D662" s="32"/>
    </row>
    <row r="663" spans="4:4" x14ac:dyDescent="0.25">
      <c r="D663" s="32"/>
    </row>
    <row r="664" spans="4:4" x14ac:dyDescent="0.25">
      <c r="D664" s="32"/>
    </row>
    <row r="665" spans="4:4" x14ac:dyDescent="0.25">
      <c r="D665" s="32"/>
    </row>
    <row r="666" spans="4:4" x14ac:dyDescent="0.25">
      <c r="D666" s="32"/>
    </row>
    <row r="667" spans="4:4" x14ac:dyDescent="0.25">
      <c r="D667" s="32"/>
    </row>
    <row r="668" spans="4:4" x14ac:dyDescent="0.25">
      <c r="D668" s="32"/>
    </row>
    <row r="669" spans="4:4" x14ac:dyDescent="0.25">
      <c r="D669" s="32"/>
    </row>
    <row r="670" spans="4:4" x14ac:dyDescent="0.25">
      <c r="D670" s="32"/>
    </row>
    <row r="671" spans="4:4" x14ac:dyDescent="0.25">
      <c r="D671" s="32"/>
    </row>
    <row r="672" spans="4:4" x14ac:dyDescent="0.25">
      <c r="D672" s="32"/>
    </row>
    <row r="673" spans="4:4" x14ac:dyDescent="0.25">
      <c r="D673" s="32"/>
    </row>
    <row r="674" spans="4:4" x14ac:dyDescent="0.25">
      <c r="D674" s="32"/>
    </row>
    <row r="675" spans="4:4" x14ac:dyDescent="0.25">
      <c r="D675" s="32"/>
    </row>
    <row r="676" spans="4:4" x14ac:dyDescent="0.25">
      <c r="D676" s="32"/>
    </row>
    <row r="677" spans="4:4" x14ac:dyDescent="0.25">
      <c r="D677" s="32"/>
    </row>
    <row r="678" spans="4:4" x14ac:dyDescent="0.25">
      <c r="D678" s="32"/>
    </row>
    <row r="679" spans="4:4" x14ac:dyDescent="0.25">
      <c r="D679" s="32"/>
    </row>
    <row r="680" spans="4:4" x14ac:dyDescent="0.25">
      <c r="D680" s="32"/>
    </row>
    <row r="681" spans="4:4" x14ac:dyDescent="0.25">
      <c r="D681" s="32"/>
    </row>
    <row r="682" spans="4:4" x14ac:dyDescent="0.25">
      <c r="D682" s="32"/>
    </row>
    <row r="683" spans="4:4" x14ac:dyDescent="0.25">
      <c r="D683" s="32"/>
    </row>
    <row r="684" spans="4:4" x14ac:dyDescent="0.25">
      <c r="D684" s="32"/>
    </row>
    <row r="685" spans="4:4" x14ac:dyDescent="0.25">
      <c r="D685" s="32"/>
    </row>
    <row r="686" spans="4:4" x14ac:dyDescent="0.25">
      <c r="D686" s="32"/>
    </row>
    <row r="687" spans="4:4" x14ac:dyDescent="0.25">
      <c r="D687" s="32"/>
    </row>
    <row r="688" spans="4:4" x14ac:dyDescent="0.25">
      <c r="D688" s="32"/>
    </row>
    <row r="689" spans="4:4" x14ac:dyDescent="0.25">
      <c r="D689" s="32"/>
    </row>
    <row r="690" spans="4:4" x14ac:dyDescent="0.25">
      <c r="D690" s="32"/>
    </row>
    <row r="691" spans="4:4" x14ac:dyDescent="0.25">
      <c r="D691" s="32"/>
    </row>
    <row r="692" spans="4:4" x14ac:dyDescent="0.25">
      <c r="D692" s="32"/>
    </row>
    <row r="693" spans="4:4" x14ac:dyDescent="0.25">
      <c r="D693" s="32"/>
    </row>
    <row r="694" spans="4:4" x14ac:dyDescent="0.25">
      <c r="D694" s="32"/>
    </row>
    <row r="695" spans="4:4" x14ac:dyDescent="0.25">
      <c r="D695" s="32"/>
    </row>
    <row r="696" spans="4:4" x14ac:dyDescent="0.25">
      <c r="D696" s="32"/>
    </row>
    <row r="697" spans="4:4" x14ac:dyDescent="0.25">
      <c r="D697" s="32"/>
    </row>
    <row r="698" spans="4:4" x14ac:dyDescent="0.25">
      <c r="D698" s="32"/>
    </row>
    <row r="699" spans="4:4" x14ac:dyDescent="0.25">
      <c r="D699" s="32"/>
    </row>
    <row r="700" spans="4:4" x14ac:dyDescent="0.25">
      <c r="D700" s="32"/>
    </row>
    <row r="701" spans="4:4" x14ac:dyDescent="0.25">
      <c r="D701" s="32"/>
    </row>
    <row r="702" spans="4:4" x14ac:dyDescent="0.25">
      <c r="D702" s="32"/>
    </row>
    <row r="703" spans="4:4" x14ac:dyDescent="0.25">
      <c r="D703" s="32"/>
    </row>
    <row r="704" spans="4:4" x14ac:dyDescent="0.25">
      <c r="D704" s="32"/>
    </row>
    <row r="705" spans="4:4" x14ac:dyDescent="0.25">
      <c r="D705" s="32"/>
    </row>
    <row r="706" spans="4:4" x14ac:dyDescent="0.25">
      <c r="D706" s="32"/>
    </row>
    <row r="707" spans="4:4" x14ac:dyDescent="0.25">
      <c r="D707" s="32"/>
    </row>
    <row r="708" spans="4:4" x14ac:dyDescent="0.25">
      <c r="D708" s="32"/>
    </row>
    <row r="709" spans="4:4" x14ac:dyDescent="0.25">
      <c r="D709" s="32"/>
    </row>
    <row r="710" spans="4:4" x14ac:dyDescent="0.25">
      <c r="D710" s="32"/>
    </row>
    <row r="711" spans="4:4" x14ac:dyDescent="0.25">
      <c r="D711" s="32"/>
    </row>
    <row r="712" spans="4:4" x14ac:dyDescent="0.25">
      <c r="D712" s="32"/>
    </row>
    <row r="713" spans="4:4" x14ac:dyDescent="0.25">
      <c r="D713" s="32"/>
    </row>
    <row r="714" spans="4:4" x14ac:dyDescent="0.25">
      <c r="D714" s="32"/>
    </row>
    <row r="715" spans="4:4" x14ac:dyDescent="0.25">
      <c r="D715" s="32"/>
    </row>
    <row r="716" spans="4:4" x14ac:dyDescent="0.25">
      <c r="D716" s="32"/>
    </row>
    <row r="717" spans="4:4" x14ac:dyDescent="0.25">
      <c r="D717" s="32"/>
    </row>
    <row r="718" spans="4:4" x14ac:dyDescent="0.25">
      <c r="D718" s="32"/>
    </row>
    <row r="719" spans="4:4" x14ac:dyDescent="0.25">
      <c r="D719" s="32"/>
    </row>
    <row r="720" spans="4:4" x14ac:dyDescent="0.25">
      <c r="D720" s="32"/>
    </row>
    <row r="721" spans="4:4" x14ac:dyDescent="0.25">
      <c r="D721" s="32"/>
    </row>
    <row r="722" spans="4:4" x14ac:dyDescent="0.25">
      <c r="D722" s="32"/>
    </row>
    <row r="723" spans="4:4" x14ac:dyDescent="0.25">
      <c r="D723" s="32"/>
    </row>
    <row r="724" spans="4:4" x14ac:dyDescent="0.25">
      <c r="D724" s="32"/>
    </row>
    <row r="725" spans="4:4" x14ac:dyDescent="0.25">
      <c r="D725" s="32"/>
    </row>
    <row r="726" spans="4:4" x14ac:dyDescent="0.25">
      <c r="D726" s="32"/>
    </row>
    <row r="727" spans="4:4" x14ac:dyDescent="0.25">
      <c r="D727" s="32"/>
    </row>
    <row r="728" spans="4:4" x14ac:dyDescent="0.25">
      <c r="D728" s="32"/>
    </row>
    <row r="729" spans="4:4" x14ac:dyDescent="0.25">
      <c r="D729" s="32"/>
    </row>
    <row r="730" spans="4:4" x14ac:dyDescent="0.25">
      <c r="D730" s="32"/>
    </row>
    <row r="731" spans="4:4" x14ac:dyDescent="0.25">
      <c r="D731" s="32"/>
    </row>
    <row r="732" spans="4:4" x14ac:dyDescent="0.25">
      <c r="D732" s="32"/>
    </row>
    <row r="733" spans="4:4" x14ac:dyDescent="0.25">
      <c r="D733" s="32"/>
    </row>
    <row r="734" spans="4:4" x14ac:dyDescent="0.25">
      <c r="D734" s="32"/>
    </row>
    <row r="735" spans="4:4" x14ac:dyDescent="0.25">
      <c r="D735" s="32"/>
    </row>
    <row r="736" spans="4:4" x14ac:dyDescent="0.25">
      <c r="D736" s="32"/>
    </row>
    <row r="737" spans="4:4" x14ac:dyDescent="0.25">
      <c r="D737" s="32"/>
    </row>
    <row r="738" spans="4:4" x14ac:dyDescent="0.25">
      <c r="D738" s="32"/>
    </row>
    <row r="739" spans="4:4" x14ac:dyDescent="0.25">
      <c r="D739" s="3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A1:F29"/>
  <sheetViews>
    <sheetView showGridLines="0" workbookViewId="0">
      <pane ySplit="1" topLeftCell="A2" activePane="bottomLeft" state="frozen"/>
      <selection pane="bottomLeft" activeCell="C15" sqref="C15:C17"/>
    </sheetView>
  </sheetViews>
  <sheetFormatPr defaultColWidth="31.44140625" defaultRowHeight="15" x14ac:dyDescent="0.35"/>
  <cols>
    <col min="1" max="1" width="16" style="53" customWidth="1"/>
    <col min="2" max="2" width="65" style="35" customWidth="1"/>
    <col min="3" max="3" width="55.33203125" style="35" customWidth="1"/>
    <col min="4" max="16384" width="31.44140625" style="35"/>
  </cols>
  <sheetData>
    <row r="1" spans="1:6" ht="15.6" thickBot="1" x14ac:dyDescent="0.4">
      <c r="A1" s="47" t="s">
        <v>33</v>
      </c>
      <c r="B1" s="47" t="s">
        <v>34</v>
      </c>
      <c r="C1" s="47" t="s">
        <v>35</v>
      </c>
    </row>
    <row r="2" spans="1:6" ht="15.6" thickBot="1" x14ac:dyDescent="0.4">
      <c r="A2" s="51">
        <v>1245150017</v>
      </c>
      <c r="B2" s="36" t="s">
        <v>36</v>
      </c>
      <c r="C2" s="36"/>
    </row>
    <row r="3" spans="1:6" ht="30.6" thickBot="1" x14ac:dyDescent="0.4">
      <c r="A3" s="52">
        <v>1245150017</v>
      </c>
      <c r="B3" s="38" t="s">
        <v>37</v>
      </c>
      <c r="C3" s="36"/>
      <c r="D3" s="39"/>
    </row>
    <row r="4" spans="1:6" ht="15.6" thickBot="1" x14ac:dyDescent="0.4">
      <c r="A4" s="52">
        <v>1151132005</v>
      </c>
      <c r="B4" s="37" t="s">
        <v>38</v>
      </c>
      <c r="C4" s="38"/>
      <c r="D4" s="39"/>
    </row>
    <row r="5" spans="1:6" x14ac:dyDescent="0.35">
      <c r="A5" s="172">
        <v>1535100000</v>
      </c>
      <c r="B5" s="40" t="s">
        <v>39</v>
      </c>
      <c r="C5" s="175"/>
    </row>
    <row r="6" spans="1:6" x14ac:dyDescent="0.35">
      <c r="A6" s="173"/>
      <c r="B6" s="40" t="s">
        <v>40</v>
      </c>
      <c r="C6" s="176"/>
    </row>
    <row r="7" spans="1:6" ht="15.6" thickBot="1" x14ac:dyDescent="0.4">
      <c r="A7" s="174"/>
      <c r="B7" s="41" t="s">
        <v>41</v>
      </c>
      <c r="C7" s="177"/>
    </row>
    <row r="8" spans="1:6" ht="30" x14ac:dyDescent="0.35">
      <c r="A8" s="172">
        <v>1535100016</v>
      </c>
      <c r="B8" s="40" t="s">
        <v>42</v>
      </c>
      <c r="C8" s="175"/>
    </row>
    <row r="9" spans="1:6" ht="15.6" thickBot="1" x14ac:dyDescent="0.4">
      <c r="A9" s="174"/>
      <c r="B9" s="41" t="s">
        <v>41</v>
      </c>
      <c r="C9" s="177"/>
    </row>
    <row r="10" spans="1:6" x14ac:dyDescent="0.35">
      <c r="A10" s="178">
        <v>1535100020</v>
      </c>
      <c r="B10" s="40" t="s">
        <v>43</v>
      </c>
      <c r="C10" s="175"/>
    </row>
    <row r="11" spans="1:6" ht="15.6" thickBot="1" x14ac:dyDescent="0.4">
      <c r="A11" s="179"/>
      <c r="B11" s="41" t="s">
        <v>41</v>
      </c>
      <c r="C11" s="177"/>
    </row>
    <row r="12" spans="1:6" x14ac:dyDescent="0.35">
      <c r="A12" s="166">
        <v>1537210004</v>
      </c>
      <c r="B12" s="42" t="s">
        <v>44</v>
      </c>
      <c r="C12" s="169"/>
    </row>
    <row r="13" spans="1:6" x14ac:dyDescent="0.35">
      <c r="A13" s="167"/>
      <c r="B13" s="43" t="s">
        <v>39</v>
      </c>
      <c r="C13" s="170"/>
    </row>
    <row r="14" spans="1:6" ht="15.6" thickBot="1" x14ac:dyDescent="0.4">
      <c r="A14" s="168"/>
      <c r="B14" s="44" t="s">
        <v>40</v>
      </c>
      <c r="C14" s="171"/>
    </row>
    <row r="15" spans="1:6" x14ac:dyDescent="0.35">
      <c r="A15" s="166">
        <v>1537210003</v>
      </c>
      <c r="B15" s="42" t="s">
        <v>44</v>
      </c>
      <c r="C15" s="169"/>
    </row>
    <row r="16" spans="1:6" ht="30" x14ac:dyDescent="0.35">
      <c r="A16" s="167"/>
      <c r="B16" s="43" t="s">
        <v>42</v>
      </c>
      <c r="C16" s="170"/>
      <c r="D16" s="45"/>
      <c r="F16" s="39"/>
    </row>
    <row r="17" spans="1:6" ht="15.6" thickBot="1" x14ac:dyDescent="0.4">
      <c r="A17" s="168"/>
      <c r="B17" s="44" t="s">
        <v>45</v>
      </c>
      <c r="C17" s="171"/>
      <c r="D17" s="45"/>
      <c r="F17" s="39"/>
    </row>
    <row r="18" spans="1:6" x14ac:dyDescent="0.35">
      <c r="A18" s="166">
        <v>1537210002</v>
      </c>
      <c r="B18" s="42" t="s">
        <v>44</v>
      </c>
      <c r="C18" s="169"/>
      <c r="D18" s="45"/>
      <c r="F18" s="39"/>
    </row>
    <row r="19" spans="1:6" x14ac:dyDescent="0.35">
      <c r="A19" s="167"/>
      <c r="B19" s="43" t="s">
        <v>43</v>
      </c>
      <c r="C19" s="170"/>
      <c r="D19" s="45"/>
    </row>
    <row r="20" spans="1:6" ht="15.6" thickBot="1" x14ac:dyDescent="0.4">
      <c r="A20" s="168"/>
      <c r="B20" s="44" t="s">
        <v>45</v>
      </c>
      <c r="C20" s="171"/>
      <c r="D20" s="45"/>
    </row>
    <row r="21" spans="1:6" x14ac:dyDescent="0.35">
      <c r="A21" s="178">
        <v>1532001800</v>
      </c>
      <c r="B21" s="48" t="s">
        <v>46</v>
      </c>
      <c r="C21" s="181"/>
      <c r="D21" s="45"/>
      <c r="E21" s="45"/>
      <c r="F21" s="45"/>
    </row>
    <row r="22" spans="1:6" x14ac:dyDescent="0.35">
      <c r="A22" s="180"/>
      <c r="B22" s="49" t="s">
        <v>47</v>
      </c>
      <c r="C22" s="182"/>
      <c r="D22" s="46"/>
      <c r="E22" s="46"/>
      <c r="F22" s="45"/>
    </row>
    <row r="23" spans="1:6" ht="15.6" thickBot="1" x14ac:dyDescent="0.4">
      <c r="A23" s="179"/>
      <c r="B23" s="50"/>
      <c r="C23" s="183"/>
      <c r="F23" s="45"/>
    </row>
    <row r="24" spans="1:6" x14ac:dyDescent="0.35">
      <c r="A24" s="178">
        <v>1534142001</v>
      </c>
      <c r="B24" s="48" t="s">
        <v>46</v>
      </c>
      <c r="C24" s="181"/>
    </row>
    <row r="25" spans="1:6" x14ac:dyDescent="0.35">
      <c r="A25" s="180"/>
      <c r="B25" s="49" t="s">
        <v>48</v>
      </c>
      <c r="C25" s="182"/>
    </row>
    <row r="26" spans="1:6" ht="15.6" thickBot="1" x14ac:dyDescent="0.4">
      <c r="A26" s="179"/>
      <c r="B26" s="50"/>
      <c r="C26" s="183"/>
    </row>
    <row r="27" spans="1:6" x14ac:dyDescent="0.35">
      <c r="A27" s="178">
        <v>1534141001</v>
      </c>
      <c r="B27" s="48" t="s">
        <v>46</v>
      </c>
      <c r="C27" s="181"/>
    </row>
    <row r="28" spans="1:6" x14ac:dyDescent="0.35">
      <c r="A28" s="180"/>
      <c r="B28" s="49" t="s">
        <v>49</v>
      </c>
      <c r="C28" s="182"/>
    </row>
    <row r="29" spans="1:6" ht="15.6" thickBot="1" x14ac:dyDescent="0.4">
      <c r="A29" s="179"/>
      <c r="B29" s="50"/>
      <c r="C29" s="183"/>
    </row>
  </sheetData>
  <autoFilter ref="A1:D29" xr:uid="{00000000-0001-0000-0600-000000000000}"/>
  <mergeCells count="18">
    <mergeCell ref="A27:A29"/>
    <mergeCell ref="C27:C29"/>
    <mergeCell ref="C21:C23"/>
    <mergeCell ref="C24:C26"/>
    <mergeCell ref="A24:A26"/>
    <mergeCell ref="A21:A23"/>
    <mergeCell ref="A5:A7"/>
    <mergeCell ref="C5:C7"/>
    <mergeCell ref="A8:A9"/>
    <mergeCell ref="C8:C9"/>
    <mergeCell ref="A10:A11"/>
    <mergeCell ref="C10:C11"/>
    <mergeCell ref="A12:A14"/>
    <mergeCell ref="C12:C14"/>
    <mergeCell ref="A15:A17"/>
    <mergeCell ref="C15:C17"/>
    <mergeCell ref="A18:A20"/>
    <mergeCell ref="C18:C2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5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J343" sqref="J343:K350"/>
    </sheetView>
  </sheetViews>
  <sheetFormatPr defaultColWidth="11.44140625" defaultRowHeight="11.4" outlineLevelCol="1" x14ac:dyDescent="0.3"/>
  <cols>
    <col min="1" max="1" width="8" style="71" customWidth="1"/>
    <col min="2" max="2" width="9.33203125" style="71" customWidth="1"/>
    <col min="3" max="3" width="37.33203125" style="60" customWidth="1"/>
    <col min="4" max="5" width="10.6640625" style="71" customWidth="1"/>
    <col min="6" max="6" width="8.6640625" style="71" customWidth="1"/>
    <col min="7" max="8" width="11.5546875" style="71" hidden="1" customWidth="1" outlineLevel="1"/>
    <col min="9" max="9" width="11.5546875" style="60" hidden="1" customWidth="1" outlineLevel="1"/>
    <col min="10" max="10" width="11.5546875" style="71" hidden="1" customWidth="1" outlineLevel="1"/>
    <col min="11" max="11" width="11.5546875" style="60" hidden="1" customWidth="1" outlineLevel="1"/>
    <col min="12" max="12" width="11.5546875" style="71" customWidth="1" collapsed="1"/>
    <col min="13" max="13" width="11.5546875" style="71" hidden="1" customWidth="1" outlineLevel="1"/>
    <col min="14" max="14" width="10.6640625" style="71" customWidth="1" collapsed="1"/>
    <col min="15" max="15" width="9.44140625" style="60" customWidth="1"/>
    <col min="16" max="16" width="10.6640625" style="71" customWidth="1"/>
    <col min="17" max="17" width="12.33203125" style="60" customWidth="1"/>
    <col min="18" max="18" width="17.33203125" style="60" bestFit="1" customWidth="1"/>
    <col min="19" max="24" width="11.5546875" style="60" customWidth="1"/>
    <col min="25" max="25" width="38.6640625" style="60" bestFit="1" customWidth="1"/>
    <col min="26" max="26" width="11.44140625" style="60"/>
    <col min="27" max="27" width="15.5546875" style="60" bestFit="1" customWidth="1"/>
    <col min="28" max="16384" width="11.44140625" style="60"/>
  </cols>
  <sheetData>
    <row r="1" spans="1:25" x14ac:dyDescent="0.3">
      <c r="S1" s="113" t="s">
        <v>3</v>
      </c>
      <c r="T1" s="113"/>
      <c r="U1" s="113" t="s">
        <v>6</v>
      </c>
      <c r="V1" s="113" t="s">
        <v>50</v>
      </c>
      <c r="W1" s="113" t="s">
        <v>12</v>
      </c>
      <c r="X1" s="113" t="s">
        <v>51</v>
      </c>
    </row>
    <row r="2" spans="1:25" ht="15" x14ac:dyDescent="0.3">
      <c r="A2" s="57" t="s">
        <v>52</v>
      </c>
      <c r="B2" s="58"/>
      <c r="C2" s="59"/>
      <c r="D2" s="58"/>
      <c r="E2" s="58"/>
      <c r="F2" s="58"/>
      <c r="G2" s="58"/>
      <c r="H2" s="58"/>
      <c r="I2" s="59"/>
      <c r="J2" s="58"/>
      <c r="K2" s="59"/>
      <c r="L2" s="82"/>
      <c r="M2" s="58"/>
      <c r="N2" s="58"/>
      <c r="O2" s="58"/>
      <c r="P2" s="58"/>
      <c r="Q2" s="58"/>
      <c r="R2" s="58"/>
      <c r="S2" s="148">
        <v>1046731535</v>
      </c>
      <c r="T2" s="114">
        <f>+S2-S3</f>
        <v>0</v>
      </c>
      <c r="U2" s="114">
        <v>0</v>
      </c>
      <c r="V2" s="114">
        <v>62822669</v>
      </c>
      <c r="W2" s="114">
        <v>31262907</v>
      </c>
      <c r="X2" s="114">
        <f>+W2-W3</f>
        <v>0</v>
      </c>
      <c r="Y2" s="78">
        <f>+X2-X3</f>
        <v>0</v>
      </c>
    </row>
    <row r="3" spans="1:25" ht="15" x14ac:dyDescent="0.3">
      <c r="A3" s="57" t="s">
        <v>53</v>
      </c>
      <c r="B3" s="58"/>
      <c r="C3" s="59"/>
      <c r="D3" s="58"/>
      <c r="E3" s="58"/>
      <c r="F3" s="58"/>
      <c r="G3" s="58"/>
      <c r="H3" s="58"/>
      <c r="I3" s="59"/>
      <c r="J3" s="58"/>
      <c r="K3" s="59"/>
      <c r="L3" s="82"/>
      <c r="M3" s="58"/>
      <c r="N3" s="58"/>
      <c r="O3" s="58"/>
      <c r="P3" s="58"/>
      <c r="Q3" s="58"/>
      <c r="R3" s="58"/>
      <c r="S3" s="148">
        <f>+SUM(S6:S174)</f>
        <v>1046731535</v>
      </c>
      <c r="T3" s="148"/>
      <c r="U3" s="148">
        <f>+SUM(U6:U174)</f>
        <v>0</v>
      </c>
      <c r="V3" s="148">
        <f>+SUM(V6:V174)</f>
        <v>62822669</v>
      </c>
      <c r="W3" s="148">
        <f>+SUM(W6:W171)</f>
        <v>31262907</v>
      </c>
      <c r="X3" s="148">
        <f>+SUM(X6:X156)</f>
        <v>0</v>
      </c>
      <c r="Y3" s="59"/>
    </row>
    <row r="4" spans="1:25" x14ac:dyDescent="0.3">
      <c r="A4" s="58"/>
      <c r="B4" s="58"/>
      <c r="C4" s="59"/>
      <c r="D4" s="58"/>
      <c r="E4" s="58" t="s">
        <v>54</v>
      </c>
      <c r="F4" s="58"/>
      <c r="G4" s="58"/>
      <c r="H4" s="58"/>
      <c r="I4" s="59"/>
      <c r="J4" s="58"/>
      <c r="K4" s="59"/>
      <c r="L4" s="82"/>
      <c r="M4" s="58"/>
      <c r="N4" s="58"/>
      <c r="O4" s="61"/>
      <c r="P4" s="79"/>
      <c r="Q4" s="79"/>
      <c r="R4" s="79"/>
      <c r="S4" s="184" t="s">
        <v>55</v>
      </c>
      <c r="T4" s="185"/>
      <c r="U4" s="185"/>
      <c r="V4" s="185"/>
      <c r="W4" s="185"/>
      <c r="X4" s="186"/>
      <c r="Y4" s="62"/>
    </row>
    <row r="5" spans="1:25" ht="34.200000000000003" x14ac:dyDescent="0.3">
      <c r="A5" s="7" t="s">
        <v>56</v>
      </c>
      <c r="B5" s="84" t="s">
        <v>57</v>
      </c>
      <c r="C5" s="7" t="s">
        <v>58</v>
      </c>
      <c r="D5" s="7" t="s">
        <v>59</v>
      </c>
      <c r="E5" s="7" t="s">
        <v>60</v>
      </c>
      <c r="F5" s="7" t="s">
        <v>61</v>
      </c>
      <c r="G5" s="7" t="s">
        <v>62</v>
      </c>
      <c r="H5" s="7" t="s">
        <v>63</v>
      </c>
      <c r="I5" s="7" t="s">
        <v>64</v>
      </c>
      <c r="J5" s="7" t="s">
        <v>65</v>
      </c>
      <c r="K5" s="7" t="s">
        <v>66</v>
      </c>
      <c r="L5" s="7" t="s">
        <v>67</v>
      </c>
      <c r="M5" s="7" t="s">
        <v>68</v>
      </c>
      <c r="N5" s="7" t="s">
        <v>69</v>
      </c>
      <c r="O5" s="81" t="s">
        <v>70</v>
      </c>
      <c r="P5" s="75" t="s">
        <v>71</v>
      </c>
      <c r="Q5" s="76" t="s">
        <v>72</v>
      </c>
      <c r="R5" s="15" t="s">
        <v>73</v>
      </c>
      <c r="S5" s="8" t="s">
        <v>4</v>
      </c>
      <c r="T5" s="74" t="s">
        <v>74</v>
      </c>
      <c r="U5" s="8" t="s">
        <v>7</v>
      </c>
      <c r="V5" s="8" t="s">
        <v>10</v>
      </c>
      <c r="W5" s="8" t="s">
        <v>75</v>
      </c>
      <c r="X5" s="8" t="s">
        <v>19</v>
      </c>
      <c r="Y5" s="8" t="s">
        <v>76</v>
      </c>
    </row>
    <row r="6" spans="1:25" x14ac:dyDescent="0.3">
      <c r="A6" s="63" t="s">
        <v>77</v>
      </c>
      <c r="B6" s="104" t="s">
        <v>78</v>
      </c>
      <c r="C6" s="65" t="s">
        <v>79</v>
      </c>
      <c r="D6" s="64">
        <v>45449</v>
      </c>
      <c r="E6" s="64">
        <v>46543</v>
      </c>
      <c r="F6" s="63" t="s">
        <v>80</v>
      </c>
      <c r="G6" s="63"/>
      <c r="H6" s="63"/>
      <c r="I6" s="65"/>
      <c r="J6" s="63"/>
      <c r="K6" s="63"/>
      <c r="L6" s="63"/>
      <c r="M6" s="64"/>
      <c r="N6" s="64">
        <v>45503</v>
      </c>
      <c r="O6" s="82" t="s">
        <v>81</v>
      </c>
      <c r="P6" s="64" t="s">
        <v>82</v>
      </c>
      <c r="Q6" s="64" t="s">
        <v>83</v>
      </c>
      <c r="R6" s="58" t="s">
        <v>84</v>
      </c>
      <c r="S6" s="187">
        <v>4203206</v>
      </c>
      <c r="T6" s="188">
        <v>111.85001177520927</v>
      </c>
      <c r="U6" s="30">
        <v>0</v>
      </c>
      <c r="V6" s="30">
        <v>0</v>
      </c>
      <c r="W6" s="30">
        <v>0</v>
      </c>
      <c r="X6" s="30">
        <v>0</v>
      </c>
      <c r="Y6" s="90" t="s">
        <v>85</v>
      </c>
    </row>
    <row r="7" spans="1:25" x14ac:dyDescent="0.3">
      <c r="A7" s="63" t="s">
        <v>77</v>
      </c>
      <c r="B7" s="104" t="s">
        <v>78</v>
      </c>
      <c r="C7" s="65" t="s">
        <v>79</v>
      </c>
      <c r="D7" s="64">
        <v>45449</v>
      </c>
      <c r="E7" s="64">
        <v>46543</v>
      </c>
      <c r="F7" s="63" t="s">
        <v>80</v>
      </c>
      <c r="G7" s="63"/>
      <c r="H7" s="63"/>
      <c r="I7" s="65"/>
      <c r="J7" s="63"/>
      <c r="K7" s="63"/>
      <c r="L7" s="63"/>
      <c r="M7" s="64"/>
      <c r="N7" s="64">
        <v>45503</v>
      </c>
      <c r="O7" s="82" t="s">
        <v>86</v>
      </c>
      <c r="P7" s="64" t="s">
        <v>82</v>
      </c>
      <c r="Q7" s="64" t="s">
        <v>83</v>
      </c>
      <c r="R7" s="58" t="s">
        <v>84</v>
      </c>
      <c r="S7" s="187"/>
      <c r="T7" s="188"/>
      <c r="U7" s="30">
        <v>0</v>
      </c>
      <c r="V7" s="30">
        <v>0</v>
      </c>
      <c r="W7" s="30">
        <v>0</v>
      </c>
      <c r="X7" s="30">
        <v>0</v>
      </c>
      <c r="Y7" s="90" t="s">
        <v>85</v>
      </c>
    </row>
    <row r="8" spans="1:25" x14ac:dyDescent="0.3">
      <c r="A8" s="63" t="s">
        <v>77</v>
      </c>
      <c r="B8" s="104" t="s">
        <v>78</v>
      </c>
      <c r="C8" s="65" t="s">
        <v>79</v>
      </c>
      <c r="D8" s="64">
        <v>45449</v>
      </c>
      <c r="E8" s="64">
        <v>46543</v>
      </c>
      <c r="F8" s="63" t="s">
        <v>80</v>
      </c>
      <c r="G8" s="63"/>
      <c r="H8" s="63"/>
      <c r="I8" s="65"/>
      <c r="J8" s="63"/>
      <c r="K8" s="63"/>
      <c r="L8" s="63"/>
      <c r="M8" s="64"/>
      <c r="N8" s="64">
        <v>45503</v>
      </c>
      <c r="O8" s="82" t="s">
        <v>87</v>
      </c>
      <c r="P8" s="64" t="s">
        <v>82</v>
      </c>
      <c r="Q8" s="64" t="s">
        <v>83</v>
      </c>
      <c r="R8" s="58" t="s">
        <v>84</v>
      </c>
      <c r="S8" s="187"/>
      <c r="T8" s="188"/>
      <c r="U8" s="30">
        <v>0</v>
      </c>
      <c r="V8" s="30">
        <v>0</v>
      </c>
      <c r="W8" s="30">
        <v>0</v>
      </c>
      <c r="X8" s="30">
        <v>0</v>
      </c>
      <c r="Y8" s="90" t="s">
        <v>85</v>
      </c>
    </row>
    <row r="9" spans="1:25" x14ac:dyDescent="0.3">
      <c r="A9" s="63" t="s">
        <v>77</v>
      </c>
      <c r="B9" s="104" t="s">
        <v>88</v>
      </c>
      <c r="C9" s="65" t="s">
        <v>79</v>
      </c>
      <c r="D9" s="64">
        <v>45767</v>
      </c>
      <c r="E9" s="64">
        <v>46131</v>
      </c>
      <c r="F9" s="63" t="s">
        <v>80</v>
      </c>
      <c r="G9" s="63"/>
      <c r="H9" s="63"/>
      <c r="I9" s="65"/>
      <c r="J9" s="63"/>
      <c r="K9" s="63"/>
      <c r="L9" s="63" t="s">
        <v>89</v>
      </c>
      <c r="M9" s="64"/>
      <c r="N9" s="64">
        <v>45775</v>
      </c>
      <c r="O9" s="82" t="s">
        <v>90</v>
      </c>
      <c r="P9" s="64" t="s">
        <v>82</v>
      </c>
      <c r="Q9" s="64" t="s">
        <v>83</v>
      </c>
      <c r="R9" s="58" t="s">
        <v>84</v>
      </c>
      <c r="S9" s="30">
        <v>1074965</v>
      </c>
      <c r="T9" s="142">
        <v>27.51</v>
      </c>
      <c r="U9" s="30">
        <v>0</v>
      </c>
      <c r="V9" s="30">
        <v>0</v>
      </c>
      <c r="W9" s="30">
        <v>0</v>
      </c>
      <c r="X9" s="30">
        <v>0</v>
      </c>
      <c r="Y9" s="90"/>
    </row>
    <row r="10" spans="1:25" x14ac:dyDescent="0.3">
      <c r="A10" s="63" t="s">
        <v>77</v>
      </c>
      <c r="B10" s="104" t="s">
        <v>91</v>
      </c>
      <c r="C10" s="65" t="s">
        <v>79</v>
      </c>
      <c r="D10" s="64">
        <v>45769</v>
      </c>
      <c r="E10" s="64">
        <v>46864</v>
      </c>
      <c r="F10" s="63" t="s">
        <v>80</v>
      </c>
      <c r="G10" s="63"/>
      <c r="H10" s="63"/>
      <c r="I10" s="65"/>
      <c r="J10" s="63"/>
      <c r="K10" s="63"/>
      <c r="L10" s="63" t="s">
        <v>92</v>
      </c>
      <c r="M10" s="64"/>
      <c r="N10" s="64">
        <v>45805</v>
      </c>
      <c r="O10" s="82" t="s">
        <v>93</v>
      </c>
      <c r="P10" s="64" t="s">
        <v>82</v>
      </c>
      <c r="Q10" s="64" t="s">
        <v>83</v>
      </c>
      <c r="R10" s="58" t="s">
        <v>84</v>
      </c>
      <c r="S10" s="30">
        <v>1399847</v>
      </c>
      <c r="T10" s="142"/>
      <c r="U10" s="30">
        <v>0</v>
      </c>
      <c r="V10" s="30">
        <v>0</v>
      </c>
      <c r="W10" s="30">
        <v>0</v>
      </c>
      <c r="X10" s="30">
        <v>0</v>
      </c>
      <c r="Y10" s="90"/>
    </row>
    <row r="11" spans="1:25" x14ac:dyDescent="0.3">
      <c r="A11" s="63" t="s">
        <v>77</v>
      </c>
      <c r="B11" s="104" t="s">
        <v>94</v>
      </c>
      <c r="C11" s="65" t="s">
        <v>79</v>
      </c>
      <c r="D11" s="64">
        <v>45764</v>
      </c>
      <c r="E11" s="64">
        <v>46859</v>
      </c>
      <c r="F11" s="63" t="s">
        <v>80</v>
      </c>
      <c r="G11" s="63"/>
      <c r="H11" s="63"/>
      <c r="I11" s="65"/>
      <c r="J11" s="63"/>
      <c r="K11" s="63"/>
      <c r="L11" s="63" t="s">
        <v>89</v>
      </c>
      <c r="M11" s="64"/>
      <c r="N11" s="64">
        <v>45805</v>
      </c>
      <c r="O11" s="82" t="s">
        <v>95</v>
      </c>
      <c r="P11" s="64" t="s">
        <v>82</v>
      </c>
      <c r="Q11" s="64" t="s">
        <v>83</v>
      </c>
      <c r="R11" s="58" t="s">
        <v>84</v>
      </c>
      <c r="S11" s="30">
        <v>1198805</v>
      </c>
      <c r="T11" s="142"/>
      <c r="U11" s="30">
        <v>0</v>
      </c>
      <c r="V11" s="30">
        <v>0</v>
      </c>
      <c r="W11" s="30">
        <v>0</v>
      </c>
      <c r="X11" s="30">
        <v>0</v>
      </c>
      <c r="Y11" s="90"/>
    </row>
    <row r="12" spans="1:25" x14ac:dyDescent="0.3">
      <c r="A12" s="63" t="s">
        <v>77</v>
      </c>
      <c r="B12" s="104" t="s">
        <v>96</v>
      </c>
      <c r="C12" s="65" t="s">
        <v>79</v>
      </c>
      <c r="D12" s="64">
        <v>45787</v>
      </c>
      <c r="E12" s="64">
        <v>46882</v>
      </c>
      <c r="F12" s="63" t="s">
        <v>80</v>
      </c>
      <c r="G12" s="63"/>
      <c r="H12" s="63"/>
      <c r="I12" s="65"/>
      <c r="J12" s="63"/>
      <c r="K12" s="63"/>
      <c r="L12" s="63" t="s">
        <v>89</v>
      </c>
      <c r="M12" s="64"/>
      <c r="N12" s="64">
        <v>45805</v>
      </c>
      <c r="O12" s="82" t="s">
        <v>97</v>
      </c>
      <c r="P12" s="64" t="s">
        <v>82</v>
      </c>
      <c r="Q12" s="64" t="s">
        <v>83</v>
      </c>
      <c r="R12" s="58" t="s">
        <v>84</v>
      </c>
      <c r="S12" s="30">
        <v>1340671</v>
      </c>
      <c r="T12" s="142"/>
      <c r="U12" s="30">
        <v>0</v>
      </c>
      <c r="V12" s="30">
        <v>0</v>
      </c>
      <c r="W12" s="30">
        <v>0</v>
      </c>
      <c r="X12" s="30">
        <v>0</v>
      </c>
      <c r="Y12" s="90"/>
    </row>
    <row r="13" spans="1:25" x14ac:dyDescent="0.3">
      <c r="A13" s="63" t="s">
        <v>77</v>
      </c>
      <c r="B13" s="104" t="s">
        <v>98</v>
      </c>
      <c r="C13" s="65" t="s">
        <v>79</v>
      </c>
      <c r="D13" s="64">
        <v>45799</v>
      </c>
      <c r="E13" s="64">
        <v>46894</v>
      </c>
      <c r="F13" s="63" t="s">
        <v>80</v>
      </c>
      <c r="G13" s="63"/>
      <c r="H13" s="63"/>
      <c r="I13" s="65"/>
      <c r="J13" s="63"/>
      <c r="K13" s="63"/>
      <c r="L13" s="63" t="s">
        <v>89</v>
      </c>
      <c r="M13" s="64"/>
      <c r="N13" s="64">
        <v>45805</v>
      </c>
      <c r="O13" s="82" t="s">
        <v>99</v>
      </c>
      <c r="P13" s="64" t="s">
        <v>82</v>
      </c>
      <c r="Q13" s="64" t="s">
        <v>83</v>
      </c>
      <c r="R13" s="58" t="s">
        <v>84</v>
      </c>
      <c r="S13" s="30">
        <v>1454320</v>
      </c>
      <c r="T13" s="142">
        <v>37.11</v>
      </c>
      <c r="U13" s="30">
        <v>0</v>
      </c>
      <c r="V13" s="30">
        <v>0</v>
      </c>
      <c r="W13" s="30">
        <v>0</v>
      </c>
      <c r="X13" s="30">
        <v>0</v>
      </c>
      <c r="Y13" s="90"/>
    </row>
    <row r="14" spans="1:25" x14ac:dyDescent="0.3">
      <c r="A14" s="63" t="s">
        <v>77</v>
      </c>
      <c r="B14" s="104" t="s">
        <v>103</v>
      </c>
      <c r="C14" s="65" t="s">
        <v>79</v>
      </c>
      <c r="D14" s="64">
        <v>45855</v>
      </c>
      <c r="E14" s="64">
        <v>46950</v>
      </c>
      <c r="F14" s="63" t="s">
        <v>80</v>
      </c>
      <c r="G14" s="63"/>
      <c r="H14" s="63"/>
      <c r="I14" s="65"/>
      <c r="J14" s="63"/>
      <c r="K14" s="63"/>
      <c r="L14" s="63" t="s">
        <v>92</v>
      </c>
      <c r="M14" s="64"/>
      <c r="N14" s="64">
        <v>45862</v>
      </c>
      <c r="O14" s="82" t="s">
        <v>102</v>
      </c>
      <c r="P14" s="64" t="s">
        <v>82</v>
      </c>
      <c r="Q14" s="64" t="s">
        <v>83</v>
      </c>
      <c r="R14" s="58" t="s">
        <v>84</v>
      </c>
      <c r="S14" s="30">
        <v>1403392</v>
      </c>
      <c r="T14" s="142">
        <v>35.82</v>
      </c>
      <c r="U14" s="30">
        <v>0</v>
      </c>
      <c r="V14" s="30">
        <v>0</v>
      </c>
      <c r="W14" s="30">
        <v>0</v>
      </c>
      <c r="X14" s="30">
        <v>0</v>
      </c>
      <c r="Y14" s="90"/>
    </row>
    <row r="15" spans="1:25" x14ac:dyDescent="0.3">
      <c r="A15" s="63" t="s">
        <v>77</v>
      </c>
      <c r="B15" s="104" t="s">
        <v>104</v>
      </c>
      <c r="C15" s="65" t="s">
        <v>79</v>
      </c>
      <c r="D15" s="64">
        <v>45860</v>
      </c>
      <c r="E15" s="64">
        <v>46955</v>
      </c>
      <c r="F15" s="63" t="s">
        <v>80</v>
      </c>
      <c r="G15" s="63"/>
      <c r="H15" s="63"/>
      <c r="I15" s="65"/>
      <c r="J15" s="63"/>
      <c r="K15" s="63"/>
      <c r="L15" s="63" t="s">
        <v>92</v>
      </c>
      <c r="M15" s="64"/>
      <c r="N15" s="64">
        <v>45862</v>
      </c>
      <c r="O15" s="82" t="s">
        <v>105</v>
      </c>
      <c r="P15" s="64" t="s">
        <v>82</v>
      </c>
      <c r="Q15" s="64" t="s">
        <v>83</v>
      </c>
      <c r="R15" s="58" t="s">
        <v>84</v>
      </c>
      <c r="S15" s="30">
        <v>2186581</v>
      </c>
      <c r="T15" s="142">
        <v>55.81</v>
      </c>
      <c r="U15" s="30">
        <v>0</v>
      </c>
      <c r="V15" s="30">
        <v>0</v>
      </c>
      <c r="W15" s="30">
        <v>0</v>
      </c>
      <c r="X15" s="30">
        <v>0</v>
      </c>
      <c r="Y15" s="90"/>
    </row>
    <row r="16" spans="1:25" x14ac:dyDescent="0.3">
      <c r="A16" s="63" t="s">
        <v>77</v>
      </c>
      <c r="B16" s="104" t="s">
        <v>106</v>
      </c>
      <c r="C16" s="65" t="s">
        <v>79</v>
      </c>
      <c r="D16" s="64">
        <v>45833</v>
      </c>
      <c r="E16" s="64">
        <v>46928</v>
      </c>
      <c r="F16" s="63" t="s">
        <v>80</v>
      </c>
      <c r="G16" s="63"/>
      <c r="H16" s="63"/>
      <c r="I16" s="65"/>
      <c r="J16" s="63"/>
      <c r="K16" s="63"/>
      <c r="L16" s="63" t="s">
        <v>92</v>
      </c>
      <c r="M16" s="64"/>
      <c r="N16" s="64">
        <v>45862</v>
      </c>
      <c r="O16" s="82" t="s">
        <v>107</v>
      </c>
      <c r="P16" s="64" t="s">
        <v>82</v>
      </c>
      <c r="Q16" s="64" t="s">
        <v>83</v>
      </c>
      <c r="R16" s="58" t="s">
        <v>84</v>
      </c>
      <c r="S16" s="30">
        <v>1032367</v>
      </c>
      <c r="T16" s="142">
        <v>26.35</v>
      </c>
      <c r="U16" s="30">
        <v>0</v>
      </c>
      <c r="V16" s="30">
        <v>0</v>
      </c>
      <c r="W16" s="30">
        <v>0</v>
      </c>
      <c r="X16" s="30">
        <v>0</v>
      </c>
      <c r="Y16" s="90"/>
    </row>
    <row r="17" spans="1:26" x14ac:dyDescent="0.3">
      <c r="A17" s="63" t="s">
        <v>77</v>
      </c>
      <c r="B17" s="104" t="s">
        <v>108</v>
      </c>
      <c r="C17" s="65" t="s">
        <v>109</v>
      </c>
      <c r="D17" s="64">
        <v>42899</v>
      </c>
      <c r="E17" s="64">
        <v>47282</v>
      </c>
      <c r="F17" s="63" t="s">
        <v>80</v>
      </c>
      <c r="G17" s="63" t="s">
        <v>110</v>
      </c>
      <c r="H17" s="63" t="s">
        <v>111</v>
      </c>
      <c r="I17" s="65" t="s">
        <v>112</v>
      </c>
      <c r="J17" s="63" t="s">
        <v>113</v>
      </c>
      <c r="K17" s="63" t="s">
        <v>114</v>
      </c>
      <c r="L17" s="63" t="s">
        <v>115</v>
      </c>
      <c r="M17" s="63" t="s">
        <v>116</v>
      </c>
      <c r="N17" s="64">
        <v>44099</v>
      </c>
      <c r="O17" s="82" t="s">
        <v>117</v>
      </c>
      <c r="P17" s="64">
        <v>47282</v>
      </c>
      <c r="Q17" s="64" t="s">
        <v>83</v>
      </c>
      <c r="R17" s="58" t="s">
        <v>84</v>
      </c>
      <c r="S17" s="30">
        <v>9001030</v>
      </c>
      <c r="T17" s="142">
        <v>234.30001197522216</v>
      </c>
      <c r="U17" s="30">
        <v>0</v>
      </c>
      <c r="V17" s="30">
        <v>900047</v>
      </c>
      <c r="W17" s="30">
        <v>450024</v>
      </c>
      <c r="X17" s="30">
        <v>0</v>
      </c>
    </row>
    <row r="18" spans="1:26" x14ac:dyDescent="0.3">
      <c r="A18" s="63" t="s">
        <v>77</v>
      </c>
      <c r="B18" s="104" t="s">
        <v>118</v>
      </c>
      <c r="C18" s="65" t="s">
        <v>119</v>
      </c>
      <c r="D18" s="64">
        <v>42064</v>
      </c>
      <c r="E18" s="64">
        <v>46812</v>
      </c>
      <c r="F18" s="63" t="s">
        <v>80</v>
      </c>
      <c r="G18" s="63" t="s">
        <v>120</v>
      </c>
      <c r="H18" s="63" t="s">
        <v>111</v>
      </c>
      <c r="I18" s="65" t="s">
        <v>121</v>
      </c>
      <c r="J18" s="63" t="s">
        <v>113</v>
      </c>
      <c r="K18" s="63" t="s">
        <v>114</v>
      </c>
      <c r="L18" s="63" t="s">
        <v>122</v>
      </c>
      <c r="M18" s="63" t="s">
        <v>123</v>
      </c>
      <c r="N18" s="64">
        <v>44099</v>
      </c>
      <c r="O18" s="82" t="s">
        <v>124</v>
      </c>
      <c r="P18" s="64">
        <v>46812</v>
      </c>
      <c r="Q18" s="58" t="s">
        <v>83</v>
      </c>
      <c r="R18" s="58" t="s">
        <v>84</v>
      </c>
      <c r="S18" s="30">
        <v>2608339</v>
      </c>
      <c r="T18" s="142">
        <v>70</v>
      </c>
      <c r="U18" s="30">
        <v>0</v>
      </c>
      <c r="V18" s="30">
        <v>0</v>
      </c>
      <c r="W18" s="30">
        <v>0</v>
      </c>
      <c r="X18" s="30">
        <v>0</v>
      </c>
      <c r="Y18" s="90" t="s">
        <v>125</v>
      </c>
    </row>
    <row r="19" spans="1:26" x14ac:dyDescent="0.3">
      <c r="A19" s="63" t="s">
        <v>77</v>
      </c>
      <c r="B19" s="104" t="s">
        <v>1005</v>
      </c>
      <c r="C19" s="65" t="s">
        <v>1006</v>
      </c>
      <c r="D19" s="64">
        <v>42826</v>
      </c>
      <c r="E19" s="64">
        <v>46477</v>
      </c>
      <c r="F19" s="63" t="s">
        <v>80</v>
      </c>
      <c r="G19" s="63" t="s">
        <v>1007</v>
      </c>
      <c r="H19" s="63" t="s">
        <v>111</v>
      </c>
      <c r="I19" s="65" t="s">
        <v>1008</v>
      </c>
      <c r="J19" s="63" t="s">
        <v>113</v>
      </c>
      <c r="K19" s="63" t="s">
        <v>114</v>
      </c>
      <c r="L19" s="63" t="s">
        <v>1009</v>
      </c>
      <c r="M19" s="63" t="s">
        <v>174</v>
      </c>
      <c r="N19" s="64">
        <v>44099</v>
      </c>
      <c r="O19" s="82" t="s">
        <v>1010</v>
      </c>
      <c r="P19" s="64">
        <v>46477</v>
      </c>
      <c r="Q19" s="58" t="s">
        <v>83</v>
      </c>
      <c r="R19" s="58" t="s">
        <v>84</v>
      </c>
      <c r="S19" s="30">
        <v>2775051</v>
      </c>
      <c r="T19" s="142">
        <v>70</v>
      </c>
      <c r="U19" s="30">
        <v>0</v>
      </c>
      <c r="V19" s="30">
        <v>0</v>
      </c>
      <c r="W19" s="30">
        <v>0</v>
      </c>
      <c r="X19" s="30">
        <v>0</v>
      </c>
      <c r="Y19" s="59" t="s">
        <v>249</v>
      </c>
      <c r="Z19" s="145"/>
    </row>
    <row r="20" spans="1:26" x14ac:dyDescent="0.3">
      <c r="A20" s="63" t="s">
        <v>77</v>
      </c>
      <c r="B20" s="104" t="s">
        <v>134</v>
      </c>
      <c r="C20" s="65" t="s">
        <v>135</v>
      </c>
      <c r="D20" s="64">
        <v>43191</v>
      </c>
      <c r="E20" s="64">
        <v>46112</v>
      </c>
      <c r="F20" s="63" t="s">
        <v>80</v>
      </c>
      <c r="G20" s="63" t="s">
        <v>136</v>
      </c>
      <c r="H20" s="63" t="s">
        <v>111</v>
      </c>
      <c r="I20" s="65" t="s">
        <v>137</v>
      </c>
      <c r="J20" s="63" t="s">
        <v>113</v>
      </c>
      <c r="K20" s="63" t="s">
        <v>114</v>
      </c>
      <c r="L20" s="63" t="s">
        <v>138</v>
      </c>
      <c r="M20" s="63" t="s">
        <v>139</v>
      </c>
      <c r="N20" s="64">
        <v>44099</v>
      </c>
      <c r="O20" s="82" t="s">
        <v>140</v>
      </c>
      <c r="P20" s="64">
        <v>46112</v>
      </c>
      <c r="Q20" s="58" t="s">
        <v>83</v>
      </c>
      <c r="R20" s="58" t="s">
        <v>133</v>
      </c>
      <c r="S20" s="30">
        <v>2352533</v>
      </c>
      <c r="T20" s="142">
        <v>85.370016220982762</v>
      </c>
      <c r="U20" s="30">
        <v>0</v>
      </c>
      <c r="V20" s="30">
        <v>215703</v>
      </c>
      <c r="W20" s="30">
        <v>1100368</v>
      </c>
      <c r="X20" s="30">
        <v>0</v>
      </c>
      <c r="Y20" s="59"/>
    </row>
    <row r="21" spans="1:26" x14ac:dyDescent="0.3">
      <c r="A21" s="63" t="s">
        <v>77</v>
      </c>
      <c r="B21" s="104" t="s">
        <v>1064</v>
      </c>
      <c r="C21" s="65" t="s">
        <v>1065</v>
      </c>
      <c r="D21" s="64">
        <v>43009</v>
      </c>
      <c r="E21" s="64">
        <v>46691</v>
      </c>
      <c r="F21" s="63" t="s">
        <v>80</v>
      </c>
      <c r="G21" s="69" t="s">
        <v>1066</v>
      </c>
      <c r="H21" s="63" t="s">
        <v>111</v>
      </c>
      <c r="I21" s="67" t="s">
        <v>1067</v>
      </c>
      <c r="J21" s="63" t="s">
        <v>113</v>
      </c>
      <c r="K21" s="63" t="s">
        <v>114</v>
      </c>
      <c r="L21" s="63" t="s">
        <v>1068</v>
      </c>
      <c r="M21" s="63" t="s">
        <v>131</v>
      </c>
      <c r="N21" s="64">
        <v>44152</v>
      </c>
      <c r="O21" s="82" t="s">
        <v>1069</v>
      </c>
      <c r="P21" s="64">
        <v>46691</v>
      </c>
      <c r="Q21" s="58" t="s">
        <v>83</v>
      </c>
      <c r="R21" s="58" t="s">
        <v>84</v>
      </c>
      <c r="S21" s="30">
        <v>7686963</v>
      </c>
      <c r="T21" s="30">
        <v>193.49</v>
      </c>
      <c r="U21" s="30">
        <v>0</v>
      </c>
      <c r="V21" s="30">
        <v>768696</v>
      </c>
      <c r="W21" s="30">
        <v>0</v>
      </c>
      <c r="X21" s="30">
        <v>0</v>
      </c>
      <c r="Y21" s="59"/>
    </row>
    <row r="22" spans="1:26" x14ac:dyDescent="0.3">
      <c r="A22" s="63" t="s">
        <v>77</v>
      </c>
      <c r="B22" s="104" t="s">
        <v>1070</v>
      </c>
      <c r="C22" s="65" t="s">
        <v>1071</v>
      </c>
      <c r="D22" s="64">
        <v>40338</v>
      </c>
      <c r="E22" s="64">
        <v>46691</v>
      </c>
      <c r="F22" s="63" t="s">
        <v>80</v>
      </c>
      <c r="G22" s="63" t="s">
        <v>1072</v>
      </c>
      <c r="H22" s="63" t="s">
        <v>111</v>
      </c>
      <c r="I22" s="65" t="s">
        <v>1073</v>
      </c>
      <c r="J22" s="63" t="s">
        <v>113</v>
      </c>
      <c r="K22" s="63" t="s">
        <v>114</v>
      </c>
      <c r="L22" s="63" t="s">
        <v>1074</v>
      </c>
      <c r="M22" s="63" t="s">
        <v>1075</v>
      </c>
      <c r="N22" s="64">
        <v>44099</v>
      </c>
      <c r="O22" s="82" t="s">
        <v>1076</v>
      </c>
      <c r="P22" s="64">
        <v>46691</v>
      </c>
      <c r="Q22" s="58" t="s">
        <v>83</v>
      </c>
      <c r="R22" s="58" t="s">
        <v>84</v>
      </c>
      <c r="S22" s="30">
        <v>4918184</v>
      </c>
      <c r="T22" s="142">
        <v>124.06</v>
      </c>
      <c r="U22" s="30">
        <v>0</v>
      </c>
      <c r="V22" s="30">
        <v>496615</v>
      </c>
      <c r="W22" s="30">
        <v>0</v>
      </c>
      <c r="X22" s="30">
        <v>0</v>
      </c>
      <c r="Y22" s="59"/>
    </row>
    <row r="23" spans="1:26" x14ac:dyDescent="0.3">
      <c r="A23" s="63" t="s">
        <v>77</v>
      </c>
      <c r="B23" s="104" t="s">
        <v>148</v>
      </c>
      <c r="C23" s="65" t="s">
        <v>149</v>
      </c>
      <c r="D23" s="64">
        <v>41974</v>
      </c>
      <c r="E23" s="64">
        <v>46265</v>
      </c>
      <c r="F23" s="63" t="s">
        <v>80</v>
      </c>
      <c r="G23" s="63" t="s">
        <v>150</v>
      </c>
      <c r="H23" s="63" t="s">
        <v>111</v>
      </c>
      <c r="I23" s="65" t="s">
        <v>151</v>
      </c>
      <c r="J23" s="63" t="s">
        <v>113</v>
      </c>
      <c r="K23" s="63" t="s">
        <v>114</v>
      </c>
      <c r="L23" s="63" t="s">
        <v>152</v>
      </c>
      <c r="M23" s="63" t="s">
        <v>153</v>
      </c>
      <c r="N23" s="64">
        <v>44099</v>
      </c>
      <c r="O23" s="82" t="s">
        <v>154</v>
      </c>
      <c r="P23" s="64">
        <v>46265</v>
      </c>
      <c r="Q23" s="58" t="s">
        <v>83</v>
      </c>
      <c r="R23" s="58" t="s">
        <v>84</v>
      </c>
      <c r="S23" s="30">
        <v>4827748</v>
      </c>
      <c r="T23" s="142">
        <v>121.92</v>
      </c>
      <c r="U23" s="30">
        <v>0</v>
      </c>
      <c r="V23" s="30">
        <v>482775</v>
      </c>
      <c r="W23" s="30">
        <v>0</v>
      </c>
      <c r="X23" s="30">
        <v>0</v>
      </c>
      <c r="Y23" s="87" t="s">
        <v>155</v>
      </c>
      <c r="Z23" s="145"/>
    </row>
    <row r="24" spans="1:26" x14ac:dyDescent="0.3">
      <c r="A24" s="63" t="s">
        <v>77</v>
      </c>
      <c r="B24" s="104" t="s">
        <v>163</v>
      </c>
      <c r="C24" s="65" t="s">
        <v>164</v>
      </c>
      <c r="D24" s="64">
        <v>42948</v>
      </c>
      <c r="E24" s="64">
        <v>46599</v>
      </c>
      <c r="F24" s="63" t="s">
        <v>80</v>
      </c>
      <c r="G24" s="63" t="s">
        <v>165</v>
      </c>
      <c r="H24" s="63" t="s">
        <v>111</v>
      </c>
      <c r="I24" s="65" t="s">
        <v>166</v>
      </c>
      <c r="J24" s="63" t="s">
        <v>113</v>
      </c>
      <c r="K24" s="63" t="s">
        <v>114</v>
      </c>
      <c r="L24" s="63" t="s">
        <v>167</v>
      </c>
      <c r="M24" s="63" t="s">
        <v>116</v>
      </c>
      <c r="N24" s="64">
        <v>44099</v>
      </c>
      <c r="O24" s="82" t="s">
        <v>168</v>
      </c>
      <c r="P24" s="64">
        <v>46599</v>
      </c>
      <c r="Q24" s="58" t="s">
        <v>83</v>
      </c>
      <c r="R24" s="58" t="s">
        <v>84</v>
      </c>
      <c r="S24" s="30">
        <v>3764992</v>
      </c>
      <c r="T24" s="142">
        <v>101.5</v>
      </c>
      <c r="U24" s="30">
        <v>0</v>
      </c>
      <c r="V24" s="30">
        <v>0</v>
      </c>
      <c r="W24" s="30">
        <v>0</v>
      </c>
      <c r="X24" s="30">
        <v>0</v>
      </c>
      <c r="Y24" s="90" t="s">
        <v>125</v>
      </c>
    </row>
    <row r="25" spans="1:26" x14ac:dyDescent="0.3">
      <c r="A25" s="63" t="s">
        <v>77</v>
      </c>
      <c r="B25" s="104" t="s">
        <v>176</v>
      </c>
      <c r="C25" s="65" t="s">
        <v>177</v>
      </c>
      <c r="D25" s="64">
        <v>42900</v>
      </c>
      <c r="E25" s="64">
        <v>46551</v>
      </c>
      <c r="F25" s="63" t="s">
        <v>80</v>
      </c>
      <c r="G25" s="63" t="s">
        <v>178</v>
      </c>
      <c r="H25" s="63" t="s">
        <v>111</v>
      </c>
      <c r="I25" s="65" t="s">
        <v>179</v>
      </c>
      <c r="J25" s="63" t="s">
        <v>113</v>
      </c>
      <c r="K25" s="63" t="s">
        <v>114</v>
      </c>
      <c r="L25" s="63" t="s">
        <v>180</v>
      </c>
      <c r="M25" s="63" t="s">
        <v>131</v>
      </c>
      <c r="N25" s="64">
        <v>44099</v>
      </c>
      <c r="O25" s="82" t="s">
        <v>181</v>
      </c>
      <c r="P25" s="64">
        <v>46551</v>
      </c>
      <c r="Q25" s="58" t="s">
        <v>83</v>
      </c>
      <c r="R25" s="58" t="s">
        <v>84</v>
      </c>
      <c r="S25" s="30">
        <v>13736339</v>
      </c>
      <c r="T25" s="142">
        <v>397</v>
      </c>
      <c r="U25" s="30">
        <v>0</v>
      </c>
      <c r="V25" s="30">
        <v>1432896</v>
      </c>
      <c r="W25" s="30">
        <v>0</v>
      </c>
      <c r="X25" s="30">
        <v>0</v>
      </c>
      <c r="Y25" s="59"/>
    </row>
    <row r="26" spans="1:26" x14ac:dyDescent="0.3">
      <c r="A26" s="63" t="s">
        <v>77</v>
      </c>
      <c r="B26" s="104" t="s">
        <v>182</v>
      </c>
      <c r="C26" s="65" t="s">
        <v>183</v>
      </c>
      <c r="D26" s="64">
        <v>43282</v>
      </c>
      <c r="E26" s="64">
        <v>46934</v>
      </c>
      <c r="F26" s="63" t="s">
        <v>80</v>
      </c>
      <c r="G26" s="63" t="s">
        <v>184</v>
      </c>
      <c r="H26" s="63" t="s">
        <v>111</v>
      </c>
      <c r="I26" s="65" t="s">
        <v>185</v>
      </c>
      <c r="J26" s="63" t="s">
        <v>113</v>
      </c>
      <c r="K26" s="63" t="s">
        <v>114</v>
      </c>
      <c r="L26" s="63" t="s">
        <v>186</v>
      </c>
      <c r="M26" s="63" t="s">
        <v>131</v>
      </c>
      <c r="N26" s="64">
        <v>44099</v>
      </c>
      <c r="O26" s="82" t="s">
        <v>187</v>
      </c>
      <c r="P26" s="64">
        <v>46934</v>
      </c>
      <c r="Q26" s="58" t="s">
        <v>83</v>
      </c>
      <c r="R26" s="58" t="s">
        <v>84</v>
      </c>
      <c r="S26" s="30">
        <v>17483789</v>
      </c>
      <c r="T26" s="142">
        <v>485</v>
      </c>
      <c r="U26" s="30">
        <v>0</v>
      </c>
      <c r="V26" s="30">
        <v>0</v>
      </c>
      <c r="W26" s="30">
        <v>0</v>
      </c>
      <c r="X26" s="30">
        <v>0</v>
      </c>
      <c r="Y26" s="59"/>
    </row>
    <row r="27" spans="1:26" x14ac:dyDescent="0.3">
      <c r="A27" s="63" t="s">
        <v>77</v>
      </c>
      <c r="B27" s="104" t="s">
        <v>188</v>
      </c>
      <c r="C27" s="65" t="s">
        <v>189</v>
      </c>
      <c r="D27" s="64">
        <v>42095</v>
      </c>
      <c r="E27" s="64">
        <v>46477</v>
      </c>
      <c r="F27" s="63" t="s">
        <v>80</v>
      </c>
      <c r="G27" s="63" t="s">
        <v>190</v>
      </c>
      <c r="H27" s="63" t="s">
        <v>111</v>
      </c>
      <c r="I27" s="65" t="s">
        <v>191</v>
      </c>
      <c r="J27" s="63" t="s">
        <v>113</v>
      </c>
      <c r="K27" s="63" t="s">
        <v>114</v>
      </c>
      <c r="L27" s="63" t="s">
        <v>192</v>
      </c>
      <c r="M27" s="63" t="s">
        <v>139</v>
      </c>
      <c r="N27" s="64">
        <v>44167</v>
      </c>
      <c r="O27" s="82" t="s">
        <v>193</v>
      </c>
      <c r="P27" s="64">
        <v>46477</v>
      </c>
      <c r="Q27" s="58" t="s">
        <v>83</v>
      </c>
      <c r="R27" s="58" t="s">
        <v>84</v>
      </c>
      <c r="S27" s="30">
        <v>6485920</v>
      </c>
      <c r="T27" s="142">
        <v>180</v>
      </c>
      <c r="U27" s="30">
        <v>0</v>
      </c>
      <c r="V27" s="30">
        <v>0</v>
      </c>
      <c r="W27" s="30">
        <v>0</v>
      </c>
      <c r="X27" s="30">
        <v>0</v>
      </c>
      <c r="Y27" s="59"/>
    </row>
    <row r="28" spans="1:26" x14ac:dyDescent="0.3">
      <c r="A28" s="63" t="s">
        <v>77</v>
      </c>
      <c r="B28" s="104" t="s">
        <v>200</v>
      </c>
      <c r="C28" s="65" t="s">
        <v>201</v>
      </c>
      <c r="D28" s="64">
        <v>42461</v>
      </c>
      <c r="E28" s="64">
        <v>46477</v>
      </c>
      <c r="F28" s="63" t="s">
        <v>80</v>
      </c>
      <c r="G28" s="63" t="s">
        <v>202</v>
      </c>
      <c r="H28" s="63" t="s">
        <v>111</v>
      </c>
      <c r="I28" s="65" t="s">
        <v>203</v>
      </c>
      <c r="J28" s="63" t="s">
        <v>113</v>
      </c>
      <c r="K28" s="63" t="s">
        <v>114</v>
      </c>
      <c r="L28" s="63" t="s">
        <v>204</v>
      </c>
      <c r="M28" s="63" t="s">
        <v>174</v>
      </c>
      <c r="N28" s="64">
        <v>44099</v>
      </c>
      <c r="O28" s="82" t="s">
        <v>205</v>
      </c>
      <c r="P28" s="64">
        <v>46477</v>
      </c>
      <c r="Q28" s="58" t="s">
        <v>83</v>
      </c>
      <c r="R28" s="58" t="s">
        <v>84</v>
      </c>
      <c r="S28" s="30">
        <v>2964467</v>
      </c>
      <c r="T28" s="30">
        <v>80.7</v>
      </c>
      <c r="U28" s="30">
        <v>0</v>
      </c>
      <c r="V28" s="30">
        <v>0</v>
      </c>
      <c r="W28" s="30">
        <v>0</v>
      </c>
      <c r="X28" s="30">
        <v>0</v>
      </c>
      <c r="Y28" s="90" t="s">
        <v>125</v>
      </c>
    </row>
    <row r="29" spans="1:26" x14ac:dyDescent="0.3">
      <c r="A29" s="63" t="s">
        <v>77</v>
      </c>
      <c r="B29" s="104" t="s">
        <v>206</v>
      </c>
      <c r="C29" s="65" t="s">
        <v>207</v>
      </c>
      <c r="D29" s="64">
        <v>43054</v>
      </c>
      <c r="E29" s="64">
        <v>47436</v>
      </c>
      <c r="F29" s="63" t="s">
        <v>80</v>
      </c>
      <c r="G29" s="63" t="s">
        <v>208</v>
      </c>
      <c r="H29" s="63" t="s">
        <v>111</v>
      </c>
      <c r="I29" s="65" t="s">
        <v>209</v>
      </c>
      <c r="J29" s="63" t="s">
        <v>113</v>
      </c>
      <c r="K29" s="63" t="s">
        <v>114</v>
      </c>
      <c r="L29" s="63" t="s">
        <v>210</v>
      </c>
      <c r="M29" s="63" t="s">
        <v>139</v>
      </c>
      <c r="N29" s="64">
        <v>44099</v>
      </c>
      <c r="O29" s="82" t="s">
        <v>211</v>
      </c>
      <c r="P29" s="64">
        <v>47436</v>
      </c>
      <c r="Q29" s="58" t="s">
        <v>83</v>
      </c>
      <c r="R29" s="58" t="s">
        <v>84</v>
      </c>
      <c r="S29" s="30">
        <v>10546904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59"/>
    </row>
    <row r="30" spans="1:26" x14ac:dyDescent="0.3">
      <c r="A30" s="63" t="s">
        <v>77</v>
      </c>
      <c r="B30" s="104" t="s">
        <v>212</v>
      </c>
      <c r="C30" s="65" t="s">
        <v>213</v>
      </c>
      <c r="D30" s="64">
        <v>41988</v>
      </c>
      <c r="E30" s="64">
        <v>46387</v>
      </c>
      <c r="F30" s="63" t="s">
        <v>80</v>
      </c>
      <c r="G30" s="63" t="s">
        <v>214</v>
      </c>
      <c r="H30" s="63" t="s">
        <v>111</v>
      </c>
      <c r="I30" s="65" t="s">
        <v>215</v>
      </c>
      <c r="J30" s="63" t="s">
        <v>113</v>
      </c>
      <c r="K30" s="63" t="s">
        <v>114</v>
      </c>
      <c r="L30" s="63" t="s">
        <v>216</v>
      </c>
      <c r="M30" s="63" t="s">
        <v>153</v>
      </c>
      <c r="N30" s="64">
        <v>44099</v>
      </c>
      <c r="O30" s="82" t="s">
        <v>217</v>
      </c>
      <c r="P30" s="64">
        <v>46387</v>
      </c>
      <c r="Q30" s="58" t="s">
        <v>83</v>
      </c>
      <c r="R30" s="58" t="s">
        <v>84</v>
      </c>
      <c r="S30" s="30">
        <v>2838206</v>
      </c>
      <c r="T30" s="30">
        <v>81.53</v>
      </c>
      <c r="U30" s="30">
        <v>0</v>
      </c>
      <c r="V30" s="30">
        <v>283821</v>
      </c>
      <c r="W30" s="30">
        <v>0</v>
      </c>
      <c r="X30" s="30">
        <v>0</v>
      </c>
      <c r="Y30" s="59"/>
    </row>
    <row r="31" spans="1:26" x14ac:dyDescent="0.3">
      <c r="A31" s="63" t="s">
        <v>77</v>
      </c>
      <c r="B31" s="104" t="s">
        <v>218</v>
      </c>
      <c r="C31" s="65" t="s">
        <v>219</v>
      </c>
      <c r="D31" s="64">
        <v>43068</v>
      </c>
      <c r="E31" s="64">
        <v>46719</v>
      </c>
      <c r="F31" s="63" t="s">
        <v>80</v>
      </c>
      <c r="G31" s="63" t="s">
        <v>220</v>
      </c>
      <c r="H31" s="63" t="s">
        <v>111</v>
      </c>
      <c r="I31" s="65" t="s">
        <v>221</v>
      </c>
      <c r="J31" s="63" t="s">
        <v>113</v>
      </c>
      <c r="K31" s="63" t="s">
        <v>114</v>
      </c>
      <c r="L31" s="63" t="s">
        <v>222</v>
      </c>
      <c r="M31" s="63" t="s">
        <v>131</v>
      </c>
      <c r="N31" s="64">
        <v>44099</v>
      </c>
      <c r="O31" s="82" t="s">
        <v>223</v>
      </c>
      <c r="P31" s="64">
        <v>46719</v>
      </c>
      <c r="Q31" s="58" t="s">
        <v>83</v>
      </c>
      <c r="R31" s="58" t="s">
        <v>84</v>
      </c>
      <c r="S31" s="30">
        <v>4133333</v>
      </c>
      <c r="T31" s="142">
        <v>114.71</v>
      </c>
      <c r="U31" s="30">
        <v>0</v>
      </c>
      <c r="V31" s="30">
        <v>413333</v>
      </c>
      <c r="W31" s="30">
        <v>0</v>
      </c>
      <c r="X31" s="30">
        <v>0</v>
      </c>
      <c r="Y31" s="59"/>
    </row>
    <row r="32" spans="1:26" x14ac:dyDescent="0.3">
      <c r="A32" s="63" t="s">
        <v>77</v>
      </c>
      <c r="B32" s="104" t="s">
        <v>224</v>
      </c>
      <c r="C32" s="65" t="s">
        <v>225</v>
      </c>
      <c r="D32" s="64">
        <v>42826</v>
      </c>
      <c r="E32" s="64">
        <v>46477</v>
      </c>
      <c r="F32" s="63" t="s">
        <v>80</v>
      </c>
      <c r="G32" s="63" t="s">
        <v>226</v>
      </c>
      <c r="H32" s="63" t="s">
        <v>111</v>
      </c>
      <c r="I32" s="65" t="s">
        <v>227</v>
      </c>
      <c r="J32" s="63" t="s">
        <v>113</v>
      </c>
      <c r="K32" s="63" t="s">
        <v>114</v>
      </c>
      <c r="L32" s="63" t="s">
        <v>228</v>
      </c>
      <c r="M32" s="63" t="s">
        <v>131</v>
      </c>
      <c r="N32" s="64">
        <v>44099</v>
      </c>
      <c r="O32" s="82" t="s">
        <v>229</v>
      </c>
      <c r="P32" s="64">
        <v>46477</v>
      </c>
      <c r="Q32" s="58" t="s">
        <v>83</v>
      </c>
      <c r="R32" s="58" t="s">
        <v>84</v>
      </c>
      <c r="S32" s="30">
        <v>8499347</v>
      </c>
      <c r="T32" s="142">
        <v>240.86</v>
      </c>
      <c r="U32" s="30">
        <v>0</v>
      </c>
      <c r="V32" s="30">
        <v>239590</v>
      </c>
      <c r="W32" s="30">
        <v>0</v>
      </c>
      <c r="X32" s="30">
        <v>0</v>
      </c>
      <c r="Y32" s="59"/>
    </row>
    <row r="33" spans="1:26" x14ac:dyDescent="0.3">
      <c r="A33" s="63" t="s">
        <v>77</v>
      </c>
      <c r="B33" s="104" t="s">
        <v>230</v>
      </c>
      <c r="C33" s="65" t="s">
        <v>231</v>
      </c>
      <c r="D33" s="64">
        <v>43070</v>
      </c>
      <c r="E33" s="64">
        <v>46721</v>
      </c>
      <c r="F33" s="63" t="s">
        <v>80</v>
      </c>
      <c r="G33" s="63" t="s">
        <v>232</v>
      </c>
      <c r="H33" s="63" t="s">
        <v>111</v>
      </c>
      <c r="I33" s="65" t="s">
        <v>233</v>
      </c>
      <c r="J33" s="63" t="s">
        <v>113</v>
      </c>
      <c r="K33" s="63" t="s">
        <v>114</v>
      </c>
      <c r="L33" s="63" t="s">
        <v>234</v>
      </c>
      <c r="M33" s="63" t="s">
        <v>131</v>
      </c>
      <c r="N33" s="64">
        <v>44099</v>
      </c>
      <c r="O33" s="82" t="s">
        <v>235</v>
      </c>
      <c r="P33" s="64">
        <v>46721</v>
      </c>
      <c r="Q33" s="58" t="s">
        <v>83</v>
      </c>
      <c r="R33" s="58" t="s">
        <v>84</v>
      </c>
      <c r="S33" s="30">
        <v>6074200</v>
      </c>
      <c r="T33" s="142">
        <v>173</v>
      </c>
      <c r="U33" s="30">
        <v>0</v>
      </c>
      <c r="V33" s="30">
        <v>624410</v>
      </c>
      <c r="W33" s="30">
        <v>0</v>
      </c>
      <c r="X33" s="30">
        <v>0</v>
      </c>
      <c r="Y33" s="59"/>
    </row>
    <row r="34" spans="1:26" x14ac:dyDescent="0.3">
      <c r="A34" s="63" t="s">
        <v>77</v>
      </c>
      <c r="B34" s="104" t="s">
        <v>236</v>
      </c>
      <c r="C34" s="65" t="s">
        <v>237</v>
      </c>
      <c r="D34" s="64">
        <v>41999</v>
      </c>
      <c r="E34" s="64">
        <v>46381</v>
      </c>
      <c r="F34" s="63" t="s">
        <v>80</v>
      </c>
      <c r="G34" s="63" t="s">
        <v>238</v>
      </c>
      <c r="H34" s="63" t="s">
        <v>111</v>
      </c>
      <c r="I34" s="65" t="s">
        <v>239</v>
      </c>
      <c r="J34" s="63" t="s">
        <v>113</v>
      </c>
      <c r="K34" s="63" t="s">
        <v>114</v>
      </c>
      <c r="L34" s="63" t="s">
        <v>240</v>
      </c>
      <c r="M34" s="63" t="s">
        <v>153</v>
      </c>
      <c r="N34" s="64">
        <v>44099</v>
      </c>
      <c r="O34" s="82" t="s">
        <v>241</v>
      </c>
      <c r="P34" s="64">
        <v>46381</v>
      </c>
      <c r="Q34" s="58" t="s">
        <v>83</v>
      </c>
      <c r="R34" s="58" t="s">
        <v>84</v>
      </c>
      <c r="S34" s="30">
        <v>21577519</v>
      </c>
      <c r="T34" s="142">
        <v>598.55999999999995</v>
      </c>
      <c r="U34" s="30">
        <v>0</v>
      </c>
      <c r="V34" s="30">
        <v>2055262</v>
      </c>
      <c r="W34" s="30">
        <v>0</v>
      </c>
      <c r="X34" s="30">
        <v>0</v>
      </c>
      <c r="Y34" s="59"/>
    </row>
    <row r="35" spans="1:26" x14ac:dyDescent="0.3">
      <c r="A35" s="63" t="s">
        <v>77</v>
      </c>
      <c r="B35" s="104" t="s">
        <v>242</v>
      </c>
      <c r="C35" s="65" t="s">
        <v>243</v>
      </c>
      <c r="D35" s="64">
        <v>41000</v>
      </c>
      <c r="E35" s="64">
        <v>46873</v>
      </c>
      <c r="F35" s="63" t="s">
        <v>80</v>
      </c>
      <c r="G35" s="63" t="s">
        <v>244</v>
      </c>
      <c r="H35" s="63" t="s">
        <v>111</v>
      </c>
      <c r="I35" s="65" t="s">
        <v>245</v>
      </c>
      <c r="J35" s="63" t="s">
        <v>113</v>
      </c>
      <c r="K35" s="63" t="s">
        <v>114</v>
      </c>
      <c r="L35" s="63" t="s">
        <v>246</v>
      </c>
      <c r="M35" s="63" t="s">
        <v>247</v>
      </c>
      <c r="N35" s="64">
        <v>44099</v>
      </c>
      <c r="O35" s="82" t="s">
        <v>248</v>
      </c>
      <c r="P35" s="64">
        <v>46873</v>
      </c>
      <c r="Q35" s="58" t="s">
        <v>83</v>
      </c>
      <c r="R35" s="58" t="s">
        <v>84</v>
      </c>
      <c r="S35" s="30">
        <v>7926630</v>
      </c>
      <c r="T35" s="142">
        <v>201.27</v>
      </c>
      <c r="U35" s="30">
        <v>0</v>
      </c>
      <c r="V35" s="30">
        <v>792663</v>
      </c>
      <c r="W35" s="30">
        <v>0</v>
      </c>
      <c r="X35" s="30">
        <v>0</v>
      </c>
      <c r="Y35" s="59" t="s">
        <v>249</v>
      </c>
      <c r="Z35" s="145"/>
    </row>
    <row r="36" spans="1:26" x14ac:dyDescent="0.3">
      <c r="A36" s="63" t="s">
        <v>77</v>
      </c>
      <c r="B36" s="104" t="s">
        <v>257</v>
      </c>
      <c r="C36" s="65" t="s">
        <v>258</v>
      </c>
      <c r="D36" s="64">
        <v>42186</v>
      </c>
      <c r="E36" s="64">
        <v>46568</v>
      </c>
      <c r="F36" s="63" t="s">
        <v>80</v>
      </c>
      <c r="G36" s="63" t="s">
        <v>259</v>
      </c>
      <c r="H36" s="63" t="s">
        <v>111</v>
      </c>
      <c r="I36" s="65" t="s">
        <v>260</v>
      </c>
      <c r="J36" s="63" t="s">
        <v>113</v>
      </c>
      <c r="K36" s="63" t="s">
        <v>114</v>
      </c>
      <c r="L36" s="63" t="s">
        <v>261</v>
      </c>
      <c r="M36" s="63" t="s">
        <v>139</v>
      </c>
      <c r="N36" s="64">
        <v>44099</v>
      </c>
      <c r="O36" s="82" t="s">
        <v>262</v>
      </c>
      <c r="P36" s="64">
        <v>46568</v>
      </c>
      <c r="Q36" s="58" t="s">
        <v>83</v>
      </c>
      <c r="R36" s="58" t="s">
        <v>84</v>
      </c>
      <c r="S36" s="30">
        <v>2875371</v>
      </c>
      <c r="T36" s="142">
        <v>78.28</v>
      </c>
      <c r="U36" s="30">
        <v>0</v>
      </c>
      <c r="V36" s="30">
        <v>273845</v>
      </c>
      <c r="W36" s="30">
        <v>0</v>
      </c>
      <c r="X36" s="30">
        <v>0</v>
      </c>
      <c r="Y36" s="90" t="s">
        <v>125</v>
      </c>
    </row>
    <row r="37" spans="1:26" x14ac:dyDescent="0.3">
      <c r="A37" s="63" t="s">
        <v>77</v>
      </c>
      <c r="B37" s="104" t="s">
        <v>263</v>
      </c>
      <c r="C37" s="65" t="s">
        <v>264</v>
      </c>
      <c r="D37" s="64">
        <v>43056</v>
      </c>
      <c r="E37" s="64">
        <v>46707</v>
      </c>
      <c r="F37" s="63" t="s">
        <v>80</v>
      </c>
      <c r="G37" s="63" t="s">
        <v>265</v>
      </c>
      <c r="H37" s="63" t="s">
        <v>111</v>
      </c>
      <c r="I37" s="65" t="s">
        <v>266</v>
      </c>
      <c r="J37" s="63" t="s">
        <v>113</v>
      </c>
      <c r="K37" s="63" t="s">
        <v>114</v>
      </c>
      <c r="L37" s="63" t="s">
        <v>267</v>
      </c>
      <c r="M37" s="63" t="s">
        <v>131</v>
      </c>
      <c r="N37" s="64">
        <v>44099</v>
      </c>
      <c r="O37" s="82" t="s">
        <v>268</v>
      </c>
      <c r="P37" s="64">
        <v>46707</v>
      </c>
      <c r="Q37" s="58" t="s">
        <v>83</v>
      </c>
      <c r="R37" s="58" t="s">
        <v>84</v>
      </c>
      <c r="S37" s="30">
        <v>6918315</v>
      </c>
      <c r="T37" s="142">
        <v>192</v>
      </c>
      <c r="U37" s="30">
        <v>0</v>
      </c>
      <c r="V37" s="30">
        <v>484282</v>
      </c>
      <c r="W37" s="30">
        <v>1261151</v>
      </c>
      <c r="X37" s="30">
        <v>0</v>
      </c>
      <c r="Y37" s="59"/>
    </row>
    <row r="38" spans="1:26" x14ac:dyDescent="0.3">
      <c r="A38" s="63" t="s">
        <v>77</v>
      </c>
      <c r="B38" s="104" t="s">
        <v>1260</v>
      </c>
      <c r="C38" s="65" t="s">
        <v>1261</v>
      </c>
      <c r="D38" s="64">
        <v>41264</v>
      </c>
      <c r="E38" s="64">
        <v>46691</v>
      </c>
      <c r="F38" s="63" t="s">
        <v>80</v>
      </c>
      <c r="G38" s="63" t="s">
        <v>1262</v>
      </c>
      <c r="H38" s="63" t="s">
        <v>111</v>
      </c>
      <c r="I38" s="65" t="s">
        <v>1263</v>
      </c>
      <c r="J38" s="63" t="s">
        <v>113</v>
      </c>
      <c r="K38" s="63" t="s">
        <v>114</v>
      </c>
      <c r="L38" s="63" t="s">
        <v>1264</v>
      </c>
      <c r="M38" s="63" t="s">
        <v>280</v>
      </c>
      <c r="N38" s="64">
        <v>44099</v>
      </c>
      <c r="O38" s="82" t="s">
        <v>1265</v>
      </c>
      <c r="P38" s="64">
        <v>46691</v>
      </c>
      <c r="Q38" s="58" t="s">
        <v>83</v>
      </c>
      <c r="R38" s="58" t="s">
        <v>84</v>
      </c>
      <c r="S38" s="30">
        <v>19708018</v>
      </c>
      <c r="T38" s="142">
        <v>497.13</v>
      </c>
      <c r="U38" s="30">
        <v>0</v>
      </c>
      <c r="V38" s="30">
        <v>1971515</v>
      </c>
      <c r="W38" s="30">
        <v>0</v>
      </c>
      <c r="X38" s="30">
        <v>0</v>
      </c>
      <c r="Y38" s="59"/>
    </row>
    <row r="39" spans="1:26" x14ac:dyDescent="0.3">
      <c r="A39" s="63" t="s">
        <v>77</v>
      </c>
      <c r="B39" s="104" t="s">
        <v>1266</v>
      </c>
      <c r="C39" s="65" t="s">
        <v>1267</v>
      </c>
      <c r="D39" s="64">
        <v>43040</v>
      </c>
      <c r="E39" s="64">
        <v>46691</v>
      </c>
      <c r="F39" s="63" t="s">
        <v>80</v>
      </c>
      <c r="G39" s="63" t="s">
        <v>1268</v>
      </c>
      <c r="H39" s="63" t="s">
        <v>111</v>
      </c>
      <c r="I39" s="65" t="s">
        <v>1269</v>
      </c>
      <c r="J39" s="63" t="s">
        <v>113</v>
      </c>
      <c r="K39" s="63" t="s">
        <v>114</v>
      </c>
      <c r="L39" s="63" t="s">
        <v>1270</v>
      </c>
      <c r="M39" s="63" t="s">
        <v>131</v>
      </c>
      <c r="N39" s="64">
        <v>44099</v>
      </c>
      <c r="O39" s="82" t="s">
        <v>1271</v>
      </c>
      <c r="P39" s="64">
        <v>46691</v>
      </c>
      <c r="Q39" s="58" t="s">
        <v>83</v>
      </c>
      <c r="R39" s="58" t="s">
        <v>84</v>
      </c>
      <c r="S39" s="30">
        <v>5167146</v>
      </c>
      <c r="T39" s="142">
        <v>130.34</v>
      </c>
      <c r="U39" s="30">
        <v>0</v>
      </c>
      <c r="V39" s="30">
        <v>521908</v>
      </c>
      <c r="W39" s="30">
        <v>0</v>
      </c>
      <c r="X39" s="30">
        <v>0</v>
      </c>
      <c r="Y39" s="59"/>
    </row>
    <row r="40" spans="1:26" x14ac:dyDescent="0.3">
      <c r="A40" s="63" t="s">
        <v>77</v>
      </c>
      <c r="B40" s="104" t="s">
        <v>269</v>
      </c>
      <c r="C40" s="65" t="s">
        <v>270</v>
      </c>
      <c r="D40" s="64">
        <v>41896</v>
      </c>
      <c r="E40" s="64">
        <v>46295</v>
      </c>
      <c r="F40" s="63" t="s">
        <v>80</v>
      </c>
      <c r="G40" s="63" t="s">
        <v>271</v>
      </c>
      <c r="H40" s="63" t="s">
        <v>111</v>
      </c>
      <c r="I40" s="65" t="s">
        <v>272</v>
      </c>
      <c r="J40" s="63" t="s">
        <v>113</v>
      </c>
      <c r="K40" s="63" t="s">
        <v>114</v>
      </c>
      <c r="L40" s="63" t="s">
        <v>273</v>
      </c>
      <c r="M40" s="63" t="s">
        <v>131</v>
      </c>
      <c r="N40" s="64">
        <v>44099</v>
      </c>
      <c r="O40" s="82" t="s">
        <v>274</v>
      </c>
      <c r="P40" s="64">
        <v>46295</v>
      </c>
      <c r="Q40" s="58" t="s">
        <v>83</v>
      </c>
      <c r="R40" s="58" t="s">
        <v>84</v>
      </c>
      <c r="S40" s="30">
        <v>5777690</v>
      </c>
      <c r="T40" s="142">
        <v>147.86000000000001</v>
      </c>
      <c r="U40" s="30">
        <v>0</v>
      </c>
      <c r="V40" s="30">
        <v>577769</v>
      </c>
      <c r="W40" s="30">
        <v>0</v>
      </c>
      <c r="X40" s="30">
        <v>0</v>
      </c>
      <c r="Y40" s="90" t="s">
        <v>155</v>
      </c>
    </row>
    <row r="41" spans="1:26" x14ac:dyDescent="0.3">
      <c r="A41" s="63" t="s">
        <v>77</v>
      </c>
      <c r="B41" s="104" t="s">
        <v>1279</v>
      </c>
      <c r="C41" s="65" t="s">
        <v>1280</v>
      </c>
      <c r="D41" s="64">
        <v>41596</v>
      </c>
      <c r="E41" s="64">
        <v>46691</v>
      </c>
      <c r="F41" s="63" t="s">
        <v>80</v>
      </c>
      <c r="G41" s="63" t="s">
        <v>1281</v>
      </c>
      <c r="H41" s="63" t="s">
        <v>111</v>
      </c>
      <c r="I41" s="65" t="s">
        <v>1282</v>
      </c>
      <c r="J41" s="63" t="s">
        <v>113</v>
      </c>
      <c r="K41" s="63" t="s">
        <v>114</v>
      </c>
      <c r="L41" s="63" t="s">
        <v>1283</v>
      </c>
      <c r="M41" s="63" t="s">
        <v>1277</v>
      </c>
      <c r="N41" s="64">
        <v>44099</v>
      </c>
      <c r="O41" s="82" t="s">
        <v>1284</v>
      </c>
      <c r="P41" s="64">
        <v>46691</v>
      </c>
      <c r="Q41" s="58" t="s">
        <v>83</v>
      </c>
      <c r="R41" s="58" t="s">
        <v>84</v>
      </c>
      <c r="S41" s="30">
        <v>10438950</v>
      </c>
      <c r="T41" s="142">
        <v>263.32</v>
      </c>
      <c r="U41" s="30">
        <v>0</v>
      </c>
      <c r="V41" s="30">
        <v>1044490</v>
      </c>
      <c r="W41" s="30">
        <v>0</v>
      </c>
      <c r="X41" s="30">
        <v>0</v>
      </c>
      <c r="Y41" s="59"/>
    </row>
    <row r="42" spans="1:26" x14ac:dyDescent="0.3">
      <c r="A42" s="63" t="s">
        <v>77</v>
      </c>
      <c r="B42" s="104" t="s">
        <v>1285</v>
      </c>
      <c r="C42" s="65" t="s">
        <v>1286</v>
      </c>
      <c r="D42" s="64">
        <v>41247</v>
      </c>
      <c r="E42" s="64">
        <v>46691</v>
      </c>
      <c r="F42" s="63" t="s">
        <v>80</v>
      </c>
      <c r="G42" s="63" t="s">
        <v>1287</v>
      </c>
      <c r="H42" s="63" t="s">
        <v>111</v>
      </c>
      <c r="I42" s="65" t="s">
        <v>1288</v>
      </c>
      <c r="J42" s="63" t="s">
        <v>113</v>
      </c>
      <c r="K42" s="63" t="s">
        <v>114</v>
      </c>
      <c r="L42" s="63" t="s">
        <v>1289</v>
      </c>
      <c r="M42" s="63" t="s">
        <v>287</v>
      </c>
      <c r="N42" s="64">
        <v>44099</v>
      </c>
      <c r="O42" s="82" t="s">
        <v>1290</v>
      </c>
      <c r="P42" s="64">
        <v>46691</v>
      </c>
      <c r="Q42" s="58" t="s">
        <v>83</v>
      </c>
      <c r="R42" s="58" t="s">
        <v>84</v>
      </c>
      <c r="S42" s="30">
        <v>19942641</v>
      </c>
      <c r="T42" s="142">
        <v>501.98</v>
      </c>
      <c r="U42" s="30">
        <v>0</v>
      </c>
      <c r="V42" s="30">
        <v>2032681</v>
      </c>
      <c r="W42" s="30">
        <v>0</v>
      </c>
      <c r="X42" s="30">
        <v>0</v>
      </c>
      <c r="Y42" s="59"/>
    </row>
    <row r="43" spans="1:26" x14ac:dyDescent="0.3">
      <c r="A43" s="63" t="s">
        <v>77</v>
      </c>
      <c r="B43" s="104" t="s">
        <v>275</v>
      </c>
      <c r="C43" s="65" t="s">
        <v>276</v>
      </c>
      <c r="D43" s="64">
        <v>41247</v>
      </c>
      <c r="E43" s="64">
        <v>46538</v>
      </c>
      <c r="F43" s="63" t="s">
        <v>80</v>
      </c>
      <c r="G43" s="63" t="s">
        <v>277</v>
      </c>
      <c r="H43" s="63" t="s">
        <v>111</v>
      </c>
      <c r="I43" s="65" t="s">
        <v>278</v>
      </c>
      <c r="J43" s="63" t="s">
        <v>113</v>
      </c>
      <c r="K43" s="63" t="s">
        <v>114</v>
      </c>
      <c r="L43" s="63" t="s">
        <v>279</v>
      </c>
      <c r="M43" s="63" t="s">
        <v>280</v>
      </c>
      <c r="N43" s="64">
        <v>44099</v>
      </c>
      <c r="O43" s="82" t="s">
        <v>281</v>
      </c>
      <c r="P43" s="64">
        <v>46538</v>
      </c>
      <c r="Q43" s="58" t="s">
        <v>83</v>
      </c>
      <c r="R43" s="58" t="s">
        <v>84</v>
      </c>
      <c r="S43" s="30">
        <v>12602170</v>
      </c>
      <c r="T43" s="142">
        <v>348.15</v>
      </c>
      <c r="U43" s="30">
        <v>0</v>
      </c>
      <c r="V43" s="30">
        <v>1140873</v>
      </c>
      <c r="W43" s="30">
        <v>2006778</v>
      </c>
      <c r="X43" s="30">
        <v>0</v>
      </c>
      <c r="Y43" s="59"/>
    </row>
    <row r="44" spans="1:26" x14ac:dyDescent="0.3">
      <c r="A44" s="63" t="s">
        <v>77</v>
      </c>
      <c r="B44" s="104" t="s">
        <v>1297</v>
      </c>
      <c r="C44" s="65" t="s">
        <v>1298</v>
      </c>
      <c r="D44" s="64">
        <v>40338</v>
      </c>
      <c r="E44" s="64">
        <v>46691</v>
      </c>
      <c r="F44" s="63" t="s">
        <v>80</v>
      </c>
      <c r="G44" s="63" t="s">
        <v>1299</v>
      </c>
      <c r="H44" s="63" t="s">
        <v>111</v>
      </c>
      <c r="I44" s="65" t="s">
        <v>1300</v>
      </c>
      <c r="J44" s="63" t="s">
        <v>113</v>
      </c>
      <c r="K44" s="63" t="s">
        <v>114</v>
      </c>
      <c r="L44" s="63" t="s">
        <v>1301</v>
      </c>
      <c r="M44" s="63" t="s">
        <v>1075</v>
      </c>
      <c r="N44" s="64">
        <v>44099</v>
      </c>
      <c r="O44" s="82" t="s">
        <v>1302</v>
      </c>
      <c r="P44" s="64">
        <v>46691</v>
      </c>
      <c r="Q44" s="58" t="s">
        <v>83</v>
      </c>
      <c r="R44" s="58" t="s">
        <v>84</v>
      </c>
      <c r="S44" s="30">
        <v>14507175</v>
      </c>
      <c r="T44" s="142">
        <v>365.94</v>
      </c>
      <c r="U44" s="30">
        <v>0</v>
      </c>
      <c r="V44" s="30">
        <v>1464950</v>
      </c>
      <c r="W44" s="30">
        <v>0</v>
      </c>
      <c r="X44" s="30">
        <v>0</v>
      </c>
      <c r="Y44" s="59"/>
    </row>
    <row r="45" spans="1:26" x14ac:dyDescent="0.3">
      <c r="A45" s="63" t="s">
        <v>77</v>
      </c>
      <c r="B45" s="104" t="s">
        <v>282</v>
      </c>
      <c r="C45" s="65" t="s">
        <v>283</v>
      </c>
      <c r="D45" s="64">
        <v>41264</v>
      </c>
      <c r="E45" s="64">
        <v>46538</v>
      </c>
      <c r="F45" s="63" t="s">
        <v>80</v>
      </c>
      <c r="G45" s="63" t="s">
        <v>284</v>
      </c>
      <c r="H45" s="63" t="s">
        <v>111</v>
      </c>
      <c r="I45" s="65" t="s">
        <v>285</v>
      </c>
      <c r="J45" s="63" t="s">
        <v>113</v>
      </c>
      <c r="K45" s="63" t="s">
        <v>114</v>
      </c>
      <c r="L45" s="63" t="s">
        <v>286</v>
      </c>
      <c r="M45" s="63" t="s">
        <v>287</v>
      </c>
      <c r="N45" s="64">
        <v>44099</v>
      </c>
      <c r="O45" s="82" t="s">
        <v>288</v>
      </c>
      <c r="P45" s="64">
        <v>46538</v>
      </c>
      <c r="Q45" s="58" t="s">
        <v>83</v>
      </c>
      <c r="R45" s="58" t="s">
        <v>84</v>
      </c>
      <c r="S45" s="30">
        <v>15358612</v>
      </c>
      <c r="T45" s="142">
        <v>424.3</v>
      </c>
      <c r="U45" s="30">
        <v>0</v>
      </c>
      <c r="V45" s="30">
        <v>1545700</v>
      </c>
      <c r="W45" s="30">
        <v>0</v>
      </c>
      <c r="X45" s="30">
        <v>0</v>
      </c>
      <c r="Y45" s="59"/>
    </row>
    <row r="46" spans="1:26" x14ac:dyDescent="0.3">
      <c r="A46" s="63" t="s">
        <v>77</v>
      </c>
      <c r="B46" s="104" t="s">
        <v>289</v>
      </c>
      <c r="C46" s="65" t="s">
        <v>290</v>
      </c>
      <c r="D46" s="64">
        <v>41422</v>
      </c>
      <c r="E46" s="64">
        <v>46742</v>
      </c>
      <c r="F46" s="63" t="s">
        <v>80</v>
      </c>
      <c r="G46" s="63" t="s">
        <v>291</v>
      </c>
      <c r="H46" s="63" t="s">
        <v>111</v>
      </c>
      <c r="I46" s="65" t="s">
        <v>292</v>
      </c>
      <c r="J46" s="63" t="s">
        <v>113</v>
      </c>
      <c r="K46" s="63" t="s">
        <v>114</v>
      </c>
      <c r="L46" s="63" t="s">
        <v>293</v>
      </c>
      <c r="M46" s="63" t="s">
        <v>294</v>
      </c>
      <c r="N46" s="64">
        <v>44099</v>
      </c>
      <c r="O46" s="82" t="s">
        <v>295</v>
      </c>
      <c r="P46" s="64">
        <v>46742</v>
      </c>
      <c r="Q46" s="58" t="s">
        <v>83</v>
      </c>
      <c r="R46" s="58" t="s">
        <v>84</v>
      </c>
      <c r="S46" s="30">
        <v>5847057</v>
      </c>
      <c r="T46" s="142">
        <v>162.27000000000001</v>
      </c>
      <c r="U46" s="30">
        <v>0</v>
      </c>
      <c r="V46" s="30">
        <v>584706</v>
      </c>
      <c r="W46" s="30">
        <v>0</v>
      </c>
      <c r="X46" s="30">
        <v>0</v>
      </c>
      <c r="Y46" s="59"/>
    </row>
    <row r="47" spans="1:26" x14ac:dyDescent="0.3">
      <c r="A47" s="63" t="s">
        <v>77</v>
      </c>
      <c r="B47" s="104" t="s">
        <v>1303</v>
      </c>
      <c r="C47" s="65" t="s">
        <v>1304</v>
      </c>
      <c r="D47" s="64">
        <v>41247</v>
      </c>
      <c r="E47" s="64">
        <v>46691</v>
      </c>
      <c r="F47" s="63" t="s">
        <v>80</v>
      </c>
      <c r="G47" s="63" t="s">
        <v>1305</v>
      </c>
      <c r="H47" s="63" t="s">
        <v>111</v>
      </c>
      <c r="I47" s="65" t="s">
        <v>1306</v>
      </c>
      <c r="J47" s="63" t="s">
        <v>113</v>
      </c>
      <c r="K47" s="63" t="s">
        <v>114</v>
      </c>
      <c r="L47" s="63" t="s">
        <v>1307</v>
      </c>
      <c r="M47" s="63" t="s">
        <v>287</v>
      </c>
      <c r="N47" s="64">
        <v>44099</v>
      </c>
      <c r="O47" s="82" t="s">
        <v>1308</v>
      </c>
      <c r="P47" s="64">
        <v>46691</v>
      </c>
      <c r="Q47" s="58" t="s">
        <v>83</v>
      </c>
      <c r="R47" s="58" t="s">
        <v>84</v>
      </c>
      <c r="S47" s="30">
        <v>10029324</v>
      </c>
      <c r="T47" s="142">
        <v>252.45</v>
      </c>
      <c r="U47" s="30">
        <v>0</v>
      </c>
      <c r="V47" s="30">
        <v>1040515</v>
      </c>
      <c r="W47" s="30">
        <v>0</v>
      </c>
      <c r="X47" s="30">
        <v>0</v>
      </c>
      <c r="Y47" s="59"/>
    </row>
    <row r="48" spans="1:26" x14ac:dyDescent="0.3">
      <c r="A48" s="63" t="s">
        <v>77</v>
      </c>
      <c r="B48" s="104" t="s">
        <v>296</v>
      </c>
      <c r="C48" s="65" t="s">
        <v>297</v>
      </c>
      <c r="D48" s="64">
        <v>41422</v>
      </c>
      <c r="E48" s="64">
        <v>46538</v>
      </c>
      <c r="F48" s="63" t="s">
        <v>80</v>
      </c>
      <c r="G48" s="63" t="s">
        <v>298</v>
      </c>
      <c r="H48" s="63" t="s">
        <v>111</v>
      </c>
      <c r="I48" s="65" t="s">
        <v>299</v>
      </c>
      <c r="J48" s="63" t="s">
        <v>113</v>
      </c>
      <c r="K48" s="63" t="s">
        <v>114</v>
      </c>
      <c r="L48" s="63" t="s">
        <v>300</v>
      </c>
      <c r="M48" s="63" t="s">
        <v>294</v>
      </c>
      <c r="N48" s="64">
        <v>44099</v>
      </c>
      <c r="O48" s="82" t="s">
        <v>301</v>
      </c>
      <c r="P48" s="64">
        <v>46538</v>
      </c>
      <c r="Q48" s="58" t="s">
        <v>83</v>
      </c>
      <c r="R48" s="58" t="s">
        <v>84</v>
      </c>
      <c r="S48" s="30">
        <v>22714889</v>
      </c>
      <c r="T48" s="142">
        <v>624.24</v>
      </c>
      <c r="U48" s="30">
        <v>0</v>
      </c>
      <c r="V48" s="30">
        <v>2064987</v>
      </c>
      <c r="W48" s="30">
        <v>0</v>
      </c>
      <c r="X48" s="30">
        <v>0</v>
      </c>
      <c r="Y48" s="59"/>
    </row>
    <row r="49" spans="1:25" x14ac:dyDescent="0.3">
      <c r="A49" s="63" t="s">
        <v>77</v>
      </c>
      <c r="B49" s="104" t="s">
        <v>302</v>
      </c>
      <c r="C49" s="65" t="s">
        <v>303</v>
      </c>
      <c r="D49" s="64">
        <v>43194</v>
      </c>
      <c r="E49" s="64">
        <v>46115</v>
      </c>
      <c r="F49" s="63" t="s">
        <v>80</v>
      </c>
      <c r="G49" s="63" t="s">
        <v>304</v>
      </c>
      <c r="H49" s="63" t="s">
        <v>111</v>
      </c>
      <c r="I49" s="65" t="s">
        <v>305</v>
      </c>
      <c r="J49" s="63" t="s">
        <v>113</v>
      </c>
      <c r="K49" s="63" t="s">
        <v>114</v>
      </c>
      <c r="L49" s="63" t="s">
        <v>306</v>
      </c>
      <c r="M49" s="63" t="s">
        <v>139</v>
      </c>
      <c r="N49" s="64">
        <v>44099</v>
      </c>
      <c r="O49" s="82" t="s">
        <v>307</v>
      </c>
      <c r="P49" s="64">
        <v>46115</v>
      </c>
      <c r="Q49" s="58" t="s">
        <v>83</v>
      </c>
      <c r="R49" s="58" t="s">
        <v>84</v>
      </c>
      <c r="S49" s="30">
        <v>1783430</v>
      </c>
      <c r="T49" s="142">
        <v>50.54</v>
      </c>
      <c r="U49" s="30">
        <v>0</v>
      </c>
      <c r="V49" s="30">
        <v>167602</v>
      </c>
      <c r="W49" s="30">
        <v>606100</v>
      </c>
      <c r="X49" s="30">
        <v>0</v>
      </c>
      <c r="Y49" s="59"/>
    </row>
    <row r="50" spans="1:25" x14ac:dyDescent="0.3">
      <c r="A50" s="63" t="s">
        <v>77</v>
      </c>
      <c r="B50" s="104" t="s">
        <v>308</v>
      </c>
      <c r="C50" s="65" t="s">
        <v>309</v>
      </c>
      <c r="D50" s="64">
        <v>42064</v>
      </c>
      <c r="E50" s="64">
        <v>46812</v>
      </c>
      <c r="F50" s="63" t="s">
        <v>80</v>
      </c>
      <c r="G50" s="63" t="s">
        <v>310</v>
      </c>
      <c r="H50" s="63" t="s">
        <v>111</v>
      </c>
      <c r="I50" s="65" t="s">
        <v>311</v>
      </c>
      <c r="J50" s="63" t="s">
        <v>113</v>
      </c>
      <c r="K50" s="63" t="s">
        <v>114</v>
      </c>
      <c r="L50" s="63" t="s">
        <v>312</v>
      </c>
      <c r="M50" s="63" t="s">
        <v>123</v>
      </c>
      <c r="N50" s="64">
        <v>44099</v>
      </c>
      <c r="O50" s="82" t="s">
        <v>313</v>
      </c>
      <c r="P50" s="64">
        <v>46812</v>
      </c>
      <c r="Q50" s="58" t="s">
        <v>83</v>
      </c>
      <c r="R50" s="58" t="s">
        <v>84</v>
      </c>
      <c r="S50" s="30">
        <v>2596546</v>
      </c>
      <c r="T50" s="142">
        <v>70</v>
      </c>
      <c r="U50" s="30">
        <v>0</v>
      </c>
      <c r="V50" s="30">
        <v>0</v>
      </c>
      <c r="W50" s="30">
        <v>0</v>
      </c>
      <c r="X50" s="30">
        <v>0</v>
      </c>
      <c r="Y50" s="59"/>
    </row>
    <row r="51" spans="1:25" x14ac:dyDescent="0.3">
      <c r="A51" s="63" t="s">
        <v>77</v>
      </c>
      <c r="B51" s="104" t="s">
        <v>314</v>
      </c>
      <c r="C51" s="65" t="s">
        <v>315</v>
      </c>
      <c r="D51" s="64">
        <v>42635</v>
      </c>
      <c r="E51" s="64">
        <v>47747</v>
      </c>
      <c r="F51" s="63" t="s">
        <v>80</v>
      </c>
      <c r="G51" s="63" t="s">
        <v>316</v>
      </c>
      <c r="H51" s="63" t="s">
        <v>111</v>
      </c>
      <c r="I51" s="65" t="s">
        <v>317</v>
      </c>
      <c r="J51" s="63" t="s">
        <v>113</v>
      </c>
      <c r="K51" s="63" t="s">
        <v>114</v>
      </c>
      <c r="L51" s="63" t="s">
        <v>318</v>
      </c>
      <c r="M51" s="63" t="s">
        <v>174</v>
      </c>
      <c r="N51" s="64">
        <v>44099</v>
      </c>
      <c r="O51" s="82" t="s">
        <v>319</v>
      </c>
      <c r="P51" s="64">
        <v>47747</v>
      </c>
      <c r="Q51" s="58" t="s">
        <v>83</v>
      </c>
      <c r="R51" s="58" t="s">
        <v>84</v>
      </c>
      <c r="S51" s="30">
        <v>8315511</v>
      </c>
      <c r="T51" s="142">
        <v>210</v>
      </c>
      <c r="U51" s="30">
        <v>0</v>
      </c>
      <c r="V51" s="30">
        <v>0</v>
      </c>
      <c r="W51" s="30">
        <v>0</v>
      </c>
      <c r="X51" s="30">
        <v>0</v>
      </c>
      <c r="Y51" s="59"/>
    </row>
    <row r="52" spans="1:25" x14ac:dyDescent="0.3">
      <c r="A52" s="63" t="s">
        <v>77</v>
      </c>
      <c r="B52" s="104" t="s">
        <v>320</v>
      </c>
      <c r="C52" s="65" t="s">
        <v>321</v>
      </c>
      <c r="D52" s="64">
        <v>41609</v>
      </c>
      <c r="E52" s="64">
        <v>46630</v>
      </c>
      <c r="F52" s="63" t="s">
        <v>80</v>
      </c>
      <c r="G52" s="63" t="s">
        <v>322</v>
      </c>
      <c r="H52" s="63" t="s">
        <v>111</v>
      </c>
      <c r="I52" s="65" t="s">
        <v>323</v>
      </c>
      <c r="J52" s="63" t="s">
        <v>113</v>
      </c>
      <c r="K52" s="63" t="s">
        <v>114</v>
      </c>
      <c r="L52" s="63" t="s">
        <v>324</v>
      </c>
      <c r="M52" s="63" t="s">
        <v>325</v>
      </c>
      <c r="N52" s="64">
        <v>44099</v>
      </c>
      <c r="O52" s="82" t="s">
        <v>326</v>
      </c>
      <c r="P52" s="64">
        <v>46629</v>
      </c>
      <c r="Q52" s="58" t="s">
        <v>83</v>
      </c>
      <c r="R52" s="58" t="s">
        <v>84</v>
      </c>
      <c r="S52" s="30">
        <v>10233375</v>
      </c>
      <c r="T52" s="142">
        <v>290</v>
      </c>
      <c r="U52" s="30">
        <v>0</v>
      </c>
      <c r="V52" s="30">
        <v>0</v>
      </c>
      <c r="W52" s="30">
        <v>0</v>
      </c>
      <c r="X52" s="30">
        <v>0</v>
      </c>
      <c r="Y52" s="59"/>
    </row>
    <row r="53" spans="1:25" x14ac:dyDescent="0.3">
      <c r="A53" s="63" t="s">
        <v>77</v>
      </c>
      <c r="B53" s="104" t="s">
        <v>327</v>
      </c>
      <c r="C53" s="65" t="s">
        <v>328</v>
      </c>
      <c r="D53" s="64">
        <v>42900</v>
      </c>
      <c r="E53" s="64">
        <v>46551</v>
      </c>
      <c r="F53" s="63" t="s">
        <v>80</v>
      </c>
      <c r="G53" s="63" t="s">
        <v>329</v>
      </c>
      <c r="H53" s="63" t="s">
        <v>111</v>
      </c>
      <c r="I53" s="65" t="s">
        <v>330</v>
      </c>
      <c r="J53" s="63" t="s">
        <v>113</v>
      </c>
      <c r="K53" s="63" t="s">
        <v>114</v>
      </c>
      <c r="L53" s="63" t="s">
        <v>331</v>
      </c>
      <c r="M53" s="63" t="s">
        <v>131</v>
      </c>
      <c r="N53" s="64">
        <v>44099</v>
      </c>
      <c r="O53" s="82" t="s">
        <v>332</v>
      </c>
      <c r="P53" s="64">
        <v>46551</v>
      </c>
      <c r="Q53" s="58" t="s">
        <v>83</v>
      </c>
      <c r="R53" s="58" t="s">
        <v>84</v>
      </c>
      <c r="S53" s="30">
        <v>8269484</v>
      </c>
      <c r="T53" s="142">
        <v>239</v>
      </c>
      <c r="U53" s="30">
        <v>0</v>
      </c>
      <c r="V53" s="30">
        <v>862625</v>
      </c>
      <c r="W53" s="30">
        <v>0</v>
      </c>
      <c r="X53" s="30">
        <v>0</v>
      </c>
      <c r="Y53" s="59"/>
    </row>
    <row r="54" spans="1:25" x14ac:dyDescent="0.3">
      <c r="A54" s="63" t="s">
        <v>77</v>
      </c>
      <c r="B54" s="104" t="s">
        <v>333</v>
      </c>
      <c r="C54" s="65" t="s">
        <v>334</v>
      </c>
      <c r="D54" s="64">
        <v>41944</v>
      </c>
      <c r="E54" s="64">
        <v>46326</v>
      </c>
      <c r="F54" s="63" t="s">
        <v>80</v>
      </c>
      <c r="G54" s="63" t="s">
        <v>335</v>
      </c>
      <c r="H54" s="63" t="s">
        <v>111</v>
      </c>
      <c r="I54" s="65" t="s">
        <v>336</v>
      </c>
      <c r="J54" s="63" t="s">
        <v>113</v>
      </c>
      <c r="K54" s="63" t="s">
        <v>114</v>
      </c>
      <c r="L54" s="63" t="s">
        <v>337</v>
      </c>
      <c r="M54" s="63" t="s">
        <v>338</v>
      </c>
      <c r="N54" s="64">
        <v>44099</v>
      </c>
      <c r="O54" s="82" t="s">
        <v>339</v>
      </c>
      <c r="P54" s="64">
        <v>46326</v>
      </c>
      <c r="Q54" s="58" t="s">
        <v>83</v>
      </c>
      <c r="R54" s="58" t="s">
        <v>84</v>
      </c>
      <c r="S54" s="30">
        <v>3466907</v>
      </c>
      <c r="T54" s="142">
        <v>99.59</v>
      </c>
      <c r="U54" s="30">
        <v>0</v>
      </c>
      <c r="V54" s="30">
        <v>292356</v>
      </c>
      <c r="W54" s="30">
        <v>0</v>
      </c>
      <c r="X54" s="30">
        <v>0</v>
      </c>
      <c r="Y54" s="59"/>
    </row>
    <row r="55" spans="1:25" x14ac:dyDescent="0.3">
      <c r="A55" s="63" t="s">
        <v>77</v>
      </c>
      <c r="B55" s="104" t="s">
        <v>340</v>
      </c>
      <c r="C55" s="65" t="s">
        <v>341</v>
      </c>
      <c r="D55" s="64">
        <v>41913</v>
      </c>
      <c r="E55" s="64">
        <v>46660</v>
      </c>
      <c r="F55" s="63" t="s">
        <v>80</v>
      </c>
      <c r="G55" s="63" t="s">
        <v>342</v>
      </c>
      <c r="H55" s="63" t="s">
        <v>111</v>
      </c>
      <c r="I55" s="65" t="s">
        <v>343</v>
      </c>
      <c r="J55" s="63" t="s">
        <v>113</v>
      </c>
      <c r="K55" s="63" t="s">
        <v>114</v>
      </c>
      <c r="L55" s="63" t="s">
        <v>344</v>
      </c>
      <c r="M55" s="63" t="s">
        <v>345</v>
      </c>
      <c r="N55" s="64">
        <v>44099</v>
      </c>
      <c r="O55" s="82" t="s">
        <v>346</v>
      </c>
      <c r="P55" s="64">
        <v>46660</v>
      </c>
      <c r="Q55" s="58" t="s">
        <v>83</v>
      </c>
      <c r="R55" s="58" t="s">
        <v>84</v>
      </c>
      <c r="S55" s="30">
        <v>2843989</v>
      </c>
      <c r="T55" s="142">
        <v>81</v>
      </c>
      <c r="U55" s="30">
        <v>0</v>
      </c>
      <c r="V55" s="30">
        <v>292354</v>
      </c>
      <c r="W55" s="30">
        <v>1172140</v>
      </c>
      <c r="X55" s="30">
        <v>0</v>
      </c>
      <c r="Y55" s="59"/>
    </row>
    <row r="56" spans="1:25" x14ac:dyDescent="0.3">
      <c r="A56" s="63" t="s">
        <v>77</v>
      </c>
      <c r="B56" s="104" t="s">
        <v>347</v>
      </c>
      <c r="C56" s="65" t="s">
        <v>348</v>
      </c>
      <c r="D56" s="64">
        <v>41891</v>
      </c>
      <c r="E56" s="64">
        <v>46637</v>
      </c>
      <c r="F56" s="63" t="s">
        <v>80</v>
      </c>
      <c r="G56" s="63" t="s">
        <v>349</v>
      </c>
      <c r="H56" s="63" t="s">
        <v>111</v>
      </c>
      <c r="I56" s="65" t="s">
        <v>350</v>
      </c>
      <c r="J56" s="63" t="s">
        <v>113</v>
      </c>
      <c r="K56" s="63" t="s">
        <v>114</v>
      </c>
      <c r="L56" s="63" t="s">
        <v>351</v>
      </c>
      <c r="M56" s="63" t="s">
        <v>352</v>
      </c>
      <c r="N56" s="64">
        <v>44099</v>
      </c>
      <c r="O56" s="82" t="s">
        <v>353</v>
      </c>
      <c r="P56" s="64">
        <v>46637</v>
      </c>
      <c r="Q56" s="58" t="s">
        <v>83</v>
      </c>
      <c r="R56" s="58" t="s">
        <v>84</v>
      </c>
      <c r="S56" s="30">
        <v>5159189</v>
      </c>
      <c r="T56" s="142">
        <v>143.18</v>
      </c>
      <c r="U56" s="30">
        <v>0</v>
      </c>
      <c r="V56" s="30">
        <v>515919</v>
      </c>
      <c r="W56" s="30">
        <v>0</v>
      </c>
      <c r="X56" s="30">
        <v>0</v>
      </c>
      <c r="Y56" s="59"/>
    </row>
    <row r="57" spans="1:25" x14ac:dyDescent="0.3">
      <c r="A57" s="63" t="s">
        <v>77</v>
      </c>
      <c r="B57" s="104" t="s">
        <v>354</v>
      </c>
      <c r="C57" s="65" t="s">
        <v>355</v>
      </c>
      <c r="D57" s="64">
        <v>43009</v>
      </c>
      <c r="E57" s="64">
        <v>46600</v>
      </c>
      <c r="F57" s="63" t="s">
        <v>80</v>
      </c>
      <c r="G57" s="63" t="s">
        <v>356</v>
      </c>
      <c r="H57" s="63" t="s">
        <v>111</v>
      </c>
      <c r="I57" s="65" t="s">
        <v>357</v>
      </c>
      <c r="J57" s="63" t="s">
        <v>113</v>
      </c>
      <c r="K57" s="63" t="s">
        <v>114</v>
      </c>
      <c r="L57" s="63" t="s">
        <v>358</v>
      </c>
      <c r="M57" s="63" t="s">
        <v>131</v>
      </c>
      <c r="N57" s="64">
        <v>44099</v>
      </c>
      <c r="O57" s="82" t="s">
        <v>359</v>
      </c>
      <c r="P57" s="64">
        <v>46600</v>
      </c>
      <c r="Q57" s="58" t="s">
        <v>83</v>
      </c>
      <c r="R57" s="58" t="s">
        <v>84</v>
      </c>
      <c r="S57" s="30">
        <v>14859448</v>
      </c>
      <c r="T57" s="142">
        <v>410.51</v>
      </c>
      <c r="U57" s="30">
        <v>0</v>
      </c>
      <c r="V57" s="30">
        <v>1345347</v>
      </c>
      <c r="W57" s="30">
        <v>0</v>
      </c>
      <c r="X57" s="30">
        <v>0</v>
      </c>
      <c r="Y57" s="59"/>
    </row>
    <row r="58" spans="1:25" x14ac:dyDescent="0.3">
      <c r="A58" s="63" t="s">
        <v>77</v>
      </c>
      <c r="B58" s="104" t="s">
        <v>360</v>
      </c>
      <c r="C58" s="65" t="s">
        <v>361</v>
      </c>
      <c r="D58" s="64">
        <v>41876</v>
      </c>
      <c r="E58" s="64">
        <v>46623</v>
      </c>
      <c r="F58" s="63" t="s">
        <v>80</v>
      </c>
      <c r="G58" s="63" t="s">
        <v>362</v>
      </c>
      <c r="H58" s="63" t="s">
        <v>111</v>
      </c>
      <c r="I58" s="65" t="s">
        <v>363</v>
      </c>
      <c r="J58" s="63" t="s">
        <v>113</v>
      </c>
      <c r="K58" s="63" t="s">
        <v>114</v>
      </c>
      <c r="L58" s="63" t="s">
        <v>364</v>
      </c>
      <c r="M58" s="63" t="s">
        <v>131</v>
      </c>
      <c r="N58" s="64">
        <v>44099</v>
      </c>
      <c r="O58" s="82" t="s">
        <v>365</v>
      </c>
      <c r="P58" s="64">
        <v>46623</v>
      </c>
      <c r="Q58" s="58" t="s">
        <v>83</v>
      </c>
      <c r="R58" s="58" t="s">
        <v>84</v>
      </c>
      <c r="S58" s="30">
        <v>4063535</v>
      </c>
      <c r="T58" s="142">
        <v>112.26</v>
      </c>
      <c r="U58" s="30">
        <v>0</v>
      </c>
      <c r="V58" s="30">
        <v>406354</v>
      </c>
      <c r="W58" s="30">
        <v>0</v>
      </c>
      <c r="X58" s="30">
        <v>0</v>
      </c>
      <c r="Y58" s="59"/>
    </row>
    <row r="59" spans="1:25" x14ac:dyDescent="0.3">
      <c r="A59" s="63" t="s">
        <v>77</v>
      </c>
      <c r="B59" s="104" t="s">
        <v>366</v>
      </c>
      <c r="C59" s="65" t="s">
        <v>367</v>
      </c>
      <c r="D59" s="64">
        <v>42290</v>
      </c>
      <c r="E59" s="64">
        <v>46295</v>
      </c>
      <c r="F59" s="63" t="s">
        <v>80</v>
      </c>
      <c r="G59" s="63" t="s">
        <v>368</v>
      </c>
      <c r="H59" s="63" t="s">
        <v>111</v>
      </c>
      <c r="I59" s="65" t="s">
        <v>369</v>
      </c>
      <c r="J59" s="63" t="s">
        <v>113</v>
      </c>
      <c r="K59" s="63" t="s">
        <v>114</v>
      </c>
      <c r="L59" s="63" t="s">
        <v>370</v>
      </c>
      <c r="M59" s="63" t="s">
        <v>131</v>
      </c>
      <c r="N59" s="64">
        <v>44099</v>
      </c>
      <c r="O59" s="82" t="s">
        <v>371</v>
      </c>
      <c r="P59" s="64">
        <v>46295</v>
      </c>
      <c r="Q59" s="58" t="s">
        <v>83</v>
      </c>
      <c r="R59" s="58" t="s">
        <v>84</v>
      </c>
      <c r="S59" s="30">
        <v>1819351</v>
      </c>
      <c r="T59" s="142">
        <v>46.56</v>
      </c>
      <c r="U59" s="30">
        <v>0</v>
      </c>
      <c r="V59" s="30">
        <v>181935</v>
      </c>
      <c r="W59" s="30">
        <v>0</v>
      </c>
      <c r="X59" s="30">
        <v>0</v>
      </c>
      <c r="Y59" s="59"/>
    </row>
    <row r="60" spans="1:25" x14ac:dyDescent="0.3">
      <c r="A60" s="63" t="s">
        <v>77</v>
      </c>
      <c r="B60" s="104" t="s">
        <v>1379</v>
      </c>
      <c r="C60" s="65" t="s">
        <v>1380</v>
      </c>
      <c r="D60" s="64">
        <v>41876</v>
      </c>
      <c r="E60" s="64">
        <v>46691</v>
      </c>
      <c r="F60" s="63" t="s">
        <v>80</v>
      </c>
      <c r="G60" s="63" t="s">
        <v>1381</v>
      </c>
      <c r="H60" s="63" t="s">
        <v>111</v>
      </c>
      <c r="I60" s="65" t="s">
        <v>1382</v>
      </c>
      <c r="J60" s="63" t="s">
        <v>113</v>
      </c>
      <c r="K60" s="63" t="s">
        <v>114</v>
      </c>
      <c r="L60" s="63" t="s">
        <v>1383</v>
      </c>
      <c r="M60" s="63" t="s">
        <v>131</v>
      </c>
      <c r="N60" s="64">
        <v>44099</v>
      </c>
      <c r="O60" s="82" t="s">
        <v>1384</v>
      </c>
      <c r="P60" s="64">
        <v>46691</v>
      </c>
      <c r="Q60" s="58" t="s">
        <v>83</v>
      </c>
      <c r="R60" s="58" t="s">
        <v>84</v>
      </c>
      <c r="S60" s="30">
        <v>7562411</v>
      </c>
      <c r="T60" s="142">
        <v>190.76</v>
      </c>
      <c r="U60" s="30">
        <v>0</v>
      </c>
      <c r="V60" s="30">
        <v>763615</v>
      </c>
      <c r="W60" s="30">
        <v>0</v>
      </c>
      <c r="X60" s="30">
        <v>0</v>
      </c>
      <c r="Y60" s="59"/>
    </row>
    <row r="61" spans="1:25" x14ac:dyDescent="0.3">
      <c r="A61" s="63" t="s">
        <v>77</v>
      </c>
      <c r="B61" s="104" t="s">
        <v>1390</v>
      </c>
      <c r="C61" s="65" t="s">
        <v>1391</v>
      </c>
      <c r="D61" s="64">
        <v>42082</v>
      </c>
      <c r="E61" s="64">
        <v>46691</v>
      </c>
      <c r="F61" s="63" t="s">
        <v>80</v>
      </c>
      <c r="G61" s="63" t="s">
        <v>1392</v>
      </c>
      <c r="H61" s="63" t="s">
        <v>111</v>
      </c>
      <c r="I61" s="65" t="s">
        <v>1393</v>
      </c>
      <c r="J61" s="63" t="s">
        <v>113</v>
      </c>
      <c r="K61" s="63" t="s">
        <v>114</v>
      </c>
      <c r="L61" s="63" t="s">
        <v>1394</v>
      </c>
      <c r="M61" s="63" t="s">
        <v>1395</v>
      </c>
      <c r="N61" s="64">
        <v>44099</v>
      </c>
      <c r="O61" s="82" t="s">
        <v>1396</v>
      </c>
      <c r="P61" s="64">
        <v>46691</v>
      </c>
      <c r="Q61" s="58" t="s">
        <v>83</v>
      </c>
      <c r="R61" s="58" t="s">
        <v>84</v>
      </c>
      <c r="S61" s="30">
        <v>4017085</v>
      </c>
      <c r="T61" s="142">
        <v>101.33</v>
      </c>
      <c r="U61" s="30">
        <v>0</v>
      </c>
      <c r="V61" s="30">
        <v>405475</v>
      </c>
      <c r="W61" s="30">
        <v>0</v>
      </c>
      <c r="X61" s="30">
        <v>0</v>
      </c>
      <c r="Y61" s="59"/>
    </row>
    <row r="62" spans="1:25" x14ac:dyDescent="0.3">
      <c r="A62" s="63" t="s">
        <v>77</v>
      </c>
      <c r="B62" s="104" t="s">
        <v>372</v>
      </c>
      <c r="C62" s="65" t="s">
        <v>373</v>
      </c>
      <c r="D62" s="64">
        <v>42030</v>
      </c>
      <c r="E62" s="64">
        <v>46387</v>
      </c>
      <c r="F62" s="63" t="s">
        <v>80</v>
      </c>
      <c r="G62" s="63" t="s">
        <v>374</v>
      </c>
      <c r="H62" s="63" t="s">
        <v>111</v>
      </c>
      <c r="I62" s="65" t="s">
        <v>375</v>
      </c>
      <c r="J62" s="63" t="s">
        <v>113</v>
      </c>
      <c r="K62" s="63" t="s">
        <v>114</v>
      </c>
      <c r="L62" s="63" t="s">
        <v>376</v>
      </c>
      <c r="M62" s="63" t="s">
        <v>377</v>
      </c>
      <c r="N62" s="64">
        <v>44099</v>
      </c>
      <c r="O62" s="82" t="s">
        <v>378</v>
      </c>
      <c r="P62" s="64">
        <v>46387</v>
      </c>
      <c r="Q62" s="58" t="s">
        <v>83</v>
      </c>
      <c r="R62" s="58" t="s">
        <v>84</v>
      </c>
      <c r="S62" s="30">
        <v>2887639</v>
      </c>
      <c r="T62" s="142">
        <v>82.95</v>
      </c>
      <c r="U62" s="30">
        <v>0</v>
      </c>
      <c r="V62" s="30">
        <v>257213</v>
      </c>
      <c r="W62" s="30">
        <v>379459</v>
      </c>
      <c r="X62" s="30">
        <v>0</v>
      </c>
      <c r="Y62" s="59"/>
    </row>
    <row r="63" spans="1:25" x14ac:dyDescent="0.3">
      <c r="A63" s="63" t="s">
        <v>77</v>
      </c>
      <c r="B63" s="104" t="s">
        <v>1414</v>
      </c>
      <c r="C63" s="65" t="s">
        <v>1415</v>
      </c>
      <c r="D63" s="64">
        <v>42149</v>
      </c>
      <c r="E63" s="64">
        <v>46691</v>
      </c>
      <c r="F63" s="63" t="s">
        <v>80</v>
      </c>
      <c r="G63" s="63" t="s">
        <v>1416</v>
      </c>
      <c r="H63" s="63" t="s">
        <v>111</v>
      </c>
      <c r="I63" s="65" t="s">
        <v>1417</v>
      </c>
      <c r="J63" s="63" t="s">
        <v>113</v>
      </c>
      <c r="K63" s="63" t="s">
        <v>114</v>
      </c>
      <c r="L63" s="63" t="s">
        <v>1418</v>
      </c>
      <c r="M63" s="63" t="s">
        <v>131</v>
      </c>
      <c r="N63" s="64">
        <v>44099</v>
      </c>
      <c r="O63" s="82" t="s">
        <v>1419</v>
      </c>
      <c r="P63" s="64">
        <v>46691</v>
      </c>
      <c r="Q63" s="58" t="s">
        <v>83</v>
      </c>
      <c r="R63" s="58" t="s">
        <v>84</v>
      </c>
      <c r="S63" s="30">
        <v>6763288</v>
      </c>
      <c r="T63" s="30">
        <v>170.24</v>
      </c>
      <c r="U63" s="30">
        <v>0</v>
      </c>
      <c r="V63" s="30">
        <v>675455</v>
      </c>
      <c r="W63" s="30">
        <v>0</v>
      </c>
      <c r="X63" s="30">
        <v>0</v>
      </c>
      <c r="Y63" s="59"/>
    </row>
    <row r="64" spans="1:25" x14ac:dyDescent="0.3">
      <c r="A64" s="63" t="s">
        <v>77</v>
      </c>
      <c r="B64" s="104" t="s">
        <v>379</v>
      </c>
      <c r="C64" s="65" t="s">
        <v>380</v>
      </c>
      <c r="D64" s="64">
        <v>42217</v>
      </c>
      <c r="E64" s="64">
        <v>46599</v>
      </c>
      <c r="F64" s="63" t="s">
        <v>80</v>
      </c>
      <c r="G64" s="63" t="s">
        <v>381</v>
      </c>
      <c r="H64" s="63" t="s">
        <v>111</v>
      </c>
      <c r="I64" s="65" t="s">
        <v>382</v>
      </c>
      <c r="J64" s="63" t="s">
        <v>113</v>
      </c>
      <c r="K64" s="63" t="s">
        <v>114</v>
      </c>
      <c r="L64" s="63" t="s">
        <v>383</v>
      </c>
      <c r="M64" s="63" t="s">
        <v>384</v>
      </c>
      <c r="N64" s="64">
        <v>44099</v>
      </c>
      <c r="O64" s="82" t="s">
        <v>385</v>
      </c>
      <c r="P64" s="64">
        <v>46599</v>
      </c>
      <c r="Q64" s="58" t="s">
        <v>83</v>
      </c>
      <c r="R64" s="58" t="s">
        <v>84</v>
      </c>
      <c r="S64" s="30">
        <v>3336930</v>
      </c>
      <c r="T64" s="30">
        <v>89.13</v>
      </c>
      <c r="U64" s="30">
        <v>0</v>
      </c>
      <c r="V64" s="30">
        <v>333693</v>
      </c>
      <c r="W64" s="30">
        <v>962554</v>
      </c>
      <c r="X64" s="30"/>
      <c r="Y64" s="59"/>
    </row>
    <row r="65" spans="1:26" x14ac:dyDescent="0.3">
      <c r="A65" s="63" t="s">
        <v>77</v>
      </c>
      <c r="B65" s="104" t="s">
        <v>386</v>
      </c>
      <c r="C65" s="65" t="s">
        <v>387</v>
      </c>
      <c r="D65" s="64">
        <v>42293</v>
      </c>
      <c r="E65" s="64">
        <v>47041</v>
      </c>
      <c r="F65" s="63" t="s">
        <v>80</v>
      </c>
      <c r="G65" s="63" t="s">
        <v>388</v>
      </c>
      <c r="H65" s="63" t="s">
        <v>111</v>
      </c>
      <c r="I65" s="65" t="s">
        <v>389</v>
      </c>
      <c r="J65" s="63" t="s">
        <v>113</v>
      </c>
      <c r="K65" s="63" t="s">
        <v>114</v>
      </c>
      <c r="L65" s="63" t="s">
        <v>390</v>
      </c>
      <c r="M65" s="63" t="s">
        <v>131</v>
      </c>
      <c r="N65" s="64">
        <v>44099</v>
      </c>
      <c r="O65" s="82" t="s">
        <v>391</v>
      </c>
      <c r="P65" s="64">
        <v>47041</v>
      </c>
      <c r="Q65" s="58" t="s">
        <v>83</v>
      </c>
      <c r="R65" s="58" t="s">
        <v>84</v>
      </c>
      <c r="S65" s="30">
        <v>4025540</v>
      </c>
      <c r="T65" s="30">
        <v>103.5</v>
      </c>
      <c r="U65" s="30">
        <v>0</v>
      </c>
      <c r="V65" s="30">
        <v>0</v>
      </c>
      <c r="W65" s="30">
        <v>0</v>
      </c>
      <c r="X65" s="30">
        <v>0</v>
      </c>
      <c r="Y65" s="59"/>
    </row>
    <row r="66" spans="1:26" x14ac:dyDescent="0.3">
      <c r="A66" s="63" t="s">
        <v>77</v>
      </c>
      <c r="B66" s="104" t="s">
        <v>1444</v>
      </c>
      <c r="C66" s="65" t="s">
        <v>1445</v>
      </c>
      <c r="D66" s="64">
        <v>42309</v>
      </c>
      <c r="E66" s="64">
        <v>46356</v>
      </c>
      <c r="F66" s="63" t="s">
        <v>80</v>
      </c>
      <c r="G66" s="63" t="s">
        <v>1446</v>
      </c>
      <c r="H66" s="63" t="s">
        <v>111</v>
      </c>
      <c r="I66" s="65" t="s">
        <v>1447</v>
      </c>
      <c r="J66" s="63" t="s">
        <v>113</v>
      </c>
      <c r="K66" s="63" t="s">
        <v>114</v>
      </c>
      <c r="L66" s="63" t="s">
        <v>1448</v>
      </c>
      <c r="M66" s="63" t="s">
        <v>131</v>
      </c>
      <c r="N66" s="64">
        <v>44099</v>
      </c>
      <c r="O66" s="82" t="s">
        <v>1449</v>
      </c>
      <c r="P66" s="64">
        <v>46356</v>
      </c>
      <c r="Q66" s="58" t="s">
        <v>83</v>
      </c>
      <c r="R66" s="58" t="s">
        <v>84</v>
      </c>
      <c r="S66" s="30">
        <v>984420</v>
      </c>
      <c r="T66" s="30">
        <v>0</v>
      </c>
      <c r="U66" s="30">
        <v>0</v>
      </c>
      <c r="V66" s="30">
        <v>98442</v>
      </c>
      <c r="W66" s="30">
        <v>0</v>
      </c>
      <c r="X66" s="30">
        <v>0</v>
      </c>
      <c r="Y66" s="59"/>
      <c r="Z66" s="145"/>
    </row>
    <row r="67" spans="1:26" x14ac:dyDescent="0.3">
      <c r="A67" s="63" t="s">
        <v>77</v>
      </c>
      <c r="B67" s="104" t="s">
        <v>405</v>
      </c>
      <c r="C67" s="65" t="s">
        <v>406</v>
      </c>
      <c r="D67" s="64">
        <v>42781</v>
      </c>
      <c r="E67" s="64">
        <v>46295</v>
      </c>
      <c r="F67" s="63" t="s">
        <v>80</v>
      </c>
      <c r="G67" s="63" t="s">
        <v>407</v>
      </c>
      <c r="H67" s="63" t="s">
        <v>111</v>
      </c>
      <c r="I67" s="65" t="s">
        <v>408</v>
      </c>
      <c r="J67" s="63" t="s">
        <v>113</v>
      </c>
      <c r="K67" s="63" t="s">
        <v>114</v>
      </c>
      <c r="L67" s="63" t="s">
        <v>409</v>
      </c>
      <c r="M67" s="63" t="s">
        <v>410</v>
      </c>
      <c r="N67" s="64">
        <v>44099</v>
      </c>
      <c r="O67" s="82" t="s">
        <v>411</v>
      </c>
      <c r="P67" s="64">
        <v>46295</v>
      </c>
      <c r="Q67" s="58" t="s">
        <v>83</v>
      </c>
      <c r="R67" s="58" t="s">
        <v>84</v>
      </c>
      <c r="S67" s="30">
        <v>935856</v>
      </c>
      <c r="T67" s="30">
        <v>23.95</v>
      </c>
      <c r="U67" s="30">
        <v>0</v>
      </c>
      <c r="V67" s="30">
        <v>93586</v>
      </c>
      <c r="W67" s="30">
        <v>0</v>
      </c>
      <c r="X67" s="30">
        <v>0</v>
      </c>
      <c r="Y67" s="90" t="s">
        <v>155</v>
      </c>
      <c r="Z67" s="59"/>
    </row>
    <row r="68" spans="1:26" x14ac:dyDescent="0.3">
      <c r="A68" s="63" t="s">
        <v>77</v>
      </c>
      <c r="B68" s="104" t="s">
        <v>1489</v>
      </c>
      <c r="C68" s="65" t="s">
        <v>1490</v>
      </c>
      <c r="D68" s="64">
        <v>42781</v>
      </c>
      <c r="E68" s="64">
        <v>46691</v>
      </c>
      <c r="F68" s="63" t="s">
        <v>80</v>
      </c>
      <c r="G68" s="63" t="s">
        <v>1491</v>
      </c>
      <c r="H68" s="63" t="s">
        <v>111</v>
      </c>
      <c r="I68" s="65" t="s">
        <v>1492</v>
      </c>
      <c r="J68" s="63" t="s">
        <v>113</v>
      </c>
      <c r="K68" s="63" t="s">
        <v>114</v>
      </c>
      <c r="L68" s="63" t="s">
        <v>1493</v>
      </c>
      <c r="M68" s="63" t="s">
        <v>410</v>
      </c>
      <c r="N68" s="64">
        <v>44099</v>
      </c>
      <c r="O68" s="82" t="s">
        <v>1494</v>
      </c>
      <c r="P68" s="64">
        <v>46691</v>
      </c>
      <c r="Q68" s="58" t="s">
        <v>83</v>
      </c>
      <c r="R68" s="58" t="s">
        <v>84</v>
      </c>
      <c r="S68" s="30">
        <v>8617457</v>
      </c>
      <c r="T68" s="30">
        <v>0</v>
      </c>
      <c r="U68" s="30">
        <v>0</v>
      </c>
      <c r="V68" s="30">
        <v>861746</v>
      </c>
      <c r="W68" s="30">
        <v>0</v>
      </c>
      <c r="X68" s="30">
        <v>0</v>
      </c>
      <c r="Y68" s="59"/>
      <c r="Z68" s="145"/>
    </row>
    <row r="69" spans="1:26" x14ac:dyDescent="0.3">
      <c r="A69" s="63" t="s">
        <v>77</v>
      </c>
      <c r="B69" s="104" t="s">
        <v>412</v>
      </c>
      <c r="C69" s="65" t="s">
        <v>413</v>
      </c>
      <c r="D69" s="64">
        <v>43018</v>
      </c>
      <c r="E69" s="64">
        <v>47026</v>
      </c>
      <c r="F69" s="63" t="s">
        <v>80</v>
      </c>
      <c r="G69" s="63" t="s">
        <v>414</v>
      </c>
      <c r="H69" s="63" t="s">
        <v>111</v>
      </c>
      <c r="I69" s="65" t="s">
        <v>415</v>
      </c>
      <c r="J69" s="63" t="s">
        <v>113</v>
      </c>
      <c r="K69" s="63" t="s">
        <v>114</v>
      </c>
      <c r="L69" s="63" t="s">
        <v>416</v>
      </c>
      <c r="M69" s="63" t="s">
        <v>131</v>
      </c>
      <c r="N69" s="64">
        <v>44099</v>
      </c>
      <c r="O69" s="82" t="s">
        <v>417</v>
      </c>
      <c r="P69" s="64">
        <v>47026</v>
      </c>
      <c r="Q69" s="58" t="s">
        <v>83</v>
      </c>
      <c r="R69" s="58" t="s">
        <v>84</v>
      </c>
      <c r="S69" s="30">
        <v>4186951</v>
      </c>
      <c r="T69" s="30">
        <v>107.65</v>
      </c>
      <c r="U69" s="30">
        <v>0</v>
      </c>
      <c r="V69" s="30">
        <v>418695</v>
      </c>
      <c r="W69" s="30">
        <v>0</v>
      </c>
      <c r="X69" s="30">
        <v>0</v>
      </c>
      <c r="Y69" s="59"/>
    </row>
    <row r="70" spans="1:26" x14ac:dyDescent="0.3">
      <c r="A70" s="63" t="s">
        <v>77</v>
      </c>
      <c r="B70" s="104" t="s">
        <v>418</v>
      </c>
      <c r="C70" s="65" t="s">
        <v>419</v>
      </c>
      <c r="D70" s="64">
        <v>42874</v>
      </c>
      <c r="E70" s="64">
        <v>47026</v>
      </c>
      <c r="F70" s="63" t="s">
        <v>80</v>
      </c>
      <c r="G70" s="63" t="s">
        <v>420</v>
      </c>
      <c r="H70" s="63" t="s">
        <v>111</v>
      </c>
      <c r="I70" s="65" t="s">
        <v>421</v>
      </c>
      <c r="J70" s="63" t="s">
        <v>113</v>
      </c>
      <c r="K70" s="63" t="s">
        <v>114</v>
      </c>
      <c r="L70" s="63" t="s">
        <v>422</v>
      </c>
      <c r="M70" s="63" t="s">
        <v>131</v>
      </c>
      <c r="N70" s="64">
        <v>44099</v>
      </c>
      <c r="O70" s="82" t="s">
        <v>423</v>
      </c>
      <c r="P70" s="64">
        <v>47026</v>
      </c>
      <c r="Q70" s="58" t="s">
        <v>83</v>
      </c>
      <c r="R70" s="58" t="s">
        <v>84</v>
      </c>
      <c r="S70" s="30">
        <v>3393939</v>
      </c>
      <c r="T70" s="30">
        <v>87.26</v>
      </c>
      <c r="U70" s="30">
        <v>0</v>
      </c>
      <c r="V70" s="30">
        <v>339394</v>
      </c>
      <c r="W70" s="30">
        <v>0</v>
      </c>
      <c r="X70" s="30">
        <v>0</v>
      </c>
      <c r="Y70" s="87" t="s">
        <v>155</v>
      </c>
    </row>
    <row r="71" spans="1:26" x14ac:dyDescent="0.3">
      <c r="A71" s="63" t="s">
        <v>77</v>
      </c>
      <c r="B71" s="104" t="s">
        <v>424</v>
      </c>
      <c r="C71" s="65" t="s">
        <v>425</v>
      </c>
      <c r="D71" s="64">
        <v>42979</v>
      </c>
      <c r="E71" s="64">
        <v>46295</v>
      </c>
      <c r="F71" s="63" t="s">
        <v>80</v>
      </c>
      <c r="G71" s="63" t="s">
        <v>426</v>
      </c>
      <c r="H71" s="63" t="s">
        <v>111</v>
      </c>
      <c r="I71" s="65" t="s">
        <v>427</v>
      </c>
      <c r="J71" s="63" t="s">
        <v>113</v>
      </c>
      <c r="K71" s="63" t="s">
        <v>114</v>
      </c>
      <c r="L71" s="63" t="s">
        <v>428</v>
      </c>
      <c r="M71" s="63" t="s">
        <v>131</v>
      </c>
      <c r="N71" s="64">
        <v>44099</v>
      </c>
      <c r="O71" s="82" t="s">
        <v>429</v>
      </c>
      <c r="P71" s="64">
        <v>46295</v>
      </c>
      <c r="Q71" s="58" t="s">
        <v>83</v>
      </c>
      <c r="R71" s="58" t="s">
        <v>84</v>
      </c>
      <c r="S71" s="30">
        <v>4959060</v>
      </c>
      <c r="T71" s="30">
        <v>126.91</v>
      </c>
      <c r="U71" s="30">
        <v>0</v>
      </c>
      <c r="V71" s="30">
        <v>495906</v>
      </c>
      <c r="W71" s="30">
        <v>0</v>
      </c>
      <c r="X71" s="30">
        <v>0</v>
      </c>
      <c r="Y71" s="90" t="s">
        <v>155</v>
      </c>
    </row>
    <row r="72" spans="1:26" x14ac:dyDescent="0.3">
      <c r="A72" s="63" t="s">
        <v>77</v>
      </c>
      <c r="B72" s="104" t="s">
        <v>430</v>
      </c>
      <c r="C72" s="65" t="s">
        <v>431</v>
      </c>
      <c r="D72" s="64">
        <v>43024</v>
      </c>
      <c r="E72" s="64">
        <v>46675</v>
      </c>
      <c r="F72" s="63" t="s">
        <v>80</v>
      </c>
      <c r="G72" s="63" t="s">
        <v>432</v>
      </c>
      <c r="H72" s="63" t="s">
        <v>111</v>
      </c>
      <c r="I72" s="65" t="s">
        <v>433</v>
      </c>
      <c r="J72" s="63" t="s">
        <v>113</v>
      </c>
      <c r="K72" s="63" t="s">
        <v>114</v>
      </c>
      <c r="L72" s="63" t="s">
        <v>434</v>
      </c>
      <c r="M72" s="63" t="s">
        <v>131</v>
      </c>
      <c r="N72" s="64">
        <v>44099</v>
      </c>
      <c r="O72" s="82" t="s">
        <v>435</v>
      </c>
      <c r="P72" s="64">
        <v>46675</v>
      </c>
      <c r="Q72" s="58" t="s">
        <v>83</v>
      </c>
      <c r="R72" s="58" t="s">
        <v>84</v>
      </c>
      <c r="S72" s="30">
        <v>9091128</v>
      </c>
      <c r="T72" s="30">
        <v>229.32</v>
      </c>
      <c r="U72" s="30">
        <v>0</v>
      </c>
      <c r="V72" s="30">
        <v>909113</v>
      </c>
      <c r="W72" s="30">
        <v>0</v>
      </c>
      <c r="X72" s="30">
        <v>0</v>
      </c>
      <c r="Y72" s="59"/>
    </row>
    <row r="73" spans="1:26" x14ac:dyDescent="0.3">
      <c r="A73" s="63" t="s">
        <v>77</v>
      </c>
      <c r="B73" s="104" t="s">
        <v>442</v>
      </c>
      <c r="C73" s="92" t="s">
        <v>443</v>
      </c>
      <c r="D73" s="64">
        <v>43070</v>
      </c>
      <c r="E73" s="64">
        <v>46356</v>
      </c>
      <c r="F73" s="63" t="s">
        <v>80</v>
      </c>
      <c r="G73" s="63" t="s">
        <v>444</v>
      </c>
      <c r="H73" s="63" t="s">
        <v>111</v>
      </c>
      <c r="I73" s="65" t="s">
        <v>445</v>
      </c>
      <c r="J73" s="63" t="s">
        <v>113</v>
      </c>
      <c r="K73" s="63" t="s">
        <v>114</v>
      </c>
      <c r="L73" s="63" t="s">
        <v>446</v>
      </c>
      <c r="M73" s="63" t="s">
        <v>116</v>
      </c>
      <c r="N73" s="64">
        <v>44099</v>
      </c>
      <c r="O73" s="82" t="s">
        <v>447</v>
      </c>
      <c r="P73" s="64">
        <v>46356</v>
      </c>
      <c r="Q73" s="58" t="s">
        <v>83</v>
      </c>
      <c r="R73" s="58" t="s">
        <v>84</v>
      </c>
      <c r="S73" s="30">
        <v>2542476</v>
      </c>
      <c r="T73" s="30">
        <v>67.91</v>
      </c>
      <c r="U73" s="30">
        <v>0</v>
      </c>
      <c r="V73" s="30">
        <v>177973</v>
      </c>
      <c r="W73" s="30">
        <v>45675</v>
      </c>
      <c r="X73" s="30">
        <v>0</v>
      </c>
      <c r="Y73" s="59"/>
    </row>
    <row r="74" spans="1:26" x14ac:dyDescent="0.3">
      <c r="A74" s="63" t="s">
        <v>77</v>
      </c>
      <c r="B74" s="104" t="s">
        <v>448</v>
      </c>
      <c r="C74" s="65" t="s">
        <v>449</v>
      </c>
      <c r="D74" s="64">
        <v>43068</v>
      </c>
      <c r="E74" s="64">
        <v>46354</v>
      </c>
      <c r="F74" s="63" t="s">
        <v>80</v>
      </c>
      <c r="G74" s="63" t="s">
        <v>450</v>
      </c>
      <c r="H74" s="63" t="s">
        <v>111</v>
      </c>
      <c r="I74" s="65" t="s">
        <v>451</v>
      </c>
      <c r="J74" s="63" t="s">
        <v>113</v>
      </c>
      <c r="K74" s="63" t="s">
        <v>114</v>
      </c>
      <c r="L74" s="63" t="s">
        <v>452</v>
      </c>
      <c r="M74" s="63" t="s">
        <v>116</v>
      </c>
      <c r="N74" s="64">
        <v>44099</v>
      </c>
      <c r="O74" s="82" t="s">
        <v>453</v>
      </c>
      <c r="P74" s="64">
        <v>46354</v>
      </c>
      <c r="Q74" s="58" t="s">
        <v>83</v>
      </c>
      <c r="R74" s="58" t="s">
        <v>84</v>
      </c>
      <c r="S74" s="30">
        <v>1455523</v>
      </c>
      <c r="T74" s="30">
        <v>40</v>
      </c>
      <c r="U74" s="30">
        <v>0</v>
      </c>
      <c r="V74" s="30">
        <v>145552</v>
      </c>
      <c r="W74" s="30">
        <v>775066</v>
      </c>
      <c r="X74" s="30">
        <v>0</v>
      </c>
      <c r="Y74" s="59"/>
    </row>
    <row r="75" spans="1:26" x14ac:dyDescent="0.3">
      <c r="A75" s="63" t="s">
        <v>77</v>
      </c>
      <c r="B75" s="104" t="s">
        <v>460</v>
      </c>
      <c r="C75" s="65" t="s">
        <v>461</v>
      </c>
      <c r="D75" s="64">
        <v>43282</v>
      </c>
      <c r="E75" s="64">
        <v>46598</v>
      </c>
      <c r="F75" s="63" t="s">
        <v>80</v>
      </c>
      <c r="G75" s="63" t="s">
        <v>462</v>
      </c>
      <c r="H75" s="63" t="s">
        <v>111</v>
      </c>
      <c r="I75" s="65" t="s">
        <v>463</v>
      </c>
      <c r="J75" s="63" t="s">
        <v>113</v>
      </c>
      <c r="K75" s="63" t="s">
        <v>114</v>
      </c>
      <c r="L75" s="63" t="s">
        <v>464</v>
      </c>
      <c r="M75" s="63" t="s">
        <v>131</v>
      </c>
      <c r="N75" s="64">
        <v>44099</v>
      </c>
      <c r="O75" s="82" t="s">
        <v>465</v>
      </c>
      <c r="P75" s="64">
        <v>46598</v>
      </c>
      <c r="Q75" s="58" t="s">
        <v>83</v>
      </c>
      <c r="R75" s="58" t="s">
        <v>84</v>
      </c>
      <c r="S75" s="30">
        <v>2171585</v>
      </c>
      <c r="T75" s="30">
        <v>58.92</v>
      </c>
      <c r="U75" s="30">
        <v>0</v>
      </c>
      <c r="V75" s="30">
        <v>217159</v>
      </c>
      <c r="W75" s="30">
        <v>0</v>
      </c>
      <c r="X75" s="30">
        <v>0</v>
      </c>
      <c r="Y75" s="90" t="s">
        <v>125</v>
      </c>
    </row>
    <row r="76" spans="1:26" x14ac:dyDescent="0.3">
      <c r="A76" s="63" t="s">
        <v>77</v>
      </c>
      <c r="B76" s="105" t="s">
        <v>466</v>
      </c>
      <c r="C76" s="65" t="s">
        <v>467</v>
      </c>
      <c r="D76" s="64">
        <v>43525</v>
      </c>
      <c r="E76" s="64">
        <v>46882</v>
      </c>
      <c r="F76" s="63" t="s">
        <v>80</v>
      </c>
      <c r="G76" s="63" t="s">
        <v>468</v>
      </c>
      <c r="H76" s="63" t="s">
        <v>111</v>
      </c>
      <c r="I76" s="65"/>
      <c r="J76" s="63" t="s">
        <v>113</v>
      </c>
      <c r="K76" s="63" t="s">
        <v>469</v>
      </c>
      <c r="L76" s="63" t="s">
        <v>470</v>
      </c>
      <c r="M76" s="63" t="s">
        <v>377</v>
      </c>
      <c r="N76" s="64">
        <v>43556</v>
      </c>
      <c r="O76" s="82" t="s">
        <v>471</v>
      </c>
      <c r="P76" s="64">
        <v>46882</v>
      </c>
      <c r="Q76" s="58" t="s">
        <v>83</v>
      </c>
      <c r="R76" s="58" t="s">
        <v>84</v>
      </c>
      <c r="S76" s="30">
        <v>3819126</v>
      </c>
      <c r="T76" s="30">
        <v>105.99</v>
      </c>
      <c r="U76" s="30">
        <v>0</v>
      </c>
      <c r="V76" s="30">
        <v>381913</v>
      </c>
      <c r="W76" s="30">
        <v>2373486</v>
      </c>
      <c r="X76" s="30">
        <v>0</v>
      </c>
      <c r="Y76" s="59"/>
    </row>
    <row r="77" spans="1:26" x14ac:dyDescent="0.3">
      <c r="A77" s="63" t="s">
        <v>77</v>
      </c>
      <c r="B77" s="104" t="s">
        <v>472</v>
      </c>
      <c r="C77" s="65" t="s">
        <v>473</v>
      </c>
      <c r="D77" s="64">
        <v>43466</v>
      </c>
      <c r="E77" s="64">
        <v>46691</v>
      </c>
      <c r="F77" s="63" t="s">
        <v>80</v>
      </c>
      <c r="G77" s="63" t="s">
        <v>474</v>
      </c>
      <c r="H77" s="63" t="s">
        <v>111</v>
      </c>
      <c r="I77" s="65"/>
      <c r="J77" s="63" t="s">
        <v>113</v>
      </c>
      <c r="K77" s="63" t="s">
        <v>469</v>
      </c>
      <c r="L77" s="63" t="s">
        <v>475</v>
      </c>
      <c r="M77" s="63" t="s">
        <v>123</v>
      </c>
      <c r="N77" s="64">
        <v>43641</v>
      </c>
      <c r="O77" s="82" t="s">
        <v>476</v>
      </c>
      <c r="P77" s="64">
        <v>46691</v>
      </c>
      <c r="Q77" s="58" t="s">
        <v>83</v>
      </c>
      <c r="R77" s="58" t="s">
        <v>84</v>
      </c>
      <c r="S77" s="30">
        <v>4017660</v>
      </c>
      <c r="T77" s="30">
        <v>0</v>
      </c>
      <c r="U77" s="30">
        <v>0</v>
      </c>
      <c r="V77" s="30">
        <v>401766</v>
      </c>
      <c r="W77" s="30">
        <v>0</v>
      </c>
      <c r="X77" s="30">
        <v>0</v>
      </c>
      <c r="Y77" s="59"/>
    </row>
    <row r="78" spans="1:26" x14ac:dyDescent="0.3">
      <c r="A78" s="63" t="s">
        <v>77</v>
      </c>
      <c r="B78" s="104" t="s">
        <v>1596</v>
      </c>
      <c r="C78" s="65" t="s">
        <v>1597</v>
      </c>
      <c r="D78" s="64">
        <v>43475</v>
      </c>
      <c r="E78" s="64">
        <v>46721</v>
      </c>
      <c r="F78" s="63" t="s">
        <v>80</v>
      </c>
      <c r="G78" s="63" t="s">
        <v>1598</v>
      </c>
      <c r="H78" s="63" t="s">
        <v>111</v>
      </c>
      <c r="I78" s="65"/>
      <c r="J78" s="63" t="s">
        <v>113</v>
      </c>
      <c r="K78" s="63" t="s">
        <v>469</v>
      </c>
      <c r="L78" s="63" t="s">
        <v>1599</v>
      </c>
      <c r="M78" s="63" t="s">
        <v>255</v>
      </c>
      <c r="N78" s="64">
        <v>43773</v>
      </c>
      <c r="O78" s="82" t="s">
        <v>1600</v>
      </c>
      <c r="P78" s="64">
        <v>46721</v>
      </c>
      <c r="Q78" s="58" t="s">
        <v>83</v>
      </c>
      <c r="R78" s="58" t="s">
        <v>84</v>
      </c>
      <c r="S78" s="30">
        <v>6380030</v>
      </c>
      <c r="T78" s="30">
        <v>0</v>
      </c>
      <c r="U78" s="30">
        <v>0</v>
      </c>
      <c r="V78" s="30">
        <v>638003</v>
      </c>
      <c r="W78" s="30">
        <v>0</v>
      </c>
      <c r="X78" s="30">
        <v>0</v>
      </c>
      <c r="Y78" s="87" t="s">
        <v>155</v>
      </c>
      <c r="Z78" s="145"/>
    </row>
    <row r="79" spans="1:26" x14ac:dyDescent="0.3">
      <c r="A79" s="63" t="s">
        <v>77</v>
      </c>
      <c r="B79" s="104" t="s">
        <v>477</v>
      </c>
      <c r="C79" s="65" t="s">
        <v>478</v>
      </c>
      <c r="D79" s="64">
        <v>43789</v>
      </c>
      <c r="E79" s="64">
        <v>46345</v>
      </c>
      <c r="F79" s="63" t="s">
        <v>80</v>
      </c>
      <c r="G79" s="63" t="s">
        <v>479</v>
      </c>
      <c r="H79" s="63" t="s">
        <v>111</v>
      </c>
      <c r="I79" s="65"/>
      <c r="J79" s="63" t="s">
        <v>113</v>
      </c>
      <c r="K79" s="63" t="s">
        <v>469</v>
      </c>
      <c r="L79" s="63" t="s">
        <v>480</v>
      </c>
      <c r="M79" s="63" t="s">
        <v>481</v>
      </c>
      <c r="N79" s="64">
        <v>44000</v>
      </c>
      <c r="O79" s="82" t="s">
        <v>482</v>
      </c>
      <c r="P79" s="64">
        <v>46345</v>
      </c>
      <c r="Q79" s="58" t="s">
        <v>83</v>
      </c>
      <c r="R79" s="58" t="s">
        <v>84</v>
      </c>
      <c r="S79" s="30">
        <v>4941956</v>
      </c>
      <c r="T79" s="30">
        <v>169.99999656006656</v>
      </c>
      <c r="U79" s="30">
        <v>0</v>
      </c>
      <c r="V79" s="30">
        <v>0</v>
      </c>
      <c r="W79" s="30">
        <v>0</v>
      </c>
      <c r="X79" s="30">
        <v>0</v>
      </c>
      <c r="Y79" s="59"/>
    </row>
    <row r="80" spans="1:26" x14ac:dyDescent="0.3">
      <c r="A80" s="63" t="s">
        <v>77</v>
      </c>
      <c r="B80" s="105" t="s">
        <v>489</v>
      </c>
      <c r="C80" s="65" t="s">
        <v>490</v>
      </c>
      <c r="D80" s="64">
        <v>42614</v>
      </c>
      <c r="E80" s="64">
        <v>46265</v>
      </c>
      <c r="F80" s="63" t="s">
        <v>80</v>
      </c>
      <c r="G80" s="63" t="s">
        <v>491</v>
      </c>
      <c r="H80" s="63" t="s">
        <v>111</v>
      </c>
      <c r="I80" s="65"/>
      <c r="J80" s="63" t="s">
        <v>113</v>
      </c>
      <c r="K80" s="63" t="s">
        <v>114</v>
      </c>
      <c r="L80" s="63" t="s">
        <v>492</v>
      </c>
      <c r="M80" s="63" t="s">
        <v>131</v>
      </c>
      <c r="N80" s="64">
        <v>44317</v>
      </c>
      <c r="O80" s="82" t="s">
        <v>493</v>
      </c>
      <c r="P80" s="64">
        <v>46265</v>
      </c>
      <c r="Q80" s="58" t="s">
        <v>83</v>
      </c>
      <c r="R80" s="58" t="s">
        <v>84</v>
      </c>
      <c r="S80" s="30">
        <v>8954194</v>
      </c>
      <c r="T80" s="30">
        <v>274</v>
      </c>
      <c r="U80" s="30">
        <v>0</v>
      </c>
      <c r="V80" s="30">
        <v>0</v>
      </c>
      <c r="W80" s="30">
        <v>0</v>
      </c>
      <c r="X80" s="30">
        <v>0</v>
      </c>
      <c r="Y80" s="59"/>
    </row>
    <row r="81" spans="1:26" x14ac:dyDescent="0.3">
      <c r="A81" s="63" t="s">
        <v>77</v>
      </c>
      <c r="B81" s="105" t="s">
        <v>504</v>
      </c>
      <c r="C81" s="65" t="s">
        <v>505</v>
      </c>
      <c r="D81" s="64">
        <v>42339</v>
      </c>
      <c r="E81" s="64">
        <v>46691</v>
      </c>
      <c r="F81" s="63" t="s">
        <v>80</v>
      </c>
      <c r="G81" s="63" t="s">
        <v>506</v>
      </c>
      <c r="H81" s="63" t="s">
        <v>111</v>
      </c>
      <c r="I81" s="65"/>
      <c r="J81" s="63" t="s">
        <v>113</v>
      </c>
      <c r="K81" s="63" t="s">
        <v>114</v>
      </c>
      <c r="L81" s="63" t="s">
        <v>507</v>
      </c>
      <c r="M81" s="63" t="s">
        <v>352</v>
      </c>
      <c r="N81" s="64">
        <v>44317</v>
      </c>
      <c r="O81" s="82" t="s">
        <v>508</v>
      </c>
      <c r="P81" s="64">
        <v>44804</v>
      </c>
      <c r="Q81" s="155" t="s">
        <v>2681</v>
      </c>
      <c r="R81" s="58" t="s">
        <v>84</v>
      </c>
      <c r="S81" s="30">
        <v>6305756</v>
      </c>
      <c r="T81" s="30">
        <v>175</v>
      </c>
      <c r="U81" s="30">
        <v>0</v>
      </c>
      <c r="V81" s="30">
        <v>0</v>
      </c>
      <c r="W81" s="30">
        <v>0</v>
      </c>
      <c r="X81" s="30">
        <v>0</v>
      </c>
      <c r="Y81" s="59"/>
    </row>
    <row r="82" spans="1:26" x14ac:dyDescent="0.3">
      <c r="A82" s="63" t="s">
        <v>77</v>
      </c>
      <c r="B82" s="105" t="s">
        <v>1633</v>
      </c>
      <c r="C82" s="65" t="s">
        <v>1634</v>
      </c>
      <c r="D82" s="64">
        <v>42917</v>
      </c>
      <c r="E82" s="64">
        <v>47361</v>
      </c>
      <c r="F82" s="63" t="s">
        <v>80</v>
      </c>
      <c r="G82" s="63" t="s">
        <v>1635</v>
      </c>
      <c r="H82" s="63" t="s">
        <v>111</v>
      </c>
      <c r="I82" s="65"/>
      <c r="J82" s="63" t="s">
        <v>113</v>
      </c>
      <c r="K82" s="63" t="s">
        <v>114</v>
      </c>
      <c r="L82" s="63" t="s">
        <v>1636</v>
      </c>
      <c r="M82" s="63" t="s">
        <v>1637</v>
      </c>
      <c r="N82" s="64">
        <v>44317</v>
      </c>
      <c r="O82" s="82" t="s">
        <v>1638</v>
      </c>
      <c r="P82" s="64">
        <v>47361</v>
      </c>
      <c r="Q82" s="58" t="s">
        <v>83</v>
      </c>
      <c r="R82" s="58" t="s">
        <v>84</v>
      </c>
      <c r="S82" s="30">
        <v>17688129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90" t="s">
        <v>155</v>
      </c>
    </row>
    <row r="83" spans="1:26" x14ac:dyDescent="0.3">
      <c r="A83" s="63" t="s">
        <v>77</v>
      </c>
      <c r="B83" s="105" t="s">
        <v>509</v>
      </c>
      <c r="C83" s="65" t="s">
        <v>510</v>
      </c>
      <c r="D83" s="64">
        <v>42309</v>
      </c>
      <c r="E83" s="64">
        <v>46295</v>
      </c>
      <c r="F83" s="63" t="s">
        <v>80</v>
      </c>
      <c r="G83" s="63" t="s">
        <v>511</v>
      </c>
      <c r="H83" s="63" t="s">
        <v>111</v>
      </c>
      <c r="I83" s="65"/>
      <c r="J83" s="63" t="s">
        <v>113</v>
      </c>
      <c r="K83" s="63" t="s">
        <v>114</v>
      </c>
      <c r="L83" s="63" t="s">
        <v>512</v>
      </c>
      <c r="M83" s="63" t="s">
        <v>513</v>
      </c>
      <c r="N83" s="64">
        <v>44317</v>
      </c>
      <c r="O83" s="82" t="s">
        <v>514</v>
      </c>
      <c r="P83" s="64">
        <v>46295</v>
      </c>
      <c r="Q83" s="58" t="s">
        <v>83</v>
      </c>
      <c r="R83" s="58" t="s">
        <v>84</v>
      </c>
      <c r="S83" s="30">
        <v>3722714</v>
      </c>
      <c r="T83" s="30">
        <v>95.27</v>
      </c>
      <c r="U83" s="30">
        <v>0</v>
      </c>
      <c r="V83" s="30">
        <v>372271</v>
      </c>
      <c r="W83" s="30">
        <v>0</v>
      </c>
      <c r="X83" s="30">
        <v>0</v>
      </c>
      <c r="Y83" s="90" t="s">
        <v>155</v>
      </c>
    </row>
    <row r="84" spans="1:26" x14ac:dyDescent="0.3">
      <c r="A84" s="63" t="s">
        <v>77</v>
      </c>
      <c r="B84" s="105" t="s">
        <v>526</v>
      </c>
      <c r="C84" s="65" t="s">
        <v>527</v>
      </c>
      <c r="D84" s="64">
        <v>42534</v>
      </c>
      <c r="E84" s="64">
        <v>46185</v>
      </c>
      <c r="F84" s="63" t="s">
        <v>80</v>
      </c>
      <c r="G84" s="63" t="s">
        <v>528</v>
      </c>
      <c r="H84" s="63" t="s">
        <v>111</v>
      </c>
      <c r="I84" s="65"/>
      <c r="J84" s="63" t="s">
        <v>113</v>
      </c>
      <c r="K84" s="63" t="s">
        <v>114</v>
      </c>
      <c r="L84" s="63" t="s">
        <v>529</v>
      </c>
      <c r="M84" s="63" t="s">
        <v>131</v>
      </c>
      <c r="N84" s="64">
        <v>44317</v>
      </c>
      <c r="O84" s="82" t="s">
        <v>530</v>
      </c>
      <c r="P84" s="64">
        <v>46185</v>
      </c>
      <c r="Q84" s="58" t="s">
        <v>83</v>
      </c>
      <c r="R84" s="58" t="s">
        <v>84</v>
      </c>
      <c r="S84" s="30">
        <v>10682486</v>
      </c>
      <c r="T84" s="30">
        <v>296</v>
      </c>
      <c r="U84" s="30">
        <v>0</v>
      </c>
      <c r="V84" s="30">
        <v>0</v>
      </c>
      <c r="W84" s="30">
        <v>0</v>
      </c>
      <c r="X84" s="30">
        <v>0</v>
      </c>
      <c r="Y84" s="59"/>
    </row>
    <row r="85" spans="1:26" x14ac:dyDescent="0.3">
      <c r="A85" s="63" t="s">
        <v>77</v>
      </c>
      <c r="B85" s="105" t="s">
        <v>531</v>
      </c>
      <c r="C85" s="65" t="s">
        <v>532</v>
      </c>
      <c r="D85" s="64">
        <v>43586</v>
      </c>
      <c r="E85" s="64">
        <v>46142</v>
      </c>
      <c r="F85" s="63" t="s">
        <v>80</v>
      </c>
      <c r="G85" s="63" t="s">
        <v>533</v>
      </c>
      <c r="H85" s="63" t="s">
        <v>111</v>
      </c>
      <c r="I85" s="65"/>
      <c r="J85" s="63" t="s">
        <v>113</v>
      </c>
      <c r="K85" s="63" t="s">
        <v>114</v>
      </c>
      <c r="L85" s="63" t="s">
        <v>534</v>
      </c>
      <c r="M85" s="63" t="s">
        <v>174</v>
      </c>
      <c r="N85" s="64">
        <v>44317</v>
      </c>
      <c r="O85" s="82" t="s">
        <v>535</v>
      </c>
      <c r="P85" s="64">
        <v>46142</v>
      </c>
      <c r="Q85" s="58" t="s">
        <v>83</v>
      </c>
      <c r="R85" s="58" t="s">
        <v>84</v>
      </c>
      <c r="S85" s="30">
        <v>2339208</v>
      </c>
      <c r="T85" s="30">
        <v>69.99999401506885</v>
      </c>
      <c r="U85" s="30">
        <v>0</v>
      </c>
      <c r="V85" s="30">
        <v>0</v>
      </c>
      <c r="W85" s="30">
        <v>0</v>
      </c>
      <c r="X85" s="30">
        <v>0</v>
      </c>
      <c r="Y85" s="59"/>
    </row>
    <row r="86" spans="1:26" x14ac:dyDescent="0.3">
      <c r="A86" s="63" t="s">
        <v>77</v>
      </c>
      <c r="B86" s="105" t="s">
        <v>536</v>
      </c>
      <c r="C86" s="65" t="s">
        <v>537</v>
      </c>
      <c r="D86" s="64">
        <v>43356</v>
      </c>
      <c r="E86" s="64">
        <v>47008</v>
      </c>
      <c r="F86" s="63" t="s">
        <v>80</v>
      </c>
      <c r="G86" s="63" t="s">
        <v>538</v>
      </c>
      <c r="H86" s="63" t="s">
        <v>111</v>
      </c>
      <c r="I86" s="65"/>
      <c r="J86" s="63" t="s">
        <v>113</v>
      </c>
      <c r="K86" s="63" t="s">
        <v>114</v>
      </c>
      <c r="L86" s="63" t="s">
        <v>539</v>
      </c>
      <c r="M86" s="63" t="s">
        <v>131</v>
      </c>
      <c r="N86" s="64">
        <v>44317</v>
      </c>
      <c r="O86" s="82" t="s">
        <v>540</v>
      </c>
      <c r="P86" s="64">
        <v>47008</v>
      </c>
      <c r="Q86" s="58" t="s">
        <v>83</v>
      </c>
      <c r="R86" s="58" t="s">
        <v>84</v>
      </c>
      <c r="S86" s="30">
        <v>7449452</v>
      </c>
      <c r="T86" s="30">
        <v>205.8</v>
      </c>
      <c r="U86" s="30">
        <v>0</v>
      </c>
      <c r="V86" s="30">
        <v>744945</v>
      </c>
      <c r="W86" s="30">
        <v>372473</v>
      </c>
      <c r="X86" s="30">
        <v>0</v>
      </c>
      <c r="Y86" s="59"/>
    </row>
    <row r="87" spans="1:26" x14ac:dyDescent="0.3">
      <c r="A87" s="63" t="s">
        <v>77</v>
      </c>
      <c r="B87" s="105" t="s">
        <v>541</v>
      </c>
      <c r="C87" s="65" t="s">
        <v>542</v>
      </c>
      <c r="D87" s="64">
        <v>40330</v>
      </c>
      <c r="E87" s="64">
        <v>46173</v>
      </c>
      <c r="F87" s="63" t="s">
        <v>80</v>
      </c>
      <c r="G87" s="63" t="s">
        <v>543</v>
      </c>
      <c r="H87" s="63" t="s">
        <v>111</v>
      </c>
      <c r="I87" s="65"/>
      <c r="J87" s="63" t="s">
        <v>113</v>
      </c>
      <c r="K87" s="63" t="s">
        <v>114</v>
      </c>
      <c r="L87" s="63" t="s">
        <v>544</v>
      </c>
      <c r="M87" s="63" t="s">
        <v>545</v>
      </c>
      <c r="N87" s="64">
        <v>44317</v>
      </c>
      <c r="O87" s="82" t="s">
        <v>546</v>
      </c>
      <c r="P87" s="64">
        <v>46173</v>
      </c>
      <c r="Q87" s="58" t="s">
        <v>83</v>
      </c>
      <c r="R87" s="58" t="s">
        <v>84</v>
      </c>
      <c r="S87" s="30">
        <v>7567368</v>
      </c>
      <c r="T87" s="30">
        <v>254.3</v>
      </c>
      <c r="U87" s="30">
        <v>0</v>
      </c>
      <c r="V87" s="30">
        <v>0</v>
      </c>
      <c r="W87" s="30">
        <v>0</v>
      </c>
      <c r="X87" s="30">
        <v>0</v>
      </c>
      <c r="Y87" s="59"/>
    </row>
    <row r="88" spans="1:26" x14ac:dyDescent="0.3">
      <c r="A88" s="63" t="s">
        <v>77</v>
      </c>
      <c r="B88" s="105" t="s">
        <v>547</v>
      </c>
      <c r="C88" s="65" t="s">
        <v>548</v>
      </c>
      <c r="D88" s="64">
        <v>42355</v>
      </c>
      <c r="E88" s="64">
        <v>46752</v>
      </c>
      <c r="F88" s="63" t="s">
        <v>80</v>
      </c>
      <c r="G88" s="63" t="s">
        <v>549</v>
      </c>
      <c r="H88" s="63" t="s">
        <v>111</v>
      </c>
      <c r="I88" s="65"/>
      <c r="J88" s="63" t="s">
        <v>113</v>
      </c>
      <c r="K88" s="63" t="s">
        <v>114</v>
      </c>
      <c r="L88" s="63" t="s">
        <v>550</v>
      </c>
      <c r="M88" s="63" t="s">
        <v>352</v>
      </c>
      <c r="N88" s="64">
        <v>44317</v>
      </c>
      <c r="O88" s="82" t="s">
        <v>551</v>
      </c>
      <c r="P88" s="64">
        <v>46752</v>
      </c>
      <c r="Q88" s="58" t="s">
        <v>83</v>
      </c>
      <c r="R88" s="58" t="s">
        <v>84</v>
      </c>
      <c r="S88" s="30">
        <v>22398987</v>
      </c>
      <c r="T88" s="30">
        <v>621.34749999999997</v>
      </c>
      <c r="U88" s="30">
        <v>0</v>
      </c>
      <c r="V88" s="30">
        <v>2239899</v>
      </c>
      <c r="W88" s="30">
        <v>0</v>
      </c>
      <c r="X88" s="30">
        <v>0</v>
      </c>
      <c r="Y88" s="59"/>
    </row>
    <row r="89" spans="1:26" x14ac:dyDescent="0.3">
      <c r="A89" s="63" t="s">
        <v>77</v>
      </c>
      <c r="B89" s="105" t="s">
        <v>552</v>
      </c>
      <c r="C89" s="65" t="s">
        <v>553</v>
      </c>
      <c r="D89" s="64">
        <v>42309</v>
      </c>
      <c r="E89" s="64">
        <v>46295</v>
      </c>
      <c r="F89" s="63" t="s">
        <v>80</v>
      </c>
      <c r="G89" s="63" t="s">
        <v>554</v>
      </c>
      <c r="H89" s="63" t="s">
        <v>111</v>
      </c>
      <c r="I89" s="65"/>
      <c r="J89" s="63" t="s">
        <v>113</v>
      </c>
      <c r="K89" s="63" t="s">
        <v>114</v>
      </c>
      <c r="L89" s="63" t="s">
        <v>555</v>
      </c>
      <c r="M89" s="63" t="s">
        <v>410</v>
      </c>
      <c r="N89" s="64">
        <v>44317</v>
      </c>
      <c r="O89" s="82" t="s">
        <v>556</v>
      </c>
      <c r="P89" s="64">
        <v>46295</v>
      </c>
      <c r="Q89" s="58" t="s">
        <v>83</v>
      </c>
      <c r="R89" s="58" t="s">
        <v>84</v>
      </c>
      <c r="S89" s="30">
        <v>5807485</v>
      </c>
      <c r="T89" s="30">
        <v>148.19</v>
      </c>
      <c r="U89" s="30">
        <v>0</v>
      </c>
      <c r="V89" s="30">
        <v>580749</v>
      </c>
      <c r="W89" s="30">
        <v>0</v>
      </c>
      <c r="X89" s="30">
        <v>0</v>
      </c>
      <c r="Y89" s="90" t="s">
        <v>155</v>
      </c>
      <c r="Z89" s="145"/>
    </row>
    <row r="90" spans="1:26" x14ac:dyDescent="0.3">
      <c r="A90" s="63" t="s">
        <v>77</v>
      </c>
      <c r="B90" s="105" t="s">
        <v>557</v>
      </c>
      <c r="C90" s="65" t="s">
        <v>558</v>
      </c>
      <c r="D90" s="64">
        <v>41548</v>
      </c>
      <c r="E90" s="64">
        <v>46295</v>
      </c>
      <c r="F90" s="63" t="s">
        <v>80</v>
      </c>
      <c r="G90" s="63" t="s">
        <v>559</v>
      </c>
      <c r="H90" s="63" t="s">
        <v>111</v>
      </c>
      <c r="I90" s="65"/>
      <c r="J90" s="63" t="s">
        <v>113</v>
      </c>
      <c r="K90" s="63" t="s">
        <v>114</v>
      </c>
      <c r="L90" s="63" t="s">
        <v>560</v>
      </c>
      <c r="M90" s="63" t="s">
        <v>561</v>
      </c>
      <c r="N90" s="64">
        <v>44317</v>
      </c>
      <c r="O90" s="82" t="s">
        <v>562</v>
      </c>
      <c r="P90" s="64">
        <v>46295</v>
      </c>
      <c r="Q90" s="58" t="s">
        <v>83</v>
      </c>
      <c r="R90" s="58" t="s">
        <v>84</v>
      </c>
      <c r="S90" s="30">
        <v>9094802</v>
      </c>
      <c r="T90" s="30">
        <v>232.75</v>
      </c>
      <c r="U90" s="30">
        <v>0</v>
      </c>
      <c r="V90" s="30">
        <v>909480</v>
      </c>
      <c r="W90" s="30">
        <v>0</v>
      </c>
      <c r="X90" s="30">
        <v>0</v>
      </c>
      <c r="Y90" s="59"/>
    </row>
    <row r="91" spans="1:26" x14ac:dyDescent="0.3">
      <c r="A91" s="63" t="s">
        <v>77</v>
      </c>
      <c r="B91" s="105" t="s">
        <v>563</v>
      </c>
      <c r="C91" s="65" t="s">
        <v>564</v>
      </c>
      <c r="D91" s="64">
        <v>40797</v>
      </c>
      <c r="E91" s="64">
        <v>47006</v>
      </c>
      <c r="F91" s="63" t="s">
        <v>80</v>
      </c>
      <c r="G91" s="63" t="s">
        <v>565</v>
      </c>
      <c r="H91" s="63" t="s">
        <v>111</v>
      </c>
      <c r="I91" s="65"/>
      <c r="J91" s="63" t="s">
        <v>113</v>
      </c>
      <c r="K91" s="63" t="s">
        <v>114</v>
      </c>
      <c r="L91" s="63" t="s">
        <v>566</v>
      </c>
      <c r="M91" s="63" t="s">
        <v>545</v>
      </c>
      <c r="N91" s="64">
        <v>44317</v>
      </c>
      <c r="O91" s="82" t="s">
        <v>567</v>
      </c>
      <c r="P91" s="64">
        <v>47006</v>
      </c>
      <c r="Q91" s="58" t="s">
        <v>83</v>
      </c>
      <c r="R91" s="58" t="s">
        <v>84</v>
      </c>
      <c r="S91" s="30">
        <v>4734054</v>
      </c>
      <c r="T91" s="30">
        <v>126</v>
      </c>
      <c r="U91" s="30">
        <v>0</v>
      </c>
      <c r="V91" s="30">
        <v>236703</v>
      </c>
      <c r="W91" s="30">
        <v>1708017</v>
      </c>
      <c r="X91" s="30">
        <v>0</v>
      </c>
      <c r="Y91" s="90" t="s">
        <v>125</v>
      </c>
    </row>
    <row r="92" spans="1:26" x14ac:dyDescent="0.3">
      <c r="A92" s="63" t="s">
        <v>77</v>
      </c>
      <c r="B92" s="105" t="s">
        <v>568</v>
      </c>
      <c r="C92" s="65" t="s">
        <v>569</v>
      </c>
      <c r="D92" s="64">
        <v>43087</v>
      </c>
      <c r="E92" s="64">
        <v>46738</v>
      </c>
      <c r="F92" s="63" t="s">
        <v>80</v>
      </c>
      <c r="G92" s="63" t="s">
        <v>570</v>
      </c>
      <c r="H92" s="63" t="s">
        <v>111</v>
      </c>
      <c r="I92" s="65"/>
      <c r="J92" s="63" t="s">
        <v>113</v>
      </c>
      <c r="K92" s="63" t="s">
        <v>114</v>
      </c>
      <c r="L92" s="63" t="s">
        <v>571</v>
      </c>
      <c r="M92" s="63" t="s">
        <v>131</v>
      </c>
      <c r="N92" s="64">
        <v>44317</v>
      </c>
      <c r="O92" s="82" t="s">
        <v>572</v>
      </c>
      <c r="P92" s="64">
        <v>46738</v>
      </c>
      <c r="Q92" s="58" t="s">
        <v>83</v>
      </c>
      <c r="R92" s="58" t="s">
        <v>84</v>
      </c>
      <c r="S92" s="30">
        <v>3669900</v>
      </c>
      <c r="T92" s="30">
        <v>104</v>
      </c>
      <c r="U92" s="30">
        <v>0</v>
      </c>
      <c r="V92" s="30">
        <v>366990</v>
      </c>
      <c r="W92" s="30">
        <v>0</v>
      </c>
      <c r="X92" s="30">
        <v>0</v>
      </c>
      <c r="Y92" s="59"/>
    </row>
    <row r="93" spans="1:26" x14ac:dyDescent="0.3">
      <c r="A93" s="63" t="s">
        <v>77</v>
      </c>
      <c r="B93" s="105" t="s">
        <v>573</v>
      </c>
      <c r="C93" s="65" t="s">
        <v>574</v>
      </c>
      <c r="D93" s="64">
        <v>43739</v>
      </c>
      <c r="E93" s="64">
        <v>46537</v>
      </c>
      <c r="F93" s="63" t="s">
        <v>80</v>
      </c>
      <c r="G93" s="63" t="s">
        <v>575</v>
      </c>
      <c r="H93" s="63" t="s">
        <v>111</v>
      </c>
      <c r="I93" s="65"/>
      <c r="J93" s="63" t="s">
        <v>113</v>
      </c>
      <c r="K93" s="63" t="s">
        <v>114</v>
      </c>
      <c r="L93" s="63" t="s">
        <v>576</v>
      </c>
      <c r="M93" s="63" t="s">
        <v>116</v>
      </c>
      <c r="N93" s="64">
        <v>44317</v>
      </c>
      <c r="O93" s="82" t="s">
        <v>577</v>
      </c>
      <c r="P93" s="64">
        <v>46537</v>
      </c>
      <c r="Q93" s="58" t="s">
        <v>83</v>
      </c>
      <c r="R93" s="58" t="s">
        <v>84</v>
      </c>
      <c r="S93" s="30">
        <v>5986227</v>
      </c>
      <c r="T93" s="30">
        <v>152</v>
      </c>
      <c r="U93" s="30">
        <v>0</v>
      </c>
      <c r="V93" s="30">
        <v>0</v>
      </c>
      <c r="W93" s="30">
        <v>0</v>
      </c>
      <c r="X93" s="30">
        <v>0</v>
      </c>
      <c r="Y93" s="59"/>
      <c r="Z93" s="145"/>
    </row>
    <row r="94" spans="1:26" x14ac:dyDescent="0.3">
      <c r="A94" s="63" t="s">
        <v>77</v>
      </c>
      <c r="B94" s="105" t="s">
        <v>578</v>
      </c>
      <c r="C94" s="65" t="s">
        <v>579</v>
      </c>
      <c r="D94" s="64">
        <v>43647</v>
      </c>
      <c r="E94" s="64">
        <v>46295</v>
      </c>
      <c r="F94" s="63" t="s">
        <v>80</v>
      </c>
      <c r="G94" s="63" t="s">
        <v>580</v>
      </c>
      <c r="H94" s="63" t="s">
        <v>111</v>
      </c>
      <c r="I94" s="65"/>
      <c r="J94" s="63" t="s">
        <v>113</v>
      </c>
      <c r="K94" s="63" t="s">
        <v>114</v>
      </c>
      <c r="L94" s="63" t="s">
        <v>581</v>
      </c>
      <c r="M94" s="63" t="s">
        <v>582</v>
      </c>
      <c r="N94" s="64">
        <v>44317</v>
      </c>
      <c r="O94" s="82" t="s">
        <v>583</v>
      </c>
      <c r="P94" s="64">
        <v>46295</v>
      </c>
      <c r="Q94" s="58" t="s">
        <v>83</v>
      </c>
      <c r="R94" s="58" t="s">
        <v>84</v>
      </c>
      <c r="S94" s="30">
        <v>8491178</v>
      </c>
      <c r="T94" s="30">
        <v>216.67</v>
      </c>
      <c r="U94" s="30">
        <v>0</v>
      </c>
      <c r="V94" s="30">
        <v>849118</v>
      </c>
      <c r="W94" s="30">
        <v>0</v>
      </c>
      <c r="X94" s="30">
        <v>0</v>
      </c>
      <c r="Y94" s="87" t="s">
        <v>155</v>
      </c>
      <c r="Z94" s="145"/>
    </row>
    <row r="95" spans="1:26" x14ac:dyDescent="0.3">
      <c r="A95" s="63" t="s">
        <v>77</v>
      </c>
      <c r="B95" s="105" t="s">
        <v>584</v>
      </c>
      <c r="C95" s="65" t="s">
        <v>585</v>
      </c>
      <c r="D95" s="64">
        <v>43101</v>
      </c>
      <c r="E95" s="64">
        <v>46752</v>
      </c>
      <c r="F95" s="63" t="s">
        <v>80</v>
      </c>
      <c r="G95" s="63" t="s">
        <v>586</v>
      </c>
      <c r="H95" s="63" t="s">
        <v>111</v>
      </c>
      <c r="I95" s="65"/>
      <c r="J95" s="63" t="s">
        <v>113</v>
      </c>
      <c r="K95" s="63" t="s">
        <v>114</v>
      </c>
      <c r="L95" s="63" t="s">
        <v>587</v>
      </c>
      <c r="M95" s="63" t="s">
        <v>131</v>
      </c>
      <c r="N95" s="64">
        <v>44317</v>
      </c>
      <c r="O95" s="82" t="s">
        <v>588</v>
      </c>
      <c r="P95" s="64">
        <v>46752</v>
      </c>
      <c r="Q95" s="58" t="s">
        <v>83</v>
      </c>
      <c r="R95" s="58" t="s">
        <v>84</v>
      </c>
      <c r="S95" s="30">
        <v>3511098</v>
      </c>
      <c r="T95" s="30">
        <v>100</v>
      </c>
      <c r="U95" s="30">
        <v>0</v>
      </c>
      <c r="V95" s="30">
        <v>351110</v>
      </c>
      <c r="W95" s="30">
        <v>0</v>
      </c>
      <c r="X95" s="30">
        <v>0</v>
      </c>
      <c r="Y95" s="59"/>
    </row>
    <row r="96" spans="1:26" x14ac:dyDescent="0.3">
      <c r="A96" s="63" t="s">
        <v>77</v>
      </c>
      <c r="B96" s="105" t="s">
        <v>594</v>
      </c>
      <c r="C96" s="65" t="s">
        <v>595</v>
      </c>
      <c r="D96" s="64">
        <v>41548</v>
      </c>
      <c r="E96" s="64">
        <v>46295</v>
      </c>
      <c r="F96" s="63" t="s">
        <v>80</v>
      </c>
      <c r="G96" s="63" t="s">
        <v>596</v>
      </c>
      <c r="H96" s="63" t="s">
        <v>111</v>
      </c>
      <c r="I96" s="65"/>
      <c r="J96" s="63" t="s">
        <v>113</v>
      </c>
      <c r="K96" s="63" t="s">
        <v>114</v>
      </c>
      <c r="L96" s="63" t="s">
        <v>597</v>
      </c>
      <c r="M96" s="63" t="s">
        <v>561</v>
      </c>
      <c r="N96" s="64">
        <v>44317</v>
      </c>
      <c r="O96" s="82" t="s">
        <v>598</v>
      </c>
      <c r="P96" s="64">
        <v>46295</v>
      </c>
      <c r="Q96" s="58" t="s">
        <v>83</v>
      </c>
      <c r="R96" s="58" t="s">
        <v>84</v>
      </c>
      <c r="S96" s="30">
        <v>16048271</v>
      </c>
      <c r="T96" s="30">
        <v>410.7</v>
      </c>
      <c r="U96" s="30">
        <v>0</v>
      </c>
      <c r="V96" s="30">
        <v>1604827</v>
      </c>
      <c r="W96" s="30">
        <v>0</v>
      </c>
      <c r="X96" s="30">
        <v>0</v>
      </c>
      <c r="Y96" s="59"/>
    </row>
    <row r="97" spans="1:26" x14ac:dyDescent="0.3">
      <c r="A97" s="63" t="s">
        <v>77</v>
      </c>
      <c r="B97" s="105" t="s">
        <v>599</v>
      </c>
      <c r="C97" s="65" t="s">
        <v>600</v>
      </c>
      <c r="D97" s="64">
        <v>41800</v>
      </c>
      <c r="E97" s="64">
        <v>46387</v>
      </c>
      <c r="F97" s="63" t="s">
        <v>80</v>
      </c>
      <c r="G97" s="63" t="s">
        <v>601</v>
      </c>
      <c r="H97" s="63" t="s">
        <v>111</v>
      </c>
      <c r="I97" s="65"/>
      <c r="J97" s="63" t="s">
        <v>113</v>
      </c>
      <c r="K97" s="63" t="s">
        <v>114</v>
      </c>
      <c r="L97" s="63" t="s">
        <v>602</v>
      </c>
      <c r="M97" s="63" t="s">
        <v>603</v>
      </c>
      <c r="N97" s="64">
        <v>44317</v>
      </c>
      <c r="O97" s="82" t="s">
        <v>604</v>
      </c>
      <c r="P97" s="64">
        <v>46387</v>
      </c>
      <c r="Q97" s="58" t="s">
        <v>83</v>
      </c>
      <c r="R97" s="58" t="s">
        <v>84</v>
      </c>
      <c r="S97" s="30">
        <v>5987978</v>
      </c>
      <c r="T97" s="30">
        <v>172.01</v>
      </c>
      <c r="U97" s="30">
        <v>0</v>
      </c>
      <c r="V97" s="30">
        <v>598798</v>
      </c>
      <c r="W97" s="30">
        <v>0</v>
      </c>
      <c r="X97" s="30">
        <v>0</v>
      </c>
      <c r="Y97" s="59"/>
    </row>
    <row r="98" spans="1:26" x14ac:dyDescent="0.3">
      <c r="A98" s="63" t="s">
        <v>77</v>
      </c>
      <c r="B98" s="105" t="s">
        <v>1701</v>
      </c>
      <c r="C98" s="65" t="s">
        <v>1702</v>
      </c>
      <c r="D98" s="64">
        <v>42781</v>
      </c>
      <c r="E98" s="64">
        <v>46691</v>
      </c>
      <c r="F98" s="63" t="s">
        <v>80</v>
      </c>
      <c r="G98" s="63" t="s">
        <v>1703</v>
      </c>
      <c r="H98" s="63" t="s">
        <v>111</v>
      </c>
      <c r="I98" s="65"/>
      <c r="J98" s="63" t="s">
        <v>113</v>
      </c>
      <c r="K98" s="63" t="s">
        <v>114</v>
      </c>
      <c r="L98" s="63" t="s">
        <v>1704</v>
      </c>
      <c r="M98" s="63" t="s">
        <v>1637</v>
      </c>
      <c r="N98" s="64">
        <v>44317</v>
      </c>
      <c r="O98" s="82" t="s">
        <v>1705</v>
      </c>
      <c r="P98" s="64">
        <v>46691</v>
      </c>
      <c r="Q98" s="58" t="s">
        <v>83</v>
      </c>
      <c r="R98" s="58" t="s">
        <v>84</v>
      </c>
      <c r="S98" s="30">
        <v>5180129</v>
      </c>
      <c r="T98" s="30">
        <v>130.38999999999999</v>
      </c>
      <c r="U98" s="30">
        <v>0</v>
      </c>
      <c r="V98" s="30">
        <v>0</v>
      </c>
      <c r="W98" s="30">
        <v>0</v>
      </c>
      <c r="X98" s="30">
        <v>0</v>
      </c>
      <c r="Y98" s="59"/>
      <c r="Z98" s="145"/>
    </row>
    <row r="99" spans="1:26" x14ac:dyDescent="0.3">
      <c r="A99" s="63" t="s">
        <v>77</v>
      </c>
      <c r="B99" s="105" t="s">
        <v>605</v>
      </c>
      <c r="C99" s="65" t="s">
        <v>606</v>
      </c>
      <c r="D99" s="64">
        <v>41640</v>
      </c>
      <c r="E99" s="64">
        <v>46295</v>
      </c>
      <c r="F99" s="63" t="s">
        <v>80</v>
      </c>
      <c r="G99" s="63" t="s">
        <v>607</v>
      </c>
      <c r="H99" s="63" t="s">
        <v>111</v>
      </c>
      <c r="I99" s="65"/>
      <c r="J99" s="63" t="s">
        <v>113</v>
      </c>
      <c r="K99" s="63" t="s">
        <v>114</v>
      </c>
      <c r="L99" s="63" t="s">
        <v>608</v>
      </c>
      <c r="M99" s="63" t="s">
        <v>609</v>
      </c>
      <c r="N99" s="64">
        <v>44317</v>
      </c>
      <c r="O99" s="82" t="s">
        <v>610</v>
      </c>
      <c r="P99" s="64">
        <v>46295</v>
      </c>
      <c r="Q99" s="58" t="s">
        <v>83</v>
      </c>
      <c r="R99" s="58" t="s">
        <v>84</v>
      </c>
      <c r="S99" s="30">
        <v>9816915</v>
      </c>
      <c r="T99" s="30">
        <v>251.23</v>
      </c>
      <c r="U99" s="30">
        <v>0</v>
      </c>
      <c r="V99" s="30">
        <v>981692</v>
      </c>
      <c r="W99" s="30">
        <v>0</v>
      </c>
      <c r="X99" s="30">
        <v>0</v>
      </c>
      <c r="Y99" s="59"/>
    </row>
    <row r="100" spans="1:26" x14ac:dyDescent="0.3">
      <c r="A100" s="63" t="s">
        <v>77</v>
      </c>
      <c r="B100" s="105" t="s">
        <v>1711</v>
      </c>
      <c r="C100" s="65" t="s">
        <v>1712</v>
      </c>
      <c r="D100" s="64">
        <v>42856</v>
      </c>
      <c r="E100" s="64">
        <v>46691</v>
      </c>
      <c r="F100" s="63" t="s">
        <v>80</v>
      </c>
      <c r="G100" s="63" t="s">
        <v>1713</v>
      </c>
      <c r="H100" s="63" t="s">
        <v>111</v>
      </c>
      <c r="I100" s="65"/>
      <c r="J100" s="63" t="s">
        <v>113</v>
      </c>
      <c r="K100" s="63" t="s">
        <v>114</v>
      </c>
      <c r="L100" s="63" t="s">
        <v>1714</v>
      </c>
      <c r="M100" s="63" t="s">
        <v>410</v>
      </c>
      <c r="N100" s="64">
        <v>44317</v>
      </c>
      <c r="O100" s="82" t="s">
        <v>1715</v>
      </c>
      <c r="P100" s="64">
        <v>46691</v>
      </c>
      <c r="Q100" s="58" t="s">
        <v>83</v>
      </c>
      <c r="R100" s="58" t="s">
        <v>84</v>
      </c>
      <c r="S100" s="30">
        <v>3541748</v>
      </c>
      <c r="T100" s="30">
        <v>89.15</v>
      </c>
      <c r="U100" s="30">
        <v>0</v>
      </c>
      <c r="V100" s="30">
        <v>354175</v>
      </c>
      <c r="W100" s="30">
        <v>0</v>
      </c>
      <c r="X100" s="30">
        <v>0</v>
      </c>
      <c r="Y100" s="59"/>
      <c r="Z100" s="145"/>
    </row>
    <row r="101" spans="1:26" x14ac:dyDescent="0.3">
      <c r="A101" s="63" t="s">
        <v>77</v>
      </c>
      <c r="B101" s="105" t="s">
        <v>611</v>
      </c>
      <c r="C101" s="65" t="s">
        <v>612</v>
      </c>
      <c r="D101" s="64">
        <v>43647</v>
      </c>
      <c r="E101" s="64">
        <v>46389</v>
      </c>
      <c r="F101" s="63" t="s">
        <v>80</v>
      </c>
      <c r="G101" s="63" t="s">
        <v>613</v>
      </c>
      <c r="H101" s="63" t="s">
        <v>111</v>
      </c>
      <c r="I101" s="65"/>
      <c r="J101" s="63" t="s">
        <v>113</v>
      </c>
      <c r="K101" s="63" t="s">
        <v>114</v>
      </c>
      <c r="L101" s="63" t="s">
        <v>614</v>
      </c>
      <c r="M101" s="63" t="s">
        <v>131</v>
      </c>
      <c r="N101" s="64">
        <v>44317</v>
      </c>
      <c r="O101" s="82" t="s">
        <v>615</v>
      </c>
      <c r="P101" s="64">
        <v>46389</v>
      </c>
      <c r="Q101" s="58" t="s">
        <v>83</v>
      </c>
      <c r="R101" s="58" t="s">
        <v>84</v>
      </c>
      <c r="S101" s="30">
        <v>4325886</v>
      </c>
      <c r="T101" s="30">
        <v>120</v>
      </c>
      <c r="U101" s="30">
        <v>0</v>
      </c>
      <c r="V101" s="30">
        <v>0</v>
      </c>
      <c r="W101" s="30">
        <v>0</v>
      </c>
      <c r="X101" s="30">
        <v>0</v>
      </c>
      <c r="Y101" s="59"/>
    </row>
    <row r="102" spans="1:26" x14ac:dyDescent="0.3">
      <c r="A102" s="63" t="s">
        <v>77</v>
      </c>
      <c r="B102" s="105" t="s">
        <v>616</v>
      </c>
      <c r="C102" s="65" t="s">
        <v>617</v>
      </c>
      <c r="D102" s="64">
        <v>43901</v>
      </c>
      <c r="E102" s="64">
        <v>47087</v>
      </c>
      <c r="F102" s="63" t="s">
        <v>80</v>
      </c>
      <c r="G102" s="63" t="s">
        <v>618</v>
      </c>
      <c r="H102" s="63" t="s">
        <v>111</v>
      </c>
      <c r="I102" s="65"/>
      <c r="J102" s="63" t="s">
        <v>113</v>
      </c>
      <c r="K102" s="63" t="s">
        <v>114</v>
      </c>
      <c r="L102" s="63" t="s">
        <v>619</v>
      </c>
      <c r="M102" s="63" t="s">
        <v>139</v>
      </c>
      <c r="N102" s="64">
        <v>44317</v>
      </c>
      <c r="O102" s="82" t="s">
        <v>620</v>
      </c>
      <c r="P102" s="64">
        <v>46752</v>
      </c>
      <c r="Q102" s="58" t="s">
        <v>83</v>
      </c>
      <c r="R102" s="58" t="s">
        <v>84</v>
      </c>
      <c r="S102" s="30">
        <v>4660199</v>
      </c>
      <c r="T102" s="30">
        <v>118.33</v>
      </c>
      <c r="U102" s="30">
        <v>0</v>
      </c>
      <c r="V102" s="30">
        <v>466020</v>
      </c>
      <c r="W102" s="30">
        <v>0</v>
      </c>
      <c r="X102" s="30">
        <v>0</v>
      </c>
      <c r="Y102" s="90" t="s">
        <v>155</v>
      </c>
      <c r="Z102" s="145"/>
    </row>
    <row r="103" spans="1:26" x14ac:dyDescent="0.3">
      <c r="A103" s="63" t="s">
        <v>77</v>
      </c>
      <c r="B103" s="105" t="s">
        <v>1725</v>
      </c>
      <c r="C103" s="65" t="s">
        <v>1726</v>
      </c>
      <c r="D103" s="64">
        <v>44394</v>
      </c>
      <c r="E103" s="64">
        <v>47256</v>
      </c>
      <c r="F103" s="63" t="s">
        <v>80</v>
      </c>
      <c r="G103" s="63" t="s">
        <v>1727</v>
      </c>
      <c r="H103" s="63" t="s">
        <v>111</v>
      </c>
      <c r="I103" s="65"/>
      <c r="J103" s="63" t="s">
        <v>113</v>
      </c>
      <c r="K103" s="65" t="s">
        <v>114</v>
      </c>
      <c r="L103" s="63" t="s">
        <v>1728</v>
      </c>
      <c r="M103" s="63" t="s">
        <v>1729</v>
      </c>
      <c r="N103" s="64">
        <v>44636</v>
      </c>
      <c r="O103" s="82" t="s">
        <v>1730</v>
      </c>
      <c r="P103" s="64">
        <v>47256</v>
      </c>
      <c r="Q103" s="58" t="s">
        <v>83</v>
      </c>
      <c r="R103" s="58" t="s">
        <v>84</v>
      </c>
      <c r="S103" s="30">
        <v>10180433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59"/>
    </row>
    <row r="104" spans="1:26" x14ac:dyDescent="0.3">
      <c r="A104" s="63" t="s">
        <v>77</v>
      </c>
      <c r="B104" s="105" t="s">
        <v>621</v>
      </c>
      <c r="C104" s="65" t="s">
        <v>622</v>
      </c>
      <c r="D104" s="64">
        <v>44440</v>
      </c>
      <c r="E104" s="64">
        <v>46265</v>
      </c>
      <c r="F104" s="63" t="s">
        <v>80</v>
      </c>
      <c r="G104" s="71" t="s">
        <v>623</v>
      </c>
      <c r="H104" s="63" t="s">
        <v>111</v>
      </c>
      <c r="J104" s="63" t="s">
        <v>113</v>
      </c>
      <c r="K104" s="63" t="s">
        <v>114</v>
      </c>
      <c r="L104" s="63" t="s">
        <v>624</v>
      </c>
      <c r="M104" s="71" t="s">
        <v>131</v>
      </c>
      <c r="N104" s="70">
        <v>44468</v>
      </c>
      <c r="O104" s="82" t="s">
        <v>625</v>
      </c>
      <c r="P104" s="64">
        <v>46265</v>
      </c>
      <c r="Q104" s="58" t="s">
        <v>83</v>
      </c>
      <c r="R104" s="58" t="s">
        <v>84</v>
      </c>
      <c r="S104" s="30">
        <v>9116776</v>
      </c>
      <c r="T104" s="30">
        <v>303</v>
      </c>
      <c r="U104" s="30">
        <v>0</v>
      </c>
      <c r="V104" s="30">
        <v>0</v>
      </c>
      <c r="W104" s="30">
        <v>0</v>
      </c>
      <c r="X104" s="30">
        <v>0</v>
      </c>
      <c r="Y104" s="59"/>
    </row>
    <row r="105" spans="1:26" x14ac:dyDescent="0.3">
      <c r="A105" s="63" t="s">
        <v>77</v>
      </c>
      <c r="B105" s="105" t="s">
        <v>626</v>
      </c>
      <c r="C105" s="65" t="s">
        <v>627</v>
      </c>
      <c r="D105" s="64">
        <v>43831</v>
      </c>
      <c r="E105" s="64">
        <v>46266</v>
      </c>
      <c r="F105" s="63" t="s">
        <v>80</v>
      </c>
      <c r="G105" s="71" t="s">
        <v>628</v>
      </c>
      <c r="H105" s="63" t="s">
        <v>111</v>
      </c>
      <c r="J105" s="63" t="s">
        <v>113</v>
      </c>
      <c r="K105" s="63" t="s">
        <v>114</v>
      </c>
      <c r="L105" s="63" t="s">
        <v>629</v>
      </c>
      <c r="M105" s="71" t="s">
        <v>630</v>
      </c>
      <c r="N105" s="70">
        <v>44833</v>
      </c>
      <c r="O105" s="82" t="s">
        <v>631</v>
      </c>
      <c r="P105" s="64">
        <v>46266</v>
      </c>
      <c r="Q105" s="58" t="s">
        <v>83</v>
      </c>
      <c r="R105" s="58" t="s">
        <v>84</v>
      </c>
      <c r="S105" s="30">
        <v>5536130</v>
      </c>
      <c r="T105" s="30">
        <v>161.60000093408209</v>
      </c>
      <c r="U105" s="30">
        <v>0</v>
      </c>
      <c r="V105" s="30">
        <v>0</v>
      </c>
      <c r="W105" s="30">
        <v>0</v>
      </c>
      <c r="X105" s="30">
        <v>0</v>
      </c>
      <c r="Y105" s="59"/>
    </row>
    <row r="106" spans="1:26" x14ac:dyDescent="0.3">
      <c r="A106" s="63" t="s">
        <v>77</v>
      </c>
      <c r="B106" s="105" t="s">
        <v>632</v>
      </c>
      <c r="C106" s="65" t="s">
        <v>633</v>
      </c>
      <c r="D106" s="64">
        <v>44757</v>
      </c>
      <c r="E106" s="64">
        <v>46582</v>
      </c>
      <c r="F106" s="63" t="s">
        <v>80</v>
      </c>
      <c r="G106" s="71" t="s">
        <v>634</v>
      </c>
      <c r="H106" s="63" t="s">
        <v>111</v>
      </c>
      <c r="I106" s="63"/>
      <c r="J106" s="63" t="s">
        <v>113</v>
      </c>
      <c r="K106" s="63" t="s">
        <v>114</v>
      </c>
      <c r="L106" s="63" t="s">
        <v>635</v>
      </c>
      <c r="M106" s="71" t="s">
        <v>131</v>
      </c>
      <c r="N106" s="70">
        <v>44859</v>
      </c>
      <c r="O106" s="82" t="s">
        <v>636</v>
      </c>
      <c r="P106" s="64">
        <v>46582</v>
      </c>
      <c r="Q106" s="58" t="s">
        <v>83</v>
      </c>
      <c r="R106" s="58" t="s">
        <v>84</v>
      </c>
      <c r="S106" s="30">
        <v>4169896</v>
      </c>
      <c r="T106" s="30">
        <v>120.52</v>
      </c>
      <c r="U106" s="30">
        <v>0</v>
      </c>
      <c r="V106" s="30">
        <v>0</v>
      </c>
      <c r="W106" s="30">
        <v>0</v>
      </c>
      <c r="X106" s="30">
        <v>0</v>
      </c>
      <c r="Y106" s="59"/>
    </row>
    <row r="107" spans="1:26" x14ac:dyDescent="0.3">
      <c r="A107" s="63" t="s">
        <v>77</v>
      </c>
      <c r="B107" s="105" t="s">
        <v>637</v>
      </c>
      <c r="C107" s="65" t="s">
        <v>638</v>
      </c>
      <c r="D107" s="64">
        <v>44835</v>
      </c>
      <c r="E107" s="64">
        <v>46660</v>
      </c>
      <c r="F107" s="63" t="s">
        <v>80</v>
      </c>
      <c r="G107" s="71" t="s">
        <v>639</v>
      </c>
      <c r="H107" s="63" t="s">
        <v>111</v>
      </c>
      <c r="I107" s="63"/>
      <c r="J107" s="63" t="s">
        <v>113</v>
      </c>
      <c r="K107" s="63" t="s">
        <v>114</v>
      </c>
      <c r="L107" s="63" t="s">
        <v>640</v>
      </c>
      <c r="M107" s="71" t="s">
        <v>131</v>
      </c>
      <c r="N107" s="70">
        <v>44889</v>
      </c>
      <c r="O107" s="82" t="s">
        <v>641</v>
      </c>
      <c r="P107" s="64">
        <v>46660</v>
      </c>
      <c r="Q107" s="58" t="s">
        <v>83</v>
      </c>
      <c r="R107" s="58" t="s">
        <v>84</v>
      </c>
      <c r="S107" s="30">
        <v>4320144</v>
      </c>
      <c r="T107" s="30">
        <v>124.1</v>
      </c>
      <c r="U107" s="30">
        <v>0</v>
      </c>
      <c r="V107" s="30">
        <v>432014</v>
      </c>
      <c r="W107" s="30">
        <v>0</v>
      </c>
      <c r="X107" s="30">
        <v>0</v>
      </c>
      <c r="Y107" s="59"/>
    </row>
    <row r="108" spans="1:26" x14ac:dyDescent="0.3">
      <c r="A108" s="63" t="s">
        <v>77</v>
      </c>
      <c r="B108" s="105" t="s">
        <v>642</v>
      </c>
      <c r="C108" s="65" t="s">
        <v>643</v>
      </c>
      <c r="D108" s="64">
        <v>44835</v>
      </c>
      <c r="E108" s="64">
        <v>46660</v>
      </c>
      <c r="F108" s="63" t="s">
        <v>80</v>
      </c>
      <c r="G108" s="71" t="s">
        <v>644</v>
      </c>
      <c r="H108" s="63" t="s">
        <v>111</v>
      </c>
      <c r="I108" s="63"/>
      <c r="J108" s="63" t="s">
        <v>113</v>
      </c>
      <c r="K108" s="63" t="s">
        <v>114</v>
      </c>
      <c r="L108" s="63" t="s">
        <v>645</v>
      </c>
      <c r="M108" s="71" t="s">
        <v>131</v>
      </c>
      <c r="N108" s="70">
        <v>44889</v>
      </c>
      <c r="O108" s="82" t="s">
        <v>646</v>
      </c>
      <c r="P108" s="64">
        <v>46660</v>
      </c>
      <c r="Q108" s="58" t="s">
        <v>83</v>
      </c>
      <c r="R108" s="58" t="s">
        <v>84</v>
      </c>
      <c r="S108" s="30">
        <v>5952818</v>
      </c>
      <c r="T108" s="30">
        <v>171</v>
      </c>
      <c r="U108" s="30">
        <v>0</v>
      </c>
      <c r="V108" s="30">
        <v>595282</v>
      </c>
      <c r="W108" s="30">
        <v>0</v>
      </c>
      <c r="X108" s="30">
        <v>0</v>
      </c>
      <c r="Y108" s="59"/>
    </row>
    <row r="109" spans="1:26" x14ac:dyDescent="0.3">
      <c r="A109" s="63" t="s">
        <v>77</v>
      </c>
      <c r="B109" s="105" t="s">
        <v>647</v>
      </c>
      <c r="C109" s="65" t="s">
        <v>648</v>
      </c>
      <c r="D109" s="64">
        <v>44835</v>
      </c>
      <c r="E109" s="64">
        <v>46660</v>
      </c>
      <c r="F109" s="63" t="s">
        <v>80</v>
      </c>
      <c r="G109" s="71" t="s">
        <v>649</v>
      </c>
      <c r="H109" s="63" t="s">
        <v>111</v>
      </c>
      <c r="I109" s="63"/>
      <c r="J109" s="63" t="s">
        <v>113</v>
      </c>
      <c r="K109" s="63" t="s">
        <v>114</v>
      </c>
      <c r="L109" s="63" t="s">
        <v>650</v>
      </c>
      <c r="M109" s="71" t="s">
        <v>131</v>
      </c>
      <c r="N109" s="70">
        <v>44889</v>
      </c>
      <c r="O109" s="82" t="s">
        <v>651</v>
      </c>
      <c r="P109" s="64">
        <v>46660</v>
      </c>
      <c r="Q109" s="58" t="s">
        <v>83</v>
      </c>
      <c r="R109" s="58" t="s">
        <v>84</v>
      </c>
      <c r="S109" s="30">
        <v>4207312</v>
      </c>
      <c r="T109" s="30">
        <v>116.58</v>
      </c>
      <c r="U109" s="30">
        <v>0</v>
      </c>
      <c r="V109" s="30">
        <v>420731</v>
      </c>
      <c r="W109" s="30">
        <v>0</v>
      </c>
      <c r="X109" s="30">
        <v>0</v>
      </c>
      <c r="Y109" s="59"/>
    </row>
    <row r="110" spans="1:26" x14ac:dyDescent="0.3">
      <c r="A110" s="63" t="s">
        <v>77</v>
      </c>
      <c r="B110" s="105" t="s">
        <v>652</v>
      </c>
      <c r="C110" s="65" t="s">
        <v>653</v>
      </c>
      <c r="D110" s="64">
        <v>45748</v>
      </c>
      <c r="E110" s="64">
        <v>47573</v>
      </c>
      <c r="F110" s="63" t="s">
        <v>80</v>
      </c>
      <c r="H110" s="63"/>
      <c r="I110" s="63"/>
      <c r="J110" s="63"/>
      <c r="K110" s="63"/>
      <c r="L110" s="63" t="s">
        <v>654</v>
      </c>
      <c r="N110" s="70">
        <v>45757</v>
      </c>
      <c r="O110" s="82" t="s">
        <v>655</v>
      </c>
      <c r="P110" s="64">
        <v>47573</v>
      </c>
      <c r="Q110" s="58" t="s">
        <v>83</v>
      </c>
      <c r="R110" s="58" t="s">
        <v>84</v>
      </c>
      <c r="S110" s="30">
        <v>4079473</v>
      </c>
      <c r="T110" s="30">
        <v>104.4</v>
      </c>
      <c r="U110" s="30">
        <v>0</v>
      </c>
      <c r="V110" s="30"/>
      <c r="W110" s="30"/>
      <c r="X110" s="30"/>
      <c r="Y110" s="59"/>
    </row>
    <row r="111" spans="1:26" x14ac:dyDescent="0.3">
      <c r="A111" s="63" t="s">
        <v>77</v>
      </c>
      <c r="B111" s="105" t="s">
        <v>656</v>
      </c>
      <c r="C111" s="65" t="s">
        <v>657</v>
      </c>
      <c r="D111" s="64">
        <v>44854</v>
      </c>
      <c r="E111" s="64">
        <v>46679</v>
      </c>
      <c r="F111" s="63" t="s">
        <v>80</v>
      </c>
      <c r="G111" s="71" t="s">
        <v>658</v>
      </c>
      <c r="H111" s="63" t="s">
        <v>111</v>
      </c>
      <c r="I111" s="63"/>
      <c r="J111" s="63" t="s">
        <v>113</v>
      </c>
      <c r="K111" s="63" t="s">
        <v>114</v>
      </c>
      <c r="L111" s="63">
        <v>5000117</v>
      </c>
      <c r="M111" s="71" t="s">
        <v>131</v>
      </c>
      <c r="N111" s="70">
        <v>44918</v>
      </c>
      <c r="O111" s="83" t="s">
        <v>659</v>
      </c>
      <c r="P111" s="64">
        <v>46679</v>
      </c>
      <c r="Q111" s="58" t="s">
        <v>83</v>
      </c>
      <c r="R111" s="58" t="s">
        <v>84</v>
      </c>
      <c r="S111" s="30">
        <v>3345725</v>
      </c>
      <c r="T111" s="30">
        <v>95.29</v>
      </c>
      <c r="U111" s="30">
        <v>0</v>
      </c>
      <c r="V111" s="30">
        <v>334573</v>
      </c>
      <c r="W111" s="30">
        <v>0</v>
      </c>
      <c r="X111" s="30">
        <v>0</v>
      </c>
      <c r="Y111" s="59"/>
    </row>
    <row r="112" spans="1:26" x14ac:dyDescent="0.3">
      <c r="A112" s="63" t="s">
        <v>77</v>
      </c>
      <c r="B112" s="105" t="s">
        <v>660</v>
      </c>
      <c r="C112" s="65" t="s">
        <v>661</v>
      </c>
      <c r="D112" s="64">
        <v>45061</v>
      </c>
      <c r="E112" s="64">
        <v>46887</v>
      </c>
      <c r="F112" s="63" t="s">
        <v>80</v>
      </c>
      <c r="G112" s="71" t="s">
        <v>662</v>
      </c>
      <c r="H112" s="63" t="s">
        <v>111</v>
      </c>
      <c r="I112" s="63"/>
      <c r="J112" s="63" t="s">
        <v>113</v>
      </c>
      <c r="K112" s="63" t="s">
        <v>114</v>
      </c>
      <c r="L112" s="63" t="s">
        <v>663</v>
      </c>
      <c r="M112" s="71" t="s">
        <v>131</v>
      </c>
      <c r="N112" s="70">
        <v>45161</v>
      </c>
      <c r="O112" s="83" t="s">
        <v>664</v>
      </c>
      <c r="P112" s="64">
        <v>46887</v>
      </c>
      <c r="Q112" s="58" t="s">
        <v>83</v>
      </c>
      <c r="R112" s="58" t="s">
        <v>84</v>
      </c>
      <c r="S112" s="30">
        <v>9466141</v>
      </c>
      <c r="T112" s="30">
        <v>262</v>
      </c>
      <c r="U112" s="30">
        <v>0</v>
      </c>
      <c r="V112" s="30">
        <v>946614</v>
      </c>
      <c r="W112" s="30">
        <v>473307</v>
      </c>
      <c r="X112" s="30">
        <v>0</v>
      </c>
      <c r="Y112" s="59"/>
    </row>
    <row r="113" spans="1:25" x14ac:dyDescent="0.3">
      <c r="A113" s="63" t="s">
        <v>77</v>
      </c>
      <c r="B113" s="105" t="s">
        <v>665</v>
      </c>
      <c r="C113" s="65" t="s">
        <v>666</v>
      </c>
      <c r="D113" s="64">
        <v>45156</v>
      </c>
      <c r="E113" s="64">
        <v>46616</v>
      </c>
      <c r="F113" s="63" t="s">
        <v>80</v>
      </c>
      <c r="G113" s="71" t="s">
        <v>667</v>
      </c>
      <c r="H113" s="63" t="s">
        <v>111</v>
      </c>
      <c r="I113" s="63"/>
      <c r="J113" s="63" t="s">
        <v>113</v>
      </c>
      <c r="K113" s="63" t="s">
        <v>114</v>
      </c>
      <c r="L113" s="63" t="s">
        <v>668</v>
      </c>
      <c r="M113" s="71" t="s">
        <v>139</v>
      </c>
      <c r="N113" s="70">
        <v>45170</v>
      </c>
      <c r="O113" s="83" t="s">
        <v>31</v>
      </c>
      <c r="P113" s="64">
        <v>46616</v>
      </c>
      <c r="Q113" s="58" t="s">
        <v>83</v>
      </c>
      <c r="R113" s="58" t="s">
        <v>84</v>
      </c>
      <c r="S113" s="30">
        <v>1979941</v>
      </c>
      <c r="T113" s="30">
        <v>54.8</v>
      </c>
      <c r="U113" s="30">
        <v>0</v>
      </c>
      <c r="V113" s="30">
        <v>197994</v>
      </c>
      <c r="W113" s="30">
        <v>1152557</v>
      </c>
      <c r="X113" s="30">
        <v>0</v>
      </c>
      <c r="Y113" s="59"/>
    </row>
    <row r="114" spans="1:25" x14ac:dyDescent="0.3">
      <c r="A114" s="63" t="s">
        <v>77</v>
      </c>
      <c r="B114" s="105" t="s">
        <v>669</v>
      </c>
      <c r="C114" s="65" t="s">
        <v>670</v>
      </c>
      <c r="D114" s="64">
        <v>45135</v>
      </c>
      <c r="E114" s="64">
        <v>46931</v>
      </c>
      <c r="F114" s="63" t="s">
        <v>80</v>
      </c>
      <c r="G114" s="71" t="s">
        <v>671</v>
      </c>
      <c r="H114" s="63" t="s">
        <v>111</v>
      </c>
      <c r="I114" s="63"/>
      <c r="J114" s="63" t="s">
        <v>113</v>
      </c>
      <c r="K114" s="63" t="s">
        <v>114</v>
      </c>
      <c r="L114" s="63" t="s">
        <v>672</v>
      </c>
      <c r="M114" s="71" t="s">
        <v>131</v>
      </c>
      <c r="N114" s="70">
        <v>45196</v>
      </c>
      <c r="O114" s="83" t="s">
        <v>673</v>
      </c>
      <c r="P114" s="64">
        <v>46931</v>
      </c>
      <c r="Q114" s="58" t="s">
        <v>83</v>
      </c>
      <c r="R114" s="58" t="s">
        <v>84</v>
      </c>
      <c r="S114" s="30">
        <v>1123571</v>
      </c>
      <c r="T114" s="30">
        <v>31.04</v>
      </c>
      <c r="U114" s="30">
        <v>0</v>
      </c>
      <c r="V114" s="30">
        <v>112357</v>
      </c>
      <c r="W114" s="30">
        <v>542963</v>
      </c>
      <c r="X114" s="30">
        <v>0</v>
      </c>
      <c r="Y114" s="59"/>
    </row>
    <row r="115" spans="1:25" x14ac:dyDescent="0.3">
      <c r="A115" s="63" t="s">
        <v>77</v>
      </c>
      <c r="B115" s="105" t="s">
        <v>674</v>
      </c>
      <c r="C115" s="65" t="s">
        <v>675</v>
      </c>
      <c r="D115" s="64">
        <v>45148</v>
      </c>
      <c r="E115" s="64">
        <v>46608</v>
      </c>
      <c r="F115" s="63" t="s">
        <v>80</v>
      </c>
      <c r="G115" s="71" t="s">
        <v>676</v>
      </c>
      <c r="H115" s="63" t="s">
        <v>111</v>
      </c>
      <c r="J115" s="63" t="s">
        <v>113</v>
      </c>
      <c r="K115" s="63" t="s">
        <v>114</v>
      </c>
      <c r="L115" s="63" t="s">
        <v>677</v>
      </c>
      <c r="M115" s="71" t="s">
        <v>139</v>
      </c>
      <c r="N115" s="70">
        <v>45218</v>
      </c>
      <c r="O115" s="83" t="s">
        <v>678</v>
      </c>
      <c r="P115" s="64">
        <v>46608</v>
      </c>
      <c r="Q115" s="58" t="s">
        <v>83</v>
      </c>
      <c r="R115" s="58" t="s">
        <v>84</v>
      </c>
      <c r="S115" s="30">
        <v>1870347</v>
      </c>
      <c r="T115" s="30">
        <v>51.4</v>
      </c>
      <c r="U115" s="30">
        <v>0</v>
      </c>
      <c r="V115" s="30">
        <v>165202</v>
      </c>
      <c r="W115" s="30">
        <v>989756</v>
      </c>
      <c r="X115" s="30">
        <v>0</v>
      </c>
      <c r="Y115" s="59"/>
    </row>
    <row r="116" spans="1:25" x14ac:dyDescent="0.3">
      <c r="A116" s="63" t="s">
        <v>77</v>
      </c>
      <c r="B116" s="105" t="s">
        <v>679</v>
      </c>
      <c r="C116" s="65" t="s">
        <v>680</v>
      </c>
      <c r="D116" s="64">
        <v>45231</v>
      </c>
      <c r="E116" s="64">
        <v>46691</v>
      </c>
      <c r="F116" s="63" t="s">
        <v>80</v>
      </c>
      <c r="G116" s="71" t="s">
        <v>681</v>
      </c>
      <c r="H116" s="63" t="s">
        <v>111</v>
      </c>
      <c r="J116" s="63" t="s">
        <v>113</v>
      </c>
      <c r="K116" s="63" t="s">
        <v>114</v>
      </c>
      <c r="L116" s="63" t="s">
        <v>682</v>
      </c>
      <c r="M116" s="71" t="s">
        <v>139</v>
      </c>
      <c r="N116" s="70">
        <v>45259</v>
      </c>
      <c r="O116" s="83" t="s">
        <v>683</v>
      </c>
      <c r="P116" s="64">
        <v>46691</v>
      </c>
      <c r="Q116" s="58" t="s">
        <v>83</v>
      </c>
      <c r="R116" s="58" t="s">
        <v>84</v>
      </c>
      <c r="S116" s="30">
        <v>4387664</v>
      </c>
      <c r="T116" s="30">
        <v>120</v>
      </c>
      <c r="U116" s="30">
        <v>0</v>
      </c>
      <c r="V116" s="30">
        <v>0</v>
      </c>
      <c r="W116" s="30">
        <v>0</v>
      </c>
      <c r="X116" s="30">
        <v>0</v>
      </c>
      <c r="Y116" s="59"/>
    </row>
    <row r="117" spans="1:25" x14ac:dyDescent="0.3">
      <c r="A117" s="63" t="s">
        <v>77</v>
      </c>
      <c r="B117" s="105" t="s">
        <v>684</v>
      </c>
      <c r="C117" s="65" t="s">
        <v>685</v>
      </c>
      <c r="D117" s="64">
        <v>45228</v>
      </c>
      <c r="E117" s="64">
        <v>47054</v>
      </c>
      <c r="F117" s="63" t="s">
        <v>80</v>
      </c>
      <c r="G117" s="71" t="s">
        <v>686</v>
      </c>
      <c r="H117" s="63" t="s">
        <v>111</v>
      </c>
      <c r="J117" s="63" t="s">
        <v>113</v>
      </c>
      <c r="K117" s="63" t="s">
        <v>114</v>
      </c>
      <c r="L117" s="63" t="s">
        <v>687</v>
      </c>
      <c r="M117" s="71" t="s">
        <v>131</v>
      </c>
      <c r="N117" s="70">
        <v>45288</v>
      </c>
      <c r="O117" s="83" t="s">
        <v>688</v>
      </c>
      <c r="P117" s="64">
        <v>47054</v>
      </c>
      <c r="Q117" s="58" t="s">
        <v>83</v>
      </c>
      <c r="R117" s="58" t="s">
        <v>84</v>
      </c>
      <c r="S117" s="30">
        <v>4613018</v>
      </c>
      <c r="T117" s="30">
        <v>125.39</v>
      </c>
      <c r="U117" s="30">
        <v>0</v>
      </c>
      <c r="V117" s="30">
        <v>461302</v>
      </c>
      <c r="W117" s="30">
        <v>1475253</v>
      </c>
      <c r="X117" s="30">
        <v>0</v>
      </c>
      <c r="Y117" s="59"/>
    </row>
    <row r="118" spans="1:25" x14ac:dyDescent="0.3">
      <c r="A118" s="63" t="s">
        <v>77</v>
      </c>
      <c r="B118" s="105" t="s">
        <v>689</v>
      </c>
      <c r="C118" s="65" t="s">
        <v>690</v>
      </c>
      <c r="D118" s="64">
        <v>45286</v>
      </c>
      <c r="E118" s="64">
        <v>47112</v>
      </c>
      <c r="F118" s="63" t="s">
        <v>80</v>
      </c>
      <c r="G118" s="71" t="s">
        <v>691</v>
      </c>
      <c r="H118" s="63" t="s">
        <v>111</v>
      </c>
      <c r="J118" s="63" t="s">
        <v>113</v>
      </c>
      <c r="K118" s="63" t="s">
        <v>114</v>
      </c>
      <c r="L118" s="63" t="s">
        <v>692</v>
      </c>
      <c r="M118" s="71" t="s">
        <v>131</v>
      </c>
      <c r="N118" s="70">
        <v>45288</v>
      </c>
      <c r="O118" s="83" t="s">
        <v>9</v>
      </c>
      <c r="P118" s="64">
        <v>47112</v>
      </c>
      <c r="Q118" s="58" t="s">
        <v>83</v>
      </c>
      <c r="R118" s="58" t="s">
        <v>84</v>
      </c>
      <c r="S118" s="30">
        <v>5597869</v>
      </c>
      <c r="T118" s="30">
        <v>152.16</v>
      </c>
      <c r="U118" s="30">
        <v>0</v>
      </c>
      <c r="V118" s="30">
        <v>559787</v>
      </c>
      <c r="W118" s="30">
        <v>279893</v>
      </c>
      <c r="X118" s="30">
        <v>0</v>
      </c>
      <c r="Y118" s="59"/>
    </row>
    <row r="119" spans="1:25" x14ac:dyDescent="0.3">
      <c r="A119" s="63" t="s">
        <v>77</v>
      </c>
      <c r="B119" s="105" t="s">
        <v>693</v>
      </c>
      <c r="C119" s="65" t="s">
        <v>694</v>
      </c>
      <c r="D119" s="64">
        <v>45292</v>
      </c>
      <c r="E119" s="64">
        <v>46206</v>
      </c>
      <c r="F119" s="63" t="s">
        <v>80</v>
      </c>
      <c r="G119" s="71" t="s">
        <v>695</v>
      </c>
      <c r="H119" s="63" t="s">
        <v>111</v>
      </c>
      <c r="J119" s="63" t="s">
        <v>113</v>
      </c>
      <c r="K119" s="63" t="s">
        <v>114</v>
      </c>
      <c r="L119" s="63" t="s">
        <v>696</v>
      </c>
      <c r="M119" s="71" t="s">
        <v>697</v>
      </c>
      <c r="N119" s="70">
        <v>45349</v>
      </c>
      <c r="O119" s="83" t="s">
        <v>696</v>
      </c>
      <c r="P119" s="64">
        <v>46206</v>
      </c>
      <c r="Q119" s="58" t="s">
        <v>83</v>
      </c>
      <c r="R119" s="58" t="s">
        <v>84</v>
      </c>
      <c r="S119" s="30">
        <v>3150646</v>
      </c>
      <c r="T119" s="30">
        <v>80</v>
      </c>
      <c r="U119" s="30">
        <v>0</v>
      </c>
      <c r="V119" s="30">
        <v>0</v>
      </c>
      <c r="W119" s="30">
        <v>0</v>
      </c>
      <c r="X119" s="30">
        <v>0</v>
      </c>
      <c r="Y119" s="77" t="s">
        <v>85</v>
      </c>
    </row>
    <row r="120" spans="1:25" x14ac:dyDescent="0.3">
      <c r="A120" s="63" t="s">
        <v>77</v>
      </c>
      <c r="B120" s="105" t="s">
        <v>698</v>
      </c>
      <c r="C120" s="65" t="s">
        <v>699</v>
      </c>
      <c r="D120" s="64">
        <v>45231</v>
      </c>
      <c r="E120" s="64">
        <v>47057</v>
      </c>
      <c r="F120" s="63" t="s">
        <v>80</v>
      </c>
      <c r="G120" s="71" t="s">
        <v>700</v>
      </c>
      <c r="H120" s="63" t="s">
        <v>111</v>
      </c>
      <c r="J120" s="63" t="s">
        <v>113</v>
      </c>
      <c r="K120" s="63" t="s">
        <v>114</v>
      </c>
      <c r="L120" s="63" t="s">
        <v>701</v>
      </c>
      <c r="M120" s="71" t="s">
        <v>131</v>
      </c>
      <c r="N120" s="70">
        <v>45350</v>
      </c>
      <c r="O120" s="83" t="s">
        <v>702</v>
      </c>
      <c r="P120" s="64">
        <v>47057</v>
      </c>
      <c r="Q120" s="58" t="s">
        <v>83</v>
      </c>
      <c r="R120" s="58" t="s">
        <v>84</v>
      </c>
      <c r="S120" s="30">
        <v>2847533</v>
      </c>
      <c r="T120" s="30">
        <v>77.260000000000005</v>
      </c>
      <c r="U120" s="30">
        <v>0</v>
      </c>
      <c r="V120" s="30">
        <v>249113</v>
      </c>
      <c r="W120" s="30">
        <v>0</v>
      </c>
      <c r="X120" s="30">
        <v>0</v>
      </c>
      <c r="Y120" s="77" t="s">
        <v>85</v>
      </c>
    </row>
    <row r="121" spans="1:25" x14ac:dyDescent="0.3">
      <c r="A121" s="63">
        <v>8137</v>
      </c>
      <c r="B121" s="105" t="s">
        <v>703</v>
      </c>
      <c r="C121" s="65" t="s">
        <v>704</v>
      </c>
      <c r="D121" s="64">
        <v>45292</v>
      </c>
      <c r="E121" s="64">
        <v>46660</v>
      </c>
      <c r="F121" s="63" t="s">
        <v>80</v>
      </c>
      <c r="G121" s="71">
        <v>90000594</v>
      </c>
      <c r="H121" s="63" t="s">
        <v>111</v>
      </c>
      <c r="J121" s="63"/>
      <c r="K121" s="63" t="s">
        <v>114</v>
      </c>
      <c r="L121" s="63" t="s">
        <v>705</v>
      </c>
      <c r="N121" s="70">
        <v>45440</v>
      </c>
      <c r="O121" s="83" t="s">
        <v>706</v>
      </c>
      <c r="P121" s="64">
        <v>46660</v>
      </c>
      <c r="Q121" s="58" t="s">
        <v>83</v>
      </c>
      <c r="R121" s="58" t="s">
        <v>84</v>
      </c>
      <c r="S121" s="30">
        <v>5531225</v>
      </c>
      <c r="T121" s="30">
        <v>147.74</v>
      </c>
      <c r="U121" s="30">
        <v>0</v>
      </c>
      <c r="V121" s="30">
        <v>0</v>
      </c>
      <c r="W121" s="30">
        <v>0</v>
      </c>
      <c r="X121" s="30">
        <v>0</v>
      </c>
      <c r="Y121" s="90" t="s">
        <v>125</v>
      </c>
    </row>
    <row r="122" spans="1:25" x14ac:dyDescent="0.3">
      <c r="A122" s="63">
        <v>8137</v>
      </c>
      <c r="B122" s="105" t="s">
        <v>707</v>
      </c>
      <c r="C122" s="65" t="s">
        <v>708</v>
      </c>
      <c r="D122" s="64">
        <v>45292</v>
      </c>
      <c r="E122" s="64">
        <v>46538</v>
      </c>
      <c r="F122" s="63" t="s">
        <v>80</v>
      </c>
      <c r="G122" s="71">
        <v>90000595</v>
      </c>
      <c r="H122" s="63" t="s">
        <v>111</v>
      </c>
      <c r="J122" s="63"/>
      <c r="K122" s="63" t="s">
        <v>114</v>
      </c>
      <c r="L122" s="63" t="s">
        <v>709</v>
      </c>
      <c r="N122" s="70">
        <v>45440</v>
      </c>
      <c r="O122" s="83" t="s">
        <v>710</v>
      </c>
      <c r="P122" s="64">
        <v>46538</v>
      </c>
      <c r="Q122" s="58" t="s">
        <v>83</v>
      </c>
      <c r="R122" s="58" t="s">
        <v>84</v>
      </c>
      <c r="S122" s="30">
        <v>7570522</v>
      </c>
      <c r="T122" s="30">
        <v>202.21</v>
      </c>
      <c r="U122" s="30">
        <v>0</v>
      </c>
      <c r="V122" s="30">
        <v>0</v>
      </c>
      <c r="W122" s="30">
        <v>0</v>
      </c>
      <c r="X122" s="30">
        <v>0</v>
      </c>
      <c r="Y122" s="90" t="s">
        <v>125</v>
      </c>
    </row>
    <row r="123" spans="1:25" x14ac:dyDescent="0.3">
      <c r="A123" s="63">
        <v>8137</v>
      </c>
      <c r="B123" s="105" t="s">
        <v>711</v>
      </c>
      <c r="C123" s="65" t="s">
        <v>712</v>
      </c>
      <c r="D123" s="64">
        <v>45292</v>
      </c>
      <c r="E123" s="64">
        <v>46477</v>
      </c>
      <c r="F123" s="63" t="s">
        <v>80</v>
      </c>
      <c r="G123" s="71">
        <v>90000596</v>
      </c>
      <c r="H123" s="63" t="s">
        <v>111</v>
      </c>
      <c r="J123" s="63"/>
      <c r="K123" s="63" t="s">
        <v>114</v>
      </c>
      <c r="L123" s="63" t="s">
        <v>713</v>
      </c>
      <c r="N123" s="70">
        <v>45440</v>
      </c>
      <c r="O123" s="83" t="s">
        <v>714</v>
      </c>
      <c r="P123" s="64">
        <v>46477</v>
      </c>
      <c r="Q123" s="58" t="s">
        <v>83</v>
      </c>
      <c r="R123" s="58" t="s">
        <v>84</v>
      </c>
      <c r="S123" s="30">
        <v>6498272</v>
      </c>
      <c r="T123" s="30">
        <v>173.57</v>
      </c>
      <c r="U123" s="30">
        <v>0</v>
      </c>
      <c r="V123" s="30">
        <v>0</v>
      </c>
      <c r="W123" s="30">
        <v>0</v>
      </c>
      <c r="X123" s="30">
        <v>0</v>
      </c>
      <c r="Y123" s="90" t="s">
        <v>125</v>
      </c>
    </row>
    <row r="124" spans="1:25" x14ac:dyDescent="0.3">
      <c r="A124" s="63">
        <v>8137</v>
      </c>
      <c r="B124" s="105" t="s">
        <v>715</v>
      </c>
      <c r="C124" s="65" t="s">
        <v>716</v>
      </c>
      <c r="D124" s="64">
        <v>45292</v>
      </c>
      <c r="E124" s="64">
        <v>46830</v>
      </c>
      <c r="F124" s="63" t="s">
        <v>80</v>
      </c>
      <c r="G124" s="71">
        <v>90000597</v>
      </c>
      <c r="H124" s="63" t="s">
        <v>111</v>
      </c>
      <c r="J124" s="63"/>
      <c r="K124" s="63" t="s">
        <v>114</v>
      </c>
      <c r="L124" s="63" t="s">
        <v>717</v>
      </c>
      <c r="N124" s="70">
        <v>45440</v>
      </c>
      <c r="O124" s="83" t="s">
        <v>718</v>
      </c>
      <c r="P124" s="64">
        <v>46830</v>
      </c>
      <c r="Q124" s="58" t="s">
        <v>83</v>
      </c>
      <c r="R124" s="58" t="s">
        <v>84</v>
      </c>
      <c r="S124" s="30">
        <v>2995113</v>
      </c>
      <c r="T124" s="30">
        <v>80.000005342035863</v>
      </c>
      <c r="U124" s="30">
        <v>0</v>
      </c>
      <c r="V124" s="30">
        <v>0</v>
      </c>
      <c r="W124" s="30">
        <v>0</v>
      </c>
      <c r="X124" s="30">
        <v>0</v>
      </c>
      <c r="Y124" s="90" t="s">
        <v>125</v>
      </c>
    </row>
    <row r="125" spans="1:25" x14ac:dyDescent="0.3">
      <c r="A125" s="63">
        <v>8137</v>
      </c>
      <c r="B125" s="105" t="s">
        <v>723</v>
      </c>
      <c r="C125" s="65" t="s">
        <v>724</v>
      </c>
      <c r="D125" s="64">
        <v>45292</v>
      </c>
      <c r="E125" s="64">
        <v>46752</v>
      </c>
      <c r="F125" s="63" t="s">
        <v>80</v>
      </c>
      <c r="G125" s="71">
        <v>90000601</v>
      </c>
      <c r="H125" s="63" t="s">
        <v>111</v>
      </c>
      <c r="J125" s="63"/>
      <c r="K125" s="63" t="s">
        <v>114</v>
      </c>
      <c r="L125" s="63" t="s">
        <v>725</v>
      </c>
      <c r="N125" s="70">
        <v>45440</v>
      </c>
      <c r="O125" s="83" t="s">
        <v>726</v>
      </c>
      <c r="P125" s="64">
        <v>46752</v>
      </c>
      <c r="Q125" s="58" t="s">
        <v>83</v>
      </c>
      <c r="R125" s="58" t="s">
        <v>84</v>
      </c>
      <c r="S125" s="30">
        <v>11779404</v>
      </c>
      <c r="T125" s="30">
        <v>314.63</v>
      </c>
      <c r="U125" s="30">
        <v>0</v>
      </c>
      <c r="V125" s="30">
        <v>0</v>
      </c>
      <c r="W125" s="30"/>
      <c r="X125" s="30">
        <v>0</v>
      </c>
      <c r="Y125" s="90" t="s">
        <v>125</v>
      </c>
    </row>
    <row r="126" spans="1:25" x14ac:dyDescent="0.3">
      <c r="A126" s="63">
        <v>8137</v>
      </c>
      <c r="B126" s="105" t="s">
        <v>727</v>
      </c>
      <c r="C126" s="65" t="s">
        <v>728</v>
      </c>
      <c r="D126" s="64">
        <v>45292</v>
      </c>
      <c r="E126" s="64">
        <v>46752</v>
      </c>
      <c r="F126" s="63" t="s">
        <v>80</v>
      </c>
      <c r="G126" s="71">
        <v>90000602</v>
      </c>
      <c r="H126" s="63" t="s">
        <v>111</v>
      </c>
      <c r="J126" s="63"/>
      <c r="K126" s="63" t="s">
        <v>114</v>
      </c>
      <c r="L126" s="63" t="s">
        <v>729</v>
      </c>
      <c r="N126" s="70">
        <v>45440</v>
      </c>
      <c r="O126" s="83" t="s">
        <v>730</v>
      </c>
      <c r="P126" s="64">
        <v>46752</v>
      </c>
      <c r="Q126" s="58" t="s">
        <v>83</v>
      </c>
      <c r="R126" s="58" t="s">
        <v>84</v>
      </c>
      <c r="S126" s="30">
        <v>4867058</v>
      </c>
      <c r="T126" s="30">
        <v>129.99999198694618</v>
      </c>
      <c r="U126" s="30">
        <v>0</v>
      </c>
      <c r="V126" s="30">
        <v>0</v>
      </c>
      <c r="W126" s="30">
        <v>48671</v>
      </c>
      <c r="X126" s="30">
        <v>0</v>
      </c>
      <c r="Y126" s="90" t="s">
        <v>125</v>
      </c>
    </row>
    <row r="127" spans="1:25" x14ac:dyDescent="0.3">
      <c r="A127" s="63">
        <v>8137</v>
      </c>
      <c r="B127" s="105" t="s">
        <v>731</v>
      </c>
      <c r="C127" s="65" t="s">
        <v>732</v>
      </c>
      <c r="D127" s="64">
        <v>45352</v>
      </c>
      <c r="E127" s="64">
        <v>46812</v>
      </c>
      <c r="F127" s="63" t="s">
        <v>80</v>
      </c>
      <c r="G127" s="71">
        <v>90000603</v>
      </c>
      <c r="H127" s="63" t="s">
        <v>111</v>
      </c>
      <c r="J127" s="63"/>
      <c r="K127" s="63" t="s">
        <v>114</v>
      </c>
      <c r="L127" s="63" t="s">
        <v>733</v>
      </c>
      <c r="N127" s="70">
        <v>45440</v>
      </c>
      <c r="O127" s="83" t="s">
        <v>734</v>
      </c>
      <c r="P127" s="64">
        <v>46812</v>
      </c>
      <c r="Q127" s="58" t="s">
        <v>83</v>
      </c>
      <c r="R127" s="58" t="s">
        <v>84</v>
      </c>
      <c r="S127" s="30">
        <v>3488183</v>
      </c>
      <c r="T127" s="30">
        <v>93.169993464019115</v>
      </c>
      <c r="U127" s="30">
        <v>0</v>
      </c>
      <c r="V127" s="30">
        <v>348818</v>
      </c>
      <c r="W127" s="30">
        <v>1498305</v>
      </c>
      <c r="X127" s="30">
        <v>0</v>
      </c>
      <c r="Y127" s="90" t="s">
        <v>125</v>
      </c>
    </row>
    <row r="128" spans="1:25" x14ac:dyDescent="0.3">
      <c r="A128" s="63">
        <v>8137</v>
      </c>
      <c r="B128" s="105" t="s">
        <v>735</v>
      </c>
      <c r="C128" s="65" t="s">
        <v>736</v>
      </c>
      <c r="D128" s="64">
        <v>45442</v>
      </c>
      <c r="E128" s="64">
        <v>47267</v>
      </c>
      <c r="F128" s="63" t="s">
        <v>80</v>
      </c>
      <c r="G128" s="71">
        <v>90000604</v>
      </c>
      <c r="H128" s="63" t="s">
        <v>111</v>
      </c>
      <c r="J128" s="63"/>
      <c r="K128" s="63" t="s">
        <v>114</v>
      </c>
      <c r="L128" s="63" t="s">
        <v>737</v>
      </c>
      <c r="N128" s="70">
        <v>45442</v>
      </c>
      <c r="O128" s="83" t="s">
        <v>738</v>
      </c>
      <c r="P128" s="64">
        <v>47267</v>
      </c>
      <c r="Q128" s="58" t="s">
        <v>83</v>
      </c>
      <c r="R128" s="58" t="s">
        <v>84</v>
      </c>
      <c r="S128" s="30"/>
      <c r="T128" s="30"/>
      <c r="U128" s="30">
        <v>0</v>
      </c>
      <c r="V128" s="30">
        <v>265068</v>
      </c>
      <c r="W128" s="30">
        <v>0</v>
      </c>
      <c r="X128" s="30">
        <v>0</v>
      </c>
      <c r="Y128" s="90" t="s">
        <v>739</v>
      </c>
    </row>
    <row r="129" spans="1:25" x14ac:dyDescent="0.3">
      <c r="A129" s="63">
        <v>8137</v>
      </c>
      <c r="B129" s="105" t="s">
        <v>752</v>
      </c>
      <c r="C129" s="65" t="s">
        <v>753</v>
      </c>
      <c r="D129" s="64">
        <v>45413</v>
      </c>
      <c r="E129" s="64">
        <v>47238</v>
      </c>
      <c r="F129" s="63" t="s">
        <v>80</v>
      </c>
      <c r="G129" s="71">
        <v>90000608</v>
      </c>
      <c r="H129" s="63" t="s">
        <v>111</v>
      </c>
      <c r="J129" s="63"/>
      <c r="K129" s="63" t="s">
        <v>114</v>
      </c>
      <c r="L129" s="63" t="s">
        <v>754</v>
      </c>
      <c r="N129" s="70">
        <v>45468</v>
      </c>
      <c r="O129" s="83" t="s">
        <v>755</v>
      </c>
      <c r="P129" s="64">
        <v>47238</v>
      </c>
      <c r="Q129" s="58" t="s">
        <v>83</v>
      </c>
      <c r="R129" s="58" t="s">
        <v>84</v>
      </c>
      <c r="S129" s="30">
        <v>2893033</v>
      </c>
      <c r="T129" s="30">
        <v>77</v>
      </c>
      <c r="U129" s="30">
        <v>0</v>
      </c>
      <c r="V129" s="30">
        <v>289303</v>
      </c>
      <c r="W129" s="30">
        <v>144652</v>
      </c>
      <c r="X129" s="30">
        <v>0</v>
      </c>
      <c r="Y129" s="90" t="s">
        <v>85</v>
      </c>
    </row>
    <row r="130" spans="1:25" x14ac:dyDescent="0.3">
      <c r="A130" s="63">
        <v>8137</v>
      </c>
      <c r="B130" s="105" t="s">
        <v>760</v>
      </c>
      <c r="C130" s="65" t="s">
        <v>761</v>
      </c>
      <c r="D130" s="64">
        <v>45337</v>
      </c>
      <c r="E130" s="64">
        <v>47163</v>
      </c>
      <c r="F130" s="63" t="s">
        <v>80</v>
      </c>
      <c r="G130" s="71">
        <v>90000613</v>
      </c>
      <c r="H130" s="63" t="s">
        <v>111</v>
      </c>
      <c r="J130" s="63"/>
      <c r="K130" s="63" t="s">
        <v>114</v>
      </c>
      <c r="L130" s="63" t="s">
        <v>762</v>
      </c>
      <c r="N130" s="123">
        <v>45498</v>
      </c>
      <c r="O130" s="83" t="s">
        <v>763</v>
      </c>
      <c r="P130" s="64">
        <v>47163</v>
      </c>
      <c r="Q130" s="58" t="s">
        <v>83</v>
      </c>
      <c r="R130" s="58" t="s">
        <v>84</v>
      </c>
      <c r="S130" s="30">
        <v>3306948</v>
      </c>
      <c r="T130" s="30">
        <v>88.00001064425696</v>
      </c>
      <c r="U130" s="30">
        <v>0</v>
      </c>
      <c r="V130" s="30">
        <v>0</v>
      </c>
      <c r="W130" s="30">
        <v>639537</v>
      </c>
      <c r="X130" s="30">
        <v>0</v>
      </c>
      <c r="Y130" s="90" t="s">
        <v>125</v>
      </c>
    </row>
    <row r="131" spans="1:25" ht="13.5" customHeight="1" x14ac:dyDescent="0.3">
      <c r="A131" s="63">
        <v>8137</v>
      </c>
      <c r="B131" s="105" t="s">
        <v>764</v>
      </c>
      <c r="C131" s="65" t="s">
        <v>765</v>
      </c>
      <c r="D131" s="64">
        <v>45311</v>
      </c>
      <c r="E131" s="64">
        <v>47137</v>
      </c>
      <c r="F131" s="63" t="s">
        <v>80</v>
      </c>
      <c r="G131" s="71">
        <v>90000614</v>
      </c>
      <c r="H131" s="63" t="s">
        <v>111</v>
      </c>
      <c r="J131" s="63"/>
      <c r="K131" s="63" t="s">
        <v>114</v>
      </c>
      <c r="L131" s="63" t="s">
        <v>766</v>
      </c>
      <c r="N131" s="123">
        <v>45498</v>
      </c>
      <c r="O131" s="83" t="s">
        <v>767</v>
      </c>
      <c r="P131" s="64">
        <v>47137</v>
      </c>
      <c r="Q131" s="58" t="s">
        <v>83</v>
      </c>
      <c r="R131" s="58" t="s">
        <v>84</v>
      </c>
      <c r="S131" s="30">
        <v>6200527</v>
      </c>
      <c r="T131" s="30">
        <v>165.0000066526606</v>
      </c>
      <c r="U131" s="30">
        <v>0</v>
      </c>
      <c r="V131" s="30">
        <v>620053</v>
      </c>
      <c r="W131" s="30">
        <v>310026</v>
      </c>
      <c r="X131" s="30">
        <v>0</v>
      </c>
      <c r="Y131" s="90" t="s">
        <v>125</v>
      </c>
    </row>
    <row r="132" spans="1:25" x14ac:dyDescent="0.3">
      <c r="A132" s="63">
        <v>8137</v>
      </c>
      <c r="B132" s="105" t="s">
        <v>768</v>
      </c>
      <c r="C132" s="65" t="s">
        <v>769</v>
      </c>
      <c r="D132" s="64">
        <v>45474</v>
      </c>
      <c r="E132" s="64">
        <v>47299</v>
      </c>
      <c r="F132" s="63" t="s">
        <v>80</v>
      </c>
      <c r="G132" s="71">
        <v>90000615</v>
      </c>
      <c r="H132" s="63" t="s">
        <v>111</v>
      </c>
      <c r="J132" s="63"/>
      <c r="K132" s="63" t="s">
        <v>114</v>
      </c>
      <c r="L132" s="63" t="s">
        <v>770</v>
      </c>
      <c r="N132" s="123">
        <v>45499</v>
      </c>
      <c r="O132" s="83" t="s">
        <v>771</v>
      </c>
      <c r="P132" s="64">
        <v>47299</v>
      </c>
      <c r="Q132" s="58" t="s">
        <v>83</v>
      </c>
      <c r="R132" s="58" t="s">
        <v>84</v>
      </c>
      <c r="S132" s="30">
        <v>5884864</v>
      </c>
      <c r="T132" s="30">
        <v>156.60001144257623</v>
      </c>
      <c r="U132" s="30">
        <v>0</v>
      </c>
      <c r="V132" s="30">
        <v>588486</v>
      </c>
      <c r="W132" s="30">
        <v>294243</v>
      </c>
      <c r="X132" s="30">
        <v>0</v>
      </c>
      <c r="Y132" s="90" t="s">
        <v>125</v>
      </c>
    </row>
    <row r="133" spans="1:25" x14ac:dyDescent="0.3">
      <c r="A133" s="63">
        <v>8137</v>
      </c>
      <c r="B133" s="105" t="s">
        <v>772</v>
      </c>
      <c r="C133" s="65" t="s">
        <v>773</v>
      </c>
      <c r="D133" s="64">
        <v>45461</v>
      </c>
      <c r="E133" s="64">
        <v>47286</v>
      </c>
      <c r="F133" s="63" t="s">
        <v>80</v>
      </c>
      <c r="G133" s="71">
        <v>90000616</v>
      </c>
      <c r="H133" s="63" t="s">
        <v>111</v>
      </c>
      <c r="J133" s="63"/>
      <c r="K133" s="63" t="s">
        <v>114</v>
      </c>
      <c r="L133" s="63" t="s">
        <v>774</v>
      </c>
      <c r="N133" s="123">
        <v>45499</v>
      </c>
      <c r="O133" s="83" t="s">
        <v>775</v>
      </c>
      <c r="P133" s="64">
        <v>47286</v>
      </c>
      <c r="Q133" s="58" t="s">
        <v>83</v>
      </c>
      <c r="R133" s="58" t="s">
        <v>84</v>
      </c>
      <c r="S133" s="30">
        <v>6959997</v>
      </c>
      <c r="T133" s="30">
        <v>185.21</v>
      </c>
      <c r="U133" s="30">
        <v>0</v>
      </c>
      <c r="V133" s="30">
        <v>662893</v>
      </c>
      <c r="W133" s="30">
        <v>331446</v>
      </c>
      <c r="X133" s="30">
        <v>0</v>
      </c>
      <c r="Y133" s="90" t="s">
        <v>125</v>
      </c>
    </row>
    <row r="134" spans="1:25" x14ac:dyDescent="0.3">
      <c r="A134" s="63">
        <v>8137</v>
      </c>
      <c r="B134" s="105" t="s">
        <v>776</v>
      </c>
      <c r="C134" s="65" t="s">
        <v>777</v>
      </c>
      <c r="D134" s="64">
        <v>45505</v>
      </c>
      <c r="E134" s="64">
        <v>47330</v>
      </c>
      <c r="F134" s="63" t="s">
        <v>80</v>
      </c>
      <c r="G134" s="71">
        <v>90000617</v>
      </c>
      <c r="H134" s="63" t="s">
        <v>111</v>
      </c>
      <c r="J134" s="63"/>
      <c r="K134" s="63" t="s">
        <v>114</v>
      </c>
      <c r="L134" s="63" t="s">
        <v>778</v>
      </c>
      <c r="N134" s="70">
        <v>45533</v>
      </c>
      <c r="O134" s="83" t="s">
        <v>779</v>
      </c>
      <c r="P134" s="64">
        <v>47330</v>
      </c>
      <c r="Q134" s="58" t="s">
        <v>83</v>
      </c>
      <c r="R134" s="58" t="s">
        <v>84</v>
      </c>
      <c r="S134" s="30">
        <v>16574212</v>
      </c>
      <c r="T134" s="30">
        <v>439</v>
      </c>
      <c r="U134" s="30">
        <v>0</v>
      </c>
      <c r="V134" s="30">
        <v>1657421</v>
      </c>
      <c r="W134" s="30">
        <v>828711</v>
      </c>
      <c r="X134" s="30">
        <v>0</v>
      </c>
      <c r="Y134" s="90" t="s">
        <v>85</v>
      </c>
    </row>
    <row r="135" spans="1:25" ht="15" customHeight="1" x14ac:dyDescent="0.3">
      <c r="A135" s="63">
        <v>8137</v>
      </c>
      <c r="B135" s="105" t="s">
        <v>780</v>
      </c>
      <c r="C135" s="65" t="s">
        <v>781</v>
      </c>
      <c r="D135" s="64">
        <v>45474</v>
      </c>
      <c r="E135" s="64">
        <v>48029</v>
      </c>
      <c r="F135" s="63" t="s">
        <v>80</v>
      </c>
      <c r="G135" s="71">
        <v>90000618</v>
      </c>
      <c r="H135" s="63" t="s">
        <v>111</v>
      </c>
      <c r="J135" s="63"/>
      <c r="K135" s="63" t="s">
        <v>114</v>
      </c>
      <c r="L135" s="63" t="s">
        <v>782</v>
      </c>
      <c r="N135" s="70">
        <v>45562</v>
      </c>
      <c r="O135" s="83" t="s">
        <v>783</v>
      </c>
      <c r="P135" s="64">
        <v>48029</v>
      </c>
      <c r="Q135" s="58" t="s">
        <v>83</v>
      </c>
      <c r="R135" s="58" t="s">
        <v>84</v>
      </c>
      <c r="S135" s="30">
        <v>36962660</v>
      </c>
      <c r="T135" s="30">
        <v>975</v>
      </c>
      <c r="U135" s="30">
        <v>0</v>
      </c>
      <c r="V135" s="30">
        <v>0</v>
      </c>
      <c r="W135" s="30">
        <v>0</v>
      </c>
      <c r="X135" s="30">
        <v>0</v>
      </c>
      <c r="Y135" s="90" t="s">
        <v>85</v>
      </c>
    </row>
    <row r="136" spans="1:25" x14ac:dyDescent="0.3">
      <c r="A136" s="63">
        <v>8137</v>
      </c>
      <c r="B136" s="105" t="s">
        <v>780</v>
      </c>
      <c r="C136" s="65" t="s">
        <v>784</v>
      </c>
      <c r="D136" s="64">
        <v>45474</v>
      </c>
      <c r="E136" s="64">
        <v>48029</v>
      </c>
      <c r="F136" s="63" t="s">
        <v>80</v>
      </c>
      <c r="G136" s="71">
        <v>90000618</v>
      </c>
      <c r="H136" s="63" t="s">
        <v>111</v>
      </c>
      <c r="J136" s="63"/>
      <c r="K136" s="63" t="s">
        <v>114</v>
      </c>
      <c r="L136" s="63" t="s">
        <v>782</v>
      </c>
      <c r="N136" s="70">
        <v>45562</v>
      </c>
      <c r="O136" s="83" t="s">
        <v>785</v>
      </c>
      <c r="P136" s="64">
        <v>45385</v>
      </c>
      <c r="Q136" s="58" t="s">
        <v>83</v>
      </c>
      <c r="R136" s="58" t="s">
        <v>84</v>
      </c>
      <c r="S136" s="30"/>
      <c r="T136" s="30"/>
      <c r="U136" s="30">
        <v>0</v>
      </c>
      <c r="V136" s="30">
        <v>0</v>
      </c>
      <c r="W136" s="30">
        <v>0</v>
      </c>
      <c r="X136" s="30">
        <v>0</v>
      </c>
      <c r="Y136" s="90" t="s">
        <v>85</v>
      </c>
    </row>
    <row r="137" spans="1:25" x14ac:dyDescent="0.3">
      <c r="A137" s="63">
        <v>8137</v>
      </c>
      <c r="B137" s="105" t="s">
        <v>786</v>
      </c>
      <c r="C137" s="65" t="s">
        <v>787</v>
      </c>
      <c r="D137" s="64">
        <v>45536</v>
      </c>
      <c r="E137" s="64">
        <v>47361</v>
      </c>
      <c r="F137" s="63" t="s">
        <v>80</v>
      </c>
      <c r="G137" s="71">
        <v>90000622</v>
      </c>
      <c r="H137" s="63" t="s">
        <v>111</v>
      </c>
      <c r="J137" s="63"/>
      <c r="K137" s="63" t="s">
        <v>114</v>
      </c>
      <c r="L137" s="63" t="s">
        <v>788</v>
      </c>
      <c r="N137" s="70">
        <v>45547</v>
      </c>
      <c r="O137" s="83" t="s">
        <v>789</v>
      </c>
      <c r="P137" s="64">
        <v>47361</v>
      </c>
      <c r="Q137" s="58" t="s">
        <v>83</v>
      </c>
      <c r="R137" s="58" t="s">
        <v>84</v>
      </c>
      <c r="S137" s="30">
        <v>3980594</v>
      </c>
      <c r="T137" s="30">
        <v>105</v>
      </c>
      <c r="U137" s="30">
        <v>0</v>
      </c>
      <c r="V137" s="30">
        <v>398059</v>
      </c>
      <c r="W137" s="30">
        <v>199030</v>
      </c>
      <c r="X137" s="30">
        <v>0</v>
      </c>
      <c r="Y137" s="90" t="s">
        <v>85</v>
      </c>
    </row>
    <row r="138" spans="1:25" x14ac:dyDescent="0.3">
      <c r="A138" s="63">
        <v>8137</v>
      </c>
      <c r="B138" s="105" t="s">
        <v>790</v>
      </c>
      <c r="C138" s="65" t="s">
        <v>791</v>
      </c>
      <c r="D138" s="64">
        <v>45505</v>
      </c>
      <c r="E138" s="64">
        <v>46965</v>
      </c>
      <c r="F138" s="63" t="s">
        <v>80</v>
      </c>
      <c r="G138" s="71">
        <v>90000624</v>
      </c>
      <c r="H138" s="63" t="s">
        <v>111</v>
      </c>
      <c r="J138" s="63"/>
      <c r="K138" s="63" t="s">
        <v>114</v>
      </c>
      <c r="L138" s="63" t="s">
        <v>792</v>
      </c>
      <c r="N138" s="70">
        <v>45621</v>
      </c>
      <c r="O138" s="83" t="s">
        <v>793</v>
      </c>
      <c r="P138" s="64">
        <v>46965</v>
      </c>
      <c r="Q138" s="58" t="s">
        <v>83</v>
      </c>
      <c r="R138" s="58" t="s">
        <v>84</v>
      </c>
      <c r="S138" s="30">
        <v>2909519</v>
      </c>
      <c r="T138" s="30">
        <v>76.069999999999993</v>
      </c>
      <c r="U138" s="30">
        <v>0</v>
      </c>
      <c r="V138" s="30"/>
      <c r="W138" s="30"/>
      <c r="X138" s="30">
        <v>0</v>
      </c>
      <c r="Y138" s="90" t="s">
        <v>85</v>
      </c>
    </row>
    <row r="139" spans="1:25" x14ac:dyDescent="0.3">
      <c r="A139" s="63">
        <v>8137</v>
      </c>
      <c r="B139" s="105" t="s">
        <v>794</v>
      </c>
      <c r="C139" s="65" t="s">
        <v>795</v>
      </c>
      <c r="D139" s="64">
        <v>45607</v>
      </c>
      <c r="E139" s="64">
        <v>47432</v>
      </c>
      <c r="F139" s="63" t="s">
        <v>80</v>
      </c>
      <c r="G139" s="71">
        <v>90000625</v>
      </c>
      <c r="H139" s="63" t="s">
        <v>111</v>
      </c>
      <c r="J139" s="63"/>
      <c r="K139" s="63" t="s">
        <v>114</v>
      </c>
      <c r="L139" s="63" t="s">
        <v>796</v>
      </c>
      <c r="N139" s="70">
        <v>45623</v>
      </c>
      <c r="O139" s="83" t="s">
        <v>797</v>
      </c>
      <c r="P139" s="64">
        <v>47432</v>
      </c>
      <c r="Q139" s="58" t="s">
        <v>83</v>
      </c>
      <c r="R139" s="58" t="s">
        <v>84</v>
      </c>
      <c r="S139" s="30">
        <v>5322198</v>
      </c>
      <c r="T139" s="30">
        <v>139.15</v>
      </c>
      <c r="U139" s="30">
        <v>0</v>
      </c>
      <c r="V139" s="30">
        <v>485757</v>
      </c>
      <c r="W139" s="30">
        <v>242879</v>
      </c>
      <c r="X139" s="30">
        <v>0</v>
      </c>
      <c r="Y139" s="90" t="s">
        <v>85</v>
      </c>
    </row>
    <row r="140" spans="1:25" x14ac:dyDescent="0.3">
      <c r="A140" s="63">
        <v>8137</v>
      </c>
      <c r="B140" s="105" t="s">
        <v>798</v>
      </c>
      <c r="C140" s="65" t="s">
        <v>799</v>
      </c>
      <c r="D140" s="64">
        <v>45607</v>
      </c>
      <c r="E140" s="64">
        <v>47432</v>
      </c>
      <c r="F140" s="63" t="s">
        <v>80</v>
      </c>
      <c r="G140" s="71">
        <v>90000626</v>
      </c>
      <c r="H140" s="63" t="s">
        <v>111</v>
      </c>
      <c r="J140" s="63"/>
      <c r="K140" s="63" t="s">
        <v>114</v>
      </c>
      <c r="L140" s="63" t="s">
        <v>800</v>
      </c>
      <c r="N140" s="70">
        <v>45623</v>
      </c>
      <c r="O140" s="83" t="s">
        <v>801</v>
      </c>
      <c r="P140" s="64">
        <v>47432</v>
      </c>
      <c r="Q140" s="58" t="s">
        <v>83</v>
      </c>
      <c r="R140" s="58" t="s">
        <v>84</v>
      </c>
      <c r="S140" s="30">
        <v>3517279</v>
      </c>
      <c r="T140" s="30">
        <v>91.96</v>
      </c>
      <c r="U140" s="30">
        <v>0</v>
      </c>
      <c r="V140" s="30">
        <v>321479</v>
      </c>
      <c r="W140" s="30">
        <v>160740</v>
      </c>
      <c r="X140" s="30">
        <v>0</v>
      </c>
      <c r="Y140" s="90" t="s">
        <v>85</v>
      </c>
    </row>
    <row r="141" spans="1:25" x14ac:dyDescent="0.3">
      <c r="A141" s="63">
        <v>8137</v>
      </c>
      <c r="B141" s="105" t="s">
        <v>802</v>
      </c>
      <c r="C141" s="65" t="s">
        <v>803</v>
      </c>
      <c r="D141" s="64">
        <v>45597</v>
      </c>
      <c r="E141" s="64">
        <v>47057</v>
      </c>
      <c r="F141" s="63" t="s">
        <v>80</v>
      </c>
      <c r="G141" s="71">
        <v>90000627</v>
      </c>
      <c r="H141" s="63" t="s">
        <v>111</v>
      </c>
      <c r="J141" s="63"/>
      <c r="K141" s="63" t="s">
        <v>114</v>
      </c>
      <c r="L141" s="63" t="s">
        <v>804</v>
      </c>
      <c r="N141" s="70">
        <v>45643</v>
      </c>
      <c r="O141" s="83" t="s">
        <v>805</v>
      </c>
      <c r="P141" s="64">
        <v>47057</v>
      </c>
      <c r="Q141" s="58" t="s">
        <v>83</v>
      </c>
      <c r="R141" s="58" t="s">
        <v>84</v>
      </c>
      <c r="S141" s="30">
        <v>4610003</v>
      </c>
      <c r="T141" s="30">
        <v>120</v>
      </c>
      <c r="U141" s="30">
        <v>0</v>
      </c>
      <c r="V141" s="30"/>
      <c r="W141" s="30"/>
      <c r="X141" s="30">
        <v>0</v>
      </c>
      <c r="Y141" s="90"/>
    </row>
    <row r="142" spans="1:25" x14ac:dyDescent="0.3">
      <c r="A142" s="63">
        <v>8137</v>
      </c>
      <c r="B142" s="105" t="s">
        <v>806</v>
      </c>
      <c r="C142" s="65" t="s">
        <v>807</v>
      </c>
      <c r="D142" s="64">
        <v>45627</v>
      </c>
      <c r="E142" s="64">
        <v>47452</v>
      </c>
      <c r="F142" s="63" t="s">
        <v>80</v>
      </c>
      <c r="G142" s="71">
        <v>90000628</v>
      </c>
      <c r="H142" s="63" t="s">
        <v>111</v>
      </c>
      <c r="J142" s="63"/>
      <c r="K142" s="63" t="s">
        <v>114</v>
      </c>
      <c r="L142" s="63" t="s">
        <v>808</v>
      </c>
      <c r="N142" s="70">
        <v>45643</v>
      </c>
      <c r="O142" s="83" t="s">
        <v>809</v>
      </c>
      <c r="P142" s="64">
        <v>47452</v>
      </c>
      <c r="Q142" s="58" t="s">
        <v>83</v>
      </c>
      <c r="R142" s="58" t="s">
        <v>84</v>
      </c>
      <c r="S142" s="30">
        <v>4233135</v>
      </c>
      <c r="T142" s="30">
        <v>110.19</v>
      </c>
      <c r="U142" s="30">
        <v>0</v>
      </c>
      <c r="V142" s="30">
        <v>403164</v>
      </c>
      <c r="W142" s="30">
        <v>201582</v>
      </c>
      <c r="X142" s="30">
        <v>0</v>
      </c>
      <c r="Y142" s="90"/>
    </row>
    <row r="143" spans="1:25" x14ac:dyDescent="0.3">
      <c r="A143" s="63">
        <v>8137</v>
      </c>
      <c r="B143" s="105" t="s">
        <v>810</v>
      </c>
      <c r="C143" s="65" t="s">
        <v>811</v>
      </c>
      <c r="D143" s="64">
        <v>45351</v>
      </c>
      <c r="E143" s="64">
        <v>46811</v>
      </c>
      <c r="F143" s="63" t="s">
        <v>80</v>
      </c>
      <c r="G143" s="71">
        <v>90000629</v>
      </c>
      <c r="H143" s="63" t="s">
        <v>111</v>
      </c>
      <c r="J143" s="63"/>
      <c r="K143" s="63" t="s">
        <v>114</v>
      </c>
      <c r="L143" s="63" t="s">
        <v>812</v>
      </c>
      <c r="N143" s="70">
        <v>45643</v>
      </c>
      <c r="O143" s="83" t="s">
        <v>813</v>
      </c>
      <c r="P143" s="64">
        <v>46811</v>
      </c>
      <c r="Q143" s="58" t="s">
        <v>83</v>
      </c>
      <c r="R143" s="58" t="s">
        <v>84</v>
      </c>
      <c r="S143" s="30">
        <v>6915004</v>
      </c>
      <c r="T143" s="30">
        <v>180</v>
      </c>
      <c r="U143" s="30">
        <v>0</v>
      </c>
      <c r="V143" s="30"/>
      <c r="W143" s="30">
        <v>0</v>
      </c>
      <c r="X143" s="30">
        <v>0</v>
      </c>
      <c r="Y143" s="90"/>
    </row>
    <row r="144" spans="1:25" x14ac:dyDescent="0.3">
      <c r="A144" s="63">
        <v>8137</v>
      </c>
      <c r="B144" s="105" t="s">
        <v>814</v>
      </c>
      <c r="C144" s="65" t="s">
        <v>815</v>
      </c>
      <c r="D144" s="64">
        <v>45474</v>
      </c>
      <c r="E144" s="64">
        <v>46934</v>
      </c>
      <c r="F144" s="63" t="s">
        <v>80</v>
      </c>
      <c r="G144" s="71">
        <v>90000630</v>
      </c>
      <c r="H144" s="63" t="s">
        <v>111</v>
      </c>
      <c r="J144" s="63"/>
      <c r="K144" s="63" t="s">
        <v>114</v>
      </c>
      <c r="L144" s="63" t="s">
        <v>816</v>
      </c>
      <c r="N144" s="70">
        <v>45645</v>
      </c>
      <c r="O144" s="83" t="s">
        <v>817</v>
      </c>
      <c r="P144" s="64">
        <v>46934</v>
      </c>
      <c r="Q144" s="58" t="s">
        <v>83</v>
      </c>
      <c r="R144" s="58" t="s">
        <v>84</v>
      </c>
      <c r="S144" s="30">
        <v>4802086</v>
      </c>
      <c r="T144" s="30">
        <v>125</v>
      </c>
      <c r="U144" s="30">
        <v>0</v>
      </c>
      <c r="V144" s="30"/>
      <c r="W144" s="30">
        <v>0</v>
      </c>
      <c r="X144" s="30">
        <v>0</v>
      </c>
      <c r="Y144" s="90"/>
    </row>
    <row r="145" spans="1:25" x14ac:dyDescent="0.3">
      <c r="A145" s="63">
        <v>8137</v>
      </c>
      <c r="B145" s="105" t="s">
        <v>818</v>
      </c>
      <c r="C145" s="65" t="s">
        <v>819</v>
      </c>
      <c r="D145" s="64">
        <v>45323</v>
      </c>
      <c r="E145" s="64">
        <v>46356</v>
      </c>
      <c r="F145" s="63" t="s">
        <v>80</v>
      </c>
      <c r="G145" s="71">
        <v>90000631</v>
      </c>
      <c r="H145" s="63" t="s">
        <v>111</v>
      </c>
      <c r="J145" s="63"/>
      <c r="K145" s="63" t="s">
        <v>114</v>
      </c>
      <c r="L145" s="69" t="s">
        <v>820</v>
      </c>
      <c r="N145" s="70">
        <v>45686</v>
      </c>
      <c r="O145" s="83" t="s">
        <v>821</v>
      </c>
      <c r="P145" s="64">
        <v>46356</v>
      </c>
      <c r="Q145" s="58" t="s">
        <v>83</v>
      </c>
      <c r="R145" s="58" t="s">
        <v>84</v>
      </c>
      <c r="S145" s="30">
        <v>18470578</v>
      </c>
      <c r="T145" s="30">
        <v>481.2</v>
      </c>
      <c r="U145" s="30">
        <v>0</v>
      </c>
      <c r="V145" s="30">
        <v>1847058</v>
      </c>
      <c r="W145" s="30">
        <v>0</v>
      </c>
      <c r="X145" s="30">
        <v>0</v>
      </c>
      <c r="Y145" s="90"/>
    </row>
    <row r="146" spans="1:25" x14ac:dyDescent="0.3">
      <c r="A146" s="63">
        <v>8137</v>
      </c>
      <c r="B146" s="105" t="s">
        <v>822</v>
      </c>
      <c r="C146" s="65" t="s">
        <v>823</v>
      </c>
      <c r="D146" s="64">
        <v>45658</v>
      </c>
      <c r="E146" s="64">
        <v>47483</v>
      </c>
      <c r="F146" s="63" t="s">
        <v>80</v>
      </c>
      <c r="G146" s="71">
        <v>90000632</v>
      </c>
      <c r="H146" s="63" t="s">
        <v>111</v>
      </c>
      <c r="J146" s="63"/>
      <c r="K146" s="63" t="s">
        <v>114</v>
      </c>
      <c r="L146" s="69" t="s">
        <v>824</v>
      </c>
      <c r="N146" s="70">
        <v>45686</v>
      </c>
      <c r="O146" s="83" t="s">
        <v>825</v>
      </c>
      <c r="P146" s="64">
        <v>47483</v>
      </c>
      <c r="Q146" s="58" t="s">
        <v>83</v>
      </c>
      <c r="R146" s="58" t="s">
        <v>84</v>
      </c>
      <c r="S146" s="30">
        <v>6141506</v>
      </c>
      <c r="T146" s="30">
        <v>160</v>
      </c>
      <c r="U146" s="30">
        <v>0</v>
      </c>
      <c r="V146" s="30">
        <v>0</v>
      </c>
      <c r="W146" s="30">
        <v>0</v>
      </c>
      <c r="X146" s="30">
        <v>0</v>
      </c>
      <c r="Y146" s="90"/>
    </row>
    <row r="147" spans="1:25" x14ac:dyDescent="0.3">
      <c r="A147" s="63">
        <v>8137</v>
      </c>
      <c r="B147" s="105" t="s">
        <v>826</v>
      </c>
      <c r="C147" s="65" t="s">
        <v>827</v>
      </c>
      <c r="D147" s="64">
        <v>45297</v>
      </c>
      <c r="E147" s="64">
        <v>46392</v>
      </c>
      <c r="F147" s="63" t="s">
        <v>80</v>
      </c>
      <c r="G147" s="71">
        <v>90000633</v>
      </c>
      <c r="H147" s="63" t="s">
        <v>111</v>
      </c>
      <c r="J147" s="63"/>
      <c r="K147" s="63" t="s">
        <v>114</v>
      </c>
      <c r="L147" s="69" t="s">
        <v>828</v>
      </c>
      <c r="N147" s="70">
        <v>45686</v>
      </c>
      <c r="O147" s="83" t="s">
        <v>829</v>
      </c>
      <c r="P147" s="64">
        <v>46392</v>
      </c>
      <c r="Q147" s="58" t="s">
        <v>83</v>
      </c>
      <c r="R147" s="58" t="s">
        <v>84</v>
      </c>
      <c r="S147" s="30">
        <v>2052798</v>
      </c>
      <c r="T147" s="30">
        <v>53.48</v>
      </c>
      <c r="U147" s="30">
        <v>0</v>
      </c>
      <c r="V147" s="30">
        <v>205280</v>
      </c>
      <c r="W147" s="30">
        <v>0</v>
      </c>
      <c r="X147" s="30">
        <v>0</v>
      </c>
      <c r="Y147" s="90"/>
    </row>
    <row r="148" spans="1:25" x14ac:dyDescent="0.3">
      <c r="A148" s="63">
        <v>8137</v>
      </c>
      <c r="B148" s="105" t="s">
        <v>830</v>
      </c>
      <c r="C148" s="65" t="s">
        <v>831</v>
      </c>
      <c r="D148" s="64">
        <v>45658</v>
      </c>
      <c r="E148" s="64">
        <v>47483</v>
      </c>
      <c r="F148" s="63" t="s">
        <v>80</v>
      </c>
      <c r="G148" s="71">
        <v>90000634</v>
      </c>
      <c r="H148" s="63" t="s">
        <v>111</v>
      </c>
      <c r="J148" s="63"/>
      <c r="K148" s="63" t="s">
        <v>114</v>
      </c>
      <c r="L148" s="69" t="s">
        <v>832</v>
      </c>
      <c r="N148" s="70">
        <v>45686</v>
      </c>
      <c r="O148" s="83" t="s">
        <v>833</v>
      </c>
      <c r="P148" s="64">
        <v>47483</v>
      </c>
      <c r="Q148" s="58" t="s">
        <v>83</v>
      </c>
      <c r="R148" s="58" t="s">
        <v>84</v>
      </c>
      <c r="S148" s="30">
        <v>2780951</v>
      </c>
      <c r="T148" s="30">
        <v>72.45</v>
      </c>
      <c r="U148" s="30">
        <v>0</v>
      </c>
      <c r="V148" s="30">
        <v>278095</v>
      </c>
      <c r="W148" s="30">
        <v>139048</v>
      </c>
      <c r="X148" s="30">
        <v>0</v>
      </c>
      <c r="Y148" s="90"/>
    </row>
    <row r="149" spans="1:25" x14ac:dyDescent="0.3">
      <c r="A149" s="63">
        <v>8137</v>
      </c>
      <c r="B149" s="105" t="s">
        <v>834</v>
      </c>
      <c r="C149" s="65" t="s">
        <v>835</v>
      </c>
      <c r="D149" s="64">
        <v>45444</v>
      </c>
      <c r="E149" s="64">
        <v>46904</v>
      </c>
      <c r="F149" s="63" t="s">
        <v>80</v>
      </c>
      <c r="G149" s="71">
        <v>90000635</v>
      </c>
      <c r="H149" s="63" t="s">
        <v>111</v>
      </c>
      <c r="J149" s="63"/>
      <c r="K149" s="63" t="s">
        <v>114</v>
      </c>
      <c r="L149" s="69" t="s">
        <v>836</v>
      </c>
      <c r="N149" s="70">
        <v>45686</v>
      </c>
      <c r="O149" s="83" t="s">
        <v>837</v>
      </c>
      <c r="P149" s="64">
        <v>46904</v>
      </c>
      <c r="Q149" s="58" t="s">
        <v>83</v>
      </c>
      <c r="R149" s="58" t="s">
        <v>84</v>
      </c>
      <c r="S149" s="30">
        <v>4798051</v>
      </c>
      <c r="T149" s="30">
        <v>125</v>
      </c>
      <c r="U149" s="30">
        <v>0</v>
      </c>
      <c r="V149" s="30">
        <v>0</v>
      </c>
      <c r="W149" s="30">
        <v>0</v>
      </c>
      <c r="X149" s="30">
        <v>0</v>
      </c>
      <c r="Y149" s="90"/>
    </row>
    <row r="150" spans="1:25" x14ac:dyDescent="0.3">
      <c r="A150" s="63">
        <v>8137</v>
      </c>
      <c r="B150" s="105" t="s">
        <v>838</v>
      </c>
      <c r="C150" s="65" t="s">
        <v>839</v>
      </c>
      <c r="D150" s="64">
        <v>45662</v>
      </c>
      <c r="E150" s="64">
        <v>46756</v>
      </c>
      <c r="F150" s="63" t="s">
        <v>80</v>
      </c>
      <c r="G150" s="71">
        <v>90000636</v>
      </c>
      <c r="H150" s="63" t="s">
        <v>111</v>
      </c>
      <c r="J150" s="63"/>
      <c r="K150" s="63" t="s">
        <v>114</v>
      </c>
      <c r="L150" s="69" t="s">
        <v>840</v>
      </c>
      <c r="N150" s="70">
        <v>45686</v>
      </c>
      <c r="O150" s="83" t="s">
        <v>841</v>
      </c>
      <c r="P150" s="64">
        <v>46756</v>
      </c>
      <c r="Q150" s="58" t="s">
        <v>83</v>
      </c>
      <c r="R150" s="58" t="s">
        <v>84</v>
      </c>
      <c r="S150" s="30">
        <v>6909194</v>
      </c>
      <c r="T150" s="30">
        <v>180</v>
      </c>
      <c r="U150" s="30">
        <v>0</v>
      </c>
      <c r="V150" s="30">
        <v>0</v>
      </c>
      <c r="W150" s="30">
        <v>95961</v>
      </c>
      <c r="X150" s="30">
        <v>0</v>
      </c>
      <c r="Y150" s="90"/>
    </row>
    <row r="151" spans="1:25" x14ac:dyDescent="0.3">
      <c r="A151" s="63">
        <v>8137</v>
      </c>
      <c r="B151" s="105" t="s">
        <v>842</v>
      </c>
      <c r="C151" s="65" t="s">
        <v>843</v>
      </c>
      <c r="D151" s="64">
        <v>45566</v>
      </c>
      <c r="E151" s="64">
        <v>46387</v>
      </c>
      <c r="F151" s="63" t="s">
        <v>80</v>
      </c>
      <c r="G151" s="71">
        <v>90000637</v>
      </c>
      <c r="H151" s="63" t="s">
        <v>111</v>
      </c>
      <c r="J151" s="63"/>
      <c r="K151" s="63" t="s">
        <v>114</v>
      </c>
      <c r="L151" s="63" t="s">
        <v>844</v>
      </c>
      <c r="N151" s="70">
        <v>45714</v>
      </c>
      <c r="O151" s="83" t="s">
        <v>845</v>
      </c>
      <c r="P151" s="64">
        <v>46387</v>
      </c>
      <c r="Q151" s="58" t="s">
        <v>83</v>
      </c>
      <c r="R151" s="58" t="s">
        <v>84</v>
      </c>
      <c r="S151" s="30">
        <v>24154963</v>
      </c>
      <c r="T151" s="30">
        <v>625</v>
      </c>
      <c r="U151" s="30">
        <v>0</v>
      </c>
      <c r="V151" s="30">
        <v>0</v>
      </c>
      <c r="W151" s="30">
        <v>0</v>
      </c>
      <c r="X151" s="30">
        <v>0</v>
      </c>
      <c r="Y151" s="90"/>
    </row>
    <row r="152" spans="1:25" x14ac:dyDescent="0.3">
      <c r="A152" s="63">
        <v>8137</v>
      </c>
      <c r="B152" s="105" t="s">
        <v>846</v>
      </c>
      <c r="C152" s="65" t="s">
        <v>847</v>
      </c>
      <c r="D152" s="64">
        <v>45389</v>
      </c>
      <c r="E152" s="64">
        <v>46483</v>
      </c>
      <c r="F152" s="63" t="s">
        <v>80</v>
      </c>
      <c r="G152" s="71">
        <v>90000638</v>
      </c>
      <c r="H152" s="63" t="s">
        <v>111</v>
      </c>
      <c r="J152" s="63"/>
      <c r="K152" s="63" t="s">
        <v>114</v>
      </c>
      <c r="L152" s="63" t="s">
        <v>848</v>
      </c>
      <c r="N152" s="70">
        <v>45714</v>
      </c>
      <c r="O152" s="83" t="s">
        <v>849</v>
      </c>
      <c r="P152" s="64">
        <v>46483</v>
      </c>
      <c r="Q152" s="58" t="s">
        <v>83</v>
      </c>
      <c r="R152" s="58" t="s">
        <v>84</v>
      </c>
      <c r="S152" s="30">
        <v>2791541</v>
      </c>
      <c r="T152" s="30">
        <v>72.23</v>
      </c>
      <c r="U152" s="30">
        <v>0</v>
      </c>
      <c r="V152" s="30">
        <v>279154</v>
      </c>
      <c r="W152" s="30">
        <v>1073640</v>
      </c>
      <c r="X152" s="30">
        <v>0</v>
      </c>
      <c r="Y152" s="90"/>
    </row>
    <row r="153" spans="1:25" x14ac:dyDescent="0.3">
      <c r="A153" s="63">
        <v>8137</v>
      </c>
      <c r="B153" s="105" t="s">
        <v>850</v>
      </c>
      <c r="C153" s="65" t="s">
        <v>851</v>
      </c>
      <c r="D153" s="64">
        <v>45748</v>
      </c>
      <c r="E153" s="64">
        <v>47573</v>
      </c>
      <c r="F153" s="63" t="s">
        <v>80</v>
      </c>
      <c r="G153" s="71">
        <v>90000642</v>
      </c>
      <c r="H153" s="63" t="s">
        <v>111</v>
      </c>
      <c r="J153" s="63"/>
      <c r="K153" s="63" t="s">
        <v>114</v>
      </c>
      <c r="L153" s="140" t="s">
        <v>852</v>
      </c>
      <c r="N153" s="70">
        <v>45776</v>
      </c>
      <c r="O153" s="83" t="s">
        <v>853</v>
      </c>
      <c r="P153" s="64">
        <v>47573</v>
      </c>
      <c r="Q153" s="58" t="s">
        <v>83</v>
      </c>
      <c r="R153" s="58" t="s">
        <v>84</v>
      </c>
      <c r="S153" s="30">
        <v>7659171</v>
      </c>
      <c r="T153" s="30">
        <v>196.01</v>
      </c>
      <c r="U153" s="30">
        <v>0</v>
      </c>
      <c r="V153" s="30">
        <v>765917</v>
      </c>
      <c r="W153" s="30">
        <v>382959</v>
      </c>
      <c r="X153" s="30"/>
      <c r="Y153" s="90"/>
    </row>
    <row r="154" spans="1:25" x14ac:dyDescent="0.3">
      <c r="A154" s="63">
        <v>8137</v>
      </c>
      <c r="B154" s="105" t="s">
        <v>854</v>
      </c>
      <c r="C154" s="65" t="s">
        <v>855</v>
      </c>
      <c r="D154" s="64">
        <v>45748</v>
      </c>
      <c r="E154" s="64">
        <v>47208</v>
      </c>
      <c r="F154" s="63" t="s">
        <v>80</v>
      </c>
      <c r="G154" s="71">
        <v>90000645</v>
      </c>
      <c r="H154" s="63" t="s">
        <v>111</v>
      </c>
      <c r="J154" s="63"/>
      <c r="K154" s="63" t="s">
        <v>114</v>
      </c>
      <c r="L154" s="140" t="s">
        <v>856</v>
      </c>
      <c r="N154" s="70">
        <v>45811</v>
      </c>
      <c r="O154" s="83" t="s">
        <v>857</v>
      </c>
      <c r="P154" s="64">
        <v>47208</v>
      </c>
      <c r="Q154" s="58" t="s">
        <v>83</v>
      </c>
      <c r="R154" s="58" t="s">
        <v>84</v>
      </c>
      <c r="S154" s="30">
        <v>3487861</v>
      </c>
      <c r="T154" s="30">
        <v>89</v>
      </c>
      <c r="U154" s="30">
        <v>0</v>
      </c>
      <c r="V154" s="30">
        <v>348786</v>
      </c>
      <c r="W154" s="30">
        <v>1371631</v>
      </c>
      <c r="X154" s="30"/>
      <c r="Y154" s="90"/>
    </row>
    <row r="155" spans="1:25" x14ac:dyDescent="0.3">
      <c r="A155" s="63">
        <v>8137</v>
      </c>
      <c r="B155" s="105" t="s">
        <v>858</v>
      </c>
      <c r="C155" s="65" t="s">
        <v>859</v>
      </c>
      <c r="D155" s="64">
        <v>45733</v>
      </c>
      <c r="E155" s="64">
        <v>46828</v>
      </c>
      <c r="F155" s="63" t="s">
        <v>80</v>
      </c>
      <c r="G155" s="71">
        <v>90000646</v>
      </c>
      <c r="H155" s="63" t="s">
        <v>111</v>
      </c>
      <c r="J155" s="63"/>
      <c r="K155" s="63" t="s">
        <v>114</v>
      </c>
      <c r="L155" s="140" t="s">
        <v>860</v>
      </c>
      <c r="N155" s="70">
        <v>45805</v>
      </c>
      <c r="O155" s="83" t="s">
        <v>861</v>
      </c>
      <c r="P155" s="64">
        <v>46828</v>
      </c>
      <c r="Q155" s="58" t="s">
        <v>83</v>
      </c>
      <c r="R155" s="58" t="s">
        <v>84</v>
      </c>
      <c r="S155" s="30">
        <v>2390556</v>
      </c>
      <c r="T155" s="30">
        <v>61</v>
      </c>
      <c r="U155" s="30">
        <v>0</v>
      </c>
      <c r="V155" s="30"/>
      <c r="W155" s="30"/>
      <c r="X155" s="30"/>
      <c r="Y155" s="90"/>
    </row>
    <row r="156" spans="1:25" x14ac:dyDescent="0.3">
      <c r="A156" s="63">
        <v>8137</v>
      </c>
      <c r="B156" s="105" t="s">
        <v>862</v>
      </c>
      <c r="C156" s="65" t="s">
        <v>863</v>
      </c>
      <c r="D156" s="64">
        <v>45658</v>
      </c>
      <c r="E156" s="64">
        <v>46752</v>
      </c>
      <c r="F156" s="63" t="s">
        <v>80</v>
      </c>
      <c r="G156" s="71">
        <v>90000651</v>
      </c>
      <c r="H156" s="63" t="s">
        <v>111</v>
      </c>
      <c r="J156" s="63"/>
      <c r="K156" s="63" t="s">
        <v>114</v>
      </c>
      <c r="L156" s="63" t="s">
        <v>864</v>
      </c>
      <c r="N156" s="70">
        <v>45833</v>
      </c>
      <c r="O156" s="83" t="s">
        <v>865</v>
      </c>
      <c r="P156" s="64">
        <v>46752</v>
      </c>
      <c r="Q156" s="58" t="s">
        <v>83</v>
      </c>
      <c r="R156" s="58" t="s">
        <v>84</v>
      </c>
      <c r="S156" s="30">
        <v>8638755</v>
      </c>
      <c r="T156" s="30">
        <v>220</v>
      </c>
      <c r="U156" s="30">
        <v>0</v>
      </c>
      <c r="V156" s="30"/>
      <c r="W156" s="30"/>
      <c r="X156" s="30">
        <v>0</v>
      </c>
    </row>
    <row r="157" spans="1:25" x14ac:dyDescent="0.3">
      <c r="A157" s="63">
        <v>8137</v>
      </c>
      <c r="B157" s="105" t="s">
        <v>866</v>
      </c>
      <c r="C157" s="65" t="s">
        <v>867</v>
      </c>
      <c r="D157" s="64">
        <v>45713</v>
      </c>
      <c r="E157" s="64">
        <v>47173</v>
      </c>
      <c r="F157" s="63" t="s">
        <v>80</v>
      </c>
      <c r="G157" s="71">
        <v>90000653</v>
      </c>
      <c r="H157" s="63" t="s">
        <v>111</v>
      </c>
      <c r="J157" s="63"/>
      <c r="K157" s="63" t="s">
        <v>114</v>
      </c>
      <c r="L157" s="63" t="s">
        <v>868</v>
      </c>
      <c r="N157" s="70">
        <v>45861</v>
      </c>
      <c r="O157" s="83" t="s">
        <v>869</v>
      </c>
      <c r="P157" s="64">
        <v>47173</v>
      </c>
      <c r="Q157" s="58" t="s">
        <v>83</v>
      </c>
      <c r="R157" s="58" t="s">
        <v>84</v>
      </c>
      <c r="S157" s="30">
        <v>3291037</v>
      </c>
      <c r="T157" s="30">
        <v>84</v>
      </c>
      <c r="U157" s="30">
        <v>0</v>
      </c>
      <c r="V157" s="30"/>
      <c r="W157" s="30">
        <v>1111705</v>
      </c>
      <c r="X157" s="30"/>
    </row>
    <row r="158" spans="1:25" x14ac:dyDescent="0.3">
      <c r="A158" s="63">
        <v>8137</v>
      </c>
      <c r="B158" s="105" t="s">
        <v>870</v>
      </c>
      <c r="C158" s="65" t="s">
        <v>871</v>
      </c>
      <c r="D158" s="64">
        <v>45677</v>
      </c>
      <c r="E158" s="64">
        <v>47137</v>
      </c>
      <c r="F158" s="63" t="s">
        <v>80</v>
      </c>
      <c r="G158" s="71">
        <v>90000654</v>
      </c>
      <c r="H158" s="63" t="s">
        <v>111</v>
      </c>
      <c r="J158" s="63"/>
      <c r="K158" s="63" t="s">
        <v>114</v>
      </c>
      <c r="L158" s="63" t="s">
        <v>872</v>
      </c>
      <c r="N158" s="70">
        <v>45861</v>
      </c>
      <c r="O158" s="83" t="s">
        <v>873</v>
      </c>
      <c r="P158" s="64">
        <v>47137</v>
      </c>
      <c r="Q158" s="58" t="s">
        <v>83</v>
      </c>
      <c r="R158" s="58" t="s">
        <v>84</v>
      </c>
      <c r="S158" s="30">
        <v>3126485</v>
      </c>
      <c r="T158" s="30">
        <v>79.8</v>
      </c>
      <c r="U158" s="30">
        <v>0</v>
      </c>
      <c r="V158" s="30"/>
      <c r="W158" s="30">
        <v>621379</v>
      </c>
      <c r="X158" s="30"/>
    </row>
    <row r="159" spans="1:25" x14ac:dyDescent="0.3">
      <c r="A159" s="63">
        <v>8137</v>
      </c>
      <c r="B159" s="105" t="s">
        <v>874</v>
      </c>
      <c r="C159" s="65" t="s">
        <v>875</v>
      </c>
      <c r="D159" s="64">
        <v>45689</v>
      </c>
      <c r="E159" s="64">
        <v>47149</v>
      </c>
      <c r="F159" s="63" t="s">
        <v>80</v>
      </c>
      <c r="G159" s="71">
        <v>90000655</v>
      </c>
      <c r="H159" s="63" t="s">
        <v>111</v>
      </c>
      <c r="J159" s="63"/>
      <c r="K159" s="63" t="s">
        <v>114</v>
      </c>
      <c r="L159" s="63" t="s">
        <v>876</v>
      </c>
      <c r="N159" s="70">
        <v>45861</v>
      </c>
      <c r="O159" s="83" t="s">
        <v>877</v>
      </c>
      <c r="P159" s="64">
        <v>47149</v>
      </c>
      <c r="Q159" s="58" t="s">
        <v>83</v>
      </c>
      <c r="R159" s="58" t="s">
        <v>84</v>
      </c>
      <c r="S159" s="30">
        <v>2031040</v>
      </c>
      <c r="T159" s="30">
        <v>51.84</v>
      </c>
      <c r="U159" s="30">
        <v>0</v>
      </c>
      <c r="V159" s="30"/>
      <c r="W159" s="30">
        <v>669060</v>
      </c>
      <c r="X159" s="30"/>
    </row>
    <row r="160" spans="1:25" x14ac:dyDescent="0.3">
      <c r="A160" s="63">
        <v>8137</v>
      </c>
      <c r="B160" s="105" t="s">
        <v>878</v>
      </c>
      <c r="C160" s="65" t="s">
        <v>879</v>
      </c>
      <c r="D160" s="64">
        <v>45748</v>
      </c>
      <c r="E160" s="64">
        <v>46477</v>
      </c>
      <c r="F160" s="63" t="s">
        <v>80</v>
      </c>
      <c r="G160" s="71">
        <v>90000656</v>
      </c>
      <c r="H160" s="63" t="s">
        <v>111</v>
      </c>
      <c r="J160" s="63"/>
      <c r="K160" s="63" t="s">
        <v>114</v>
      </c>
      <c r="L160" s="63" t="s">
        <v>880</v>
      </c>
      <c r="N160" s="70">
        <v>45861</v>
      </c>
      <c r="O160" s="83" t="s">
        <v>881</v>
      </c>
      <c r="P160" s="64">
        <v>46477</v>
      </c>
      <c r="Q160" s="58" t="s">
        <v>83</v>
      </c>
      <c r="R160" s="58" t="s">
        <v>84</v>
      </c>
      <c r="S160" s="30">
        <v>1245893</v>
      </c>
      <c r="T160" s="30">
        <v>31.8</v>
      </c>
      <c r="U160" s="30">
        <v>0</v>
      </c>
      <c r="V160" s="30">
        <v>124589</v>
      </c>
      <c r="W160" s="30">
        <v>62295</v>
      </c>
      <c r="X160" s="30"/>
    </row>
    <row r="161" spans="1:25" x14ac:dyDescent="0.3">
      <c r="A161" s="63">
        <v>8137</v>
      </c>
      <c r="B161" s="69" t="s">
        <v>882</v>
      </c>
      <c r="C161" s="65" t="s">
        <v>883</v>
      </c>
      <c r="D161" s="64">
        <v>45848</v>
      </c>
      <c r="E161" s="64">
        <v>47673</v>
      </c>
      <c r="F161" s="63" t="s">
        <v>80</v>
      </c>
      <c r="G161" s="71">
        <v>90000660</v>
      </c>
      <c r="H161" s="63" t="s">
        <v>111</v>
      </c>
      <c r="J161" s="63"/>
      <c r="K161" s="63" t="s">
        <v>114</v>
      </c>
      <c r="L161" s="63" t="s">
        <v>884</v>
      </c>
      <c r="N161" s="70">
        <v>45861</v>
      </c>
      <c r="O161" s="83" t="s">
        <v>885</v>
      </c>
      <c r="P161" s="64">
        <v>47673</v>
      </c>
      <c r="Q161" s="58" t="s">
        <v>83</v>
      </c>
      <c r="R161" s="58" t="s">
        <v>84</v>
      </c>
      <c r="S161" s="30">
        <v>2256711</v>
      </c>
      <c r="T161" s="30">
        <v>56.6</v>
      </c>
      <c r="U161" s="30">
        <v>0</v>
      </c>
      <c r="V161" s="30">
        <v>225671</v>
      </c>
      <c r="W161" s="30">
        <v>677013</v>
      </c>
      <c r="X161" s="30"/>
    </row>
    <row r="162" spans="1:25" x14ac:dyDescent="0.3">
      <c r="A162" s="63">
        <v>8137</v>
      </c>
      <c r="B162" s="69" t="s">
        <v>890</v>
      </c>
      <c r="C162" s="65" t="s">
        <v>891</v>
      </c>
      <c r="D162" s="64">
        <v>45839</v>
      </c>
      <c r="E162" s="64">
        <v>47299</v>
      </c>
      <c r="F162" s="63" t="s">
        <v>80</v>
      </c>
      <c r="G162" s="71">
        <v>90000662</v>
      </c>
      <c r="H162" s="63" t="s">
        <v>111</v>
      </c>
      <c r="J162" s="63"/>
      <c r="K162" s="63" t="s">
        <v>114</v>
      </c>
      <c r="L162" s="63" t="s">
        <v>892</v>
      </c>
      <c r="N162" s="70">
        <v>45896</v>
      </c>
      <c r="O162" s="83" t="s">
        <v>893</v>
      </c>
      <c r="P162" s="64">
        <v>47299</v>
      </c>
      <c r="Q162" s="58" t="s">
        <v>83</v>
      </c>
      <c r="R162" s="58" t="s">
        <v>84</v>
      </c>
      <c r="S162" s="30">
        <v>3420813</v>
      </c>
      <c r="T162" s="30">
        <v>86.86</v>
      </c>
      <c r="U162" s="30">
        <v>0</v>
      </c>
      <c r="V162" s="30">
        <v>239457</v>
      </c>
      <c r="W162" s="30">
        <v>997829</v>
      </c>
      <c r="X162" s="30"/>
    </row>
    <row r="163" spans="1:25" x14ac:dyDescent="0.3">
      <c r="A163" s="63">
        <v>8137</v>
      </c>
      <c r="B163" s="69" t="s">
        <v>894</v>
      </c>
      <c r="C163" s="65" t="s">
        <v>895</v>
      </c>
      <c r="D163" s="64">
        <v>45809</v>
      </c>
      <c r="E163" s="64">
        <v>47269</v>
      </c>
      <c r="F163" s="63" t="s">
        <v>80</v>
      </c>
      <c r="G163" s="71">
        <v>90000663</v>
      </c>
      <c r="H163" s="63" t="s">
        <v>111</v>
      </c>
      <c r="J163" s="63"/>
      <c r="K163" s="63" t="s">
        <v>114</v>
      </c>
      <c r="L163" s="63" t="s">
        <v>896</v>
      </c>
      <c r="N163" s="70">
        <v>45896</v>
      </c>
      <c r="O163" s="83" t="s">
        <v>897</v>
      </c>
      <c r="P163" s="64">
        <v>47269</v>
      </c>
      <c r="Q163" s="58" t="s">
        <v>83</v>
      </c>
      <c r="R163" s="58" t="s">
        <v>84</v>
      </c>
      <c r="S163" s="21">
        <v>5513630</v>
      </c>
      <c r="T163" s="142">
        <v>140</v>
      </c>
      <c r="U163" s="30">
        <v>0</v>
      </c>
      <c r="V163" s="30"/>
      <c r="W163" s="30">
        <v>240237</v>
      </c>
      <c r="X163" s="30"/>
    </row>
    <row r="164" spans="1:25" x14ac:dyDescent="0.3">
      <c r="A164" s="63">
        <v>8137</v>
      </c>
      <c r="B164" s="69" t="s">
        <v>898</v>
      </c>
      <c r="C164" s="65" t="s">
        <v>899</v>
      </c>
      <c r="D164" s="64">
        <v>45778</v>
      </c>
      <c r="E164" s="64">
        <v>47238</v>
      </c>
      <c r="F164" s="63" t="s">
        <v>80</v>
      </c>
      <c r="G164" s="71">
        <v>90000664</v>
      </c>
      <c r="H164" s="63" t="s">
        <v>111</v>
      </c>
      <c r="J164" s="63"/>
      <c r="K164" s="63" t="s">
        <v>114</v>
      </c>
      <c r="L164" s="63" t="s">
        <v>900</v>
      </c>
      <c r="N164" s="70">
        <v>45916</v>
      </c>
      <c r="O164" s="83" t="s">
        <v>901</v>
      </c>
      <c r="P164" s="64">
        <v>47238</v>
      </c>
      <c r="Q164" s="58" t="s">
        <v>83</v>
      </c>
      <c r="R164" s="58" t="s">
        <v>84</v>
      </c>
      <c r="S164" s="21">
        <v>6131727</v>
      </c>
      <c r="T164" s="142">
        <v>155.29</v>
      </c>
      <c r="U164" s="30">
        <v>0</v>
      </c>
      <c r="V164" s="30"/>
      <c r="W164" s="30"/>
      <c r="X164" s="30"/>
    </row>
    <row r="165" spans="1:25" x14ac:dyDescent="0.3">
      <c r="A165" s="63">
        <v>8137</v>
      </c>
      <c r="B165" s="69" t="s">
        <v>902</v>
      </c>
      <c r="C165" s="65" t="s">
        <v>903</v>
      </c>
      <c r="D165" s="64">
        <v>45627</v>
      </c>
      <c r="E165" s="64">
        <v>47483</v>
      </c>
      <c r="F165" s="63" t="s">
        <v>80</v>
      </c>
      <c r="G165" s="71">
        <v>90000665</v>
      </c>
      <c r="H165" s="63" t="s">
        <v>111</v>
      </c>
      <c r="J165" s="63"/>
      <c r="K165" s="63" t="s">
        <v>114</v>
      </c>
      <c r="L165" s="63" t="s">
        <v>904</v>
      </c>
      <c r="N165" s="70">
        <v>45926</v>
      </c>
      <c r="O165" s="83" t="s">
        <v>905</v>
      </c>
      <c r="P165" s="64">
        <v>47483</v>
      </c>
      <c r="Q165" s="58" t="s">
        <v>83</v>
      </c>
      <c r="R165" s="58" t="s">
        <v>84</v>
      </c>
      <c r="S165" s="21">
        <v>2448110</v>
      </c>
      <c r="T165" s="142">
        <v>62</v>
      </c>
      <c r="U165" s="30">
        <v>0</v>
      </c>
      <c r="V165" s="30">
        <v>236914</v>
      </c>
      <c r="W165" s="30">
        <v>592285</v>
      </c>
      <c r="X165" s="30"/>
    </row>
    <row r="166" spans="1:25" x14ac:dyDescent="0.3">
      <c r="A166" s="63">
        <v>8137</v>
      </c>
      <c r="B166" s="69" t="s">
        <v>2234</v>
      </c>
      <c r="C166" s="65" t="s">
        <v>3531</v>
      </c>
      <c r="D166" s="64">
        <v>45870</v>
      </c>
      <c r="E166" s="64">
        <v>47695</v>
      </c>
      <c r="F166" s="63" t="s">
        <v>80</v>
      </c>
      <c r="G166" s="71">
        <v>90000666</v>
      </c>
      <c r="H166" s="63" t="s">
        <v>111</v>
      </c>
      <c r="J166" s="63"/>
      <c r="K166" s="63" t="s">
        <v>114</v>
      </c>
      <c r="L166" s="63" t="s">
        <v>3532</v>
      </c>
      <c r="N166" s="70">
        <v>45979</v>
      </c>
      <c r="O166" s="83" t="s">
        <v>3534</v>
      </c>
      <c r="P166" s="64">
        <v>47695</v>
      </c>
      <c r="Q166" s="58" t="s">
        <v>83</v>
      </c>
      <c r="R166" s="58" t="s">
        <v>84</v>
      </c>
      <c r="S166" s="21">
        <v>12729565</v>
      </c>
      <c r="T166" s="142">
        <v>321.10000000000002</v>
      </c>
      <c r="U166" s="30">
        <v>0</v>
      </c>
      <c r="V166" s="30"/>
      <c r="W166" s="30"/>
      <c r="X166" s="30"/>
    </row>
    <row r="167" spans="1:25" x14ac:dyDescent="0.3">
      <c r="A167" s="63">
        <v>8137</v>
      </c>
      <c r="B167" s="69" t="s">
        <v>2238</v>
      </c>
      <c r="C167" s="65" t="s">
        <v>887</v>
      </c>
      <c r="D167" s="64">
        <v>45962</v>
      </c>
      <c r="E167" s="64">
        <v>47695</v>
      </c>
      <c r="F167" s="63" t="s">
        <v>80</v>
      </c>
      <c r="G167" s="71">
        <v>90000667</v>
      </c>
      <c r="H167" s="63" t="s">
        <v>111</v>
      </c>
      <c r="J167" s="63"/>
      <c r="K167" s="63" t="s">
        <v>114</v>
      </c>
      <c r="L167" s="63" t="s">
        <v>3533</v>
      </c>
      <c r="N167" s="70">
        <v>45987</v>
      </c>
      <c r="O167" s="83" t="s">
        <v>889</v>
      </c>
      <c r="P167" s="64">
        <v>47695</v>
      </c>
      <c r="Q167" s="58" t="s">
        <v>83</v>
      </c>
      <c r="R167" s="58" t="s">
        <v>84</v>
      </c>
      <c r="S167" s="21">
        <v>12824317</v>
      </c>
      <c r="T167" s="142">
        <v>325.63</v>
      </c>
      <c r="U167" s="30">
        <v>0</v>
      </c>
      <c r="V167" s="30"/>
      <c r="W167" s="30"/>
      <c r="X167" s="30"/>
    </row>
    <row r="168" spans="1:25" x14ac:dyDescent="0.3">
      <c r="A168" s="63">
        <v>8137</v>
      </c>
      <c r="B168" s="69" t="s">
        <v>2669</v>
      </c>
      <c r="C168" s="65" t="s">
        <v>195</v>
      </c>
      <c r="D168" s="64">
        <v>45986</v>
      </c>
      <c r="E168" s="64">
        <v>47446</v>
      </c>
      <c r="F168" s="63" t="s">
        <v>80</v>
      </c>
      <c r="G168" s="71">
        <v>90000668</v>
      </c>
      <c r="H168" s="63" t="s">
        <v>111</v>
      </c>
      <c r="J168" s="63"/>
      <c r="K168" s="63" t="s">
        <v>114</v>
      </c>
      <c r="L168" s="63" t="s">
        <v>3546</v>
      </c>
      <c r="N168" s="70">
        <v>46014</v>
      </c>
      <c r="O168" s="83" t="s">
        <v>199</v>
      </c>
      <c r="P168" s="64">
        <v>47446</v>
      </c>
      <c r="Q168" s="58" t="s">
        <v>83</v>
      </c>
      <c r="R168" s="58" t="s">
        <v>84</v>
      </c>
      <c r="S168" s="21">
        <v>4020470</v>
      </c>
      <c r="T168" s="142">
        <v>101.2</v>
      </c>
      <c r="U168" s="30">
        <v>0</v>
      </c>
      <c r="V168" s="30">
        <v>402047</v>
      </c>
      <c r="W168" s="30">
        <v>201023</v>
      </c>
      <c r="X168" s="30"/>
    </row>
    <row r="169" spans="1:25" x14ac:dyDescent="0.3">
      <c r="A169" s="63">
        <v>8137</v>
      </c>
      <c r="B169" s="69" t="s">
        <v>2242</v>
      </c>
      <c r="C169" s="65" t="s">
        <v>1084</v>
      </c>
      <c r="D169" s="64">
        <v>45987</v>
      </c>
      <c r="E169" s="64">
        <v>46716</v>
      </c>
      <c r="F169" s="63" t="s">
        <v>80</v>
      </c>
      <c r="G169" s="71">
        <v>90000669</v>
      </c>
      <c r="H169" s="63" t="s">
        <v>111</v>
      </c>
      <c r="J169" s="63"/>
      <c r="K169" s="63" t="s">
        <v>114</v>
      </c>
      <c r="L169" s="63" t="s">
        <v>3547</v>
      </c>
      <c r="N169" s="70">
        <v>46014</v>
      </c>
      <c r="O169" s="83" t="s">
        <v>1088</v>
      </c>
      <c r="P169" s="64">
        <v>46716</v>
      </c>
      <c r="Q169" s="58" t="s">
        <v>83</v>
      </c>
      <c r="R169" s="58" t="s">
        <v>84</v>
      </c>
      <c r="S169" s="21">
        <v>5913507</v>
      </c>
      <c r="T169" s="142">
        <v>148.85</v>
      </c>
      <c r="U169" s="30">
        <v>0</v>
      </c>
      <c r="V169" s="30">
        <v>591351</v>
      </c>
      <c r="W169" s="30"/>
      <c r="X169" s="30"/>
    </row>
    <row r="170" spans="1:25" x14ac:dyDescent="0.3">
      <c r="A170" s="63">
        <v>8137</v>
      </c>
      <c r="B170" s="69" t="s">
        <v>2246</v>
      </c>
      <c r="C170" s="65" t="s">
        <v>1656</v>
      </c>
      <c r="D170" s="64">
        <v>45839</v>
      </c>
      <c r="E170" s="64">
        <v>46934</v>
      </c>
      <c r="F170" s="63" t="s">
        <v>80</v>
      </c>
      <c r="G170" s="71">
        <v>90000670</v>
      </c>
      <c r="H170" s="63" t="s">
        <v>111</v>
      </c>
      <c r="J170" s="63"/>
      <c r="K170" s="63" t="s">
        <v>114</v>
      </c>
      <c r="L170" s="63" t="s">
        <v>3548</v>
      </c>
      <c r="N170" s="70">
        <v>46017</v>
      </c>
      <c r="O170" s="83" t="s">
        <v>1659</v>
      </c>
      <c r="P170" s="64">
        <v>46934</v>
      </c>
      <c r="Q170" s="58" t="s">
        <v>83</v>
      </c>
      <c r="R170" s="58" t="s">
        <v>84</v>
      </c>
      <c r="S170" s="21">
        <v>3178237</v>
      </c>
      <c r="T170" s="142">
        <v>80</v>
      </c>
      <c r="U170" s="30">
        <v>0</v>
      </c>
      <c r="V170" s="30">
        <v>0</v>
      </c>
      <c r="W170" s="30"/>
      <c r="X170" s="30"/>
    </row>
    <row r="171" spans="1:25" x14ac:dyDescent="0.3">
      <c r="A171" s="63">
        <v>8137</v>
      </c>
      <c r="B171" s="69" t="s">
        <v>2250</v>
      </c>
      <c r="C171" s="65" t="s">
        <v>1561</v>
      </c>
      <c r="D171" s="64">
        <v>45907</v>
      </c>
      <c r="E171" s="64">
        <v>46636</v>
      </c>
      <c r="F171" s="63" t="s">
        <v>80</v>
      </c>
      <c r="G171" s="71">
        <v>90000671</v>
      </c>
      <c r="H171" s="63" t="s">
        <v>111</v>
      </c>
      <c r="J171" s="63"/>
      <c r="K171" s="63" t="s">
        <v>114</v>
      </c>
      <c r="L171" s="63" t="s">
        <v>3549</v>
      </c>
      <c r="N171" s="70">
        <v>46017</v>
      </c>
      <c r="O171" s="83" t="s">
        <v>1565</v>
      </c>
      <c r="P171" s="64">
        <v>46636</v>
      </c>
      <c r="Q171" s="58" t="s">
        <v>83</v>
      </c>
      <c r="R171" s="58" t="s">
        <v>84</v>
      </c>
      <c r="S171" s="21">
        <v>828328</v>
      </c>
      <c r="T171" s="142">
        <v>20.85</v>
      </c>
      <c r="U171" s="30">
        <v>0</v>
      </c>
      <c r="V171" s="30">
        <v>82833</v>
      </c>
      <c r="W171" s="30"/>
      <c r="X171" s="30"/>
    </row>
    <row r="172" spans="1:25" x14ac:dyDescent="0.3">
      <c r="A172" s="63">
        <v>8137</v>
      </c>
      <c r="B172" s="69" t="s">
        <v>2670</v>
      </c>
      <c r="C172" s="65" t="s">
        <v>741</v>
      </c>
      <c r="D172" s="64">
        <v>46023</v>
      </c>
      <c r="E172" s="64">
        <v>47118</v>
      </c>
      <c r="F172" s="63" t="s">
        <v>80</v>
      </c>
      <c r="G172" s="71">
        <v>90000672</v>
      </c>
      <c r="H172" s="63" t="s">
        <v>111</v>
      </c>
      <c r="J172" s="63"/>
      <c r="K172" s="63" t="s">
        <v>114</v>
      </c>
      <c r="L172" s="63" t="s">
        <v>3578</v>
      </c>
      <c r="N172" s="70">
        <v>46049</v>
      </c>
      <c r="O172" s="83" t="s">
        <v>743</v>
      </c>
      <c r="P172" s="64">
        <v>47118</v>
      </c>
      <c r="Q172" s="58" t="s">
        <v>83</v>
      </c>
      <c r="R172" s="58" t="s">
        <v>84</v>
      </c>
      <c r="S172" s="21">
        <v>4035328</v>
      </c>
      <c r="T172" s="142">
        <v>101.63</v>
      </c>
      <c r="U172" s="30"/>
      <c r="V172" s="30">
        <v>403533</v>
      </c>
      <c r="W172" s="30"/>
      <c r="X172" s="30"/>
    </row>
    <row r="173" spans="1:25" x14ac:dyDescent="0.3">
      <c r="A173" s="63">
        <v>8137</v>
      </c>
      <c r="B173" s="69" t="s">
        <v>2673</v>
      </c>
      <c r="C173" s="65" t="s">
        <v>749</v>
      </c>
      <c r="D173" s="64">
        <v>46023</v>
      </c>
      <c r="E173" s="64">
        <v>47118</v>
      </c>
      <c r="F173" s="63" t="s">
        <v>80</v>
      </c>
      <c r="G173" s="71">
        <v>90000673</v>
      </c>
      <c r="H173" s="63" t="s">
        <v>111</v>
      </c>
      <c r="J173" s="63"/>
      <c r="K173" s="63" t="s">
        <v>114</v>
      </c>
      <c r="L173" s="63" t="s">
        <v>3579</v>
      </c>
      <c r="N173" s="70">
        <v>46049</v>
      </c>
      <c r="O173" s="83" t="s">
        <v>751</v>
      </c>
      <c r="P173" s="64">
        <v>47118</v>
      </c>
      <c r="Q173" s="58" t="s">
        <v>83</v>
      </c>
      <c r="R173" s="58" t="s">
        <v>84</v>
      </c>
      <c r="S173" s="21">
        <v>2455423</v>
      </c>
      <c r="T173" s="142"/>
      <c r="U173" s="30"/>
      <c r="V173" s="30">
        <v>245542</v>
      </c>
      <c r="W173" s="30"/>
      <c r="X173" s="30"/>
    </row>
    <row r="174" spans="1:25" x14ac:dyDescent="0.3">
      <c r="A174" s="63">
        <v>8137</v>
      </c>
      <c r="B174" s="69" t="s">
        <v>2254</v>
      </c>
      <c r="C174" s="65" t="s">
        <v>745</v>
      </c>
      <c r="D174" s="64">
        <v>46023</v>
      </c>
      <c r="E174" s="64">
        <v>47118</v>
      </c>
      <c r="F174" s="63" t="s">
        <v>80</v>
      </c>
      <c r="G174" s="71">
        <v>90000674</v>
      </c>
      <c r="H174" s="63" t="s">
        <v>111</v>
      </c>
      <c r="J174" s="63"/>
      <c r="K174" s="63" t="s">
        <v>114</v>
      </c>
      <c r="L174" s="63" t="s">
        <v>3607</v>
      </c>
      <c r="N174" s="70">
        <v>46077</v>
      </c>
      <c r="O174" s="83" t="s">
        <v>747</v>
      </c>
      <c r="P174" s="64">
        <v>47118</v>
      </c>
      <c r="Q174" s="58" t="s">
        <v>83</v>
      </c>
      <c r="R174" s="58" t="s">
        <v>84</v>
      </c>
      <c r="S174" s="21">
        <v>2409721</v>
      </c>
      <c r="T174" s="142"/>
      <c r="U174" s="30"/>
      <c r="V174" s="30">
        <v>240972</v>
      </c>
      <c r="W174" s="30"/>
      <c r="X174" s="30"/>
    </row>
    <row r="175" spans="1:25" x14ac:dyDescent="0.3">
      <c r="A175" s="63"/>
      <c r="B175" s="69"/>
      <c r="C175" s="65"/>
      <c r="D175" s="64"/>
      <c r="E175" s="64"/>
      <c r="F175" s="63"/>
      <c r="H175" s="63"/>
      <c r="J175" s="63"/>
      <c r="K175" s="63"/>
      <c r="L175" s="63"/>
      <c r="N175" s="70"/>
      <c r="O175" s="83"/>
      <c r="P175" s="64"/>
      <c r="Q175" s="58"/>
      <c r="R175" s="58"/>
    </row>
    <row r="176" spans="1:25" x14ac:dyDescent="0.3">
      <c r="A176" s="63" t="s">
        <v>77</v>
      </c>
      <c r="B176" s="104" t="s">
        <v>906</v>
      </c>
      <c r="C176" s="92" t="s">
        <v>907</v>
      </c>
      <c r="D176" s="64">
        <v>43546</v>
      </c>
      <c r="E176" s="64">
        <v>44641</v>
      </c>
      <c r="F176" s="63" t="s">
        <v>80</v>
      </c>
      <c r="G176" s="63" t="s">
        <v>908</v>
      </c>
      <c r="H176" s="63" t="s">
        <v>111</v>
      </c>
      <c r="I176" s="65"/>
      <c r="J176" s="63" t="s">
        <v>909</v>
      </c>
      <c r="K176" s="63" t="s">
        <v>469</v>
      </c>
      <c r="L176" s="63" t="s">
        <v>910</v>
      </c>
      <c r="M176" s="63" t="s">
        <v>174</v>
      </c>
      <c r="N176" s="64">
        <v>43557</v>
      </c>
      <c r="O176" s="82" t="s">
        <v>97</v>
      </c>
      <c r="P176" s="64" t="s">
        <v>82</v>
      </c>
      <c r="Q176" s="64" t="s">
        <v>911</v>
      </c>
      <c r="R176" s="66" t="s">
        <v>912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59" t="s">
        <v>913</v>
      </c>
    </row>
    <row r="177" spans="1:25" x14ac:dyDescent="0.3">
      <c r="A177" s="63" t="s">
        <v>77</v>
      </c>
      <c r="B177" s="104" t="s">
        <v>906</v>
      </c>
      <c r="C177" s="92" t="s">
        <v>907</v>
      </c>
      <c r="D177" s="64">
        <v>43546</v>
      </c>
      <c r="E177" s="64">
        <v>44641</v>
      </c>
      <c r="F177" s="63" t="s">
        <v>80</v>
      </c>
      <c r="G177" s="63" t="s">
        <v>914</v>
      </c>
      <c r="H177" s="63" t="s">
        <v>111</v>
      </c>
      <c r="I177" s="65"/>
      <c r="J177" s="63" t="s">
        <v>909</v>
      </c>
      <c r="K177" s="63" t="s">
        <v>469</v>
      </c>
      <c r="L177" s="63" t="s">
        <v>910</v>
      </c>
      <c r="M177" s="63" t="s">
        <v>174</v>
      </c>
      <c r="N177" s="64">
        <v>43557</v>
      </c>
      <c r="O177" s="82" t="s">
        <v>915</v>
      </c>
      <c r="P177" s="64" t="s">
        <v>82</v>
      </c>
      <c r="Q177" s="64" t="s">
        <v>911</v>
      </c>
      <c r="R177" s="66" t="s">
        <v>912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59" t="s">
        <v>913</v>
      </c>
    </row>
    <row r="178" spans="1:25" x14ac:dyDescent="0.3">
      <c r="A178" s="63" t="s">
        <v>77</v>
      </c>
      <c r="B178" s="104" t="s">
        <v>906</v>
      </c>
      <c r="C178" s="92" t="s">
        <v>907</v>
      </c>
      <c r="D178" s="64">
        <v>43546</v>
      </c>
      <c r="E178" s="64">
        <v>44641</v>
      </c>
      <c r="F178" s="63" t="s">
        <v>80</v>
      </c>
      <c r="G178" s="63" t="s">
        <v>916</v>
      </c>
      <c r="H178" s="63" t="s">
        <v>111</v>
      </c>
      <c r="I178" s="65"/>
      <c r="J178" s="63" t="s">
        <v>909</v>
      </c>
      <c r="K178" s="63" t="s">
        <v>469</v>
      </c>
      <c r="L178" s="63" t="s">
        <v>910</v>
      </c>
      <c r="M178" s="63" t="s">
        <v>174</v>
      </c>
      <c r="N178" s="64">
        <v>43557</v>
      </c>
      <c r="O178" s="82" t="s">
        <v>102</v>
      </c>
      <c r="P178" s="64" t="s">
        <v>82</v>
      </c>
      <c r="Q178" s="64" t="s">
        <v>911</v>
      </c>
      <c r="R178" s="66" t="s">
        <v>912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59" t="s">
        <v>913</v>
      </c>
    </row>
    <row r="179" spans="1:25" x14ac:dyDescent="0.3">
      <c r="A179" s="63" t="s">
        <v>77</v>
      </c>
      <c r="B179" s="104" t="s">
        <v>906</v>
      </c>
      <c r="C179" s="92" t="s">
        <v>907</v>
      </c>
      <c r="D179" s="64">
        <v>43546</v>
      </c>
      <c r="E179" s="64">
        <v>44641</v>
      </c>
      <c r="F179" s="63" t="s">
        <v>80</v>
      </c>
      <c r="G179" s="63" t="s">
        <v>917</v>
      </c>
      <c r="H179" s="63" t="s">
        <v>111</v>
      </c>
      <c r="I179" s="65"/>
      <c r="J179" s="63" t="s">
        <v>909</v>
      </c>
      <c r="K179" s="63" t="s">
        <v>469</v>
      </c>
      <c r="L179" s="63" t="s">
        <v>910</v>
      </c>
      <c r="M179" s="63" t="s">
        <v>174</v>
      </c>
      <c r="N179" s="64">
        <v>43557</v>
      </c>
      <c r="O179" s="82" t="s">
        <v>86</v>
      </c>
      <c r="P179" s="64" t="s">
        <v>82</v>
      </c>
      <c r="Q179" s="64" t="s">
        <v>911</v>
      </c>
      <c r="R179" s="66" t="s">
        <v>912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59" t="s">
        <v>913</v>
      </c>
    </row>
    <row r="180" spans="1:25" x14ac:dyDescent="0.3">
      <c r="A180" s="63" t="s">
        <v>77</v>
      </c>
      <c r="B180" s="104" t="s">
        <v>906</v>
      </c>
      <c r="C180" s="92" t="s">
        <v>907</v>
      </c>
      <c r="D180" s="64">
        <v>43546</v>
      </c>
      <c r="E180" s="64">
        <v>44641</v>
      </c>
      <c r="F180" s="63" t="s">
        <v>80</v>
      </c>
      <c r="G180" s="63" t="s">
        <v>918</v>
      </c>
      <c r="H180" s="63" t="s">
        <v>111</v>
      </c>
      <c r="I180" s="65"/>
      <c r="J180" s="63" t="s">
        <v>909</v>
      </c>
      <c r="K180" s="63" t="s">
        <v>469</v>
      </c>
      <c r="L180" s="63" t="s">
        <v>910</v>
      </c>
      <c r="M180" s="63" t="s">
        <v>174</v>
      </c>
      <c r="N180" s="64">
        <v>43557</v>
      </c>
      <c r="O180" s="82" t="s">
        <v>81</v>
      </c>
      <c r="P180" s="64" t="s">
        <v>82</v>
      </c>
      <c r="Q180" s="64" t="s">
        <v>911</v>
      </c>
      <c r="R180" s="66" t="s">
        <v>912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59" t="s">
        <v>913</v>
      </c>
    </row>
    <row r="181" spans="1:25" x14ac:dyDescent="0.3">
      <c r="A181" s="63" t="s">
        <v>77</v>
      </c>
      <c r="B181" s="104" t="s">
        <v>906</v>
      </c>
      <c r="C181" s="92" t="s">
        <v>907</v>
      </c>
      <c r="D181" s="64">
        <v>43546</v>
      </c>
      <c r="E181" s="64">
        <v>44641</v>
      </c>
      <c r="F181" s="63" t="s">
        <v>80</v>
      </c>
      <c r="G181" s="63" t="s">
        <v>919</v>
      </c>
      <c r="H181" s="63" t="s">
        <v>111</v>
      </c>
      <c r="I181" s="65"/>
      <c r="J181" s="63" t="s">
        <v>909</v>
      </c>
      <c r="K181" s="63" t="s">
        <v>469</v>
      </c>
      <c r="L181" s="63" t="s">
        <v>910</v>
      </c>
      <c r="M181" s="63" t="s">
        <v>174</v>
      </c>
      <c r="N181" s="64">
        <v>43557</v>
      </c>
      <c r="O181" s="82" t="s">
        <v>920</v>
      </c>
      <c r="P181" s="64" t="s">
        <v>82</v>
      </c>
      <c r="Q181" s="64" t="s">
        <v>911</v>
      </c>
      <c r="R181" s="66" t="s">
        <v>912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59" t="s">
        <v>913</v>
      </c>
    </row>
    <row r="182" spans="1:25" x14ac:dyDescent="0.3">
      <c r="A182" s="63" t="s">
        <v>77</v>
      </c>
      <c r="B182" s="104" t="s">
        <v>906</v>
      </c>
      <c r="C182" s="92" t="s">
        <v>907</v>
      </c>
      <c r="D182" s="64">
        <v>43546</v>
      </c>
      <c r="E182" s="64">
        <v>44641</v>
      </c>
      <c r="F182" s="63" t="s">
        <v>80</v>
      </c>
      <c r="G182" s="63" t="s">
        <v>921</v>
      </c>
      <c r="H182" s="63" t="s">
        <v>111</v>
      </c>
      <c r="I182" s="65"/>
      <c r="J182" s="63" t="s">
        <v>909</v>
      </c>
      <c r="K182" s="63" t="s">
        <v>469</v>
      </c>
      <c r="L182" s="63" t="s">
        <v>910</v>
      </c>
      <c r="M182" s="63" t="s">
        <v>174</v>
      </c>
      <c r="N182" s="64">
        <v>43557</v>
      </c>
      <c r="O182" s="82" t="s">
        <v>95</v>
      </c>
      <c r="P182" s="64" t="s">
        <v>82</v>
      </c>
      <c r="Q182" s="64" t="s">
        <v>911</v>
      </c>
      <c r="R182" s="66" t="s">
        <v>912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59" t="s">
        <v>913</v>
      </c>
    </row>
    <row r="183" spans="1:25" x14ac:dyDescent="0.3">
      <c r="A183" s="63" t="s">
        <v>77</v>
      </c>
      <c r="B183" s="104" t="s">
        <v>906</v>
      </c>
      <c r="C183" s="92" t="s">
        <v>907</v>
      </c>
      <c r="D183" s="64">
        <v>43546</v>
      </c>
      <c r="E183" s="64">
        <v>44641</v>
      </c>
      <c r="F183" s="63" t="s">
        <v>80</v>
      </c>
      <c r="G183" s="63" t="s">
        <v>922</v>
      </c>
      <c r="H183" s="63" t="s">
        <v>111</v>
      </c>
      <c r="I183" s="65"/>
      <c r="J183" s="63" t="s">
        <v>909</v>
      </c>
      <c r="K183" s="63" t="s">
        <v>469</v>
      </c>
      <c r="L183" s="63" t="s">
        <v>910</v>
      </c>
      <c r="M183" s="63" t="s">
        <v>174</v>
      </c>
      <c r="N183" s="64">
        <v>43642</v>
      </c>
      <c r="O183" s="82" t="s">
        <v>923</v>
      </c>
      <c r="P183" s="64" t="s">
        <v>82</v>
      </c>
      <c r="Q183" s="64" t="s">
        <v>911</v>
      </c>
      <c r="R183" s="66" t="s">
        <v>912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59" t="s">
        <v>913</v>
      </c>
    </row>
    <row r="184" spans="1:25" x14ac:dyDescent="0.3">
      <c r="A184" s="63" t="s">
        <v>77</v>
      </c>
      <c r="B184" s="104" t="s">
        <v>924</v>
      </c>
      <c r="C184" s="92" t="s">
        <v>907</v>
      </c>
      <c r="D184" s="64">
        <v>43678</v>
      </c>
      <c r="E184" s="64">
        <v>44773</v>
      </c>
      <c r="F184" s="63" t="s">
        <v>80</v>
      </c>
      <c r="G184" s="63" t="s">
        <v>925</v>
      </c>
      <c r="H184" s="63" t="s">
        <v>111</v>
      </c>
      <c r="I184" s="65"/>
      <c r="J184" s="63" t="s">
        <v>909</v>
      </c>
      <c r="K184" s="63" t="s">
        <v>469</v>
      </c>
      <c r="L184" s="63" t="s">
        <v>910</v>
      </c>
      <c r="M184" s="63" t="s">
        <v>174</v>
      </c>
      <c r="N184" s="64">
        <v>43704</v>
      </c>
      <c r="O184" s="82" t="s">
        <v>926</v>
      </c>
      <c r="P184" s="64" t="s">
        <v>82</v>
      </c>
      <c r="Q184" s="64" t="s">
        <v>911</v>
      </c>
      <c r="R184" s="66" t="s">
        <v>912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59" t="s">
        <v>913</v>
      </c>
    </row>
    <row r="185" spans="1:25" x14ac:dyDescent="0.3">
      <c r="A185" s="63" t="s">
        <v>77</v>
      </c>
      <c r="B185" s="104" t="s">
        <v>924</v>
      </c>
      <c r="C185" s="92" t="s">
        <v>907</v>
      </c>
      <c r="D185" s="64">
        <v>43678</v>
      </c>
      <c r="E185" s="64">
        <v>44773</v>
      </c>
      <c r="F185" s="63" t="s">
        <v>80</v>
      </c>
      <c r="G185" s="63" t="s">
        <v>927</v>
      </c>
      <c r="H185" s="63" t="s">
        <v>111</v>
      </c>
      <c r="I185" s="65"/>
      <c r="J185" s="63" t="s">
        <v>909</v>
      </c>
      <c r="K185" s="63" t="s">
        <v>469</v>
      </c>
      <c r="L185" s="63" t="s">
        <v>910</v>
      </c>
      <c r="M185" s="63" t="s">
        <v>174</v>
      </c>
      <c r="N185" s="64">
        <v>43704</v>
      </c>
      <c r="O185" s="82" t="s">
        <v>928</v>
      </c>
      <c r="P185" s="64" t="s">
        <v>82</v>
      </c>
      <c r="Q185" s="64" t="s">
        <v>911</v>
      </c>
      <c r="R185" s="66" t="s">
        <v>912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59" t="s">
        <v>913</v>
      </c>
    </row>
    <row r="186" spans="1:25" x14ac:dyDescent="0.3">
      <c r="A186" s="63" t="s">
        <v>77</v>
      </c>
      <c r="B186" s="104" t="s">
        <v>929</v>
      </c>
      <c r="C186" s="92" t="s">
        <v>907</v>
      </c>
      <c r="D186" s="64">
        <v>43626</v>
      </c>
      <c r="E186" s="64">
        <v>44721</v>
      </c>
      <c r="F186" s="63" t="s">
        <v>80</v>
      </c>
      <c r="G186" s="63" t="s">
        <v>930</v>
      </c>
      <c r="H186" s="63" t="s">
        <v>111</v>
      </c>
      <c r="I186" s="65"/>
      <c r="J186" s="63" t="s">
        <v>909</v>
      </c>
      <c r="K186" s="63" t="s">
        <v>469</v>
      </c>
      <c r="L186" s="63" t="s">
        <v>910</v>
      </c>
      <c r="M186" s="63" t="s">
        <v>174</v>
      </c>
      <c r="N186" s="64">
        <v>43678</v>
      </c>
      <c r="O186" s="82" t="s">
        <v>107</v>
      </c>
      <c r="P186" s="64" t="s">
        <v>82</v>
      </c>
      <c r="Q186" s="64" t="s">
        <v>911</v>
      </c>
      <c r="R186" s="66" t="s">
        <v>912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59" t="s">
        <v>913</v>
      </c>
    </row>
    <row r="187" spans="1:25" x14ac:dyDescent="0.3">
      <c r="A187" s="63" t="s">
        <v>77</v>
      </c>
      <c r="B187" s="104" t="s">
        <v>929</v>
      </c>
      <c r="C187" s="92" t="s">
        <v>907</v>
      </c>
      <c r="D187" s="64">
        <v>43626</v>
      </c>
      <c r="E187" s="64">
        <v>44721</v>
      </c>
      <c r="F187" s="63" t="s">
        <v>80</v>
      </c>
      <c r="G187" s="63" t="s">
        <v>931</v>
      </c>
      <c r="H187" s="63" t="s">
        <v>111</v>
      </c>
      <c r="I187" s="65"/>
      <c r="J187" s="63" t="s">
        <v>909</v>
      </c>
      <c r="K187" s="63" t="s">
        <v>469</v>
      </c>
      <c r="L187" s="63" t="s">
        <v>910</v>
      </c>
      <c r="M187" s="63" t="s">
        <v>174</v>
      </c>
      <c r="N187" s="64">
        <v>43678</v>
      </c>
      <c r="O187" s="82" t="s">
        <v>105</v>
      </c>
      <c r="P187" s="64" t="s">
        <v>82</v>
      </c>
      <c r="Q187" s="64" t="s">
        <v>911</v>
      </c>
      <c r="R187" s="66" t="s">
        <v>912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59" t="s">
        <v>913</v>
      </c>
    </row>
    <row r="188" spans="1:25" x14ac:dyDescent="0.3">
      <c r="A188" s="63" t="s">
        <v>77</v>
      </c>
      <c r="B188" s="104" t="s">
        <v>932</v>
      </c>
      <c r="C188" s="65" t="s">
        <v>933</v>
      </c>
      <c r="D188" s="64">
        <v>44671</v>
      </c>
      <c r="E188" s="64">
        <v>45766</v>
      </c>
      <c r="F188" s="63" t="s">
        <v>80</v>
      </c>
      <c r="G188" s="63" t="s">
        <v>934</v>
      </c>
      <c r="H188" s="63" t="s">
        <v>111</v>
      </c>
      <c r="I188" s="65"/>
      <c r="J188" s="63" t="s">
        <v>935</v>
      </c>
      <c r="K188" s="63" t="s">
        <v>114</v>
      </c>
      <c r="L188" s="63"/>
      <c r="M188" s="64" t="s">
        <v>174</v>
      </c>
      <c r="N188" s="64">
        <v>44713</v>
      </c>
      <c r="O188" s="82" t="s">
        <v>86</v>
      </c>
      <c r="P188" s="64" t="s">
        <v>82</v>
      </c>
      <c r="Q188" s="64" t="s">
        <v>911</v>
      </c>
      <c r="R188" s="66" t="s">
        <v>911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59" t="s">
        <v>913</v>
      </c>
    </row>
    <row r="189" spans="1:25" x14ac:dyDescent="0.3">
      <c r="A189" s="63" t="s">
        <v>77</v>
      </c>
      <c r="B189" s="104" t="s">
        <v>932</v>
      </c>
      <c r="C189" s="92" t="s">
        <v>936</v>
      </c>
      <c r="D189" s="64">
        <v>44671</v>
      </c>
      <c r="E189" s="64">
        <v>45766</v>
      </c>
      <c r="F189" s="63" t="s">
        <v>80</v>
      </c>
      <c r="G189" s="63" t="s">
        <v>937</v>
      </c>
      <c r="H189" s="63" t="s">
        <v>111</v>
      </c>
      <c r="I189" s="65"/>
      <c r="J189" s="63" t="s">
        <v>935</v>
      </c>
      <c r="K189" s="63" t="s">
        <v>114</v>
      </c>
      <c r="L189" s="63"/>
      <c r="M189" s="63" t="s">
        <v>174</v>
      </c>
      <c r="N189" s="64">
        <v>44713</v>
      </c>
      <c r="O189" s="82" t="s">
        <v>926</v>
      </c>
      <c r="P189" s="64" t="s">
        <v>82</v>
      </c>
      <c r="Q189" s="64" t="s">
        <v>911</v>
      </c>
      <c r="R189" s="66" t="s">
        <v>911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59" t="s">
        <v>938</v>
      </c>
    </row>
    <row r="190" spans="1:25" x14ac:dyDescent="0.3">
      <c r="A190" s="63" t="s">
        <v>77</v>
      </c>
      <c r="B190" s="104" t="s">
        <v>932</v>
      </c>
      <c r="C190" s="65" t="s">
        <v>939</v>
      </c>
      <c r="D190" s="64">
        <v>44671</v>
      </c>
      <c r="E190" s="64">
        <v>45766</v>
      </c>
      <c r="F190" s="63" t="s">
        <v>80</v>
      </c>
      <c r="G190" s="63" t="s">
        <v>940</v>
      </c>
      <c r="H190" s="63" t="s">
        <v>111</v>
      </c>
      <c r="I190" s="65"/>
      <c r="J190" s="63" t="s">
        <v>935</v>
      </c>
      <c r="K190" s="63" t="s">
        <v>114</v>
      </c>
      <c r="L190" s="63"/>
      <c r="M190" s="64" t="s">
        <v>174</v>
      </c>
      <c r="N190" s="64">
        <v>44713</v>
      </c>
      <c r="O190" s="82" t="s">
        <v>93</v>
      </c>
      <c r="P190" s="64" t="s">
        <v>82</v>
      </c>
      <c r="Q190" s="64" t="s">
        <v>911</v>
      </c>
      <c r="R190" s="66" t="s">
        <v>911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59"/>
    </row>
    <row r="191" spans="1:25" x14ac:dyDescent="0.3">
      <c r="A191" s="63" t="s">
        <v>77</v>
      </c>
      <c r="B191" s="104" t="s">
        <v>932</v>
      </c>
      <c r="C191" s="65" t="s">
        <v>941</v>
      </c>
      <c r="D191" s="64">
        <v>44671</v>
      </c>
      <c r="E191" s="64">
        <v>45766</v>
      </c>
      <c r="F191" s="63" t="s">
        <v>80</v>
      </c>
      <c r="G191" s="63" t="s">
        <v>942</v>
      </c>
      <c r="H191" s="63" t="s">
        <v>111</v>
      </c>
      <c r="I191" s="65"/>
      <c r="J191" s="63" t="s">
        <v>935</v>
      </c>
      <c r="K191" s="63" t="s">
        <v>114</v>
      </c>
      <c r="L191" s="63"/>
      <c r="M191" s="64" t="s">
        <v>174</v>
      </c>
      <c r="N191" s="64">
        <v>44713</v>
      </c>
      <c r="O191" s="82" t="s">
        <v>102</v>
      </c>
      <c r="P191" s="64" t="s">
        <v>82</v>
      </c>
      <c r="Q191" s="64" t="s">
        <v>911</v>
      </c>
      <c r="R191" s="66" t="s">
        <v>911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59"/>
    </row>
    <row r="192" spans="1:25" x14ac:dyDescent="0.3">
      <c r="A192" s="63" t="s">
        <v>77</v>
      </c>
      <c r="B192" s="104" t="s">
        <v>932</v>
      </c>
      <c r="C192" s="65" t="s">
        <v>943</v>
      </c>
      <c r="D192" s="64">
        <v>44671</v>
      </c>
      <c r="E192" s="64">
        <v>45766</v>
      </c>
      <c r="F192" s="63" t="s">
        <v>80</v>
      </c>
      <c r="G192" s="63" t="s">
        <v>944</v>
      </c>
      <c r="H192" s="63" t="s">
        <v>111</v>
      </c>
      <c r="I192" s="65"/>
      <c r="J192" s="63" t="s">
        <v>935</v>
      </c>
      <c r="K192" s="63" t="s">
        <v>114</v>
      </c>
      <c r="L192" s="63"/>
      <c r="M192" s="64" t="s">
        <v>174</v>
      </c>
      <c r="N192" s="64">
        <v>44713</v>
      </c>
      <c r="O192" s="82" t="s">
        <v>95</v>
      </c>
      <c r="P192" s="64" t="s">
        <v>82</v>
      </c>
      <c r="Q192" s="64" t="s">
        <v>911</v>
      </c>
      <c r="R192" s="66" t="s">
        <v>911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59"/>
    </row>
    <row r="193" spans="1:25" x14ac:dyDescent="0.3">
      <c r="A193" s="63" t="s">
        <v>77</v>
      </c>
      <c r="B193" s="104" t="s">
        <v>932</v>
      </c>
      <c r="C193" s="65" t="s">
        <v>945</v>
      </c>
      <c r="D193" s="64">
        <v>44671</v>
      </c>
      <c r="E193" s="64">
        <v>45766</v>
      </c>
      <c r="F193" s="63" t="s">
        <v>80</v>
      </c>
      <c r="G193" s="69" t="s">
        <v>946</v>
      </c>
      <c r="H193" s="63" t="s">
        <v>111</v>
      </c>
      <c r="I193" s="65"/>
      <c r="J193" s="63" t="s">
        <v>935</v>
      </c>
      <c r="K193" s="63" t="s">
        <v>114</v>
      </c>
      <c r="L193" s="63"/>
      <c r="M193" s="64" t="s">
        <v>174</v>
      </c>
      <c r="N193" s="64">
        <v>44713</v>
      </c>
      <c r="O193" s="82" t="s">
        <v>105</v>
      </c>
      <c r="P193" s="64" t="s">
        <v>82</v>
      </c>
      <c r="Q193" s="64" t="s">
        <v>911</v>
      </c>
      <c r="R193" s="66" t="s">
        <v>911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59"/>
    </row>
    <row r="194" spans="1:25" x14ac:dyDescent="0.3">
      <c r="A194" s="63" t="s">
        <v>77</v>
      </c>
      <c r="B194" s="104" t="s">
        <v>932</v>
      </c>
      <c r="C194" s="65" t="s">
        <v>947</v>
      </c>
      <c r="D194" s="64">
        <v>44671</v>
      </c>
      <c r="E194" s="64">
        <v>45766</v>
      </c>
      <c r="F194" s="63" t="s">
        <v>80</v>
      </c>
      <c r="G194" s="63" t="s">
        <v>948</v>
      </c>
      <c r="H194" s="63" t="s">
        <v>111</v>
      </c>
      <c r="I194" s="65"/>
      <c r="J194" s="63" t="s">
        <v>935</v>
      </c>
      <c r="K194" s="63" t="s">
        <v>114</v>
      </c>
      <c r="L194" s="63"/>
      <c r="M194" s="64" t="s">
        <v>174</v>
      </c>
      <c r="N194" s="64">
        <v>44713</v>
      </c>
      <c r="O194" s="82" t="s">
        <v>81</v>
      </c>
      <c r="P194" s="64" t="s">
        <v>82</v>
      </c>
      <c r="Q194" s="64" t="s">
        <v>911</v>
      </c>
      <c r="R194" s="66" t="s">
        <v>911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59"/>
    </row>
    <row r="195" spans="1:25" x14ac:dyDescent="0.3">
      <c r="A195" s="63" t="s">
        <v>77</v>
      </c>
      <c r="B195" s="104" t="s">
        <v>932</v>
      </c>
      <c r="C195" s="65" t="s">
        <v>949</v>
      </c>
      <c r="D195" s="64">
        <v>44671</v>
      </c>
      <c r="E195" s="64">
        <v>45766</v>
      </c>
      <c r="F195" s="63" t="s">
        <v>80</v>
      </c>
      <c r="G195" s="63" t="s">
        <v>950</v>
      </c>
      <c r="H195" s="63" t="s">
        <v>111</v>
      </c>
      <c r="I195" s="65"/>
      <c r="J195" s="63" t="s">
        <v>935</v>
      </c>
      <c r="K195" s="63" t="s">
        <v>114</v>
      </c>
      <c r="L195" s="63"/>
      <c r="M195" s="64" t="s">
        <v>174</v>
      </c>
      <c r="N195" s="64">
        <v>44713</v>
      </c>
      <c r="O195" s="82" t="s">
        <v>90</v>
      </c>
      <c r="P195" s="64" t="s">
        <v>82</v>
      </c>
      <c r="Q195" s="64" t="s">
        <v>911</v>
      </c>
      <c r="R195" s="66" t="s">
        <v>911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59"/>
    </row>
    <row r="196" spans="1:25" x14ac:dyDescent="0.3">
      <c r="A196" s="63" t="s">
        <v>77</v>
      </c>
      <c r="B196" s="104" t="s">
        <v>951</v>
      </c>
      <c r="C196" s="65" t="s">
        <v>952</v>
      </c>
      <c r="D196" s="64">
        <v>44673</v>
      </c>
      <c r="E196" s="64">
        <v>45768</v>
      </c>
      <c r="F196" s="63" t="s">
        <v>80</v>
      </c>
      <c r="G196" s="63" t="s">
        <v>953</v>
      </c>
      <c r="H196" s="63" t="s">
        <v>111</v>
      </c>
      <c r="I196" s="65"/>
      <c r="J196" s="63" t="s">
        <v>935</v>
      </c>
      <c r="K196" s="63" t="s">
        <v>114</v>
      </c>
      <c r="L196" s="63"/>
      <c r="M196" s="64" t="s">
        <v>174</v>
      </c>
      <c r="N196" s="64">
        <v>44713</v>
      </c>
      <c r="O196" s="82" t="s">
        <v>97</v>
      </c>
      <c r="P196" s="64" t="s">
        <v>82</v>
      </c>
      <c r="Q196" s="64" t="s">
        <v>911</v>
      </c>
      <c r="R196" s="66" t="s">
        <v>911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59"/>
    </row>
    <row r="197" spans="1:25" x14ac:dyDescent="0.3">
      <c r="A197" s="63" t="s">
        <v>77</v>
      </c>
      <c r="B197" s="104" t="s">
        <v>954</v>
      </c>
      <c r="C197" s="65" t="s">
        <v>955</v>
      </c>
      <c r="D197" s="64">
        <v>44697</v>
      </c>
      <c r="E197" s="64">
        <v>45792</v>
      </c>
      <c r="F197" s="63" t="s">
        <v>80</v>
      </c>
      <c r="G197" s="63" t="s">
        <v>956</v>
      </c>
      <c r="H197" s="63" t="s">
        <v>111</v>
      </c>
      <c r="I197" s="65"/>
      <c r="J197" s="63" t="s">
        <v>935</v>
      </c>
      <c r="K197" s="63" t="s">
        <v>114</v>
      </c>
      <c r="L197" s="63" t="s">
        <v>910</v>
      </c>
      <c r="M197" s="64" t="s">
        <v>174</v>
      </c>
      <c r="N197" s="64">
        <v>44795</v>
      </c>
      <c r="O197" s="82" t="s">
        <v>107</v>
      </c>
      <c r="P197" s="64" t="s">
        <v>82</v>
      </c>
      <c r="Q197" s="64" t="s">
        <v>911</v>
      </c>
      <c r="R197" s="66" t="s">
        <v>911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59"/>
    </row>
    <row r="198" spans="1:25" x14ac:dyDescent="0.3">
      <c r="A198" s="63" t="s">
        <v>77</v>
      </c>
      <c r="B198" s="104" t="s">
        <v>957</v>
      </c>
      <c r="C198" s="65" t="s">
        <v>958</v>
      </c>
      <c r="D198" s="64">
        <v>44749</v>
      </c>
      <c r="E198" s="64">
        <v>44828</v>
      </c>
      <c r="F198" s="63" t="s">
        <v>80</v>
      </c>
      <c r="G198" s="63" t="s">
        <v>959</v>
      </c>
      <c r="H198" s="63" t="s">
        <v>111</v>
      </c>
      <c r="I198" s="65"/>
      <c r="J198" s="63" t="s">
        <v>935</v>
      </c>
      <c r="K198" s="63" t="s">
        <v>114</v>
      </c>
      <c r="L198" s="63" t="s">
        <v>910</v>
      </c>
      <c r="M198" s="64" t="s">
        <v>174</v>
      </c>
      <c r="N198" s="64">
        <v>44796</v>
      </c>
      <c r="O198" s="82" t="s">
        <v>90</v>
      </c>
      <c r="P198" s="64" t="s">
        <v>82</v>
      </c>
      <c r="Q198" s="64" t="s">
        <v>911</v>
      </c>
      <c r="R198" s="66" t="s">
        <v>911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90" t="s">
        <v>913</v>
      </c>
    </row>
    <row r="199" spans="1:25" x14ac:dyDescent="0.3">
      <c r="A199" s="63" t="s">
        <v>77</v>
      </c>
      <c r="B199" s="104" t="s">
        <v>100</v>
      </c>
      <c r="C199" s="65" t="s">
        <v>79</v>
      </c>
      <c r="D199" s="64">
        <v>45820</v>
      </c>
      <c r="E199" s="64">
        <v>46027</v>
      </c>
      <c r="F199" s="63" t="s">
        <v>80</v>
      </c>
      <c r="G199" s="63"/>
      <c r="H199" s="63"/>
      <c r="I199" s="65"/>
      <c r="J199" s="63"/>
      <c r="K199" s="63"/>
      <c r="L199" s="63" t="s">
        <v>101</v>
      </c>
      <c r="M199" s="64"/>
      <c r="N199" s="64">
        <v>45833</v>
      </c>
      <c r="O199" s="82" t="s">
        <v>102</v>
      </c>
      <c r="P199" s="64" t="s">
        <v>82</v>
      </c>
      <c r="Q199" s="64" t="s">
        <v>1011</v>
      </c>
      <c r="R199" s="66" t="s">
        <v>911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90"/>
    </row>
    <row r="200" spans="1:25" x14ac:dyDescent="0.3">
      <c r="A200" s="63" t="s">
        <v>77</v>
      </c>
      <c r="B200" s="104" t="s">
        <v>960</v>
      </c>
      <c r="C200" s="92" t="s">
        <v>961</v>
      </c>
      <c r="D200" s="64">
        <v>43466</v>
      </c>
      <c r="E200" s="64">
        <v>44561</v>
      </c>
      <c r="F200" s="68" t="s">
        <v>962</v>
      </c>
      <c r="G200" s="63" t="s">
        <v>963</v>
      </c>
      <c r="H200" s="63" t="s">
        <v>111</v>
      </c>
      <c r="I200" s="65"/>
      <c r="J200" s="63" t="s">
        <v>964</v>
      </c>
      <c r="K200" s="63" t="s">
        <v>469</v>
      </c>
      <c r="L200" s="63" t="s">
        <v>910</v>
      </c>
      <c r="M200" s="63" t="s">
        <v>174</v>
      </c>
      <c r="N200" s="64">
        <v>43698</v>
      </c>
      <c r="O200" s="82" t="s">
        <v>81</v>
      </c>
      <c r="P200" s="64" t="s">
        <v>82</v>
      </c>
      <c r="Q200" s="64" t="s">
        <v>911</v>
      </c>
      <c r="R200" s="66" t="s">
        <v>912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59" t="s">
        <v>965</v>
      </c>
    </row>
    <row r="201" spans="1:25" x14ac:dyDescent="0.3">
      <c r="A201" s="63" t="s">
        <v>77</v>
      </c>
      <c r="B201" s="104" t="s">
        <v>966</v>
      </c>
      <c r="C201" s="92" t="s">
        <v>967</v>
      </c>
      <c r="D201" s="64">
        <v>43466</v>
      </c>
      <c r="E201" s="64">
        <v>44561</v>
      </c>
      <c r="F201" s="68" t="s">
        <v>962</v>
      </c>
      <c r="G201" s="63" t="s">
        <v>968</v>
      </c>
      <c r="H201" s="63" t="s">
        <v>111</v>
      </c>
      <c r="I201" s="65"/>
      <c r="J201" s="63" t="s">
        <v>964</v>
      </c>
      <c r="K201" s="63" t="s">
        <v>469</v>
      </c>
      <c r="L201" s="63" t="s">
        <v>910</v>
      </c>
      <c r="M201" s="63" t="s">
        <v>174</v>
      </c>
      <c r="N201" s="64">
        <v>43698</v>
      </c>
      <c r="O201" s="82" t="s">
        <v>81</v>
      </c>
      <c r="P201" s="64" t="s">
        <v>82</v>
      </c>
      <c r="Q201" s="64" t="s">
        <v>911</v>
      </c>
      <c r="R201" s="66" t="s">
        <v>912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59" t="s">
        <v>965</v>
      </c>
    </row>
    <row r="202" spans="1:25" x14ac:dyDescent="0.3">
      <c r="A202" s="63" t="s">
        <v>77</v>
      </c>
      <c r="B202" s="104" t="s">
        <v>969</v>
      </c>
      <c r="C202" s="92" t="s">
        <v>970</v>
      </c>
      <c r="D202" s="64">
        <v>43647</v>
      </c>
      <c r="E202" s="64">
        <v>44742</v>
      </c>
      <c r="F202" s="68" t="s">
        <v>962</v>
      </c>
      <c r="G202" s="63" t="s">
        <v>971</v>
      </c>
      <c r="H202" s="63" t="s">
        <v>111</v>
      </c>
      <c r="I202" s="65"/>
      <c r="J202" s="63" t="s">
        <v>964</v>
      </c>
      <c r="K202" s="63" t="s">
        <v>469</v>
      </c>
      <c r="L202" s="63" t="s">
        <v>910</v>
      </c>
      <c r="M202" s="63" t="s">
        <v>174</v>
      </c>
      <c r="N202" s="64">
        <v>43698</v>
      </c>
      <c r="O202" s="82" t="s">
        <v>81</v>
      </c>
      <c r="P202" s="64" t="s">
        <v>82</v>
      </c>
      <c r="Q202" s="64" t="s">
        <v>911</v>
      </c>
      <c r="R202" s="66" t="s">
        <v>912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59" t="s">
        <v>965</v>
      </c>
    </row>
    <row r="203" spans="1:25" x14ac:dyDescent="0.3">
      <c r="A203" s="63" t="s">
        <v>77</v>
      </c>
      <c r="B203" s="104" t="s">
        <v>972</v>
      </c>
      <c r="C203" s="92" t="s">
        <v>973</v>
      </c>
      <c r="D203" s="64">
        <v>43709</v>
      </c>
      <c r="E203" s="64">
        <v>44804</v>
      </c>
      <c r="F203" s="68" t="s">
        <v>962</v>
      </c>
      <c r="G203" s="63" t="s">
        <v>974</v>
      </c>
      <c r="H203" s="63" t="s">
        <v>111</v>
      </c>
      <c r="I203" s="65"/>
      <c r="J203" s="63" t="s">
        <v>964</v>
      </c>
      <c r="K203" s="63" t="s">
        <v>469</v>
      </c>
      <c r="L203" s="63" t="s">
        <v>910</v>
      </c>
      <c r="M203" s="63" t="s">
        <v>174</v>
      </c>
      <c r="N203" s="64">
        <v>43698</v>
      </c>
      <c r="O203" s="82" t="s">
        <v>81</v>
      </c>
      <c r="P203" s="64" t="s">
        <v>82</v>
      </c>
      <c r="Q203" s="64" t="s">
        <v>911</v>
      </c>
      <c r="R203" s="66" t="s">
        <v>912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59" t="s">
        <v>965</v>
      </c>
    </row>
    <row r="204" spans="1:25" x14ac:dyDescent="0.3">
      <c r="A204" s="63" t="s">
        <v>77</v>
      </c>
      <c r="B204" s="104" t="s">
        <v>975</v>
      </c>
      <c r="C204" s="92" t="s">
        <v>976</v>
      </c>
      <c r="D204" s="64">
        <v>43466</v>
      </c>
      <c r="E204" s="64">
        <v>44377</v>
      </c>
      <c r="F204" s="68" t="s">
        <v>962</v>
      </c>
      <c r="G204" s="63" t="s">
        <v>977</v>
      </c>
      <c r="H204" s="63" t="s">
        <v>111</v>
      </c>
      <c r="I204" s="65"/>
      <c r="J204" s="63" t="s">
        <v>978</v>
      </c>
      <c r="K204" s="63" t="s">
        <v>469</v>
      </c>
      <c r="L204" s="63" t="s">
        <v>910</v>
      </c>
      <c r="M204" s="63" t="s">
        <v>582</v>
      </c>
      <c r="N204" s="64">
        <v>43705</v>
      </c>
      <c r="O204" s="82" t="s">
        <v>81</v>
      </c>
      <c r="P204" s="64" t="s">
        <v>82</v>
      </c>
      <c r="Q204" s="64" t="s">
        <v>911</v>
      </c>
      <c r="R204" s="66" t="s">
        <v>912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59" t="s">
        <v>965</v>
      </c>
    </row>
    <row r="205" spans="1:25" x14ac:dyDescent="0.3">
      <c r="A205" s="63" t="s">
        <v>77</v>
      </c>
      <c r="B205" s="104" t="s">
        <v>975</v>
      </c>
      <c r="C205" s="92" t="s">
        <v>976</v>
      </c>
      <c r="D205" s="64">
        <v>43466</v>
      </c>
      <c r="E205" s="64">
        <v>44377</v>
      </c>
      <c r="F205" s="68" t="s">
        <v>962</v>
      </c>
      <c r="G205" s="63" t="s">
        <v>979</v>
      </c>
      <c r="H205" s="63" t="s">
        <v>111</v>
      </c>
      <c r="I205" s="65"/>
      <c r="J205" s="63" t="s">
        <v>978</v>
      </c>
      <c r="K205" s="63" t="s">
        <v>469</v>
      </c>
      <c r="L205" s="63" t="s">
        <v>910</v>
      </c>
      <c r="M205" s="63" t="s">
        <v>582</v>
      </c>
      <c r="N205" s="64">
        <v>43705</v>
      </c>
      <c r="O205" s="82" t="s">
        <v>81</v>
      </c>
      <c r="P205" s="64" t="s">
        <v>82</v>
      </c>
      <c r="Q205" s="64" t="s">
        <v>911</v>
      </c>
      <c r="R205" s="66" t="s">
        <v>912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59" t="s">
        <v>965</v>
      </c>
    </row>
    <row r="206" spans="1:25" x14ac:dyDescent="0.3">
      <c r="A206" s="63" t="s">
        <v>77</v>
      </c>
      <c r="B206" s="104" t="s">
        <v>975</v>
      </c>
      <c r="C206" s="92" t="s">
        <v>976</v>
      </c>
      <c r="D206" s="64">
        <v>43466</v>
      </c>
      <c r="E206" s="64">
        <v>44377</v>
      </c>
      <c r="F206" s="68" t="s">
        <v>962</v>
      </c>
      <c r="G206" s="63" t="s">
        <v>980</v>
      </c>
      <c r="H206" s="63" t="s">
        <v>111</v>
      </c>
      <c r="I206" s="65"/>
      <c r="J206" s="63" t="s">
        <v>978</v>
      </c>
      <c r="K206" s="63" t="s">
        <v>469</v>
      </c>
      <c r="L206" s="63" t="s">
        <v>910</v>
      </c>
      <c r="M206" s="63" t="s">
        <v>582</v>
      </c>
      <c r="N206" s="64">
        <v>43705</v>
      </c>
      <c r="O206" s="82" t="s">
        <v>81</v>
      </c>
      <c r="P206" s="64" t="s">
        <v>82</v>
      </c>
      <c r="Q206" s="64" t="s">
        <v>911</v>
      </c>
      <c r="R206" s="66" t="s">
        <v>912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59" t="s">
        <v>965</v>
      </c>
    </row>
    <row r="207" spans="1:25" x14ac:dyDescent="0.3">
      <c r="A207" s="63" t="s">
        <v>77</v>
      </c>
      <c r="B207" s="104" t="s">
        <v>975</v>
      </c>
      <c r="C207" s="92" t="s">
        <v>976</v>
      </c>
      <c r="D207" s="64">
        <v>43466</v>
      </c>
      <c r="E207" s="64">
        <v>44377</v>
      </c>
      <c r="F207" s="68" t="s">
        <v>962</v>
      </c>
      <c r="G207" s="63" t="s">
        <v>981</v>
      </c>
      <c r="H207" s="63" t="s">
        <v>111</v>
      </c>
      <c r="I207" s="65"/>
      <c r="J207" s="63" t="s">
        <v>978</v>
      </c>
      <c r="K207" s="63" t="s">
        <v>469</v>
      </c>
      <c r="L207" s="63" t="s">
        <v>910</v>
      </c>
      <c r="M207" s="63" t="s">
        <v>582</v>
      </c>
      <c r="N207" s="64">
        <v>43705</v>
      </c>
      <c r="O207" s="82" t="s">
        <v>81</v>
      </c>
      <c r="P207" s="64" t="s">
        <v>82</v>
      </c>
      <c r="Q207" s="64" t="s">
        <v>911</v>
      </c>
      <c r="R207" s="66" t="s">
        <v>912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59" t="s">
        <v>965</v>
      </c>
    </row>
    <row r="208" spans="1:25" x14ac:dyDescent="0.3">
      <c r="A208" s="63" t="s">
        <v>77</v>
      </c>
      <c r="B208" s="104" t="s">
        <v>982</v>
      </c>
      <c r="C208" s="92" t="s">
        <v>976</v>
      </c>
      <c r="D208" s="64">
        <v>43466</v>
      </c>
      <c r="E208" s="64">
        <v>44377</v>
      </c>
      <c r="F208" s="68" t="s">
        <v>962</v>
      </c>
      <c r="G208" s="63" t="s">
        <v>983</v>
      </c>
      <c r="H208" s="63" t="s">
        <v>111</v>
      </c>
      <c r="I208" s="65"/>
      <c r="J208" s="63" t="s">
        <v>978</v>
      </c>
      <c r="K208" s="63" t="s">
        <v>469</v>
      </c>
      <c r="L208" s="63" t="s">
        <v>910</v>
      </c>
      <c r="M208" s="63" t="s">
        <v>582</v>
      </c>
      <c r="N208" s="64">
        <v>43705</v>
      </c>
      <c r="O208" s="82" t="s">
        <v>81</v>
      </c>
      <c r="P208" s="64" t="s">
        <v>82</v>
      </c>
      <c r="Q208" s="64" t="s">
        <v>911</v>
      </c>
      <c r="R208" s="66" t="s">
        <v>912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59" t="s">
        <v>965</v>
      </c>
    </row>
    <row r="209" spans="1:26" x14ac:dyDescent="0.3">
      <c r="A209" s="63" t="s">
        <v>77</v>
      </c>
      <c r="B209" s="104" t="s">
        <v>984</v>
      </c>
      <c r="C209" s="65" t="s">
        <v>976</v>
      </c>
      <c r="D209" s="64">
        <v>43466</v>
      </c>
      <c r="E209" s="64">
        <v>44561</v>
      </c>
      <c r="F209" s="68" t="s">
        <v>962</v>
      </c>
      <c r="G209" s="63" t="s">
        <v>985</v>
      </c>
      <c r="H209" s="63" t="s">
        <v>111</v>
      </c>
      <c r="I209" s="65"/>
      <c r="J209" s="63" t="s">
        <v>978</v>
      </c>
      <c r="K209" s="63" t="s">
        <v>469</v>
      </c>
      <c r="L209" s="63" t="s">
        <v>910</v>
      </c>
      <c r="M209" s="63" t="s">
        <v>174</v>
      </c>
      <c r="N209" s="64">
        <v>43705</v>
      </c>
      <c r="O209" s="82" t="s">
        <v>81</v>
      </c>
      <c r="P209" s="64" t="s">
        <v>82</v>
      </c>
      <c r="Q209" s="64" t="s">
        <v>911</v>
      </c>
      <c r="R209" s="66" t="s">
        <v>912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59" t="s">
        <v>965</v>
      </c>
    </row>
    <row r="210" spans="1:26" x14ac:dyDescent="0.3">
      <c r="A210" s="63" t="s">
        <v>77</v>
      </c>
      <c r="B210" s="104" t="s">
        <v>986</v>
      </c>
      <c r="C210" s="92" t="s">
        <v>976</v>
      </c>
      <c r="D210" s="64">
        <v>43466</v>
      </c>
      <c r="E210" s="64">
        <v>44408</v>
      </c>
      <c r="F210" s="68" t="s">
        <v>962</v>
      </c>
      <c r="G210" s="63" t="s">
        <v>987</v>
      </c>
      <c r="H210" s="63" t="s">
        <v>111</v>
      </c>
      <c r="I210" s="65"/>
      <c r="J210" s="63" t="s">
        <v>978</v>
      </c>
      <c r="K210" s="63" t="s">
        <v>469</v>
      </c>
      <c r="L210" s="63" t="s">
        <v>910</v>
      </c>
      <c r="M210" s="63" t="s">
        <v>988</v>
      </c>
      <c r="N210" s="64">
        <v>43705</v>
      </c>
      <c r="O210" s="82" t="s">
        <v>81</v>
      </c>
      <c r="P210" s="64" t="s">
        <v>82</v>
      </c>
      <c r="Q210" s="64" t="s">
        <v>911</v>
      </c>
      <c r="R210" s="66" t="s">
        <v>912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59" t="s">
        <v>965</v>
      </c>
    </row>
    <row r="211" spans="1:26" x14ac:dyDescent="0.3">
      <c r="A211" s="63" t="s">
        <v>77</v>
      </c>
      <c r="B211" s="104" t="s">
        <v>989</v>
      </c>
      <c r="C211" s="65" t="s">
        <v>728</v>
      </c>
      <c r="D211" s="64">
        <v>42005</v>
      </c>
      <c r="E211" s="64">
        <v>45291</v>
      </c>
      <c r="F211" s="63" t="s">
        <v>80</v>
      </c>
      <c r="G211" s="63" t="s">
        <v>990</v>
      </c>
      <c r="H211" s="63" t="s">
        <v>111</v>
      </c>
      <c r="I211" s="65" t="s">
        <v>991</v>
      </c>
      <c r="J211" s="63" t="s">
        <v>113</v>
      </c>
      <c r="K211" s="63" t="s">
        <v>114</v>
      </c>
      <c r="L211" s="63" t="s">
        <v>992</v>
      </c>
      <c r="M211" s="63" t="s">
        <v>131</v>
      </c>
      <c r="N211" s="64">
        <v>44099</v>
      </c>
      <c r="O211" s="82" t="s">
        <v>730</v>
      </c>
      <c r="P211" s="64">
        <v>45291</v>
      </c>
      <c r="Q211" s="58" t="s">
        <v>911</v>
      </c>
      <c r="R211" s="66" t="s">
        <v>993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59" t="s">
        <v>249</v>
      </c>
    </row>
    <row r="212" spans="1:26" x14ac:dyDescent="0.3">
      <c r="A212" s="63" t="s">
        <v>77</v>
      </c>
      <c r="B212" s="104" t="s">
        <v>994</v>
      </c>
      <c r="C212" s="92" t="s">
        <v>995</v>
      </c>
      <c r="D212" s="64">
        <v>42865</v>
      </c>
      <c r="E212" s="64">
        <v>43539</v>
      </c>
      <c r="F212" s="63" t="s">
        <v>80</v>
      </c>
      <c r="G212" s="63" t="s">
        <v>996</v>
      </c>
      <c r="H212" s="63" t="s">
        <v>111</v>
      </c>
      <c r="I212" s="65"/>
      <c r="J212" s="63" t="s">
        <v>113</v>
      </c>
      <c r="K212" s="63" t="s">
        <v>82</v>
      </c>
      <c r="L212" s="63" t="s">
        <v>997</v>
      </c>
      <c r="M212" s="63" t="s">
        <v>410</v>
      </c>
      <c r="N212" s="64">
        <v>43524</v>
      </c>
      <c r="O212" s="82" t="s">
        <v>998</v>
      </c>
      <c r="P212" s="64" t="s">
        <v>82</v>
      </c>
      <c r="Q212" s="64" t="s">
        <v>911</v>
      </c>
      <c r="R212" s="66" t="s">
        <v>912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59" t="s">
        <v>999</v>
      </c>
    </row>
    <row r="213" spans="1:26" x14ac:dyDescent="0.3">
      <c r="A213" s="63" t="s">
        <v>77</v>
      </c>
      <c r="B213" s="104" t="s">
        <v>126</v>
      </c>
      <c r="C213" s="65" t="s">
        <v>127</v>
      </c>
      <c r="D213" s="64">
        <v>42313</v>
      </c>
      <c r="E213" s="64">
        <v>45965</v>
      </c>
      <c r="F213" s="63" t="s">
        <v>80</v>
      </c>
      <c r="G213" s="63" t="s">
        <v>128</v>
      </c>
      <c r="H213" s="63" t="s">
        <v>111</v>
      </c>
      <c r="I213" s="65" t="s">
        <v>129</v>
      </c>
      <c r="J213" s="63" t="s">
        <v>113</v>
      </c>
      <c r="K213" s="63" t="s">
        <v>114</v>
      </c>
      <c r="L213" s="63" t="s">
        <v>130</v>
      </c>
      <c r="M213" s="63" t="s">
        <v>131</v>
      </c>
      <c r="N213" s="64">
        <v>44099</v>
      </c>
      <c r="O213" s="82" t="s">
        <v>132</v>
      </c>
      <c r="P213" s="64">
        <v>45965</v>
      </c>
      <c r="Q213" s="58" t="s">
        <v>1011</v>
      </c>
      <c r="R213" s="66" t="s">
        <v>911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59"/>
    </row>
    <row r="214" spans="1:26" x14ac:dyDescent="0.3">
      <c r="A214" s="63" t="s">
        <v>77</v>
      </c>
      <c r="B214" s="104" t="s">
        <v>1000</v>
      </c>
      <c r="C214" s="92" t="s">
        <v>1001</v>
      </c>
      <c r="D214" s="64">
        <v>41320</v>
      </c>
      <c r="E214" s="64">
        <v>43510</v>
      </c>
      <c r="F214" s="63" t="s">
        <v>80</v>
      </c>
      <c r="G214" s="63" t="s">
        <v>1002</v>
      </c>
      <c r="H214" s="63" t="s">
        <v>111</v>
      </c>
      <c r="I214" s="65"/>
      <c r="J214" s="63" t="s">
        <v>113</v>
      </c>
      <c r="K214" s="63" t="s">
        <v>82</v>
      </c>
      <c r="L214" s="63" t="s">
        <v>1003</v>
      </c>
      <c r="M214" s="63" t="s">
        <v>410</v>
      </c>
      <c r="N214" s="64">
        <v>43524</v>
      </c>
      <c r="O214" s="82" t="s">
        <v>1004</v>
      </c>
      <c r="P214" s="64">
        <v>43510</v>
      </c>
      <c r="Q214" s="64" t="s">
        <v>911</v>
      </c>
      <c r="R214" s="66" t="s">
        <v>912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59" t="s">
        <v>999</v>
      </c>
    </row>
    <row r="215" spans="1:26" x14ac:dyDescent="0.3">
      <c r="A215" s="63" t="s">
        <v>77</v>
      </c>
      <c r="B215" s="104" t="s">
        <v>1012</v>
      </c>
      <c r="C215" s="65" t="s">
        <v>799</v>
      </c>
      <c r="D215" s="64">
        <v>41954</v>
      </c>
      <c r="E215" s="64">
        <v>45606</v>
      </c>
      <c r="F215" s="63" t="s">
        <v>80</v>
      </c>
      <c r="G215" s="63" t="s">
        <v>1013</v>
      </c>
      <c r="H215" s="63" t="s">
        <v>111</v>
      </c>
      <c r="I215" s="65" t="s">
        <v>1014</v>
      </c>
      <c r="J215" s="63" t="s">
        <v>113</v>
      </c>
      <c r="K215" s="63" t="s">
        <v>114</v>
      </c>
      <c r="L215" s="63" t="s">
        <v>1015</v>
      </c>
      <c r="M215" s="63" t="s">
        <v>131</v>
      </c>
      <c r="N215" s="64">
        <v>44099</v>
      </c>
      <c r="O215" s="82" t="s">
        <v>801</v>
      </c>
      <c r="P215" s="64">
        <v>45606</v>
      </c>
      <c r="Q215" s="58" t="s">
        <v>1011</v>
      </c>
      <c r="R215" s="66" t="s">
        <v>1016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59"/>
    </row>
    <row r="216" spans="1:26" x14ac:dyDescent="0.3">
      <c r="A216" s="63" t="s">
        <v>77</v>
      </c>
      <c r="B216" s="105" t="s">
        <v>1017</v>
      </c>
      <c r="C216" s="92" t="s">
        <v>1018</v>
      </c>
      <c r="D216" s="64">
        <v>42948</v>
      </c>
      <c r="E216" s="64">
        <v>43781</v>
      </c>
      <c r="F216" s="63" t="s">
        <v>80</v>
      </c>
      <c r="G216" s="63" t="s">
        <v>1019</v>
      </c>
      <c r="H216" s="63" t="s">
        <v>111</v>
      </c>
      <c r="I216" s="65"/>
      <c r="J216" s="63" t="s">
        <v>113</v>
      </c>
      <c r="K216" s="63" t="s">
        <v>82</v>
      </c>
      <c r="L216" s="63" t="s">
        <v>1020</v>
      </c>
      <c r="M216" s="63" t="s">
        <v>139</v>
      </c>
      <c r="N216" s="64">
        <v>43524</v>
      </c>
      <c r="O216" s="82" t="s">
        <v>1021</v>
      </c>
      <c r="P216" s="64">
        <v>44408</v>
      </c>
      <c r="Q216" s="64" t="s">
        <v>911</v>
      </c>
      <c r="R216" s="66" t="s">
        <v>912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59" t="s">
        <v>999</v>
      </c>
    </row>
    <row r="217" spans="1:26" x14ac:dyDescent="0.3">
      <c r="A217" s="63" t="s">
        <v>77</v>
      </c>
      <c r="B217" s="104" t="s">
        <v>1022</v>
      </c>
      <c r="C217" s="92" t="s">
        <v>1023</v>
      </c>
      <c r="D217" s="64">
        <v>43070</v>
      </c>
      <c r="E217" s="64">
        <v>44530</v>
      </c>
      <c r="F217" s="63" t="s">
        <v>80</v>
      </c>
      <c r="G217" s="63" t="s">
        <v>1024</v>
      </c>
      <c r="H217" s="63" t="s">
        <v>111</v>
      </c>
      <c r="I217" s="65" t="s">
        <v>1025</v>
      </c>
      <c r="J217" s="63" t="s">
        <v>113</v>
      </c>
      <c r="K217" s="63" t="s">
        <v>114</v>
      </c>
      <c r="L217" s="63" t="s">
        <v>1026</v>
      </c>
      <c r="M217" s="63" t="s">
        <v>139</v>
      </c>
      <c r="N217" s="64">
        <v>44099</v>
      </c>
      <c r="O217" s="82" t="s">
        <v>1027</v>
      </c>
      <c r="P217" s="64">
        <v>44530</v>
      </c>
      <c r="Q217" s="64" t="s">
        <v>911</v>
      </c>
      <c r="R217" s="66" t="s">
        <v>912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59" t="s">
        <v>999</v>
      </c>
    </row>
    <row r="218" spans="1:26" x14ac:dyDescent="0.3">
      <c r="A218" s="63" t="s">
        <v>77</v>
      </c>
      <c r="B218" s="104" t="s">
        <v>1028</v>
      </c>
      <c r="C218" s="65" t="s">
        <v>1029</v>
      </c>
      <c r="D218" s="64">
        <v>42705</v>
      </c>
      <c r="E218" s="64">
        <v>45626</v>
      </c>
      <c r="F218" s="63" t="s">
        <v>80</v>
      </c>
      <c r="G218" s="63" t="s">
        <v>1030</v>
      </c>
      <c r="H218" s="63" t="s">
        <v>111</v>
      </c>
      <c r="I218" s="65" t="s">
        <v>1031</v>
      </c>
      <c r="J218" s="63" t="s">
        <v>113</v>
      </c>
      <c r="K218" s="63" t="s">
        <v>114</v>
      </c>
      <c r="L218" s="63" t="s">
        <v>1032</v>
      </c>
      <c r="M218" s="63" t="s">
        <v>139</v>
      </c>
      <c r="N218" s="64">
        <v>44099</v>
      </c>
      <c r="O218" s="82" t="s">
        <v>1033</v>
      </c>
      <c r="P218" s="64">
        <v>45626</v>
      </c>
      <c r="Q218" s="58" t="s">
        <v>1011</v>
      </c>
      <c r="R218" s="66" t="s">
        <v>911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59"/>
      <c r="Z218" s="145"/>
    </row>
    <row r="219" spans="1:26" x14ac:dyDescent="0.3">
      <c r="A219" s="63" t="s">
        <v>77</v>
      </c>
      <c r="B219" s="104" t="s">
        <v>1034</v>
      </c>
      <c r="C219" s="65" t="s">
        <v>891</v>
      </c>
      <c r="D219" s="64">
        <v>42791</v>
      </c>
      <c r="E219" s="64">
        <v>45838</v>
      </c>
      <c r="F219" s="63" t="s">
        <v>80</v>
      </c>
      <c r="G219" s="63" t="s">
        <v>1035</v>
      </c>
      <c r="H219" s="63" t="s">
        <v>111</v>
      </c>
      <c r="I219" s="65" t="s">
        <v>1036</v>
      </c>
      <c r="J219" s="63" t="s">
        <v>113</v>
      </c>
      <c r="K219" s="63" t="s">
        <v>114</v>
      </c>
      <c r="L219" s="63" t="s">
        <v>1037</v>
      </c>
      <c r="M219" s="63" t="s">
        <v>139</v>
      </c>
      <c r="N219" s="64">
        <v>44099</v>
      </c>
      <c r="O219" s="82" t="s">
        <v>893</v>
      </c>
      <c r="P219" s="64">
        <v>45838</v>
      </c>
      <c r="Q219" s="64" t="s">
        <v>911</v>
      </c>
      <c r="R219" s="66" t="s">
        <v>1038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59"/>
    </row>
    <row r="220" spans="1:26" x14ac:dyDescent="0.3">
      <c r="A220" s="63" t="s">
        <v>77</v>
      </c>
      <c r="B220" s="104" t="s">
        <v>1039</v>
      </c>
      <c r="C220" s="92" t="s">
        <v>1040</v>
      </c>
      <c r="D220" s="64">
        <v>42948</v>
      </c>
      <c r="E220" s="64">
        <v>44772</v>
      </c>
      <c r="F220" s="63" t="s">
        <v>80</v>
      </c>
      <c r="G220" s="63" t="s">
        <v>1041</v>
      </c>
      <c r="H220" s="63" t="s">
        <v>111</v>
      </c>
      <c r="I220" s="65" t="s">
        <v>1042</v>
      </c>
      <c r="J220" s="63" t="s">
        <v>113</v>
      </c>
      <c r="K220" s="63" t="s">
        <v>114</v>
      </c>
      <c r="L220" s="63" t="s">
        <v>1043</v>
      </c>
      <c r="M220" s="63" t="s">
        <v>123</v>
      </c>
      <c r="N220" s="64">
        <v>44099</v>
      </c>
      <c r="O220" s="82" t="s">
        <v>1044</v>
      </c>
      <c r="P220" s="64">
        <v>44772</v>
      </c>
      <c r="Q220" s="64" t="s">
        <v>911</v>
      </c>
      <c r="R220" s="66" t="s">
        <v>912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59" t="s">
        <v>999</v>
      </c>
    </row>
    <row r="221" spans="1:26" x14ac:dyDescent="0.3">
      <c r="A221" s="63" t="s">
        <v>77</v>
      </c>
      <c r="B221" s="104" t="s">
        <v>1045</v>
      </c>
      <c r="C221" s="65" t="s">
        <v>1046</v>
      </c>
      <c r="D221" s="64">
        <v>43070</v>
      </c>
      <c r="E221" s="64">
        <v>45657</v>
      </c>
      <c r="F221" s="63" t="s">
        <v>80</v>
      </c>
      <c r="G221" s="63" t="s">
        <v>1047</v>
      </c>
      <c r="H221" s="63" t="s">
        <v>111</v>
      </c>
      <c r="I221" s="65" t="s">
        <v>1048</v>
      </c>
      <c r="J221" s="63" t="s">
        <v>113</v>
      </c>
      <c r="K221" s="63" t="s">
        <v>114</v>
      </c>
      <c r="L221" s="63" t="s">
        <v>1049</v>
      </c>
      <c r="M221" s="63" t="s">
        <v>131</v>
      </c>
      <c r="N221" s="64">
        <v>44099</v>
      </c>
      <c r="O221" s="82" t="s">
        <v>1050</v>
      </c>
      <c r="P221" s="64">
        <v>45659</v>
      </c>
      <c r="Q221" s="58" t="s">
        <v>1011</v>
      </c>
      <c r="R221" s="66" t="s">
        <v>912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59"/>
    </row>
    <row r="222" spans="1:26" x14ac:dyDescent="0.3">
      <c r="A222" s="63" t="s">
        <v>77</v>
      </c>
      <c r="B222" s="104" t="s">
        <v>1051</v>
      </c>
      <c r="C222" s="65" t="s">
        <v>1052</v>
      </c>
      <c r="D222" s="64">
        <v>41365</v>
      </c>
      <c r="E222" s="64">
        <v>44344</v>
      </c>
      <c r="F222" s="63" t="s">
        <v>80</v>
      </c>
      <c r="G222" s="63" t="s">
        <v>1053</v>
      </c>
      <c r="H222" s="63" t="s">
        <v>111</v>
      </c>
      <c r="I222" s="65" t="s">
        <v>1054</v>
      </c>
      <c r="J222" s="63" t="s">
        <v>113</v>
      </c>
      <c r="K222" s="63" t="s">
        <v>114</v>
      </c>
      <c r="L222" s="63" t="s">
        <v>1055</v>
      </c>
      <c r="M222" s="63" t="s">
        <v>1056</v>
      </c>
      <c r="N222" s="64">
        <v>44099</v>
      </c>
      <c r="O222" s="82" t="s">
        <v>1057</v>
      </c>
      <c r="P222" s="64">
        <v>44341</v>
      </c>
      <c r="Q222" s="64" t="s">
        <v>911</v>
      </c>
      <c r="R222" s="66" t="s">
        <v>912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59" t="s">
        <v>999</v>
      </c>
    </row>
    <row r="223" spans="1:26" x14ac:dyDescent="0.3">
      <c r="A223" s="63" t="s">
        <v>77</v>
      </c>
      <c r="B223" s="104" t="s">
        <v>1058</v>
      </c>
      <c r="C223" s="65" t="s">
        <v>1059</v>
      </c>
      <c r="D223" s="64">
        <v>43203</v>
      </c>
      <c r="E223" s="64">
        <v>45394</v>
      </c>
      <c r="F223" s="63" t="s">
        <v>80</v>
      </c>
      <c r="G223" s="63" t="s">
        <v>1060</v>
      </c>
      <c r="H223" s="63" t="s">
        <v>111</v>
      </c>
      <c r="I223" s="65" t="s">
        <v>1061</v>
      </c>
      <c r="J223" s="63" t="s">
        <v>113</v>
      </c>
      <c r="K223" s="63" t="s">
        <v>114</v>
      </c>
      <c r="L223" s="63" t="s">
        <v>1062</v>
      </c>
      <c r="M223" s="63" t="s">
        <v>410</v>
      </c>
      <c r="N223" s="64">
        <v>44099</v>
      </c>
      <c r="O223" s="82" t="s">
        <v>1063</v>
      </c>
      <c r="P223" s="64">
        <v>45394</v>
      </c>
      <c r="Q223" s="58" t="s">
        <v>1011</v>
      </c>
      <c r="R223" s="66" t="s">
        <v>911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90" t="s">
        <v>155</v>
      </c>
      <c r="Z223" s="145"/>
    </row>
    <row r="224" spans="1:26" x14ac:dyDescent="0.3">
      <c r="A224" s="63" t="s">
        <v>77</v>
      </c>
      <c r="B224" s="104" t="s">
        <v>141</v>
      </c>
      <c r="C224" s="65" t="s">
        <v>142</v>
      </c>
      <c r="D224" s="64">
        <v>42730</v>
      </c>
      <c r="E224" s="64">
        <v>46053</v>
      </c>
      <c r="F224" s="63" t="s">
        <v>80</v>
      </c>
      <c r="G224" s="63" t="s">
        <v>143</v>
      </c>
      <c r="H224" s="63" t="s">
        <v>111</v>
      </c>
      <c r="I224" s="65" t="s">
        <v>144</v>
      </c>
      <c r="J224" s="63" t="s">
        <v>113</v>
      </c>
      <c r="K224" s="63" t="s">
        <v>114</v>
      </c>
      <c r="L224" s="63" t="s">
        <v>145</v>
      </c>
      <c r="M224" s="63" t="s">
        <v>146</v>
      </c>
      <c r="N224" s="64">
        <v>44099</v>
      </c>
      <c r="O224" s="82" t="s">
        <v>147</v>
      </c>
      <c r="P224" s="64">
        <v>46053</v>
      </c>
      <c r="Q224" s="58" t="s">
        <v>1011</v>
      </c>
      <c r="R224" s="66" t="s">
        <v>911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59"/>
    </row>
    <row r="225" spans="1:26" x14ac:dyDescent="0.3">
      <c r="A225" s="63" t="s">
        <v>77</v>
      </c>
      <c r="B225" s="104" t="s">
        <v>1077</v>
      </c>
      <c r="C225" s="65" t="s">
        <v>1078</v>
      </c>
      <c r="D225" s="64">
        <v>41974</v>
      </c>
      <c r="E225" s="64">
        <v>45443</v>
      </c>
      <c r="F225" s="63" t="s">
        <v>80</v>
      </c>
      <c r="G225" s="63" t="s">
        <v>1079</v>
      </c>
      <c r="H225" s="63" t="s">
        <v>111</v>
      </c>
      <c r="I225" s="65" t="s">
        <v>1080</v>
      </c>
      <c r="J225" s="63" t="s">
        <v>113</v>
      </c>
      <c r="K225" s="63" t="s">
        <v>114</v>
      </c>
      <c r="L225" s="63" t="s">
        <v>1081</v>
      </c>
      <c r="M225" s="63" t="s">
        <v>153</v>
      </c>
      <c r="N225" s="64">
        <v>44099</v>
      </c>
      <c r="O225" s="82" t="s">
        <v>1082</v>
      </c>
      <c r="P225" s="64">
        <v>45443</v>
      </c>
      <c r="Q225" s="64" t="s">
        <v>1011</v>
      </c>
      <c r="R225" s="66" t="s">
        <v>911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87" t="s">
        <v>155</v>
      </c>
      <c r="Z225" s="145"/>
    </row>
    <row r="226" spans="1:26" x14ac:dyDescent="0.3">
      <c r="A226" s="63" t="s">
        <v>77</v>
      </c>
      <c r="B226" s="104" t="s">
        <v>1083</v>
      </c>
      <c r="C226" s="65" t="s">
        <v>1084</v>
      </c>
      <c r="D226" s="64">
        <v>41247</v>
      </c>
      <c r="E226" s="64">
        <v>45443</v>
      </c>
      <c r="F226" s="63" t="s">
        <v>80</v>
      </c>
      <c r="G226" s="63" t="s">
        <v>1085</v>
      </c>
      <c r="H226" s="63" t="s">
        <v>111</v>
      </c>
      <c r="I226" s="65" t="s">
        <v>1086</v>
      </c>
      <c r="J226" s="63" t="s">
        <v>113</v>
      </c>
      <c r="K226" s="63" t="s">
        <v>114</v>
      </c>
      <c r="L226" s="63" t="s">
        <v>1087</v>
      </c>
      <c r="M226" s="63" t="s">
        <v>287</v>
      </c>
      <c r="N226" s="64">
        <v>44099</v>
      </c>
      <c r="O226" s="82" t="s">
        <v>1088</v>
      </c>
      <c r="P226" s="64">
        <v>45443</v>
      </c>
      <c r="Q226" s="58" t="s">
        <v>911</v>
      </c>
      <c r="R226" s="66" t="s">
        <v>3575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87" t="s">
        <v>155</v>
      </c>
      <c r="Z226" s="145"/>
    </row>
    <row r="227" spans="1:26" x14ac:dyDescent="0.3">
      <c r="A227" s="63" t="s">
        <v>77</v>
      </c>
      <c r="B227" s="104" t="s">
        <v>156</v>
      </c>
      <c r="C227" s="65" t="s">
        <v>157</v>
      </c>
      <c r="D227" s="64">
        <v>41518</v>
      </c>
      <c r="E227" s="64">
        <v>46022</v>
      </c>
      <c r="F227" s="63" t="s">
        <v>80</v>
      </c>
      <c r="G227" s="63" t="s">
        <v>158</v>
      </c>
      <c r="H227" s="63" t="s">
        <v>111</v>
      </c>
      <c r="I227" s="65" t="s">
        <v>159</v>
      </c>
      <c r="J227" s="63" t="s">
        <v>113</v>
      </c>
      <c r="K227" s="63" t="s">
        <v>114</v>
      </c>
      <c r="L227" s="63" t="s">
        <v>160</v>
      </c>
      <c r="M227" s="63" t="s">
        <v>161</v>
      </c>
      <c r="N227" s="64">
        <v>44099</v>
      </c>
      <c r="O227" s="82" t="s">
        <v>162</v>
      </c>
      <c r="P227" s="64">
        <v>46022</v>
      </c>
      <c r="Q227" s="58" t="s">
        <v>1011</v>
      </c>
      <c r="R227" s="66" t="s">
        <v>911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90" t="s">
        <v>155</v>
      </c>
      <c r="Z227" s="145"/>
    </row>
    <row r="228" spans="1:26" x14ac:dyDescent="0.3">
      <c r="A228" s="63" t="s">
        <v>77</v>
      </c>
      <c r="B228" s="104" t="s">
        <v>1089</v>
      </c>
      <c r="C228" s="65" t="s">
        <v>1090</v>
      </c>
      <c r="D228" s="64">
        <v>42095</v>
      </c>
      <c r="E228" s="64">
        <v>45747</v>
      </c>
      <c r="F228" s="63" t="s">
        <v>80</v>
      </c>
      <c r="G228" s="63" t="s">
        <v>1091</v>
      </c>
      <c r="H228" s="63" t="s">
        <v>111</v>
      </c>
      <c r="I228" s="65" t="s">
        <v>1092</v>
      </c>
      <c r="J228" s="63" t="s">
        <v>113</v>
      </c>
      <c r="K228" s="63" t="s">
        <v>114</v>
      </c>
      <c r="L228" s="63" t="s">
        <v>1093</v>
      </c>
      <c r="M228" s="63" t="s">
        <v>131</v>
      </c>
      <c r="N228" s="64">
        <v>44099</v>
      </c>
      <c r="O228" s="82" t="s">
        <v>655</v>
      </c>
      <c r="P228" s="64">
        <v>45747</v>
      </c>
      <c r="Q228" s="58" t="s">
        <v>911</v>
      </c>
      <c r="R228" s="66" t="s">
        <v>1094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59"/>
    </row>
    <row r="229" spans="1:26" ht="12.75" customHeight="1" x14ac:dyDescent="0.3">
      <c r="A229" s="63" t="s">
        <v>77</v>
      </c>
      <c r="B229" s="104" t="s">
        <v>1095</v>
      </c>
      <c r="C229" s="92" t="s">
        <v>1096</v>
      </c>
      <c r="D229" s="64">
        <v>42887</v>
      </c>
      <c r="E229" s="64">
        <v>45077</v>
      </c>
      <c r="F229" s="63" t="s">
        <v>80</v>
      </c>
      <c r="G229" s="63" t="s">
        <v>1097</v>
      </c>
      <c r="H229" s="63" t="s">
        <v>111</v>
      </c>
      <c r="I229" s="65" t="s">
        <v>1098</v>
      </c>
      <c r="J229" s="63" t="s">
        <v>113</v>
      </c>
      <c r="K229" s="63" t="s">
        <v>114</v>
      </c>
      <c r="L229" s="63" t="s">
        <v>1099</v>
      </c>
      <c r="M229" s="63" t="s">
        <v>174</v>
      </c>
      <c r="N229" s="64">
        <v>44099</v>
      </c>
      <c r="O229" s="82" t="s">
        <v>1100</v>
      </c>
      <c r="P229" s="64">
        <v>45077</v>
      </c>
      <c r="Q229" s="64" t="s">
        <v>911</v>
      </c>
      <c r="R229" s="66" t="s">
        <v>912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59" t="s">
        <v>999</v>
      </c>
    </row>
    <row r="230" spans="1:26" ht="12.75" customHeight="1" x14ac:dyDescent="0.3">
      <c r="A230" s="63" t="s">
        <v>77</v>
      </c>
      <c r="B230" s="104" t="s">
        <v>1101</v>
      </c>
      <c r="C230" s="65" t="s">
        <v>716</v>
      </c>
      <c r="D230" s="64">
        <v>42813</v>
      </c>
      <c r="E230" s="64">
        <v>45291</v>
      </c>
      <c r="F230" s="63" t="s">
        <v>80</v>
      </c>
      <c r="G230" s="63" t="s">
        <v>1102</v>
      </c>
      <c r="H230" s="63" t="s">
        <v>111</v>
      </c>
      <c r="I230" s="65" t="s">
        <v>1103</v>
      </c>
      <c r="J230" s="63" t="s">
        <v>113</v>
      </c>
      <c r="K230" s="63" t="s">
        <v>114</v>
      </c>
      <c r="L230" s="63" t="s">
        <v>1104</v>
      </c>
      <c r="M230" s="63" t="s">
        <v>174</v>
      </c>
      <c r="N230" s="64">
        <v>44099</v>
      </c>
      <c r="O230" s="82" t="s">
        <v>718</v>
      </c>
      <c r="P230" s="64">
        <v>46830</v>
      </c>
      <c r="Q230" s="58" t="s">
        <v>911</v>
      </c>
      <c r="R230" s="66" t="s">
        <v>1105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59" t="s">
        <v>249</v>
      </c>
    </row>
    <row r="231" spans="1:26" x14ac:dyDescent="0.3">
      <c r="A231" s="63" t="s">
        <v>77</v>
      </c>
      <c r="B231" s="104" t="s">
        <v>1106</v>
      </c>
      <c r="C231" s="65" t="s">
        <v>803</v>
      </c>
      <c r="D231" s="64">
        <v>42675</v>
      </c>
      <c r="E231" s="64">
        <v>45596</v>
      </c>
      <c r="F231" s="63" t="s">
        <v>80</v>
      </c>
      <c r="G231" s="63" t="s">
        <v>1107</v>
      </c>
      <c r="H231" s="63" t="s">
        <v>111</v>
      </c>
      <c r="I231" s="65" t="s">
        <v>1108</v>
      </c>
      <c r="J231" s="63" t="s">
        <v>113</v>
      </c>
      <c r="K231" s="63" t="s">
        <v>114</v>
      </c>
      <c r="L231" s="63" t="s">
        <v>1109</v>
      </c>
      <c r="M231" s="63" t="s">
        <v>139</v>
      </c>
      <c r="N231" s="64">
        <v>44099</v>
      </c>
      <c r="O231" s="82" t="s">
        <v>805</v>
      </c>
      <c r="P231" s="64">
        <v>45596</v>
      </c>
      <c r="Q231" s="58" t="s">
        <v>1011</v>
      </c>
      <c r="R231" s="66" t="s">
        <v>1110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59"/>
    </row>
    <row r="232" spans="1:26" ht="12.75" customHeight="1" x14ac:dyDescent="0.3">
      <c r="A232" s="63" t="s">
        <v>77</v>
      </c>
      <c r="B232" s="104" t="s">
        <v>1111</v>
      </c>
      <c r="C232" s="92" t="s">
        <v>1112</v>
      </c>
      <c r="D232" s="64">
        <v>43101</v>
      </c>
      <c r="E232" s="64">
        <v>43781</v>
      </c>
      <c r="F232" s="63" t="s">
        <v>80</v>
      </c>
      <c r="G232" s="63" t="s">
        <v>1113</v>
      </c>
      <c r="H232" s="63" t="s">
        <v>111</v>
      </c>
      <c r="I232" s="65"/>
      <c r="J232" s="63" t="s">
        <v>113</v>
      </c>
      <c r="K232" s="63" t="s">
        <v>82</v>
      </c>
      <c r="L232" s="63" t="s">
        <v>1114</v>
      </c>
      <c r="M232" s="63" t="s">
        <v>139</v>
      </c>
      <c r="N232" s="64">
        <v>43524</v>
      </c>
      <c r="O232" s="82" t="s">
        <v>1115</v>
      </c>
      <c r="P232" s="64">
        <v>44561</v>
      </c>
      <c r="Q232" s="64" t="s">
        <v>911</v>
      </c>
      <c r="R232" s="66" t="s">
        <v>912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59" t="s">
        <v>999</v>
      </c>
    </row>
    <row r="233" spans="1:26" x14ac:dyDescent="0.3">
      <c r="A233" s="63" t="s">
        <v>77</v>
      </c>
      <c r="B233" s="104" t="s">
        <v>169</v>
      </c>
      <c r="C233" s="65" t="s">
        <v>170</v>
      </c>
      <c r="D233" s="64">
        <v>43132</v>
      </c>
      <c r="E233" s="64">
        <v>46022</v>
      </c>
      <c r="F233" s="63" t="s">
        <v>80</v>
      </c>
      <c r="G233" s="63" t="s">
        <v>171</v>
      </c>
      <c r="H233" s="63" t="s">
        <v>111</v>
      </c>
      <c r="I233" s="65" t="s">
        <v>172</v>
      </c>
      <c r="J233" s="63" t="s">
        <v>113</v>
      </c>
      <c r="K233" s="63" t="s">
        <v>114</v>
      </c>
      <c r="L233" s="63" t="s">
        <v>173</v>
      </c>
      <c r="M233" s="63" t="s">
        <v>174</v>
      </c>
      <c r="N233" s="64">
        <v>44099</v>
      </c>
      <c r="O233" s="82" t="s">
        <v>175</v>
      </c>
      <c r="P233" s="64">
        <v>46021</v>
      </c>
      <c r="Q233" s="58" t="s">
        <v>1011</v>
      </c>
      <c r="R233" s="66" t="s">
        <v>911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59"/>
    </row>
    <row r="234" spans="1:26" x14ac:dyDescent="0.3">
      <c r="A234" s="63" t="s">
        <v>77</v>
      </c>
      <c r="B234" s="104" t="s">
        <v>1116</v>
      </c>
      <c r="C234" s="65" t="s">
        <v>1117</v>
      </c>
      <c r="D234" s="64">
        <v>40395</v>
      </c>
      <c r="E234" s="64">
        <v>45873</v>
      </c>
      <c r="F234" s="63" t="s">
        <v>80</v>
      </c>
      <c r="G234" s="63" t="s">
        <v>1118</v>
      </c>
      <c r="H234" s="63" t="s">
        <v>111</v>
      </c>
      <c r="I234" s="65" t="s">
        <v>1119</v>
      </c>
      <c r="J234" s="63" t="s">
        <v>113</v>
      </c>
      <c r="K234" s="63" t="s">
        <v>114</v>
      </c>
      <c r="L234" s="63" t="s">
        <v>1120</v>
      </c>
      <c r="M234" s="63" t="s">
        <v>487</v>
      </c>
      <c r="N234" s="64">
        <v>44099</v>
      </c>
      <c r="O234" s="82" t="s">
        <v>1121</v>
      </c>
      <c r="P234" s="64">
        <v>45873</v>
      </c>
      <c r="Q234" s="58" t="s">
        <v>1011</v>
      </c>
      <c r="R234" s="66" t="s">
        <v>911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59"/>
    </row>
    <row r="235" spans="1:26" x14ac:dyDescent="0.3">
      <c r="A235" s="63" t="s">
        <v>77</v>
      </c>
      <c r="B235" s="104" t="s">
        <v>1122</v>
      </c>
      <c r="C235" s="65" t="s">
        <v>712</v>
      </c>
      <c r="D235" s="64">
        <v>42095</v>
      </c>
      <c r="E235" s="64">
        <v>45291</v>
      </c>
      <c r="F235" s="63" t="s">
        <v>80</v>
      </c>
      <c r="G235" s="63" t="s">
        <v>1123</v>
      </c>
      <c r="H235" s="63" t="s">
        <v>111</v>
      </c>
      <c r="I235" s="65" t="s">
        <v>1124</v>
      </c>
      <c r="J235" s="63" t="s">
        <v>113</v>
      </c>
      <c r="K235" s="63" t="s">
        <v>114</v>
      </c>
      <c r="L235" s="63" t="s">
        <v>1125</v>
      </c>
      <c r="M235" s="63" t="s">
        <v>139</v>
      </c>
      <c r="N235" s="64">
        <v>44099</v>
      </c>
      <c r="O235" s="82" t="s">
        <v>714</v>
      </c>
      <c r="P235" s="64">
        <v>46477</v>
      </c>
      <c r="Q235" s="58" t="s">
        <v>911</v>
      </c>
      <c r="R235" s="66" t="s">
        <v>1126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59" t="s">
        <v>249</v>
      </c>
    </row>
    <row r="236" spans="1:26" x14ac:dyDescent="0.3">
      <c r="A236" s="63" t="s">
        <v>77</v>
      </c>
      <c r="B236" s="104" t="s">
        <v>1127</v>
      </c>
      <c r="C236" s="65" t="s">
        <v>815</v>
      </c>
      <c r="D236" s="64">
        <v>42186</v>
      </c>
      <c r="E236" s="64">
        <v>45473</v>
      </c>
      <c r="F236" s="63" t="s">
        <v>80</v>
      </c>
      <c r="G236" s="63" t="s">
        <v>1128</v>
      </c>
      <c r="H236" s="63" t="s">
        <v>111</v>
      </c>
      <c r="I236" s="65" t="s">
        <v>1129</v>
      </c>
      <c r="J236" s="63" t="s">
        <v>113</v>
      </c>
      <c r="K236" s="63" t="s">
        <v>114</v>
      </c>
      <c r="L236" s="63" t="s">
        <v>1130</v>
      </c>
      <c r="M236" s="63" t="s">
        <v>131</v>
      </c>
      <c r="N236" s="64">
        <v>44099</v>
      </c>
      <c r="O236" s="82" t="s">
        <v>817</v>
      </c>
      <c r="P236" s="64">
        <v>45473</v>
      </c>
      <c r="Q236" s="58" t="s">
        <v>1011</v>
      </c>
      <c r="R236" s="66" t="s">
        <v>1131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87" t="s">
        <v>155</v>
      </c>
    </row>
    <row r="237" spans="1:26" x14ac:dyDescent="0.3">
      <c r="A237" s="63" t="s">
        <v>77</v>
      </c>
      <c r="B237" s="104" t="s">
        <v>1132</v>
      </c>
      <c r="C237" s="65" t="s">
        <v>704</v>
      </c>
      <c r="D237" s="64">
        <v>42211</v>
      </c>
      <c r="E237" s="64">
        <v>45291</v>
      </c>
      <c r="F237" s="63" t="s">
        <v>80</v>
      </c>
      <c r="G237" s="63" t="s">
        <v>1133</v>
      </c>
      <c r="H237" s="63" t="s">
        <v>111</v>
      </c>
      <c r="I237" s="65" t="s">
        <v>1134</v>
      </c>
      <c r="J237" s="63" t="s">
        <v>113</v>
      </c>
      <c r="K237" s="63" t="s">
        <v>114</v>
      </c>
      <c r="L237" s="63" t="s">
        <v>1135</v>
      </c>
      <c r="M237" s="63" t="s">
        <v>153</v>
      </c>
      <c r="N237" s="64">
        <v>44099</v>
      </c>
      <c r="O237" s="82" t="s">
        <v>706</v>
      </c>
      <c r="P237" s="64">
        <v>46660</v>
      </c>
      <c r="Q237" s="58" t="s">
        <v>911</v>
      </c>
      <c r="R237" s="66" t="s">
        <v>1136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59" t="s">
        <v>249</v>
      </c>
    </row>
    <row r="238" spans="1:26" x14ac:dyDescent="0.3">
      <c r="A238" s="63" t="s">
        <v>77</v>
      </c>
      <c r="B238" s="104" t="s">
        <v>1137</v>
      </c>
      <c r="C238" s="65" t="s">
        <v>811</v>
      </c>
      <c r="D238" s="64">
        <v>41699</v>
      </c>
      <c r="E238" s="64">
        <v>45351</v>
      </c>
      <c r="F238" s="63" t="s">
        <v>80</v>
      </c>
      <c r="G238" s="63" t="s">
        <v>1138</v>
      </c>
      <c r="H238" s="63" t="s">
        <v>111</v>
      </c>
      <c r="I238" s="65" t="s">
        <v>1139</v>
      </c>
      <c r="J238" s="63" t="s">
        <v>113</v>
      </c>
      <c r="K238" s="63" t="s">
        <v>114</v>
      </c>
      <c r="L238" s="63" t="s">
        <v>1140</v>
      </c>
      <c r="M238" s="63" t="s">
        <v>131</v>
      </c>
      <c r="N238" s="64">
        <v>44099</v>
      </c>
      <c r="O238" s="82" t="s">
        <v>813</v>
      </c>
      <c r="P238" s="64">
        <v>45350</v>
      </c>
      <c r="Q238" s="58" t="s">
        <v>1011</v>
      </c>
      <c r="R238" s="66" t="s">
        <v>1141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90" t="s">
        <v>155</v>
      </c>
    </row>
    <row r="239" spans="1:26" x14ac:dyDescent="0.3">
      <c r="A239" s="63" t="s">
        <v>77</v>
      </c>
      <c r="B239" s="104" t="s">
        <v>1142</v>
      </c>
      <c r="C239" s="65" t="s">
        <v>899</v>
      </c>
      <c r="D239" s="64">
        <v>42856</v>
      </c>
      <c r="E239" s="64">
        <v>45777</v>
      </c>
      <c r="F239" s="63" t="s">
        <v>80</v>
      </c>
      <c r="G239" s="63" t="s">
        <v>1143</v>
      </c>
      <c r="H239" s="63" t="s">
        <v>111</v>
      </c>
      <c r="I239" s="65" t="s">
        <v>1144</v>
      </c>
      <c r="J239" s="63" t="s">
        <v>113</v>
      </c>
      <c r="K239" s="63" t="s">
        <v>114</v>
      </c>
      <c r="L239" s="63" t="s">
        <v>1145</v>
      </c>
      <c r="M239" s="63" t="s">
        <v>174</v>
      </c>
      <c r="N239" s="64">
        <v>44099</v>
      </c>
      <c r="O239" s="82" t="s">
        <v>901</v>
      </c>
      <c r="P239" s="64">
        <v>45777</v>
      </c>
      <c r="Q239" s="58" t="s">
        <v>911</v>
      </c>
      <c r="R239" s="66" t="s">
        <v>1146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59"/>
      <c r="Z239" s="145"/>
    </row>
    <row r="240" spans="1:26" x14ac:dyDescent="0.3">
      <c r="A240" s="63" t="s">
        <v>77</v>
      </c>
      <c r="B240" s="104" t="s">
        <v>1147</v>
      </c>
      <c r="C240" s="65" t="s">
        <v>1148</v>
      </c>
      <c r="D240" s="64">
        <v>42948</v>
      </c>
      <c r="E240" s="64">
        <v>45504</v>
      </c>
      <c r="F240" s="63" t="s">
        <v>80</v>
      </c>
      <c r="G240" s="69" t="s">
        <v>1149</v>
      </c>
      <c r="H240" s="63" t="s">
        <v>111</v>
      </c>
      <c r="I240" s="65" t="s">
        <v>1150</v>
      </c>
      <c r="J240" s="63" t="s">
        <v>113</v>
      </c>
      <c r="K240" s="63" t="s">
        <v>114</v>
      </c>
      <c r="L240" s="63" t="s">
        <v>1151</v>
      </c>
      <c r="M240" s="63" t="s">
        <v>116</v>
      </c>
      <c r="N240" s="64">
        <v>44167</v>
      </c>
      <c r="O240" s="82" t="s">
        <v>1152</v>
      </c>
      <c r="P240" s="64">
        <v>45504</v>
      </c>
      <c r="Q240" s="64" t="s">
        <v>911</v>
      </c>
      <c r="R240" s="66" t="s">
        <v>912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90" t="s">
        <v>1153</v>
      </c>
    </row>
    <row r="241" spans="1:26" x14ac:dyDescent="0.3">
      <c r="A241" s="63" t="s">
        <v>77</v>
      </c>
      <c r="B241" s="104" t="s">
        <v>1154</v>
      </c>
      <c r="C241" s="65" t="s">
        <v>823</v>
      </c>
      <c r="D241" s="64">
        <v>42005</v>
      </c>
      <c r="E241" s="64">
        <v>45657</v>
      </c>
      <c r="F241" s="63" t="s">
        <v>80</v>
      </c>
      <c r="G241" s="63" t="s">
        <v>1155</v>
      </c>
      <c r="H241" s="63" t="s">
        <v>111</v>
      </c>
      <c r="I241" s="65" t="s">
        <v>1156</v>
      </c>
      <c r="J241" s="63" t="s">
        <v>113</v>
      </c>
      <c r="K241" s="63" t="s">
        <v>114</v>
      </c>
      <c r="L241" s="63" t="s">
        <v>1157</v>
      </c>
      <c r="M241" s="63" t="s">
        <v>131</v>
      </c>
      <c r="N241" s="64">
        <v>44099</v>
      </c>
      <c r="O241" s="82" t="s">
        <v>825</v>
      </c>
      <c r="P241" s="64">
        <v>45657</v>
      </c>
      <c r="Q241" s="58" t="s">
        <v>911</v>
      </c>
      <c r="R241" s="66" t="s">
        <v>1158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59"/>
    </row>
    <row r="242" spans="1:26" x14ac:dyDescent="0.3">
      <c r="A242" s="63" t="s">
        <v>77</v>
      </c>
      <c r="B242" s="104" t="s">
        <v>1159</v>
      </c>
      <c r="C242" s="65" t="s">
        <v>843</v>
      </c>
      <c r="D242" s="64">
        <v>43009</v>
      </c>
      <c r="E242" s="64">
        <v>45565</v>
      </c>
      <c r="F242" s="63" t="s">
        <v>80</v>
      </c>
      <c r="G242" s="63" t="s">
        <v>1160</v>
      </c>
      <c r="H242" s="63" t="s">
        <v>111</v>
      </c>
      <c r="I242" s="65" t="s">
        <v>1161</v>
      </c>
      <c r="J242" s="63" t="s">
        <v>113</v>
      </c>
      <c r="K242" s="63" t="s">
        <v>114</v>
      </c>
      <c r="L242" s="63" t="s">
        <v>1162</v>
      </c>
      <c r="M242" s="63" t="s">
        <v>131</v>
      </c>
      <c r="N242" s="64">
        <v>44099</v>
      </c>
      <c r="O242" s="82" t="s">
        <v>845</v>
      </c>
      <c r="P242" s="64">
        <v>45565</v>
      </c>
      <c r="Q242" s="58" t="s">
        <v>911</v>
      </c>
      <c r="R242" s="66" t="s">
        <v>1163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90" t="s">
        <v>155</v>
      </c>
    </row>
    <row r="243" spans="1:26" x14ac:dyDescent="0.3">
      <c r="A243" s="63" t="s">
        <v>77</v>
      </c>
      <c r="B243" s="104" t="s">
        <v>1164</v>
      </c>
      <c r="C243" s="92" t="s">
        <v>1165</v>
      </c>
      <c r="D243" s="64">
        <v>43101</v>
      </c>
      <c r="E243" s="64">
        <v>45016</v>
      </c>
      <c r="F243" s="63" t="s">
        <v>80</v>
      </c>
      <c r="G243" s="63" t="s">
        <v>1166</v>
      </c>
      <c r="H243" s="63" t="s">
        <v>111</v>
      </c>
      <c r="I243" s="65" t="s">
        <v>1167</v>
      </c>
      <c r="J243" s="63" t="s">
        <v>113</v>
      </c>
      <c r="K243" s="63" t="s">
        <v>114</v>
      </c>
      <c r="L243" s="63" t="s">
        <v>1168</v>
      </c>
      <c r="M243" s="63" t="s">
        <v>131</v>
      </c>
      <c r="N243" s="64">
        <v>44099</v>
      </c>
      <c r="O243" s="82" t="s">
        <v>1169</v>
      </c>
      <c r="P243" s="64">
        <v>44926</v>
      </c>
      <c r="Q243" s="64" t="s">
        <v>911</v>
      </c>
      <c r="R243" s="66" t="s">
        <v>912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59" t="s">
        <v>999</v>
      </c>
    </row>
    <row r="244" spans="1:26" x14ac:dyDescent="0.3">
      <c r="A244" s="63" t="s">
        <v>77</v>
      </c>
      <c r="B244" s="105" t="s">
        <v>1170</v>
      </c>
      <c r="C244" s="65" t="s">
        <v>867</v>
      </c>
      <c r="D244" s="64">
        <v>42060</v>
      </c>
      <c r="E244" s="64">
        <v>45712</v>
      </c>
      <c r="F244" s="63" t="s">
        <v>80</v>
      </c>
      <c r="G244" s="63" t="s">
        <v>1171</v>
      </c>
      <c r="H244" s="63" t="s">
        <v>111</v>
      </c>
      <c r="I244" s="65" t="s">
        <v>1172</v>
      </c>
      <c r="J244" s="63" t="s">
        <v>113</v>
      </c>
      <c r="K244" s="63" t="s">
        <v>114</v>
      </c>
      <c r="L244" s="63" t="s">
        <v>1173</v>
      </c>
      <c r="M244" s="63" t="s">
        <v>131</v>
      </c>
      <c r="N244" s="64">
        <v>44099</v>
      </c>
      <c r="O244" s="82" t="s">
        <v>869</v>
      </c>
      <c r="P244" s="64">
        <v>45712</v>
      </c>
      <c r="Q244" s="64" t="s">
        <v>911</v>
      </c>
      <c r="R244" s="66" t="s">
        <v>1174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59"/>
      <c r="Z244" s="145"/>
    </row>
    <row r="245" spans="1:26" x14ac:dyDescent="0.3">
      <c r="A245" s="63" t="s">
        <v>77</v>
      </c>
      <c r="B245" s="104" t="s">
        <v>1175</v>
      </c>
      <c r="C245" s="65" t="s">
        <v>1176</v>
      </c>
      <c r="D245" s="64">
        <v>41685</v>
      </c>
      <c r="E245" s="64">
        <v>45336</v>
      </c>
      <c r="F245" s="63" t="s">
        <v>80</v>
      </c>
      <c r="G245" s="63" t="s">
        <v>1177</v>
      </c>
      <c r="H245" s="63" t="s">
        <v>111</v>
      </c>
      <c r="I245" s="65" t="s">
        <v>1178</v>
      </c>
      <c r="J245" s="63" t="s">
        <v>113</v>
      </c>
      <c r="K245" s="63" t="s">
        <v>114</v>
      </c>
      <c r="L245" s="63" t="s">
        <v>1179</v>
      </c>
      <c r="M245" s="63" t="s">
        <v>131</v>
      </c>
      <c r="N245" s="64">
        <v>44099</v>
      </c>
      <c r="O245" s="82" t="s">
        <v>763</v>
      </c>
      <c r="P245" s="64">
        <v>45336</v>
      </c>
      <c r="Q245" s="58" t="s">
        <v>911</v>
      </c>
      <c r="R245" s="66" t="s">
        <v>1180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90" t="s">
        <v>155</v>
      </c>
    </row>
    <row r="246" spans="1:26" x14ac:dyDescent="0.3">
      <c r="A246" s="63" t="s">
        <v>77</v>
      </c>
      <c r="B246" s="104" t="s">
        <v>1181</v>
      </c>
      <c r="C246" s="65" t="s">
        <v>831</v>
      </c>
      <c r="D246" s="64">
        <v>42156</v>
      </c>
      <c r="E246" s="64">
        <v>45657</v>
      </c>
      <c r="F246" s="63" t="s">
        <v>80</v>
      </c>
      <c r="G246" s="63" t="s">
        <v>1182</v>
      </c>
      <c r="H246" s="63" t="s">
        <v>111</v>
      </c>
      <c r="I246" s="65" t="s">
        <v>1183</v>
      </c>
      <c r="J246" s="63" t="s">
        <v>113</v>
      </c>
      <c r="K246" s="63" t="s">
        <v>114</v>
      </c>
      <c r="L246" s="63" t="s">
        <v>832</v>
      </c>
      <c r="M246" s="63" t="s">
        <v>131</v>
      </c>
      <c r="N246" s="64">
        <v>44099</v>
      </c>
      <c r="O246" s="82" t="s">
        <v>833</v>
      </c>
      <c r="P246" s="64">
        <v>45657</v>
      </c>
      <c r="Q246" s="58" t="s">
        <v>911</v>
      </c>
      <c r="R246" s="66" t="s">
        <v>1184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59"/>
    </row>
    <row r="247" spans="1:26" x14ac:dyDescent="0.3">
      <c r="A247" s="63" t="s">
        <v>77</v>
      </c>
      <c r="B247" s="104" t="s">
        <v>1185</v>
      </c>
      <c r="C247" s="92" t="s">
        <v>1186</v>
      </c>
      <c r="D247" s="64">
        <v>43132</v>
      </c>
      <c r="E247" s="64">
        <v>43546</v>
      </c>
      <c r="F247" s="63" t="s">
        <v>80</v>
      </c>
      <c r="G247" s="63" t="s">
        <v>1187</v>
      </c>
      <c r="H247" s="63" t="s">
        <v>111</v>
      </c>
      <c r="I247" s="65"/>
      <c r="J247" s="63" t="s">
        <v>113</v>
      </c>
      <c r="K247" s="63" t="s">
        <v>82</v>
      </c>
      <c r="L247" s="63" t="s">
        <v>1188</v>
      </c>
      <c r="M247" s="63" t="s">
        <v>139</v>
      </c>
      <c r="N247" s="64">
        <v>43524</v>
      </c>
      <c r="O247" s="82" t="s">
        <v>1189</v>
      </c>
      <c r="P247" s="64">
        <v>44592</v>
      </c>
      <c r="Q247" s="64" t="s">
        <v>911</v>
      </c>
      <c r="R247" s="66" t="s">
        <v>912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59" t="s">
        <v>999</v>
      </c>
    </row>
    <row r="248" spans="1:26" x14ac:dyDescent="0.3">
      <c r="A248" s="63" t="s">
        <v>77</v>
      </c>
      <c r="B248" s="104" t="s">
        <v>1190</v>
      </c>
      <c r="C248" s="65" t="s">
        <v>871</v>
      </c>
      <c r="D248" s="64">
        <v>42389</v>
      </c>
      <c r="E248" s="64">
        <v>45676</v>
      </c>
      <c r="F248" s="63" t="s">
        <v>80</v>
      </c>
      <c r="G248" s="63" t="s">
        <v>1191</v>
      </c>
      <c r="H248" s="63" t="s">
        <v>111</v>
      </c>
      <c r="I248" s="65" t="s">
        <v>1192</v>
      </c>
      <c r="J248" s="63" t="s">
        <v>113</v>
      </c>
      <c r="K248" s="63" t="s">
        <v>114</v>
      </c>
      <c r="L248" s="63" t="s">
        <v>1193</v>
      </c>
      <c r="M248" s="63" t="s">
        <v>139</v>
      </c>
      <c r="N248" s="64">
        <v>44099</v>
      </c>
      <c r="O248" s="82" t="s">
        <v>873</v>
      </c>
      <c r="P248" s="64">
        <v>45676</v>
      </c>
      <c r="Q248" s="64" t="s">
        <v>911</v>
      </c>
      <c r="R248" s="66" t="s">
        <v>1194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59"/>
      <c r="Z248" s="145"/>
    </row>
    <row r="249" spans="1:26" x14ac:dyDescent="0.3">
      <c r="A249" s="63" t="s">
        <v>77</v>
      </c>
      <c r="B249" s="104" t="s">
        <v>1195</v>
      </c>
      <c r="C249" s="65" t="s">
        <v>875</v>
      </c>
      <c r="D249" s="64">
        <v>42036</v>
      </c>
      <c r="E249" s="64">
        <v>45688</v>
      </c>
      <c r="F249" s="63" t="s">
        <v>80</v>
      </c>
      <c r="G249" s="63" t="s">
        <v>1196</v>
      </c>
      <c r="H249" s="63" t="s">
        <v>111</v>
      </c>
      <c r="I249" s="65" t="s">
        <v>1197</v>
      </c>
      <c r="J249" s="63" t="s">
        <v>113</v>
      </c>
      <c r="K249" s="63" t="s">
        <v>114</v>
      </c>
      <c r="L249" s="63" t="s">
        <v>1198</v>
      </c>
      <c r="M249" s="63" t="s">
        <v>131</v>
      </c>
      <c r="N249" s="64">
        <v>44099</v>
      </c>
      <c r="O249" s="82" t="s">
        <v>877</v>
      </c>
      <c r="P249" s="64">
        <v>45688</v>
      </c>
      <c r="Q249" s="64" t="s">
        <v>911</v>
      </c>
      <c r="R249" s="66" t="s">
        <v>1199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59"/>
      <c r="Z249" s="145"/>
    </row>
    <row r="250" spans="1:26" x14ac:dyDescent="0.3">
      <c r="A250" s="63" t="s">
        <v>77</v>
      </c>
      <c r="B250" s="104" t="s">
        <v>1200</v>
      </c>
      <c r="C250" s="92" t="s">
        <v>1201</v>
      </c>
      <c r="D250" s="64">
        <v>42206</v>
      </c>
      <c r="E250" s="64">
        <v>43982</v>
      </c>
      <c r="F250" s="63" t="s">
        <v>80</v>
      </c>
      <c r="G250" s="63" t="s">
        <v>1202</v>
      </c>
      <c r="H250" s="63" t="s">
        <v>111</v>
      </c>
      <c r="I250" s="65"/>
      <c r="J250" s="63" t="s">
        <v>113</v>
      </c>
      <c r="K250" s="63" t="s">
        <v>82</v>
      </c>
      <c r="L250" s="63" t="s">
        <v>1203</v>
      </c>
      <c r="M250" s="63" t="s">
        <v>131</v>
      </c>
      <c r="N250" s="64">
        <v>43524</v>
      </c>
      <c r="O250" s="82" t="s">
        <v>1204</v>
      </c>
      <c r="P250" s="64">
        <v>44032</v>
      </c>
      <c r="Q250" s="64" t="s">
        <v>911</v>
      </c>
      <c r="R250" s="66" t="s">
        <v>912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59" t="s">
        <v>999</v>
      </c>
    </row>
    <row r="251" spans="1:26" x14ac:dyDescent="0.3">
      <c r="A251" s="63" t="s">
        <v>77</v>
      </c>
      <c r="B251" s="104" t="s">
        <v>194</v>
      </c>
      <c r="C251" s="65" t="s">
        <v>195</v>
      </c>
      <c r="D251" s="64">
        <v>41968</v>
      </c>
      <c r="E251" s="64">
        <v>45985</v>
      </c>
      <c r="F251" s="63" t="s">
        <v>80</v>
      </c>
      <c r="G251" s="63" t="s">
        <v>196</v>
      </c>
      <c r="H251" s="63" t="s">
        <v>111</v>
      </c>
      <c r="I251" s="65" t="s">
        <v>197</v>
      </c>
      <c r="J251" s="63" t="s">
        <v>113</v>
      </c>
      <c r="K251" s="63" t="s">
        <v>114</v>
      </c>
      <c r="L251" s="63" t="s">
        <v>198</v>
      </c>
      <c r="M251" s="63" t="s">
        <v>131</v>
      </c>
      <c r="N251" s="64">
        <v>44099</v>
      </c>
      <c r="O251" s="82" t="s">
        <v>199</v>
      </c>
      <c r="P251" s="64">
        <v>45985</v>
      </c>
      <c r="Q251" s="58" t="s">
        <v>911</v>
      </c>
      <c r="R251" s="66" t="s">
        <v>3576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59"/>
    </row>
    <row r="252" spans="1:26" x14ac:dyDescent="0.3">
      <c r="A252" s="63" t="s">
        <v>77</v>
      </c>
      <c r="B252" s="104" t="s">
        <v>1205</v>
      </c>
      <c r="C252" s="65" t="s">
        <v>795</v>
      </c>
      <c r="D252" s="64">
        <v>41954</v>
      </c>
      <c r="E252" s="64">
        <v>45606</v>
      </c>
      <c r="F252" s="63" t="s">
        <v>80</v>
      </c>
      <c r="G252" s="63" t="s">
        <v>1206</v>
      </c>
      <c r="H252" s="63" t="s">
        <v>111</v>
      </c>
      <c r="I252" s="65" t="s">
        <v>1207</v>
      </c>
      <c r="J252" s="63" t="s">
        <v>113</v>
      </c>
      <c r="K252" s="63" t="s">
        <v>114</v>
      </c>
      <c r="L252" s="63" t="s">
        <v>1208</v>
      </c>
      <c r="M252" s="63" t="s">
        <v>131</v>
      </c>
      <c r="N252" s="64">
        <v>44099</v>
      </c>
      <c r="O252" s="82" t="s">
        <v>797</v>
      </c>
      <c r="P252" s="64">
        <v>45606</v>
      </c>
      <c r="Q252" s="64" t="s">
        <v>911</v>
      </c>
      <c r="R252" s="66" t="s">
        <v>1209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59"/>
    </row>
    <row r="253" spans="1:26" x14ac:dyDescent="0.3">
      <c r="A253" s="63" t="s">
        <v>77</v>
      </c>
      <c r="B253" s="104" t="s">
        <v>1210</v>
      </c>
      <c r="C253" s="65" t="s">
        <v>903</v>
      </c>
      <c r="D253" s="64">
        <v>41244</v>
      </c>
      <c r="E253" s="64">
        <v>45626</v>
      </c>
      <c r="F253" s="63" t="s">
        <v>80</v>
      </c>
      <c r="G253" s="63" t="s">
        <v>1211</v>
      </c>
      <c r="H253" s="63" t="s">
        <v>111</v>
      </c>
      <c r="I253" s="65" t="s">
        <v>1212</v>
      </c>
      <c r="J253" s="63" t="s">
        <v>113</v>
      </c>
      <c r="K253" s="63" t="s">
        <v>114</v>
      </c>
      <c r="L253" s="63" t="s">
        <v>1213</v>
      </c>
      <c r="M253" s="63" t="s">
        <v>352</v>
      </c>
      <c r="N253" s="64">
        <v>44099</v>
      </c>
      <c r="O253" s="82" t="s">
        <v>905</v>
      </c>
      <c r="P253" s="64">
        <v>45626</v>
      </c>
      <c r="Q253" s="58" t="s">
        <v>911</v>
      </c>
      <c r="R253" s="66" t="s">
        <v>1214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59"/>
      <c r="Z253" s="145"/>
    </row>
    <row r="254" spans="1:26" x14ac:dyDescent="0.3">
      <c r="A254" s="63" t="s">
        <v>77</v>
      </c>
      <c r="B254" s="104" t="s">
        <v>1215</v>
      </c>
      <c r="C254" s="65" t="s">
        <v>1216</v>
      </c>
      <c r="D254" s="64">
        <v>42948</v>
      </c>
      <c r="E254" s="64">
        <v>45565</v>
      </c>
      <c r="F254" s="63" t="s">
        <v>80</v>
      </c>
      <c r="G254" s="63" t="s">
        <v>1217</v>
      </c>
      <c r="H254" s="63" t="s">
        <v>111</v>
      </c>
      <c r="I254" s="65" t="s">
        <v>1218</v>
      </c>
      <c r="J254" s="63" t="s">
        <v>113</v>
      </c>
      <c r="K254" s="63" t="s">
        <v>114</v>
      </c>
      <c r="L254" s="63" t="s">
        <v>1219</v>
      </c>
      <c r="M254" s="63" t="s">
        <v>139</v>
      </c>
      <c r="N254" s="64">
        <v>44099</v>
      </c>
      <c r="O254" s="82" t="s">
        <v>1220</v>
      </c>
      <c r="P254" s="64">
        <v>45565</v>
      </c>
      <c r="Q254" s="64" t="s">
        <v>911</v>
      </c>
      <c r="R254" s="66" t="s">
        <v>912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90" t="s">
        <v>1153</v>
      </c>
    </row>
    <row r="255" spans="1:26" x14ac:dyDescent="0.3">
      <c r="A255" s="63" t="s">
        <v>77</v>
      </c>
      <c r="B255" s="104" t="s">
        <v>1221</v>
      </c>
      <c r="C255" s="65" t="s">
        <v>777</v>
      </c>
      <c r="D255" s="64">
        <v>41852</v>
      </c>
      <c r="E255" s="64">
        <v>45504</v>
      </c>
      <c r="F255" s="63" t="s">
        <v>80</v>
      </c>
      <c r="G255" s="63" t="s">
        <v>1222</v>
      </c>
      <c r="H255" s="63" t="s">
        <v>111</v>
      </c>
      <c r="I255" s="65" t="s">
        <v>1223</v>
      </c>
      <c r="J255" s="63" t="s">
        <v>113</v>
      </c>
      <c r="K255" s="63" t="s">
        <v>114</v>
      </c>
      <c r="L255" s="63" t="s">
        <v>1224</v>
      </c>
      <c r="M255" s="63" t="s">
        <v>131</v>
      </c>
      <c r="N255" s="64">
        <v>44099</v>
      </c>
      <c r="O255" s="82" t="s">
        <v>779</v>
      </c>
      <c r="P255" s="64">
        <v>45504</v>
      </c>
      <c r="Q255" s="58" t="s">
        <v>911</v>
      </c>
      <c r="R255" s="66" t="s">
        <v>1225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59"/>
    </row>
    <row r="256" spans="1:26" x14ac:dyDescent="0.3">
      <c r="A256" s="63" t="s">
        <v>77</v>
      </c>
      <c r="B256" s="104" t="s">
        <v>1226</v>
      </c>
      <c r="C256" s="65" t="s">
        <v>1227</v>
      </c>
      <c r="D256" s="64">
        <v>43012</v>
      </c>
      <c r="E256" s="64">
        <v>45568</v>
      </c>
      <c r="F256" s="63" t="s">
        <v>80</v>
      </c>
      <c r="G256" s="63" t="s">
        <v>1228</v>
      </c>
      <c r="H256" s="63" t="s">
        <v>111</v>
      </c>
      <c r="I256" s="65" t="s">
        <v>1229</v>
      </c>
      <c r="J256" s="63" t="s">
        <v>113</v>
      </c>
      <c r="K256" s="63" t="s">
        <v>114</v>
      </c>
      <c r="L256" s="63" t="s">
        <v>1230</v>
      </c>
      <c r="M256" s="63" t="s">
        <v>131</v>
      </c>
      <c r="N256" s="64">
        <v>44099</v>
      </c>
      <c r="O256" s="82" t="s">
        <v>1231</v>
      </c>
      <c r="P256" s="64">
        <v>45568</v>
      </c>
      <c r="Q256" s="58" t="s">
        <v>1011</v>
      </c>
      <c r="R256" s="66" t="s">
        <v>912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59"/>
    </row>
    <row r="257" spans="1:26" x14ac:dyDescent="0.3">
      <c r="A257" s="63" t="s">
        <v>77</v>
      </c>
      <c r="B257" s="104" t="s">
        <v>663</v>
      </c>
      <c r="C257" s="92" t="s">
        <v>1232</v>
      </c>
      <c r="D257" s="64">
        <v>41903</v>
      </c>
      <c r="E257" s="64">
        <v>45106</v>
      </c>
      <c r="F257" s="63" t="s">
        <v>80</v>
      </c>
      <c r="G257" s="63" t="s">
        <v>1233</v>
      </c>
      <c r="H257" s="63" t="s">
        <v>111</v>
      </c>
      <c r="I257" s="65" t="s">
        <v>1234</v>
      </c>
      <c r="J257" s="63" t="s">
        <v>113</v>
      </c>
      <c r="K257" s="63" t="s">
        <v>114</v>
      </c>
      <c r="L257" s="63" t="s">
        <v>1235</v>
      </c>
      <c r="M257" s="63" t="s">
        <v>131</v>
      </c>
      <c r="N257" s="64">
        <v>44099</v>
      </c>
      <c r="O257" s="82" t="s">
        <v>664</v>
      </c>
      <c r="P257" s="64">
        <v>46887</v>
      </c>
      <c r="Q257" s="64" t="s">
        <v>82</v>
      </c>
      <c r="R257" s="66" t="s">
        <v>1236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59" t="s">
        <v>1237</v>
      </c>
    </row>
    <row r="258" spans="1:26" x14ac:dyDescent="0.3">
      <c r="A258" s="63" t="s">
        <v>77</v>
      </c>
      <c r="B258" s="104" t="s">
        <v>470</v>
      </c>
      <c r="C258" s="92" t="s">
        <v>1238</v>
      </c>
      <c r="D258" s="64">
        <v>41516</v>
      </c>
      <c r="E258" s="64">
        <v>43524</v>
      </c>
      <c r="F258" s="63" t="s">
        <v>80</v>
      </c>
      <c r="G258" s="63" t="s">
        <v>1239</v>
      </c>
      <c r="H258" s="63" t="s">
        <v>111</v>
      </c>
      <c r="I258" s="65"/>
      <c r="J258" s="63" t="s">
        <v>113</v>
      </c>
      <c r="K258" s="63" t="s">
        <v>82</v>
      </c>
      <c r="L258" s="63" t="s">
        <v>1240</v>
      </c>
      <c r="M258" s="63" t="s">
        <v>1241</v>
      </c>
      <c r="N258" s="64">
        <v>43524</v>
      </c>
      <c r="O258" s="82" t="s">
        <v>471</v>
      </c>
      <c r="P258" s="64">
        <v>46882</v>
      </c>
      <c r="Q258" s="64" t="s">
        <v>82</v>
      </c>
      <c r="R258" s="66" t="s">
        <v>1242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59"/>
    </row>
    <row r="259" spans="1:26" x14ac:dyDescent="0.3">
      <c r="A259" s="63" t="s">
        <v>77</v>
      </c>
      <c r="B259" s="104" t="s">
        <v>1243</v>
      </c>
      <c r="C259" s="65" t="s">
        <v>732</v>
      </c>
      <c r="D259" s="64">
        <v>41699</v>
      </c>
      <c r="E259" s="64">
        <v>45351</v>
      </c>
      <c r="F259" s="63" t="s">
        <v>80</v>
      </c>
      <c r="G259" s="63" t="s">
        <v>1244</v>
      </c>
      <c r="H259" s="63" t="s">
        <v>111</v>
      </c>
      <c r="I259" s="65" t="s">
        <v>1245</v>
      </c>
      <c r="J259" s="63" t="s">
        <v>113</v>
      </c>
      <c r="K259" s="63" t="s">
        <v>114</v>
      </c>
      <c r="L259" s="63" t="s">
        <v>1246</v>
      </c>
      <c r="M259" s="63" t="s">
        <v>131</v>
      </c>
      <c r="N259" s="64">
        <v>44099</v>
      </c>
      <c r="O259" s="82" t="s">
        <v>734</v>
      </c>
      <c r="P259" s="64">
        <v>45351</v>
      </c>
      <c r="Q259" s="58" t="s">
        <v>911</v>
      </c>
      <c r="R259" s="66" t="s">
        <v>1247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90" t="s">
        <v>155</v>
      </c>
    </row>
    <row r="260" spans="1:26" x14ac:dyDescent="0.3">
      <c r="A260" s="63" t="s">
        <v>77</v>
      </c>
      <c r="B260" s="104" t="s">
        <v>250</v>
      </c>
      <c r="C260" s="65" t="s">
        <v>251</v>
      </c>
      <c r="D260" s="64">
        <v>43101</v>
      </c>
      <c r="E260" s="64">
        <v>46021</v>
      </c>
      <c r="F260" s="63" t="s">
        <v>80</v>
      </c>
      <c r="G260" s="63" t="s">
        <v>252</v>
      </c>
      <c r="H260" s="63" t="s">
        <v>111</v>
      </c>
      <c r="I260" s="65" t="s">
        <v>253</v>
      </c>
      <c r="J260" s="63" t="s">
        <v>113</v>
      </c>
      <c r="K260" s="63" t="s">
        <v>114</v>
      </c>
      <c r="L260" s="63" t="s">
        <v>254</v>
      </c>
      <c r="M260" s="63" t="s">
        <v>255</v>
      </c>
      <c r="N260" s="64">
        <v>44099</v>
      </c>
      <c r="O260" s="82" t="s">
        <v>256</v>
      </c>
      <c r="P260" s="64">
        <v>46021</v>
      </c>
      <c r="Q260" s="58" t="s">
        <v>1011</v>
      </c>
      <c r="R260" s="66" t="s">
        <v>911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90" t="s">
        <v>155</v>
      </c>
    </row>
    <row r="261" spans="1:26" x14ac:dyDescent="0.3">
      <c r="A261" s="63" t="s">
        <v>77</v>
      </c>
      <c r="B261" s="104" t="s">
        <v>1248</v>
      </c>
      <c r="C261" s="65" t="s">
        <v>1249</v>
      </c>
      <c r="D261" s="64">
        <v>41363</v>
      </c>
      <c r="E261" s="64">
        <v>45745</v>
      </c>
      <c r="F261" s="63" t="s">
        <v>80</v>
      </c>
      <c r="G261" s="63" t="s">
        <v>1250</v>
      </c>
      <c r="H261" s="63" t="s">
        <v>111</v>
      </c>
      <c r="I261" s="65" t="s">
        <v>1251</v>
      </c>
      <c r="J261" s="63" t="s">
        <v>113</v>
      </c>
      <c r="K261" s="63" t="s">
        <v>114</v>
      </c>
      <c r="L261" s="63" t="s">
        <v>1252</v>
      </c>
      <c r="M261" s="63" t="s">
        <v>410</v>
      </c>
      <c r="N261" s="64">
        <v>44099</v>
      </c>
      <c r="O261" s="82" t="s">
        <v>1253</v>
      </c>
      <c r="P261" s="64">
        <v>45746</v>
      </c>
      <c r="Q261" s="58" t="s">
        <v>1011</v>
      </c>
      <c r="R261" s="66" t="s">
        <v>911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59"/>
      <c r="Z261" s="145"/>
    </row>
    <row r="262" spans="1:26" x14ac:dyDescent="0.3">
      <c r="A262" s="63" t="s">
        <v>77</v>
      </c>
      <c r="B262" s="104" t="s">
        <v>1254</v>
      </c>
      <c r="C262" s="92" t="s">
        <v>1255</v>
      </c>
      <c r="D262" s="64">
        <v>41974</v>
      </c>
      <c r="E262" s="64">
        <v>45077</v>
      </c>
      <c r="F262" s="63" t="s">
        <v>80</v>
      </c>
      <c r="G262" s="63" t="s">
        <v>1256</v>
      </c>
      <c r="H262" s="63" t="s">
        <v>111</v>
      </c>
      <c r="I262" s="65" t="s">
        <v>1257</v>
      </c>
      <c r="J262" s="63" t="s">
        <v>113</v>
      </c>
      <c r="K262" s="63" t="s">
        <v>114</v>
      </c>
      <c r="L262" s="63" t="s">
        <v>1258</v>
      </c>
      <c r="M262" s="63" t="s">
        <v>153</v>
      </c>
      <c r="N262" s="64">
        <v>44099</v>
      </c>
      <c r="O262" s="82" t="s">
        <v>1259</v>
      </c>
      <c r="P262" s="64">
        <v>45077</v>
      </c>
      <c r="Q262" s="64" t="s">
        <v>911</v>
      </c>
      <c r="R262" s="66" t="s">
        <v>912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59" t="s">
        <v>999</v>
      </c>
    </row>
    <row r="263" spans="1:26" x14ac:dyDescent="0.3">
      <c r="A263" s="63" t="s">
        <v>77</v>
      </c>
      <c r="B263" s="104" t="s">
        <v>1272</v>
      </c>
      <c r="C263" s="65" t="s">
        <v>1273</v>
      </c>
      <c r="D263" s="64">
        <v>42979</v>
      </c>
      <c r="E263" s="64">
        <v>45657</v>
      </c>
      <c r="F263" s="63" t="s">
        <v>80</v>
      </c>
      <c r="G263" s="63" t="s">
        <v>1274</v>
      </c>
      <c r="H263" s="63" t="s">
        <v>111</v>
      </c>
      <c r="I263" s="65" t="s">
        <v>1275</v>
      </c>
      <c r="J263" s="63" t="s">
        <v>113</v>
      </c>
      <c r="K263" s="63" t="s">
        <v>114</v>
      </c>
      <c r="L263" s="63" t="s">
        <v>1276</v>
      </c>
      <c r="M263" s="63" t="s">
        <v>1277</v>
      </c>
      <c r="N263" s="64">
        <v>44099</v>
      </c>
      <c r="O263" s="82" t="s">
        <v>1278</v>
      </c>
      <c r="P263" s="64">
        <v>45657</v>
      </c>
      <c r="Q263" s="58" t="s">
        <v>1011</v>
      </c>
      <c r="R263" s="66" t="s">
        <v>911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59"/>
      <c r="Z263" s="145"/>
    </row>
    <row r="264" spans="1:26" x14ac:dyDescent="0.3">
      <c r="A264" s="63" t="s">
        <v>77</v>
      </c>
      <c r="B264" s="104" t="s">
        <v>1291</v>
      </c>
      <c r="C264" s="65" t="s">
        <v>1292</v>
      </c>
      <c r="D264" s="64">
        <v>40338</v>
      </c>
      <c r="E264" s="64">
        <v>45808</v>
      </c>
      <c r="F264" s="63" t="s">
        <v>80</v>
      </c>
      <c r="G264" s="63" t="s">
        <v>1293</v>
      </c>
      <c r="H264" s="63" t="s">
        <v>111</v>
      </c>
      <c r="I264" s="65" t="s">
        <v>1294</v>
      </c>
      <c r="J264" s="63" t="s">
        <v>113</v>
      </c>
      <c r="K264" s="63" t="s">
        <v>114</v>
      </c>
      <c r="L264" s="63" t="s">
        <v>1295</v>
      </c>
      <c r="M264" s="63" t="s">
        <v>1075</v>
      </c>
      <c r="N264" s="64">
        <v>44099</v>
      </c>
      <c r="O264" s="82" t="s">
        <v>1296</v>
      </c>
      <c r="P264" s="64">
        <v>45808</v>
      </c>
      <c r="Q264" s="58" t="s">
        <v>1011</v>
      </c>
      <c r="R264" s="66" t="s">
        <v>911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59"/>
    </row>
    <row r="265" spans="1:26" x14ac:dyDescent="0.3">
      <c r="A265" s="63" t="s">
        <v>77</v>
      </c>
      <c r="B265" s="104" t="s">
        <v>1309</v>
      </c>
      <c r="C265" s="92" t="s">
        <v>1310</v>
      </c>
      <c r="D265" s="64">
        <v>43009</v>
      </c>
      <c r="E265" s="64">
        <v>44403</v>
      </c>
      <c r="F265" s="63" t="s">
        <v>80</v>
      </c>
      <c r="G265" s="63" t="s">
        <v>1311</v>
      </c>
      <c r="H265" s="63" t="s">
        <v>111</v>
      </c>
      <c r="I265" s="65" t="s">
        <v>1312</v>
      </c>
      <c r="J265" s="63" t="s">
        <v>113</v>
      </c>
      <c r="K265" s="63" t="s">
        <v>114</v>
      </c>
      <c r="L265" s="63" t="s">
        <v>1313</v>
      </c>
      <c r="M265" s="63" t="s">
        <v>139</v>
      </c>
      <c r="N265" s="64">
        <v>44099</v>
      </c>
      <c r="O265" s="82" t="s">
        <v>1314</v>
      </c>
      <c r="P265" s="64">
        <v>44469</v>
      </c>
      <c r="Q265" s="64" t="s">
        <v>911</v>
      </c>
      <c r="R265" s="66" t="s">
        <v>912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59" t="s">
        <v>999</v>
      </c>
    </row>
    <row r="266" spans="1:26" x14ac:dyDescent="0.3">
      <c r="A266" s="63" t="s">
        <v>77</v>
      </c>
      <c r="B266" s="104" t="s">
        <v>1315</v>
      </c>
      <c r="C266" s="65" t="s">
        <v>847</v>
      </c>
      <c r="D266" s="64">
        <v>41743</v>
      </c>
      <c r="E266" s="64">
        <v>45388</v>
      </c>
      <c r="F266" s="63" t="s">
        <v>80</v>
      </c>
      <c r="G266" s="63" t="s">
        <v>1316</v>
      </c>
      <c r="H266" s="63" t="s">
        <v>111</v>
      </c>
      <c r="I266" s="65" t="s">
        <v>1317</v>
      </c>
      <c r="J266" s="63" t="s">
        <v>113</v>
      </c>
      <c r="K266" s="63" t="s">
        <v>114</v>
      </c>
      <c r="L266" s="63" t="s">
        <v>1318</v>
      </c>
      <c r="M266" s="63" t="s">
        <v>131</v>
      </c>
      <c r="N266" s="64">
        <v>44099</v>
      </c>
      <c r="O266" s="82" t="s">
        <v>849</v>
      </c>
      <c r="P266" s="64">
        <v>45388</v>
      </c>
      <c r="Q266" s="58" t="s">
        <v>911</v>
      </c>
      <c r="R266" s="66" t="s">
        <v>1319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90" t="s">
        <v>155</v>
      </c>
      <c r="Z266" s="59"/>
    </row>
    <row r="267" spans="1:26" x14ac:dyDescent="0.3">
      <c r="A267" s="63" t="s">
        <v>77</v>
      </c>
      <c r="B267" s="104" t="s">
        <v>1320</v>
      </c>
      <c r="C267" s="65" t="s">
        <v>827</v>
      </c>
      <c r="D267" s="64">
        <v>41645</v>
      </c>
      <c r="E267" s="64">
        <v>45296</v>
      </c>
      <c r="F267" s="63" t="s">
        <v>80</v>
      </c>
      <c r="G267" s="63" t="s">
        <v>1321</v>
      </c>
      <c r="H267" s="63" t="s">
        <v>111</v>
      </c>
      <c r="I267" s="65" t="s">
        <v>1322</v>
      </c>
      <c r="J267" s="63" t="s">
        <v>113</v>
      </c>
      <c r="K267" s="63" t="s">
        <v>114</v>
      </c>
      <c r="L267" s="63" t="s">
        <v>1323</v>
      </c>
      <c r="M267" s="63" t="s">
        <v>487</v>
      </c>
      <c r="N267" s="64">
        <v>44099</v>
      </c>
      <c r="O267" s="82" t="s">
        <v>829</v>
      </c>
      <c r="P267" s="64">
        <v>45296</v>
      </c>
      <c r="Q267" s="58" t="s">
        <v>911</v>
      </c>
      <c r="R267" s="66" t="s">
        <v>1324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90" t="s">
        <v>155</v>
      </c>
    </row>
    <row r="268" spans="1:26" x14ac:dyDescent="0.3">
      <c r="A268" s="63" t="s">
        <v>77</v>
      </c>
      <c r="B268" s="104" t="s">
        <v>1325</v>
      </c>
      <c r="C268" s="65" t="s">
        <v>791</v>
      </c>
      <c r="D268" s="64">
        <v>41852</v>
      </c>
      <c r="E268" s="64">
        <v>45504</v>
      </c>
      <c r="F268" s="63" t="s">
        <v>80</v>
      </c>
      <c r="G268" s="63" t="s">
        <v>1326</v>
      </c>
      <c r="H268" s="63" t="s">
        <v>111</v>
      </c>
      <c r="I268" s="65" t="s">
        <v>1327</v>
      </c>
      <c r="J268" s="63" t="s">
        <v>113</v>
      </c>
      <c r="K268" s="63" t="s">
        <v>114</v>
      </c>
      <c r="L268" s="63" t="s">
        <v>1328</v>
      </c>
      <c r="M268" s="63" t="s">
        <v>131</v>
      </c>
      <c r="N268" s="64">
        <v>44099</v>
      </c>
      <c r="O268" s="82" t="s">
        <v>793</v>
      </c>
      <c r="P268" s="64">
        <v>46965</v>
      </c>
      <c r="Q268" s="58" t="s">
        <v>911</v>
      </c>
      <c r="R268" s="66" t="s">
        <v>1329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90" t="s">
        <v>155</v>
      </c>
    </row>
    <row r="269" spans="1:26" x14ac:dyDescent="0.3">
      <c r="A269" s="63" t="s">
        <v>77</v>
      </c>
      <c r="B269" s="104" t="s">
        <v>1330</v>
      </c>
      <c r="C269" s="92" t="s">
        <v>1331</v>
      </c>
      <c r="D269" s="64">
        <v>43252</v>
      </c>
      <c r="E269" s="64">
        <v>43978</v>
      </c>
      <c r="F269" s="63" t="s">
        <v>80</v>
      </c>
      <c r="G269" s="63" t="s">
        <v>1332</v>
      </c>
      <c r="H269" s="63" t="s">
        <v>111</v>
      </c>
      <c r="I269" s="65"/>
      <c r="J269" s="63" t="s">
        <v>113</v>
      </c>
      <c r="K269" s="63" t="s">
        <v>82</v>
      </c>
      <c r="L269" s="63" t="s">
        <v>1333</v>
      </c>
      <c r="M269" s="63" t="s">
        <v>116</v>
      </c>
      <c r="N269" s="64">
        <v>43524</v>
      </c>
      <c r="O269" s="82" t="s">
        <v>1334</v>
      </c>
      <c r="P269" s="64">
        <v>43981</v>
      </c>
      <c r="Q269" s="64" t="s">
        <v>911</v>
      </c>
      <c r="R269" s="66" t="s">
        <v>912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59" t="s">
        <v>999</v>
      </c>
    </row>
    <row r="270" spans="1:26" x14ac:dyDescent="0.3">
      <c r="A270" s="63" t="s">
        <v>77</v>
      </c>
      <c r="B270" s="104" t="s">
        <v>1335</v>
      </c>
      <c r="C270" s="65" t="s">
        <v>895</v>
      </c>
      <c r="D270" s="64">
        <v>42156</v>
      </c>
      <c r="E270" s="64">
        <v>45808</v>
      </c>
      <c r="F270" s="63" t="s">
        <v>80</v>
      </c>
      <c r="G270" s="63" t="s">
        <v>1336</v>
      </c>
      <c r="H270" s="63" t="s">
        <v>111</v>
      </c>
      <c r="I270" s="65" t="s">
        <v>1337</v>
      </c>
      <c r="J270" s="63" t="s">
        <v>113</v>
      </c>
      <c r="K270" s="63" t="s">
        <v>114</v>
      </c>
      <c r="L270" s="63" t="s">
        <v>1338</v>
      </c>
      <c r="M270" s="63" t="s">
        <v>131</v>
      </c>
      <c r="N270" s="64">
        <v>44099</v>
      </c>
      <c r="O270" s="82" t="s">
        <v>897</v>
      </c>
      <c r="P270" s="64">
        <v>45808</v>
      </c>
      <c r="Q270" s="58" t="s">
        <v>911</v>
      </c>
      <c r="R270" s="66" t="s">
        <v>1339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59"/>
    </row>
    <row r="271" spans="1:26" x14ac:dyDescent="0.3">
      <c r="A271" s="63" t="s">
        <v>77</v>
      </c>
      <c r="B271" s="104" t="s">
        <v>1340</v>
      </c>
      <c r="C271" s="65" t="s">
        <v>1341</v>
      </c>
      <c r="D271" s="64">
        <v>42736</v>
      </c>
      <c r="E271" s="64">
        <v>45291</v>
      </c>
      <c r="F271" s="63" t="s">
        <v>80</v>
      </c>
      <c r="G271" s="63" t="s">
        <v>1342</v>
      </c>
      <c r="H271" s="63" t="s">
        <v>111</v>
      </c>
      <c r="I271" s="65" t="s">
        <v>1343</v>
      </c>
      <c r="J271" s="63" t="s">
        <v>113</v>
      </c>
      <c r="K271" s="63" t="s">
        <v>114</v>
      </c>
      <c r="L271" s="63" t="s">
        <v>1344</v>
      </c>
      <c r="M271" s="63" t="s">
        <v>131</v>
      </c>
      <c r="N271" s="64">
        <v>44099</v>
      </c>
      <c r="O271" s="82" t="s">
        <v>1345</v>
      </c>
      <c r="P271" s="64">
        <v>44561</v>
      </c>
      <c r="Q271" s="58" t="s">
        <v>1011</v>
      </c>
      <c r="R271" s="66" t="s">
        <v>912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59" t="s">
        <v>249</v>
      </c>
    </row>
    <row r="272" spans="1:26" x14ac:dyDescent="0.3">
      <c r="A272" s="63" t="s">
        <v>77</v>
      </c>
      <c r="B272" s="104" t="s">
        <v>682</v>
      </c>
      <c r="C272" s="92" t="s">
        <v>680</v>
      </c>
      <c r="D272" s="64">
        <v>42675</v>
      </c>
      <c r="E272" s="64">
        <v>45230</v>
      </c>
      <c r="F272" s="63" t="s">
        <v>80</v>
      </c>
      <c r="G272" s="63" t="s">
        <v>1346</v>
      </c>
      <c r="H272" s="63" t="s">
        <v>111</v>
      </c>
      <c r="I272" s="65" t="s">
        <v>1347</v>
      </c>
      <c r="J272" s="63" t="s">
        <v>113</v>
      </c>
      <c r="K272" s="63" t="s">
        <v>114</v>
      </c>
      <c r="L272" s="63" t="s">
        <v>1348</v>
      </c>
      <c r="M272" s="63" t="s">
        <v>1349</v>
      </c>
      <c r="N272" s="64">
        <v>44099</v>
      </c>
      <c r="O272" s="82" t="s">
        <v>683</v>
      </c>
      <c r="P272" s="64">
        <v>46691</v>
      </c>
      <c r="Q272" s="64" t="s">
        <v>82</v>
      </c>
      <c r="R272" s="66" t="s">
        <v>1350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59" t="s">
        <v>249</v>
      </c>
    </row>
    <row r="273" spans="1:26" x14ac:dyDescent="0.3">
      <c r="A273" s="63" t="s">
        <v>77</v>
      </c>
      <c r="B273" s="104" t="s">
        <v>1351</v>
      </c>
      <c r="C273" s="92" t="s">
        <v>1352</v>
      </c>
      <c r="D273" s="64">
        <v>41873</v>
      </c>
      <c r="E273" s="64">
        <v>44379</v>
      </c>
      <c r="F273" s="63" t="s">
        <v>80</v>
      </c>
      <c r="G273" s="63" t="s">
        <v>1353</v>
      </c>
      <c r="H273" s="63" t="s">
        <v>111</v>
      </c>
      <c r="I273" s="65" t="s">
        <v>1354</v>
      </c>
      <c r="J273" s="63" t="s">
        <v>113</v>
      </c>
      <c r="K273" s="63" t="s">
        <v>114</v>
      </c>
      <c r="L273" s="63" t="s">
        <v>1355</v>
      </c>
      <c r="M273" s="63" t="s">
        <v>1277</v>
      </c>
      <c r="N273" s="64">
        <v>44099</v>
      </c>
      <c r="O273" s="82" t="s">
        <v>1356</v>
      </c>
      <c r="P273" s="64">
        <v>44196</v>
      </c>
      <c r="Q273" s="64" t="s">
        <v>911</v>
      </c>
      <c r="R273" s="66" t="s">
        <v>912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59" t="s">
        <v>999</v>
      </c>
    </row>
    <row r="274" spans="1:26" x14ac:dyDescent="0.3">
      <c r="A274" s="63" t="s">
        <v>77</v>
      </c>
      <c r="B274" s="104" t="s">
        <v>1357</v>
      </c>
      <c r="C274" s="65" t="s">
        <v>1358</v>
      </c>
      <c r="D274" s="64">
        <v>42173</v>
      </c>
      <c r="E274" s="64">
        <v>45460</v>
      </c>
      <c r="F274" s="63" t="s">
        <v>80</v>
      </c>
      <c r="G274" s="63" t="s">
        <v>1359</v>
      </c>
      <c r="H274" s="63" t="s">
        <v>111</v>
      </c>
      <c r="I274" s="65" t="s">
        <v>1360</v>
      </c>
      <c r="J274" s="63" t="s">
        <v>113</v>
      </c>
      <c r="K274" s="63" t="s">
        <v>114</v>
      </c>
      <c r="L274" s="63" t="s">
        <v>1361</v>
      </c>
      <c r="M274" s="63" t="s">
        <v>131</v>
      </c>
      <c r="N274" s="64">
        <v>44099</v>
      </c>
      <c r="O274" s="82" t="s">
        <v>775</v>
      </c>
      <c r="P274" s="64">
        <v>45460</v>
      </c>
      <c r="Q274" s="58" t="s">
        <v>911</v>
      </c>
      <c r="R274" s="66" t="s">
        <v>1362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87" t="s">
        <v>155</v>
      </c>
    </row>
    <row r="275" spans="1:26" x14ac:dyDescent="0.3">
      <c r="A275" s="63" t="s">
        <v>77</v>
      </c>
      <c r="B275" s="104" t="s">
        <v>1363</v>
      </c>
      <c r="C275" s="65" t="s">
        <v>1364</v>
      </c>
      <c r="D275" s="64">
        <v>42251</v>
      </c>
      <c r="E275" s="64">
        <v>45589</v>
      </c>
      <c r="F275" s="63" t="s">
        <v>80</v>
      </c>
      <c r="G275" s="63" t="s">
        <v>1365</v>
      </c>
      <c r="H275" s="63" t="s">
        <v>111</v>
      </c>
      <c r="I275" s="65" t="s">
        <v>1366</v>
      </c>
      <c r="J275" s="63" t="s">
        <v>113</v>
      </c>
      <c r="K275" s="63" t="s">
        <v>114</v>
      </c>
      <c r="L275" s="63" t="s">
        <v>1367</v>
      </c>
      <c r="M275" s="63" t="s">
        <v>131</v>
      </c>
      <c r="N275" s="64">
        <v>44099</v>
      </c>
      <c r="O275" s="82" t="s">
        <v>1368</v>
      </c>
      <c r="P275" s="64">
        <v>45589</v>
      </c>
      <c r="Q275" s="58" t="s">
        <v>1011</v>
      </c>
      <c r="R275" s="66" t="s">
        <v>911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59"/>
      <c r="Z275" s="145"/>
    </row>
    <row r="276" spans="1:26" x14ac:dyDescent="0.3">
      <c r="A276" s="63" t="s">
        <v>77</v>
      </c>
      <c r="B276" s="104" t="s">
        <v>1369</v>
      </c>
      <c r="C276" s="65" t="s">
        <v>724</v>
      </c>
      <c r="D276" s="64">
        <v>41640</v>
      </c>
      <c r="E276" s="64">
        <v>45291</v>
      </c>
      <c r="F276" s="63" t="s">
        <v>80</v>
      </c>
      <c r="G276" s="63" t="s">
        <v>1370</v>
      </c>
      <c r="H276" s="63" t="s">
        <v>111</v>
      </c>
      <c r="I276" s="65" t="s">
        <v>1371</v>
      </c>
      <c r="J276" s="63" t="s">
        <v>113</v>
      </c>
      <c r="K276" s="63" t="s">
        <v>114</v>
      </c>
      <c r="L276" s="63" t="s">
        <v>1372</v>
      </c>
      <c r="M276" s="63" t="s">
        <v>410</v>
      </c>
      <c r="N276" s="64">
        <v>44099</v>
      </c>
      <c r="O276" s="82" t="s">
        <v>726</v>
      </c>
      <c r="P276" s="64">
        <v>46752</v>
      </c>
      <c r="Q276" s="58" t="s">
        <v>911</v>
      </c>
      <c r="R276" s="66" t="s">
        <v>1373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59" t="s">
        <v>249</v>
      </c>
    </row>
    <row r="277" spans="1:26" x14ac:dyDescent="0.3">
      <c r="A277" s="63" t="s">
        <v>77</v>
      </c>
      <c r="B277" s="104" t="s">
        <v>1374</v>
      </c>
      <c r="C277" s="92" t="s">
        <v>1375</v>
      </c>
      <c r="D277" s="64">
        <v>41876</v>
      </c>
      <c r="E277" s="64">
        <v>43704</v>
      </c>
      <c r="F277" s="63" t="s">
        <v>80</v>
      </c>
      <c r="G277" s="63" t="s">
        <v>1376</v>
      </c>
      <c r="H277" s="63" t="s">
        <v>111</v>
      </c>
      <c r="I277" s="65"/>
      <c r="J277" s="63" t="s">
        <v>113</v>
      </c>
      <c r="K277" s="63" t="s">
        <v>82</v>
      </c>
      <c r="L277" s="63" t="s">
        <v>1377</v>
      </c>
      <c r="M277" s="63" t="s">
        <v>131</v>
      </c>
      <c r="N277" s="64">
        <v>43524</v>
      </c>
      <c r="O277" s="82" t="s">
        <v>1378</v>
      </c>
      <c r="P277" s="64">
        <v>43701</v>
      </c>
      <c r="Q277" s="64" t="s">
        <v>911</v>
      </c>
      <c r="R277" s="66" t="s">
        <v>912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59" t="s">
        <v>999</v>
      </c>
    </row>
    <row r="278" spans="1:26" x14ac:dyDescent="0.3">
      <c r="A278" s="63" t="s">
        <v>77</v>
      </c>
      <c r="B278" s="104" t="s">
        <v>1385</v>
      </c>
      <c r="C278" s="92" t="s">
        <v>1386</v>
      </c>
      <c r="D278" s="64">
        <v>41876</v>
      </c>
      <c r="E278" s="64">
        <v>43711</v>
      </c>
      <c r="F278" s="63" t="s">
        <v>80</v>
      </c>
      <c r="G278" s="63" t="s">
        <v>1387</v>
      </c>
      <c r="H278" s="63" t="s">
        <v>111</v>
      </c>
      <c r="I278" s="65"/>
      <c r="J278" s="63" t="s">
        <v>113</v>
      </c>
      <c r="K278" s="63" t="s">
        <v>82</v>
      </c>
      <c r="L278" s="63" t="s">
        <v>1388</v>
      </c>
      <c r="M278" s="63" t="s">
        <v>131</v>
      </c>
      <c r="N278" s="64">
        <v>43524</v>
      </c>
      <c r="O278" s="82" t="s">
        <v>1389</v>
      </c>
      <c r="P278" s="64">
        <v>43701</v>
      </c>
      <c r="Q278" s="64" t="s">
        <v>911</v>
      </c>
      <c r="R278" s="66" t="s">
        <v>912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59" t="s">
        <v>999</v>
      </c>
    </row>
    <row r="279" spans="1:26" x14ac:dyDescent="0.3">
      <c r="A279" s="63" t="s">
        <v>77</v>
      </c>
      <c r="B279" s="104" t="s">
        <v>1397</v>
      </c>
      <c r="C279" s="65" t="s">
        <v>1398</v>
      </c>
      <c r="D279" s="64">
        <v>42156</v>
      </c>
      <c r="E279" s="64">
        <v>45291</v>
      </c>
      <c r="F279" s="63" t="s">
        <v>80</v>
      </c>
      <c r="G279" s="63" t="s">
        <v>1399</v>
      </c>
      <c r="H279" s="63" t="s">
        <v>111</v>
      </c>
      <c r="I279" s="65" t="s">
        <v>1400</v>
      </c>
      <c r="J279" s="63" t="s">
        <v>113</v>
      </c>
      <c r="K279" s="63" t="s">
        <v>114</v>
      </c>
      <c r="L279" s="63" t="s">
        <v>1401</v>
      </c>
      <c r="M279" s="63" t="s">
        <v>131</v>
      </c>
      <c r="N279" s="64">
        <v>44099</v>
      </c>
      <c r="O279" s="82" t="s">
        <v>1402</v>
      </c>
      <c r="P279" s="64">
        <v>45561</v>
      </c>
      <c r="Q279" s="58" t="s">
        <v>1011</v>
      </c>
      <c r="R279" s="66" t="s">
        <v>911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59" t="s">
        <v>249</v>
      </c>
      <c r="Z279" s="145"/>
    </row>
    <row r="280" spans="1:26" x14ac:dyDescent="0.3">
      <c r="A280" s="63" t="s">
        <v>77</v>
      </c>
      <c r="B280" s="104" t="s">
        <v>1403</v>
      </c>
      <c r="C280" s="65" t="s">
        <v>1404</v>
      </c>
      <c r="D280" s="64">
        <v>42104</v>
      </c>
      <c r="E280" s="64">
        <v>44660</v>
      </c>
      <c r="F280" s="63" t="s">
        <v>80</v>
      </c>
      <c r="G280" s="63" t="s">
        <v>1405</v>
      </c>
      <c r="H280" s="63" t="s">
        <v>111</v>
      </c>
      <c r="I280" s="65" t="s">
        <v>1406</v>
      </c>
      <c r="J280" s="63" t="s">
        <v>113</v>
      </c>
      <c r="K280" s="63" t="s">
        <v>114</v>
      </c>
      <c r="L280" s="63" t="s">
        <v>1407</v>
      </c>
      <c r="M280" s="63" t="s">
        <v>131</v>
      </c>
      <c r="N280" s="64">
        <v>44099</v>
      </c>
      <c r="O280" s="82" t="s">
        <v>659</v>
      </c>
      <c r="P280" s="64">
        <v>44660</v>
      </c>
      <c r="Q280" s="64" t="s">
        <v>82</v>
      </c>
      <c r="R280" s="66" t="s">
        <v>1408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59"/>
    </row>
    <row r="281" spans="1:26" x14ac:dyDescent="0.3">
      <c r="A281" s="63" t="s">
        <v>77</v>
      </c>
      <c r="B281" s="104" t="s">
        <v>1409</v>
      </c>
      <c r="C281" s="92" t="s">
        <v>1410</v>
      </c>
      <c r="D281" s="64">
        <v>42109</v>
      </c>
      <c r="E281" s="64">
        <v>43982</v>
      </c>
      <c r="F281" s="63" t="s">
        <v>80</v>
      </c>
      <c r="G281" s="69" t="s">
        <v>1411</v>
      </c>
      <c r="H281" s="63" t="s">
        <v>111</v>
      </c>
      <c r="I281" s="65"/>
      <c r="J281" s="63" t="s">
        <v>113</v>
      </c>
      <c r="K281" s="63" t="s">
        <v>82</v>
      </c>
      <c r="L281" s="63" t="s">
        <v>1412</v>
      </c>
      <c r="M281" s="63" t="s">
        <v>131</v>
      </c>
      <c r="N281" s="64">
        <v>43524</v>
      </c>
      <c r="O281" s="82" t="s">
        <v>1413</v>
      </c>
      <c r="P281" s="64">
        <v>43935</v>
      </c>
      <c r="Q281" s="64" t="s">
        <v>911</v>
      </c>
      <c r="R281" s="66" t="s">
        <v>912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59" t="s">
        <v>999</v>
      </c>
    </row>
    <row r="282" spans="1:26" x14ac:dyDescent="0.3">
      <c r="A282" s="63" t="s">
        <v>77</v>
      </c>
      <c r="B282" s="104" t="s">
        <v>1420</v>
      </c>
      <c r="C282" s="65" t="s">
        <v>1421</v>
      </c>
      <c r="D282" s="64">
        <v>42248</v>
      </c>
      <c r="E282" s="64">
        <v>45535</v>
      </c>
      <c r="F282" s="63" t="s">
        <v>80</v>
      </c>
      <c r="G282" s="63" t="s">
        <v>1422</v>
      </c>
      <c r="H282" s="63" t="s">
        <v>111</v>
      </c>
      <c r="I282" s="65" t="s">
        <v>1423</v>
      </c>
      <c r="J282" s="63" t="s">
        <v>113</v>
      </c>
      <c r="K282" s="63" t="s">
        <v>114</v>
      </c>
      <c r="L282" s="63" t="s">
        <v>1424</v>
      </c>
      <c r="M282" s="63" t="s">
        <v>131</v>
      </c>
      <c r="N282" s="64">
        <v>44099</v>
      </c>
      <c r="O282" s="82" t="s">
        <v>789</v>
      </c>
      <c r="P282" s="64">
        <v>45535</v>
      </c>
      <c r="Q282" s="58" t="s">
        <v>911</v>
      </c>
      <c r="R282" s="66" t="s">
        <v>1425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59"/>
    </row>
    <row r="283" spans="1:26" x14ac:dyDescent="0.3">
      <c r="A283" s="63" t="s">
        <v>77</v>
      </c>
      <c r="B283" s="104" t="s">
        <v>1426</v>
      </c>
      <c r="C283" s="65" t="s">
        <v>781</v>
      </c>
      <c r="D283" s="64">
        <v>39965</v>
      </c>
      <c r="E283" s="64">
        <v>45443</v>
      </c>
      <c r="F283" s="63" t="s">
        <v>80</v>
      </c>
      <c r="G283" s="63" t="s">
        <v>1427</v>
      </c>
      <c r="H283" s="63" t="s">
        <v>111</v>
      </c>
      <c r="I283" s="65" t="s">
        <v>1428</v>
      </c>
      <c r="J283" s="63" t="s">
        <v>113</v>
      </c>
      <c r="K283" s="63" t="s">
        <v>114</v>
      </c>
      <c r="L283" s="63" t="s">
        <v>1429</v>
      </c>
      <c r="M283" s="63" t="s">
        <v>1430</v>
      </c>
      <c r="N283" s="64">
        <v>44099</v>
      </c>
      <c r="O283" s="82" t="s">
        <v>783</v>
      </c>
      <c r="P283" s="64">
        <v>45443</v>
      </c>
      <c r="Q283" s="58" t="s">
        <v>1011</v>
      </c>
      <c r="R283" s="66" t="s">
        <v>1431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87" t="s">
        <v>155</v>
      </c>
      <c r="Z283" s="145"/>
    </row>
    <row r="284" spans="1:26" x14ac:dyDescent="0.3">
      <c r="A284" s="63" t="s">
        <v>77</v>
      </c>
      <c r="B284" s="104" t="s">
        <v>1432</v>
      </c>
      <c r="C284" s="92" t="s">
        <v>1433</v>
      </c>
      <c r="D284" s="64">
        <v>42251</v>
      </c>
      <c r="E284" s="64">
        <v>44926</v>
      </c>
      <c r="F284" s="63" t="s">
        <v>80</v>
      </c>
      <c r="G284" s="63" t="s">
        <v>1434</v>
      </c>
      <c r="H284" s="63" t="s">
        <v>111</v>
      </c>
      <c r="I284" s="65" t="s">
        <v>1435</v>
      </c>
      <c r="J284" s="63" t="s">
        <v>113</v>
      </c>
      <c r="K284" s="63" t="s">
        <v>114</v>
      </c>
      <c r="L284" s="63" t="s">
        <v>1436</v>
      </c>
      <c r="M284" s="63" t="s">
        <v>131</v>
      </c>
      <c r="N284" s="64">
        <v>44152</v>
      </c>
      <c r="O284" s="82" t="s">
        <v>1437</v>
      </c>
      <c r="P284" s="64">
        <v>44808</v>
      </c>
      <c r="Q284" s="64" t="s">
        <v>82</v>
      </c>
      <c r="R284" s="66" t="s">
        <v>911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59" t="s">
        <v>1438</v>
      </c>
      <c r="Z284" s="145"/>
    </row>
    <row r="285" spans="1:26" x14ac:dyDescent="0.3">
      <c r="A285" s="63" t="s">
        <v>77</v>
      </c>
      <c r="B285" s="104" t="s">
        <v>1439</v>
      </c>
      <c r="C285" s="92" t="s">
        <v>1440</v>
      </c>
      <c r="D285" s="64">
        <v>42415</v>
      </c>
      <c r="E285" s="64">
        <v>43876</v>
      </c>
      <c r="F285" s="63" t="s">
        <v>80</v>
      </c>
      <c r="G285" s="63" t="s">
        <v>1441</v>
      </c>
      <c r="H285" s="63" t="s">
        <v>111</v>
      </c>
      <c r="I285" s="65"/>
      <c r="J285" s="63" t="s">
        <v>113</v>
      </c>
      <c r="K285" s="63" t="s">
        <v>82</v>
      </c>
      <c r="L285" s="63" t="s">
        <v>1442</v>
      </c>
      <c r="M285" s="63" t="s">
        <v>131</v>
      </c>
      <c r="N285" s="64">
        <v>43524</v>
      </c>
      <c r="O285" s="82" t="s">
        <v>1443</v>
      </c>
      <c r="P285" s="64">
        <v>43951</v>
      </c>
      <c r="Q285" s="64" t="s">
        <v>911</v>
      </c>
      <c r="R285" s="66" t="s">
        <v>912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59" t="s">
        <v>999</v>
      </c>
    </row>
    <row r="286" spans="1:26" x14ac:dyDescent="0.3">
      <c r="A286" s="63" t="s">
        <v>77</v>
      </c>
      <c r="B286" s="104" t="s">
        <v>392</v>
      </c>
      <c r="C286" s="65" t="s">
        <v>393</v>
      </c>
      <c r="D286" s="64">
        <v>42319</v>
      </c>
      <c r="E286" s="64">
        <v>46022</v>
      </c>
      <c r="F286" s="63" t="s">
        <v>80</v>
      </c>
      <c r="G286" s="63" t="s">
        <v>394</v>
      </c>
      <c r="H286" s="63" t="s">
        <v>111</v>
      </c>
      <c r="I286" s="65" t="s">
        <v>395</v>
      </c>
      <c r="J286" s="63" t="s">
        <v>113</v>
      </c>
      <c r="K286" s="63" t="s">
        <v>114</v>
      </c>
      <c r="L286" s="63" t="s">
        <v>396</v>
      </c>
      <c r="M286" s="63" t="s">
        <v>397</v>
      </c>
      <c r="N286" s="64">
        <v>44099</v>
      </c>
      <c r="O286" s="82" t="s">
        <v>398</v>
      </c>
      <c r="P286" s="64">
        <v>46022</v>
      </c>
      <c r="Q286" s="58" t="s">
        <v>1011</v>
      </c>
      <c r="R286" s="66" t="s">
        <v>911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59"/>
    </row>
    <row r="287" spans="1:26" x14ac:dyDescent="0.3">
      <c r="A287" s="63" t="s">
        <v>77</v>
      </c>
      <c r="B287" s="104" t="s">
        <v>1450</v>
      </c>
      <c r="C287" s="92" t="s">
        <v>1451</v>
      </c>
      <c r="D287" s="64">
        <v>42293</v>
      </c>
      <c r="E287" s="64">
        <v>44712</v>
      </c>
      <c r="F287" s="63" t="s">
        <v>80</v>
      </c>
      <c r="G287" s="63" t="s">
        <v>1452</v>
      </c>
      <c r="H287" s="63" t="s">
        <v>111</v>
      </c>
      <c r="I287" s="65" t="s">
        <v>1453</v>
      </c>
      <c r="J287" s="63" t="s">
        <v>113</v>
      </c>
      <c r="K287" s="63" t="s">
        <v>114</v>
      </c>
      <c r="L287" s="63" t="s">
        <v>1454</v>
      </c>
      <c r="M287" s="63" t="s">
        <v>131</v>
      </c>
      <c r="N287" s="64">
        <v>44099</v>
      </c>
      <c r="O287" s="82" t="s">
        <v>1455</v>
      </c>
      <c r="P287" s="64">
        <v>44669</v>
      </c>
      <c r="Q287" s="64" t="s">
        <v>911</v>
      </c>
      <c r="R287" s="66" t="s">
        <v>912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59" t="s">
        <v>999</v>
      </c>
    </row>
    <row r="288" spans="1:26" x14ac:dyDescent="0.3">
      <c r="A288" s="63" t="s">
        <v>77</v>
      </c>
      <c r="B288" s="104" t="s">
        <v>1456</v>
      </c>
      <c r="C288" s="65" t="s">
        <v>835</v>
      </c>
      <c r="D288" s="64">
        <v>42522</v>
      </c>
      <c r="E288" s="64">
        <v>45443</v>
      </c>
      <c r="F288" s="63" t="s">
        <v>80</v>
      </c>
      <c r="G288" s="63" t="s">
        <v>1457</v>
      </c>
      <c r="H288" s="63" t="s">
        <v>111</v>
      </c>
      <c r="I288" s="65" t="s">
        <v>1458</v>
      </c>
      <c r="J288" s="63" t="s">
        <v>113</v>
      </c>
      <c r="K288" s="63" t="s">
        <v>114</v>
      </c>
      <c r="L288" s="63" t="s">
        <v>1459</v>
      </c>
      <c r="M288" s="63" t="s">
        <v>131</v>
      </c>
      <c r="N288" s="64">
        <v>44099</v>
      </c>
      <c r="O288" s="82" t="s">
        <v>837</v>
      </c>
      <c r="P288" s="64">
        <v>45443</v>
      </c>
      <c r="Q288" s="58" t="s">
        <v>911</v>
      </c>
      <c r="R288" s="66" t="s">
        <v>1460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87" t="s">
        <v>155</v>
      </c>
    </row>
    <row r="289" spans="1:26" x14ac:dyDescent="0.3">
      <c r="A289" s="63" t="s">
        <v>77</v>
      </c>
      <c r="B289" s="104" t="s">
        <v>1461</v>
      </c>
      <c r="C289" s="92" t="s">
        <v>1462</v>
      </c>
      <c r="D289" s="64">
        <v>42597</v>
      </c>
      <c r="E289" s="64">
        <v>44651</v>
      </c>
      <c r="F289" s="63" t="s">
        <v>80</v>
      </c>
      <c r="G289" s="63" t="s">
        <v>1463</v>
      </c>
      <c r="H289" s="63" t="s">
        <v>111</v>
      </c>
      <c r="I289" s="65" t="s">
        <v>1464</v>
      </c>
      <c r="J289" s="63" t="s">
        <v>113</v>
      </c>
      <c r="K289" s="63" t="s">
        <v>114</v>
      </c>
      <c r="L289" s="63" t="s">
        <v>1465</v>
      </c>
      <c r="M289" s="63" t="s">
        <v>131</v>
      </c>
      <c r="N289" s="64">
        <v>44099</v>
      </c>
      <c r="O289" s="82" t="s">
        <v>1466</v>
      </c>
      <c r="P289" s="64">
        <v>44422</v>
      </c>
      <c r="Q289" s="64" t="s">
        <v>911</v>
      </c>
      <c r="R289" s="66" t="s">
        <v>912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59" t="s">
        <v>999</v>
      </c>
    </row>
    <row r="290" spans="1:26" x14ac:dyDescent="0.3">
      <c r="A290" s="63" t="s">
        <v>77</v>
      </c>
      <c r="B290" s="104" t="s">
        <v>1467</v>
      </c>
      <c r="C290" s="65" t="s">
        <v>1468</v>
      </c>
      <c r="D290" s="64">
        <v>42628</v>
      </c>
      <c r="E290" s="64">
        <v>45914</v>
      </c>
      <c r="F290" s="63" t="s">
        <v>80</v>
      </c>
      <c r="G290" s="63" t="s">
        <v>1469</v>
      </c>
      <c r="H290" s="63" t="s">
        <v>111</v>
      </c>
      <c r="I290" s="65" t="s">
        <v>1470</v>
      </c>
      <c r="J290" s="63" t="s">
        <v>113</v>
      </c>
      <c r="K290" s="63" t="s">
        <v>114</v>
      </c>
      <c r="L290" s="63" t="s">
        <v>1471</v>
      </c>
      <c r="M290" s="63" t="s">
        <v>131</v>
      </c>
      <c r="N290" s="64">
        <v>44099</v>
      </c>
      <c r="O290" s="82" t="s">
        <v>1472</v>
      </c>
      <c r="P290" s="64">
        <v>45914</v>
      </c>
      <c r="Q290" s="58" t="s">
        <v>1011</v>
      </c>
      <c r="R290" s="66" t="s">
        <v>911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59"/>
    </row>
    <row r="291" spans="1:26" x14ac:dyDescent="0.3">
      <c r="A291" s="63" t="s">
        <v>77</v>
      </c>
      <c r="B291" s="104" t="s">
        <v>1473</v>
      </c>
      <c r="C291" s="92" t="s">
        <v>1474</v>
      </c>
      <c r="D291" s="64">
        <v>42758</v>
      </c>
      <c r="E291" s="64">
        <v>44773</v>
      </c>
      <c r="F291" s="63" t="s">
        <v>80</v>
      </c>
      <c r="G291" s="63" t="s">
        <v>1475</v>
      </c>
      <c r="H291" s="63" t="s">
        <v>111</v>
      </c>
      <c r="I291" s="65" t="s">
        <v>1476</v>
      </c>
      <c r="J291" s="63" t="s">
        <v>113</v>
      </c>
      <c r="K291" s="63" t="s">
        <v>114</v>
      </c>
      <c r="L291" s="63" t="s">
        <v>1477</v>
      </c>
      <c r="M291" s="63" t="s">
        <v>131</v>
      </c>
      <c r="N291" s="64">
        <v>44099</v>
      </c>
      <c r="O291" s="82" t="s">
        <v>1478</v>
      </c>
      <c r="P291" s="64">
        <v>44583</v>
      </c>
      <c r="Q291" s="64" t="s">
        <v>911</v>
      </c>
      <c r="R291" s="66" t="s">
        <v>912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59" t="s">
        <v>999</v>
      </c>
    </row>
    <row r="292" spans="1:26" x14ac:dyDescent="0.3">
      <c r="A292" s="63" t="s">
        <v>77</v>
      </c>
      <c r="B292" s="104" t="s">
        <v>1479</v>
      </c>
      <c r="C292" s="65" t="s">
        <v>879</v>
      </c>
      <c r="D292" s="64">
        <v>42826</v>
      </c>
      <c r="E292" s="64">
        <v>45747</v>
      </c>
      <c r="F292" s="63" t="s">
        <v>80</v>
      </c>
      <c r="G292" s="63" t="s">
        <v>1480</v>
      </c>
      <c r="H292" s="63" t="s">
        <v>111</v>
      </c>
      <c r="I292" s="65" t="s">
        <v>1481</v>
      </c>
      <c r="J292" s="63" t="s">
        <v>113</v>
      </c>
      <c r="K292" s="63" t="s">
        <v>114</v>
      </c>
      <c r="L292" s="63" t="s">
        <v>1482</v>
      </c>
      <c r="M292" s="63" t="s">
        <v>131</v>
      </c>
      <c r="N292" s="64">
        <v>44099</v>
      </c>
      <c r="O292" s="82" t="s">
        <v>881</v>
      </c>
      <c r="P292" s="64">
        <v>45747</v>
      </c>
      <c r="Q292" s="58" t="s">
        <v>1011</v>
      </c>
      <c r="R292" s="66" t="s">
        <v>1483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59"/>
      <c r="Z292" s="145"/>
    </row>
    <row r="293" spans="1:26" x14ac:dyDescent="0.3">
      <c r="A293" s="63" t="s">
        <v>77</v>
      </c>
      <c r="B293" s="104" t="s">
        <v>399</v>
      </c>
      <c r="C293" s="65" t="s">
        <v>400</v>
      </c>
      <c r="D293" s="64">
        <v>42795</v>
      </c>
      <c r="E293" s="64">
        <v>46081</v>
      </c>
      <c r="F293" s="63" t="s">
        <v>80</v>
      </c>
      <c r="G293" s="63" t="s">
        <v>401</v>
      </c>
      <c r="H293" s="63" t="s">
        <v>111</v>
      </c>
      <c r="I293" s="65" t="s">
        <v>402</v>
      </c>
      <c r="J293" s="63" t="s">
        <v>113</v>
      </c>
      <c r="K293" s="63" t="s">
        <v>114</v>
      </c>
      <c r="L293" s="63" t="s">
        <v>403</v>
      </c>
      <c r="M293" s="63" t="s">
        <v>131</v>
      </c>
      <c r="N293" s="64">
        <v>44099</v>
      </c>
      <c r="O293" s="82" t="s">
        <v>404</v>
      </c>
      <c r="P293" s="64">
        <v>46081</v>
      </c>
      <c r="Q293" s="58" t="s">
        <v>1011</v>
      </c>
      <c r="R293" s="66" t="s">
        <v>911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59"/>
    </row>
    <row r="294" spans="1:26" x14ac:dyDescent="0.3">
      <c r="A294" s="63" t="s">
        <v>77</v>
      </c>
      <c r="B294" s="104" t="s">
        <v>1484</v>
      </c>
      <c r="C294" s="65" t="s">
        <v>741</v>
      </c>
      <c r="D294" s="64">
        <v>42842</v>
      </c>
      <c r="E294" s="64">
        <v>45291</v>
      </c>
      <c r="F294" s="63" t="s">
        <v>80</v>
      </c>
      <c r="G294" s="63" t="s">
        <v>1485</v>
      </c>
      <c r="H294" s="63" t="s">
        <v>111</v>
      </c>
      <c r="I294" s="65" t="s">
        <v>1486</v>
      </c>
      <c r="J294" s="63" t="s">
        <v>113</v>
      </c>
      <c r="K294" s="63" t="s">
        <v>114</v>
      </c>
      <c r="L294" s="63" t="s">
        <v>1487</v>
      </c>
      <c r="M294" s="63" t="s">
        <v>131</v>
      </c>
      <c r="N294" s="64">
        <v>44099</v>
      </c>
      <c r="O294" s="82" t="s">
        <v>743</v>
      </c>
      <c r="P294" s="64">
        <v>44667</v>
      </c>
      <c r="Q294" s="58" t="s">
        <v>1011</v>
      </c>
      <c r="R294" s="66" t="s">
        <v>1488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59" t="s">
        <v>249</v>
      </c>
    </row>
    <row r="295" spans="1:26" x14ac:dyDescent="0.3">
      <c r="A295" s="63" t="s">
        <v>77</v>
      </c>
      <c r="B295" s="104" t="s">
        <v>1495</v>
      </c>
      <c r="C295" s="65" t="s">
        <v>749</v>
      </c>
      <c r="D295" s="64">
        <v>42874</v>
      </c>
      <c r="E295" s="64">
        <v>45291</v>
      </c>
      <c r="F295" s="63" t="s">
        <v>80</v>
      </c>
      <c r="G295" s="63" t="s">
        <v>1496</v>
      </c>
      <c r="H295" s="63" t="s">
        <v>111</v>
      </c>
      <c r="I295" s="65" t="s">
        <v>1497</v>
      </c>
      <c r="J295" s="63" t="s">
        <v>113</v>
      </c>
      <c r="K295" s="63" t="s">
        <v>114</v>
      </c>
      <c r="L295" s="63" t="s">
        <v>1498</v>
      </c>
      <c r="M295" s="63" t="s">
        <v>131</v>
      </c>
      <c r="N295" s="64">
        <v>44099</v>
      </c>
      <c r="O295" s="82" t="s">
        <v>751</v>
      </c>
      <c r="P295" s="64">
        <v>44699</v>
      </c>
      <c r="Q295" s="58" t="s">
        <v>911</v>
      </c>
      <c r="R295" s="66" t="s">
        <v>1499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59" t="s">
        <v>249</v>
      </c>
    </row>
    <row r="296" spans="1:26" x14ac:dyDescent="0.3">
      <c r="A296" s="63" t="s">
        <v>77</v>
      </c>
      <c r="B296" s="104" t="s">
        <v>1500</v>
      </c>
      <c r="C296" s="65" t="s">
        <v>1501</v>
      </c>
      <c r="D296" s="64">
        <v>42986</v>
      </c>
      <c r="E296" s="64">
        <v>45291</v>
      </c>
      <c r="F296" s="63" t="s">
        <v>80</v>
      </c>
      <c r="G296" s="63" t="s">
        <v>1502</v>
      </c>
      <c r="H296" s="63" t="s">
        <v>111</v>
      </c>
      <c r="I296" s="65" t="s">
        <v>1503</v>
      </c>
      <c r="J296" s="63" t="s">
        <v>113</v>
      </c>
      <c r="K296" s="63" t="s">
        <v>114</v>
      </c>
      <c r="L296" s="63" t="s">
        <v>1504</v>
      </c>
      <c r="M296" s="63" t="s">
        <v>1505</v>
      </c>
      <c r="N296" s="64">
        <v>44099</v>
      </c>
      <c r="O296" s="82" t="s">
        <v>1506</v>
      </c>
      <c r="P296" s="64">
        <v>47495</v>
      </c>
      <c r="Q296" s="58" t="s">
        <v>1507</v>
      </c>
      <c r="R296" s="66" t="s">
        <v>1507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59" t="s">
        <v>249</v>
      </c>
      <c r="Z296" s="145"/>
    </row>
    <row r="297" spans="1:26" x14ac:dyDescent="0.3">
      <c r="A297" s="63" t="s">
        <v>77</v>
      </c>
      <c r="B297" s="104" t="s">
        <v>1508</v>
      </c>
      <c r="C297" s="92" t="s">
        <v>1509</v>
      </c>
      <c r="D297" s="64">
        <v>43014</v>
      </c>
      <c r="E297" s="64">
        <v>44839</v>
      </c>
      <c r="F297" s="63" t="s">
        <v>80</v>
      </c>
      <c r="G297" s="63" t="s">
        <v>1510</v>
      </c>
      <c r="H297" s="63" t="s">
        <v>111</v>
      </c>
      <c r="I297" s="65" t="s">
        <v>1511</v>
      </c>
      <c r="J297" s="63" t="s">
        <v>113</v>
      </c>
      <c r="K297" s="63" t="s">
        <v>114</v>
      </c>
      <c r="L297" s="63" t="s">
        <v>1512</v>
      </c>
      <c r="M297" s="63" t="s">
        <v>131</v>
      </c>
      <c r="N297" s="64">
        <v>44099</v>
      </c>
      <c r="O297" s="82" t="s">
        <v>1513</v>
      </c>
      <c r="P297" s="64">
        <v>44839</v>
      </c>
      <c r="Q297" s="64" t="s">
        <v>911</v>
      </c>
      <c r="R297" s="66" t="s">
        <v>912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59" t="s">
        <v>999</v>
      </c>
    </row>
    <row r="298" spans="1:26" x14ac:dyDescent="0.3">
      <c r="A298" s="63" t="s">
        <v>77</v>
      </c>
      <c r="B298" s="104" t="s">
        <v>1514</v>
      </c>
      <c r="C298" s="65" t="s">
        <v>1515</v>
      </c>
      <c r="D298" s="64">
        <v>42979</v>
      </c>
      <c r="E298" s="64">
        <v>45716</v>
      </c>
      <c r="F298" s="63" t="s">
        <v>80</v>
      </c>
      <c r="G298" s="63" t="s">
        <v>1516</v>
      </c>
      <c r="H298" s="63" t="s">
        <v>111</v>
      </c>
      <c r="I298" s="65" t="s">
        <v>1517</v>
      </c>
      <c r="J298" s="63" t="s">
        <v>113</v>
      </c>
      <c r="K298" s="63" t="s">
        <v>114</v>
      </c>
      <c r="L298" s="63" t="s">
        <v>1518</v>
      </c>
      <c r="M298" s="63" t="s">
        <v>131</v>
      </c>
      <c r="N298" s="64">
        <v>44099</v>
      </c>
      <c r="O298" s="82" t="s">
        <v>1519</v>
      </c>
      <c r="P298" s="64">
        <v>45716</v>
      </c>
      <c r="Q298" s="64" t="s">
        <v>911</v>
      </c>
      <c r="R298" s="66" t="s">
        <v>911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59"/>
      <c r="Z298" s="145"/>
    </row>
    <row r="299" spans="1:26" x14ac:dyDescent="0.3">
      <c r="A299" s="63" t="s">
        <v>77</v>
      </c>
      <c r="B299" s="104" t="s">
        <v>436</v>
      </c>
      <c r="C299" s="65" t="s">
        <v>437</v>
      </c>
      <c r="D299" s="64">
        <v>43105</v>
      </c>
      <c r="E299" s="64">
        <v>46026</v>
      </c>
      <c r="F299" s="63" t="s">
        <v>80</v>
      </c>
      <c r="G299" s="63" t="s">
        <v>438</v>
      </c>
      <c r="H299" s="63" t="s">
        <v>111</v>
      </c>
      <c r="I299" s="65" t="s">
        <v>439</v>
      </c>
      <c r="J299" s="63" t="s">
        <v>113</v>
      </c>
      <c r="K299" s="63" t="s">
        <v>114</v>
      </c>
      <c r="L299" s="63" t="s">
        <v>440</v>
      </c>
      <c r="M299" s="63" t="s">
        <v>131</v>
      </c>
      <c r="N299" s="64">
        <v>44099</v>
      </c>
      <c r="O299" s="82" t="s">
        <v>441</v>
      </c>
      <c r="P299" s="64">
        <v>46026</v>
      </c>
      <c r="Q299" s="58" t="s">
        <v>1011</v>
      </c>
      <c r="R299" s="66" t="s">
        <v>911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59"/>
    </row>
    <row r="300" spans="1:26" x14ac:dyDescent="0.3">
      <c r="A300" s="63" t="s">
        <v>77</v>
      </c>
      <c r="B300" s="104" t="s">
        <v>1520</v>
      </c>
      <c r="C300" s="65" t="s">
        <v>708</v>
      </c>
      <c r="D300" s="64">
        <v>43222</v>
      </c>
      <c r="E300" s="64">
        <v>45291</v>
      </c>
      <c r="F300" s="63" t="s">
        <v>80</v>
      </c>
      <c r="G300" s="63" t="s">
        <v>1521</v>
      </c>
      <c r="H300" s="63" t="s">
        <v>111</v>
      </c>
      <c r="I300" s="65" t="s">
        <v>1522</v>
      </c>
      <c r="J300" s="63" t="s">
        <v>113</v>
      </c>
      <c r="K300" s="63" t="s">
        <v>114</v>
      </c>
      <c r="L300" s="63" t="s">
        <v>1523</v>
      </c>
      <c r="M300" s="63" t="s">
        <v>131</v>
      </c>
      <c r="N300" s="64">
        <v>44099</v>
      </c>
      <c r="O300" s="82" t="s">
        <v>710</v>
      </c>
      <c r="P300" s="64">
        <v>45291</v>
      </c>
      <c r="Q300" s="58" t="s">
        <v>911</v>
      </c>
      <c r="R300" s="66" t="s">
        <v>1524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59" t="s">
        <v>249</v>
      </c>
    </row>
    <row r="301" spans="1:26" x14ac:dyDescent="0.3">
      <c r="A301" s="63" t="s">
        <v>77</v>
      </c>
      <c r="B301" s="104" t="s">
        <v>1525</v>
      </c>
      <c r="C301" s="92" t="s">
        <v>1526</v>
      </c>
      <c r="D301" s="64">
        <v>43139</v>
      </c>
      <c r="E301" s="64">
        <v>43643</v>
      </c>
      <c r="F301" s="63" t="s">
        <v>80</v>
      </c>
      <c r="G301" s="63" t="s">
        <v>1527</v>
      </c>
      <c r="H301" s="63" t="s">
        <v>111</v>
      </c>
      <c r="I301" s="65"/>
      <c r="J301" s="63" t="s">
        <v>113</v>
      </c>
      <c r="K301" s="63" t="s">
        <v>82</v>
      </c>
      <c r="L301" s="63" t="s">
        <v>1528</v>
      </c>
      <c r="M301" s="63" t="s">
        <v>116</v>
      </c>
      <c r="N301" s="64">
        <v>43524</v>
      </c>
      <c r="O301" s="82" t="s">
        <v>1529</v>
      </c>
      <c r="P301" s="64">
        <v>43868</v>
      </c>
      <c r="Q301" s="64" t="s">
        <v>911</v>
      </c>
      <c r="R301" s="66" t="s">
        <v>912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59" t="s">
        <v>999</v>
      </c>
    </row>
    <row r="302" spans="1:26" x14ac:dyDescent="0.3">
      <c r="A302" s="63" t="s">
        <v>77</v>
      </c>
      <c r="B302" s="104" t="s">
        <v>1530</v>
      </c>
      <c r="C302" s="92" t="s">
        <v>1531</v>
      </c>
      <c r="D302" s="64">
        <v>43185</v>
      </c>
      <c r="E302" s="64">
        <v>44855</v>
      </c>
      <c r="F302" s="63" t="s">
        <v>80</v>
      </c>
      <c r="G302" s="63" t="s">
        <v>1532</v>
      </c>
      <c r="H302" s="63" t="s">
        <v>111</v>
      </c>
      <c r="I302" s="65" t="s">
        <v>1533</v>
      </c>
      <c r="J302" s="63" t="s">
        <v>113</v>
      </c>
      <c r="K302" s="63" t="s">
        <v>114</v>
      </c>
      <c r="L302" s="63" t="s">
        <v>1534</v>
      </c>
      <c r="M302" s="63" t="s">
        <v>1505</v>
      </c>
      <c r="N302" s="64">
        <v>44099</v>
      </c>
      <c r="O302" s="82" t="s">
        <v>1535</v>
      </c>
      <c r="P302" s="64">
        <v>44840</v>
      </c>
      <c r="Q302" s="64" t="s">
        <v>911</v>
      </c>
      <c r="R302" s="66" t="s">
        <v>912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59" t="s">
        <v>999</v>
      </c>
    </row>
    <row r="303" spans="1:26" x14ac:dyDescent="0.3">
      <c r="A303" s="63" t="s">
        <v>77</v>
      </c>
      <c r="B303" s="104" t="s">
        <v>1536</v>
      </c>
      <c r="C303" s="92" t="s">
        <v>1537</v>
      </c>
      <c r="D303" s="64">
        <v>43070</v>
      </c>
      <c r="E303" s="64">
        <v>44926</v>
      </c>
      <c r="F303" s="63" t="s">
        <v>80</v>
      </c>
      <c r="G303" s="63" t="s">
        <v>1538</v>
      </c>
      <c r="H303" s="63" t="s">
        <v>111</v>
      </c>
      <c r="I303" s="65" t="s">
        <v>1539</v>
      </c>
      <c r="J303" s="63" t="s">
        <v>113</v>
      </c>
      <c r="K303" s="63" t="s">
        <v>114</v>
      </c>
      <c r="L303" s="63" t="s">
        <v>1540</v>
      </c>
      <c r="M303" s="63" t="s">
        <v>116</v>
      </c>
      <c r="N303" s="64">
        <v>44099</v>
      </c>
      <c r="O303" s="82" t="s">
        <v>1541</v>
      </c>
      <c r="P303" s="64">
        <v>44895</v>
      </c>
      <c r="Q303" s="64" t="s">
        <v>911</v>
      </c>
      <c r="R303" s="66" t="s">
        <v>912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59" t="s">
        <v>999</v>
      </c>
    </row>
    <row r="304" spans="1:26" x14ac:dyDescent="0.3">
      <c r="A304" s="63" t="s">
        <v>77</v>
      </c>
      <c r="B304" s="105" t="s">
        <v>1542</v>
      </c>
      <c r="C304" s="92" t="s">
        <v>1543</v>
      </c>
      <c r="D304" s="64">
        <v>42962</v>
      </c>
      <c r="E304" s="64">
        <v>44469</v>
      </c>
      <c r="F304" s="63" t="s">
        <v>80</v>
      </c>
      <c r="G304" s="63" t="s">
        <v>1544</v>
      </c>
      <c r="H304" s="63" t="s">
        <v>111</v>
      </c>
      <c r="I304" s="65" t="s">
        <v>1545</v>
      </c>
      <c r="J304" s="63" t="s">
        <v>113</v>
      </c>
      <c r="K304" s="63" t="s">
        <v>114</v>
      </c>
      <c r="L304" s="63" t="s">
        <v>1546</v>
      </c>
      <c r="M304" s="63" t="s">
        <v>116</v>
      </c>
      <c r="N304" s="64">
        <v>44099</v>
      </c>
      <c r="O304" s="82" t="s">
        <v>1547</v>
      </c>
      <c r="P304" s="64">
        <v>44787</v>
      </c>
      <c r="Q304" s="64" t="s">
        <v>911</v>
      </c>
      <c r="R304" s="66" t="s">
        <v>912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59" t="s">
        <v>999</v>
      </c>
    </row>
    <row r="305" spans="1:26" x14ac:dyDescent="0.3">
      <c r="A305" s="63" t="s">
        <v>77</v>
      </c>
      <c r="B305" s="104" t="s">
        <v>1548</v>
      </c>
      <c r="C305" s="65" t="s">
        <v>1549</v>
      </c>
      <c r="D305" s="64">
        <v>42917</v>
      </c>
      <c r="E305" s="64">
        <v>44377</v>
      </c>
      <c r="F305" s="63" t="s">
        <v>80</v>
      </c>
      <c r="G305" s="63" t="s">
        <v>1550</v>
      </c>
      <c r="H305" s="63" t="s">
        <v>111</v>
      </c>
      <c r="I305" s="65" t="s">
        <v>1551</v>
      </c>
      <c r="J305" s="63" t="s">
        <v>113</v>
      </c>
      <c r="K305" s="63" t="s">
        <v>114</v>
      </c>
      <c r="L305" s="63" t="s">
        <v>1552</v>
      </c>
      <c r="M305" s="63" t="s">
        <v>116</v>
      </c>
      <c r="N305" s="64">
        <v>44099</v>
      </c>
      <c r="O305" s="82" t="s">
        <v>1553</v>
      </c>
      <c r="P305" s="64">
        <v>44377</v>
      </c>
      <c r="Q305" s="64" t="s">
        <v>911</v>
      </c>
      <c r="R305" s="66" t="s">
        <v>912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59" t="s">
        <v>999</v>
      </c>
    </row>
    <row r="306" spans="1:26" x14ac:dyDescent="0.3">
      <c r="A306" s="63" t="s">
        <v>77</v>
      </c>
      <c r="B306" s="104" t="s">
        <v>454</v>
      </c>
      <c r="C306" s="65" t="s">
        <v>455</v>
      </c>
      <c r="D306" s="64">
        <v>42709</v>
      </c>
      <c r="E306" s="64">
        <v>45995</v>
      </c>
      <c r="F306" s="63" t="s">
        <v>80</v>
      </c>
      <c r="G306" s="63" t="s">
        <v>456</v>
      </c>
      <c r="H306" s="63" t="s">
        <v>111</v>
      </c>
      <c r="I306" s="65" t="s">
        <v>457</v>
      </c>
      <c r="J306" s="63" t="s">
        <v>113</v>
      </c>
      <c r="K306" s="63" t="s">
        <v>114</v>
      </c>
      <c r="L306" s="63" t="s">
        <v>458</v>
      </c>
      <c r="M306" s="63" t="s">
        <v>131</v>
      </c>
      <c r="N306" s="64">
        <v>44099</v>
      </c>
      <c r="O306" s="82" t="s">
        <v>459</v>
      </c>
      <c r="P306" s="64">
        <v>45995</v>
      </c>
      <c r="Q306" s="58" t="s">
        <v>1011</v>
      </c>
      <c r="R306" s="66" t="s">
        <v>911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59"/>
    </row>
    <row r="307" spans="1:26" x14ac:dyDescent="0.3">
      <c r="A307" s="63" t="s">
        <v>77</v>
      </c>
      <c r="B307" s="104" t="s">
        <v>1554</v>
      </c>
      <c r="C307" s="65" t="s">
        <v>1555</v>
      </c>
      <c r="D307" s="64">
        <v>43349</v>
      </c>
      <c r="E307" s="64">
        <v>45569</v>
      </c>
      <c r="F307" s="63" t="s">
        <v>80</v>
      </c>
      <c r="G307" s="63" t="s">
        <v>1556</v>
      </c>
      <c r="H307" s="63" t="s">
        <v>111</v>
      </c>
      <c r="I307" s="65" t="s">
        <v>1557</v>
      </c>
      <c r="J307" s="63" t="s">
        <v>113</v>
      </c>
      <c r="K307" s="63" t="s">
        <v>114</v>
      </c>
      <c r="L307" s="63" t="s">
        <v>1558</v>
      </c>
      <c r="M307" s="63" t="s">
        <v>410</v>
      </c>
      <c r="N307" s="64">
        <v>44099</v>
      </c>
      <c r="O307" s="82" t="s">
        <v>1559</v>
      </c>
      <c r="P307" s="64">
        <v>45571</v>
      </c>
      <c r="Q307" s="64" t="s">
        <v>911</v>
      </c>
      <c r="R307" s="66" t="s">
        <v>912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59" t="s">
        <v>999</v>
      </c>
    </row>
    <row r="308" spans="1:26" x14ac:dyDescent="0.3">
      <c r="A308" s="63" t="s">
        <v>77</v>
      </c>
      <c r="B308" s="104" t="s">
        <v>1560</v>
      </c>
      <c r="C308" s="65" t="s">
        <v>1561</v>
      </c>
      <c r="D308" s="64">
        <v>43349</v>
      </c>
      <c r="E308" s="64">
        <v>45541</v>
      </c>
      <c r="F308" s="63" t="s">
        <v>80</v>
      </c>
      <c r="G308" s="63" t="s">
        <v>1562</v>
      </c>
      <c r="H308" s="63" t="s">
        <v>111</v>
      </c>
      <c r="I308" s="65" t="s">
        <v>1563</v>
      </c>
      <c r="J308" s="63" t="s">
        <v>113</v>
      </c>
      <c r="K308" s="63" t="s">
        <v>114</v>
      </c>
      <c r="L308" s="63" t="s">
        <v>1564</v>
      </c>
      <c r="M308" s="63" t="s">
        <v>410</v>
      </c>
      <c r="N308" s="64">
        <v>44099</v>
      </c>
      <c r="O308" s="82" t="s">
        <v>1565</v>
      </c>
      <c r="P308" s="64">
        <v>45541</v>
      </c>
      <c r="Q308" s="64" t="s">
        <v>911</v>
      </c>
      <c r="R308" s="66" t="s">
        <v>1566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90" t="s">
        <v>155</v>
      </c>
    </row>
    <row r="309" spans="1:26" x14ac:dyDescent="0.3">
      <c r="A309" s="63" t="s">
        <v>77</v>
      </c>
      <c r="B309" s="104" t="s">
        <v>1567</v>
      </c>
      <c r="C309" s="65" t="s">
        <v>1568</v>
      </c>
      <c r="D309" s="64">
        <v>43466</v>
      </c>
      <c r="E309" s="64">
        <v>45369</v>
      </c>
      <c r="F309" s="63" t="s">
        <v>80</v>
      </c>
      <c r="G309" s="63" t="s">
        <v>1569</v>
      </c>
      <c r="H309" s="63" t="s">
        <v>111</v>
      </c>
      <c r="I309" s="65"/>
      <c r="J309" s="63" t="s">
        <v>113</v>
      </c>
      <c r="K309" s="63" t="s">
        <v>469</v>
      </c>
      <c r="L309" s="63" t="s">
        <v>1570</v>
      </c>
      <c r="M309" s="63" t="s">
        <v>123</v>
      </c>
      <c r="N309" s="64">
        <v>43616</v>
      </c>
      <c r="O309" s="82" t="s">
        <v>1571</v>
      </c>
      <c r="P309" s="64">
        <v>45583</v>
      </c>
      <c r="Q309" s="58" t="s">
        <v>1011</v>
      </c>
      <c r="R309" s="66" t="s">
        <v>911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90" t="s">
        <v>155</v>
      </c>
      <c r="Z309" s="145"/>
    </row>
    <row r="310" spans="1:26" x14ac:dyDescent="0.3">
      <c r="A310" s="63" t="s">
        <v>77</v>
      </c>
      <c r="B310" s="104" t="s">
        <v>1572</v>
      </c>
      <c r="C310" s="65" t="s">
        <v>1573</v>
      </c>
      <c r="D310" s="64">
        <v>43466</v>
      </c>
      <c r="E310" s="64">
        <v>45291</v>
      </c>
      <c r="F310" s="63" t="s">
        <v>80</v>
      </c>
      <c r="G310" s="63" t="s">
        <v>1574</v>
      </c>
      <c r="H310" s="63" t="s">
        <v>111</v>
      </c>
      <c r="I310" s="65"/>
      <c r="J310" s="63" t="s">
        <v>113</v>
      </c>
      <c r="K310" s="63" t="s">
        <v>469</v>
      </c>
      <c r="L310" s="63" t="s">
        <v>1575</v>
      </c>
      <c r="M310" s="63" t="s">
        <v>131</v>
      </c>
      <c r="N310" s="64">
        <v>43619</v>
      </c>
      <c r="O310" s="82" t="s">
        <v>1576</v>
      </c>
      <c r="P310" s="64">
        <v>45291</v>
      </c>
      <c r="Q310" s="58" t="s">
        <v>1011</v>
      </c>
      <c r="R310" s="66" t="s">
        <v>911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59" t="s">
        <v>249</v>
      </c>
      <c r="Z310" s="145"/>
    </row>
    <row r="311" spans="1:26" x14ac:dyDescent="0.3">
      <c r="A311" s="63" t="s">
        <v>77</v>
      </c>
      <c r="B311" s="104" t="s">
        <v>1577</v>
      </c>
      <c r="C311" s="65" t="s">
        <v>1578</v>
      </c>
      <c r="D311" s="64">
        <v>43466</v>
      </c>
      <c r="E311" s="64">
        <v>45961</v>
      </c>
      <c r="F311" s="63" t="s">
        <v>80</v>
      </c>
      <c r="G311" s="63" t="s">
        <v>1579</v>
      </c>
      <c r="H311" s="63" t="s">
        <v>111</v>
      </c>
      <c r="I311" s="65"/>
      <c r="J311" s="63" t="s">
        <v>113</v>
      </c>
      <c r="K311" s="63" t="s">
        <v>469</v>
      </c>
      <c r="L311" s="63" t="s">
        <v>1580</v>
      </c>
      <c r="M311" s="63" t="s">
        <v>397</v>
      </c>
      <c r="N311" s="64">
        <v>43619</v>
      </c>
      <c r="O311" s="82" t="s">
        <v>1581</v>
      </c>
      <c r="P311" s="64">
        <v>45961</v>
      </c>
      <c r="Q311" s="58" t="s">
        <v>1011</v>
      </c>
      <c r="R311" s="66" t="s">
        <v>911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87" t="s">
        <v>155</v>
      </c>
    </row>
    <row r="312" spans="1:26" x14ac:dyDescent="0.3">
      <c r="A312" s="63" t="s">
        <v>77</v>
      </c>
      <c r="B312" s="104" t="s">
        <v>1582</v>
      </c>
      <c r="C312" s="65" t="s">
        <v>1583</v>
      </c>
      <c r="D312" s="64">
        <v>43617</v>
      </c>
      <c r="E312" s="64">
        <v>45077</v>
      </c>
      <c r="F312" s="63" t="s">
        <v>80</v>
      </c>
      <c r="G312" s="63" t="s">
        <v>1584</v>
      </c>
      <c r="H312" s="63" t="s">
        <v>111</v>
      </c>
      <c r="I312" s="65"/>
      <c r="J312" s="63" t="s">
        <v>113</v>
      </c>
      <c r="K312" s="63" t="s">
        <v>469</v>
      </c>
      <c r="L312" s="63" t="s">
        <v>1585</v>
      </c>
      <c r="M312" s="63" t="s">
        <v>131</v>
      </c>
      <c r="N312" s="64">
        <v>43731</v>
      </c>
      <c r="O312" s="82" t="s">
        <v>1586</v>
      </c>
      <c r="P312" s="64">
        <v>45443</v>
      </c>
      <c r="Q312" s="64" t="s">
        <v>911</v>
      </c>
      <c r="R312" s="66" t="s">
        <v>912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59" t="s">
        <v>999</v>
      </c>
    </row>
    <row r="313" spans="1:26" x14ac:dyDescent="0.3">
      <c r="A313" s="63" t="s">
        <v>77</v>
      </c>
      <c r="B313" s="104" t="s">
        <v>1587</v>
      </c>
      <c r="C313" s="65" t="s">
        <v>1588</v>
      </c>
      <c r="D313" s="64">
        <v>43597</v>
      </c>
      <c r="E313" s="64">
        <v>45728</v>
      </c>
      <c r="F313" s="63" t="s">
        <v>80</v>
      </c>
      <c r="G313" s="63" t="s">
        <v>1589</v>
      </c>
      <c r="H313" s="63" t="s">
        <v>111</v>
      </c>
      <c r="I313" s="65"/>
      <c r="J313" s="63" t="s">
        <v>113</v>
      </c>
      <c r="K313" s="63" t="s">
        <v>469</v>
      </c>
      <c r="L313" s="63" t="s">
        <v>1534</v>
      </c>
      <c r="M313" s="63" t="s">
        <v>131</v>
      </c>
      <c r="N313" s="64">
        <v>43675</v>
      </c>
      <c r="O313" s="82" t="s">
        <v>1590</v>
      </c>
      <c r="P313" s="64">
        <v>45728</v>
      </c>
      <c r="Q313" s="58" t="s">
        <v>1011</v>
      </c>
      <c r="R313" s="66" t="s">
        <v>911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90" t="s">
        <v>155</v>
      </c>
      <c r="Z313" s="145"/>
    </row>
    <row r="314" spans="1:26" x14ac:dyDescent="0.3">
      <c r="A314" s="63" t="s">
        <v>77</v>
      </c>
      <c r="B314" s="104" t="s">
        <v>1591</v>
      </c>
      <c r="C314" s="65" t="s">
        <v>1592</v>
      </c>
      <c r="D314" s="64">
        <v>43485</v>
      </c>
      <c r="E314" s="64">
        <v>45310</v>
      </c>
      <c r="F314" s="63" t="s">
        <v>80</v>
      </c>
      <c r="G314" s="63" t="s">
        <v>1593</v>
      </c>
      <c r="H314" s="63" t="s">
        <v>111</v>
      </c>
      <c r="I314" s="65"/>
      <c r="J314" s="63" t="s">
        <v>113</v>
      </c>
      <c r="K314" s="63" t="s">
        <v>469</v>
      </c>
      <c r="L314" s="63" t="s">
        <v>1594</v>
      </c>
      <c r="M314" s="63" t="s">
        <v>131</v>
      </c>
      <c r="N314" s="64">
        <v>43675</v>
      </c>
      <c r="O314" s="82" t="s">
        <v>767</v>
      </c>
      <c r="P314" s="64">
        <v>45310</v>
      </c>
      <c r="Q314" s="58" t="s">
        <v>911</v>
      </c>
      <c r="R314" s="66" t="s">
        <v>1595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90" t="s">
        <v>155</v>
      </c>
    </row>
    <row r="315" spans="1:26" x14ac:dyDescent="0.3">
      <c r="A315" s="63" t="s">
        <v>77</v>
      </c>
      <c r="B315" s="104" t="s">
        <v>1601</v>
      </c>
      <c r="C315" s="65" t="s">
        <v>807</v>
      </c>
      <c r="D315" s="64">
        <v>43739</v>
      </c>
      <c r="E315" s="64">
        <v>45626</v>
      </c>
      <c r="F315" s="63" t="s">
        <v>80</v>
      </c>
      <c r="G315" s="63" t="s">
        <v>1602</v>
      </c>
      <c r="H315" s="63" t="s">
        <v>111</v>
      </c>
      <c r="I315" s="65"/>
      <c r="J315" s="63" t="s">
        <v>113</v>
      </c>
      <c r="K315" s="63" t="s">
        <v>469</v>
      </c>
      <c r="L315" s="63" t="s">
        <v>1603</v>
      </c>
      <c r="M315" s="63" t="s">
        <v>131</v>
      </c>
      <c r="N315" s="64">
        <v>43789</v>
      </c>
      <c r="O315" s="82" t="s">
        <v>809</v>
      </c>
      <c r="P315" s="64">
        <v>45626</v>
      </c>
      <c r="Q315" s="58" t="s">
        <v>1011</v>
      </c>
      <c r="R315" s="66" t="s">
        <v>1604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59"/>
    </row>
    <row r="316" spans="1:26" x14ac:dyDescent="0.3">
      <c r="A316" s="63" t="s">
        <v>77</v>
      </c>
      <c r="B316" s="104" t="s">
        <v>1605</v>
      </c>
      <c r="C316" s="65" t="s">
        <v>1606</v>
      </c>
      <c r="D316" s="64">
        <v>43800</v>
      </c>
      <c r="E316" s="64">
        <v>45260</v>
      </c>
      <c r="F316" s="63" t="s">
        <v>80</v>
      </c>
      <c r="G316" s="63" t="s">
        <v>1607</v>
      </c>
      <c r="H316" s="63" t="s">
        <v>111</v>
      </c>
      <c r="I316" s="65"/>
      <c r="J316" s="63" t="s">
        <v>113</v>
      </c>
      <c r="K316" s="63" t="s">
        <v>469</v>
      </c>
      <c r="L316" s="63" t="s">
        <v>1608</v>
      </c>
      <c r="M316" s="63" t="s">
        <v>481</v>
      </c>
      <c r="N316" s="64">
        <v>44000</v>
      </c>
      <c r="O316" s="82" t="s">
        <v>1609</v>
      </c>
      <c r="P316" s="64">
        <v>45260</v>
      </c>
      <c r="Q316" s="58" t="s">
        <v>911</v>
      </c>
      <c r="R316" s="66" t="s">
        <v>1610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59" t="s">
        <v>249</v>
      </c>
    </row>
    <row r="317" spans="1:26" x14ac:dyDescent="0.3">
      <c r="A317" s="63" t="s">
        <v>77</v>
      </c>
      <c r="B317" s="105" t="s">
        <v>1611</v>
      </c>
      <c r="C317" s="65" t="s">
        <v>1612</v>
      </c>
      <c r="D317" s="64">
        <v>43620</v>
      </c>
      <c r="E317" s="64">
        <v>45080</v>
      </c>
      <c r="F317" s="63" t="s">
        <v>80</v>
      </c>
      <c r="G317" s="63" t="s">
        <v>1613</v>
      </c>
      <c r="H317" s="63" t="s">
        <v>111</v>
      </c>
      <c r="I317" s="65"/>
      <c r="J317" s="63" t="s">
        <v>113</v>
      </c>
      <c r="K317" s="63" t="s">
        <v>114</v>
      </c>
      <c r="L317" s="63" t="s">
        <v>1614</v>
      </c>
      <c r="M317" s="63" t="s">
        <v>139</v>
      </c>
      <c r="N317" s="64">
        <v>44317</v>
      </c>
      <c r="O317" s="82" t="s">
        <v>1615</v>
      </c>
      <c r="P317" s="64">
        <v>45080</v>
      </c>
      <c r="Q317" s="64" t="s">
        <v>911</v>
      </c>
      <c r="R317" s="66" t="s">
        <v>912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59" t="s">
        <v>999</v>
      </c>
    </row>
    <row r="318" spans="1:26" x14ac:dyDescent="0.3">
      <c r="A318" s="63" t="s">
        <v>77</v>
      </c>
      <c r="B318" s="105" t="s">
        <v>483</v>
      </c>
      <c r="C318" s="65" t="s">
        <v>484</v>
      </c>
      <c r="D318" s="64">
        <v>42345</v>
      </c>
      <c r="E318" s="64">
        <v>45997</v>
      </c>
      <c r="F318" s="63" t="s">
        <v>80</v>
      </c>
      <c r="G318" s="63" t="s">
        <v>485</v>
      </c>
      <c r="H318" s="63" t="s">
        <v>111</v>
      </c>
      <c r="I318" s="65"/>
      <c r="J318" s="63" t="s">
        <v>113</v>
      </c>
      <c r="K318" s="63" t="s">
        <v>114</v>
      </c>
      <c r="L318" s="63" t="s">
        <v>486</v>
      </c>
      <c r="M318" s="63" t="s">
        <v>487</v>
      </c>
      <c r="N318" s="64">
        <v>44317</v>
      </c>
      <c r="O318" s="82" t="s">
        <v>488</v>
      </c>
      <c r="P318" s="64">
        <v>45997</v>
      </c>
      <c r="Q318" s="58" t="s">
        <v>1011</v>
      </c>
      <c r="R318" s="66" t="s">
        <v>911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59"/>
    </row>
    <row r="319" spans="1:26" x14ac:dyDescent="0.3">
      <c r="A319" s="63" t="s">
        <v>77</v>
      </c>
      <c r="B319" s="105" t="s">
        <v>1616</v>
      </c>
      <c r="C319" s="65" t="s">
        <v>1617</v>
      </c>
      <c r="D319" s="64">
        <v>41214</v>
      </c>
      <c r="E319" s="64">
        <v>45657</v>
      </c>
      <c r="F319" s="63" t="s">
        <v>80</v>
      </c>
      <c r="G319" s="63" t="s">
        <v>1618</v>
      </c>
      <c r="H319" s="63" t="s">
        <v>111</v>
      </c>
      <c r="I319" s="65"/>
      <c r="J319" s="63" t="s">
        <v>113</v>
      </c>
      <c r="K319" s="63" t="s">
        <v>114</v>
      </c>
      <c r="L319" s="63" t="s">
        <v>1619</v>
      </c>
      <c r="M319" s="63" t="s">
        <v>487</v>
      </c>
      <c r="N319" s="64">
        <v>44317</v>
      </c>
      <c r="O319" s="82" t="s">
        <v>1620</v>
      </c>
      <c r="P319" s="64">
        <v>45657</v>
      </c>
      <c r="Q319" s="58" t="s">
        <v>1011</v>
      </c>
      <c r="R319" s="66" t="s">
        <v>912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90" t="s">
        <v>125</v>
      </c>
    </row>
    <row r="320" spans="1:26" x14ac:dyDescent="0.3">
      <c r="A320" s="63" t="s">
        <v>77</v>
      </c>
      <c r="B320" s="105" t="s">
        <v>494</v>
      </c>
      <c r="C320" s="65" t="s">
        <v>495</v>
      </c>
      <c r="D320" s="64">
        <v>42309</v>
      </c>
      <c r="E320" s="64">
        <v>46053</v>
      </c>
      <c r="F320" s="63" t="s">
        <v>80</v>
      </c>
      <c r="G320" s="63" t="s">
        <v>496</v>
      </c>
      <c r="H320" s="63" t="s">
        <v>111</v>
      </c>
      <c r="I320" s="65"/>
      <c r="J320" s="63" t="s">
        <v>113</v>
      </c>
      <c r="K320" s="63" t="s">
        <v>114</v>
      </c>
      <c r="L320" s="63" t="s">
        <v>497</v>
      </c>
      <c r="M320" s="63" t="s">
        <v>410</v>
      </c>
      <c r="N320" s="64">
        <v>44317</v>
      </c>
      <c r="O320" s="82" t="s">
        <v>498</v>
      </c>
      <c r="P320" s="64">
        <v>46053</v>
      </c>
      <c r="Q320" s="58" t="s">
        <v>1011</v>
      </c>
      <c r="R320" s="66" t="s">
        <v>911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59"/>
    </row>
    <row r="321" spans="1:26" x14ac:dyDescent="0.3">
      <c r="A321" s="63" t="s">
        <v>77</v>
      </c>
      <c r="B321" s="104" t="s">
        <v>1621</v>
      </c>
      <c r="C321" s="65" t="s">
        <v>1622</v>
      </c>
      <c r="D321" s="64">
        <v>43556</v>
      </c>
      <c r="E321" s="64">
        <v>45003</v>
      </c>
      <c r="F321" s="63" t="s">
        <v>80</v>
      </c>
      <c r="G321" s="63" t="s">
        <v>1623</v>
      </c>
      <c r="H321" s="63" t="s">
        <v>111</v>
      </c>
      <c r="I321" s="65"/>
      <c r="J321" s="63" t="s">
        <v>113</v>
      </c>
      <c r="K321" s="63" t="s">
        <v>114</v>
      </c>
      <c r="L321" s="63" t="s">
        <v>1624</v>
      </c>
      <c r="M321" s="63" t="s">
        <v>1625</v>
      </c>
      <c r="N321" s="64">
        <v>44317</v>
      </c>
      <c r="O321" s="82" t="s">
        <v>1626</v>
      </c>
      <c r="P321" s="64">
        <v>45016</v>
      </c>
      <c r="Q321" s="64" t="s">
        <v>911</v>
      </c>
      <c r="R321" s="66" t="s">
        <v>912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59" t="s">
        <v>999</v>
      </c>
    </row>
    <row r="322" spans="1:26" x14ac:dyDescent="0.3">
      <c r="A322" s="63" t="s">
        <v>77</v>
      </c>
      <c r="B322" s="105" t="s">
        <v>499</v>
      </c>
      <c r="C322" s="65" t="s">
        <v>500</v>
      </c>
      <c r="D322" s="64">
        <v>42309</v>
      </c>
      <c r="E322" s="64">
        <v>46053</v>
      </c>
      <c r="F322" s="63" t="s">
        <v>80</v>
      </c>
      <c r="G322" s="63" t="s">
        <v>501</v>
      </c>
      <c r="H322" s="63" t="s">
        <v>111</v>
      </c>
      <c r="I322" s="65"/>
      <c r="J322" s="63" t="s">
        <v>113</v>
      </c>
      <c r="K322" s="63" t="s">
        <v>114</v>
      </c>
      <c r="L322" s="63" t="s">
        <v>502</v>
      </c>
      <c r="M322" s="63" t="s">
        <v>410</v>
      </c>
      <c r="N322" s="64">
        <v>44317</v>
      </c>
      <c r="O322" s="82" t="s">
        <v>503</v>
      </c>
      <c r="P322" s="64">
        <v>46053</v>
      </c>
      <c r="Q322" s="58" t="s">
        <v>1011</v>
      </c>
      <c r="R322" s="66" t="s">
        <v>911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59"/>
    </row>
    <row r="323" spans="1:26" x14ac:dyDescent="0.3">
      <c r="A323" s="63" t="s">
        <v>77</v>
      </c>
      <c r="B323" s="104" t="s">
        <v>1627</v>
      </c>
      <c r="C323" s="65" t="s">
        <v>1628</v>
      </c>
      <c r="D323" s="64">
        <v>36676</v>
      </c>
      <c r="E323" s="64">
        <v>44804</v>
      </c>
      <c r="F323" s="63" t="s">
        <v>80</v>
      </c>
      <c r="G323" s="63" t="s">
        <v>1629</v>
      </c>
      <c r="H323" s="63" t="s">
        <v>111</v>
      </c>
      <c r="I323" s="65"/>
      <c r="J323" s="63" t="s">
        <v>113</v>
      </c>
      <c r="K323" s="63" t="s">
        <v>114</v>
      </c>
      <c r="L323" s="63" t="s">
        <v>1630</v>
      </c>
      <c r="M323" s="63" t="s">
        <v>1631</v>
      </c>
      <c r="N323" s="64">
        <v>44317</v>
      </c>
      <c r="O323" s="82" t="s">
        <v>508</v>
      </c>
      <c r="P323" s="64">
        <v>44804</v>
      </c>
      <c r="Q323" s="64" t="s">
        <v>911</v>
      </c>
      <c r="R323" s="66" t="s">
        <v>1632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59" t="s">
        <v>999</v>
      </c>
    </row>
    <row r="324" spans="1:26" x14ac:dyDescent="0.3">
      <c r="A324" s="63" t="s">
        <v>77</v>
      </c>
      <c r="B324" s="105" t="s">
        <v>515</v>
      </c>
      <c r="C324" s="65" t="s">
        <v>516</v>
      </c>
      <c r="D324" s="64">
        <v>40954</v>
      </c>
      <c r="E324" s="64">
        <v>46053</v>
      </c>
      <c r="F324" s="63" t="s">
        <v>80</v>
      </c>
      <c r="G324" s="63" t="s">
        <v>517</v>
      </c>
      <c r="H324" s="63" t="s">
        <v>111</v>
      </c>
      <c r="I324" s="65"/>
      <c r="J324" s="63" t="s">
        <v>113</v>
      </c>
      <c r="K324" s="63" t="s">
        <v>114</v>
      </c>
      <c r="L324" s="63" t="s">
        <v>518</v>
      </c>
      <c r="M324" s="63" t="s">
        <v>519</v>
      </c>
      <c r="N324" s="64">
        <v>44317</v>
      </c>
      <c r="O324" s="82" t="s">
        <v>520</v>
      </c>
      <c r="P324" s="64">
        <v>46053</v>
      </c>
      <c r="Q324" s="58" t="s">
        <v>1011</v>
      </c>
      <c r="R324" s="66" t="s">
        <v>911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59"/>
    </row>
    <row r="325" spans="1:26" x14ac:dyDescent="0.3">
      <c r="A325" s="63" t="s">
        <v>77</v>
      </c>
      <c r="B325" s="105" t="s">
        <v>521</v>
      </c>
      <c r="C325" s="65" t="s">
        <v>522</v>
      </c>
      <c r="D325" s="64">
        <v>42309</v>
      </c>
      <c r="E325" s="64">
        <v>46053</v>
      </c>
      <c r="F325" s="63" t="s">
        <v>80</v>
      </c>
      <c r="G325" s="63" t="s">
        <v>523</v>
      </c>
      <c r="H325" s="63" t="s">
        <v>111</v>
      </c>
      <c r="I325" s="65"/>
      <c r="J325" s="63" t="s">
        <v>113</v>
      </c>
      <c r="K325" s="63" t="s">
        <v>114</v>
      </c>
      <c r="L325" s="63" t="s">
        <v>524</v>
      </c>
      <c r="M325" s="63" t="s">
        <v>410</v>
      </c>
      <c r="N325" s="64">
        <v>44317</v>
      </c>
      <c r="O325" s="82" t="s">
        <v>525</v>
      </c>
      <c r="P325" s="64">
        <v>46053</v>
      </c>
      <c r="Q325" s="58" t="s">
        <v>1011</v>
      </c>
      <c r="R325" s="66" t="s">
        <v>911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59"/>
    </row>
    <row r="326" spans="1:26" x14ac:dyDescent="0.3">
      <c r="A326" s="63" t="s">
        <v>77</v>
      </c>
      <c r="B326" s="104" t="s">
        <v>1639</v>
      </c>
      <c r="C326" s="65" t="s">
        <v>1640</v>
      </c>
      <c r="D326" s="64">
        <v>41835</v>
      </c>
      <c r="E326" s="64">
        <v>44926</v>
      </c>
      <c r="F326" s="63" t="s">
        <v>80</v>
      </c>
      <c r="G326" s="63" t="s">
        <v>1641</v>
      </c>
      <c r="H326" s="63" t="s">
        <v>111</v>
      </c>
      <c r="I326" s="65"/>
      <c r="J326" s="63" t="s">
        <v>113</v>
      </c>
      <c r="K326" s="63" t="s">
        <v>114</v>
      </c>
      <c r="L326" s="63" t="s">
        <v>1642</v>
      </c>
      <c r="M326" s="63" t="s">
        <v>1643</v>
      </c>
      <c r="N326" s="64">
        <v>44317</v>
      </c>
      <c r="O326" s="82" t="s">
        <v>1644</v>
      </c>
      <c r="P326" s="64">
        <v>44926</v>
      </c>
      <c r="Q326" s="64" t="s">
        <v>911</v>
      </c>
      <c r="R326" s="66" t="s">
        <v>912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59" t="s">
        <v>999</v>
      </c>
    </row>
    <row r="327" spans="1:26" x14ac:dyDescent="0.3">
      <c r="A327" s="63" t="s">
        <v>77</v>
      </c>
      <c r="B327" s="105" t="s">
        <v>1645</v>
      </c>
      <c r="C327" s="65" t="s">
        <v>839</v>
      </c>
      <c r="D327" s="64">
        <v>43470</v>
      </c>
      <c r="E327" s="64">
        <v>45661</v>
      </c>
      <c r="F327" s="63" t="s">
        <v>80</v>
      </c>
      <c r="G327" s="63" t="s">
        <v>1646</v>
      </c>
      <c r="H327" s="63" t="s">
        <v>111</v>
      </c>
      <c r="I327" s="65"/>
      <c r="J327" s="63" t="s">
        <v>113</v>
      </c>
      <c r="K327" s="63" t="s">
        <v>114</v>
      </c>
      <c r="L327" s="63" t="s">
        <v>1647</v>
      </c>
      <c r="M327" s="63" t="s">
        <v>174</v>
      </c>
      <c r="N327" s="64">
        <v>44317</v>
      </c>
      <c r="O327" s="82" t="s">
        <v>841</v>
      </c>
      <c r="P327" s="64">
        <v>46756</v>
      </c>
      <c r="Q327" s="64" t="s">
        <v>911</v>
      </c>
      <c r="R327" s="66" t="s">
        <v>1648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59"/>
    </row>
    <row r="328" spans="1:26" x14ac:dyDescent="0.3">
      <c r="A328" s="63" t="s">
        <v>77</v>
      </c>
      <c r="B328" s="104" t="s">
        <v>1649</v>
      </c>
      <c r="C328" s="65" t="s">
        <v>1650</v>
      </c>
      <c r="D328" s="64">
        <v>42597</v>
      </c>
      <c r="E328" s="64">
        <v>44926</v>
      </c>
      <c r="F328" s="63" t="s">
        <v>80</v>
      </c>
      <c r="G328" s="63" t="s">
        <v>1651</v>
      </c>
      <c r="H328" s="63" t="s">
        <v>111</v>
      </c>
      <c r="I328" s="65"/>
      <c r="J328" s="63" t="s">
        <v>113</v>
      </c>
      <c r="K328" s="63" t="s">
        <v>114</v>
      </c>
      <c r="L328" s="63" t="s">
        <v>1652</v>
      </c>
      <c r="M328" s="63" t="s">
        <v>131</v>
      </c>
      <c r="N328" s="64">
        <v>44317</v>
      </c>
      <c r="O328" s="82" t="s">
        <v>1653</v>
      </c>
      <c r="P328" s="64">
        <v>47087</v>
      </c>
      <c r="Q328" s="64" t="s">
        <v>82</v>
      </c>
      <c r="R328" s="66" t="s">
        <v>1654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59"/>
    </row>
    <row r="329" spans="1:26" x14ac:dyDescent="0.3">
      <c r="A329" s="63" t="s">
        <v>77</v>
      </c>
      <c r="B329" s="105" t="s">
        <v>1655</v>
      </c>
      <c r="C329" s="65" t="s">
        <v>1656</v>
      </c>
      <c r="D329" s="64">
        <v>43647</v>
      </c>
      <c r="E329" s="64">
        <v>45838</v>
      </c>
      <c r="F329" s="63" t="s">
        <v>80</v>
      </c>
      <c r="G329" s="63" t="s">
        <v>1657</v>
      </c>
      <c r="H329" s="63" t="s">
        <v>111</v>
      </c>
      <c r="I329" s="65"/>
      <c r="J329" s="63" t="s">
        <v>113</v>
      </c>
      <c r="K329" s="63" t="s">
        <v>114</v>
      </c>
      <c r="L329" s="63" t="s">
        <v>1658</v>
      </c>
      <c r="M329" s="63" t="s">
        <v>174</v>
      </c>
      <c r="N329" s="64">
        <v>44317</v>
      </c>
      <c r="O329" s="82" t="s">
        <v>1659</v>
      </c>
      <c r="P329" s="64">
        <v>45838</v>
      </c>
      <c r="Q329" s="58" t="s">
        <v>911</v>
      </c>
      <c r="R329" s="66" t="s">
        <v>3574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90" t="s">
        <v>125</v>
      </c>
    </row>
    <row r="330" spans="1:26" x14ac:dyDescent="0.3">
      <c r="A330" s="63" t="s">
        <v>77</v>
      </c>
      <c r="B330" s="104" t="s">
        <v>1660</v>
      </c>
      <c r="C330" s="65" t="s">
        <v>1661</v>
      </c>
      <c r="D330" s="64">
        <v>41928</v>
      </c>
      <c r="E330" s="64">
        <v>44407</v>
      </c>
      <c r="F330" s="63" t="s">
        <v>80</v>
      </c>
      <c r="G330" s="63" t="s">
        <v>1662</v>
      </c>
      <c r="H330" s="63" t="s">
        <v>111</v>
      </c>
      <c r="I330" s="65"/>
      <c r="J330" s="63" t="s">
        <v>113</v>
      </c>
      <c r="K330" s="63" t="s">
        <v>114</v>
      </c>
      <c r="L330" s="63" t="s">
        <v>1663</v>
      </c>
      <c r="M330" s="63" t="s">
        <v>1664</v>
      </c>
      <c r="N330" s="64">
        <v>44317</v>
      </c>
      <c r="O330" s="82" t="s">
        <v>1665</v>
      </c>
      <c r="P330" s="64">
        <v>44499</v>
      </c>
      <c r="Q330" s="64" t="s">
        <v>911</v>
      </c>
      <c r="R330" s="66" t="s">
        <v>912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59" t="s">
        <v>999</v>
      </c>
    </row>
    <row r="331" spans="1:26" x14ac:dyDescent="0.3">
      <c r="A331" s="63" t="s">
        <v>77</v>
      </c>
      <c r="B331" s="105" t="s">
        <v>1666</v>
      </c>
      <c r="C331" s="65" t="s">
        <v>863</v>
      </c>
      <c r="D331" s="64">
        <v>43585</v>
      </c>
      <c r="E331" s="64">
        <v>45657</v>
      </c>
      <c r="F331" s="63" t="s">
        <v>80</v>
      </c>
      <c r="G331" s="63" t="s">
        <v>1667</v>
      </c>
      <c r="H331" s="63" t="s">
        <v>111</v>
      </c>
      <c r="I331" s="65"/>
      <c r="J331" s="63" t="s">
        <v>113</v>
      </c>
      <c r="K331" s="63" t="s">
        <v>114</v>
      </c>
      <c r="L331" s="63" t="s">
        <v>1668</v>
      </c>
      <c r="M331" s="63" t="s">
        <v>1669</v>
      </c>
      <c r="N331" s="64">
        <v>44317</v>
      </c>
      <c r="O331" s="82" t="s">
        <v>865</v>
      </c>
      <c r="P331" s="64">
        <v>45657</v>
      </c>
      <c r="Q331" s="58" t="s">
        <v>1011</v>
      </c>
      <c r="R331" s="66" t="s">
        <v>1670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59"/>
      <c r="Z331" s="145"/>
    </row>
    <row r="332" spans="1:26" x14ac:dyDescent="0.3">
      <c r="A332" s="63" t="s">
        <v>77</v>
      </c>
      <c r="B332" s="105" t="s">
        <v>1671</v>
      </c>
      <c r="C332" s="65" t="s">
        <v>1672</v>
      </c>
      <c r="D332" s="64">
        <v>42931</v>
      </c>
      <c r="E332" s="64">
        <v>45504</v>
      </c>
      <c r="F332" s="63" t="s">
        <v>80</v>
      </c>
      <c r="G332" s="63" t="s">
        <v>1673</v>
      </c>
      <c r="H332" s="63" t="s">
        <v>111</v>
      </c>
      <c r="I332" s="65"/>
      <c r="J332" s="63" t="s">
        <v>113</v>
      </c>
      <c r="K332" s="63" t="s">
        <v>114</v>
      </c>
      <c r="L332" s="63" t="s">
        <v>1674</v>
      </c>
      <c r="M332" s="63" t="s">
        <v>131</v>
      </c>
      <c r="N332" s="64">
        <v>44317</v>
      </c>
      <c r="O332" s="82" t="s">
        <v>1675</v>
      </c>
      <c r="P332" s="64">
        <v>45504</v>
      </c>
      <c r="Q332" s="64" t="s">
        <v>911</v>
      </c>
      <c r="R332" s="66" t="s">
        <v>912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90" t="s">
        <v>1153</v>
      </c>
    </row>
    <row r="333" spans="1:26" x14ac:dyDescent="0.3">
      <c r="A333" s="63" t="s">
        <v>77</v>
      </c>
      <c r="B333" s="105" t="s">
        <v>1676</v>
      </c>
      <c r="C333" s="65" t="s">
        <v>1677</v>
      </c>
      <c r="D333" s="64">
        <v>41094</v>
      </c>
      <c r="E333" s="64">
        <v>45291</v>
      </c>
      <c r="F333" s="63" t="s">
        <v>80</v>
      </c>
      <c r="G333" s="63" t="s">
        <v>1678</v>
      </c>
      <c r="H333" s="63" t="s">
        <v>111</v>
      </c>
      <c r="I333" s="65"/>
      <c r="J333" s="63" t="s">
        <v>113</v>
      </c>
      <c r="K333" s="63" t="s">
        <v>114</v>
      </c>
      <c r="L333" s="63" t="s">
        <v>1679</v>
      </c>
      <c r="M333" s="63" t="s">
        <v>487</v>
      </c>
      <c r="N333" s="64">
        <v>44317</v>
      </c>
      <c r="O333" s="82" t="s">
        <v>1680</v>
      </c>
      <c r="P333" s="64">
        <v>45476</v>
      </c>
      <c r="Q333" s="58" t="s">
        <v>911</v>
      </c>
      <c r="R333" s="66" t="s">
        <v>912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90" t="s">
        <v>1681</v>
      </c>
    </row>
    <row r="334" spans="1:26" x14ac:dyDescent="0.3">
      <c r="A334" s="63" t="s">
        <v>77</v>
      </c>
      <c r="B334" s="104" t="s">
        <v>687</v>
      </c>
      <c r="C334" s="65" t="s">
        <v>685</v>
      </c>
      <c r="D334" s="64">
        <v>41211</v>
      </c>
      <c r="E334" s="64">
        <v>45227</v>
      </c>
      <c r="F334" s="63" t="s">
        <v>80</v>
      </c>
      <c r="G334" s="63" t="s">
        <v>1682</v>
      </c>
      <c r="H334" s="63" t="s">
        <v>111</v>
      </c>
      <c r="I334" s="65"/>
      <c r="J334" s="63" t="s">
        <v>113</v>
      </c>
      <c r="K334" s="63" t="s">
        <v>114</v>
      </c>
      <c r="L334" s="63" t="s">
        <v>1683</v>
      </c>
      <c r="M334" s="63" t="s">
        <v>1684</v>
      </c>
      <c r="N334" s="64">
        <v>44317</v>
      </c>
      <c r="O334" s="82" t="s">
        <v>688</v>
      </c>
      <c r="P334" s="64">
        <v>47054</v>
      </c>
      <c r="Q334" s="64" t="s">
        <v>82</v>
      </c>
      <c r="R334" s="66" t="s">
        <v>1685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59" t="s">
        <v>249</v>
      </c>
    </row>
    <row r="335" spans="1:26" x14ac:dyDescent="0.3">
      <c r="A335" s="63" t="s">
        <v>77</v>
      </c>
      <c r="B335" s="105" t="s">
        <v>589</v>
      </c>
      <c r="C335" s="65" t="s">
        <v>590</v>
      </c>
      <c r="D335" s="64">
        <v>42309</v>
      </c>
      <c r="E335" s="64">
        <v>46053</v>
      </c>
      <c r="F335" s="63" t="s">
        <v>80</v>
      </c>
      <c r="G335" s="63" t="s">
        <v>591</v>
      </c>
      <c r="H335" s="63" t="s">
        <v>111</v>
      </c>
      <c r="I335" s="65"/>
      <c r="J335" s="63" t="s">
        <v>113</v>
      </c>
      <c r="K335" s="63" t="s">
        <v>114</v>
      </c>
      <c r="L335" s="63" t="s">
        <v>592</v>
      </c>
      <c r="M335" s="63" t="s">
        <v>410</v>
      </c>
      <c r="N335" s="64">
        <v>44317</v>
      </c>
      <c r="O335" s="82" t="s">
        <v>593</v>
      </c>
      <c r="P335" s="64">
        <v>46053</v>
      </c>
      <c r="Q335" s="58" t="s">
        <v>1011</v>
      </c>
      <c r="R335" s="66" t="s">
        <v>911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59"/>
    </row>
    <row r="336" spans="1:26" x14ac:dyDescent="0.3">
      <c r="A336" s="63" t="s">
        <v>77</v>
      </c>
      <c r="B336" s="105" t="s">
        <v>1686</v>
      </c>
      <c r="C336" s="65" t="s">
        <v>819</v>
      </c>
      <c r="D336" s="64">
        <v>40422</v>
      </c>
      <c r="E336" s="64">
        <v>45322</v>
      </c>
      <c r="F336" s="63" t="s">
        <v>80</v>
      </c>
      <c r="G336" s="63" t="s">
        <v>1687</v>
      </c>
      <c r="H336" s="63" t="s">
        <v>111</v>
      </c>
      <c r="I336" s="65"/>
      <c r="J336" s="63" t="s">
        <v>113</v>
      </c>
      <c r="K336" s="63" t="s">
        <v>114</v>
      </c>
      <c r="L336" s="63" t="s">
        <v>1688</v>
      </c>
      <c r="M336" s="63" t="s">
        <v>1689</v>
      </c>
      <c r="N336" s="64">
        <v>44317</v>
      </c>
      <c r="O336" s="82" t="s">
        <v>821</v>
      </c>
      <c r="P336" s="64">
        <v>45322</v>
      </c>
      <c r="Q336" s="58" t="s">
        <v>1011</v>
      </c>
      <c r="R336" s="66" t="s">
        <v>1690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90" t="s">
        <v>155</v>
      </c>
    </row>
    <row r="337" spans="1:26" x14ac:dyDescent="0.3">
      <c r="A337" s="63" t="s">
        <v>77</v>
      </c>
      <c r="B337" s="104" t="s">
        <v>1691</v>
      </c>
      <c r="C337" s="65" t="s">
        <v>1692</v>
      </c>
      <c r="D337" s="64">
        <v>43132</v>
      </c>
      <c r="E337" s="64">
        <v>45169</v>
      </c>
      <c r="F337" s="63" t="s">
        <v>80</v>
      </c>
      <c r="G337" s="63" t="s">
        <v>1693</v>
      </c>
      <c r="H337" s="63" t="s">
        <v>111</v>
      </c>
      <c r="I337" s="65"/>
      <c r="J337" s="63" t="s">
        <v>113</v>
      </c>
      <c r="K337" s="63" t="s">
        <v>114</v>
      </c>
      <c r="L337" s="63" t="s">
        <v>1694</v>
      </c>
      <c r="M337" s="63" t="s">
        <v>131</v>
      </c>
      <c r="N337" s="64">
        <v>44317</v>
      </c>
      <c r="O337" s="82" t="s">
        <v>1695</v>
      </c>
      <c r="P337" s="64">
        <v>44957</v>
      </c>
      <c r="Q337" s="64" t="s">
        <v>911</v>
      </c>
      <c r="R337" s="66" t="s">
        <v>912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59" t="s">
        <v>999</v>
      </c>
    </row>
    <row r="338" spans="1:26" x14ac:dyDescent="0.3">
      <c r="A338" s="63" t="s">
        <v>77</v>
      </c>
      <c r="B338" s="105" t="s">
        <v>1696</v>
      </c>
      <c r="C338" s="65" t="s">
        <v>745</v>
      </c>
      <c r="D338" s="64">
        <v>43006</v>
      </c>
      <c r="E338" s="64">
        <v>45291</v>
      </c>
      <c r="F338" s="63" t="s">
        <v>80</v>
      </c>
      <c r="G338" s="63" t="s">
        <v>1697</v>
      </c>
      <c r="H338" s="63" t="s">
        <v>111</v>
      </c>
      <c r="I338" s="65"/>
      <c r="J338" s="63" t="s">
        <v>113</v>
      </c>
      <c r="K338" s="63" t="s">
        <v>114</v>
      </c>
      <c r="L338" s="63" t="s">
        <v>1698</v>
      </c>
      <c r="M338" s="63" t="s">
        <v>1699</v>
      </c>
      <c r="N338" s="64">
        <v>44317</v>
      </c>
      <c r="O338" s="82" t="s">
        <v>747</v>
      </c>
      <c r="P338" s="64">
        <v>44833</v>
      </c>
      <c r="Q338" s="58" t="s">
        <v>911</v>
      </c>
      <c r="R338" s="66" t="s">
        <v>1700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59" t="s">
        <v>249</v>
      </c>
    </row>
    <row r="339" spans="1:26" x14ac:dyDescent="0.3">
      <c r="A339" s="63" t="s">
        <v>77</v>
      </c>
      <c r="B339" s="104" t="s">
        <v>1706</v>
      </c>
      <c r="C339" s="65" t="s">
        <v>1707</v>
      </c>
      <c r="D339" s="64">
        <v>43063</v>
      </c>
      <c r="E339" s="64">
        <v>44890</v>
      </c>
      <c r="F339" s="63" t="s">
        <v>80</v>
      </c>
      <c r="G339" s="63" t="s">
        <v>1708</v>
      </c>
      <c r="H339" s="63" t="s">
        <v>111</v>
      </c>
      <c r="I339" s="65"/>
      <c r="J339" s="63" t="s">
        <v>113</v>
      </c>
      <c r="K339" s="63" t="s">
        <v>114</v>
      </c>
      <c r="L339" s="63" t="s">
        <v>1709</v>
      </c>
      <c r="M339" s="63" t="s">
        <v>1505</v>
      </c>
      <c r="N339" s="64">
        <v>44317</v>
      </c>
      <c r="O339" s="82" t="s">
        <v>1710</v>
      </c>
      <c r="P339" s="64">
        <v>44524</v>
      </c>
      <c r="Q339" s="64" t="s">
        <v>911</v>
      </c>
      <c r="R339" s="66" t="s">
        <v>912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59" t="s">
        <v>999</v>
      </c>
    </row>
    <row r="340" spans="1:26" x14ac:dyDescent="0.3">
      <c r="A340" s="63" t="s">
        <v>77</v>
      </c>
      <c r="B340" s="104" t="s">
        <v>1716</v>
      </c>
      <c r="C340" s="65" t="s">
        <v>1717</v>
      </c>
      <c r="D340" s="64">
        <v>43525</v>
      </c>
      <c r="E340" s="64">
        <v>44712</v>
      </c>
      <c r="F340" s="63" t="s">
        <v>80</v>
      </c>
      <c r="G340" s="63" t="s">
        <v>1718</v>
      </c>
      <c r="H340" s="63" t="s">
        <v>111</v>
      </c>
      <c r="I340" s="65"/>
      <c r="J340" s="63" t="s">
        <v>113</v>
      </c>
      <c r="K340" s="63" t="s">
        <v>114</v>
      </c>
      <c r="L340" s="63" t="s">
        <v>1719</v>
      </c>
      <c r="M340" s="63" t="s">
        <v>131</v>
      </c>
      <c r="N340" s="64">
        <v>44317</v>
      </c>
      <c r="O340" s="82" t="s">
        <v>1720</v>
      </c>
      <c r="P340" s="64">
        <v>44712</v>
      </c>
      <c r="Q340" s="64" t="s">
        <v>911</v>
      </c>
      <c r="R340" s="66" t="s">
        <v>912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59" t="s">
        <v>999</v>
      </c>
    </row>
    <row r="341" spans="1:26" x14ac:dyDescent="0.3">
      <c r="A341" s="63" t="s">
        <v>77</v>
      </c>
      <c r="B341" s="105" t="s">
        <v>1721</v>
      </c>
      <c r="C341" s="65" t="s">
        <v>720</v>
      </c>
      <c r="D341" s="64">
        <v>43486</v>
      </c>
      <c r="E341" s="64">
        <v>45315</v>
      </c>
      <c r="F341" s="63" t="s">
        <v>80</v>
      </c>
      <c r="G341" s="63" t="s">
        <v>1722</v>
      </c>
      <c r="H341" s="63" t="s">
        <v>111</v>
      </c>
      <c r="I341" s="65"/>
      <c r="J341" s="63" t="s">
        <v>113</v>
      </c>
      <c r="K341" s="63" t="s">
        <v>114</v>
      </c>
      <c r="L341" s="63" t="s">
        <v>1723</v>
      </c>
      <c r="M341" s="63" t="s">
        <v>131</v>
      </c>
      <c r="N341" s="64">
        <v>44317</v>
      </c>
      <c r="O341" s="82" t="s">
        <v>722</v>
      </c>
      <c r="P341" s="64">
        <v>45311</v>
      </c>
      <c r="Q341" s="58" t="s">
        <v>911</v>
      </c>
      <c r="R341" s="66" t="s">
        <v>1724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90" t="s">
        <v>155</v>
      </c>
    </row>
    <row r="342" spans="1:26" x14ac:dyDescent="0.3">
      <c r="A342" s="63" t="s">
        <v>77</v>
      </c>
      <c r="B342" s="104" t="s">
        <v>1731</v>
      </c>
      <c r="C342" s="65" t="s">
        <v>1732</v>
      </c>
      <c r="D342" s="64">
        <v>43063</v>
      </c>
      <c r="E342" s="64">
        <v>44890</v>
      </c>
      <c r="F342" s="63" t="s">
        <v>80</v>
      </c>
      <c r="G342" s="63" t="s">
        <v>1733</v>
      </c>
      <c r="H342" s="63" t="s">
        <v>111</v>
      </c>
      <c r="I342" s="65"/>
      <c r="J342" s="63" t="s">
        <v>113</v>
      </c>
      <c r="K342" s="63" t="s">
        <v>114</v>
      </c>
      <c r="L342" s="63" t="s">
        <v>1709</v>
      </c>
      <c r="M342" s="63" t="s">
        <v>1505</v>
      </c>
      <c r="N342" s="64">
        <v>44407</v>
      </c>
      <c r="O342" s="82" t="s">
        <v>1710</v>
      </c>
      <c r="P342" s="64">
        <v>44524</v>
      </c>
      <c r="Q342" s="64" t="s">
        <v>911</v>
      </c>
      <c r="R342" s="66" t="s">
        <v>912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59" t="s">
        <v>999</v>
      </c>
    </row>
    <row r="343" spans="1:26" x14ac:dyDescent="0.3">
      <c r="A343" s="63">
        <v>8137</v>
      </c>
      <c r="B343" s="105" t="s">
        <v>719</v>
      </c>
      <c r="C343" s="65" t="s">
        <v>720</v>
      </c>
      <c r="D343" s="64">
        <v>45323</v>
      </c>
      <c r="E343" s="64">
        <v>46042</v>
      </c>
      <c r="F343" s="63" t="s">
        <v>80</v>
      </c>
      <c r="G343" s="71">
        <v>90000598</v>
      </c>
      <c r="H343" s="63" t="s">
        <v>111</v>
      </c>
      <c r="J343" s="63" t="s">
        <v>113</v>
      </c>
      <c r="K343" s="63" t="s">
        <v>114</v>
      </c>
      <c r="L343" s="63" t="s">
        <v>721</v>
      </c>
      <c r="N343" s="70">
        <v>45440</v>
      </c>
      <c r="O343" s="83" t="s">
        <v>722</v>
      </c>
      <c r="P343" s="64">
        <v>46042</v>
      </c>
      <c r="Q343" s="58" t="s">
        <v>1011</v>
      </c>
      <c r="R343" s="66" t="s">
        <v>911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90" t="s">
        <v>125</v>
      </c>
    </row>
    <row r="344" spans="1:26" x14ac:dyDescent="0.3">
      <c r="A344" s="63">
        <v>8137</v>
      </c>
      <c r="B344" s="105" t="s">
        <v>1734</v>
      </c>
      <c r="C344" s="65" t="s">
        <v>1606</v>
      </c>
      <c r="D344" s="64">
        <v>45261</v>
      </c>
      <c r="E344" s="64">
        <v>45626</v>
      </c>
      <c r="F344" s="63" t="s">
        <v>80</v>
      </c>
      <c r="G344" s="71">
        <v>90000599</v>
      </c>
      <c r="H344" s="63" t="s">
        <v>111</v>
      </c>
      <c r="J344" s="63" t="s">
        <v>113</v>
      </c>
      <c r="K344" s="63" t="s">
        <v>114</v>
      </c>
      <c r="L344" s="63" t="s">
        <v>1735</v>
      </c>
      <c r="N344" s="70">
        <v>45440</v>
      </c>
      <c r="O344" s="83" t="s">
        <v>1609</v>
      </c>
      <c r="P344" s="64">
        <v>45626</v>
      </c>
      <c r="Q344" s="58" t="s">
        <v>1011</v>
      </c>
      <c r="R344" s="66" t="s">
        <v>911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90" t="s">
        <v>125</v>
      </c>
      <c r="Z344" s="145"/>
    </row>
    <row r="345" spans="1:26" x14ac:dyDescent="0.3">
      <c r="A345" s="63">
        <v>8137</v>
      </c>
      <c r="B345" s="105" t="s">
        <v>740</v>
      </c>
      <c r="C345" s="65" t="s">
        <v>741</v>
      </c>
      <c r="D345" s="64">
        <v>45292</v>
      </c>
      <c r="E345" s="64">
        <v>46022</v>
      </c>
      <c r="F345" s="63" t="s">
        <v>80</v>
      </c>
      <c r="G345" s="71">
        <v>90000605</v>
      </c>
      <c r="H345" s="63" t="s">
        <v>111</v>
      </c>
      <c r="J345" s="63" t="s">
        <v>113</v>
      </c>
      <c r="K345" s="63" t="s">
        <v>114</v>
      </c>
      <c r="L345" s="63" t="s">
        <v>742</v>
      </c>
      <c r="N345" s="70">
        <v>45464</v>
      </c>
      <c r="O345" s="83" t="s">
        <v>743</v>
      </c>
      <c r="P345" s="64">
        <v>46022</v>
      </c>
      <c r="Q345" s="58" t="s">
        <v>1011</v>
      </c>
      <c r="R345" s="66" t="s">
        <v>3580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90" t="s">
        <v>125</v>
      </c>
    </row>
    <row r="346" spans="1:26" x14ac:dyDescent="0.3">
      <c r="A346" s="63">
        <v>8137</v>
      </c>
      <c r="B346" s="105" t="s">
        <v>744</v>
      </c>
      <c r="C346" s="65" t="s">
        <v>745</v>
      </c>
      <c r="D346" s="64">
        <v>45292</v>
      </c>
      <c r="E346" s="64">
        <v>46022</v>
      </c>
      <c r="F346" s="63" t="s">
        <v>80</v>
      </c>
      <c r="G346" s="71">
        <v>90000606</v>
      </c>
      <c r="H346" s="63" t="s">
        <v>111</v>
      </c>
      <c r="J346" s="63" t="s">
        <v>113</v>
      </c>
      <c r="K346" s="63" t="s">
        <v>114</v>
      </c>
      <c r="L346" s="63" t="s">
        <v>746</v>
      </c>
      <c r="N346" s="70">
        <v>45464</v>
      </c>
      <c r="O346" s="83" t="s">
        <v>747</v>
      </c>
      <c r="P346" s="64">
        <v>46022</v>
      </c>
      <c r="Q346" s="58" t="s">
        <v>911</v>
      </c>
      <c r="R346" s="66" t="s">
        <v>3608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90" t="s">
        <v>125</v>
      </c>
    </row>
    <row r="347" spans="1:26" x14ac:dyDescent="0.3">
      <c r="A347" s="63">
        <v>8137</v>
      </c>
      <c r="B347" s="105" t="s">
        <v>748</v>
      </c>
      <c r="C347" s="65" t="s">
        <v>749</v>
      </c>
      <c r="D347" s="64">
        <v>45292</v>
      </c>
      <c r="E347" s="64">
        <v>46022</v>
      </c>
      <c r="F347" s="63" t="s">
        <v>80</v>
      </c>
      <c r="G347" s="71">
        <v>90000607</v>
      </c>
      <c r="H347" s="63" t="s">
        <v>111</v>
      </c>
      <c r="J347" s="63" t="s">
        <v>113</v>
      </c>
      <c r="K347" s="63" t="s">
        <v>114</v>
      </c>
      <c r="L347" s="63" t="s">
        <v>750</v>
      </c>
      <c r="N347" s="70">
        <v>45464</v>
      </c>
      <c r="O347" s="83" t="s">
        <v>751</v>
      </c>
      <c r="P347" s="64">
        <v>46022</v>
      </c>
      <c r="Q347" s="58" t="s">
        <v>911</v>
      </c>
      <c r="R347" s="66" t="s">
        <v>3581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90" t="s">
        <v>125</v>
      </c>
    </row>
    <row r="348" spans="1:26" x14ac:dyDescent="0.3">
      <c r="A348" s="63">
        <v>8137</v>
      </c>
      <c r="B348" s="105" t="s">
        <v>756</v>
      </c>
      <c r="C348" s="65" t="s">
        <v>757</v>
      </c>
      <c r="D348" s="64">
        <v>45322</v>
      </c>
      <c r="E348" s="64">
        <v>46081</v>
      </c>
      <c r="F348" s="63" t="s">
        <v>80</v>
      </c>
      <c r="G348" s="71">
        <v>90000609</v>
      </c>
      <c r="H348" s="63" t="s">
        <v>111</v>
      </c>
      <c r="J348" s="63" t="s">
        <v>113</v>
      </c>
      <c r="K348" s="63" t="s">
        <v>114</v>
      </c>
      <c r="L348" s="63" t="s">
        <v>758</v>
      </c>
      <c r="N348" s="70">
        <v>45497</v>
      </c>
      <c r="O348" s="83" t="s">
        <v>759</v>
      </c>
      <c r="P348" s="64">
        <v>46081</v>
      </c>
      <c r="Q348" s="58" t="s">
        <v>1011</v>
      </c>
      <c r="R348" s="66" t="s">
        <v>911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90" t="s">
        <v>85</v>
      </c>
    </row>
    <row r="349" spans="1:26" x14ac:dyDescent="0.3">
      <c r="A349" s="63">
        <v>8137</v>
      </c>
      <c r="B349" s="105" t="s">
        <v>1736</v>
      </c>
      <c r="C349" s="65" t="s">
        <v>1561</v>
      </c>
      <c r="D349" s="64">
        <v>45542</v>
      </c>
      <c r="E349" s="64">
        <v>45906</v>
      </c>
      <c r="F349" s="63" t="s">
        <v>80</v>
      </c>
      <c r="G349" s="71">
        <v>90000639</v>
      </c>
      <c r="H349" s="63" t="s">
        <v>111</v>
      </c>
      <c r="J349" s="63" t="s">
        <v>113</v>
      </c>
      <c r="K349" s="63" t="s">
        <v>114</v>
      </c>
      <c r="L349" s="140" t="s">
        <v>1564</v>
      </c>
      <c r="N349" s="70">
        <v>45714</v>
      </c>
      <c r="O349" s="83" t="s">
        <v>1565</v>
      </c>
      <c r="P349" s="64">
        <v>45906</v>
      </c>
      <c r="Q349" s="64" t="s">
        <v>911</v>
      </c>
      <c r="R349" s="66" t="s">
        <v>3573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90"/>
    </row>
    <row r="350" spans="1:26" x14ac:dyDescent="0.3">
      <c r="A350" s="63">
        <v>8137</v>
      </c>
      <c r="B350" s="69" t="s">
        <v>886</v>
      </c>
      <c r="C350" s="65" t="s">
        <v>887</v>
      </c>
      <c r="D350" s="64">
        <v>45870</v>
      </c>
      <c r="E350" s="64">
        <v>45961</v>
      </c>
      <c r="F350" s="63" t="s">
        <v>80</v>
      </c>
      <c r="G350" s="71">
        <v>90000661</v>
      </c>
      <c r="H350" s="63" t="s">
        <v>111</v>
      </c>
      <c r="J350" s="63" t="s">
        <v>113</v>
      </c>
      <c r="K350" s="63" t="s">
        <v>114</v>
      </c>
      <c r="L350" s="63" t="s">
        <v>888</v>
      </c>
      <c r="N350" s="70">
        <v>45895</v>
      </c>
      <c r="O350" s="83" t="s">
        <v>889</v>
      </c>
      <c r="P350" s="64">
        <v>45961</v>
      </c>
      <c r="Q350" s="58" t="s">
        <v>911</v>
      </c>
      <c r="R350" s="66" t="s">
        <v>3577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</row>
  </sheetData>
  <autoFilter ref="A5:AB350" xr:uid="{00000000-0001-0000-0100-000000000000}"/>
  <mergeCells count="3">
    <mergeCell ref="S4:X4"/>
    <mergeCell ref="S6:S8"/>
    <mergeCell ref="T6:T8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11"/>
  <sheetViews>
    <sheetView showGridLines="0" zoomScale="115" zoomScaleNormal="11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288" sqref="C288"/>
    </sheetView>
  </sheetViews>
  <sheetFormatPr defaultColWidth="11.44140625" defaultRowHeight="11.4" outlineLevelCol="1" x14ac:dyDescent="0.25"/>
  <cols>
    <col min="1" max="1" width="8" style="25" customWidth="1"/>
    <col min="2" max="2" width="9.5546875" style="25" customWidth="1"/>
    <col min="3" max="3" width="43.6640625" style="13" customWidth="1"/>
    <col min="4" max="4" width="10.6640625" style="25" customWidth="1"/>
    <col min="5" max="5" width="10.44140625" style="25" bestFit="1" customWidth="1"/>
    <col min="6" max="6" width="7.6640625" style="25" customWidth="1"/>
    <col min="7" max="11" width="11.5546875" style="13" hidden="1" customWidth="1" outlineLevel="1"/>
    <col min="12" max="12" width="11.5546875" style="25" customWidth="1" collapsed="1"/>
    <col min="13" max="13" width="11.5546875" style="13" hidden="1" customWidth="1" outlineLevel="1"/>
    <col min="14" max="14" width="11.5546875" style="13" customWidth="1" collapsed="1"/>
    <col min="15" max="15" width="8" style="25" customWidth="1"/>
    <col min="16" max="16" width="11.6640625" style="25" bestFit="1" customWidth="1"/>
    <col min="17" max="17" width="10.33203125" style="25" customWidth="1"/>
    <col min="18" max="18" width="14.6640625" style="13" customWidth="1"/>
    <col min="19" max="21" width="11.5546875" style="13" customWidth="1"/>
    <col min="22" max="22" width="7.88671875" style="13" customWidth="1"/>
    <col min="23" max="23" width="11.5546875" style="13" customWidth="1"/>
    <col min="24" max="24" width="7.88671875" style="13" customWidth="1"/>
    <col min="25" max="25" width="11.5546875" style="13" customWidth="1"/>
    <col min="26" max="26" width="28" style="13" customWidth="1"/>
    <col min="27" max="27" width="9.6640625" style="25" customWidth="1"/>
    <col min="28" max="16384" width="11.44140625" style="13"/>
  </cols>
  <sheetData>
    <row r="1" spans="1:28" x14ac:dyDescent="0.25">
      <c r="S1" s="113" t="s">
        <v>3</v>
      </c>
      <c r="T1" s="113" t="s">
        <v>6</v>
      </c>
      <c r="U1" s="113" t="s">
        <v>50</v>
      </c>
      <c r="V1" s="113"/>
      <c r="W1" s="113" t="s">
        <v>12</v>
      </c>
      <c r="X1" s="113"/>
      <c r="Y1" s="113" t="s">
        <v>51</v>
      </c>
      <c r="Z1" s="133"/>
    </row>
    <row r="2" spans="1:28" ht="15" x14ac:dyDescent="0.25">
      <c r="A2" s="28" t="s">
        <v>52</v>
      </c>
      <c r="B2" s="27"/>
      <c r="R2" s="156">
        <f>+S2-S3</f>
        <v>1569</v>
      </c>
      <c r="S2" s="117">
        <v>2105434.7700000005</v>
      </c>
      <c r="T2" s="116">
        <v>1334957.9000000001</v>
      </c>
      <c r="U2" s="116">
        <v>76084.539999999994</v>
      </c>
      <c r="V2" s="116"/>
      <c r="W2" s="116">
        <v>283953.03000000003</v>
      </c>
      <c r="X2" s="116"/>
      <c r="Y2" s="116">
        <v>0</v>
      </c>
      <c r="Z2" s="135">
        <f>+Y2-Y3</f>
        <v>0</v>
      </c>
      <c r="AB2" s="54"/>
    </row>
    <row r="3" spans="1:28" ht="15" x14ac:dyDescent="0.25">
      <c r="A3" s="29" t="s">
        <v>1737</v>
      </c>
      <c r="P3" s="58"/>
      <c r="R3" s="158">
        <f>+U3-U2</f>
        <v>0</v>
      </c>
      <c r="S3" s="117">
        <f>+SUM(S6:S211)</f>
        <v>2103865.7700000005</v>
      </c>
      <c r="T3" s="117">
        <f>+SUM(T6:T207)</f>
        <v>0</v>
      </c>
      <c r="U3" s="117">
        <f>+SUM(U6:U211)</f>
        <v>76084.539999999994</v>
      </c>
      <c r="V3" s="117"/>
      <c r="W3" s="117">
        <f>+SUM(W6:W211)</f>
        <v>283953.03000000003</v>
      </c>
      <c r="X3" s="117"/>
      <c r="Y3" s="117">
        <f>+SUM(Y6:Y207)</f>
        <v>0</v>
      </c>
      <c r="Z3" s="134"/>
    </row>
    <row r="4" spans="1:28" ht="10.5" customHeight="1" x14ac:dyDescent="0.25">
      <c r="R4" s="25"/>
      <c r="S4" s="184" t="s">
        <v>55</v>
      </c>
      <c r="T4" s="185"/>
      <c r="U4" s="185"/>
      <c r="V4" s="185"/>
      <c r="W4" s="185"/>
      <c r="X4" s="185"/>
      <c r="Y4" s="186"/>
    </row>
    <row r="5" spans="1:28" ht="30.75" customHeight="1" x14ac:dyDescent="0.25">
      <c r="A5" s="7" t="s">
        <v>56</v>
      </c>
      <c r="B5" s="84" t="s">
        <v>57</v>
      </c>
      <c r="C5" s="7" t="s">
        <v>58</v>
      </c>
      <c r="D5" s="7" t="s">
        <v>59</v>
      </c>
      <c r="E5" s="7" t="s">
        <v>60</v>
      </c>
      <c r="F5" s="7" t="s">
        <v>61</v>
      </c>
      <c r="G5" s="84" t="s">
        <v>62</v>
      </c>
      <c r="H5" s="7" t="s">
        <v>64</v>
      </c>
      <c r="I5" s="7" t="s">
        <v>63</v>
      </c>
      <c r="J5" s="7" t="s">
        <v>65</v>
      </c>
      <c r="K5" s="7" t="s">
        <v>66</v>
      </c>
      <c r="L5" s="7" t="s">
        <v>67</v>
      </c>
      <c r="M5" s="7" t="s">
        <v>68</v>
      </c>
      <c r="N5" s="7" t="s">
        <v>69</v>
      </c>
      <c r="O5" s="84" t="s">
        <v>70</v>
      </c>
      <c r="P5" s="75" t="s">
        <v>71</v>
      </c>
      <c r="Q5" s="76" t="s">
        <v>72</v>
      </c>
      <c r="R5" s="15" t="s">
        <v>73</v>
      </c>
      <c r="S5" s="15" t="s">
        <v>4</v>
      </c>
      <c r="T5" s="15" t="s">
        <v>7</v>
      </c>
      <c r="U5" s="15" t="s">
        <v>10</v>
      </c>
      <c r="V5" s="146" t="s">
        <v>1738</v>
      </c>
      <c r="W5" s="15" t="s">
        <v>75</v>
      </c>
      <c r="X5" s="146" t="s">
        <v>1739</v>
      </c>
      <c r="Y5" s="15" t="s">
        <v>19</v>
      </c>
      <c r="Z5" s="15" t="s">
        <v>76</v>
      </c>
      <c r="AA5" s="7" t="s">
        <v>60</v>
      </c>
    </row>
    <row r="6" spans="1:28" x14ac:dyDescent="0.25">
      <c r="A6" s="26" t="s">
        <v>1741</v>
      </c>
      <c r="B6" s="106" t="s">
        <v>989</v>
      </c>
      <c r="C6" s="11" t="s">
        <v>1742</v>
      </c>
      <c r="D6" s="55">
        <v>42917</v>
      </c>
      <c r="E6" s="55">
        <v>46568</v>
      </c>
      <c r="F6" s="26" t="s">
        <v>1743</v>
      </c>
      <c r="G6" s="162" t="s">
        <v>1551</v>
      </c>
      <c r="H6" s="11" t="s">
        <v>166</v>
      </c>
      <c r="I6" s="11" t="s">
        <v>111</v>
      </c>
      <c r="J6" s="11" t="s">
        <v>113</v>
      </c>
      <c r="K6" s="26" t="s">
        <v>114</v>
      </c>
      <c r="L6" s="26" t="s">
        <v>1477</v>
      </c>
      <c r="M6" s="11" t="s">
        <v>174</v>
      </c>
      <c r="N6" s="12">
        <v>44089</v>
      </c>
      <c r="O6" s="85" t="s">
        <v>1744</v>
      </c>
      <c r="P6" s="55">
        <v>46568</v>
      </c>
      <c r="Q6" s="55" t="s">
        <v>83</v>
      </c>
      <c r="R6" s="16" t="s">
        <v>84</v>
      </c>
      <c r="S6" s="21">
        <v>69712.31</v>
      </c>
      <c r="T6" s="21">
        <v>0</v>
      </c>
      <c r="U6" s="21">
        <v>6169.61</v>
      </c>
      <c r="V6" s="147" t="s">
        <v>1745</v>
      </c>
      <c r="W6" s="21">
        <v>10282.69</v>
      </c>
      <c r="X6" s="147" t="s">
        <v>1745</v>
      </c>
      <c r="Y6" s="21">
        <v>0</v>
      </c>
      <c r="Z6" s="14"/>
      <c r="AA6" s="55">
        <v>46568</v>
      </c>
    </row>
    <row r="7" spans="1:28" x14ac:dyDescent="0.25">
      <c r="A7" s="26" t="s">
        <v>1741</v>
      </c>
      <c r="B7" s="106" t="s">
        <v>994</v>
      </c>
      <c r="C7" s="11" t="s">
        <v>1746</v>
      </c>
      <c r="D7" s="55">
        <v>42767</v>
      </c>
      <c r="E7" s="55">
        <v>46418</v>
      </c>
      <c r="F7" s="24" t="s">
        <v>962</v>
      </c>
      <c r="G7" s="162" t="s">
        <v>1557</v>
      </c>
      <c r="H7" s="11" t="s">
        <v>1747</v>
      </c>
      <c r="I7" s="11" t="s">
        <v>111</v>
      </c>
      <c r="J7" s="11" t="s">
        <v>113</v>
      </c>
      <c r="K7" s="26" t="s">
        <v>114</v>
      </c>
      <c r="L7" s="26" t="s">
        <v>1748</v>
      </c>
      <c r="M7" s="11" t="s">
        <v>174</v>
      </c>
      <c r="N7" s="12">
        <v>44089</v>
      </c>
      <c r="O7" s="85" t="s">
        <v>1749</v>
      </c>
      <c r="P7" s="55">
        <v>46418</v>
      </c>
      <c r="Q7" s="55" t="s">
        <v>83</v>
      </c>
      <c r="R7" s="16" t="s">
        <v>84</v>
      </c>
      <c r="S7" s="21">
        <v>4500</v>
      </c>
      <c r="T7" s="21">
        <v>0</v>
      </c>
      <c r="U7" s="21">
        <v>0</v>
      </c>
      <c r="V7" s="147" t="s">
        <v>82</v>
      </c>
      <c r="W7" s="21">
        <v>0</v>
      </c>
      <c r="X7" s="147" t="s">
        <v>1745</v>
      </c>
      <c r="Y7" s="21">
        <v>0</v>
      </c>
      <c r="Z7" s="14"/>
      <c r="AA7" s="55">
        <v>46418</v>
      </c>
    </row>
    <row r="8" spans="1:28" x14ac:dyDescent="0.25">
      <c r="A8" s="26" t="s">
        <v>1741</v>
      </c>
      <c r="B8" s="106" t="s">
        <v>1028</v>
      </c>
      <c r="C8" s="11" t="s">
        <v>1752</v>
      </c>
      <c r="D8" s="55">
        <v>43191</v>
      </c>
      <c r="E8" s="55">
        <v>46843</v>
      </c>
      <c r="F8" s="26" t="s">
        <v>1743</v>
      </c>
      <c r="G8" s="162" t="s">
        <v>916</v>
      </c>
      <c r="H8" s="11" t="s">
        <v>1113</v>
      </c>
      <c r="I8" s="11" t="s">
        <v>111</v>
      </c>
      <c r="J8" s="11" t="s">
        <v>113</v>
      </c>
      <c r="K8" s="26" t="s">
        <v>114</v>
      </c>
      <c r="L8" s="26" t="s">
        <v>1753</v>
      </c>
      <c r="M8" s="11" t="s">
        <v>174</v>
      </c>
      <c r="N8" s="12">
        <v>44089</v>
      </c>
      <c r="O8" s="85" t="s">
        <v>1754</v>
      </c>
      <c r="P8" s="55">
        <v>46843</v>
      </c>
      <c r="Q8" s="55" t="s">
        <v>83</v>
      </c>
      <c r="R8" s="16" t="s">
        <v>84</v>
      </c>
      <c r="S8" s="21">
        <v>16180.64</v>
      </c>
      <c r="T8" s="21">
        <v>0</v>
      </c>
      <c r="U8" s="21">
        <v>0</v>
      </c>
      <c r="V8" s="147" t="s">
        <v>1755</v>
      </c>
      <c r="W8" s="21">
        <v>2215.98</v>
      </c>
      <c r="X8" s="147" t="s">
        <v>1745</v>
      </c>
      <c r="Y8" s="21">
        <v>0</v>
      </c>
      <c r="Z8" s="90" t="s">
        <v>125</v>
      </c>
      <c r="AA8" s="55">
        <v>46843</v>
      </c>
    </row>
    <row r="9" spans="1:28" x14ac:dyDescent="0.25">
      <c r="A9" s="26" t="s">
        <v>1741</v>
      </c>
      <c r="B9" s="106" t="s">
        <v>1756</v>
      </c>
      <c r="C9" s="11" t="s">
        <v>1757</v>
      </c>
      <c r="D9" s="55">
        <v>43282</v>
      </c>
      <c r="E9" s="55">
        <v>46203</v>
      </c>
      <c r="F9" s="26" t="s">
        <v>1743</v>
      </c>
      <c r="G9" s="162" t="s">
        <v>917</v>
      </c>
      <c r="H9" s="11" t="s">
        <v>1758</v>
      </c>
      <c r="I9" s="11" t="s">
        <v>111</v>
      </c>
      <c r="J9" s="11" t="s">
        <v>113</v>
      </c>
      <c r="K9" s="26" t="s">
        <v>114</v>
      </c>
      <c r="L9" s="26" t="s">
        <v>1759</v>
      </c>
      <c r="M9" s="11" t="s">
        <v>174</v>
      </c>
      <c r="N9" s="12">
        <v>44089</v>
      </c>
      <c r="O9" s="85" t="s">
        <v>1760</v>
      </c>
      <c r="P9" s="55">
        <v>46203</v>
      </c>
      <c r="Q9" s="55" t="s">
        <v>83</v>
      </c>
      <c r="R9" s="16" t="s">
        <v>84</v>
      </c>
      <c r="S9" s="21">
        <v>5708.96</v>
      </c>
      <c r="T9" s="21">
        <v>0</v>
      </c>
      <c r="U9" s="21">
        <v>0</v>
      </c>
      <c r="V9" s="147" t="s">
        <v>1751</v>
      </c>
      <c r="W9" s="21">
        <v>390.5</v>
      </c>
      <c r="X9" s="147" t="s">
        <v>1745</v>
      </c>
      <c r="Y9" s="21">
        <v>0</v>
      </c>
      <c r="Z9" s="90" t="s">
        <v>125</v>
      </c>
      <c r="AA9" s="55">
        <v>46203</v>
      </c>
    </row>
    <row r="10" spans="1:28" x14ac:dyDescent="0.25">
      <c r="A10" s="26" t="s">
        <v>1741</v>
      </c>
      <c r="B10" s="106" t="s">
        <v>1058</v>
      </c>
      <c r="C10" s="11" t="s">
        <v>1761</v>
      </c>
      <c r="D10" s="55">
        <v>43132</v>
      </c>
      <c r="E10" s="55">
        <v>46783</v>
      </c>
      <c r="F10" s="26" t="s">
        <v>1743</v>
      </c>
      <c r="G10" s="162" t="s">
        <v>1569</v>
      </c>
      <c r="H10" s="11" t="s">
        <v>172</v>
      </c>
      <c r="I10" s="11" t="s">
        <v>111</v>
      </c>
      <c r="J10" s="11" t="s">
        <v>113</v>
      </c>
      <c r="K10" s="26" t="s">
        <v>114</v>
      </c>
      <c r="L10" s="26" t="s">
        <v>1762</v>
      </c>
      <c r="M10" s="11" t="s">
        <v>174</v>
      </c>
      <c r="N10" s="12">
        <v>44089</v>
      </c>
      <c r="O10" s="85" t="s">
        <v>1763</v>
      </c>
      <c r="P10" s="55">
        <v>46783</v>
      </c>
      <c r="Q10" s="16" t="s">
        <v>83</v>
      </c>
      <c r="R10" s="16" t="s">
        <v>84</v>
      </c>
      <c r="S10" s="21">
        <v>4762.76</v>
      </c>
      <c r="T10" s="21">
        <v>0</v>
      </c>
      <c r="U10" s="21">
        <v>0</v>
      </c>
      <c r="V10" s="147" t="s">
        <v>1755</v>
      </c>
      <c r="W10" s="21">
        <v>1089.3499999999999</v>
      </c>
      <c r="X10" s="147" t="s">
        <v>1745</v>
      </c>
      <c r="Y10" s="21">
        <v>0</v>
      </c>
      <c r="Z10" s="93" t="s">
        <v>249</v>
      </c>
      <c r="AA10" s="55">
        <v>45291</v>
      </c>
    </row>
    <row r="11" spans="1:28" x14ac:dyDescent="0.25">
      <c r="A11" s="26" t="s">
        <v>1741</v>
      </c>
      <c r="B11" s="106" t="s">
        <v>148</v>
      </c>
      <c r="C11" s="11" t="s">
        <v>1764</v>
      </c>
      <c r="D11" s="55">
        <v>43101</v>
      </c>
      <c r="E11" s="55">
        <v>46752</v>
      </c>
      <c r="F11" s="24" t="s">
        <v>962</v>
      </c>
      <c r="G11" s="162" t="s">
        <v>1765</v>
      </c>
      <c r="H11" s="11" t="s">
        <v>1766</v>
      </c>
      <c r="I11" s="11" t="s">
        <v>111</v>
      </c>
      <c r="J11" s="11" t="s">
        <v>113</v>
      </c>
      <c r="K11" s="26" t="s">
        <v>114</v>
      </c>
      <c r="L11" s="26" t="s">
        <v>1767</v>
      </c>
      <c r="M11" s="11" t="s">
        <v>174</v>
      </c>
      <c r="N11" s="12">
        <v>44089</v>
      </c>
      <c r="O11" s="85" t="s">
        <v>1768</v>
      </c>
      <c r="P11" s="55">
        <v>46752</v>
      </c>
      <c r="Q11" s="55" t="s">
        <v>83</v>
      </c>
      <c r="R11" s="16" t="s">
        <v>84</v>
      </c>
      <c r="S11" s="21">
        <v>3705.06</v>
      </c>
      <c r="T11" s="21">
        <v>0</v>
      </c>
      <c r="U11" s="21">
        <v>0</v>
      </c>
      <c r="V11" s="147" t="s">
        <v>82</v>
      </c>
      <c r="W11" s="21">
        <v>0</v>
      </c>
      <c r="X11" s="147" t="s">
        <v>1745</v>
      </c>
      <c r="Y11" s="21">
        <v>0</v>
      </c>
      <c r="Z11" s="14"/>
      <c r="AA11" s="55">
        <v>46752</v>
      </c>
    </row>
    <row r="12" spans="1:28" x14ac:dyDescent="0.25">
      <c r="A12" s="26" t="s">
        <v>1741</v>
      </c>
      <c r="B12" s="106" t="s">
        <v>156</v>
      </c>
      <c r="C12" s="11" t="s">
        <v>1773</v>
      </c>
      <c r="D12" s="55">
        <v>43160</v>
      </c>
      <c r="E12" s="55">
        <v>46446</v>
      </c>
      <c r="F12" s="24" t="s">
        <v>962</v>
      </c>
      <c r="G12" s="162" t="s">
        <v>1589</v>
      </c>
      <c r="H12" s="11" t="s">
        <v>1774</v>
      </c>
      <c r="I12" s="11" t="s">
        <v>111</v>
      </c>
      <c r="J12" s="11" t="s">
        <v>113</v>
      </c>
      <c r="K12" s="26" t="s">
        <v>114</v>
      </c>
      <c r="L12" s="26" t="s">
        <v>1775</v>
      </c>
      <c r="M12" s="11" t="s">
        <v>174</v>
      </c>
      <c r="N12" s="12">
        <v>44089</v>
      </c>
      <c r="O12" s="85" t="s">
        <v>1776</v>
      </c>
      <c r="P12" s="55">
        <v>46446</v>
      </c>
      <c r="Q12" s="55" t="s">
        <v>83</v>
      </c>
      <c r="R12" s="16" t="s">
        <v>84</v>
      </c>
      <c r="S12" s="21">
        <v>4050</v>
      </c>
      <c r="T12" s="21">
        <v>0</v>
      </c>
      <c r="U12" s="21">
        <v>0</v>
      </c>
      <c r="V12" s="147" t="s">
        <v>82</v>
      </c>
      <c r="W12" s="21">
        <v>0</v>
      </c>
      <c r="X12" s="147" t="s">
        <v>82</v>
      </c>
      <c r="Y12" s="21">
        <v>0</v>
      </c>
      <c r="Z12" s="14"/>
      <c r="AA12" s="55">
        <v>46446</v>
      </c>
    </row>
    <row r="13" spans="1:28" x14ac:dyDescent="0.25">
      <c r="A13" s="26" t="s">
        <v>1741</v>
      </c>
      <c r="B13" s="106" t="s">
        <v>1095</v>
      </c>
      <c r="C13" s="11" t="s">
        <v>1777</v>
      </c>
      <c r="D13" s="55">
        <v>42461</v>
      </c>
      <c r="E13" s="55">
        <v>46112</v>
      </c>
      <c r="F13" s="24" t="s">
        <v>962</v>
      </c>
      <c r="G13" s="162" t="s">
        <v>1778</v>
      </c>
      <c r="H13" s="11" t="s">
        <v>1779</v>
      </c>
      <c r="I13" s="11" t="s">
        <v>111</v>
      </c>
      <c r="J13" s="11" t="s">
        <v>113</v>
      </c>
      <c r="K13" s="26" t="s">
        <v>114</v>
      </c>
      <c r="L13" s="26" t="s">
        <v>1780</v>
      </c>
      <c r="M13" s="11" t="s">
        <v>174</v>
      </c>
      <c r="N13" s="12">
        <v>44089</v>
      </c>
      <c r="O13" s="85" t="s">
        <v>1781</v>
      </c>
      <c r="P13" s="55">
        <v>46112</v>
      </c>
      <c r="Q13" s="55" t="s">
        <v>83</v>
      </c>
      <c r="R13" s="16" t="s">
        <v>133</v>
      </c>
      <c r="S13" s="21">
        <v>3700</v>
      </c>
      <c r="T13" s="21">
        <v>0</v>
      </c>
      <c r="U13" s="21">
        <v>0</v>
      </c>
      <c r="V13" s="147" t="s">
        <v>82</v>
      </c>
      <c r="W13" s="21">
        <v>0</v>
      </c>
      <c r="X13" s="147" t="s">
        <v>82</v>
      </c>
      <c r="Y13" s="21">
        <v>0</v>
      </c>
      <c r="Z13" s="14"/>
      <c r="AA13" s="55">
        <v>46112</v>
      </c>
    </row>
    <row r="14" spans="1:28" x14ac:dyDescent="0.25">
      <c r="A14" s="26" t="s">
        <v>1741</v>
      </c>
      <c r="B14" s="106" t="s">
        <v>1101</v>
      </c>
      <c r="C14" s="11" t="s">
        <v>1782</v>
      </c>
      <c r="D14" s="55">
        <v>42856</v>
      </c>
      <c r="E14" s="55">
        <v>46388</v>
      </c>
      <c r="F14" s="24" t="s">
        <v>962</v>
      </c>
      <c r="G14" s="162" t="s">
        <v>1783</v>
      </c>
      <c r="H14" s="11" t="s">
        <v>1784</v>
      </c>
      <c r="I14" s="11" t="s">
        <v>111</v>
      </c>
      <c r="J14" s="11" t="s">
        <v>113</v>
      </c>
      <c r="K14" s="26" t="s">
        <v>114</v>
      </c>
      <c r="L14" s="26" t="s">
        <v>1785</v>
      </c>
      <c r="M14" s="11" t="s">
        <v>174</v>
      </c>
      <c r="N14" s="12">
        <v>44089</v>
      </c>
      <c r="O14" s="85" t="s">
        <v>1786</v>
      </c>
      <c r="P14" s="55">
        <v>46388</v>
      </c>
      <c r="Q14" s="16" t="s">
        <v>83</v>
      </c>
      <c r="R14" s="58" t="s">
        <v>84</v>
      </c>
      <c r="S14" s="21">
        <v>3000</v>
      </c>
      <c r="T14" s="21">
        <v>0</v>
      </c>
      <c r="U14" s="22"/>
      <c r="V14" s="147" t="s">
        <v>82</v>
      </c>
      <c r="W14" s="22"/>
      <c r="X14" s="147" t="s">
        <v>82</v>
      </c>
      <c r="Y14" s="22"/>
      <c r="Z14" s="93" t="s">
        <v>249</v>
      </c>
      <c r="AA14" s="55">
        <v>45291</v>
      </c>
    </row>
    <row r="15" spans="1:28" x14ac:dyDescent="0.25">
      <c r="A15" s="26" t="s">
        <v>1741</v>
      </c>
      <c r="B15" s="106" t="s">
        <v>163</v>
      </c>
      <c r="C15" s="11" t="s">
        <v>1787</v>
      </c>
      <c r="D15" s="55">
        <v>42491</v>
      </c>
      <c r="E15" s="55">
        <v>46142</v>
      </c>
      <c r="F15" s="24" t="s">
        <v>962</v>
      </c>
      <c r="G15" s="162" t="s">
        <v>930</v>
      </c>
      <c r="H15" s="11" t="s">
        <v>1788</v>
      </c>
      <c r="I15" s="11" t="s">
        <v>111</v>
      </c>
      <c r="J15" s="11" t="s">
        <v>113</v>
      </c>
      <c r="K15" s="26" t="s">
        <v>114</v>
      </c>
      <c r="L15" s="26" t="s">
        <v>1789</v>
      </c>
      <c r="M15" s="11" t="s">
        <v>174</v>
      </c>
      <c r="N15" s="12">
        <v>44089</v>
      </c>
      <c r="O15" s="85" t="s">
        <v>1790</v>
      </c>
      <c r="P15" s="55">
        <v>46142</v>
      </c>
      <c r="Q15" s="55" t="s">
        <v>83</v>
      </c>
      <c r="R15" s="16" t="s">
        <v>84</v>
      </c>
      <c r="S15" s="21">
        <v>3000</v>
      </c>
      <c r="T15" s="21">
        <v>0</v>
      </c>
      <c r="U15" s="21">
        <v>0</v>
      </c>
      <c r="V15" s="147" t="s">
        <v>82</v>
      </c>
      <c r="W15" s="21">
        <v>0</v>
      </c>
      <c r="X15" s="147" t="s">
        <v>82</v>
      </c>
      <c r="Y15" s="21">
        <v>0</v>
      </c>
      <c r="Z15" s="14"/>
      <c r="AA15" s="55">
        <v>46142</v>
      </c>
    </row>
    <row r="16" spans="1:28" x14ac:dyDescent="0.25">
      <c r="A16" s="26" t="s">
        <v>1741</v>
      </c>
      <c r="B16" s="106" t="s">
        <v>1106</v>
      </c>
      <c r="C16" s="11" t="s">
        <v>1791</v>
      </c>
      <c r="D16" s="55">
        <v>42491</v>
      </c>
      <c r="E16" s="55">
        <v>46142</v>
      </c>
      <c r="F16" s="24" t="s">
        <v>962</v>
      </c>
      <c r="G16" s="162" t="s">
        <v>931</v>
      </c>
      <c r="H16" s="11" t="s">
        <v>1792</v>
      </c>
      <c r="I16" s="11" t="s">
        <v>111</v>
      </c>
      <c r="J16" s="11" t="s">
        <v>113</v>
      </c>
      <c r="K16" s="26" t="s">
        <v>114</v>
      </c>
      <c r="L16" s="26" t="s">
        <v>1793</v>
      </c>
      <c r="M16" s="11" t="s">
        <v>174</v>
      </c>
      <c r="N16" s="12">
        <v>44089</v>
      </c>
      <c r="O16" s="85" t="s">
        <v>1794</v>
      </c>
      <c r="P16" s="55">
        <v>46142</v>
      </c>
      <c r="Q16" s="55" t="s">
        <v>83</v>
      </c>
      <c r="R16" s="16" t="s">
        <v>84</v>
      </c>
      <c r="S16" s="21">
        <v>2363.7399999999998</v>
      </c>
      <c r="T16" s="21">
        <v>0</v>
      </c>
      <c r="U16" s="21">
        <v>0</v>
      </c>
      <c r="V16" s="147" t="s">
        <v>82</v>
      </c>
      <c r="W16" s="21">
        <v>0</v>
      </c>
      <c r="X16" s="147" t="s">
        <v>82</v>
      </c>
      <c r="Y16" s="21">
        <v>0</v>
      </c>
      <c r="Z16" s="14"/>
      <c r="AA16" s="55">
        <v>46142</v>
      </c>
    </row>
    <row r="17" spans="1:27" x14ac:dyDescent="0.25">
      <c r="A17" s="26" t="s">
        <v>1741</v>
      </c>
      <c r="B17" s="106" t="s">
        <v>1111</v>
      </c>
      <c r="C17" s="11" t="s">
        <v>1795</v>
      </c>
      <c r="D17" s="55">
        <v>42765</v>
      </c>
      <c r="E17" s="56">
        <v>46421</v>
      </c>
      <c r="F17" s="26" t="s">
        <v>1743</v>
      </c>
      <c r="G17" s="162" t="s">
        <v>963</v>
      </c>
      <c r="H17" s="11" t="s">
        <v>1119</v>
      </c>
      <c r="I17" s="11" t="s">
        <v>111</v>
      </c>
      <c r="J17" s="11" t="s">
        <v>113</v>
      </c>
      <c r="K17" s="26" t="s">
        <v>114</v>
      </c>
      <c r="L17" s="26" t="s">
        <v>1796</v>
      </c>
      <c r="M17" s="11" t="s">
        <v>174</v>
      </c>
      <c r="N17" s="12">
        <v>44089</v>
      </c>
      <c r="O17" s="85" t="s">
        <v>1797</v>
      </c>
      <c r="P17" s="55">
        <v>46421</v>
      </c>
      <c r="Q17" s="55" t="s">
        <v>83</v>
      </c>
      <c r="R17" s="16" t="s">
        <v>84</v>
      </c>
      <c r="S17" s="21">
        <v>11910.8</v>
      </c>
      <c r="T17" s="21">
        <v>0</v>
      </c>
      <c r="U17" s="21">
        <v>1168.07</v>
      </c>
      <c r="V17" s="147" t="s">
        <v>1751</v>
      </c>
      <c r="W17" s="21">
        <v>2347.16</v>
      </c>
      <c r="X17" s="147" t="s">
        <v>1745</v>
      </c>
      <c r="Y17" s="21">
        <v>0</v>
      </c>
      <c r="Z17" s="14"/>
      <c r="AA17" s="56">
        <v>46421</v>
      </c>
    </row>
    <row r="18" spans="1:27" x14ac:dyDescent="0.25">
      <c r="A18" s="26" t="s">
        <v>1741</v>
      </c>
      <c r="B18" s="106" t="s">
        <v>169</v>
      </c>
      <c r="C18" s="11" t="s">
        <v>1798</v>
      </c>
      <c r="D18" s="55">
        <v>41426</v>
      </c>
      <c r="E18" s="55">
        <v>46904</v>
      </c>
      <c r="F18" s="26" t="s">
        <v>1743</v>
      </c>
      <c r="G18" s="162" t="s">
        <v>968</v>
      </c>
      <c r="H18" s="11" t="s">
        <v>1799</v>
      </c>
      <c r="I18" s="11" t="s">
        <v>111</v>
      </c>
      <c r="J18" s="11" t="s">
        <v>113</v>
      </c>
      <c r="K18" s="26" t="s">
        <v>114</v>
      </c>
      <c r="L18" s="26" t="s">
        <v>1800</v>
      </c>
      <c r="M18" s="11" t="s">
        <v>174</v>
      </c>
      <c r="N18" s="12">
        <v>44089</v>
      </c>
      <c r="O18" s="85" t="s">
        <v>1801</v>
      </c>
      <c r="P18" s="55">
        <v>46904</v>
      </c>
      <c r="Q18" s="55" t="s">
        <v>83</v>
      </c>
      <c r="R18" s="16" t="s">
        <v>84</v>
      </c>
      <c r="S18" s="21">
        <v>24316.5</v>
      </c>
      <c r="T18" s="21">
        <v>0</v>
      </c>
      <c r="U18" s="21">
        <v>0</v>
      </c>
      <c r="V18" s="147" t="s">
        <v>82</v>
      </c>
      <c r="W18" s="21">
        <v>0</v>
      </c>
      <c r="X18" s="147" t="s">
        <v>1745</v>
      </c>
      <c r="Y18" s="21">
        <v>0</v>
      </c>
      <c r="Z18" s="90" t="s">
        <v>125</v>
      </c>
      <c r="AA18" s="55">
        <v>46904</v>
      </c>
    </row>
    <row r="19" spans="1:27" x14ac:dyDescent="0.25">
      <c r="A19" s="26" t="s">
        <v>1741</v>
      </c>
      <c r="B19" s="106" t="s">
        <v>1116</v>
      </c>
      <c r="C19" s="11" t="s">
        <v>1802</v>
      </c>
      <c r="D19" s="55">
        <v>42614</v>
      </c>
      <c r="E19" s="55">
        <v>46265</v>
      </c>
      <c r="F19" s="24" t="s">
        <v>962</v>
      </c>
      <c r="G19" s="162" t="s">
        <v>971</v>
      </c>
      <c r="H19" s="11" t="s">
        <v>1803</v>
      </c>
      <c r="I19" s="11" t="s">
        <v>111</v>
      </c>
      <c r="J19" s="11" t="s">
        <v>113</v>
      </c>
      <c r="K19" s="26" t="s">
        <v>114</v>
      </c>
      <c r="L19" s="26" t="s">
        <v>1804</v>
      </c>
      <c r="M19" s="11" t="s">
        <v>174</v>
      </c>
      <c r="N19" s="12">
        <v>44089</v>
      </c>
      <c r="O19" s="85" t="s">
        <v>1805</v>
      </c>
      <c r="P19" s="55">
        <v>46265</v>
      </c>
      <c r="Q19" s="55" t="s">
        <v>83</v>
      </c>
      <c r="R19" s="16" t="s">
        <v>84</v>
      </c>
      <c r="S19" s="21">
        <v>1852.54</v>
      </c>
      <c r="T19" s="21">
        <v>0</v>
      </c>
      <c r="U19" s="21">
        <v>0</v>
      </c>
      <c r="V19" s="147" t="s">
        <v>82</v>
      </c>
      <c r="W19" s="21">
        <v>0</v>
      </c>
      <c r="X19" s="147" t="s">
        <v>82</v>
      </c>
      <c r="Y19" s="21">
        <v>0</v>
      </c>
      <c r="Z19" s="14"/>
      <c r="AA19" s="55">
        <v>46265</v>
      </c>
    </row>
    <row r="20" spans="1:27" x14ac:dyDescent="0.25">
      <c r="A20" s="26" t="s">
        <v>1741</v>
      </c>
      <c r="B20" s="106" t="s">
        <v>1127</v>
      </c>
      <c r="C20" s="11" t="s">
        <v>1810</v>
      </c>
      <c r="D20" s="55">
        <v>42705</v>
      </c>
      <c r="E20" s="55">
        <v>46356</v>
      </c>
      <c r="F20" s="26" t="s">
        <v>1743</v>
      </c>
      <c r="G20" s="162" t="s">
        <v>925</v>
      </c>
      <c r="H20" s="11" t="s">
        <v>1811</v>
      </c>
      <c r="I20" s="11" t="s">
        <v>111</v>
      </c>
      <c r="J20" s="11" t="s">
        <v>113</v>
      </c>
      <c r="K20" s="26" t="s">
        <v>114</v>
      </c>
      <c r="L20" s="26" t="s">
        <v>1812</v>
      </c>
      <c r="M20" s="11" t="s">
        <v>174</v>
      </c>
      <c r="N20" s="12">
        <v>44089</v>
      </c>
      <c r="O20" s="85" t="s">
        <v>1813</v>
      </c>
      <c r="P20" s="55">
        <v>46356</v>
      </c>
      <c r="Q20" s="55" t="s">
        <v>83</v>
      </c>
      <c r="R20" s="16" t="s">
        <v>84</v>
      </c>
      <c r="S20" s="21">
        <v>16380</v>
      </c>
      <c r="T20" s="21">
        <v>0</v>
      </c>
      <c r="U20" s="21">
        <v>0</v>
      </c>
      <c r="V20" s="147" t="s">
        <v>82</v>
      </c>
      <c r="W20" s="21">
        <v>0</v>
      </c>
      <c r="X20" s="147" t="s">
        <v>82</v>
      </c>
      <c r="Y20" s="21">
        <v>0</v>
      </c>
      <c r="Z20" s="14"/>
      <c r="AA20" s="55">
        <v>46356</v>
      </c>
    </row>
    <row r="21" spans="1:27" x14ac:dyDescent="0.25">
      <c r="A21" s="26" t="s">
        <v>1741</v>
      </c>
      <c r="B21" s="106" t="s">
        <v>1132</v>
      </c>
      <c r="C21" s="11" t="s">
        <v>1814</v>
      </c>
      <c r="D21" s="55">
        <v>42531</v>
      </c>
      <c r="E21" s="55">
        <v>47269</v>
      </c>
      <c r="F21" s="26" t="s">
        <v>1743</v>
      </c>
      <c r="G21" s="162" t="s">
        <v>927</v>
      </c>
      <c r="H21" s="11" t="s">
        <v>1124</v>
      </c>
      <c r="I21" s="11" t="s">
        <v>111</v>
      </c>
      <c r="J21" s="11" t="s">
        <v>113</v>
      </c>
      <c r="K21" s="26" t="s">
        <v>114</v>
      </c>
      <c r="L21" s="26" t="s">
        <v>1815</v>
      </c>
      <c r="M21" s="11" t="s">
        <v>174</v>
      </c>
      <c r="N21" s="12">
        <v>44089</v>
      </c>
      <c r="O21" s="85" t="s">
        <v>1816</v>
      </c>
      <c r="P21" s="55">
        <v>47269</v>
      </c>
      <c r="Q21" s="55" t="s">
        <v>83</v>
      </c>
      <c r="R21" s="16" t="s">
        <v>84</v>
      </c>
      <c r="S21" s="21">
        <v>20874.080000000002</v>
      </c>
      <c r="T21" s="21">
        <v>0</v>
      </c>
      <c r="U21" s="21">
        <v>1950.85</v>
      </c>
      <c r="V21" s="147" t="s">
        <v>1751</v>
      </c>
      <c r="W21" s="21">
        <v>5013.68</v>
      </c>
      <c r="X21" s="147" t="s">
        <v>1745</v>
      </c>
      <c r="Y21" s="21">
        <v>0</v>
      </c>
      <c r="Z21" s="87" t="s">
        <v>155</v>
      </c>
      <c r="AA21" s="55">
        <v>45452</v>
      </c>
    </row>
    <row r="22" spans="1:27" x14ac:dyDescent="0.25">
      <c r="A22" s="26" t="s">
        <v>1741</v>
      </c>
      <c r="B22" s="106" t="s">
        <v>1137</v>
      </c>
      <c r="C22" s="11" t="s">
        <v>1817</v>
      </c>
      <c r="D22" s="55">
        <v>42689</v>
      </c>
      <c r="E22" s="55">
        <v>46340</v>
      </c>
      <c r="F22" s="24" t="s">
        <v>962</v>
      </c>
      <c r="G22" s="162" t="s">
        <v>977</v>
      </c>
      <c r="H22" s="11" t="s">
        <v>1818</v>
      </c>
      <c r="I22" s="11" t="s">
        <v>111</v>
      </c>
      <c r="J22" s="11" t="s">
        <v>113</v>
      </c>
      <c r="K22" s="26" t="s">
        <v>114</v>
      </c>
      <c r="L22" s="26" t="s">
        <v>1819</v>
      </c>
      <c r="M22" s="11" t="s">
        <v>174</v>
      </c>
      <c r="N22" s="12">
        <v>44089</v>
      </c>
      <c r="O22" s="85" t="s">
        <v>1820</v>
      </c>
      <c r="P22" s="55">
        <v>46340</v>
      </c>
      <c r="Q22" s="55" t="s">
        <v>83</v>
      </c>
      <c r="R22" s="16" t="s">
        <v>84</v>
      </c>
      <c r="S22" s="21">
        <v>2363</v>
      </c>
      <c r="T22" s="21">
        <v>0</v>
      </c>
      <c r="U22" s="21">
        <v>0</v>
      </c>
      <c r="V22" s="147" t="s">
        <v>82</v>
      </c>
      <c r="W22" s="21">
        <v>0</v>
      </c>
      <c r="X22" s="147" t="s">
        <v>82</v>
      </c>
      <c r="Y22" s="21">
        <v>0</v>
      </c>
      <c r="Z22" s="14"/>
      <c r="AA22" s="55">
        <v>46340</v>
      </c>
    </row>
    <row r="23" spans="1:27" x14ac:dyDescent="0.25">
      <c r="A23" s="26" t="s">
        <v>1741</v>
      </c>
      <c r="B23" s="106" t="s">
        <v>1147</v>
      </c>
      <c r="C23" s="11" t="s">
        <v>1821</v>
      </c>
      <c r="D23" s="55">
        <v>42753</v>
      </c>
      <c r="E23" s="55">
        <v>46404</v>
      </c>
      <c r="F23" s="26" t="s">
        <v>1743</v>
      </c>
      <c r="G23" s="162" t="s">
        <v>980</v>
      </c>
      <c r="H23" s="11" t="s">
        <v>1822</v>
      </c>
      <c r="I23" s="11" t="s">
        <v>111</v>
      </c>
      <c r="J23" s="11" t="s">
        <v>113</v>
      </c>
      <c r="K23" s="26" t="s">
        <v>114</v>
      </c>
      <c r="L23" s="26" t="s">
        <v>1823</v>
      </c>
      <c r="M23" s="11" t="s">
        <v>174</v>
      </c>
      <c r="N23" s="12">
        <v>44089</v>
      </c>
      <c r="O23" s="85" t="s">
        <v>1824</v>
      </c>
      <c r="P23" s="55">
        <v>46404</v>
      </c>
      <c r="Q23" s="16" t="s">
        <v>83</v>
      </c>
      <c r="R23" s="58" t="s">
        <v>84</v>
      </c>
      <c r="S23" s="21">
        <v>5311.82</v>
      </c>
      <c r="T23" s="21">
        <v>0</v>
      </c>
      <c r="U23" s="21">
        <v>0</v>
      </c>
      <c r="V23" s="147" t="s">
        <v>82</v>
      </c>
      <c r="W23" s="21">
        <v>0</v>
      </c>
      <c r="X23" s="147" t="s">
        <v>82</v>
      </c>
      <c r="Y23" s="21">
        <v>0</v>
      </c>
      <c r="Z23" s="93" t="s">
        <v>249</v>
      </c>
      <c r="AA23" s="55">
        <v>45291</v>
      </c>
    </row>
    <row r="24" spans="1:27" x14ac:dyDescent="0.25">
      <c r="A24" s="26" t="s">
        <v>1741</v>
      </c>
      <c r="B24" s="106" t="s">
        <v>176</v>
      </c>
      <c r="C24" s="11" t="s">
        <v>1825</v>
      </c>
      <c r="D24" s="55">
        <v>42767</v>
      </c>
      <c r="E24" s="55">
        <v>46418</v>
      </c>
      <c r="F24" s="24" t="s">
        <v>962</v>
      </c>
      <c r="G24" s="162" t="s">
        <v>981</v>
      </c>
      <c r="H24" s="11" t="s">
        <v>1826</v>
      </c>
      <c r="I24" s="11" t="s">
        <v>111</v>
      </c>
      <c r="J24" s="11" t="s">
        <v>113</v>
      </c>
      <c r="K24" s="26" t="s">
        <v>114</v>
      </c>
      <c r="L24" s="26" t="s">
        <v>1827</v>
      </c>
      <c r="M24" s="11" t="s">
        <v>174</v>
      </c>
      <c r="N24" s="12">
        <v>44089</v>
      </c>
      <c r="O24" s="85" t="s">
        <v>1828</v>
      </c>
      <c r="P24" s="55">
        <v>46418</v>
      </c>
      <c r="Q24" s="55" t="s">
        <v>83</v>
      </c>
      <c r="R24" s="16" t="s">
        <v>84</v>
      </c>
      <c r="S24" s="21">
        <v>7000</v>
      </c>
      <c r="T24" s="21">
        <v>0</v>
      </c>
      <c r="U24" s="21">
        <v>0</v>
      </c>
      <c r="V24" s="147" t="s">
        <v>82</v>
      </c>
      <c r="W24" s="21">
        <v>0</v>
      </c>
      <c r="X24" s="147" t="s">
        <v>82</v>
      </c>
      <c r="Y24" s="21">
        <v>0</v>
      </c>
      <c r="Z24" s="14"/>
      <c r="AA24" s="55">
        <v>46418</v>
      </c>
    </row>
    <row r="25" spans="1:27" x14ac:dyDescent="0.25">
      <c r="A25" s="26" t="s">
        <v>1741</v>
      </c>
      <c r="B25" s="106" t="s">
        <v>1154</v>
      </c>
      <c r="C25" s="11" t="s">
        <v>1829</v>
      </c>
      <c r="D25" s="55">
        <v>42795</v>
      </c>
      <c r="E25" s="55">
        <v>46446</v>
      </c>
      <c r="F25" s="24" t="s">
        <v>962</v>
      </c>
      <c r="G25" s="162" t="s">
        <v>983</v>
      </c>
      <c r="H25" s="11" t="s">
        <v>1830</v>
      </c>
      <c r="I25" s="11" t="s">
        <v>111</v>
      </c>
      <c r="J25" s="11" t="s">
        <v>113</v>
      </c>
      <c r="K25" s="26" t="s">
        <v>114</v>
      </c>
      <c r="L25" s="26" t="s">
        <v>1831</v>
      </c>
      <c r="M25" s="11" t="s">
        <v>174</v>
      </c>
      <c r="N25" s="12">
        <v>44089</v>
      </c>
      <c r="O25" s="85" t="s">
        <v>1832</v>
      </c>
      <c r="P25" s="55">
        <v>46446</v>
      </c>
      <c r="Q25" s="16" t="s">
        <v>83</v>
      </c>
      <c r="R25" s="16" t="s">
        <v>84</v>
      </c>
      <c r="S25" s="21">
        <v>4055</v>
      </c>
      <c r="T25" s="21">
        <v>0</v>
      </c>
      <c r="U25" s="21">
        <v>0</v>
      </c>
      <c r="V25" s="147" t="s">
        <v>82</v>
      </c>
      <c r="W25" s="21">
        <v>0</v>
      </c>
      <c r="X25" s="147" t="s">
        <v>82</v>
      </c>
      <c r="Y25" s="21">
        <v>0</v>
      </c>
      <c r="Z25" s="93" t="s">
        <v>249</v>
      </c>
      <c r="AA25" s="55">
        <v>45291</v>
      </c>
    </row>
    <row r="26" spans="1:27" x14ac:dyDescent="0.25">
      <c r="A26" s="26" t="s">
        <v>1741</v>
      </c>
      <c r="B26" s="106" t="s">
        <v>1159</v>
      </c>
      <c r="C26" s="11" t="s">
        <v>1833</v>
      </c>
      <c r="D26" s="55">
        <v>42887</v>
      </c>
      <c r="E26" s="55">
        <v>46538</v>
      </c>
      <c r="F26" s="24" t="s">
        <v>962</v>
      </c>
      <c r="G26" s="162" t="s">
        <v>985</v>
      </c>
      <c r="H26" s="11" t="s">
        <v>1834</v>
      </c>
      <c r="I26" s="11" t="s">
        <v>111</v>
      </c>
      <c r="J26" s="11" t="s">
        <v>113</v>
      </c>
      <c r="K26" s="26" t="s">
        <v>114</v>
      </c>
      <c r="L26" s="26" t="s">
        <v>1835</v>
      </c>
      <c r="M26" s="11" t="s">
        <v>174</v>
      </c>
      <c r="N26" s="12">
        <v>44089</v>
      </c>
      <c r="O26" s="85" t="s">
        <v>1836</v>
      </c>
      <c r="P26" s="55">
        <v>46538</v>
      </c>
      <c r="Q26" s="16" t="s">
        <v>83</v>
      </c>
      <c r="R26" s="16" t="s">
        <v>84</v>
      </c>
      <c r="S26" s="21">
        <v>2333.98</v>
      </c>
      <c r="T26" s="21">
        <v>0</v>
      </c>
      <c r="U26" s="22"/>
      <c r="V26" s="147" t="s">
        <v>82</v>
      </c>
      <c r="W26" s="22"/>
      <c r="X26" s="147" t="s">
        <v>82</v>
      </c>
      <c r="Y26" s="22"/>
      <c r="Z26" s="87" t="s">
        <v>125</v>
      </c>
      <c r="AA26" s="55">
        <v>45291</v>
      </c>
    </row>
    <row r="27" spans="1:27" x14ac:dyDescent="0.25">
      <c r="A27" s="26" t="s">
        <v>1741</v>
      </c>
      <c r="B27" s="106" t="s">
        <v>1164</v>
      </c>
      <c r="C27" s="11" t="s">
        <v>1837</v>
      </c>
      <c r="D27" s="55">
        <v>42948</v>
      </c>
      <c r="E27" s="55">
        <v>46752</v>
      </c>
      <c r="F27" s="26" t="s">
        <v>1743</v>
      </c>
      <c r="G27" s="162" t="s">
        <v>1584</v>
      </c>
      <c r="H27" s="11" t="s">
        <v>1838</v>
      </c>
      <c r="I27" s="11" t="s">
        <v>111</v>
      </c>
      <c r="J27" s="11" t="s">
        <v>113</v>
      </c>
      <c r="K27" s="26" t="s">
        <v>114</v>
      </c>
      <c r="L27" s="26" t="s">
        <v>1839</v>
      </c>
      <c r="M27" s="11" t="s">
        <v>174</v>
      </c>
      <c r="N27" s="12">
        <v>44089</v>
      </c>
      <c r="O27" s="85" t="s">
        <v>1840</v>
      </c>
      <c r="P27" s="55">
        <v>46752</v>
      </c>
      <c r="Q27" s="55" t="s">
        <v>83</v>
      </c>
      <c r="R27" s="16" t="s">
        <v>84</v>
      </c>
      <c r="S27" s="21">
        <v>6400</v>
      </c>
      <c r="T27" s="21">
        <v>0</v>
      </c>
      <c r="U27" s="21">
        <v>0</v>
      </c>
      <c r="V27" s="147" t="s">
        <v>82</v>
      </c>
      <c r="W27" s="21">
        <v>0</v>
      </c>
      <c r="X27" s="147" t="s">
        <v>1745</v>
      </c>
      <c r="Y27" s="21">
        <v>0</v>
      </c>
      <c r="Z27" s="14"/>
      <c r="AA27" s="55">
        <v>46752</v>
      </c>
    </row>
    <row r="28" spans="1:27" x14ac:dyDescent="0.25">
      <c r="A28" s="26" t="s">
        <v>1741</v>
      </c>
      <c r="B28" s="106" t="s">
        <v>188</v>
      </c>
      <c r="C28" s="11" t="s">
        <v>1841</v>
      </c>
      <c r="D28" s="55">
        <v>42186</v>
      </c>
      <c r="E28" s="55">
        <v>46934</v>
      </c>
      <c r="F28" s="26" t="s">
        <v>1743</v>
      </c>
      <c r="G28" s="162" t="s">
        <v>1842</v>
      </c>
      <c r="H28" s="11" t="s">
        <v>1129</v>
      </c>
      <c r="I28" s="11" t="s">
        <v>111</v>
      </c>
      <c r="J28" s="11" t="s">
        <v>113</v>
      </c>
      <c r="K28" s="26" t="s">
        <v>114</v>
      </c>
      <c r="L28" s="26" t="s">
        <v>1843</v>
      </c>
      <c r="M28" s="11" t="s">
        <v>174</v>
      </c>
      <c r="N28" s="12">
        <v>44089</v>
      </c>
      <c r="O28" s="85" t="s">
        <v>1844</v>
      </c>
      <c r="P28" s="55">
        <v>46934</v>
      </c>
      <c r="Q28" s="55" t="s">
        <v>83</v>
      </c>
      <c r="R28" s="16" t="s">
        <v>84</v>
      </c>
      <c r="S28" s="21">
        <v>12758.34</v>
      </c>
      <c r="T28" s="21">
        <v>0</v>
      </c>
      <c r="U28" s="21">
        <v>0</v>
      </c>
      <c r="V28" s="147" t="s">
        <v>1755</v>
      </c>
      <c r="W28" s="21">
        <v>2195.48</v>
      </c>
      <c r="X28" s="147" t="s">
        <v>1745</v>
      </c>
      <c r="Y28" s="21">
        <v>0</v>
      </c>
      <c r="Z28" s="90" t="s">
        <v>125</v>
      </c>
      <c r="AA28" s="55">
        <v>46934</v>
      </c>
    </row>
    <row r="29" spans="1:27" x14ac:dyDescent="0.25">
      <c r="A29" s="26" t="s">
        <v>1741</v>
      </c>
      <c r="B29" s="106" t="s">
        <v>1190</v>
      </c>
      <c r="C29" s="11" t="s">
        <v>1847</v>
      </c>
      <c r="D29" s="55">
        <v>43040</v>
      </c>
      <c r="E29" s="55">
        <v>46691</v>
      </c>
      <c r="F29" s="26" t="s">
        <v>1743</v>
      </c>
      <c r="G29" s="162" t="s">
        <v>1607</v>
      </c>
      <c r="H29" s="11" t="s">
        <v>1848</v>
      </c>
      <c r="I29" s="11" t="s">
        <v>111</v>
      </c>
      <c r="J29" s="11" t="s">
        <v>113</v>
      </c>
      <c r="K29" s="26" t="s">
        <v>114</v>
      </c>
      <c r="L29" s="26" t="s">
        <v>1849</v>
      </c>
      <c r="M29" s="11" t="s">
        <v>174</v>
      </c>
      <c r="N29" s="12">
        <v>44089</v>
      </c>
      <c r="O29" s="85" t="s">
        <v>1850</v>
      </c>
      <c r="P29" s="55">
        <v>46691</v>
      </c>
      <c r="Q29" s="55" t="s">
        <v>83</v>
      </c>
      <c r="R29" s="16" t="s">
        <v>84</v>
      </c>
      <c r="S29" s="21">
        <v>7000</v>
      </c>
      <c r="T29" s="21">
        <v>0</v>
      </c>
      <c r="U29" s="21">
        <v>0</v>
      </c>
      <c r="V29" s="147" t="s">
        <v>82</v>
      </c>
      <c r="W29" s="21">
        <v>0</v>
      </c>
      <c r="X29" s="147" t="s">
        <v>82</v>
      </c>
      <c r="Y29" s="21">
        <v>0</v>
      </c>
      <c r="Z29" s="90" t="s">
        <v>125</v>
      </c>
      <c r="AA29" s="55">
        <v>46691</v>
      </c>
    </row>
    <row r="30" spans="1:27" x14ac:dyDescent="0.25">
      <c r="A30" s="26" t="s">
        <v>1741</v>
      </c>
      <c r="B30" s="106" t="s">
        <v>1195</v>
      </c>
      <c r="C30" s="11" t="s">
        <v>1851</v>
      </c>
      <c r="D30" s="55">
        <v>42370</v>
      </c>
      <c r="E30" s="55">
        <v>46387</v>
      </c>
      <c r="F30" s="26" t="s">
        <v>1743</v>
      </c>
      <c r="G30" s="162" t="s">
        <v>110</v>
      </c>
      <c r="H30" s="11" t="s">
        <v>1150</v>
      </c>
      <c r="I30" s="11" t="s">
        <v>111</v>
      </c>
      <c r="J30" s="11" t="s">
        <v>113</v>
      </c>
      <c r="K30" s="26" t="s">
        <v>114</v>
      </c>
      <c r="L30" s="26" t="s">
        <v>1852</v>
      </c>
      <c r="M30" s="11" t="s">
        <v>174</v>
      </c>
      <c r="N30" s="12">
        <v>44089</v>
      </c>
      <c r="O30" s="85" t="s">
        <v>1853</v>
      </c>
      <c r="P30" s="55">
        <v>46387</v>
      </c>
      <c r="Q30" s="55" t="s">
        <v>83</v>
      </c>
      <c r="R30" s="16" t="s">
        <v>84</v>
      </c>
      <c r="S30" s="21">
        <v>8233.57</v>
      </c>
      <c r="T30" s="21">
        <v>0</v>
      </c>
      <c r="U30" s="21">
        <v>0</v>
      </c>
      <c r="V30" s="147" t="s">
        <v>1755</v>
      </c>
      <c r="W30" s="21">
        <v>0</v>
      </c>
      <c r="X30" s="147" t="s">
        <v>1846</v>
      </c>
      <c r="Y30" s="21">
        <v>0</v>
      </c>
      <c r="Z30" s="90" t="s">
        <v>125</v>
      </c>
      <c r="AA30" s="55">
        <v>46387</v>
      </c>
    </row>
    <row r="31" spans="1:27" x14ac:dyDescent="0.25">
      <c r="A31" s="26" t="s">
        <v>1741</v>
      </c>
      <c r="B31" s="106" t="s">
        <v>1200</v>
      </c>
      <c r="C31" s="11" t="s">
        <v>1854</v>
      </c>
      <c r="D31" s="55">
        <v>43101</v>
      </c>
      <c r="E31" s="55">
        <v>46752</v>
      </c>
      <c r="F31" s="24" t="s">
        <v>962</v>
      </c>
      <c r="G31" s="162" t="s">
        <v>990</v>
      </c>
      <c r="H31" s="11" t="s">
        <v>1855</v>
      </c>
      <c r="I31" s="11" t="s">
        <v>111</v>
      </c>
      <c r="J31" s="11" t="s">
        <v>113</v>
      </c>
      <c r="K31" s="26" t="s">
        <v>114</v>
      </c>
      <c r="L31" s="26" t="s">
        <v>1856</v>
      </c>
      <c r="M31" s="11" t="s">
        <v>174</v>
      </c>
      <c r="N31" s="12">
        <v>44089</v>
      </c>
      <c r="O31" s="85" t="s">
        <v>1857</v>
      </c>
      <c r="P31" s="55">
        <v>46752</v>
      </c>
      <c r="Q31" s="55" t="s">
        <v>83</v>
      </c>
      <c r="R31" s="16" t="s">
        <v>84</v>
      </c>
      <c r="S31" s="21">
        <v>2500</v>
      </c>
      <c r="T31" s="21">
        <v>0</v>
      </c>
      <c r="U31" s="21">
        <v>0</v>
      </c>
      <c r="V31" s="147" t="s">
        <v>82</v>
      </c>
      <c r="W31" s="21">
        <v>0</v>
      </c>
      <c r="X31" s="147" t="s">
        <v>82</v>
      </c>
      <c r="Y31" s="21">
        <v>0</v>
      </c>
      <c r="Z31" s="14"/>
      <c r="AA31" s="55">
        <v>46752</v>
      </c>
    </row>
    <row r="32" spans="1:27" x14ac:dyDescent="0.25">
      <c r="A32" s="26" t="s">
        <v>1741</v>
      </c>
      <c r="B32" s="106" t="s">
        <v>194</v>
      </c>
      <c r="C32" s="11" t="s">
        <v>1858</v>
      </c>
      <c r="D32" s="55">
        <v>39417</v>
      </c>
      <c r="E32" s="55">
        <v>46721</v>
      </c>
      <c r="F32" s="26" t="s">
        <v>1743</v>
      </c>
      <c r="G32" s="162" t="s">
        <v>120</v>
      </c>
      <c r="H32" s="11" t="s">
        <v>1859</v>
      </c>
      <c r="I32" s="11" t="s">
        <v>111</v>
      </c>
      <c r="J32" s="11" t="s">
        <v>113</v>
      </c>
      <c r="K32" s="26" t="s">
        <v>114</v>
      </c>
      <c r="L32" s="26" t="s">
        <v>1860</v>
      </c>
      <c r="M32" s="11" t="s">
        <v>174</v>
      </c>
      <c r="N32" s="12">
        <v>44089</v>
      </c>
      <c r="O32" s="85" t="s">
        <v>1861</v>
      </c>
      <c r="P32" s="55">
        <v>46721</v>
      </c>
      <c r="Q32" s="55" t="s">
        <v>83</v>
      </c>
      <c r="R32" s="16" t="s">
        <v>84</v>
      </c>
      <c r="S32" s="21">
        <v>8500</v>
      </c>
      <c r="T32" s="21">
        <v>0</v>
      </c>
      <c r="U32" s="21">
        <v>0</v>
      </c>
      <c r="V32" s="147" t="s">
        <v>82</v>
      </c>
      <c r="W32" s="21">
        <v>0</v>
      </c>
      <c r="X32" s="147" t="s">
        <v>82</v>
      </c>
      <c r="Y32" s="21">
        <v>0</v>
      </c>
      <c r="Z32" s="14"/>
      <c r="AA32" s="55">
        <v>46721</v>
      </c>
    </row>
    <row r="33" spans="1:27" x14ac:dyDescent="0.25">
      <c r="A33" s="26" t="s">
        <v>1741</v>
      </c>
      <c r="B33" s="106" t="s">
        <v>200</v>
      </c>
      <c r="C33" s="11" t="s">
        <v>1862</v>
      </c>
      <c r="D33" s="55">
        <v>39539</v>
      </c>
      <c r="E33" s="55">
        <v>46811</v>
      </c>
      <c r="F33" s="24" t="s">
        <v>962</v>
      </c>
      <c r="G33" s="162" t="s">
        <v>1024</v>
      </c>
      <c r="H33" s="11" t="s">
        <v>1863</v>
      </c>
      <c r="I33" s="11" t="s">
        <v>111</v>
      </c>
      <c r="J33" s="11" t="s">
        <v>113</v>
      </c>
      <c r="K33" s="26" t="s">
        <v>114</v>
      </c>
      <c r="L33" s="26" t="s">
        <v>1864</v>
      </c>
      <c r="M33" s="11" t="s">
        <v>174</v>
      </c>
      <c r="N33" s="12">
        <v>44089</v>
      </c>
      <c r="O33" s="85" t="s">
        <v>1865</v>
      </c>
      <c r="P33" s="55">
        <v>46811</v>
      </c>
      <c r="Q33" s="16" t="s">
        <v>83</v>
      </c>
      <c r="R33" s="16" t="s">
        <v>84</v>
      </c>
      <c r="S33" s="21">
        <v>4850</v>
      </c>
      <c r="T33" s="21">
        <v>0</v>
      </c>
      <c r="U33" s="21">
        <v>0</v>
      </c>
      <c r="V33" s="147" t="s">
        <v>82</v>
      </c>
      <c r="W33" s="21">
        <v>0</v>
      </c>
      <c r="X33" s="147" t="s">
        <v>82</v>
      </c>
      <c r="Y33" s="21">
        <v>0</v>
      </c>
      <c r="Z33" s="87" t="s">
        <v>125</v>
      </c>
      <c r="AA33" s="55">
        <v>45291</v>
      </c>
    </row>
    <row r="34" spans="1:27" x14ac:dyDescent="0.25">
      <c r="A34" s="26" t="s">
        <v>1741</v>
      </c>
      <c r="B34" s="106" t="s">
        <v>1210</v>
      </c>
      <c r="C34" s="11" t="s">
        <v>1866</v>
      </c>
      <c r="D34" s="55">
        <v>39539</v>
      </c>
      <c r="E34" s="55">
        <v>46843</v>
      </c>
      <c r="F34" s="24" t="s">
        <v>962</v>
      </c>
      <c r="G34" s="162" t="s">
        <v>1030</v>
      </c>
      <c r="H34" s="11" t="s">
        <v>1867</v>
      </c>
      <c r="I34" s="11" t="s">
        <v>111</v>
      </c>
      <c r="J34" s="11" t="s">
        <v>113</v>
      </c>
      <c r="K34" s="26" t="s">
        <v>114</v>
      </c>
      <c r="L34" s="26" t="s">
        <v>1868</v>
      </c>
      <c r="M34" s="11" t="s">
        <v>174</v>
      </c>
      <c r="N34" s="12">
        <v>44089</v>
      </c>
      <c r="O34" s="85" t="s">
        <v>1869</v>
      </c>
      <c r="P34" s="55">
        <v>46843</v>
      </c>
      <c r="Q34" s="16" t="s">
        <v>83</v>
      </c>
      <c r="R34" s="16" t="s">
        <v>84</v>
      </c>
      <c r="S34" s="21">
        <v>4000</v>
      </c>
      <c r="T34" s="21">
        <v>0</v>
      </c>
      <c r="U34" s="21">
        <v>0</v>
      </c>
      <c r="V34" s="147" t="s">
        <v>82</v>
      </c>
      <c r="W34" s="21">
        <v>0</v>
      </c>
      <c r="X34" s="147" t="s">
        <v>82</v>
      </c>
      <c r="Y34" s="21">
        <v>0</v>
      </c>
      <c r="Z34" s="93" t="s">
        <v>249</v>
      </c>
      <c r="AA34" s="55">
        <v>45291</v>
      </c>
    </row>
    <row r="35" spans="1:27" x14ac:dyDescent="0.25">
      <c r="A35" s="26" t="s">
        <v>1741</v>
      </c>
      <c r="B35" s="106" t="s">
        <v>212</v>
      </c>
      <c r="C35" s="11" t="s">
        <v>1870</v>
      </c>
      <c r="D35" s="55">
        <v>43282</v>
      </c>
      <c r="E35" s="55">
        <v>46934</v>
      </c>
      <c r="F35" s="24" t="s">
        <v>962</v>
      </c>
      <c r="G35" s="162" t="s">
        <v>1047</v>
      </c>
      <c r="H35" s="11" t="s">
        <v>1871</v>
      </c>
      <c r="I35" s="11" t="s">
        <v>111</v>
      </c>
      <c r="J35" s="11" t="s">
        <v>113</v>
      </c>
      <c r="K35" s="26" t="s">
        <v>114</v>
      </c>
      <c r="L35" s="26" t="s">
        <v>1872</v>
      </c>
      <c r="M35" s="11" t="s">
        <v>174</v>
      </c>
      <c r="N35" s="12">
        <v>44089</v>
      </c>
      <c r="O35" s="85" t="s">
        <v>1873</v>
      </c>
      <c r="P35" s="55">
        <v>46934</v>
      </c>
      <c r="Q35" s="55" t="s">
        <v>83</v>
      </c>
      <c r="R35" s="16" t="s">
        <v>84</v>
      </c>
      <c r="S35" s="21">
        <v>3100</v>
      </c>
      <c r="T35" s="21">
        <v>0</v>
      </c>
      <c r="U35" s="21">
        <v>0</v>
      </c>
      <c r="V35" s="147" t="s">
        <v>82</v>
      </c>
      <c r="W35" s="21">
        <v>0</v>
      </c>
      <c r="X35" s="147" t="s">
        <v>1745</v>
      </c>
      <c r="Y35" s="21">
        <v>0</v>
      </c>
      <c r="Z35" s="90" t="s">
        <v>125</v>
      </c>
      <c r="AA35" s="55">
        <v>46934</v>
      </c>
    </row>
    <row r="36" spans="1:27" x14ac:dyDescent="0.25">
      <c r="A36" s="26" t="s">
        <v>1741</v>
      </c>
      <c r="B36" s="106" t="s">
        <v>224</v>
      </c>
      <c r="C36" s="11" t="s">
        <v>1874</v>
      </c>
      <c r="D36" s="55">
        <v>42767</v>
      </c>
      <c r="E36" s="55">
        <v>46418</v>
      </c>
      <c r="F36" s="24" t="s">
        <v>962</v>
      </c>
      <c r="G36" s="162" t="s">
        <v>1875</v>
      </c>
      <c r="H36" s="11" t="s">
        <v>1876</v>
      </c>
      <c r="I36" s="11" t="s">
        <v>111</v>
      </c>
      <c r="J36" s="11" t="s">
        <v>113</v>
      </c>
      <c r="K36" s="26" t="s">
        <v>114</v>
      </c>
      <c r="L36" s="26" t="s">
        <v>1877</v>
      </c>
      <c r="M36" s="11" t="s">
        <v>174</v>
      </c>
      <c r="N36" s="12">
        <v>44089</v>
      </c>
      <c r="O36" s="85" t="s">
        <v>1878</v>
      </c>
      <c r="P36" s="55">
        <v>46418</v>
      </c>
      <c r="Q36" s="55" t="s">
        <v>83</v>
      </c>
      <c r="R36" s="16" t="s">
        <v>84</v>
      </c>
      <c r="S36" s="21">
        <v>2200</v>
      </c>
      <c r="T36" s="21">
        <v>0</v>
      </c>
      <c r="U36" s="21">
        <v>0</v>
      </c>
      <c r="V36" s="147" t="s">
        <v>82</v>
      </c>
      <c r="W36" s="21">
        <v>0</v>
      </c>
      <c r="X36" s="147" t="s">
        <v>82</v>
      </c>
      <c r="Y36" s="21">
        <v>0</v>
      </c>
      <c r="Z36" s="14"/>
      <c r="AA36" s="55">
        <v>46418</v>
      </c>
    </row>
    <row r="37" spans="1:27" x14ac:dyDescent="0.25">
      <c r="A37" s="26" t="s">
        <v>1741</v>
      </c>
      <c r="B37" s="106" t="s">
        <v>470</v>
      </c>
      <c r="C37" s="11" t="s">
        <v>1883</v>
      </c>
      <c r="D37" s="55">
        <v>42315</v>
      </c>
      <c r="E37" s="55">
        <v>46332</v>
      </c>
      <c r="F37" s="26" t="s">
        <v>1743</v>
      </c>
      <c r="G37" s="162" t="s">
        <v>1079</v>
      </c>
      <c r="H37" s="11" t="s">
        <v>185</v>
      </c>
      <c r="I37" s="11" t="s">
        <v>111</v>
      </c>
      <c r="J37" s="11" t="s">
        <v>113</v>
      </c>
      <c r="K37" s="26" t="s">
        <v>114</v>
      </c>
      <c r="L37" s="26" t="s">
        <v>1884</v>
      </c>
      <c r="M37" s="11" t="s">
        <v>174</v>
      </c>
      <c r="N37" s="12">
        <v>44089</v>
      </c>
      <c r="O37" s="85" t="s">
        <v>1885</v>
      </c>
      <c r="P37" s="55">
        <v>46332</v>
      </c>
      <c r="Q37" s="55" t="s">
        <v>83</v>
      </c>
      <c r="R37" s="16" t="s">
        <v>84</v>
      </c>
      <c r="S37" s="21">
        <v>10900.9</v>
      </c>
      <c r="T37" s="21">
        <v>0</v>
      </c>
      <c r="U37" s="21">
        <v>0</v>
      </c>
      <c r="V37" s="147" t="s">
        <v>1755</v>
      </c>
      <c r="W37" s="21">
        <v>537.74</v>
      </c>
      <c r="X37" s="147" t="s">
        <v>1846</v>
      </c>
      <c r="Y37" s="21">
        <v>0</v>
      </c>
      <c r="Z37" s="90" t="s">
        <v>125</v>
      </c>
      <c r="AA37" s="55">
        <v>46332</v>
      </c>
    </row>
    <row r="38" spans="1:27" x14ac:dyDescent="0.25">
      <c r="A38" s="26" t="s">
        <v>1741</v>
      </c>
      <c r="B38" s="106" t="s">
        <v>236</v>
      </c>
      <c r="C38" s="11" t="s">
        <v>1886</v>
      </c>
      <c r="D38" s="55">
        <v>42709</v>
      </c>
      <c r="E38" s="55">
        <v>46556</v>
      </c>
      <c r="F38" s="26" t="s">
        <v>1743</v>
      </c>
      <c r="G38" s="162" t="s">
        <v>1102</v>
      </c>
      <c r="H38" s="11" t="s">
        <v>1167</v>
      </c>
      <c r="I38" s="11" t="s">
        <v>111</v>
      </c>
      <c r="J38" s="11" t="s">
        <v>113</v>
      </c>
      <c r="K38" s="26" t="s">
        <v>114</v>
      </c>
      <c r="L38" s="26" t="s">
        <v>1887</v>
      </c>
      <c r="M38" s="11" t="s">
        <v>174</v>
      </c>
      <c r="N38" s="12">
        <v>44159</v>
      </c>
      <c r="O38" s="85" t="s">
        <v>1888</v>
      </c>
      <c r="P38" s="55">
        <v>46635</v>
      </c>
      <c r="Q38" s="16" t="s">
        <v>83</v>
      </c>
      <c r="R38" s="16" t="s">
        <v>84</v>
      </c>
      <c r="S38" s="21">
        <v>23525.98</v>
      </c>
      <c r="T38" s="21">
        <v>0</v>
      </c>
      <c r="U38" s="21">
        <v>235.26</v>
      </c>
      <c r="V38" s="147" t="s">
        <v>1755</v>
      </c>
      <c r="W38" s="21">
        <v>0</v>
      </c>
      <c r="X38" s="147" t="s">
        <v>1846</v>
      </c>
      <c r="Y38" s="21">
        <v>0</v>
      </c>
      <c r="Z38" s="14"/>
      <c r="AA38" s="100">
        <v>46635</v>
      </c>
    </row>
    <row r="39" spans="1:27" x14ac:dyDescent="0.25">
      <c r="A39" s="26" t="s">
        <v>1741</v>
      </c>
      <c r="B39" s="106" t="s">
        <v>1260</v>
      </c>
      <c r="C39" s="11" t="s">
        <v>1893</v>
      </c>
      <c r="D39" s="55">
        <v>42917</v>
      </c>
      <c r="E39" s="56">
        <v>46568</v>
      </c>
      <c r="F39" s="26" t="s">
        <v>1743</v>
      </c>
      <c r="G39" s="162" t="s">
        <v>1133</v>
      </c>
      <c r="H39" s="11" t="s">
        <v>1192</v>
      </c>
      <c r="I39" s="11" t="s">
        <v>111</v>
      </c>
      <c r="J39" s="11" t="s">
        <v>113</v>
      </c>
      <c r="K39" s="26" t="s">
        <v>114</v>
      </c>
      <c r="L39" s="26" t="s">
        <v>1894</v>
      </c>
      <c r="M39" s="11" t="s">
        <v>174</v>
      </c>
      <c r="N39" s="12">
        <v>44089</v>
      </c>
      <c r="O39" s="85" t="s">
        <v>1895</v>
      </c>
      <c r="P39" s="55">
        <v>46568</v>
      </c>
      <c r="Q39" s="55" t="s">
        <v>83</v>
      </c>
      <c r="R39" s="16" t="s">
        <v>84</v>
      </c>
      <c r="S39" s="21">
        <v>11084.07</v>
      </c>
      <c r="T39" s="21">
        <v>0</v>
      </c>
      <c r="U39" s="21">
        <v>0</v>
      </c>
      <c r="V39" s="147" t="s">
        <v>1755</v>
      </c>
      <c r="W39" s="21">
        <v>2851.55</v>
      </c>
      <c r="X39" s="147" t="s">
        <v>1745</v>
      </c>
      <c r="Y39" s="21">
        <v>0</v>
      </c>
      <c r="Z39" s="14"/>
      <c r="AA39" s="56">
        <v>46568</v>
      </c>
    </row>
    <row r="40" spans="1:27" x14ac:dyDescent="0.25">
      <c r="A40" s="26" t="s">
        <v>1741</v>
      </c>
      <c r="B40" s="106" t="s">
        <v>1291</v>
      </c>
      <c r="C40" s="11" t="s">
        <v>1896</v>
      </c>
      <c r="D40" s="55">
        <v>43132</v>
      </c>
      <c r="E40" s="55">
        <v>46783</v>
      </c>
      <c r="F40" s="26" t="s">
        <v>1743</v>
      </c>
      <c r="G40" s="162" t="s">
        <v>184</v>
      </c>
      <c r="H40" s="11" t="s">
        <v>1202</v>
      </c>
      <c r="I40" s="11" t="s">
        <v>111</v>
      </c>
      <c r="J40" s="11" t="s">
        <v>113</v>
      </c>
      <c r="K40" s="26" t="s">
        <v>114</v>
      </c>
      <c r="L40" s="26" t="s">
        <v>1897</v>
      </c>
      <c r="M40" s="11" t="s">
        <v>174</v>
      </c>
      <c r="N40" s="12">
        <v>44089</v>
      </c>
      <c r="O40" s="85" t="s">
        <v>1898</v>
      </c>
      <c r="P40" s="55">
        <v>46783</v>
      </c>
      <c r="Q40" s="55" t="s">
        <v>83</v>
      </c>
      <c r="R40" s="16" t="s">
        <v>84</v>
      </c>
      <c r="S40" s="21">
        <v>22604.23</v>
      </c>
      <c r="T40" s="21">
        <v>0</v>
      </c>
      <c r="U40" s="21">
        <v>0</v>
      </c>
      <c r="V40" s="147" t="s">
        <v>1755</v>
      </c>
      <c r="W40" s="21">
        <v>3895.51</v>
      </c>
      <c r="X40" s="147" t="s">
        <v>1745</v>
      </c>
      <c r="Y40" s="21">
        <v>0</v>
      </c>
      <c r="Z40" s="90" t="s">
        <v>125</v>
      </c>
      <c r="AA40" s="55">
        <v>46783</v>
      </c>
    </row>
    <row r="41" spans="1:27" x14ac:dyDescent="0.25">
      <c r="A41" s="26" t="s">
        <v>1741</v>
      </c>
      <c r="B41" s="106" t="s">
        <v>1297</v>
      </c>
      <c r="C41" s="11" t="s">
        <v>1899</v>
      </c>
      <c r="D41" s="55">
        <v>42736</v>
      </c>
      <c r="E41" s="55">
        <v>47269</v>
      </c>
      <c r="F41" s="26" t="s">
        <v>1743</v>
      </c>
      <c r="G41" s="162" t="s">
        <v>1166</v>
      </c>
      <c r="H41" s="11" t="s">
        <v>1900</v>
      </c>
      <c r="I41" s="11" t="s">
        <v>111</v>
      </c>
      <c r="J41" s="11" t="s">
        <v>113</v>
      </c>
      <c r="K41" s="26" t="s">
        <v>114</v>
      </c>
      <c r="L41" s="26" t="s">
        <v>1901</v>
      </c>
      <c r="M41" s="11" t="s">
        <v>174</v>
      </c>
      <c r="N41" s="12">
        <v>44089</v>
      </c>
      <c r="O41" s="85" t="s">
        <v>1902</v>
      </c>
      <c r="P41" s="55">
        <v>47269</v>
      </c>
      <c r="Q41" s="55" t="s">
        <v>83</v>
      </c>
      <c r="R41" s="16" t="s">
        <v>84</v>
      </c>
      <c r="S41" s="21">
        <v>8127.21</v>
      </c>
      <c r="T41" s="21">
        <v>0</v>
      </c>
      <c r="U41" s="21">
        <v>1000</v>
      </c>
      <c r="V41" s="147" t="s">
        <v>1745</v>
      </c>
      <c r="W41" s="21">
        <v>2314.25</v>
      </c>
      <c r="X41" s="147" t="s">
        <v>1745</v>
      </c>
      <c r="Y41" s="21">
        <v>0</v>
      </c>
      <c r="Z41" s="14"/>
      <c r="AA41" s="55">
        <v>45657</v>
      </c>
    </row>
    <row r="42" spans="1:27" x14ac:dyDescent="0.25">
      <c r="A42" s="26" t="s">
        <v>1741</v>
      </c>
      <c r="B42" s="106" t="s">
        <v>1325</v>
      </c>
      <c r="C42" s="11" t="s">
        <v>1903</v>
      </c>
      <c r="D42" s="55">
        <v>42826</v>
      </c>
      <c r="E42" s="56">
        <v>46599</v>
      </c>
      <c r="F42" s="26" t="s">
        <v>1743</v>
      </c>
      <c r="G42" s="162" t="s">
        <v>1206</v>
      </c>
      <c r="H42" s="11" t="s">
        <v>1904</v>
      </c>
      <c r="I42" s="11" t="s">
        <v>111</v>
      </c>
      <c r="J42" s="11" t="s">
        <v>113</v>
      </c>
      <c r="K42" s="26" t="s">
        <v>114</v>
      </c>
      <c r="L42" s="26" t="s">
        <v>1905</v>
      </c>
      <c r="M42" s="11" t="s">
        <v>174</v>
      </c>
      <c r="N42" s="12">
        <v>44089</v>
      </c>
      <c r="O42" s="85" t="s">
        <v>1906</v>
      </c>
      <c r="P42" s="55">
        <v>46599</v>
      </c>
      <c r="Q42" s="55" t="s">
        <v>83</v>
      </c>
      <c r="R42" s="16" t="s">
        <v>84</v>
      </c>
      <c r="S42" s="21">
        <v>16728.38</v>
      </c>
      <c r="T42" s="21">
        <v>0</v>
      </c>
      <c r="U42" s="21">
        <v>0</v>
      </c>
      <c r="V42" s="147" t="s">
        <v>1755</v>
      </c>
      <c r="W42" s="21">
        <v>6529.29</v>
      </c>
      <c r="X42" s="147" t="s">
        <v>1745</v>
      </c>
      <c r="Y42" s="21">
        <v>0</v>
      </c>
      <c r="Z42" s="14"/>
      <c r="AA42" s="56">
        <v>46599</v>
      </c>
    </row>
    <row r="43" spans="1:27" x14ac:dyDescent="0.25">
      <c r="A43" s="26" t="s">
        <v>1741</v>
      </c>
      <c r="B43" s="106" t="s">
        <v>1335</v>
      </c>
      <c r="C43" s="11" t="s">
        <v>1911</v>
      </c>
      <c r="D43" s="55">
        <v>43132</v>
      </c>
      <c r="E43" s="55">
        <v>46783</v>
      </c>
      <c r="F43" s="26" t="s">
        <v>1743</v>
      </c>
      <c r="G43" s="162" t="s">
        <v>1217</v>
      </c>
      <c r="H43" s="11" t="s">
        <v>1218</v>
      </c>
      <c r="I43" s="11" t="s">
        <v>111</v>
      </c>
      <c r="J43" s="11" t="s">
        <v>113</v>
      </c>
      <c r="K43" s="26" t="s">
        <v>114</v>
      </c>
      <c r="L43" s="26" t="s">
        <v>1912</v>
      </c>
      <c r="M43" s="11" t="s">
        <v>174</v>
      </c>
      <c r="N43" s="12">
        <v>44089</v>
      </c>
      <c r="O43" s="85" t="s">
        <v>1913</v>
      </c>
      <c r="P43" s="55">
        <v>46783</v>
      </c>
      <c r="Q43" s="16" t="s">
        <v>83</v>
      </c>
      <c r="R43" s="16" t="s">
        <v>84</v>
      </c>
      <c r="S43" s="21">
        <v>11040.98</v>
      </c>
      <c r="T43" s="21">
        <v>0</v>
      </c>
      <c r="U43" s="21">
        <v>0</v>
      </c>
      <c r="V43" s="147" t="s">
        <v>1755</v>
      </c>
      <c r="W43" s="21">
        <v>4029.28</v>
      </c>
      <c r="X43" s="147" t="s">
        <v>1745</v>
      </c>
      <c r="Y43" s="21">
        <v>0</v>
      </c>
      <c r="Z43" s="93" t="s">
        <v>249</v>
      </c>
      <c r="AA43" s="55">
        <v>45291</v>
      </c>
    </row>
    <row r="44" spans="1:27" x14ac:dyDescent="0.25">
      <c r="A44" s="26" t="s">
        <v>1741</v>
      </c>
      <c r="B44" s="106" t="s">
        <v>314</v>
      </c>
      <c r="C44" s="11" t="s">
        <v>1914</v>
      </c>
      <c r="D44" s="55">
        <v>42767</v>
      </c>
      <c r="E44" s="56">
        <v>46599</v>
      </c>
      <c r="F44" s="26" t="s">
        <v>1743</v>
      </c>
      <c r="G44" s="162" t="s">
        <v>214</v>
      </c>
      <c r="H44" s="11" t="s">
        <v>215</v>
      </c>
      <c r="I44" s="11" t="s">
        <v>111</v>
      </c>
      <c r="J44" s="11" t="s">
        <v>113</v>
      </c>
      <c r="K44" s="26" t="s">
        <v>114</v>
      </c>
      <c r="L44" s="26" t="s">
        <v>1915</v>
      </c>
      <c r="M44" s="11" t="s">
        <v>174</v>
      </c>
      <c r="N44" s="12">
        <v>44089</v>
      </c>
      <c r="O44" s="85" t="s">
        <v>1916</v>
      </c>
      <c r="P44" s="55">
        <v>46599</v>
      </c>
      <c r="Q44" s="55" t="s">
        <v>83</v>
      </c>
      <c r="R44" s="16" t="s">
        <v>84</v>
      </c>
      <c r="S44" s="21">
        <v>17527.8</v>
      </c>
      <c r="T44" s="21">
        <v>0</v>
      </c>
      <c r="U44" s="21">
        <v>0</v>
      </c>
      <c r="V44" s="147" t="s">
        <v>1755</v>
      </c>
      <c r="W44" s="21">
        <v>3090.43</v>
      </c>
      <c r="X44" s="147" t="s">
        <v>1745</v>
      </c>
      <c r="Y44" s="21">
        <v>0</v>
      </c>
      <c r="Z44" s="14"/>
      <c r="AA44" s="56">
        <v>46599</v>
      </c>
    </row>
    <row r="45" spans="1:27" x14ac:dyDescent="0.25">
      <c r="A45" s="26" t="s">
        <v>1741</v>
      </c>
      <c r="B45" s="106" t="s">
        <v>320</v>
      </c>
      <c r="C45" s="11" t="s">
        <v>1917</v>
      </c>
      <c r="D45" s="55">
        <v>42887</v>
      </c>
      <c r="E45" s="56">
        <v>46538</v>
      </c>
      <c r="F45" s="26" t="s">
        <v>1743</v>
      </c>
      <c r="G45" s="162" t="s">
        <v>1228</v>
      </c>
      <c r="H45" s="11" t="s">
        <v>1229</v>
      </c>
      <c r="I45" s="11" t="s">
        <v>111</v>
      </c>
      <c r="J45" s="11" t="s">
        <v>113</v>
      </c>
      <c r="K45" s="26" t="s">
        <v>114</v>
      </c>
      <c r="L45" s="26" t="s">
        <v>1918</v>
      </c>
      <c r="M45" s="11" t="s">
        <v>174</v>
      </c>
      <c r="N45" s="12">
        <v>44089</v>
      </c>
      <c r="O45" s="85" t="s">
        <v>1919</v>
      </c>
      <c r="P45" s="55">
        <v>46538</v>
      </c>
      <c r="Q45" s="55" t="s">
        <v>83</v>
      </c>
      <c r="R45" s="16" t="s">
        <v>84</v>
      </c>
      <c r="S45" s="21">
        <v>17528.23</v>
      </c>
      <c r="T45" s="21">
        <v>0</v>
      </c>
      <c r="U45" s="21">
        <v>0</v>
      </c>
      <c r="V45" s="147" t="s">
        <v>1755</v>
      </c>
      <c r="W45" s="21">
        <v>3879.1</v>
      </c>
      <c r="X45" s="147" t="s">
        <v>1745</v>
      </c>
      <c r="Y45" s="21">
        <v>0</v>
      </c>
      <c r="Z45" s="14"/>
      <c r="AA45" s="56">
        <v>46538</v>
      </c>
    </row>
    <row r="46" spans="1:27" x14ac:dyDescent="0.25">
      <c r="A46" s="26" t="s">
        <v>1741</v>
      </c>
      <c r="B46" s="106" t="s">
        <v>1351</v>
      </c>
      <c r="C46" s="11" t="s">
        <v>1920</v>
      </c>
      <c r="D46" s="55">
        <v>42887</v>
      </c>
      <c r="E46" s="56">
        <v>46538</v>
      </c>
      <c r="F46" s="26" t="s">
        <v>1743</v>
      </c>
      <c r="G46" s="162" t="s">
        <v>226</v>
      </c>
      <c r="H46" s="11" t="s">
        <v>227</v>
      </c>
      <c r="I46" s="11" t="s">
        <v>111</v>
      </c>
      <c r="J46" s="11" t="s">
        <v>113</v>
      </c>
      <c r="K46" s="26" t="s">
        <v>114</v>
      </c>
      <c r="L46" s="26" t="s">
        <v>1921</v>
      </c>
      <c r="M46" s="11" t="s">
        <v>174</v>
      </c>
      <c r="N46" s="12">
        <v>44089</v>
      </c>
      <c r="O46" s="85" t="s">
        <v>1922</v>
      </c>
      <c r="P46" s="55">
        <v>46538</v>
      </c>
      <c r="Q46" s="55" t="s">
        <v>83</v>
      </c>
      <c r="R46" s="16" t="s">
        <v>84</v>
      </c>
      <c r="S46" s="21">
        <v>11409.28</v>
      </c>
      <c r="T46" s="21">
        <v>0</v>
      </c>
      <c r="U46" s="21">
        <v>0</v>
      </c>
      <c r="V46" s="147" t="s">
        <v>1755</v>
      </c>
      <c r="W46" s="21">
        <v>2858.28</v>
      </c>
      <c r="X46" s="147" t="s">
        <v>1745</v>
      </c>
      <c r="Y46" s="21">
        <v>0</v>
      </c>
      <c r="Z46" s="14"/>
      <c r="AA46" s="56">
        <v>46538</v>
      </c>
    </row>
    <row r="47" spans="1:27" x14ac:dyDescent="0.25">
      <c r="A47" s="26" t="s">
        <v>1741</v>
      </c>
      <c r="B47" s="106" t="s">
        <v>333</v>
      </c>
      <c r="C47" s="11" t="s">
        <v>1923</v>
      </c>
      <c r="D47" s="55">
        <v>42306</v>
      </c>
      <c r="E47" s="55">
        <v>46691</v>
      </c>
      <c r="F47" s="26" t="s">
        <v>1743</v>
      </c>
      <c r="G47" s="162" t="s">
        <v>1233</v>
      </c>
      <c r="H47" s="11" t="s">
        <v>1234</v>
      </c>
      <c r="I47" s="11" t="s">
        <v>111</v>
      </c>
      <c r="J47" s="11" t="s">
        <v>113</v>
      </c>
      <c r="K47" s="26" t="s">
        <v>114</v>
      </c>
      <c r="L47" s="26" t="s">
        <v>1924</v>
      </c>
      <c r="M47" s="11" t="s">
        <v>174</v>
      </c>
      <c r="N47" s="12">
        <v>44089</v>
      </c>
      <c r="O47" s="85" t="s">
        <v>1925</v>
      </c>
      <c r="P47" s="55">
        <v>46691</v>
      </c>
      <c r="Q47" s="16" t="s">
        <v>83</v>
      </c>
      <c r="R47" s="16" t="s">
        <v>84</v>
      </c>
      <c r="S47" s="21">
        <v>6021.66</v>
      </c>
      <c r="T47" s="21">
        <v>0</v>
      </c>
      <c r="U47" s="21">
        <v>770.81</v>
      </c>
      <c r="V47" s="147" t="s">
        <v>1745</v>
      </c>
      <c r="W47" s="21">
        <v>1541.52</v>
      </c>
      <c r="X47" s="147" t="s">
        <v>1745</v>
      </c>
      <c r="Y47" s="21">
        <v>0</v>
      </c>
      <c r="Z47" s="93" t="s">
        <v>249</v>
      </c>
      <c r="AA47" s="55">
        <v>45291</v>
      </c>
    </row>
    <row r="48" spans="1:27" x14ac:dyDescent="0.25">
      <c r="A48" s="26" t="s">
        <v>1741</v>
      </c>
      <c r="B48" s="106" t="s">
        <v>354</v>
      </c>
      <c r="C48" s="11" t="s">
        <v>1930</v>
      </c>
      <c r="D48" s="55">
        <v>42461</v>
      </c>
      <c r="E48" s="55">
        <v>46173</v>
      </c>
      <c r="F48" s="26" t="s">
        <v>1743</v>
      </c>
      <c r="G48" s="162" t="s">
        <v>252</v>
      </c>
      <c r="H48" s="11" t="s">
        <v>1245</v>
      </c>
      <c r="I48" s="11" t="s">
        <v>111</v>
      </c>
      <c r="J48" s="11" t="s">
        <v>113</v>
      </c>
      <c r="K48" s="26" t="s">
        <v>114</v>
      </c>
      <c r="L48" s="26" t="s">
        <v>1931</v>
      </c>
      <c r="M48" s="11" t="s">
        <v>174</v>
      </c>
      <c r="N48" s="12">
        <v>44089</v>
      </c>
      <c r="O48" s="85" t="s">
        <v>1932</v>
      </c>
      <c r="P48" s="55">
        <v>46173</v>
      </c>
      <c r="Q48" s="55" t="s">
        <v>83</v>
      </c>
      <c r="R48" s="16" t="s">
        <v>84</v>
      </c>
      <c r="S48" s="21">
        <v>8016.46</v>
      </c>
      <c r="T48" s="21">
        <v>0</v>
      </c>
      <c r="U48" s="21">
        <v>788.63</v>
      </c>
      <c r="V48" s="147" t="s">
        <v>1751</v>
      </c>
      <c r="W48" s="21">
        <v>1230.1400000000001</v>
      </c>
      <c r="X48" s="147" t="s">
        <v>1745</v>
      </c>
      <c r="Y48" s="21">
        <v>0</v>
      </c>
      <c r="Z48" s="90" t="s">
        <v>125</v>
      </c>
      <c r="AA48" s="55">
        <v>46173</v>
      </c>
    </row>
    <row r="49" spans="1:27" x14ac:dyDescent="0.25">
      <c r="A49" s="26" t="s">
        <v>1741</v>
      </c>
      <c r="B49" s="106" t="s">
        <v>1426</v>
      </c>
      <c r="C49" s="11" t="s">
        <v>1933</v>
      </c>
      <c r="D49" s="55">
        <v>42636</v>
      </c>
      <c r="E49" s="55">
        <v>46287</v>
      </c>
      <c r="F49" s="26" t="s">
        <v>1743</v>
      </c>
      <c r="G49" s="162" t="s">
        <v>1293</v>
      </c>
      <c r="H49" s="11" t="s">
        <v>1275</v>
      </c>
      <c r="I49" s="11" t="s">
        <v>111</v>
      </c>
      <c r="J49" s="11" t="s">
        <v>113</v>
      </c>
      <c r="K49" s="26" t="s">
        <v>114</v>
      </c>
      <c r="L49" s="26" t="s">
        <v>1934</v>
      </c>
      <c r="M49" s="11" t="s">
        <v>174</v>
      </c>
      <c r="N49" s="12">
        <v>44089</v>
      </c>
      <c r="O49" s="85" t="s">
        <v>1935</v>
      </c>
      <c r="P49" s="55">
        <v>46287</v>
      </c>
      <c r="Q49" s="55" t="s">
        <v>83</v>
      </c>
      <c r="R49" s="16" t="s">
        <v>84</v>
      </c>
      <c r="S49" s="21">
        <v>8995.17</v>
      </c>
      <c r="T49" s="21">
        <v>0</v>
      </c>
      <c r="U49" s="21">
        <v>839.31</v>
      </c>
      <c r="V49" s="147" t="s">
        <v>1745</v>
      </c>
      <c r="W49" s="21">
        <v>1765.53</v>
      </c>
      <c r="X49" s="147" t="s">
        <v>1745</v>
      </c>
      <c r="Y49" s="21">
        <v>0</v>
      </c>
      <c r="Z49" s="14"/>
      <c r="AA49" s="55">
        <v>46287</v>
      </c>
    </row>
    <row r="50" spans="1:27" x14ac:dyDescent="0.25">
      <c r="A50" s="26" t="s">
        <v>1741</v>
      </c>
      <c r="B50" s="106" t="s">
        <v>379</v>
      </c>
      <c r="C50" s="11" t="s">
        <v>1936</v>
      </c>
      <c r="D50" s="55">
        <v>42706</v>
      </c>
      <c r="E50" s="55">
        <v>46357</v>
      </c>
      <c r="F50" s="26" t="s">
        <v>1743</v>
      </c>
      <c r="G50" s="162" t="s">
        <v>1299</v>
      </c>
      <c r="H50" s="11" t="s">
        <v>1937</v>
      </c>
      <c r="I50" s="11" t="s">
        <v>111</v>
      </c>
      <c r="J50" s="11" t="s">
        <v>113</v>
      </c>
      <c r="K50" s="26" t="s">
        <v>114</v>
      </c>
      <c r="L50" s="26" t="s">
        <v>1938</v>
      </c>
      <c r="M50" s="11" t="s">
        <v>174</v>
      </c>
      <c r="N50" s="12">
        <v>44089</v>
      </c>
      <c r="O50" s="85" t="s">
        <v>1939</v>
      </c>
      <c r="P50" s="55">
        <v>46357</v>
      </c>
      <c r="Q50" s="55" t="s">
        <v>83</v>
      </c>
      <c r="R50" s="16" t="s">
        <v>84</v>
      </c>
      <c r="S50" s="21">
        <v>3214.14</v>
      </c>
      <c r="T50" s="21">
        <v>0</v>
      </c>
      <c r="U50" s="21">
        <v>357.41</v>
      </c>
      <c r="V50" s="147" t="s">
        <v>1745</v>
      </c>
      <c r="W50" s="21">
        <v>921.91</v>
      </c>
      <c r="X50" s="147" t="s">
        <v>1745</v>
      </c>
      <c r="Y50" s="21">
        <v>0</v>
      </c>
      <c r="Z50" s="14"/>
      <c r="AA50" s="55">
        <v>46357</v>
      </c>
    </row>
    <row r="51" spans="1:27" x14ac:dyDescent="0.25">
      <c r="A51" s="26" t="s">
        <v>1741</v>
      </c>
      <c r="B51" s="106" t="s">
        <v>386</v>
      </c>
      <c r="C51" s="11" t="s">
        <v>1940</v>
      </c>
      <c r="D51" s="55">
        <v>42856</v>
      </c>
      <c r="E51" s="55">
        <v>47452</v>
      </c>
      <c r="F51" s="26" t="s">
        <v>1743</v>
      </c>
      <c r="G51" s="162" t="s">
        <v>284</v>
      </c>
      <c r="H51" s="11" t="s">
        <v>1288</v>
      </c>
      <c r="I51" s="11" t="s">
        <v>111</v>
      </c>
      <c r="J51" s="11" t="s">
        <v>113</v>
      </c>
      <c r="K51" s="26" t="s">
        <v>114</v>
      </c>
      <c r="L51" s="26" t="s">
        <v>1941</v>
      </c>
      <c r="M51" s="11" t="s">
        <v>174</v>
      </c>
      <c r="N51" s="12">
        <v>44089</v>
      </c>
      <c r="O51" s="85" t="s">
        <v>1942</v>
      </c>
      <c r="P51" s="55">
        <v>47452</v>
      </c>
      <c r="Q51" s="55" t="s">
        <v>83</v>
      </c>
      <c r="R51" s="16" t="s">
        <v>84</v>
      </c>
      <c r="S51" s="21">
        <v>64500.36</v>
      </c>
      <c r="T51" s="21">
        <v>0</v>
      </c>
      <c r="U51" s="21">
        <v>0</v>
      </c>
      <c r="V51" s="147" t="s">
        <v>1755</v>
      </c>
      <c r="W51" s="21">
        <v>6053.58</v>
      </c>
      <c r="X51" s="147" t="s">
        <v>1745</v>
      </c>
      <c r="Y51" s="21">
        <v>0</v>
      </c>
      <c r="Z51" s="14"/>
      <c r="AA51" s="55">
        <v>45640</v>
      </c>
    </row>
    <row r="52" spans="1:27" x14ac:dyDescent="0.25">
      <c r="A52" s="26" t="s">
        <v>1741</v>
      </c>
      <c r="B52" s="106" t="s">
        <v>1450</v>
      </c>
      <c r="C52" s="11" t="s">
        <v>1943</v>
      </c>
      <c r="D52" s="55">
        <v>41680</v>
      </c>
      <c r="E52" s="55">
        <v>46427</v>
      </c>
      <c r="F52" s="26" t="s">
        <v>1743</v>
      </c>
      <c r="G52" s="162" t="s">
        <v>1311</v>
      </c>
      <c r="H52" s="11" t="s">
        <v>1423</v>
      </c>
      <c r="I52" s="11" t="s">
        <v>111</v>
      </c>
      <c r="J52" s="11" t="s">
        <v>113</v>
      </c>
      <c r="K52" s="26" t="s">
        <v>114</v>
      </c>
      <c r="L52" s="26" t="s">
        <v>1944</v>
      </c>
      <c r="M52" s="11" t="s">
        <v>174</v>
      </c>
      <c r="N52" s="12">
        <v>44089</v>
      </c>
      <c r="O52" s="85" t="s">
        <v>1945</v>
      </c>
      <c r="P52" s="55">
        <v>46427</v>
      </c>
      <c r="Q52" s="55" t="s">
        <v>83</v>
      </c>
      <c r="R52" s="16" t="s">
        <v>84</v>
      </c>
      <c r="S52" s="21">
        <v>7821.58</v>
      </c>
      <c r="T52" s="21">
        <v>0</v>
      </c>
      <c r="U52" s="21">
        <v>0</v>
      </c>
      <c r="V52" s="147" t="s">
        <v>82</v>
      </c>
      <c r="W52" s="21">
        <v>782.16</v>
      </c>
      <c r="X52" s="147" t="s">
        <v>1745</v>
      </c>
      <c r="Y52" s="21">
        <v>0</v>
      </c>
      <c r="Z52" s="87" t="s">
        <v>155</v>
      </c>
      <c r="AA52" s="55">
        <v>45331</v>
      </c>
    </row>
    <row r="53" spans="1:27" x14ac:dyDescent="0.25">
      <c r="A53" s="26" t="s">
        <v>1741</v>
      </c>
      <c r="B53" s="106" t="s">
        <v>1461</v>
      </c>
      <c r="C53" s="11" t="s">
        <v>1946</v>
      </c>
      <c r="D53" s="55">
        <v>41671</v>
      </c>
      <c r="E53" s="55">
        <v>47149</v>
      </c>
      <c r="F53" s="24" t="s">
        <v>962</v>
      </c>
      <c r="G53" s="162" t="s">
        <v>304</v>
      </c>
      <c r="H53" s="11" t="s">
        <v>1947</v>
      </c>
      <c r="I53" s="11" t="s">
        <v>111</v>
      </c>
      <c r="J53" s="11" t="s">
        <v>113</v>
      </c>
      <c r="K53" s="26" t="s">
        <v>114</v>
      </c>
      <c r="L53" s="26" t="s">
        <v>1948</v>
      </c>
      <c r="M53" s="11" t="s">
        <v>174</v>
      </c>
      <c r="N53" s="12">
        <v>44089</v>
      </c>
      <c r="O53" s="85" t="s">
        <v>1949</v>
      </c>
      <c r="P53" s="55">
        <v>47149</v>
      </c>
      <c r="Q53" s="55" t="s">
        <v>83</v>
      </c>
      <c r="R53" s="16" t="s">
        <v>84</v>
      </c>
      <c r="S53" s="21">
        <v>2500</v>
      </c>
      <c r="T53" s="21">
        <v>0</v>
      </c>
      <c r="U53" s="21">
        <v>0</v>
      </c>
      <c r="V53" s="147" t="s">
        <v>82</v>
      </c>
      <c r="W53" s="21">
        <v>0</v>
      </c>
      <c r="X53" s="147" t="s">
        <v>82</v>
      </c>
      <c r="Y53" s="21">
        <v>0</v>
      </c>
      <c r="AA53" s="55">
        <v>47149</v>
      </c>
    </row>
    <row r="54" spans="1:27" x14ac:dyDescent="0.25">
      <c r="A54" s="26" t="s">
        <v>1741</v>
      </c>
      <c r="B54" s="106" t="s">
        <v>1467</v>
      </c>
      <c r="C54" s="11" t="s">
        <v>1950</v>
      </c>
      <c r="D54" s="55">
        <v>42750</v>
      </c>
      <c r="E54" s="56">
        <v>46401</v>
      </c>
      <c r="F54" s="26" t="s">
        <v>1743</v>
      </c>
      <c r="G54" s="162" t="s">
        <v>1321</v>
      </c>
      <c r="H54" s="11" t="s">
        <v>285</v>
      </c>
      <c r="I54" s="11" t="s">
        <v>111</v>
      </c>
      <c r="J54" s="11" t="s">
        <v>113</v>
      </c>
      <c r="K54" s="26" t="s">
        <v>114</v>
      </c>
      <c r="L54" s="26" t="s">
        <v>1951</v>
      </c>
      <c r="M54" s="11" t="s">
        <v>174</v>
      </c>
      <c r="N54" s="12">
        <v>44089</v>
      </c>
      <c r="O54" s="85" t="s">
        <v>1952</v>
      </c>
      <c r="P54" s="55">
        <v>46401</v>
      </c>
      <c r="Q54" s="55" t="s">
        <v>83</v>
      </c>
      <c r="R54" s="16" t="s">
        <v>84</v>
      </c>
      <c r="S54" s="21">
        <v>9327.25</v>
      </c>
      <c r="T54" s="21">
        <v>0</v>
      </c>
      <c r="U54" s="21">
        <v>932.73</v>
      </c>
      <c r="V54" s="147" t="s">
        <v>1751</v>
      </c>
      <c r="W54" s="21">
        <v>1533.4</v>
      </c>
      <c r="X54" s="147" t="s">
        <v>1745</v>
      </c>
      <c r="Y54" s="21">
        <v>0</v>
      </c>
      <c r="Z54" s="14"/>
      <c r="AA54" s="56">
        <v>46401</v>
      </c>
    </row>
    <row r="55" spans="1:27" x14ac:dyDescent="0.25">
      <c r="A55" s="26" t="s">
        <v>1741</v>
      </c>
      <c r="B55" s="106" t="s">
        <v>399</v>
      </c>
      <c r="C55" s="11" t="s">
        <v>1953</v>
      </c>
      <c r="D55" s="55">
        <v>42795</v>
      </c>
      <c r="E55" s="56">
        <v>46599</v>
      </c>
      <c r="F55" s="26" t="s">
        <v>1743</v>
      </c>
      <c r="G55" s="162" t="s">
        <v>1342</v>
      </c>
      <c r="H55" s="11" t="s">
        <v>1306</v>
      </c>
      <c r="I55" s="11" t="s">
        <v>111</v>
      </c>
      <c r="J55" s="11" t="s">
        <v>113</v>
      </c>
      <c r="K55" s="26" t="s">
        <v>114</v>
      </c>
      <c r="L55" s="26" t="s">
        <v>1954</v>
      </c>
      <c r="M55" s="11" t="s">
        <v>174</v>
      </c>
      <c r="N55" s="12">
        <v>44089</v>
      </c>
      <c r="O55" s="85" t="s">
        <v>1955</v>
      </c>
      <c r="P55" s="55">
        <v>46599</v>
      </c>
      <c r="Q55" s="55" t="s">
        <v>83</v>
      </c>
      <c r="R55" s="16" t="s">
        <v>84</v>
      </c>
      <c r="S55" s="21">
        <v>8491.85</v>
      </c>
      <c r="T55" s="21">
        <v>0</v>
      </c>
      <c r="U55" s="21">
        <v>0</v>
      </c>
      <c r="V55" s="147" t="s">
        <v>1755</v>
      </c>
      <c r="W55" s="21">
        <v>2389.15</v>
      </c>
      <c r="X55" s="147" t="s">
        <v>1745</v>
      </c>
      <c r="Y55" s="21">
        <v>0</v>
      </c>
      <c r="Z55" s="14"/>
      <c r="AA55" s="56">
        <v>46599</v>
      </c>
    </row>
    <row r="56" spans="1:27" x14ac:dyDescent="0.25">
      <c r="A56" s="26" t="s">
        <v>1741</v>
      </c>
      <c r="B56" s="106" t="s">
        <v>1489</v>
      </c>
      <c r="C56" s="11" t="s">
        <v>1956</v>
      </c>
      <c r="D56" s="55">
        <v>41806</v>
      </c>
      <c r="E56" s="55">
        <v>46660</v>
      </c>
      <c r="F56" s="26" t="s">
        <v>1743</v>
      </c>
      <c r="G56" s="162" t="s">
        <v>322</v>
      </c>
      <c r="H56" s="11" t="s">
        <v>1317</v>
      </c>
      <c r="I56" s="11" t="s">
        <v>111</v>
      </c>
      <c r="J56" s="11" t="s">
        <v>113</v>
      </c>
      <c r="K56" s="26" t="s">
        <v>114</v>
      </c>
      <c r="L56" s="26" t="s">
        <v>1957</v>
      </c>
      <c r="M56" s="11" t="s">
        <v>174</v>
      </c>
      <c r="N56" s="12">
        <v>44089</v>
      </c>
      <c r="O56" s="85" t="s">
        <v>1958</v>
      </c>
      <c r="P56" s="55">
        <v>46660</v>
      </c>
      <c r="Q56" s="55" t="s">
        <v>83</v>
      </c>
      <c r="R56" s="16" t="s">
        <v>84</v>
      </c>
      <c r="S56" s="21">
        <v>14566.82</v>
      </c>
      <c r="T56" s="21">
        <v>0</v>
      </c>
      <c r="U56" s="21">
        <v>1456.68</v>
      </c>
      <c r="V56" s="147" t="s">
        <v>1751</v>
      </c>
      <c r="W56" s="21">
        <v>0</v>
      </c>
      <c r="X56" s="147" t="s">
        <v>1846</v>
      </c>
      <c r="Y56" s="21">
        <v>0</v>
      </c>
      <c r="Z56" s="14"/>
      <c r="AA56" s="55">
        <v>46660</v>
      </c>
    </row>
    <row r="57" spans="1:27" x14ac:dyDescent="0.25">
      <c r="A57" s="26" t="s">
        <v>1741</v>
      </c>
      <c r="B57" s="106" t="s">
        <v>424</v>
      </c>
      <c r="C57" s="11" t="s">
        <v>1959</v>
      </c>
      <c r="D57" s="55">
        <v>42103</v>
      </c>
      <c r="E57" s="55">
        <v>46776</v>
      </c>
      <c r="F57" s="26" t="s">
        <v>1743</v>
      </c>
      <c r="G57" s="162" t="s">
        <v>1353</v>
      </c>
      <c r="H57" s="11" t="s">
        <v>1960</v>
      </c>
      <c r="I57" s="11" t="s">
        <v>111</v>
      </c>
      <c r="J57" s="11" t="s">
        <v>113</v>
      </c>
      <c r="K57" s="26" t="s">
        <v>114</v>
      </c>
      <c r="L57" s="26" t="s">
        <v>1961</v>
      </c>
      <c r="M57" s="11" t="s">
        <v>174</v>
      </c>
      <c r="N57" s="12">
        <v>44089</v>
      </c>
      <c r="O57" s="85" t="s">
        <v>1962</v>
      </c>
      <c r="P57" s="55">
        <v>46776</v>
      </c>
      <c r="Q57" s="55" t="s">
        <v>83</v>
      </c>
      <c r="R57" s="16" t="s">
        <v>84</v>
      </c>
      <c r="S57" s="21">
        <v>4349.1000000000004</v>
      </c>
      <c r="T57" s="21">
        <v>0</v>
      </c>
      <c r="U57" s="21">
        <v>414.17</v>
      </c>
      <c r="V57" s="147" t="s">
        <v>1751</v>
      </c>
      <c r="W57" s="21">
        <v>1073.73</v>
      </c>
      <c r="X57" s="147" t="s">
        <v>1745</v>
      </c>
      <c r="Y57" s="21">
        <v>0</v>
      </c>
      <c r="Z57" s="90" t="s">
        <v>125</v>
      </c>
      <c r="AA57" s="55">
        <v>46776</v>
      </c>
    </row>
    <row r="58" spans="1:27" x14ac:dyDescent="0.25">
      <c r="A58" s="26" t="s">
        <v>1741</v>
      </c>
      <c r="B58" s="106" t="s">
        <v>430</v>
      </c>
      <c r="C58" s="11" t="s">
        <v>1963</v>
      </c>
      <c r="D58" s="55">
        <v>42017</v>
      </c>
      <c r="E58" s="55">
        <v>46085</v>
      </c>
      <c r="F58" s="26" t="s">
        <v>1743</v>
      </c>
      <c r="G58" s="162" t="s">
        <v>1359</v>
      </c>
      <c r="H58" s="11" t="s">
        <v>1964</v>
      </c>
      <c r="I58" s="11" t="s">
        <v>111</v>
      </c>
      <c r="J58" s="11" t="s">
        <v>113</v>
      </c>
      <c r="K58" s="26" t="s">
        <v>114</v>
      </c>
      <c r="L58" s="26" t="s">
        <v>1965</v>
      </c>
      <c r="M58" s="11" t="s">
        <v>174</v>
      </c>
      <c r="N58" s="12">
        <v>44089</v>
      </c>
      <c r="O58" s="85" t="s">
        <v>1966</v>
      </c>
      <c r="P58" s="55">
        <v>46085</v>
      </c>
      <c r="Q58" s="55" t="s">
        <v>83</v>
      </c>
      <c r="R58" s="16" t="s">
        <v>133</v>
      </c>
      <c r="S58" s="21">
        <v>807.03</v>
      </c>
      <c r="T58" s="21">
        <v>0</v>
      </c>
      <c r="U58" s="21">
        <v>0</v>
      </c>
      <c r="V58" s="147" t="s">
        <v>1755</v>
      </c>
      <c r="W58" s="21">
        <v>185.19</v>
      </c>
      <c r="X58" s="147" t="s">
        <v>1846</v>
      </c>
      <c r="Y58" s="21">
        <v>0</v>
      </c>
      <c r="Z58" s="90" t="s">
        <v>125</v>
      </c>
      <c r="AA58" s="55">
        <v>46085</v>
      </c>
    </row>
    <row r="59" spans="1:27" x14ac:dyDescent="0.25">
      <c r="A59" s="26" t="s">
        <v>1741</v>
      </c>
      <c r="B59" s="106" t="s">
        <v>1514</v>
      </c>
      <c r="C59" s="11" t="s">
        <v>1971</v>
      </c>
      <c r="D59" s="55">
        <v>42156</v>
      </c>
      <c r="E59" s="55">
        <v>46203</v>
      </c>
      <c r="F59" s="26" t="s">
        <v>1743</v>
      </c>
      <c r="G59" s="162" t="s">
        <v>349</v>
      </c>
      <c r="H59" s="11" t="s">
        <v>1322</v>
      </c>
      <c r="I59" s="11" t="s">
        <v>111</v>
      </c>
      <c r="J59" s="11" t="s">
        <v>113</v>
      </c>
      <c r="K59" s="26" t="s">
        <v>114</v>
      </c>
      <c r="L59" s="26" t="s">
        <v>1972</v>
      </c>
      <c r="M59" s="11" t="s">
        <v>174</v>
      </c>
      <c r="N59" s="12">
        <v>44089</v>
      </c>
      <c r="O59" s="85" t="s">
        <v>1973</v>
      </c>
      <c r="P59" s="55">
        <v>46203</v>
      </c>
      <c r="Q59" s="55" t="s">
        <v>83</v>
      </c>
      <c r="R59" s="16" t="s">
        <v>84</v>
      </c>
      <c r="S59" s="21">
        <v>11519.22</v>
      </c>
      <c r="T59" s="21">
        <v>0</v>
      </c>
      <c r="U59" s="21">
        <v>0</v>
      </c>
      <c r="V59" s="147" t="s">
        <v>1755</v>
      </c>
      <c r="W59" s="21">
        <v>0</v>
      </c>
      <c r="X59" s="147" t="s">
        <v>1846</v>
      </c>
      <c r="Y59" s="21">
        <v>0</v>
      </c>
      <c r="Z59" s="90" t="s">
        <v>125</v>
      </c>
      <c r="AA59" s="55">
        <v>46203</v>
      </c>
    </row>
    <row r="60" spans="1:27" x14ac:dyDescent="0.25">
      <c r="A60" s="26" t="s">
        <v>1741</v>
      </c>
      <c r="B60" s="106" t="s">
        <v>1530</v>
      </c>
      <c r="C60" s="11" t="s">
        <v>1974</v>
      </c>
      <c r="D60" s="55">
        <v>42272</v>
      </c>
      <c r="E60" s="55">
        <v>47106</v>
      </c>
      <c r="F60" s="26" t="s">
        <v>1743</v>
      </c>
      <c r="G60" s="162" t="s">
        <v>362</v>
      </c>
      <c r="H60" s="11" t="s">
        <v>1464</v>
      </c>
      <c r="I60" s="11" t="s">
        <v>111</v>
      </c>
      <c r="J60" s="11" t="s">
        <v>113</v>
      </c>
      <c r="K60" s="26" t="s">
        <v>114</v>
      </c>
      <c r="L60" s="26" t="s">
        <v>1975</v>
      </c>
      <c r="M60" s="11" t="s">
        <v>174</v>
      </c>
      <c r="N60" s="12">
        <v>44089</v>
      </c>
      <c r="O60" s="85" t="s">
        <v>1976</v>
      </c>
      <c r="P60" s="55">
        <v>47106</v>
      </c>
      <c r="Q60" s="55" t="s">
        <v>83</v>
      </c>
      <c r="R60" s="16" t="s">
        <v>84</v>
      </c>
      <c r="S60" s="21">
        <v>8243.66</v>
      </c>
      <c r="T60" s="21">
        <v>0</v>
      </c>
      <c r="U60" s="21">
        <v>824.37</v>
      </c>
      <c r="V60" s="147" t="s">
        <v>1751</v>
      </c>
      <c r="W60" s="21">
        <v>1371.15</v>
      </c>
      <c r="X60" s="147" t="s">
        <v>1745</v>
      </c>
      <c r="Y60" s="21">
        <v>0</v>
      </c>
      <c r="Z60" s="90" t="s">
        <v>125</v>
      </c>
      <c r="AA60" s="55">
        <v>47106</v>
      </c>
    </row>
    <row r="61" spans="1:27" x14ac:dyDescent="0.25">
      <c r="A61" s="26" t="s">
        <v>1741</v>
      </c>
      <c r="B61" s="106" t="s">
        <v>454</v>
      </c>
      <c r="C61" s="11" t="s">
        <v>1977</v>
      </c>
      <c r="D61" s="55">
        <v>42429</v>
      </c>
      <c r="E61" s="56">
        <v>46450</v>
      </c>
      <c r="F61" s="26" t="s">
        <v>1743</v>
      </c>
      <c r="G61" s="162" t="s">
        <v>1399</v>
      </c>
      <c r="H61" s="11" t="s">
        <v>1441</v>
      </c>
      <c r="I61" s="11" t="s">
        <v>111</v>
      </c>
      <c r="J61" s="11" t="s">
        <v>113</v>
      </c>
      <c r="K61" s="26" t="s">
        <v>114</v>
      </c>
      <c r="L61" s="26" t="s">
        <v>1978</v>
      </c>
      <c r="M61" s="11" t="s">
        <v>174</v>
      </c>
      <c r="N61" s="12">
        <v>44089</v>
      </c>
      <c r="O61" s="85" t="s">
        <v>1979</v>
      </c>
      <c r="P61" s="55">
        <v>46450</v>
      </c>
      <c r="Q61" s="55" t="s">
        <v>83</v>
      </c>
      <c r="R61" s="16" t="s">
        <v>84</v>
      </c>
      <c r="S61" s="21">
        <v>4321.5</v>
      </c>
      <c r="T61" s="21">
        <v>0</v>
      </c>
      <c r="U61" s="21">
        <v>432.15</v>
      </c>
      <c r="V61" s="147" t="s">
        <v>1751</v>
      </c>
      <c r="W61" s="21">
        <v>860.67</v>
      </c>
      <c r="X61" s="147" t="s">
        <v>1745</v>
      </c>
      <c r="Y61" s="21">
        <v>0</v>
      </c>
      <c r="Z61" s="14"/>
      <c r="AA61" s="56">
        <v>46450</v>
      </c>
    </row>
    <row r="62" spans="1:27" x14ac:dyDescent="0.25">
      <c r="A62" s="26" t="s">
        <v>1741</v>
      </c>
      <c r="B62" s="106" t="s">
        <v>1560</v>
      </c>
      <c r="C62" s="11" t="s">
        <v>1980</v>
      </c>
      <c r="D62" s="55">
        <v>42461</v>
      </c>
      <c r="E62" s="56">
        <v>46112</v>
      </c>
      <c r="F62" s="26" t="s">
        <v>1743</v>
      </c>
      <c r="G62" s="162" t="s">
        <v>1416</v>
      </c>
      <c r="H62" s="11" t="s">
        <v>1343</v>
      </c>
      <c r="I62" s="11" t="s">
        <v>111</v>
      </c>
      <c r="J62" s="11" t="s">
        <v>113</v>
      </c>
      <c r="K62" s="26" t="s">
        <v>114</v>
      </c>
      <c r="L62" s="26" t="s">
        <v>1981</v>
      </c>
      <c r="M62" s="11" t="s">
        <v>174</v>
      </c>
      <c r="N62" s="12">
        <v>44089</v>
      </c>
      <c r="O62" s="85" t="s">
        <v>1982</v>
      </c>
      <c r="P62" s="55">
        <v>46112</v>
      </c>
      <c r="Q62" s="55" t="s">
        <v>83</v>
      </c>
      <c r="R62" s="16" t="s">
        <v>133</v>
      </c>
      <c r="S62" s="21">
        <v>10903.29</v>
      </c>
      <c r="T62" s="21">
        <v>0</v>
      </c>
      <c r="U62" s="21">
        <v>0</v>
      </c>
      <c r="V62" s="147" t="s">
        <v>1755</v>
      </c>
      <c r="W62" s="21">
        <v>545.16</v>
      </c>
      <c r="X62" s="147" t="s">
        <v>1846</v>
      </c>
      <c r="Y62" s="21">
        <v>0</v>
      </c>
      <c r="Z62" s="14"/>
      <c r="AA62" s="56">
        <v>46112</v>
      </c>
    </row>
    <row r="63" spans="1:27" x14ac:dyDescent="0.25">
      <c r="A63" s="26" t="s">
        <v>1741</v>
      </c>
      <c r="B63" s="106" t="s">
        <v>1572</v>
      </c>
      <c r="C63" s="11" t="s">
        <v>1983</v>
      </c>
      <c r="D63" s="55">
        <v>42979</v>
      </c>
      <c r="E63" s="55">
        <v>46265</v>
      </c>
      <c r="F63" s="26" t="s">
        <v>1743</v>
      </c>
      <c r="G63" s="162" t="s">
        <v>381</v>
      </c>
      <c r="H63" s="11" t="s">
        <v>317</v>
      </c>
      <c r="I63" s="11" t="s">
        <v>111</v>
      </c>
      <c r="J63" s="11" t="s">
        <v>113</v>
      </c>
      <c r="K63" s="26" t="s">
        <v>114</v>
      </c>
      <c r="L63" s="26" t="s">
        <v>1984</v>
      </c>
      <c r="M63" s="11" t="s">
        <v>174</v>
      </c>
      <c r="N63" s="12">
        <v>44089</v>
      </c>
      <c r="O63" s="85" t="s">
        <v>1985</v>
      </c>
      <c r="P63" s="55">
        <v>46265</v>
      </c>
      <c r="Q63" s="55" t="s">
        <v>83</v>
      </c>
      <c r="R63" s="16" t="s">
        <v>84</v>
      </c>
      <c r="S63" s="21">
        <v>7485.45</v>
      </c>
      <c r="T63" s="21">
        <v>0</v>
      </c>
      <c r="U63" s="21">
        <v>0</v>
      </c>
      <c r="V63" s="147" t="s">
        <v>1755</v>
      </c>
      <c r="W63" s="21">
        <v>1776.05</v>
      </c>
      <c r="X63" s="147" t="s">
        <v>1745</v>
      </c>
      <c r="Y63" s="21">
        <v>0</v>
      </c>
      <c r="Z63" s="90" t="s">
        <v>125</v>
      </c>
      <c r="AA63" s="55">
        <v>46265</v>
      </c>
    </row>
    <row r="64" spans="1:27" x14ac:dyDescent="0.25">
      <c r="A64" s="26" t="s">
        <v>1741</v>
      </c>
      <c r="B64" s="106" t="s">
        <v>472</v>
      </c>
      <c r="C64" s="11" t="s">
        <v>1989</v>
      </c>
      <c r="D64" s="55">
        <v>42585</v>
      </c>
      <c r="E64" s="55">
        <v>47436</v>
      </c>
      <c r="F64" s="26" t="s">
        <v>1743</v>
      </c>
      <c r="G64" s="162" t="s">
        <v>1446</v>
      </c>
      <c r="H64" s="11" t="s">
        <v>330</v>
      </c>
      <c r="I64" s="11" t="s">
        <v>111</v>
      </c>
      <c r="J64" s="11" t="s">
        <v>113</v>
      </c>
      <c r="K64" s="26" t="s">
        <v>114</v>
      </c>
      <c r="L64" s="26" t="s">
        <v>1990</v>
      </c>
      <c r="M64" s="11" t="s">
        <v>174</v>
      </c>
      <c r="N64" s="12">
        <v>44089</v>
      </c>
      <c r="O64" s="85" t="s">
        <v>1991</v>
      </c>
      <c r="P64" s="55">
        <v>47436</v>
      </c>
      <c r="Q64" s="16" t="s">
        <v>83</v>
      </c>
      <c r="R64" s="16" t="s">
        <v>84</v>
      </c>
      <c r="S64" s="21">
        <v>7926.3</v>
      </c>
      <c r="T64" s="21">
        <v>0</v>
      </c>
      <c r="U64" s="21">
        <v>792.63</v>
      </c>
      <c r="V64" s="147" t="s">
        <v>1751</v>
      </c>
      <c r="W64" s="21">
        <v>1761.4</v>
      </c>
      <c r="X64" s="147" t="s">
        <v>1745</v>
      </c>
      <c r="Y64" s="21">
        <v>0</v>
      </c>
      <c r="Z64" s="14"/>
      <c r="AA64" s="55">
        <v>46235</v>
      </c>
    </row>
    <row r="65" spans="1:27" x14ac:dyDescent="0.25">
      <c r="A65" s="26" t="s">
        <v>1741</v>
      </c>
      <c r="B65" s="106" t="s">
        <v>1587</v>
      </c>
      <c r="C65" s="11" t="s">
        <v>1992</v>
      </c>
      <c r="D65" s="55">
        <v>42628</v>
      </c>
      <c r="E65" s="55">
        <v>46311</v>
      </c>
      <c r="F65" s="26" t="s">
        <v>1743</v>
      </c>
      <c r="G65" s="162" t="s">
        <v>1452</v>
      </c>
      <c r="H65" s="11" t="s">
        <v>1360</v>
      </c>
      <c r="I65" s="11" t="s">
        <v>111</v>
      </c>
      <c r="J65" s="11" t="s">
        <v>113</v>
      </c>
      <c r="K65" s="26" t="s">
        <v>114</v>
      </c>
      <c r="L65" s="26" t="s">
        <v>1993</v>
      </c>
      <c r="M65" s="11" t="s">
        <v>174</v>
      </c>
      <c r="N65" s="12">
        <v>44089</v>
      </c>
      <c r="O65" s="85" t="s">
        <v>1994</v>
      </c>
      <c r="P65" s="55">
        <v>46311</v>
      </c>
      <c r="Q65" s="55" t="s">
        <v>83</v>
      </c>
      <c r="R65" s="16" t="s">
        <v>84</v>
      </c>
      <c r="S65" s="21">
        <v>14235.75</v>
      </c>
      <c r="T65" s="21">
        <v>0</v>
      </c>
      <c r="U65" s="21">
        <v>0</v>
      </c>
      <c r="V65" s="147" t="s">
        <v>1755</v>
      </c>
      <c r="W65" s="21">
        <v>3465</v>
      </c>
      <c r="X65" s="147" t="s">
        <v>1846</v>
      </c>
      <c r="Y65" s="21">
        <v>0</v>
      </c>
      <c r="Z65" s="14"/>
      <c r="AA65" s="55">
        <v>46311</v>
      </c>
    </row>
    <row r="66" spans="1:27" x14ac:dyDescent="0.25">
      <c r="A66" s="26" t="s">
        <v>1741</v>
      </c>
      <c r="B66" s="106" t="s">
        <v>477</v>
      </c>
      <c r="C66" s="11" t="s">
        <v>1995</v>
      </c>
      <c r="D66" s="55">
        <v>42840</v>
      </c>
      <c r="E66" s="55">
        <v>46599</v>
      </c>
      <c r="F66" s="26" t="s">
        <v>1743</v>
      </c>
      <c r="G66" s="162" t="s">
        <v>1469</v>
      </c>
      <c r="H66" s="11" t="s">
        <v>350</v>
      </c>
      <c r="I66" s="11" t="s">
        <v>111</v>
      </c>
      <c r="J66" s="11" t="s">
        <v>113</v>
      </c>
      <c r="K66" s="26" t="s">
        <v>114</v>
      </c>
      <c r="L66" s="26" t="s">
        <v>1996</v>
      </c>
      <c r="M66" s="11" t="s">
        <v>174</v>
      </c>
      <c r="N66" s="12">
        <v>44089</v>
      </c>
      <c r="O66" s="85" t="s">
        <v>1997</v>
      </c>
      <c r="P66" s="55">
        <v>46599</v>
      </c>
      <c r="Q66" s="55" t="s">
        <v>83</v>
      </c>
      <c r="R66" s="16" t="s">
        <v>84</v>
      </c>
      <c r="S66" s="21">
        <v>9096.91</v>
      </c>
      <c r="T66" s="21">
        <v>0</v>
      </c>
      <c r="U66" s="21">
        <v>0</v>
      </c>
      <c r="V66" s="147" t="s">
        <v>1755</v>
      </c>
      <c r="W66" s="21">
        <v>2158.61</v>
      </c>
      <c r="X66" s="147" t="s">
        <v>1745</v>
      </c>
      <c r="Y66" s="21">
        <v>0</v>
      </c>
      <c r="Z66" s="14"/>
      <c r="AA66" s="55">
        <v>46599</v>
      </c>
    </row>
    <row r="67" spans="1:27" x14ac:dyDescent="0.25">
      <c r="A67" s="26" t="s">
        <v>1741</v>
      </c>
      <c r="B67" s="106" t="s">
        <v>1605</v>
      </c>
      <c r="C67" s="11" t="s">
        <v>1998</v>
      </c>
      <c r="D67" s="55">
        <v>42909</v>
      </c>
      <c r="E67" s="55">
        <v>46876</v>
      </c>
      <c r="F67" s="26" t="s">
        <v>1743</v>
      </c>
      <c r="G67" s="162" t="s">
        <v>1475</v>
      </c>
      <c r="H67" s="11" t="s">
        <v>1366</v>
      </c>
      <c r="I67" s="11" t="s">
        <v>111</v>
      </c>
      <c r="J67" s="11" t="s">
        <v>113</v>
      </c>
      <c r="K67" s="26" t="s">
        <v>114</v>
      </c>
      <c r="L67" s="26" t="s">
        <v>1999</v>
      </c>
      <c r="M67" s="11" t="s">
        <v>174</v>
      </c>
      <c r="N67" s="12">
        <v>44089</v>
      </c>
      <c r="O67" s="85" t="s">
        <v>2000</v>
      </c>
      <c r="P67" s="55">
        <v>46876</v>
      </c>
      <c r="Q67" s="55" t="s">
        <v>83</v>
      </c>
      <c r="R67" s="16" t="s">
        <v>84</v>
      </c>
      <c r="S67" s="21">
        <v>3775.61</v>
      </c>
      <c r="T67" s="21">
        <v>0</v>
      </c>
      <c r="U67" s="21">
        <v>0</v>
      </c>
      <c r="V67" s="147" t="s">
        <v>1755</v>
      </c>
      <c r="W67" s="21">
        <v>0</v>
      </c>
      <c r="X67" s="147" t="s">
        <v>1846</v>
      </c>
      <c r="Y67" s="21">
        <v>0</v>
      </c>
      <c r="Z67" s="90" t="s">
        <v>125</v>
      </c>
      <c r="AA67" s="55">
        <v>46876</v>
      </c>
    </row>
    <row r="68" spans="1:27" x14ac:dyDescent="0.25">
      <c r="A68" s="26" t="s">
        <v>1741</v>
      </c>
      <c r="B68" s="106" t="s">
        <v>483</v>
      </c>
      <c r="C68" s="11" t="s">
        <v>2001</v>
      </c>
      <c r="D68" s="55">
        <v>42856</v>
      </c>
      <c r="E68" s="56">
        <v>46147</v>
      </c>
      <c r="F68" s="26" t="s">
        <v>1743</v>
      </c>
      <c r="G68" s="162" t="s">
        <v>401</v>
      </c>
      <c r="H68" s="11" t="s">
        <v>357</v>
      </c>
      <c r="I68" s="11" t="s">
        <v>111</v>
      </c>
      <c r="J68" s="11" t="s">
        <v>113</v>
      </c>
      <c r="K68" s="26" t="s">
        <v>114</v>
      </c>
      <c r="L68" s="26" t="s">
        <v>2002</v>
      </c>
      <c r="M68" s="11" t="s">
        <v>174</v>
      </c>
      <c r="N68" s="12">
        <v>44089</v>
      </c>
      <c r="O68" s="85" t="s">
        <v>2003</v>
      </c>
      <c r="P68" s="55">
        <v>46147</v>
      </c>
      <c r="Q68" s="55" t="s">
        <v>83</v>
      </c>
      <c r="R68" s="16" t="s">
        <v>84</v>
      </c>
      <c r="S68" s="21">
        <v>8701.99</v>
      </c>
      <c r="T68" s="21">
        <v>0</v>
      </c>
      <c r="U68" s="21">
        <v>870.2</v>
      </c>
      <c r="V68" s="147" t="s">
        <v>1751</v>
      </c>
      <c r="W68" s="21">
        <v>1404.8</v>
      </c>
      <c r="X68" s="147" t="s">
        <v>1745</v>
      </c>
      <c r="Y68" s="21">
        <v>0</v>
      </c>
      <c r="Z68" s="14"/>
      <c r="AA68" s="56">
        <v>46147</v>
      </c>
    </row>
    <row r="69" spans="1:27" x14ac:dyDescent="0.25">
      <c r="A69" s="26" t="s">
        <v>1741</v>
      </c>
      <c r="B69" s="106" t="s">
        <v>489</v>
      </c>
      <c r="C69" s="11" t="s">
        <v>2004</v>
      </c>
      <c r="D69" s="55">
        <v>42870</v>
      </c>
      <c r="E69" s="55">
        <v>46203</v>
      </c>
      <c r="F69" s="26" t="s">
        <v>1743</v>
      </c>
      <c r="G69" s="162" t="s">
        <v>407</v>
      </c>
      <c r="H69" s="11" t="s">
        <v>369</v>
      </c>
      <c r="I69" s="11" t="s">
        <v>111</v>
      </c>
      <c r="J69" s="11" t="s">
        <v>113</v>
      </c>
      <c r="K69" s="26" t="s">
        <v>114</v>
      </c>
      <c r="L69" s="26" t="s">
        <v>2005</v>
      </c>
      <c r="M69" s="11" t="s">
        <v>174</v>
      </c>
      <c r="N69" s="12">
        <v>44089</v>
      </c>
      <c r="O69" s="85" t="s">
        <v>2006</v>
      </c>
      <c r="P69" s="55">
        <v>46203</v>
      </c>
      <c r="Q69" s="55" t="s">
        <v>83</v>
      </c>
      <c r="R69" s="16" t="s">
        <v>84</v>
      </c>
      <c r="S69" s="21">
        <v>14313.88</v>
      </c>
      <c r="T69" s="21">
        <v>0</v>
      </c>
      <c r="U69" s="21">
        <v>1265.8499999999999</v>
      </c>
      <c r="V69" s="147" t="s">
        <v>1751</v>
      </c>
      <c r="W69" s="21">
        <v>3346.72</v>
      </c>
      <c r="X69" s="147" t="s">
        <v>1745</v>
      </c>
      <c r="Y69" s="21">
        <v>0</v>
      </c>
      <c r="Z69" s="90" t="s">
        <v>125</v>
      </c>
      <c r="AA69" s="55">
        <v>46203</v>
      </c>
    </row>
    <row r="70" spans="1:27" x14ac:dyDescent="0.25">
      <c r="A70" s="26" t="s">
        <v>1741</v>
      </c>
      <c r="B70" s="106" t="s">
        <v>494</v>
      </c>
      <c r="C70" s="11" t="s">
        <v>2007</v>
      </c>
      <c r="D70" s="55">
        <v>42963</v>
      </c>
      <c r="E70" s="55">
        <v>46614</v>
      </c>
      <c r="F70" s="24" t="s">
        <v>962</v>
      </c>
      <c r="G70" s="162" t="s">
        <v>1485</v>
      </c>
      <c r="H70" s="11" t="s">
        <v>1048</v>
      </c>
      <c r="I70" s="11" t="s">
        <v>111</v>
      </c>
      <c r="J70" s="11" t="s">
        <v>113</v>
      </c>
      <c r="K70" s="26" t="s">
        <v>114</v>
      </c>
      <c r="L70" s="26" t="s">
        <v>2008</v>
      </c>
      <c r="M70" s="11" t="s">
        <v>174</v>
      </c>
      <c r="N70" s="12">
        <v>44089</v>
      </c>
      <c r="O70" s="85" t="s">
        <v>2009</v>
      </c>
      <c r="P70" s="70">
        <v>46614</v>
      </c>
      <c r="Q70" s="55" t="s">
        <v>83</v>
      </c>
      <c r="R70" s="16" t="s">
        <v>84</v>
      </c>
      <c r="S70" s="21">
        <v>7200</v>
      </c>
      <c r="T70" s="21">
        <v>0</v>
      </c>
      <c r="U70" s="21">
        <v>0</v>
      </c>
      <c r="V70" s="147" t="s">
        <v>82</v>
      </c>
      <c r="W70" s="21">
        <v>0</v>
      </c>
      <c r="X70" s="147" t="s">
        <v>82</v>
      </c>
      <c r="Y70" s="21">
        <v>0</v>
      </c>
      <c r="Z70" s="14"/>
      <c r="AA70" s="55">
        <v>46614</v>
      </c>
    </row>
    <row r="71" spans="1:27" x14ac:dyDescent="0.25">
      <c r="A71" s="26" t="s">
        <v>1741</v>
      </c>
      <c r="B71" s="106" t="s">
        <v>509</v>
      </c>
      <c r="C71" s="11" t="s">
        <v>2010</v>
      </c>
      <c r="D71" s="55">
        <v>43010</v>
      </c>
      <c r="E71" s="56">
        <v>46661</v>
      </c>
      <c r="F71" s="26" t="s">
        <v>1743</v>
      </c>
      <c r="G71" s="162" t="s">
        <v>426</v>
      </c>
      <c r="H71" s="11" t="s">
        <v>1393</v>
      </c>
      <c r="I71" s="11" t="s">
        <v>111</v>
      </c>
      <c r="J71" s="11" t="s">
        <v>113</v>
      </c>
      <c r="K71" s="26" t="s">
        <v>114</v>
      </c>
      <c r="L71" s="26" t="s">
        <v>2011</v>
      </c>
      <c r="M71" s="11" t="s">
        <v>174</v>
      </c>
      <c r="N71" s="12">
        <v>44089</v>
      </c>
      <c r="O71" s="85" t="s">
        <v>2012</v>
      </c>
      <c r="P71" s="55">
        <v>46661</v>
      </c>
      <c r="Q71" s="55" t="s">
        <v>83</v>
      </c>
      <c r="R71" s="16" t="s">
        <v>84</v>
      </c>
      <c r="S71" s="21">
        <v>3250</v>
      </c>
      <c r="T71" s="21">
        <v>0</v>
      </c>
      <c r="U71" s="21">
        <v>325</v>
      </c>
      <c r="V71" s="147" t="s">
        <v>1751</v>
      </c>
      <c r="W71" s="21">
        <v>600</v>
      </c>
      <c r="X71" s="147" t="s">
        <v>1745</v>
      </c>
      <c r="Y71" s="21">
        <v>0</v>
      </c>
      <c r="Z71" s="14"/>
      <c r="AA71" s="56">
        <v>46661</v>
      </c>
    </row>
    <row r="72" spans="1:27" x14ac:dyDescent="0.25">
      <c r="A72" s="26" t="s">
        <v>1741</v>
      </c>
      <c r="B72" s="106" t="s">
        <v>515</v>
      </c>
      <c r="C72" s="11" t="s">
        <v>2013</v>
      </c>
      <c r="D72" s="55">
        <v>42991</v>
      </c>
      <c r="E72" s="55">
        <v>46642</v>
      </c>
      <c r="F72" s="26" t="s">
        <v>1743</v>
      </c>
      <c r="G72" s="162" t="s">
        <v>432</v>
      </c>
      <c r="H72" s="11" t="s">
        <v>375</v>
      </c>
      <c r="I72" s="11" t="s">
        <v>111</v>
      </c>
      <c r="J72" s="11" t="s">
        <v>113</v>
      </c>
      <c r="K72" s="26" t="s">
        <v>114</v>
      </c>
      <c r="L72" s="26" t="s">
        <v>2014</v>
      </c>
      <c r="M72" s="11" t="s">
        <v>174</v>
      </c>
      <c r="N72" s="12">
        <v>44089</v>
      </c>
      <c r="O72" s="85" t="s">
        <v>2015</v>
      </c>
      <c r="P72" s="55">
        <v>46642</v>
      </c>
      <c r="Q72" s="16" t="s">
        <v>83</v>
      </c>
      <c r="R72" s="16" t="s">
        <v>84</v>
      </c>
      <c r="S72" s="21">
        <v>5432.47</v>
      </c>
      <c r="T72" s="21">
        <v>0</v>
      </c>
      <c r="U72" s="21">
        <v>0</v>
      </c>
      <c r="V72" s="147" t="s">
        <v>1755</v>
      </c>
      <c r="W72" s="21">
        <v>1732.5</v>
      </c>
      <c r="X72" s="147" t="s">
        <v>1745</v>
      </c>
      <c r="Y72" s="21">
        <v>0</v>
      </c>
      <c r="Z72" s="93" t="s">
        <v>249</v>
      </c>
      <c r="AA72" s="55">
        <v>45291</v>
      </c>
    </row>
    <row r="73" spans="1:27" x14ac:dyDescent="0.25">
      <c r="A73" s="26" t="s">
        <v>1741</v>
      </c>
      <c r="B73" s="106" t="s">
        <v>1639</v>
      </c>
      <c r="C73" s="11" t="s">
        <v>2017</v>
      </c>
      <c r="D73" s="55">
        <v>43070</v>
      </c>
      <c r="E73" s="55">
        <v>46783</v>
      </c>
      <c r="F73" s="26" t="s">
        <v>1743</v>
      </c>
      <c r="G73" s="162" t="s">
        <v>438</v>
      </c>
      <c r="H73" s="11" t="s">
        <v>1411</v>
      </c>
      <c r="I73" s="11" t="s">
        <v>111</v>
      </c>
      <c r="J73" s="11" t="s">
        <v>113</v>
      </c>
      <c r="K73" s="26" t="s">
        <v>114</v>
      </c>
      <c r="L73" s="26" t="s">
        <v>2018</v>
      </c>
      <c r="M73" s="11" t="s">
        <v>174</v>
      </c>
      <c r="N73" s="12">
        <v>44089</v>
      </c>
      <c r="O73" s="85" t="s">
        <v>2019</v>
      </c>
      <c r="P73" s="55">
        <v>46783</v>
      </c>
      <c r="Q73" s="55" t="s">
        <v>83</v>
      </c>
      <c r="R73" s="16" t="s">
        <v>84</v>
      </c>
      <c r="S73" s="21">
        <v>7738.24</v>
      </c>
      <c r="T73" s="21">
        <v>0</v>
      </c>
      <c r="U73" s="21">
        <v>0</v>
      </c>
      <c r="V73" s="147" t="s">
        <v>1755</v>
      </c>
      <c r="W73" s="21">
        <v>1698.57</v>
      </c>
      <c r="X73" s="147" t="s">
        <v>1745</v>
      </c>
      <c r="Y73" s="21">
        <v>0</v>
      </c>
      <c r="Z73" s="90" t="s">
        <v>125</v>
      </c>
      <c r="AA73" s="55">
        <v>46783</v>
      </c>
    </row>
    <row r="74" spans="1:27" x14ac:dyDescent="0.25">
      <c r="A74" s="26" t="s">
        <v>1741</v>
      </c>
      <c r="B74" s="106" t="s">
        <v>531</v>
      </c>
      <c r="C74" s="11" t="s">
        <v>2020</v>
      </c>
      <c r="D74" s="55">
        <v>43351</v>
      </c>
      <c r="E74" s="55">
        <v>46637</v>
      </c>
      <c r="F74" s="26" t="s">
        <v>1743</v>
      </c>
      <c r="G74" s="162" t="s">
        <v>1532</v>
      </c>
      <c r="H74" s="11" t="s">
        <v>1470</v>
      </c>
      <c r="I74" s="11" t="s">
        <v>111</v>
      </c>
      <c r="J74" s="11" t="s">
        <v>113</v>
      </c>
      <c r="K74" s="26" t="s">
        <v>114</v>
      </c>
      <c r="L74" s="26" t="s">
        <v>2021</v>
      </c>
      <c r="M74" s="11" t="s">
        <v>174</v>
      </c>
      <c r="N74" s="12">
        <v>44089</v>
      </c>
      <c r="O74" s="85" t="s">
        <v>2022</v>
      </c>
      <c r="P74" s="55">
        <v>46637</v>
      </c>
      <c r="Q74" s="16" t="s">
        <v>83</v>
      </c>
      <c r="R74" s="16" t="s">
        <v>84</v>
      </c>
      <c r="S74" s="21">
        <v>19782.82</v>
      </c>
      <c r="T74" s="21">
        <v>0</v>
      </c>
      <c r="U74" s="21">
        <v>1978.28</v>
      </c>
      <c r="V74" s="147" t="s">
        <v>1751</v>
      </c>
      <c r="W74" s="21">
        <v>2409.86</v>
      </c>
      <c r="X74" s="147" t="s">
        <v>1846</v>
      </c>
      <c r="Y74" s="21">
        <v>0</v>
      </c>
      <c r="Z74" s="87" t="s">
        <v>125</v>
      </c>
      <c r="AA74" s="55">
        <v>45291</v>
      </c>
    </row>
    <row r="75" spans="1:27" x14ac:dyDescent="0.25">
      <c r="A75" s="26" t="s">
        <v>1741</v>
      </c>
      <c r="B75" s="106" t="s">
        <v>1660</v>
      </c>
      <c r="C75" s="11" t="s">
        <v>2023</v>
      </c>
      <c r="D75" s="55">
        <v>43758</v>
      </c>
      <c r="E75" s="55">
        <v>47391</v>
      </c>
      <c r="F75" s="26" t="s">
        <v>1743</v>
      </c>
      <c r="G75" s="162" t="s">
        <v>1517</v>
      </c>
      <c r="H75" s="11" t="s">
        <v>2024</v>
      </c>
      <c r="I75" s="11" t="s">
        <v>111</v>
      </c>
      <c r="J75" s="11" t="s">
        <v>113</v>
      </c>
      <c r="K75" s="26" t="s">
        <v>469</v>
      </c>
      <c r="L75" s="26" t="s">
        <v>2025</v>
      </c>
      <c r="M75" s="11" t="s">
        <v>174</v>
      </c>
      <c r="N75" s="12">
        <v>43829</v>
      </c>
      <c r="O75" s="85" t="s">
        <v>2026</v>
      </c>
      <c r="P75" s="55">
        <v>47391</v>
      </c>
      <c r="Q75" s="55" t="s">
        <v>83</v>
      </c>
      <c r="R75" s="16" t="s">
        <v>84</v>
      </c>
      <c r="S75" s="21">
        <v>9961.08</v>
      </c>
      <c r="T75" s="21">
        <v>0</v>
      </c>
      <c r="U75" s="21">
        <v>0</v>
      </c>
      <c r="V75" s="147" t="s">
        <v>1755</v>
      </c>
      <c r="W75" s="21">
        <v>3044.8</v>
      </c>
      <c r="X75" s="147" t="s">
        <v>1745</v>
      </c>
      <c r="Y75" s="21"/>
      <c r="Z75" s="14"/>
      <c r="AA75" s="55">
        <v>45565</v>
      </c>
    </row>
    <row r="76" spans="1:27" x14ac:dyDescent="0.25">
      <c r="A76" s="26" t="s">
        <v>1741</v>
      </c>
      <c r="B76" s="106" t="s">
        <v>563</v>
      </c>
      <c r="C76" s="11" t="s">
        <v>2027</v>
      </c>
      <c r="D76" s="55">
        <v>44545</v>
      </c>
      <c r="E76" s="55">
        <v>46370</v>
      </c>
      <c r="F76" s="72" t="s">
        <v>1743</v>
      </c>
      <c r="G76" s="162" t="s">
        <v>528</v>
      </c>
      <c r="H76" s="11"/>
      <c r="I76" s="11" t="s">
        <v>111</v>
      </c>
      <c r="J76" s="11" t="s">
        <v>113</v>
      </c>
      <c r="K76" s="26" t="s">
        <v>114</v>
      </c>
      <c r="L76" s="26" t="s">
        <v>2028</v>
      </c>
      <c r="M76" s="11" t="s">
        <v>131</v>
      </c>
      <c r="N76" s="12">
        <v>44743</v>
      </c>
      <c r="O76" s="85" t="s">
        <v>2029</v>
      </c>
      <c r="P76" s="55">
        <v>46370</v>
      </c>
      <c r="Q76" s="55" t="s">
        <v>83</v>
      </c>
      <c r="R76" s="16" t="s">
        <v>84</v>
      </c>
      <c r="S76" s="21">
        <v>35364.82</v>
      </c>
      <c r="T76" s="21">
        <v>0</v>
      </c>
      <c r="U76" s="21">
        <v>3536.48</v>
      </c>
      <c r="V76" s="147" t="s">
        <v>1751</v>
      </c>
      <c r="W76" s="21">
        <v>0</v>
      </c>
      <c r="X76" s="147" t="s">
        <v>1745</v>
      </c>
      <c r="Y76" s="21">
        <v>0</v>
      </c>
      <c r="Z76" s="14"/>
      <c r="AA76" s="55">
        <v>46370</v>
      </c>
    </row>
    <row r="77" spans="1:27" x14ac:dyDescent="0.25">
      <c r="A77" s="26" t="s">
        <v>1741</v>
      </c>
      <c r="B77" s="106" t="s">
        <v>1676</v>
      </c>
      <c r="C77" s="11" t="s">
        <v>2030</v>
      </c>
      <c r="D77" s="55">
        <v>44774</v>
      </c>
      <c r="E77" s="55">
        <v>46234</v>
      </c>
      <c r="F77" s="72" t="s">
        <v>1743</v>
      </c>
      <c r="G77" s="162" t="s">
        <v>1641</v>
      </c>
      <c r="H77" s="11" t="s">
        <v>111</v>
      </c>
      <c r="I77" s="11"/>
      <c r="J77" s="11" t="s">
        <v>113</v>
      </c>
      <c r="K77" s="26" t="s">
        <v>114</v>
      </c>
      <c r="L77" s="26" t="s">
        <v>2031</v>
      </c>
      <c r="M77" s="11" t="s">
        <v>139</v>
      </c>
      <c r="N77" s="12">
        <v>44895</v>
      </c>
      <c r="O77" s="85" t="s">
        <v>2032</v>
      </c>
      <c r="P77" s="55">
        <v>46234</v>
      </c>
      <c r="Q77" s="55" t="s">
        <v>83</v>
      </c>
      <c r="R77" s="16" t="s">
        <v>84</v>
      </c>
      <c r="S77" s="21">
        <v>7549.65</v>
      </c>
      <c r="T77" s="21">
        <v>0</v>
      </c>
      <c r="U77" s="21">
        <v>0</v>
      </c>
      <c r="V77" s="147" t="s">
        <v>1755</v>
      </c>
      <c r="W77" s="21">
        <v>1309.93</v>
      </c>
      <c r="X77" s="147" t="s">
        <v>1745</v>
      </c>
      <c r="Y77" s="21">
        <v>0</v>
      </c>
      <c r="Z77" s="14"/>
      <c r="AA77" s="55">
        <v>46234</v>
      </c>
    </row>
    <row r="78" spans="1:27" x14ac:dyDescent="0.25">
      <c r="A78" s="26" t="s">
        <v>1741</v>
      </c>
      <c r="B78" s="152" t="s">
        <v>573</v>
      </c>
      <c r="C78" s="11" t="s">
        <v>2033</v>
      </c>
      <c r="D78" s="55">
        <v>45931</v>
      </c>
      <c r="E78" s="55">
        <v>46752</v>
      </c>
      <c r="F78" s="72" t="s">
        <v>1743</v>
      </c>
      <c r="G78" s="11"/>
      <c r="H78" s="11"/>
      <c r="I78" s="11"/>
      <c r="J78" s="11"/>
      <c r="K78" s="26"/>
      <c r="L78" s="26" t="s">
        <v>1285</v>
      </c>
      <c r="M78" s="11"/>
      <c r="N78" s="12">
        <v>45957</v>
      </c>
      <c r="O78" s="86" t="s">
        <v>2034</v>
      </c>
      <c r="P78" s="55" t="s">
        <v>82</v>
      </c>
      <c r="Q78" s="55" t="s">
        <v>83</v>
      </c>
      <c r="R78" s="16" t="s">
        <v>84</v>
      </c>
      <c r="S78" s="21">
        <v>11000</v>
      </c>
      <c r="T78" s="21">
        <v>0</v>
      </c>
      <c r="U78" s="21">
        <v>0</v>
      </c>
      <c r="V78" s="147"/>
      <c r="W78" s="21">
        <v>0</v>
      </c>
      <c r="X78" s="147"/>
      <c r="Y78" s="21">
        <v>0</v>
      </c>
      <c r="Z78" s="14"/>
      <c r="AA78" s="55"/>
    </row>
    <row r="79" spans="1:27" x14ac:dyDescent="0.25">
      <c r="A79" s="26" t="s">
        <v>1741</v>
      </c>
      <c r="B79" s="106" t="s">
        <v>578</v>
      </c>
      <c r="C79" s="11" t="s">
        <v>2035</v>
      </c>
      <c r="D79" s="55">
        <v>45169</v>
      </c>
      <c r="E79" s="55">
        <v>46924</v>
      </c>
      <c r="F79" s="72" t="s">
        <v>1743</v>
      </c>
      <c r="G79" s="162" t="s">
        <v>1657</v>
      </c>
      <c r="H79" s="11"/>
      <c r="I79" s="11" t="s">
        <v>111</v>
      </c>
      <c r="J79" s="11" t="s">
        <v>113</v>
      </c>
      <c r="K79" s="26" t="s">
        <v>114</v>
      </c>
      <c r="L79" s="26" t="s">
        <v>2036</v>
      </c>
      <c r="M79" s="11" t="s">
        <v>146</v>
      </c>
      <c r="N79" s="12">
        <v>45224</v>
      </c>
      <c r="O79" s="85" t="s">
        <v>2036</v>
      </c>
      <c r="P79" s="55">
        <v>46924</v>
      </c>
      <c r="Q79" s="16" t="s">
        <v>83</v>
      </c>
      <c r="R79" s="16" t="s">
        <v>84</v>
      </c>
      <c r="S79" s="21">
        <v>14250.98</v>
      </c>
      <c r="T79" s="21">
        <v>0</v>
      </c>
      <c r="U79" s="21">
        <v>0</v>
      </c>
      <c r="V79" s="147" t="s">
        <v>1755</v>
      </c>
      <c r="W79" s="21">
        <v>0</v>
      </c>
      <c r="X79" s="147" t="s">
        <v>1846</v>
      </c>
      <c r="Y79" s="21">
        <v>0</v>
      </c>
      <c r="Z79" s="14"/>
      <c r="AA79" s="55">
        <v>46996</v>
      </c>
    </row>
    <row r="80" spans="1:27" x14ac:dyDescent="0.25">
      <c r="A80" s="26" t="s">
        <v>1741</v>
      </c>
      <c r="B80" s="106" t="s">
        <v>687</v>
      </c>
      <c r="C80" s="11" t="s">
        <v>2037</v>
      </c>
      <c r="D80" s="55">
        <v>45108</v>
      </c>
      <c r="E80" s="55">
        <v>46568</v>
      </c>
      <c r="F80" s="72" t="s">
        <v>1743</v>
      </c>
      <c r="G80" s="162" t="s">
        <v>1662</v>
      </c>
      <c r="H80" s="11"/>
      <c r="I80" s="11" t="s">
        <v>111</v>
      </c>
      <c r="J80" s="11" t="s">
        <v>113</v>
      </c>
      <c r="K80" s="26" t="s">
        <v>114</v>
      </c>
      <c r="L80" s="26" t="s">
        <v>2038</v>
      </c>
      <c r="M80" s="11" t="s">
        <v>139</v>
      </c>
      <c r="N80" s="12">
        <v>45229</v>
      </c>
      <c r="O80" s="85" t="s">
        <v>2038</v>
      </c>
      <c r="P80" s="55">
        <v>46568</v>
      </c>
      <c r="Q80" s="55" t="s">
        <v>83</v>
      </c>
      <c r="R80" s="16" t="s">
        <v>84</v>
      </c>
      <c r="S80" s="21">
        <v>14201.25</v>
      </c>
      <c r="T80" s="21">
        <v>0</v>
      </c>
      <c r="U80" s="21">
        <v>0</v>
      </c>
      <c r="V80" s="147" t="s">
        <v>1755</v>
      </c>
      <c r="W80" s="21">
        <v>1950.87</v>
      </c>
      <c r="X80" s="147" t="s">
        <v>1745</v>
      </c>
      <c r="Y80" s="21">
        <v>0</v>
      </c>
      <c r="Z80" s="14"/>
      <c r="AA80" s="55">
        <v>46568</v>
      </c>
    </row>
    <row r="81" spans="1:27" x14ac:dyDescent="0.25">
      <c r="A81" s="26" t="s">
        <v>1741</v>
      </c>
      <c r="B81" s="119" t="s">
        <v>584</v>
      </c>
      <c r="C81" s="11" t="s">
        <v>2039</v>
      </c>
      <c r="D81" s="55">
        <v>45188</v>
      </c>
      <c r="E81" s="55">
        <v>47014</v>
      </c>
      <c r="F81" s="72" t="s">
        <v>1743</v>
      </c>
      <c r="G81" s="162" t="s">
        <v>554</v>
      </c>
      <c r="I81" s="11" t="s">
        <v>111</v>
      </c>
      <c r="J81" s="11" t="s">
        <v>113</v>
      </c>
      <c r="K81" s="11" t="s">
        <v>114</v>
      </c>
      <c r="L81" s="26" t="s">
        <v>1934</v>
      </c>
      <c r="M81" s="11"/>
      <c r="N81" s="12">
        <v>45322</v>
      </c>
      <c r="O81" s="85" t="s">
        <v>2040</v>
      </c>
      <c r="P81" s="55">
        <v>47014</v>
      </c>
      <c r="Q81" s="55" t="s">
        <v>83</v>
      </c>
      <c r="R81" s="16" t="s">
        <v>84</v>
      </c>
      <c r="S81" s="21">
        <v>22337.5</v>
      </c>
      <c r="T81" s="21">
        <v>0</v>
      </c>
      <c r="U81" s="21">
        <v>0</v>
      </c>
      <c r="V81" s="147" t="s">
        <v>1755</v>
      </c>
      <c r="W81" s="21">
        <v>0</v>
      </c>
      <c r="X81" s="147" t="s">
        <v>1846</v>
      </c>
      <c r="Y81" s="21">
        <v>0</v>
      </c>
      <c r="Z81" s="77" t="s">
        <v>85</v>
      </c>
      <c r="AA81" s="12">
        <v>47014</v>
      </c>
    </row>
    <row r="82" spans="1:27" x14ac:dyDescent="0.25">
      <c r="A82" s="26" t="s">
        <v>1741</v>
      </c>
      <c r="B82" s="119" t="s">
        <v>589</v>
      </c>
      <c r="C82" s="11" t="s">
        <v>2041</v>
      </c>
      <c r="D82" s="55">
        <v>45263</v>
      </c>
      <c r="E82" s="55">
        <v>47077</v>
      </c>
      <c r="F82" s="72" t="s">
        <v>1743</v>
      </c>
      <c r="G82" s="162" t="s">
        <v>1667</v>
      </c>
      <c r="I82" s="11" t="s">
        <v>111</v>
      </c>
      <c r="J82" s="11" t="s">
        <v>113</v>
      </c>
      <c r="K82" s="11" t="s">
        <v>114</v>
      </c>
      <c r="L82" s="26" t="s">
        <v>2042</v>
      </c>
      <c r="M82" s="11"/>
      <c r="N82" s="12">
        <v>45321</v>
      </c>
      <c r="O82" s="85" t="s">
        <v>2043</v>
      </c>
      <c r="P82" s="55">
        <v>47077</v>
      </c>
      <c r="Q82" s="16" t="s">
        <v>83</v>
      </c>
      <c r="R82" s="16" t="s">
        <v>84</v>
      </c>
      <c r="S82" s="21">
        <v>3686.76</v>
      </c>
      <c r="T82" s="21">
        <v>0</v>
      </c>
      <c r="U82" s="21"/>
      <c r="V82" s="147" t="s">
        <v>1751</v>
      </c>
      <c r="W82" s="21">
        <v>1803.63</v>
      </c>
      <c r="X82" s="147" t="s">
        <v>1745</v>
      </c>
      <c r="Y82" s="21">
        <v>0</v>
      </c>
      <c r="Z82" s="77" t="s">
        <v>85</v>
      </c>
      <c r="AA82" s="12">
        <v>47064</v>
      </c>
    </row>
    <row r="83" spans="1:27" x14ac:dyDescent="0.25">
      <c r="A83" s="26" t="s">
        <v>1741</v>
      </c>
      <c r="B83" s="119" t="s">
        <v>594</v>
      </c>
      <c r="C83" s="11" t="s">
        <v>2044</v>
      </c>
      <c r="D83" s="55">
        <v>45267</v>
      </c>
      <c r="E83" s="55">
        <v>47093</v>
      </c>
      <c r="F83" s="72" t="s">
        <v>1743</v>
      </c>
      <c r="G83" s="162" t="s">
        <v>543</v>
      </c>
      <c r="I83" s="11" t="s">
        <v>111</v>
      </c>
      <c r="J83" s="11" t="s">
        <v>113</v>
      </c>
      <c r="K83" s="11" t="s">
        <v>114</v>
      </c>
      <c r="L83" s="26" t="s">
        <v>2045</v>
      </c>
      <c r="M83" s="11"/>
      <c r="N83" s="12">
        <v>45321</v>
      </c>
      <c r="O83" s="85" t="s">
        <v>2046</v>
      </c>
      <c r="P83" s="55">
        <v>47093</v>
      </c>
      <c r="Q83" s="55" t="s">
        <v>83</v>
      </c>
      <c r="R83" s="16" t="s">
        <v>84</v>
      </c>
      <c r="S83" s="21">
        <v>7852.31</v>
      </c>
      <c r="T83" s="21">
        <v>0</v>
      </c>
      <c r="U83" s="21">
        <v>785.23</v>
      </c>
      <c r="V83" s="147" t="s">
        <v>1751</v>
      </c>
      <c r="W83" s="21">
        <v>4412.05</v>
      </c>
      <c r="X83" s="147" t="s">
        <v>1745</v>
      </c>
      <c r="Y83" s="21">
        <v>0</v>
      </c>
      <c r="Z83" s="77" t="s">
        <v>85</v>
      </c>
      <c r="AA83" s="12">
        <v>47093</v>
      </c>
    </row>
    <row r="84" spans="1:27" x14ac:dyDescent="0.25">
      <c r="A84" s="26" t="s">
        <v>1741</v>
      </c>
      <c r="B84" s="119" t="s">
        <v>1686</v>
      </c>
      <c r="C84" s="11" t="s">
        <v>2047</v>
      </c>
      <c r="D84" s="55">
        <v>45292</v>
      </c>
      <c r="E84" s="55">
        <v>47118</v>
      </c>
      <c r="F84" s="72" t="s">
        <v>962</v>
      </c>
      <c r="G84" s="162" t="s">
        <v>559</v>
      </c>
      <c r="I84" s="11" t="s">
        <v>111</v>
      </c>
      <c r="J84" s="11" t="s">
        <v>113</v>
      </c>
      <c r="K84" s="11" t="s">
        <v>114</v>
      </c>
      <c r="L84" s="26" t="s">
        <v>126</v>
      </c>
      <c r="M84" s="11" t="s">
        <v>131</v>
      </c>
      <c r="N84" s="12">
        <v>45350</v>
      </c>
      <c r="O84" s="85" t="s">
        <v>2048</v>
      </c>
      <c r="P84" s="55">
        <v>47118</v>
      </c>
      <c r="Q84" s="55" t="s">
        <v>83</v>
      </c>
      <c r="R84" s="16" t="s">
        <v>84</v>
      </c>
      <c r="S84" s="21">
        <v>5950</v>
      </c>
      <c r="T84" s="21">
        <v>0</v>
      </c>
      <c r="U84" s="21">
        <v>0</v>
      </c>
      <c r="V84" s="147" t="s">
        <v>82</v>
      </c>
      <c r="W84" s="21">
        <v>0</v>
      </c>
      <c r="X84" s="147" t="s">
        <v>82</v>
      </c>
      <c r="Y84" s="21">
        <v>0</v>
      </c>
      <c r="Z84" s="77" t="s">
        <v>85</v>
      </c>
      <c r="AA84" s="12">
        <v>47118</v>
      </c>
    </row>
    <row r="85" spans="1:27" x14ac:dyDescent="0.25">
      <c r="A85" s="26">
        <v>8138</v>
      </c>
      <c r="B85" s="106" t="s">
        <v>599</v>
      </c>
      <c r="C85" s="11" t="s">
        <v>2049</v>
      </c>
      <c r="D85" s="55">
        <v>45292</v>
      </c>
      <c r="E85" s="55">
        <v>47118</v>
      </c>
      <c r="F85" s="72" t="s">
        <v>962</v>
      </c>
      <c r="G85" s="162" t="s">
        <v>580</v>
      </c>
      <c r="H85" s="11"/>
      <c r="I85" s="11"/>
      <c r="J85" s="11"/>
      <c r="K85" s="26" t="s">
        <v>114</v>
      </c>
      <c r="L85" s="26" t="s">
        <v>1070</v>
      </c>
      <c r="M85" s="11"/>
      <c r="N85" s="12">
        <v>45446</v>
      </c>
      <c r="O85" s="85" t="s">
        <v>2050</v>
      </c>
      <c r="P85" s="55">
        <v>47118</v>
      </c>
      <c r="Q85" s="16" t="s">
        <v>83</v>
      </c>
      <c r="R85" s="16" t="s">
        <v>84</v>
      </c>
      <c r="S85" s="21">
        <v>3090</v>
      </c>
      <c r="T85" s="21">
        <v>0</v>
      </c>
      <c r="U85" s="21">
        <v>0</v>
      </c>
      <c r="V85" s="147" t="s">
        <v>82</v>
      </c>
      <c r="W85" s="21">
        <v>0</v>
      </c>
      <c r="X85" s="147" t="s">
        <v>1745</v>
      </c>
      <c r="Y85" s="21">
        <v>0</v>
      </c>
      <c r="Z85" s="90" t="s">
        <v>125</v>
      </c>
      <c r="AA85" s="55"/>
    </row>
    <row r="86" spans="1:27" x14ac:dyDescent="0.25">
      <c r="A86" s="26">
        <v>8138</v>
      </c>
      <c r="B86" s="106" t="s">
        <v>1696</v>
      </c>
      <c r="C86" s="11" t="s">
        <v>2051</v>
      </c>
      <c r="D86" s="55">
        <v>45292</v>
      </c>
      <c r="E86" s="55">
        <v>46387</v>
      </c>
      <c r="F86" s="72" t="s">
        <v>1743</v>
      </c>
      <c r="G86" s="162" t="s">
        <v>1682</v>
      </c>
      <c r="H86" s="11"/>
      <c r="I86" s="11"/>
      <c r="J86" s="11"/>
      <c r="K86" s="26" t="s">
        <v>114</v>
      </c>
      <c r="L86" s="26" t="s">
        <v>1005</v>
      </c>
      <c r="M86" s="11"/>
      <c r="N86" s="12">
        <v>45475</v>
      </c>
      <c r="O86" s="85" t="s">
        <v>2052</v>
      </c>
      <c r="P86" s="55">
        <v>46387</v>
      </c>
      <c r="Q86" s="16" t="s">
        <v>83</v>
      </c>
      <c r="R86" s="16" t="s">
        <v>84</v>
      </c>
      <c r="S86" s="21">
        <v>11124.13</v>
      </c>
      <c r="T86" s="21">
        <v>0</v>
      </c>
      <c r="U86" s="21">
        <v>0</v>
      </c>
      <c r="V86" s="147" t="s">
        <v>82</v>
      </c>
      <c r="W86" s="21">
        <v>0</v>
      </c>
      <c r="X86" s="147" t="s">
        <v>1846</v>
      </c>
      <c r="Y86" s="21">
        <v>0</v>
      </c>
      <c r="Z86" s="90" t="s">
        <v>125</v>
      </c>
      <c r="AA86" s="55"/>
    </row>
    <row r="87" spans="1:27" x14ac:dyDescent="0.25">
      <c r="A87" s="26">
        <v>8138</v>
      </c>
      <c r="B87" s="106" t="s">
        <v>1701</v>
      </c>
      <c r="C87" s="11" t="s">
        <v>2053</v>
      </c>
      <c r="D87" s="55">
        <v>45505</v>
      </c>
      <c r="E87" s="55">
        <v>47330</v>
      </c>
      <c r="F87" s="72" t="s">
        <v>1743</v>
      </c>
      <c r="G87" s="162" t="s">
        <v>586</v>
      </c>
      <c r="H87" s="11"/>
      <c r="I87" s="11"/>
      <c r="J87" s="11"/>
      <c r="K87" s="26" t="s">
        <v>114</v>
      </c>
      <c r="L87" s="26">
        <v>5000070</v>
      </c>
      <c r="M87" s="11"/>
      <c r="N87" s="12">
        <v>45476</v>
      </c>
      <c r="O87" s="85" t="s">
        <v>2054</v>
      </c>
      <c r="P87" s="55">
        <v>47330</v>
      </c>
      <c r="Q87" s="16" t="s">
        <v>83</v>
      </c>
      <c r="R87" s="16" t="s">
        <v>84</v>
      </c>
      <c r="S87" s="21">
        <v>29678.7</v>
      </c>
      <c r="T87" s="21">
        <v>0</v>
      </c>
      <c r="U87" s="21">
        <v>2826.54</v>
      </c>
      <c r="V87" s="147" t="s">
        <v>1751</v>
      </c>
      <c r="W87" s="21">
        <v>5796.35</v>
      </c>
      <c r="X87" s="147" t="s">
        <v>1745</v>
      </c>
      <c r="Y87" s="21">
        <v>0</v>
      </c>
      <c r="Z87" s="90" t="s">
        <v>85</v>
      </c>
      <c r="AA87" s="55"/>
    </row>
    <row r="88" spans="1:27" x14ac:dyDescent="0.25">
      <c r="A88" s="26">
        <v>8138</v>
      </c>
      <c r="B88" s="106" t="s">
        <v>605</v>
      </c>
      <c r="C88" s="11" t="s">
        <v>2055</v>
      </c>
      <c r="D88" s="55">
        <v>45271</v>
      </c>
      <c r="E88" s="55">
        <v>47097</v>
      </c>
      <c r="F88" s="72" t="s">
        <v>1743</v>
      </c>
      <c r="G88" s="162" t="s">
        <v>591</v>
      </c>
      <c r="H88" s="11"/>
      <c r="I88" s="11"/>
      <c r="J88" s="11"/>
      <c r="K88" s="26" t="s">
        <v>114</v>
      </c>
      <c r="L88" s="26" t="s">
        <v>1340</v>
      </c>
      <c r="M88" s="11"/>
      <c r="N88" s="12">
        <v>45476</v>
      </c>
      <c r="O88" s="85" t="s">
        <v>2056</v>
      </c>
      <c r="P88" s="55">
        <v>47097</v>
      </c>
      <c r="Q88" s="16" t="s">
        <v>83</v>
      </c>
      <c r="R88" s="16" t="s">
        <v>84</v>
      </c>
      <c r="S88" s="21">
        <v>24221.23</v>
      </c>
      <c r="T88" s="21">
        <v>0</v>
      </c>
      <c r="U88" s="21">
        <v>0</v>
      </c>
      <c r="V88" s="147" t="s">
        <v>1755</v>
      </c>
      <c r="W88" s="21">
        <v>0</v>
      </c>
      <c r="X88" s="147" t="s">
        <v>1846</v>
      </c>
      <c r="Y88" s="21">
        <v>0</v>
      </c>
      <c r="Z88" s="90" t="s">
        <v>125</v>
      </c>
      <c r="AA88" s="55"/>
    </row>
    <row r="89" spans="1:27" x14ac:dyDescent="0.25">
      <c r="A89" s="26">
        <v>8138</v>
      </c>
      <c r="B89" s="106" t="s">
        <v>1711</v>
      </c>
      <c r="C89" s="11" t="s">
        <v>2059</v>
      </c>
      <c r="D89" s="55">
        <v>45324</v>
      </c>
      <c r="E89" s="55">
        <v>47149</v>
      </c>
      <c r="F89" s="72" t="s">
        <v>1743</v>
      </c>
      <c r="G89" s="162" t="s">
        <v>1687</v>
      </c>
      <c r="H89" s="11"/>
      <c r="I89" s="11"/>
      <c r="J89" s="11"/>
      <c r="K89" s="26" t="s">
        <v>114</v>
      </c>
      <c r="L89" s="55"/>
      <c r="M89" s="11"/>
      <c r="N89" s="12">
        <v>45476</v>
      </c>
      <c r="O89" s="85" t="s">
        <v>2060</v>
      </c>
      <c r="P89" s="55">
        <v>47146</v>
      </c>
      <c r="Q89" s="16" t="s">
        <v>83</v>
      </c>
      <c r="R89" s="16" t="s">
        <v>84</v>
      </c>
      <c r="S89" s="21">
        <v>2057.88</v>
      </c>
      <c r="T89" s="21">
        <v>0</v>
      </c>
      <c r="U89" s="21">
        <v>0</v>
      </c>
      <c r="V89" s="147" t="s">
        <v>82</v>
      </c>
      <c r="W89" s="21">
        <v>106.15</v>
      </c>
      <c r="X89" s="147" t="s">
        <v>1846</v>
      </c>
      <c r="Y89" s="21">
        <v>0</v>
      </c>
      <c r="Z89" s="90" t="s">
        <v>85</v>
      </c>
      <c r="AA89" s="55"/>
    </row>
    <row r="90" spans="1:27" x14ac:dyDescent="0.25">
      <c r="A90" s="26">
        <v>8138</v>
      </c>
      <c r="B90" s="126" t="s">
        <v>611</v>
      </c>
      <c r="C90" s="11" t="s">
        <v>2061</v>
      </c>
      <c r="D90" s="55">
        <v>45214</v>
      </c>
      <c r="E90" s="55">
        <v>47040</v>
      </c>
      <c r="F90" s="72" t="s">
        <v>962</v>
      </c>
      <c r="G90" s="162" t="s">
        <v>601</v>
      </c>
      <c r="H90" s="11"/>
      <c r="I90" s="11"/>
      <c r="J90" s="11"/>
      <c r="K90" s="26" t="s">
        <v>114</v>
      </c>
      <c r="L90" s="139" t="s">
        <v>2062</v>
      </c>
      <c r="M90" s="11"/>
      <c r="N90" s="12">
        <v>45567</v>
      </c>
      <c r="O90" s="85" t="s">
        <v>2063</v>
      </c>
      <c r="P90" s="55">
        <v>47040</v>
      </c>
      <c r="Q90" s="16" t="s">
        <v>83</v>
      </c>
      <c r="R90" s="16" t="s">
        <v>84</v>
      </c>
      <c r="S90" s="21">
        <v>10300</v>
      </c>
      <c r="T90" s="21">
        <v>0</v>
      </c>
      <c r="U90" s="21">
        <v>0</v>
      </c>
      <c r="V90" s="147" t="s">
        <v>82</v>
      </c>
      <c r="W90" s="21">
        <v>671.68</v>
      </c>
      <c r="X90" s="147" t="s">
        <v>1745</v>
      </c>
      <c r="Y90" s="21">
        <v>0</v>
      </c>
      <c r="Z90" s="90" t="s">
        <v>125</v>
      </c>
      <c r="AA90" s="55"/>
    </row>
    <row r="91" spans="1:27" x14ac:dyDescent="0.25">
      <c r="A91" s="26">
        <v>8138</v>
      </c>
      <c r="B91" s="106" t="s">
        <v>616</v>
      </c>
      <c r="C91" s="11" t="s">
        <v>2064</v>
      </c>
      <c r="D91" s="55">
        <v>45444</v>
      </c>
      <c r="E91" s="55">
        <v>47269</v>
      </c>
      <c r="F91" s="72" t="s">
        <v>1743</v>
      </c>
      <c r="G91" s="162" t="s">
        <v>1703</v>
      </c>
      <c r="H91" s="11"/>
      <c r="I91" s="11"/>
      <c r="J91" s="11"/>
      <c r="K91" s="26" t="s">
        <v>114</v>
      </c>
      <c r="L91" s="139" t="s">
        <v>2065</v>
      </c>
      <c r="M91" s="11"/>
      <c r="N91" s="12">
        <v>45567</v>
      </c>
      <c r="O91" s="89" t="s">
        <v>2066</v>
      </c>
      <c r="P91" s="55">
        <v>47269</v>
      </c>
      <c r="Q91" s="16" t="s">
        <v>83</v>
      </c>
      <c r="R91" s="16" t="s">
        <v>84</v>
      </c>
      <c r="S91" s="21">
        <v>8694.61</v>
      </c>
      <c r="T91" s="21">
        <v>0</v>
      </c>
      <c r="U91" s="21">
        <v>0</v>
      </c>
      <c r="V91" s="147" t="s">
        <v>1755</v>
      </c>
      <c r="W91" s="21">
        <v>1907.2</v>
      </c>
      <c r="X91" s="147" t="s">
        <v>1745</v>
      </c>
      <c r="Y91" s="21">
        <v>0</v>
      </c>
      <c r="Z91" s="90" t="s">
        <v>125</v>
      </c>
      <c r="AA91" s="55"/>
    </row>
    <row r="92" spans="1:27" x14ac:dyDescent="0.25">
      <c r="A92" s="26">
        <v>8138</v>
      </c>
      <c r="B92" s="106" t="s">
        <v>1716</v>
      </c>
      <c r="C92" s="11" t="s">
        <v>2067</v>
      </c>
      <c r="D92" s="55">
        <v>45323</v>
      </c>
      <c r="E92" s="55">
        <v>47149</v>
      </c>
      <c r="F92" s="72" t="s">
        <v>1743</v>
      </c>
      <c r="G92" s="162" t="s">
        <v>607</v>
      </c>
      <c r="H92" s="11"/>
      <c r="I92" s="11"/>
      <c r="J92" s="11"/>
      <c r="K92" s="26" t="s">
        <v>114</v>
      </c>
      <c r="L92" s="139" t="s">
        <v>2068</v>
      </c>
      <c r="M92" s="11"/>
      <c r="N92" s="12">
        <v>45582</v>
      </c>
      <c r="O92" s="89" t="s">
        <v>2069</v>
      </c>
      <c r="P92" s="55">
        <v>47149</v>
      </c>
      <c r="Q92" s="16" t="s">
        <v>83</v>
      </c>
      <c r="R92" s="16" t="s">
        <v>84</v>
      </c>
      <c r="S92" s="21">
        <v>7905.06</v>
      </c>
      <c r="T92" s="21">
        <v>0</v>
      </c>
      <c r="U92" s="21">
        <v>0</v>
      </c>
      <c r="V92" s="147" t="s">
        <v>1755</v>
      </c>
      <c r="W92" s="21">
        <v>2050</v>
      </c>
      <c r="X92" s="147" t="s">
        <v>1745</v>
      </c>
      <c r="Y92" s="21">
        <v>0</v>
      </c>
      <c r="Z92" s="90" t="s">
        <v>85</v>
      </c>
      <c r="AA92" s="55"/>
    </row>
    <row r="93" spans="1:27" x14ac:dyDescent="0.25">
      <c r="A93" s="26">
        <v>8138</v>
      </c>
      <c r="B93" s="106" t="s">
        <v>1721</v>
      </c>
      <c r="C93" s="11" t="s">
        <v>2070</v>
      </c>
      <c r="D93" s="55">
        <v>45597</v>
      </c>
      <c r="E93" s="55">
        <v>46387</v>
      </c>
      <c r="F93" s="72" t="s">
        <v>1743</v>
      </c>
      <c r="G93" s="162" t="s">
        <v>3610</v>
      </c>
      <c r="H93" s="11"/>
      <c r="I93" s="11"/>
      <c r="J93" s="11"/>
      <c r="K93" s="26" t="s">
        <v>114</v>
      </c>
      <c r="L93" s="120"/>
      <c r="M93" s="11"/>
      <c r="N93" s="12">
        <v>45744</v>
      </c>
      <c r="O93" s="89" t="s">
        <v>2071</v>
      </c>
      <c r="P93" s="55">
        <v>46387</v>
      </c>
      <c r="Q93" s="16" t="s">
        <v>83</v>
      </c>
      <c r="R93" s="16" t="s">
        <v>84</v>
      </c>
      <c r="S93" s="21">
        <v>6429.5</v>
      </c>
      <c r="T93" s="21">
        <v>0</v>
      </c>
      <c r="U93" s="21"/>
      <c r="V93" s="147" t="s">
        <v>82</v>
      </c>
      <c r="W93" s="21">
        <v>395.37</v>
      </c>
      <c r="X93" s="147" t="s">
        <v>82</v>
      </c>
      <c r="Y93" s="21"/>
      <c r="Z93" s="90"/>
      <c r="AA93" s="55"/>
    </row>
    <row r="94" spans="1:27" x14ac:dyDescent="0.25">
      <c r="A94" s="26">
        <v>8138</v>
      </c>
      <c r="B94" s="106" t="s">
        <v>1725</v>
      </c>
      <c r="C94" s="11" t="s">
        <v>2072</v>
      </c>
      <c r="D94" s="55">
        <v>45505</v>
      </c>
      <c r="E94" s="55">
        <v>47330</v>
      </c>
      <c r="F94" s="72" t="s">
        <v>1743</v>
      </c>
      <c r="G94" s="162" t="s">
        <v>1713</v>
      </c>
      <c r="H94" s="11"/>
      <c r="I94" s="11"/>
      <c r="J94" s="11"/>
      <c r="K94" s="26" t="s">
        <v>114</v>
      </c>
      <c r="L94" s="26" t="s">
        <v>2073</v>
      </c>
      <c r="M94" s="11"/>
      <c r="N94" s="12">
        <v>45583</v>
      </c>
      <c r="O94" s="89" t="s">
        <v>2074</v>
      </c>
      <c r="P94" s="55">
        <v>47330</v>
      </c>
      <c r="Q94" s="16" t="s">
        <v>83</v>
      </c>
      <c r="R94" s="16" t="s">
        <v>84</v>
      </c>
      <c r="S94" s="21">
        <v>4129.63</v>
      </c>
      <c r="T94" s="21">
        <v>0</v>
      </c>
      <c r="U94" s="21">
        <v>0</v>
      </c>
      <c r="V94" s="147" t="s">
        <v>82</v>
      </c>
      <c r="W94" s="21">
        <v>0</v>
      </c>
      <c r="X94" s="147" t="s">
        <v>82</v>
      </c>
      <c r="Y94" s="21">
        <v>0</v>
      </c>
      <c r="Z94" s="90" t="s">
        <v>85</v>
      </c>
      <c r="AA94" s="55"/>
    </row>
    <row r="95" spans="1:27" x14ac:dyDescent="0.25">
      <c r="A95" s="26">
        <v>8138</v>
      </c>
      <c r="B95" s="106" t="s">
        <v>637</v>
      </c>
      <c r="C95" s="11" t="s">
        <v>2078</v>
      </c>
      <c r="D95" s="55">
        <v>45444</v>
      </c>
      <c r="E95" s="55">
        <v>46752</v>
      </c>
      <c r="F95" s="72" t="s">
        <v>1743</v>
      </c>
      <c r="G95" s="162" t="s">
        <v>3611</v>
      </c>
      <c r="H95" s="11"/>
      <c r="I95" s="11"/>
      <c r="J95" s="11"/>
      <c r="K95" s="26"/>
      <c r="L95" s="26" t="s">
        <v>2079</v>
      </c>
      <c r="M95" s="11"/>
      <c r="N95" s="12">
        <v>45622</v>
      </c>
      <c r="O95" s="89" t="s">
        <v>2080</v>
      </c>
      <c r="P95" s="55">
        <v>46752</v>
      </c>
      <c r="Q95" s="16" t="s">
        <v>83</v>
      </c>
      <c r="R95" s="16" t="s">
        <v>84</v>
      </c>
      <c r="S95" s="21">
        <v>8190.76</v>
      </c>
      <c r="T95" s="21">
        <v>0</v>
      </c>
      <c r="U95" s="21">
        <v>0</v>
      </c>
      <c r="V95" s="147" t="s">
        <v>82</v>
      </c>
      <c r="W95" s="21">
        <v>386.38</v>
      </c>
      <c r="X95" s="147" t="s">
        <v>1745</v>
      </c>
      <c r="Y95" s="21">
        <v>0</v>
      </c>
      <c r="Z95" s="90" t="s">
        <v>85</v>
      </c>
      <c r="AA95" s="55"/>
    </row>
    <row r="96" spans="1:27" x14ac:dyDescent="0.25">
      <c r="A96" s="26">
        <v>8138</v>
      </c>
      <c r="B96" s="106" t="s">
        <v>647</v>
      </c>
      <c r="C96" s="11" t="s">
        <v>2081</v>
      </c>
      <c r="D96" s="55">
        <v>43983</v>
      </c>
      <c r="E96" s="55">
        <v>46507</v>
      </c>
      <c r="F96" s="72" t="s">
        <v>962</v>
      </c>
      <c r="G96" s="162" t="s">
        <v>623</v>
      </c>
      <c r="H96" s="11"/>
      <c r="I96" s="11"/>
      <c r="J96" s="11"/>
      <c r="K96" s="26"/>
      <c r="L96" s="26" t="s">
        <v>2082</v>
      </c>
      <c r="M96" s="11"/>
      <c r="N96" s="12">
        <v>45622</v>
      </c>
      <c r="O96" s="89" t="s">
        <v>2083</v>
      </c>
      <c r="P96" s="55">
        <v>46507</v>
      </c>
      <c r="Q96" s="16" t="s">
        <v>83</v>
      </c>
      <c r="R96" s="16" t="s">
        <v>84</v>
      </c>
      <c r="S96" s="21">
        <v>9473.61</v>
      </c>
      <c r="T96" s="21">
        <v>0</v>
      </c>
      <c r="U96" s="21">
        <v>0</v>
      </c>
      <c r="V96" s="147" t="s">
        <v>82</v>
      </c>
      <c r="W96" s="21">
        <v>0</v>
      </c>
      <c r="X96" s="147" t="s">
        <v>1745</v>
      </c>
      <c r="Y96" s="21">
        <v>0</v>
      </c>
      <c r="Z96" s="90" t="s">
        <v>85</v>
      </c>
      <c r="AA96" s="55"/>
    </row>
    <row r="97" spans="1:27" x14ac:dyDescent="0.25">
      <c r="A97" s="26">
        <v>8138</v>
      </c>
      <c r="B97" s="106" t="s">
        <v>656</v>
      </c>
      <c r="C97" s="11" t="s">
        <v>2084</v>
      </c>
      <c r="D97" s="55">
        <v>44228</v>
      </c>
      <c r="E97" s="55">
        <v>46660</v>
      </c>
      <c r="F97" s="72" t="s">
        <v>1743</v>
      </c>
      <c r="G97" s="162" t="s">
        <v>1727</v>
      </c>
      <c r="H97" s="11"/>
      <c r="I97" s="11"/>
      <c r="J97" s="11"/>
      <c r="K97" s="26"/>
      <c r="L97" s="26" t="s">
        <v>2085</v>
      </c>
      <c r="M97" s="11"/>
      <c r="N97" s="12">
        <v>45622</v>
      </c>
      <c r="O97" s="89" t="s">
        <v>2086</v>
      </c>
      <c r="P97" s="55">
        <v>46660</v>
      </c>
      <c r="Q97" s="16" t="s">
        <v>83</v>
      </c>
      <c r="R97" s="16" t="s">
        <v>84</v>
      </c>
      <c r="S97" s="21">
        <v>14483.7</v>
      </c>
      <c r="T97" s="21">
        <v>0</v>
      </c>
      <c r="U97" s="21">
        <v>1448.37</v>
      </c>
      <c r="V97" s="147" t="s">
        <v>1751</v>
      </c>
      <c r="W97" s="21">
        <v>2212.4699999999998</v>
      </c>
      <c r="X97" s="147" t="s">
        <v>1745</v>
      </c>
      <c r="Y97" s="21">
        <v>0</v>
      </c>
      <c r="Z97" s="90" t="s">
        <v>85</v>
      </c>
      <c r="AA97" s="55"/>
    </row>
    <row r="98" spans="1:27" x14ac:dyDescent="0.25">
      <c r="A98" s="26">
        <v>8138</v>
      </c>
      <c r="B98" s="106" t="s">
        <v>665</v>
      </c>
      <c r="C98" s="11" t="s">
        <v>2087</v>
      </c>
      <c r="D98" s="55">
        <v>45444</v>
      </c>
      <c r="E98" s="55">
        <v>47082</v>
      </c>
      <c r="F98" s="72" t="s">
        <v>1743</v>
      </c>
      <c r="G98" s="162" t="s">
        <v>942</v>
      </c>
      <c r="H98" s="11"/>
      <c r="I98" s="11"/>
      <c r="J98" s="11"/>
      <c r="K98" s="26"/>
      <c r="L98" s="26" t="s">
        <v>2088</v>
      </c>
      <c r="M98" s="11"/>
      <c r="N98" s="12">
        <v>45622</v>
      </c>
      <c r="O98" s="89" t="s">
        <v>2089</v>
      </c>
      <c r="P98" s="55">
        <v>47082</v>
      </c>
      <c r="Q98" s="16" t="s">
        <v>83</v>
      </c>
      <c r="R98" s="16" t="s">
        <v>84</v>
      </c>
      <c r="S98" s="21">
        <v>13264.5</v>
      </c>
      <c r="T98" s="21">
        <v>0</v>
      </c>
      <c r="U98" s="21">
        <v>1238.8800000000001</v>
      </c>
      <c r="V98" s="147" t="s">
        <v>1751</v>
      </c>
      <c r="W98" s="21">
        <v>2239.2800000000002</v>
      </c>
      <c r="X98" s="147" t="s">
        <v>1745</v>
      </c>
      <c r="Y98" s="21">
        <v>0</v>
      </c>
      <c r="Z98" s="90" t="s">
        <v>85</v>
      </c>
      <c r="AA98" s="55"/>
    </row>
    <row r="99" spans="1:27" x14ac:dyDescent="0.25">
      <c r="A99" s="26">
        <v>8138</v>
      </c>
      <c r="B99" s="106" t="s">
        <v>674</v>
      </c>
      <c r="C99" s="11" t="s">
        <v>2661</v>
      </c>
      <c r="D99" s="55">
        <v>43831</v>
      </c>
      <c r="E99" s="55">
        <v>47422</v>
      </c>
      <c r="F99" s="72" t="s">
        <v>1743</v>
      </c>
      <c r="G99" s="162" t="s">
        <v>937</v>
      </c>
      <c r="H99" s="11"/>
      <c r="I99" s="11"/>
      <c r="J99" s="11"/>
      <c r="K99" s="26"/>
      <c r="L99" s="26" t="s">
        <v>2662</v>
      </c>
      <c r="M99" s="11"/>
      <c r="N99" s="12"/>
      <c r="O99" s="89" t="s">
        <v>2663</v>
      </c>
      <c r="P99" s="55">
        <v>47422</v>
      </c>
      <c r="Q99" s="16" t="s">
        <v>83</v>
      </c>
      <c r="R99" s="16" t="s">
        <v>84</v>
      </c>
      <c r="S99" s="21">
        <v>10641.91</v>
      </c>
      <c r="T99" s="21">
        <v>0</v>
      </c>
      <c r="U99" s="21">
        <v>1064.19</v>
      </c>
      <c r="V99" s="147" t="s">
        <v>1751</v>
      </c>
      <c r="W99" s="21">
        <v>532.1</v>
      </c>
      <c r="X99" s="147" t="s">
        <v>1846</v>
      </c>
      <c r="Y99" s="21">
        <v>0</v>
      </c>
      <c r="Z99" s="90"/>
      <c r="AA99" s="55"/>
    </row>
    <row r="100" spans="1:27" x14ac:dyDescent="0.25">
      <c r="A100" s="26">
        <v>8138</v>
      </c>
      <c r="B100" s="106" t="s">
        <v>679</v>
      </c>
      <c r="C100" s="11" t="s">
        <v>2093</v>
      </c>
      <c r="D100" s="55">
        <v>43466</v>
      </c>
      <c r="E100" s="55">
        <v>46691</v>
      </c>
      <c r="F100" s="72" t="s">
        <v>1743</v>
      </c>
      <c r="G100" s="162" t="s">
        <v>946</v>
      </c>
      <c r="H100" s="11"/>
      <c r="I100" s="11"/>
      <c r="J100" s="11"/>
      <c r="K100" s="26"/>
      <c r="L100" s="26" t="s">
        <v>2094</v>
      </c>
      <c r="M100" s="11"/>
      <c r="N100" s="12">
        <v>45622</v>
      </c>
      <c r="O100" s="89" t="s">
        <v>2095</v>
      </c>
      <c r="P100" s="55">
        <v>46691</v>
      </c>
      <c r="Q100" s="16" t="s">
        <v>83</v>
      </c>
      <c r="R100" s="16" t="s">
        <v>84</v>
      </c>
      <c r="S100" s="21">
        <v>2072.6</v>
      </c>
      <c r="T100" s="21">
        <v>0</v>
      </c>
      <c r="U100" s="21">
        <v>207.26</v>
      </c>
      <c r="V100" s="147" t="s">
        <v>1751</v>
      </c>
      <c r="W100" s="21">
        <v>523.77</v>
      </c>
      <c r="X100" s="147" t="s">
        <v>1745</v>
      </c>
      <c r="Y100" s="21">
        <v>0</v>
      </c>
      <c r="Z100" s="90" t="s">
        <v>85</v>
      </c>
      <c r="AA100" s="55"/>
    </row>
    <row r="101" spans="1:27" x14ac:dyDescent="0.25">
      <c r="A101" s="26">
        <v>8138</v>
      </c>
      <c r="B101" s="106" t="s">
        <v>684</v>
      </c>
      <c r="C101" s="11" t="s">
        <v>2096</v>
      </c>
      <c r="D101" s="55">
        <v>44105</v>
      </c>
      <c r="E101" s="55">
        <v>46866</v>
      </c>
      <c r="F101" s="72" t="s">
        <v>1743</v>
      </c>
      <c r="G101" s="162" t="s">
        <v>934</v>
      </c>
      <c r="H101" s="11"/>
      <c r="I101" s="11"/>
      <c r="J101" s="11"/>
      <c r="K101" s="26"/>
      <c r="L101" s="26" t="s">
        <v>2097</v>
      </c>
      <c r="M101" s="11"/>
      <c r="N101" s="12">
        <v>45622</v>
      </c>
      <c r="O101" s="89" t="s">
        <v>2098</v>
      </c>
      <c r="P101" s="55">
        <v>46866</v>
      </c>
      <c r="Q101" s="16" t="s">
        <v>83</v>
      </c>
      <c r="R101" s="16" t="s">
        <v>84</v>
      </c>
      <c r="S101" s="21">
        <v>7202.54</v>
      </c>
      <c r="T101" s="21">
        <v>0</v>
      </c>
      <c r="U101" s="21">
        <v>720.25</v>
      </c>
      <c r="V101" s="147" t="s">
        <v>1751</v>
      </c>
      <c r="W101" s="21">
        <v>1424.7</v>
      </c>
      <c r="X101" s="147" t="s">
        <v>1745</v>
      </c>
      <c r="Y101" s="21">
        <v>0</v>
      </c>
      <c r="Z101" s="90" t="s">
        <v>85</v>
      </c>
      <c r="AA101" s="55"/>
    </row>
    <row r="102" spans="1:27" x14ac:dyDescent="0.25">
      <c r="A102" s="26">
        <v>8138</v>
      </c>
      <c r="B102" s="106" t="s">
        <v>689</v>
      </c>
      <c r="C102" s="11" t="s">
        <v>2099</v>
      </c>
      <c r="D102" s="55">
        <v>45444</v>
      </c>
      <c r="E102" s="55">
        <v>46403</v>
      </c>
      <c r="F102" s="72" t="s">
        <v>1743</v>
      </c>
      <c r="G102" s="162" t="s">
        <v>948</v>
      </c>
      <c r="H102" s="11"/>
      <c r="I102" s="11"/>
      <c r="J102" s="11"/>
      <c r="K102" s="26"/>
      <c r="L102" s="26" t="s">
        <v>2100</v>
      </c>
      <c r="M102" s="11"/>
      <c r="N102" s="12">
        <v>45622</v>
      </c>
      <c r="O102" s="89" t="s">
        <v>2101</v>
      </c>
      <c r="P102" s="55">
        <v>46403</v>
      </c>
      <c r="Q102" s="16" t="s">
        <v>83</v>
      </c>
      <c r="R102" s="16" t="s">
        <v>84</v>
      </c>
      <c r="S102" s="21">
        <v>6997.08</v>
      </c>
      <c r="T102" s="21">
        <v>0</v>
      </c>
      <c r="U102" s="21">
        <v>0</v>
      </c>
      <c r="V102" s="147" t="s">
        <v>1755</v>
      </c>
      <c r="W102" s="21">
        <v>0</v>
      </c>
      <c r="X102" s="147" t="s">
        <v>1846</v>
      </c>
      <c r="Y102" s="21">
        <v>0</v>
      </c>
      <c r="Z102" s="90" t="s">
        <v>85</v>
      </c>
      <c r="AA102" s="55"/>
    </row>
    <row r="103" spans="1:27" x14ac:dyDescent="0.25">
      <c r="A103" s="26">
        <v>8138</v>
      </c>
      <c r="B103" s="106" t="s">
        <v>698</v>
      </c>
      <c r="C103" s="11" t="s">
        <v>2105</v>
      </c>
      <c r="D103" s="55">
        <v>43466</v>
      </c>
      <c r="E103" s="55">
        <v>46112</v>
      </c>
      <c r="F103" s="72" t="s">
        <v>1743</v>
      </c>
      <c r="G103" s="162" t="s">
        <v>956</v>
      </c>
      <c r="H103" s="11"/>
      <c r="I103" s="11"/>
      <c r="J103" s="11"/>
      <c r="K103" s="26"/>
      <c r="L103" s="26" t="s">
        <v>2106</v>
      </c>
      <c r="M103" s="11"/>
      <c r="N103" s="12">
        <v>45622</v>
      </c>
      <c r="O103" s="89" t="s">
        <v>2107</v>
      </c>
      <c r="P103" s="55">
        <v>46112</v>
      </c>
      <c r="Q103" s="16" t="s">
        <v>83</v>
      </c>
      <c r="R103" s="16" t="s">
        <v>133</v>
      </c>
      <c r="S103" s="21">
        <v>13532</v>
      </c>
      <c r="T103" s="21">
        <v>0</v>
      </c>
      <c r="U103" s="21">
        <v>0</v>
      </c>
      <c r="V103" s="147" t="s">
        <v>1755</v>
      </c>
      <c r="W103" s="21">
        <v>2088.92</v>
      </c>
      <c r="X103" s="147" t="s">
        <v>1745</v>
      </c>
      <c r="Y103" s="21">
        <v>0</v>
      </c>
      <c r="Z103" s="90" t="s">
        <v>85</v>
      </c>
      <c r="AA103" s="55"/>
    </row>
    <row r="104" spans="1:27" x14ac:dyDescent="0.25">
      <c r="A104" s="26">
        <v>8138</v>
      </c>
      <c r="B104" s="106" t="s">
        <v>707</v>
      </c>
      <c r="C104" s="11" t="s">
        <v>2108</v>
      </c>
      <c r="D104" s="55">
        <v>43466</v>
      </c>
      <c r="E104" s="55">
        <v>47087</v>
      </c>
      <c r="F104" s="72" t="s">
        <v>1743</v>
      </c>
      <c r="G104" s="162" t="s">
        <v>628</v>
      </c>
      <c r="H104" s="11"/>
      <c r="I104" s="11"/>
      <c r="J104" s="11"/>
      <c r="K104" s="26"/>
      <c r="L104" s="26" t="s">
        <v>2109</v>
      </c>
      <c r="M104" s="11"/>
      <c r="N104" s="12">
        <v>45622</v>
      </c>
      <c r="O104" s="89" t="s">
        <v>2110</v>
      </c>
      <c r="P104" s="55">
        <v>47087</v>
      </c>
      <c r="Q104" s="16" t="s">
        <v>83</v>
      </c>
      <c r="R104" s="16" t="s">
        <v>84</v>
      </c>
      <c r="S104" s="21">
        <v>4413.09</v>
      </c>
      <c r="T104" s="21">
        <v>0</v>
      </c>
      <c r="U104" s="21">
        <v>0</v>
      </c>
      <c r="V104" s="147" t="s">
        <v>1755</v>
      </c>
      <c r="W104" s="21">
        <v>650.66</v>
      </c>
      <c r="X104" s="147" t="s">
        <v>1745</v>
      </c>
      <c r="Y104" s="21">
        <v>0</v>
      </c>
      <c r="Z104" s="90" t="s">
        <v>85</v>
      </c>
      <c r="AA104" s="55"/>
    </row>
    <row r="105" spans="1:27" x14ac:dyDescent="0.25">
      <c r="A105" s="26">
        <v>8138</v>
      </c>
      <c r="B105" s="106" t="s">
        <v>711</v>
      </c>
      <c r="C105" s="11" t="s">
        <v>2111</v>
      </c>
      <c r="D105" s="55">
        <v>43466</v>
      </c>
      <c r="E105" s="55">
        <v>47087</v>
      </c>
      <c r="F105" s="72" t="s">
        <v>1743</v>
      </c>
      <c r="G105" s="162" t="s">
        <v>634</v>
      </c>
      <c r="H105" s="11"/>
      <c r="I105" s="11"/>
      <c r="J105" s="11"/>
      <c r="K105" s="26"/>
      <c r="L105" s="26" t="s">
        <v>2112</v>
      </c>
      <c r="M105" s="11"/>
      <c r="N105" s="12">
        <v>45622</v>
      </c>
      <c r="O105" s="89" t="s">
        <v>2113</v>
      </c>
      <c r="P105" s="55">
        <v>47087</v>
      </c>
      <c r="Q105" s="16" t="s">
        <v>83</v>
      </c>
      <c r="R105" s="16" t="s">
        <v>84</v>
      </c>
      <c r="S105" s="21">
        <v>3064.82</v>
      </c>
      <c r="T105" s="21">
        <v>0</v>
      </c>
      <c r="U105" s="21">
        <v>0</v>
      </c>
      <c r="V105" s="147" t="s">
        <v>1755</v>
      </c>
      <c r="W105" s="21">
        <v>564.84</v>
      </c>
      <c r="X105" s="147" t="s">
        <v>1745</v>
      </c>
      <c r="Y105" s="21">
        <v>0</v>
      </c>
      <c r="Z105" s="90" t="s">
        <v>85</v>
      </c>
      <c r="AA105" s="55"/>
    </row>
    <row r="106" spans="1:27" x14ac:dyDescent="0.25">
      <c r="A106" s="26">
        <v>8138</v>
      </c>
      <c r="B106" s="106" t="s">
        <v>715</v>
      </c>
      <c r="C106" s="11" t="s">
        <v>2114</v>
      </c>
      <c r="D106" s="55">
        <v>43466</v>
      </c>
      <c r="E106" s="55">
        <v>47087</v>
      </c>
      <c r="F106" s="72" t="s">
        <v>1743</v>
      </c>
      <c r="G106" s="162" t="s">
        <v>639</v>
      </c>
      <c r="H106" s="11"/>
      <c r="I106" s="11"/>
      <c r="J106" s="11"/>
      <c r="K106" s="26"/>
      <c r="L106" s="26" t="s">
        <v>2115</v>
      </c>
      <c r="M106" s="11"/>
      <c r="N106" s="12">
        <v>45622</v>
      </c>
      <c r="O106" s="89" t="s">
        <v>2116</v>
      </c>
      <c r="P106" s="55">
        <v>47087</v>
      </c>
      <c r="Q106" s="16" t="s">
        <v>83</v>
      </c>
      <c r="R106" s="16" t="s">
        <v>84</v>
      </c>
      <c r="S106" s="21">
        <v>2458.71</v>
      </c>
      <c r="T106" s="21">
        <v>0</v>
      </c>
      <c r="U106" s="21">
        <v>0</v>
      </c>
      <c r="V106" s="147" t="s">
        <v>1755</v>
      </c>
      <c r="W106" s="21">
        <v>659.1</v>
      </c>
      <c r="X106" s="147" t="s">
        <v>1745</v>
      </c>
      <c r="Y106" s="21">
        <v>0</v>
      </c>
      <c r="Z106" s="90" t="s">
        <v>85</v>
      </c>
      <c r="AA106" s="55"/>
    </row>
    <row r="107" spans="1:27" x14ac:dyDescent="0.25">
      <c r="A107" s="26">
        <v>8138</v>
      </c>
      <c r="B107" s="106" t="s">
        <v>1734</v>
      </c>
      <c r="C107" s="11" t="s">
        <v>2120</v>
      </c>
      <c r="D107" s="55">
        <v>43466</v>
      </c>
      <c r="E107" s="55">
        <v>47087</v>
      </c>
      <c r="F107" s="72" t="s">
        <v>1743</v>
      </c>
      <c r="G107" s="162" t="s">
        <v>649</v>
      </c>
      <c r="H107" s="11"/>
      <c r="I107" s="11"/>
      <c r="J107" s="11"/>
      <c r="K107" s="26"/>
      <c r="L107" s="26" t="s">
        <v>2121</v>
      </c>
      <c r="M107" s="11"/>
      <c r="N107" s="12">
        <v>45622</v>
      </c>
      <c r="O107" s="89" t="s">
        <v>2122</v>
      </c>
      <c r="P107" s="55">
        <v>47087</v>
      </c>
      <c r="Q107" s="16" t="s">
        <v>83</v>
      </c>
      <c r="R107" s="16" t="s">
        <v>84</v>
      </c>
      <c r="S107" s="21">
        <v>5669.7</v>
      </c>
      <c r="T107" s="21">
        <v>0</v>
      </c>
      <c r="U107" s="21">
        <v>0</v>
      </c>
      <c r="V107" s="147" t="s">
        <v>1755</v>
      </c>
      <c r="W107" s="21">
        <v>597.1</v>
      </c>
      <c r="X107" s="147" t="s">
        <v>1745</v>
      </c>
      <c r="Y107" s="21">
        <v>0</v>
      </c>
      <c r="Z107" s="90" t="s">
        <v>85</v>
      </c>
      <c r="AA107" s="55"/>
    </row>
    <row r="108" spans="1:27" x14ac:dyDescent="0.25">
      <c r="A108" s="26">
        <v>8138</v>
      </c>
      <c r="B108" s="106" t="s">
        <v>731</v>
      </c>
      <c r="C108" s="11" t="s">
        <v>2126</v>
      </c>
      <c r="D108" s="55">
        <v>43466</v>
      </c>
      <c r="E108" s="55">
        <v>47087</v>
      </c>
      <c r="F108" s="72" t="s">
        <v>1743</v>
      </c>
      <c r="G108" s="162" t="s">
        <v>667</v>
      </c>
      <c r="H108" s="11"/>
      <c r="I108" s="11"/>
      <c r="J108" s="11"/>
      <c r="K108" s="26"/>
      <c r="L108" s="26" t="s">
        <v>2127</v>
      </c>
      <c r="M108" s="11"/>
      <c r="N108" s="12">
        <v>45622</v>
      </c>
      <c r="O108" s="89" t="s">
        <v>2128</v>
      </c>
      <c r="P108" s="55">
        <v>47087</v>
      </c>
      <c r="Q108" s="16" t="s">
        <v>83</v>
      </c>
      <c r="R108" s="16" t="s">
        <v>84</v>
      </c>
      <c r="S108" s="21">
        <v>4322.46</v>
      </c>
      <c r="T108" s="21">
        <v>0</v>
      </c>
      <c r="U108" s="21">
        <v>0</v>
      </c>
      <c r="V108" s="147" t="s">
        <v>1755</v>
      </c>
      <c r="W108" s="21">
        <v>455.21</v>
      </c>
      <c r="X108" s="147" t="s">
        <v>1745</v>
      </c>
      <c r="Y108" s="21">
        <v>0</v>
      </c>
      <c r="Z108" s="90" t="s">
        <v>85</v>
      </c>
      <c r="AA108" s="55"/>
    </row>
    <row r="109" spans="1:27" x14ac:dyDescent="0.25">
      <c r="A109" s="26">
        <v>8138</v>
      </c>
      <c r="B109" s="106" t="s">
        <v>735</v>
      </c>
      <c r="C109" s="11" t="s">
        <v>2129</v>
      </c>
      <c r="D109" s="55">
        <v>43497</v>
      </c>
      <c r="E109" s="55">
        <v>47087</v>
      </c>
      <c r="F109" s="72" t="s">
        <v>1743</v>
      </c>
      <c r="G109" s="162" t="s">
        <v>950</v>
      </c>
      <c r="H109" s="11"/>
      <c r="I109" s="11"/>
      <c r="J109" s="11"/>
      <c r="K109" s="26"/>
      <c r="L109" s="26" t="s">
        <v>2130</v>
      </c>
      <c r="M109" s="11"/>
      <c r="N109" s="12">
        <v>45622</v>
      </c>
      <c r="O109" s="89" t="s">
        <v>2131</v>
      </c>
      <c r="P109" s="55">
        <v>47087</v>
      </c>
      <c r="Q109" s="16" t="s">
        <v>83</v>
      </c>
      <c r="R109" s="16" t="s">
        <v>84</v>
      </c>
      <c r="S109" s="21">
        <v>3124.78</v>
      </c>
      <c r="T109" s="21">
        <v>0</v>
      </c>
      <c r="U109" s="21">
        <v>0</v>
      </c>
      <c r="V109" s="147" t="s">
        <v>1755</v>
      </c>
      <c r="W109" s="21">
        <v>833.92</v>
      </c>
      <c r="X109" s="147" t="s">
        <v>1745</v>
      </c>
      <c r="Y109" s="21">
        <v>0</v>
      </c>
      <c r="Z109" s="90" t="s">
        <v>85</v>
      </c>
      <c r="AA109" s="55"/>
    </row>
    <row r="110" spans="1:27" x14ac:dyDescent="0.25">
      <c r="A110" s="26">
        <v>8138</v>
      </c>
      <c r="B110" s="106" t="s">
        <v>740</v>
      </c>
      <c r="C110" s="11" t="s">
        <v>2132</v>
      </c>
      <c r="D110" s="55">
        <v>43466</v>
      </c>
      <c r="E110" s="55">
        <v>47087</v>
      </c>
      <c r="F110" s="72" t="s">
        <v>1743</v>
      </c>
      <c r="G110" s="162" t="s">
        <v>3612</v>
      </c>
      <c r="H110" s="11"/>
      <c r="I110" s="11"/>
      <c r="J110" s="11"/>
      <c r="K110" s="26"/>
      <c r="L110" s="26" t="s">
        <v>2133</v>
      </c>
      <c r="M110" s="11"/>
      <c r="N110" s="12">
        <v>45622</v>
      </c>
      <c r="O110" s="89" t="s">
        <v>2134</v>
      </c>
      <c r="P110" s="55">
        <v>47087</v>
      </c>
      <c r="Q110" s="16" t="s">
        <v>83</v>
      </c>
      <c r="R110" s="16" t="s">
        <v>84</v>
      </c>
      <c r="S110" s="21">
        <v>5189.1899999999996</v>
      </c>
      <c r="T110" s="21">
        <v>0</v>
      </c>
      <c r="U110" s="21">
        <v>0</v>
      </c>
      <c r="V110" s="147" t="s">
        <v>1755</v>
      </c>
      <c r="W110" s="21">
        <v>765.09</v>
      </c>
      <c r="X110" s="147" t="s">
        <v>1745</v>
      </c>
      <c r="Y110" s="21">
        <v>0</v>
      </c>
      <c r="Z110" s="90" t="s">
        <v>85</v>
      </c>
      <c r="AA110" s="55"/>
    </row>
    <row r="111" spans="1:27" x14ac:dyDescent="0.25">
      <c r="A111" s="26">
        <v>8138</v>
      </c>
      <c r="B111" s="106" t="s">
        <v>744</v>
      </c>
      <c r="C111" s="11" t="s">
        <v>2135</v>
      </c>
      <c r="D111" s="55">
        <v>43466</v>
      </c>
      <c r="E111" s="55">
        <v>47087</v>
      </c>
      <c r="F111" s="72" t="s">
        <v>1743</v>
      </c>
      <c r="G111" s="162" t="s">
        <v>3613</v>
      </c>
      <c r="H111" s="11"/>
      <c r="I111" s="11"/>
      <c r="J111" s="11"/>
      <c r="K111" s="26"/>
      <c r="L111" s="26" t="s">
        <v>2136</v>
      </c>
      <c r="M111" s="11"/>
      <c r="N111" s="12">
        <v>45622</v>
      </c>
      <c r="O111" s="89" t="s">
        <v>2137</v>
      </c>
      <c r="P111" s="55">
        <v>47087</v>
      </c>
      <c r="Q111" s="16" t="s">
        <v>83</v>
      </c>
      <c r="R111" s="16" t="s">
        <v>84</v>
      </c>
      <c r="S111" s="21">
        <v>6519.25</v>
      </c>
      <c r="T111" s="21">
        <v>0</v>
      </c>
      <c r="U111" s="21">
        <v>0</v>
      </c>
      <c r="V111" s="147" t="s">
        <v>1755</v>
      </c>
      <c r="W111" s="21">
        <v>701.62</v>
      </c>
      <c r="X111" s="147" t="s">
        <v>1745</v>
      </c>
      <c r="Y111" s="21"/>
      <c r="Z111" s="90" t="s">
        <v>85</v>
      </c>
      <c r="AA111" s="55"/>
    </row>
    <row r="112" spans="1:27" x14ac:dyDescent="0.25">
      <c r="A112" s="26">
        <v>8138</v>
      </c>
      <c r="B112" s="106" t="s">
        <v>748</v>
      </c>
      <c r="C112" s="11" t="s">
        <v>2138</v>
      </c>
      <c r="D112" s="55">
        <v>43466</v>
      </c>
      <c r="E112" s="55">
        <v>47087</v>
      </c>
      <c r="F112" s="72" t="s">
        <v>1743</v>
      </c>
      <c r="G112" s="162" t="s">
        <v>3614</v>
      </c>
      <c r="H112" s="11"/>
      <c r="I112" s="11"/>
      <c r="J112" s="11"/>
      <c r="K112" s="26"/>
      <c r="L112" s="26" t="s">
        <v>2139</v>
      </c>
      <c r="M112" s="11"/>
      <c r="N112" s="12">
        <v>45622</v>
      </c>
      <c r="O112" s="89" t="s">
        <v>2140</v>
      </c>
      <c r="P112" s="55">
        <v>47087</v>
      </c>
      <c r="Q112" s="16" t="s">
        <v>83</v>
      </c>
      <c r="R112" s="16" t="s">
        <v>84</v>
      </c>
      <c r="S112" s="21">
        <v>2239.56</v>
      </c>
      <c r="T112" s="21">
        <v>0</v>
      </c>
      <c r="U112" s="21">
        <v>0</v>
      </c>
      <c r="V112" s="147" t="s">
        <v>1755</v>
      </c>
      <c r="W112" s="21">
        <v>600.36</v>
      </c>
      <c r="X112" s="147" t="s">
        <v>1745</v>
      </c>
      <c r="Y112" s="21">
        <v>0</v>
      </c>
      <c r="Z112" s="90" t="s">
        <v>85</v>
      </c>
      <c r="AA112" s="55"/>
    </row>
    <row r="113" spans="1:27" x14ac:dyDescent="0.25">
      <c r="A113" s="26">
        <v>8138</v>
      </c>
      <c r="B113" s="106" t="s">
        <v>752</v>
      </c>
      <c r="C113" s="11" t="s">
        <v>2141</v>
      </c>
      <c r="D113" s="55">
        <v>43466</v>
      </c>
      <c r="E113" s="55">
        <v>47087</v>
      </c>
      <c r="F113" s="72" t="s">
        <v>1743</v>
      </c>
      <c r="G113" s="162" t="s">
        <v>3615</v>
      </c>
      <c r="H113" s="11"/>
      <c r="I113" s="11"/>
      <c r="J113" s="11"/>
      <c r="K113" s="26"/>
      <c r="L113" s="26" t="s">
        <v>2142</v>
      </c>
      <c r="M113" s="11"/>
      <c r="N113" s="12">
        <v>45622</v>
      </c>
      <c r="O113" s="89" t="s">
        <v>2143</v>
      </c>
      <c r="P113" s="55">
        <v>47087</v>
      </c>
      <c r="Q113" s="16" t="s">
        <v>83</v>
      </c>
      <c r="R113" s="16" t="s">
        <v>84</v>
      </c>
      <c r="S113" s="21">
        <v>1997.48</v>
      </c>
      <c r="T113" s="21">
        <v>0</v>
      </c>
      <c r="U113" s="21">
        <v>0</v>
      </c>
      <c r="V113" s="147" t="s">
        <v>1755</v>
      </c>
      <c r="W113" s="21">
        <v>535.46</v>
      </c>
      <c r="X113" s="147" t="s">
        <v>1745</v>
      </c>
      <c r="Y113" s="21">
        <v>0</v>
      </c>
      <c r="Z113" s="90" t="s">
        <v>85</v>
      </c>
      <c r="AA113" s="55"/>
    </row>
    <row r="114" spans="1:27" x14ac:dyDescent="0.25">
      <c r="A114" s="26">
        <v>8138</v>
      </c>
      <c r="B114" s="106" t="s">
        <v>756</v>
      </c>
      <c r="C114" s="11" t="s">
        <v>2144</v>
      </c>
      <c r="D114" s="55">
        <v>43466</v>
      </c>
      <c r="E114" s="55">
        <v>47087</v>
      </c>
      <c r="F114" s="72" t="s">
        <v>1743</v>
      </c>
      <c r="G114" s="162" t="s">
        <v>3616</v>
      </c>
      <c r="H114" s="11"/>
      <c r="I114" s="11"/>
      <c r="J114" s="11"/>
      <c r="K114" s="26"/>
      <c r="L114" s="26" t="s">
        <v>2145</v>
      </c>
      <c r="M114" s="11"/>
      <c r="N114" s="12">
        <v>45622</v>
      </c>
      <c r="O114" s="89" t="s">
        <v>2146</v>
      </c>
      <c r="P114" s="55">
        <v>47087</v>
      </c>
      <c r="Q114" s="16" t="s">
        <v>83</v>
      </c>
      <c r="R114" s="16" t="s">
        <v>84</v>
      </c>
      <c r="S114" s="21">
        <v>4854.79</v>
      </c>
      <c r="T114" s="21">
        <v>0</v>
      </c>
      <c r="U114" s="21">
        <v>0</v>
      </c>
      <c r="V114" s="147" t="s">
        <v>1755</v>
      </c>
      <c r="W114" s="21">
        <v>511.27</v>
      </c>
      <c r="X114" s="147" t="s">
        <v>1745</v>
      </c>
      <c r="Y114" s="21">
        <v>0</v>
      </c>
      <c r="Z114" s="90" t="s">
        <v>85</v>
      </c>
      <c r="AA114" s="55"/>
    </row>
    <row r="115" spans="1:27" x14ac:dyDescent="0.25">
      <c r="A115" s="26">
        <v>8138</v>
      </c>
      <c r="B115" s="106" t="s">
        <v>764</v>
      </c>
      <c r="C115" s="11" t="s">
        <v>2150</v>
      </c>
      <c r="D115" s="55">
        <v>43466</v>
      </c>
      <c r="E115" s="55">
        <v>47087</v>
      </c>
      <c r="F115" s="72" t="s">
        <v>1743</v>
      </c>
      <c r="G115" s="162" t="s">
        <v>676</v>
      </c>
      <c r="H115" s="11"/>
      <c r="I115" s="11"/>
      <c r="J115" s="11"/>
      <c r="K115" s="26"/>
      <c r="L115" s="26" t="s">
        <v>2151</v>
      </c>
      <c r="M115" s="11"/>
      <c r="N115" s="12">
        <v>45622</v>
      </c>
      <c r="O115" s="89" t="s">
        <v>2152</v>
      </c>
      <c r="P115" s="55">
        <v>47087</v>
      </c>
      <c r="Q115" s="16" t="s">
        <v>83</v>
      </c>
      <c r="R115" s="16" t="s">
        <v>84</v>
      </c>
      <c r="S115" s="21">
        <v>3952.12</v>
      </c>
      <c r="T115" s="21">
        <v>0</v>
      </c>
      <c r="U115" s="21">
        <v>0</v>
      </c>
      <c r="V115" s="147" t="s">
        <v>1755</v>
      </c>
      <c r="W115" s="21">
        <v>582.70000000000005</v>
      </c>
      <c r="X115" s="147" t="s">
        <v>1745</v>
      </c>
      <c r="Y115" s="21">
        <v>0</v>
      </c>
      <c r="Z115" s="90" t="s">
        <v>85</v>
      </c>
      <c r="AA115" s="55"/>
    </row>
    <row r="116" spans="1:27" x14ac:dyDescent="0.25">
      <c r="A116" s="26">
        <v>8138</v>
      </c>
      <c r="B116" s="106" t="s">
        <v>776</v>
      </c>
      <c r="C116" s="11" t="s">
        <v>2156</v>
      </c>
      <c r="D116" s="55">
        <v>43466</v>
      </c>
      <c r="E116" s="55">
        <v>47087</v>
      </c>
      <c r="F116" s="72" t="s">
        <v>1743</v>
      </c>
      <c r="G116" s="162" t="s">
        <v>686</v>
      </c>
      <c r="H116" s="11"/>
      <c r="I116" s="11"/>
      <c r="J116" s="11"/>
      <c r="K116" s="26"/>
      <c r="L116" s="26" t="s">
        <v>2157</v>
      </c>
      <c r="M116" s="11"/>
      <c r="N116" s="12">
        <v>45622</v>
      </c>
      <c r="O116" s="89" t="s">
        <v>2158</v>
      </c>
      <c r="P116" s="55">
        <v>47087</v>
      </c>
      <c r="Q116" s="16" t="s">
        <v>83</v>
      </c>
      <c r="R116" s="16" t="s">
        <v>84</v>
      </c>
      <c r="S116" s="21">
        <v>3551.04</v>
      </c>
      <c r="T116" s="21">
        <v>0</v>
      </c>
      <c r="U116" s="21">
        <v>0</v>
      </c>
      <c r="V116" s="147" t="s">
        <v>1755</v>
      </c>
      <c r="W116" s="21">
        <v>523.55999999999995</v>
      </c>
      <c r="X116" s="147" t="s">
        <v>1745</v>
      </c>
      <c r="Y116" s="21">
        <v>0</v>
      </c>
      <c r="Z116" s="90" t="s">
        <v>85</v>
      </c>
      <c r="AA116" s="55"/>
    </row>
    <row r="117" spans="1:27" x14ac:dyDescent="0.25">
      <c r="A117" s="26">
        <v>8138</v>
      </c>
      <c r="B117" s="106" t="s">
        <v>790</v>
      </c>
      <c r="C117" s="11" t="s">
        <v>2165</v>
      </c>
      <c r="D117" s="55">
        <v>45536</v>
      </c>
      <c r="E117" s="55">
        <v>47087</v>
      </c>
      <c r="F117" s="72" t="s">
        <v>1743</v>
      </c>
      <c r="G117" s="162" t="s">
        <v>700</v>
      </c>
      <c r="H117" s="11"/>
      <c r="I117" s="11"/>
      <c r="J117" s="11"/>
      <c r="K117" s="26"/>
      <c r="L117" s="26" t="s">
        <v>2166</v>
      </c>
      <c r="M117" s="11"/>
      <c r="N117" s="12">
        <v>45622</v>
      </c>
      <c r="O117" s="89" t="s">
        <v>2167</v>
      </c>
      <c r="P117" s="55">
        <v>47087</v>
      </c>
      <c r="Q117" s="16" t="s">
        <v>83</v>
      </c>
      <c r="R117" s="16" t="s">
        <v>84</v>
      </c>
      <c r="S117" s="21">
        <v>6836.46</v>
      </c>
      <c r="T117" s="21">
        <v>0</v>
      </c>
      <c r="U117" s="21">
        <v>0</v>
      </c>
      <c r="V117" s="147" t="s">
        <v>1755</v>
      </c>
      <c r="W117" s="21">
        <v>708.6</v>
      </c>
      <c r="X117" s="147" t="s">
        <v>1745</v>
      </c>
      <c r="Y117" s="21">
        <v>0</v>
      </c>
      <c r="Z117" s="90" t="s">
        <v>85</v>
      </c>
      <c r="AA117" s="55"/>
    </row>
    <row r="118" spans="1:27" x14ac:dyDescent="0.25">
      <c r="A118" s="26">
        <v>8138</v>
      </c>
      <c r="B118" s="106" t="s">
        <v>794</v>
      </c>
      <c r="C118" s="11" t="s">
        <v>2168</v>
      </c>
      <c r="D118" s="55">
        <v>45444</v>
      </c>
      <c r="E118" s="55">
        <v>46812</v>
      </c>
      <c r="F118" s="72" t="s">
        <v>1743</v>
      </c>
      <c r="G118" s="162" t="s">
        <v>3617</v>
      </c>
      <c r="H118" s="11"/>
      <c r="I118" s="11"/>
      <c r="J118" s="11"/>
      <c r="K118" s="26"/>
      <c r="L118" s="26" t="s">
        <v>2169</v>
      </c>
      <c r="M118" s="11"/>
      <c r="N118" s="12">
        <v>45622</v>
      </c>
      <c r="O118" s="89" t="s">
        <v>2170</v>
      </c>
      <c r="P118" s="55">
        <v>46812</v>
      </c>
      <c r="Q118" s="16" t="s">
        <v>83</v>
      </c>
      <c r="R118" s="16" t="s">
        <v>84</v>
      </c>
      <c r="S118" s="21">
        <v>16985.95</v>
      </c>
      <c r="T118" s="21">
        <v>0</v>
      </c>
      <c r="U118" s="21">
        <v>0</v>
      </c>
      <c r="V118" s="147" t="s">
        <v>1751</v>
      </c>
      <c r="W118" s="21">
        <v>0</v>
      </c>
      <c r="X118" s="147" t="s">
        <v>1846</v>
      </c>
      <c r="Y118" s="21">
        <v>0</v>
      </c>
      <c r="Z118" s="90" t="s">
        <v>85</v>
      </c>
      <c r="AA118" s="55"/>
    </row>
    <row r="119" spans="1:27" x14ac:dyDescent="0.25">
      <c r="A119" s="26">
        <v>8138</v>
      </c>
      <c r="B119" s="106" t="s">
        <v>798</v>
      </c>
      <c r="C119" s="11" t="s">
        <v>2171</v>
      </c>
      <c r="D119" s="55">
        <v>45444</v>
      </c>
      <c r="E119" s="55">
        <v>47817</v>
      </c>
      <c r="F119" s="72" t="s">
        <v>1743</v>
      </c>
      <c r="G119" s="162" t="s">
        <v>3618</v>
      </c>
      <c r="H119" s="11"/>
      <c r="I119" s="11"/>
      <c r="J119" s="11"/>
      <c r="K119" s="26"/>
      <c r="L119" s="26" t="s">
        <v>2172</v>
      </c>
      <c r="M119" s="11"/>
      <c r="N119" s="12">
        <v>45622</v>
      </c>
      <c r="O119" s="89" t="s">
        <v>2173</v>
      </c>
      <c r="P119" s="55">
        <v>47817</v>
      </c>
      <c r="Q119" s="16" t="s">
        <v>83</v>
      </c>
      <c r="R119" s="16" t="s">
        <v>84</v>
      </c>
      <c r="S119" s="21">
        <v>6856.07</v>
      </c>
      <c r="T119" s="21">
        <v>0</v>
      </c>
      <c r="U119" s="21">
        <v>0</v>
      </c>
      <c r="V119" s="147" t="s">
        <v>1755</v>
      </c>
      <c r="W119" s="21">
        <v>1117.45</v>
      </c>
      <c r="X119" s="147" t="s">
        <v>1745</v>
      </c>
      <c r="Y119" s="21">
        <v>0</v>
      </c>
      <c r="Z119" s="90" t="s">
        <v>85</v>
      </c>
      <c r="AA119" s="55"/>
    </row>
    <row r="120" spans="1:27" x14ac:dyDescent="0.25">
      <c r="A120" s="26">
        <v>8138</v>
      </c>
      <c r="B120" s="106" t="s">
        <v>802</v>
      </c>
      <c r="C120" s="11" t="s">
        <v>2174</v>
      </c>
      <c r="D120" s="55">
        <v>45444</v>
      </c>
      <c r="E120" s="55">
        <v>46142</v>
      </c>
      <c r="F120" s="72" t="s">
        <v>1743</v>
      </c>
      <c r="G120" s="162" t="s">
        <v>3619</v>
      </c>
      <c r="H120" s="11"/>
      <c r="I120" s="11"/>
      <c r="J120" s="11"/>
      <c r="K120" s="26"/>
      <c r="L120" s="26" t="s">
        <v>2175</v>
      </c>
      <c r="M120" s="11"/>
      <c r="N120" s="12">
        <v>45622</v>
      </c>
      <c r="O120" s="89" t="s">
        <v>2176</v>
      </c>
      <c r="P120" s="55">
        <v>46203</v>
      </c>
      <c r="Q120" s="16" t="s">
        <v>83</v>
      </c>
      <c r="R120" s="16" t="s">
        <v>84</v>
      </c>
      <c r="S120" s="21">
        <v>11370.57</v>
      </c>
      <c r="T120" s="21">
        <v>0</v>
      </c>
      <c r="U120" s="21">
        <v>0</v>
      </c>
      <c r="V120" s="147" t="s">
        <v>1755</v>
      </c>
      <c r="W120" s="21">
        <v>2618.69</v>
      </c>
      <c r="X120" s="147" t="s">
        <v>1745</v>
      </c>
      <c r="Y120" s="21">
        <v>0</v>
      </c>
      <c r="Z120" s="90" t="s">
        <v>85</v>
      </c>
      <c r="AA120" s="55"/>
    </row>
    <row r="121" spans="1:27" x14ac:dyDescent="0.25">
      <c r="A121" s="26">
        <v>8138</v>
      </c>
      <c r="B121" s="106" t="s">
        <v>806</v>
      </c>
      <c r="C121" s="11" t="s">
        <v>2177</v>
      </c>
      <c r="D121" s="55">
        <v>45444</v>
      </c>
      <c r="E121" s="55">
        <v>47026</v>
      </c>
      <c r="F121" s="72" t="s">
        <v>1743</v>
      </c>
      <c r="G121" s="162" t="s">
        <v>3620</v>
      </c>
      <c r="H121" s="11"/>
      <c r="I121" s="11"/>
      <c r="J121" s="11"/>
      <c r="K121" s="26"/>
      <c r="L121" s="26" t="s">
        <v>2178</v>
      </c>
      <c r="M121" s="11"/>
      <c r="N121" s="12">
        <v>45622</v>
      </c>
      <c r="O121" s="89" t="s">
        <v>2179</v>
      </c>
      <c r="P121" s="55">
        <v>47026</v>
      </c>
      <c r="Q121" s="16" t="s">
        <v>83</v>
      </c>
      <c r="R121" s="16" t="s">
        <v>84</v>
      </c>
      <c r="S121" s="21">
        <v>4797.9799999999996</v>
      </c>
      <c r="T121" s="21">
        <v>0</v>
      </c>
      <c r="U121" s="21">
        <v>0</v>
      </c>
      <c r="V121" s="147" t="s">
        <v>1755</v>
      </c>
      <c r="W121" s="21">
        <v>835.7</v>
      </c>
      <c r="X121" s="147" t="s">
        <v>1745</v>
      </c>
      <c r="Y121" s="21">
        <v>0</v>
      </c>
      <c r="Z121" s="90" t="s">
        <v>85</v>
      </c>
      <c r="AA121" s="55"/>
    </row>
    <row r="122" spans="1:27" x14ac:dyDescent="0.25">
      <c r="A122" s="26">
        <v>8138</v>
      </c>
      <c r="B122" s="106" t="s">
        <v>810</v>
      </c>
      <c r="C122" s="11" t="s">
        <v>2180</v>
      </c>
      <c r="D122" s="55">
        <v>43466</v>
      </c>
      <c r="E122" s="55">
        <v>47391</v>
      </c>
      <c r="F122" s="72" t="s">
        <v>1743</v>
      </c>
      <c r="G122" s="162" t="s">
        <v>3621</v>
      </c>
      <c r="H122" s="11"/>
      <c r="I122" s="11"/>
      <c r="J122" s="11"/>
      <c r="K122" s="26"/>
      <c r="L122" s="26" t="s">
        <v>2181</v>
      </c>
      <c r="M122" s="11"/>
      <c r="N122" s="12">
        <v>45622</v>
      </c>
      <c r="O122" s="89" t="s">
        <v>2182</v>
      </c>
      <c r="P122" s="55">
        <v>47391</v>
      </c>
      <c r="Q122" s="16" t="s">
        <v>83</v>
      </c>
      <c r="R122" s="16" t="s">
        <v>84</v>
      </c>
      <c r="S122" s="21">
        <v>11330.31</v>
      </c>
      <c r="T122" s="21">
        <v>0</v>
      </c>
      <c r="U122" s="21">
        <v>0</v>
      </c>
      <c r="V122" s="147" t="s">
        <v>1755</v>
      </c>
      <c r="W122" s="21">
        <v>1684.98</v>
      </c>
      <c r="X122" s="147" t="s">
        <v>1745</v>
      </c>
      <c r="Y122" s="21">
        <v>0</v>
      </c>
      <c r="Z122" s="90" t="s">
        <v>85</v>
      </c>
      <c r="AA122" s="55"/>
    </row>
    <row r="123" spans="1:27" x14ac:dyDescent="0.25">
      <c r="A123" s="26">
        <v>8138</v>
      </c>
      <c r="B123" s="106" t="s">
        <v>814</v>
      </c>
      <c r="C123" s="11" t="s">
        <v>2183</v>
      </c>
      <c r="D123" s="55">
        <v>45444</v>
      </c>
      <c r="E123" s="55">
        <v>46295</v>
      </c>
      <c r="F123" s="72" t="s">
        <v>1743</v>
      </c>
      <c r="G123" s="162" t="s">
        <v>3622</v>
      </c>
      <c r="H123" s="11"/>
      <c r="I123" s="11"/>
      <c r="J123" s="11"/>
      <c r="K123" s="26"/>
      <c r="L123" s="26" t="s">
        <v>2184</v>
      </c>
      <c r="M123" s="11"/>
      <c r="N123" s="12">
        <v>45622</v>
      </c>
      <c r="O123" s="89" t="s">
        <v>2185</v>
      </c>
      <c r="P123" s="55">
        <v>46295</v>
      </c>
      <c r="Q123" s="16" t="s">
        <v>83</v>
      </c>
      <c r="R123" s="16" t="s">
        <v>84</v>
      </c>
      <c r="S123" s="21">
        <v>7472.12</v>
      </c>
      <c r="T123" s="21">
        <v>0</v>
      </c>
      <c r="U123" s="21">
        <v>0</v>
      </c>
      <c r="V123" s="147" t="s">
        <v>1755</v>
      </c>
      <c r="W123" s="21">
        <v>1764.07</v>
      </c>
      <c r="X123" s="147" t="s">
        <v>1745</v>
      </c>
      <c r="Y123" s="21">
        <v>0</v>
      </c>
      <c r="Z123" s="90" t="s">
        <v>85</v>
      </c>
      <c r="AA123" s="55"/>
    </row>
    <row r="124" spans="1:27" x14ac:dyDescent="0.25">
      <c r="A124" s="26">
        <v>8138</v>
      </c>
      <c r="B124" s="106" t="s">
        <v>822</v>
      </c>
      <c r="C124" s="11" t="s">
        <v>2189</v>
      </c>
      <c r="D124" s="55">
        <v>45444</v>
      </c>
      <c r="E124" s="55">
        <v>46599</v>
      </c>
      <c r="F124" s="72" t="s">
        <v>1743</v>
      </c>
      <c r="G124" s="162" t="s">
        <v>3623</v>
      </c>
      <c r="H124" s="11"/>
      <c r="I124" s="11"/>
      <c r="J124" s="11"/>
      <c r="K124" s="26"/>
      <c r="L124" s="26" t="s">
        <v>2190</v>
      </c>
      <c r="M124" s="11"/>
      <c r="N124" s="12">
        <v>45622</v>
      </c>
      <c r="O124" s="89" t="s">
        <v>2191</v>
      </c>
      <c r="P124" s="55">
        <v>45850</v>
      </c>
      <c r="Q124" s="16" t="s">
        <v>83</v>
      </c>
      <c r="R124" s="16" t="s">
        <v>84</v>
      </c>
      <c r="S124" s="21">
        <v>6591.42</v>
      </c>
      <c r="T124" s="21">
        <v>0</v>
      </c>
      <c r="U124" s="21">
        <v>0</v>
      </c>
      <c r="V124" s="147" t="s">
        <v>82</v>
      </c>
      <c r="W124" s="21">
        <v>790.97</v>
      </c>
      <c r="X124" s="147" t="s">
        <v>1745</v>
      </c>
      <c r="Y124" s="21">
        <v>0</v>
      </c>
      <c r="Z124" s="90" t="s">
        <v>85</v>
      </c>
      <c r="AA124" s="55"/>
    </row>
    <row r="125" spans="1:27" x14ac:dyDescent="0.25">
      <c r="A125" s="26">
        <v>8138</v>
      </c>
      <c r="B125" s="106" t="s">
        <v>826</v>
      </c>
      <c r="C125" s="11" t="s">
        <v>2192</v>
      </c>
      <c r="D125" s="55">
        <v>45444</v>
      </c>
      <c r="E125" s="55">
        <v>46418</v>
      </c>
      <c r="F125" s="72" t="s">
        <v>1743</v>
      </c>
      <c r="G125" s="162" t="s">
        <v>3624</v>
      </c>
      <c r="H125" s="11"/>
      <c r="I125" s="11"/>
      <c r="J125" s="11"/>
      <c r="K125" s="26"/>
      <c r="L125" s="26" t="s">
        <v>2193</v>
      </c>
      <c r="M125" s="11"/>
      <c r="N125" s="12">
        <v>45622</v>
      </c>
      <c r="O125" s="89" t="s">
        <v>2194</v>
      </c>
      <c r="P125" s="55">
        <v>46418</v>
      </c>
      <c r="Q125" s="16" t="s">
        <v>83</v>
      </c>
      <c r="R125" s="16" t="s">
        <v>84</v>
      </c>
      <c r="S125" s="21">
        <v>6390.98</v>
      </c>
      <c r="T125" s="21">
        <v>0</v>
      </c>
      <c r="U125" s="21">
        <v>0</v>
      </c>
      <c r="V125" s="147" t="s">
        <v>1755</v>
      </c>
      <c r="W125" s="21">
        <v>0</v>
      </c>
      <c r="X125" s="147" t="s">
        <v>1846</v>
      </c>
      <c r="Y125" s="21">
        <v>0</v>
      </c>
      <c r="Z125" s="90" t="s">
        <v>85</v>
      </c>
      <c r="AA125" s="55"/>
    </row>
    <row r="126" spans="1:27" x14ac:dyDescent="0.25">
      <c r="A126" s="26">
        <v>8138</v>
      </c>
      <c r="B126" s="106" t="s">
        <v>830</v>
      </c>
      <c r="C126" s="11" t="s">
        <v>2195</v>
      </c>
      <c r="D126" s="55">
        <v>45444</v>
      </c>
      <c r="E126" s="55">
        <v>46749</v>
      </c>
      <c r="F126" s="72" t="s">
        <v>1743</v>
      </c>
      <c r="G126" s="162" t="s">
        <v>3625</v>
      </c>
      <c r="H126" s="11"/>
      <c r="I126" s="11"/>
      <c r="J126" s="11"/>
      <c r="K126" s="26"/>
      <c r="L126" s="26" t="s">
        <v>2196</v>
      </c>
      <c r="M126" s="11"/>
      <c r="N126" s="12">
        <v>45622</v>
      </c>
      <c r="O126" s="89" t="s">
        <v>2197</v>
      </c>
      <c r="P126" s="55">
        <v>46752</v>
      </c>
      <c r="Q126" s="16" t="s">
        <v>83</v>
      </c>
      <c r="R126" s="16" t="s">
        <v>84</v>
      </c>
      <c r="S126" s="21">
        <v>5063.37</v>
      </c>
      <c r="T126" s="21">
        <v>0</v>
      </c>
      <c r="U126" s="21">
        <v>0</v>
      </c>
      <c r="V126" s="147" t="s">
        <v>82</v>
      </c>
      <c r="W126" s="21">
        <v>506.34</v>
      </c>
      <c r="X126" s="147" t="s">
        <v>1745</v>
      </c>
      <c r="Y126" s="21">
        <v>0</v>
      </c>
      <c r="Z126" s="90" t="s">
        <v>85</v>
      </c>
      <c r="AA126" s="55"/>
    </row>
    <row r="127" spans="1:27" x14ac:dyDescent="0.25">
      <c r="A127" s="26">
        <v>8138</v>
      </c>
      <c r="B127" s="106" t="s">
        <v>834</v>
      </c>
      <c r="C127" s="11" t="s">
        <v>2198</v>
      </c>
      <c r="D127" s="55">
        <v>43525</v>
      </c>
      <c r="E127" s="55">
        <v>47087</v>
      </c>
      <c r="F127" s="72" t="s">
        <v>1743</v>
      </c>
      <c r="G127" s="162" t="s">
        <v>3626</v>
      </c>
      <c r="H127" s="11"/>
      <c r="I127" s="11"/>
      <c r="J127" s="11"/>
      <c r="K127" s="26"/>
      <c r="L127" s="26" t="s">
        <v>2199</v>
      </c>
      <c r="M127" s="11"/>
      <c r="N127" s="12">
        <v>45622</v>
      </c>
      <c r="O127" s="89" t="s">
        <v>2200</v>
      </c>
      <c r="P127" s="55">
        <v>47087</v>
      </c>
      <c r="Q127" s="16" t="s">
        <v>83</v>
      </c>
      <c r="R127" s="16" t="s">
        <v>84</v>
      </c>
      <c r="S127" s="21">
        <v>3540.03</v>
      </c>
      <c r="T127" s="21">
        <v>0</v>
      </c>
      <c r="U127" s="21">
        <v>354</v>
      </c>
      <c r="V127" s="147" t="s">
        <v>1751</v>
      </c>
      <c r="W127" s="21">
        <v>354</v>
      </c>
      <c r="X127" s="147" t="s">
        <v>1745</v>
      </c>
      <c r="Y127" s="21"/>
      <c r="Z127" s="90" t="s">
        <v>85</v>
      </c>
      <c r="AA127" s="55"/>
    </row>
    <row r="128" spans="1:27" x14ac:dyDescent="0.25">
      <c r="A128" s="26">
        <v>8138</v>
      </c>
      <c r="B128" s="106" t="s">
        <v>842</v>
      </c>
      <c r="C128" s="11" t="s">
        <v>2201</v>
      </c>
      <c r="D128" s="55">
        <v>43800</v>
      </c>
      <c r="E128" s="55">
        <v>46090</v>
      </c>
      <c r="F128" s="72" t="s">
        <v>962</v>
      </c>
      <c r="G128" s="162" t="s">
        <v>3627</v>
      </c>
      <c r="H128" s="11"/>
      <c r="I128" s="11"/>
      <c r="J128" s="11"/>
      <c r="K128" s="26"/>
      <c r="L128" s="26" t="s">
        <v>2202</v>
      </c>
      <c r="M128" s="11"/>
      <c r="N128" s="12">
        <v>45622</v>
      </c>
      <c r="O128" s="89" t="s">
        <v>2203</v>
      </c>
      <c r="P128" s="55">
        <v>46090</v>
      </c>
      <c r="Q128" s="16" t="s">
        <v>83</v>
      </c>
      <c r="R128" s="16" t="s">
        <v>133</v>
      </c>
      <c r="S128" s="21">
        <v>986.64</v>
      </c>
      <c r="T128" s="21">
        <v>0</v>
      </c>
      <c r="U128" s="21">
        <v>0</v>
      </c>
      <c r="V128" s="147" t="s">
        <v>82</v>
      </c>
      <c r="W128" s="21">
        <v>0</v>
      </c>
      <c r="X128" s="147" t="s">
        <v>82</v>
      </c>
      <c r="Y128" s="21">
        <v>0</v>
      </c>
      <c r="Z128" s="90" t="s">
        <v>85</v>
      </c>
      <c r="AA128" s="55"/>
    </row>
    <row r="129" spans="1:27" x14ac:dyDescent="0.25">
      <c r="A129" s="26">
        <v>8138</v>
      </c>
      <c r="B129" s="106" t="s">
        <v>858</v>
      </c>
      <c r="C129" s="11" t="s">
        <v>2210</v>
      </c>
      <c r="D129" s="55">
        <v>43466</v>
      </c>
      <c r="E129" s="55">
        <v>46783</v>
      </c>
      <c r="F129" s="72" t="s">
        <v>1743</v>
      </c>
      <c r="G129" s="162" t="s">
        <v>3628</v>
      </c>
      <c r="H129" s="11"/>
      <c r="I129" s="11"/>
      <c r="J129" s="11"/>
      <c r="K129" s="26"/>
      <c r="L129" s="26" t="s">
        <v>2211</v>
      </c>
      <c r="M129" s="11"/>
      <c r="N129" s="12">
        <v>45622</v>
      </c>
      <c r="O129" s="89" t="s">
        <v>2212</v>
      </c>
      <c r="P129" s="55">
        <v>46778</v>
      </c>
      <c r="Q129" s="16" t="s">
        <v>83</v>
      </c>
      <c r="R129" s="16" t="s">
        <v>84</v>
      </c>
      <c r="S129" s="21">
        <v>7925.63</v>
      </c>
      <c r="T129" s="21">
        <v>0</v>
      </c>
      <c r="U129" s="21">
        <v>792.56</v>
      </c>
      <c r="V129" s="147" t="s">
        <v>1751</v>
      </c>
      <c r="W129" s="21">
        <v>1349.46</v>
      </c>
      <c r="X129" s="147" t="s">
        <v>1745</v>
      </c>
      <c r="Y129" s="21">
        <v>0</v>
      </c>
      <c r="Z129" s="90" t="s">
        <v>85</v>
      </c>
      <c r="AA129" s="55"/>
    </row>
    <row r="130" spans="1:27" x14ac:dyDescent="0.25">
      <c r="A130" s="26">
        <v>8138</v>
      </c>
      <c r="B130" s="106" t="s">
        <v>862</v>
      </c>
      <c r="C130" s="11" t="s">
        <v>2213</v>
      </c>
      <c r="D130" s="55">
        <v>43466</v>
      </c>
      <c r="E130" s="55">
        <v>46387</v>
      </c>
      <c r="F130" s="72" t="s">
        <v>962</v>
      </c>
      <c r="G130" s="162" t="s">
        <v>3629</v>
      </c>
      <c r="H130" s="11"/>
      <c r="I130" s="11"/>
      <c r="J130" s="11"/>
      <c r="K130" s="26"/>
      <c r="L130" s="26" t="s">
        <v>2214</v>
      </c>
      <c r="M130" s="11"/>
      <c r="N130" s="12">
        <v>45622</v>
      </c>
      <c r="O130" s="89" t="s">
        <v>2215</v>
      </c>
      <c r="P130" s="55">
        <v>46387</v>
      </c>
      <c r="Q130" s="16" t="s">
        <v>83</v>
      </c>
      <c r="R130" s="16" t="s">
        <v>84</v>
      </c>
      <c r="S130" s="21">
        <v>11955</v>
      </c>
      <c r="T130" s="21">
        <v>0</v>
      </c>
      <c r="U130" s="21">
        <v>0</v>
      </c>
      <c r="V130" s="147" t="s">
        <v>82</v>
      </c>
      <c r="W130" s="21">
        <v>0</v>
      </c>
      <c r="X130" s="147" t="s">
        <v>1745</v>
      </c>
      <c r="Y130" s="21">
        <v>0</v>
      </c>
      <c r="Z130" s="90" t="s">
        <v>85</v>
      </c>
      <c r="AA130" s="55"/>
    </row>
    <row r="131" spans="1:27" x14ac:dyDescent="0.25">
      <c r="A131" s="26">
        <v>8138</v>
      </c>
      <c r="B131" s="106" t="s">
        <v>866</v>
      </c>
      <c r="C131" s="11" t="s">
        <v>2216</v>
      </c>
      <c r="D131" s="55">
        <v>43466</v>
      </c>
      <c r="E131" s="55">
        <v>46507</v>
      </c>
      <c r="F131" s="72" t="s">
        <v>962</v>
      </c>
      <c r="G131" s="162" t="s">
        <v>3630</v>
      </c>
      <c r="H131" s="11"/>
      <c r="I131" s="11"/>
      <c r="J131" s="11"/>
      <c r="K131" s="26"/>
      <c r="L131" s="26" t="s">
        <v>2217</v>
      </c>
      <c r="M131" s="11"/>
      <c r="N131" s="12">
        <v>45622</v>
      </c>
      <c r="O131" s="89" t="s">
        <v>2218</v>
      </c>
      <c r="P131" s="55">
        <v>46507</v>
      </c>
      <c r="Q131" s="16" t="s">
        <v>83</v>
      </c>
      <c r="R131" s="16" t="s">
        <v>84</v>
      </c>
      <c r="S131" s="21">
        <v>6381.35</v>
      </c>
      <c r="T131" s="21">
        <v>0</v>
      </c>
      <c r="U131" s="21">
        <v>0</v>
      </c>
      <c r="V131" s="147" t="s">
        <v>82</v>
      </c>
      <c r="W131" s="21">
        <v>0</v>
      </c>
      <c r="X131" s="147" t="s">
        <v>1745</v>
      </c>
      <c r="Y131" s="21">
        <v>0</v>
      </c>
      <c r="Z131" s="90" t="s">
        <v>85</v>
      </c>
      <c r="AA131" s="55"/>
    </row>
    <row r="132" spans="1:27" x14ac:dyDescent="0.25">
      <c r="A132" s="26">
        <v>8138</v>
      </c>
      <c r="B132" s="106" t="s">
        <v>870</v>
      </c>
      <c r="C132" s="11" t="s">
        <v>2219</v>
      </c>
      <c r="D132" s="55">
        <v>45444</v>
      </c>
      <c r="E132" s="55">
        <v>46752</v>
      </c>
      <c r="F132" s="72" t="s">
        <v>1743</v>
      </c>
      <c r="G132" s="162" t="s">
        <v>3631</v>
      </c>
      <c r="H132" s="11"/>
      <c r="I132" s="11"/>
      <c r="J132" s="11"/>
      <c r="K132" s="26"/>
      <c r="L132" s="26" t="s">
        <v>2220</v>
      </c>
      <c r="M132" s="11"/>
      <c r="N132" s="12">
        <v>45622</v>
      </c>
      <c r="O132" s="89" t="s">
        <v>2221</v>
      </c>
      <c r="P132" s="55">
        <v>46752</v>
      </c>
      <c r="Q132" s="16" t="s">
        <v>83</v>
      </c>
      <c r="R132" s="16" t="s">
        <v>84</v>
      </c>
      <c r="S132" s="21">
        <v>18973.73</v>
      </c>
      <c r="T132" s="21">
        <v>0</v>
      </c>
      <c r="U132" s="21">
        <v>1897.37</v>
      </c>
      <c r="V132" s="147" t="s">
        <v>1751</v>
      </c>
      <c r="W132" s="21">
        <v>3587.65</v>
      </c>
      <c r="X132" s="147" t="s">
        <v>1745</v>
      </c>
      <c r="Y132" s="21"/>
      <c r="Z132" s="90" t="s">
        <v>85</v>
      </c>
      <c r="AA132" s="55"/>
    </row>
    <row r="133" spans="1:27" x14ac:dyDescent="0.25">
      <c r="A133" s="26">
        <v>8138</v>
      </c>
      <c r="B133" s="106" t="s">
        <v>874</v>
      </c>
      <c r="C133" s="11" t="s">
        <v>2222</v>
      </c>
      <c r="D133" s="55">
        <v>45444</v>
      </c>
      <c r="E133" s="55">
        <v>47087</v>
      </c>
      <c r="F133" s="72" t="s">
        <v>1743</v>
      </c>
      <c r="G133" s="162" t="s">
        <v>3632</v>
      </c>
      <c r="H133" s="11"/>
      <c r="I133" s="11"/>
      <c r="J133" s="11"/>
      <c r="K133" s="26"/>
      <c r="L133" s="26" t="s">
        <v>2223</v>
      </c>
      <c r="M133" s="11"/>
      <c r="N133" s="12">
        <v>45622</v>
      </c>
      <c r="O133" s="89" t="s">
        <v>2224</v>
      </c>
      <c r="P133" s="55">
        <v>47087</v>
      </c>
      <c r="Q133" s="16" t="s">
        <v>83</v>
      </c>
      <c r="R133" s="16" t="s">
        <v>84</v>
      </c>
      <c r="S133" s="21">
        <v>11344.87</v>
      </c>
      <c r="T133" s="21">
        <v>0</v>
      </c>
      <c r="U133" s="21">
        <v>0</v>
      </c>
      <c r="V133" s="147" t="s">
        <v>1755</v>
      </c>
      <c r="W133" s="21">
        <v>1189.43</v>
      </c>
      <c r="X133" s="147" t="s">
        <v>1745</v>
      </c>
      <c r="Y133" s="21">
        <v>0</v>
      </c>
      <c r="Z133" s="90" t="s">
        <v>85</v>
      </c>
      <c r="AA133" s="55"/>
    </row>
    <row r="134" spans="1:27" x14ac:dyDescent="0.25">
      <c r="A134" s="26">
        <v>8138</v>
      </c>
      <c r="B134" s="106" t="s">
        <v>878</v>
      </c>
      <c r="C134" s="11" t="s">
        <v>2664</v>
      </c>
      <c r="D134" s="55">
        <v>45747</v>
      </c>
      <c r="E134" s="55">
        <v>46843</v>
      </c>
      <c r="F134" s="72" t="s">
        <v>962</v>
      </c>
      <c r="G134" s="162" t="s">
        <v>3633</v>
      </c>
      <c r="H134" s="11"/>
      <c r="I134" s="11"/>
      <c r="J134" s="11"/>
      <c r="K134" s="26"/>
      <c r="L134" s="26" t="s">
        <v>2665</v>
      </c>
      <c r="M134" s="11"/>
      <c r="N134" s="12">
        <v>45622</v>
      </c>
      <c r="O134" s="89" t="s">
        <v>2666</v>
      </c>
      <c r="P134" s="55">
        <v>46843</v>
      </c>
      <c r="Q134" s="16" t="s">
        <v>83</v>
      </c>
      <c r="R134" s="16" t="s">
        <v>84</v>
      </c>
      <c r="S134" s="21">
        <v>5009.03</v>
      </c>
      <c r="T134" s="21">
        <v>0</v>
      </c>
      <c r="U134" s="21">
        <v>500.9</v>
      </c>
      <c r="V134" s="147" t="s">
        <v>1751</v>
      </c>
      <c r="W134" s="21">
        <v>937.86</v>
      </c>
      <c r="X134" s="147" t="s">
        <v>1745</v>
      </c>
      <c r="Y134" s="21">
        <v>0</v>
      </c>
      <c r="Z134" s="90" t="s">
        <v>85</v>
      </c>
      <c r="AA134" s="55"/>
    </row>
    <row r="135" spans="1:27" x14ac:dyDescent="0.25">
      <c r="A135" s="26">
        <v>8138</v>
      </c>
      <c r="B135" s="106" t="s">
        <v>882</v>
      </c>
      <c r="C135" s="11" t="s">
        <v>2225</v>
      </c>
      <c r="D135" s="55">
        <v>43556</v>
      </c>
      <c r="E135" s="55">
        <v>46273</v>
      </c>
      <c r="F135" s="72" t="s">
        <v>1743</v>
      </c>
      <c r="G135" s="162" t="s">
        <v>3634</v>
      </c>
      <c r="H135" s="11"/>
      <c r="I135" s="11"/>
      <c r="J135" s="11"/>
      <c r="K135" s="26"/>
      <c r="L135" s="26" t="s">
        <v>2226</v>
      </c>
      <c r="M135" s="11"/>
      <c r="N135" s="12">
        <v>45622</v>
      </c>
      <c r="O135" s="89" t="s">
        <v>2227</v>
      </c>
      <c r="P135" s="55">
        <v>46273</v>
      </c>
      <c r="Q135" s="16" t="s">
        <v>83</v>
      </c>
      <c r="R135" s="16" t="s">
        <v>84</v>
      </c>
      <c r="S135" s="21">
        <v>8901.64</v>
      </c>
      <c r="T135" s="21">
        <v>0</v>
      </c>
      <c r="U135" s="21">
        <v>0</v>
      </c>
      <c r="V135" s="147" t="s">
        <v>1755</v>
      </c>
      <c r="W135" s="21">
        <v>0</v>
      </c>
      <c r="X135" s="147" t="s">
        <v>1846</v>
      </c>
      <c r="Y135" s="21">
        <v>0</v>
      </c>
      <c r="Z135" s="90" t="s">
        <v>85</v>
      </c>
      <c r="AA135" s="55"/>
    </row>
    <row r="136" spans="1:27" x14ac:dyDescent="0.25">
      <c r="A136" s="26">
        <v>8138</v>
      </c>
      <c r="B136" s="106" t="s">
        <v>898</v>
      </c>
      <c r="C136" s="11" t="s">
        <v>2231</v>
      </c>
      <c r="D136" s="55">
        <v>43562</v>
      </c>
      <c r="E136" s="55">
        <v>47207</v>
      </c>
      <c r="F136" s="72" t="s">
        <v>962</v>
      </c>
      <c r="G136" s="162" t="s">
        <v>3635</v>
      </c>
      <c r="H136" s="11"/>
      <c r="I136" s="11"/>
      <c r="J136" s="11"/>
      <c r="K136" s="26"/>
      <c r="L136" s="26" t="s">
        <v>2232</v>
      </c>
      <c r="M136" s="11"/>
      <c r="N136" s="12">
        <v>45622</v>
      </c>
      <c r="O136" s="89" t="s">
        <v>2233</v>
      </c>
      <c r="P136" s="55">
        <v>47207</v>
      </c>
      <c r="Q136" s="16" t="s">
        <v>83</v>
      </c>
      <c r="R136" s="16" t="s">
        <v>84</v>
      </c>
      <c r="S136" s="21">
        <v>2550</v>
      </c>
      <c r="T136" s="21">
        <v>0</v>
      </c>
      <c r="U136" s="21">
        <v>0</v>
      </c>
      <c r="V136" s="147" t="s">
        <v>82</v>
      </c>
      <c r="W136" s="21">
        <v>0</v>
      </c>
      <c r="X136" s="147" t="s">
        <v>1745</v>
      </c>
      <c r="Y136" s="21">
        <v>0</v>
      </c>
      <c r="Z136" s="90" t="s">
        <v>85</v>
      </c>
      <c r="AA136" s="55"/>
    </row>
    <row r="137" spans="1:27" x14ac:dyDescent="0.25">
      <c r="A137" s="26">
        <v>8138</v>
      </c>
      <c r="B137" s="106" t="s">
        <v>2234</v>
      </c>
      <c r="C137" s="11" t="s">
        <v>2235</v>
      </c>
      <c r="D137" s="55">
        <v>45261</v>
      </c>
      <c r="E137" s="55">
        <v>47149</v>
      </c>
      <c r="F137" s="72" t="s">
        <v>1743</v>
      </c>
      <c r="G137" s="162" t="s">
        <v>3636</v>
      </c>
      <c r="H137" s="11"/>
      <c r="I137" s="11"/>
      <c r="J137" s="11"/>
      <c r="K137" s="26"/>
      <c r="L137" s="26" t="s">
        <v>2236</v>
      </c>
      <c r="M137" s="11"/>
      <c r="N137" s="12">
        <v>45622</v>
      </c>
      <c r="O137" s="89" t="s">
        <v>2237</v>
      </c>
      <c r="P137" s="55">
        <v>47149</v>
      </c>
      <c r="Q137" s="16" t="s">
        <v>83</v>
      </c>
      <c r="R137" s="16" t="s">
        <v>84</v>
      </c>
      <c r="S137" s="21">
        <v>9325.1200000000008</v>
      </c>
      <c r="T137" s="21">
        <v>0</v>
      </c>
      <c r="U137" s="21">
        <v>0</v>
      </c>
      <c r="V137" s="147" t="s">
        <v>1755</v>
      </c>
      <c r="W137" s="21">
        <v>8889.41</v>
      </c>
      <c r="X137" s="147" t="s">
        <v>1745</v>
      </c>
      <c r="Y137" s="21">
        <v>0</v>
      </c>
      <c r="Z137" s="90"/>
      <c r="AA137" s="55"/>
    </row>
    <row r="138" spans="1:27" x14ac:dyDescent="0.25">
      <c r="A138" s="26">
        <v>8138</v>
      </c>
      <c r="B138" s="106" t="s">
        <v>2238</v>
      </c>
      <c r="C138" s="11" t="s">
        <v>2239</v>
      </c>
      <c r="D138" s="55">
        <v>45383</v>
      </c>
      <c r="E138" s="55">
        <v>46295</v>
      </c>
      <c r="F138" s="72" t="s">
        <v>1743</v>
      </c>
      <c r="G138" s="162" t="s">
        <v>3637</v>
      </c>
      <c r="H138" s="11"/>
      <c r="I138" s="11"/>
      <c r="J138" s="11"/>
      <c r="K138" s="26"/>
      <c r="L138" s="26" t="s">
        <v>2240</v>
      </c>
      <c r="M138" s="11"/>
      <c r="N138" s="12">
        <v>45622</v>
      </c>
      <c r="O138" s="89" t="s">
        <v>2241</v>
      </c>
      <c r="P138" s="55">
        <v>46295</v>
      </c>
      <c r="Q138" s="16" t="s">
        <v>83</v>
      </c>
      <c r="R138" s="16" t="s">
        <v>84</v>
      </c>
      <c r="S138" s="21">
        <v>11670.75</v>
      </c>
      <c r="T138" s="21">
        <v>0</v>
      </c>
      <c r="U138" s="21">
        <v>0</v>
      </c>
      <c r="V138" s="147" t="s">
        <v>1755</v>
      </c>
      <c r="W138" s="21">
        <v>2524.3200000000002</v>
      </c>
      <c r="X138" s="147" t="s">
        <v>1745</v>
      </c>
      <c r="Y138" s="21">
        <v>0</v>
      </c>
      <c r="Z138" s="90" t="s">
        <v>85</v>
      </c>
      <c r="AA138" s="55"/>
    </row>
    <row r="139" spans="1:27" x14ac:dyDescent="0.25">
      <c r="A139" s="26">
        <v>8138</v>
      </c>
      <c r="B139" s="106" t="s">
        <v>2242</v>
      </c>
      <c r="C139" s="11" t="s">
        <v>2243</v>
      </c>
      <c r="D139" s="55">
        <v>45198</v>
      </c>
      <c r="E139" s="55">
        <v>46483</v>
      </c>
      <c r="F139" s="72" t="s">
        <v>1743</v>
      </c>
      <c r="G139" s="162" t="s">
        <v>3638</v>
      </c>
      <c r="H139" s="11"/>
      <c r="I139" s="11"/>
      <c r="J139" s="11"/>
      <c r="K139" s="26"/>
      <c r="L139" s="26" t="s">
        <v>2244</v>
      </c>
      <c r="M139" s="11"/>
      <c r="N139" s="12">
        <v>45622</v>
      </c>
      <c r="O139" s="89" t="s">
        <v>2245</v>
      </c>
      <c r="P139" s="55">
        <v>46483</v>
      </c>
      <c r="Q139" s="16" t="s">
        <v>83</v>
      </c>
      <c r="R139" s="16" t="s">
        <v>84</v>
      </c>
      <c r="S139" s="21">
        <v>10927.27</v>
      </c>
      <c r="T139" s="21">
        <v>0</v>
      </c>
      <c r="U139" s="21">
        <v>0</v>
      </c>
      <c r="V139" s="147" t="s">
        <v>82</v>
      </c>
      <c r="W139" s="21">
        <v>0</v>
      </c>
      <c r="X139" s="147" t="s">
        <v>1745</v>
      </c>
      <c r="Y139" s="21">
        <v>0</v>
      </c>
      <c r="Z139" s="90" t="s">
        <v>85</v>
      </c>
      <c r="AA139" s="55"/>
    </row>
    <row r="140" spans="1:27" x14ac:dyDescent="0.25">
      <c r="A140" s="26">
        <v>8138</v>
      </c>
      <c r="B140" s="106" t="s">
        <v>2250</v>
      </c>
      <c r="C140" s="11" t="s">
        <v>2251</v>
      </c>
      <c r="D140" s="55">
        <v>43466</v>
      </c>
      <c r="E140" s="55">
        <v>46691</v>
      </c>
      <c r="F140" s="72" t="s">
        <v>1743</v>
      </c>
      <c r="G140" s="162" t="s">
        <v>3639</v>
      </c>
      <c r="H140" s="11"/>
      <c r="I140" s="11"/>
      <c r="J140" s="11"/>
      <c r="K140" s="26"/>
      <c r="L140" s="26" t="s">
        <v>2252</v>
      </c>
      <c r="M140" s="11"/>
      <c r="N140" s="12">
        <v>45622</v>
      </c>
      <c r="O140" s="89" t="s">
        <v>2253</v>
      </c>
      <c r="P140" s="55">
        <v>46691</v>
      </c>
      <c r="Q140" s="16" t="s">
        <v>83</v>
      </c>
      <c r="R140" s="16" t="s">
        <v>84</v>
      </c>
      <c r="S140" s="21">
        <v>10253.07</v>
      </c>
      <c r="T140" s="21">
        <v>0</v>
      </c>
      <c r="U140" s="21">
        <v>1025.31</v>
      </c>
      <c r="V140" s="147" t="s">
        <v>1751</v>
      </c>
      <c r="W140" s="21">
        <v>2365.12</v>
      </c>
      <c r="X140" s="147" t="s">
        <v>1745</v>
      </c>
      <c r="Y140" s="21"/>
      <c r="Z140" s="90" t="s">
        <v>85</v>
      </c>
      <c r="AA140" s="55"/>
    </row>
    <row r="141" spans="1:27" x14ac:dyDescent="0.25">
      <c r="A141" s="26">
        <v>8138</v>
      </c>
      <c r="B141" s="106" t="s">
        <v>2254</v>
      </c>
      <c r="C141" s="11" t="s">
        <v>2255</v>
      </c>
      <c r="D141" s="55">
        <v>45261</v>
      </c>
      <c r="E141" s="55">
        <v>46721</v>
      </c>
      <c r="F141" s="72" t="s">
        <v>1743</v>
      </c>
      <c r="G141" s="162" t="s">
        <v>3640</v>
      </c>
      <c r="H141" s="11"/>
      <c r="I141" s="11"/>
      <c r="J141" s="11"/>
      <c r="K141" s="26"/>
      <c r="L141" s="26" t="s">
        <v>2256</v>
      </c>
      <c r="M141" s="11"/>
      <c r="N141" s="12">
        <v>45622</v>
      </c>
      <c r="O141" s="89" t="s">
        <v>2257</v>
      </c>
      <c r="P141" s="55">
        <v>46722</v>
      </c>
      <c r="Q141" s="16" t="s">
        <v>83</v>
      </c>
      <c r="R141" s="16" t="s">
        <v>84</v>
      </c>
      <c r="S141" s="21">
        <v>3024.74</v>
      </c>
      <c r="T141" s="21">
        <v>0</v>
      </c>
      <c r="U141" s="21">
        <v>0</v>
      </c>
      <c r="V141" s="147" t="s">
        <v>1751</v>
      </c>
      <c r="W141" s="21">
        <v>0</v>
      </c>
      <c r="X141" s="147" t="s">
        <v>1745</v>
      </c>
      <c r="Y141" s="21">
        <v>0</v>
      </c>
      <c r="Z141" s="90" t="s">
        <v>85</v>
      </c>
      <c r="AA141" s="55"/>
    </row>
    <row r="142" spans="1:27" x14ac:dyDescent="0.25">
      <c r="A142" s="26">
        <v>8138</v>
      </c>
      <c r="B142" s="106" t="s">
        <v>2258</v>
      </c>
      <c r="C142" s="11" t="s">
        <v>2259</v>
      </c>
      <c r="D142" s="55">
        <v>45383</v>
      </c>
      <c r="E142" s="55">
        <v>46719</v>
      </c>
      <c r="F142" s="72" t="s">
        <v>1743</v>
      </c>
      <c r="G142" s="162" t="s">
        <v>3641</v>
      </c>
      <c r="H142" s="11"/>
      <c r="I142" s="11"/>
      <c r="J142" s="11"/>
      <c r="K142" s="26"/>
      <c r="L142" s="26" t="s">
        <v>2260</v>
      </c>
      <c r="M142" s="11"/>
      <c r="N142" s="12">
        <v>45622</v>
      </c>
      <c r="O142" s="89" t="s">
        <v>2261</v>
      </c>
      <c r="P142" s="55">
        <v>46719</v>
      </c>
      <c r="Q142" s="16" t="s">
        <v>83</v>
      </c>
      <c r="R142" s="16" t="s">
        <v>84</v>
      </c>
      <c r="S142" s="21">
        <v>2739.72</v>
      </c>
      <c r="T142" s="21">
        <v>0</v>
      </c>
      <c r="U142" s="21">
        <v>0</v>
      </c>
      <c r="V142" s="147" t="s">
        <v>1751</v>
      </c>
      <c r="W142" s="21">
        <v>0</v>
      </c>
      <c r="X142" s="147" t="s">
        <v>1745</v>
      </c>
      <c r="Y142" s="21">
        <v>0</v>
      </c>
      <c r="Z142" s="90" t="s">
        <v>85</v>
      </c>
      <c r="AA142" s="55"/>
    </row>
    <row r="143" spans="1:27" x14ac:dyDescent="0.25">
      <c r="A143" s="26">
        <v>8138</v>
      </c>
      <c r="B143" s="106" t="s">
        <v>2262</v>
      </c>
      <c r="C143" s="11" t="s">
        <v>2263</v>
      </c>
      <c r="D143" s="55">
        <v>45198</v>
      </c>
      <c r="E143" s="55">
        <v>47024</v>
      </c>
      <c r="F143" s="72" t="s">
        <v>1743</v>
      </c>
      <c r="G143" s="162" t="s">
        <v>3642</v>
      </c>
      <c r="H143" s="11"/>
      <c r="I143" s="11"/>
      <c r="J143" s="11"/>
      <c r="K143" s="26"/>
      <c r="L143" s="26" t="s">
        <v>2264</v>
      </c>
      <c r="M143" s="11"/>
      <c r="N143" s="12">
        <v>45622</v>
      </c>
      <c r="O143" s="89" t="s">
        <v>2265</v>
      </c>
      <c r="P143" s="55">
        <v>47024</v>
      </c>
      <c r="Q143" s="16" t="s">
        <v>83</v>
      </c>
      <c r="R143" s="16" t="s">
        <v>84</v>
      </c>
      <c r="S143" s="21">
        <v>10389.790000000001</v>
      </c>
      <c r="T143" s="21">
        <v>0</v>
      </c>
      <c r="U143" s="21">
        <v>0</v>
      </c>
      <c r="V143" s="147" t="s">
        <v>1755</v>
      </c>
      <c r="W143" s="21">
        <v>0</v>
      </c>
      <c r="X143" s="147" t="s">
        <v>1846</v>
      </c>
      <c r="Y143" s="21">
        <v>0</v>
      </c>
      <c r="Z143" s="90" t="s">
        <v>85</v>
      </c>
      <c r="AA143" s="55"/>
    </row>
    <row r="144" spans="1:27" x14ac:dyDescent="0.25">
      <c r="A144" s="26">
        <v>8138</v>
      </c>
      <c r="B144" s="106" t="s">
        <v>2266</v>
      </c>
      <c r="C144" s="11" t="s">
        <v>2267</v>
      </c>
      <c r="D144" s="55">
        <v>45536</v>
      </c>
      <c r="E144" s="55">
        <v>47361</v>
      </c>
      <c r="F144" s="72" t="s">
        <v>1743</v>
      </c>
      <c r="G144" s="162" t="s">
        <v>3643</v>
      </c>
      <c r="H144" s="11"/>
      <c r="I144" s="11"/>
      <c r="J144" s="11"/>
      <c r="K144" s="26"/>
      <c r="L144" s="26"/>
      <c r="M144" s="11"/>
      <c r="N144" s="12">
        <v>45622</v>
      </c>
      <c r="O144" s="89" t="s">
        <v>2268</v>
      </c>
      <c r="P144" s="55">
        <v>47361</v>
      </c>
      <c r="Q144" s="16" t="s">
        <v>83</v>
      </c>
      <c r="R144" s="16" t="s">
        <v>84</v>
      </c>
      <c r="S144" s="21">
        <v>12145.51</v>
      </c>
      <c r="T144" s="21">
        <v>0</v>
      </c>
      <c r="U144" s="21">
        <v>0</v>
      </c>
      <c r="V144" s="147" t="s">
        <v>1755</v>
      </c>
      <c r="W144" s="21">
        <v>2500.5500000000002</v>
      </c>
      <c r="X144" s="147" t="s">
        <v>1745</v>
      </c>
      <c r="Y144" s="21">
        <v>0</v>
      </c>
      <c r="Z144" s="90" t="s">
        <v>85</v>
      </c>
      <c r="AA144" s="55"/>
    </row>
    <row r="145" spans="1:27" x14ac:dyDescent="0.25">
      <c r="A145" s="26">
        <v>8138</v>
      </c>
      <c r="B145" s="106" t="s">
        <v>2269</v>
      </c>
      <c r="C145" s="11" t="s">
        <v>2270</v>
      </c>
      <c r="D145" s="55">
        <v>45536</v>
      </c>
      <c r="E145" s="55">
        <v>47361</v>
      </c>
      <c r="F145" s="72" t="s">
        <v>1743</v>
      </c>
      <c r="G145" s="162" t="s">
        <v>3644</v>
      </c>
      <c r="H145" s="11"/>
      <c r="I145" s="11"/>
      <c r="J145" s="11"/>
      <c r="K145" s="26"/>
      <c r="L145" s="26"/>
      <c r="M145" s="11"/>
      <c r="N145" s="12">
        <v>45622</v>
      </c>
      <c r="O145" s="89" t="s">
        <v>2271</v>
      </c>
      <c r="P145" s="55">
        <v>47361</v>
      </c>
      <c r="Q145" s="16" t="s">
        <v>83</v>
      </c>
      <c r="R145" s="16" t="s">
        <v>84</v>
      </c>
      <c r="S145" s="21">
        <v>11882</v>
      </c>
      <c r="T145" s="21">
        <v>0</v>
      </c>
      <c r="U145" s="21">
        <v>1188.2</v>
      </c>
      <c r="V145" s="147" t="s">
        <v>1751</v>
      </c>
      <c r="W145" s="21">
        <v>1828</v>
      </c>
      <c r="X145" s="147" t="s">
        <v>1745</v>
      </c>
      <c r="Y145" s="21"/>
      <c r="Z145" s="90" t="s">
        <v>85</v>
      </c>
      <c r="AA145" s="55"/>
    </row>
    <row r="146" spans="1:27" x14ac:dyDescent="0.25">
      <c r="A146" s="26">
        <v>8138</v>
      </c>
      <c r="B146" s="106" t="s">
        <v>2272</v>
      </c>
      <c r="C146" s="11" t="s">
        <v>2273</v>
      </c>
      <c r="D146" s="55">
        <v>45597</v>
      </c>
      <c r="E146" s="55">
        <v>47238</v>
      </c>
      <c r="F146" s="72" t="s">
        <v>1743</v>
      </c>
      <c r="G146" s="162" t="s">
        <v>3645</v>
      </c>
      <c r="H146" s="11"/>
      <c r="I146" s="11"/>
      <c r="J146" s="11"/>
      <c r="K146" s="26"/>
      <c r="L146" s="26"/>
      <c r="M146" s="11"/>
      <c r="N146" s="12">
        <v>45659</v>
      </c>
      <c r="O146" s="89" t="s">
        <v>2274</v>
      </c>
      <c r="P146" s="55">
        <v>47238</v>
      </c>
      <c r="Q146" s="16" t="s">
        <v>83</v>
      </c>
      <c r="R146" s="16" t="s">
        <v>84</v>
      </c>
      <c r="S146" s="21">
        <v>18445.310000000001</v>
      </c>
      <c r="T146" s="21">
        <v>0</v>
      </c>
      <c r="U146" s="21">
        <v>0</v>
      </c>
      <c r="V146" s="147" t="s">
        <v>1755</v>
      </c>
      <c r="W146" s="21">
        <v>3881.18</v>
      </c>
      <c r="X146" s="147" t="s">
        <v>1745</v>
      </c>
      <c r="Y146" s="21">
        <v>0</v>
      </c>
      <c r="Z146" s="90"/>
      <c r="AA146" s="55"/>
    </row>
    <row r="147" spans="1:27" x14ac:dyDescent="0.25">
      <c r="A147" s="26">
        <v>8138</v>
      </c>
      <c r="B147" s="106" t="s">
        <v>2275</v>
      </c>
      <c r="C147" s="11" t="s">
        <v>2276</v>
      </c>
      <c r="D147" s="55">
        <v>45505</v>
      </c>
      <c r="E147" s="55">
        <v>47330</v>
      </c>
      <c r="F147" s="72" t="s">
        <v>962</v>
      </c>
      <c r="G147" s="162" t="s">
        <v>3646</v>
      </c>
      <c r="H147" s="11"/>
      <c r="I147" s="11"/>
      <c r="J147" s="11"/>
      <c r="K147" s="26"/>
      <c r="L147" s="139" t="s">
        <v>2277</v>
      </c>
      <c r="M147" s="11"/>
      <c r="N147" s="12">
        <v>45686</v>
      </c>
      <c r="O147" s="89" t="s">
        <v>2278</v>
      </c>
      <c r="P147" s="55">
        <v>47330</v>
      </c>
      <c r="Q147" s="16" t="s">
        <v>83</v>
      </c>
      <c r="R147" s="16" t="s">
        <v>84</v>
      </c>
      <c r="S147" s="21">
        <v>1700</v>
      </c>
      <c r="T147" s="21">
        <v>0</v>
      </c>
      <c r="U147" s="21">
        <v>0</v>
      </c>
      <c r="V147" s="147" t="s">
        <v>82</v>
      </c>
      <c r="W147" s="21">
        <v>0</v>
      </c>
      <c r="X147" s="147" t="s">
        <v>82</v>
      </c>
      <c r="Y147" s="21">
        <v>0</v>
      </c>
      <c r="Z147" s="90"/>
      <c r="AA147" s="55"/>
    </row>
    <row r="148" spans="1:27" x14ac:dyDescent="0.25">
      <c r="A148" s="26">
        <v>8138</v>
      </c>
      <c r="B148" s="106" t="s">
        <v>2279</v>
      </c>
      <c r="C148" s="11" t="s">
        <v>2280</v>
      </c>
      <c r="D148" s="55">
        <v>45231</v>
      </c>
      <c r="E148" s="55">
        <v>46326</v>
      </c>
      <c r="F148" s="72" t="s">
        <v>1743</v>
      </c>
      <c r="G148" s="162" t="s">
        <v>3647</v>
      </c>
      <c r="H148" s="11"/>
      <c r="I148" s="11"/>
      <c r="J148" s="11"/>
      <c r="K148" s="26"/>
      <c r="L148" s="139" t="s">
        <v>2281</v>
      </c>
      <c r="M148" s="11"/>
      <c r="N148" s="12">
        <v>45687</v>
      </c>
      <c r="O148" s="89" t="s">
        <v>2282</v>
      </c>
      <c r="P148" s="55">
        <v>46326</v>
      </c>
      <c r="Q148" s="16" t="s">
        <v>83</v>
      </c>
      <c r="R148" s="16" t="s">
        <v>84</v>
      </c>
      <c r="S148" s="21">
        <v>25502.48</v>
      </c>
      <c r="T148" s="21">
        <v>0</v>
      </c>
      <c r="U148" s="21">
        <v>2550.25</v>
      </c>
      <c r="V148" s="147" t="s">
        <v>1751</v>
      </c>
      <c r="W148" s="21">
        <v>6113.33</v>
      </c>
      <c r="X148" s="147" t="s">
        <v>1745</v>
      </c>
      <c r="Y148" s="21">
        <v>0</v>
      </c>
      <c r="Z148" s="90"/>
      <c r="AA148" s="55"/>
    </row>
    <row r="149" spans="1:27" x14ac:dyDescent="0.25">
      <c r="A149" s="26">
        <v>8138</v>
      </c>
      <c r="B149" s="106" t="s">
        <v>2283</v>
      </c>
      <c r="C149" s="11" t="s">
        <v>2284</v>
      </c>
      <c r="D149" s="55">
        <v>45605</v>
      </c>
      <c r="E149" s="55">
        <v>46699</v>
      </c>
      <c r="F149" s="72" t="s">
        <v>962</v>
      </c>
      <c r="G149" s="162" t="s">
        <v>3648</v>
      </c>
      <c r="H149" s="11"/>
      <c r="I149" s="11"/>
      <c r="J149" s="11"/>
      <c r="K149" s="26"/>
      <c r="L149" s="26" t="s">
        <v>2285</v>
      </c>
      <c r="M149" s="11"/>
      <c r="N149" s="12">
        <v>45706</v>
      </c>
      <c r="O149" s="89" t="s">
        <v>2286</v>
      </c>
      <c r="P149" s="55">
        <v>46699</v>
      </c>
      <c r="Q149" s="16" t="s">
        <v>83</v>
      </c>
      <c r="R149" s="16" t="s">
        <v>84</v>
      </c>
      <c r="S149" s="21">
        <v>1961.6</v>
      </c>
      <c r="T149" s="21">
        <v>0</v>
      </c>
      <c r="U149" s="21">
        <v>0</v>
      </c>
      <c r="V149" s="147" t="s">
        <v>82</v>
      </c>
      <c r="W149" s="21">
        <v>0</v>
      </c>
      <c r="X149" s="147" t="s">
        <v>82</v>
      </c>
      <c r="Y149" s="21">
        <v>0</v>
      </c>
      <c r="Z149" s="90"/>
      <c r="AA149" s="55"/>
    </row>
    <row r="150" spans="1:27" x14ac:dyDescent="0.25">
      <c r="A150" s="26">
        <v>8138</v>
      </c>
      <c r="B150" s="106" t="s">
        <v>2287</v>
      </c>
      <c r="C150" s="11" t="s">
        <v>2288</v>
      </c>
      <c r="D150" s="55">
        <v>45344</v>
      </c>
      <c r="E150" s="55">
        <v>47900</v>
      </c>
      <c r="F150" s="72" t="s">
        <v>962</v>
      </c>
      <c r="G150" s="162" t="s">
        <v>3649</v>
      </c>
      <c r="H150" s="11"/>
      <c r="I150" s="11"/>
      <c r="J150" s="11"/>
      <c r="K150" s="26"/>
      <c r="L150" s="26" t="s">
        <v>2289</v>
      </c>
      <c r="M150" s="11"/>
      <c r="N150" s="12">
        <v>45715</v>
      </c>
      <c r="O150" s="89" t="s">
        <v>2290</v>
      </c>
      <c r="P150" s="55">
        <v>47900</v>
      </c>
      <c r="Q150" s="16" t="s">
        <v>83</v>
      </c>
      <c r="R150" s="16" t="s">
        <v>84</v>
      </c>
      <c r="S150" s="21">
        <v>23026.34</v>
      </c>
      <c r="T150" s="21">
        <v>0</v>
      </c>
      <c r="U150" s="21">
        <v>0</v>
      </c>
      <c r="V150" s="147" t="s">
        <v>82</v>
      </c>
      <c r="W150" s="21">
        <v>0</v>
      </c>
      <c r="X150" s="147" t="s">
        <v>1846</v>
      </c>
      <c r="Y150" s="21">
        <v>0</v>
      </c>
      <c r="Z150" s="90"/>
      <c r="AA150" s="55"/>
    </row>
    <row r="151" spans="1:27" ht="13.2" customHeight="1" x14ac:dyDescent="0.25">
      <c r="A151" s="26">
        <v>8138</v>
      </c>
      <c r="B151" s="106" t="s">
        <v>2291</v>
      </c>
      <c r="C151" s="11" t="s">
        <v>2292</v>
      </c>
      <c r="D151" s="55">
        <v>45474</v>
      </c>
      <c r="E151" s="55">
        <v>46568</v>
      </c>
      <c r="F151" s="72" t="s">
        <v>1743</v>
      </c>
      <c r="G151" s="162" t="s">
        <v>3650</v>
      </c>
      <c r="H151" s="11"/>
      <c r="I151" s="11"/>
      <c r="J151" s="11"/>
      <c r="K151" s="26"/>
      <c r="L151" s="26"/>
      <c r="M151" s="11"/>
      <c r="N151" s="12">
        <v>45715</v>
      </c>
      <c r="O151" s="89" t="s">
        <v>2293</v>
      </c>
      <c r="P151" s="55">
        <v>46568</v>
      </c>
      <c r="Q151" s="16" t="s">
        <v>83</v>
      </c>
      <c r="R151" s="16" t="s">
        <v>84</v>
      </c>
      <c r="S151" s="21">
        <v>9841.8799999999992</v>
      </c>
      <c r="T151" s="21">
        <v>0</v>
      </c>
      <c r="U151" s="21">
        <v>984.19</v>
      </c>
      <c r="V151" s="147" t="s">
        <v>1751</v>
      </c>
      <c r="W151" s="21">
        <v>1968.38</v>
      </c>
      <c r="X151" s="147" t="s">
        <v>1745</v>
      </c>
      <c r="Y151" s="21">
        <v>0</v>
      </c>
      <c r="Z151" s="90"/>
      <c r="AA151" s="55"/>
    </row>
    <row r="152" spans="1:27" ht="13.2" customHeight="1" x14ac:dyDescent="0.25">
      <c r="A152" s="26">
        <v>8138</v>
      </c>
      <c r="B152" s="106" t="s">
        <v>2294</v>
      </c>
      <c r="C152" s="11" t="s">
        <v>2295</v>
      </c>
      <c r="D152" s="55">
        <v>45407</v>
      </c>
      <c r="E152" s="55">
        <v>47232</v>
      </c>
      <c r="F152" s="72" t="s">
        <v>1743</v>
      </c>
      <c r="G152" s="162" t="s">
        <v>3651</v>
      </c>
      <c r="H152" s="11"/>
      <c r="I152" s="11"/>
      <c r="J152" s="11"/>
      <c r="K152" s="26"/>
      <c r="L152" s="26" t="s">
        <v>2296</v>
      </c>
      <c r="M152" s="11"/>
      <c r="N152" s="12">
        <v>45742</v>
      </c>
      <c r="O152" s="89" t="s">
        <v>2297</v>
      </c>
      <c r="P152" s="55">
        <v>47232</v>
      </c>
      <c r="Q152" s="16" t="s">
        <v>83</v>
      </c>
      <c r="R152" s="16" t="s">
        <v>84</v>
      </c>
      <c r="S152" s="21">
        <v>32608.05</v>
      </c>
      <c r="T152" s="21">
        <v>0</v>
      </c>
      <c r="U152" s="21">
        <v>3758.72</v>
      </c>
      <c r="V152" s="147" t="s">
        <v>1745</v>
      </c>
      <c r="W152" s="21">
        <v>6264.52</v>
      </c>
      <c r="X152" s="147" t="s">
        <v>1745</v>
      </c>
      <c r="Y152" s="21">
        <v>0</v>
      </c>
      <c r="Z152" s="90"/>
      <c r="AA152" s="55"/>
    </row>
    <row r="153" spans="1:27" ht="13.2" customHeight="1" x14ac:dyDescent="0.25">
      <c r="A153" s="26">
        <v>8138</v>
      </c>
      <c r="B153" s="106" t="s">
        <v>2298</v>
      </c>
      <c r="C153" s="11" t="s">
        <v>2299</v>
      </c>
      <c r="D153" s="55">
        <v>45658</v>
      </c>
      <c r="E153" s="55">
        <v>46752</v>
      </c>
      <c r="F153" s="72" t="s">
        <v>1743</v>
      </c>
      <c r="G153" s="162" t="s">
        <v>3652</v>
      </c>
      <c r="H153" s="11"/>
      <c r="I153" s="11"/>
      <c r="J153" s="11"/>
      <c r="K153" s="26"/>
      <c r="L153" s="26">
        <v>5000223</v>
      </c>
      <c r="M153" s="11"/>
      <c r="N153" s="12">
        <v>45743</v>
      </c>
      <c r="O153" s="89" t="s">
        <v>2300</v>
      </c>
      <c r="P153" s="55">
        <v>46752</v>
      </c>
      <c r="Q153" s="16" t="s">
        <v>83</v>
      </c>
      <c r="R153" s="16" t="s">
        <v>84</v>
      </c>
      <c r="S153" s="21">
        <v>5889.43</v>
      </c>
      <c r="T153" s="21">
        <v>0</v>
      </c>
      <c r="U153" s="21">
        <v>588.94000000000005</v>
      </c>
      <c r="V153" s="147" t="s">
        <v>1751</v>
      </c>
      <c r="W153" s="21">
        <v>1210.0899999999999</v>
      </c>
      <c r="X153" s="147" t="s">
        <v>1745</v>
      </c>
      <c r="Y153" s="21">
        <v>0</v>
      </c>
      <c r="Z153" s="90"/>
      <c r="AA153" s="55"/>
    </row>
    <row r="154" spans="1:27" ht="13.2" customHeight="1" x14ac:dyDescent="0.25">
      <c r="A154" s="26">
        <v>8138</v>
      </c>
      <c r="B154" s="106" t="s">
        <v>2301</v>
      </c>
      <c r="C154" s="11" t="s">
        <v>2302</v>
      </c>
      <c r="D154" s="55">
        <v>45597</v>
      </c>
      <c r="E154" s="55">
        <v>46477</v>
      </c>
      <c r="F154" s="72" t="s">
        <v>1743</v>
      </c>
      <c r="G154" s="162" t="s">
        <v>3653</v>
      </c>
      <c r="H154" s="11"/>
      <c r="I154" s="11"/>
      <c r="J154" s="11"/>
      <c r="K154" s="26"/>
      <c r="L154" s="26"/>
      <c r="M154" s="11"/>
      <c r="N154" s="12">
        <v>45744</v>
      </c>
      <c r="O154" s="89" t="s">
        <v>2303</v>
      </c>
      <c r="P154" s="55">
        <v>46477</v>
      </c>
      <c r="Q154" s="16" t="s">
        <v>83</v>
      </c>
      <c r="R154" s="16" t="s">
        <v>84</v>
      </c>
      <c r="S154" s="21">
        <v>5176.24</v>
      </c>
      <c r="T154" s="21">
        <v>0</v>
      </c>
      <c r="U154" s="21">
        <v>0</v>
      </c>
      <c r="V154" s="147" t="s">
        <v>82</v>
      </c>
      <c r="W154" s="21">
        <v>575.14</v>
      </c>
      <c r="X154" s="147" t="s">
        <v>1745</v>
      </c>
      <c r="Y154" s="21">
        <v>0</v>
      </c>
      <c r="Z154" s="90"/>
      <c r="AA154" s="55"/>
    </row>
    <row r="155" spans="1:27" ht="13.2" customHeight="1" x14ac:dyDescent="0.25">
      <c r="A155" s="26">
        <v>8138</v>
      </c>
      <c r="B155" s="106" t="s">
        <v>2304</v>
      </c>
      <c r="C155" s="11" t="s">
        <v>2305</v>
      </c>
      <c r="D155" s="55">
        <v>45292</v>
      </c>
      <c r="E155" s="55">
        <v>46477</v>
      </c>
      <c r="F155" s="72" t="s">
        <v>1743</v>
      </c>
      <c r="G155" s="162" t="s">
        <v>3654</v>
      </c>
      <c r="H155" s="11"/>
      <c r="I155" s="11"/>
      <c r="J155" s="11"/>
      <c r="K155" s="26"/>
      <c r="L155" s="26" t="s">
        <v>2306</v>
      </c>
      <c r="M155" s="11"/>
      <c r="N155" s="12">
        <v>45804</v>
      </c>
      <c r="O155" s="89" t="s">
        <v>2307</v>
      </c>
      <c r="P155" s="55">
        <v>46477</v>
      </c>
      <c r="Q155" s="16" t="s">
        <v>83</v>
      </c>
      <c r="R155" s="16" t="s">
        <v>84</v>
      </c>
      <c r="S155" s="21">
        <v>18000</v>
      </c>
      <c r="T155" s="21">
        <v>0</v>
      </c>
      <c r="U155" s="21">
        <v>0</v>
      </c>
      <c r="V155" s="147"/>
      <c r="W155" s="21">
        <v>333.2</v>
      </c>
      <c r="X155" s="147"/>
      <c r="Y155" s="21">
        <v>0</v>
      </c>
      <c r="Z155" s="90"/>
      <c r="AA155" s="55"/>
    </row>
    <row r="156" spans="1:27" ht="13.2" customHeight="1" x14ac:dyDescent="0.25">
      <c r="A156" s="26">
        <v>8138</v>
      </c>
      <c r="B156" s="106" t="s">
        <v>2308</v>
      </c>
      <c r="C156" s="11" t="s">
        <v>2309</v>
      </c>
      <c r="D156" s="55">
        <v>45931</v>
      </c>
      <c r="E156" s="55">
        <v>46340</v>
      </c>
      <c r="F156" s="72" t="s">
        <v>962</v>
      </c>
      <c r="G156" s="162" t="s">
        <v>3655</v>
      </c>
      <c r="H156" s="11"/>
      <c r="I156" s="11"/>
      <c r="J156" s="11"/>
      <c r="K156" s="26"/>
      <c r="L156" s="26" t="s">
        <v>1279</v>
      </c>
      <c r="M156" s="11"/>
      <c r="N156" s="12">
        <v>45957</v>
      </c>
      <c r="O156" s="89" t="s">
        <v>2310</v>
      </c>
      <c r="P156" s="55" t="s">
        <v>82</v>
      </c>
      <c r="Q156" s="16" t="s">
        <v>83</v>
      </c>
      <c r="R156" s="16" t="s">
        <v>84</v>
      </c>
      <c r="S156" s="21">
        <v>1013</v>
      </c>
      <c r="T156" s="21">
        <v>0</v>
      </c>
      <c r="U156" s="21">
        <v>0</v>
      </c>
      <c r="V156" s="147"/>
      <c r="W156" s="21">
        <v>0</v>
      </c>
      <c r="X156" s="147"/>
      <c r="Y156" s="21">
        <v>0</v>
      </c>
      <c r="Z156" s="90"/>
      <c r="AA156" s="55"/>
    </row>
    <row r="157" spans="1:27" ht="13.2" customHeight="1" x14ac:dyDescent="0.25">
      <c r="A157" s="26">
        <v>8138</v>
      </c>
      <c r="B157" s="106" t="s">
        <v>2311</v>
      </c>
      <c r="C157" s="11" t="s">
        <v>2312</v>
      </c>
      <c r="D157" s="55">
        <v>45658</v>
      </c>
      <c r="E157" s="55">
        <v>47483</v>
      </c>
      <c r="F157" s="72" t="s">
        <v>1743</v>
      </c>
      <c r="G157" s="162" t="s">
        <v>3656</v>
      </c>
      <c r="H157" s="11"/>
      <c r="I157" s="11"/>
      <c r="J157" s="11"/>
      <c r="K157" s="26"/>
      <c r="L157" s="26" t="s">
        <v>2313</v>
      </c>
      <c r="M157" s="11"/>
      <c r="N157" s="12">
        <v>45806</v>
      </c>
      <c r="O157" s="89" t="s">
        <v>2314</v>
      </c>
      <c r="P157" s="55">
        <v>47483</v>
      </c>
      <c r="Q157" s="16" t="s">
        <v>83</v>
      </c>
      <c r="R157" s="16" t="s">
        <v>84</v>
      </c>
      <c r="S157" s="21">
        <v>14196.92</v>
      </c>
      <c r="T157" s="21">
        <v>0</v>
      </c>
      <c r="U157" s="21">
        <v>1419.69</v>
      </c>
      <c r="V157" s="147"/>
      <c r="W157" s="21">
        <v>709.85</v>
      </c>
      <c r="X157" s="147"/>
      <c r="Y157" s="21">
        <v>0</v>
      </c>
      <c r="Z157" s="90"/>
      <c r="AA157" s="55"/>
    </row>
    <row r="158" spans="1:27" ht="13.2" customHeight="1" x14ac:dyDescent="0.25">
      <c r="A158" s="26">
        <v>8138</v>
      </c>
      <c r="B158" s="106" t="s">
        <v>2315</v>
      </c>
      <c r="C158" s="11" t="s">
        <v>2316</v>
      </c>
      <c r="D158" s="55">
        <v>45631</v>
      </c>
      <c r="E158" s="55">
        <v>47456</v>
      </c>
      <c r="F158" s="72" t="s">
        <v>1743</v>
      </c>
      <c r="G158" s="162" t="s">
        <v>3657</v>
      </c>
      <c r="H158" s="11"/>
      <c r="I158" s="11"/>
      <c r="J158" s="11"/>
      <c r="K158" s="26"/>
      <c r="L158" s="26" t="s">
        <v>2317</v>
      </c>
      <c r="M158" s="11"/>
      <c r="N158" s="12">
        <v>45806</v>
      </c>
      <c r="O158" s="89" t="s">
        <v>2318</v>
      </c>
      <c r="P158" s="55">
        <v>47456</v>
      </c>
      <c r="Q158" s="16" t="s">
        <v>83</v>
      </c>
      <c r="R158" s="16" t="s">
        <v>84</v>
      </c>
      <c r="S158" s="21">
        <v>15494.650000000001</v>
      </c>
      <c r="T158" s="21">
        <v>0</v>
      </c>
      <c r="U158" s="21">
        <v>0</v>
      </c>
      <c r="V158" s="147"/>
      <c r="W158" s="21">
        <v>0</v>
      </c>
      <c r="X158" s="147"/>
      <c r="Y158" s="21">
        <v>0</v>
      </c>
      <c r="Z158" s="90"/>
      <c r="AA158" s="55"/>
    </row>
    <row r="159" spans="1:27" x14ac:dyDescent="0.25">
      <c r="A159" s="26">
        <v>8138</v>
      </c>
      <c r="B159" s="106" t="s">
        <v>2319</v>
      </c>
      <c r="C159" s="11" t="s">
        <v>2320</v>
      </c>
      <c r="D159" s="55">
        <v>45566</v>
      </c>
      <c r="E159" s="55">
        <v>47391</v>
      </c>
      <c r="F159" s="72" t="s">
        <v>962</v>
      </c>
      <c r="G159" s="162" t="s">
        <v>3658</v>
      </c>
      <c r="H159" s="11"/>
      <c r="I159" s="11"/>
      <c r="J159" s="11"/>
      <c r="K159" s="26"/>
      <c r="L159" s="26" t="s">
        <v>2321</v>
      </c>
      <c r="M159" s="11"/>
      <c r="N159" s="12">
        <v>45806</v>
      </c>
      <c r="O159" s="89" t="s">
        <v>2322</v>
      </c>
      <c r="P159" s="55">
        <v>47391</v>
      </c>
      <c r="Q159" s="16" t="s">
        <v>83</v>
      </c>
      <c r="R159" s="16" t="s">
        <v>84</v>
      </c>
      <c r="S159" s="21">
        <v>6000</v>
      </c>
      <c r="T159" s="21">
        <v>0</v>
      </c>
      <c r="U159" s="21">
        <v>0</v>
      </c>
      <c r="V159" s="147"/>
      <c r="W159" s="21">
        <v>0</v>
      </c>
      <c r="X159" s="147"/>
      <c r="Y159" s="21">
        <v>0</v>
      </c>
      <c r="Z159" s="16"/>
      <c r="AA159" s="55"/>
    </row>
    <row r="160" spans="1:27" x14ac:dyDescent="0.25">
      <c r="A160" s="26">
        <v>8138</v>
      </c>
      <c r="B160" s="106" t="s">
        <v>2327</v>
      </c>
      <c r="C160" s="11" t="s">
        <v>2328</v>
      </c>
      <c r="D160" s="55">
        <v>45383</v>
      </c>
      <c r="E160" s="55">
        <v>47208</v>
      </c>
      <c r="F160" s="72" t="s">
        <v>1743</v>
      </c>
      <c r="G160" s="162" t="s">
        <v>3659</v>
      </c>
      <c r="H160" s="11"/>
      <c r="I160" s="11"/>
      <c r="J160" s="11"/>
      <c r="K160" s="26"/>
      <c r="L160" s="26" t="s">
        <v>1520</v>
      </c>
      <c r="M160" s="11"/>
      <c r="N160" s="12">
        <v>45869</v>
      </c>
      <c r="O160" s="89" t="s">
        <v>2329</v>
      </c>
      <c r="P160" s="55">
        <v>47208</v>
      </c>
      <c r="Q160" s="16" t="s">
        <v>83</v>
      </c>
      <c r="R160" s="16" t="s">
        <v>84</v>
      </c>
      <c r="S160" s="21">
        <v>30330.04</v>
      </c>
      <c r="T160" s="21">
        <v>0</v>
      </c>
      <c r="U160" s="21">
        <v>3033</v>
      </c>
      <c r="V160" s="147"/>
      <c r="W160" s="21">
        <v>6175.8</v>
      </c>
      <c r="X160" s="147"/>
      <c r="Y160" s="21">
        <v>0</v>
      </c>
      <c r="Z160" s="16"/>
      <c r="AA160" s="55"/>
    </row>
    <row r="161" spans="1:27" x14ac:dyDescent="0.25">
      <c r="A161" s="26">
        <v>8138</v>
      </c>
      <c r="B161" s="106" t="s">
        <v>2330</v>
      </c>
      <c r="C161" s="11" t="s">
        <v>2331</v>
      </c>
      <c r="D161" s="55">
        <v>45689</v>
      </c>
      <c r="E161" s="55">
        <v>46783</v>
      </c>
      <c r="F161" s="72" t="s">
        <v>1743</v>
      </c>
      <c r="G161" s="162" t="s">
        <v>3660</v>
      </c>
      <c r="H161" s="11"/>
      <c r="I161" s="11"/>
      <c r="J161" s="11"/>
      <c r="K161" s="26"/>
      <c r="L161" s="26" t="s">
        <v>448</v>
      </c>
      <c r="M161" s="11"/>
      <c r="N161" s="12">
        <v>45869</v>
      </c>
      <c r="O161" s="89" t="s">
        <v>2332</v>
      </c>
      <c r="P161" s="55">
        <v>46783</v>
      </c>
      <c r="Q161" s="16" t="s">
        <v>83</v>
      </c>
      <c r="R161" s="16" t="s">
        <v>84</v>
      </c>
      <c r="S161" s="21">
        <v>7811.36</v>
      </c>
      <c r="T161" s="21">
        <v>0</v>
      </c>
      <c r="U161" s="21">
        <v>0</v>
      </c>
      <c r="V161" s="147"/>
      <c r="W161" s="21">
        <v>2714.67</v>
      </c>
      <c r="X161" s="147"/>
      <c r="Y161" s="21">
        <v>0</v>
      </c>
      <c r="Z161" s="16"/>
      <c r="AA161" s="55"/>
    </row>
    <row r="162" spans="1:27" x14ac:dyDescent="0.25">
      <c r="A162" s="26">
        <v>8138</v>
      </c>
      <c r="B162" s="106" t="s">
        <v>2333</v>
      </c>
      <c r="C162" s="11" t="s">
        <v>2334</v>
      </c>
      <c r="D162" s="55">
        <v>45783</v>
      </c>
      <c r="E162" s="55">
        <v>47531</v>
      </c>
      <c r="F162" s="72" t="s">
        <v>1743</v>
      </c>
      <c r="G162" s="162" t="s">
        <v>3661</v>
      </c>
      <c r="H162" s="11"/>
      <c r="I162" s="11"/>
      <c r="J162" s="11"/>
      <c r="K162" s="26"/>
      <c r="L162" s="26" t="s">
        <v>910</v>
      </c>
      <c r="M162" s="11"/>
      <c r="N162" s="12">
        <v>45888</v>
      </c>
      <c r="O162" s="89" t="s">
        <v>2335</v>
      </c>
      <c r="P162" s="55">
        <v>47531</v>
      </c>
      <c r="Q162" s="16" t="s">
        <v>83</v>
      </c>
      <c r="R162" s="16" t="s">
        <v>84</v>
      </c>
      <c r="S162" s="21">
        <v>6487.29</v>
      </c>
      <c r="T162" s="21">
        <v>0</v>
      </c>
      <c r="U162" s="21">
        <v>64.88</v>
      </c>
      <c r="V162" s="147"/>
      <c r="W162" s="21"/>
      <c r="X162" s="147"/>
      <c r="Y162" s="21">
        <v>0</v>
      </c>
      <c r="Z162" s="16"/>
      <c r="AA162" s="55"/>
    </row>
    <row r="163" spans="1:27" x14ac:dyDescent="0.25">
      <c r="A163" s="26">
        <v>8138</v>
      </c>
      <c r="B163" s="106" t="s">
        <v>2336</v>
      </c>
      <c r="C163" s="11" t="s">
        <v>2337</v>
      </c>
      <c r="D163" s="55">
        <v>45733</v>
      </c>
      <c r="E163" s="55">
        <v>47558</v>
      </c>
      <c r="F163" s="72" t="s">
        <v>1743</v>
      </c>
      <c r="G163" s="162" t="s">
        <v>3662</v>
      </c>
      <c r="H163" s="11"/>
      <c r="I163" s="11"/>
      <c r="J163" s="11"/>
      <c r="K163" s="26"/>
      <c r="L163" s="26" t="s">
        <v>2338</v>
      </c>
      <c r="M163" s="11"/>
      <c r="N163" s="12">
        <v>45890</v>
      </c>
      <c r="O163" s="89" t="s">
        <v>2339</v>
      </c>
      <c r="P163" s="55">
        <v>47558</v>
      </c>
      <c r="Q163" s="16" t="s">
        <v>83</v>
      </c>
      <c r="R163" s="16" t="s">
        <v>84</v>
      </c>
      <c r="S163" s="21">
        <v>12700.6</v>
      </c>
      <c r="T163" s="21">
        <v>0</v>
      </c>
      <c r="U163" s="21">
        <v>0</v>
      </c>
      <c r="V163" s="147"/>
      <c r="W163" s="21"/>
      <c r="X163" s="147"/>
      <c r="Y163" s="21">
        <v>0</v>
      </c>
      <c r="Z163" s="16"/>
      <c r="AA163" s="55"/>
    </row>
    <row r="164" spans="1:27" x14ac:dyDescent="0.25">
      <c r="A164" s="26">
        <v>8138</v>
      </c>
      <c r="B164" s="106" t="s">
        <v>2340</v>
      </c>
      <c r="C164" s="11" t="s">
        <v>2341</v>
      </c>
      <c r="D164" s="55">
        <v>45841</v>
      </c>
      <c r="E164" s="55">
        <v>47666</v>
      </c>
      <c r="F164" s="72" t="s">
        <v>1743</v>
      </c>
      <c r="G164" s="162" t="s">
        <v>3663</v>
      </c>
      <c r="H164" s="11"/>
      <c r="I164" s="11"/>
      <c r="J164" s="11"/>
      <c r="K164" s="26"/>
      <c r="L164" s="26" t="s">
        <v>2342</v>
      </c>
      <c r="M164" s="11"/>
      <c r="N164" s="12">
        <v>45890</v>
      </c>
      <c r="O164" s="89" t="s">
        <v>2343</v>
      </c>
      <c r="P164" s="55">
        <v>47665</v>
      </c>
      <c r="Q164" s="16" t="s">
        <v>83</v>
      </c>
      <c r="R164" s="16" t="s">
        <v>84</v>
      </c>
      <c r="S164" s="21">
        <v>10937.5</v>
      </c>
      <c r="T164" s="21">
        <v>0</v>
      </c>
      <c r="U164" s="21">
        <v>0</v>
      </c>
      <c r="V164" s="147"/>
      <c r="W164" s="21"/>
      <c r="X164" s="147"/>
      <c r="Y164" s="21">
        <v>0</v>
      </c>
      <c r="Z164" s="16"/>
      <c r="AA164" s="55"/>
    </row>
    <row r="165" spans="1:27" x14ac:dyDescent="0.25">
      <c r="A165" s="26">
        <v>8138</v>
      </c>
      <c r="B165" s="106" t="s">
        <v>2344</v>
      </c>
      <c r="C165" s="11" t="s">
        <v>2345</v>
      </c>
      <c r="D165" s="55">
        <v>45597</v>
      </c>
      <c r="E165" s="55">
        <v>46691</v>
      </c>
      <c r="F165" s="72" t="s">
        <v>1743</v>
      </c>
      <c r="G165" s="162" t="s">
        <v>3664</v>
      </c>
      <c r="H165" s="11"/>
      <c r="I165" s="11"/>
      <c r="J165" s="11"/>
      <c r="K165" s="26"/>
      <c r="L165" s="26"/>
      <c r="M165" s="11"/>
      <c r="N165" s="12">
        <v>45895</v>
      </c>
      <c r="O165" s="89" t="s">
        <v>2346</v>
      </c>
      <c r="P165" s="55">
        <v>46691</v>
      </c>
      <c r="Q165" s="16" t="s">
        <v>83</v>
      </c>
      <c r="R165" s="16" t="s">
        <v>84</v>
      </c>
      <c r="S165" s="21">
        <v>55726.53</v>
      </c>
      <c r="T165" s="21">
        <v>0</v>
      </c>
      <c r="U165" s="21">
        <v>3106.05</v>
      </c>
      <c r="V165" s="147"/>
      <c r="W165" s="21">
        <v>7393.52</v>
      </c>
      <c r="X165" s="147"/>
      <c r="Y165" s="21">
        <v>0</v>
      </c>
      <c r="Z165" s="16"/>
      <c r="AA165" s="55"/>
    </row>
    <row r="166" spans="1:27" x14ac:dyDescent="0.25">
      <c r="A166" s="26">
        <v>8138</v>
      </c>
      <c r="B166" s="106" t="s">
        <v>2347</v>
      </c>
      <c r="C166" s="11" t="s">
        <v>2348</v>
      </c>
      <c r="D166" s="55">
        <v>45748</v>
      </c>
      <c r="E166" s="55">
        <v>46843</v>
      </c>
      <c r="F166" s="72" t="s">
        <v>1743</v>
      </c>
      <c r="G166" s="162" t="s">
        <v>3665</v>
      </c>
      <c r="H166" s="11"/>
      <c r="I166" s="11"/>
      <c r="J166" s="11"/>
      <c r="K166" s="26"/>
      <c r="L166" s="26" t="s">
        <v>2349</v>
      </c>
      <c r="M166" s="11"/>
      <c r="N166" s="12">
        <v>45911</v>
      </c>
      <c r="O166" s="89" t="s">
        <v>2350</v>
      </c>
      <c r="P166" s="55">
        <v>46843</v>
      </c>
      <c r="Q166" s="16" t="s">
        <v>83</v>
      </c>
      <c r="R166" s="16" t="s">
        <v>84</v>
      </c>
      <c r="S166" s="21">
        <v>17450.75</v>
      </c>
      <c r="T166" s="21">
        <v>0</v>
      </c>
      <c r="U166" s="21">
        <v>1844.87</v>
      </c>
      <c r="V166" s="147"/>
      <c r="W166" s="21">
        <v>3074.79</v>
      </c>
      <c r="X166" s="147"/>
      <c r="Y166" s="21">
        <v>0</v>
      </c>
      <c r="Z166" s="16"/>
      <c r="AA166" s="55"/>
    </row>
    <row r="167" spans="1:27" x14ac:dyDescent="0.25">
      <c r="A167" s="26">
        <v>8138</v>
      </c>
      <c r="B167" s="106" t="s">
        <v>2351</v>
      </c>
      <c r="C167" s="11" t="s">
        <v>2352</v>
      </c>
      <c r="D167" s="55">
        <v>45748</v>
      </c>
      <c r="E167" s="55">
        <v>47573</v>
      </c>
      <c r="F167" s="72" t="s">
        <v>1743</v>
      </c>
      <c r="G167" s="162" t="s">
        <v>3666</v>
      </c>
      <c r="H167" s="11"/>
      <c r="I167" s="11"/>
      <c r="J167" s="11"/>
      <c r="K167" s="26"/>
      <c r="L167" s="26" t="s">
        <v>2353</v>
      </c>
      <c r="M167" s="11"/>
      <c r="N167" s="12">
        <v>45927</v>
      </c>
      <c r="O167" s="89" t="s">
        <v>2354</v>
      </c>
      <c r="P167" s="55">
        <v>47573</v>
      </c>
      <c r="Q167" s="16" t="s">
        <v>83</v>
      </c>
      <c r="R167" s="16" t="s">
        <v>84</v>
      </c>
      <c r="S167" s="21">
        <v>7283.18</v>
      </c>
      <c r="T167" s="21">
        <v>0</v>
      </c>
      <c r="U167" s="21">
        <v>0</v>
      </c>
      <c r="V167" s="147"/>
      <c r="W167" s="21"/>
      <c r="X167" s="147"/>
      <c r="Y167" s="21">
        <v>0</v>
      </c>
      <c r="Z167" s="16"/>
      <c r="AA167" s="55"/>
    </row>
    <row r="168" spans="1:27" x14ac:dyDescent="0.25">
      <c r="A168" s="26">
        <v>8138</v>
      </c>
      <c r="B168" s="106" t="s">
        <v>2355</v>
      </c>
      <c r="C168" s="11" t="s">
        <v>2356</v>
      </c>
      <c r="D168" s="55">
        <v>45809</v>
      </c>
      <c r="E168" s="55">
        <v>47634</v>
      </c>
      <c r="F168" s="72" t="s">
        <v>962</v>
      </c>
      <c r="G168" s="162" t="s">
        <v>3667</v>
      </c>
      <c r="H168" s="11"/>
      <c r="I168" s="11"/>
      <c r="J168" s="11"/>
      <c r="K168" s="26"/>
      <c r="L168" s="26" t="s">
        <v>848</v>
      </c>
      <c r="M168" s="11"/>
      <c r="N168" s="12">
        <v>45927</v>
      </c>
      <c r="O168" s="89" t="s">
        <v>2357</v>
      </c>
      <c r="P168" s="55">
        <v>47634</v>
      </c>
      <c r="Q168" s="16" t="s">
        <v>83</v>
      </c>
      <c r="R168" s="16" t="s">
        <v>84</v>
      </c>
      <c r="S168" s="21">
        <v>4200</v>
      </c>
      <c r="T168" s="21">
        <v>0</v>
      </c>
      <c r="U168" s="21">
        <v>0</v>
      </c>
      <c r="V168" s="147"/>
      <c r="W168" s="21"/>
      <c r="X168" s="147"/>
      <c r="Y168" s="21">
        <v>0</v>
      </c>
      <c r="Z168" s="16"/>
      <c r="AA168" s="55"/>
    </row>
    <row r="169" spans="1:27" x14ac:dyDescent="0.25">
      <c r="A169" s="26">
        <v>8138</v>
      </c>
      <c r="B169" s="106" t="s">
        <v>2358</v>
      </c>
      <c r="C169" s="11" t="s">
        <v>2359</v>
      </c>
      <c r="D169" s="55">
        <v>45931</v>
      </c>
      <c r="E169" s="55">
        <v>47817</v>
      </c>
      <c r="F169" s="72" t="s">
        <v>1743</v>
      </c>
      <c r="G169" s="162" t="s">
        <v>3668</v>
      </c>
      <c r="H169" s="11"/>
      <c r="I169" s="11"/>
      <c r="J169" s="11"/>
      <c r="K169" s="26"/>
      <c r="L169" s="26" t="s">
        <v>910</v>
      </c>
      <c r="M169" s="11"/>
      <c r="N169" s="109">
        <v>45951</v>
      </c>
      <c r="O169" s="89" t="s">
        <v>2360</v>
      </c>
      <c r="P169" s="55">
        <v>47817</v>
      </c>
      <c r="Q169" s="16" t="s">
        <v>83</v>
      </c>
      <c r="R169" s="16" t="s">
        <v>84</v>
      </c>
      <c r="S169" s="21">
        <v>6957.9</v>
      </c>
      <c r="T169" s="21">
        <v>0</v>
      </c>
      <c r="U169" s="21">
        <v>0</v>
      </c>
      <c r="V169" s="147"/>
      <c r="W169" s="21">
        <v>1803.9</v>
      </c>
      <c r="X169" s="147"/>
      <c r="Y169" s="21">
        <v>0</v>
      </c>
      <c r="Z169" s="16"/>
      <c r="AA169" s="55"/>
    </row>
    <row r="170" spans="1:27" x14ac:dyDescent="0.25">
      <c r="A170" s="26">
        <v>8138</v>
      </c>
      <c r="B170" s="106" t="s">
        <v>2361</v>
      </c>
      <c r="C170" s="11" t="s">
        <v>2362</v>
      </c>
      <c r="D170" s="55">
        <v>45413</v>
      </c>
      <c r="E170" s="55">
        <v>47238</v>
      </c>
      <c r="F170" s="72" t="s">
        <v>1743</v>
      </c>
      <c r="G170" s="162" t="s">
        <v>3669</v>
      </c>
      <c r="H170" s="11"/>
      <c r="I170" s="11"/>
      <c r="J170" s="11"/>
      <c r="K170" s="26"/>
      <c r="L170" s="26" t="s">
        <v>2363</v>
      </c>
      <c r="M170" s="11"/>
      <c r="N170" s="12">
        <v>45952</v>
      </c>
      <c r="O170" s="89" t="s">
        <v>2364</v>
      </c>
      <c r="P170" s="55">
        <v>47238</v>
      </c>
      <c r="Q170" s="16" t="s">
        <v>83</v>
      </c>
      <c r="R170" s="16" t="s">
        <v>84</v>
      </c>
      <c r="S170" s="21">
        <v>9957.82</v>
      </c>
      <c r="T170" s="21">
        <v>0</v>
      </c>
      <c r="U170" s="21">
        <v>0</v>
      </c>
      <c r="V170" s="147"/>
      <c r="W170" s="21">
        <v>1991.56</v>
      </c>
      <c r="X170" s="147"/>
      <c r="Y170" s="21">
        <v>0</v>
      </c>
      <c r="Z170" s="16"/>
      <c r="AA170" s="55"/>
    </row>
    <row r="171" spans="1:27" x14ac:dyDescent="0.25">
      <c r="A171" s="26">
        <v>8138</v>
      </c>
      <c r="B171" s="106" t="s">
        <v>2365</v>
      </c>
      <c r="C171" s="11" t="s">
        <v>2366</v>
      </c>
      <c r="D171" s="55">
        <v>45931</v>
      </c>
      <c r="E171" s="55">
        <v>47026</v>
      </c>
      <c r="F171" s="72" t="s">
        <v>1743</v>
      </c>
      <c r="G171" s="162" t="s">
        <v>3670</v>
      </c>
      <c r="H171" s="11"/>
      <c r="I171" s="11"/>
      <c r="J171" s="11"/>
      <c r="K171" s="26"/>
      <c r="L171" s="26" t="s">
        <v>2367</v>
      </c>
      <c r="M171" s="11"/>
      <c r="N171" s="12">
        <v>45952</v>
      </c>
      <c r="O171" s="89" t="s">
        <v>2368</v>
      </c>
      <c r="P171" s="55">
        <v>47026</v>
      </c>
      <c r="Q171" s="16" t="s">
        <v>83</v>
      </c>
      <c r="R171" s="16" t="s">
        <v>84</v>
      </c>
      <c r="S171" s="21">
        <v>25720</v>
      </c>
      <c r="T171" s="21">
        <v>0</v>
      </c>
      <c r="U171" s="21">
        <v>2409.0700000000002</v>
      </c>
      <c r="V171" s="147"/>
      <c r="W171" s="21">
        <v>3971.71</v>
      </c>
      <c r="X171" s="147"/>
      <c r="Y171" s="21">
        <v>0</v>
      </c>
      <c r="Z171" s="16"/>
      <c r="AA171" s="55"/>
    </row>
    <row r="172" spans="1:27" x14ac:dyDescent="0.25">
      <c r="A172" s="26">
        <v>8138</v>
      </c>
      <c r="B172" s="106" t="s">
        <v>2369</v>
      </c>
      <c r="C172" s="11" t="s">
        <v>2370</v>
      </c>
      <c r="D172" s="55">
        <v>45931</v>
      </c>
      <c r="E172" s="55">
        <v>47118</v>
      </c>
      <c r="F172" s="72" t="s">
        <v>962</v>
      </c>
      <c r="G172" s="162" t="s">
        <v>3671</v>
      </c>
      <c r="H172" s="11"/>
      <c r="I172" s="11"/>
      <c r="J172" s="11"/>
      <c r="K172" s="26"/>
      <c r="L172" s="26" t="s">
        <v>1691</v>
      </c>
      <c r="M172" s="11"/>
      <c r="N172" s="12">
        <v>45954</v>
      </c>
      <c r="O172" s="89" t="s">
        <v>2371</v>
      </c>
      <c r="P172" s="55" t="s">
        <v>82</v>
      </c>
      <c r="Q172" s="16" t="s">
        <v>83</v>
      </c>
      <c r="R172" s="16" t="s">
        <v>84</v>
      </c>
      <c r="S172" s="21">
        <v>3689.63</v>
      </c>
      <c r="T172" s="21">
        <v>0</v>
      </c>
      <c r="U172" s="21">
        <v>0</v>
      </c>
      <c r="V172" s="147"/>
      <c r="W172" s="21">
        <v>0</v>
      </c>
      <c r="X172" s="147"/>
      <c r="Y172" s="21">
        <v>0</v>
      </c>
      <c r="Z172" s="16"/>
      <c r="AA172" s="55"/>
    </row>
    <row r="173" spans="1:27" x14ac:dyDescent="0.25">
      <c r="A173" s="26">
        <v>8138</v>
      </c>
      <c r="B173" s="106" t="s">
        <v>2372</v>
      </c>
      <c r="C173" s="11" t="s">
        <v>2373</v>
      </c>
      <c r="D173" s="55">
        <v>45931</v>
      </c>
      <c r="E173" s="55">
        <v>46811</v>
      </c>
      <c r="F173" s="72" t="s">
        <v>962</v>
      </c>
      <c r="G173" s="162" t="s">
        <v>3672</v>
      </c>
      <c r="H173" s="11"/>
      <c r="I173" s="11"/>
      <c r="J173" s="11"/>
      <c r="K173" s="26"/>
      <c r="L173" s="26" t="s">
        <v>2374</v>
      </c>
      <c r="M173" s="11"/>
      <c r="N173" s="12">
        <v>45954</v>
      </c>
      <c r="O173" s="89" t="s">
        <v>2375</v>
      </c>
      <c r="P173" s="55" t="s">
        <v>82</v>
      </c>
      <c r="Q173" s="16" t="s">
        <v>83</v>
      </c>
      <c r="R173" s="16" t="s">
        <v>84</v>
      </c>
      <c r="S173" s="21">
        <v>2300</v>
      </c>
      <c r="T173" s="21">
        <v>0</v>
      </c>
      <c r="U173" s="21">
        <v>0</v>
      </c>
      <c r="V173" s="147"/>
      <c r="W173" s="21">
        <v>0</v>
      </c>
      <c r="X173" s="147"/>
      <c r="Y173" s="21">
        <v>0</v>
      </c>
      <c r="Z173" s="16"/>
      <c r="AA173" s="55"/>
    </row>
    <row r="174" spans="1:27" x14ac:dyDescent="0.25">
      <c r="A174" s="26">
        <v>8138</v>
      </c>
      <c r="B174" s="106" t="s">
        <v>2376</v>
      </c>
      <c r="C174" s="11" t="s">
        <v>2377</v>
      </c>
      <c r="D174" s="55">
        <v>45931</v>
      </c>
      <c r="E174" s="55">
        <v>46234</v>
      </c>
      <c r="F174" s="72" t="s">
        <v>962</v>
      </c>
      <c r="G174" s="162" t="s">
        <v>3673</v>
      </c>
      <c r="H174" s="11"/>
      <c r="I174" s="11"/>
      <c r="J174" s="11"/>
      <c r="K174" s="26"/>
      <c r="L174" s="26" t="s">
        <v>2378</v>
      </c>
      <c r="M174" s="11"/>
      <c r="N174" s="12">
        <v>45954</v>
      </c>
      <c r="O174" s="89" t="s">
        <v>2379</v>
      </c>
      <c r="P174" s="55" t="s">
        <v>82</v>
      </c>
      <c r="Q174" s="16" t="s">
        <v>83</v>
      </c>
      <c r="R174" s="16" t="s">
        <v>84</v>
      </c>
      <c r="S174" s="21">
        <v>3100</v>
      </c>
      <c r="T174" s="21">
        <v>0</v>
      </c>
      <c r="U174" s="21">
        <v>0</v>
      </c>
      <c r="V174" s="147"/>
      <c r="W174" s="21">
        <v>0</v>
      </c>
      <c r="X174" s="147"/>
      <c r="Y174" s="21">
        <v>0</v>
      </c>
      <c r="Z174" s="16"/>
      <c r="AA174" s="55"/>
    </row>
    <row r="175" spans="1:27" x14ac:dyDescent="0.25">
      <c r="A175" s="26">
        <v>8138</v>
      </c>
      <c r="B175" s="106" t="s">
        <v>2380</v>
      </c>
      <c r="C175" s="11" t="s">
        <v>2381</v>
      </c>
      <c r="D175" s="55">
        <v>45931</v>
      </c>
      <c r="E175" s="55">
        <v>46783</v>
      </c>
      <c r="F175" s="72" t="s">
        <v>1743</v>
      </c>
      <c r="G175" s="162" t="s">
        <v>3674</v>
      </c>
      <c r="H175" s="11"/>
      <c r="I175" s="11"/>
      <c r="J175" s="11"/>
      <c r="K175" s="26"/>
      <c r="L175" s="26" t="s">
        <v>275</v>
      </c>
      <c r="M175" s="11"/>
      <c r="N175" s="12">
        <v>45957</v>
      </c>
      <c r="O175" s="89" t="s">
        <v>2382</v>
      </c>
      <c r="P175" s="55" t="s">
        <v>82</v>
      </c>
      <c r="Q175" s="16" t="s">
        <v>83</v>
      </c>
      <c r="R175" s="16" t="s">
        <v>84</v>
      </c>
      <c r="S175" s="21">
        <v>14732.33</v>
      </c>
      <c r="T175" s="21">
        <v>0</v>
      </c>
      <c r="U175" s="21">
        <v>0</v>
      </c>
      <c r="V175" s="147"/>
      <c r="W175" s="21">
        <v>2529.1999999999998</v>
      </c>
      <c r="X175" s="147"/>
      <c r="Y175" s="21">
        <v>0</v>
      </c>
      <c r="Z175" s="16"/>
      <c r="AA175" s="55"/>
    </row>
    <row r="176" spans="1:27" x14ac:dyDescent="0.25">
      <c r="A176" s="26">
        <v>8138</v>
      </c>
      <c r="B176" s="106" t="s">
        <v>2383</v>
      </c>
      <c r="C176" s="11" t="s">
        <v>2384</v>
      </c>
      <c r="D176" s="55">
        <v>45931</v>
      </c>
      <c r="E176" s="55">
        <v>46699</v>
      </c>
      <c r="F176" s="72" t="s">
        <v>962</v>
      </c>
      <c r="G176" s="162" t="s">
        <v>3675</v>
      </c>
      <c r="H176" s="11"/>
      <c r="I176" s="11"/>
      <c r="J176" s="11"/>
      <c r="K176" s="26"/>
      <c r="L176" s="26" t="s">
        <v>2385</v>
      </c>
      <c r="M176" s="11"/>
      <c r="N176" s="12">
        <v>45957</v>
      </c>
      <c r="O176" s="89" t="s">
        <v>2386</v>
      </c>
      <c r="P176" s="55" t="s">
        <v>82</v>
      </c>
      <c r="Q176" s="16" t="s">
        <v>83</v>
      </c>
      <c r="R176" s="16" t="s">
        <v>84</v>
      </c>
      <c r="S176" s="21">
        <v>1238.4000000000001</v>
      </c>
      <c r="T176" s="21">
        <v>0</v>
      </c>
      <c r="U176" s="21">
        <v>0</v>
      </c>
      <c r="V176" s="147"/>
      <c r="W176" s="21">
        <v>0</v>
      </c>
      <c r="X176" s="147"/>
      <c r="Y176" s="21">
        <v>0</v>
      </c>
      <c r="Z176" s="16"/>
      <c r="AA176" s="55"/>
    </row>
    <row r="177" spans="1:27" x14ac:dyDescent="0.25">
      <c r="A177" s="26">
        <v>8138</v>
      </c>
      <c r="B177" s="106" t="s">
        <v>2387</v>
      </c>
      <c r="C177" s="11" t="s">
        <v>2388</v>
      </c>
      <c r="D177" s="55">
        <v>45931</v>
      </c>
      <c r="E177" s="55">
        <v>47118</v>
      </c>
      <c r="F177" s="72" t="s">
        <v>962</v>
      </c>
      <c r="G177" s="162" t="s">
        <v>3676</v>
      </c>
      <c r="H177" s="11"/>
      <c r="I177" s="11"/>
      <c r="J177" s="11"/>
      <c r="K177" s="26"/>
      <c r="L177" s="26" t="s">
        <v>1309</v>
      </c>
      <c r="M177" s="11"/>
      <c r="N177" s="12">
        <v>45957</v>
      </c>
      <c r="O177" s="89" t="s">
        <v>2389</v>
      </c>
      <c r="P177" s="55" t="s">
        <v>82</v>
      </c>
      <c r="Q177" s="16" t="s">
        <v>83</v>
      </c>
      <c r="R177" s="16" t="s">
        <v>84</v>
      </c>
      <c r="S177" s="21">
        <v>2550</v>
      </c>
      <c r="T177" s="21">
        <v>0</v>
      </c>
      <c r="U177" s="21">
        <v>0</v>
      </c>
      <c r="V177" s="147"/>
      <c r="W177" s="21">
        <v>0</v>
      </c>
      <c r="X177" s="147"/>
      <c r="Y177" s="21">
        <v>0</v>
      </c>
      <c r="Z177" s="16"/>
      <c r="AA177" s="55"/>
    </row>
    <row r="178" spans="1:27" x14ac:dyDescent="0.25">
      <c r="A178" s="26">
        <v>8138</v>
      </c>
      <c r="B178" s="106" t="s">
        <v>2390</v>
      </c>
      <c r="C178" s="11" t="s">
        <v>2391</v>
      </c>
      <c r="D178" s="55">
        <v>45931</v>
      </c>
      <c r="E178" s="55">
        <v>46538</v>
      </c>
      <c r="F178" s="72" t="s">
        <v>1743</v>
      </c>
      <c r="G178" s="162" t="s">
        <v>3677</v>
      </c>
      <c r="H178" s="11"/>
      <c r="I178" s="11"/>
      <c r="J178" s="11"/>
      <c r="K178" s="26"/>
      <c r="L178" s="26" t="s">
        <v>327</v>
      </c>
      <c r="M178" s="11"/>
      <c r="N178" s="12">
        <v>45957</v>
      </c>
      <c r="O178" s="89" t="s">
        <v>2392</v>
      </c>
      <c r="P178" s="55" t="s">
        <v>82</v>
      </c>
      <c r="Q178" s="16" t="s">
        <v>83</v>
      </c>
      <c r="R178" s="16" t="s">
        <v>84</v>
      </c>
      <c r="S178" s="21">
        <v>9560.85</v>
      </c>
      <c r="T178" s="21">
        <v>0</v>
      </c>
      <c r="U178" s="21">
        <v>0</v>
      </c>
      <c r="V178" s="147"/>
      <c r="W178" s="21">
        <v>1842.86</v>
      </c>
      <c r="X178" s="147"/>
      <c r="Y178" s="21">
        <v>0</v>
      </c>
      <c r="Z178" s="16"/>
      <c r="AA178" s="55"/>
    </row>
    <row r="179" spans="1:27" x14ac:dyDescent="0.25">
      <c r="A179" s="26">
        <v>8138</v>
      </c>
      <c r="B179" s="106" t="s">
        <v>2393</v>
      </c>
      <c r="C179" s="11" t="s">
        <v>2394</v>
      </c>
      <c r="D179" s="55">
        <v>45931</v>
      </c>
      <c r="E179" s="55">
        <v>46675</v>
      </c>
      <c r="F179" s="72" t="s">
        <v>1743</v>
      </c>
      <c r="G179" s="162" t="s">
        <v>3678</v>
      </c>
      <c r="H179" s="11"/>
      <c r="I179" s="11"/>
      <c r="J179" s="11"/>
      <c r="K179" s="26"/>
      <c r="L179" s="26" t="s">
        <v>521</v>
      </c>
      <c r="M179" s="11"/>
      <c r="N179" s="12">
        <v>45957</v>
      </c>
      <c r="O179" s="89" t="s">
        <v>2395</v>
      </c>
      <c r="P179" s="55" t="s">
        <v>82</v>
      </c>
      <c r="Q179" s="16" t="s">
        <v>83</v>
      </c>
      <c r="R179" s="16" t="s">
        <v>84</v>
      </c>
      <c r="S179" s="21">
        <v>3439.77</v>
      </c>
      <c r="T179" s="21">
        <v>0</v>
      </c>
      <c r="U179" s="21">
        <v>343.98</v>
      </c>
      <c r="V179" s="147"/>
      <c r="W179" s="21">
        <v>0</v>
      </c>
      <c r="X179" s="147"/>
      <c r="Y179" s="21">
        <v>0</v>
      </c>
      <c r="Z179" s="16"/>
      <c r="AA179" s="55"/>
    </row>
    <row r="180" spans="1:27" x14ac:dyDescent="0.25">
      <c r="A180" s="26">
        <v>8138</v>
      </c>
      <c r="B180" s="106" t="s">
        <v>2396</v>
      </c>
      <c r="C180" s="11" t="s">
        <v>2397</v>
      </c>
      <c r="D180" s="55">
        <v>45931</v>
      </c>
      <c r="E180" s="55">
        <v>47269</v>
      </c>
      <c r="F180" s="72" t="s">
        <v>1743</v>
      </c>
      <c r="G180" s="162" t="s">
        <v>3679</v>
      </c>
      <c r="H180" s="11"/>
      <c r="I180" s="11"/>
      <c r="J180" s="11"/>
      <c r="K180" s="26"/>
      <c r="L180" s="26" t="s">
        <v>1731</v>
      </c>
      <c r="M180" s="11"/>
      <c r="N180" s="12">
        <v>45957</v>
      </c>
      <c r="O180" s="89" t="s">
        <v>2398</v>
      </c>
      <c r="P180" s="55" t="s">
        <v>82</v>
      </c>
      <c r="Q180" s="16" t="s">
        <v>83</v>
      </c>
      <c r="R180" s="16" t="s">
        <v>84</v>
      </c>
      <c r="S180" s="21">
        <v>7143.8</v>
      </c>
      <c r="T180" s="21">
        <v>0</v>
      </c>
      <c r="U180" s="21">
        <v>0</v>
      </c>
      <c r="V180" s="147"/>
      <c r="W180" s="21">
        <v>2090.75</v>
      </c>
      <c r="X180" s="147"/>
      <c r="Y180" s="21">
        <v>0</v>
      </c>
      <c r="Z180" s="16"/>
      <c r="AA180" s="55"/>
    </row>
    <row r="181" spans="1:27" x14ac:dyDescent="0.25">
      <c r="A181" s="26">
        <v>8138</v>
      </c>
      <c r="B181" s="106" t="s">
        <v>2399</v>
      </c>
      <c r="C181" s="11" t="s">
        <v>2400</v>
      </c>
      <c r="D181" s="55">
        <v>45931</v>
      </c>
      <c r="E181" s="55">
        <v>47026</v>
      </c>
      <c r="F181" s="72" t="s">
        <v>1743</v>
      </c>
      <c r="G181" s="162" t="s">
        <v>3680</v>
      </c>
      <c r="H181" s="11"/>
      <c r="I181" s="11"/>
      <c r="J181" s="11"/>
      <c r="K181" s="26"/>
      <c r="L181" s="26" t="s">
        <v>2401</v>
      </c>
      <c r="M181" s="11"/>
      <c r="N181" s="12">
        <v>45958</v>
      </c>
      <c r="O181" s="89" t="s">
        <v>2402</v>
      </c>
      <c r="P181" s="55">
        <v>47026</v>
      </c>
      <c r="Q181" s="16" t="s">
        <v>83</v>
      </c>
      <c r="R181" s="16" t="s">
        <v>84</v>
      </c>
      <c r="S181" s="21">
        <v>21500</v>
      </c>
      <c r="T181" s="21">
        <v>0</v>
      </c>
      <c r="U181" s="21">
        <v>1953.6</v>
      </c>
      <c r="V181" s="147"/>
      <c r="W181" s="21">
        <v>3220.8</v>
      </c>
      <c r="X181" s="147"/>
      <c r="Y181" s="21">
        <v>0</v>
      </c>
      <c r="Z181" s="16"/>
      <c r="AA181" s="55"/>
    </row>
    <row r="182" spans="1:27" x14ac:dyDescent="0.25">
      <c r="A182" s="26">
        <v>8138</v>
      </c>
      <c r="B182" s="106" t="s">
        <v>2403</v>
      </c>
      <c r="C182" s="11" t="s">
        <v>2404</v>
      </c>
      <c r="D182" s="55">
        <v>45931</v>
      </c>
      <c r="E182" s="55">
        <v>46876</v>
      </c>
      <c r="F182" s="72" t="s">
        <v>1743</v>
      </c>
      <c r="G182" s="162" t="s">
        <v>3681</v>
      </c>
      <c r="H182" s="11"/>
      <c r="I182" s="11"/>
      <c r="J182" s="11"/>
      <c r="K182" s="26"/>
      <c r="L182" s="26" t="s">
        <v>263</v>
      </c>
      <c r="M182" s="11"/>
      <c r="N182" s="12">
        <v>45958</v>
      </c>
      <c r="O182" s="89" t="s">
        <v>2405</v>
      </c>
      <c r="P182" s="55" t="s">
        <v>82</v>
      </c>
      <c r="Q182" s="16" t="s">
        <v>83</v>
      </c>
      <c r="R182" s="16" t="s">
        <v>84</v>
      </c>
      <c r="S182" s="21">
        <v>17786.560000000001</v>
      </c>
      <c r="T182" s="21">
        <v>0</v>
      </c>
      <c r="U182" s="21">
        <v>1661.23</v>
      </c>
      <c r="V182" s="147"/>
      <c r="W182" s="21">
        <v>4153.0200000000004</v>
      </c>
      <c r="X182" s="147"/>
      <c r="Y182" s="21">
        <v>0</v>
      </c>
      <c r="Z182" s="16"/>
      <c r="AA182" s="55"/>
    </row>
    <row r="183" spans="1:27" x14ac:dyDescent="0.25">
      <c r="A183" s="26">
        <v>8138</v>
      </c>
      <c r="B183" s="106" t="s">
        <v>2406</v>
      </c>
      <c r="C183" s="11" t="s">
        <v>2407</v>
      </c>
      <c r="D183" s="55">
        <v>45931</v>
      </c>
      <c r="E183" s="55">
        <v>46599</v>
      </c>
      <c r="F183" s="72" t="s">
        <v>1743</v>
      </c>
      <c r="G183" s="162" t="s">
        <v>3682</v>
      </c>
      <c r="H183" s="11"/>
      <c r="I183" s="11"/>
      <c r="J183" s="11"/>
      <c r="K183" s="26"/>
      <c r="L183" s="26" t="s">
        <v>302</v>
      </c>
      <c r="M183" s="11"/>
      <c r="N183" s="12">
        <v>45958</v>
      </c>
      <c r="O183" s="89" t="s">
        <v>2408</v>
      </c>
      <c r="P183" s="55" t="s">
        <v>82</v>
      </c>
      <c r="Q183" s="16" t="s">
        <v>83</v>
      </c>
      <c r="R183" s="16" t="s">
        <v>84</v>
      </c>
      <c r="S183" s="21">
        <v>4884.4799999999996</v>
      </c>
      <c r="T183" s="21">
        <v>0</v>
      </c>
      <c r="U183" s="21">
        <v>0</v>
      </c>
      <c r="V183" s="147"/>
      <c r="W183" s="21">
        <v>1185.9000000000001</v>
      </c>
      <c r="X183" s="147"/>
      <c r="Y183" s="21">
        <v>0</v>
      </c>
      <c r="Z183" s="16"/>
      <c r="AA183" s="55"/>
    </row>
    <row r="184" spans="1:27" x14ac:dyDescent="0.25">
      <c r="A184" s="26">
        <v>8138</v>
      </c>
      <c r="B184" s="106" t="s">
        <v>2412</v>
      </c>
      <c r="C184" s="11" t="s">
        <v>2413</v>
      </c>
      <c r="D184" s="55">
        <v>45931</v>
      </c>
      <c r="E184" s="55">
        <v>46234</v>
      </c>
      <c r="F184" s="72" t="s">
        <v>1743</v>
      </c>
      <c r="G184" s="162" t="s">
        <v>3683</v>
      </c>
      <c r="H184" s="11"/>
      <c r="I184" s="11"/>
      <c r="J184" s="11"/>
      <c r="K184" s="26"/>
      <c r="L184" s="26" t="s">
        <v>1409</v>
      </c>
      <c r="M184" s="11"/>
      <c r="N184" s="12">
        <v>45958</v>
      </c>
      <c r="O184" s="89" t="s">
        <v>2414</v>
      </c>
      <c r="P184" s="55" t="s">
        <v>82</v>
      </c>
      <c r="Q184" s="16" t="s">
        <v>83</v>
      </c>
      <c r="R184" s="16" t="s">
        <v>84</v>
      </c>
      <c r="S184" s="21">
        <v>2444.44</v>
      </c>
      <c r="T184" s="21">
        <v>0</v>
      </c>
      <c r="U184" s="21">
        <v>240.38</v>
      </c>
      <c r="V184" s="147"/>
      <c r="W184" s="21">
        <v>1599.69</v>
      </c>
      <c r="X184" s="147"/>
      <c r="Y184" s="21">
        <v>0</v>
      </c>
      <c r="Z184" s="16"/>
      <c r="AA184" s="55"/>
    </row>
    <row r="185" spans="1:27" x14ac:dyDescent="0.25">
      <c r="A185" s="26">
        <v>8138</v>
      </c>
      <c r="B185" s="106" t="s">
        <v>2415</v>
      </c>
      <c r="C185" s="11" t="s">
        <v>2416</v>
      </c>
      <c r="D185" s="55">
        <v>45931</v>
      </c>
      <c r="E185" s="55">
        <v>47361</v>
      </c>
      <c r="F185" s="72" t="s">
        <v>1743</v>
      </c>
      <c r="G185" s="162" t="s">
        <v>3684</v>
      </c>
      <c r="H185" s="11"/>
      <c r="I185" s="11"/>
      <c r="J185" s="11"/>
      <c r="K185" s="26"/>
      <c r="L185" s="26" t="s">
        <v>1420</v>
      </c>
      <c r="M185" s="11"/>
      <c r="N185" s="12">
        <v>45959</v>
      </c>
      <c r="O185" s="89" t="s">
        <v>2417</v>
      </c>
      <c r="P185" s="55" t="s">
        <v>82</v>
      </c>
      <c r="Q185" s="16" t="s">
        <v>83</v>
      </c>
      <c r="R185" s="16" t="s">
        <v>84</v>
      </c>
      <c r="S185" s="21">
        <v>8600.25</v>
      </c>
      <c r="T185" s="21">
        <v>0</v>
      </c>
      <c r="U185" s="21">
        <v>0</v>
      </c>
      <c r="V185" s="147"/>
      <c r="W185" s="21">
        <v>1957.04</v>
      </c>
      <c r="X185" s="147"/>
      <c r="Y185" s="21">
        <v>0</v>
      </c>
      <c r="Z185" s="16"/>
      <c r="AA185" s="55"/>
    </row>
    <row r="186" spans="1:27" x14ac:dyDescent="0.25">
      <c r="A186" s="26">
        <v>8138</v>
      </c>
      <c r="B186" s="106" t="s">
        <v>2418</v>
      </c>
      <c r="C186" s="11" t="s">
        <v>2419</v>
      </c>
      <c r="D186" s="55">
        <v>45931</v>
      </c>
      <c r="E186" s="55">
        <v>46173</v>
      </c>
      <c r="F186" s="72" t="s">
        <v>1743</v>
      </c>
      <c r="G186" s="162" t="s">
        <v>3685</v>
      </c>
      <c r="H186" s="11"/>
      <c r="I186" s="11"/>
      <c r="J186" s="11"/>
      <c r="K186" s="26"/>
      <c r="L186" s="26" t="s">
        <v>1175</v>
      </c>
      <c r="M186" s="11"/>
      <c r="N186" s="12">
        <v>45959</v>
      </c>
      <c r="O186" s="89" t="s">
        <v>2420</v>
      </c>
      <c r="P186" s="55" t="s">
        <v>82</v>
      </c>
      <c r="Q186" s="16" t="s">
        <v>83</v>
      </c>
      <c r="R186" s="16" t="s">
        <v>84</v>
      </c>
      <c r="S186" s="21">
        <v>7563.59</v>
      </c>
      <c r="T186" s="21">
        <v>0</v>
      </c>
      <c r="U186" s="21">
        <v>756.65</v>
      </c>
      <c r="V186" s="147"/>
      <c r="W186" s="21">
        <v>939.56</v>
      </c>
      <c r="X186" s="147"/>
      <c r="Y186" s="21">
        <v>0</v>
      </c>
      <c r="Z186" s="16"/>
      <c r="AA186" s="55"/>
    </row>
    <row r="187" spans="1:27" x14ac:dyDescent="0.25">
      <c r="A187" s="26">
        <v>8138</v>
      </c>
      <c r="B187" s="106" t="s">
        <v>2421</v>
      </c>
      <c r="C187" s="11" t="s">
        <v>2422</v>
      </c>
      <c r="D187" s="55">
        <v>45931</v>
      </c>
      <c r="E187" s="55">
        <v>46676</v>
      </c>
      <c r="F187" s="72" t="s">
        <v>1743</v>
      </c>
      <c r="G187" s="162" t="s">
        <v>3686</v>
      </c>
      <c r="H187" s="11"/>
      <c r="I187" s="11"/>
      <c r="J187" s="11"/>
      <c r="K187" s="26"/>
      <c r="L187" s="26" t="s">
        <v>568</v>
      </c>
      <c r="M187" s="11"/>
      <c r="N187" s="12">
        <v>45959</v>
      </c>
      <c r="O187" s="89" t="s">
        <v>2423</v>
      </c>
      <c r="P187" s="55" t="s">
        <v>82</v>
      </c>
      <c r="Q187" s="16" t="s">
        <v>83</v>
      </c>
      <c r="R187" s="16" t="s">
        <v>84</v>
      </c>
      <c r="S187" s="21">
        <v>10467.56</v>
      </c>
      <c r="T187" s="21">
        <v>0</v>
      </c>
      <c r="U187" s="21">
        <v>0</v>
      </c>
      <c r="V187" s="147"/>
      <c r="W187" s="21">
        <v>0</v>
      </c>
      <c r="X187" s="147"/>
      <c r="Y187" s="21">
        <v>0</v>
      </c>
      <c r="Z187" s="16"/>
      <c r="AA187" s="55"/>
    </row>
    <row r="188" spans="1:27" x14ac:dyDescent="0.25">
      <c r="A188" s="26">
        <v>8138</v>
      </c>
      <c r="B188" s="106" t="s">
        <v>2424</v>
      </c>
      <c r="C188" s="11" t="s">
        <v>2425</v>
      </c>
      <c r="D188" s="55">
        <v>45931</v>
      </c>
      <c r="E188" s="55">
        <v>46360</v>
      </c>
      <c r="F188" s="72" t="s">
        <v>1743</v>
      </c>
      <c r="G188" s="162" t="s">
        <v>3687</v>
      </c>
      <c r="H188" s="11"/>
      <c r="I188" s="11"/>
      <c r="J188" s="11"/>
      <c r="K188" s="26"/>
      <c r="L188" s="26" t="s">
        <v>1243</v>
      </c>
      <c r="M188" s="11"/>
      <c r="N188" s="12">
        <v>45959</v>
      </c>
      <c r="O188" s="89" t="s">
        <v>2426</v>
      </c>
      <c r="P188" s="55" t="s">
        <v>82</v>
      </c>
      <c r="Q188" s="16" t="s">
        <v>83</v>
      </c>
      <c r="R188" s="16" t="s">
        <v>84</v>
      </c>
      <c r="S188" s="21">
        <v>11268.96</v>
      </c>
      <c r="T188" s="21">
        <v>0</v>
      </c>
      <c r="U188" s="21">
        <v>0</v>
      </c>
      <c r="V188" s="147"/>
      <c r="W188" s="21">
        <v>0</v>
      </c>
      <c r="X188" s="147"/>
      <c r="Y188" s="21">
        <v>0</v>
      </c>
      <c r="Z188" s="16"/>
      <c r="AA188" s="55"/>
    </row>
    <row r="189" spans="1:27" x14ac:dyDescent="0.25">
      <c r="A189" s="26">
        <v>8138</v>
      </c>
      <c r="B189" s="106" t="s">
        <v>2427</v>
      </c>
      <c r="C189" s="11" t="s">
        <v>2428</v>
      </c>
      <c r="D189" s="55">
        <v>45931</v>
      </c>
      <c r="E189" s="55">
        <v>46599</v>
      </c>
      <c r="F189" s="72" t="s">
        <v>1743</v>
      </c>
      <c r="G189" s="162" t="s">
        <v>3688</v>
      </c>
      <c r="H189" s="11"/>
      <c r="I189" s="11"/>
      <c r="J189" s="11"/>
      <c r="K189" s="26"/>
      <c r="L189" s="26" t="s">
        <v>2429</v>
      </c>
      <c r="M189" s="11"/>
      <c r="N189" s="12">
        <v>45959</v>
      </c>
      <c r="O189" s="89" t="s">
        <v>2430</v>
      </c>
      <c r="P189" s="55" t="s">
        <v>82</v>
      </c>
      <c r="Q189" s="16" t="s">
        <v>83</v>
      </c>
      <c r="R189" s="16" t="s">
        <v>84</v>
      </c>
      <c r="S189" s="21">
        <v>21094.5</v>
      </c>
      <c r="T189" s="21">
        <v>0</v>
      </c>
      <c r="U189" s="21">
        <v>2009</v>
      </c>
      <c r="V189" s="147"/>
      <c r="W189" s="21">
        <v>4340.26</v>
      </c>
      <c r="X189" s="147"/>
      <c r="Y189" s="21">
        <v>0</v>
      </c>
      <c r="Z189" s="16"/>
      <c r="AA189" s="55"/>
    </row>
    <row r="190" spans="1:27" x14ac:dyDescent="0.25">
      <c r="A190" s="26">
        <v>8138</v>
      </c>
      <c r="B190" s="106" t="s">
        <v>2431</v>
      </c>
      <c r="C190" s="11" t="s">
        <v>2432</v>
      </c>
      <c r="D190" s="55">
        <v>45931</v>
      </c>
      <c r="E190" s="55">
        <v>47208</v>
      </c>
      <c r="F190" s="72" t="s">
        <v>1743</v>
      </c>
      <c r="G190" s="162" t="s">
        <v>3689</v>
      </c>
      <c r="H190" s="11"/>
      <c r="I190" s="11"/>
      <c r="J190" s="11"/>
      <c r="K190" s="26"/>
      <c r="L190" s="26" t="s">
        <v>2433</v>
      </c>
      <c r="M190" s="11"/>
      <c r="N190" s="12">
        <v>45959</v>
      </c>
      <c r="O190" s="89" t="s">
        <v>2434</v>
      </c>
      <c r="P190" s="55" t="s">
        <v>82</v>
      </c>
      <c r="Q190" s="16" t="s">
        <v>83</v>
      </c>
      <c r="R190" s="16" t="s">
        <v>84</v>
      </c>
      <c r="S190" s="21">
        <v>6931.75</v>
      </c>
      <c r="T190" s="21">
        <v>0</v>
      </c>
      <c r="U190" s="21">
        <v>0</v>
      </c>
      <c r="V190" s="147"/>
      <c r="W190" s="21">
        <v>0</v>
      </c>
      <c r="X190" s="147"/>
      <c r="Y190" s="21">
        <v>0</v>
      </c>
      <c r="Z190" s="16"/>
      <c r="AA190" s="55"/>
    </row>
    <row r="191" spans="1:27" x14ac:dyDescent="0.25">
      <c r="A191" s="26">
        <v>8138</v>
      </c>
      <c r="B191" s="106" t="s">
        <v>3535</v>
      </c>
      <c r="C191" s="11" t="s">
        <v>3538</v>
      </c>
      <c r="D191" s="55">
        <v>45778</v>
      </c>
      <c r="E191" s="55">
        <v>47603</v>
      </c>
      <c r="F191" s="72" t="s">
        <v>1743</v>
      </c>
      <c r="G191" s="162" t="s">
        <v>3690</v>
      </c>
      <c r="H191" s="11"/>
      <c r="I191" s="11"/>
      <c r="J191" s="11"/>
      <c r="K191" s="26"/>
      <c r="L191" s="26" t="s">
        <v>3542</v>
      </c>
      <c r="M191" s="11"/>
      <c r="N191" s="12">
        <v>45986</v>
      </c>
      <c r="O191" s="89" t="s">
        <v>3540</v>
      </c>
      <c r="P191" s="55" t="s">
        <v>82</v>
      </c>
      <c r="Q191" s="16" t="s">
        <v>83</v>
      </c>
      <c r="R191" s="16" t="s">
        <v>84</v>
      </c>
      <c r="S191" s="21">
        <v>21398.1</v>
      </c>
      <c r="T191" s="21">
        <v>0</v>
      </c>
      <c r="U191" s="21"/>
      <c r="V191" s="147"/>
      <c r="W191" s="21">
        <v>2785.6</v>
      </c>
      <c r="X191" s="147"/>
      <c r="Y191" s="21">
        <v>0</v>
      </c>
      <c r="Z191" s="16"/>
      <c r="AA191" s="55"/>
    </row>
    <row r="192" spans="1:27" x14ac:dyDescent="0.25">
      <c r="A192" s="26">
        <v>8138</v>
      </c>
      <c r="B192" s="106" t="s">
        <v>3536</v>
      </c>
      <c r="C192" s="11" t="s">
        <v>3539</v>
      </c>
      <c r="D192" s="55">
        <v>45689</v>
      </c>
      <c r="E192" s="55">
        <v>46783</v>
      </c>
      <c r="F192" s="72" t="s">
        <v>1743</v>
      </c>
      <c r="G192" s="162" t="s">
        <v>3691</v>
      </c>
      <c r="H192" s="11"/>
      <c r="I192" s="11"/>
      <c r="J192" s="11"/>
      <c r="K192" s="26"/>
      <c r="L192" s="26" t="s">
        <v>910</v>
      </c>
      <c r="M192" s="11"/>
      <c r="N192" s="12">
        <v>45988</v>
      </c>
      <c r="O192" s="89" t="s">
        <v>3541</v>
      </c>
      <c r="P192" s="55">
        <v>46783</v>
      </c>
      <c r="Q192" s="16" t="s">
        <v>83</v>
      </c>
      <c r="R192" s="16" t="s">
        <v>84</v>
      </c>
      <c r="S192" s="21">
        <v>10144.01</v>
      </c>
      <c r="T192" s="21">
        <v>0</v>
      </c>
      <c r="U192" s="21"/>
      <c r="V192" s="147"/>
      <c r="W192" s="21">
        <v>2222.08</v>
      </c>
      <c r="X192" s="147"/>
      <c r="Y192" s="21">
        <v>0</v>
      </c>
      <c r="Z192" s="16"/>
      <c r="AA192" s="55"/>
    </row>
    <row r="193" spans="1:27" x14ac:dyDescent="0.25">
      <c r="A193" s="26">
        <v>8138</v>
      </c>
      <c r="B193" s="106" t="s">
        <v>3537</v>
      </c>
      <c r="C193" s="11" t="s">
        <v>2667</v>
      </c>
      <c r="D193" s="55">
        <v>45717</v>
      </c>
      <c r="E193" s="55">
        <v>47542</v>
      </c>
      <c r="F193" s="72" t="s">
        <v>1743</v>
      </c>
      <c r="G193" s="162" t="s">
        <v>3692</v>
      </c>
      <c r="H193" s="11"/>
      <c r="I193" s="11"/>
      <c r="J193" s="11"/>
      <c r="K193" s="26"/>
      <c r="L193" s="26" t="s">
        <v>3543</v>
      </c>
      <c r="M193" s="11"/>
      <c r="N193" s="12">
        <v>45988</v>
      </c>
      <c r="O193" s="89" t="s">
        <v>2668</v>
      </c>
      <c r="P193" s="55">
        <v>47542</v>
      </c>
      <c r="Q193" s="16" t="s">
        <v>83</v>
      </c>
      <c r="R193" s="16" t="s">
        <v>84</v>
      </c>
      <c r="S193" s="21"/>
      <c r="T193" s="21">
        <v>0</v>
      </c>
      <c r="U193" s="21"/>
      <c r="V193" s="147"/>
      <c r="W193" s="21">
        <v>1305.8</v>
      </c>
      <c r="X193" s="147"/>
      <c r="Y193" s="21">
        <v>0</v>
      </c>
      <c r="Z193" s="16"/>
      <c r="AA193" s="55"/>
    </row>
    <row r="194" spans="1:27" x14ac:dyDescent="0.25">
      <c r="A194" s="26">
        <v>8138</v>
      </c>
      <c r="B194" s="106" t="s">
        <v>3550</v>
      </c>
      <c r="C194" s="11" t="s">
        <v>2514</v>
      </c>
      <c r="D194" s="55">
        <v>45689</v>
      </c>
      <c r="E194" s="55">
        <v>47514</v>
      </c>
      <c r="F194" s="72" t="s">
        <v>1743</v>
      </c>
      <c r="G194" s="162" t="s">
        <v>3693</v>
      </c>
      <c r="H194" s="11"/>
      <c r="I194" s="11"/>
      <c r="J194" s="11"/>
      <c r="K194" s="26"/>
      <c r="L194" s="26" t="s">
        <v>3565</v>
      </c>
      <c r="M194" s="11"/>
      <c r="N194" s="12">
        <v>46012</v>
      </c>
      <c r="O194" s="89" t="s">
        <v>2516</v>
      </c>
      <c r="P194" s="55">
        <v>47514</v>
      </c>
      <c r="Q194" s="16" t="s">
        <v>83</v>
      </c>
      <c r="R194" s="16" t="s">
        <v>84</v>
      </c>
      <c r="S194" s="21">
        <v>20855.810000000001</v>
      </c>
      <c r="T194" s="21">
        <v>0</v>
      </c>
      <c r="U194" s="21"/>
      <c r="V194" s="147"/>
      <c r="W194" s="21">
        <v>4078.31</v>
      </c>
      <c r="X194" s="147"/>
      <c r="Y194" s="21">
        <v>0</v>
      </c>
      <c r="Z194" s="16"/>
      <c r="AA194" s="55"/>
    </row>
    <row r="195" spans="1:27" x14ac:dyDescent="0.25">
      <c r="A195" s="26">
        <v>8138</v>
      </c>
      <c r="B195" s="106" t="s">
        <v>3551</v>
      </c>
      <c r="C195" s="11" t="s">
        <v>3560</v>
      </c>
      <c r="D195" s="55">
        <v>45689</v>
      </c>
      <c r="E195" s="55">
        <v>47514</v>
      </c>
      <c r="F195" s="72" t="s">
        <v>1743</v>
      </c>
      <c r="G195" s="162" t="s">
        <v>3694</v>
      </c>
      <c r="H195" s="11"/>
      <c r="I195" s="11"/>
      <c r="J195" s="11"/>
      <c r="K195" s="26"/>
      <c r="L195" s="26" t="s">
        <v>3566</v>
      </c>
      <c r="M195" s="11"/>
      <c r="N195" s="12"/>
      <c r="O195" s="89" t="s">
        <v>2586</v>
      </c>
      <c r="P195" s="55">
        <v>47514</v>
      </c>
      <c r="Q195" s="16" t="s">
        <v>83</v>
      </c>
      <c r="R195" s="16" t="s">
        <v>84</v>
      </c>
      <c r="S195" s="21">
        <v>6078.09</v>
      </c>
      <c r="T195" s="21">
        <v>0</v>
      </c>
      <c r="U195" s="21"/>
      <c r="V195" s="147"/>
      <c r="W195" s="21">
        <v>2501.66</v>
      </c>
      <c r="X195" s="147"/>
      <c r="Y195" s="21">
        <v>0</v>
      </c>
      <c r="Z195" s="16"/>
      <c r="AA195" s="55"/>
    </row>
    <row r="196" spans="1:27" x14ac:dyDescent="0.25">
      <c r="A196" s="26">
        <v>8138</v>
      </c>
      <c r="B196" s="106" t="s">
        <v>3552</v>
      </c>
      <c r="C196" s="11" t="s">
        <v>3561</v>
      </c>
      <c r="D196" s="55">
        <v>45931</v>
      </c>
      <c r="E196" s="55">
        <v>47756</v>
      </c>
      <c r="F196" s="72" t="s">
        <v>1743</v>
      </c>
      <c r="G196" s="162" t="s">
        <v>3695</v>
      </c>
      <c r="H196" s="11"/>
      <c r="I196" s="11"/>
      <c r="J196" s="11"/>
      <c r="K196" s="26"/>
      <c r="L196" s="26" t="s">
        <v>3567</v>
      </c>
      <c r="M196" s="11"/>
      <c r="N196" s="12"/>
      <c r="O196" s="89" t="s">
        <v>3571</v>
      </c>
      <c r="P196" s="55"/>
      <c r="Q196" s="16" t="s">
        <v>83</v>
      </c>
      <c r="R196" s="16" t="s">
        <v>84</v>
      </c>
      <c r="S196" s="21">
        <v>3248</v>
      </c>
      <c r="T196" s="21">
        <v>0</v>
      </c>
      <c r="U196" s="21"/>
      <c r="V196" s="147"/>
      <c r="W196" s="21">
        <v>2092.23</v>
      </c>
      <c r="X196" s="147"/>
      <c r="Y196" s="21">
        <v>0</v>
      </c>
      <c r="Z196" s="16"/>
      <c r="AA196" s="55"/>
    </row>
    <row r="197" spans="1:27" x14ac:dyDescent="0.25">
      <c r="A197" s="26">
        <v>8138</v>
      </c>
      <c r="B197" s="106" t="s">
        <v>3553</v>
      </c>
      <c r="C197" s="11" t="s">
        <v>3562</v>
      </c>
      <c r="D197" s="55">
        <v>45689</v>
      </c>
      <c r="E197" s="55">
        <v>47514</v>
      </c>
      <c r="F197" s="72" t="s">
        <v>1743</v>
      </c>
      <c r="G197" s="162" t="s">
        <v>3696</v>
      </c>
      <c r="H197" s="11"/>
      <c r="I197" s="11"/>
      <c r="J197" s="11"/>
      <c r="K197" s="26"/>
      <c r="L197" s="26" t="s">
        <v>3568</v>
      </c>
      <c r="M197" s="11"/>
      <c r="N197" s="12"/>
      <c r="O197" s="89" t="s">
        <v>2587</v>
      </c>
      <c r="P197" s="55">
        <v>47514</v>
      </c>
      <c r="Q197" s="16" t="s">
        <v>83</v>
      </c>
      <c r="R197" s="16" t="s">
        <v>84</v>
      </c>
      <c r="S197" s="21">
        <v>20230.68</v>
      </c>
      <c r="T197" s="21">
        <v>0</v>
      </c>
      <c r="U197" s="21"/>
      <c r="V197" s="147"/>
      <c r="W197" s="21">
        <v>3396.57</v>
      </c>
      <c r="X197" s="147"/>
      <c r="Y197" s="21">
        <v>0</v>
      </c>
      <c r="Z197" s="16"/>
      <c r="AA197" s="55"/>
    </row>
    <row r="198" spans="1:27" x14ac:dyDescent="0.25">
      <c r="A198" s="26">
        <v>8138</v>
      </c>
      <c r="B198" s="106" t="s">
        <v>3554</v>
      </c>
      <c r="C198" s="11" t="s">
        <v>3563</v>
      </c>
      <c r="D198" s="55">
        <v>45992</v>
      </c>
      <c r="E198" s="55">
        <v>47087</v>
      </c>
      <c r="F198" s="72" t="s">
        <v>1743</v>
      </c>
      <c r="G198" s="162" t="s">
        <v>3697</v>
      </c>
      <c r="H198" s="11"/>
      <c r="I198" s="11"/>
      <c r="J198" s="11"/>
      <c r="K198" s="26"/>
      <c r="L198" s="26" t="s">
        <v>3569</v>
      </c>
      <c r="M198" s="11"/>
      <c r="N198" s="12"/>
      <c r="O198" s="89" t="s">
        <v>1845</v>
      </c>
      <c r="P198" s="55">
        <v>47087</v>
      </c>
      <c r="Q198" s="16" t="s">
        <v>83</v>
      </c>
      <c r="R198" s="16" t="s">
        <v>84</v>
      </c>
      <c r="S198" s="21">
        <v>31961.32</v>
      </c>
      <c r="T198" s="21">
        <v>0</v>
      </c>
      <c r="U198" s="21">
        <v>319.61</v>
      </c>
      <c r="V198" s="147"/>
      <c r="W198" s="21">
        <v>0</v>
      </c>
      <c r="X198" s="147"/>
      <c r="Y198" s="21">
        <v>0</v>
      </c>
      <c r="Z198" s="16"/>
      <c r="AA198" s="55"/>
    </row>
    <row r="199" spans="1:27" x14ac:dyDescent="0.25">
      <c r="A199" s="26">
        <v>8138</v>
      </c>
      <c r="B199" s="106" t="s">
        <v>3555</v>
      </c>
      <c r="C199" s="11" t="s">
        <v>3564</v>
      </c>
      <c r="D199" s="55">
        <v>45552</v>
      </c>
      <c r="E199" s="55">
        <v>47377</v>
      </c>
      <c r="F199" s="72" t="s">
        <v>1743</v>
      </c>
      <c r="G199" s="162" t="s">
        <v>3698</v>
      </c>
      <c r="H199" s="11"/>
      <c r="I199" s="11"/>
      <c r="J199" s="11"/>
      <c r="K199" s="26"/>
      <c r="L199" s="26" t="s">
        <v>3570</v>
      </c>
      <c r="M199" s="11"/>
      <c r="N199" s="12"/>
      <c r="O199" s="89" t="s">
        <v>2626</v>
      </c>
      <c r="P199" s="55">
        <v>47377</v>
      </c>
      <c r="Q199" s="16" t="s">
        <v>83</v>
      </c>
      <c r="R199" s="16" t="s">
        <v>84</v>
      </c>
      <c r="S199" s="21">
        <v>25435.1</v>
      </c>
      <c r="T199" s="21">
        <v>0</v>
      </c>
      <c r="U199" s="21">
        <v>2509.42</v>
      </c>
      <c r="V199" s="147"/>
      <c r="W199" s="21">
        <v>0</v>
      </c>
      <c r="X199" s="147"/>
      <c r="Y199" s="21">
        <v>0</v>
      </c>
      <c r="Z199" s="16"/>
      <c r="AA199" s="55"/>
    </row>
    <row r="200" spans="1:27" x14ac:dyDescent="0.25">
      <c r="A200" s="26">
        <v>8138</v>
      </c>
      <c r="B200" s="106" t="s">
        <v>3582</v>
      </c>
      <c r="C200" s="11" t="s">
        <v>2659</v>
      </c>
      <c r="D200" s="55">
        <v>45748</v>
      </c>
      <c r="E200" s="55">
        <v>46843</v>
      </c>
      <c r="F200" s="72" t="s">
        <v>962</v>
      </c>
      <c r="G200" s="162" t="s">
        <v>3699</v>
      </c>
      <c r="H200" s="11"/>
      <c r="I200" s="11"/>
      <c r="J200" s="11"/>
      <c r="K200" s="26"/>
      <c r="L200" s="26"/>
      <c r="M200" s="11"/>
      <c r="N200" s="12"/>
      <c r="O200" s="89" t="s">
        <v>2660</v>
      </c>
      <c r="P200" s="55">
        <v>46843</v>
      </c>
      <c r="Q200" s="16" t="s">
        <v>83</v>
      </c>
      <c r="R200" s="16" t="s">
        <v>84</v>
      </c>
      <c r="S200" s="21">
        <v>3072.88</v>
      </c>
      <c r="T200" s="21">
        <v>0</v>
      </c>
      <c r="U200" s="21">
        <v>307.29000000000002</v>
      </c>
      <c r="V200" s="147"/>
      <c r="W200" s="21">
        <v>620.62</v>
      </c>
      <c r="X200" s="147"/>
      <c r="Y200" s="21">
        <v>0</v>
      </c>
      <c r="Z200" s="16"/>
      <c r="AA200" s="55"/>
    </row>
    <row r="201" spans="1:27" x14ac:dyDescent="0.25">
      <c r="A201" s="26">
        <v>8138</v>
      </c>
      <c r="B201" s="106" t="s">
        <v>3583</v>
      </c>
      <c r="C201" s="11" t="s">
        <v>3589</v>
      </c>
      <c r="D201" s="55">
        <v>45931</v>
      </c>
      <c r="E201" s="55">
        <v>46660</v>
      </c>
      <c r="F201" s="72" t="s">
        <v>1743</v>
      </c>
      <c r="G201" s="162" t="s">
        <v>3700</v>
      </c>
      <c r="H201" s="11"/>
      <c r="I201" s="11"/>
      <c r="J201" s="11"/>
      <c r="K201" s="26"/>
      <c r="L201" s="26" t="s">
        <v>3593</v>
      </c>
      <c r="M201" s="11"/>
      <c r="N201" s="12"/>
      <c r="O201" s="89" t="s">
        <v>2683</v>
      </c>
      <c r="P201" s="55">
        <v>46660</v>
      </c>
      <c r="Q201" s="16" t="s">
        <v>83</v>
      </c>
      <c r="R201" s="16" t="s">
        <v>84</v>
      </c>
      <c r="S201" s="21">
        <v>4465.09</v>
      </c>
      <c r="T201" s="21">
        <v>0</v>
      </c>
      <c r="U201" s="21"/>
      <c r="V201" s="147"/>
      <c r="W201" s="21">
        <v>1260.31</v>
      </c>
      <c r="X201" s="147"/>
      <c r="Y201" s="21">
        <v>0</v>
      </c>
      <c r="Z201" s="16"/>
      <c r="AA201" s="55"/>
    </row>
    <row r="202" spans="1:27" x14ac:dyDescent="0.25">
      <c r="A202" s="26">
        <v>8138</v>
      </c>
      <c r="B202" s="106" t="s">
        <v>3584</v>
      </c>
      <c r="C202" s="11" t="s">
        <v>3590</v>
      </c>
      <c r="D202" s="55">
        <v>45757</v>
      </c>
      <c r="E202" s="55">
        <v>47573</v>
      </c>
      <c r="F202" s="72" t="s">
        <v>1743</v>
      </c>
      <c r="G202" s="162" t="s">
        <v>3701</v>
      </c>
      <c r="H202" s="11"/>
      <c r="I202" s="11"/>
      <c r="J202" s="11"/>
      <c r="K202" s="26"/>
      <c r="L202" s="26" t="s">
        <v>3594</v>
      </c>
      <c r="M202" s="11"/>
      <c r="N202" s="12"/>
      <c r="O202" s="89" t="s">
        <v>2573</v>
      </c>
      <c r="P202" s="55">
        <v>47573</v>
      </c>
      <c r="Q202" s="16" t="s">
        <v>83</v>
      </c>
      <c r="R202" s="16" t="s">
        <v>84</v>
      </c>
      <c r="S202" s="21">
        <v>4226.22</v>
      </c>
      <c r="T202" s="21">
        <v>0</v>
      </c>
      <c r="U202" s="21">
        <v>422.62</v>
      </c>
      <c r="V202" s="147"/>
      <c r="W202" s="21">
        <v>1408.74</v>
      </c>
      <c r="X202" s="147"/>
      <c r="Y202" s="21">
        <v>0</v>
      </c>
      <c r="Z202" s="16"/>
      <c r="AA202" s="55"/>
    </row>
    <row r="203" spans="1:27" x14ac:dyDescent="0.25">
      <c r="A203" s="26">
        <v>8138</v>
      </c>
      <c r="B203" s="106" t="s">
        <v>3585</v>
      </c>
      <c r="C203" s="11" t="s">
        <v>3591</v>
      </c>
      <c r="D203" s="55">
        <v>45966</v>
      </c>
      <c r="E203" s="55">
        <v>47787</v>
      </c>
      <c r="F203" s="72" t="s">
        <v>1743</v>
      </c>
      <c r="G203" s="162" t="s">
        <v>3702</v>
      </c>
      <c r="H203" s="11"/>
      <c r="I203" s="11"/>
      <c r="J203" s="11"/>
      <c r="K203" s="26"/>
      <c r="L203" s="26" t="s">
        <v>1390</v>
      </c>
      <c r="M203" s="11"/>
      <c r="N203" s="12"/>
      <c r="O203" s="89" t="s">
        <v>2016</v>
      </c>
      <c r="P203" s="55">
        <v>47787</v>
      </c>
      <c r="Q203" s="16" t="s">
        <v>83</v>
      </c>
      <c r="R203" s="16" t="s">
        <v>84</v>
      </c>
      <c r="S203" s="21">
        <v>2810.45</v>
      </c>
      <c r="T203" s="21">
        <v>0</v>
      </c>
      <c r="U203" s="21">
        <v>281.04000000000002</v>
      </c>
      <c r="V203" s="147"/>
      <c r="W203" s="21">
        <v>2038.35</v>
      </c>
      <c r="X203" s="147"/>
      <c r="Y203" s="21">
        <v>0</v>
      </c>
      <c r="Z203" s="16"/>
      <c r="AA203" s="55"/>
    </row>
    <row r="204" spans="1:27" x14ac:dyDescent="0.25">
      <c r="A204" s="26">
        <v>8138</v>
      </c>
      <c r="B204" s="106" t="s">
        <v>3586</v>
      </c>
      <c r="C204" s="11" t="s">
        <v>2679</v>
      </c>
      <c r="D204" s="55">
        <v>45931</v>
      </c>
      <c r="E204" s="55">
        <v>47756</v>
      </c>
      <c r="F204" s="72" t="s">
        <v>1743</v>
      </c>
      <c r="G204" s="162" t="s">
        <v>3703</v>
      </c>
      <c r="H204" s="11"/>
      <c r="I204" s="11"/>
      <c r="J204" s="11"/>
      <c r="K204" s="26"/>
      <c r="L204" s="26" t="s">
        <v>526</v>
      </c>
      <c r="M204" s="11"/>
      <c r="N204" s="12"/>
      <c r="O204" s="89" t="s">
        <v>3595</v>
      </c>
      <c r="P204" s="55"/>
      <c r="Q204" s="16" t="s">
        <v>83</v>
      </c>
      <c r="R204" s="16" t="s">
        <v>84</v>
      </c>
      <c r="S204" s="21">
        <v>15247.16</v>
      </c>
      <c r="T204" s="21">
        <v>0</v>
      </c>
      <c r="U204" s="21">
        <v>0</v>
      </c>
      <c r="V204" s="147"/>
      <c r="W204" s="21">
        <v>2825.78</v>
      </c>
      <c r="X204" s="147"/>
      <c r="Y204" s="21">
        <v>0</v>
      </c>
      <c r="Z204" s="16"/>
      <c r="AA204" s="55"/>
    </row>
    <row r="205" spans="1:27" x14ac:dyDescent="0.25">
      <c r="A205" s="26">
        <v>8138</v>
      </c>
      <c r="B205" s="106" t="s">
        <v>3587</v>
      </c>
      <c r="C205" s="11" t="s">
        <v>3592</v>
      </c>
      <c r="D205" s="55">
        <v>45870</v>
      </c>
      <c r="E205" s="55">
        <v>47695</v>
      </c>
      <c r="F205" s="72" t="s">
        <v>1743</v>
      </c>
      <c r="G205" s="162" t="s">
        <v>3704</v>
      </c>
      <c r="H205" s="11"/>
      <c r="I205" s="11"/>
      <c r="J205" s="11"/>
      <c r="K205" s="26"/>
      <c r="L205" s="26" t="s">
        <v>910</v>
      </c>
      <c r="M205" s="11"/>
      <c r="N205" s="12"/>
      <c r="O205" s="89" t="s">
        <v>2682</v>
      </c>
      <c r="P205" s="55">
        <v>47695</v>
      </c>
      <c r="Q205" s="16" t="s">
        <v>83</v>
      </c>
      <c r="R205" s="16" t="s">
        <v>84</v>
      </c>
      <c r="S205" s="21">
        <v>7549.92</v>
      </c>
      <c r="T205" s="21">
        <v>0</v>
      </c>
      <c r="U205" s="21">
        <v>0</v>
      </c>
      <c r="V205" s="147"/>
      <c r="W205" s="21">
        <v>1747.2</v>
      </c>
      <c r="X205" s="147"/>
      <c r="Y205" s="21">
        <v>0</v>
      </c>
      <c r="Z205" s="16"/>
      <c r="AA205" s="55"/>
    </row>
    <row r="206" spans="1:27" x14ac:dyDescent="0.25">
      <c r="A206" s="26">
        <v>8138</v>
      </c>
      <c r="B206" s="106" t="s">
        <v>3596</v>
      </c>
      <c r="C206" s="11" t="s">
        <v>3601</v>
      </c>
      <c r="D206" s="55">
        <v>45941</v>
      </c>
      <c r="E206" s="55">
        <v>47756</v>
      </c>
      <c r="F206" s="72" t="s">
        <v>1743</v>
      </c>
      <c r="G206" s="162" t="s">
        <v>3705</v>
      </c>
      <c r="H206" s="11"/>
      <c r="I206" s="11"/>
      <c r="J206" s="11"/>
      <c r="K206" s="26"/>
      <c r="L206" s="26">
        <v>5000112</v>
      </c>
      <c r="M206" s="11"/>
      <c r="N206" s="12">
        <v>46077</v>
      </c>
      <c r="O206" s="89" t="s">
        <v>2571</v>
      </c>
      <c r="P206" s="55">
        <v>47756</v>
      </c>
      <c r="Q206" s="16" t="s">
        <v>83</v>
      </c>
      <c r="R206" s="16" t="s">
        <v>84</v>
      </c>
      <c r="S206" s="21">
        <v>13273.39</v>
      </c>
      <c r="T206" s="21">
        <v>0</v>
      </c>
      <c r="U206" s="21">
        <v>1327.34</v>
      </c>
      <c r="V206" s="147"/>
      <c r="W206" s="21">
        <v>3637.89</v>
      </c>
      <c r="X206" s="147"/>
      <c r="Y206" s="21">
        <v>0</v>
      </c>
      <c r="Z206" s="16"/>
      <c r="AA206" s="55"/>
    </row>
    <row r="207" spans="1:27" x14ac:dyDescent="0.25">
      <c r="A207" s="26">
        <v>8138</v>
      </c>
      <c r="B207" s="106" t="s">
        <v>3588</v>
      </c>
      <c r="C207" s="11" t="s">
        <v>2671</v>
      </c>
      <c r="D207" s="55">
        <v>45839</v>
      </c>
      <c r="E207" s="55">
        <v>46568</v>
      </c>
      <c r="F207" s="72" t="s">
        <v>1743</v>
      </c>
      <c r="G207" s="162" t="s">
        <v>3706</v>
      </c>
      <c r="H207" s="11"/>
      <c r="I207" s="11"/>
      <c r="J207" s="11"/>
      <c r="K207" s="26"/>
      <c r="L207" s="26" t="s">
        <v>660</v>
      </c>
      <c r="M207" s="11"/>
      <c r="N207" s="12">
        <v>46050</v>
      </c>
      <c r="O207" s="89" t="s">
        <v>2672</v>
      </c>
      <c r="P207" s="55">
        <v>46568</v>
      </c>
      <c r="Q207" s="16" t="s">
        <v>83</v>
      </c>
      <c r="R207" s="16" t="s">
        <v>84</v>
      </c>
      <c r="S207" s="21">
        <v>7107.75</v>
      </c>
      <c r="T207" s="21">
        <v>0</v>
      </c>
      <c r="U207" s="21">
        <v>710.78</v>
      </c>
      <c r="V207" s="147"/>
      <c r="W207" s="21">
        <v>823.03</v>
      </c>
      <c r="X207" s="147"/>
      <c r="Y207" s="21">
        <v>0</v>
      </c>
      <c r="Z207" s="16"/>
      <c r="AA207" s="55"/>
    </row>
    <row r="208" spans="1:27" x14ac:dyDescent="0.25">
      <c r="A208" s="26">
        <v>8138</v>
      </c>
      <c r="B208" s="106" t="s">
        <v>3597</v>
      </c>
      <c r="C208" s="11" t="s">
        <v>3602</v>
      </c>
      <c r="D208" s="55">
        <v>45931</v>
      </c>
      <c r="E208" s="55">
        <v>47026</v>
      </c>
      <c r="F208" s="72" t="s">
        <v>1743</v>
      </c>
      <c r="G208" s="162" t="s">
        <v>3707</v>
      </c>
      <c r="H208" s="11"/>
      <c r="I208" s="11"/>
      <c r="J208" s="11"/>
      <c r="K208" s="26"/>
      <c r="L208" s="26" t="s">
        <v>1621</v>
      </c>
      <c r="M208" s="11"/>
      <c r="N208" s="12">
        <v>46077</v>
      </c>
      <c r="O208" s="89" t="s">
        <v>2640</v>
      </c>
      <c r="P208" s="55">
        <v>47026</v>
      </c>
      <c r="Q208" s="16" t="s">
        <v>83</v>
      </c>
      <c r="R208" s="16" t="s">
        <v>84</v>
      </c>
      <c r="S208" s="21">
        <v>8541.59</v>
      </c>
      <c r="T208" s="21">
        <v>0</v>
      </c>
      <c r="U208" s="21">
        <v>0</v>
      </c>
      <c r="V208" s="147"/>
      <c r="W208" s="21">
        <v>2207.6799999999998</v>
      </c>
      <c r="X208" s="147"/>
      <c r="Y208" s="21">
        <v>0</v>
      </c>
      <c r="Z208" s="16"/>
      <c r="AA208" s="55"/>
    </row>
    <row r="209" spans="1:27" x14ac:dyDescent="0.25">
      <c r="A209" s="26">
        <v>8138</v>
      </c>
      <c r="B209" s="106" t="s">
        <v>3598</v>
      </c>
      <c r="C209" s="11" t="s">
        <v>3603</v>
      </c>
      <c r="D209" s="55">
        <v>45992</v>
      </c>
      <c r="E209" s="55">
        <v>47817</v>
      </c>
      <c r="F209" s="72" t="s">
        <v>1743</v>
      </c>
      <c r="G209" s="162" t="s">
        <v>3708</v>
      </c>
      <c r="H209" s="11"/>
      <c r="I209" s="11"/>
      <c r="J209" s="11"/>
      <c r="K209" s="26"/>
      <c r="L209" s="26" t="s">
        <v>134</v>
      </c>
      <c r="M209" s="11"/>
      <c r="N209" s="12">
        <v>46077</v>
      </c>
      <c r="O209" s="89" t="s">
        <v>1750</v>
      </c>
      <c r="P209" s="55">
        <v>47817</v>
      </c>
      <c r="Q209" s="16" t="s">
        <v>83</v>
      </c>
      <c r="R209" s="16" t="s">
        <v>84</v>
      </c>
      <c r="S209" s="21">
        <v>26899.83</v>
      </c>
      <c r="T209" s="21">
        <v>0</v>
      </c>
      <c r="U209" s="21">
        <v>2689.98</v>
      </c>
      <c r="V209" s="147"/>
      <c r="W209" s="21">
        <v>5075.4399999999996</v>
      </c>
      <c r="X209" s="147"/>
      <c r="Y209" s="21">
        <v>0</v>
      </c>
      <c r="Z209" s="16"/>
      <c r="AA209" s="55"/>
    </row>
    <row r="210" spans="1:27" x14ac:dyDescent="0.25">
      <c r="A210" s="26">
        <v>8138</v>
      </c>
      <c r="B210" s="106" t="s">
        <v>3599</v>
      </c>
      <c r="C210" s="11" t="s">
        <v>3604</v>
      </c>
      <c r="D210" s="55">
        <v>45771</v>
      </c>
      <c r="E210" s="55">
        <v>47573</v>
      </c>
      <c r="F210" s="72" t="s">
        <v>1743</v>
      </c>
      <c r="G210" s="162" t="s">
        <v>3709</v>
      </c>
      <c r="H210" s="11"/>
      <c r="I210" s="11"/>
      <c r="J210" s="11"/>
      <c r="K210" s="26"/>
      <c r="L210" s="26" t="s">
        <v>1363</v>
      </c>
      <c r="M210" s="11"/>
      <c r="N210" s="12">
        <v>46077</v>
      </c>
      <c r="O210" s="89" t="s">
        <v>2563</v>
      </c>
      <c r="P210" s="55">
        <v>47573</v>
      </c>
      <c r="Q210" s="16" t="s">
        <v>83</v>
      </c>
      <c r="R210" s="16" t="s">
        <v>84</v>
      </c>
      <c r="S210" s="21">
        <v>4344.07</v>
      </c>
      <c r="T210" s="21">
        <v>0</v>
      </c>
      <c r="U210" s="21">
        <v>434.41</v>
      </c>
      <c r="V210" s="147"/>
      <c r="W210" s="21">
        <v>868.81</v>
      </c>
      <c r="X210" s="147"/>
      <c r="Y210" s="21">
        <v>0</v>
      </c>
      <c r="Z210" s="16"/>
      <c r="AA210" s="55"/>
    </row>
    <row r="211" spans="1:27" x14ac:dyDescent="0.25">
      <c r="A211" s="26">
        <v>8138</v>
      </c>
      <c r="B211" s="106" t="s">
        <v>3600</v>
      </c>
      <c r="C211" s="11" t="s">
        <v>3605</v>
      </c>
      <c r="D211" s="55">
        <v>45931</v>
      </c>
      <c r="E211" s="55">
        <v>46691</v>
      </c>
      <c r="F211" s="72" t="s">
        <v>962</v>
      </c>
      <c r="G211" s="162" t="s">
        <v>3710</v>
      </c>
      <c r="H211" s="11"/>
      <c r="I211" s="11"/>
      <c r="J211" s="11"/>
      <c r="K211" s="26"/>
      <c r="L211" s="26"/>
      <c r="M211" s="11"/>
      <c r="N211" s="12">
        <v>46079</v>
      </c>
      <c r="O211" s="89" t="s">
        <v>3606</v>
      </c>
      <c r="P211" s="55">
        <v>46691</v>
      </c>
      <c r="Q211" s="16" t="s">
        <v>83</v>
      </c>
      <c r="R211" s="16" t="s">
        <v>84</v>
      </c>
      <c r="S211" s="21">
        <v>2000</v>
      </c>
      <c r="T211" s="21">
        <v>0</v>
      </c>
      <c r="U211" s="21">
        <v>200</v>
      </c>
      <c r="V211" s="147"/>
      <c r="W211" s="21">
        <v>500</v>
      </c>
      <c r="X211" s="147"/>
      <c r="Y211" s="21">
        <v>0</v>
      </c>
      <c r="Z211" s="16"/>
      <c r="AA211" s="55"/>
    </row>
    <row r="212" spans="1:27" x14ac:dyDescent="0.25">
      <c r="A212" s="26"/>
      <c r="B212" s="106"/>
      <c r="D212" s="55"/>
      <c r="E212" s="55"/>
      <c r="F212" s="72"/>
      <c r="G212" s="11"/>
      <c r="H212" s="11"/>
      <c r="I212" s="11"/>
      <c r="J212" s="11"/>
      <c r="K212" s="26"/>
      <c r="L212" s="26" t="s">
        <v>910</v>
      </c>
      <c r="M212" s="11"/>
      <c r="N212" s="12"/>
      <c r="O212" s="89"/>
      <c r="P212" s="55"/>
      <c r="Q212" s="16"/>
      <c r="R212" s="16"/>
      <c r="S212" s="21"/>
      <c r="T212" s="21"/>
      <c r="U212" s="21"/>
      <c r="V212" s="147"/>
      <c r="W212" s="21"/>
      <c r="X212" s="147"/>
      <c r="Y212" s="21"/>
      <c r="Z212" s="16"/>
      <c r="AA212" s="55"/>
    </row>
    <row r="213" spans="1:27" x14ac:dyDescent="0.25">
      <c r="A213" s="26" t="s">
        <v>1741</v>
      </c>
      <c r="B213" s="106" t="s">
        <v>906</v>
      </c>
      <c r="C213" s="11" t="s">
        <v>2435</v>
      </c>
      <c r="D213" s="55">
        <v>43892</v>
      </c>
      <c r="E213" s="55">
        <v>44985</v>
      </c>
      <c r="F213" s="24" t="s">
        <v>962</v>
      </c>
      <c r="G213" s="162" t="s">
        <v>439</v>
      </c>
      <c r="H213" s="11"/>
      <c r="I213" s="11" t="s">
        <v>111</v>
      </c>
      <c r="J213" s="11" t="s">
        <v>909</v>
      </c>
      <c r="K213" s="26" t="s">
        <v>469</v>
      </c>
      <c r="L213" s="26" t="s">
        <v>910</v>
      </c>
      <c r="M213" s="11" t="s">
        <v>174</v>
      </c>
      <c r="N213" s="12">
        <v>43950</v>
      </c>
      <c r="O213" s="85" t="s">
        <v>1740</v>
      </c>
      <c r="P213" s="55" t="s">
        <v>82</v>
      </c>
      <c r="Q213" s="16" t="s">
        <v>82</v>
      </c>
      <c r="R213" s="17" t="s">
        <v>911</v>
      </c>
      <c r="S213" s="22">
        <v>0</v>
      </c>
      <c r="T213" s="22">
        <v>0</v>
      </c>
      <c r="U213" s="22">
        <v>0</v>
      </c>
      <c r="V213" s="147" t="s">
        <v>82</v>
      </c>
      <c r="W213" s="22">
        <v>0</v>
      </c>
      <c r="X213" s="147" t="s">
        <v>82</v>
      </c>
      <c r="Y213" s="22">
        <v>0</v>
      </c>
      <c r="Z213" s="9" t="s">
        <v>913</v>
      </c>
      <c r="AA213" s="55">
        <v>44985</v>
      </c>
    </row>
    <row r="214" spans="1:27" x14ac:dyDescent="0.25">
      <c r="A214" s="26" t="s">
        <v>1741</v>
      </c>
      <c r="B214" s="106" t="s">
        <v>108</v>
      </c>
      <c r="C214" s="11" t="s">
        <v>2436</v>
      </c>
      <c r="D214" s="55">
        <v>39797</v>
      </c>
      <c r="E214" s="55">
        <v>44681</v>
      </c>
      <c r="F214" s="24" t="s">
        <v>962</v>
      </c>
      <c r="G214" s="162" t="s">
        <v>1556</v>
      </c>
      <c r="H214" s="11" t="s">
        <v>2437</v>
      </c>
      <c r="I214" s="11" t="s">
        <v>111</v>
      </c>
      <c r="J214" s="11" t="s">
        <v>113</v>
      </c>
      <c r="K214" s="26" t="s">
        <v>114</v>
      </c>
      <c r="L214" s="26" t="s">
        <v>2438</v>
      </c>
      <c r="M214" s="11" t="s">
        <v>174</v>
      </c>
      <c r="N214" s="12">
        <v>44089</v>
      </c>
      <c r="O214" s="85" t="s">
        <v>2439</v>
      </c>
      <c r="P214" s="55" t="s">
        <v>82</v>
      </c>
      <c r="Q214" s="16" t="s">
        <v>82</v>
      </c>
      <c r="R214" s="66" t="s">
        <v>2440</v>
      </c>
      <c r="S214" s="22">
        <v>0</v>
      </c>
      <c r="T214" s="22">
        <v>0</v>
      </c>
      <c r="U214" s="22">
        <v>0</v>
      </c>
      <c r="V214" s="147" t="s">
        <v>82</v>
      </c>
      <c r="W214" s="22">
        <v>0</v>
      </c>
      <c r="X214" s="147" t="s">
        <v>82</v>
      </c>
      <c r="Y214" s="22">
        <v>0</v>
      </c>
      <c r="Z214" s="9"/>
      <c r="AA214" s="55">
        <v>44681</v>
      </c>
    </row>
    <row r="215" spans="1:27" x14ac:dyDescent="0.25">
      <c r="A215" s="26" t="s">
        <v>1741</v>
      </c>
      <c r="B215" s="106" t="s">
        <v>108</v>
      </c>
      <c r="C215" s="11" t="s">
        <v>2436</v>
      </c>
      <c r="D215" s="55">
        <v>39797</v>
      </c>
      <c r="E215" s="55">
        <v>44681</v>
      </c>
      <c r="F215" s="24" t="s">
        <v>962</v>
      </c>
      <c r="G215" s="162" t="s">
        <v>1522</v>
      </c>
      <c r="H215" s="11" t="s">
        <v>1486</v>
      </c>
      <c r="I215" s="11" t="s">
        <v>111</v>
      </c>
      <c r="J215" s="11" t="s">
        <v>113</v>
      </c>
      <c r="K215" s="26" t="s">
        <v>114</v>
      </c>
      <c r="L215" s="26" t="s">
        <v>2438</v>
      </c>
      <c r="M215" s="11" t="s">
        <v>174</v>
      </c>
      <c r="N215" s="12">
        <v>44089</v>
      </c>
      <c r="O215" s="85" t="s">
        <v>2441</v>
      </c>
      <c r="P215" s="55" t="s">
        <v>82</v>
      </c>
      <c r="Q215" s="16" t="s">
        <v>82</v>
      </c>
      <c r="R215" s="66" t="s">
        <v>2440</v>
      </c>
      <c r="S215" s="22">
        <v>0</v>
      </c>
      <c r="T215" s="22">
        <v>0</v>
      </c>
      <c r="U215" s="22">
        <v>0</v>
      </c>
      <c r="V215" s="147" t="s">
        <v>82</v>
      </c>
      <c r="W215" s="22">
        <v>0</v>
      </c>
      <c r="X215" s="147" t="s">
        <v>82</v>
      </c>
      <c r="Y215" s="22">
        <v>0</v>
      </c>
      <c r="Z215" s="9"/>
      <c r="AA215" s="55">
        <v>44681</v>
      </c>
    </row>
    <row r="216" spans="1:27" x14ac:dyDescent="0.25">
      <c r="A216" s="26" t="s">
        <v>1741</v>
      </c>
      <c r="B216" s="106" t="s">
        <v>108</v>
      </c>
      <c r="C216" s="11" t="s">
        <v>2436</v>
      </c>
      <c r="D216" s="55">
        <v>39797</v>
      </c>
      <c r="E216" s="55">
        <v>44681</v>
      </c>
      <c r="F216" s="24" t="s">
        <v>962</v>
      </c>
      <c r="G216" s="162" t="s">
        <v>1527</v>
      </c>
      <c r="H216" s="11" t="s">
        <v>1492</v>
      </c>
      <c r="I216" s="11" t="s">
        <v>111</v>
      </c>
      <c r="J216" s="11" t="s">
        <v>113</v>
      </c>
      <c r="K216" s="26" t="s">
        <v>114</v>
      </c>
      <c r="L216" s="26" t="s">
        <v>2438</v>
      </c>
      <c r="M216" s="11" t="s">
        <v>174</v>
      </c>
      <c r="N216" s="12">
        <v>44089</v>
      </c>
      <c r="O216" s="85" t="s">
        <v>2442</v>
      </c>
      <c r="P216" s="55" t="s">
        <v>82</v>
      </c>
      <c r="Q216" s="16" t="s">
        <v>82</v>
      </c>
      <c r="R216" s="66" t="s">
        <v>2440</v>
      </c>
      <c r="S216" s="22">
        <v>0</v>
      </c>
      <c r="T216" s="22">
        <v>0</v>
      </c>
      <c r="U216" s="22">
        <v>0</v>
      </c>
      <c r="V216" s="147" t="s">
        <v>82</v>
      </c>
      <c r="W216" s="22">
        <v>0</v>
      </c>
      <c r="X216" s="147" t="s">
        <v>82</v>
      </c>
      <c r="Y216" s="22">
        <v>0</v>
      </c>
      <c r="Z216" s="9"/>
      <c r="AA216" s="55">
        <v>44681</v>
      </c>
    </row>
    <row r="217" spans="1:27" x14ac:dyDescent="0.25">
      <c r="A217" s="26" t="s">
        <v>1741</v>
      </c>
      <c r="B217" s="106" t="s">
        <v>108</v>
      </c>
      <c r="C217" s="11" t="s">
        <v>2436</v>
      </c>
      <c r="D217" s="55">
        <v>39797</v>
      </c>
      <c r="E217" s="55">
        <v>44681</v>
      </c>
      <c r="F217" s="24" t="s">
        <v>962</v>
      </c>
      <c r="G217" s="162" t="s">
        <v>1533</v>
      </c>
      <c r="H217" s="11" t="s">
        <v>415</v>
      </c>
      <c r="I217" s="11" t="s">
        <v>111</v>
      </c>
      <c r="J217" s="11" t="s">
        <v>113</v>
      </c>
      <c r="K217" s="26" t="s">
        <v>114</v>
      </c>
      <c r="L217" s="26" t="s">
        <v>2438</v>
      </c>
      <c r="M217" s="11" t="s">
        <v>174</v>
      </c>
      <c r="N217" s="12">
        <v>44089</v>
      </c>
      <c r="O217" s="85" t="s">
        <v>2443</v>
      </c>
      <c r="P217" s="55" t="s">
        <v>82</v>
      </c>
      <c r="Q217" s="16" t="s">
        <v>82</v>
      </c>
      <c r="R217" s="66" t="s">
        <v>2440</v>
      </c>
      <c r="S217" s="22">
        <v>0</v>
      </c>
      <c r="T217" s="22">
        <v>0</v>
      </c>
      <c r="U217" s="22">
        <v>0</v>
      </c>
      <c r="V217" s="147" t="s">
        <v>82</v>
      </c>
      <c r="W217" s="22">
        <v>0</v>
      </c>
      <c r="X217" s="147" t="s">
        <v>82</v>
      </c>
      <c r="Y217" s="22">
        <v>0</v>
      </c>
      <c r="Z217" s="9"/>
      <c r="AA217" s="55">
        <v>44681</v>
      </c>
    </row>
    <row r="218" spans="1:27" x14ac:dyDescent="0.25">
      <c r="A218" s="26" t="s">
        <v>1741</v>
      </c>
      <c r="B218" s="106" t="s">
        <v>108</v>
      </c>
      <c r="C218" s="11" t="s">
        <v>2436</v>
      </c>
      <c r="D218" s="55">
        <v>39797</v>
      </c>
      <c r="E218" s="55">
        <v>44681</v>
      </c>
      <c r="F218" s="24" t="s">
        <v>962</v>
      </c>
      <c r="G218" s="162" t="s">
        <v>445</v>
      </c>
      <c r="H218" s="11" t="s">
        <v>421</v>
      </c>
      <c r="I218" s="11" t="s">
        <v>111</v>
      </c>
      <c r="J218" s="11" t="s">
        <v>113</v>
      </c>
      <c r="K218" s="26" t="s">
        <v>114</v>
      </c>
      <c r="L218" s="26" t="s">
        <v>2438</v>
      </c>
      <c r="M218" s="11" t="s">
        <v>174</v>
      </c>
      <c r="N218" s="12">
        <v>44089</v>
      </c>
      <c r="O218" s="85" t="s">
        <v>2444</v>
      </c>
      <c r="P218" s="55" t="s">
        <v>82</v>
      </c>
      <c r="Q218" s="16" t="s">
        <v>82</v>
      </c>
      <c r="R218" s="66" t="s">
        <v>2440</v>
      </c>
      <c r="S218" s="22">
        <v>0</v>
      </c>
      <c r="T218" s="22">
        <v>0</v>
      </c>
      <c r="U218" s="22">
        <v>0</v>
      </c>
      <c r="V218" s="147" t="s">
        <v>82</v>
      </c>
      <c r="W218" s="22">
        <v>0</v>
      </c>
      <c r="X218" s="147" t="s">
        <v>82</v>
      </c>
      <c r="Y218" s="22">
        <v>0</v>
      </c>
      <c r="Z218" s="9"/>
      <c r="AA218" s="55">
        <v>44681</v>
      </c>
    </row>
    <row r="219" spans="1:27" x14ac:dyDescent="0.25">
      <c r="A219" s="26" t="s">
        <v>1741</v>
      </c>
      <c r="B219" s="106" t="s">
        <v>108</v>
      </c>
      <c r="C219" s="11" t="s">
        <v>2436</v>
      </c>
      <c r="D219" s="55">
        <v>39797</v>
      </c>
      <c r="E219" s="55">
        <v>44681</v>
      </c>
      <c r="F219" s="24" t="s">
        <v>962</v>
      </c>
      <c r="G219" s="162" t="s">
        <v>451</v>
      </c>
      <c r="H219" s="11" t="s">
        <v>1497</v>
      </c>
      <c r="I219" s="11" t="s">
        <v>111</v>
      </c>
      <c r="J219" s="11" t="s">
        <v>113</v>
      </c>
      <c r="K219" s="26" t="s">
        <v>114</v>
      </c>
      <c r="L219" s="26" t="s">
        <v>2438</v>
      </c>
      <c r="M219" s="11" t="s">
        <v>174</v>
      </c>
      <c r="N219" s="12">
        <v>44089</v>
      </c>
      <c r="O219" s="85" t="s">
        <v>2445</v>
      </c>
      <c r="P219" s="55" t="s">
        <v>82</v>
      </c>
      <c r="Q219" s="16" t="s">
        <v>82</v>
      </c>
      <c r="R219" s="66" t="s">
        <v>2440</v>
      </c>
      <c r="S219" s="22">
        <v>0</v>
      </c>
      <c r="T219" s="22">
        <v>0</v>
      </c>
      <c r="U219" s="22">
        <v>0</v>
      </c>
      <c r="V219" s="147" t="s">
        <v>82</v>
      </c>
      <c r="W219" s="22">
        <v>0</v>
      </c>
      <c r="X219" s="147" t="s">
        <v>82</v>
      </c>
      <c r="Y219" s="22">
        <v>0</v>
      </c>
      <c r="Z219" s="9"/>
      <c r="AA219" s="55">
        <v>44681</v>
      </c>
    </row>
    <row r="220" spans="1:27" x14ac:dyDescent="0.25">
      <c r="A220" s="26" t="s">
        <v>1741</v>
      </c>
      <c r="B220" s="106" t="s">
        <v>108</v>
      </c>
      <c r="C220" s="11" t="s">
        <v>2436</v>
      </c>
      <c r="D220" s="55">
        <v>39797</v>
      </c>
      <c r="E220" s="55">
        <v>44681</v>
      </c>
      <c r="F220" s="24" t="s">
        <v>962</v>
      </c>
      <c r="G220" s="162" t="s">
        <v>1539</v>
      </c>
      <c r="H220" s="11" t="s">
        <v>1503</v>
      </c>
      <c r="I220" s="11" t="s">
        <v>111</v>
      </c>
      <c r="J220" s="11" t="s">
        <v>113</v>
      </c>
      <c r="K220" s="26" t="s">
        <v>114</v>
      </c>
      <c r="L220" s="26" t="s">
        <v>2438</v>
      </c>
      <c r="M220" s="11" t="s">
        <v>174</v>
      </c>
      <c r="N220" s="12">
        <v>44089</v>
      </c>
      <c r="O220" s="85" t="s">
        <v>2446</v>
      </c>
      <c r="P220" s="55" t="s">
        <v>82</v>
      </c>
      <c r="Q220" s="16" t="s">
        <v>82</v>
      </c>
      <c r="R220" s="66" t="s">
        <v>2440</v>
      </c>
      <c r="S220" s="22">
        <v>0</v>
      </c>
      <c r="T220" s="22">
        <v>0</v>
      </c>
      <c r="U220" s="22">
        <v>0</v>
      </c>
      <c r="V220" s="147" t="s">
        <v>82</v>
      </c>
      <c r="W220" s="22">
        <v>0</v>
      </c>
      <c r="X220" s="147" t="s">
        <v>82</v>
      </c>
      <c r="Y220" s="22">
        <v>0</v>
      </c>
      <c r="Z220" s="9"/>
      <c r="AA220" s="55">
        <v>44681</v>
      </c>
    </row>
    <row r="221" spans="1:27" x14ac:dyDescent="0.25">
      <c r="A221" s="26" t="s">
        <v>1741</v>
      </c>
      <c r="B221" s="106" t="s">
        <v>108</v>
      </c>
      <c r="C221" s="11" t="s">
        <v>2436</v>
      </c>
      <c r="D221" s="55">
        <v>39797</v>
      </c>
      <c r="E221" s="55">
        <v>44681</v>
      </c>
      <c r="F221" s="24" t="s">
        <v>962</v>
      </c>
      <c r="G221" s="162" t="s">
        <v>1545</v>
      </c>
      <c r="H221" s="11" t="s">
        <v>427</v>
      </c>
      <c r="I221" s="11" t="s">
        <v>111</v>
      </c>
      <c r="J221" s="11" t="s">
        <v>113</v>
      </c>
      <c r="K221" s="26" t="s">
        <v>114</v>
      </c>
      <c r="L221" s="26" t="s">
        <v>2438</v>
      </c>
      <c r="M221" s="11" t="s">
        <v>174</v>
      </c>
      <c r="N221" s="12">
        <v>44089</v>
      </c>
      <c r="O221" s="85" t="s">
        <v>2447</v>
      </c>
      <c r="P221" s="55" t="s">
        <v>82</v>
      </c>
      <c r="Q221" s="16" t="s">
        <v>82</v>
      </c>
      <c r="R221" s="66" t="s">
        <v>2440</v>
      </c>
      <c r="S221" s="22">
        <v>0</v>
      </c>
      <c r="T221" s="22">
        <v>0</v>
      </c>
      <c r="U221" s="22">
        <v>0</v>
      </c>
      <c r="V221" s="147" t="s">
        <v>82</v>
      </c>
      <c r="W221" s="22">
        <v>0</v>
      </c>
      <c r="X221" s="147" t="s">
        <v>82</v>
      </c>
      <c r="Y221" s="22">
        <v>0</v>
      </c>
      <c r="Z221" s="9"/>
      <c r="AA221" s="55">
        <v>44681</v>
      </c>
    </row>
    <row r="222" spans="1:27" x14ac:dyDescent="0.25">
      <c r="A222" s="26" t="s">
        <v>1741</v>
      </c>
      <c r="B222" s="106" t="s">
        <v>118</v>
      </c>
      <c r="C222" s="11" t="s">
        <v>2448</v>
      </c>
      <c r="D222" s="55">
        <v>42339</v>
      </c>
      <c r="E222" s="55">
        <v>44681</v>
      </c>
      <c r="F222" s="24" t="s">
        <v>962</v>
      </c>
      <c r="G222" s="162" t="s">
        <v>1091</v>
      </c>
      <c r="H222" s="11" t="s">
        <v>2449</v>
      </c>
      <c r="I222" s="11" t="s">
        <v>111</v>
      </c>
      <c r="J222" s="11" t="s">
        <v>113</v>
      </c>
      <c r="K222" s="26" t="s">
        <v>114</v>
      </c>
      <c r="L222" s="26" t="s">
        <v>2450</v>
      </c>
      <c r="M222" s="11" t="s">
        <v>174</v>
      </c>
      <c r="N222" s="12">
        <v>44159</v>
      </c>
      <c r="O222" s="85" t="s">
        <v>2451</v>
      </c>
      <c r="P222" s="16" t="s">
        <v>82</v>
      </c>
      <c r="Q222" s="16" t="s">
        <v>82</v>
      </c>
      <c r="R222" s="66" t="s">
        <v>2452</v>
      </c>
      <c r="S222" s="22">
        <v>0</v>
      </c>
      <c r="T222" s="22">
        <v>0</v>
      </c>
      <c r="U222" s="22">
        <v>0</v>
      </c>
      <c r="V222" s="147" t="s">
        <v>1751</v>
      </c>
      <c r="W222" s="22">
        <v>0</v>
      </c>
      <c r="X222" s="147" t="s">
        <v>1846</v>
      </c>
      <c r="Y222" s="22">
        <v>0</v>
      </c>
      <c r="Z222" s="9"/>
      <c r="AA222" s="55">
        <v>44681</v>
      </c>
    </row>
    <row r="223" spans="1:27" x14ac:dyDescent="0.25">
      <c r="A223" s="26" t="s">
        <v>1741</v>
      </c>
      <c r="B223" s="106" t="s">
        <v>126</v>
      </c>
      <c r="C223" s="11" t="s">
        <v>2047</v>
      </c>
      <c r="D223" s="55">
        <v>42370</v>
      </c>
      <c r="E223" s="55">
        <v>45291</v>
      </c>
      <c r="F223" s="24" t="s">
        <v>962</v>
      </c>
      <c r="G223" s="162" t="s">
        <v>1563</v>
      </c>
      <c r="H223" s="11" t="s">
        <v>2453</v>
      </c>
      <c r="I223" s="11" t="s">
        <v>111</v>
      </c>
      <c r="J223" s="11" t="s">
        <v>113</v>
      </c>
      <c r="K223" s="26" t="s">
        <v>114</v>
      </c>
      <c r="L223" s="26" t="s">
        <v>2454</v>
      </c>
      <c r="M223" s="11" t="s">
        <v>174</v>
      </c>
      <c r="N223" s="12">
        <v>44089</v>
      </c>
      <c r="O223" s="85" t="s">
        <v>2048</v>
      </c>
      <c r="P223" s="16" t="s">
        <v>82</v>
      </c>
      <c r="Q223" s="16" t="s">
        <v>82</v>
      </c>
      <c r="R223" s="66" t="s">
        <v>2455</v>
      </c>
      <c r="S223" s="22">
        <v>0</v>
      </c>
      <c r="T223" s="22">
        <v>0</v>
      </c>
      <c r="U223" s="22">
        <v>0</v>
      </c>
      <c r="V223" s="147" t="s">
        <v>82</v>
      </c>
      <c r="W223" s="22">
        <v>0</v>
      </c>
      <c r="X223" s="147" t="s">
        <v>82</v>
      </c>
      <c r="Y223" s="22">
        <v>0</v>
      </c>
      <c r="Z223" s="93" t="s">
        <v>249</v>
      </c>
      <c r="AA223" s="55">
        <v>45291</v>
      </c>
    </row>
    <row r="224" spans="1:27" x14ac:dyDescent="0.25">
      <c r="A224" s="26" t="s">
        <v>1741</v>
      </c>
      <c r="B224" s="106" t="s">
        <v>1000</v>
      </c>
      <c r="C224" s="11" t="s">
        <v>2456</v>
      </c>
      <c r="D224" s="55">
        <v>41439</v>
      </c>
      <c r="E224" s="55">
        <v>45213</v>
      </c>
      <c r="F224" s="24" t="s">
        <v>962</v>
      </c>
      <c r="G224" s="162" t="s">
        <v>463</v>
      </c>
      <c r="H224" s="11" t="s">
        <v>2457</v>
      </c>
      <c r="I224" s="11" t="s">
        <v>111</v>
      </c>
      <c r="J224" s="11" t="s">
        <v>113</v>
      </c>
      <c r="K224" s="26" t="s">
        <v>114</v>
      </c>
      <c r="L224" s="26" t="s">
        <v>2062</v>
      </c>
      <c r="M224" s="11" t="s">
        <v>174</v>
      </c>
      <c r="N224" s="12">
        <v>44089</v>
      </c>
      <c r="O224" s="85" t="s">
        <v>2063</v>
      </c>
      <c r="P224" s="55">
        <v>45213</v>
      </c>
      <c r="Q224" s="16" t="s">
        <v>1011</v>
      </c>
      <c r="R224" s="17" t="s">
        <v>2458</v>
      </c>
      <c r="S224" s="22">
        <v>0</v>
      </c>
      <c r="T224" s="22">
        <v>0</v>
      </c>
      <c r="U224" s="22">
        <v>0</v>
      </c>
      <c r="V224" s="147" t="s">
        <v>82</v>
      </c>
      <c r="W224" s="22">
        <v>0</v>
      </c>
      <c r="X224" s="147" t="s">
        <v>1745</v>
      </c>
      <c r="Y224" s="22">
        <v>0</v>
      </c>
      <c r="Z224" s="93" t="s">
        <v>249</v>
      </c>
      <c r="AA224" s="55">
        <v>45213</v>
      </c>
    </row>
    <row r="225" spans="1:27" x14ac:dyDescent="0.25">
      <c r="A225" s="26" t="s">
        <v>1741</v>
      </c>
      <c r="B225" s="106" t="s">
        <v>1005</v>
      </c>
      <c r="C225" s="11" t="s">
        <v>2459</v>
      </c>
      <c r="D225" s="55">
        <v>42370</v>
      </c>
      <c r="E225" s="55">
        <v>45291</v>
      </c>
      <c r="F225" s="26" t="s">
        <v>1743</v>
      </c>
      <c r="G225" s="162" t="s">
        <v>2460</v>
      </c>
      <c r="H225" s="11" t="s">
        <v>2461</v>
      </c>
      <c r="I225" s="11" t="s">
        <v>111</v>
      </c>
      <c r="J225" s="11" t="s">
        <v>113</v>
      </c>
      <c r="K225" s="26" t="s">
        <v>114</v>
      </c>
      <c r="L225" s="26" t="s">
        <v>2462</v>
      </c>
      <c r="M225" s="11" t="s">
        <v>174</v>
      </c>
      <c r="N225" s="12">
        <v>44089</v>
      </c>
      <c r="O225" s="85" t="s">
        <v>2052</v>
      </c>
      <c r="P225" s="55">
        <v>45291</v>
      </c>
      <c r="Q225" s="16" t="s">
        <v>911</v>
      </c>
      <c r="R225" s="66" t="s">
        <v>2463</v>
      </c>
      <c r="S225" s="22">
        <v>0</v>
      </c>
      <c r="T225" s="22">
        <v>0</v>
      </c>
      <c r="U225" s="22">
        <v>0</v>
      </c>
      <c r="V225" s="147" t="s">
        <v>82</v>
      </c>
      <c r="W225" s="22">
        <v>0</v>
      </c>
      <c r="X225" s="147" t="s">
        <v>1846</v>
      </c>
      <c r="Y225" s="22">
        <v>0</v>
      </c>
      <c r="Z225" s="93" t="s">
        <v>249</v>
      </c>
      <c r="AA225" s="55">
        <v>45291</v>
      </c>
    </row>
    <row r="226" spans="1:27" x14ac:dyDescent="0.25">
      <c r="A226" s="26" t="s">
        <v>1741</v>
      </c>
      <c r="B226" s="106" t="s">
        <v>1017</v>
      </c>
      <c r="C226" s="11" t="s">
        <v>2465</v>
      </c>
      <c r="D226" s="55">
        <v>42401</v>
      </c>
      <c r="E226" s="55">
        <v>43646</v>
      </c>
      <c r="F226" s="26" t="s">
        <v>1743</v>
      </c>
      <c r="G226" s="162" t="s">
        <v>2466</v>
      </c>
      <c r="H226" s="11"/>
      <c r="I226" s="11" t="s">
        <v>111</v>
      </c>
      <c r="J226" s="11" t="s">
        <v>113</v>
      </c>
      <c r="K226" s="26" t="s">
        <v>82</v>
      </c>
      <c r="L226" s="26" t="s">
        <v>2467</v>
      </c>
      <c r="M226" s="11" t="s">
        <v>174</v>
      </c>
      <c r="N226" s="12">
        <v>43508</v>
      </c>
      <c r="O226" s="85" t="s">
        <v>2468</v>
      </c>
      <c r="P226" s="55">
        <v>43646</v>
      </c>
      <c r="Q226" s="16" t="s">
        <v>911</v>
      </c>
      <c r="R226" s="17" t="s">
        <v>912</v>
      </c>
      <c r="S226" s="22">
        <v>0</v>
      </c>
      <c r="T226" s="22">
        <v>0</v>
      </c>
      <c r="U226" s="22">
        <v>0</v>
      </c>
      <c r="V226" s="147" t="s">
        <v>82</v>
      </c>
      <c r="W226" s="22">
        <v>0</v>
      </c>
      <c r="X226" s="147" t="s">
        <v>82</v>
      </c>
      <c r="Y226" s="22">
        <v>0</v>
      </c>
      <c r="Z226" s="9" t="s">
        <v>999</v>
      </c>
      <c r="AA226" s="55">
        <v>43646</v>
      </c>
    </row>
    <row r="227" spans="1:27" x14ac:dyDescent="0.25">
      <c r="A227" s="26" t="s">
        <v>1741</v>
      </c>
      <c r="B227" s="106" t="s">
        <v>1045</v>
      </c>
      <c r="C227" s="11" t="s">
        <v>2472</v>
      </c>
      <c r="D227" s="55">
        <v>42401</v>
      </c>
      <c r="E227" s="55">
        <v>43646</v>
      </c>
      <c r="F227" s="26" t="s">
        <v>1743</v>
      </c>
      <c r="G227" s="162" t="s">
        <v>2473</v>
      </c>
      <c r="H227" s="11"/>
      <c r="I227" s="11" t="s">
        <v>111</v>
      </c>
      <c r="J227" s="11" t="s">
        <v>113</v>
      </c>
      <c r="K227" s="26" t="s">
        <v>82</v>
      </c>
      <c r="L227" s="26" t="s">
        <v>2474</v>
      </c>
      <c r="M227" s="11" t="s">
        <v>174</v>
      </c>
      <c r="N227" s="12">
        <v>43508</v>
      </c>
      <c r="O227" s="85" t="s">
        <v>2475</v>
      </c>
      <c r="P227" s="55">
        <v>43646</v>
      </c>
      <c r="Q227" s="16" t="s">
        <v>911</v>
      </c>
      <c r="R227" s="17" t="s">
        <v>912</v>
      </c>
      <c r="S227" s="22">
        <v>0</v>
      </c>
      <c r="T227" s="22">
        <v>0</v>
      </c>
      <c r="U227" s="22">
        <v>0</v>
      </c>
      <c r="V227" s="147" t="s">
        <v>82</v>
      </c>
      <c r="W227" s="22">
        <v>0</v>
      </c>
      <c r="X227" s="147" t="s">
        <v>82</v>
      </c>
      <c r="Y227" s="22">
        <v>0</v>
      </c>
      <c r="Z227" s="9" t="s">
        <v>999</v>
      </c>
      <c r="AA227" s="55">
        <v>43646</v>
      </c>
    </row>
    <row r="228" spans="1:27" x14ac:dyDescent="0.25">
      <c r="A228" s="26" t="s">
        <v>1741</v>
      </c>
      <c r="B228" s="106" t="s">
        <v>1070</v>
      </c>
      <c r="C228" s="11" t="s">
        <v>2478</v>
      </c>
      <c r="D228" s="55">
        <v>41640</v>
      </c>
      <c r="E228" s="55">
        <v>45291</v>
      </c>
      <c r="F228" s="24" t="s">
        <v>962</v>
      </c>
      <c r="G228" s="162" t="s">
        <v>1574</v>
      </c>
      <c r="H228" s="11" t="s">
        <v>2479</v>
      </c>
      <c r="I228" s="11" t="s">
        <v>111</v>
      </c>
      <c r="J228" s="11" t="s">
        <v>113</v>
      </c>
      <c r="K228" s="26" t="s">
        <v>114</v>
      </c>
      <c r="L228" s="26" t="s">
        <v>2480</v>
      </c>
      <c r="M228" s="11" t="s">
        <v>174</v>
      </c>
      <c r="N228" s="12">
        <v>44089</v>
      </c>
      <c r="O228" s="85" t="s">
        <v>2050</v>
      </c>
      <c r="P228" s="55">
        <v>45291</v>
      </c>
      <c r="Q228" s="16" t="s">
        <v>911</v>
      </c>
      <c r="R228" s="66" t="s">
        <v>2481</v>
      </c>
      <c r="S228" s="22">
        <v>0</v>
      </c>
      <c r="T228" s="22">
        <v>0</v>
      </c>
      <c r="U228" s="22">
        <v>0</v>
      </c>
      <c r="V228" s="147" t="s">
        <v>82</v>
      </c>
      <c r="W228" s="22">
        <v>0</v>
      </c>
      <c r="X228" s="147" t="s">
        <v>1745</v>
      </c>
      <c r="Y228" s="22">
        <v>0</v>
      </c>
      <c r="Z228" s="93" t="s">
        <v>249</v>
      </c>
      <c r="AA228" s="55">
        <v>45291</v>
      </c>
    </row>
    <row r="229" spans="1:27" x14ac:dyDescent="0.25">
      <c r="A229" s="26" t="s">
        <v>1741</v>
      </c>
      <c r="B229" s="106" t="s">
        <v>1077</v>
      </c>
      <c r="C229" s="11" t="s">
        <v>2067</v>
      </c>
      <c r="D229" s="55">
        <v>42309</v>
      </c>
      <c r="E229" s="55">
        <v>45322</v>
      </c>
      <c r="F229" s="26" t="s">
        <v>1743</v>
      </c>
      <c r="G229" s="162" t="s">
        <v>474</v>
      </c>
      <c r="H229" s="11" t="s">
        <v>1453</v>
      </c>
      <c r="I229" s="11" t="s">
        <v>111</v>
      </c>
      <c r="J229" s="11" t="s">
        <v>113</v>
      </c>
      <c r="K229" s="26" t="s">
        <v>114</v>
      </c>
      <c r="L229" s="26" t="s">
        <v>2068</v>
      </c>
      <c r="M229" s="11" t="s">
        <v>174</v>
      </c>
      <c r="N229" s="12">
        <v>44089</v>
      </c>
      <c r="O229" s="85" t="s">
        <v>2069</v>
      </c>
      <c r="P229" s="55">
        <v>45443</v>
      </c>
      <c r="Q229" s="16" t="s">
        <v>1011</v>
      </c>
      <c r="R229" s="66" t="s">
        <v>2482</v>
      </c>
      <c r="S229" s="22">
        <v>0</v>
      </c>
      <c r="T229" s="22">
        <v>0</v>
      </c>
      <c r="U229" s="22">
        <v>0</v>
      </c>
      <c r="V229" s="147" t="s">
        <v>1755</v>
      </c>
      <c r="W229" s="22">
        <v>0</v>
      </c>
      <c r="X229" s="147" t="s">
        <v>1745</v>
      </c>
      <c r="Y229" s="22">
        <v>0</v>
      </c>
      <c r="Z229" s="87" t="s">
        <v>155</v>
      </c>
      <c r="AA229" s="55">
        <v>45322</v>
      </c>
    </row>
    <row r="230" spans="1:27" x14ac:dyDescent="0.25">
      <c r="A230" s="26" t="s">
        <v>1741</v>
      </c>
      <c r="B230" s="106" t="s">
        <v>1083</v>
      </c>
      <c r="C230" s="11" t="s">
        <v>1769</v>
      </c>
      <c r="D230" s="55">
        <v>43282</v>
      </c>
      <c r="E230" s="55">
        <v>46022</v>
      </c>
      <c r="F230" s="26" t="s">
        <v>1743</v>
      </c>
      <c r="G230" s="162" t="s">
        <v>922</v>
      </c>
      <c r="H230" s="11" t="s">
        <v>1770</v>
      </c>
      <c r="I230" s="11" t="s">
        <v>111</v>
      </c>
      <c r="J230" s="11" t="s">
        <v>113</v>
      </c>
      <c r="K230" s="26" t="s">
        <v>114</v>
      </c>
      <c r="L230" s="26" t="s">
        <v>1771</v>
      </c>
      <c r="M230" s="11" t="s">
        <v>174</v>
      </c>
      <c r="N230" s="12">
        <v>44089</v>
      </c>
      <c r="O230" s="85" t="s">
        <v>1772</v>
      </c>
      <c r="P230" s="55">
        <v>46022</v>
      </c>
      <c r="Q230" s="55" t="s">
        <v>1011</v>
      </c>
      <c r="R230" s="66" t="s">
        <v>911</v>
      </c>
      <c r="S230" s="22">
        <v>0</v>
      </c>
      <c r="T230" s="22">
        <v>0</v>
      </c>
      <c r="U230" s="22">
        <v>0</v>
      </c>
      <c r="V230" s="147" t="s">
        <v>82</v>
      </c>
      <c r="W230" s="22">
        <v>0</v>
      </c>
      <c r="X230" s="147" t="s">
        <v>1745</v>
      </c>
      <c r="Y230" s="22">
        <v>0</v>
      </c>
      <c r="Z230" s="14"/>
      <c r="AA230" s="55">
        <v>46022</v>
      </c>
    </row>
    <row r="231" spans="1:27" x14ac:dyDescent="0.25">
      <c r="A231" s="26" t="s">
        <v>1741</v>
      </c>
      <c r="B231" s="106" t="s">
        <v>1089</v>
      </c>
      <c r="C231" s="11" t="s">
        <v>2483</v>
      </c>
      <c r="D231" s="55">
        <v>42430</v>
      </c>
      <c r="E231" s="55">
        <v>44347</v>
      </c>
      <c r="F231" s="26" t="s">
        <v>1743</v>
      </c>
      <c r="G231" s="162" t="s">
        <v>1593</v>
      </c>
      <c r="H231" s="11" t="s">
        <v>2484</v>
      </c>
      <c r="I231" s="11" t="s">
        <v>111</v>
      </c>
      <c r="J231" s="11" t="s">
        <v>113</v>
      </c>
      <c r="K231" s="26" t="s">
        <v>114</v>
      </c>
      <c r="L231" s="26" t="s">
        <v>2485</v>
      </c>
      <c r="M231" s="11" t="s">
        <v>174</v>
      </c>
      <c r="N231" s="12">
        <v>44089</v>
      </c>
      <c r="O231" s="85" t="s">
        <v>2486</v>
      </c>
      <c r="P231" s="55">
        <v>44347</v>
      </c>
      <c r="Q231" s="16" t="s">
        <v>911</v>
      </c>
      <c r="R231" s="17" t="s">
        <v>912</v>
      </c>
      <c r="S231" s="22">
        <v>0</v>
      </c>
      <c r="T231" s="22">
        <v>0</v>
      </c>
      <c r="U231" s="22">
        <v>0</v>
      </c>
      <c r="V231" s="147" t="s">
        <v>82</v>
      </c>
      <c r="W231" s="22">
        <v>0</v>
      </c>
      <c r="X231" s="147" t="s">
        <v>82</v>
      </c>
      <c r="Y231" s="22">
        <v>0</v>
      </c>
      <c r="Z231" s="9" t="s">
        <v>999</v>
      </c>
      <c r="AA231" s="55">
        <v>44347</v>
      </c>
    </row>
    <row r="232" spans="1:27" x14ac:dyDescent="0.25">
      <c r="A232" s="26" t="s">
        <v>1741</v>
      </c>
      <c r="B232" s="106" t="s">
        <v>1122</v>
      </c>
      <c r="C232" s="11" t="s">
        <v>1806</v>
      </c>
      <c r="D232" s="55">
        <v>43282</v>
      </c>
      <c r="E232" s="55">
        <v>46022</v>
      </c>
      <c r="F232" s="26" t="s">
        <v>1743</v>
      </c>
      <c r="G232" s="162" t="s">
        <v>974</v>
      </c>
      <c r="H232" s="11" t="s">
        <v>1807</v>
      </c>
      <c r="I232" s="11" t="s">
        <v>111</v>
      </c>
      <c r="J232" s="11" t="s">
        <v>113</v>
      </c>
      <c r="K232" s="26" t="s">
        <v>114</v>
      </c>
      <c r="L232" s="26" t="s">
        <v>1808</v>
      </c>
      <c r="M232" s="11" t="s">
        <v>174</v>
      </c>
      <c r="N232" s="12">
        <v>44089</v>
      </c>
      <c r="O232" s="85" t="s">
        <v>1809</v>
      </c>
      <c r="P232" s="55">
        <v>46022</v>
      </c>
      <c r="Q232" s="55" t="s">
        <v>1011</v>
      </c>
      <c r="R232" s="66" t="s">
        <v>911</v>
      </c>
      <c r="S232" s="22">
        <v>0</v>
      </c>
      <c r="T232" s="22">
        <v>0</v>
      </c>
      <c r="U232" s="22">
        <v>0</v>
      </c>
      <c r="V232" s="147" t="s">
        <v>82</v>
      </c>
      <c r="W232" s="22">
        <v>0</v>
      </c>
      <c r="X232" s="147" t="s">
        <v>1745</v>
      </c>
      <c r="Y232" s="22">
        <v>0</v>
      </c>
      <c r="Z232" s="14"/>
      <c r="AA232" s="55">
        <v>46022</v>
      </c>
    </row>
    <row r="233" spans="1:27" x14ac:dyDescent="0.25">
      <c r="A233" s="26" t="s">
        <v>1741</v>
      </c>
      <c r="B233" s="106" t="s">
        <v>1142</v>
      </c>
      <c r="C233" s="11" t="s">
        <v>2487</v>
      </c>
      <c r="D233" s="55">
        <v>42826</v>
      </c>
      <c r="E233" s="55">
        <v>45747</v>
      </c>
      <c r="F233" s="24" t="s">
        <v>962</v>
      </c>
      <c r="G233" s="162" t="s">
        <v>979</v>
      </c>
      <c r="H233" s="11" t="s">
        <v>2488</v>
      </c>
      <c r="I233" s="11" t="s">
        <v>111</v>
      </c>
      <c r="J233" s="11" t="s">
        <v>113</v>
      </c>
      <c r="K233" s="26" t="s">
        <v>114</v>
      </c>
      <c r="L233" s="26" t="s">
        <v>2489</v>
      </c>
      <c r="M233" s="11" t="s">
        <v>174</v>
      </c>
      <c r="N233" s="12">
        <v>44089</v>
      </c>
      <c r="O233" s="85" t="s">
        <v>2490</v>
      </c>
      <c r="P233" s="55">
        <v>45747</v>
      </c>
      <c r="Q233" s="16" t="s">
        <v>1011</v>
      </c>
      <c r="R233" s="66" t="s">
        <v>911</v>
      </c>
      <c r="S233" s="22">
        <v>0</v>
      </c>
      <c r="T233" s="22">
        <v>0</v>
      </c>
      <c r="U233" s="22">
        <v>0</v>
      </c>
      <c r="V233" s="147" t="s">
        <v>82</v>
      </c>
      <c r="W233" s="22">
        <v>0</v>
      </c>
      <c r="X233" s="147" t="s">
        <v>82</v>
      </c>
      <c r="Y233" s="22">
        <v>0</v>
      </c>
      <c r="Z233" s="14"/>
      <c r="AA233" s="55">
        <v>45747</v>
      </c>
    </row>
    <row r="234" spans="1:27" x14ac:dyDescent="0.25">
      <c r="A234" s="26" t="s">
        <v>1741</v>
      </c>
      <c r="B234" s="106" t="s">
        <v>1170</v>
      </c>
      <c r="C234" s="11" t="s">
        <v>2492</v>
      </c>
      <c r="D234" s="55">
        <v>42979</v>
      </c>
      <c r="E234" s="55">
        <v>44183</v>
      </c>
      <c r="F234" s="24" t="s">
        <v>962</v>
      </c>
      <c r="G234" s="162" t="s">
        <v>1598</v>
      </c>
      <c r="H234" s="11" t="s">
        <v>2493</v>
      </c>
      <c r="I234" s="11" t="s">
        <v>111</v>
      </c>
      <c r="J234" s="11" t="s">
        <v>113</v>
      </c>
      <c r="K234" s="26" t="s">
        <v>114</v>
      </c>
      <c r="L234" s="26" t="s">
        <v>2494</v>
      </c>
      <c r="M234" s="11" t="s">
        <v>174</v>
      </c>
      <c r="N234" s="12">
        <v>44089</v>
      </c>
      <c r="O234" s="85" t="s">
        <v>2495</v>
      </c>
      <c r="P234" s="55">
        <v>44183</v>
      </c>
      <c r="Q234" s="16" t="s">
        <v>911</v>
      </c>
      <c r="R234" s="17" t="s">
        <v>912</v>
      </c>
      <c r="S234" s="22">
        <v>0</v>
      </c>
      <c r="T234" s="22">
        <v>0</v>
      </c>
      <c r="U234" s="22">
        <v>0</v>
      </c>
      <c r="V234" s="147" t="s">
        <v>82</v>
      </c>
      <c r="W234" s="22">
        <v>0</v>
      </c>
      <c r="X234" s="147" t="s">
        <v>82</v>
      </c>
      <c r="Y234" s="22">
        <v>0</v>
      </c>
      <c r="Z234" s="9" t="s">
        <v>999</v>
      </c>
      <c r="AA234" s="55">
        <v>44183</v>
      </c>
    </row>
    <row r="235" spans="1:27" x14ac:dyDescent="0.25">
      <c r="A235" s="26" t="s">
        <v>1741</v>
      </c>
      <c r="B235" s="106" t="s">
        <v>1181</v>
      </c>
      <c r="C235" s="11" t="s">
        <v>2497</v>
      </c>
      <c r="D235" s="55">
        <v>42339</v>
      </c>
      <c r="E235" s="55">
        <v>44620</v>
      </c>
      <c r="F235" s="26" t="s">
        <v>1743</v>
      </c>
      <c r="G235" s="162" t="s">
        <v>1602</v>
      </c>
      <c r="H235" s="11" t="s">
        <v>1139</v>
      </c>
      <c r="I235" s="11" t="s">
        <v>111</v>
      </c>
      <c r="J235" s="11" t="s">
        <v>113</v>
      </c>
      <c r="K235" s="26" t="s">
        <v>114</v>
      </c>
      <c r="L235" s="26" t="s">
        <v>2498</v>
      </c>
      <c r="M235" s="11" t="s">
        <v>174</v>
      </c>
      <c r="N235" s="12">
        <v>44089</v>
      </c>
      <c r="O235" s="85" t="s">
        <v>2499</v>
      </c>
      <c r="P235" s="55">
        <v>44620</v>
      </c>
      <c r="Q235" s="16" t="s">
        <v>911</v>
      </c>
      <c r="R235" s="17" t="s">
        <v>2500</v>
      </c>
      <c r="S235" s="22">
        <v>0</v>
      </c>
      <c r="T235" s="22">
        <v>0</v>
      </c>
      <c r="U235" s="22">
        <v>0</v>
      </c>
      <c r="V235" s="147" t="s">
        <v>1755</v>
      </c>
      <c r="W235" s="22">
        <v>0</v>
      </c>
      <c r="X235" s="147" t="s">
        <v>1846</v>
      </c>
      <c r="Y235" s="22">
        <v>0</v>
      </c>
      <c r="Z235" s="14"/>
      <c r="AA235" s="55">
        <v>44620</v>
      </c>
    </row>
    <row r="236" spans="1:27" x14ac:dyDescent="0.25">
      <c r="A236" s="26" t="s">
        <v>1741</v>
      </c>
      <c r="B236" s="106" t="s">
        <v>1205</v>
      </c>
      <c r="C236" s="11" t="s">
        <v>2501</v>
      </c>
      <c r="D236" s="55">
        <v>42005</v>
      </c>
      <c r="E236" s="55">
        <v>45291</v>
      </c>
      <c r="F236" s="24" t="s">
        <v>962</v>
      </c>
      <c r="G236" s="162" t="s">
        <v>1013</v>
      </c>
      <c r="H236" s="11" t="s">
        <v>2502</v>
      </c>
      <c r="I236" s="11" t="s">
        <v>111</v>
      </c>
      <c r="J236" s="11" t="s">
        <v>113</v>
      </c>
      <c r="K236" s="26" t="s">
        <v>114</v>
      </c>
      <c r="L236" s="26" t="s">
        <v>2503</v>
      </c>
      <c r="M236" s="11" t="s">
        <v>174</v>
      </c>
      <c r="N236" s="12">
        <v>44089</v>
      </c>
      <c r="O236" s="85" t="s">
        <v>2504</v>
      </c>
      <c r="P236" s="55">
        <v>45291</v>
      </c>
      <c r="Q236" s="16" t="s">
        <v>911</v>
      </c>
      <c r="R236" s="17" t="s">
        <v>2505</v>
      </c>
      <c r="S236" s="22">
        <v>0</v>
      </c>
      <c r="T236" s="22">
        <v>0</v>
      </c>
      <c r="U236" s="22">
        <v>0</v>
      </c>
      <c r="V236" s="147" t="s">
        <v>82</v>
      </c>
      <c r="W236" s="22">
        <v>0</v>
      </c>
      <c r="X236" s="147" t="s">
        <v>1745</v>
      </c>
      <c r="Y236" s="22">
        <v>0</v>
      </c>
      <c r="Z236" s="93" t="s">
        <v>249</v>
      </c>
      <c r="AA236" s="55">
        <v>45291</v>
      </c>
    </row>
    <row r="237" spans="1:27" x14ac:dyDescent="0.25">
      <c r="A237" s="26" t="s">
        <v>1741</v>
      </c>
      <c r="B237" s="106" t="s">
        <v>1221</v>
      </c>
      <c r="C237" s="11" t="s">
        <v>2508</v>
      </c>
      <c r="D237" s="55">
        <v>42767</v>
      </c>
      <c r="E237" s="55">
        <v>45688</v>
      </c>
      <c r="F237" s="26" t="s">
        <v>1743</v>
      </c>
      <c r="G237" s="162" t="s">
        <v>1035</v>
      </c>
      <c r="H237" s="11" t="s">
        <v>1156</v>
      </c>
      <c r="I237" s="11" t="s">
        <v>111</v>
      </c>
      <c r="J237" s="11" t="s">
        <v>113</v>
      </c>
      <c r="K237" s="26" t="s">
        <v>114</v>
      </c>
      <c r="L237" s="26" t="s">
        <v>2509</v>
      </c>
      <c r="M237" s="11" t="s">
        <v>174</v>
      </c>
      <c r="N237" s="12">
        <v>44089</v>
      </c>
      <c r="O237" s="85" t="s">
        <v>2510</v>
      </c>
      <c r="P237" s="55">
        <v>45688</v>
      </c>
      <c r="Q237" s="16" t="s">
        <v>1011</v>
      </c>
      <c r="R237" s="17" t="s">
        <v>911</v>
      </c>
      <c r="S237" s="22">
        <v>0</v>
      </c>
      <c r="T237" s="22">
        <v>0</v>
      </c>
      <c r="U237" s="22">
        <v>0</v>
      </c>
      <c r="V237" s="147" t="s">
        <v>1751</v>
      </c>
      <c r="W237" s="22">
        <v>0</v>
      </c>
      <c r="X237" s="147" t="s">
        <v>1745</v>
      </c>
      <c r="Y237" s="22">
        <v>0</v>
      </c>
      <c r="Z237" s="87" t="s">
        <v>125</v>
      </c>
      <c r="AA237" s="55">
        <v>45291</v>
      </c>
    </row>
    <row r="238" spans="1:27" x14ac:dyDescent="0.25">
      <c r="A238" s="26" t="s">
        <v>1741</v>
      </c>
      <c r="B238" s="106" t="s">
        <v>230</v>
      </c>
      <c r="C238" s="11" t="s">
        <v>1879</v>
      </c>
      <c r="D238" s="55">
        <v>43282</v>
      </c>
      <c r="E238" s="55">
        <v>46022</v>
      </c>
      <c r="F238" s="26" t="s">
        <v>1743</v>
      </c>
      <c r="G238" s="162" t="s">
        <v>143</v>
      </c>
      <c r="H238" s="11" t="s">
        <v>1880</v>
      </c>
      <c r="I238" s="11" t="s">
        <v>111</v>
      </c>
      <c r="J238" s="11" t="s">
        <v>113</v>
      </c>
      <c r="K238" s="26" t="s">
        <v>114</v>
      </c>
      <c r="L238" s="26" t="s">
        <v>1881</v>
      </c>
      <c r="M238" s="11" t="s">
        <v>174</v>
      </c>
      <c r="N238" s="12">
        <v>44089</v>
      </c>
      <c r="O238" s="85" t="s">
        <v>1882</v>
      </c>
      <c r="P238" s="55">
        <v>46022</v>
      </c>
      <c r="Q238" s="55" t="s">
        <v>1011</v>
      </c>
      <c r="R238" s="17" t="s">
        <v>911</v>
      </c>
      <c r="S238" s="22">
        <v>0</v>
      </c>
      <c r="T238" s="22">
        <v>0</v>
      </c>
      <c r="U238" s="22">
        <v>0</v>
      </c>
      <c r="V238" s="147" t="s">
        <v>82</v>
      </c>
      <c r="W238" s="22">
        <v>0</v>
      </c>
      <c r="X238" s="147" t="s">
        <v>1745</v>
      </c>
      <c r="Y238" s="22">
        <v>0</v>
      </c>
      <c r="Z238" s="14"/>
      <c r="AA238" s="55">
        <v>46022</v>
      </c>
    </row>
    <row r="239" spans="1:27" x14ac:dyDescent="0.25">
      <c r="A239" s="26"/>
      <c r="B239" s="106"/>
      <c r="C239" s="11"/>
      <c r="D239" s="55"/>
      <c r="E239" s="55"/>
      <c r="F239" s="26"/>
      <c r="G239" s="11"/>
      <c r="H239" s="11"/>
      <c r="I239" s="11"/>
      <c r="J239" s="11"/>
      <c r="K239" s="26"/>
      <c r="L239" s="26"/>
      <c r="M239" s="11"/>
      <c r="N239" s="12"/>
      <c r="O239" s="85"/>
      <c r="P239" s="55"/>
      <c r="Q239" s="55"/>
      <c r="R239" s="17"/>
      <c r="S239" s="22"/>
      <c r="T239" s="22"/>
      <c r="U239" s="22"/>
      <c r="V239" s="147"/>
      <c r="W239" s="22"/>
      <c r="X239" s="147"/>
      <c r="Y239" s="22"/>
      <c r="Z239" s="14"/>
      <c r="AA239" s="55"/>
    </row>
    <row r="240" spans="1:27" x14ac:dyDescent="0.25">
      <c r="A240" s="26" t="s">
        <v>1741</v>
      </c>
      <c r="B240" s="106" t="s">
        <v>663</v>
      </c>
      <c r="C240" s="11" t="s">
        <v>2514</v>
      </c>
      <c r="D240" s="55">
        <v>42736</v>
      </c>
      <c r="E240" s="55">
        <v>45688</v>
      </c>
      <c r="F240" s="26" t="s">
        <v>1743</v>
      </c>
      <c r="G240" s="162" t="s">
        <v>1072</v>
      </c>
      <c r="H240" s="11" t="s">
        <v>1161</v>
      </c>
      <c r="I240" s="11" t="s">
        <v>111</v>
      </c>
      <c r="J240" s="11" t="s">
        <v>113</v>
      </c>
      <c r="K240" s="26" t="s">
        <v>114</v>
      </c>
      <c r="L240" s="26" t="s">
        <v>2515</v>
      </c>
      <c r="M240" s="11" t="s">
        <v>174</v>
      </c>
      <c r="N240" s="12">
        <v>44089</v>
      </c>
      <c r="O240" s="85" t="s">
        <v>2516</v>
      </c>
      <c r="P240" s="55">
        <v>45688</v>
      </c>
      <c r="Q240" s="16" t="s">
        <v>911</v>
      </c>
      <c r="R240" s="17" t="s">
        <v>3572</v>
      </c>
      <c r="S240" s="22">
        <v>0</v>
      </c>
      <c r="T240" s="22">
        <v>0</v>
      </c>
      <c r="U240" s="22">
        <v>0</v>
      </c>
      <c r="V240" s="147" t="s">
        <v>1755</v>
      </c>
      <c r="W240" s="22">
        <v>0</v>
      </c>
      <c r="X240" s="147" t="s">
        <v>1745</v>
      </c>
      <c r="Y240" s="22">
        <v>0</v>
      </c>
      <c r="Z240" s="14"/>
      <c r="AA240" s="55">
        <v>45688</v>
      </c>
    </row>
    <row r="241" spans="1:27" x14ac:dyDescent="0.25">
      <c r="A241" s="26" t="s">
        <v>1741</v>
      </c>
      <c r="B241" s="106" t="s">
        <v>242</v>
      </c>
      <c r="C241" s="11" t="s">
        <v>2517</v>
      </c>
      <c r="D241" s="55">
        <v>44682</v>
      </c>
      <c r="E241" s="55">
        <v>45291</v>
      </c>
      <c r="F241" s="24" t="s">
        <v>962</v>
      </c>
      <c r="G241" s="162" t="s">
        <v>190</v>
      </c>
      <c r="H241" s="11"/>
      <c r="I241" s="11" t="s">
        <v>111</v>
      </c>
      <c r="J241" s="11" t="s">
        <v>113</v>
      </c>
      <c r="K241" s="26" t="s">
        <v>114</v>
      </c>
      <c r="L241" s="26" t="s">
        <v>1542</v>
      </c>
      <c r="M241" s="11" t="s">
        <v>2518</v>
      </c>
      <c r="N241" s="12">
        <v>44712</v>
      </c>
      <c r="O241" s="86" t="s">
        <v>2519</v>
      </c>
      <c r="P241" s="55">
        <v>45353</v>
      </c>
      <c r="Q241" s="16" t="s">
        <v>1011</v>
      </c>
      <c r="R241" s="17" t="s">
        <v>911</v>
      </c>
      <c r="S241" s="22">
        <v>0</v>
      </c>
      <c r="T241" s="22">
        <v>0</v>
      </c>
      <c r="U241" s="22">
        <v>0</v>
      </c>
      <c r="V241" s="147" t="s">
        <v>1751</v>
      </c>
      <c r="W241" s="22">
        <v>0</v>
      </c>
      <c r="X241" s="147" t="s">
        <v>1846</v>
      </c>
      <c r="Y241" s="22">
        <v>0</v>
      </c>
      <c r="Z241" s="93" t="s">
        <v>249</v>
      </c>
      <c r="AA241" s="55">
        <v>45291</v>
      </c>
    </row>
    <row r="242" spans="1:27" x14ac:dyDescent="0.25">
      <c r="A242" s="26" t="s">
        <v>1741</v>
      </c>
      <c r="B242" s="106" t="s">
        <v>250</v>
      </c>
      <c r="C242" s="11" t="s">
        <v>2520</v>
      </c>
      <c r="D242" s="55">
        <v>42217</v>
      </c>
      <c r="E242" s="55">
        <v>45504</v>
      </c>
      <c r="F242" s="26" t="s">
        <v>1743</v>
      </c>
      <c r="G242" s="162" t="s">
        <v>158</v>
      </c>
      <c r="H242" s="11" t="s">
        <v>1178</v>
      </c>
      <c r="I242" s="11" t="s">
        <v>111</v>
      </c>
      <c r="J242" s="11" t="s">
        <v>113</v>
      </c>
      <c r="K242" s="26" t="s">
        <v>114</v>
      </c>
      <c r="L242" s="26" t="s">
        <v>2521</v>
      </c>
      <c r="M242" s="11" t="s">
        <v>174</v>
      </c>
      <c r="N242" s="12">
        <v>44089</v>
      </c>
      <c r="O242" s="85" t="s">
        <v>2054</v>
      </c>
      <c r="P242" s="55">
        <v>45504</v>
      </c>
      <c r="Q242" s="55" t="s">
        <v>911</v>
      </c>
      <c r="R242" s="17" t="s">
        <v>2522</v>
      </c>
      <c r="S242" s="22">
        <v>0</v>
      </c>
      <c r="T242" s="22">
        <v>0</v>
      </c>
      <c r="U242" s="22">
        <v>0</v>
      </c>
      <c r="V242" s="147" t="s">
        <v>1751</v>
      </c>
      <c r="W242" s="22">
        <v>0</v>
      </c>
      <c r="X242" s="147" t="s">
        <v>1745</v>
      </c>
      <c r="Y242" s="22">
        <v>0</v>
      </c>
      <c r="Z242" s="14"/>
      <c r="AA242" s="55">
        <v>45504</v>
      </c>
    </row>
    <row r="243" spans="1:27" x14ac:dyDescent="0.25">
      <c r="A243" s="26"/>
      <c r="B243" s="106"/>
      <c r="C243" s="11"/>
      <c r="D243" s="55"/>
      <c r="E243" s="55"/>
      <c r="F243" s="26"/>
      <c r="G243" s="11"/>
      <c r="H243" s="11"/>
      <c r="I243" s="11"/>
      <c r="J243" s="11"/>
      <c r="K243" s="26"/>
      <c r="L243" s="26"/>
      <c r="M243" s="11"/>
      <c r="N243" s="12"/>
      <c r="O243" s="85"/>
      <c r="P243" s="55"/>
      <c r="Q243" s="55"/>
      <c r="R243" s="17"/>
      <c r="S243" s="22"/>
      <c r="T243" s="22"/>
      <c r="U243" s="22"/>
      <c r="V243" s="147"/>
      <c r="W243" s="22"/>
      <c r="X243" s="147"/>
      <c r="Y243" s="22"/>
      <c r="Z243" s="14"/>
      <c r="AA243" s="55"/>
    </row>
    <row r="244" spans="1:27" x14ac:dyDescent="0.25">
      <c r="A244" s="26" t="s">
        <v>1741</v>
      </c>
      <c r="B244" s="106" t="s">
        <v>1248</v>
      </c>
      <c r="C244" s="11" t="s">
        <v>2523</v>
      </c>
      <c r="D244" s="55">
        <v>42217</v>
      </c>
      <c r="E244" s="55">
        <v>45504</v>
      </c>
      <c r="F244" s="26" t="s">
        <v>1743</v>
      </c>
      <c r="G244" s="162" t="s">
        <v>165</v>
      </c>
      <c r="H244" s="11" t="s">
        <v>1183</v>
      </c>
      <c r="I244" s="11" t="s">
        <v>111</v>
      </c>
      <c r="J244" s="11" t="s">
        <v>113</v>
      </c>
      <c r="K244" s="26" t="s">
        <v>114</v>
      </c>
      <c r="L244" s="26" t="s">
        <v>2524</v>
      </c>
      <c r="M244" s="11" t="s">
        <v>174</v>
      </c>
      <c r="N244" s="12">
        <v>44089</v>
      </c>
      <c r="O244" s="85" t="s">
        <v>2525</v>
      </c>
      <c r="P244" s="55">
        <v>45504</v>
      </c>
      <c r="Q244" s="55" t="s">
        <v>911</v>
      </c>
      <c r="R244" s="17" t="s">
        <v>2526</v>
      </c>
      <c r="S244" s="22">
        <v>0</v>
      </c>
      <c r="T244" s="22">
        <v>0</v>
      </c>
      <c r="U244" s="22">
        <v>0</v>
      </c>
      <c r="V244" s="147" t="s">
        <v>1751</v>
      </c>
      <c r="W244" s="22">
        <v>0</v>
      </c>
      <c r="X244" s="147" t="s">
        <v>1745</v>
      </c>
      <c r="Y244" s="22">
        <v>0</v>
      </c>
      <c r="Z244" s="87" t="s">
        <v>155</v>
      </c>
      <c r="AA244" s="55">
        <v>45504</v>
      </c>
    </row>
    <row r="245" spans="1:27" x14ac:dyDescent="0.25">
      <c r="A245" s="26"/>
      <c r="B245" s="106"/>
      <c r="C245" s="11"/>
      <c r="D245" s="55"/>
      <c r="E245" s="55"/>
      <c r="F245" s="26"/>
      <c r="G245" s="11"/>
      <c r="H245" s="11"/>
      <c r="I245" s="11"/>
      <c r="J245" s="11"/>
      <c r="K245" s="26"/>
      <c r="L245" s="26"/>
      <c r="M245" s="11"/>
      <c r="N245" s="12"/>
      <c r="O245" s="85"/>
      <c r="P245" s="55"/>
      <c r="Q245" s="55"/>
      <c r="R245" s="17"/>
      <c r="S245" s="22"/>
      <c r="T245" s="22"/>
      <c r="U245" s="22"/>
      <c r="V245" s="147"/>
      <c r="W245" s="22"/>
      <c r="X245" s="147"/>
      <c r="Y245" s="22"/>
      <c r="Z245" s="87"/>
      <c r="AA245" s="55"/>
    </row>
    <row r="246" spans="1:27" x14ac:dyDescent="0.25">
      <c r="A246" s="26" t="s">
        <v>1741</v>
      </c>
      <c r="B246" s="106" t="s">
        <v>257</v>
      </c>
      <c r="C246" s="11" t="s">
        <v>2527</v>
      </c>
      <c r="D246" s="55">
        <v>41730</v>
      </c>
      <c r="E246" s="55">
        <v>45382</v>
      </c>
      <c r="F246" s="26" t="s">
        <v>1743</v>
      </c>
      <c r="G246" s="162" t="s">
        <v>1107</v>
      </c>
      <c r="H246" s="11" t="s">
        <v>2528</v>
      </c>
      <c r="I246" s="11" t="s">
        <v>111</v>
      </c>
      <c r="J246" s="11" t="s">
        <v>113</v>
      </c>
      <c r="K246" s="26" t="s">
        <v>114</v>
      </c>
      <c r="L246" s="26" t="s">
        <v>2529</v>
      </c>
      <c r="M246" s="11" t="s">
        <v>174</v>
      </c>
      <c r="N246" s="12">
        <v>44089</v>
      </c>
      <c r="O246" s="85" t="s">
        <v>2530</v>
      </c>
      <c r="P246" s="55">
        <v>45382</v>
      </c>
      <c r="Q246" s="16" t="s">
        <v>1011</v>
      </c>
      <c r="R246" s="17" t="s">
        <v>2531</v>
      </c>
      <c r="S246" s="22">
        <v>0</v>
      </c>
      <c r="T246" s="22">
        <v>0</v>
      </c>
      <c r="U246" s="22">
        <v>0</v>
      </c>
      <c r="V246" s="147" t="s">
        <v>82</v>
      </c>
      <c r="W246" s="22">
        <v>0</v>
      </c>
      <c r="X246" s="147" t="s">
        <v>82</v>
      </c>
      <c r="Y246" s="22">
        <v>0</v>
      </c>
      <c r="Z246" s="87" t="s">
        <v>155</v>
      </c>
      <c r="AA246" s="55">
        <v>45382</v>
      </c>
    </row>
    <row r="247" spans="1:27" x14ac:dyDescent="0.25">
      <c r="A247" s="26" t="s">
        <v>1741</v>
      </c>
      <c r="B247" s="106" t="s">
        <v>1254</v>
      </c>
      <c r="C247" s="11" t="s">
        <v>1889</v>
      </c>
      <c r="D247" s="55">
        <v>43282</v>
      </c>
      <c r="E247" s="55">
        <v>46022</v>
      </c>
      <c r="F247" s="26" t="s">
        <v>1743</v>
      </c>
      <c r="G247" s="162" t="s">
        <v>1123</v>
      </c>
      <c r="H247" s="11" t="s">
        <v>1890</v>
      </c>
      <c r="I247" s="11" t="s">
        <v>111</v>
      </c>
      <c r="J247" s="11" t="s">
        <v>113</v>
      </c>
      <c r="K247" s="26" t="s">
        <v>114</v>
      </c>
      <c r="L247" s="26" t="s">
        <v>1891</v>
      </c>
      <c r="M247" s="11" t="s">
        <v>174</v>
      </c>
      <c r="N247" s="12">
        <v>44089</v>
      </c>
      <c r="O247" s="85" t="s">
        <v>1892</v>
      </c>
      <c r="P247" s="55">
        <v>46022</v>
      </c>
      <c r="Q247" s="55" t="s">
        <v>1011</v>
      </c>
      <c r="R247" s="17" t="s">
        <v>911</v>
      </c>
      <c r="S247" s="22">
        <v>0</v>
      </c>
      <c r="T247" s="22">
        <v>0</v>
      </c>
      <c r="U247" s="22">
        <v>0</v>
      </c>
      <c r="V247" s="147" t="s">
        <v>82</v>
      </c>
      <c r="W247" s="22">
        <v>0</v>
      </c>
      <c r="X247" s="147" t="s">
        <v>1745</v>
      </c>
      <c r="Y247" s="22">
        <v>0</v>
      </c>
      <c r="Z247" s="14"/>
      <c r="AA247" s="55">
        <v>46022</v>
      </c>
    </row>
    <row r="248" spans="1:27" x14ac:dyDescent="0.25">
      <c r="A248" s="26" t="s">
        <v>1741</v>
      </c>
      <c r="B248" s="106" t="s">
        <v>1266</v>
      </c>
      <c r="C248" s="11" t="s">
        <v>2532</v>
      </c>
      <c r="D248" s="55">
        <v>39995</v>
      </c>
      <c r="E248" s="55">
        <v>45504</v>
      </c>
      <c r="F248" s="26" t="s">
        <v>1743</v>
      </c>
      <c r="G248" s="162" t="s">
        <v>1138</v>
      </c>
      <c r="H248" s="11" t="s">
        <v>2533</v>
      </c>
      <c r="I248" s="11" t="s">
        <v>111</v>
      </c>
      <c r="J248" s="11" t="s">
        <v>113</v>
      </c>
      <c r="K248" s="26" t="s">
        <v>114</v>
      </c>
      <c r="L248" s="26" t="s">
        <v>2073</v>
      </c>
      <c r="M248" s="11" t="s">
        <v>174</v>
      </c>
      <c r="N248" s="12">
        <v>44089</v>
      </c>
      <c r="O248" s="85" t="s">
        <v>2074</v>
      </c>
      <c r="P248" s="55">
        <v>45504</v>
      </c>
      <c r="Q248" s="55" t="s">
        <v>1011</v>
      </c>
      <c r="R248" s="17" t="s">
        <v>2534</v>
      </c>
      <c r="S248" s="22">
        <v>0</v>
      </c>
      <c r="T248" s="22">
        <v>0</v>
      </c>
      <c r="U248" s="22">
        <v>0</v>
      </c>
      <c r="V248" s="147" t="s">
        <v>82</v>
      </c>
      <c r="W248" s="22">
        <v>0</v>
      </c>
      <c r="X248" s="147" t="s">
        <v>82</v>
      </c>
      <c r="Y248" s="22">
        <v>0</v>
      </c>
      <c r="Z248" s="87" t="s">
        <v>155</v>
      </c>
      <c r="AA248" s="55">
        <v>45504</v>
      </c>
    </row>
    <row r="249" spans="1:27" x14ac:dyDescent="0.25">
      <c r="A249" s="26" t="s">
        <v>1741</v>
      </c>
      <c r="B249" s="106" t="s">
        <v>1272</v>
      </c>
      <c r="C249" s="11" t="s">
        <v>2536</v>
      </c>
      <c r="D249" s="55">
        <v>40057</v>
      </c>
      <c r="E249" s="55">
        <v>43708</v>
      </c>
      <c r="F249" s="24" t="s">
        <v>962</v>
      </c>
      <c r="G249" s="162" t="s">
        <v>2537</v>
      </c>
      <c r="H249" s="11" t="s">
        <v>2024</v>
      </c>
      <c r="I249" s="11" t="s">
        <v>111</v>
      </c>
      <c r="J249" s="11" t="s">
        <v>113</v>
      </c>
      <c r="K249" s="26" t="s">
        <v>82</v>
      </c>
      <c r="L249" s="26" t="s">
        <v>2538</v>
      </c>
      <c r="M249" s="11" t="s">
        <v>174</v>
      </c>
      <c r="N249" s="12">
        <v>43508</v>
      </c>
      <c r="O249" s="85" t="s">
        <v>2539</v>
      </c>
      <c r="P249" s="55">
        <v>43708</v>
      </c>
      <c r="Q249" s="16" t="s">
        <v>911</v>
      </c>
      <c r="R249" s="17" t="s">
        <v>912</v>
      </c>
      <c r="S249" s="22">
        <v>0</v>
      </c>
      <c r="T249" s="22">
        <v>0</v>
      </c>
      <c r="U249" s="22">
        <v>0</v>
      </c>
      <c r="V249" s="147" t="s">
        <v>82</v>
      </c>
      <c r="W249" s="22">
        <v>0</v>
      </c>
      <c r="X249" s="147" t="s">
        <v>82</v>
      </c>
      <c r="Y249" s="22">
        <v>0</v>
      </c>
      <c r="Z249" s="9" t="s">
        <v>999</v>
      </c>
      <c r="AA249" s="55">
        <v>43708</v>
      </c>
    </row>
    <row r="250" spans="1:27" x14ac:dyDescent="0.25">
      <c r="A250" s="26" t="s">
        <v>1741</v>
      </c>
      <c r="B250" s="106" t="s">
        <v>1303</v>
      </c>
      <c r="C250" s="11" t="s">
        <v>2544</v>
      </c>
      <c r="D250" s="55">
        <v>40159</v>
      </c>
      <c r="E250" s="55">
        <v>43787</v>
      </c>
      <c r="F250" s="24" t="s">
        <v>962</v>
      </c>
      <c r="G250" s="162" t="s">
        <v>2545</v>
      </c>
      <c r="H250" s="11" t="s">
        <v>2024</v>
      </c>
      <c r="I250" s="11" t="s">
        <v>111</v>
      </c>
      <c r="J250" s="11" t="s">
        <v>113</v>
      </c>
      <c r="K250" s="26" t="s">
        <v>82</v>
      </c>
      <c r="L250" s="26" t="s">
        <v>2546</v>
      </c>
      <c r="M250" s="11" t="s">
        <v>174</v>
      </c>
      <c r="N250" s="12">
        <v>43508</v>
      </c>
      <c r="O250" s="85" t="s">
        <v>2547</v>
      </c>
      <c r="P250" s="55">
        <v>43784</v>
      </c>
      <c r="Q250" s="16" t="s">
        <v>911</v>
      </c>
      <c r="R250" s="17" t="s">
        <v>912</v>
      </c>
      <c r="S250" s="22">
        <v>0</v>
      </c>
      <c r="T250" s="22">
        <v>0</v>
      </c>
      <c r="U250" s="22">
        <v>0</v>
      </c>
      <c r="V250" s="147" t="s">
        <v>82</v>
      </c>
      <c r="W250" s="22">
        <v>0</v>
      </c>
      <c r="X250" s="147" t="s">
        <v>82</v>
      </c>
      <c r="Y250" s="22">
        <v>0</v>
      </c>
      <c r="Z250" s="9" t="s">
        <v>999</v>
      </c>
      <c r="AA250" s="55">
        <v>43787</v>
      </c>
    </row>
    <row r="251" spans="1:27" x14ac:dyDescent="0.25">
      <c r="A251" s="26" t="s">
        <v>1741</v>
      </c>
      <c r="B251" s="106" t="s">
        <v>1320</v>
      </c>
      <c r="C251" s="11" t="s">
        <v>2551</v>
      </c>
      <c r="D251" s="55">
        <v>42987</v>
      </c>
      <c r="E251" s="55">
        <v>45908</v>
      </c>
      <c r="F251" s="26" t="s">
        <v>1743</v>
      </c>
      <c r="G251" s="162" t="s">
        <v>196</v>
      </c>
      <c r="H251" s="11" t="s">
        <v>1207</v>
      </c>
      <c r="I251" s="11" t="s">
        <v>111</v>
      </c>
      <c r="J251" s="11" t="s">
        <v>113</v>
      </c>
      <c r="K251" s="26" t="s">
        <v>114</v>
      </c>
      <c r="L251" s="26" t="s">
        <v>2552</v>
      </c>
      <c r="M251" s="11" t="s">
        <v>174</v>
      </c>
      <c r="N251" s="12">
        <v>44089</v>
      </c>
      <c r="O251" s="85" t="s">
        <v>2553</v>
      </c>
      <c r="P251" s="55">
        <v>45908</v>
      </c>
      <c r="Q251" s="16" t="s">
        <v>1011</v>
      </c>
      <c r="R251" s="17" t="s">
        <v>911</v>
      </c>
      <c r="S251" s="22">
        <v>0</v>
      </c>
      <c r="T251" s="22">
        <v>0</v>
      </c>
      <c r="U251" s="22">
        <v>0</v>
      </c>
      <c r="V251" s="147" t="s">
        <v>1755</v>
      </c>
      <c r="W251" s="22">
        <v>0</v>
      </c>
      <c r="X251" s="147" t="s">
        <v>1846</v>
      </c>
      <c r="Y251" s="22">
        <v>0</v>
      </c>
      <c r="Z251" s="90" t="s">
        <v>125</v>
      </c>
      <c r="AA251" s="100">
        <v>45908</v>
      </c>
    </row>
    <row r="252" spans="1:27" x14ac:dyDescent="0.25">
      <c r="A252" s="26" t="s">
        <v>1741</v>
      </c>
      <c r="B252" s="106" t="s">
        <v>1330</v>
      </c>
      <c r="C252" s="11" t="s">
        <v>1907</v>
      </c>
      <c r="D252" s="55">
        <v>43110</v>
      </c>
      <c r="E252" s="55">
        <v>46031</v>
      </c>
      <c r="F252" s="26" t="s">
        <v>1743</v>
      </c>
      <c r="G252" s="162" t="s">
        <v>1908</v>
      </c>
      <c r="H252" s="11" t="s">
        <v>203</v>
      </c>
      <c r="I252" s="11" t="s">
        <v>111</v>
      </c>
      <c r="J252" s="11" t="s">
        <v>113</v>
      </c>
      <c r="K252" s="26" t="s">
        <v>114</v>
      </c>
      <c r="L252" s="26" t="s">
        <v>1909</v>
      </c>
      <c r="M252" s="11" t="s">
        <v>174</v>
      </c>
      <c r="N252" s="12">
        <v>44089</v>
      </c>
      <c r="O252" s="85" t="s">
        <v>1910</v>
      </c>
      <c r="P252" s="55">
        <v>46031</v>
      </c>
      <c r="Q252" s="55" t="s">
        <v>1011</v>
      </c>
      <c r="R252" s="17" t="s">
        <v>911</v>
      </c>
      <c r="S252" s="22">
        <v>0</v>
      </c>
      <c r="T252" s="22">
        <v>0</v>
      </c>
      <c r="U252" s="22">
        <v>0</v>
      </c>
      <c r="V252" s="147" t="s">
        <v>1755</v>
      </c>
      <c r="W252" s="22">
        <v>0</v>
      </c>
      <c r="X252" s="147" t="s">
        <v>1846</v>
      </c>
      <c r="Y252" s="22">
        <v>0</v>
      </c>
      <c r="Z252" s="90" t="s">
        <v>125</v>
      </c>
      <c r="AA252" s="55">
        <v>46031</v>
      </c>
    </row>
    <row r="253" spans="1:27" x14ac:dyDescent="0.25">
      <c r="A253" s="26" t="s">
        <v>1741</v>
      </c>
      <c r="B253" s="106" t="s">
        <v>308</v>
      </c>
      <c r="C253" s="11" t="s">
        <v>2554</v>
      </c>
      <c r="D253" s="55">
        <v>43113</v>
      </c>
      <c r="E253" s="55">
        <v>44732</v>
      </c>
      <c r="F253" s="26" t="s">
        <v>1743</v>
      </c>
      <c r="G253" s="162" t="s">
        <v>1211</v>
      </c>
      <c r="H253" s="11" t="s">
        <v>1212</v>
      </c>
      <c r="I253" s="11" t="s">
        <v>111</v>
      </c>
      <c r="J253" s="11" t="s">
        <v>113</v>
      </c>
      <c r="K253" s="26" t="s">
        <v>114</v>
      </c>
      <c r="L253" s="26" t="s">
        <v>2555</v>
      </c>
      <c r="M253" s="11" t="s">
        <v>174</v>
      </c>
      <c r="N253" s="12">
        <v>44089</v>
      </c>
      <c r="O253" s="85" t="s">
        <v>2556</v>
      </c>
      <c r="P253" s="55">
        <v>44938</v>
      </c>
      <c r="Q253" s="16" t="s">
        <v>911</v>
      </c>
      <c r="R253" s="17" t="s">
        <v>912</v>
      </c>
      <c r="S253" s="22">
        <v>0</v>
      </c>
      <c r="T253" s="22">
        <v>0</v>
      </c>
      <c r="U253" s="22">
        <v>0</v>
      </c>
      <c r="V253" s="147" t="s">
        <v>82</v>
      </c>
      <c r="W253" s="22">
        <v>0</v>
      </c>
      <c r="X253" s="147" t="s">
        <v>82</v>
      </c>
      <c r="Y253" s="22">
        <v>0</v>
      </c>
      <c r="Z253" s="9" t="s">
        <v>999</v>
      </c>
      <c r="AA253" s="55">
        <v>44732</v>
      </c>
    </row>
    <row r="254" spans="1:27" x14ac:dyDescent="0.25">
      <c r="A254" s="26" t="s">
        <v>1741</v>
      </c>
      <c r="B254" s="106" t="s">
        <v>1340</v>
      </c>
      <c r="C254" s="11" t="s">
        <v>2557</v>
      </c>
      <c r="D254" s="55">
        <v>42349</v>
      </c>
      <c r="E254" s="55">
        <v>45270</v>
      </c>
      <c r="F254" s="26" t="s">
        <v>1743</v>
      </c>
      <c r="G254" s="162" t="s">
        <v>1222</v>
      </c>
      <c r="H254" s="11" t="s">
        <v>1223</v>
      </c>
      <c r="I254" s="11" t="s">
        <v>111</v>
      </c>
      <c r="J254" s="11" t="s">
        <v>113</v>
      </c>
      <c r="K254" s="26" t="s">
        <v>114</v>
      </c>
      <c r="L254" s="26" t="s">
        <v>2558</v>
      </c>
      <c r="M254" s="11" t="s">
        <v>174</v>
      </c>
      <c r="N254" s="12">
        <v>44089</v>
      </c>
      <c r="O254" s="85" t="s">
        <v>2056</v>
      </c>
      <c r="P254" s="55">
        <v>45270</v>
      </c>
      <c r="Q254" s="16" t="s">
        <v>911</v>
      </c>
      <c r="R254" s="17" t="s">
        <v>2559</v>
      </c>
      <c r="S254" s="22">
        <v>0</v>
      </c>
      <c r="T254" s="22">
        <v>0</v>
      </c>
      <c r="U254" s="22">
        <v>0</v>
      </c>
      <c r="V254" s="147" t="s">
        <v>1755</v>
      </c>
      <c r="W254" s="22">
        <v>0</v>
      </c>
      <c r="X254" s="147" t="s">
        <v>1846</v>
      </c>
      <c r="Y254" s="22">
        <v>0</v>
      </c>
      <c r="Z254" s="93" t="s">
        <v>249</v>
      </c>
      <c r="AA254" s="55">
        <v>45270</v>
      </c>
    </row>
    <row r="255" spans="1:27" x14ac:dyDescent="0.25">
      <c r="A255" s="26" t="s">
        <v>1741</v>
      </c>
      <c r="B255" s="106" t="s">
        <v>340</v>
      </c>
      <c r="C255" s="11" t="s">
        <v>1926</v>
      </c>
      <c r="D255" s="55">
        <v>43282</v>
      </c>
      <c r="E255" s="55">
        <v>46022</v>
      </c>
      <c r="F255" s="26" t="s">
        <v>1743</v>
      </c>
      <c r="G255" s="162" t="s">
        <v>238</v>
      </c>
      <c r="H255" s="11" t="s">
        <v>1927</v>
      </c>
      <c r="I255" s="11" t="s">
        <v>111</v>
      </c>
      <c r="J255" s="11" t="s">
        <v>113</v>
      </c>
      <c r="K255" s="26" t="s">
        <v>114</v>
      </c>
      <c r="L255" s="26" t="s">
        <v>1928</v>
      </c>
      <c r="M255" s="11" t="s">
        <v>174</v>
      </c>
      <c r="N255" s="12">
        <v>44089</v>
      </c>
      <c r="O255" s="85" t="s">
        <v>1929</v>
      </c>
      <c r="P255" s="55">
        <v>46022</v>
      </c>
      <c r="Q255" s="55" t="s">
        <v>1011</v>
      </c>
      <c r="R255" s="17" t="s">
        <v>911</v>
      </c>
      <c r="S255" s="22">
        <v>0</v>
      </c>
      <c r="T255" s="22">
        <v>0</v>
      </c>
      <c r="U255" s="22">
        <v>0</v>
      </c>
      <c r="V255" s="147" t="s">
        <v>82</v>
      </c>
      <c r="W255" s="22">
        <v>0</v>
      </c>
      <c r="X255" s="147" t="s">
        <v>1745</v>
      </c>
      <c r="Y255" s="22">
        <v>0</v>
      </c>
      <c r="Z255" s="14"/>
      <c r="AA255" s="55">
        <v>46022</v>
      </c>
    </row>
    <row r="256" spans="1:27" x14ac:dyDescent="0.25">
      <c r="A256" s="26" t="s">
        <v>1741</v>
      </c>
      <c r="B256" s="106" t="s">
        <v>347</v>
      </c>
      <c r="C256" s="11" t="s">
        <v>2560</v>
      </c>
      <c r="D256" s="55">
        <v>42438</v>
      </c>
      <c r="E256" s="55">
        <v>45724</v>
      </c>
      <c r="F256" s="26" t="s">
        <v>1743</v>
      </c>
      <c r="G256" s="162" t="s">
        <v>1244</v>
      </c>
      <c r="H256" s="11" t="s">
        <v>1239</v>
      </c>
      <c r="I256" s="11" t="s">
        <v>111</v>
      </c>
      <c r="J256" s="11" t="s">
        <v>113</v>
      </c>
      <c r="K256" s="26" t="s">
        <v>114</v>
      </c>
      <c r="L256" s="26" t="s">
        <v>2561</v>
      </c>
      <c r="M256" s="11" t="s">
        <v>174</v>
      </c>
      <c r="N256" s="12">
        <v>44089</v>
      </c>
      <c r="O256" s="85" t="s">
        <v>2562</v>
      </c>
      <c r="P256" s="55">
        <v>46022</v>
      </c>
      <c r="Q256" s="55" t="s">
        <v>1011</v>
      </c>
      <c r="R256" s="17" t="s">
        <v>911</v>
      </c>
      <c r="S256" s="22">
        <v>0</v>
      </c>
      <c r="T256" s="22">
        <v>0</v>
      </c>
      <c r="U256" s="22">
        <v>0</v>
      </c>
      <c r="V256" s="147" t="s">
        <v>1745</v>
      </c>
      <c r="W256" s="22">
        <v>0</v>
      </c>
      <c r="X256" s="147" t="s">
        <v>1745</v>
      </c>
      <c r="Y256" s="22">
        <v>0</v>
      </c>
      <c r="Z256" s="14"/>
      <c r="AA256" s="55">
        <v>45724</v>
      </c>
    </row>
    <row r="257" spans="1:27" x14ac:dyDescent="0.25">
      <c r="A257" s="26" t="s">
        <v>1741</v>
      </c>
      <c r="B257" s="106" t="s">
        <v>1369</v>
      </c>
      <c r="C257" s="11" t="s">
        <v>2564</v>
      </c>
      <c r="D257" s="55">
        <v>42491</v>
      </c>
      <c r="E257" s="55">
        <v>44012</v>
      </c>
      <c r="F257" s="26" t="s">
        <v>1743</v>
      </c>
      <c r="G257" s="162" t="s">
        <v>2565</v>
      </c>
      <c r="H257" s="11" t="s">
        <v>2024</v>
      </c>
      <c r="I257" s="11" t="s">
        <v>111</v>
      </c>
      <c r="J257" s="11" t="s">
        <v>113</v>
      </c>
      <c r="K257" s="26" t="s">
        <v>82</v>
      </c>
      <c r="L257" s="26" t="s">
        <v>2566</v>
      </c>
      <c r="M257" s="11" t="s">
        <v>174</v>
      </c>
      <c r="N257" s="12">
        <v>43508</v>
      </c>
      <c r="O257" s="85" t="s">
        <v>2567</v>
      </c>
      <c r="P257" s="55">
        <v>44007</v>
      </c>
      <c r="Q257" s="16" t="s">
        <v>911</v>
      </c>
      <c r="R257" s="17" t="s">
        <v>912</v>
      </c>
      <c r="S257" s="22">
        <v>0</v>
      </c>
      <c r="T257" s="22">
        <v>0</v>
      </c>
      <c r="U257" s="22">
        <v>0</v>
      </c>
      <c r="V257" s="147" t="s">
        <v>82</v>
      </c>
      <c r="W257" s="22">
        <v>0</v>
      </c>
      <c r="X257" s="147" t="s">
        <v>82</v>
      </c>
      <c r="Y257" s="22">
        <v>0</v>
      </c>
      <c r="Z257" s="9" t="s">
        <v>999</v>
      </c>
      <c r="AA257" s="55">
        <v>44012</v>
      </c>
    </row>
    <row r="258" spans="1:27" x14ac:dyDescent="0.25">
      <c r="A258" s="26" t="s">
        <v>1741</v>
      </c>
      <c r="B258" s="106" t="s">
        <v>1374</v>
      </c>
      <c r="C258" s="11" t="s">
        <v>2568</v>
      </c>
      <c r="D258" s="55">
        <v>41257</v>
      </c>
      <c r="E258" s="55">
        <v>43555</v>
      </c>
      <c r="F258" s="26" t="s">
        <v>1743</v>
      </c>
      <c r="G258" s="162" t="s">
        <v>1251</v>
      </c>
      <c r="H258" s="11" t="s">
        <v>2024</v>
      </c>
      <c r="I258" s="11" t="s">
        <v>111</v>
      </c>
      <c r="J258" s="11" t="s">
        <v>113</v>
      </c>
      <c r="K258" s="26" t="s">
        <v>82</v>
      </c>
      <c r="L258" s="26" t="s">
        <v>2569</v>
      </c>
      <c r="M258" s="11" t="s">
        <v>174</v>
      </c>
      <c r="N258" s="12">
        <v>43524</v>
      </c>
      <c r="O258" s="85" t="s">
        <v>2570</v>
      </c>
      <c r="P258" s="55">
        <v>43468</v>
      </c>
      <c r="Q258" s="16" t="s">
        <v>911</v>
      </c>
      <c r="R258" s="17" t="s">
        <v>912</v>
      </c>
      <c r="S258" s="22">
        <v>0</v>
      </c>
      <c r="T258" s="22">
        <v>0</v>
      </c>
      <c r="U258" s="22">
        <v>0</v>
      </c>
      <c r="V258" s="147" t="s">
        <v>82</v>
      </c>
      <c r="W258" s="22">
        <v>0</v>
      </c>
      <c r="X258" s="147" t="s">
        <v>82</v>
      </c>
      <c r="Y258" s="22">
        <v>0</v>
      </c>
      <c r="Z258" s="9" t="s">
        <v>999</v>
      </c>
      <c r="AA258" s="55">
        <v>43555</v>
      </c>
    </row>
    <row r="259" spans="1:27" x14ac:dyDescent="0.25">
      <c r="A259" s="26" t="s">
        <v>1741</v>
      </c>
      <c r="B259" s="106" t="s">
        <v>1397</v>
      </c>
      <c r="C259" s="11" t="s">
        <v>2064</v>
      </c>
      <c r="D259" s="55">
        <v>42461</v>
      </c>
      <c r="E259" s="55">
        <v>45382</v>
      </c>
      <c r="F259" s="26" t="s">
        <v>1743</v>
      </c>
      <c r="G259" s="162" t="s">
        <v>271</v>
      </c>
      <c r="H259" s="11" t="s">
        <v>1257</v>
      </c>
      <c r="I259" s="11" t="s">
        <v>111</v>
      </c>
      <c r="J259" s="11" t="s">
        <v>113</v>
      </c>
      <c r="K259" s="26" t="s">
        <v>114</v>
      </c>
      <c r="L259" s="26" t="s">
        <v>2065</v>
      </c>
      <c r="M259" s="11" t="s">
        <v>174</v>
      </c>
      <c r="N259" s="12">
        <v>44089</v>
      </c>
      <c r="O259" s="85" t="s">
        <v>2066</v>
      </c>
      <c r="P259" s="55">
        <v>45443</v>
      </c>
      <c r="Q259" s="16" t="s">
        <v>1011</v>
      </c>
      <c r="R259" s="17" t="s">
        <v>2575</v>
      </c>
      <c r="S259" s="22">
        <v>0</v>
      </c>
      <c r="T259" s="22">
        <v>0</v>
      </c>
      <c r="U259" s="22">
        <v>0</v>
      </c>
      <c r="V259" s="147" t="s">
        <v>1755</v>
      </c>
      <c r="W259" s="22">
        <v>0</v>
      </c>
      <c r="X259" s="147" t="s">
        <v>1745</v>
      </c>
      <c r="Y259" s="22">
        <v>0</v>
      </c>
      <c r="Z259" s="87" t="s">
        <v>155</v>
      </c>
      <c r="AA259" s="55">
        <v>45382</v>
      </c>
    </row>
    <row r="260" spans="1:27" x14ac:dyDescent="0.25">
      <c r="A260" s="26" t="s">
        <v>1741</v>
      </c>
      <c r="B260" s="106" t="s">
        <v>1403</v>
      </c>
      <c r="C260" s="11" t="s">
        <v>2576</v>
      </c>
      <c r="D260" s="55">
        <v>42826</v>
      </c>
      <c r="E260" s="55">
        <v>43921</v>
      </c>
      <c r="F260" s="26" t="s">
        <v>1743</v>
      </c>
      <c r="G260" s="162" t="s">
        <v>1263</v>
      </c>
      <c r="H260" s="11" t="s">
        <v>2024</v>
      </c>
      <c r="I260" s="11" t="s">
        <v>111</v>
      </c>
      <c r="J260" s="11" t="s">
        <v>113</v>
      </c>
      <c r="K260" s="26" t="s">
        <v>82</v>
      </c>
      <c r="L260" s="26" t="s">
        <v>2577</v>
      </c>
      <c r="M260" s="11" t="s">
        <v>174</v>
      </c>
      <c r="N260" s="12">
        <v>43524</v>
      </c>
      <c r="O260" s="85" t="s">
        <v>2578</v>
      </c>
      <c r="P260" s="55">
        <v>43921</v>
      </c>
      <c r="Q260" s="16" t="s">
        <v>911</v>
      </c>
      <c r="R260" s="17" t="s">
        <v>912</v>
      </c>
      <c r="S260" s="22">
        <v>0</v>
      </c>
      <c r="T260" s="22">
        <v>0</v>
      </c>
      <c r="U260" s="22">
        <v>0</v>
      </c>
      <c r="V260" s="147" t="s">
        <v>82</v>
      </c>
      <c r="W260" s="22">
        <v>0</v>
      </c>
      <c r="X260" s="147" t="s">
        <v>82</v>
      </c>
      <c r="Y260" s="22">
        <v>0</v>
      </c>
      <c r="Z260" s="9" t="s">
        <v>999</v>
      </c>
      <c r="AA260" s="55">
        <v>43921</v>
      </c>
    </row>
    <row r="261" spans="1:27" x14ac:dyDescent="0.25">
      <c r="A261" s="26" t="s">
        <v>1741</v>
      </c>
      <c r="B261" s="106" t="s">
        <v>1414</v>
      </c>
      <c r="C261" s="11" t="s">
        <v>2579</v>
      </c>
      <c r="D261" s="55">
        <v>41440</v>
      </c>
      <c r="E261" s="55">
        <v>45728</v>
      </c>
      <c r="F261" s="26" t="s">
        <v>1743</v>
      </c>
      <c r="G261" s="162" t="s">
        <v>1287</v>
      </c>
      <c r="H261" s="11" t="s">
        <v>2580</v>
      </c>
      <c r="I261" s="11" t="s">
        <v>111</v>
      </c>
      <c r="J261" s="11" t="s">
        <v>113</v>
      </c>
      <c r="K261" s="26" t="s">
        <v>114</v>
      </c>
      <c r="L261" s="26" t="s">
        <v>2581</v>
      </c>
      <c r="M261" s="11" t="s">
        <v>174</v>
      </c>
      <c r="N261" s="12">
        <v>44089</v>
      </c>
      <c r="O261" s="85" t="s">
        <v>2582</v>
      </c>
      <c r="P261" s="55">
        <v>45728</v>
      </c>
      <c r="Q261" s="16" t="s">
        <v>1011</v>
      </c>
      <c r="R261" s="17" t="s">
        <v>911</v>
      </c>
      <c r="S261" s="22">
        <v>0</v>
      </c>
      <c r="T261" s="22">
        <v>0</v>
      </c>
      <c r="U261" s="22">
        <v>0</v>
      </c>
      <c r="V261" s="147" t="s">
        <v>1755</v>
      </c>
      <c r="W261" s="22">
        <v>0</v>
      </c>
      <c r="X261" s="147" t="s">
        <v>1846</v>
      </c>
      <c r="Y261" s="22">
        <v>0</v>
      </c>
      <c r="Z261" s="90" t="s">
        <v>125</v>
      </c>
      <c r="AA261" s="100">
        <v>45728</v>
      </c>
    </row>
    <row r="262" spans="1:27" x14ac:dyDescent="0.25">
      <c r="A262" s="26" t="s">
        <v>1741</v>
      </c>
      <c r="B262" s="106" t="s">
        <v>1432</v>
      </c>
      <c r="C262" s="11" t="s">
        <v>2583</v>
      </c>
      <c r="D262" s="55">
        <v>42705</v>
      </c>
      <c r="E262" s="55">
        <v>43921</v>
      </c>
      <c r="F262" s="26" t="s">
        <v>1743</v>
      </c>
      <c r="G262" s="162" t="s">
        <v>1282</v>
      </c>
      <c r="H262" s="11" t="s">
        <v>2024</v>
      </c>
      <c r="I262" s="11" t="s">
        <v>111</v>
      </c>
      <c r="J262" s="11" t="s">
        <v>113</v>
      </c>
      <c r="K262" s="26" t="s">
        <v>82</v>
      </c>
      <c r="L262" s="26" t="s">
        <v>2584</v>
      </c>
      <c r="M262" s="11" t="s">
        <v>174</v>
      </c>
      <c r="N262" s="12">
        <v>43524</v>
      </c>
      <c r="O262" s="85" t="s">
        <v>2585</v>
      </c>
      <c r="P262" s="55">
        <v>43921</v>
      </c>
      <c r="Q262" s="16" t="s">
        <v>911</v>
      </c>
      <c r="R262" s="17" t="s">
        <v>912</v>
      </c>
      <c r="S262" s="22">
        <v>0</v>
      </c>
      <c r="T262" s="22">
        <v>0</v>
      </c>
      <c r="U262" s="22">
        <v>0</v>
      </c>
      <c r="V262" s="147" t="s">
        <v>82</v>
      </c>
      <c r="W262" s="22">
        <v>0</v>
      </c>
      <c r="X262" s="147" t="s">
        <v>82</v>
      </c>
      <c r="Y262" s="22">
        <v>0</v>
      </c>
      <c r="Z262" s="9" t="s">
        <v>999</v>
      </c>
      <c r="AA262" s="55">
        <v>43921</v>
      </c>
    </row>
    <row r="263" spans="1:27" x14ac:dyDescent="0.25">
      <c r="A263" s="26" t="s">
        <v>1741</v>
      </c>
      <c r="B263" s="106" t="s">
        <v>1479</v>
      </c>
      <c r="C263" s="11" t="s">
        <v>2591</v>
      </c>
      <c r="D263" s="55">
        <v>42954</v>
      </c>
      <c r="E263" s="55">
        <v>45876</v>
      </c>
      <c r="F263" s="26" t="s">
        <v>1743</v>
      </c>
      <c r="G263" s="162" t="s">
        <v>1336</v>
      </c>
      <c r="H263" s="11" t="s">
        <v>292</v>
      </c>
      <c r="I263" s="11" t="s">
        <v>111</v>
      </c>
      <c r="J263" s="11" t="s">
        <v>113</v>
      </c>
      <c r="K263" s="26" t="s">
        <v>114</v>
      </c>
      <c r="L263" s="26" t="s">
        <v>2592</v>
      </c>
      <c r="M263" s="11" t="s">
        <v>174</v>
      </c>
      <c r="N263" s="12">
        <v>44089</v>
      </c>
      <c r="O263" s="85" t="s">
        <v>2593</v>
      </c>
      <c r="P263" s="55">
        <v>45876</v>
      </c>
      <c r="Q263" s="55" t="s">
        <v>1011</v>
      </c>
      <c r="R263" s="17" t="s">
        <v>911</v>
      </c>
      <c r="S263" s="22">
        <v>0</v>
      </c>
      <c r="T263" s="22">
        <v>0</v>
      </c>
      <c r="U263" s="22">
        <v>0</v>
      </c>
      <c r="V263" s="147" t="s">
        <v>1755</v>
      </c>
      <c r="W263" s="22">
        <v>0</v>
      </c>
      <c r="X263" s="147" t="s">
        <v>1846</v>
      </c>
      <c r="Y263" s="22">
        <v>0</v>
      </c>
      <c r="Z263" s="90" t="s">
        <v>125</v>
      </c>
      <c r="AA263" s="55">
        <v>45876</v>
      </c>
    </row>
    <row r="264" spans="1:27" x14ac:dyDescent="0.25">
      <c r="A264" s="26" t="s">
        <v>1741</v>
      </c>
      <c r="B264" s="106" t="s">
        <v>412</v>
      </c>
      <c r="C264" s="11" t="s">
        <v>2594</v>
      </c>
      <c r="D264" s="55">
        <v>42401</v>
      </c>
      <c r="E264" s="55">
        <v>43830</v>
      </c>
      <c r="F264" s="26" t="s">
        <v>1743</v>
      </c>
      <c r="G264" s="162" t="s">
        <v>2595</v>
      </c>
      <c r="H264" s="11" t="s">
        <v>2024</v>
      </c>
      <c r="I264" s="11" t="s">
        <v>111</v>
      </c>
      <c r="J264" s="11" t="s">
        <v>113</v>
      </c>
      <c r="K264" s="26" t="s">
        <v>82</v>
      </c>
      <c r="L264" s="26" t="s">
        <v>2596</v>
      </c>
      <c r="M264" s="11" t="s">
        <v>174</v>
      </c>
      <c r="N264" s="12">
        <v>43508</v>
      </c>
      <c r="O264" s="85" t="s">
        <v>2597</v>
      </c>
      <c r="P264" s="55">
        <v>43830</v>
      </c>
      <c r="Q264" s="16" t="s">
        <v>911</v>
      </c>
      <c r="R264" s="17" t="s">
        <v>912</v>
      </c>
      <c r="S264" s="22">
        <v>0</v>
      </c>
      <c r="T264" s="22">
        <v>0</v>
      </c>
      <c r="U264" s="22">
        <v>0</v>
      </c>
      <c r="V264" s="147" t="s">
        <v>82</v>
      </c>
      <c r="W264" s="22">
        <v>0</v>
      </c>
      <c r="X264" s="147" t="s">
        <v>82</v>
      </c>
      <c r="Y264" s="22">
        <v>0</v>
      </c>
      <c r="Z264" s="9" t="s">
        <v>999</v>
      </c>
      <c r="AA264" s="55">
        <v>43830</v>
      </c>
    </row>
    <row r="265" spans="1:27" x14ac:dyDescent="0.25">
      <c r="A265" s="26" t="s">
        <v>1741</v>
      </c>
      <c r="B265" s="106" t="s">
        <v>418</v>
      </c>
      <c r="C265" s="11" t="s">
        <v>2598</v>
      </c>
      <c r="D265" s="55">
        <v>42401</v>
      </c>
      <c r="E265" s="55">
        <v>43646</v>
      </c>
      <c r="F265" s="26" t="s">
        <v>1743</v>
      </c>
      <c r="G265" s="162" t="s">
        <v>2599</v>
      </c>
      <c r="H265" s="11"/>
      <c r="I265" s="11" t="s">
        <v>111</v>
      </c>
      <c r="J265" s="11" t="s">
        <v>113</v>
      </c>
      <c r="K265" s="26" t="s">
        <v>82</v>
      </c>
      <c r="L265" s="26" t="s">
        <v>2600</v>
      </c>
      <c r="M265" s="11" t="s">
        <v>174</v>
      </c>
      <c r="N265" s="12">
        <v>43508</v>
      </c>
      <c r="O265" s="85" t="s">
        <v>2601</v>
      </c>
      <c r="P265" s="55">
        <v>43830</v>
      </c>
      <c r="Q265" s="16" t="s">
        <v>911</v>
      </c>
      <c r="R265" s="17" t="s">
        <v>912</v>
      </c>
      <c r="S265" s="22">
        <v>0</v>
      </c>
      <c r="T265" s="22">
        <v>0</v>
      </c>
      <c r="U265" s="22">
        <v>0</v>
      </c>
      <c r="V265" s="147" t="s">
        <v>82</v>
      </c>
      <c r="W265" s="22">
        <v>0</v>
      </c>
      <c r="X265" s="147" t="s">
        <v>82</v>
      </c>
      <c r="Y265" s="22">
        <v>0</v>
      </c>
      <c r="Z265" s="9" t="s">
        <v>999</v>
      </c>
      <c r="AA265" s="55">
        <v>43646</v>
      </c>
    </row>
    <row r="266" spans="1:27" x14ac:dyDescent="0.25">
      <c r="A266" s="26" t="s">
        <v>1741</v>
      </c>
      <c r="B266" s="106" t="s">
        <v>1500</v>
      </c>
      <c r="C266" s="11" t="s">
        <v>2603</v>
      </c>
      <c r="D266" s="55">
        <v>41988</v>
      </c>
      <c r="E266" s="55">
        <v>43581</v>
      </c>
      <c r="F266" s="26" t="s">
        <v>1743</v>
      </c>
      <c r="G266" s="162" t="s">
        <v>305</v>
      </c>
      <c r="H266" s="11" t="s">
        <v>2024</v>
      </c>
      <c r="I266" s="11" t="s">
        <v>111</v>
      </c>
      <c r="J266" s="11" t="s">
        <v>113</v>
      </c>
      <c r="K266" s="26" t="s">
        <v>82</v>
      </c>
      <c r="L266" s="26" t="s">
        <v>2604</v>
      </c>
      <c r="M266" s="11" t="s">
        <v>174</v>
      </c>
      <c r="N266" s="12">
        <v>43524</v>
      </c>
      <c r="O266" s="85" t="s">
        <v>2605</v>
      </c>
      <c r="P266" s="55">
        <v>43556</v>
      </c>
      <c r="Q266" s="16" t="s">
        <v>911</v>
      </c>
      <c r="R266" s="17" t="s">
        <v>912</v>
      </c>
      <c r="S266" s="22">
        <v>0</v>
      </c>
      <c r="T266" s="22">
        <v>0</v>
      </c>
      <c r="U266" s="22">
        <v>0</v>
      </c>
      <c r="V266" s="147" t="s">
        <v>82</v>
      </c>
      <c r="W266" s="22">
        <v>0</v>
      </c>
      <c r="X266" s="147" t="s">
        <v>82</v>
      </c>
      <c r="Y266" s="22">
        <v>0</v>
      </c>
      <c r="Z266" s="9" t="s">
        <v>999</v>
      </c>
      <c r="AA266" s="55">
        <v>43581</v>
      </c>
    </row>
    <row r="267" spans="1:27" x14ac:dyDescent="0.25">
      <c r="A267" s="26" t="s">
        <v>1741</v>
      </c>
      <c r="B267" s="106" t="s">
        <v>1508</v>
      </c>
      <c r="C267" s="11" t="s">
        <v>1967</v>
      </c>
      <c r="D267" s="55">
        <v>43282</v>
      </c>
      <c r="E267" s="55">
        <v>46022</v>
      </c>
      <c r="F267" s="26" t="s">
        <v>1743</v>
      </c>
      <c r="G267" s="162" t="s">
        <v>335</v>
      </c>
      <c r="H267" s="11" t="s">
        <v>1968</v>
      </c>
      <c r="I267" s="11" t="s">
        <v>111</v>
      </c>
      <c r="J267" s="11" t="s">
        <v>113</v>
      </c>
      <c r="K267" s="26" t="s">
        <v>114</v>
      </c>
      <c r="L267" s="26" t="s">
        <v>1969</v>
      </c>
      <c r="M267" s="11" t="s">
        <v>174</v>
      </c>
      <c r="N267" s="12">
        <v>44089</v>
      </c>
      <c r="O267" s="85" t="s">
        <v>1970</v>
      </c>
      <c r="P267" s="55">
        <v>46022</v>
      </c>
      <c r="Q267" s="55" t="s">
        <v>1011</v>
      </c>
      <c r="R267" s="17" t="s">
        <v>911</v>
      </c>
      <c r="S267" s="22">
        <v>0</v>
      </c>
      <c r="T267" s="22">
        <v>0</v>
      </c>
      <c r="U267" s="22">
        <v>0</v>
      </c>
      <c r="V267" s="147" t="s">
        <v>82</v>
      </c>
      <c r="W267" s="22">
        <v>0</v>
      </c>
      <c r="X267" s="147" t="s">
        <v>1745</v>
      </c>
      <c r="Y267" s="22">
        <v>0</v>
      </c>
      <c r="Z267" s="14"/>
      <c r="AA267" s="55">
        <v>46022</v>
      </c>
    </row>
    <row r="268" spans="1:27" x14ac:dyDescent="0.25">
      <c r="A268" s="26" t="s">
        <v>1741</v>
      </c>
      <c r="B268" s="106" t="s">
        <v>442</v>
      </c>
      <c r="C268" s="11" t="s">
        <v>2606</v>
      </c>
      <c r="D268" s="55">
        <v>42361</v>
      </c>
      <c r="E268" s="55">
        <v>45443</v>
      </c>
      <c r="F268" s="26" t="s">
        <v>1743</v>
      </c>
      <c r="G268" s="162" t="s">
        <v>368</v>
      </c>
      <c r="H268" s="11" t="s">
        <v>382</v>
      </c>
      <c r="I268" s="11" t="s">
        <v>111</v>
      </c>
      <c r="J268" s="11" t="s">
        <v>113</v>
      </c>
      <c r="K268" s="26" t="s">
        <v>114</v>
      </c>
      <c r="L268" s="26" t="s">
        <v>2607</v>
      </c>
      <c r="M268" s="11" t="s">
        <v>174</v>
      </c>
      <c r="N268" s="12">
        <v>44089</v>
      </c>
      <c r="O268" s="85" t="s">
        <v>2608</v>
      </c>
      <c r="P268" s="55">
        <v>45443</v>
      </c>
      <c r="Q268" s="16" t="s">
        <v>1011</v>
      </c>
      <c r="R268" s="17" t="s">
        <v>2609</v>
      </c>
      <c r="S268" s="22">
        <v>0</v>
      </c>
      <c r="T268" s="22">
        <v>0</v>
      </c>
      <c r="U268" s="22">
        <v>0</v>
      </c>
      <c r="V268" s="147" t="s">
        <v>1755</v>
      </c>
      <c r="W268" s="22">
        <v>0</v>
      </c>
      <c r="X268" s="147" t="s">
        <v>1745</v>
      </c>
      <c r="Y268" s="22">
        <v>0</v>
      </c>
      <c r="Z268" s="87" t="s">
        <v>155</v>
      </c>
      <c r="AA268" s="55">
        <v>45322</v>
      </c>
    </row>
    <row r="269" spans="1:27" x14ac:dyDescent="0.25">
      <c r="A269" s="26" t="s">
        <v>1741</v>
      </c>
      <c r="B269" s="106" t="s">
        <v>1536</v>
      </c>
      <c r="C269" s="11" t="s">
        <v>2610</v>
      </c>
      <c r="D269" s="55">
        <v>42339</v>
      </c>
      <c r="E269" s="55">
        <v>43585</v>
      </c>
      <c r="F269" s="24" t="s">
        <v>962</v>
      </c>
      <c r="G269" s="162" t="s">
        <v>2611</v>
      </c>
      <c r="H269" s="11" t="s">
        <v>2024</v>
      </c>
      <c r="I269" s="11" t="s">
        <v>111</v>
      </c>
      <c r="J269" s="11" t="s">
        <v>113</v>
      </c>
      <c r="K269" s="26" t="s">
        <v>82</v>
      </c>
      <c r="L269" s="26" t="s">
        <v>2612</v>
      </c>
      <c r="M269" s="11" t="s">
        <v>174</v>
      </c>
      <c r="N269" s="12">
        <v>43508</v>
      </c>
      <c r="O269" s="85" t="s">
        <v>2613</v>
      </c>
      <c r="P269" s="55">
        <v>43555</v>
      </c>
      <c r="Q269" s="16" t="s">
        <v>911</v>
      </c>
      <c r="R269" s="17" t="s">
        <v>912</v>
      </c>
      <c r="S269" s="22">
        <v>0</v>
      </c>
      <c r="T269" s="22">
        <v>0</v>
      </c>
      <c r="U269" s="22">
        <v>0</v>
      </c>
      <c r="V269" s="147" t="s">
        <v>82</v>
      </c>
      <c r="W269" s="22">
        <v>0</v>
      </c>
      <c r="X269" s="147" t="s">
        <v>82</v>
      </c>
      <c r="Y269" s="22">
        <v>0</v>
      </c>
      <c r="Z269" s="9" t="s">
        <v>999</v>
      </c>
      <c r="AA269" s="55">
        <v>43585</v>
      </c>
    </row>
    <row r="270" spans="1:27" x14ac:dyDescent="0.25">
      <c r="A270" s="26" t="s">
        <v>1741</v>
      </c>
      <c r="B270" s="106" t="s">
        <v>1542</v>
      </c>
      <c r="C270" s="11" t="s">
        <v>2517</v>
      </c>
      <c r="D270" s="55">
        <v>42432</v>
      </c>
      <c r="E270" s="55">
        <v>44681</v>
      </c>
      <c r="F270" s="24" t="s">
        <v>962</v>
      </c>
      <c r="G270" s="162" t="s">
        <v>1392</v>
      </c>
      <c r="H270" s="11" t="s">
        <v>389</v>
      </c>
      <c r="I270" s="11" t="s">
        <v>111</v>
      </c>
      <c r="J270" s="11" t="s">
        <v>113</v>
      </c>
      <c r="K270" s="26" t="s">
        <v>114</v>
      </c>
      <c r="L270" s="26" t="s">
        <v>2614</v>
      </c>
      <c r="M270" s="11" t="s">
        <v>174</v>
      </c>
      <c r="N270" s="12">
        <v>44089</v>
      </c>
      <c r="O270" s="85" t="s">
        <v>2519</v>
      </c>
      <c r="P270" s="55">
        <v>45353</v>
      </c>
      <c r="Q270" s="16" t="s">
        <v>82</v>
      </c>
      <c r="R270" s="17" t="s">
        <v>2615</v>
      </c>
      <c r="S270" s="22">
        <v>0</v>
      </c>
      <c r="T270" s="22">
        <v>0</v>
      </c>
      <c r="U270" s="22">
        <v>0</v>
      </c>
      <c r="V270" s="147" t="s">
        <v>1751</v>
      </c>
      <c r="W270" s="22">
        <v>0</v>
      </c>
      <c r="X270" s="147" t="s">
        <v>1846</v>
      </c>
      <c r="Y270" s="22">
        <v>0</v>
      </c>
      <c r="Z270" s="9"/>
      <c r="AA270" s="55">
        <v>44681</v>
      </c>
    </row>
    <row r="271" spans="1:27" x14ac:dyDescent="0.25">
      <c r="A271" s="26" t="s">
        <v>1741</v>
      </c>
      <c r="B271" s="106" t="s">
        <v>1548</v>
      </c>
      <c r="C271" s="11" t="s">
        <v>2616</v>
      </c>
      <c r="D271" s="55">
        <v>42432</v>
      </c>
      <c r="E271" s="55">
        <v>44681</v>
      </c>
      <c r="F271" s="24" t="s">
        <v>962</v>
      </c>
      <c r="G271" s="162" t="s">
        <v>374</v>
      </c>
      <c r="H271" s="11" t="s">
        <v>395</v>
      </c>
      <c r="I271" s="11" t="s">
        <v>111</v>
      </c>
      <c r="J271" s="11" t="s">
        <v>113</v>
      </c>
      <c r="K271" s="26" t="s">
        <v>114</v>
      </c>
      <c r="L271" s="26" t="s">
        <v>2617</v>
      </c>
      <c r="M271" s="11" t="s">
        <v>174</v>
      </c>
      <c r="N271" s="12">
        <v>44089</v>
      </c>
      <c r="O271" s="85" t="s">
        <v>2618</v>
      </c>
      <c r="P271" s="55">
        <v>44257</v>
      </c>
      <c r="Q271" s="16" t="s">
        <v>82</v>
      </c>
      <c r="R271" s="17" t="s">
        <v>2619</v>
      </c>
      <c r="S271" s="22">
        <v>0</v>
      </c>
      <c r="T271" s="22">
        <v>0</v>
      </c>
      <c r="U271" s="22">
        <v>0</v>
      </c>
      <c r="V271" s="147" t="s">
        <v>1751</v>
      </c>
      <c r="W271" s="22">
        <v>0</v>
      </c>
      <c r="X271" s="147" t="s">
        <v>1846</v>
      </c>
      <c r="Y271" s="22">
        <v>0</v>
      </c>
      <c r="Z271" s="9"/>
      <c r="AA271" s="55">
        <v>44681</v>
      </c>
    </row>
    <row r="272" spans="1:27" x14ac:dyDescent="0.25">
      <c r="A272" s="26" t="s">
        <v>1741</v>
      </c>
      <c r="B272" s="106" t="s">
        <v>460</v>
      </c>
      <c r="C272" s="11" t="s">
        <v>2620</v>
      </c>
      <c r="D272" s="55">
        <v>42536</v>
      </c>
      <c r="E272" s="55">
        <v>45443</v>
      </c>
      <c r="F272" s="26" t="s">
        <v>1743</v>
      </c>
      <c r="G272" s="162" t="s">
        <v>1422</v>
      </c>
      <c r="H272" s="11" t="s">
        <v>1347</v>
      </c>
      <c r="I272" s="11" t="s">
        <v>111</v>
      </c>
      <c r="J272" s="11" t="s">
        <v>113</v>
      </c>
      <c r="K272" s="26" t="s">
        <v>114</v>
      </c>
      <c r="L272" s="26" t="s">
        <v>2621</v>
      </c>
      <c r="M272" s="11" t="s">
        <v>174</v>
      </c>
      <c r="N272" s="12">
        <v>44089</v>
      </c>
      <c r="O272" s="85" t="s">
        <v>2622</v>
      </c>
      <c r="P272" s="55">
        <v>45442</v>
      </c>
      <c r="Q272" s="16" t="s">
        <v>1011</v>
      </c>
      <c r="R272" s="17" t="s">
        <v>911</v>
      </c>
      <c r="S272" s="22">
        <v>0</v>
      </c>
      <c r="T272" s="22">
        <v>0</v>
      </c>
      <c r="U272" s="22">
        <v>0</v>
      </c>
      <c r="V272" s="147" t="s">
        <v>1755</v>
      </c>
      <c r="W272" s="22">
        <v>0</v>
      </c>
      <c r="X272" s="147" t="s">
        <v>1846</v>
      </c>
      <c r="Y272" s="22">
        <v>0</v>
      </c>
      <c r="Z272" s="87" t="s">
        <v>155</v>
      </c>
      <c r="AA272" s="55"/>
    </row>
    <row r="273" spans="1:28" x14ac:dyDescent="0.25">
      <c r="A273" s="26" t="s">
        <v>1741</v>
      </c>
      <c r="B273" s="106" t="s">
        <v>1567</v>
      </c>
      <c r="C273" s="11" t="s">
        <v>2623</v>
      </c>
      <c r="D273" s="55">
        <v>42401</v>
      </c>
      <c r="E273" s="55">
        <v>43555</v>
      </c>
      <c r="F273" s="26" t="s">
        <v>1743</v>
      </c>
      <c r="G273" s="162" t="s">
        <v>112</v>
      </c>
      <c r="H273" s="11" t="s">
        <v>2024</v>
      </c>
      <c r="I273" s="11" t="s">
        <v>111</v>
      </c>
      <c r="J273" s="11" t="s">
        <v>113</v>
      </c>
      <c r="K273" s="26" t="s">
        <v>82</v>
      </c>
      <c r="L273" s="26" t="s">
        <v>2624</v>
      </c>
      <c r="M273" s="11" t="s">
        <v>174</v>
      </c>
      <c r="N273" s="12">
        <v>43508</v>
      </c>
      <c r="O273" s="85" t="s">
        <v>2625</v>
      </c>
      <c r="P273" s="55">
        <v>43555</v>
      </c>
      <c r="Q273" s="16" t="s">
        <v>911</v>
      </c>
      <c r="R273" s="17" t="s">
        <v>912</v>
      </c>
      <c r="S273" s="22">
        <v>0</v>
      </c>
      <c r="T273" s="22">
        <v>0</v>
      </c>
      <c r="U273" s="22">
        <v>0</v>
      </c>
      <c r="V273" s="147" t="s">
        <v>82</v>
      </c>
      <c r="W273" s="22">
        <v>0</v>
      </c>
      <c r="X273" s="147" t="s">
        <v>82</v>
      </c>
      <c r="Y273" s="22">
        <v>0</v>
      </c>
      <c r="Z273" s="9" t="s">
        <v>999</v>
      </c>
      <c r="AA273" s="55">
        <v>43555</v>
      </c>
    </row>
    <row r="274" spans="1:28" x14ac:dyDescent="0.25">
      <c r="A274" s="26" t="s">
        <v>1741</v>
      </c>
      <c r="B274" s="106" t="s">
        <v>1577</v>
      </c>
      <c r="C274" s="11" t="s">
        <v>1986</v>
      </c>
      <c r="D274" s="55">
        <v>42629</v>
      </c>
      <c r="E274" s="55">
        <v>45971</v>
      </c>
      <c r="F274" s="26" t="s">
        <v>1743</v>
      </c>
      <c r="G274" s="162" t="s">
        <v>388</v>
      </c>
      <c r="H274" s="11" t="s">
        <v>323</v>
      </c>
      <c r="I274" s="11" t="s">
        <v>111</v>
      </c>
      <c r="J274" s="11" t="s">
        <v>113</v>
      </c>
      <c r="K274" s="26" t="s">
        <v>114</v>
      </c>
      <c r="L274" s="26" t="s">
        <v>1987</v>
      </c>
      <c r="M274" s="11" t="s">
        <v>174</v>
      </c>
      <c r="N274" s="12">
        <v>44089</v>
      </c>
      <c r="O274" s="85" t="s">
        <v>1988</v>
      </c>
      <c r="P274" s="55">
        <v>45971</v>
      </c>
      <c r="Q274" s="16" t="s">
        <v>1011</v>
      </c>
      <c r="R274" s="17" t="s">
        <v>911</v>
      </c>
      <c r="S274" s="22">
        <v>0</v>
      </c>
      <c r="T274" s="22">
        <v>0</v>
      </c>
      <c r="U274" s="22">
        <v>0</v>
      </c>
      <c r="V274" s="147" t="s">
        <v>1755</v>
      </c>
      <c r="W274" s="22">
        <v>0</v>
      </c>
      <c r="X274" s="147" t="s">
        <v>1846</v>
      </c>
      <c r="Y274" s="22">
        <v>0</v>
      </c>
      <c r="Z274" s="14"/>
      <c r="AA274" s="100">
        <v>45971</v>
      </c>
    </row>
    <row r="275" spans="1:28" x14ac:dyDescent="0.25">
      <c r="A275" s="26" t="s">
        <v>1741</v>
      </c>
      <c r="B275" s="106" t="s">
        <v>1596</v>
      </c>
      <c r="C275" s="11" t="s">
        <v>2627</v>
      </c>
      <c r="D275" s="55">
        <v>42879</v>
      </c>
      <c r="E275" s="55">
        <v>44561</v>
      </c>
      <c r="F275" s="26" t="s">
        <v>1743</v>
      </c>
      <c r="G275" s="162" t="s">
        <v>1463</v>
      </c>
      <c r="H275" s="11" t="s">
        <v>336</v>
      </c>
      <c r="I275" s="11" t="s">
        <v>111</v>
      </c>
      <c r="J275" s="11" t="s">
        <v>113</v>
      </c>
      <c r="K275" s="26" t="s">
        <v>114</v>
      </c>
      <c r="L275" s="26" t="s">
        <v>2628</v>
      </c>
      <c r="M275" s="11" t="s">
        <v>174</v>
      </c>
      <c r="N275" s="12">
        <v>44089</v>
      </c>
      <c r="O275" s="85" t="s">
        <v>2629</v>
      </c>
      <c r="P275" s="55">
        <v>44926</v>
      </c>
      <c r="Q275" s="16" t="s">
        <v>82</v>
      </c>
      <c r="R275" s="17" t="s">
        <v>2630</v>
      </c>
      <c r="S275" s="22">
        <v>0</v>
      </c>
      <c r="T275" s="22">
        <v>0</v>
      </c>
      <c r="U275" s="22">
        <v>0</v>
      </c>
      <c r="V275" s="147" t="s">
        <v>82</v>
      </c>
      <c r="W275" s="22">
        <v>0</v>
      </c>
      <c r="X275" s="147" t="s">
        <v>82</v>
      </c>
      <c r="Y275" s="22">
        <v>0</v>
      </c>
      <c r="Z275" s="9"/>
      <c r="AA275" s="55">
        <v>44561</v>
      </c>
    </row>
    <row r="276" spans="1:28" x14ac:dyDescent="0.25">
      <c r="A276" s="26" t="s">
        <v>1741</v>
      </c>
      <c r="B276" s="106" t="s">
        <v>1601</v>
      </c>
      <c r="C276" s="11" t="s">
        <v>2631</v>
      </c>
      <c r="D276" s="55">
        <v>42795</v>
      </c>
      <c r="E276" s="55">
        <v>43469</v>
      </c>
      <c r="F276" s="26" t="s">
        <v>1743</v>
      </c>
      <c r="G276" s="162" t="s">
        <v>343</v>
      </c>
      <c r="H276" s="11" t="s">
        <v>2024</v>
      </c>
      <c r="I276" s="11" t="s">
        <v>111</v>
      </c>
      <c r="J276" s="11" t="s">
        <v>113</v>
      </c>
      <c r="K276" s="26" t="s">
        <v>82</v>
      </c>
      <c r="L276" s="26" t="s">
        <v>2632</v>
      </c>
      <c r="M276" s="11" t="s">
        <v>174</v>
      </c>
      <c r="N276" s="12">
        <v>43524</v>
      </c>
      <c r="O276" s="85" t="s">
        <v>2633</v>
      </c>
      <c r="P276" s="55">
        <v>43471</v>
      </c>
      <c r="Q276" s="16" t="s">
        <v>911</v>
      </c>
      <c r="R276" s="17" t="s">
        <v>912</v>
      </c>
      <c r="S276" s="22">
        <v>0</v>
      </c>
      <c r="T276" s="22">
        <v>0</v>
      </c>
      <c r="U276" s="22">
        <v>0</v>
      </c>
      <c r="V276" s="147" t="s">
        <v>82</v>
      </c>
      <c r="W276" s="22">
        <v>0</v>
      </c>
      <c r="X276" s="147" t="s">
        <v>82</v>
      </c>
      <c r="Y276" s="22">
        <v>0</v>
      </c>
      <c r="Z276" s="9" t="s">
        <v>999</v>
      </c>
      <c r="AA276" s="55">
        <v>43469</v>
      </c>
    </row>
    <row r="277" spans="1:28" x14ac:dyDescent="0.25">
      <c r="A277" s="26" t="s">
        <v>1741</v>
      </c>
      <c r="B277" s="106" t="s">
        <v>1611</v>
      </c>
      <c r="C277" s="11" t="s">
        <v>2634</v>
      </c>
      <c r="D277" s="55">
        <v>42856</v>
      </c>
      <c r="E277" s="55">
        <v>44439</v>
      </c>
      <c r="F277" s="26" t="s">
        <v>1743</v>
      </c>
      <c r="G277" s="162" t="s">
        <v>1007</v>
      </c>
      <c r="H277" s="11" t="s">
        <v>1371</v>
      </c>
      <c r="I277" s="11" t="s">
        <v>111</v>
      </c>
      <c r="J277" s="11" t="s">
        <v>113</v>
      </c>
      <c r="K277" s="26" t="s">
        <v>114</v>
      </c>
      <c r="L277" s="26" t="s">
        <v>2635</v>
      </c>
      <c r="M277" s="11" t="s">
        <v>174</v>
      </c>
      <c r="N277" s="12">
        <v>44158</v>
      </c>
      <c r="O277" s="85" t="s">
        <v>2636</v>
      </c>
      <c r="P277" s="55">
        <v>44346</v>
      </c>
      <c r="Q277" s="16" t="s">
        <v>911</v>
      </c>
      <c r="R277" s="17" t="s">
        <v>912</v>
      </c>
      <c r="S277" s="22">
        <v>0</v>
      </c>
      <c r="T277" s="22">
        <v>0</v>
      </c>
      <c r="U277" s="22">
        <v>0</v>
      </c>
      <c r="V277" s="147" t="s">
        <v>82</v>
      </c>
      <c r="W277" s="22">
        <v>0</v>
      </c>
      <c r="X277" s="147" t="s">
        <v>82</v>
      </c>
      <c r="Y277" s="22">
        <v>0</v>
      </c>
      <c r="Z277" s="9" t="s">
        <v>999</v>
      </c>
      <c r="AA277" s="55">
        <v>44439</v>
      </c>
    </row>
    <row r="278" spans="1:28" x14ac:dyDescent="0.25">
      <c r="A278" s="26" t="s">
        <v>1741</v>
      </c>
      <c r="B278" s="106" t="s">
        <v>1616</v>
      </c>
      <c r="C278" s="11" t="s">
        <v>2637</v>
      </c>
      <c r="D278" s="55">
        <v>42948</v>
      </c>
      <c r="E278" s="55">
        <v>44043</v>
      </c>
      <c r="F278" s="26" t="s">
        <v>1743</v>
      </c>
      <c r="G278" s="162" t="s">
        <v>363</v>
      </c>
      <c r="H278" s="11" t="s">
        <v>2024</v>
      </c>
      <c r="I278" s="11" t="s">
        <v>111</v>
      </c>
      <c r="J278" s="11" t="s">
        <v>113</v>
      </c>
      <c r="K278" s="26" t="s">
        <v>82</v>
      </c>
      <c r="L278" s="26" t="s">
        <v>2638</v>
      </c>
      <c r="M278" s="11" t="s">
        <v>174</v>
      </c>
      <c r="N278" s="12">
        <v>43524</v>
      </c>
      <c r="O278" s="85" t="s">
        <v>2639</v>
      </c>
      <c r="P278" s="55">
        <v>44043</v>
      </c>
      <c r="Q278" s="16" t="s">
        <v>911</v>
      </c>
      <c r="R278" s="17" t="s">
        <v>912</v>
      </c>
      <c r="S278" s="22">
        <v>0</v>
      </c>
      <c r="T278" s="22">
        <v>0</v>
      </c>
      <c r="U278" s="22">
        <v>0</v>
      </c>
      <c r="V278" s="147" t="s">
        <v>82</v>
      </c>
      <c r="W278" s="22">
        <v>0</v>
      </c>
      <c r="X278" s="147" t="s">
        <v>82</v>
      </c>
      <c r="Y278" s="22">
        <v>0</v>
      </c>
      <c r="Z278" s="9" t="s">
        <v>999</v>
      </c>
      <c r="AA278" s="55">
        <v>44043</v>
      </c>
    </row>
    <row r="279" spans="1:28" x14ac:dyDescent="0.25">
      <c r="A279" s="26" t="s">
        <v>1741</v>
      </c>
      <c r="B279" s="106" t="s">
        <v>504</v>
      </c>
      <c r="C279" s="11" t="s">
        <v>2641</v>
      </c>
      <c r="D279" s="55">
        <v>43003</v>
      </c>
      <c r="E279" s="55">
        <v>45291</v>
      </c>
      <c r="F279" s="24" t="s">
        <v>962</v>
      </c>
      <c r="G279" s="162" t="s">
        <v>420</v>
      </c>
      <c r="H279" s="11" t="s">
        <v>1067</v>
      </c>
      <c r="I279" s="11" t="s">
        <v>111</v>
      </c>
      <c r="J279" s="11" t="s">
        <v>113</v>
      </c>
      <c r="K279" s="26" t="s">
        <v>114</v>
      </c>
      <c r="L279" s="26" t="s">
        <v>2642</v>
      </c>
      <c r="M279" s="11" t="s">
        <v>174</v>
      </c>
      <c r="N279" s="12">
        <v>44089</v>
      </c>
      <c r="O279" s="85" t="s">
        <v>2643</v>
      </c>
      <c r="P279" s="55">
        <v>44828</v>
      </c>
      <c r="Q279" s="16" t="s">
        <v>1011</v>
      </c>
      <c r="R279" s="17" t="s">
        <v>911</v>
      </c>
      <c r="S279" s="22">
        <v>0</v>
      </c>
      <c r="T279" s="22">
        <v>0</v>
      </c>
      <c r="U279" s="22">
        <v>0</v>
      </c>
      <c r="V279" s="147" t="s">
        <v>1751</v>
      </c>
      <c r="W279" s="22">
        <v>0</v>
      </c>
      <c r="X279" s="147" t="s">
        <v>1846</v>
      </c>
      <c r="Y279" s="22">
        <v>0</v>
      </c>
      <c r="Z279" s="93" t="s">
        <v>249</v>
      </c>
      <c r="AA279" s="55">
        <v>45291</v>
      </c>
    </row>
    <row r="280" spans="1:28" x14ac:dyDescent="0.25">
      <c r="A280" s="26" t="s">
        <v>1741</v>
      </c>
      <c r="B280" s="106" t="s">
        <v>1633</v>
      </c>
      <c r="C280" s="11" t="s">
        <v>2644</v>
      </c>
      <c r="D280" s="55">
        <v>42996</v>
      </c>
      <c r="E280" s="55">
        <v>44561</v>
      </c>
      <c r="F280" s="26" t="s">
        <v>1743</v>
      </c>
      <c r="G280" s="162" t="s">
        <v>1502</v>
      </c>
      <c r="H280" s="11" t="s">
        <v>1387</v>
      </c>
      <c r="I280" s="11" t="s">
        <v>111</v>
      </c>
      <c r="J280" s="11" t="s">
        <v>113</v>
      </c>
      <c r="K280" s="26" t="s">
        <v>114</v>
      </c>
      <c r="L280" s="26" t="s">
        <v>2645</v>
      </c>
      <c r="M280" s="11" t="s">
        <v>174</v>
      </c>
      <c r="N280" s="12">
        <v>44089</v>
      </c>
      <c r="O280" s="85" t="s">
        <v>2402</v>
      </c>
      <c r="P280" s="55">
        <v>44561</v>
      </c>
      <c r="Q280" s="16" t="s">
        <v>82</v>
      </c>
      <c r="R280" s="17" t="s">
        <v>2646</v>
      </c>
      <c r="S280" s="22">
        <v>0</v>
      </c>
      <c r="T280" s="22">
        <v>0</v>
      </c>
      <c r="U280" s="22">
        <v>0</v>
      </c>
      <c r="V280" s="147" t="s">
        <v>1745</v>
      </c>
      <c r="W280" s="22">
        <v>0</v>
      </c>
      <c r="X280" s="147" t="s">
        <v>1745</v>
      </c>
      <c r="Y280" s="22">
        <v>0</v>
      </c>
      <c r="Z280" s="9"/>
      <c r="AA280" s="55">
        <v>44561</v>
      </c>
    </row>
    <row r="281" spans="1:28" x14ac:dyDescent="0.25">
      <c r="A281" s="26" t="s">
        <v>1741</v>
      </c>
      <c r="B281" s="106" t="s">
        <v>1645</v>
      </c>
      <c r="C281" s="11" t="s">
        <v>2647</v>
      </c>
      <c r="D281" s="55">
        <v>43266</v>
      </c>
      <c r="E281" s="55">
        <v>44773</v>
      </c>
      <c r="F281" s="26" t="s">
        <v>1743</v>
      </c>
      <c r="G281" s="162" t="s">
        <v>1521</v>
      </c>
      <c r="H281" s="11" t="s">
        <v>1447</v>
      </c>
      <c r="I281" s="11" t="s">
        <v>111</v>
      </c>
      <c r="J281" s="11" t="s">
        <v>113</v>
      </c>
      <c r="K281" s="26" t="s">
        <v>114</v>
      </c>
      <c r="L281" s="26" t="s">
        <v>2648</v>
      </c>
      <c r="M281" s="11" t="s">
        <v>174</v>
      </c>
      <c r="N281" s="12">
        <v>44089</v>
      </c>
      <c r="O281" s="85" t="s">
        <v>2649</v>
      </c>
      <c r="P281" s="55">
        <v>44773</v>
      </c>
      <c r="Q281" s="16" t="s">
        <v>911</v>
      </c>
      <c r="R281" s="17" t="s">
        <v>912</v>
      </c>
      <c r="S281" s="22">
        <v>0</v>
      </c>
      <c r="T281" s="22">
        <v>0</v>
      </c>
      <c r="U281" s="22">
        <v>0</v>
      </c>
      <c r="V281" s="147" t="s">
        <v>82</v>
      </c>
      <c r="W281" s="22">
        <v>0</v>
      </c>
      <c r="X281" s="147" t="s">
        <v>82</v>
      </c>
      <c r="Y281" s="22">
        <v>0</v>
      </c>
      <c r="Z281" s="9" t="s">
        <v>999</v>
      </c>
      <c r="AA281" s="55">
        <v>44773</v>
      </c>
    </row>
    <row r="282" spans="1:28" x14ac:dyDescent="0.25">
      <c r="A282" s="26" t="s">
        <v>1741</v>
      </c>
      <c r="B282" s="106" t="s">
        <v>1649</v>
      </c>
      <c r="C282" s="11" t="s">
        <v>2650</v>
      </c>
      <c r="D282" s="55">
        <v>41652</v>
      </c>
      <c r="E282" s="55">
        <v>44196</v>
      </c>
      <c r="F282" s="26" t="s">
        <v>1743</v>
      </c>
      <c r="G282" s="162" t="s">
        <v>1476</v>
      </c>
      <c r="H282" s="11" t="s">
        <v>2024</v>
      </c>
      <c r="I282" s="11" t="s">
        <v>111</v>
      </c>
      <c r="J282" s="11" t="s">
        <v>113</v>
      </c>
      <c r="K282" s="26" t="s">
        <v>469</v>
      </c>
      <c r="L282" s="26" t="s">
        <v>2651</v>
      </c>
      <c r="M282" s="11" t="s">
        <v>174</v>
      </c>
      <c r="N282" s="12">
        <v>43620</v>
      </c>
      <c r="O282" s="85" t="s">
        <v>2058</v>
      </c>
      <c r="P282" s="55">
        <v>46022</v>
      </c>
      <c r="Q282" s="16" t="s">
        <v>911</v>
      </c>
      <c r="R282" s="17" t="s">
        <v>2652</v>
      </c>
      <c r="S282" s="22">
        <v>0</v>
      </c>
      <c r="T282" s="22">
        <v>0</v>
      </c>
      <c r="U282" s="22">
        <v>0</v>
      </c>
      <c r="V282" s="147" t="s">
        <v>1755</v>
      </c>
      <c r="W282" s="22">
        <v>0</v>
      </c>
      <c r="X282" s="147" t="s">
        <v>1846</v>
      </c>
      <c r="Y282" s="22">
        <v>0</v>
      </c>
      <c r="Z282" s="9"/>
      <c r="AA282" s="55">
        <v>44196</v>
      </c>
    </row>
    <row r="283" spans="1:28" x14ac:dyDescent="0.25">
      <c r="A283" s="26" t="s">
        <v>1741</v>
      </c>
      <c r="B283" s="106" t="s">
        <v>552</v>
      </c>
      <c r="C283" s="11" t="s">
        <v>2616</v>
      </c>
      <c r="D283" s="55">
        <v>44682</v>
      </c>
      <c r="E283" s="55">
        <v>45291</v>
      </c>
      <c r="F283" s="24" t="s">
        <v>962</v>
      </c>
      <c r="G283" s="162" t="s">
        <v>1613</v>
      </c>
      <c r="H283" s="11"/>
      <c r="I283" s="11" t="s">
        <v>111</v>
      </c>
      <c r="J283" s="11" t="s">
        <v>113</v>
      </c>
      <c r="K283" s="26" t="s">
        <v>114</v>
      </c>
      <c r="L283" s="26" t="s">
        <v>1548</v>
      </c>
      <c r="M283" s="11" t="s">
        <v>2518</v>
      </c>
      <c r="N283" s="12">
        <v>44712</v>
      </c>
      <c r="O283" s="86" t="s">
        <v>2618</v>
      </c>
      <c r="P283" s="55">
        <v>44347</v>
      </c>
      <c r="Q283" s="16" t="s">
        <v>1011</v>
      </c>
      <c r="R283" s="17" t="s">
        <v>911</v>
      </c>
      <c r="S283" s="22">
        <v>0</v>
      </c>
      <c r="T283" s="22">
        <v>0</v>
      </c>
      <c r="U283" s="22">
        <v>0</v>
      </c>
      <c r="V283" s="147" t="s">
        <v>1751</v>
      </c>
      <c r="W283" s="22">
        <v>0</v>
      </c>
      <c r="X283" s="147" t="s">
        <v>1846</v>
      </c>
      <c r="Y283" s="22">
        <v>0</v>
      </c>
      <c r="Z283" s="93" t="s">
        <v>249</v>
      </c>
      <c r="AA283" s="55">
        <v>45291</v>
      </c>
    </row>
    <row r="284" spans="1:28" x14ac:dyDescent="0.25">
      <c r="A284" s="26" t="s">
        <v>1741</v>
      </c>
      <c r="B284" s="106" t="s">
        <v>557</v>
      </c>
      <c r="C284" s="11" t="s">
        <v>2448</v>
      </c>
      <c r="D284" s="55">
        <v>44682</v>
      </c>
      <c r="E284" s="55">
        <v>45291</v>
      </c>
      <c r="F284" s="24" t="s">
        <v>962</v>
      </c>
      <c r="G284" s="162" t="s">
        <v>485</v>
      </c>
      <c r="H284" s="11"/>
      <c r="I284" s="11" t="s">
        <v>111</v>
      </c>
      <c r="J284" s="11" t="s">
        <v>113</v>
      </c>
      <c r="K284" s="26" t="s">
        <v>114</v>
      </c>
      <c r="L284" s="26" t="s">
        <v>118</v>
      </c>
      <c r="M284" s="11" t="s">
        <v>2518</v>
      </c>
      <c r="N284" s="12">
        <v>44712</v>
      </c>
      <c r="O284" s="86" t="s">
        <v>2451</v>
      </c>
      <c r="P284" s="55">
        <v>45443</v>
      </c>
      <c r="Q284" s="16" t="s">
        <v>1011</v>
      </c>
      <c r="R284" s="17" t="s">
        <v>911</v>
      </c>
      <c r="S284" s="22">
        <v>0</v>
      </c>
      <c r="T284" s="22">
        <v>0</v>
      </c>
      <c r="U284" s="22">
        <v>0</v>
      </c>
      <c r="V284" s="147" t="s">
        <v>1751</v>
      </c>
      <c r="W284" s="22">
        <v>0</v>
      </c>
      <c r="X284" s="147" t="s">
        <v>1846</v>
      </c>
      <c r="Y284" s="22">
        <v>0</v>
      </c>
      <c r="Z284" s="93" t="s">
        <v>249</v>
      </c>
      <c r="AA284" s="55">
        <v>45291</v>
      </c>
    </row>
    <row r="285" spans="1:28" s="108" customFormat="1" ht="9.75" customHeight="1" x14ac:dyDescent="0.25">
      <c r="A285" s="26">
        <v>8138</v>
      </c>
      <c r="B285" s="106" t="s">
        <v>1706</v>
      </c>
      <c r="C285" s="11" t="s">
        <v>2057</v>
      </c>
      <c r="D285" s="55">
        <v>44927</v>
      </c>
      <c r="E285" s="55">
        <v>46022</v>
      </c>
      <c r="F285" s="72" t="s">
        <v>1743</v>
      </c>
      <c r="G285" s="162" t="s">
        <v>596</v>
      </c>
      <c r="K285" s="26" t="s">
        <v>114</v>
      </c>
      <c r="N285" s="12">
        <v>45499</v>
      </c>
      <c r="O285" s="85" t="s">
        <v>2058</v>
      </c>
      <c r="P285" s="55">
        <v>46022</v>
      </c>
      <c r="Q285" s="16" t="s">
        <v>1011</v>
      </c>
      <c r="R285" s="17" t="s">
        <v>911</v>
      </c>
      <c r="S285" s="22">
        <v>0</v>
      </c>
      <c r="T285" s="22">
        <v>0</v>
      </c>
      <c r="U285" s="22">
        <v>0</v>
      </c>
      <c r="V285" s="147" t="s">
        <v>1755</v>
      </c>
      <c r="W285" s="22">
        <v>0</v>
      </c>
      <c r="X285" s="147" t="s">
        <v>1846</v>
      </c>
      <c r="Y285" s="22">
        <v>0</v>
      </c>
      <c r="Z285" s="90" t="s">
        <v>125</v>
      </c>
      <c r="AB285" s="13"/>
    </row>
    <row r="286" spans="1:28" x14ac:dyDescent="0.25">
      <c r="A286" s="26">
        <v>8138</v>
      </c>
      <c r="B286" s="106" t="s">
        <v>621</v>
      </c>
      <c r="C286" s="11" t="s">
        <v>2075</v>
      </c>
      <c r="D286" s="55">
        <v>45444</v>
      </c>
      <c r="E286" s="55">
        <v>45999</v>
      </c>
      <c r="F286" s="72" t="s">
        <v>1743</v>
      </c>
      <c r="G286" s="162" t="s">
        <v>618</v>
      </c>
      <c r="H286" s="11"/>
      <c r="I286" s="11"/>
      <c r="J286" s="11"/>
      <c r="K286" s="26"/>
      <c r="L286" s="26" t="s">
        <v>2076</v>
      </c>
      <c r="M286" s="26" t="e">
        <f>+VLOOKUP(C286,[1]Sheet1!$B:$AG,32,0)</f>
        <v>#N/A</v>
      </c>
      <c r="N286" s="12">
        <v>45622</v>
      </c>
      <c r="O286" s="89" t="s">
        <v>2077</v>
      </c>
      <c r="P286" s="55">
        <v>45999</v>
      </c>
      <c r="Q286" s="16" t="s">
        <v>1011</v>
      </c>
      <c r="R286" s="17" t="s">
        <v>911</v>
      </c>
      <c r="S286" s="22">
        <v>0</v>
      </c>
      <c r="T286" s="22">
        <v>0</v>
      </c>
      <c r="U286" s="22">
        <v>0</v>
      </c>
      <c r="V286" s="147" t="s">
        <v>1755</v>
      </c>
      <c r="W286" s="22">
        <v>0</v>
      </c>
      <c r="X286" s="147" t="s">
        <v>1846</v>
      </c>
      <c r="Y286" s="22">
        <v>0</v>
      </c>
      <c r="Z286" s="90" t="s">
        <v>85</v>
      </c>
      <c r="AA286" s="55"/>
    </row>
    <row r="287" spans="1:28" x14ac:dyDescent="0.25">
      <c r="A287" s="26">
        <v>8138</v>
      </c>
      <c r="B287" s="106" t="s">
        <v>642</v>
      </c>
      <c r="C287" s="11" t="s">
        <v>2653</v>
      </c>
      <c r="D287" s="55">
        <v>45808</v>
      </c>
      <c r="E287" s="55">
        <v>45808</v>
      </c>
      <c r="F287" s="72" t="s">
        <v>962</v>
      </c>
      <c r="G287" s="162" t="s">
        <v>1733</v>
      </c>
      <c r="H287" s="11"/>
      <c r="I287" s="11"/>
      <c r="J287" s="11"/>
      <c r="K287" s="26"/>
      <c r="L287" s="26" t="s">
        <v>2654</v>
      </c>
      <c r="M287" s="11"/>
      <c r="N287" s="12">
        <v>45622</v>
      </c>
      <c r="O287" s="89" t="s">
        <v>2655</v>
      </c>
      <c r="P287" s="55">
        <v>45808</v>
      </c>
      <c r="Q287" s="16" t="s">
        <v>1011</v>
      </c>
      <c r="R287" s="17" t="s">
        <v>911</v>
      </c>
      <c r="S287" s="22">
        <v>0</v>
      </c>
      <c r="T287" s="22">
        <v>0</v>
      </c>
      <c r="U287" s="22">
        <v>0</v>
      </c>
      <c r="V287" s="147" t="s">
        <v>1751</v>
      </c>
      <c r="W287" s="22">
        <v>0</v>
      </c>
      <c r="X287" s="147" t="s">
        <v>1846</v>
      </c>
      <c r="Y287" s="22">
        <v>0</v>
      </c>
      <c r="Z287" s="90" t="s">
        <v>85</v>
      </c>
      <c r="AA287" s="55"/>
    </row>
    <row r="288" spans="1:28" x14ac:dyDescent="0.25">
      <c r="A288" s="26">
        <v>8138</v>
      </c>
      <c r="B288" s="106" t="s">
        <v>652</v>
      </c>
      <c r="C288" s="11" t="s">
        <v>2656</v>
      </c>
      <c r="D288" s="55">
        <v>43466</v>
      </c>
      <c r="E288" s="55">
        <v>45626</v>
      </c>
      <c r="F288" s="72" t="s">
        <v>962</v>
      </c>
      <c r="G288" s="162" t="s">
        <v>3711</v>
      </c>
      <c r="H288" s="11"/>
      <c r="I288" s="11"/>
      <c r="J288" s="11"/>
      <c r="K288" s="26"/>
      <c r="L288" s="26" t="s">
        <v>2657</v>
      </c>
      <c r="M288" s="11"/>
      <c r="N288" s="12">
        <v>45622</v>
      </c>
      <c r="O288" s="89" t="s">
        <v>2658</v>
      </c>
      <c r="P288" s="55">
        <v>45626</v>
      </c>
      <c r="Q288" s="16" t="s">
        <v>1011</v>
      </c>
      <c r="R288" s="17" t="s">
        <v>911</v>
      </c>
      <c r="S288" s="22">
        <v>0</v>
      </c>
      <c r="T288" s="22">
        <v>0</v>
      </c>
      <c r="U288" s="22">
        <v>0</v>
      </c>
      <c r="V288" s="147" t="s">
        <v>82</v>
      </c>
      <c r="W288" s="22">
        <v>0</v>
      </c>
      <c r="X288" s="147" t="s">
        <v>82</v>
      </c>
      <c r="Y288" s="22">
        <v>0</v>
      </c>
      <c r="Z288" s="90" t="s">
        <v>85</v>
      </c>
      <c r="AA288" s="55"/>
    </row>
    <row r="289" spans="1:27" x14ac:dyDescent="0.25">
      <c r="A289" s="26">
        <v>8138</v>
      </c>
      <c r="B289" s="106" t="s">
        <v>669</v>
      </c>
      <c r="C289" s="11" t="s">
        <v>2090</v>
      </c>
      <c r="D289" s="55">
        <v>43800</v>
      </c>
      <c r="E289" s="55">
        <v>46053</v>
      </c>
      <c r="F289" s="72" t="s">
        <v>1743</v>
      </c>
      <c r="G289" s="162" t="s">
        <v>944</v>
      </c>
      <c r="H289" s="11"/>
      <c r="I289" s="11"/>
      <c r="J289" s="11"/>
      <c r="K289" s="26"/>
      <c r="L289" s="26" t="s">
        <v>2091</v>
      </c>
      <c r="M289" s="11"/>
      <c r="N289" s="12">
        <v>45622</v>
      </c>
      <c r="O289" s="89" t="s">
        <v>2092</v>
      </c>
      <c r="P289" s="55">
        <v>46053</v>
      </c>
      <c r="Q289" s="16" t="s">
        <v>1011</v>
      </c>
      <c r="R289" s="17" t="s">
        <v>911</v>
      </c>
      <c r="S289" s="22">
        <v>0</v>
      </c>
      <c r="T289" s="22">
        <v>0</v>
      </c>
      <c r="U289" s="22">
        <v>0</v>
      </c>
      <c r="V289" s="147" t="s">
        <v>1755</v>
      </c>
      <c r="W289" s="22">
        <v>0</v>
      </c>
      <c r="X289" s="147" t="s">
        <v>1745</v>
      </c>
      <c r="Y289" s="22">
        <v>0</v>
      </c>
      <c r="Z289" s="90" t="s">
        <v>85</v>
      </c>
      <c r="AA289" s="55"/>
    </row>
    <row r="290" spans="1:27" x14ac:dyDescent="0.25">
      <c r="A290" s="26">
        <v>8138</v>
      </c>
      <c r="B290" s="106" t="s">
        <v>693</v>
      </c>
      <c r="C290" s="11" t="s">
        <v>2102</v>
      </c>
      <c r="D290" s="55">
        <v>45444</v>
      </c>
      <c r="E290" s="55">
        <v>46066</v>
      </c>
      <c r="F290" s="72" t="s">
        <v>1743</v>
      </c>
      <c r="G290" s="162" t="s">
        <v>953</v>
      </c>
      <c r="H290" s="11"/>
      <c r="I290" s="11"/>
      <c r="J290" s="11"/>
      <c r="K290" s="26"/>
      <c r="L290" s="26" t="s">
        <v>2103</v>
      </c>
      <c r="M290" s="11"/>
      <c r="N290" s="12">
        <v>45622</v>
      </c>
      <c r="O290" s="89" t="s">
        <v>2104</v>
      </c>
      <c r="P290" s="55">
        <v>46066</v>
      </c>
      <c r="Q290" s="16" t="s">
        <v>1011</v>
      </c>
      <c r="R290" s="17" t="s">
        <v>911</v>
      </c>
      <c r="S290" s="22">
        <v>0</v>
      </c>
      <c r="T290" s="22">
        <v>0</v>
      </c>
      <c r="U290" s="22">
        <v>0</v>
      </c>
      <c r="V290" s="147" t="s">
        <v>1755</v>
      </c>
      <c r="W290" s="22">
        <v>0</v>
      </c>
      <c r="X290" s="147" t="s">
        <v>1846</v>
      </c>
      <c r="Y290" s="22">
        <v>0</v>
      </c>
      <c r="Z290" s="90" t="s">
        <v>85</v>
      </c>
      <c r="AA290" s="55"/>
    </row>
    <row r="291" spans="1:27" x14ac:dyDescent="0.25">
      <c r="A291" s="26">
        <v>8138</v>
      </c>
      <c r="B291" s="106" t="s">
        <v>719</v>
      </c>
      <c r="C291" s="11" t="s">
        <v>2117</v>
      </c>
      <c r="D291" s="55">
        <v>43466</v>
      </c>
      <c r="E291" s="55">
        <v>45991</v>
      </c>
      <c r="F291" s="72" t="s">
        <v>1743</v>
      </c>
      <c r="G291" s="162" t="s">
        <v>644</v>
      </c>
      <c r="H291" s="11"/>
      <c r="I291" s="11"/>
      <c r="J291" s="11"/>
      <c r="K291" s="26"/>
      <c r="L291" s="26" t="s">
        <v>2118</v>
      </c>
      <c r="M291" s="11"/>
      <c r="N291" s="12">
        <v>45622</v>
      </c>
      <c r="O291" s="89" t="s">
        <v>2119</v>
      </c>
      <c r="P291" s="55">
        <v>45991</v>
      </c>
      <c r="Q291" s="16" t="s">
        <v>1011</v>
      </c>
      <c r="R291" s="17" t="s">
        <v>911</v>
      </c>
      <c r="S291" s="22">
        <v>0</v>
      </c>
      <c r="T291" s="22">
        <v>0</v>
      </c>
      <c r="U291" s="22">
        <v>0</v>
      </c>
      <c r="V291" s="147" t="s">
        <v>1755</v>
      </c>
      <c r="W291" s="22">
        <v>0</v>
      </c>
      <c r="X291" s="147" t="s">
        <v>1745</v>
      </c>
      <c r="Y291" s="22">
        <v>0</v>
      </c>
      <c r="Z291" s="90" t="s">
        <v>85</v>
      </c>
      <c r="AA291" s="55"/>
    </row>
    <row r="292" spans="1:27" x14ac:dyDescent="0.25">
      <c r="A292" s="26">
        <v>8138</v>
      </c>
      <c r="B292" s="106" t="s">
        <v>727</v>
      </c>
      <c r="C292" s="11" t="s">
        <v>2123</v>
      </c>
      <c r="D292" s="55">
        <v>43466</v>
      </c>
      <c r="E292" s="55">
        <v>45991</v>
      </c>
      <c r="F292" s="72" t="s">
        <v>1743</v>
      </c>
      <c r="G292" s="162" t="s">
        <v>662</v>
      </c>
      <c r="H292" s="11"/>
      <c r="I292" s="11"/>
      <c r="J292" s="11"/>
      <c r="K292" s="26"/>
      <c r="L292" s="26" t="s">
        <v>2124</v>
      </c>
      <c r="M292" s="11"/>
      <c r="N292" s="12">
        <v>45622</v>
      </c>
      <c r="O292" s="89" t="s">
        <v>2125</v>
      </c>
      <c r="P292" s="55">
        <v>45991</v>
      </c>
      <c r="Q292" s="16" t="s">
        <v>1011</v>
      </c>
      <c r="R292" s="17" t="s">
        <v>911</v>
      </c>
      <c r="S292" s="22">
        <v>0</v>
      </c>
      <c r="T292" s="22">
        <v>0</v>
      </c>
      <c r="U292" s="22">
        <v>0</v>
      </c>
      <c r="V292" s="147" t="s">
        <v>1755</v>
      </c>
      <c r="W292" s="22">
        <v>0</v>
      </c>
      <c r="X292" s="147" t="s">
        <v>1745</v>
      </c>
      <c r="Y292" s="22">
        <v>0</v>
      </c>
      <c r="Z292" s="90" t="s">
        <v>85</v>
      </c>
      <c r="AA292" s="55"/>
    </row>
    <row r="293" spans="1:27" x14ac:dyDescent="0.25">
      <c r="A293" s="26">
        <v>8138</v>
      </c>
      <c r="B293" s="106" t="s">
        <v>760</v>
      </c>
      <c r="C293" s="11" t="s">
        <v>2147</v>
      </c>
      <c r="D293" s="55">
        <v>43466</v>
      </c>
      <c r="E293" s="55">
        <v>45991</v>
      </c>
      <c r="F293" s="72" t="s">
        <v>1743</v>
      </c>
      <c r="G293" s="162" t="s">
        <v>671</v>
      </c>
      <c r="H293" s="11"/>
      <c r="I293" s="11"/>
      <c r="J293" s="11"/>
      <c r="K293" s="26"/>
      <c r="L293" s="26" t="s">
        <v>2148</v>
      </c>
      <c r="M293" s="11"/>
      <c r="N293" s="12">
        <v>45622</v>
      </c>
      <c r="O293" s="89" t="s">
        <v>2149</v>
      </c>
      <c r="P293" s="55">
        <v>45991</v>
      </c>
      <c r="Q293" s="16" t="s">
        <v>1011</v>
      </c>
      <c r="R293" s="17" t="s">
        <v>911</v>
      </c>
      <c r="S293" s="22">
        <v>0</v>
      </c>
      <c r="T293" s="22">
        <v>0</v>
      </c>
      <c r="U293" s="22">
        <v>0</v>
      </c>
      <c r="V293" s="147" t="s">
        <v>1755</v>
      </c>
      <c r="W293" s="22">
        <v>0</v>
      </c>
      <c r="X293" s="147" t="s">
        <v>1745</v>
      </c>
      <c r="Y293" s="22">
        <v>0</v>
      </c>
      <c r="Z293" s="90" t="s">
        <v>85</v>
      </c>
      <c r="AA293" s="55"/>
    </row>
    <row r="294" spans="1:27" x14ac:dyDescent="0.25">
      <c r="A294" s="26">
        <v>8138</v>
      </c>
      <c r="B294" s="106" t="s">
        <v>768</v>
      </c>
      <c r="C294" s="11" t="s">
        <v>2153</v>
      </c>
      <c r="D294" s="55">
        <v>43466</v>
      </c>
      <c r="E294" s="55">
        <v>45991</v>
      </c>
      <c r="F294" s="72" t="s">
        <v>1743</v>
      </c>
      <c r="G294" s="162" t="s">
        <v>3712</v>
      </c>
      <c r="H294" s="11"/>
      <c r="I294" s="11"/>
      <c r="J294" s="11"/>
      <c r="K294" s="26"/>
      <c r="L294" s="26" t="s">
        <v>2154</v>
      </c>
      <c r="M294" s="11"/>
      <c r="N294" s="12">
        <v>45622</v>
      </c>
      <c r="O294" s="89" t="s">
        <v>2155</v>
      </c>
      <c r="P294" s="55">
        <v>45991</v>
      </c>
      <c r="Q294" s="16" t="s">
        <v>1011</v>
      </c>
      <c r="R294" s="17" t="s">
        <v>911</v>
      </c>
      <c r="S294" s="22">
        <v>0</v>
      </c>
      <c r="T294" s="22">
        <v>0</v>
      </c>
      <c r="U294" s="22">
        <v>0</v>
      </c>
      <c r="V294" s="147" t="s">
        <v>1755</v>
      </c>
      <c r="W294" s="22">
        <v>0</v>
      </c>
      <c r="X294" s="147" t="s">
        <v>1745</v>
      </c>
      <c r="Y294" s="22">
        <v>0</v>
      </c>
      <c r="Z294" s="90" t="s">
        <v>85</v>
      </c>
      <c r="AA294" s="55"/>
    </row>
    <row r="295" spans="1:27" ht="10.8" customHeight="1" x14ac:dyDescent="0.25">
      <c r="A295" s="26">
        <v>8138</v>
      </c>
      <c r="B295" s="106" t="s">
        <v>780</v>
      </c>
      <c r="C295" s="11" t="s">
        <v>2159</v>
      </c>
      <c r="D295" s="55">
        <v>43466</v>
      </c>
      <c r="E295" s="55">
        <v>45991</v>
      </c>
      <c r="F295" s="72" t="s">
        <v>1743</v>
      </c>
      <c r="G295" s="162" t="s">
        <v>691</v>
      </c>
      <c r="H295" s="11"/>
      <c r="I295" s="11"/>
      <c r="J295" s="11"/>
      <c r="K295" s="26"/>
      <c r="L295" s="26" t="s">
        <v>2160</v>
      </c>
      <c r="M295" s="11"/>
      <c r="N295" s="12">
        <v>45622</v>
      </c>
      <c r="O295" s="89" t="s">
        <v>2161</v>
      </c>
      <c r="P295" s="55">
        <v>45991</v>
      </c>
      <c r="Q295" s="16" t="s">
        <v>1011</v>
      </c>
      <c r="R295" s="17" t="s">
        <v>911</v>
      </c>
      <c r="S295" s="22">
        <v>0</v>
      </c>
      <c r="T295" s="22">
        <v>0</v>
      </c>
      <c r="U295" s="22">
        <v>0</v>
      </c>
      <c r="V295" s="147" t="s">
        <v>1755</v>
      </c>
      <c r="W295" s="22">
        <v>0</v>
      </c>
      <c r="X295" s="147" t="s">
        <v>1745</v>
      </c>
      <c r="Y295" s="22">
        <v>0</v>
      </c>
      <c r="Z295" s="90" t="s">
        <v>85</v>
      </c>
      <c r="AA295" s="55"/>
    </row>
    <row r="296" spans="1:27" x14ac:dyDescent="0.25">
      <c r="A296" s="26">
        <v>8138</v>
      </c>
      <c r="B296" s="106" t="s">
        <v>786</v>
      </c>
      <c r="C296" s="11" t="s">
        <v>2162</v>
      </c>
      <c r="D296" s="55">
        <v>43466</v>
      </c>
      <c r="E296" s="55">
        <v>45991</v>
      </c>
      <c r="F296" s="72" t="s">
        <v>1743</v>
      </c>
      <c r="G296" s="162" t="s">
        <v>695</v>
      </c>
      <c r="H296" s="11"/>
      <c r="I296" s="11"/>
      <c r="J296" s="11"/>
      <c r="K296" s="26"/>
      <c r="L296" s="26" t="s">
        <v>2163</v>
      </c>
      <c r="M296" s="11"/>
      <c r="N296" s="12">
        <v>45622</v>
      </c>
      <c r="O296" s="89" t="s">
        <v>2164</v>
      </c>
      <c r="P296" s="55">
        <v>45991</v>
      </c>
      <c r="Q296" s="16" t="s">
        <v>1011</v>
      </c>
      <c r="R296" s="17" t="s">
        <v>911</v>
      </c>
      <c r="S296" s="22">
        <v>0</v>
      </c>
      <c r="T296" s="22">
        <v>0</v>
      </c>
      <c r="U296" s="22">
        <v>0</v>
      </c>
      <c r="V296" s="147" t="s">
        <v>1755</v>
      </c>
      <c r="W296" s="22">
        <v>0</v>
      </c>
      <c r="X296" s="147" t="s">
        <v>1745</v>
      </c>
      <c r="Y296" s="22">
        <v>0</v>
      </c>
      <c r="Z296" s="90" t="s">
        <v>85</v>
      </c>
      <c r="AA296" s="55"/>
    </row>
    <row r="297" spans="1:27" x14ac:dyDescent="0.25">
      <c r="A297" s="26">
        <v>8138</v>
      </c>
      <c r="B297" s="106" t="s">
        <v>818</v>
      </c>
      <c r="C297" s="11" t="s">
        <v>2186</v>
      </c>
      <c r="D297" s="55">
        <v>45444</v>
      </c>
      <c r="E297" s="55">
        <v>46022</v>
      </c>
      <c r="F297" s="72" t="s">
        <v>1743</v>
      </c>
      <c r="G297" s="162" t="s">
        <v>3713</v>
      </c>
      <c r="H297" s="11"/>
      <c r="I297" s="11"/>
      <c r="J297" s="11"/>
      <c r="K297" s="26"/>
      <c r="L297" s="26" t="s">
        <v>2187</v>
      </c>
      <c r="M297" s="11"/>
      <c r="N297" s="12">
        <v>45622</v>
      </c>
      <c r="O297" s="89" t="s">
        <v>2188</v>
      </c>
      <c r="P297" s="55">
        <v>46022</v>
      </c>
      <c r="Q297" s="16" t="s">
        <v>1011</v>
      </c>
      <c r="R297" s="17" t="s">
        <v>911</v>
      </c>
      <c r="S297" s="22">
        <v>0</v>
      </c>
      <c r="T297" s="22">
        <v>0</v>
      </c>
      <c r="U297" s="22">
        <v>0</v>
      </c>
      <c r="V297" s="147" t="s">
        <v>1755</v>
      </c>
      <c r="W297" s="22">
        <v>0</v>
      </c>
      <c r="X297" s="147" t="s">
        <v>1846</v>
      </c>
      <c r="Y297" s="22">
        <v>0</v>
      </c>
      <c r="Z297" s="90" t="s">
        <v>85</v>
      </c>
      <c r="AA297" s="55"/>
    </row>
    <row r="298" spans="1:27" x14ac:dyDescent="0.25">
      <c r="A298" s="26">
        <v>8138</v>
      </c>
      <c r="B298" s="106" t="s">
        <v>846</v>
      </c>
      <c r="C298" s="11" t="s">
        <v>2204</v>
      </c>
      <c r="D298" s="55">
        <v>43466</v>
      </c>
      <c r="E298" s="55">
        <v>46053</v>
      </c>
      <c r="F298" s="72" t="s">
        <v>962</v>
      </c>
      <c r="G298" s="162" t="s">
        <v>3714</v>
      </c>
      <c r="H298" s="11"/>
      <c r="I298" s="11"/>
      <c r="J298" s="11"/>
      <c r="K298" s="26"/>
      <c r="L298" s="26" t="s">
        <v>2205</v>
      </c>
      <c r="M298" s="11"/>
      <c r="N298" s="12">
        <v>45622</v>
      </c>
      <c r="O298" s="89" t="s">
        <v>2206</v>
      </c>
      <c r="P298" s="55">
        <v>46053</v>
      </c>
      <c r="Q298" s="16" t="s">
        <v>83</v>
      </c>
      <c r="R298" s="17" t="s">
        <v>911</v>
      </c>
      <c r="S298" s="22">
        <v>0</v>
      </c>
      <c r="T298" s="22">
        <v>0</v>
      </c>
      <c r="U298" s="22">
        <v>0</v>
      </c>
      <c r="V298" s="147" t="s">
        <v>82</v>
      </c>
      <c r="W298" s="22">
        <v>0</v>
      </c>
      <c r="X298" s="147" t="s">
        <v>82</v>
      </c>
      <c r="Y298" s="22">
        <v>0</v>
      </c>
      <c r="Z298" s="90" t="s">
        <v>85</v>
      </c>
      <c r="AA298" s="55"/>
    </row>
    <row r="299" spans="1:27" x14ac:dyDescent="0.25">
      <c r="A299" s="26">
        <v>8138</v>
      </c>
      <c r="B299" s="106" t="s">
        <v>850</v>
      </c>
      <c r="C299" s="11" t="s">
        <v>2207</v>
      </c>
      <c r="D299" s="55">
        <v>43617</v>
      </c>
      <c r="E299" s="55">
        <v>46022</v>
      </c>
      <c r="F299" s="72" t="s">
        <v>1743</v>
      </c>
      <c r="G299" s="162" t="s">
        <v>3715</v>
      </c>
      <c r="H299" s="11"/>
      <c r="I299" s="11"/>
      <c r="J299" s="11"/>
      <c r="K299" s="26"/>
      <c r="L299" s="26" t="s">
        <v>2208</v>
      </c>
      <c r="M299" s="11"/>
      <c r="N299" s="12">
        <v>45622</v>
      </c>
      <c r="O299" s="89" t="s">
        <v>2209</v>
      </c>
      <c r="P299" s="55">
        <v>46022</v>
      </c>
      <c r="Q299" s="16" t="s">
        <v>1011</v>
      </c>
      <c r="R299" s="17" t="s">
        <v>911</v>
      </c>
      <c r="S299" s="22">
        <v>0</v>
      </c>
      <c r="T299" s="22">
        <v>0</v>
      </c>
      <c r="U299" s="22">
        <v>0</v>
      </c>
      <c r="V299" s="147" t="s">
        <v>1755</v>
      </c>
      <c r="W299" s="22">
        <v>0</v>
      </c>
      <c r="X299" s="147" t="s">
        <v>1846</v>
      </c>
      <c r="Y299" s="22">
        <v>0</v>
      </c>
      <c r="Z299" s="90" t="s">
        <v>85</v>
      </c>
      <c r="AA299" s="55"/>
    </row>
    <row r="300" spans="1:27" x14ac:dyDescent="0.25">
      <c r="A300" s="26">
        <v>8138</v>
      </c>
      <c r="B300" s="106" t="s">
        <v>886</v>
      </c>
      <c r="C300" s="11" t="s">
        <v>2228</v>
      </c>
      <c r="D300" s="55">
        <v>45444</v>
      </c>
      <c r="E300" s="55">
        <v>46022</v>
      </c>
      <c r="F300" s="72" t="s">
        <v>1743</v>
      </c>
      <c r="G300" s="162" t="s">
        <v>3716</v>
      </c>
      <c r="H300" s="11"/>
      <c r="I300" s="11"/>
      <c r="J300" s="11"/>
      <c r="K300" s="26"/>
      <c r="L300" s="26" t="s">
        <v>2229</v>
      </c>
      <c r="M300" s="11"/>
      <c r="N300" s="12">
        <v>45622</v>
      </c>
      <c r="O300" s="89" t="s">
        <v>2230</v>
      </c>
      <c r="P300" s="55">
        <v>46017</v>
      </c>
      <c r="Q300" s="16" t="s">
        <v>1011</v>
      </c>
      <c r="R300" s="17" t="s">
        <v>911</v>
      </c>
      <c r="S300" s="22">
        <v>0</v>
      </c>
      <c r="T300" s="22">
        <v>0</v>
      </c>
      <c r="U300" s="22">
        <v>0</v>
      </c>
      <c r="V300" s="147" t="s">
        <v>1755</v>
      </c>
      <c r="W300" s="22">
        <v>0</v>
      </c>
      <c r="X300" s="147" t="s">
        <v>1846</v>
      </c>
      <c r="Y300" s="22">
        <v>0</v>
      </c>
      <c r="Z300" s="90" t="s">
        <v>85</v>
      </c>
      <c r="AA300" s="55"/>
    </row>
    <row r="301" spans="1:27" x14ac:dyDescent="0.25">
      <c r="A301" s="26">
        <v>8138</v>
      </c>
      <c r="B301" s="106" t="s">
        <v>2246</v>
      </c>
      <c r="C301" s="11" t="s">
        <v>2247</v>
      </c>
      <c r="D301" s="55">
        <v>45444</v>
      </c>
      <c r="E301" s="55">
        <v>46053</v>
      </c>
      <c r="F301" s="72" t="s">
        <v>1743</v>
      </c>
      <c r="G301" s="162" t="s">
        <v>3717</v>
      </c>
      <c r="H301" s="11"/>
      <c r="I301" s="11"/>
      <c r="J301" s="11"/>
      <c r="K301" s="26"/>
      <c r="L301" s="26" t="s">
        <v>2248</v>
      </c>
      <c r="M301" s="11"/>
      <c r="N301" s="12">
        <v>45622</v>
      </c>
      <c r="O301" s="89" t="s">
        <v>2249</v>
      </c>
      <c r="P301" s="55">
        <v>46053</v>
      </c>
      <c r="Q301" s="16" t="s">
        <v>83</v>
      </c>
      <c r="R301" s="17" t="s">
        <v>911</v>
      </c>
      <c r="S301" s="22">
        <v>0</v>
      </c>
      <c r="T301" s="22">
        <v>0</v>
      </c>
      <c r="U301" s="22">
        <v>0</v>
      </c>
      <c r="V301" s="147" t="s">
        <v>82</v>
      </c>
      <c r="W301" s="22">
        <v>0</v>
      </c>
      <c r="X301" s="147" t="s">
        <v>1846</v>
      </c>
      <c r="Y301" s="22">
        <v>0</v>
      </c>
      <c r="Z301" s="90" t="s">
        <v>85</v>
      </c>
      <c r="AA301" s="55"/>
    </row>
    <row r="302" spans="1:27" x14ac:dyDescent="0.25">
      <c r="A302" s="26">
        <v>8138</v>
      </c>
      <c r="B302" s="106" t="s">
        <v>2673</v>
      </c>
      <c r="C302" s="11" t="s">
        <v>2674</v>
      </c>
      <c r="D302" s="55">
        <v>45747</v>
      </c>
      <c r="E302" s="55">
        <v>45747</v>
      </c>
      <c r="F302" s="72" t="s">
        <v>962</v>
      </c>
      <c r="G302" s="162" t="s">
        <v>3718</v>
      </c>
      <c r="H302" s="11"/>
      <c r="I302" s="11"/>
      <c r="J302" s="11"/>
      <c r="K302" s="26"/>
      <c r="L302" s="26" t="s">
        <v>2675</v>
      </c>
      <c r="M302" s="11"/>
      <c r="N302" s="12">
        <v>45622</v>
      </c>
      <c r="O302" s="89" t="s">
        <v>2676</v>
      </c>
      <c r="P302" s="55">
        <v>45747</v>
      </c>
      <c r="Q302" s="16" t="s">
        <v>1011</v>
      </c>
      <c r="R302" s="17" t="s">
        <v>911</v>
      </c>
      <c r="S302" s="22">
        <v>0</v>
      </c>
      <c r="T302" s="22">
        <v>0</v>
      </c>
      <c r="U302" s="22">
        <v>0</v>
      </c>
      <c r="V302" s="147" t="s">
        <v>1751</v>
      </c>
      <c r="W302" s="22">
        <v>0</v>
      </c>
      <c r="X302" s="147" t="s">
        <v>1846</v>
      </c>
      <c r="Y302" s="22">
        <v>0</v>
      </c>
      <c r="Z302" s="90" t="s">
        <v>85</v>
      </c>
      <c r="AA302" s="55"/>
    </row>
    <row r="303" spans="1:27" x14ac:dyDescent="0.25">
      <c r="A303" s="26">
        <v>8138</v>
      </c>
      <c r="B303" s="106" t="s">
        <v>2677</v>
      </c>
      <c r="C303" s="11" t="s">
        <v>2588</v>
      </c>
      <c r="D303" s="55">
        <v>45293</v>
      </c>
      <c r="E303" s="55">
        <v>45900</v>
      </c>
      <c r="F303" s="72" t="s">
        <v>962</v>
      </c>
      <c r="G303" s="162" t="s">
        <v>3719</v>
      </c>
      <c r="H303" s="11"/>
      <c r="I303" s="11"/>
      <c r="J303" s="11"/>
      <c r="K303" s="26"/>
      <c r="L303" s="132" t="s">
        <v>2589</v>
      </c>
      <c r="M303" s="11"/>
      <c r="N303" s="12">
        <v>45649</v>
      </c>
      <c r="O303" s="89" t="s">
        <v>2590</v>
      </c>
      <c r="P303" s="55">
        <v>45900</v>
      </c>
      <c r="Q303" s="16" t="s">
        <v>1011</v>
      </c>
      <c r="R303" s="17" t="s">
        <v>911</v>
      </c>
      <c r="S303" s="22">
        <v>0</v>
      </c>
      <c r="T303" s="22">
        <v>0</v>
      </c>
      <c r="U303" s="22">
        <v>0</v>
      </c>
      <c r="V303" s="147" t="s">
        <v>82</v>
      </c>
      <c r="W303" s="22">
        <v>0</v>
      </c>
      <c r="X303" s="147" t="s">
        <v>82</v>
      </c>
      <c r="Y303" s="22">
        <v>0</v>
      </c>
      <c r="Z303" s="90"/>
      <c r="AA303" s="55"/>
    </row>
    <row r="304" spans="1:27" x14ac:dyDescent="0.25">
      <c r="A304" s="26">
        <v>8138</v>
      </c>
      <c r="B304" s="106" t="s">
        <v>2678</v>
      </c>
      <c r="C304" s="11" t="s">
        <v>2679</v>
      </c>
      <c r="D304" s="55">
        <v>45566</v>
      </c>
      <c r="E304" s="55">
        <v>45930</v>
      </c>
      <c r="F304" s="72" t="s">
        <v>1743</v>
      </c>
      <c r="G304" s="162" t="s">
        <v>3720</v>
      </c>
      <c r="H304" s="11"/>
      <c r="I304" s="11"/>
      <c r="J304" s="11"/>
      <c r="K304" s="26"/>
      <c r="L304" s="26"/>
      <c r="M304" s="11"/>
      <c r="N304" s="12">
        <v>45652</v>
      </c>
      <c r="O304" s="89" t="s">
        <v>2680</v>
      </c>
      <c r="P304" s="55">
        <v>47756</v>
      </c>
      <c r="Q304" s="91" t="s">
        <v>2681</v>
      </c>
      <c r="R304" s="17" t="s">
        <v>911</v>
      </c>
      <c r="S304" s="22">
        <v>0</v>
      </c>
      <c r="T304" s="22">
        <v>0</v>
      </c>
      <c r="U304" s="22">
        <v>0</v>
      </c>
      <c r="V304" s="147" t="s">
        <v>1755</v>
      </c>
      <c r="W304" s="22">
        <v>0</v>
      </c>
      <c r="X304" s="147" t="s">
        <v>1745</v>
      </c>
      <c r="Y304" s="22">
        <v>0</v>
      </c>
      <c r="Z304" s="90"/>
      <c r="AA304" s="55"/>
    </row>
    <row r="305" spans="1:27" x14ac:dyDescent="0.25">
      <c r="A305" s="26">
        <v>8138</v>
      </c>
      <c r="B305" s="106" t="s">
        <v>2323</v>
      </c>
      <c r="C305" s="11" t="s">
        <v>2324</v>
      </c>
      <c r="D305" s="55">
        <v>45659</v>
      </c>
      <c r="E305" s="55">
        <v>46053</v>
      </c>
      <c r="F305" s="72" t="s">
        <v>1743</v>
      </c>
      <c r="G305" s="162" t="s">
        <v>3721</v>
      </c>
      <c r="H305" s="11"/>
      <c r="I305" s="11"/>
      <c r="J305" s="11"/>
      <c r="K305" s="26"/>
      <c r="L305" s="26" t="s">
        <v>2325</v>
      </c>
      <c r="M305" s="11"/>
      <c r="N305" s="12">
        <v>45834</v>
      </c>
      <c r="O305" s="89" t="s">
        <v>2326</v>
      </c>
      <c r="P305" s="55">
        <v>46053</v>
      </c>
      <c r="Q305" s="16" t="s">
        <v>83</v>
      </c>
      <c r="R305" s="17" t="s">
        <v>911</v>
      </c>
      <c r="S305" s="22">
        <v>0</v>
      </c>
      <c r="T305" s="22">
        <v>0</v>
      </c>
      <c r="U305" s="22">
        <v>0</v>
      </c>
      <c r="V305" s="147"/>
      <c r="W305" s="22">
        <v>0</v>
      </c>
      <c r="X305" s="147"/>
      <c r="Y305" s="22">
        <v>0</v>
      </c>
      <c r="Z305" s="16"/>
      <c r="AA305" s="55"/>
    </row>
    <row r="306" spans="1:27" x14ac:dyDescent="0.25">
      <c r="A306" s="26">
        <v>8138</v>
      </c>
      <c r="B306" s="106" t="s">
        <v>2684</v>
      </c>
      <c r="C306" s="11" t="s">
        <v>2685</v>
      </c>
      <c r="D306" s="55">
        <v>45597</v>
      </c>
      <c r="E306" s="55">
        <v>45930</v>
      </c>
      <c r="F306" s="72" t="s">
        <v>1743</v>
      </c>
      <c r="G306" s="162" t="s">
        <v>3722</v>
      </c>
      <c r="H306" s="11"/>
      <c r="I306" s="11"/>
      <c r="J306" s="11"/>
      <c r="K306" s="26"/>
      <c r="L306" s="26" t="s">
        <v>910</v>
      </c>
      <c r="M306" s="11"/>
      <c r="N306" s="12">
        <v>45895</v>
      </c>
      <c r="O306" s="89" t="s">
        <v>2686</v>
      </c>
      <c r="P306" s="55">
        <v>45930</v>
      </c>
      <c r="Q306" s="16" t="s">
        <v>1011</v>
      </c>
      <c r="R306" s="17" t="s">
        <v>911</v>
      </c>
      <c r="S306" s="22">
        <v>0</v>
      </c>
      <c r="T306" s="22">
        <v>0</v>
      </c>
      <c r="U306" s="22">
        <v>0</v>
      </c>
      <c r="V306" s="147"/>
      <c r="W306" s="22">
        <v>0</v>
      </c>
      <c r="X306" s="147"/>
      <c r="Y306" s="22">
        <v>0</v>
      </c>
      <c r="Z306" s="16"/>
      <c r="AA306" s="55"/>
    </row>
    <row r="307" spans="1:27" x14ac:dyDescent="0.25">
      <c r="A307" s="25">
        <v>8138</v>
      </c>
      <c r="B307" s="106" t="s">
        <v>2687</v>
      </c>
      <c r="C307" s="13" t="s">
        <v>2688</v>
      </c>
      <c r="D307" s="55">
        <v>45931</v>
      </c>
      <c r="E307" s="55">
        <v>45940</v>
      </c>
      <c r="F307" s="72" t="s">
        <v>1743</v>
      </c>
      <c r="G307" s="160" t="s">
        <v>3723</v>
      </c>
      <c r="L307" s="25" t="s">
        <v>1385</v>
      </c>
      <c r="N307" s="12">
        <v>45958</v>
      </c>
      <c r="O307" s="89" t="s">
        <v>2689</v>
      </c>
      <c r="P307" s="25" t="s">
        <v>82</v>
      </c>
      <c r="Q307" s="25" t="s">
        <v>1011</v>
      </c>
      <c r="R307" s="17" t="s">
        <v>911</v>
      </c>
      <c r="S307" s="22">
        <v>0</v>
      </c>
      <c r="T307" s="22">
        <v>0</v>
      </c>
      <c r="U307" s="22">
        <v>0</v>
      </c>
      <c r="V307" s="147"/>
      <c r="W307" s="22">
        <v>0</v>
      </c>
      <c r="X307" s="147"/>
      <c r="Y307" s="22">
        <v>0</v>
      </c>
    </row>
    <row r="308" spans="1:27" x14ac:dyDescent="0.25">
      <c r="A308" s="26">
        <v>8138</v>
      </c>
      <c r="B308" s="106" t="s">
        <v>2409</v>
      </c>
      <c r="C308" s="11" t="s">
        <v>2410</v>
      </c>
      <c r="D308" s="55">
        <v>45931</v>
      </c>
      <c r="E308" s="55">
        <v>46022</v>
      </c>
      <c r="F308" s="72" t="s">
        <v>1743</v>
      </c>
      <c r="G308" s="162" t="s">
        <v>3724</v>
      </c>
      <c r="H308" s="11"/>
      <c r="I308" s="11"/>
      <c r="J308" s="11"/>
      <c r="K308" s="26"/>
      <c r="L308" s="26" t="s">
        <v>682</v>
      </c>
      <c r="M308" s="11"/>
      <c r="N308" s="12">
        <v>45958</v>
      </c>
      <c r="O308" s="89" t="s">
        <v>2411</v>
      </c>
      <c r="P308" s="55" t="s">
        <v>82</v>
      </c>
      <c r="Q308" s="16" t="s">
        <v>1011</v>
      </c>
      <c r="R308" s="17" t="s">
        <v>911</v>
      </c>
      <c r="S308" s="22">
        <v>0</v>
      </c>
      <c r="T308" s="22">
        <v>0</v>
      </c>
      <c r="U308" s="22">
        <v>0</v>
      </c>
      <c r="V308" s="147"/>
      <c r="W308" s="22">
        <v>0</v>
      </c>
      <c r="X308" s="147"/>
      <c r="Y308" s="22">
        <v>0</v>
      </c>
      <c r="Z308" s="16"/>
      <c r="AA308" s="55"/>
    </row>
    <row r="309" spans="1:27" x14ac:dyDescent="0.25">
      <c r="E309" s="125" t="s">
        <v>1745</v>
      </c>
      <c r="F309" s="125" t="s">
        <v>2690</v>
      </c>
      <c r="L309" s="125" t="s">
        <v>2691</v>
      </c>
    </row>
    <row r="310" spans="1:27" x14ac:dyDescent="0.25">
      <c r="D310" s="25">
        <v>6971</v>
      </c>
      <c r="E310" s="124">
        <v>17650.336108199059</v>
      </c>
      <c r="F310" s="25">
        <f>12+12+2+1</f>
        <v>27</v>
      </c>
      <c r="L310" s="124">
        <f>+E310/F310</f>
        <v>653.71615215552072</v>
      </c>
    </row>
    <row r="311" spans="1:27" x14ac:dyDescent="0.25">
      <c r="D311" s="25">
        <v>9066</v>
      </c>
      <c r="E311" s="124">
        <v>19583.431322521537</v>
      </c>
      <c r="F311" s="25">
        <f>12+2+4</f>
        <v>18</v>
      </c>
      <c r="L311" s="124">
        <f>+E311/F311</f>
        <v>1087.968406806752</v>
      </c>
    </row>
  </sheetData>
  <autoFilter ref="A5:XEZ311" xr:uid="{00000000-0001-0000-0200-000000000000}"/>
  <mergeCells count="1">
    <mergeCell ref="S4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8"/>
  <sheetViews>
    <sheetView showGridLines="0" zoomScaleNormal="100" workbookViewId="0">
      <pane xSplit="2" ySplit="5" topLeftCell="C27" activePane="bottomRight" state="frozen"/>
      <selection pane="topRight" activeCell="C1" sqref="C1"/>
      <selection pane="bottomLeft" activeCell="A6" sqref="A6"/>
      <selection pane="bottomRight" activeCell="O30" sqref="O30"/>
    </sheetView>
  </sheetViews>
  <sheetFormatPr defaultColWidth="11.44140625" defaultRowHeight="11.4" outlineLevelCol="1" x14ac:dyDescent="0.25"/>
  <cols>
    <col min="1" max="1" width="8.33203125" style="25" customWidth="1"/>
    <col min="2" max="2" width="9.44140625" style="25" customWidth="1"/>
    <col min="3" max="3" width="35.6640625" style="13" customWidth="1"/>
    <col min="4" max="4" width="10.6640625" style="25" customWidth="1"/>
    <col min="5" max="5" width="10.33203125" style="25" customWidth="1"/>
    <col min="6" max="6" width="9.33203125" style="25" customWidth="1"/>
    <col min="7" max="11" width="11.5546875" style="13" hidden="1" customWidth="1" outlineLevel="1"/>
    <col min="12" max="12" width="11.44140625" style="25" customWidth="1" collapsed="1"/>
    <col min="13" max="13" width="11.44140625" style="13" hidden="1" customWidth="1" outlineLevel="1"/>
    <col min="14" max="14" width="10.33203125" style="25" customWidth="1" collapsed="1"/>
    <col min="15" max="15" width="9.33203125" style="13" customWidth="1"/>
    <col min="16" max="16" width="10.33203125" style="25" customWidth="1"/>
    <col min="17" max="17" width="12.5546875" style="13" customWidth="1"/>
    <col min="18" max="18" width="15.33203125" style="13" customWidth="1"/>
    <col min="19" max="21" width="11.44140625" style="13" customWidth="1"/>
    <col min="22" max="22" width="8.33203125" style="13" customWidth="1"/>
    <col min="23" max="23" width="11.44140625" style="13" customWidth="1"/>
    <col min="24" max="24" width="8.33203125" style="13" customWidth="1"/>
    <col min="25" max="25" width="11.44140625" style="13" customWidth="1"/>
    <col min="26" max="26" width="32.5546875" style="13" customWidth="1"/>
    <col min="27" max="16384" width="11.44140625" style="13"/>
  </cols>
  <sheetData>
    <row r="1" spans="1:27" x14ac:dyDescent="0.25">
      <c r="S1" s="113" t="s">
        <v>3</v>
      </c>
      <c r="T1" s="113" t="s">
        <v>6</v>
      </c>
      <c r="U1" s="113" t="s">
        <v>50</v>
      </c>
      <c r="V1" s="113"/>
      <c r="W1" s="113" t="s">
        <v>12</v>
      </c>
      <c r="X1" s="113"/>
      <c r="Y1" s="113" t="s">
        <v>51</v>
      </c>
    </row>
    <row r="2" spans="1:27" ht="15" x14ac:dyDescent="0.25">
      <c r="A2" s="29" t="s">
        <v>52</v>
      </c>
      <c r="Q2" s="18"/>
      <c r="S2" s="116">
        <v>162361.24000000002</v>
      </c>
      <c r="T2" s="116">
        <v>9904.7200000000012</v>
      </c>
      <c r="U2" s="116">
        <v>1009.63</v>
      </c>
      <c r="V2" s="116"/>
      <c r="W2" s="116">
        <v>8050.29</v>
      </c>
      <c r="X2" s="116"/>
      <c r="Y2" s="116">
        <v>1461.32</v>
      </c>
      <c r="Z2" s="54">
        <f>+Y2-Y3</f>
        <v>0</v>
      </c>
      <c r="AA2" s="101"/>
    </row>
    <row r="3" spans="1:27" ht="15" x14ac:dyDescent="0.25">
      <c r="A3" s="29" t="s">
        <v>2692</v>
      </c>
      <c r="P3" s="58"/>
      <c r="R3" s="58"/>
      <c r="S3" s="117">
        <f>+SUM(S6:S51)</f>
        <v>162361.24000000002</v>
      </c>
      <c r="T3" s="117">
        <f>+SUM(T6:T49)</f>
        <v>0</v>
      </c>
      <c r="U3" s="117">
        <f>+SUM(U6:U49)</f>
        <v>1009.63</v>
      </c>
      <c r="V3" s="117"/>
      <c r="W3" s="117">
        <f>+SUM(W6:W47)</f>
        <v>8050.29</v>
      </c>
      <c r="X3" s="117"/>
      <c r="Y3" s="117">
        <f>+SUM(Y6:Y44)</f>
        <v>1461.32</v>
      </c>
      <c r="Z3" s="73">
        <f>+SUM(Z7:Z25)</f>
        <v>0</v>
      </c>
    </row>
    <row r="4" spans="1:27" x14ac:dyDescent="0.25">
      <c r="P4" s="13"/>
      <c r="R4" s="25"/>
      <c r="S4" s="184" t="s">
        <v>55</v>
      </c>
      <c r="T4" s="185"/>
      <c r="U4" s="185"/>
      <c r="V4" s="185"/>
      <c r="W4" s="185"/>
      <c r="X4" s="185"/>
      <c r="Y4" s="186"/>
    </row>
    <row r="5" spans="1:27" ht="34.200000000000003" x14ac:dyDescent="0.25">
      <c r="A5" s="8" t="s">
        <v>56</v>
      </c>
      <c r="B5" s="81" t="s">
        <v>57</v>
      </c>
      <c r="C5" s="8" t="s">
        <v>58</v>
      </c>
      <c r="D5" s="8" t="s">
        <v>59</v>
      </c>
      <c r="E5" s="8" t="s">
        <v>60</v>
      </c>
      <c r="F5" s="8" t="s">
        <v>61</v>
      </c>
      <c r="G5" s="81" t="s">
        <v>62</v>
      </c>
      <c r="H5" s="8" t="s">
        <v>63</v>
      </c>
      <c r="I5" s="8" t="s">
        <v>64</v>
      </c>
      <c r="J5" s="8" t="s">
        <v>65</v>
      </c>
      <c r="K5" s="8" t="s">
        <v>66</v>
      </c>
      <c r="L5" s="8" t="s">
        <v>67</v>
      </c>
      <c r="M5" s="8" t="s">
        <v>68</v>
      </c>
      <c r="N5" s="8" t="s">
        <v>69</v>
      </c>
      <c r="O5" s="81" t="s">
        <v>70</v>
      </c>
      <c r="P5" s="75" t="s">
        <v>71</v>
      </c>
      <c r="Q5" s="76" t="s">
        <v>72</v>
      </c>
      <c r="R5" s="15" t="s">
        <v>73</v>
      </c>
      <c r="S5" s="15" t="s">
        <v>4</v>
      </c>
      <c r="T5" s="15" t="s">
        <v>7</v>
      </c>
      <c r="U5" s="15" t="s">
        <v>10</v>
      </c>
      <c r="V5" s="146" t="s">
        <v>1738</v>
      </c>
      <c r="W5" s="15" t="s">
        <v>2693</v>
      </c>
      <c r="X5" s="146" t="s">
        <v>1739</v>
      </c>
      <c r="Y5" s="15" t="s">
        <v>19</v>
      </c>
      <c r="Z5" s="15" t="s">
        <v>76</v>
      </c>
    </row>
    <row r="6" spans="1:27" x14ac:dyDescent="0.25">
      <c r="A6" s="16" t="s">
        <v>2694</v>
      </c>
      <c r="B6" s="85" t="s">
        <v>924</v>
      </c>
      <c r="C6" s="14" t="s">
        <v>2695</v>
      </c>
      <c r="D6" s="56">
        <v>45517</v>
      </c>
      <c r="E6" s="56">
        <v>46611</v>
      </c>
      <c r="F6" s="16" t="s">
        <v>962</v>
      </c>
      <c r="G6" s="127"/>
      <c r="H6" s="127"/>
      <c r="I6" s="127"/>
      <c r="J6" s="127"/>
      <c r="K6" s="127"/>
      <c r="L6" s="127"/>
      <c r="M6" s="127"/>
      <c r="N6" s="56">
        <v>45588</v>
      </c>
      <c r="O6" s="85" t="s">
        <v>2696</v>
      </c>
      <c r="P6" s="18" t="s">
        <v>82</v>
      </c>
      <c r="Q6" s="18" t="s">
        <v>83</v>
      </c>
      <c r="R6" s="16" t="s">
        <v>84</v>
      </c>
      <c r="S6" s="21">
        <v>1286</v>
      </c>
      <c r="T6" s="21">
        <v>0</v>
      </c>
      <c r="U6" s="21">
        <v>0</v>
      </c>
      <c r="V6" s="147" t="s">
        <v>82</v>
      </c>
      <c r="W6" s="21">
        <v>0</v>
      </c>
      <c r="X6" s="147" t="s">
        <v>82</v>
      </c>
      <c r="Y6" s="21">
        <v>0</v>
      </c>
      <c r="Z6" s="128"/>
    </row>
    <row r="7" spans="1:27" x14ac:dyDescent="0.25">
      <c r="A7" s="16" t="s">
        <v>2694</v>
      </c>
      <c r="B7" s="86" t="s">
        <v>1000</v>
      </c>
      <c r="C7" s="14" t="s">
        <v>2704</v>
      </c>
      <c r="D7" s="56">
        <v>38791</v>
      </c>
      <c r="E7" s="56">
        <v>46094</v>
      </c>
      <c r="F7" s="16" t="s">
        <v>962</v>
      </c>
      <c r="G7" s="153" t="s">
        <v>2502</v>
      </c>
      <c r="H7" s="14" t="s">
        <v>111</v>
      </c>
      <c r="I7" s="14" t="s">
        <v>2457</v>
      </c>
      <c r="J7" s="14" t="s">
        <v>113</v>
      </c>
      <c r="K7" s="16" t="s">
        <v>114</v>
      </c>
      <c r="L7" s="16" t="s">
        <v>2705</v>
      </c>
      <c r="M7" s="14" t="s">
        <v>1430</v>
      </c>
      <c r="N7" s="56">
        <v>44097</v>
      </c>
      <c r="O7" s="85" t="s">
        <v>2706</v>
      </c>
      <c r="P7" s="56">
        <v>46094</v>
      </c>
      <c r="Q7" s="18" t="s">
        <v>83</v>
      </c>
      <c r="R7" s="16" t="s">
        <v>133</v>
      </c>
      <c r="S7" s="21">
        <v>1394.38</v>
      </c>
      <c r="T7" s="21">
        <v>0</v>
      </c>
      <c r="U7" s="21">
        <v>0</v>
      </c>
      <c r="V7" s="147" t="s">
        <v>82</v>
      </c>
      <c r="W7" s="21">
        <v>0</v>
      </c>
      <c r="X7" s="147" t="s">
        <v>1846</v>
      </c>
      <c r="Y7" s="21">
        <v>0</v>
      </c>
      <c r="Z7" s="14"/>
    </row>
    <row r="8" spans="1:27" x14ac:dyDescent="0.25">
      <c r="A8" s="16" t="s">
        <v>2694</v>
      </c>
      <c r="B8" s="85" t="s">
        <v>1005</v>
      </c>
      <c r="C8" s="14" t="s">
        <v>2707</v>
      </c>
      <c r="D8" s="56">
        <v>41487</v>
      </c>
      <c r="E8" s="56">
        <v>47299</v>
      </c>
      <c r="F8" s="16" t="s">
        <v>962</v>
      </c>
      <c r="G8" s="153" t="s">
        <v>2506</v>
      </c>
      <c r="H8" s="14" t="s">
        <v>111</v>
      </c>
      <c r="I8" s="14" t="s">
        <v>2461</v>
      </c>
      <c r="J8" s="14" t="s">
        <v>113</v>
      </c>
      <c r="K8" s="16" t="s">
        <v>114</v>
      </c>
      <c r="L8" s="16" t="s">
        <v>2708</v>
      </c>
      <c r="M8" s="14" t="s">
        <v>1241</v>
      </c>
      <c r="N8" s="56">
        <v>44097</v>
      </c>
      <c r="O8" s="85" t="s">
        <v>2709</v>
      </c>
      <c r="P8" s="56">
        <v>47299</v>
      </c>
      <c r="Q8" s="18" t="s">
        <v>83</v>
      </c>
      <c r="R8" s="16" t="s">
        <v>84</v>
      </c>
      <c r="S8" s="21">
        <v>1224.75</v>
      </c>
      <c r="T8" s="21">
        <v>0</v>
      </c>
      <c r="U8" s="21">
        <v>0</v>
      </c>
      <c r="V8" s="147" t="s">
        <v>82</v>
      </c>
      <c r="W8" s="21">
        <v>203.32</v>
      </c>
      <c r="X8" s="147" t="s">
        <v>1745</v>
      </c>
      <c r="Y8" s="21">
        <v>0</v>
      </c>
      <c r="Z8" s="14"/>
    </row>
    <row r="9" spans="1:27" x14ac:dyDescent="0.25">
      <c r="A9" s="16" t="s">
        <v>2694</v>
      </c>
      <c r="B9" s="85" t="s">
        <v>1017</v>
      </c>
      <c r="C9" s="14" t="s">
        <v>2710</v>
      </c>
      <c r="D9" s="56">
        <v>42644</v>
      </c>
      <c r="E9" s="56">
        <v>46295</v>
      </c>
      <c r="F9" s="16" t="s">
        <v>962</v>
      </c>
      <c r="G9" s="153" t="s">
        <v>1867</v>
      </c>
      <c r="H9" s="14" t="s">
        <v>111</v>
      </c>
      <c r="I9" s="14" t="s">
        <v>2466</v>
      </c>
      <c r="J9" s="14" t="s">
        <v>113</v>
      </c>
      <c r="K9" s="16" t="s">
        <v>114</v>
      </c>
      <c r="L9" s="16" t="s">
        <v>2711</v>
      </c>
      <c r="M9" s="14" t="s">
        <v>2712</v>
      </c>
      <c r="N9" s="56">
        <v>44097</v>
      </c>
      <c r="O9" s="85" t="s">
        <v>2713</v>
      </c>
      <c r="P9" s="56">
        <v>46295</v>
      </c>
      <c r="Q9" s="18" t="s">
        <v>83</v>
      </c>
      <c r="R9" s="16" t="s">
        <v>84</v>
      </c>
      <c r="S9" s="21">
        <v>8512.9</v>
      </c>
      <c r="T9" s="21">
        <v>0</v>
      </c>
      <c r="U9" s="21">
        <v>851.29</v>
      </c>
      <c r="V9" s="147" t="s">
        <v>2714</v>
      </c>
      <c r="W9" s="21">
        <v>851.29</v>
      </c>
      <c r="X9" s="147" t="s">
        <v>1745</v>
      </c>
      <c r="Y9" s="21">
        <v>0</v>
      </c>
      <c r="Z9" s="14"/>
    </row>
    <row r="10" spans="1:27" x14ac:dyDescent="0.25">
      <c r="A10" s="16" t="s">
        <v>2694</v>
      </c>
      <c r="B10" s="85" t="s">
        <v>134</v>
      </c>
      <c r="C10" s="14" t="s">
        <v>2715</v>
      </c>
      <c r="D10" s="56">
        <v>42097</v>
      </c>
      <c r="E10" s="56">
        <v>46507</v>
      </c>
      <c r="F10" s="16" t="s">
        <v>962</v>
      </c>
      <c r="G10" s="153" t="s">
        <v>2716</v>
      </c>
      <c r="H10" s="14" t="s">
        <v>111</v>
      </c>
      <c r="I10" s="14" t="s">
        <v>2717</v>
      </c>
      <c r="J10" s="14" t="s">
        <v>113</v>
      </c>
      <c r="K10" s="16" t="s">
        <v>114</v>
      </c>
      <c r="L10" s="16" t="s">
        <v>2718</v>
      </c>
      <c r="M10" s="14" t="s">
        <v>131</v>
      </c>
      <c r="N10" s="56">
        <v>44097</v>
      </c>
      <c r="O10" s="85" t="s">
        <v>2719</v>
      </c>
      <c r="P10" s="56">
        <v>46507</v>
      </c>
      <c r="Q10" s="18" t="s">
        <v>83</v>
      </c>
      <c r="R10" s="16" t="s">
        <v>84</v>
      </c>
      <c r="S10" s="21">
        <v>1699.78</v>
      </c>
      <c r="T10" s="21">
        <v>0</v>
      </c>
      <c r="U10" s="21">
        <v>0</v>
      </c>
      <c r="V10" s="147" t="s">
        <v>82</v>
      </c>
      <c r="W10" s="21">
        <v>0</v>
      </c>
      <c r="X10" s="147" t="s">
        <v>1745</v>
      </c>
      <c r="Y10" s="21">
        <v>0</v>
      </c>
      <c r="Z10" s="14"/>
    </row>
    <row r="11" spans="1:27" x14ac:dyDescent="0.25">
      <c r="A11" s="16" t="s">
        <v>2694</v>
      </c>
      <c r="B11" s="85" t="s">
        <v>1022</v>
      </c>
      <c r="C11" s="14" t="s">
        <v>2720</v>
      </c>
      <c r="D11" s="56">
        <v>42826</v>
      </c>
      <c r="E11" s="56">
        <v>46477</v>
      </c>
      <c r="F11" s="16" t="s">
        <v>962</v>
      </c>
      <c r="G11" s="153" t="s">
        <v>2721</v>
      </c>
      <c r="H11" s="14" t="s">
        <v>111</v>
      </c>
      <c r="I11" s="14" t="s">
        <v>2469</v>
      </c>
      <c r="J11" s="14" t="s">
        <v>113</v>
      </c>
      <c r="K11" s="16" t="s">
        <v>114</v>
      </c>
      <c r="L11" s="16" t="s">
        <v>2722</v>
      </c>
      <c r="M11" s="14" t="s">
        <v>131</v>
      </c>
      <c r="N11" s="56">
        <v>44097</v>
      </c>
      <c r="O11" s="85" t="s">
        <v>2723</v>
      </c>
      <c r="P11" s="56">
        <v>46477</v>
      </c>
      <c r="Q11" s="18" t="s">
        <v>83</v>
      </c>
      <c r="R11" s="16" t="s">
        <v>84</v>
      </c>
      <c r="S11" s="21">
        <v>6104.72</v>
      </c>
      <c r="T11" s="21">
        <v>0</v>
      </c>
      <c r="U11" s="21">
        <v>0</v>
      </c>
      <c r="V11" s="147" t="s">
        <v>82</v>
      </c>
      <c r="W11" s="21">
        <v>1102.6199999999999</v>
      </c>
      <c r="X11" s="147" t="s">
        <v>1745</v>
      </c>
      <c r="Y11" s="21">
        <v>0</v>
      </c>
      <c r="Z11" s="14"/>
    </row>
    <row r="12" spans="1:27" x14ac:dyDescent="0.25">
      <c r="A12" s="16" t="s">
        <v>2694</v>
      </c>
      <c r="B12" s="85" t="s">
        <v>1028</v>
      </c>
      <c r="C12" s="14" t="s">
        <v>2724</v>
      </c>
      <c r="D12" s="56">
        <v>39220</v>
      </c>
      <c r="E12" s="56">
        <v>46507</v>
      </c>
      <c r="F12" s="16" t="s">
        <v>962</v>
      </c>
      <c r="G12" s="153" t="s">
        <v>2511</v>
      </c>
      <c r="H12" s="14" t="s">
        <v>111</v>
      </c>
      <c r="I12" s="14" t="s">
        <v>2725</v>
      </c>
      <c r="J12" s="14" t="s">
        <v>113</v>
      </c>
      <c r="K12" s="16" t="s">
        <v>114</v>
      </c>
      <c r="L12" s="16" t="s">
        <v>2726</v>
      </c>
      <c r="M12" s="14" t="s">
        <v>1430</v>
      </c>
      <c r="N12" s="56">
        <v>44097</v>
      </c>
      <c r="O12" s="85" t="s">
        <v>2727</v>
      </c>
      <c r="P12" s="56">
        <v>46507</v>
      </c>
      <c r="Q12" s="18" t="s">
        <v>83</v>
      </c>
      <c r="R12" s="16" t="s">
        <v>84</v>
      </c>
      <c r="S12" s="21">
        <v>3442</v>
      </c>
      <c r="T12" s="21">
        <v>0</v>
      </c>
      <c r="U12" s="21">
        <v>0</v>
      </c>
      <c r="V12" s="147" t="s">
        <v>2714</v>
      </c>
      <c r="W12" s="21">
        <v>519</v>
      </c>
      <c r="X12" s="147" t="s">
        <v>1745</v>
      </c>
      <c r="Y12" s="21">
        <v>0</v>
      </c>
      <c r="Z12" s="14"/>
    </row>
    <row r="13" spans="1:27" x14ac:dyDescent="0.25">
      <c r="A13" s="16" t="s">
        <v>2694</v>
      </c>
      <c r="B13" s="85" t="s">
        <v>1756</v>
      </c>
      <c r="C13" s="14" t="s">
        <v>2728</v>
      </c>
      <c r="D13" s="56">
        <v>42979</v>
      </c>
      <c r="E13" s="56">
        <v>46660</v>
      </c>
      <c r="F13" s="16" t="s">
        <v>962</v>
      </c>
      <c r="G13" s="153" t="s">
        <v>1871</v>
      </c>
      <c r="H13" s="14" t="s">
        <v>111</v>
      </c>
      <c r="I13" s="14" t="s">
        <v>1758</v>
      </c>
      <c r="J13" s="14" t="s">
        <v>113</v>
      </c>
      <c r="K13" s="16" t="s">
        <v>114</v>
      </c>
      <c r="L13" s="16" t="s">
        <v>2729</v>
      </c>
      <c r="M13" s="14" t="s">
        <v>131</v>
      </c>
      <c r="N13" s="56">
        <v>44097</v>
      </c>
      <c r="O13" s="85" t="s">
        <v>2730</v>
      </c>
      <c r="P13" s="56">
        <v>46660</v>
      </c>
      <c r="Q13" s="18" t="s">
        <v>83</v>
      </c>
      <c r="R13" s="16" t="s">
        <v>84</v>
      </c>
      <c r="S13" s="21">
        <v>6975.97</v>
      </c>
      <c r="T13" s="21">
        <v>0</v>
      </c>
      <c r="U13" s="21">
        <v>0</v>
      </c>
      <c r="V13" s="147" t="s">
        <v>82</v>
      </c>
      <c r="W13" s="21">
        <v>1587.03</v>
      </c>
      <c r="X13" s="147" t="s">
        <v>1745</v>
      </c>
      <c r="Y13" s="21">
        <v>0</v>
      </c>
      <c r="Z13" s="14"/>
    </row>
    <row r="14" spans="1:27" x14ac:dyDescent="0.25">
      <c r="A14" s="16" t="s">
        <v>2694</v>
      </c>
      <c r="B14" s="85" t="s">
        <v>1034</v>
      </c>
      <c r="C14" s="14" t="s">
        <v>2731</v>
      </c>
      <c r="D14" s="56">
        <v>42614</v>
      </c>
      <c r="E14" s="56">
        <v>46265</v>
      </c>
      <c r="F14" s="16" t="s">
        <v>962</v>
      </c>
      <c r="G14" s="153" t="s">
        <v>2512</v>
      </c>
      <c r="H14" s="14" t="s">
        <v>111</v>
      </c>
      <c r="I14" s="14" t="s">
        <v>2470</v>
      </c>
      <c r="J14" s="14" t="s">
        <v>113</v>
      </c>
      <c r="K14" s="16" t="s">
        <v>114</v>
      </c>
      <c r="L14" s="16" t="s">
        <v>2732</v>
      </c>
      <c r="M14" s="14" t="s">
        <v>582</v>
      </c>
      <c r="N14" s="56">
        <v>44097</v>
      </c>
      <c r="O14" s="85" t="s">
        <v>2733</v>
      </c>
      <c r="P14" s="56">
        <v>46265</v>
      </c>
      <c r="Q14" s="18" t="s">
        <v>83</v>
      </c>
      <c r="R14" s="16" t="s">
        <v>84</v>
      </c>
      <c r="S14" s="21">
        <v>2951.28</v>
      </c>
      <c r="T14" s="21">
        <v>0</v>
      </c>
      <c r="U14" s="21">
        <v>0</v>
      </c>
      <c r="V14" s="147" t="s">
        <v>82</v>
      </c>
      <c r="W14" s="21">
        <v>0</v>
      </c>
      <c r="X14" s="147" t="s">
        <v>1745</v>
      </c>
      <c r="Y14" s="21">
        <v>0</v>
      </c>
      <c r="Z14" s="14"/>
    </row>
    <row r="15" spans="1:27" x14ac:dyDescent="0.25">
      <c r="A15" s="16" t="s">
        <v>2694</v>
      </c>
      <c r="B15" s="85" t="s">
        <v>1051</v>
      </c>
      <c r="C15" s="14" t="s">
        <v>2734</v>
      </c>
      <c r="D15" s="56">
        <v>43085</v>
      </c>
      <c r="E15" s="56">
        <v>46736</v>
      </c>
      <c r="F15" s="16" t="s">
        <v>962</v>
      </c>
      <c r="G15" s="153" t="s">
        <v>1880</v>
      </c>
      <c r="H15" s="14" t="s">
        <v>111</v>
      </c>
      <c r="I15" s="14" t="s">
        <v>2476</v>
      </c>
      <c r="J15" s="14" t="s">
        <v>113</v>
      </c>
      <c r="K15" s="16" t="s">
        <v>114</v>
      </c>
      <c r="L15" s="16" t="s">
        <v>2735</v>
      </c>
      <c r="M15" s="14" t="s">
        <v>131</v>
      </c>
      <c r="N15" s="56">
        <v>44097</v>
      </c>
      <c r="O15" s="85" t="s">
        <v>2736</v>
      </c>
      <c r="P15" s="56">
        <v>46736</v>
      </c>
      <c r="Q15" s="18" t="s">
        <v>83</v>
      </c>
      <c r="R15" s="16" t="s">
        <v>84</v>
      </c>
      <c r="S15" s="21">
        <v>4734.92</v>
      </c>
      <c r="T15" s="21">
        <v>0</v>
      </c>
      <c r="U15" s="21">
        <v>0</v>
      </c>
      <c r="V15" s="147" t="s">
        <v>82</v>
      </c>
      <c r="W15" s="21">
        <v>0</v>
      </c>
      <c r="X15" s="147" t="s">
        <v>1846</v>
      </c>
      <c r="Y15" s="21">
        <v>0</v>
      </c>
      <c r="Z15" s="14"/>
    </row>
    <row r="16" spans="1:27" x14ac:dyDescent="0.25">
      <c r="A16" s="16" t="s">
        <v>2694</v>
      </c>
      <c r="B16" s="85" t="s">
        <v>1077</v>
      </c>
      <c r="C16" s="14" t="s">
        <v>2737</v>
      </c>
      <c r="D16" s="56">
        <v>41944</v>
      </c>
      <c r="E16" s="56">
        <v>46959</v>
      </c>
      <c r="F16" s="16" t="s">
        <v>962</v>
      </c>
      <c r="G16" s="153" t="s">
        <v>2738</v>
      </c>
      <c r="H16" s="14" t="s">
        <v>111</v>
      </c>
      <c r="I16" s="14" t="s">
        <v>2739</v>
      </c>
      <c r="J16" s="14" t="s">
        <v>113</v>
      </c>
      <c r="K16" s="16" t="s">
        <v>114</v>
      </c>
      <c r="L16" s="16" t="s">
        <v>2740</v>
      </c>
      <c r="M16" s="14" t="s">
        <v>338</v>
      </c>
      <c r="N16" s="56">
        <v>44130</v>
      </c>
      <c r="O16" s="85" t="s">
        <v>2741</v>
      </c>
      <c r="P16" s="56">
        <v>46959</v>
      </c>
      <c r="Q16" s="18" t="s">
        <v>83</v>
      </c>
      <c r="R16" s="16" t="s">
        <v>84</v>
      </c>
      <c r="S16" s="21">
        <v>2678.58</v>
      </c>
      <c r="T16" s="21">
        <v>0</v>
      </c>
      <c r="U16" s="21">
        <v>0</v>
      </c>
      <c r="V16" s="147" t="s">
        <v>82</v>
      </c>
      <c r="W16" s="21">
        <v>0</v>
      </c>
      <c r="X16" s="147" t="s">
        <v>82</v>
      </c>
      <c r="Y16" s="21">
        <v>0</v>
      </c>
      <c r="Z16" s="14"/>
    </row>
    <row r="17" spans="1:26" x14ac:dyDescent="0.25">
      <c r="A17" s="16" t="s">
        <v>2694</v>
      </c>
      <c r="B17" s="85" t="s">
        <v>1095</v>
      </c>
      <c r="C17" s="14" t="s">
        <v>2742</v>
      </c>
      <c r="D17" s="56">
        <v>40000</v>
      </c>
      <c r="E17" s="56">
        <v>46568</v>
      </c>
      <c r="F17" s="16" t="s">
        <v>962</v>
      </c>
      <c r="G17" s="153" t="s">
        <v>1890</v>
      </c>
      <c r="H17" s="14" t="s">
        <v>111</v>
      </c>
      <c r="I17" s="14" t="s">
        <v>1779</v>
      </c>
      <c r="J17" s="14" t="s">
        <v>113</v>
      </c>
      <c r="K17" s="16" t="s">
        <v>114</v>
      </c>
      <c r="L17" s="16" t="s">
        <v>2743</v>
      </c>
      <c r="M17" s="14" t="s">
        <v>487</v>
      </c>
      <c r="N17" s="56">
        <v>44097</v>
      </c>
      <c r="O17" s="85" t="s">
        <v>2744</v>
      </c>
      <c r="P17" s="56">
        <v>46568</v>
      </c>
      <c r="Q17" s="18" t="s">
        <v>83</v>
      </c>
      <c r="R17" s="16" t="s">
        <v>84</v>
      </c>
      <c r="S17" s="21">
        <v>2954.91</v>
      </c>
      <c r="T17" s="21">
        <v>0</v>
      </c>
      <c r="U17" s="21">
        <v>0</v>
      </c>
      <c r="V17" s="147" t="s">
        <v>82</v>
      </c>
      <c r="W17" s="21">
        <v>0</v>
      </c>
      <c r="X17" s="147" t="s">
        <v>82</v>
      </c>
      <c r="Y17" s="21">
        <v>0</v>
      </c>
      <c r="Z17" s="14"/>
    </row>
    <row r="18" spans="1:26" x14ac:dyDescent="0.25">
      <c r="A18" s="16" t="s">
        <v>2694</v>
      </c>
      <c r="B18" s="85" t="s">
        <v>1101</v>
      </c>
      <c r="C18" s="14" t="s">
        <v>2745</v>
      </c>
      <c r="D18" s="56">
        <v>40157</v>
      </c>
      <c r="E18" s="56">
        <v>47461</v>
      </c>
      <c r="F18" s="16" t="s">
        <v>962</v>
      </c>
      <c r="G18" s="153" t="s">
        <v>2746</v>
      </c>
      <c r="H18" s="14" t="s">
        <v>111</v>
      </c>
      <c r="I18" s="14" t="s">
        <v>1784</v>
      </c>
      <c r="J18" s="14" t="s">
        <v>113</v>
      </c>
      <c r="K18" s="16" t="s">
        <v>114</v>
      </c>
      <c r="L18" s="16" t="s">
        <v>2747</v>
      </c>
      <c r="M18" s="14" t="s">
        <v>487</v>
      </c>
      <c r="N18" s="56">
        <v>44097</v>
      </c>
      <c r="O18" s="85" t="s">
        <v>2748</v>
      </c>
      <c r="P18" s="56">
        <v>47461</v>
      </c>
      <c r="Q18" s="18" t="s">
        <v>83</v>
      </c>
      <c r="R18" s="16" t="s">
        <v>84</v>
      </c>
      <c r="S18" s="21">
        <v>3322.8</v>
      </c>
      <c r="T18" s="21">
        <v>0</v>
      </c>
      <c r="U18" s="21">
        <v>0</v>
      </c>
      <c r="V18" s="147" t="s">
        <v>82</v>
      </c>
      <c r="W18" s="21">
        <v>0</v>
      </c>
      <c r="X18" s="147" t="s">
        <v>1745</v>
      </c>
      <c r="Y18" s="21">
        <v>683.28</v>
      </c>
      <c r="Z18" s="14"/>
    </row>
    <row r="19" spans="1:26" x14ac:dyDescent="0.25">
      <c r="A19" s="16" t="s">
        <v>2694</v>
      </c>
      <c r="B19" s="85" t="s">
        <v>1111</v>
      </c>
      <c r="C19" s="14" t="s">
        <v>2749</v>
      </c>
      <c r="D19" s="56">
        <v>40843</v>
      </c>
      <c r="E19" s="56">
        <v>46321</v>
      </c>
      <c r="F19" s="16" t="s">
        <v>962</v>
      </c>
      <c r="G19" s="153" t="s">
        <v>2537</v>
      </c>
      <c r="H19" s="14" t="s">
        <v>111</v>
      </c>
      <c r="I19" s="14" t="s">
        <v>2750</v>
      </c>
      <c r="J19" s="14" t="s">
        <v>113</v>
      </c>
      <c r="K19" s="16" t="s">
        <v>114</v>
      </c>
      <c r="L19" s="16" t="s">
        <v>2751</v>
      </c>
      <c r="M19" s="14" t="s">
        <v>487</v>
      </c>
      <c r="N19" s="56">
        <v>44097</v>
      </c>
      <c r="O19" s="85" t="s">
        <v>2752</v>
      </c>
      <c r="P19" s="56">
        <v>46321</v>
      </c>
      <c r="Q19" s="18" t="s">
        <v>83</v>
      </c>
      <c r="R19" s="16" t="s">
        <v>84</v>
      </c>
      <c r="S19" s="21">
        <v>4551.83</v>
      </c>
      <c r="T19" s="21">
        <v>0</v>
      </c>
      <c r="U19" s="21">
        <v>0</v>
      </c>
      <c r="V19" s="147" t="s">
        <v>82</v>
      </c>
      <c r="W19" s="21">
        <v>0</v>
      </c>
      <c r="X19" s="147" t="s">
        <v>1846</v>
      </c>
      <c r="Y19" s="21">
        <v>0</v>
      </c>
      <c r="Z19" s="14"/>
    </row>
    <row r="20" spans="1:26" x14ac:dyDescent="0.25">
      <c r="A20" s="16" t="s">
        <v>2694</v>
      </c>
      <c r="B20" s="85" t="s">
        <v>1127</v>
      </c>
      <c r="C20" s="14" t="s">
        <v>2753</v>
      </c>
      <c r="D20" s="56">
        <v>41250</v>
      </c>
      <c r="E20" s="56">
        <v>47238</v>
      </c>
      <c r="F20" s="16" t="s">
        <v>962</v>
      </c>
      <c r="G20" s="153" t="s">
        <v>2754</v>
      </c>
      <c r="H20" s="14" t="s">
        <v>111</v>
      </c>
      <c r="I20" s="14" t="s">
        <v>1811</v>
      </c>
      <c r="J20" s="14" t="s">
        <v>113</v>
      </c>
      <c r="K20" s="16" t="s">
        <v>114</v>
      </c>
      <c r="L20" s="16" t="s">
        <v>2755</v>
      </c>
      <c r="M20" s="14" t="s">
        <v>487</v>
      </c>
      <c r="N20" s="56">
        <v>44097</v>
      </c>
      <c r="O20" s="130" t="s">
        <v>2756</v>
      </c>
      <c r="P20" s="56">
        <v>47238</v>
      </c>
      <c r="Q20" s="18" t="s">
        <v>83</v>
      </c>
      <c r="R20" s="16" t="s">
        <v>84</v>
      </c>
      <c r="S20" s="21">
        <v>5906.06</v>
      </c>
      <c r="T20" s="21">
        <v>0</v>
      </c>
      <c r="U20" s="21">
        <v>0</v>
      </c>
      <c r="V20" s="147" t="s">
        <v>82</v>
      </c>
      <c r="W20" s="21">
        <v>1435.43</v>
      </c>
      <c r="X20" s="147" t="s">
        <v>1745</v>
      </c>
      <c r="Y20" s="21">
        <v>0</v>
      </c>
      <c r="Z20" s="93" t="s">
        <v>249</v>
      </c>
    </row>
    <row r="21" spans="1:26" x14ac:dyDescent="0.25">
      <c r="A21" s="16" t="s">
        <v>2694</v>
      </c>
      <c r="B21" s="85" t="s">
        <v>1142</v>
      </c>
      <c r="C21" s="14" t="s">
        <v>2757</v>
      </c>
      <c r="D21" s="56">
        <v>41614</v>
      </c>
      <c r="E21" s="56">
        <v>47087</v>
      </c>
      <c r="F21" s="16" t="s">
        <v>962</v>
      </c>
      <c r="G21" s="153" t="s">
        <v>2542</v>
      </c>
      <c r="H21" s="14" t="s">
        <v>111</v>
      </c>
      <c r="I21" s="14" t="s">
        <v>2488</v>
      </c>
      <c r="J21" s="14" t="s">
        <v>113</v>
      </c>
      <c r="K21" s="16" t="s">
        <v>114</v>
      </c>
      <c r="L21" s="16" t="s">
        <v>2758</v>
      </c>
      <c r="M21" s="14" t="s">
        <v>487</v>
      </c>
      <c r="N21" s="56">
        <v>44097</v>
      </c>
      <c r="O21" s="130" t="s">
        <v>2759</v>
      </c>
      <c r="P21" s="56">
        <v>47088</v>
      </c>
      <c r="Q21" s="136" t="s">
        <v>2681</v>
      </c>
      <c r="R21" s="80" t="s">
        <v>84</v>
      </c>
      <c r="S21" s="21">
        <v>1588.8</v>
      </c>
      <c r="T21" s="21">
        <v>0</v>
      </c>
      <c r="U21" s="21">
        <v>0</v>
      </c>
      <c r="V21" s="147" t="s">
        <v>82</v>
      </c>
      <c r="W21" s="21">
        <v>560.76</v>
      </c>
      <c r="X21" s="147" t="s">
        <v>1745</v>
      </c>
      <c r="Y21" s="21">
        <v>0</v>
      </c>
      <c r="Z21" s="93" t="s">
        <v>249</v>
      </c>
    </row>
    <row r="22" spans="1:26" x14ac:dyDescent="0.25">
      <c r="A22" s="16" t="s">
        <v>2694</v>
      </c>
      <c r="B22" s="85" t="s">
        <v>1164</v>
      </c>
      <c r="C22" s="14" t="s">
        <v>2763</v>
      </c>
      <c r="D22" s="56">
        <v>42583</v>
      </c>
      <c r="E22" s="56">
        <v>46233</v>
      </c>
      <c r="F22" s="16" t="s">
        <v>962</v>
      </c>
      <c r="G22" s="153" t="s">
        <v>2764</v>
      </c>
      <c r="H22" s="14" t="s">
        <v>111</v>
      </c>
      <c r="I22" s="14" t="s">
        <v>1838</v>
      </c>
      <c r="J22" s="14" t="s">
        <v>113</v>
      </c>
      <c r="K22" s="16" t="s">
        <v>114</v>
      </c>
      <c r="L22" s="16" t="s">
        <v>2765</v>
      </c>
      <c r="M22" s="14" t="s">
        <v>131</v>
      </c>
      <c r="N22" s="56">
        <v>44097</v>
      </c>
      <c r="O22" s="85" t="s">
        <v>2766</v>
      </c>
      <c r="P22" s="56">
        <v>46233</v>
      </c>
      <c r="Q22" s="18" t="s">
        <v>83</v>
      </c>
      <c r="R22" s="16" t="s">
        <v>84</v>
      </c>
      <c r="S22" s="21">
        <v>3689.26</v>
      </c>
      <c r="T22" s="21">
        <v>0</v>
      </c>
      <c r="U22" s="21">
        <v>158.34</v>
      </c>
      <c r="V22" s="147" t="s">
        <v>2767</v>
      </c>
      <c r="W22" s="21">
        <v>399.92</v>
      </c>
      <c r="X22" s="147" t="s">
        <v>1745</v>
      </c>
      <c r="Y22" s="21">
        <v>0</v>
      </c>
      <c r="Z22" s="14"/>
    </row>
    <row r="23" spans="1:26" x14ac:dyDescent="0.25">
      <c r="A23" s="16" t="s">
        <v>2694</v>
      </c>
      <c r="B23" s="85" t="s">
        <v>188</v>
      </c>
      <c r="C23" s="14" t="s">
        <v>2875</v>
      </c>
      <c r="D23" s="56">
        <v>42644</v>
      </c>
      <c r="E23" s="56">
        <v>46295</v>
      </c>
      <c r="F23" s="16" t="s">
        <v>962</v>
      </c>
      <c r="G23" s="153" t="s">
        <v>2876</v>
      </c>
      <c r="H23" s="14" t="s">
        <v>111</v>
      </c>
      <c r="I23" s="14" t="s">
        <v>2877</v>
      </c>
      <c r="J23" s="14" t="s">
        <v>113</v>
      </c>
      <c r="K23" s="16" t="s">
        <v>114</v>
      </c>
      <c r="L23" s="16" t="s">
        <v>2878</v>
      </c>
      <c r="M23" s="14" t="s">
        <v>174</v>
      </c>
      <c r="N23" s="56">
        <v>44097</v>
      </c>
      <c r="O23" s="85" t="s">
        <v>2879</v>
      </c>
      <c r="P23" s="56">
        <v>46295</v>
      </c>
      <c r="Q23" s="18" t="s">
        <v>83</v>
      </c>
      <c r="R23" s="16" t="s">
        <v>84</v>
      </c>
      <c r="S23" s="21">
        <v>3593.46</v>
      </c>
      <c r="T23" s="21">
        <v>0</v>
      </c>
      <c r="U23" s="21">
        <v>0</v>
      </c>
      <c r="V23" s="147" t="s">
        <v>82</v>
      </c>
      <c r="W23" s="21">
        <v>0</v>
      </c>
      <c r="X23" s="147" t="s">
        <v>1846</v>
      </c>
      <c r="Y23" s="21">
        <v>0</v>
      </c>
      <c r="Z23" s="14"/>
    </row>
    <row r="24" spans="1:26" x14ac:dyDescent="0.25">
      <c r="A24" s="16" t="s">
        <v>2694</v>
      </c>
      <c r="B24" s="85" t="s">
        <v>1185</v>
      </c>
      <c r="C24" s="14" t="s">
        <v>2768</v>
      </c>
      <c r="D24" s="56">
        <v>44835</v>
      </c>
      <c r="E24" s="56">
        <v>46660</v>
      </c>
      <c r="F24" s="16" t="s">
        <v>962</v>
      </c>
      <c r="G24" s="153" t="s">
        <v>2769</v>
      </c>
      <c r="H24" s="14" t="s">
        <v>111</v>
      </c>
      <c r="J24" s="14" t="s">
        <v>113</v>
      </c>
      <c r="K24" s="16" t="s">
        <v>114</v>
      </c>
      <c r="L24" s="16">
        <v>5000024</v>
      </c>
      <c r="M24" s="14" t="s">
        <v>131</v>
      </c>
      <c r="N24" s="56">
        <v>44861</v>
      </c>
      <c r="O24" s="86" t="s">
        <v>2770</v>
      </c>
      <c r="P24" s="56">
        <v>46660</v>
      </c>
      <c r="Q24" s="18" t="s">
        <v>83</v>
      </c>
      <c r="R24" s="16" t="s">
        <v>84</v>
      </c>
      <c r="S24" s="21">
        <v>5489.49</v>
      </c>
      <c r="T24" s="21">
        <v>0</v>
      </c>
      <c r="U24" s="21">
        <v>0</v>
      </c>
      <c r="V24" s="147" t="s">
        <v>82</v>
      </c>
      <c r="W24" s="21">
        <v>0</v>
      </c>
      <c r="X24" s="147" t="s">
        <v>1846</v>
      </c>
      <c r="Y24" s="21">
        <v>0</v>
      </c>
      <c r="Z24" s="14"/>
    </row>
    <row r="25" spans="1:26" x14ac:dyDescent="0.25">
      <c r="A25" s="16" t="s">
        <v>2694</v>
      </c>
      <c r="B25" s="85" t="s">
        <v>1190</v>
      </c>
      <c r="C25" s="14" t="s">
        <v>2771</v>
      </c>
      <c r="D25" s="56">
        <v>45176</v>
      </c>
      <c r="E25" s="56">
        <v>47002</v>
      </c>
      <c r="F25" s="16" t="s">
        <v>962</v>
      </c>
      <c r="G25" s="153" t="s">
        <v>2772</v>
      </c>
      <c r="H25" s="14" t="s">
        <v>111</v>
      </c>
      <c r="J25" s="14" t="s">
        <v>113</v>
      </c>
      <c r="K25" s="16" t="s">
        <v>114</v>
      </c>
      <c r="L25" s="86" t="s">
        <v>2773</v>
      </c>
      <c r="M25" s="14"/>
      <c r="N25" s="56">
        <v>45196</v>
      </c>
      <c r="O25" s="86" t="s">
        <v>2774</v>
      </c>
      <c r="P25" s="56">
        <v>47002</v>
      </c>
      <c r="Q25" s="18" t="s">
        <v>83</v>
      </c>
      <c r="R25" s="16" t="s">
        <v>84</v>
      </c>
      <c r="S25" s="21">
        <v>1851.4</v>
      </c>
      <c r="T25" s="21">
        <v>0</v>
      </c>
      <c r="U25" s="21">
        <v>0</v>
      </c>
      <c r="V25" s="147" t="s">
        <v>82</v>
      </c>
      <c r="W25" s="21">
        <v>0</v>
      </c>
      <c r="X25" s="147" t="s">
        <v>1745</v>
      </c>
      <c r="Y25" s="21">
        <v>0</v>
      </c>
      <c r="Z25" s="14"/>
    </row>
    <row r="26" spans="1:26" x14ac:dyDescent="0.25">
      <c r="A26" s="16" t="s">
        <v>2694</v>
      </c>
      <c r="B26" s="85" t="s">
        <v>1200</v>
      </c>
      <c r="C26" s="14" t="s">
        <v>2775</v>
      </c>
      <c r="D26" s="56">
        <v>45383</v>
      </c>
      <c r="E26" s="56">
        <v>46112</v>
      </c>
      <c r="F26" s="16" t="s">
        <v>962</v>
      </c>
      <c r="G26" s="153" t="s">
        <v>2776</v>
      </c>
      <c r="H26" s="14" t="s">
        <v>111</v>
      </c>
      <c r="J26" s="14" t="s">
        <v>113</v>
      </c>
      <c r="K26" s="16" t="s">
        <v>114</v>
      </c>
      <c r="L26" s="86" t="s">
        <v>2321</v>
      </c>
      <c r="M26" s="14" t="s">
        <v>116</v>
      </c>
      <c r="N26" s="56">
        <v>45408</v>
      </c>
      <c r="O26" s="86" t="s">
        <v>2777</v>
      </c>
      <c r="P26" s="56">
        <v>46112</v>
      </c>
      <c r="Q26" s="18" t="s">
        <v>83</v>
      </c>
      <c r="R26" s="16" t="s">
        <v>133</v>
      </c>
      <c r="S26" s="21">
        <v>2003.1</v>
      </c>
      <c r="T26" s="21">
        <v>0</v>
      </c>
      <c r="U26" s="21">
        <v>0</v>
      </c>
      <c r="V26" s="147" t="s">
        <v>82</v>
      </c>
      <c r="W26" s="21">
        <v>0</v>
      </c>
      <c r="X26" s="147" t="s">
        <v>1846</v>
      </c>
      <c r="Y26" s="21">
        <v>0</v>
      </c>
      <c r="Z26" s="90" t="s">
        <v>125</v>
      </c>
    </row>
    <row r="27" spans="1:26" x14ac:dyDescent="0.25">
      <c r="A27" s="16">
        <v>8139</v>
      </c>
      <c r="B27" s="85" t="s">
        <v>194</v>
      </c>
      <c r="C27" s="14" t="s">
        <v>2778</v>
      </c>
      <c r="D27" s="56">
        <v>45413</v>
      </c>
      <c r="E27" s="56">
        <v>46142</v>
      </c>
      <c r="F27" s="16" t="s">
        <v>962</v>
      </c>
      <c r="G27" s="153" t="s">
        <v>3103</v>
      </c>
      <c r="H27" s="14" t="s">
        <v>111</v>
      </c>
      <c r="J27" s="14"/>
      <c r="K27" s="16" t="s">
        <v>114</v>
      </c>
      <c r="L27" s="20">
        <v>5000029</v>
      </c>
      <c r="M27" s="14"/>
      <c r="N27" s="56">
        <v>45502</v>
      </c>
      <c r="O27" s="86" t="s">
        <v>2779</v>
      </c>
      <c r="P27" s="56">
        <v>46142</v>
      </c>
      <c r="Q27" s="18" t="s">
        <v>83</v>
      </c>
      <c r="R27" s="16" t="s">
        <v>84</v>
      </c>
      <c r="S27" s="21">
        <v>4070.43</v>
      </c>
      <c r="T27" s="21">
        <v>0</v>
      </c>
      <c r="U27" s="21">
        <v>0</v>
      </c>
      <c r="V27" s="147" t="s">
        <v>82</v>
      </c>
      <c r="W27" s="21">
        <v>0</v>
      </c>
      <c r="X27" s="147" t="s">
        <v>1745</v>
      </c>
      <c r="Y27" s="21">
        <v>0</v>
      </c>
      <c r="Z27" s="110" t="s">
        <v>125</v>
      </c>
    </row>
    <row r="28" spans="1:26" x14ac:dyDescent="0.25">
      <c r="A28" s="16">
        <v>8139</v>
      </c>
      <c r="B28" s="16" t="s">
        <v>1205</v>
      </c>
      <c r="C28" s="14" t="s">
        <v>2780</v>
      </c>
      <c r="D28" s="56">
        <v>45505</v>
      </c>
      <c r="E28" s="56">
        <v>46234</v>
      </c>
      <c r="F28" s="16" t="s">
        <v>962</v>
      </c>
      <c r="G28" s="153" t="s">
        <v>3609</v>
      </c>
      <c r="H28" s="14" t="s">
        <v>111</v>
      </c>
      <c r="J28" s="14"/>
      <c r="K28" s="16" t="s">
        <v>114</v>
      </c>
      <c r="L28" s="86" t="s">
        <v>2781</v>
      </c>
      <c r="M28" s="14"/>
      <c r="N28" s="56">
        <v>45580</v>
      </c>
      <c r="O28" s="86" t="s">
        <v>2782</v>
      </c>
      <c r="P28" s="56">
        <v>46234</v>
      </c>
      <c r="Q28" s="18" t="s">
        <v>83</v>
      </c>
      <c r="R28" s="16" t="s">
        <v>84</v>
      </c>
      <c r="S28" s="21">
        <v>3474.46</v>
      </c>
      <c r="T28" s="21">
        <v>0</v>
      </c>
      <c r="U28" s="21">
        <v>0</v>
      </c>
      <c r="V28" s="147" t="s">
        <v>82</v>
      </c>
      <c r="W28" s="21">
        <v>0</v>
      </c>
      <c r="X28" s="147" t="s">
        <v>1846</v>
      </c>
      <c r="Y28" s="21">
        <v>0</v>
      </c>
      <c r="Z28" s="16"/>
    </row>
    <row r="29" spans="1:26" x14ac:dyDescent="0.25">
      <c r="A29" s="16">
        <v>8139</v>
      </c>
      <c r="B29" s="16" t="s">
        <v>2374</v>
      </c>
      <c r="C29" s="14" t="s">
        <v>2701</v>
      </c>
      <c r="D29" s="56">
        <v>45992</v>
      </c>
      <c r="E29" s="56">
        <v>46721</v>
      </c>
      <c r="F29" s="16" t="s">
        <v>962</v>
      </c>
      <c r="G29" s="153" t="s">
        <v>2888</v>
      </c>
      <c r="H29" s="14" t="s">
        <v>111</v>
      </c>
      <c r="J29" s="14"/>
      <c r="K29" s="16" t="s">
        <v>114</v>
      </c>
      <c r="L29" s="86" t="s">
        <v>2702</v>
      </c>
      <c r="M29" s="14"/>
      <c r="N29" s="56">
        <v>46049</v>
      </c>
      <c r="O29" s="86" t="s">
        <v>2703</v>
      </c>
      <c r="P29" s="56">
        <v>46721</v>
      </c>
      <c r="Q29" s="18" t="s">
        <v>83</v>
      </c>
      <c r="R29" s="16" t="s">
        <v>84</v>
      </c>
      <c r="S29" s="21">
        <v>2459.88</v>
      </c>
      <c r="T29" s="21"/>
      <c r="U29" s="21"/>
      <c r="V29" s="147"/>
      <c r="W29" s="21"/>
      <c r="X29" s="147"/>
      <c r="Y29" s="21"/>
      <c r="Z29" s="16"/>
    </row>
    <row r="30" spans="1:26" x14ac:dyDescent="0.25">
      <c r="A30" s="16">
        <v>8139</v>
      </c>
      <c r="B30" s="25" t="s">
        <v>200</v>
      </c>
      <c r="C30" s="13" t="s">
        <v>2783</v>
      </c>
      <c r="D30" s="102">
        <v>45505</v>
      </c>
      <c r="E30" s="102">
        <v>46234</v>
      </c>
      <c r="F30" s="25" t="s">
        <v>962</v>
      </c>
      <c r="G30" s="160" t="s">
        <v>3305</v>
      </c>
      <c r="H30" s="14" t="s">
        <v>111</v>
      </c>
      <c r="K30" s="16" t="s">
        <v>114</v>
      </c>
      <c r="L30" s="129" t="s">
        <v>2784</v>
      </c>
      <c r="N30" s="102">
        <v>45580</v>
      </c>
      <c r="O30" s="86" t="s">
        <v>2785</v>
      </c>
      <c r="P30" s="102">
        <v>46234</v>
      </c>
      <c r="Q30" s="18" t="s">
        <v>83</v>
      </c>
      <c r="R30" s="16" t="s">
        <v>84</v>
      </c>
      <c r="S30" s="21">
        <v>2573.5500000000002</v>
      </c>
      <c r="T30" s="21">
        <v>0</v>
      </c>
      <c r="U30" s="21">
        <v>0</v>
      </c>
      <c r="V30" s="147" t="s">
        <v>82</v>
      </c>
      <c r="W30" s="21">
        <v>0</v>
      </c>
      <c r="X30" s="147" t="s">
        <v>1745</v>
      </c>
      <c r="Y30" s="21">
        <v>0</v>
      </c>
    </row>
    <row r="31" spans="1:26" x14ac:dyDescent="0.25">
      <c r="A31" s="16">
        <v>8139</v>
      </c>
      <c r="B31" s="25" t="s">
        <v>1210</v>
      </c>
      <c r="C31" s="13" t="s">
        <v>2786</v>
      </c>
      <c r="D31" s="102">
        <v>45536</v>
      </c>
      <c r="E31" s="102">
        <v>46265</v>
      </c>
      <c r="F31" s="25" t="s">
        <v>962</v>
      </c>
      <c r="G31" s="160" t="s">
        <v>2565</v>
      </c>
      <c r="H31" s="14" t="s">
        <v>111</v>
      </c>
      <c r="K31" s="16" t="s">
        <v>114</v>
      </c>
      <c r="L31" s="86" t="s">
        <v>2787</v>
      </c>
      <c r="N31" s="86" t="s">
        <v>2788</v>
      </c>
      <c r="O31" s="86" t="s">
        <v>2789</v>
      </c>
      <c r="P31" s="102">
        <v>46265</v>
      </c>
      <c r="Q31" s="18" t="s">
        <v>83</v>
      </c>
      <c r="R31" s="16" t="s">
        <v>84</v>
      </c>
      <c r="S31" s="21">
        <v>2542.5</v>
      </c>
      <c r="T31" s="21">
        <v>0</v>
      </c>
      <c r="U31" s="21">
        <v>0</v>
      </c>
      <c r="V31" s="147" t="s">
        <v>82</v>
      </c>
      <c r="W31" s="21">
        <v>0</v>
      </c>
      <c r="X31" s="147" t="s">
        <v>1846</v>
      </c>
      <c r="Y31" s="21">
        <v>0</v>
      </c>
    </row>
    <row r="32" spans="1:26" x14ac:dyDescent="0.25">
      <c r="A32" s="16">
        <v>8139</v>
      </c>
      <c r="B32" s="25" t="s">
        <v>1221</v>
      </c>
      <c r="C32" s="13" t="s">
        <v>2790</v>
      </c>
      <c r="D32" s="102">
        <v>45536</v>
      </c>
      <c r="E32" s="102">
        <v>46265</v>
      </c>
      <c r="F32" s="25" t="s">
        <v>962</v>
      </c>
      <c r="G32" s="160" t="s">
        <v>3321</v>
      </c>
      <c r="H32" s="14" t="s">
        <v>111</v>
      </c>
      <c r="K32" s="16" t="s">
        <v>114</v>
      </c>
      <c r="L32" s="141" t="s">
        <v>2791</v>
      </c>
      <c r="N32" s="86" t="s">
        <v>2788</v>
      </c>
      <c r="O32" s="86" t="s">
        <v>2792</v>
      </c>
      <c r="P32" s="102">
        <v>46265</v>
      </c>
      <c r="Q32" s="18" t="s">
        <v>83</v>
      </c>
      <c r="R32" s="16" t="s">
        <v>84</v>
      </c>
      <c r="S32" s="21">
        <v>2796.84</v>
      </c>
      <c r="T32" s="21">
        <v>0</v>
      </c>
      <c r="U32" s="21">
        <v>0</v>
      </c>
      <c r="V32" s="147" t="s">
        <v>82</v>
      </c>
      <c r="W32" s="21">
        <v>0</v>
      </c>
      <c r="X32" s="147" t="s">
        <v>1846</v>
      </c>
      <c r="Y32" s="21">
        <v>0</v>
      </c>
    </row>
    <row r="33" spans="1:25" x14ac:dyDescent="0.25">
      <c r="A33" s="16">
        <v>8139</v>
      </c>
      <c r="B33" s="25" t="s">
        <v>206</v>
      </c>
      <c r="C33" s="13" t="s">
        <v>2793</v>
      </c>
      <c r="D33" s="102">
        <v>45597</v>
      </c>
      <c r="E33" s="102">
        <v>46326</v>
      </c>
      <c r="F33" s="25" t="s">
        <v>962</v>
      </c>
      <c r="G33" s="160" t="s">
        <v>3325</v>
      </c>
      <c r="H33" s="14" t="s">
        <v>111</v>
      </c>
      <c r="K33" s="16" t="s">
        <v>114</v>
      </c>
      <c r="L33" s="141" t="s">
        <v>2794</v>
      </c>
      <c r="N33" s="86" t="s">
        <v>2788</v>
      </c>
      <c r="O33" s="86" t="s">
        <v>2795</v>
      </c>
      <c r="P33" s="102">
        <v>46326</v>
      </c>
      <c r="Q33" s="18" t="s">
        <v>83</v>
      </c>
      <c r="R33" s="16" t="s">
        <v>84</v>
      </c>
      <c r="S33" s="21">
        <v>5560</v>
      </c>
      <c r="T33" s="21">
        <v>0</v>
      </c>
      <c r="U33" s="21">
        <v>0</v>
      </c>
      <c r="V33" s="147" t="s">
        <v>82</v>
      </c>
      <c r="W33" s="21">
        <v>0</v>
      </c>
      <c r="X33" s="147" t="s">
        <v>82</v>
      </c>
      <c r="Y33" s="21">
        <v>0</v>
      </c>
    </row>
    <row r="34" spans="1:25" x14ac:dyDescent="0.25">
      <c r="A34" s="16">
        <v>8139</v>
      </c>
      <c r="B34" s="25" t="s">
        <v>212</v>
      </c>
      <c r="C34" s="13" t="s">
        <v>2796</v>
      </c>
      <c r="D34" s="102">
        <v>45627</v>
      </c>
      <c r="E34" s="102">
        <v>46356</v>
      </c>
      <c r="F34" s="25" t="s">
        <v>962</v>
      </c>
      <c r="G34" s="160" t="s">
        <v>3317</v>
      </c>
      <c r="H34" s="14" t="s">
        <v>111</v>
      </c>
      <c r="K34" s="16" t="s">
        <v>114</v>
      </c>
      <c r="L34" s="141" t="s">
        <v>2797</v>
      </c>
      <c r="N34" s="86" t="s">
        <v>2788</v>
      </c>
      <c r="O34" s="86" t="s">
        <v>2798</v>
      </c>
      <c r="P34" s="102">
        <v>46356</v>
      </c>
      <c r="Q34" s="18" t="s">
        <v>83</v>
      </c>
      <c r="R34" s="16" t="s">
        <v>84</v>
      </c>
      <c r="S34" s="21">
        <v>1377.04</v>
      </c>
      <c r="T34" s="21">
        <v>0</v>
      </c>
      <c r="U34" s="21">
        <v>0</v>
      </c>
      <c r="V34" s="147" t="s">
        <v>82</v>
      </c>
      <c r="W34" s="21">
        <v>0</v>
      </c>
      <c r="X34" s="147" t="s">
        <v>1846</v>
      </c>
      <c r="Y34" s="21">
        <v>0</v>
      </c>
    </row>
    <row r="35" spans="1:25" x14ac:dyDescent="0.25">
      <c r="A35" s="16">
        <v>8139</v>
      </c>
      <c r="B35" s="25" t="s">
        <v>1226</v>
      </c>
      <c r="C35" s="13" t="s">
        <v>2799</v>
      </c>
      <c r="D35" s="102">
        <v>45627</v>
      </c>
      <c r="E35" s="102">
        <v>46356</v>
      </c>
      <c r="F35" s="25" t="s">
        <v>962</v>
      </c>
      <c r="G35" s="153" t="s">
        <v>3007</v>
      </c>
      <c r="H35" s="14" t="s">
        <v>111</v>
      </c>
      <c r="K35" s="16" t="s">
        <v>114</v>
      </c>
      <c r="L35" s="129" t="s">
        <v>2800</v>
      </c>
      <c r="N35" s="86" t="s">
        <v>2788</v>
      </c>
      <c r="O35" s="86" t="s">
        <v>2801</v>
      </c>
      <c r="P35" s="102">
        <v>46356</v>
      </c>
      <c r="Q35" s="18" t="s">
        <v>83</v>
      </c>
      <c r="R35" s="16" t="s">
        <v>84</v>
      </c>
      <c r="S35" s="21">
        <v>3453.06</v>
      </c>
      <c r="T35" s="21">
        <v>0</v>
      </c>
      <c r="U35" s="21">
        <v>0</v>
      </c>
      <c r="V35" s="147" t="s">
        <v>82</v>
      </c>
      <c r="W35" s="21">
        <v>0</v>
      </c>
      <c r="X35" s="147" t="s">
        <v>1846</v>
      </c>
      <c r="Y35" s="21">
        <v>0</v>
      </c>
    </row>
    <row r="36" spans="1:25" x14ac:dyDescent="0.25">
      <c r="A36" s="16">
        <v>8139</v>
      </c>
      <c r="B36" s="25" t="s">
        <v>218</v>
      </c>
      <c r="C36" s="13" t="s">
        <v>2802</v>
      </c>
      <c r="D36" s="102">
        <v>45580</v>
      </c>
      <c r="E36" s="102">
        <v>47435</v>
      </c>
      <c r="F36" s="25" t="s">
        <v>962</v>
      </c>
      <c r="G36" s="153" t="s">
        <v>3345</v>
      </c>
      <c r="H36" s="14" t="s">
        <v>111</v>
      </c>
      <c r="K36" s="16" t="s">
        <v>114</v>
      </c>
      <c r="N36" s="102">
        <v>45715</v>
      </c>
      <c r="O36" s="86" t="s">
        <v>2803</v>
      </c>
      <c r="P36" s="102">
        <v>47435</v>
      </c>
      <c r="Q36" s="18" t="s">
        <v>83</v>
      </c>
      <c r="R36" s="16" t="s">
        <v>84</v>
      </c>
      <c r="S36" s="21">
        <v>2027.5</v>
      </c>
      <c r="T36" s="21">
        <v>0</v>
      </c>
      <c r="U36" s="21">
        <v>0</v>
      </c>
      <c r="V36" s="147" t="s">
        <v>82</v>
      </c>
      <c r="W36" s="21">
        <v>0</v>
      </c>
      <c r="X36" s="147" t="s">
        <v>1846</v>
      </c>
      <c r="Y36" s="21">
        <v>778.04</v>
      </c>
    </row>
    <row r="37" spans="1:25" x14ac:dyDescent="0.25">
      <c r="A37" s="16">
        <v>8139</v>
      </c>
      <c r="B37" s="25" t="s">
        <v>224</v>
      </c>
      <c r="C37" s="13" t="s">
        <v>2804</v>
      </c>
      <c r="D37" s="102">
        <v>45597</v>
      </c>
      <c r="E37" s="102">
        <v>46326</v>
      </c>
      <c r="F37" s="25" t="s">
        <v>962</v>
      </c>
      <c r="G37" s="153" t="s">
        <v>2572</v>
      </c>
      <c r="H37" s="14" t="s">
        <v>111</v>
      </c>
      <c r="K37" s="16" t="s">
        <v>114</v>
      </c>
      <c r="L37" s="25" t="s">
        <v>2805</v>
      </c>
      <c r="N37" s="102">
        <v>45713</v>
      </c>
      <c r="O37" s="86" t="s">
        <v>2806</v>
      </c>
      <c r="P37" s="102">
        <v>46326</v>
      </c>
      <c r="Q37" s="18" t="s">
        <v>83</v>
      </c>
      <c r="R37" s="16" t="s">
        <v>84</v>
      </c>
      <c r="S37" s="21">
        <v>3678.69</v>
      </c>
      <c r="T37" s="21">
        <v>0</v>
      </c>
      <c r="U37" s="21">
        <v>0</v>
      </c>
      <c r="V37" s="147" t="s">
        <v>82</v>
      </c>
      <c r="W37" s="21">
        <v>0</v>
      </c>
      <c r="X37" s="147" t="s">
        <v>1745</v>
      </c>
      <c r="Y37" s="21">
        <v>0</v>
      </c>
    </row>
    <row r="38" spans="1:25" x14ac:dyDescent="0.25">
      <c r="A38" s="16">
        <v>8139</v>
      </c>
      <c r="B38" s="25" t="s">
        <v>230</v>
      </c>
      <c r="C38" s="13" t="s">
        <v>2807</v>
      </c>
      <c r="D38" s="102">
        <v>45792</v>
      </c>
      <c r="E38" s="102">
        <v>46887</v>
      </c>
      <c r="F38" s="25" t="s">
        <v>962</v>
      </c>
      <c r="G38" s="153" t="s">
        <v>2574</v>
      </c>
      <c r="H38" s="14" t="s">
        <v>111</v>
      </c>
      <c r="K38" s="16" t="s">
        <v>114</v>
      </c>
      <c r="N38" s="102">
        <v>45811</v>
      </c>
      <c r="O38" s="86" t="s">
        <v>2808</v>
      </c>
      <c r="P38" s="102">
        <v>46887</v>
      </c>
      <c r="Q38" s="18" t="s">
        <v>83</v>
      </c>
      <c r="R38" s="16" t="s">
        <v>84</v>
      </c>
      <c r="S38" s="21">
        <v>3800</v>
      </c>
      <c r="T38" s="21">
        <v>0</v>
      </c>
      <c r="U38" s="21">
        <v>0</v>
      </c>
      <c r="V38" s="147" t="s">
        <v>82</v>
      </c>
      <c r="W38" s="21">
        <v>236</v>
      </c>
      <c r="X38" s="147"/>
      <c r="Y38" s="21">
        <v>0</v>
      </c>
    </row>
    <row r="39" spans="1:25" x14ac:dyDescent="0.25">
      <c r="A39" s="16">
        <v>8139</v>
      </c>
      <c r="B39" s="25" t="s">
        <v>663</v>
      </c>
      <c r="C39" s="13" t="s">
        <v>2809</v>
      </c>
      <c r="D39" s="102">
        <v>45627</v>
      </c>
      <c r="E39" s="102">
        <v>46721</v>
      </c>
      <c r="F39" s="25" t="s">
        <v>962</v>
      </c>
      <c r="G39" s="160" t="s">
        <v>3335</v>
      </c>
      <c r="H39" s="14" t="s">
        <v>111</v>
      </c>
      <c r="K39" s="16" t="s">
        <v>114</v>
      </c>
      <c r="L39" s="25" t="s">
        <v>2810</v>
      </c>
      <c r="N39" s="102">
        <v>45867</v>
      </c>
      <c r="O39" s="86" t="s">
        <v>2811</v>
      </c>
      <c r="P39" s="102">
        <v>46721</v>
      </c>
      <c r="Q39" s="18" t="s">
        <v>83</v>
      </c>
      <c r="R39" s="16" t="s">
        <v>84</v>
      </c>
      <c r="S39" s="21">
        <v>3039.1</v>
      </c>
      <c r="T39" s="21">
        <v>0</v>
      </c>
      <c r="U39" s="21">
        <v>0</v>
      </c>
      <c r="V39" s="147"/>
      <c r="W39" s="21">
        <v>0</v>
      </c>
      <c r="X39" s="147"/>
      <c r="Y39" s="21">
        <v>0</v>
      </c>
    </row>
    <row r="40" spans="1:25" x14ac:dyDescent="0.25">
      <c r="A40" s="16">
        <v>8139</v>
      </c>
      <c r="B40" s="25" t="s">
        <v>470</v>
      </c>
      <c r="C40" s="13" t="s">
        <v>2812</v>
      </c>
      <c r="D40" s="102">
        <v>45748</v>
      </c>
      <c r="E40" s="102">
        <v>46843</v>
      </c>
      <c r="F40" s="25" t="s">
        <v>962</v>
      </c>
      <c r="G40" s="160" t="s">
        <v>2580</v>
      </c>
      <c r="H40" s="14" t="s">
        <v>111</v>
      </c>
      <c r="K40" s="16" t="s">
        <v>114</v>
      </c>
      <c r="L40" s="25" t="s">
        <v>2813</v>
      </c>
      <c r="N40" s="102">
        <v>45894</v>
      </c>
      <c r="O40" s="86" t="s">
        <v>2814</v>
      </c>
      <c r="P40" s="102">
        <v>46843</v>
      </c>
      <c r="Q40" s="18" t="s">
        <v>83</v>
      </c>
      <c r="R40" s="16" t="s">
        <v>84</v>
      </c>
      <c r="S40" s="21">
        <v>4771.8599999999997</v>
      </c>
      <c r="T40" s="21">
        <v>0</v>
      </c>
      <c r="U40" s="21">
        <v>0</v>
      </c>
      <c r="V40" s="147"/>
      <c r="W40" s="21">
        <v>0</v>
      </c>
      <c r="X40" s="147"/>
      <c r="Y40" s="21">
        <v>0</v>
      </c>
    </row>
    <row r="41" spans="1:25" x14ac:dyDescent="0.25">
      <c r="A41" s="16">
        <v>8139</v>
      </c>
      <c r="B41" s="129" t="s">
        <v>236</v>
      </c>
      <c r="C41" s="13" t="s">
        <v>2815</v>
      </c>
      <c r="D41" s="102">
        <v>45809</v>
      </c>
      <c r="E41" s="102">
        <v>46538</v>
      </c>
      <c r="F41" s="16" t="s">
        <v>962</v>
      </c>
      <c r="G41" s="160" t="s">
        <v>3341</v>
      </c>
      <c r="H41" s="14" t="s">
        <v>111</v>
      </c>
      <c r="K41" s="16" t="s">
        <v>114</v>
      </c>
      <c r="L41" s="25" t="s">
        <v>2338</v>
      </c>
      <c r="N41" s="102">
        <v>45922</v>
      </c>
      <c r="O41" s="86" t="s">
        <v>2816</v>
      </c>
      <c r="P41" s="102">
        <v>46538</v>
      </c>
      <c r="Q41" s="18" t="s">
        <v>83</v>
      </c>
      <c r="R41" s="16" t="s">
        <v>84</v>
      </c>
      <c r="S41" s="21">
        <v>5372.08</v>
      </c>
      <c r="T41" s="21">
        <v>0</v>
      </c>
      <c r="U41" s="21">
        <v>0</v>
      </c>
      <c r="V41" s="147"/>
      <c r="W41" s="21">
        <v>0</v>
      </c>
      <c r="X41" s="147"/>
      <c r="Y41" s="21">
        <v>0</v>
      </c>
    </row>
    <row r="42" spans="1:25" x14ac:dyDescent="0.25">
      <c r="A42" s="16">
        <v>8139</v>
      </c>
      <c r="B42" s="129" t="s">
        <v>1243</v>
      </c>
      <c r="C42" s="13" t="s">
        <v>2817</v>
      </c>
      <c r="D42" s="102">
        <v>45778</v>
      </c>
      <c r="E42" s="102">
        <v>46507</v>
      </c>
      <c r="F42" s="16" t="s">
        <v>962</v>
      </c>
      <c r="G42" s="160" t="s">
        <v>1937</v>
      </c>
      <c r="H42" s="14" t="s">
        <v>111</v>
      </c>
      <c r="K42" s="16" t="s">
        <v>114</v>
      </c>
      <c r="L42" s="25" t="s">
        <v>2818</v>
      </c>
      <c r="N42" s="102">
        <v>45953</v>
      </c>
      <c r="O42" s="86" t="s">
        <v>2819</v>
      </c>
      <c r="P42" s="102">
        <v>46507</v>
      </c>
      <c r="Q42" s="18" t="s">
        <v>83</v>
      </c>
      <c r="R42" s="16" t="s">
        <v>84</v>
      </c>
      <c r="S42" s="21">
        <v>2765.07</v>
      </c>
      <c r="T42" s="21">
        <v>0</v>
      </c>
      <c r="U42" s="21">
        <v>0</v>
      </c>
      <c r="V42" s="147"/>
      <c r="W42" s="21">
        <v>0</v>
      </c>
      <c r="X42" s="147"/>
      <c r="Y42" s="21">
        <v>0</v>
      </c>
    </row>
    <row r="43" spans="1:25" x14ac:dyDescent="0.25">
      <c r="A43" s="16">
        <v>8139</v>
      </c>
      <c r="B43" s="129" t="s">
        <v>242</v>
      </c>
      <c r="C43" s="13" t="s">
        <v>2820</v>
      </c>
      <c r="D43" s="102">
        <v>45870</v>
      </c>
      <c r="E43" s="102">
        <v>46965</v>
      </c>
      <c r="F43" s="16" t="s">
        <v>962</v>
      </c>
      <c r="G43" s="160" t="s">
        <v>3349</v>
      </c>
      <c r="H43" s="14" t="s">
        <v>111</v>
      </c>
      <c r="K43" s="16" t="s">
        <v>114</v>
      </c>
      <c r="L43" s="25" t="s">
        <v>2821</v>
      </c>
      <c r="N43" s="102">
        <v>45953</v>
      </c>
      <c r="O43" s="86" t="s">
        <v>2822</v>
      </c>
      <c r="P43" s="102">
        <v>46965</v>
      </c>
      <c r="Q43" s="18" t="s">
        <v>83</v>
      </c>
      <c r="R43" s="16" t="s">
        <v>84</v>
      </c>
      <c r="S43" s="21">
        <v>3224.81</v>
      </c>
      <c r="T43" s="21">
        <v>0</v>
      </c>
      <c r="U43" s="21">
        <v>0</v>
      </c>
      <c r="V43" s="147"/>
      <c r="W43" s="21">
        <v>0</v>
      </c>
      <c r="X43" s="147"/>
      <c r="Y43" s="21">
        <v>0</v>
      </c>
    </row>
    <row r="44" spans="1:25" x14ac:dyDescent="0.25">
      <c r="A44" s="16">
        <v>8139</v>
      </c>
      <c r="B44" s="129" t="s">
        <v>250</v>
      </c>
      <c r="C44" s="13" t="s">
        <v>2823</v>
      </c>
      <c r="D44" s="102">
        <v>45960</v>
      </c>
      <c r="E44" s="102">
        <v>47787</v>
      </c>
      <c r="F44" s="16" t="s">
        <v>962</v>
      </c>
      <c r="G44" s="160" t="s">
        <v>3022</v>
      </c>
      <c r="H44" s="14" t="s">
        <v>111</v>
      </c>
      <c r="K44" s="16" t="s">
        <v>114</v>
      </c>
      <c r="L44" s="25" t="s">
        <v>910</v>
      </c>
      <c r="N44" s="102">
        <v>45959</v>
      </c>
      <c r="O44" s="86" t="s">
        <v>2824</v>
      </c>
      <c r="P44" s="102">
        <v>47756</v>
      </c>
      <c r="Q44" s="18" t="s">
        <v>83</v>
      </c>
      <c r="R44" s="16" t="s">
        <v>84</v>
      </c>
      <c r="S44" s="21">
        <v>3312.4</v>
      </c>
      <c r="T44" s="21">
        <v>0</v>
      </c>
      <c r="U44" s="21">
        <v>0</v>
      </c>
      <c r="V44" s="147"/>
      <c r="W44" s="21">
        <v>0</v>
      </c>
      <c r="X44" s="147"/>
      <c r="Y44" s="21">
        <v>0</v>
      </c>
    </row>
    <row r="45" spans="1:25" x14ac:dyDescent="0.25">
      <c r="A45" s="16">
        <v>8139</v>
      </c>
      <c r="B45" s="129" t="s">
        <v>1248</v>
      </c>
      <c r="C45" s="13" t="s">
        <v>2850</v>
      </c>
      <c r="D45" s="102">
        <v>45931</v>
      </c>
      <c r="E45" s="102">
        <v>46660</v>
      </c>
      <c r="F45" s="16" t="s">
        <v>962</v>
      </c>
      <c r="G45" s="160" t="s">
        <v>3357</v>
      </c>
      <c r="H45" s="14" t="s">
        <v>111</v>
      </c>
      <c r="K45" s="16" t="s">
        <v>114</v>
      </c>
      <c r="L45" s="25" t="s">
        <v>2852</v>
      </c>
      <c r="N45" s="102">
        <v>45982</v>
      </c>
      <c r="O45" s="86" t="s">
        <v>2853</v>
      </c>
      <c r="P45" s="102">
        <v>46660</v>
      </c>
      <c r="Q45" s="18" t="s">
        <v>83</v>
      </c>
      <c r="R45" s="16" t="s">
        <v>84</v>
      </c>
      <c r="S45" s="21">
        <v>2968</v>
      </c>
      <c r="T45" s="21">
        <v>0</v>
      </c>
      <c r="U45" s="21">
        <v>0</v>
      </c>
      <c r="V45" s="147"/>
      <c r="W45" s="21"/>
      <c r="X45" s="147"/>
      <c r="Y45" s="21"/>
    </row>
    <row r="46" spans="1:25" x14ac:dyDescent="0.25">
      <c r="A46" s="16">
        <v>8139</v>
      </c>
      <c r="B46" s="129" t="s">
        <v>257</v>
      </c>
      <c r="C46" s="13" t="s">
        <v>2838</v>
      </c>
      <c r="D46" s="102">
        <v>45962</v>
      </c>
      <c r="E46" s="102">
        <v>46691</v>
      </c>
      <c r="F46" s="16" t="s">
        <v>962</v>
      </c>
      <c r="G46" s="160" t="s">
        <v>3109</v>
      </c>
      <c r="H46" s="14" t="s">
        <v>111</v>
      </c>
      <c r="K46" s="16" t="s">
        <v>114</v>
      </c>
      <c r="L46" s="25" t="s">
        <v>2839</v>
      </c>
      <c r="N46" s="102">
        <v>46014</v>
      </c>
      <c r="O46" s="86" t="s">
        <v>2840</v>
      </c>
      <c r="P46" s="102">
        <v>46691</v>
      </c>
      <c r="Q46" s="18" t="s">
        <v>83</v>
      </c>
      <c r="R46" s="16" t="s">
        <v>84</v>
      </c>
      <c r="S46" s="21">
        <v>3423.7</v>
      </c>
      <c r="T46" s="21">
        <v>0</v>
      </c>
      <c r="U46" s="21">
        <v>0</v>
      </c>
      <c r="V46" s="147"/>
      <c r="W46" s="21"/>
      <c r="X46" s="147"/>
      <c r="Y46" s="21"/>
    </row>
    <row r="47" spans="1:25" x14ac:dyDescent="0.25">
      <c r="A47" s="16">
        <v>8139</v>
      </c>
      <c r="B47" s="129" t="s">
        <v>263</v>
      </c>
      <c r="C47" s="13" t="s">
        <v>2859</v>
      </c>
      <c r="D47" s="102">
        <v>45839</v>
      </c>
      <c r="E47" s="102">
        <v>47664</v>
      </c>
      <c r="F47" s="16" t="s">
        <v>962</v>
      </c>
      <c r="G47" s="160" t="s">
        <v>3105</v>
      </c>
      <c r="H47" s="14" t="s">
        <v>111</v>
      </c>
      <c r="K47" s="16" t="s">
        <v>114</v>
      </c>
      <c r="L47" s="25" t="s">
        <v>2861</v>
      </c>
      <c r="N47" s="102">
        <v>46014</v>
      </c>
      <c r="O47" s="86" t="s">
        <v>2862</v>
      </c>
      <c r="P47" s="102">
        <v>47664</v>
      </c>
      <c r="Q47" s="18" t="s">
        <v>83</v>
      </c>
      <c r="R47" s="16" t="s">
        <v>84</v>
      </c>
      <c r="S47" s="21">
        <v>5249.64</v>
      </c>
      <c r="T47" s="21">
        <v>0</v>
      </c>
      <c r="U47" s="21">
        <v>0</v>
      </c>
      <c r="V47" s="147"/>
      <c r="W47" s="21">
        <v>1154.92</v>
      </c>
      <c r="X47" s="147"/>
      <c r="Y47" s="21"/>
    </row>
    <row r="48" spans="1:25" x14ac:dyDescent="0.25">
      <c r="A48" s="16">
        <v>8139</v>
      </c>
      <c r="B48" s="129" t="s">
        <v>1254</v>
      </c>
      <c r="C48" s="13" t="s">
        <v>2842</v>
      </c>
      <c r="D48" s="102">
        <v>45962</v>
      </c>
      <c r="E48" s="102">
        <v>46691</v>
      </c>
      <c r="F48" s="16" t="s">
        <v>962</v>
      </c>
      <c r="G48" s="160" t="s">
        <v>1947</v>
      </c>
      <c r="H48" s="14" t="s">
        <v>111</v>
      </c>
      <c r="K48" s="16" t="s">
        <v>114</v>
      </c>
      <c r="L48" s="25" t="s">
        <v>2845</v>
      </c>
      <c r="N48" s="56">
        <v>46049</v>
      </c>
      <c r="O48" s="86" t="s">
        <v>2846</v>
      </c>
      <c r="P48" s="102">
        <v>46691</v>
      </c>
      <c r="Q48" s="18" t="s">
        <v>83</v>
      </c>
      <c r="R48" s="16" t="s">
        <v>84</v>
      </c>
      <c r="S48" s="21">
        <v>2521.08</v>
      </c>
      <c r="T48" s="21">
        <v>0</v>
      </c>
      <c r="U48" s="21">
        <v>0</v>
      </c>
      <c r="V48" s="147"/>
      <c r="W48" s="21"/>
      <c r="X48" s="147"/>
      <c r="Y48" s="21"/>
    </row>
    <row r="49" spans="1:26" x14ac:dyDescent="0.25">
      <c r="A49" s="16">
        <v>8139</v>
      </c>
      <c r="B49" s="129" t="s">
        <v>1260</v>
      </c>
      <c r="C49" s="13" t="s">
        <v>2868</v>
      </c>
      <c r="D49" s="102">
        <v>45962</v>
      </c>
      <c r="E49" s="102">
        <v>47057</v>
      </c>
      <c r="F49" s="16" t="s">
        <v>962</v>
      </c>
      <c r="G49" s="160" t="s">
        <v>2895</v>
      </c>
      <c r="H49" s="14" t="s">
        <v>111</v>
      </c>
      <c r="K49" s="16" t="s">
        <v>114</v>
      </c>
      <c r="L49" s="25" t="s">
        <v>2869</v>
      </c>
      <c r="N49" s="56">
        <v>46049</v>
      </c>
      <c r="O49" s="86" t="s">
        <v>2870</v>
      </c>
      <c r="P49" s="102">
        <v>47057</v>
      </c>
      <c r="Q49" s="18" t="s">
        <v>83</v>
      </c>
      <c r="R49" s="16" t="s">
        <v>84</v>
      </c>
      <c r="S49" s="21">
        <v>3165.52</v>
      </c>
      <c r="T49" s="21">
        <v>0</v>
      </c>
      <c r="U49" s="21">
        <v>0</v>
      </c>
      <c r="V49" s="147"/>
      <c r="W49" s="21"/>
      <c r="X49" s="147"/>
      <c r="Y49" s="21"/>
    </row>
    <row r="50" spans="1:26" x14ac:dyDescent="0.25">
      <c r="A50" s="16">
        <v>8139</v>
      </c>
      <c r="B50" s="129" t="s">
        <v>1266</v>
      </c>
      <c r="C50" s="13" t="s">
        <v>2760</v>
      </c>
      <c r="D50" s="102">
        <v>45976</v>
      </c>
      <c r="E50" s="102">
        <v>47071</v>
      </c>
      <c r="F50" s="16" t="s">
        <v>962</v>
      </c>
      <c r="G50" s="160" t="s">
        <v>3113</v>
      </c>
      <c r="H50" s="14" t="s">
        <v>111</v>
      </c>
      <c r="K50" s="16" t="s">
        <v>114</v>
      </c>
      <c r="L50" s="25" t="s">
        <v>2761</v>
      </c>
      <c r="N50" s="56">
        <v>46070</v>
      </c>
      <c r="O50" s="86" t="s">
        <v>2762</v>
      </c>
      <c r="P50" s="102">
        <v>47071</v>
      </c>
      <c r="Q50" s="18" t="s">
        <v>83</v>
      </c>
      <c r="R50" s="16" t="s">
        <v>84</v>
      </c>
      <c r="S50" s="21">
        <v>6674.84</v>
      </c>
      <c r="T50" s="21"/>
      <c r="U50" s="21"/>
      <c r="V50" s="147"/>
      <c r="W50" s="21"/>
      <c r="X50" s="147"/>
      <c r="Y50" s="21"/>
    </row>
    <row r="51" spans="1:26" x14ac:dyDescent="0.25">
      <c r="A51" s="16">
        <v>8139</v>
      </c>
      <c r="B51" s="129" t="s">
        <v>269</v>
      </c>
      <c r="C51" s="13" t="s">
        <v>2854</v>
      </c>
      <c r="D51" s="102">
        <v>45962</v>
      </c>
      <c r="E51" s="102">
        <v>46691</v>
      </c>
      <c r="F51" s="16" t="s">
        <v>962</v>
      </c>
      <c r="G51" s="160" t="s">
        <v>2899</v>
      </c>
      <c r="H51" s="14" t="s">
        <v>111</v>
      </c>
      <c r="K51" s="16" t="s">
        <v>114</v>
      </c>
      <c r="L51" s="25" t="s">
        <v>2856</v>
      </c>
      <c r="N51" s="56">
        <v>46070</v>
      </c>
      <c r="O51" s="86" t="s">
        <v>2857</v>
      </c>
      <c r="P51" s="102">
        <v>45961</v>
      </c>
      <c r="Q51" s="18" t="s">
        <v>83</v>
      </c>
      <c r="R51" s="16" t="s">
        <v>84</v>
      </c>
      <c r="S51" s="21">
        <v>2102.8000000000002</v>
      </c>
      <c r="T51" s="21"/>
      <c r="U51" s="21"/>
      <c r="V51" s="147"/>
      <c r="W51" s="21"/>
      <c r="X51" s="147"/>
      <c r="Y51" s="21"/>
    </row>
    <row r="53" spans="1:26" x14ac:dyDescent="0.25">
      <c r="A53" s="16" t="s">
        <v>2694</v>
      </c>
      <c r="B53" s="85" t="s">
        <v>906</v>
      </c>
      <c r="C53" s="14" t="s">
        <v>2695</v>
      </c>
      <c r="D53" s="56">
        <v>44228</v>
      </c>
      <c r="E53" s="56">
        <v>45382</v>
      </c>
      <c r="F53" s="16" t="s">
        <v>962</v>
      </c>
      <c r="G53" s="161" t="s">
        <v>2825</v>
      </c>
      <c r="H53" s="14" t="s">
        <v>111</v>
      </c>
      <c r="I53" s="14"/>
      <c r="J53" s="88" t="s">
        <v>909</v>
      </c>
      <c r="K53" s="16" t="s">
        <v>114</v>
      </c>
      <c r="L53" s="16" t="s">
        <v>910</v>
      </c>
      <c r="M53" s="14" t="s">
        <v>2826</v>
      </c>
      <c r="N53" s="56">
        <v>44623</v>
      </c>
      <c r="O53" s="85" t="s">
        <v>2696</v>
      </c>
      <c r="P53" s="18" t="s">
        <v>82</v>
      </c>
      <c r="Q53" s="18" t="s">
        <v>82</v>
      </c>
      <c r="R53" s="17" t="s">
        <v>911</v>
      </c>
      <c r="S53" s="23">
        <v>0</v>
      </c>
      <c r="T53" s="23">
        <v>0</v>
      </c>
      <c r="U53" s="23">
        <v>0</v>
      </c>
      <c r="V53" s="147" t="s">
        <v>82</v>
      </c>
      <c r="W53" s="23">
        <v>0</v>
      </c>
      <c r="X53" s="147" t="s">
        <v>82</v>
      </c>
      <c r="Y53" s="23">
        <v>0</v>
      </c>
      <c r="Z53" s="77" t="s">
        <v>913</v>
      </c>
    </row>
    <row r="54" spans="1:26" x14ac:dyDescent="0.25">
      <c r="A54" s="16" t="s">
        <v>2694</v>
      </c>
      <c r="B54" s="85" t="s">
        <v>2827</v>
      </c>
      <c r="C54" s="14" t="s">
        <v>2828</v>
      </c>
      <c r="D54" s="56">
        <v>43466</v>
      </c>
      <c r="E54" s="56">
        <v>44499</v>
      </c>
      <c r="F54" s="16" t="s">
        <v>962</v>
      </c>
      <c r="G54" s="153" t="s">
        <v>2829</v>
      </c>
      <c r="H54" s="14" t="s">
        <v>111</v>
      </c>
      <c r="I54" s="14"/>
      <c r="J54" s="14" t="s">
        <v>113</v>
      </c>
      <c r="K54" s="16" t="s">
        <v>469</v>
      </c>
      <c r="L54" s="16" t="s">
        <v>910</v>
      </c>
      <c r="M54" s="14" t="s">
        <v>2830</v>
      </c>
      <c r="N54" s="56">
        <v>43705</v>
      </c>
      <c r="O54" s="85" t="s">
        <v>2831</v>
      </c>
      <c r="P54" s="56" t="s">
        <v>82</v>
      </c>
      <c r="Q54" s="18" t="s">
        <v>911</v>
      </c>
      <c r="R54" s="17" t="s">
        <v>911</v>
      </c>
      <c r="S54" s="23">
        <v>0</v>
      </c>
      <c r="T54" s="23">
        <v>0</v>
      </c>
      <c r="U54" s="23">
        <v>0</v>
      </c>
      <c r="V54" s="147" t="s">
        <v>82</v>
      </c>
      <c r="W54" s="23">
        <v>0</v>
      </c>
      <c r="X54" s="147" t="s">
        <v>82</v>
      </c>
      <c r="Y54" s="23">
        <v>0</v>
      </c>
      <c r="Z54" s="14" t="s">
        <v>965</v>
      </c>
    </row>
    <row r="55" spans="1:26" x14ac:dyDescent="0.25">
      <c r="A55" s="16" t="s">
        <v>2694</v>
      </c>
      <c r="B55" s="85" t="s">
        <v>989</v>
      </c>
      <c r="C55" s="14" t="s">
        <v>2697</v>
      </c>
      <c r="D55" s="56">
        <v>41988</v>
      </c>
      <c r="E55" s="56">
        <v>46005</v>
      </c>
      <c r="F55" s="16" t="s">
        <v>962</v>
      </c>
      <c r="G55" s="153" t="s">
        <v>1848</v>
      </c>
      <c r="H55" s="14" t="s">
        <v>111</v>
      </c>
      <c r="I55" s="14" t="s">
        <v>2698</v>
      </c>
      <c r="J55" s="14" t="s">
        <v>113</v>
      </c>
      <c r="K55" s="16" t="s">
        <v>114</v>
      </c>
      <c r="L55" s="16" t="s">
        <v>2699</v>
      </c>
      <c r="M55" s="14" t="s">
        <v>131</v>
      </c>
      <c r="N55" s="56">
        <v>44097</v>
      </c>
      <c r="O55" s="85" t="s">
        <v>2700</v>
      </c>
      <c r="P55" s="56">
        <v>46005</v>
      </c>
      <c r="Q55" s="18" t="s">
        <v>1011</v>
      </c>
      <c r="R55" s="17" t="s">
        <v>911</v>
      </c>
      <c r="S55" s="23">
        <v>0</v>
      </c>
      <c r="T55" s="23">
        <v>0</v>
      </c>
      <c r="U55" s="23">
        <v>0</v>
      </c>
      <c r="V55" s="147" t="s">
        <v>82</v>
      </c>
      <c r="W55" s="23">
        <v>0</v>
      </c>
      <c r="X55" s="147" t="s">
        <v>82</v>
      </c>
      <c r="Y55" s="23">
        <v>0</v>
      </c>
      <c r="Z55" s="14"/>
    </row>
    <row r="56" spans="1:26" x14ac:dyDescent="0.25">
      <c r="A56" s="16" t="s">
        <v>2694</v>
      </c>
      <c r="B56" s="85" t="s">
        <v>118</v>
      </c>
      <c r="C56" s="14" t="s">
        <v>2834</v>
      </c>
      <c r="D56" s="56">
        <v>42826</v>
      </c>
      <c r="E56" s="56">
        <v>44804</v>
      </c>
      <c r="F56" s="16" t="s">
        <v>962</v>
      </c>
      <c r="G56" s="153" t="s">
        <v>2835</v>
      </c>
      <c r="H56" s="14" t="s">
        <v>111</v>
      </c>
      <c r="I56" s="14" t="s">
        <v>2449</v>
      </c>
      <c r="J56" s="14" t="s">
        <v>113</v>
      </c>
      <c r="K56" s="16" t="s">
        <v>114</v>
      </c>
      <c r="L56" s="16" t="s">
        <v>2836</v>
      </c>
      <c r="M56" s="14" t="s">
        <v>174</v>
      </c>
      <c r="N56" s="56">
        <v>44097</v>
      </c>
      <c r="O56" s="85" t="s">
        <v>2837</v>
      </c>
      <c r="P56" s="56">
        <v>45016</v>
      </c>
      <c r="Q56" s="18" t="s">
        <v>911</v>
      </c>
      <c r="R56" s="17" t="s">
        <v>911</v>
      </c>
      <c r="S56" s="23">
        <v>0</v>
      </c>
      <c r="T56" s="23">
        <v>0</v>
      </c>
      <c r="U56" s="23">
        <v>0</v>
      </c>
      <c r="V56" s="147" t="s">
        <v>82</v>
      </c>
      <c r="W56" s="23">
        <v>0</v>
      </c>
      <c r="X56" s="147" t="s">
        <v>82</v>
      </c>
      <c r="Y56" s="23">
        <v>0</v>
      </c>
      <c r="Z56" s="14" t="s">
        <v>999</v>
      </c>
    </row>
    <row r="57" spans="1:26" x14ac:dyDescent="0.25">
      <c r="A57" s="16" t="s">
        <v>2694</v>
      </c>
      <c r="B57" s="85" t="s">
        <v>1132</v>
      </c>
      <c r="C57" s="14" t="s">
        <v>2864</v>
      </c>
      <c r="D57" s="56">
        <v>42795</v>
      </c>
      <c r="E57" s="56">
        <v>43524</v>
      </c>
      <c r="F57" s="16" t="s">
        <v>962</v>
      </c>
      <c r="G57" s="153" t="s">
        <v>2865</v>
      </c>
      <c r="H57" s="14" t="s">
        <v>111</v>
      </c>
      <c r="I57" s="14"/>
      <c r="J57" s="14" t="s">
        <v>113</v>
      </c>
      <c r="K57" s="16" t="s">
        <v>82</v>
      </c>
      <c r="L57" s="16" t="s">
        <v>2866</v>
      </c>
      <c r="M57" s="14" t="s">
        <v>116</v>
      </c>
      <c r="N57" s="56">
        <v>43508</v>
      </c>
      <c r="O57" s="85" t="s">
        <v>2867</v>
      </c>
      <c r="P57" s="56">
        <v>43524</v>
      </c>
      <c r="Q57" s="18" t="s">
        <v>911</v>
      </c>
      <c r="R57" s="17" t="s">
        <v>911</v>
      </c>
      <c r="S57" s="23">
        <v>0</v>
      </c>
      <c r="T57" s="23">
        <v>0</v>
      </c>
      <c r="U57" s="23">
        <v>0</v>
      </c>
      <c r="V57" s="147" t="s">
        <v>82</v>
      </c>
      <c r="W57" s="23">
        <v>0</v>
      </c>
      <c r="X57" s="147" t="s">
        <v>82</v>
      </c>
      <c r="Y57" s="23">
        <v>0</v>
      </c>
      <c r="Z57" s="14" t="s">
        <v>999</v>
      </c>
    </row>
    <row r="58" spans="1:26" x14ac:dyDescent="0.25">
      <c r="A58" s="16" t="s">
        <v>2694</v>
      </c>
      <c r="B58" s="85" t="s">
        <v>1159</v>
      </c>
      <c r="C58" s="14" t="s">
        <v>2871</v>
      </c>
      <c r="D58" s="56">
        <v>42262</v>
      </c>
      <c r="E58" s="56">
        <v>44834</v>
      </c>
      <c r="F58" s="16" t="s">
        <v>962</v>
      </c>
      <c r="G58" s="153" t="s">
        <v>2549</v>
      </c>
      <c r="H58" s="14" t="s">
        <v>111</v>
      </c>
      <c r="I58" s="14" t="s">
        <v>2872</v>
      </c>
      <c r="J58" s="14" t="s">
        <v>113</v>
      </c>
      <c r="K58" s="16" t="s">
        <v>114</v>
      </c>
      <c r="L58" s="16" t="s">
        <v>2873</v>
      </c>
      <c r="M58" s="14" t="s">
        <v>131</v>
      </c>
      <c r="N58" s="56">
        <v>44097</v>
      </c>
      <c r="O58" s="85" t="s">
        <v>2874</v>
      </c>
      <c r="P58" s="56">
        <v>44834</v>
      </c>
      <c r="Q58" s="18" t="s">
        <v>1011</v>
      </c>
      <c r="R58" s="17" t="s">
        <v>911</v>
      </c>
      <c r="S58" s="23">
        <v>0</v>
      </c>
      <c r="T58" s="23">
        <v>0</v>
      </c>
      <c r="U58" s="23">
        <v>0</v>
      </c>
      <c r="V58" s="147" t="s">
        <v>82</v>
      </c>
      <c r="W58" s="23">
        <v>0</v>
      </c>
      <c r="X58" s="147" t="s">
        <v>82</v>
      </c>
      <c r="Y58" s="23">
        <v>0</v>
      </c>
      <c r="Z58" s="14" t="s">
        <v>999</v>
      </c>
    </row>
  </sheetData>
  <autoFilter ref="A5:AD58" xr:uid="{00000000-0001-0000-0300-000000000000}"/>
  <mergeCells count="1">
    <mergeCell ref="S4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EX1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U6" sqref="U6"/>
    </sheetView>
  </sheetViews>
  <sheetFormatPr defaultColWidth="11.44140625" defaultRowHeight="11.4" outlineLevelCol="1" x14ac:dyDescent="0.25"/>
  <cols>
    <col min="1" max="1" width="8.5546875" style="25" customWidth="1"/>
    <col min="2" max="2" width="9.44140625" style="25" customWidth="1"/>
    <col min="3" max="3" width="42" style="13" customWidth="1"/>
    <col min="4" max="4" width="12.5546875" style="25" bestFit="1" customWidth="1"/>
    <col min="5" max="5" width="10.6640625" style="25" bestFit="1" customWidth="1"/>
    <col min="6" max="6" width="9.6640625" style="25" customWidth="1"/>
    <col min="7" max="11" width="11.5546875" style="13" hidden="1" customWidth="1" outlineLevel="1"/>
    <col min="12" max="12" width="8.33203125" style="25" customWidth="1" collapsed="1"/>
    <col min="13" max="13" width="11.5546875" style="13" hidden="1" customWidth="1" outlineLevel="1"/>
    <col min="14" max="14" width="10.6640625" style="25" customWidth="1" collapsed="1"/>
    <col min="15" max="15" width="8.5546875" style="13" customWidth="1"/>
    <col min="16" max="16" width="10.44140625" style="25" customWidth="1"/>
    <col min="17" max="17" width="10.44140625" style="13" customWidth="1"/>
    <col min="18" max="18" width="15.6640625" style="13" customWidth="1"/>
    <col min="19" max="19" width="11.6640625" style="13" customWidth="1"/>
    <col min="20" max="20" width="12.33203125" style="13" customWidth="1"/>
    <col min="21" max="23" width="11.44140625" style="13" customWidth="1"/>
    <col min="24" max="24" width="47" style="13" customWidth="1"/>
    <col min="25" max="16384" width="11.44140625" style="13"/>
  </cols>
  <sheetData>
    <row r="1" spans="1:26" x14ac:dyDescent="0.25">
      <c r="S1" s="113" t="s">
        <v>3</v>
      </c>
      <c r="T1" s="113" t="s">
        <v>6</v>
      </c>
      <c r="U1" s="113" t="s">
        <v>50</v>
      </c>
      <c r="V1" s="113" t="s">
        <v>12</v>
      </c>
      <c r="W1" s="113" t="s">
        <v>51</v>
      </c>
    </row>
    <row r="2" spans="1:26" x14ac:dyDescent="0.25">
      <c r="S2" s="114">
        <f>+S3-S4</f>
        <v>0</v>
      </c>
      <c r="T2" s="113"/>
      <c r="U2" s="113"/>
      <c r="V2" s="113"/>
      <c r="W2" s="113"/>
    </row>
    <row r="3" spans="1:26" ht="15" x14ac:dyDescent="0.25">
      <c r="A3" s="29" t="s">
        <v>52</v>
      </c>
      <c r="S3" s="115">
        <v>1245961263</v>
      </c>
      <c r="T3" s="116">
        <v>0</v>
      </c>
      <c r="U3" s="116">
        <v>5055628</v>
      </c>
      <c r="V3" s="116">
        <v>67503131</v>
      </c>
      <c r="W3" s="116">
        <v>0</v>
      </c>
      <c r="X3" s="54">
        <f>+W3-W4</f>
        <v>0</v>
      </c>
    </row>
    <row r="4" spans="1:26" ht="15" x14ac:dyDescent="0.25">
      <c r="A4" s="29" t="s">
        <v>2883</v>
      </c>
      <c r="P4" s="58"/>
      <c r="R4" s="58"/>
      <c r="S4" s="117">
        <f>+SUM(S7:S64)</f>
        <v>1245961263</v>
      </c>
      <c r="T4" s="117">
        <f>+SUM(T7:T64)</f>
        <v>0</v>
      </c>
      <c r="U4" s="117">
        <f>+SUM(U7:U63)</f>
        <v>5055628</v>
      </c>
      <c r="V4" s="117">
        <f>+SUM(V7:V63)</f>
        <v>67503131</v>
      </c>
      <c r="W4" s="117">
        <f>+SUM(W7:W210)</f>
        <v>0</v>
      </c>
    </row>
    <row r="5" spans="1:26" x14ac:dyDescent="0.25">
      <c r="Q5" s="25"/>
      <c r="R5" s="25"/>
      <c r="S5" s="163" t="s">
        <v>55</v>
      </c>
      <c r="T5" s="164"/>
      <c r="U5" s="164"/>
      <c r="V5" s="164"/>
      <c r="W5" s="165"/>
    </row>
    <row r="6" spans="1:26" ht="34.200000000000003" x14ac:dyDescent="0.25">
      <c r="A6" s="19" t="s">
        <v>56</v>
      </c>
      <c r="B6" s="121" t="s">
        <v>57</v>
      </c>
      <c r="C6" s="19" t="s">
        <v>58</v>
      </c>
      <c r="D6" s="19" t="s">
        <v>59</v>
      </c>
      <c r="E6" s="19" t="s">
        <v>60</v>
      </c>
      <c r="F6" s="19" t="s">
        <v>61</v>
      </c>
      <c r="G6" s="121" t="s">
        <v>62</v>
      </c>
      <c r="H6" s="19" t="s">
        <v>63</v>
      </c>
      <c r="I6" s="19" t="s">
        <v>64</v>
      </c>
      <c r="J6" s="19" t="s">
        <v>65</v>
      </c>
      <c r="K6" s="19" t="s">
        <v>66</v>
      </c>
      <c r="L6" s="19" t="s">
        <v>67</v>
      </c>
      <c r="M6" s="19" t="s">
        <v>68</v>
      </c>
      <c r="N6" s="19" t="s">
        <v>69</v>
      </c>
      <c r="O6" s="121" t="s">
        <v>70</v>
      </c>
      <c r="P6" s="75" t="s">
        <v>71</v>
      </c>
      <c r="Q6" s="76" t="s">
        <v>72</v>
      </c>
      <c r="R6" s="15" t="s">
        <v>73</v>
      </c>
      <c r="S6" s="15" t="s">
        <v>4</v>
      </c>
      <c r="T6" s="15" t="s">
        <v>7</v>
      </c>
      <c r="U6" s="15" t="s">
        <v>25</v>
      </c>
      <c r="V6" s="15" t="s">
        <v>2884</v>
      </c>
      <c r="W6" s="15" t="s">
        <v>19</v>
      </c>
      <c r="X6" s="15" t="s">
        <v>76</v>
      </c>
    </row>
    <row r="7" spans="1:26" x14ac:dyDescent="0.25">
      <c r="A7" s="26" t="s">
        <v>2885</v>
      </c>
      <c r="B7" s="106" t="s">
        <v>118</v>
      </c>
      <c r="C7" s="11" t="s">
        <v>2886</v>
      </c>
      <c r="D7" s="55">
        <v>42345</v>
      </c>
      <c r="E7" s="55">
        <v>46721</v>
      </c>
      <c r="F7" s="26" t="s">
        <v>2887</v>
      </c>
      <c r="G7" s="162" t="s">
        <v>2888</v>
      </c>
      <c r="H7" s="11" t="s">
        <v>111</v>
      </c>
      <c r="I7" s="11" t="s">
        <v>2449</v>
      </c>
      <c r="J7" s="11" t="s">
        <v>113</v>
      </c>
      <c r="K7" s="26" t="s">
        <v>114</v>
      </c>
      <c r="L7" s="26" t="s">
        <v>2889</v>
      </c>
      <c r="M7" s="11" t="s">
        <v>2841</v>
      </c>
      <c r="N7" s="55">
        <v>44088</v>
      </c>
      <c r="O7" s="85" t="s">
        <v>2890</v>
      </c>
      <c r="P7" s="55">
        <v>46721</v>
      </c>
      <c r="Q7" s="16" t="s">
        <v>83</v>
      </c>
      <c r="R7" s="16" t="s">
        <v>84</v>
      </c>
      <c r="S7" s="30">
        <v>12177990</v>
      </c>
      <c r="T7" s="30">
        <v>0</v>
      </c>
      <c r="U7" s="30">
        <v>0</v>
      </c>
      <c r="V7" s="30">
        <v>0</v>
      </c>
      <c r="W7" s="30">
        <v>0</v>
      </c>
      <c r="X7" s="14"/>
    </row>
    <row r="8" spans="1:26" x14ac:dyDescent="0.25">
      <c r="A8" s="26" t="s">
        <v>2885</v>
      </c>
      <c r="B8" s="106" t="s">
        <v>994</v>
      </c>
      <c r="C8" s="11" t="s">
        <v>2891</v>
      </c>
      <c r="D8" s="55">
        <v>41699</v>
      </c>
      <c r="E8" s="55">
        <v>46446</v>
      </c>
      <c r="F8" s="26" t="s">
        <v>2887</v>
      </c>
      <c r="G8" s="162" t="s">
        <v>1947</v>
      </c>
      <c r="H8" s="11" t="s">
        <v>111</v>
      </c>
      <c r="I8" s="11" t="s">
        <v>1747</v>
      </c>
      <c r="J8" s="11" t="s">
        <v>113</v>
      </c>
      <c r="K8" s="26" t="s">
        <v>114</v>
      </c>
      <c r="L8" s="26" t="s">
        <v>2892</v>
      </c>
      <c r="M8" s="11" t="s">
        <v>131</v>
      </c>
      <c r="N8" s="55">
        <v>44088</v>
      </c>
      <c r="O8" s="85" t="s">
        <v>2893</v>
      </c>
      <c r="P8" s="55">
        <v>46446</v>
      </c>
      <c r="Q8" s="16" t="s">
        <v>83</v>
      </c>
      <c r="R8" s="16" t="s">
        <v>84</v>
      </c>
      <c r="S8" s="30">
        <v>18810206</v>
      </c>
      <c r="T8" s="30">
        <v>0</v>
      </c>
      <c r="U8" s="30">
        <v>0</v>
      </c>
      <c r="V8" s="30">
        <v>2794352</v>
      </c>
      <c r="W8" s="30">
        <v>0</v>
      </c>
      <c r="X8" s="14"/>
    </row>
    <row r="9" spans="1:26" x14ac:dyDescent="0.25">
      <c r="A9" s="26" t="s">
        <v>2885</v>
      </c>
      <c r="B9" s="106" t="s">
        <v>126</v>
      </c>
      <c r="C9" s="11" t="s">
        <v>2894</v>
      </c>
      <c r="D9" s="55">
        <v>43040</v>
      </c>
      <c r="E9" s="55">
        <v>46326</v>
      </c>
      <c r="F9" s="26" t="s">
        <v>2887</v>
      </c>
      <c r="G9" s="162" t="s">
        <v>2895</v>
      </c>
      <c r="H9" s="11" t="s">
        <v>111</v>
      </c>
      <c r="I9" s="11" t="s">
        <v>2453</v>
      </c>
      <c r="J9" s="11" t="s">
        <v>113</v>
      </c>
      <c r="K9" s="26" t="s">
        <v>114</v>
      </c>
      <c r="L9" s="26" t="s">
        <v>2896</v>
      </c>
      <c r="M9" s="11" t="s">
        <v>174</v>
      </c>
      <c r="N9" s="55">
        <v>44088</v>
      </c>
      <c r="O9" s="85" t="s">
        <v>2897</v>
      </c>
      <c r="P9" s="55">
        <v>46326</v>
      </c>
      <c r="Q9" s="16" t="s">
        <v>83</v>
      </c>
      <c r="R9" s="16" t="s">
        <v>84</v>
      </c>
      <c r="S9" s="30">
        <v>18394010</v>
      </c>
      <c r="T9" s="30">
        <v>0</v>
      </c>
      <c r="U9" s="30">
        <v>0</v>
      </c>
      <c r="V9" s="30">
        <v>1602747</v>
      </c>
      <c r="W9" s="30">
        <v>0</v>
      </c>
      <c r="X9" s="14"/>
    </row>
    <row r="10" spans="1:26" x14ac:dyDescent="0.25">
      <c r="A10" s="26" t="s">
        <v>2885</v>
      </c>
      <c r="B10" s="106" t="s">
        <v>1012</v>
      </c>
      <c r="C10" s="11" t="s">
        <v>2898</v>
      </c>
      <c r="D10" s="55">
        <v>42705</v>
      </c>
      <c r="E10" s="55">
        <v>46345</v>
      </c>
      <c r="F10" s="26" t="s">
        <v>2887</v>
      </c>
      <c r="G10" s="162" t="s">
        <v>2899</v>
      </c>
      <c r="H10" s="11" t="s">
        <v>111</v>
      </c>
      <c r="I10" s="11" t="s">
        <v>2464</v>
      </c>
      <c r="J10" s="11" t="s">
        <v>113</v>
      </c>
      <c r="K10" s="26" t="s">
        <v>114</v>
      </c>
      <c r="L10" s="26" t="s">
        <v>2900</v>
      </c>
      <c r="M10" s="11" t="s">
        <v>131</v>
      </c>
      <c r="N10" s="55">
        <v>44088</v>
      </c>
      <c r="O10" s="85" t="s">
        <v>2901</v>
      </c>
      <c r="P10" s="55">
        <v>46345</v>
      </c>
      <c r="Q10" s="16" t="s">
        <v>83</v>
      </c>
      <c r="R10" s="16" t="s">
        <v>84</v>
      </c>
      <c r="S10" s="30">
        <v>13950658</v>
      </c>
      <c r="T10" s="30">
        <v>0</v>
      </c>
      <c r="U10" s="30">
        <v>0</v>
      </c>
      <c r="V10" s="30">
        <v>0</v>
      </c>
      <c r="W10" s="30">
        <v>0</v>
      </c>
      <c r="X10" s="14"/>
    </row>
    <row r="11" spans="1:26" x14ac:dyDescent="0.25">
      <c r="A11" s="26" t="s">
        <v>2885</v>
      </c>
      <c r="B11" s="106" t="s">
        <v>1756</v>
      </c>
      <c r="C11" s="11" t="s">
        <v>2902</v>
      </c>
      <c r="D11" s="55">
        <v>42795</v>
      </c>
      <c r="E11" s="55">
        <v>46446</v>
      </c>
      <c r="F11" s="26" t="s">
        <v>2887</v>
      </c>
      <c r="G11" s="162" t="s">
        <v>2903</v>
      </c>
      <c r="H11" s="11" t="s">
        <v>111</v>
      </c>
      <c r="I11" s="11" t="s">
        <v>2725</v>
      </c>
      <c r="J11" s="11" t="s">
        <v>113</v>
      </c>
      <c r="K11" s="26" t="s">
        <v>114</v>
      </c>
      <c r="L11" s="26" t="s">
        <v>2904</v>
      </c>
      <c r="M11" s="11" t="s">
        <v>139</v>
      </c>
      <c r="N11" s="55">
        <v>44088</v>
      </c>
      <c r="O11" s="85" t="s">
        <v>2905</v>
      </c>
      <c r="P11" s="55">
        <v>46446</v>
      </c>
      <c r="Q11" s="16" t="s">
        <v>83</v>
      </c>
      <c r="R11" s="16" t="s">
        <v>84</v>
      </c>
      <c r="S11" s="30">
        <v>33385465</v>
      </c>
      <c r="T11" s="30">
        <v>0</v>
      </c>
      <c r="U11" s="30">
        <v>0</v>
      </c>
      <c r="V11" s="30">
        <v>1117799</v>
      </c>
      <c r="W11" s="30">
        <v>0</v>
      </c>
      <c r="X11" s="14"/>
    </row>
    <row r="12" spans="1:26" x14ac:dyDescent="0.25">
      <c r="A12" s="26" t="s">
        <v>2885</v>
      </c>
      <c r="B12" s="106" t="s">
        <v>1034</v>
      </c>
      <c r="C12" s="11" t="s">
        <v>2906</v>
      </c>
      <c r="D12" s="55">
        <v>41749</v>
      </c>
      <c r="E12" s="55">
        <v>46387</v>
      </c>
      <c r="F12" s="26" t="s">
        <v>2887</v>
      </c>
      <c r="G12" s="162" t="s">
        <v>2595</v>
      </c>
      <c r="H12" s="11" t="s">
        <v>111</v>
      </c>
      <c r="I12" s="11" t="s">
        <v>1758</v>
      </c>
      <c r="J12" s="11" t="s">
        <v>113</v>
      </c>
      <c r="K12" s="26" t="s">
        <v>114</v>
      </c>
      <c r="L12" s="26" t="s">
        <v>2907</v>
      </c>
      <c r="M12" s="11" t="s">
        <v>1349</v>
      </c>
      <c r="N12" s="55">
        <v>44088</v>
      </c>
      <c r="O12" s="85" t="s">
        <v>2908</v>
      </c>
      <c r="P12" s="55">
        <v>46387</v>
      </c>
      <c r="Q12" s="16" t="s">
        <v>83</v>
      </c>
      <c r="R12" s="16" t="s">
        <v>84</v>
      </c>
      <c r="S12" s="30">
        <v>17323356</v>
      </c>
      <c r="T12" s="30">
        <v>0</v>
      </c>
      <c r="U12" s="30">
        <v>0</v>
      </c>
      <c r="V12" s="30">
        <v>0</v>
      </c>
      <c r="W12" s="30">
        <v>0</v>
      </c>
      <c r="X12" s="14"/>
    </row>
    <row r="13" spans="1:26" x14ac:dyDescent="0.25">
      <c r="A13" s="26" t="s">
        <v>2885</v>
      </c>
      <c r="B13" s="106" t="s">
        <v>1039</v>
      </c>
      <c r="C13" s="11" t="s">
        <v>2909</v>
      </c>
      <c r="D13" s="55">
        <v>41730</v>
      </c>
      <c r="E13" s="55">
        <v>47120</v>
      </c>
      <c r="F13" s="26" t="s">
        <v>2887</v>
      </c>
      <c r="G13" s="162" t="s">
        <v>974</v>
      </c>
      <c r="H13" s="11" t="s">
        <v>111</v>
      </c>
      <c r="I13" s="11" t="s">
        <v>2470</v>
      </c>
      <c r="J13" s="11" t="s">
        <v>113</v>
      </c>
      <c r="K13" s="26" t="s">
        <v>114</v>
      </c>
      <c r="L13" s="26" t="s">
        <v>2910</v>
      </c>
      <c r="M13" s="11" t="s">
        <v>131</v>
      </c>
      <c r="N13" s="55">
        <v>44130</v>
      </c>
      <c r="O13" s="85" t="s">
        <v>2911</v>
      </c>
      <c r="P13" s="55">
        <v>47120</v>
      </c>
      <c r="Q13" s="16" t="s">
        <v>83</v>
      </c>
      <c r="R13" s="16" t="s">
        <v>84</v>
      </c>
      <c r="S13" s="30">
        <v>10790375</v>
      </c>
      <c r="T13" s="30">
        <v>0</v>
      </c>
      <c r="U13" s="30">
        <v>0</v>
      </c>
      <c r="V13" s="30">
        <v>0</v>
      </c>
      <c r="W13" s="30">
        <v>0</v>
      </c>
      <c r="X13" s="14"/>
    </row>
    <row r="14" spans="1:26" x14ac:dyDescent="0.25">
      <c r="A14" s="26" t="s">
        <v>2885</v>
      </c>
      <c r="B14" s="106" t="s">
        <v>1045</v>
      </c>
      <c r="C14" s="11" t="s">
        <v>2912</v>
      </c>
      <c r="D14" s="55">
        <v>41883</v>
      </c>
      <c r="E14" s="55">
        <v>46265</v>
      </c>
      <c r="F14" s="26" t="s">
        <v>2887</v>
      </c>
      <c r="G14" s="162" t="s">
        <v>2602</v>
      </c>
      <c r="H14" s="11" t="s">
        <v>111</v>
      </c>
      <c r="I14" s="11" t="s">
        <v>2471</v>
      </c>
      <c r="J14" s="11" t="s">
        <v>113</v>
      </c>
      <c r="K14" s="26" t="s">
        <v>114</v>
      </c>
      <c r="L14" s="26" t="s">
        <v>2913</v>
      </c>
      <c r="M14" s="11" t="s">
        <v>1349</v>
      </c>
      <c r="N14" s="55">
        <v>44088</v>
      </c>
      <c r="O14" s="85" t="s">
        <v>2914</v>
      </c>
      <c r="P14" s="55">
        <v>46265</v>
      </c>
      <c r="Q14" s="16" t="s">
        <v>83</v>
      </c>
      <c r="R14" s="16" t="s">
        <v>84</v>
      </c>
      <c r="S14" s="30">
        <v>16580669</v>
      </c>
      <c r="T14" s="30">
        <v>0</v>
      </c>
      <c r="U14" s="30">
        <v>0</v>
      </c>
      <c r="V14" s="30">
        <v>0</v>
      </c>
      <c r="W14" s="30">
        <v>0</v>
      </c>
      <c r="X14" s="14"/>
    </row>
    <row r="15" spans="1:26" x14ac:dyDescent="0.25">
      <c r="A15" s="26" t="s">
        <v>2885</v>
      </c>
      <c r="B15" s="106" t="s">
        <v>1070</v>
      </c>
      <c r="C15" s="11" t="s">
        <v>2915</v>
      </c>
      <c r="D15" s="55">
        <v>43070</v>
      </c>
      <c r="E15" s="55">
        <v>46721</v>
      </c>
      <c r="F15" s="26" t="s">
        <v>2887</v>
      </c>
      <c r="G15" s="162" t="s">
        <v>2916</v>
      </c>
      <c r="H15" s="11" t="s">
        <v>111</v>
      </c>
      <c r="I15" s="11" t="s">
        <v>2477</v>
      </c>
      <c r="J15" s="11" t="s">
        <v>113</v>
      </c>
      <c r="K15" s="26" t="s">
        <v>114</v>
      </c>
      <c r="L15" s="26" t="s">
        <v>2917</v>
      </c>
      <c r="M15" s="11" t="s">
        <v>131</v>
      </c>
      <c r="N15" s="55">
        <v>44088</v>
      </c>
      <c r="O15" s="85" t="s">
        <v>2918</v>
      </c>
      <c r="P15" s="55">
        <v>46721</v>
      </c>
      <c r="Q15" s="16" t="s">
        <v>83</v>
      </c>
      <c r="R15" s="16" t="s">
        <v>84</v>
      </c>
      <c r="S15" s="30">
        <v>12307000</v>
      </c>
      <c r="T15" s="30">
        <v>0</v>
      </c>
      <c r="U15" s="30">
        <v>0</v>
      </c>
      <c r="V15" s="30">
        <v>0</v>
      </c>
      <c r="W15" s="30">
        <v>0</v>
      </c>
      <c r="X15" s="14"/>
      <c r="Z15" s="109"/>
    </row>
    <row r="16" spans="1:26" x14ac:dyDescent="0.25">
      <c r="A16" s="26" t="s">
        <v>2885</v>
      </c>
      <c r="B16" s="106" t="s">
        <v>1083</v>
      </c>
      <c r="C16" s="11" t="s">
        <v>2919</v>
      </c>
      <c r="D16" s="55">
        <v>42154</v>
      </c>
      <c r="E16" s="55">
        <v>46171</v>
      </c>
      <c r="F16" s="26" t="s">
        <v>2887</v>
      </c>
      <c r="G16" s="162" t="s">
        <v>2920</v>
      </c>
      <c r="H16" s="11" t="s">
        <v>111</v>
      </c>
      <c r="I16" s="11" t="s">
        <v>2479</v>
      </c>
      <c r="J16" s="11" t="s">
        <v>113</v>
      </c>
      <c r="K16" s="26" t="s">
        <v>114</v>
      </c>
      <c r="L16" s="26" t="s">
        <v>2921</v>
      </c>
      <c r="M16" s="11" t="s">
        <v>1729</v>
      </c>
      <c r="N16" s="55">
        <v>44088</v>
      </c>
      <c r="O16" s="85" t="s">
        <v>2922</v>
      </c>
      <c r="P16" s="55">
        <v>46171</v>
      </c>
      <c r="Q16" s="16" t="s">
        <v>83</v>
      </c>
      <c r="R16" s="16" t="s">
        <v>84</v>
      </c>
      <c r="S16" s="30">
        <v>14489143</v>
      </c>
      <c r="T16" s="30">
        <v>0</v>
      </c>
      <c r="U16" s="30">
        <v>0</v>
      </c>
      <c r="V16" s="30">
        <v>0</v>
      </c>
      <c r="W16" s="30">
        <v>0</v>
      </c>
      <c r="X16" s="14"/>
    </row>
    <row r="17" spans="1:26" x14ac:dyDescent="0.25">
      <c r="A17" s="26" t="s">
        <v>2885</v>
      </c>
      <c r="B17" s="106" t="s">
        <v>1106</v>
      </c>
      <c r="C17" s="11" t="s">
        <v>2923</v>
      </c>
      <c r="D17" s="55">
        <v>42309</v>
      </c>
      <c r="E17" s="55">
        <v>46326</v>
      </c>
      <c r="F17" s="26" t="s">
        <v>2887</v>
      </c>
      <c r="G17" s="162" t="s">
        <v>2924</v>
      </c>
      <c r="H17" s="11" t="s">
        <v>111</v>
      </c>
      <c r="I17" s="11" t="s">
        <v>2484</v>
      </c>
      <c r="J17" s="11" t="s">
        <v>113</v>
      </c>
      <c r="K17" s="26" t="s">
        <v>114</v>
      </c>
      <c r="L17" s="26" t="s">
        <v>2925</v>
      </c>
      <c r="M17" s="11" t="s">
        <v>397</v>
      </c>
      <c r="N17" s="55">
        <v>44088</v>
      </c>
      <c r="O17" s="85" t="s">
        <v>2926</v>
      </c>
      <c r="P17" s="55">
        <v>46326</v>
      </c>
      <c r="Q17" s="16" t="s">
        <v>83</v>
      </c>
      <c r="R17" s="16" t="s">
        <v>84</v>
      </c>
      <c r="S17" s="30">
        <v>5649396</v>
      </c>
      <c r="T17" s="30">
        <v>0</v>
      </c>
      <c r="U17" s="30">
        <v>0</v>
      </c>
      <c r="V17" s="30">
        <v>0</v>
      </c>
      <c r="W17" s="30">
        <v>0</v>
      </c>
      <c r="X17" s="14"/>
    </row>
    <row r="18" spans="1:26" x14ac:dyDescent="0.25">
      <c r="A18" s="26" t="s">
        <v>2885</v>
      </c>
      <c r="B18" s="106" t="s">
        <v>1132</v>
      </c>
      <c r="C18" s="11" t="s">
        <v>2931</v>
      </c>
      <c r="D18" s="55">
        <v>43002</v>
      </c>
      <c r="E18" s="55">
        <v>46295</v>
      </c>
      <c r="F18" s="26" t="s">
        <v>2887</v>
      </c>
      <c r="G18" s="162" t="s">
        <v>2932</v>
      </c>
      <c r="H18" s="11" t="s">
        <v>111</v>
      </c>
      <c r="I18" s="11" t="s">
        <v>1799</v>
      </c>
      <c r="J18" s="11" t="s">
        <v>113</v>
      </c>
      <c r="K18" s="26" t="s">
        <v>114</v>
      </c>
      <c r="L18" s="26" t="s">
        <v>2933</v>
      </c>
      <c r="M18" s="11" t="s">
        <v>2934</v>
      </c>
      <c r="N18" s="55">
        <v>44088</v>
      </c>
      <c r="O18" s="85" t="s">
        <v>2935</v>
      </c>
      <c r="P18" s="55">
        <v>46295</v>
      </c>
      <c r="Q18" s="16" t="s">
        <v>83</v>
      </c>
      <c r="R18" s="16" t="s">
        <v>84</v>
      </c>
      <c r="S18" s="30">
        <v>27469886</v>
      </c>
      <c r="T18" s="30">
        <v>0</v>
      </c>
      <c r="U18" s="30">
        <v>0</v>
      </c>
      <c r="V18" s="30">
        <v>1199000</v>
      </c>
      <c r="W18" s="30">
        <v>0</v>
      </c>
      <c r="X18" s="14"/>
    </row>
    <row r="19" spans="1:26" x14ac:dyDescent="0.25">
      <c r="A19" s="26" t="s">
        <v>2885</v>
      </c>
      <c r="B19" s="106" t="s">
        <v>1147</v>
      </c>
      <c r="C19" s="11" t="s">
        <v>2936</v>
      </c>
      <c r="D19" s="55">
        <v>40210</v>
      </c>
      <c r="E19" s="55">
        <v>47514</v>
      </c>
      <c r="F19" s="26" t="s">
        <v>2887</v>
      </c>
      <c r="G19" s="162" t="s">
        <v>112</v>
      </c>
      <c r="H19" s="11" t="s">
        <v>111</v>
      </c>
      <c r="I19" s="11" t="s">
        <v>2825</v>
      </c>
      <c r="J19" s="11" t="s">
        <v>113</v>
      </c>
      <c r="K19" s="26" t="s">
        <v>114</v>
      </c>
      <c r="L19" s="26" t="s">
        <v>2937</v>
      </c>
      <c r="M19" s="11" t="s">
        <v>487</v>
      </c>
      <c r="N19" s="55">
        <v>44088</v>
      </c>
      <c r="O19" s="85" t="s">
        <v>2938</v>
      </c>
      <c r="P19" s="55">
        <v>47514</v>
      </c>
      <c r="Q19" s="16" t="s">
        <v>83</v>
      </c>
      <c r="R19" s="16" t="s">
        <v>84</v>
      </c>
      <c r="S19" s="30">
        <v>31227348</v>
      </c>
      <c r="T19" s="30">
        <v>0</v>
      </c>
      <c r="U19" s="30">
        <v>0</v>
      </c>
      <c r="V19" s="30">
        <v>2205344</v>
      </c>
      <c r="W19" s="30">
        <v>0</v>
      </c>
      <c r="X19" s="14"/>
    </row>
    <row r="20" spans="1:26" x14ac:dyDescent="0.25">
      <c r="A20" s="26" t="s">
        <v>2885</v>
      </c>
      <c r="B20" s="106" t="s">
        <v>176</v>
      </c>
      <c r="C20" s="11" t="s">
        <v>2939</v>
      </c>
      <c r="D20" s="55">
        <v>42736</v>
      </c>
      <c r="E20" s="55">
        <v>46387</v>
      </c>
      <c r="F20" s="26" t="s">
        <v>2887</v>
      </c>
      <c r="G20" s="162" t="s">
        <v>991</v>
      </c>
      <c r="H20" s="11" t="s">
        <v>111</v>
      </c>
      <c r="I20" s="11" t="s">
        <v>1811</v>
      </c>
      <c r="J20" s="11" t="s">
        <v>113</v>
      </c>
      <c r="K20" s="26" t="s">
        <v>114</v>
      </c>
      <c r="L20" s="26" t="s">
        <v>2940</v>
      </c>
      <c r="M20" s="11" t="s">
        <v>1349</v>
      </c>
      <c r="N20" s="55">
        <v>44088</v>
      </c>
      <c r="O20" s="85" t="s">
        <v>2941</v>
      </c>
      <c r="P20" s="55">
        <v>46387</v>
      </c>
      <c r="Q20" s="16" t="s">
        <v>83</v>
      </c>
      <c r="R20" s="16" t="s">
        <v>84</v>
      </c>
      <c r="S20" s="30">
        <v>26581643</v>
      </c>
      <c r="T20" s="30">
        <v>0</v>
      </c>
      <c r="U20" s="30">
        <v>0</v>
      </c>
      <c r="V20" s="30">
        <v>1764730</v>
      </c>
      <c r="W20" s="30">
        <v>0</v>
      </c>
      <c r="X20" s="14"/>
    </row>
    <row r="21" spans="1:26" x14ac:dyDescent="0.25">
      <c r="A21" s="26" t="s">
        <v>2885</v>
      </c>
      <c r="B21" s="106" t="s">
        <v>1154</v>
      </c>
      <c r="C21" s="11" t="s">
        <v>2942</v>
      </c>
      <c r="D21" s="55">
        <v>41760</v>
      </c>
      <c r="E21" s="55">
        <v>46142</v>
      </c>
      <c r="F21" s="26" t="s">
        <v>2887</v>
      </c>
      <c r="G21" s="162" t="s">
        <v>121</v>
      </c>
      <c r="H21" s="11" t="s">
        <v>111</v>
      </c>
      <c r="I21" s="11" t="s">
        <v>2865</v>
      </c>
      <c r="J21" s="11" t="s">
        <v>113</v>
      </c>
      <c r="K21" s="26" t="s">
        <v>114</v>
      </c>
      <c r="L21" s="26" t="s">
        <v>2943</v>
      </c>
      <c r="M21" s="11" t="s">
        <v>1395</v>
      </c>
      <c r="N21" s="55">
        <v>44088</v>
      </c>
      <c r="O21" s="85" t="s">
        <v>2944</v>
      </c>
      <c r="P21" s="55">
        <v>46142</v>
      </c>
      <c r="Q21" s="16" t="s">
        <v>83</v>
      </c>
      <c r="R21" s="16" t="s">
        <v>84</v>
      </c>
      <c r="S21" s="30">
        <v>14889215</v>
      </c>
      <c r="T21" s="30">
        <v>0</v>
      </c>
      <c r="U21" s="30">
        <v>0</v>
      </c>
      <c r="V21" s="30">
        <v>3419600</v>
      </c>
      <c r="W21" s="30">
        <v>0</v>
      </c>
      <c r="X21" s="14"/>
    </row>
    <row r="22" spans="1:26" x14ac:dyDescent="0.25">
      <c r="A22" s="26" t="s">
        <v>2885</v>
      </c>
      <c r="B22" s="106" t="s">
        <v>1159</v>
      </c>
      <c r="C22" s="11" t="s">
        <v>2945</v>
      </c>
      <c r="D22" s="55">
        <v>42917</v>
      </c>
      <c r="E22" s="55">
        <v>46234</v>
      </c>
      <c r="F22" s="26" t="s">
        <v>2887</v>
      </c>
      <c r="G22" s="162" t="s">
        <v>996</v>
      </c>
      <c r="H22" s="11" t="s">
        <v>111</v>
      </c>
      <c r="I22" s="11" t="s">
        <v>1818</v>
      </c>
      <c r="J22" s="11" t="s">
        <v>113</v>
      </c>
      <c r="K22" s="26" t="s">
        <v>114</v>
      </c>
      <c r="L22" s="26" t="s">
        <v>2946</v>
      </c>
      <c r="M22" s="11" t="s">
        <v>116</v>
      </c>
      <c r="N22" s="55">
        <v>44088</v>
      </c>
      <c r="O22" s="85" t="s">
        <v>2947</v>
      </c>
      <c r="P22" s="55">
        <v>45868</v>
      </c>
      <c r="Q22" s="16" t="s">
        <v>83</v>
      </c>
      <c r="R22" s="16" t="s">
        <v>84</v>
      </c>
      <c r="S22" s="30">
        <v>11203043</v>
      </c>
      <c r="T22" s="30">
        <v>0</v>
      </c>
      <c r="U22" s="30">
        <v>0</v>
      </c>
      <c r="V22" s="30">
        <v>1410865</v>
      </c>
      <c r="W22" s="30">
        <v>0</v>
      </c>
      <c r="X22" s="14"/>
    </row>
    <row r="23" spans="1:26" x14ac:dyDescent="0.25">
      <c r="A23" s="26" t="s">
        <v>2885</v>
      </c>
      <c r="B23" s="106" t="s">
        <v>1164</v>
      </c>
      <c r="C23" s="11" t="s">
        <v>2948</v>
      </c>
      <c r="D23" s="55">
        <v>43040</v>
      </c>
      <c r="E23" s="55">
        <v>46691</v>
      </c>
      <c r="F23" s="26" t="s">
        <v>2887</v>
      </c>
      <c r="G23" s="162" t="s">
        <v>1002</v>
      </c>
      <c r="H23" s="11" t="s">
        <v>111</v>
      </c>
      <c r="I23" s="11" t="s">
        <v>1822</v>
      </c>
      <c r="J23" s="11" t="s">
        <v>113</v>
      </c>
      <c r="K23" s="26" t="s">
        <v>114</v>
      </c>
      <c r="L23" s="26" t="s">
        <v>2949</v>
      </c>
      <c r="M23" s="11" t="s">
        <v>1349</v>
      </c>
      <c r="N23" s="55">
        <v>44088</v>
      </c>
      <c r="O23" s="85" t="s">
        <v>2950</v>
      </c>
      <c r="P23" s="55">
        <v>46691</v>
      </c>
      <c r="Q23" s="131" t="s">
        <v>83</v>
      </c>
      <c r="R23" s="16" t="s">
        <v>84</v>
      </c>
      <c r="S23" s="30">
        <v>12654187</v>
      </c>
      <c r="T23" s="30">
        <v>0</v>
      </c>
      <c r="U23" s="30">
        <v>0</v>
      </c>
      <c r="V23" s="30">
        <v>3430315</v>
      </c>
      <c r="W23" s="30">
        <v>0</v>
      </c>
      <c r="X23" s="14"/>
    </row>
    <row r="24" spans="1:26" x14ac:dyDescent="0.25">
      <c r="A24" s="26" t="s">
        <v>2885</v>
      </c>
      <c r="B24" s="106" t="s">
        <v>188</v>
      </c>
      <c r="C24" s="11" t="s">
        <v>2951</v>
      </c>
      <c r="D24" s="55">
        <v>42736</v>
      </c>
      <c r="E24" s="55">
        <v>46387</v>
      </c>
      <c r="F24" s="26" t="s">
        <v>2887</v>
      </c>
      <c r="G24" s="162" t="s">
        <v>1008</v>
      </c>
      <c r="H24" s="11" t="s">
        <v>111</v>
      </c>
      <c r="I24" s="11" t="s">
        <v>1826</v>
      </c>
      <c r="J24" s="11" t="s">
        <v>113</v>
      </c>
      <c r="K24" s="26" t="s">
        <v>114</v>
      </c>
      <c r="L24" s="26" t="s">
        <v>2952</v>
      </c>
      <c r="M24" s="11" t="s">
        <v>1349</v>
      </c>
      <c r="N24" s="55">
        <v>44088</v>
      </c>
      <c r="O24" s="85" t="s">
        <v>2953</v>
      </c>
      <c r="P24" s="55">
        <v>46387</v>
      </c>
      <c r="Q24" s="16" t="s">
        <v>83</v>
      </c>
      <c r="R24" s="16" t="s">
        <v>84</v>
      </c>
      <c r="S24" s="30">
        <v>20540360</v>
      </c>
      <c r="T24" s="30">
        <v>0</v>
      </c>
      <c r="U24" s="30">
        <v>0</v>
      </c>
      <c r="V24" s="30">
        <v>1112100</v>
      </c>
      <c r="W24" s="30">
        <v>0</v>
      </c>
      <c r="X24" s="14"/>
    </row>
    <row r="25" spans="1:26" x14ac:dyDescent="0.25">
      <c r="A25" s="26" t="s">
        <v>2885</v>
      </c>
      <c r="B25" s="106" t="s">
        <v>1175</v>
      </c>
      <c r="C25" s="11" t="s">
        <v>2954</v>
      </c>
      <c r="D25" s="55">
        <v>40026</v>
      </c>
      <c r="E25" s="55">
        <v>47329</v>
      </c>
      <c r="F25" s="26" t="s">
        <v>2887</v>
      </c>
      <c r="G25" s="162" t="s">
        <v>1019</v>
      </c>
      <c r="H25" s="11" t="s">
        <v>111</v>
      </c>
      <c r="I25" s="11" t="s">
        <v>2769</v>
      </c>
      <c r="J25" s="11" t="s">
        <v>113</v>
      </c>
      <c r="K25" s="26" t="s">
        <v>114</v>
      </c>
      <c r="L25" s="26" t="s">
        <v>2955</v>
      </c>
      <c r="M25" s="11" t="s">
        <v>487</v>
      </c>
      <c r="N25" s="55">
        <v>44088</v>
      </c>
      <c r="O25" s="85" t="s">
        <v>2956</v>
      </c>
      <c r="P25" s="55">
        <v>47329</v>
      </c>
      <c r="Q25" s="16" t="s">
        <v>83</v>
      </c>
      <c r="R25" s="16" t="s">
        <v>84</v>
      </c>
      <c r="S25" s="30">
        <v>20644035</v>
      </c>
      <c r="T25" s="30">
        <v>0</v>
      </c>
      <c r="U25" s="30">
        <v>0</v>
      </c>
      <c r="V25" s="30">
        <v>2968869</v>
      </c>
      <c r="W25" s="30">
        <v>0</v>
      </c>
      <c r="X25" s="14"/>
    </row>
    <row r="26" spans="1:26" x14ac:dyDescent="0.25">
      <c r="A26" s="26" t="s">
        <v>2885</v>
      </c>
      <c r="B26" s="106" t="s">
        <v>1181</v>
      </c>
      <c r="C26" s="11" t="s">
        <v>2957</v>
      </c>
      <c r="D26" s="55">
        <v>40057</v>
      </c>
      <c r="E26" s="55">
        <v>47360</v>
      </c>
      <c r="F26" s="26" t="s">
        <v>2887</v>
      </c>
      <c r="G26" s="162" t="s">
        <v>137</v>
      </c>
      <c r="H26" s="11" t="s">
        <v>111</v>
      </c>
      <c r="I26" s="11" t="s">
        <v>2772</v>
      </c>
      <c r="J26" s="11" t="s">
        <v>113</v>
      </c>
      <c r="K26" s="26" t="s">
        <v>114</v>
      </c>
      <c r="L26" s="26" t="s">
        <v>2958</v>
      </c>
      <c r="M26" s="11" t="s">
        <v>487</v>
      </c>
      <c r="N26" s="55">
        <v>44088</v>
      </c>
      <c r="O26" s="85" t="s">
        <v>2959</v>
      </c>
      <c r="P26" s="55">
        <v>47360</v>
      </c>
      <c r="Q26" s="16" t="s">
        <v>83</v>
      </c>
      <c r="R26" s="16" t="s">
        <v>84</v>
      </c>
      <c r="S26" s="30">
        <v>17541446</v>
      </c>
      <c r="T26" s="30">
        <v>0</v>
      </c>
      <c r="U26" s="30">
        <v>0</v>
      </c>
      <c r="V26" s="30">
        <v>0</v>
      </c>
      <c r="W26" s="30">
        <v>0</v>
      </c>
      <c r="X26" s="14"/>
    </row>
    <row r="27" spans="1:26" x14ac:dyDescent="0.25">
      <c r="A27" s="26" t="s">
        <v>2885</v>
      </c>
      <c r="B27" s="106" t="s">
        <v>1200</v>
      </c>
      <c r="C27" s="11" t="s">
        <v>2960</v>
      </c>
      <c r="D27" s="55">
        <v>42736</v>
      </c>
      <c r="E27" s="55">
        <v>46387</v>
      </c>
      <c r="F27" s="26" t="s">
        <v>2887</v>
      </c>
      <c r="G27" s="162" t="s">
        <v>1036</v>
      </c>
      <c r="H27" s="11" t="s">
        <v>111</v>
      </c>
      <c r="I27" s="11" t="s">
        <v>2877</v>
      </c>
      <c r="J27" s="11" t="s">
        <v>113</v>
      </c>
      <c r="K27" s="26" t="s">
        <v>114</v>
      </c>
      <c r="L27" s="26" t="s">
        <v>2961</v>
      </c>
      <c r="M27" s="11" t="s">
        <v>1349</v>
      </c>
      <c r="N27" s="55">
        <v>44088</v>
      </c>
      <c r="O27" s="85" t="s">
        <v>2962</v>
      </c>
      <c r="P27" s="55">
        <v>46387</v>
      </c>
      <c r="Q27" s="16" t="s">
        <v>83</v>
      </c>
      <c r="R27" s="16" t="s">
        <v>84</v>
      </c>
      <c r="S27" s="30">
        <v>15707335</v>
      </c>
      <c r="T27" s="30">
        <v>0</v>
      </c>
      <c r="U27" s="30">
        <v>0</v>
      </c>
      <c r="V27" s="30">
        <v>2363861</v>
      </c>
      <c r="W27" s="30">
        <v>0</v>
      </c>
      <c r="X27" s="14"/>
    </row>
    <row r="28" spans="1:26" x14ac:dyDescent="0.25">
      <c r="A28" s="26" t="s">
        <v>2885</v>
      </c>
      <c r="B28" s="106" t="s">
        <v>2374</v>
      </c>
      <c r="C28" s="11" t="s">
        <v>2963</v>
      </c>
      <c r="D28" s="55">
        <v>42321</v>
      </c>
      <c r="E28" s="55">
        <v>46339</v>
      </c>
      <c r="F28" s="26" t="s">
        <v>2887</v>
      </c>
      <c r="G28" s="162" t="s">
        <v>1054</v>
      </c>
      <c r="H28" s="11" t="s">
        <v>111</v>
      </c>
      <c r="I28" s="11" t="s">
        <v>2881</v>
      </c>
      <c r="J28" s="11" t="s">
        <v>113</v>
      </c>
      <c r="K28" s="26" t="s">
        <v>114</v>
      </c>
      <c r="L28" s="26" t="s">
        <v>2964</v>
      </c>
      <c r="M28" s="11" t="s">
        <v>131</v>
      </c>
      <c r="N28" s="55">
        <v>44088</v>
      </c>
      <c r="O28" s="85" t="s">
        <v>2965</v>
      </c>
      <c r="P28" s="55">
        <v>46339</v>
      </c>
      <c r="Q28" s="16" t="s">
        <v>83</v>
      </c>
      <c r="R28" s="16" t="s">
        <v>84</v>
      </c>
      <c r="S28" s="30">
        <v>15091637</v>
      </c>
      <c r="T28" s="30">
        <v>0</v>
      </c>
      <c r="U28" s="30">
        <v>0</v>
      </c>
      <c r="V28" s="30">
        <v>1957358</v>
      </c>
      <c r="W28" s="30">
        <v>0</v>
      </c>
      <c r="X28" s="14"/>
    </row>
    <row r="29" spans="1:26" x14ac:dyDescent="0.25">
      <c r="A29" s="26" t="s">
        <v>2885</v>
      </c>
      <c r="B29" s="106" t="s">
        <v>1226</v>
      </c>
      <c r="C29" s="11" t="s">
        <v>2972</v>
      </c>
      <c r="D29" s="55">
        <v>42621</v>
      </c>
      <c r="E29" s="55">
        <v>46272</v>
      </c>
      <c r="F29" s="26" t="s">
        <v>2887</v>
      </c>
      <c r="G29" s="162" t="s">
        <v>1086</v>
      </c>
      <c r="H29" s="11" t="s">
        <v>111</v>
      </c>
      <c r="I29" s="11" t="s">
        <v>2506</v>
      </c>
      <c r="J29" s="11" t="s">
        <v>113</v>
      </c>
      <c r="K29" s="26" t="s">
        <v>114</v>
      </c>
      <c r="L29" s="26" t="s">
        <v>2973</v>
      </c>
      <c r="M29" s="11" t="s">
        <v>174</v>
      </c>
      <c r="N29" s="55">
        <v>44088</v>
      </c>
      <c r="O29" s="85" t="s">
        <v>2974</v>
      </c>
      <c r="P29" s="55">
        <v>46272</v>
      </c>
      <c r="Q29" s="16" t="s">
        <v>83</v>
      </c>
      <c r="R29" s="16" t="s">
        <v>84</v>
      </c>
      <c r="S29" s="30">
        <v>4175312</v>
      </c>
      <c r="T29" s="30">
        <v>0</v>
      </c>
      <c r="U29" s="30">
        <v>0</v>
      </c>
      <c r="V29" s="30">
        <v>0</v>
      </c>
      <c r="W29" s="30">
        <v>0</v>
      </c>
      <c r="X29" s="14"/>
    </row>
    <row r="30" spans="1:26" x14ac:dyDescent="0.25">
      <c r="A30" s="26" t="s">
        <v>2885</v>
      </c>
      <c r="B30" s="106" t="s">
        <v>224</v>
      </c>
      <c r="C30" s="11" t="s">
        <v>2975</v>
      </c>
      <c r="D30" s="55">
        <v>42461</v>
      </c>
      <c r="E30" s="55">
        <v>46112</v>
      </c>
      <c r="F30" s="26" t="s">
        <v>2887</v>
      </c>
      <c r="G30" s="162" t="s">
        <v>159</v>
      </c>
      <c r="H30" s="11" t="s">
        <v>111</v>
      </c>
      <c r="I30" s="11" t="s">
        <v>1867</v>
      </c>
      <c r="J30" s="11" t="s">
        <v>113</v>
      </c>
      <c r="K30" s="26" t="s">
        <v>114</v>
      </c>
      <c r="L30" s="26" t="s">
        <v>2976</v>
      </c>
      <c r="M30" s="11" t="s">
        <v>131</v>
      </c>
      <c r="N30" s="55">
        <v>44088</v>
      </c>
      <c r="O30" s="85" t="s">
        <v>2977</v>
      </c>
      <c r="P30" s="55">
        <v>46112</v>
      </c>
      <c r="Q30" s="16" t="s">
        <v>83</v>
      </c>
      <c r="R30" s="16" t="s">
        <v>133</v>
      </c>
      <c r="S30" s="30">
        <v>9956734</v>
      </c>
      <c r="T30" s="30">
        <v>0</v>
      </c>
      <c r="U30" s="30">
        <v>0</v>
      </c>
      <c r="V30" s="30">
        <v>1417636</v>
      </c>
      <c r="W30" s="30">
        <v>0</v>
      </c>
      <c r="X30" s="87" t="s">
        <v>125</v>
      </c>
      <c r="Z30" s="109"/>
    </row>
    <row r="31" spans="1:26" x14ac:dyDescent="0.25">
      <c r="A31" s="26" t="s">
        <v>2885</v>
      </c>
      <c r="B31" s="106" t="s">
        <v>236</v>
      </c>
      <c r="C31" s="11" t="s">
        <v>2978</v>
      </c>
      <c r="D31" s="55">
        <v>42690</v>
      </c>
      <c r="E31" s="55">
        <v>46312</v>
      </c>
      <c r="F31" s="26" t="s">
        <v>2887</v>
      </c>
      <c r="G31" s="162" t="s">
        <v>166</v>
      </c>
      <c r="H31" s="11" t="s">
        <v>111</v>
      </c>
      <c r="I31" s="11" t="s">
        <v>1871</v>
      </c>
      <c r="J31" s="11" t="s">
        <v>113</v>
      </c>
      <c r="K31" s="26" t="s">
        <v>114</v>
      </c>
      <c r="L31" s="26" t="s">
        <v>2979</v>
      </c>
      <c r="M31" s="11" t="s">
        <v>139</v>
      </c>
      <c r="N31" s="55">
        <v>44088</v>
      </c>
      <c r="O31" s="85" t="s">
        <v>2980</v>
      </c>
      <c r="P31" s="55">
        <v>46312</v>
      </c>
      <c r="Q31" s="16" t="s">
        <v>83</v>
      </c>
      <c r="R31" s="16" t="s">
        <v>84</v>
      </c>
      <c r="S31" s="30">
        <v>26109047</v>
      </c>
      <c r="T31" s="30">
        <v>0</v>
      </c>
      <c r="U31" s="30">
        <v>0</v>
      </c>
      <c r="V31" s="30">
        <v>3673365</v>
      </c>
      <c r="W31" s="30">
        <v>0</v>
      </c>
      <c r="X31" s="14"/>
    </row>
    <row r="32" spans="1:26" x14ac:dyDescent="0.25">
      <c r="A32" s="26" t="s">
        <v>2885</v>
      </c>
      <c r="B32" s="106" t="s">
        <v>1266</v>
      </c>
      <c r="C32" s="11" t="s">
        <v>2984</v>
      </c>
      <c r="D32" s="55">
        <v>42887</v>
      </c>
      <c r="E32" s="55">
        <v>46538</v>
      </c>
      <c r="F32" s="26" t="s">
        <v>2887</v>
      </c>
      <c r="G32" s="162" t="s">
        <v>1134</v>
      </c>
      <c r="H32" s="11" t="s">
        <v>111</v>
      </c>
      <c r="I32" s="11" t="s">
        <v>2985</v>
      </c>
      <c r="J32" s="11" t="s">
        <v>113</v>
      </c>
      <c r="K32" s="26" t="s">
        <v>114</v>
      </c>
      <c r="L32" s="26" t="s">
        <v>2986</v>
      </c>
      <c r="M32" s="11" t="s">
        <v>131</v>
      </c>
      <c r="N32" s="55">
        <v>44088</v>
      </c>
      <c r="O32" s="85" t="s">
        <v>2987</v>
      </c>
      <c r="P32" s="55">
        <v>46538</v>
      </c>
      <c r="Q32" s="16" t="s">
        <v>83</v>
      </c>
      <c r="R32" s="16" t="s">
        <v>84</v>
      </c>
      <c r="S32" s="30">
        <v>33947304</v>
      </c>
      <c r="T32" s="30">
        <v>0</v>
      </c>
      <c r="U32" s="30">
        <v>0</v>
      </c>
      <c r="V32" s="30">
        <v>1090773</v>
      </c>
      <c r="W32" s="30">
        <v>0</v>
      </c>
      <c r="X32" s="14"/>
    </row>
    <row r="33" spans="1:16378" x14ac:dyDescent="0.25">
      <c r="A33" s="26" t="s">
        <v>2885</v>
      </c>
      <c r="B33" s="106" t="s">
        <v>1303</v>
      </c>
      <c r="C33" s="11" t="s">
        <v>2988</v>
      </c>
      <c r="D33" s="55">
        <v>43009</v>
      </c>
      <c r="E33" s="55">
        <v>46508</v>
      </c>
      <c r="F33" s="26" t="s">
        <v>2887</v>
      </c>
      <c r="G33" s="162" t="s">
        <v>1172</v>
      </c>
      <c r="H33" s="11" t="s">
        <v>111</v>
      </c>
      <c r="I33" s="11" t="s">
        <v>2540</v>
      </c>
      <c r="J33" s="11" t="s">
        <v>113</v>
      </c>
      <c r="K33" s="26" t="s">
        <v>114</v>
      </c>
      <c r="L33" s="26" t="s">
        <v>2989</v>
      </c>
      <c r="M33" s="11" t="s">
        <v>131</v>
      </c>
      <c r="N33" s="55">
        <v>44088</v>
      </c>
      <c r="O33" s="85" t="s">
        <v>2990</v>
      </c>
      <c r="P33" s="55">
        <v>46508</v>
      </c>
      <c r="Q33" s="16" t="s">
        <v>83</v>
      </c>
      <c r="R33" s="16" t="s">
        <v>84</v>
      </c>
      <c r="S33" s="30">
        <v>42915064</v>
      </c>
      <c r="T33" s="30">
        <v>0</v>
      </c>
      <c r="U33" s="30">
        <v>0</v>
      </c>
      <c r="V33" s="30">
        <v>0</v>
      </c>
      <c r="W33" s="30">
        <v>0</v>
      </c>
      <c r="X33" s="14"/>
    </row>
    <row r="34" spans="1:16378" x14ac:dyDescent="0.25">
      <c r="A34" s="26" t="s">
        <v>2885</v>
      </c>
      <c r="B34" s="106" t="s">
        <v>308</v>
      </c>
      <c r="C34" s="11" t="s">
        <v>2994</v>
      </c>
      <c r="D34" s="55">
        <v>43195</v>
      </c>
      <c r="E34" s="55">
        <v>46481</v>
      </c>
      <c r="F34" s="26" t="s">
        <v>2887</v>
      </c>
      <c r="G34" s="162" t="s">
        <v>1207</v>
      </c>
      <c r="H34" s="11" t="s">
        <v>111</v>
      </c>
      <c r="I34" s="11" t="s">
        <v>2548</v>
      </c>
      <c r="J34" s="11" t="s">
        <v>113</v>
      </c>
      <c r="K34" s="26" t="s">
        <v>114</v>
      </c>
      <c r="L34" s="26" t="s">
        <v>2995</v>
      </c>
      <c r="M34" s="11" t="s">
        <v>174</v>
      </c>
      <c r="N34" s="55">
        <v>44088</v>
      </c>
      <c r="O34" s="85" t="s">
        <v>2996</v>
      </c>
      <c r="P34" s="55">
        <v>46481</v>
      </c>
      <c r="Q34" s="16" t="s">
        <v>83</v>
      </c>
      <c r="R34" s="16" t="s">
        <v>84</v>
      </c>
      <c r="S34" s="30">
        <v>15918945</v>
      </c>
      <c r="T34" s="30">
        <v>0</v>
      </c>
      <c r="U34" s="30">
        <v>0</v>
      </c>
      <c r="V34" s="30">
        <v>1871670</v>
      </c>
      <c r="W34" s="30">
        <v>0</v>
      </c>
      <c r="X34" s="87" t="s">
        <v>125</v>
      </c>
    </row>
    <row r="35" spans="1:16378" x14ac:dyDescent="0.25">
      <c r="A35" s="26" t="s">
        <v>2885</v>
      </c>
      <c r="B35" s="106" t="s">
        <v>1340</v>
      </c>
      <c r="C35" s="11" t="s">
        <v>3000</v>
      </c>
      <c r="D35" s="55">
        <v>42926</v>
      </c>
      <c r="E35" s="55">
        <v>46934</v>
      </c>
      <c r="F35" s="26" t="s">
        <v>2887</v>
      </c>
      <c r="G35" s="162" t="s">
        <v>203</v>
      </c>
      <c r="H35" s="11" t="s">
        <v>111</v>
      </c>
      <c r="I35" s="11" t="s">
        <v>2550</v>
      </c>
      <c r="J35" s="11" t="s">
        <v>113</v>
      </c>
      <c r="K35" s="26" t="s">
        <v>114</v>
      </c>
      <c r="L35" s="26" t="s">
        <v>3001</v>
      </c>
      <c r="M35" s="11" t="s">
        <v>174</v>
      </c>
      <c r="N35" s="55">
        <v>44088</v>
      </c>
      <c r="O35" s="85" t="s">
        <v>3002</v>
      </c>
      <c r="P35" s="55">
        <v>46934</v>
      </c>
      <c r="Q35" s="16" t="s">
        <v>83</v>
      </c>
      <c r="R35" s="16" t="s">
        <v>84</v>
      </c>
      <c r="S35" s="30">
        <v>109225928</v>
      </c>
      <c r="T35" s="30">
        <v>0</v>
      </c>
      <c r="U35" s="30">
        <v>0</v>
      </c>
      <c r="V35" s="30">
        <v>0</v>
      </c>
      <c r="W35" s="30">
        <v>0</v>
      </c>
      <c r="X35" s="14"/>
    </row>
    <row r="36" spans="1:16378" x14ac:dyDescent="0.25">
      <c r="A36" s="26" t="s">
        <v>2885</v>
      </c>
      <c r="B36" s="106" t="s">
        <v>314</v>
      </c>
      <c r="C36" s="11" t="s">
        <v>3003</v>
      </c>
      <c r="D36" s="55">
        <v>42370</v>
      </c>
      <c r="E36" s="56">
        <v>46387</v>
      </c>
      <c r="F36" s="26" t="s">
        <v>2887</v>
      </c>
      <c r="G36" s="162" t="s">
        <v>1218</v>
      </c>
      <c r="H36" s="11" t="s">
        <v>111</v>
      </c>
      <c r="I36" s="11" t="s">
        <v>2437</v>
      </c>
      <c r="J36" s="11" t="s">
        <v>113</v>
      </c>
      <c r="K36" s="26" t="s">
        <v>114</v>
      </c>
      <c r="L36" s="26" t="s">
        <v>3004</v>
      </c>
      <c r="M36" s="11" t="s">
        <v>131</v>
      </c>
      <c r="N36" s="55">
        <v>44088</v>
      </c>
      <c r="O36" s="86" t="s">
        <v>3005</v>
      </c>
      <c r="P36" s="55">
        <v>46387</v>
      </c>
      <c r="Q36" s="16" t="s">
        <v>83</v>
      </c>
      <c r="R36" s="16" t="s">
        <v>84</v>
      </c>
      <c r="S36" s="30">
        <v>33529692</v>
      </c>
      <c r="T36" s="30">
        <v>0</v>
      </c>
      <c r="U36" s="30">
        <v>0</v>
      </c>
      <c r="V36" s="30">
        <v>0</v>
      </c>
      <c r="W36" s="30">
        <v>0</v>
      </c>
      <c r="X36" s="14"/>
    </row>
    <row r="37" spans="1:16378" x14ac:dyDescent="0.25">
      <c r="A37" s="26" t="s">
        <v>2885</v>
      </c>
      <c r="B37" s="106" t="s">
        <v>327</v>
      </c>
      <c r="C37" s="11" t="s">
        <v>3006</v>
      </c>
      <c r="D37" s="55">
        <v>42736</v>
      </c>
      <c r="E37" s="55">
        <v>46386</v>
      </c>
      <c r="F37" s="26" t="s">
        <v>2887</v>
      </c>
      <c r="G37" s="162" t="s">
        <v>209</v>
      </c>
      <c r="H37" s="11" t="s">
        <v>111</v>
      </c>
      <c r="I37" s="11" t="s">
        <v>3007</v>
      </c>
      <c r="J37" s="11" t="s">
        <v>113</v>
      </c>
      <c r="K37" s="26" t="s">
        <v>114</v>
      </c>
      <c r="L37" s="26" t="s">
        <v>3008</v>
      </c>
      <c r="M37" s="11" t="s">
        <v>410</v>
      </c>
      <c r="N37" s="55">
        <v>44088</v>
      </c>
      <c r="O37" s="85" t="s">
        <v>3009</v>
      </c>
      <c r="P37" s="55">
        <v>46386</v>
      </c>
      <c r="Q37" s="16" t="s">
        <v>83</v>
      </c>
      <c r="R37" s="16" t="s">
        <v>84</v>
      </c>
      <c r="S37" s="30">
        <v>13778232</v>
      </c>
      <c r="T37" s="30">
        <v>0</v>
      </c>
      <c r="U37" s="30">
        <v>0</v>
      </c>
      <c r="V37" s="30">
        <v>4383985</v>
      </c>
      <c r="W37" s="30">
        <v>0</v>
      </c>
      <c r="X37" s="14"/>
    </row>
    <row r="38" spans="1:16378" x14ac:dyDescent="0.25">
      <c r="A38" s="26" t="s">
        <v>2885</v>
      </c>
      <c r="B38" s="106" t="s">
        <v>1409</v>
      </c>
      <c r="C38" s="11" t="s">
        <v>3018</v>
      </c>
      <c r="D38" s="55">
        <v>43466</v>
      </c>
      <c r="E38" s="56">
        <v>46174</v>
      </c>
      <c r="F38" s="26" t="s">
        <v>2887</v>
      </c>
      <c r="G38" s="162" t="s">
        <v>1937</v>
      </c>
      <c r="H38" s="11" t="s">
        <v>111</v>
      </c>
      <c r="I38" s="11"/>
      <c r="J38" s="11" t="s">
        <v>113</v>
      </c>
      <c r="K38" s="26" t="s">
        <v>469</v>
      </c>
      <c r="L38" s="26" t="s">
        <v>3019</v>
      </c>
      <c r="M38" s="11" t="s">
        <v>2712</v>
      </c>
      <c r="N38" s="55">
        <v>44001</v>
      </c>
      <c r="O38" s="85" t="s">
        <v>3020</v>
      </c>
      <c r="P38" s="55">
        <v>46174</v>
      </c>
      <c r="Q38" s="16" t="s">
        <v>83</v>
      </c>
      <c r="R38" s="16" t="s">
        <v>84</v>
      </c>
      <c r="S38" s="30">
        <v>8141716</v>
      </c>
      <c r="T38" s="30">
        <v>0</v>
      </c>
      <c r="U38" s="30">
        <v>0</v>
      </c>
      <c r="V38" s="30">
        <v>0</v>
      </c>
      <c r="W38" s="30">
        <v>0</v>
      </c>
      <c r="X38" s="14"/>
    </row>
    <row r="39" spans="1:16378" x14ac:dyDescent="0.25">
      <c r="A39" s="26" t="s">
        <v>2885</v>
      </c>
      <c r="B39" s="106" t="s">
        <v>1439</v>
      </c>
      <c r="C39" s="11" t="s">
        <v>3025</v>
      </c>
      <c r="D39" s="55">
        <v>44492</v>
      </c>
      <c r="E39" s="55">
        <v>46295</v>
      </c>
      <c r="F39" s="26" t="s">
        <v>2887</v>
      </c>
      <c r="G39" s="162" t="s">
        <v>979</v>
      </c>
      <c r="H39" s="11"/>
      <c r="I39" s="13" t="s">
        <v>111</v>
      </c>
      <c r="J39" s="11" t="s">
        <v>113</v>
      </c>
      <c r="K39" s="26" t="s">
        <v>114</v>
      </c>
      <c r="L39" s="26" t="s">
        <v>3026</v>
      </c>
      <c r="M39" s="11" t="s">
        <v>131</v>
      </c>
      <c r="N39" s="55">
        <v>44649</v>
      </c>
      <c r="O39" s="150" t="s">
        <v>3027</v>
      </c>
      <c r="P39" s="55">
        <v>46295</v>
      </c>
      <c r="Q39" s="16" t="s">
        <v>83</v>
      </c>
      <c r="R39" s="16" t="s">
        <v>84</v>
      </c>
      <c r="S39" s="30">
        <v>9355925</v>
      </c>
      <c r="T39" s="30">
        <v>0</v>
      </c>
      <c r="U39" s="30">
        <v>935593</v>
      </c>
      <c r="V39" s="30">
        <v>0</v>
      </c>
      <c r="W39" s="30">
        <v>0</v>
      </c>
      <c r="X39" s="9"/>
    </row>
    <row r="40" spans="1:16378" x14ac:dyDescent="0.25">
      <c r="A40" s="26" t="s">
        <v>2885</v>
      </c>
      <c r="B40" s="106" t="s">
        <v>1444</v>
      </c>
      <c r="C40" s="11" t="s">
        <v>3028</v>
      </c>
      <c r="D40" s="55">
        <v>44505</v>
      </c>
      <c r="E40" s="55">
        <v>46331</v>
      </c>
      <c r="F40" s="26" t="s">
        <v>2887</v>
      </c>
      <c r="G40" s="162" t="s">
        <v>980</v>
      </c>
      <c r="H40" s="11"/>
      <c r="I40" s="13" t="s">
        <v>111</v>
      </c>
      <c r="J40" s="11" t="s">
        <v>113</v>
      </c>
      <c r="K40" s="26" t="s">
        <v>114</v>
      </c>
      <c r="L40" s="26" t="s">
        <v>3029</v>
      </c>
      <c r="M40" s="11" t="s">
        <v>131</v>
      </c>
      <c r="N40" s="55">
        <v>44651</v>
      </c>
      <c r="O40" s="150" t="s">
        <v>3030</v>
      </c>
      <c r="P40" s="55">
        <v>46330</v>
      </c>
      <c r="Q40" s="16" t="s">
        <v>83</v>
      </c>
      <c r="R40" s="16" t="s">
        <v>84</v>
      </c>
      <c r="S40" s="30">
        <v>36412781</v>
      </c>
      <c r="T40" s="30">
        <v>0</v>
      </c>
      <c r="U40" s="30">
        <v>0</v>
      </c>
      <c r="V40" s="30">
        <v>0</v>
      </c>
      <c r="W40" s="30">
        <v>0</v>
      </c>
      <c r="X40" s="9"/>
    </row>
    <row r="41" spans="1:16378" x14ac:dyDescent="0.25">
      <c r="A41" s="26" t="s">
        <v>2885</v>
      </c>
      <c r="B41" s="106" t="s">
        <v>392</v>
      </c>
      <c r="C41" s="11" t="s">
        <v>3031</v>
      </c>
      <c r="D41" s="55">
        <v>44621</v>
      </c>
      <c r="E41" s="55">
        <v>46155</v>
      </c>
      <c r="F41" s="26" t="s">
        <v>2887</v>
      </c>
      <c r="G41" s="162" t="s">
        <v>983</v>
      </c>
      <c r="H41" s="11" t="s">
        <v>111</v>
      </c>
      <c r="J41" s="11" t="s">
        <v>113</v>
      </c>
      <c r="K41" s="26" t="s">
        <v>3032</v>
      </c>
      <c r="L41" s="26" t="s">
        <v>3033</v>
      </c>
      <c r="M41" s="11" t="s">
        <v>377</v>
      </c>
      <c r="N41" s="55">
        <v>44894</v>
      </c>
      <c r="O41" s="150" t="s">
        <v>3034</v>
      </c>
      <c r="P41" s="55">
        <v>46155</v>
      </c>
      <c r="Q41" s="16" t="s">
        <v>83</v>
      </c>
      <c r="R41" s="16" t="s">
        <v>84</v>
      </c>
      <c r="S41" s="30">
        <v>8405506</v>
      </c>
      <c r="T41" s="30">
        <v>0</v>
      </c>
      <c r="U41" s="30">
        <v>0</v>
      </c>
      <c r="V41" s="30">
        <v>0</v>
      </c>
      <c r="W41" s="30">
        <v>0</v>
      </c>
      <c r="X41" s="9"/>
    </row>
    <row r="42" spans="1:16378" x14ac:dyDescent="0.25">
      <c r="A42" s="26" t="s">
        <v>2885</v>
      </c>
      <c r="B42" s="106" t="s">
        <v>1461</v>
      </c>
      <c r="C42" s="11" t="s">
        <v>3035</v>
      </c>
      <c r="D42" s="55">
        <v>45332</v>
      </c>
      <c r="E42" s="55">
        <v>46427</v>
      </c>
      <c r="F42" s="26" t="s">
        <v>2887</v>
      </c>
      <c r="G42" s="162" t="s">
        <v>987</v>
      </c>
      <c r="H42" s="11" t="s">
        <v>111</v>
      </c>
      <c r="J42" s="11" t="s">
        <v>113</v>
      </c>
      <c r="K42" s="26" t="s">
        <v>114</v>
      </c>
      <c r="L42" s="26" t="s">
        <v>3036</v>
      </c>
      <c r="M42" s="11" t="s">
        <v>174</v>
      </c>
      <c r="N42" s="55">
        <v>45351</v>
      </c>
      <c r="O42" s="85" t="s">
        <v>3037</v>
      </c>
      <c r="P42" s="55">
        <v>46427</v>
      </c>
      <c r="Q42" s="16" t="s">
        <v>83</v>
      </c>
      <c r="R42" s="16" t="s">
        <v>84</v>
      </c>
      <c r="S42" s="30">
        <v>17245516</v>
      </c>
      <c r="T42" s="30">
        <v>0</v>
      </c>
      <c r="U42" s="30">
        <v>1632233</v>
      </c>
      <c r="V42" s="30">
        <v>4894301</v>
      </c>
      <c r="W42" s="30">
        <v>0</v>
      </c>
      <c r="X42" s="77" t="s">
        <v>85</v>
      </c>
    </row>
    <row r="43" spans="1:16378" x14ac:dyDescent="0.25">
      <c r="A43" s="26" t="s">
        <v>2885</v>
      </c>
      <c r="B43" s="106" t="s">
        <v>1467</v>
      </c>
      <c r="C43" s="11" t="s">
        <v>3038</v>
      </c>
      <c r="D43" s="55">
        <v>45372</v>
      </c>
      <c r="E43" s="55">
        <v>46466</v>
      </c>
      <c r="F43" s="26" t="s">
        <v>2887</v>
      </c>
      <c r="G43" s="162" t="s">
        <v>1584</v>
      </c>
      <c r="H43" s="11" t="s">
        <v>111</v>
      </c>
      <c r="J43" s="11" t="s">
        <v>113</v>
      </c>
      <c r="K43" s="26" t="s">
        <v>114</v>
      </c>
      <c r="L43" s="26" t="s">
        <v>3039</v>
      </c>
      <c r="M43" s="11" t="s">
        <v>174</v>
      </c>
      <c r="N43" s="55">
        <v>45379</v>
      </c>
      <c r="O43" s="85" t="s">
        <v>3040</v>
      </c>
      <c r="P43" s="55">
        <v>46466</v>
      </c>
      <c r="Q43" s="16" t="s">
        <v>83</v>
      </c>
      <c r="R43" s="16" t="s">
        <v>84</v>
      </c>
      <c r="S43" s="30">
        <v>10158744</v>
      </c>
      <c r="T43" s="30">
        <v>0</v>
      </c>
      <c r="U43" s="30">
        <v>941951</v>
      </c>
      <c r="V43" s="30">
        <v>1493981</v>
      </c>
      <c r="W43" s="30">
        <v>0</v>
      </c>
      <c r="X43" s="77" t="s">
        <v>85</v>
      </c>
    </row>
    <row r="44" spans="1:16378" x14ac:dyDescent="0.25">
      <c r="A44" s="26" t="s">
        <v>2885</v>
      </c>
      <c r="B44" s="106" t="s">
        <v>1473</v>
      </c>
      <c r="C44" s="11" t="s">
        <v>3041</v>
      </c>
      <c r="D44" s="55">
        <v>45399</v>
      </c>
      <c r="E44" s="55">
        <v>46493</v>
      </c>
      <c r="F44" s="26" t="s">
        <v>2887</v>
      </c>
      <c r="G44" s="162" t="s">
        <v>1842</v>
      </c>
      <c r="H44" s="11" t="s">
        <v>111</v>
      </c>
      <c r="J44" s="11" t="s">
        <v>113</v>
      </c>
      <c r="K44" s="26" t="s">
        <v>114</v>
      </c>
      <c r="L44" s="26" t="s">
        <v>2342</v>
      </c>
      <c r="M44" s="11" t="s">
        <v>174</v>
      </c>
      <c r="N44" s="55">
        <v>45404</v>
      </c>
      <c r="O44" s="85" t="s">
        <v>3042</v>
      </c>
      <c r="P44" s="55">
        <v>46493</v>
      </c>
      <c r="Q44" s="16" t="s">
        <v>83</v>
      </c>
      <c r="R44" s="16" t="s">
        <v>84</v>
      </c>
      <c r="S44" s="30">
        <v>18417717</v>
      </c>
      <c r="T44" s="30">
        <v>0</v>
      </c>
      <c r="U44" s="30">
        <v>0</v>
      </c>
      <c r="V44" s="30">
        <v>0</v>
      </c>
      <c r="W44" s="30">
        <v>0</v>
      </c>
      <c r="X44" s="90" t="s">
        <v>125</v>
      </c>
    </row>
    <row r="45" spans="1:16378" x14ac:dyDescent="0.25">
      <c r="A45" s="26" t="s">
        <v>2885</v>
      </c>
      <c r="B45" s="106" t="s">
        <v>1479</v>
      </c>
      <c r="C45" s="11" t="s">
        <v>3043</v>
      </c>
      <c r="D45" s="55">
        <v>45364</v>
      </c>
      <c r="E45" s="55">
        <v>46093</v>
      </c>
      <c r="F45" s="26" t="s">
        <v>2887</v>
      </c>
      <c r="G45" s="162" t="s">
        <v>2496</v>
      </c>
      <c r="H45" s="11" t="s">
        <v>111</v>
      </c>
      <c r="J45" s="11" t="s">
        <v>113</v>
      </c>
      <c r="K45" s="26" t="s">
        <v>114</v>
      </c>
      <c r="L45" s="26" t="s">
        <v>3044</v>
      </c>
      <c r="M45" s="11" t="s">
        <v>116</v>
      </c>
      <c r="N45" s="55">
        <v>45404</v>
      </c>
      <c r="O45" s="85" t="s">
        <v>3045</v>
      </c>
      <c r="P45" s="55">
        <v>46093</v>
      </c>
      <c r="Q45" s="16" t="s">
        <v>83</v>
      </c>
      <c r="R45" s="16" t="s">
        <v>133</v>
      </c>
      <c r="S45" s="30">
        <v>3236986</v>
      </c>
      <c r="T45" s="30">
        <v>0</v>
      </c>
      <c r="U45" s="30">
        <v>0</v>
      </c>
      <c r="V45" s="30">
        <v>0</v>
      </c>
      <c r="W45" s="30">
        <v>0</v>
      </c>
      <c r="X45" s="90" t="s">
        <v>125</v>
      </c>
    </row>
    <row r="46" spans="1:16378" x14ac:dyDescent="0.25">
      <c r="A46" s="26" t="s">
        <v>2885</v>
      </c>
      <c r="B46" s="106" t="s">
        <v>399</v>
      </c>
      <c r="C46" s="11" t="s">
        <v>3046</v>
      </c>
      <c r="D46" s="55">
        <v>45383</v>
      </c>
      <c r="E46" s="55">
        <v>46112</v>
      </c>
      <c r="F46" s="26" t="s">
        <v>2887</v>
      </c>
      <c r="G46" s="162" t="s">
        <v>1602</v>
      </c>
      <c r="H46" s="11" t="s">
        <v>111</v>
      </c>
      <c r="J46" s="11" t="s">
        <v>113</v>
      </c>
      <c r="K46" s="26" t="s">
        <v>114</v>
      </c>
      <c r="L46" s="26" t="s">
        <v>3047</v>
      </c>
      <c r="M46" s="11" t="s">
        <v>116</v>
      </c>
      <c r="N46" s="55">
        <v>45404</v>
      </c>
      <c r="O46" s="85" t="s">
        <v>3048</v>
      </c>
      <c r="P46" s="55">
        <v>46112</v>
      </c>
      <c r="Q46" s="16" t="s">
        <v>83</v>
      </c>
      <c r="R46" s="16" t="s">
        <v>133</v>
      </c>
      <c r="S46" s="30">
        <v>10612800</v>
      </c>
      <c r="T46" s="30">
        <v>0</v>
      </c>
      <c r="U46" s="30">
        <v>0</v>
      </c>
      <c r="V46" s="30">
        <v>0</v>
      </c>
      <c r="W46" s="30">
        <v>0</v>
      </c>
      <c r="X46" s="90" t="s">
        <v>125</v>
      </c>
    </row>
    <row r="47" spans="1:16378" x14ac:dyDescent="0.25">
      <c r="A47" s="26">
        <v>8140</v>
      </c>
      <c r="B47" s="106" t="s">
        <v>405</v>
      </c>
      <c r="C47" s="11" t="s">
        <v>3049</v>
      </c>
      <c r="D47" s="55">
        <v>45358</v>
      </c>
      <c r="E47" s="55">
        <v>46087</v>
      </c>
      <c r="F47" s="26" t="s">
        <v>2887</v>
      </c>
      <c r="G47" s="160" t="s">
        <v>110</v>
      </c>
      <c r="H47" s="11"/>
      <c r="J47" s="11"/>
      <c r="K47" s="26"/>
      <c r="L47" s="26">
        <v>5000059</v>
      </c>
      <c r="M47" s="11"/>
      <c r="N47" s="102">
        <v>45441</v>
      </c>
      <c r="O47" s="85" t="s">
        <v>3050</v>
      </c>
      <c r="P47" s="55">
        <v>46087</v>
      </c>
      <c r="Q47" s="16" t="s">
        <v>83</v>
      </c>
      <c r="R47" s="16" t="s">
        <v>133</v>
      </c>
      <c r="S47" s="30">
        <v>1953200</v>
      </c>
      <c r="T47" s="30">
        <v>0</v>
      </c>
      <c r="U47" s="30">
        <v>0</v>
      </c>
      <c r="V47" s="30">
        <v>0</v>
      </c>
      <c r="W47" s="30">
        <v>0</v>
      </c>
      <c r="X47" s="90" t="s">
        <v>125</v>
      </c>
      <c r="Z47" s="109"/>
    </row>
    <row r="48" spans="1:16378" ht="9.75" customHeight="1" x14ac:dyDescent="0.25">
      <c r="A48" s="25">
        <v>8140</v>
      </c>
      <c r="B48" s="106" t="s">
        <v>412</v>
      </c>
      <c r="C48" s="13" t="s">
        <v>3054</v>
      </c>
      <c r="D48" s="55">
        <v>45292</v>
      </c>
      <c r="E48" s="55">
        <v>46387</v>
      </c>
      <c r="F48" s="26" t="s">
        <v>2887</v>
      </c>
      <c r="G48" s="160" t="s">
        <v>990</v>
      </c>
      <c r="H48" s="26"/>
      <c r="I48" s="26"/>
      <c r="J48" s="26"/>
      <c r="K48" s="26"/>
      <c r="L48" s="26" t="s">
        <v>3055</v>
      </c>
      <c r="M48" s="26"/>
      <c r="N48" s="102">
        <v>45471</v>
      </c>
      <c r="O48" s="106" t="s">
        <v>3056</v>
      </c>
      <c r="P48" s="55">
        <v>46387</v>
      </c>
      <c r="Q48" s="26" t="s">
        <v>83</v>
      </c>
      <c r="R48" s="16" t="s">
        <v>84</v>
      </c>
      <c r="S48" s="30">
        <v>9370600</v>
      </c>
      <c r="T48" s="30">
        <v>0</v>
      </c>
      <c r="U48" s="30">
        <v>0</v>
      </c>
      <c r="V48" s="30">
        <v>0</v>
      </c>
      <c r="W48" s="30">
        <v>0</v>
      </c>
      <c r="X48" s="77" t="s">
        <v>85</v>
      </c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3"/>
      <c r="BN48" s="103"/>
      <c r="BO48" s="103"/>
      <c r="BP48" s="103"/>
      <c r="BQ48" s="103"/>
      <c r="BR48" s="103"/>
      <c r="BS48" s="103"/>
      <c r="BT48" s="103"/>
      <c r="BU48" s="103"/>
      <c r="BV48" s="103"/>
      <c r="BW48" s="103"/>
      <c r="BX48" s="103"/>
      <c r="BY48" s="103"/>
      <c r="BZ48" s="103"/>
      <c r="CA48" s="103"/>
      <c r="CB48" s="103"/>
      <c r="CC48" s="103"/>
      <c r="CD48" s="103"/>
      <c r="CE48" s="103"/>
      <c r="CF48" s="103"/>
      <c r="CG48" s="103"/>
      <c r="CH48" s="103"/>
      <c r="CI48" s="103"/>
      <c r="CJ48" s="103"/>
      <c r="CK48" s="103"/>
      <c r="CL48" s="103"/>
      <c r="CM48" s="103"/>
      <c r="CN48" s="103"/>
      <c r="CO48" s="103"/>
      <c r="CP48" s="103"/>
      <c r="CQ48" s="103"/>
      <c r="CR48" s="103"/>
      <c r="CS48" s="103"/>
      <c r="CT48" s="103"/>
      <c r="CU48" s="103"/>
      <c r="CV48" s="103"/>
      <c r="CW48" s="103"/>
      <c r="CX48" s="103"/>
      <c r="CY48" s="103"/>
      <c r="CZ48" s="103"/>
      <c r="DA48" s="103"/>
      <c r="DB48" s="103"/>
      <c r="DC48" s="103"/>
      <c r="DD48" s="103"/>
      <c r="DE48" s="103"/>
      <c r="DF48" s="103"/>
      <c r="DG48" s="103"/>
      <c r="DH48" s="103"/>
      <c r="DI48" s="103"/>
      <c r="DJ48" s="103"/>
      <c r="DK48" s="103"/>
      <c r="DL48" s="103"/>
      <c r="DM48" s="103"/>
      <c r="DN48" s="103"/>
      <c r="DO48" s="103"/>
      <c r="DP48" s="103"/>
      <c r="DQ48" s="103"/>
      <c r="DR48" s="103"/>
      <c r="DS48" s="103"/>
      <c r="DT48" s="103"/>
      <c r="DU48" s="103"/>
      <c r="DV48" s="103"/>
      <c r="DW48" s="103"/>
      <c r="DX48" s="103"/>
      <c r="DY48" s="103"/>
      <c r="DZ48" s="103"/>
      <c r="EA48" s="103"/>
      <c r="EB48" s="103"/>
      <c r="EC48" s="103"/>
      <c r="ED48" s="103"/>
      <c r="EE48" s="103"/>
      <c r="EF48" s="103"/>
      <c r="EG48" s="103"/>
      <c r="EH48" s="103"/>
      <c r="EI48" s="103"/>
      <c r="EJ48" s="103"/>
      <c r="EK48" s="103"/>
      <c r="EL48" s="103"/>
      <c r="EM48" s="103"/>
      <c r="EN48" s="103"/>
      <c r="EO48" s="103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3"/>
      <c r="FO48" s="103"/>
      <c r="FP48" s="103"/>
      <c r="FQ48" s="103"/>
      <c r="FR48" s="103"/>
      <c r="FS48" s="103"/>
      <c r="FT48" s="103"/>
      <c r="FU48" s="103"/>
      <c r="FV48" s="103"/>
      <c r="FW48" s="103"/>
      <c r="FX48" s="103"/>
      <c r="FY48" s="103"/>
      <c r="FZ48" s="103"/>
      <c r="GA48" s="103"/>
      <c r="GB48" s="103"/>
      <c r="GC48" s="103"/>
      <c r="GD48" s="103"/>
      <c r="GE48" s="103"/>
      <c r="GF48" s="103"/>
      <c r="GG48" s="103"/>
      <c r="GH48" s="103"/>
      <c r="GI48" s="103"/>
      <c r="GJ48" s="103"/>
      <c r="GK48" s="103"/>
      <c r="GL48" s="103"/>
      <c r="GM48" s="103"/>
      <c r="GN48" s="103"/>
      <c r="GO48" s="103"/>
      <c r="GP48" s="103"/>
      <c r="GQ48" s="103"/>
      <c r="GR48" s="103"/>
      <c r="GS48" s="103"/>
      <c r="GT48" s="103"/>
      <c r="GU48" s="103"/>
      <c r="GV48" s="103"/>
      <c r="GW48" s="103"/>
      <c r="GX48" s="103"/>
      <c r="GY48" s="103"/>
      <c r="GZ48" s="103"/>
      <c r="HA48" s="103"/>
      <c r="HB48" s="103"/>
      <c r="HC48" s="103"/>
      <c r="HD48" s="103"/>
      <c r="HE48" s="103"/>
      <c r="HF48" s="103"/>
      <c r="HG48" s="103"/>
      <c r="HH48" s="103"/>
      <c r="HI48" s="103"/>
      <c r="HJ48" s="103"/>
      <c r="HK48" s="103"/>
      <c r="HL48" s="103"/>
      <c r="HM48" s="103"/>
      <c r="HN48" s="103"/>
      <c r="HO48" s="103"/>
      <c r="HP48" s="103"/>
      <c r="HQ48" s="103"/>
      <c r="HR48" s="103"/>
      <c r="HS48" s="103"/>
      <c r="HT48" s="103"/>
      <c r="HU48" s="103"/>
      <c r="HV48" s="103"/>
      <c r="HW48" s="103"/>
      <c r="HX48" s="103"/>
      <c r="HY48" s="103"/>
      <c r="HZ48" s="103"/>
      <c r="IA48" s="103"/>
      <c r="IB48" s="103"/>
      <c r="IC48" s="103"/>
      <c r="ID48" s="103"/>
      <c r="IE48" s="103"/>
      <c r="IF48" s="103"/>
      <c r="IG48" s="103"/>
      <c r="IH48" s="103"/>
      <c r="II48" s="103"/>
      <c r="IJ48" s="103"/>
      <c r="IK48" s="103"/>
      <c r="IL48" s="103"/>
      <c r="IM48" s="103"/>
      <c r="IN48" s="103"/>
      <c r="IO48" s="103"/>
      <c r="IP48" s="103"/>
      <c r="IQ48" s="103"/>
      <c r="IR48" s="103"/>
      <c r="IS48" s="103"/>
      <c r="IT48" s="103"/>
      <c r="IU48" s="103"/>
      <c r="IV48" s="103"/>
      <c r="IW48" s="103"/>
      <c r="IX48" s="103"/>
      <c r="IY48" s="103"/>
      <c r="IZ48" s="103"/>
      <c r="JA48" s="103"/>
      <c r="JB48" s="103"/>
      <c r="JC48" s="103"/>
      <c r="JD48" s="103"/>
      <c r="JE48" s="103"/>
      <c r="JF48" s="103"/>
      <c r="JG48" s="103"/>
      <c r="JH48" s="103"/>
      <c r="JI48" s="103"/>
      <c r="JJ48" s="103"/>
      <c r="JK48" s="103"/>
      <c r="JL48" s="103"/>
      <c r="JM48" s="103"/>
      <c r="JN48" s="103"/>
      <c r="JO48" s="103"/>
      <c r="JP48" s="103"/>
      <c r="JQ48" s="103"/>
      <c r="JR48" s="103"/>
      <c r="JS48" s="103"/>
      <c r="JT48" s="103"/>
      <c r="JU48" s="103"/>
      <c r="JV48" s="103"/>
      <c r="JW48" s="103"/>
      <c r="JX48" s="103"/>
      <c r="JY48" s="103"/>
      <c r="JZ48" s="103"/>
      <c r="KA48" s="103"/>
      <c r="KB48" s="103"/>
      <c r="KC48" s="103"/>
      <c r="KD48" s="103"/>
      <c r="KE48" s="103"/>
      <c r="KF48" s="103"/>
      <c r="KG48" s="103"/>
      <c r="KH48" s="103"/>
      <c r="KI48" s="103"/>
      <c r="KJ48" s="103"/>
      <c r="KK48" s="103"/>
      <c r="KL48" s="103"/>
      <c r="KM48" s="103"/>
      <c r="KN48" s="103"/>
      <c r="KO48" s="103"/>
      <c r="KP48" s="103"/>
      <c r="KQ48" s="103"/>
      <c r="KR48" s="103"/>
      <c r="KS48" s="103"/>
      <c r="KT48" s="103"/>
      <c r="KU48" s="103"/>
      <c r="KV48" s="103"/>
      <c r="KW48" s="103"/>
      <c r="KX48" s="103"/>
      <c r="KY48" s="103"/>
      <c r="KZ48" s="103"/>
      <c r="LA48" s="103"/>
      <c r="LB48" s="103"/>
      <c r="LC48" s="103"/>
      <c r="LD48" s="103"/>
      <c r="LE48" s="103"/>
      <c r="LF48" s="103"/>
      <c r="LG48" s="103"/>
      <c r="LH48" s="103"/>
      <c r="LI48" s="103"/>
      <c r="LJ48" s="103"/>
      <c r="LK48" s="103"/>
      <c r="LL48" s="103"/>
      <c r="LM48" s="103"/>
      <c r="LN48" s="103"/>
      <c r="LO48" s="103"/>
      <c r="LP48" s="103"/>
      <c r="LQ48" s="103"/>
      <c r="LR48" s="103"/>
      <c r="LS48" s="103"/>
      <c r="LT48" s="103"/>
      <c r="LU48" s="103"/>
      <c r="LV48" s="103"/>
      <c r="LW48" s="103"/>
      <c r="LX48" s="103"/>
      <c r="LY48" s="103"/>
      <c r="LZ48" s="103"/>
      <c r="MA48" s="103"/>
      <c r="MB48" s="103"/>
      <c r="MC48" s="103"/>
      <c r="MD48" s="103"/>
      <c r="ME48" s="103"/>
      <c r="MF48" s="103"/>
      <c r="MG48" s="103"/>
      <c r="MH48" s="103"/>
      <c r="MI48" s="103"/>
      <c r="MJ48" s="103"/>
      <c r="MK48" s="103"/>
      <c r="ML48" s="103"/>
      <c r="MM48" s="103"/>
      <c r="MN48" s="103"/>
      <c r="MO48" s="103"/>
      <c r="MP48" s="103"/>
      <c r="MQ48" s="103"/>
      <c r="MR48" s="103"/>
      <c r="MS48" s="103"/>
      <c r="MT48" s="103"/>
      <c r="MU48" s="103"/>
      <c r="MV48" s="103"/>
      <c r="MW48" s="103"/>
      <c r="MX48" s="103"/>
      <c r="MY48" s="103"/>
      <c r="MZ48" s="103"/>
      <c r="NA48" s="103"/>
      <c r="NB48" s="103"/>
      <c r="NC48" s="103"/>
      <c r="ND48" s="103"/>
      <c r="NE48" s="103"/>
      <c r="NF48" s="103"/>
      <c r="NG48" s="103"/>
      <c r="NH48" s="103"/>
      <c r="NI48" s="103"/>
      <c r="NJ48" s="103"/>
      <c r="NK48" s="103"/>
      <c r="NL48" s="103"/>
      <c r="NM48" s="103"/>
      <c r="NN48" s="103"/>
      <c r="NO48" s="103"/>
      <c r="NP48" s="103"/>
      <c r="NQ48" s="103"/>
      <c r="NR48" s="103"/>
      <c r="NS48" s="103"/>
      <c r="NT48" s="103"/>
      <c r="NU48" s="103"/>
      <c r="NV48" s="103"/>
      <c r="NW48" s="103"/>
      <c r="NX48" s="103"/>
      <c r="NY48" s="103"/>
      <c r="NZ48" s="103"/>
      <c r="OA48" s="103"/>
      <c r="OB48" s="103"/>
      <c r="OC48" s="103"/>
      <c r="OD48" s="103"/>
      <c r="OE48" s="103"/>
      <c r="OF48" s="103"/>
      <c r="OG48" s="103"/>
      <c r="OH48" s="103"/>
      <c r="OI48" s="103"/>
      <c r="OJ48" s="103"/>
      <c r="OK48" s="103"/>
      <c r="OL48" s="103"/>
      <c r="OM48" s="103"/>
      <c r="ON48" s="103"/>
      <c r="OO48" s="103"/>
      <c r="OP48" s="103"/>
      <c r="OQ48" s="103"/>
      <c r="OR48" s="103"/>
      <c r="OS48" s="103"/>
      <c r="OT48" s="103"/>
      <c r="OU48" s="103"/>
      <c r="OV48" s="103"/>
      <c r="OW48" s="103"/>
      <c r="OX48" s="103"/>
      <c r="OY48" s="103"/>
      <c r="OZ48" s="103"/>
      <c r="PA48" s="103"/>
      <c r="PB48" s="103"/>
      <c r="PC48" s="103"/>
      <c r="PD48" s="103"/>
      <c r="PE48" s="103"/>
      <c r="PF48" s="103"/>
      <c r="PG48" s="103"/>
      <c r="PH48" s="103"/>
      <c r="PI48" s="103"/>
      <c r="PJ48" s="103"/>
      <c r="PK48" s="103"/>
      <c r="PL48" s="103"/>
      <c r="PM48" s="103"/>
      <c r="PN48" s="103"/>
      <c r="PO48" s="103"/>
      <c r="PP48" s="103"/>
      <c r="PQ48" s="103"/>
      <c r="PR48" s="103"/>
      <c r="PS48" s="103"/>
      <c r="PT48" s="103"/>
      <c r="PU48" s="103"/>
      <c r="PV48" s="103"/>
      <c r="PW48" s="103"/>
      <c r="PX48" s="103"/>
      <c r="PY48" s="103"/>
      <c r="PZ48" s="103"/>
      <c r="QA48" s="103"/>
      <c r="QB48" s="103"/>
      <c r="QC48" s="103"/>
      <c r="QD48" s="103"/>
      <c r="QE48" s="103"/>
      <c r="QF48" s="103"/>
      <c r="QG48" s="103"/>
      <c r="QH48" s="103"/>
      <c r="QI48" s="103"/>
      <c r="QJ48" s="103"/>
      <c r="QK48" s="103"/>
      <c r="QL48" s="103"/>
      <c r="QM48" s="103"/>
      <c r="QN48" s="103"/>
      <c r="QO48" s="103"/>
      <c r="QP48" s="103"/>
      <c r="QQ48" s="103"/>
      <c r="QR48" s="103"/>
      <c r="QS48" s="103"/>
      <c r="QT48" s="103"/>
      <c r="QU48" s="103"/>
      <c r="QV48" s="103"/>
      <c r="QW48" s="103"/>
      <c r="QX48" s="103"/>
      <c r="QY48" s="103"/>
      <c r="QZ48" s="103"/>
      <c r="RA48" s="103"/>
      <c r="RB48" s="103"/>
      <c r="RC48" s="103"/>
      <c r="RD48" s="103"/>
      <c r="RE48" s="103"/>
      <c r="RF48" s="103"/>
      <c r="RG48" s="103"/>
      <c r="RH48" s="103"/>
      <c r="RI48" s="103"/>
      <c r="RJ48" s="103"/>
      <c r="RK48" s="103"/>
      <c r="RL48" s="103"/>
      <c r="RM48" s="103"/>
      <c r="RN48" s="103"/>
      <c r="RO48" s="103"/>
      <c r="RP48" s="103"/>
      <c r="RQ48" s="103"/>
      <c r="RR48" s="103"/>
      <c r="RS48" s="103"/>
      <c r="RT48" s="103"/>
      <c r="RU48" s="103"/>
      <c r="RV48" s="103"/>
      <c r="RW48" s="103"/>
      <c r="RX48" s="103"/>
      <c r="RY48" s="103"/>
      <c r="RZ48" s="103"/>
      <c r="SA48" s="103"/>
      <c r="SB48" s="103"/>
      <c r="SC48" s="103"/>
      <c r="SD48" s="103"/>
      <c r="SE48" s="103"/>
      <c r="SF48" s="103"/>
      <c r="SG48" s="103"/>
      <c r="SH48" s="103"/>
      <c r="SI48" s="103"/>
      <c r="SJ48" s="103"/>
      <c r="SK48" s="103"/>
      <c r="SL48" s="103"/>
      <c r="SM48" s="103"/>
      <c r="SN48" s="103"/>
      <c r="SO48" s="103"/>
      <c r="SP48" s="103"/>
      <c r="SQ48" s="103"/>
      <c r="SR48" s="103"/>
      <c r="SS48" s="103"/>
      <c r="ST48" s="103"/>
      <c r="SU48" s="103"/>
      <c r="SV48" s="103"/>
      <c r="SW48" s="103"/>
      <c r="SX48" s="103"/>
      <c r="SY48" s="103"/>
      <c r="SZ48" s="103"/>
      <c r="TA48" s="103"/>
      <c r="TB48" s="103"/>
      <c r="TC48" s="103"/>
      <c r="TD48" s="103"/>
      <c r="TE48" s="103"/>
      <c r="TF48" s="103"/>
      <c r="TG48" s="103"/>
      <c r="TH48" s="103"/>
      <c r="TI48" s="103"/>
      <c r="TJ48" s="103"/>
      <c r="TK48" s="103"/>
      <c r="TL48" s="103"/>
      <c r="TM48" s="103"/>
      <c r="TN48" s="103"/>
      <c r="TO48" s="103"/>
      <c r="TP48" s="103"/>
      <c r="TQ48" s="103"/>
      <c r="TR48" s="103"/>
      <c r="TS48" s="103"/>
      <c r="TT48" s="103"/>
      <c r="TU48" s="103"/>
      <c r="TV48" s="103"/>
      <c r="TW48" s="103"/>
      <c r="TX48" s="103"/>
      <c r="TY48" s="103"/>
      <c r="TZ48" s="103"/>
      <c r="UA48" s="103"/>
      <c r="UB48" s="103"/>
      <c r="UC48" s="103"/>
      <c r="UD48" s="103"/>
      <c r="UE48" s="103"/>
      <c r="UF48" s="103"/>
      <c r="UG48" s="103"/>
      <c r="UH48" s="103"/>
      <c r="UI48" s="103"/>
      <c r="UJ48" s="103"/>
      <c r="UK48" s="103"/>
      <c r="UL48" s="103"/>
      <c r="UM48" s="103"/>
      <c r="UN48" s="103"/>
      <c r="UO48" s="103"/>
      <c r="UP48" s="103"/>
      <c r="UQ48" s="103"/>
      <c r="UR48" s="103"/>
      <c r="US48" s="103"/>
      <c r="UT48" s="103"/>
      <c r="UU48" s="103"/>
      <c r="UV48" s="103"/>
      <c r="UW48" s="103"/>
      <c r="UX48" s="103"/>
      <c r="UY48" s="103"/>
      <c r="UZ48" s="103"/>
      <c r="VA48" s="103"/>
      <c r="VB48" s="103"/>
      <c r="VC48" s="103"/>
      <c r="VD48" s="103"/>
      <c r="VE48" s="103"/>
      <c r="VF48" s="103"/>
      <c r="VG48" s="103"/>
      <c r="VH48" s="103"/>
      <c r="VI48" s="103"/>
      <c r="VJ48" s="103"/>
      <c r="VK48" s="103"/>
      <c r="VL48" s="103"/>
      <c r="VM48" s="103"/>
      <c r="VN48" s="103"/>
      <c r="VO48" s="103"/>
      <c r="VP48" s="103"/>
      <c r="VQ48" s="103"/>
      <c r="VR48" s="103"/>
      <c r="VS48" s="103"/>
      <c r="VT48" s="103"/>
      <c r="VU48" s="103"/>
      <c r="VV48" s="103"/>
      <c r="VW48" s="103"/>
      <c r="VX48" s="103"/>
      <c r="VY48" s="103"/>
      <c r="VZ48" s="103"/>
      <c r="WA48" s="103"/>
      <c r="WB48" s="103"/>
      <c r="WC48" s="103"/>
      <c r="WD48" s="103"/>
      <c r="WE48" s="103"/>
      <c r="WF48" s="103"/>
      <c r="WG48" s="103"/>
      <c r="WH48" s="103"/>
      <c r="WI48" s="103"/>
      <c r="WJ48" s="103"/>
      <c r="WK48" s="103"/>
      <c r="WL48" s="103"/>
      <c r="WM48" s="103"/>
      <c r="WN48" s="103"/>
      <c r="WO48" s="103"/>
      <c r="WP48" s="103"/>
      <c r="WQ48" s="103"/>
      <c r="WR48" s="103"/>
      <c r="WS48" s="103"/>
      <c r="WT48" s="103"/>
      <c r="WU48" s="103"/>
      <c r="WV48" s="103"/>
      <c r="WW48" s="103"/>
      <c r="WX48" s="103"/>
      <c r="WY48" s="103"/>
      <c r="WZ48" s="103"/>
      <c r="XA48" s="103"/>
      <c r="XB48" s="103"/>
      <c r="XC48" s="103"/>
      <c r="XD48" s="103"/>
      <c r="XE48" s="103"/>
      <c r="XF48" s="103"/>
      <c r="XG48" s="103"/>
      <c r="XH48" s="103"/>
      <c r="XI48" s="103"/>
      <c r="XJ48" s="103"/>
      <c r="XK48" s="103"/>
      <c r="XL48" s="103"/>
      <c r="XM48" s="103"/>
      <c r="XN48" s="103"/>
      <c r="XO48" s="103"/>
      <c r="XP48" s="103"/>
      <c r="XQ48" s="103"/>
      <c r="XR48" s="103"/>
      <c r="XS48" s="103"/>
      <c r="XT48" s="103"/>
      <c r="XU48" s="103"/>
      <c r="XV48" s="103"/>
      <c r="XW48" s="103"/>
      <c r="XX48" s="103"/>
      <c r="XY48" s="103"/>
      <c r="XZ48" s="103"/>
      <c r="YA48" s="103"/>
      <c r="YB48" s="103"/>
      <c r="YC48" s="103"/>
      <c r="YD48" s="103"/>
      <c r="YE48" s="103"/>
      <c r="YF48" s="103"/>
      <c r="YG48" s="103"/>
      <c r="YH48" s="103"/>
      <c r="YI48" s="103"/>
      <c r="YJ48" s="103"/>
      <c r="YK48" s="103"/>
      <c r="YL48" s="103"/>
      <c r="YM48" s="103"/>
      <c r="YN48" s="103"/>
      <c r="YO48" s="103"/>
      <c r="YP48" s="103"/>
      <c r="YQ48" s="103"/>
      <c r="YR48" s="103"/>
      <c r="YS48" s="103"/>
      <c r="YT48" s="103"/>
      <c r="YU48" s="103"/>
      <c r="YV48" s="103"/>
      <c r="YW48" s="103"/>
      <c r="YX48" s="103"/>
      <c r="YY48" s="103"/>
      <c r="YZ48" s="103"/>
      <c r="ZA48" s="103"/>
      <c r="ZB48" s="103"/>
      <c r="ZC48" s="103"/>
      <c r="ZD48" s="103"/>
      <c r="ZE48" s="103"/>
      <c r="ZF48" s="103"/>
      <c r="ZG48" s="103"/>
      <c r="ZH48" s="103"/>
      <c r="ZI48" s="103"/>
      <c r="ZJ48" s="103"/>
      <c r="ZK48" s="103"/>
      <c r="ZL48" s="103"/>
      <c r="ZM48" s="103"/>
      <c r="ZN48" s="103"/>
      <c r="ZO48" s="103"/>
      <c r="ZP48" s="103"/>
      <c r="ZQ48" s="103"/>
      <c r="ZR48" s="103"/>
      <c r="ZS48" s="103"/>
      <c r="ZT48" s="103"/>
      <c r="ZU48" s="103"/>
      <c r="ZV48" s="103"/>
      <c r="ZW48" s="103"/>
      <c r="ZX48" s="103"/>
      <c r="ZY48" s="103"/>
      <c r="ZZ48" s="103"/>
      <c r="AAA48" s="103"/>
      <c r="AAB48" s="103"/>
      <c r="AAC48" s="103"/>
      <c r="AAD48" s="103"/>
      <c r="AAE48" s="103"/>
      <c r="AAF48" s="103"/>
      <c r="AAG48" s="103"/>
      <c r="AAH48" s="103"/>
      <c r="AAI48" s="103"/>
      <c r="AAJ48" s="103"/>
      <c r="AAK48" s="103"/>
      <c r="AAL48" s="103"/>
      <c r="AAM48" s="103"/>
      <c r="AAN48" s="103"/>
      <c r="AAO48" s="103"/>
      <c r="AAP48" s="103"/>
      <c r="AAQ48" s="103"/>
      <c r="AAR48" s="103"/>
      <c r="AAS48" s="103"/>
      <c r="AAT48" s="103"/>
      <c r="AAU48" s="103"/>
      <c r="AAV48" s="103"/>
      <c r="AAW48" s="103"/>
      <c r="AAX48" s="103"/>
      <c r="AAY48" s="103"/>
      <c r="AAZ48" s="103"/>
      <c r="ABA48" s="103"/>
      <c r="ABB48" s="103"/>
      <c r="ABC48" s="103"/>
      <c r="ABD48" s="103"/>
      <c r="ABE48" s="103"/>
      <c r="ABF48" s="103"/>
      <c r="ABG48" s="103"/>
      <c r="ABH48" s="103"/>
      <c r="ABI48" s="103"/>
      <c r="ABJ48" s="103"/>
      <c r="ABK48" s="103"/>
      <c r="ABL48" s="103"/>
      <c r="ABM48" s="103"/>
      <c r="ABN48" s="103"/>
      <c r="ABO48" s="103"/>
      <c r="ABP48" s="103"/>
      <c r="ABQ48" s="103"/>
      <c r="ABR48" s="103"/>
      <c r="ABS48" s="103"/>
      <c r="ABT48" s="103"/>
      <c r="ABU48" s="103"/>
      <c r="ABV48" s="103"/>
      <c r="ABW48" s="103"/>
      <c r="ABX48" s="103"/>
      <c r="ABY48" s="103"/>
      <c r="ABZ48" s="103"/>
      <c r="ACA48" s="103"/>
      <c r="ACB48" s="103"/>
      <c r="ACC48" s="103"/>
      <c r="ACD48" s="103"/>
      <c r="ACE48" s="103"/>
      <c r="ACF48" s="103"/>
      <c r="ACG48" s="103"/>
      <c r="ACH48" s="103"/>
      <c r="ACI48" s="103"/>
      <c r="ACJ48" s="103"/>
      <c r="ACK48" s="103"/>
      <c r="ACL48" s="103"/>
      <c r="ACM48" s="103"/>
      <c r="ACN48" s="103"/>
      <c r="ACO48" s="103"/>
      <c r="ACP48" s="103"/>
      <c r="ACQ48" s="103"/>
      <c r="ACR48" s="103"/>
      <c r="ACS48" s="103"/>
      <c r="ACT48" s="103"/>
      <c r="ACU48" s="103"/>
      <c r="ACV48" s="103"/>
      <c r="ACW48" s="103"/>
      <c r="ACX48" s="103"/>
      <c r="ACY48" s="103"/>
      <c r="ACZ48" s="103"/>
      <c r="ADA48" s="103"/>
      <c r="ADB48" s="103"/>
      <c r="ADC48" s="103"/>
      <c r="ADD48" s="103"/>
      <c r="ADE48" s="103"/>
      <c r="ADF48" s="103"/>
      <c r="ADG48" s="103"/>
      <c r="ADH48" s="103"/>
      <c r="ADI48" s="103"/>
      <c r="ADJ48" s="103"/>
      <c r="ADK48" s="103"/>
      <c r="ADL48" s="103"/>
      <c r="ADM48" s="103"/>
      <c r="ADN48" s="103"/>
      <c r="ADO48" s="103"/>
      <c r="ADP48" s="103"/>
      <c r="ADQ48" s="103"/>
      <c r="ADR48" s="103"/>
      <c r="ADS48" s="103"/>
      <c r="ADT48" s="103"/>
      <c r="ADU48" s="103"/>
      <c r="ADV48" s="103"/>
      <c r="ADW48" s="103"/>
      <c r="ADX48" s="103"/>
      <c r="ADY48" s="103"/>
      <c r="ADZ48" s="103"/>
      <c r="AEA48" s="103"/>
      <c r="AEB48" s="103"/>
      <c r="AEC48" s="103"/>
      <c r="AED48" s="103"/>
      <c r="AEE48" s="103"/>
      <c r="AEF48" s="103"/>
      <c r="AEG48" s="103"/>
      <c r="AEH48" s="103"/>
      <c r="AEI48" s="103"/>
      <c r="AEJ48" s="103"/>
      <c r="AEK48" s="103"/>
      <c r="AEL48" s="103"/>
      <c r="AEM48" s="103"/>
      <c r="AEN48" s="103"/>
      <c r="AEO48" s="103"/>
      <c r="AEP48" s="103"/>
      <c r="AEQ48" s="103"/>
      <c r="AER48" s="103"/>
      <c r="AES48" s="103"/>
      <c r="AET48" s="103"/>
      <c r="AEU48" s="103"/>
      <c r="AEV48" s="103"/>
      <c r="AEW48" s="103"/>
      <c r="AEX48" s="103"/>
      <c r="AEY48" s="103"/>
      <c r="AEZ48" s="103"/>
      <c r="AFA48" s="103"/>
      <c r="AFB48" s="103"/>
      <c r="AFC48" s="103"/>
      <c r="AFD48" s="103"/>
      <c r="AFE48" s="103"/>
      <c r="AFF48" s="103"/>
      <c r="AFG48" s="103"/>
      <c r="AFH48" s="103"/>
      <c r="AFI48" s="103"/>
      <c r="AFJ48" s="103"/>
      <c r="AFK48" s="103"/>
      <c r="AFL48" s="103"/>
      <c r="AFM48" s="103"/>
      <c r="AFN48" s="103"/>
      <c r="AFO48" s="103"/>
      <c r="AFP48" s="103"/>
      <c r="AFQ48" s="103"/>
      <c r="AFR48" s="103"/>
      <c r="AFS48" s="103"/>
      <c r="AFT48" s="103"/>
      <c r="AFU48" s="103"/>
      <c r="AFV48" s="103"/>
      <c r="AFW48" s="103"/>
      <c r="AFX48" s="103"/>
      <c r="AFY48" s="103"/>
      <c r="AFZ48" s="103"/>
      <c r="AGA48" s="103"/>
      <c r="AGB48" s="103"/>
      <c r="AGC48" s="103"/>
      <c r="AGD48" s="103"/>
      <c r="AGE48" s="103"/>
      <c r="AGF48" s="103"/>
      <c r="AGG48" s="103"/>
      <c r="AGH48" s="103"/>
      <c r="AGI48" s="103"/>
      <c r="AGJ48" s="103"/>
      <c r="AGK48" s="103"/>
      <c r="AGL48" s="103"/>
      <c r="AGM48" s="103"/>
      <c r="AGN48" s="103"/>
      <c r="AGO48" s="103"/>
      <c r="AGP48" s="103"/>
      <c r="AGQ48" s="103"/>
      <c r="AGR48" s="103"/>
      <c r="AGS48" s="103"/>
      <c r="AGT48" s="103"/>
      <c r="AGU48" s="103"/>
      <c r="AGV48" s="103"/>
      <c r="AGW48" s="103"/>
      <c r="AGX48" s="103"/>
      <c r="AGY48" s="103"/>
      <c r="AGZ48" s="103"/>
      <c r="AHA48" s="103"/>
      <c r="AHB48" s="103"/>
      <c r="AHC48" s="103"/>
      <c r="AHD48" s="103"/>
      <c r="AHE48" s="103"/>
      <c r="AHF48" s="103"/>
      <c r="AHG48" s="103"/>
      <c r="AHH48" s="103"/>
      <c r="AHI48" s="103"/>
      <c r="AHJ48" s="103"/>
      <c r="AHK48" s="103"/>
      <c r="AHL48" s="103"/>
      <c r="AHM48" s="103"/>
      <c r="AHN48" s="103"/>
      <c r="AHO48" s="103"/>
      <c r="AHP48" s="103"/>
      <c r="AHQ48" s="103"/>
      <c r="AHR48" s="103"/>
      <c r="AHS48" s="103"/>
      <c r="AHT48" s="103"/>
      <c r="AHU48" s="103"/>
      <c r="AHV48" s="103"/>
      <c r="AHW48" s="103"/>
      <c r="AHX48" s="103"/>
      <c r="AHY48" s="103"/>
      <c r="AHZ48" s="103"/>
      <c r="AIA48" s="103"/>
      <c r="AIB48" s="103"/>
      <c r="AIC48" s="103"/>
      <c r="AID48" s="103"/>
      <c r="AIE48" s="103"/>
      <c r="AIF48" s="103"/>
      <c r="AIG48" s="103"/>
      <c r="AIH48" s="103"/>
      <c r="AII48" s="103"/>
      <c r="AIJ48" s="103"/>
      <c r="AIK48" s="103"/>
      <c r="AIL48" s="103"/>
      <c r="AIM48" s="103"/>
      <c r="AIN48" s="103"/>
      <c r="AIO48" s="103"/>
      <c r="AIP48" s="103"/>
      <c r="AIQ48" s="103"/>
      <c r="AIR48" s="103"/>
      <c r="AIS48" s="103"/>
      <c r="AIT48" s="103"/>
      <c r="AIU48" s="103"/>
      <c r="AIV48" s="103"/>
      <c r="AIW48" s="103"/>
      <c r="AIX48" s="103"/>
      <c r="AIY48" s="103"/>
      <c r="AIZ48" s="103"/>
      <c r="AJA48" s="103"/>
      <c r="AJB48" s="103"/>
      <c r="AJC48" s="103"/>
      <c r="AJD48" s="103"/>
      <c r="AJE48" s="103"/>
      <c r="AJF48" s="103"/>
      <c r="AJG48" s="103"/>
      <c r="AJH48" s="103"/>
      <c r="AJI48" s="103"/>
      <c r="AJJ48" s="103"/>
      <c r="AJK48" s="103"/>
      <c r="AJL48" s="103"/>
      <c r="AJM48" s="103"/>
      <c r="AJN48" s="103"/>
      <c r="AJO48" s="103"/>
      <c r="AJP48" s="103"/>
      <c r="AJQ48" s="103"/>
      <c r="AJR48" s="103"/>
      <c r="AJS48" s="103"/>
      <c r="AJT48" s="103"/>
      <c r="AJU48" s="103"/>
      <c r="AJV48" s="103"/>
      <c r="AJW48" s="103"/>
      <c r="AJX48" s="103"/>
      <c r="AJY48" s="103"/>
      <c r="AJZ48" s="103"/>
      <c r="AKA48" s="103"/>
      <c r="AKB48" s="103"/>
      <c r="AKC48" s="103"/>
      <c r="AKD48" s="103"/>
      <c r="AKE48" s="103"/>
      <c r="AKF48" s="103"/>
      <c r="AKG48" s="103"/>
      <c r="AKH48" s="103"/>
      <c r="AKI48" s="103"/>
      <c r="AKJ48" s="103"/>
      <c r="AKK48" s="103"/>
      <c r="AKL48" s="103"/>
      <c r="AKM48" s="103"/>
      <c r="AKN48" s="103"/>
      <c r="AKO48" s="103"/>
      <c r="AKP48" s="103"/>
      <c r="AKQ48" s="103"/>
      <c r="AKR48" s="103"/>
      <c r="AKS48" s="103"/>
      <c r="AKT48" s="103"/>
      <c r="AKU48" s="103"/>
      <c r="AKV48" s="103"/>
      <c r="AKW48" s="103"/>
      <c r="AKX48" s="103"/>
      <c r="AKY48" s="103"/>
      <c r="AKZ48" s="103"/>
      <c r="ALA48" s="103"/>
      <c r="ALB48" s="103"/>
      <c r="ALC48" s="103"/>
      <c r="ALD48" s="103"/>
      <c r="ALE48" s="103"/>
      <c r="ALF48" s="103"/>
      <c r="ALG48" s="103"/>
      <c r="ALH48" s="103"/>
      <c r="ALI48" s="103"/>
      <c r="ALJ48" s="103"/>
      <c r="ALK48" s="103"/>
      <c r="ALL48" s="103"/>
      <c r="ALM48" s="103"/>
      <c r="ALN48" s="103"/>
      <c r="ALO48" s="103"/>
      <c r="ALP48" s="103"/>
      <c r="ALQ48" s="103"/>
      <c r="ALR48" s="103"/>
      <c r="ALS48" s="103"/>
      <c r="ALT48" s="103"/>
      <c r="ALU48" s="103"/>
      <c r="ALV48" s="103"/>
      <c r="ALW48" s="103"/>
      <c r="ALX48" s="103"/>
      <c r="ALY48" s="103"/>
      <c r="ALZ48" s="103"/>
      <c r="AMA48" s="103"/>
      <c r="AMB48" s="103"/>
      <c r="AMC48" s="103"/>
      <c r="AMD48" s="103"/>
      <c r="AME48" s="103"/>
      <c r="AMF48" s="103"/>
      <c r="AMG48" s="103"/>
      <c r="AMH48" s="103"/>
      <c r="AMI48" s="103"/>
      <c r="AMJ48" s="103"/>
      <c r="AMK48" s="103"/>
      <c r="AML48" s="103"/>
      <c r="AMM48" s="103"/>
      <c r="AMN48" s="103"/>
      <c r="AMO48" s="103"/>
      <c r="AMP48" s="103"/>
      <c r="AMQ48" s="103"/>
      <c r="AMR48" s="103"/>
      <c r="AMS48" s="103"/>
      <c r="AMT48" s="103"/>
      <c r="AMU48" s="103"/>
      <c r="AMV48" s="103"/>
      <c r="AMW48" s="103"/>
      <c r="AMX48" s="103"/>
      <c r="AMY48" s="103"/>
      <c r="AMZ48" s="103"/>
      <c r="ANA48" s="103"/>
      <c r="ANB48" s="103"/>
      <c r="ANC48" s="103"/>
      <c r="AND48" s="103"/>
      <c r="ANE48" s="103"/>
      <c r="ANF48" s="103"/>
      <c r="ANG48" s="103"/>
      <c r="ANH48" s="103"/>
      <c r="ANI48" s="103"/>
      <c r="ANJ48" s="103"/>
      <c r="ANK48" s="103"/>
      <c r="ANL48" s="103"/>
      <c r="ANM48" s="103"/>
      <c r="ANN48" s="103"/>
      <c r="ANO48" s="103"/>
      <c r="ANP48" s="103"/>
      <c r="ANQ48" s="103"/>
      <c r="ANR48" s="103"/>
      <c r="ANS48" s="103"/>
      <c r="ANT48" s="103"/>
      <c r="ANU48" s="103"/>
      <c r="ANV48" s="103"/>
      <c r="ANW48" s="103"/>
      <c r="ANX48" s="103"/>
      <c r="ANY48" s="103"/>
      <c r="ANZ48" s="103"/>
      <c r="AOA48" s="103"/>
      <c r="AOB48" s="103"/>
      <c r="AOC48" s="103"/>
      <c r="AOD48" s="103"/>
      <c r="AOE48" s="103"/>
      <c r="AOF48" s="103"/>
      <c r="AOG48" s="103"/>
      <c r="AOH48" s="103"/>
      <c r="AOI48" s="103"/>
      <c r="AOJ48" s="103"/>
      <c r="AOK48" s="103"/>
      <c r="AOL48" s="103"/>
      <c r="AOM48" s="103"/>
      <c r="AON48" s="103"/>
      <c r="AOO48" s="103"/>
      <c r="AOP48" s="103"/>
      <c r="AOQ48" s="103"/>
      <c r="AOR48" s="103"/>
      <c r="AOS48" s="103"/>
      <c r="AOT48" s="103"/>
      <c r="AOU48" s="103"/>
      <c r="AOV48" s="103"/>
      <c r="AOW48" s="103"/>
      <c r="AOX48" s="103"/>
      <c r="AOY48" s="103"/>
      <c r="AOZ48" s="103"/>
      <c r="APA48" s="103"/>
      <c r="APB48" s="103"/>
      <c r="APC48" s="103"/>
      <c r="APD48" s="103"/>
      <c r="APE48" s="103"/>
      <c r="APF48" s="103"/>
      <c r="APG48" s="103"/>
      <c r="APH48" s="103"/>
      <c r="API48" s="103"/>
      <c r="APJ48" s="103"/>
      <c r="APK48" s="103"/>
      <c r="APL48" s="103"/>
      <c r="APM48" s="103"/>
      <c r="APN48" s="103"/>
      <c r="APO48" s="103"/>
      <c r="APP48" s="103"/>
      <c r="APQ48" s="103"/>
      <c r="APR48" s="103"/>
      <c r="APS48" s="103"/>
      <c r="APT48" s="103"/>
      <c r="APU48" s="103"/>
      <c r="APV48" s="103"/>
      <c r="APW48" s="103"/>
      <c r="APX48" s="103"/>
      <c r="APY48" s="103"/>
      <c r="APZ48" s="103"/>
      <c r="AQA48" s="103"/>
      <c r="AQB48" s="103"/>
      <c r="AQC48" s="103"/>
      <c r="AQD48" s="103"/>
      <c r="AQE48" s="103"/>
      <c r="AQF48" s="103"/>
      <c r="AQG48" s="103"/>
      <c r="AQH48" s="103"/>
      <c r="AQI48" s="103"/>
      <c r="AQJ48" s="103"/>
      <c r="AQK48" s="103"/>
      <c r="AQL48" s="103"/>
      <c r="AQM48" s="103"/>
      <c r="AQN48" s="103"/>
      <c r="AQO48" s="103"/>
      <c r="AQP48" s="103"/>
      <c r="AQQ48" s="103"/>
      <c r="AQR48" s="103"/>
      <c r="AQS48" s="103"/>
      <c r="AQT48" s="103"/>
      <c r="AQU48" s="103"/>
      <c r="AQV48" s="103"/>
      <c r="AQW48" s="103"/>
      <c r="AQX48" s="103"/>
      <c r="AQY48" s="103"/>
      <c r="AQZ48" s="103"/>
      <c r="ARA48" s="103"/>
      <c r="ARB48" s="103"/>
      <c r="ARC48" s="103"/>
      <c r="ARD48" s="103"/>
      <c r="ARE48" s="103"/>
      <c r="ARF48" s="103"/>
      <c r="ARG48" s="103"/>
      <c r="ARH48" s="103"/>
      <c r="ARI48" s="103"/>
      <c r="ARJ48" s="103"/>
      <c r="ARK48" s="103"/>
      <c r="ARL48" s="103"/>
      <c r="ARM48" s="103"/>
      <c r="ARN48" s="103"/>
      <c r="ARO48" s="103"/>
      <c r="ARP48" s="103"/>
      <c r="ARQ48" s="103"/>
      <c r="ARR48" s="103"/>
      <c r="ARS48" s="103"/>
      <c r="ART48" s="103"/>
      <c r="ARU48" s="103"/>
      <c r="ARV48" s="103"/>
      <c r="ARW48" s="103"/>
      <c r="ARX48" s="103"/>
      <c r="ARY48" s="103"/>
      <c r="ARZ48" s="103"/>
      <c r="ASA48" s="103"/>
      <c r="ASB48" s="103"/>
      <c r="ASC48" s="103"/>
      <c r="ASD48" s="103"/>
      <c r="ASE48" s="103"/>
      <c r="ASF48" s="103"/>
      <c r="ASG48" s="103"/>
      <c r="ASH48" s="103"/>
      <c r="ASI48" s="103"/>
      <c r="ASJ48" s="103"/>
      <c r="ASK48" s="103"/>
      <c r="ASL48" s="103"/>
      <c r="ASM48" s="103"/>
      <c r="ASN48" s="103"/>
      <c r="ASO48" s="103"/>
      <c r="ASP48" s="103"/>
      <c r="ASQ48" s="103"/>
      <c r="ASR48" s="103"/>
      <c r="ASS48" s="103"/>
      <c r="AST48" s="103"/>
      <c r="ASU48" s="103"/>
      <c r="ASV48" s="103"/>
      <c r="ASW48" s="103"/>
      <c r="ASX48" s="103"/>
      <c r="ASY48" s="103"/>
      <c r="ASZ48" s="103"/>
      <c r="ATA48" s="103"/>
      <c r="ATB48" s="103"/>
      <c r="ATC48" s="103"/>
      <c r="ATD48" s="103"/>
      <c r="ATE48" s="103"/>
      <c r="ATF48" s="103"/>
      <c r="ATG48" s="103"/>
      <c r="ATH48" s="103"/>
      <c r="ATI48" s="103"/>
      <c r="ATJ48" s="103"/>
      <c r="ATK48" s="103"/>
      <c r="ATL48" s="103"/>
      <c r="ATM48" s="103"/>
      <c r="ATN48" s="103"/>
      <c r="ATO48" s="103"/>
      <c r="ATP48" s="103"/>
      <c r="ATQ48" s="103"/>
      <c r="ATR48" s="103"/>
      <c r="ATS48" s="103"/>
      <c r="ATT48" s="103"/>
      <c r="ATU48" s="103"/>
      <c r="ATV48" s="103"/>
      <c r="ATW48" s="103"/>
      <c r="ATX48" s="103"/>
      <c r="ATY48" s="103"/>
      <c r="ATZ48" s="103"/>
      <c r="AUA48" s="103"/>
      <c r="AUB48" s="103"/>
      <c r="AUC48" s="103"/>
      <c r="AUD48" s="103"/>
      <c r="AUE48" s="103"/>
      <c r="AUF48" s="103"/>
      <c r="AUG48" s="103"/>
      <c r="AUH48" s="103"/>
      <c r="AUI48" s="103"/>
      <c r="AUJ48" s="103"/>
      <c r="AUK48" s="103"/>
      <c r="AUL48" s="103"/>
      <c r="AUM48" s="103"/>
      <c r="AUN48" s="103"/>
      <c r="AUO48" s="103"/>
      <c r="AUP48" s="103"/>
      <c r="AUQ48" s="103"/>
      <c r="AUR48" s="103"/>
      <c r="AUS48" s="103"/>
      <c r="AUT48" s="103"/>
      <c r="AUU48" s="103"/>
      <c r="AUV48" s="103"/>
      <c r="AUW48" s="103"/>
      <c r="AUX48" s="103"/>
      <c r="AUY48" s="103"/>
      <c r="AUZ48" s="103"/>
      <c r="AVA48" s="103"/>
      <c r="AVB48" s="103"/>
      <c r="AVC48" s="103"/>
      <c r="AVD48" s="103"/>
      <c r="AVE48" s="103"/>
      <c r="AVF48" s="103"/>
      <c r="AVG48" s="103"/>
      <c r="AVH48" s="103"/>
      <c r="AVI48" s="103"/>
      <c r="AVJ48" s="103"/>
      <c r="AVK48" s="103"/>
      <c r="AVL48" s="103"/>
      <c r="AVM48" s="103"/>
      <c r="AVN48" s="103"/>
      <c r="AVO48" s="103"/>
      <c r="AVP48" s="103"/>
      <c r="AVQ48" s="103"/>
      <c r="AVR48" s="103"/>
      <c r="AVS48" s="103"/>
      <c r="AVT48" s="103"/>
      <c r="AVU48" s="103"/>
      <c r="AVV48" s="103"/>
      <c r="AVW48" s="103"/>
      <c r="AVX48" s="103"/>
      <c r="AVY48" s="103"/>
      <c r="AVZ48" s="103"/>
      <c r="AWA48" s="103"/>
      <c r="AWB48" s="103"/>
      <c r="AWC48" s="103"/>
      <c r="AWD48" s="103"/>
      <c r="AWE48" s="103"/>
      <c r="AWF48" s="103"/>
      <c r="AWG48" s="103"/>
      <c r="AWH48" s="103"/>
      <c r="AWI48" s="103"/>
      <c r="AWJ48" s="103"/>
      <c r="AWK48" s="103"/>
      <c r="AWL48" s="103"/>
      <c r="AWM48" s="103"/>
      <c r="AWN48" s="103"/>
      <c r="AWO48" s="103"/>
      <c r="AWP48" s="103"/>
      <c r="AWQ48" s="103"/>
      <c r="AWR48" s="103"/>
      <c r="AWS48" s="103"/>
      <c r="AWT48" s="103"/>
      <c r="AWU48" s="103"/>
      <c r="AWV48" s="103"/>
      <c r="AWW48" s="103"/>
      <c r="AWX48" s="103"/>
      <c r="AWY48" s="103"/>
      <c r="AWZ48" s="103"/>
      <c r="AXA48" s="103"/>
      <c r="AXB48" s="103"/>
      <c r="AXC48" s="103"/>
      <c r="AXD48" s="103"/>
      <c r="AXE48" s="103"/>
      <c r="AXF48" s="103"/>
      <c r="AXG48" s="103"/>
      <c r="AXH48" s="103"/>
      <c r="AXI48" s="103"/>
      <c r="AXJ48" s="103"/>
      <c r="AXK48" s="103"/>
      <c r="AXL48" s="103"/>
      <c r="AXM48" s="103"/>
      <c r="AXN48" s="103"/>
      <c r="AXO48" s="103"/>
      <c r="AXP48" s="103"/>
      <c r="AXQ48" s="103"/>
      <c r="AXR48" s="103"/>
      <c r="AXS48" s="103"/>
      <c r="AXT48" s="103"/>
      <c r="AXU48" s="103"/>
      <c r="AXV48" s="103"/>
      <c r="AXW48" s="103"/>
      <c r="AXX48" s="103"/>
      <c r="AXY48" s="103"/>
      <c r="AXZ48" s="103"/>
      <c r="AYA48" s="103"/>
      <c r="AYB48" s="103"/>
      <c r="AYC48" s="103"/>
      <c r="AYD48" s="103"/>
      <c r="AYE48" s="103"/>
      <c r="AYF48" s="103"/>
      <c r="AYG48" s="103"/>
      <c r="AYH48" s="103"/>
      <c r="AYI48" s="103"/>
      <c r="AYJ48" s="103"/>
      <c r="AYK48" s="103"/>
      <c r="AYL48" s="103"/>
      <c r="AYM48" s="103"/>
      <c r="AYN48" s="103"/>
      <c r="AYO48" s="103"/>
      <c r="AYP48" s="103"/>
      <c r="AYQ48" s="103"/>
      <c r="AYR48" s="103"/>
      <c r="AYS48" s="103"/>
      <c r="AYT48" s="103"/>
      <c r="AYU48" s="103"/>
      <c r="AYV48" s="103"/>
      <c r="AYW48" s="103"/>
      <c r="AYX48" s="103"/>
      <c r="AYY48" s="103"/>
      <c r="AYZ48" s="103"/>
      <c r="AZA48" s="103"/>
      <c r="AZB48" s="103"/>
      <c r="AZC48" s="103"/>
      <c r="AZD48" s="103"/>
      <c r="AZE48" s="103"/>
      <c r="AZF48" s="103"/>
      <c r="AZG48" s="103"/>
      <c r="AZH48" s="103"/>
      <c r="AZI48" s="103"/>
      <c r="AZJ48" s="103"/>
      <c r="AZK48" s="103"/>
      <c r="AZL48" s="103"/>
      <c r="AZM48" s="103"/>
      <c r="AZN48" s="103"/>
      <c r="AZO48" s="103"/>
      <c r="AZP48" s="103"/>
      <c r="AZQ48" s="103"/>
      <c r="AZR48" s="103"/>
      <c r="AZS48" s="103"/>
      <c r="AZT48" s="103"/>
      <c r="AZU48" s="103"/>
      <c r="AZV48" s="103"/>
      <c r="AZW48" s="103"/>
      <c r="AZX48" s="103"/>
      <c r="AZY48" s="103"/>
      <c r="AZZ48" s="103"/>
      <c r="BAA48" s="103"/>
      <c r="BAB48" s="103"/>
      <c r="BAC48" s="103"/>
      <c r="BAD48" s="103"/>
      <c r="BAE48" s="103"/>
      <c r="BAF48" s="103"/>
      <c r="BAG48" s="103"/>
      <c r="BAH48" s="103"/>
      <c r="BAI48" s="103"/>
      <c r="BAJ48" s="103"/>
      <c r="BAK48" s="103"/>
      <c r="BAL48" s="103"/>
      <c r="BAM48" s="103"/>
      <c r="BAN48" s="103"/>
      <c r="BAO48" s="103"/>
      <c r="BAP48" s="103"/>
      <c r="BAQ48" s="103"/>
      <c r="BAR48" s="103"/>
      <c r="BAS48" s="103"/>
      <c r="BAT48" s="103"/>
      <c r="BAU48" s="103"/>
      <c r="BAV48" s="103"/>
      <c r="BAW48" s="103"/>
      <c r="BAX48" s="103"/>
      <c r="BAY48" s="103"/>
      <c r="BAZ48" s="103"/>
      <c r="BBA48" s="103"/>
      <c r="BBB48" s="103"/>
      <c r="BBC48" s="103"/>
      <c r="BBD48" s="103"/>
      <c r="BBE48" s="103"/>
      <c r="BBF48" s="103"/>
      <c r="BBG48" s="103"/>
      <c r="BBH48" s="103"/>
      <c r="BBI48" s="103"/>
      <c r="BBJ48" s="103"/>
      <c r="BBK48" s="103"/>
      <c r="BBL48" s="103"/>
      <c r="BBM48" s="103"/>
      <c r="BBN48" s="103"/>
      <c r="BBO48" s="103"/>
      <c r="BBP48" s="103"/>
      <c r="BBQ48" s="103"/>
      <c r="BBR48" s="103"/>
      <c r="BBS48" s="103"/>
      <c r="BBT48" s="103"/>
      <c r="BBU48" s="103"/>
      <c r="BBV48" s="103"/>
      <c r="BBW48" s="103"/>
      <c r="BBX48" s="103"/>
      <c r="BBY48" s="103"/>
      <c r="BBZ48" s="103"/>
      <c r="BCA48" s="103"/>
      <c r="BCB48" s="103"/>
      <c r="BCC48" s="103"/>
      <c r="BCD48" s="103"/>
      <c r="BCE48" s="103"/>
      <c r="BCF48" s="103"/>
      <c r="BCG48" s="103"/>
      <c r="BCH48" s="103"/>
      <c r="BCI48" s="103"/>
      <c r="BCJ48" s="103"/>
      <c r="BCK48" s="103"/>
      <c r="BCL48" s="103"/>
      <c r="BCM48" s="103"/>
      <c r="BCN48" s="103"/>
      <c r="BCO48" s="103"/>
      <c r="BCP48" s="103"/>
      <c r="BCQ48" s="103"/>
      <c r="BCR48" s="103"/>
      <c r="BCS48" s="103"/>
      <c r="BCT48" s="103"/>
      <c r="BCU48" s="103"/>
      <c r="BCV48" s="103"/>
      <c r="BCW48" s="103"/>
      <c r="BCX48" s="103"/>
      <c r="BCY48" s="103"/>
      <c r="BCZ48" s="103"/>
      <c r="BDA48" s="103"/>
      <c r="BDB48" s="103"/>
      <c r="BDC48" s="103"/>
      <c r="BDD48" s="103"/>
      <c r="BDE48" s="103"/>
      <c r="BDF48" s="103"/>
      <c r="BDG48" s="103"/>
      <c r="BDH48" s="103"/>
      <c r="BDI48" s="103"/>
      <c r="BDJ48" s="103"/>
      <c r="BDK48" s="103"/>
      <c r="BDL48" s="103"/>
      <c r="BDM48" s="103"/>
      <c r="BDN48" s="103"/>
      <c r="BDO48" s="103"/>
      <c r="BDP48" s="103"/>
      <c r="BDQ48" s="103"/>
      <c r="BDR48" s="103"/>
      <c r="BDS48" s="103"/>
      <c r="BDT48" s="103"/>
      <c r="BDU48" s="103"/>
      <c r="BDV48" s="103"/>
      <c r="BDW48" s="103"/>
      <c r="BDX48" s="103"/>
      <c r="BDY48" s="103"/>
      <c r="BDZ48" s="103"/>
      <c r="BEA48" s="103"/>
      <c r="BEB48" s="103"/>
      <c r="BEC48" s="103"/>
      <c r="BED48" s="103"/>
      <c r="BEE48" s="103"/>
      <c r="BEF48" s="103"/>
      <c r="BEG48" s="103"/>
      <c r="BEH48" s="103"/>
      <c r="BEI48" s="103"/>
      <c r="BEJ48" s="103"/>
      <c r="BEK48" s="103"/>
      <c r="BEL48" s="103"/>
      <c r="BEM48" s="103"/>
      <c r="BEN48" s="103"/>
      <c r="BEO48" s="103"/>
      <c r="BEP48" s="103"/>
      <c r="BEQ48" s="103"/>
      <c r="BER48" s="103"/>
      <c r="BES48" s="103"/>
      <c r="BET48" s="103"/>
      <c r="BEU48" s="103"/>
      <c r="BEV48" s="103"/>
      <c r="BEW48" s="103"/>
      <c r="BEX48" s="103"/>
      <c r="BEY48" s="103"/>
      <c r="BEZ48" s="103"/>
      <c r="BFA48" s="103"/>
      <c r="BFB48" s="103"/>
      <c r="BFC48" s="103"/>
      <c r="BFD48" s="103"/>
      <c r="BFE48" s="103"/>
      <c r="BFF48" s="103"/>
      <c r="BFG48" s="103"/>
      <c r="BFH48" s="103"/>
      <c r="BFI48" s="103"/>
      <c r="BFJ48" s="103"/>
      <c r="BFK48" s="103"/>
      <c r="BFL48" s="103"/>
      <c r="BFM48" s="103"/>
      <c r="BFN48" s="103"/>
      <c r="BFO48" s="103"/>
      <c r="BFP48" s="103"/>
      <c r="BFQ48" s="103"/>
      <c r="BFR48" s="103"/>
      <c r="BFS48" s="103"/>
      <c r="BFT48" s="103"/>
      <c r="BFU48" s="103"/>
      <c r="BFV48" s="103"/>
      <c r="BFW48" s="103"/>
      <c r="BFX48" s="103"/>
      <c r="BFY48" s="103"/>
      <c r="BFZ48" s="103"/>
      <c r="BGA48" s="103"/>
      <c r="BGB48" s="103"/>
      <c r="BGC48" s="103"/>
      <c r="BGD48" s="103"/>
      <c r="BGE48" s="103"/>
      <c r="BGF48" s="103"/>
      <c r="BGG48" s="103"/>
      <c r="BGH48" s="103"/>
      <c r="BGI48" s="103"/>
      <c r="BGJ48" s="103"/>
      <c r="BGK48" s="103"/>
      <c r="BGL48" s="103"/>
      <c r="BGM48" s="103"/>
      <c r="BGN48" s="103"/>
      <c r="BGO48" s="103"/>
      <c r="BGP48" s="103"/>
      <c r="BGQ48" s="103"/>
      <c r="BGR48" s="103"/>
      <c r="BGS48" s="103"/>
      <c r="BGT48" s="103"/>
      <c r="BGU48" s="103"/>
      <c r="BGV48" s="103"/>
      <c r="BGW48" s="103"/>
      <c r="BGX48" s="103"/>
      <c r="BGY48" s="103"/>
      <c r="BGZ48" s="103"/>
      <c r="BHA48" s="103"/>
      <c r="BHB48" s="103"/>
      <c r="BHC48" s="103"/>
      <c r="BHD48" s="103"/>
      <c r="BHE48" s="103"/>
      <c r="BHF48" s="103"/>
      <c r="BHG48" s="103"/>
      <c r="BHH48" s="103"/>
      <c r="BHI48" s="103"/>
      <c r="BHJ48" s="103"/>
      <c r="BHK48" s="103"/>
      <c r="BHL48" s="103"/>
      <c r="BHM48" s="103"/>
      <c r="BHN48" s="103"/>
      <c r="BHO48" s="103"/>
      <c r="BHP48" s="103"/>
      <c r="BHQ48" s="103"/>
      <c r="BHR48" s="103"/>
      <c r="BHS48" s="103"/>
      <c r="BHT48" s="103"/>
      <c r="BHU48" s="103"/>
      <c r="BHV48" s="103"/>
      <c r="BHW48" s="103"/>
      <c r="BHX48" s="103"/>
      <c r="BHY48" s="103"/>
      <c r="BHZ48" s="103"/>
      <c r="BIA48" s="103"/>
      <c r="BIB48" s="103"/>
      <c r="BIC48" s="103"/>
      <c r="BID48" s="103"/>
      <c r="BIE48" s="103"/>
      <c r="BIF48" s="103"/>
      <c r="BIG48" s="103"/>
      <c r="BIH48" s="103"/>
      <c r="BII48" s="103"/>
      <c r="BIJ48" s="103"/>
      <c r="BIK48" s="103"/>
      <c r="BIL48" s="103"/>
      <c r="BIM48" s="103"/>
      <c r="BIN48" s="103"/>
      <c r="BIO48" s="103"/>
      <c r="BIP48" s="103"/>
      <c r="BIQ48" s="103"/>
      <c r="BIR48" s="103"/>
      <c r="BIS48" s="103"/>
      <c r="BIT48" s="103"/>
      <c r="BIU48" s="103"/>
      <c r="BIV48" s="103"/>
      <c r="BIW48" s="103"/>
      <c r="BIX48" s="103"/>
      <c r="BIY48" s="103"/>
      <c r="BIZ48" s="103"/>
      <c r="BJA48" s="103"/>
      <c r="BJB48" s="103"/>
      <c r="BJC48" s="103"/>
      <c r="BJD48" s="103"/>
      <c r="BJE48" s="103"/>
      <c r="BJF48" s="103"/>
      <c r="BJG48" s="103"/>
      <c r="BJH48" s="103"/>
      <c r="BJI48" s="103"/>
      <c r="BJJ48" s="103"/>
      <c r="BJK48" s="103"/>
      <c r="BJL48" s="103"/>
      <c r="BJM48" s="103"/>
      <c r="BJN48" s="103"/>
      <c r="BJO48" s="103"/>
      <c r="BJP48" s="103"/>
      <c r="BJQ48" s="103"/>
      <c r="BJR48" s="103"/>
      <c r="BJS48" s="103"/>
      <c r="BJT48" s="103"/>
      <c r="BJU48" s="103"/>
      <c r="BJV48" s="103"/>
      <c r="BJW48" s="103"/>
      <c r="BJX48" s="103"/>
      <c r="BJY48" s="103"/>
      <c r="BJZ48" s="103"/>
      <c r="BKA48" s="103"/>
      <c r="BKB48" s="103"/>
      <c r="BKC48" s="103"/>
      <c r="BKD48" s="103"/>
      <c r="BKE48" s="103"/>
      <c r="BKF48" s="103"/>
      <c r="BKG48" s="103"/>
      <c r="BKH48" s="103"/>
      <c r="BKI48" s="103"/>
      <c r="BKJ48" s="103"/>
      <c r="BKK48" s="103"/>
      <c r="BKL48" s="103"/>
      <c r="BKM48" s="103"/>
      <c r="BKN48" s="103"/>
      <c r="BKO48" s="103"/>
      <c r="BKP48" s="103"/>
      <c r="BKQ48" s="103"/>
      <c r="BKR48" s="103"/>
      <c r="BKS48" s="103"/>
      <c r="BKT48" s="103"/>
      <c r="BKU48" s="103"/>
      <c r="BKV48" s="103"/>
      <c r="BKW48" s="103"/>
      <c r="BKX48" s="103"/>
      <c r="BKY48" s="103"/>
      <c r="BKZ48" s="103"/>
      <c r="BLA48" s="103"/>
      <c r="BLB48" s="103"/>
      <c r="BLC48" s="103"/>
      <c r="BLD48" s="103"/>
      <c r="BLE48" s="103"/>
      <c r="BLF48" s="103"/>
      <c r="BLG48" s="103"/>
      <c r="BLH48" s="103"/>
      <c r="BLI48" s="103"/>
      <c r="BLJ48" s="103"/>
      <c r="BLK48" s="103"/>
      <c r="BLL48" s="103"/>
      <c r="BLM48" s="103"/>
      <c r="BLN48" s="103"/>
      <c r="BLO48" s="103"/>
      <c r="BLP48" s="103"/>
      <c r="BLQ48" s="103"/>
      <c r="BLR48" s="103"/>
      <c r="BLS48" s="103"/>
      <c r="BLT48" s="103"/>
      <c r="BLU48" s="103"/>
      <c r="BLV48" s="103"/>
      <c r="BLW48" s="103"/>
      <c r="BLX48" s="103"/>
      <c r="BLY48" s="103"/>
      <c r="BLZ48" s="103"/>
      <c r="BMA48" s="103"/>
      <c r="BMB48" s="103"/>
      <c r="BMC48" s="103"/>
      <c r="BMD48" s="103"/>
      <c r="BME48" s="103"/>
      <c r="BMF48" s="103"/>
      <c r="BMG48" s="103"/>
      <c r="BMH48" s="103"/>
      <c r="BMI48" s="103"/>
      <c r="BMJ48" s="103"/>
      <c r="BMK48" s="103"/>
      <c r="BML48" s="103"/>
      <c r="BMM48" s="103"/>
      <c r="BMN48" s="103"/>
      <c r="BMO48" s="103"/>
      <c r="BMP48" s="103"/>
      <c r="BMQ48" s="103"/>
      <c r="BMR48" s="103"/>
      <c r="BMS48" s="103"/>
      <c r="BMT48" s="103"/>
      <c r="BMU48" s="103"/>
      <c r="BMV48" s="103"/>
      <c r="BMW48" s="103"/>
      <c r="BMX48" s="103"/>
      <c r="BMY48" s="103"/>
      <c r="BMZ48" s="103"/>
      <c r="BNA48" s="103"/>
      <c r="BNB48" s="103"/>
      <c r="BNC48" s="103"/>
      <c r="BND48" s="103"/>
      <c r="BNE48" s="103"/>
      <c r="BNF48" s="103"/>
      <c r="BNG48" s="103"/>
      <c r="BNH48" s="103"/>
      <c r="BNI48" s="103"/>
      <c r="BNJ48" s="103"/>
      <c r="BNK48" s="103"/>
      <c r="BNL48" s="103"/>
      <c r="BNM48" s="103"/>
      <c r="BNN48" s="103"/>
      <c r="BNO48" s="103"/>
      <c r="BNP48" s="103"/>
      <c r="BNQ48" s="103"/>
      <c r="BNR48" s="103"/>
      <c r="BNS48" s="103"/>
      <c r="BNT48" s="103"/>
      <c r="BNU48" s="103"/>
      <c r="BNV48" s="103"/>
      <c r="BNW48" s="103"/>
      <c r="BNX48" s="103"/>
      <c r="BNY48" s="103"/>
      <c r="BNZ48" s="103"/>
      <c r="BOA48" s="103"/>
      <c r="BOB48" s="103"/>
      <c r="BOC48" s="103"/>
      <c r="BOD48" s="103"/>
      <c r="BOE48" s="103"/>
      <c r="BOF48" s="103"/>
      <c r="BOG48" s="103"/>
      <c r="BOH48" s="103"/>
      <c r="BOI48" s="103"/>
      <c r="BOJ48" s="103"/>
      <c r="BOK48" s="103"/>
      <c r="BOL48" s="103"/>
      <c r="BOM48" s="103"/>
      <c r="BON48" s="103"/>
      <c r="BOO48" s="103"/>
      <c r="BOP48" s="103"/>
      <c r="BOQ48" s="103"/>
      <c r="BOR48" s="103"/>
      <c r="BOS48" s="103"/>
      <c r="BOT48" s="103"/>
      <c r="BOU48" s="103"/>
      <c r="BOV48" s="103"/>
      <c r="BOW48" s="103"/>
      <c r="BOX48" s="103"/>
      <c r="BOY48" s="103"/>
      <c r="BOZ48" s="103"/>
      <c r="BPA48" s="103"/>
      <c r="BPB48" s="103"/>
      <c r="BPC48" s="103"/>
      <c r="BPD48" s="103"/>
      <c r="BPE48" s="103"/>
      <c r="BPF48" s="103"/>
      <c r="BPG48" s="103"/>
      <c r="BPH48" s="103"/>
      <c r="BPI48" s="103"/>
      <c r="BPJ48" s="103"/>
      <c r="BPK48" s="103"/>
      <c r="BPL48" s="103"/>
      <c r="BPM48" s="103"/>
      <c r="BPN48" s="103"/>
      <c r="BPO48" s="103"/>
      <c r="BPP48" s="103"/>
      <c r="BPQ48" s="103"/>
      <c r="BPR48" s="103"/>
      <c r="BPS48" s="103"/>
      <c r="BPT48" s="103"/>
      <c r="BPU48" s="103"/>
      <c r="BPV48" s="103"/>
      <c r="BPW48" s="103"/>
      <c r="BPX48" s="103"/>
      <c r="BPY48" s="103"/>
      <c r="BPZ48" s="103"/>
      <c r="BQA48" s="103"/>
      <c r="BQB48" s="103"/>
      <c r="BQC48" s="103"/>
      <c r="BQD48" s="103"/>
      <c r="BQE48" s="103"/>
      <c r="BQF48" s="103"/>
      <c r="BQG48" s="103"/>
      <c r="BQH48" s="103"/>
      <c r="BQI48" s="103"/>
      <c r="BQJ48" s="103"/>
      <c r="BQK48" s="103"/>
      <c r="BQL48" s="103"/>
      <c r="BQM48" s="103"/>
      <c r="BQN48" s="103"/>
      <c r="BQO48" s="103"/>
      <c r="BQP48" s="103"/>
      <c r="BQQ48" s="103"/>
      <c r="BQR48" s="103"/>
      <c r="BQS48" s="103"/>
      <c r="BQT48" s="103"/>
      <c r="BQU48" s="103"/>
      <c r="BQV48" s="103"/>
      <c r="BQW48" s="103"/>
      <c r="BQX48" s="103"/>
      <c r="BQY48" s="103"/>
      <c r="BQZ48" s="103"/>
      <c r="BRA48" s="103"/>
      <c r="BRB48" s="103"/>
      <c r="BRC48" s="103"/>
      <c r="BRD48" s="103"/>
      <c r="BRE48" s="103"/>
      <c r="BRF48" s="103"/>
      <c r="BRG48" s="103"/>
      <c r="BRH48" s="103"/>
      <c r="BRI48" s="103"/>
      <c r="BRJ48" s="103"/>
      <c r="BRK48" s="103"/>
      <c r="BRL48" s="103"/>
      <c r="BRM48" s="103"/>
      <c r="BRN48" s="103"/>
      <c r="BRO48" s="103"/>
      <c r="BRP48" s="103"/>
      <c r="BRQ48" s="103"/>
      <c r="BRR48" s="103"/>
      <c r="BRS48" s="103"/>
      <c r="BRT48" s="103"/>
      <c r="BRU48" s="103"/>
      <c r="BRV48" s="103"/>
      <c r="BRW48" s="103"/>
      <c r="BRX48" s="103"/>
      <c r="BRY48" s="103"/>
      <c r="BRZ48" s="103"/>
      <c r="BSA48" s="103"/>
      <c r="BSB48" s="103"/>
      <c r="BSC48" s="103"/>
      <c r="BSD48" s="103"/>
      <c r="BSE48" s="103"/>
      <c r="BSF48" s="103"/>
      <c r="BSG48" s="103"/>
      <c r="BSH48" s="103"/>
      <c r="BSI48" s="103"/>
      <c r="BSJ48" s="103"/>
      <c r="BSK48" s="103"/>
      <c r="BSL48" s="103"/>
      <c r="BSM48" s="103"/>
      <c r="BSN48" s="103"/>
      <c r="BSO48" s="103"/>
      <c r="BSP48" s="103"/>
      <c r="BSQ48" s="103"/>
      <c r="BSR48" s="103"/>
      <c r="BSS48" s="103"/>
      <c r="BST48" s="103"/>
      <c r="BSU48" s="103"/>
      <c r="BSV48" s="103"/>
      <c r="BSW48" s="103"/>
      <c r="BSX48" s="103"/>
      <c r="BSY48" s="103"/>
      <c r="BSZ48" s="103"/>
      <c r="BTA48" s="103"/>
      <c r="BTB48" s="103"/>
      <c r="BTC48" s="103"/>
      <c r="BTD48" s="103"/>
      <c r="BTE48" s="103"/>
      <c r="BTF48" s="103"/>
      <c r="BTG48" s="103"/>
      <c r="BTH48" s="103"/>
      <c r="BTI48" s="103"/>
      <c r="BTJ48" s="103"/>
      <c r="BTK48" s="103"/>
      <c r="BTL48" s="103"/>
      <c r="BTM48" s="103"/>
      <c r="BTN48" s="103"/>
      <c r="BTO48" s="103"/>
      <c r="BTP48" s="103"/>
      <c r="BTQ48" s="103"/>
      <c r="BTR48" s="103"/>
      <c r="BTS48" s="103"/>
      <c r="BTT48" s="103"/>
      <c r="BTU48" s="103"/>
      <c r="BTV48" s="103"/>
      <c r="BTW48" s="103"/>
      <c r="BTX48" s="103"/>
      <c r="BTY48" s="103"/>
      <c r="BTZ48" s="103"/>
      <c r="BUA48" s="103"/>
      <c r="BUB48" s="103"/>
      <c r="BUC48" s="103"/>
      <c r="BUD48" s="103"/>
      <c r="BUE48" s="103"/>
      <c r="BUF48" s="103"/>
      <c r="BUG48" s="103"/>
      <c r="BUH48" s="103"/>
      <c r="BUI48" s="103"/>
      <c r="BUJ48" s="103"/>
      <c r="BUK48" s="103"/>
      <c r="BUL48" s="103"/>
      <c r="BUM48" s="103"/>
      <c r="BUN48" s="103"/>
      <c r="BUO48" s="103"/>
      <c r="BUP48" s="103"/>
      <c r="BUQ48" s="103"/>
      <c r="BUR48" s="103"/>
      <c r="BUS48" s="103"/>
      <c r="BUT48" s="103"/>
      <c r="BUU48" s="103"/>
      <c r="BUV48" s="103"/>
      <c r="BUW48" s="103"/>
      <c r="BUX48" s="103"/>
      <c r="BUY48" s="103"/>
      <c r="BUZ48" s="103"/>
      <c r="BVA48" s="103"/>
      <c r="BVB48" s="103"/>
      <c r="BVC48" s="103"/>
      <c r="BVD48" s="103"/>
      <c r="BVE48" s="103"/>
      <c r="BVF48" s="103"/>
      <c r="BVG48" s="103"/>
      <c r="BVH48" s="103"/>
      <c r="BVI48" s="103"/>
      <c r="BVJ48" s="103"/>
      <c r="BVK48" s="103"/>
      <c r="BVL48" s="103"/>
      <c r="BVM48" s="103"/>
      <c r="BVN48" s="103"/>
      <c r="BVO48" s="103"/>
      <c r="BVP48" s="103"/>
      <c r="BVQ48" s="103"/>
      <c r="BVR48" s="103"/>
      <c r="BVS48" s="103"/>
      <c r="BVT48" s="103"/>
      <c r="BVU48" s="103"/>
      <c r="BVV48" s="103"/>
      <c r="BVW48" s="103"/>
      <c r="BVX48" s="103"/>
      <c r="BVY48" s="103"/>
      <c r="BVZ48" s="103"/>
      <c r="BWA48" s="103"/>
      <c r="BWB48" s="103"/>
      <c r="BWC48" s="103"/>
      <c r="BWD48" s="103"/>
      <c r="BWE48" s="103"/>
      <c r="BWF48" s="103"/>
      <c r="BWG48" s="103"/>
      <c r="BWH48" s="103"/>
      <c r="BWI48" s="103"/>
      <c r="BWJ48" s="103"/>
      <c r="BWK48" s="103"/>
      <c r="BWL48" s="103"/>
      <c r="BWM48" s="103"/>
      <c r="BWN48" s="103"/>
      <c r="BWO48" s="103"/>
      <c r="BWP48" s="103"/>
      <c r="BWQ48" s="103"/>
      <c r="BWR48" s="103"/>
      <c r="BWS48" s="103"/>
      <c r="BWT48" s="103"/>
      <c r="BWU48" s="103"/>
      <c r="BWV48" s="103"/>
      <c r="BWW48" s="103"/>
      <c r="BWX48" s="103"/>
      <c r="BWY48" s="103"/>
      <c r="BWZ48" s="103"/>
      <c r="BXA48" s="103"/>
      <c r="BXB48" s="103"/>
      <c r="BXC48" s="103"/>
      <c r="BXD48" s="103"/>
      <c r="BXE48" s="103"/>
      <c r="BXF48" s="103"/>
      <c r="BXG48" s="103"/>
      <c r="BXH48" s="103"/>
      <c r="BXI48" s="103"/>
      <c r="BXJ48" s="103"/>
      <c r="BXK48" s="103"/>
      <c r="BXL48" s="103"/>
      <c r="BXM48" s="103"/>
      <c r="BXN48" s="103"/>
      <c r="BXO48" s="103"/>
      <c r="BXP48" s="103"/>
      <c r="BXQ48" s="103"/>
      <c r="BXR48" s="103"/>
      <c r="BXS48" s="103"/>
      <c r="BXT48" s="103"/>
      <c r="BXU48" s="103"/>
      <c r="BXV48" s="103"/>
      <c r="BXW48" s="103"/>
      <c r="BXX48" s="103"/>
      <c r="BXY48" s="103"/>
      <c r="BXZ48" s="103"/>
      <c r="BYA48" s="103"/>
      <c r="BYB48" s="103"/>
      <c r="BYC48" s="103"/>
      <c r="BYD48" s="103"/>
      <c r="BYE48" s="103"/>
      <c r="BYF48" s="103"/>
      <c r="BYG48" s="103"/>
      <c r="BYH48" s="103"/>
      <c r="BYI48" s="103"/>
      <c r="BYJ48" s="103"/>
      <c r="BYK48" s="103"/>
      <c r="BYL48" s="103"/>
      <c r="BYM48" s="103"/>
      <c r="BYN48" s="103"/>
      <c r="BYO48" s="103"/>
      <c r="BYP48" s="103"/>
      <c r="BYQ48" s="103"/>
      <c r="BYR48" s="103"/>
      <c r="BYS48" s="103"/>
      <c r="BYT48" s="103"/>
      <c r="BYU48" s="103"/>
      <c r="BYV48" s="103"/>
      <c r="BYW48" s="103"/>
      <c r="BYX48" s="103"/>
      <c r="BYY48" s="103"/>
      <c r="BYZ48" s="103"/>
      <c r="BZA48" s="103"/>
      <c r="BZB48" s="103"/>
      <c r="BZC48" s="103"/>
      <c r="BZD48" s="103"/>
      <c r="BZE48" s="103"/>
      <c r="BZF48" s="103"/>
      <c r="BZG48" s="103"/>
      <c r="BZH48" s="103"/>
      <c r="BZI48" s="103"/>
      <c r="BZJ48" s="103"/>
      <c r="BZK48" s="103"/>
      <c r="BZL48" s="103"/>
      <c r="BZM48" s="103"/>
      <c r="BZN48" s="103"/>
      <c r="BZO48" s="103"/>
      <c r="BZP48" s="103"/>
      <c r="BZQ48" s="103"/>
      <c r="BZR48" s="103"/>
      <c r="BZS48" s="103"/>
      <c r="BZT48" s="103"/>
      <c r="BZU48" s="103"/>
      <c r="BZV48" s="103"/>
      <c r="BZW48" s="103"/>
      <c r="BZX48" s="103"/>
      <c r="BZY48" s="103"/>
      <c r="BZZ48" s="103"/>
      <c r="CAA48" s="103"/>
      <c r="CAB48" s="103"/>
      <c r="CAC48" s="103"/>
      <c r="CAD48" s="103"/>
      <c r="CAE48" s="103"/>
      <c r="CAF48" s="103"/>
      <c r="CAG48" s="103"/>
      <c r="CAH48" s="103"/>
      <c r="CAI48" s="103"/>
      <c r="CAJ48" s="103"/>
      <c r="CAK48" s="103"/>
      <c r="CAL48" s="103"/>
      <c r="CAM48" s="103"/>
      <c r="CAN48" s="103"/>
      <c r="CAO48" s="103"/>
      <c r="CAP48" s="103"/>
      <c r="CAQ48" s="103"/>
      <c r="CAR48" s="103"/>
      <c r="CAS48" s="103"/>
      <c r="CAT48" s="103"/>
      <c r="CAU48" s="103"/>
      <c r="CAV48" s="103"/>
      <c r="CAW48" s="103"/>
      <c r="CAX48" s="103"/>
      <c r="CAY48" s="103"/>
      <c r="CAZ48" s="103"/>
      <c r="CBA48" s="103"/>
      <c r="CBB48" s="103"/>
      <c r="CBC48" s="103"/>
      <c r="CBD48" s="103"/>
      <c r="CBE48" s="103"/>
      <c r="CBF48" s="103"/>
      <c r="CBG48" s="103"/>
      <c r="CBH48" s="103"/>
      <c r="CBI48" s="103"/>
      <c r="CBJ48" s="103"/>
      <c r="CBK48" s="103"/>
      <c r="CBL48" s="103"/>
      <c r="CBM48" s="103"/>
      <c r="CBN48" s="103"/>
      <c r="CBO48" s="103"/>
      <c r="CBP48" s="103"/>
      <c r="CBQ48" s="103"/>
      <c r="CBR48" s="103"/>
      <c r="CBS48" s="103"/>
      <c r="CBT48" s="103"/>
      <c r="CBU48" s="103"/>
      <c r="CBV48" s="103"/>
      <c r="CBW48" s="103"/>
      <c r="CBX48" s="103"/>
      <c r="CBY48" s="103"/>
      <c r="CBZ48" s="103"/>
      <c r="CCA48" s="103"/>
      <c r="CCB48" s="103"/>
      <c r="CCC48" s="103"/>
      <c r="CCD48" s="103"/>
      <c r="CCE48" s="103"/>
      <c r="CCF48" s="103"/>
      <c r="CCG48" s="103"/>
      <c r="CCH48" s="103"/>
      <c r="CCI48" s="103"/>
      <c r="CCJ48" s="103"/>
      <c r="CCK48" s="103"/>
      <c r="CCL48" s="103"/>
      <c r="CCM48" s="103"/>
      <c r="CCN48" s="103"/>
      <c r="CCO48" s="103"/>
      <c r="CCP48" s="103"/>
      <c r="CCQ48" s="103"/>
      <c r="CCR48" s="103"/>
      <c r="CCS48" s="103"/>
      <c r="CCT48" s="103"/>
      <c r="CCU48" s="103"/>
      <c r="CCV48" s="103"/>
      <c r="CCW48" s="103"/>
      <c r="CCX48" s="103"/>
      <c r="CCY48" s="103"/>
      <c r="CCZ48" s="103"/>
      <c r="CDA48" s="103"/>
      <c r="CDB48" s="103"/>
      <c r="CDC48" s="103"/>
      <c r="CDD48" s="103"/>
      <c r="CDE48" s="103"/>
      <c r="CDF48" s="103"/>
      <c r="CDG48" s="103"/>
      <c r="CDH48" s="103"/>
      <c r="CDI48" s="103"/>
      <c r="CDJ48" s="103"/>
      <c r="CDK48" s="103"/>
      <c r="CDL48" s="103"/>
      <c r="CDM48" s="103"/>
      <c r="CDN48" s="103"/>
      <c r="CDO48" s="103"/>
      <c r="CDP48" s="103"/>
      <c r="CDQ48" s="103"/>
      <c r="CDR48" s="103"/>
      <c r="CDS48" s="103"/>
      <c r="CDT48" s="103"/>
      <c r="CDU48" s="103"/>
      <c r="CDV48" s="103"/>
      <c r="CDW48" s="103"/>
      <c r="CDX48" s="103"/>
      <c r="CDY48" s="103"/>
      <c r="CDZ48" s="103"/>
      <c r="CEA48" s="103"/>
      <c r="CEB48" s="103"/>
      <c r="CEC48" s="103"/>
      <c r="CED48" s="103"/>
      <c r="CEE48" s="103"/>
      <c r="CEF48" s="103"/>
      <c r="CEG48" s="103"/>
      <c r="CEH48" s="103"/>
      <c r="CEI48" s="103"/>
      <c r="CEJ48" s="103"/>
      <c r="CEK48" s="103"/>
      <c r="CEL48" s="103"/>
      <c r="CEM48" s="103"/>
      <c r="CEN48" s="103"/>
      <c r="CEO48" s="103"/>
      <c r="CEP48" s="103"/>
      <c r="CEQ48" s="103"/>
      <c r="CER48" s="103"/>
      <c r="CES48" s="103"/>
      <c r="CET48" s="103"/>
      <c r="CEU48" s="103"/>
      <c r="CEV48" s="103"/>
      <c r="CEW48" s="103"/>
      <c r="CEX48" s="103"/>
      <c r="CEY48" s="103"/>
      <c r="CEZ48" s="103"/>
      <c r="CFA48" s="103"/>
      <c r="CFB48" s="103"/>
      <c r="CFC48" s="103"/>
      <c r="CFD48" s="103"/>
      <c r="CFE48" s="103"/>
      <c r="CFF48" s="103"/>
      <c r="CFG48" s="103"/>
      <c r="CFH48" s="103"/>
      <c r="CFI48" s="103"/>
      <c r="CFJ48" s="103"/>
      <c r="CFK48" s="103"/>
      <c r="CFL48" s="103"/>
      <c r="CFM48" s="103"/>
      <c r="CFN48" s="103"/>
      <c r="CFO48" s="103"/>
      <c r="CFP48" s="103"/>
      <c r="CFQ48" s="103"/>
      <c r="CFR48" s="103"/>
      <c r="CFS48" s="103"/>
      <c r="CFT48" s="103"/>
      <c r="CFU48" s="103"/>
      <c r="CFV48" s="103"/>
      <c r="CFW48" s="103"/>
      <c r="CFX48" s="103"/>
      <c r="CFY48" s="103"/>
      <c r="CFZ48" s="103"/>
      <c r="CGA48" s="103"/>
      <c r="CGB48" s="103"/>
      <c r="CGC48" s="103"/>
      <c r="CGD48" s="103"/>
      <c r="CGE48" s="103"/>
      <c r="CGF48" s="103"/>
      <c r="CGG48" s="103"/>
      <c r="CGH48" s="103"/>
      <c r="CGI48" s="103"/>
      <c r="CGJ48" s="103"/>
      <c r="CGK48" s="103"/>
      <c r="CGL48" s="103"/>
      <c r="CGM48" s="103"/>
      <c r="CGN48" s="103"/>
      <c r="CGO48" s="103"/>
      <c r="CGP48" s="103"/>
      <c r="CGQ48" s="103"/>
      <c r="CGR48" s="103"/>
      <c r="CGS48" s="103"/>
      <c r="CGT48" s="103"/>
      <c r="CGU48" s="103"/>
      <c r="CGV48" s="103"/>
      <c r="CGW48" s="103"/>
      <c r="CGX48" s="103"/>
      <c r="CGY48" s="103"/>
      <c r="CGZ48" s="103"/>
      <c r="CHA48" s="103"/>
      <c r="CHB48" s="103"/>
      <c r="CHC48" s="103"/>
      <c r="CHD48" s="103"/>
      <c r="CHE48" s="103"/>
      <c r="CHF48" s="103"/>
      <c r="CHG48" s="103"/>
      <c r="CHH48" s="103"/>
      <c r="CHI48" s="103"/>
      <c r="CHJ48" s="103"/>
      <c r="CHK48" s="103"/>
      <c r="CHL48" s="103"/>
      <c r="CHM48" s="103"/>
      <c r="CHN48" s="103"/>
      <c r="CHO48" s="103"/>
      <c r="CHP48" s="103"/>
      <c r="CHQ48" s="103"/>
      <c r="CHR48" s="103"/>
      <c r="CHS48" s="103"/>
      <c r="CHT48" s="103"/>
      <c r="CHU48" s="103"/>
      <c r="CHV48" s="103"/>
      <c r="CHW48" s="103"/>
      <c r="CHX48" s="103"/>
      <c r="CHY48" s="103"/>
      <c r="CHZ48" s="103"/>
      <c r="CIA48" s="103"/>
      <c r="CIB48" s="103"/>
      <c r="CIC48" s="103"/>
      <c r="CID48" s="103"/>
      <c r="CIE48" s="103"/>
      <c r="CIF48" s="103"/>
      <c r="CIG48" s="103"/>
      <c r="CIH48" s="103"/>
      <c r="CII48" s="103"/>
      <c r="CIJ48" s="103"/>
      <c r="CIK48" s="103"/>
      <c r="CIL48" s="103"/>
      <c r="CIM48" s="103"/>
      <c r="CIN48" s="103"/>
      <c r="CIO48" s="103"/>
      <c r="CIP48" s="103"/>
      <c r="CIQ48" s="103"/>
      <c r="CIR48" s="103"/>
      <c r="CIS48" s="103"/>
      <c r="CIT48" s="103"/>
      <c r="CIU48" s="103"/>
      <c r="CIV48" s="103"/>
      <c r="CIW48" s="103"/>
      <c r="CIX48" s="103"/>
      <c r="CIY48" s="103"/>
      <c r="CIZ48" s="103"/>
      <c r="CJA48" s="103"/>
      <c r="CJB48" s="103"/>
      <c r="CJC48" s="103"/>
      <c r="CJD48" s="103"/>
      <c r="CJE48" s="103"/>
      <c r="CJF48" s="103"/>
      <c r="CJG48" s="103"/>
      <c r="CJH48" s="103"/>
      <c r="CJI48" s="103"/>
      <c r="CJJ48" s="103"/>
      <c r="CJK48" s="103"/>
      <c r="CJL48" s="103"/>
      <c r="CJM48" s="103"/>
      <c r="CJN48" s="103"/>
      <c r="CJO48" s="103"/>
      <c r="CJP48" s="103"/>
      <c r="CJQ48" s="103"/>
      <c r="CJR48" s="103"/>
      <c r="CJS48" s="103"/>
      <c r="CJT48" s="103"/>
      <c r="CJU48" s="103"/>
      <c r="CJV48" s="103"/>
      <c r="CJW48" s="103"/>
      <c r="CJX48" s="103"/>
      <c r="CJY48" s="103"/>
      <c r="CJZ48" s="103"/>
      <c r="CKA48" s="103"/>
      <c r="CKB48" s="103"/>
      <c r="CKC48" s="103"/>
      <c r="CKD48" s="103"/>
      <c r="CKE48" s="103"/>
      <c r="CKF48" s="103"/>
      <c r="CKG48" s="103"/>
      <c r="CKH48" s="103"/>
      <c r="CKI48" s="103"/>
      <c r="CKJ48" s="103"/>
      <c r="CKK48" s="103"/>
      <c r="CKL48" s="103"/>
      <c r="CKM48" s="103"/>
      <c r="CKN48" s="103"/>
      <c r="CKO48" s="103"/>
      <c r="CKP48" s="103"/>
      <c r="CKQ48" s="103"/>
      <c r="CKR48" s="103"/>
      <c r="CKS48" s="103"/>
      <c r="CKT48" s="103"/>
      <c r="CKU48" s="103"/>
      <c r="CKV48" s="103"/>
      <c r="CKW48" s="103"/>
      <c r="CKX48" s="103"/>
      <c r="CKY48" s="103"/>
      <c r="CKZ48" s="103"/>
      <c r="CLA48" s="103"/>
      <c r="CLB48" s="103"/>
      <c r="CLC48" s="103"/>
      <c r="CLD48" s="103"/>
      <c r="CLE48" s="103"/>
      <c r="CLF48" s="103"/>
      <c r="CLG48" s="103"/>
      <c r="CLH48" s="103"/>
      <c r="CLI48" s="103"/>
      <c r="CLJ48" s="103"/>
      <c r="CLK48" s="103"/>
      <c r="CLL48" s="103"/>
      <c r="CLM48" s="103"/>
      <c r="CLN48" s="103"/>
      <c r="CLO48" s="103"/>
      <c r="CLP48" s="103"/>
      <c r="CLQ48" s="103"/>
      <c r="CLR48" s="103"/>
      <c r="CLS48" s="103"/>
      <c r="CLT48" s="103"/>
      <c r="CLU48" s="103"/>
      <c r="CLV48" s="103"/>
      <c r="CLW48" s="103"/>
      <c r="CLX48" s="103"/>
      <c r="CLY48" s="103"/>
      <c r="CLZ48" s="103"/>
      <c r="CMA48" s="103"/>
      <c r="CMB48" s="103"/>
      <c r="CMC48" s="103"/>
      <c r="CMD48" s="103"/>
      <c r="CME48" s="103"/>
      <c r="CMF48" s="103"/>
      <c r="CMG48" s="103"/>
      <c r="CMH48" s="103"/>
      <c r="CMI48" s="103"/>
      <c r="CMJ48" s="103"/>
      <c r="CMK48" s="103"/>
      <c r="CML48" s="103"/>
      <c r="CMM48" s="103"/>
      <c r="CMN48" s="103"/>
      <c r="CMO48" s="103"/>
      <c r="CMP48" s="103"/>
      <c r="CMQ48" s="103"/>
      <c r="CMR48" s="103"/>
      <c r="CMS48" s="103"/>
      <c r="CMT48" s="103"/>
      <c r="CMU48" s="103"/>
      <c r="CMV48" s="103"/>
      <c r="CMW48" s="103"/>
      <c r="CMX48" s="103"/>
      <c r="CMY48" s="103"/>
      <c r="CMZ48" s="103"/>
      <c r="CNA48" s="103"/>
      <c r="CNB48" s="103"/>
      <c r="CNC48" s="103"/>
      <c r="CND48" s="103"/>
      <c r="CNE48" s="103"/>
      <c r="CNF48" s="103"/>
      <c r="CNG48" s="103"/>
      <c r="CNH48" s="103"/>
      <c r="CNI48" s="103"/>
      <c r="CNJ48" s="103"/>
      <c r="CNK48" s="103"/>
      <c r="CNL48" s="103"/>
      <c r="CNM48" s="103"/>
      <c r="CNN48" s="103"/>
      <c r="CNO48" s="103"/>
      <c r="CNP48" s="103"/>
      <c r="CNQ48" s="103"/>
      <c r="CNR48" s="103"/>
      <c r="CNS48" s="103"/>
      <c r="CNT48" s="103"/>
      <c r="CNU48" s="103"/>
      <c r="CNV48" s="103"/>
      <c r="CNW48" s="103"/>
      <c r="CNX48" s="103"/>
      <c r="CNY48" s="103"/>
      <c r="CNZ48" s="103"/>
      <c r="COA48" s="103"/>
      <c r="COB48" s="103"/>
      <c r="COC48" s="103"/>
      <c r="COD48" s="103"/>
      <c r="COE48" s="103"/>
      <c r="COF48" s="103"/>
      <c r="COG48" s="103"/>
      <c r="COH48" s="103"/>
      <c r="COI48" s="103"/>
      <c r="COJ48" s="103"/>
      <c r="COK48" s="103"/>
      <c r="COL48" s="103"/>
      <c r="COM48" s="103"/>
      <c r="CON48" s="103"/>
      <c r="COO48" s="103"/>
      <c r="COP48" s="103"/>
      <c r="COQ48" s="103"/>
      <c r="COR48" s="103"/>
      <c r="COS48" s="103"/>
      <c r="COT48" s="103"/>
      <c r="COU48" s="103"/>
      <c r="COV48" s="103"/>
      <c r="COW48" s="103"/>
      <c r="COX48" s="103"/>
      <c r="COY48" s="103"/>
      <c r="COZ48" s="103"/>
      <c r="CPA48" s="103"/>
      <c r="CPB48" s="103"/>
      <c r="CPC48" s="103"/>
      <c r="CPD48" s="103"/>
      <c r="CPE48" s="103"/>
      <c r="CPF48" s="103"/>
      <c r="CPG48" s="103"/>
      <c r="CPH48" s="103"/>
      <c r="CPI48" s="103"/>
      <c r="CPJ48" s="103"/>
      <c r="CPK48" s="103"/>
      <c r="CPL48" s="103"/>
      <c r="CPM48" s="103"/>
      <c r="CPN48" s="103"/>
      <c r="CPO48" s="103"/>
      <c r="CPP48" s="103"/>
      <c r="CPQ48" s="103"/>
      <c r="CPR48" s="103"/>
      <c r="CPS48" s="103"/>
      <c r="CPT48" s="103"/>
      <c r="CPU48" s="103"/>
      <c r="CPV48" s="103"/>
      <c r="CPW48" s="103"/>
      <c r="CPX48" s="103"/>
      <c r="CPY48" s="103"/>
      <c r="CPZ48" s="103"/>
      <c r="CQA48" s="103"/>
      <c r="CQB48" s="103"/>
      <c r="CQC48" s="103"/>
      <c r="CQD48" s="103"/>
      <c r="CQE48" s="103"/>
      <c r="CQF48" s="103"/>
      <c r="CQG48" s="103"/>
      <c r="CQH48" s="103"/>
      <c r="CQI48" s="103"/>
      <c r="CQJ48" s="103"/>
      <c r="CQK48" s="103"/>
      <c r="CQL48" s="103"/>
      <c r="CQM48" s="103"/>
      <c r="CQN48" s="103"/>
      <c r="CQO48" s="103"/>
      <c r="CQP48" s="103"/>
      <c r="CQQ48" s="103"/>
      <c r="CQR48" s="103"/>
      <c r="CQS48" s="103"/>
      <c r="CQT48" s="103"/>
      <c r="CQU48" s="103"/>
      <c r="CQV48" s="103"/>
      <c r="CQW48" s="103"/>
      <c r="CQX48" s="103"/>
      <c r="CQY48" s="103"/>
      <c r="CQZ48" s="103"/>
      <c r="CRA48" s="103"/>
      <c r="CRB48" s="103"/>
      <c r="CRC48" s="103"/>
      <c r="CRD48" s="103"/>
      <c r="CRE48" s="103"/>
      <c r="CRF48" s="103"/>
      <c r="CRG48" s="103"/>
      <c r="CRH48" s="103"/>
      <c r="CRI48" s="103"/>
      <c r="CRJ48" s="103"/>
      <c r="CRK48" s="103"/>
      <c r="CRL48" s="103"/>
      <c r="CRM48" s="103"/>
      <c r="CRN48" s="103"/>
      <c r="CRO48" s="103"/>
      <c r="CRP48" s="103"/>
      <c r="CRQ48" s="103"/>
      <c r="CRR48" s="103"/>
      <c r="CRS48" s="103"/>
      <c r="CRT48" s="103"/>
      <c r="CRU48" s="103"/>
      <c r="CRV48" s="103"/>
      <c r="CRW48" s="103"/>
      <c r="CRX48" s="103"/>
      <c r="CRY48" s="103"/>
      <c r="CRZ48" s="103"/>
      <c r="CSA48" s="103"/>
      <c r="CSB48" s="103"/>
      <c r="CSC48" s="103"/>
      <c r="CSD48" s="103"/>
      <c r="CSE48" s="103"/>
      <c r="CSF48" s="103"/>
      <c r="CSG48" s="103"/>
      <c r="CSH48" s="103"/>
      <c r="CSI48" s="103"/>
      <c r="CSJ48" s="103"/>
      <c r="CSK48" s="103"/>
      <c r="CSL48" s="103"/>
      <c r="CSM48" s="103"/>
      <c r="CSN48" s="103"/>
      <c r="CSO48" s="103"/>
      <c r="CSP48" s="103"/>
      <c r="CSQ48" s="103"/>
      <c r="CSR48" s="103"/>
      <c r="CSS48" s="103"/>
      <c r="CST48" s="103"/>
      <c r="CSU48" s="103"/>
      <c r="CSV48" s="103"/>
      <c r="CSW48" s="103"/>
      <c r="CSX48" s="103"/>
      <c r="CSY48" s="103"/>
      <c r="CSZ48" s="103"/>
      <c r="CTA48" s="103"/>
      <c r="CTB48" s="103"/>
      <c r="CTC48" s="103"/>
      <c r="CTD48" s="103"/>
      <c r="CTE48" s="103"/>
      <c r="CTF48" s="103"/>
      <c r="CTG48" s="103"/>
      <c r="CTH48" s="103"/>
      <c r="CTI48" s="103"/>
      <c r="CTJ48" s="103"/>
      <c r="CTK48" s="103"/>
      <c r="CTL48" s="103"/>
      <c r="CTM48" s="103"/>
      <c r="CTN48" s="103"/>
      <c r="CTO48" s="103"/>
      <c r="CTP48" s="103"/>
      <c r="CTQ48" s="103"/>
      <c r="CTR48" s="103"/>
      <c r="CTS48" s="103"/>
      <c r="CTT48" s="103"/>
      <c r="CTU48" s="103"/>
      <c r="CTV48" s="103"/>
      <c r="CTW48" s="103"/>
      <c r="CTX48" s="103"/>
      <c r="CTY48" s="103"/>
      <c r="CTZ48" s="103"/>
      <c r="CUA48" s="103"/>
      <c r="CUB48" s="103"/>
      <c r="CUC48" s="103"/>
      <c r="CUD48" s="103"/>
      <c r="CUE48" s="103"/>
      <c r="CUF48" s="103"/>
      <c r="CUG48" s="103"/>
      <c r="CUH48" s="103"/>
      <c r="CUI48" s="103"/>
      <c r="CUJ48" s="103"/>
      <c r="CUK48" s="103"/>
      <c r="CUL48" s="103"/>
      <c r="CUM48" s="103"/>
      <c r="CUN48" s="103"/>
      <c r="CUO48" s="103"/>
      <c r="CUP48" s="103"/>
      <c r="CUQ48" s="103"/>
      <c r="CUR48" s="103"/>
      <c r="CUS48" s="103"/>
      <c r="CUT48" s="103"/>
      <c r="CUU48" s="103"/>
      <c r="CUV48" s="103"/>
      <c r="CUW48" s="103"/>
      <c r="CUX48" s="103"/>
      <c r="CUY48" s="103"/>
      <c r="CUZ48" s="103"/>
      <c r="CVA48" s="103"/>
      <c r="CVB48" s="103"/>
      <c r="CVC48" s="103"/>
      <c r="CVD48" s="103"/>
      <c r="CVE48" s="103"/>
      <c r="CVF48" s="103"/>
      <c r="CVG48" s="103"/>
      <c r="CVH48" s="103"/>
      <c r="CVI48" s="103"/>
      <c r="CVJ48" s="103"/>
      <c r="CVK48" s="103"/>
      <c r="CVL48" s="103"/>
      <c r="CVM48" s="103"/>
      <c r="CVN48" s="103"/>
      <c r="CVO48" s="103"/>
      <c r="CVP48" s="103"/>
      <c r="CVQ48" s="103"/>
      <c r="CVR48" s="103"/>
      <c r="CVS48" s="103"/>
      <c r="CVT48" s="103"/>
      <c r="CVU48" s="103"/>
      <c r="CVV48" s="103"/>
      <c r="CVW48" s="103"/>
      <c r="CVX48" s="103"/>
      <c r="CVY48" s="103"/>
      <c r="CVZ48" s="103"/>
      <c r="CWA48" s="103"/>
      <c r="CWB48" s="103"/>
      <c r="CWC48" s="103"/>
      <c r="CWD48" s="103"/>
      <c r="CWE48" s="103"/>
      <c r="CWF48" s="103"/>
      <c r="CWG48" s="103"/>
      <c r="CWH48" s="103"/>
      <c r="CWI48" s="103"/>
      <c r="CWJ48" s="103"/>
      <c r="CWK48" s="103"/>
      <c r="CWL48" s="103"/>
      <c r="CWM48" s="103"/>
      <c r="CWN48" s="103"/>
      <c r="CWO48" s="103"/>
      <c r="CWP48" s="103"/>
      <c r="CWQ48" s="103"/>
      <c r="CWR48" s="103"/>
      <c r="CWS48" s="103"/>
      <c r="CWT48" s="103"/>
      <c r="CWU48" s="103"/>
      <c r="CWV48" s="103"/>
      <c r="CWW48" s="103"/>
      <c r="CWX48" s="103"/>
      <c r="CWY48" s="103"/>
      <c r="CWZ48" s="103"/>
      <c r="CXA48" s="103"/>
      <c r="CXB48" s="103"/>
      <c r="CXC48" s="103"/>
      <c r="CXD48" s="103"/>
      <c r="CXE48" s="103"/>
      <c r="CXF48" s="103"/>
      <c r="CXG48" s="103"/>
      <c r="CXH48" s="103"/>
      <c r="CXI48" s="103"/>
      <c r="CXJ48" s="103"/>
      <c r="CXK48" s="103"/>
      <c r="CXL48" s="103"/>
      <c r="CXM48" s="103"/>
      <c r="CXN48" s="103"/>
      <c r="CXO48" s="103"/>
      <c r="CXP48" s="103"/>
      <c r="CXQ48" s="103"/>
      <c r="CXR48" s="103"/>
      <c r="CXS48" s="103"/>
      <c r="CXT48" s="103"/>
      <c r="CXU48" s="103"/>
      <c r="CXV48" s="103"/>
      <c r="CXW48" s="103"/>
      <c r="CXX48" s="103"/>
      <c r="CXY48" s="103"/>
      <c r="CXZ48" s="103"/>
      <c r="CYA48" s="103"/>
      <c r="CYB48" s="103"/>
      <c r="CYC48" s="103"/>
      <c r="CYD48" s="103"/>
      <c r="CYE48" s="103"/>
      <c r="CYF48" s="103"/>
      <c r="CYG48" s="103"/>
      <c r="CYH48" s="103"/>
      <c r="CYI48" s="103"/>
      <c r="CYJ48" s="103"/>
      <c r="CYK48" s="103"/>
      <c r="CYL48" s="103"/>
      <c r="CYM48" s="103"/>
      <c r="CYN48" s="103"/>
      <c r="CYO48" s="103"/>
      <c r="CYP48" s="103"/>
      <c r="CYQ48" s="103"/>
      <c r="CYR48" s="103"/>
      <c r="CYS48" s="103"/>
      <c r="CYT48" s="103"/>
      <c r="CYU48" s="103"/>
      <c r="CYV48" s="103"/>
      <c r="CYW48" s="103"/>
      <c r="CYX48" s="103"/>
      <c r="CYY48" s="103"/>
      <c r="CYZ48" s="103"/>
      <c r="CZA48" s="103"/>
      <c r="CZB48" s="103"/>
      <c r="CZC48" s="103"/>
      <c r="CZD48" s="103"/>
      <c r="CZE48" s="103"/>
      <c r="CZF48" s="103"/>
      <c r="CZG48" s="103"/>
      <c r="CZH48" s="103"/>
      <c r="CZI48" s="103"/>
      <c r="CZJ48" s="103"/>
      <c r="CZK48" s="103"/>
      <c r="CZL48" s="103"/>
      <c r="CZM48" s="103"/>
      <c r="CZN48" s="103"/>
      <c r="CZO48" s="103"/>
      <c r="CZP48" s="103"/>
      <c r="CZQ48" s="103"/>
      <c r="CZR48" s="103"/>
      <c r="CZS48" s="103"/>
      <c r="CZT48" s="103"/>
      <c r="CZU48" s="103"/>
      <c r="CZV48" s="103"/>
      <c r="CZW48" s="103"/>
      <c r="CZX48" s="103"/>
      <c r="CZY48" s="103"/>
      <c r="CZZ48" s="103"/>
      <c r="DAA48" s="103"/>
      <c r="DAB48" s="103"/>
      <c r="DAC48" s="103"/>
      <c r="DAD48" s="103"/>
      <c r="DAE48" s="103"/>
      <c r="DAF48" s="103"/>
      <c r="DAG48" s="103"/>
      <c r="DAH48" s="103"/>
      <c r="DAI48" s="103"/>
      <c r="DAJ48" s="103"/>
      <c r="DAK48" s="103"/>
      <c r="DAL48" s="103"/>
      <c r="DAM48" s="103"/>
      <c r="DAN48" s="103"/>
      <c r="DAO48" s="103"/>
      <c r="DAP48" s="103"/>
      <c r="DAQ48" s="103"/>
      <c r="DAR48" s="103"/>
      <c r="DAS48" s="103"/>
      <c r="DAT48" s="103"/>
      <c r="DAU48" s="103"/>
      <c r="DAV48" s="103"/>
      <c r="DAW48" s="103"/>
      <c r="DAX48" s="103"/>
      <c r="DAY48" s="103"/>
      <c r="DAZ48" s="103"/>
      <c r="DBA48" s="103"/>
      <c r="DBB48" s="103"/>
      <c r="DBC48" s="103"/>
      <c r="DBD48" s="103"/>
      <c r="DBE48" s="103"/>
      <c r="DBF48" s="103"/>
      <c r="DBG48" s="103"/>
      <c r="DBH48" s="103"/>
      <c r="DBI48" s="103"/>
      <c r="DBJ48" s="103"/>
      <c r="DBK48" s="103"/>
      <c r="DBL48" s="103"/>
      <c r="DBM48" s="103"/>
      <c r="DBN48" s="103"/>
      <c r="DBO48" s="103"/>
      <c r="DBP48" s="103"/>
      <c r="DBQ48" s="103"/>
      <c r="DBR48" s="103"/>
      <c r="DBS48" s="103"/>
      <c r="DBT48" s="103"/>
      <c r="DBU48" s="103"/>
      <c r="DBV48" s="103"/>
      <c r="DBW48" s="103"/>
      <c r="DBX48" s="103"/>
      <c r="DBY48" s="103"/>
      <c r="DBZ48" s="103"/>
      <c r="DCA48" s="103"/>
      <c r="DCB48" s="103"/>
      <c r="DCC48" s="103"/>
      <c r="DCD48" s="103"/>
      <c r="DCE48" s="103"/>
      <c r="DCF48" s="103"/>
      <c r="DCG48" s="103"/>
      <c r="DCH48" s="103"/>
      <c r="DCI48" s="103"/>
      <c r="DCJ48" s="103"/>
      <c r="DCK48" s="103"/>
      <c r="DCL48" s="103"/>
      <c r="DCM48" s="103"/>
      <c r="DCN48" s="103"/>
      <c r="DCO48" s="103"/>
      <c r="DCP48" s="103"/>
      <c r="DCQ48" s="103"/>
      <c r="DCR48" s="103"/>
      <c r="DCS48" s="103"/>
      <c r="DCT48" s="103"/>
      <c r="DCU48" s="103"/>
      <c r="DCV48" s="103"/>
      <c r="DCW48" s="103"/>
      <c r="DCX48" s="103"/>
      <c r="DCY48" s="103"/>
      <c r="DCZ48" s="103"/>
      <c r="DDA48" s="103"/>
      <c r="DDB48" s="103"/>
      <c r="DDC48" s="103"/>
      <c r="DDD48" s="103"/>
      <c r="DDE48" s="103"/>
      <c r="DDF48" s="103"/>
      <c r="DDG48" s="103"/>
      <c r="DDH48" s="103"/>
      <c r="DDI48" s="103"/>
      <c r="DDJ48" s="103"/>
      <c r="DDK48" s="103"/>
      <c r="DDL48" s="103"/>
      <c r="DDM48" s="103"/>
      <c r="DDN48" s="103"/>
      <c r="DDO48" s="103"/>
      <c r="DDP48" s="103"/>
      <c r="DDQ48" s="103"/>
      <c r="DDR48" s="103"/>
      <c r="DDS48" s="103"/>
      <c r="DDT48" s="103"/>
      <c r="DDU48" s="103"/>
      <c r="DDV48" s="103"/>
      <c r="DDW48" s="103"/>
      <c r="DDX48" s="103"/>
      <c r="DDY48" s="103"/>
      <c r="DDZ48" s="103"/>
      <c r="DEA48" s="103"/>
      <c r="DEB48" s="103"/>
      <c r="DEC48" s="103"/>
      <c r="DED48" s="103"/>
      <c r="DEE48" s="103"/>
      <c r="DEF48" s="103"/>
      <c r="DEG48" s="103"/>
      <c r="DEH48" s="103"/>
      <c r="DEI48" s="103"/>
      <c r="DEJ48" s="103"/>
      <c r="DEK48" s="103"/>
      <c r="DEL48" s="103"/>
      <c r="DEM48" s="103"/>
      <c r="DEN48" s="103"/>
      <c r="DEO48" s="103"/>
      <c r="DEP48" s="103"/>
      <c r="DEQ48" s="103"/>
      <c r="DER48" s="103"/>
      <c r="DES48" s="103"/>
      <c r="DET48" s="103"/>
      <c r="DEU48" s="103"/>
      <c r="DEV48" s="103"/>
      <c r="DEW48" s="103"/>
      <c r="DEX48" s="103"/>
      <c r="DEY48" s="103"/>
      <c r="DEZ48" s="103"/>
      <c r="DFA48" s="103"/>
      <c r="DFB48" s="103"/>
      <c r="DFC48" s="103"/>
      <c r="DFD48" s="103"/>
      <c r="DFE48" s="103"/>
      <c r="DFF48" s="103"/>
      <c r="DFG48" s="103"/>
      <c r="DFH48" s="103"/>
      <c r="DFI48" s="103"/>
      <c r="DFJ48" s="103"/>
      <c r="DFK48" s="103"/>
      <c r="DFL48" s="103"/>
      <c r="DFM48" s="103"/>
      <c r="DFN48" s="103"/>
      <c r="DFO48" s="103"/>
      <c r="DFP48" s="103"/>
      <c r="DFQ48" s="103"/>
      <c r="DFR48" s="103"/>
      <c r="DFS48" s="103"/>
      <c r="DFT48" s="103"/>
      <c r="DFU48" s="103"/>
      <c r="DFV48" s="103"/>
      <c r="DFW48" s="103"/>
      <c r="DFX48" s="103"/>
      <c r="DFY48" s="103"/>
      <c r="DFZ48" s="103"/>
      <c r="DGA48" s="103"/>
      <c r="DGB48" s="103"/>
      <c r="DGC48" s="103"/>
      <c r="DGD48" s="103"/>
      <c r="DGE48" s="103"/>
      <c r="DGF48" s="103"/>
      <c r="DGG48" s="103"/>
      <c r="DGH48" s="103"/>
      <c r="DGI48" s="103"/>
      <c r="DGJ48" s="103"/>
      <c r="DGK48" s="103"/>
      <c r="DGL48" s="103"/>
      <c r="DGM48" s="103"/>
      <c r="DGN48" s="103"/>
      <c r="DGO48" s="103"/>
      <c r="DGP48" s="103"/>
      <c r="DGQ48" s="103"/>
      <c r="DGR48" s="103"/>
      <c r="DGS48" s="103"/>
      <c r="DGT48" s="103"/>
      <c r="DGU48" s="103"/>
      <c r="DGV48" s="103"/>
      <c r="DGW48" s="103"/>
      <c r="DGX48" s="103"/>
      <c r="DGY48" s="103"/>
      <c r="DGZ48" s="103"/>
      <c r="DHA48" s="103"/>
      <c r="DHB48" s="103"/>
      <c r="DHC48" s="103"/>
      <c r="DHD48" s="103"/>
      <c r="DHE48" s="103"/>
      <c r="DHF48" s="103"/>
      <c r="DHG48" s="103"/>
      <c r="DHH48" s="103"/>
      <c r="DHI48" s="103"/>
      <c r="DHJ48" s="103"/>
      <c r="DHK48" s="103"/>
      <c r="DHL48" s="103"/>
      <c r="DHM48" s="103"/>
      <c r="DHN48" s="103"/>
      <c r="DHO48" s="103"/>
      <c r="DHP48" s="103"/>
      <c r="DHQ48" s="103"/>
      <c r="DHR48" s="103"/>
      <c r="DHS48" s="103"/>
      <c r="DHT48" s="103"/>
      <c r="DHU48" s="103"/>
      <c r="DHV48" s="103"/>
      <c r="DHW48" s="103"/>
      <c r="DHX48" s="103"/>
      <c r="DHY48" s="103"/>
      <c r="DHZ48" s="103"/>
      <c r="DIA48" s="103"/>
      <c r="DIB48" s="103"/>
      <c r="DIC48" s="103"/>
      <c r="DID48" s="103"/>
      <c r="DIE48" s="103"/>
      <c r="DIF48" s="103"/>
      <c r="DIG48" s="103"/>
      <c r="DIH48" s="103"/>
      <c r="DII48" s="103"/>
      <c r="DIJ48" s="103"/>
      <c r="DIK48" s="103"/>
      <c r="DIL48" s="103"/>
      <c r="DIM48" s="103"/>
      <c r="DIN48" s="103"/>
      <c r="DIO48" s="103"/>
      <c r="DIP48" s="103"/>
      <c r="DIQ48" s="103"/>
      <c r="DIR48" s="103"/>
      <c r="DIS48" s="103"/>
      <c r="DIT48" s="103"/>
      <c r="DIU48" s="103"/>
      <c r="DIV48" s="103"/>
      <c r="DIW48" s="103"/>
      <c r="DIX48" s="103"/>
      <c r="DIY48" s="103"/>
      <c r="DIZ48" s="103"/>
      <c r="DJA48" s="103"/>
      <c r="DJB48" s="103"/>
      <c r="DJC48" s="103"/>
      <c r="DJD48" s="103"/>
      <c r="DJE48" s="103"/>
      <c r="DJF48" s="103"/>
      <c r="DJG48" s="103"/>
      <c r="DJH48" s="103"/>
      <c r="DJI48" s="103"/>
      <c r="DJJ48" s="103"/>
      <c r="DJK48" s="103"/>
      <c r="DJL48" s="103"/>
      <c r="DJM48" s="103"/>
      <c r="DJN48" s="103"/>
      <c r="DJO48" s="103"/>
      <c r="DJP48" s="103"/>
      <c r="DJQ48" s="103"/>
      <c r="DJR48" s="103"/>
      <c r="DJS48" s="103"/>
      <c r="DJT48" s="103"/>
      <c r="DJU48" s="103"/>
      <c r="DJV48" s="103"/>
      <c r="DJW48" s="103"/>
      <c r="DJX48" s="103"/>
      <c r="DJY48" s="103"/>
      <c r="DJZ48" s="103"/>
      <c r="DKA48" s="103"/>
      <c r="DKB48" s="103"/>
      <c r="DKC48" s="103"/>
      <c r="DKD48" s="103"/>
      <c r="DKE48" s="103"/>
      <c r="DKF48" s="103"/>
      <c r="DKG48" s="103"/>
      <c r="DKH48" s="103"/>
      <c r="DKI48" s="103"/>
      <c r="DKJ48" s="103"/>
      <c r="DKK48" s="103"/>
      <c r="DKL48" s="103"/>
      <c r="DKM48" s="103"/>
      <c r="DKN48" s="103"/>
      <c r="DKO48" s="103"/>
      <c r="DKP48" s="103"/>
      <c r="DKQ48" s="103"/>
      <c r="DKR48" s="103"/>
      <c r="DKS48" s="103"/>
      <c r="DKT48" s="103"/>
      <c r="DKU48" s="103"/>
      <c r="DKV48" s="103"/>
      <c r="DKW48" s="103"/>
      <c r="DKX48" s="103"/>
      <c r="DKY48" s="103"/>
      <c r="DKZ48" s="103"/>
      <c r="DLA48" s="103"/>
      <c r="DLB48" s="103"/>
      <c r="DLC48" s="103"/>
      <c r="DLD48" s="103"/>
      <c r="DLE48" s="103"/>
      <c r="DLF48" s="103"/>
      <c r="DLG48" s="103"/>
      <c r="DLH48" s="103"/>
      <c r="DLI48" s="103"/>
      <c r="DLJ48" s="103"/>
      <c r="DLK48" s="103"/>
      <c r="DLL48" s="103"/>
      <c r="DLM48" s="103"/>
      <c r="DLN48" s="103"/>
      <c r="DLO48" s="103"/>
      <c r="DLP48" s="103"/>
      <c r="DLQ48" s="103"/>
      <c r="DLR48" s="103"/>
      <c r="DLS48" s="103"/>
      <c r="DLT48" s="103"/>
      <c r="DLU48" s="103"/>
      <c r="DLV48" s="103"/>
      <c r="DLW48" s="103"/>
      <c r="DLX48" s="103"/>
      <c r="DLY48" s="103"/>
      <c r="DLZ48" s="103"/>
      <c r="DMA48" s="103"/>
      <c r="DMB48" s="103"/>
      <c r="DMC48" s="103"/>
      <c r="DMD48" s="103"/>
      <c r="DME48" s="103"/>
      <c r="DMF48" s="103"/>
      <c r="DMG48" s="103"/>
      <c r="DMH48" s="103"/>
      <c r="DMI48" s="103"/>
      <c r="DMJ48" s="103"/>
      <c r="DMK48" s="103"/>
      <c r="DML48" s="103"/>
      <c r="DMM48" s="103"/>
      <c r="DMN48" s="103"/>
      <c r="DMO48" s="103"/>
      <c r="DMP48" s="103"/>
      <c r="DMQ48" s="103"/>
      <c r="DMR48" s="103"/>
      <c r="DMS48" s="103"/>
      <c r="DMT48" s="103"/>
      <c r="DMU48" s="103"/>
      <c r="DMV48" s="103"/>
      <c r="DMW48" s="103"/>
      <c r="DMX48" s="103"/>
      <c r="DMY48" s="103"/>
      <c r="DMZ48" s="103"/>
      <c r="DNA48" s="103"/>
      <c r="DNB48" s="103"/>
      <c r="DNC48" s="103"/>
      <c r="DND48" s="103"/>
      <c r="DNE48" s="103"/>
      <c r="DNF48" s="103"/>
      <c r="DNG48" s="103"/>
      <c r="DNH48" s="103"/>
      <c r="DNI48" s="103"/>
      <c r="DNJ48" s="103"/>
      <c r="DNK48" s="103"/>
      <c r="DNL48" s="103"/>
      <c r="DNM48" s="103"/>
      <c r="DNN48" s="103"/>
      <c r="DNO48" s="103"/>
      <c r="DNP48" s="103"/>
      <c r="DNQ48" s="103"/>
      <c r="DNR48" s="103"/>
      <c r="DNS48" s="103"/>
      <c r="DNT48" s="103"/>
      <c r="DNU48" s="103"/>
      <c r="DNV48" s="103"/>
      <c r="DNW48" s="103"/>
      <c r="DNX48" s="103"/>
      <c r="DNY48" s="103"/>
      <c r="DNZ48" s="103"/>
      <c r="DOA48" s="103"/>
      <c r="DOB48" s="103"/>
      <c r="DOC48" s="103"/>
      <c r="DOD48" s="103"/>
      <c r="DOE48" s="103"/>
      <c r="DOF48" s="103"/>
      <c r="DOG48" s="103"/>
      <c r="DOH48" s="103"/>
      <c r="DOI48" s="103"/>
      <c r="DOJ48" s="103"/>
      <c r="DOK48" s="103"/>
      <c r="DOL48" s="103"/>
      <c r="DOM48" s="103"/>
      <c r="DON48" s="103"/>
      <c r="DOO48" s="103"/>
      <c r="DOP48" s="103"/>
      <c r="DOQ48" s="103"/>
      <c r="DOR48" s="103"/>
      <c r="DOS48" s="103"/>
      <c r="DOT48" s="103"/>
      <c r="DOU48" s="103"/>
      <c r="DOV48" s="103"/>
      <c r="DOW48" s="103"/>
      <c r="DOX48" s="103"/>
      <c r="DOY48" s="103"/>
      <c r="DOZ48" s="103"/>
      <c r="DPA48" s="103"/>
      <c r="DPB48" s="103"/>
      <c r="DPC48" s="103"/>
      <c r="DPD48" s="103"/>
      <c r="DPE48" s="103"/>
      <c r="DPF48" s="103"/>
      <c r="DPG48" s="103"/>
      <c r="DPH48" s="103"/>
      <c r="DPI48" s="103"/>
      <c r="DPJ48" s="103"/>
      <c r="DPK48" s="103"/>
      <c r="DPL48" s="103"/>
      <c r="DPM48" s="103"/>
      <c r="DPN48" s="103"/>
      <c r="DPO48" s="103"/>
      <c r="DPP48" s="103"/>
      <c r="DPQ48" s="103"/>
      <c r="DPR48" s="103"/>
      <c r="DPS48" s="103"/>
      <c r="DPT48" s="103"/>
      <c r="DPU48" s="103"/>
      <c r="DPV48" s="103"/>
      <c r="DPW48" s="103"/>
      <c r="DPX48" s="103"/>
      <c r="DPY48" s="103"/>
      <c r="DPZ48" s="103"/>
      <c r="DQA48" s="103"/>
      <c r="DQB48" s="103"/>
      <c r="DQC48" s="103"/>
      <c r="DQD48" s="103"/>
      <c r="DQE48" s="103"/>
      <c r="DQF48" s="103"/>
      <c r="DQG48" s="103"/>
      <c r="DQH48" s="103"/>
      <c r="DQI48" s="103"/>
      <c r="DQJ48" s="103"/>
      <c r="DQK48" s="103"/>
      <c r="DQL48" s="103"/>
      <c r="DQM48" s="103"/>
      <c r="DQN48" s="103"/>
      <c r="DQO48" s="103"/>
      <c r="DQP48" s="103"/>
      <c r="DQQ48" s="103"/>
      <c r="DQR48" s="103"/>
      <c r="DQS48" s="103"/>
      <c r="DQT48" s="103"/>
      <c r="DQU48" s="103"/>
      <c r="DQV48" s="103"/>
      <c r="DQW48" s="103"/>
      <c r="DQX48" s="103"/>
      <c r="DQY48" s="103"/>
      <c r="DQZ48" s="103"/>
      <c r="DRA48" s="103"/>
      <c r="DRB48" s="103"/>
      <c r="DRC48" s="103"/>
      <c r="DRD48" s="103"/>
      <c r="DRE48" s="103"/>
      <c r="DRF48" s="103"/>
      <c r="DRG48" s="103"/>
      <c r="DRH48" s="103"/>
      <c r="DRI48" s="103"/>
      <c r="DRJ48" s="103"/>
      <c r="DRK48" s="103"/>
      <c r="DRL48" s="103"/>
      <c r="DRM48" s="103"/>
      <c r="DRN48" s="103"/>
      <c r="DRO48" s="103"/>
      <c r="DRP48" s="103"/>
      <c r="DRQ48" s="103"/>
      <c r="DRR48" s="103"/>
      <c r="DRS48" s="103"/>
      <c r="DRT48" s="103"/>
      <c r="DRU48" s="103"/>
      <c r="DRV48" s="103"/>
      <c r="DRW48" s="103"/>
      <c r="DRX48" s="103"/>
      <c r="DRY48" s="103"/>
      <c r="DRZ48" s="103"/>
      <c r="DSA48" s="103"/>
      <c r="DSB48" s="103"/>
      <c r="DSC48" s="103"/>
      <c r="DSD48" s="103"/>
      <c r="DSE48" s="103"/>
      <c r="DSF48" s="103"/>
      <c r="DSG48" s="103"/>
      <c r="DSH48" s="103"/>
      <c r="DSI48" s="103"/>
      <c r="DSJ48" s="103"/>
      <c r="DSK48" s="103"/>
      <c r="DSL48" s="103"/>
      <c r="DSM48" s="103"/>
      <c r="DSN48" s="103"/>
      <c r="DSO48" s="103"/>
      <c r="DSP48" s="103"/>
      <c r="DSQ48" s="103"/>
      <c r="DSR48" s="103"/>
      <c r="DSS48" s="103"/>
      <c r="DST48" s="103"/>
      <c r="DSU48" s="103"/>
      <c r="DSV48" s="103"/>
      <c r="DSW48" s="103"/>
      <c r="DSX48" s="103"/>
      <c r="DSY48" s="103"/>
      <c r="DSZ48" s="103"/>
      <c r="DTA48" s="103"/>
      <c r="DTB48" s="103"/>
      <c r="DTC48" s="103"/>
      <c r="DTD48" s="103"/>
      <c r="DTE48" s="103"/>
      <c r="DTF48" s="103"/>
      <c r="DTG48" s="103"/>
      <c r="DTH48" s="103"/>
      <c r="DTI48" s="103"/>
      <c r="DTJ48" s="103"/>
      <c r="DTK48" s="103"/>
      <c r="DTL48" s="103"/>
      <c r="DTM48" s="103"/>
      <c r="DTN48" s="103"/>
      <c r="DTO48" s="103"/>
      <c r="DTP48" s="103"/>
      <c r="DTQ48" s="103"/>
      <c r="DTR48" s="103"/>
      <c r="DTS48" s="103"/>
      <c r="DTT48" s="103"/>
      <c r="DTU48" s="103"/>
      <c r="DTV48" s="103"/>
      <c r="DTW48" s="103"/>
      <c r="DTX48" s="103"/>
      <c r="DTY48" s="103"/>
      <c r="DTZ48" s="103"/>
      <c r="DUA48" s="103"/>
      <c r="DUB48" s="103"/>
      <c r="DUC48" s="103"/>
      <c r="DUD48" s="103"/>
      <c r="DUE48" s="103"/>
      <c r="DUF48" s="103"/>
      <c r="DUG48" s="103"/>
      <c r="DUH48" s="103"/>
      <c r="DUI48" s="103"/>
      <c r="DUJ48" s="103"/>
      <c r="DUK48" s="103"/>
      <c r="DUL48" s="103"/>
      <c r="DUM48" s="103"/>
      <c r="DUN48" s="103"/>
      <c r="DUO48" s="103"/>
      <c r="DUP48" s="103"/>
      <c r="DUQ48" s="103"/>
      <c r="DUR48" s="103"/>
      <c r="DUS48" s="103"/>
      <c r="DUT48" s="103"/>
      <c r="DUU48" s="103"/>
      <c r="DUV48" s="103"/>
      <c r="DUW48" s="103"/>
      <c r="DUX48" s="103"/>
      <c r="DUY48" s="103"/>
      <c r="DUZ48" s="103"/>
      <c r="DVA48" s="103"/>
      <c r="DVB48" s="103"/>
      <c r="DVC48" s="103"/>
      <c r="DVD48" s="103"/>
      <c r="DVE48" s="103"/>
      <c r="DVF48" s="103"/>
      <c r="DVG48" s="103"/>
      <c r="DVH48" s="103"/>
      <c r="DVI48" s="103"/>
      <c r="DVJ48" s="103"/>
      <c r="DVK48" s="103"/>
      <c r="DVL48" s="103"/>
      <c r="DVM48" s="103"/>
      <c r="DVN48" s="103"/>
      <c r="DVO48" s="103"/>
      <c r="DVP48" s="103"/>
      <c r="DVQ48" s="103"/>
      <c r="DVR48" s="103"/>
      <c r="DVS48" s="103"/>
      <c r="DVT48" s="103"/>
      <c r="DVU48" s="103"/>
      <c r="DVV48" s="103"/>
      <c r="DVW48" s="103"/>
      <c r="DVX48" s="103"/>
      <c r="DVY48" s="103"/>
      <c r="DVZ48" s="103"/>
      <c r="DWA48" s="103"/>
      <c r="DWB48" s="103"/>
      <c r="DWC48" s="103"/>
      <c r="DWD48" s="103"/>
      <c r="DWE48" s="103"/>
      <c r="DWF48" s="103"/>
      <c r="DWG48" s="103"/>
      <c r="DWH48" s="103"/>
      <c r="DWI48" s="103"/>
      <c r="DWJ48" s="103"/>
      <c r="DWK48" s="103"/>
      <c r="DWL48" s="103"/>
      <c r="DWM48" s="103"/>
      <c r="DWN48" s="103"/>
      <c r="DWO48" s="103"/>
      <c r="DWP48" s="103"/>
      <c r="DWQ48" s="103"/>
      <c r="DWR48" s="103"/>
      <c r="DWS48" s="103"/>
      <c r="DWT48" s="103"/>
      <c r="DWU48" s="103"/>
      <c r="DWV48" s="103"/>
      <c r="DWW48" s="103"/>
      <c r="DWX48" s="103"/>
      <c r="DWY48" s="103"/>
      <c r="DWZ48" s="103"/>
      <c r="DXA48" s="103"/>
      <c r="DXB48" s="103"/>
      <c r="DXC48" s="103"/>
      <c r="DXD48" s="103"/>
      <c r="DXE48" s="103"/>
      <c r="DXF48" s="103"/>
      <c r="DXG48" s="103"/>
      <c r="DXH48" s="103"/>
      <c r="DXI48" s="103"/>
      <c r="DXJ48" s="103"/>
      <c r="DXK48" s="103"/>
      <c r="DXL48" s="103"/>
      <c r="DXM48" s="103"/>
      <c r="DXN48" s="103"/>
      <c r="DXO48" s="103"/>
      <c r="DXP48" s="103"/>
      <c r="DXQ48" s="103"/>
      <c r="DXR48" s="103"/>
      <c r="DXS48" s="103"/>
      <c r="DXT48" s="103"/>
      <c r="DXU48" s="103"/>
      <c r="DXV48" s="103"/>
      <c r="DXW48" s="103"/>
      <c r="DXX48" s="103"/>
      <c r="DXY48" s="103"/>
      <c r="DXZ48" s="103"/>
      <c r="DYA48" s="103"/>
      <c r="DYB48" s="103"/>
      <c r="DYC48" s="103"/>
      <c r="DYD48" s="103"/>
      <c r="DYE48" s="103"/>
      <c r="DYF48" s="103"/>
      <c r="DYG48" s="103"/>
      <c r="DYH48" s="103"/>
      <c r="DYI48" s="103"/>
      <c r="DYJ48" s="103"/>
      <c r="DYK48" s="103"/>
      <c r="DYL48" s="103"/>
      <c r="DYM48" s="103"/>
      <c r="DYN48" s="103"/>
      <c r="DYO48" s="103"/>
      <c r="DYP48" s="103"/>
      <c r="DYQ48" s="103"/>
      <c r="DYR48" s="103"/>
      <c r="DYS48" s="103"/>
      <c r="DYT48" s="103"/>
      <c r="DYU48" s="103"/>
      <c r="DYV48" s="103"/>
      <c r="DYW48" s="103"/>
      <c r="DYX48" s="103"/>
      <c r="DYY48" s="103"/>
      <c r="DYZ48" s="103"/>
      <c r="DZA48" s="103"/>
      <c r="DZB48" s="103"/>
      <c r="DZC48" s="103"/>
      <c r="DZD48" s="103"/>
      <c r="DZE48" s="103"/>
      <c r="DZF48" s="103"/>
      <c r="DZG48" s="103"/>
      <c r="DZH48" s="103"/>
      <c r="DZI48" s="103"/>
      <c r="DZJ48" s="103"/>
      <c r="DZK48" s="103"/>
      <c r="DZL48" s="103"/>
      <c r="DZM48" s="103"/>
      <c r="DZN48" s="103"/>
      <c r="DZO48" s="103"/>
      <c r="DZP48" s="103"/>
      <c r="DZQ48" s="103"/>
      <c r="DZR48" s="103"/>
      <c r="DZS48" s="103"/>
      <c r="DZT48" s="103"/>
      <c r="DZU48" s="103"/>
      <c r="DZV48" s="103"/>
      <c r="DZW48" s="103"/>
      <c r="DZX48" s="103"/>
      <c r="DZY48" s="103"/>
      <c r="DZZ48" s="103"/>
      <c r="EAA48" s="103"/>
      <c r="EAB48" s="103"/>
      <c r="EAC48" s="103"/>
      <c r="EAD48" s="103"/>
      <c r="EAE48" s="103"/>
      <c r="EAF48" s="103"/>
      <c r="EAG48" s="103"/>
      <c r="EAH48" s="103"/>
      <c r="EAI48" s="103"/>
      <c r="EAJ48" s="103"/>
      <c r="EAK48" s="103"/>
      <c r="EAL48" s="103"/>
      <c r="EAM48" s="103"/>
      <c r="EAN48" s="103"/>
      <c r="EAO48" s="103"/>
      <c r="EAP48" s="103"/>
      <c r="EAQ48" s="103"/>
      <c r="EAR48" s="103"/>
      <c r="EAS48" s="103"/>
      <c r="EAT48" s="103"/>
      <c r="EAU48" s="103"/>
      <c r="EAV48" s="103"/>
      <c r="EAW48" s="103"/>
      <c r="EAX48" s="103"/>
      <c r="EAY48" s="103"/>
      <c r="EAZ48" s="103"/>
      <c r="EBA48" s="103"/>
      <c r="EBB48" s="103"/>
      <c r="EBC48" s="103"/>
      <c r="EBD48" s="103"/>
      <c r="EBE48" s="103"/>
      <c r="EBF48" s="103"/>
      <c r="EBG48" s="103"/>
      <c r="EBH48" s="103"/>
      <c r="EBI48" s="103"/>
      <c r="EBJ48" s="103"/>
      <c r="EBK48" s="103"/>
      <c r="EBL48" s="103"/>
      <c r="EBM48" s="103"/>
      <c r="EBN48" s="103"/>
      <c r="EBO48" s="103"/>
      <c r="EBP48" s="103"/>
      <c r="EBQ48" s="103"/>
      <c r="EBR48" s="103"/>
      <c r="EBS48" s="103"/>
      <c r="EBT48" s="103"/>
      <c r="EBU48" s="103"/>
      <c r="EBV48" s="103"/>
      <c r="EBW48" s="103"/>
      <c r="EBX48" s="103"/>
      <c r="EBY48" s="103"/>
      <c r="EBZ48" s="103"/>
      <c r="ECA48" s="103"/>
      <c r="ECB48" s="103"/>
      <c r="ECC48" s="103"/>
      <c r="ECD48" s="103"/>
      <c r="ECE48" s="103"/>
      <c r="ECF48" s="103"/>
      <c r="ECG48" s="103"/>
      <c r="ECH48" s="103"/>
      <c r="ECI48" s="103"/>
      <c r="ECJ48" s="103"/>
      <c r="ECK48" s="103"/>
      <c r="ECL48" s="103"/>
      <c r="ECM48" s="103"/>
      <c r="ECN48" s="103"/>
      <c r="ECO48" s="103"/>
      <c r="ECP48" s="103"/>
      <c r="ECQ48" s="103"/>
      <c r="ECR48" s="103"/>
      <c r="ECS48" s="103"/>
      <c r="ECT48" s="103"/>
      <c r="ECU48" s="103"/>
      <c r="ECV48" s="103"/>
      <c r="ECW48" s="103"/>
      <c r="ECX48" s="103"/>
      <c r="ECY48" s="103"/>
      <c r="ECZ48" s="103"/>
      <c r="EDA48" s="103"/>
      <c r="EDB48" s="103"/>
      <c r="EDC48" s="103"/>
      <c r="EDD48" s="103"/>
      <c r="EDE48" s="103"/>
      <c r="EDF48" s="103"/>
      <c r="EDG48" s="103"/>
      <c r="EDH48" s="103"/>
      <c r="EDI48" s="103"/>
      <c r="EDJ48" s="103"/>
      <c r="EDK48" s="103"/>
      <c r="EDL48" s="103"/>
      <c r="EDM48" s="103"/>
      <c r="EDN48" s="103"/>
      <c r="EDO48" s="103"/>
      <c r="EDP48" s="103"/>
      <c r="EDQ48" s="103"/>
      <c r="EDR48" s="103"/>
      <c r="EDS48" s="103"/>
      <c r="EDT48" s="103"/>
      <c r="EDU48" s="103"/>
      <c r="EDV48" s="103"/>
      <c r="EDW48" s="103"/>
      <c r="EDX48" s="103"/>
      <c r="EDY48" s="103"/>
      <c r="EDZ48" s="103"/>
      <c r="EEA48" s="103"/>
      <c r="EEB48" s="103"/>
      <c r="EEC48" s="103"/>
      <c r="EED48" s="103"/>
      <c r="EEE48" s="103"/>
      <c r="EEF48" s="103"/>
      <c r="EEG48" s="103"/>
      <c r="EEH48" s="103"/>
      <c r="EEI48" s="103"/>
      <c r="EEJ48" s="103"/>
      <c r="EEK48" s="103"/>
      <c r="EEL48" s="103"/>
      <c r="EEM48" s="103"/>
      <c r="EEN48" s="103"/>
      <c r="EEO48" s="103"/>
      <c r="EEP48" s="103"/>
      <c r="EEQ48" s="103"/>
      <c r="EER48" s="103"/>
      <c r="EES48" s="103"/>
      <c r="EET48" s="103"/>
      <c r="EEU48" s="103"/>
      <c r="EEV48" s="103"/>
      <c r="EEW48" s="103"/>
      <c r="EEX48" s="103"/>
      <c r="EEY48" s="103"/>
      <c r="EEZ48" s="103"/>
      <c r="EFA48" s="103"/>
      <c r="EFB48" s="103"/>
      <c r="EFC48" s="103"/>
      <c r="EFD48" s="103"/>
      <c r="EFE48" s="103"/>
      <c r="EFF48" s="103"/>
      <c r="EFG48" s="103"/>
      <c r="EFH48" s="103"/>
      <c r="EFI48" s="103"/>
      <c r="EFJ48" s="103"/>
      <c r="EFK48" s="103"/>
      <c r="EFL48" s="103"/>
      <c r="EFM48" s="103"/>
      <c r="EFN48" s="103"/>
      <c r="EFO48" s="103"/>
      <c r="EFP48" s="103"/>
      <c r="EFQ48" s="103"/>
      <c r="EFR48" s="103"/>
      <c r="EFS48" s="103"/>
      <c r="EFT48" s="103"/>
      <c r="EFU48" s="103"/>
      <c r="EFV48" s="103"/>
      <c r="EFW48" s="103"/>
      <c r="EFX48" s="103"/>
      <c r="EFY48" s="103"/>
      <c r="EFZ48" s="103"/>
      <c r="EGA48" s="103"/>
      <c r="EGB48" s="103"/>
      <c r="EGC48" s="103"/>
      <c r="EGD48" s="103"/>
      <c r="EGE48" s="103"/>
      <c r="EGF48" s="103"/>
      <c r="EGG48" s="103"/>
      <c r="EGH48" s="103"/>
      <c r="EGI48" s="103"/>
      <c r="EGJ48" s="103"/>
      <c r="EGK48" s="103"/>
      <c r="EGL48" s="103"/>
      <c r="EGM48" s="103"/>
      <c r="EGN48" s="103"/>
      <c r="EGO48" s="103"/>
      <c r="EGP48" s="103"/>
      <c r="EGQ48" s="103"/>
      <c r="EGR48" s="103"/>
      <c r="EGS48" s="103"/>
      <c r="EGT48" s="103"/>
      <c r="EGU48" s="103"/>
      <c r="EGV48" s="103"/>
      <c r="EGW48" s="103"/>
      <c r="EGX48" s="103"/>
      <c r="EGY48" s="103"/>
      <c r="EGZ48" s="103"/>
      <c r="EHA48" s="103"/>
      <c r="EHB48" s="103"/>
      <c r="EHC48" s="103"/>
      <c r="EHD48" s="103"/>
      <c r="EHE48" s="103"/>
      <c r="EHF48" s="103"/>
      <c r="EHG48" s="103"/>
      <c r="EHH48" s="103"/>
      <c r="EHI48" s="103"/>
      <c r="EHJ48" s="103"/>
      <c r="EHK48" s="103"/>
      <c r="EHL48" s="103"/>
      <c r="EHM48" s="103"/>
      <c r="EHN48" s="103"/>
      <c r="EHO48" s="103"/>
      <c r="EHP48" s="103"/>
      <c r="EHQ48" s="103"/>
      <c r="EHR48" s="103"/>
      <c r="EHS48" s="103"/>
      <c r="EHT48" s="103"/>
      <c r="EHU48" s="103"/>
      <c r="EHV48" s="103"/>
      <c r="EHW48" s="103"/>
      <c r="EHX48" s="103"/>
      <c r="EHY48" s="103"/>
      <c r="EHZ48" s="103"/>
      <c r="EIA48" s="103"/>
      <c r="EIB48" s="103"/>
      <c r="EIC48" s="103"/>
      <c r="EID48" s="103"/>
      <c r="EIE48" s="103"/>
      <c r="EIF48" s="103"/>
      <c r="EIG48" s="103"/>
      <c r="EIH48" s="103"/>
      <c r="EII48" s="103"/>
      <c r="EIJ48" s="103"/>
      <c r="EIK48" s="103"/>
      <c r="EIL48" s="103"/>
      <c r="EIM48" s="103"/>
      <c r="EIN48" s="103"/>
      <c r="EIO48" s="103"/>
      <c r="EIP48" s="103"/>
      <c r="EIQ48" s="103"/>
      <c r="EIR48" s="103"/>
      <c r="EIS48" s="103"/>
      <c r="EIT48" s="103"/>
      <c r="EIU48" s="103"/>
      <c r="EIV48" s="103"/>
      <c r="EIW48" s="103"/>
      <c r="EIX48" s="103"/>
      <c r="EIY48" s="103"/>
      <c r="EIZ48" s="103"/>
      <c r="EJA48" s="103"/>
      <c r="EJB48" s="103"/>
      <c r="EJC48" s="103"/>
      <c r="EJD48" s="103"/>
      <c r="EJE48" s="103"/>
      <c r="EJF48" s="103"/>
      <c r="EJG48" s="103"/>
      <c r="EJH48" s="103"/>
      <c r="EJI48" s="103"/>
      <c r="EJJ48" s="103"/>
      <c r="EJK48" s="103"/>
      <c r="EJL48" s="103"/>
      <c r="EJM48" s="103"/>
      <c r="EJN48" s="103"/>
      <c r="EJO48" s="103"/>
      <c r="EJP48" s="103"/>
      <c r="EJQ48" s="103"/>
      <c r="EJR48" s="103"/>
      <c r="EJS48" s="103"/>
      <c r="EJT48" s="103"/>
      <c r="EJU48" s="103"/>
      <c r="EJV48" s="103"/>
      <c r="EJW48" s="103"/>
      <c r="EJX48" s="103"/>
      <c r="EJY48" s="103"/>
      <c r="EJZ48" s="103"/>
      <c r="EKA48" s="103"/>
      <c r="EKB48" s="103"/>
      <c r="EKC48" s="103"/>
      <c r="EKD48" s="103"/>
      <c r="EKE48" s="103"/>
      <c r="EKF48" s="103"/>
      <c r="EKG48" s="103"/>
      <c r="EKH48" s="103"/>
      <c r="EKI48" s="103"/>
      <c r="EKJ48" s="103"/>
      <c r="EKK48" s="103"/>
      <c r="EKL48" s="103"/>
      <c r="EKM48" s="103"/>
      <c r="EKN48" s="103"/>
      <c r="EKO48" s="103"/>
      <c r="EKP48" s="103"/>
      <c r="EKQ48" s="103"/>
      <c r="EKR48" s="103"/>
      <c r="EKS48" s="103"/>
      <c r="EKT48" s="103"/>
      <c r="EKU48" s="103"/>
      <c r="EKV48" s="103"/>
      <c r="EKW48" s="103"/>
      <c r="EKX48" s="103"/>
      <c r="EKY48" s="103"/>
      <c r="EKZ48" s="103"/>
      <c r="ELA48" s="103"/>
      <c r="ELB48" s="103"/>
      <c r="ELC48" s="103"/>
      <c r="ELD48" s="103"/>
      <c r="ELE48" s="103"/>
      <c r="ELF48" s="103"/>
      <c r="ELG48" s="103"/>
      <c r="ELH48" s="103"/>
      <c r="ELI48" s="103"/>
      <c r="ELJ48" s="103"/>
      <c r="ELK48" s="103"/>
      <c r="ELL48" s="103"/>
      <c r="ELM48" s="103"/>
      <c r="ELN48" s="103"/>
      <c r="ELO48" s="103"/>
      <c r="ELP48" s="103"/>
      <c r="ELQ48" s="103"/>
      <c r="ELR48" s="103"/>
      <c r="ELS48" s="103"/>
      <c r="ELT48" s="103"/>
      <c r="ELU48" s="103"/>
      <c r="ELV48" s="103"/>
      <c r="ELW48" s="103"/>
      <c r="ELX48" s="103"/>
      <c r="ELY48" s="103"/>
      <c r="ELZ48" s="103"/>
      <c r="EMA48" s="103"/>
      <c r="EMB48" s="103"/>
      <c r="EMC48" s="103"/>
      <c r="EMD48" s="103"/>
      <c r="EME48" s="103"/>
      <c r="EMF48" s="103"/>
      <c r="EMG48" s="103"/>
      <c r="EMH48" s="103"/>
      <c r="EMI48" s="103"/>
      <c r="EMJ48" s="103"/>
      <c r="EMK48" s="103"/>
      <c r="EML48" s="103"/>
      <c r="EMM48" s="103"/>
      <c r="EMN48" s="103"/>
      <c r="EMO48" s="103"/>
      <c r="EMP48" s="103"/>
      <c r="EMQ48" s="103"/>
      <c r="EMR48" s="103"/>
      <c r="EMS48" s="103"/>
      <c r="EMT48" s="103"/>
      <c r="EMU48" s="103"/>
      <c r="EMV48" s="103"/>
      <c r="EMW48" s="103"/>
      <c r="EMX48" s="103"/>
      <c r="EMY48" s="103"/>
      <c r="EMZ48" s="103"/>
      <c r="ENA48" s="103"/>
      <c r="ENB48" s="103"/>
      <c r="ENC48" s="103"/>
      <c r="END48" s="103"/>
      <c r="ENE48" s="103"/>
      <c r="ENF48" s="103"/>
      <c r="ENG48" s="103"/>
      <c r="ENH48" s="103"/>
      <c r="ENI48" s="103"/>
      <c r="ENJ48" s="103"/>
      <c r="ENK48" s="103"/>
      <c r="ENL48" s="103"/>
      <c r="ENM48" s="103"/>
      <c r="ENN48" s="103"/>
      <c r="ENO48" s="103"/>
      <c r="ENP48" s="103"/>
      <c r="ENQ48" s="103"/>
      <c r="ENR48" s="103"/>
      <c r="ENS48" s="103"/>
      <c r="ENT48" s="103"/>
      <c r="ENU48" s="103"/>
      <c r="ENV48" s="103"/>
      <c r="ENW48" s="103"/>
      <c r="ENX48" s="103"/>
      <c r="ENY48" s="103"/>
      <c r="ENZ48" s="103"/>
      <c r="EOA48" s="103"/>
      <c r="EOB48" s="103"/>
      <c r="EOC48" s="103"/>
      <c r="EOD48" s="103"/>
      <c r="EOE48" s="103"/>
      <c r="EOF48" s="103"/>
      <c r="EOG48" s="103"/>
      <c r="EOH48" s="103"/>
      <c r="EOI48" s="103"/>
      <c r="EOJ48" s="103"/>
      <c r="EOK48" s="103"/>
      <c r="EOL48" s="103"/>
      <c r="EOM48" s="103"/>
      <c r="EON48" s="103"/>
      <c r="EOO48" s="103"/>
      <c r="EOP48" s="103"/>
      <c r="EOQ48" s="103"/>
      <c r="EOR48" s="103"/>
      <c r="EOS48" s="103"/>
      <c r="EOT48" s="103"/>
      <c r="EOU48" s="103"/>
      <c r="EOV48" s="103"/>
      <c r="EOW48" s="103"/>
      <c r="EOX48" s="103"/>
      <c r="EOY48" s="103"/>
      <c r="EOZ48" s="103"/>
      <c r="EPA48" s="103"/>
      <c r="EPB48" s="103"/>
      <c r="EPC48" s="103"/>
      <c r="EPD48" s="103"/>
      <c r="EPE48" s="103"/>
      <c r="EPF48" s="103"/>
      <c r="EPG48" s="103"/>
      <c r="EPH48" s="103"/>
      <c r="EPI48" s="103"/>
      <c r="EPJ48" s="103"/>
      <c r="EPK48" s="103"/>
      <c r="EPL48" s="103"/>
      <c r="EPM48" s="103"/>
      <c r="EPN48" s="103"/>
      <c r="EPO48" s="103"/>
      <c r="EPP48" s="103"/>
      <c r="EPQ48" s="103"/>
      <c r="EPR48" s="103"/>
      <c r="EPS48" s="103"/>
      <c r="EPT48" s="103"/>
      <c r="EPU48" s="103"/>
      <c r="EPV48" s="103"/>
      <c r="EPW48" s="103"/>
      <c r="EPX48" s="103"/>
      <c r="EPY48" s="103"/>
      <c r="EPZ48" s="103"/>
      <c r="EQA48" s="103"/>
      <c r="EQB48" s="103"/>
      <c r="EQC48" s="103"/>
      <c r="EQD48" s="103"/>
      <c r="EQE48" s="103"/>
      <c r="EQF48" s="103"/>
      <c r="EQG48" s="103"/>
      <c r="EQH48" s="103"/>
      <c r="EQI48" s="103"/>
      <c r="EQJ48" s="103"/>
      <c r="EQK48" s="103"/>
      <c r="EQL48" s="103"/>
      <c r="EQM48" s="103"/>
      <c r="EQN48" s="103"/>
      <c r="EQO48" s="103"/>
      <c r="EQP48" s="103"/>
      <c r="EQQ48" s="103"/>
      <c r="EQR48" s="103"/>
      <c r="EQS48" s="103"/>
      <c r="EQT48" s="103"/>
      <c r="EQU48" s="103"/>
      <c r="EQV48" s="103"/>
      <c r="EQW48" s="103"/>
      <c r="EQX48" s="103"/>
      <c r="EQY48" s="103"/>
      <c r="EQZ48" s="103"/>
      <c r="ERA48" s="103"/>
      <c r="ERB48" s="103"/>
      <c r="ERC48" s="103"/>
      <c r="ERD48" s="103"/>
      <c r="ERE48" s="103"/>
      <c r="ERF48" s="103"/>
      <c r="ERG48" s="103"/>
      <c r="ERH48" s="103"/>
      <c r="ERI48" s="103"/>
      <c r="ERJ48" s="103"/>
      <c r="ERK48" s="103"/>
      <c r="ERL48" s="103"/>
      <c r="ERM48" s="103"/>
      <c r="ERN48" s="103"/>
      <c r="ERO48" s="103"/>
      <c r="ERP48" s="103"/>
      <c r="ERQ48" s="103"/>
      <c r="ERR48" s="103"/>
      <c r="ERS48" s="103"/>
      <c r="ERT48" s="103"/>
      <c r="ERU48" s="103"/>
      <c r="ERV48" s="103"/>
      <c r="ERW48" s="103"/>
      <c r="ERX48" s="103"/>
      <c r="ERY48" s="103"/>
      <c r="ERZ48" s="103"/>
      <c r="ESA48" s="103"/>
      <c r="ESB48" s="103"/>
      <c r="ESC48" s="103"/>
      <c r="ESD48" s="103"/>
      <c r="ESE48" s="103"/>
      <c r="ESF48" s="103"/>
      <c r="ESG48" s="103"/>
      <c r="ESH48" s="103"/>
      <c r="ESI48" s="103"/>
      <c r="ESJ48" s="103"/>
      <c r="ESK48" s="103"/>
      <c r="ESL48" s="103"/>
      <c r="ESM48" s="103"/>
      <c r="ESN48" s="103"/>
      <c r="ESO48" s="103"/>
      <c r="ESP48" s="103"/>
      <c r="ESQ48" s="103"/>
      <c r="ESR48" s="103"/>
      <c r="ESS48" s="103"/>
      <c r="EST48" s="103"/>
      <c r="ESU48" s="103"/>
      <c r="ESV48" s="103"/>
      <c r="ESW48" s="103"/>
      <c r="ESX48" s="103"/>
      <c r="ESY48" s="103"/>
      <c r="ESZ48" s="103"/>
      <c r="ETA48" s="103"/>
      <c r="ETB48" s="103"/>
      <c r="ETC48" s="103"/>
      <c r="ETD48" s="103"/>
      <c r="ETE48" s="103"/>
      <c r="ETF48" s="103"/>
      <c r="ETG48" s="103"/>
      <c r="ETH48" s="103"/>
      <c r="ETI48" s="103"/>
      <c r="ETJ48" s="103"/>
      <c r="ETK48" s="103"/>
      <c r="ETL48" s="103"/>
      <c r="ETM48" s="103"/>
      <c r="ETN48" s="103"/>
      <c r="ETO48" s="103"/>
      <c r="ETP48" s="103"/>
      <c r="ETQ48" s="103"/>
      <c r="ETR48" s="103"/>
      <c r="ETS48" s="103"/>
      <c r="ETT48" s="103"/>
      <c r="ETU48" s="103"/>
      <c r="ETV48" s="103"/>
      <c r="ETW48" s="103"/>
      <c r="ETX48" s="103"/>
      <c r="ETY48" s="103"/>
      <c r="ETZ48" s="103"/>
      <c r="EUA48" s="103"/>
      <c r="EUB48" s="103"/>
      <c r="EUC48" s="103"/>
      <c r="EUD48" s="103"/>
      <c r="EUE48" s="103"/>
      <c r="EUF48" s="103"/>
      <c r="EUG48" s="103"/>
      <c r="EUH48" s="103"/>
      <c r="EUI48" s="103"/>
      <c r="EUJ48" s="103"/>
      <c r="EUK48" s="103"/>
      <c r="EUL48" s="103"/>
      <c r="EUM48" s="103"/>
      <c r="EUN48" s="103"/>
      <c r="EUO48" s="103"/>
      <c r="EUP48" s="103"/>
      <c r="EUQ48" s="103"/>
      <c r="EUR48" s="103"/>
      <c r="EUS48" s="103"/>
      <c r="EUT48" s="103"/>
      <c r="EUU48" s="103"/>
      <c r="EUV48" s="103"/>
      <c r="EUW48" s="103"/>
      <c r="EUX48" s="103"/>
      <c r="EUY48" s="103"/>
      <c r="EUZ48" s="103"/>
      <c r="EVA48" s="103"/>
      <c r="EVB48" s="103"/>
      <c r="EVC48" s="103"/>
      <c r="EVD48" s="103"/>
      <c r="EVE48" s="103"/>
      <c r="EVF48" s="103"/>
      <c r="EVG48" s="103"/>
      <c r="EVH48" s="103"/>
      <c r="EVI48" s="103"/>
      <c r="EVJ48" s="103"/>
      <c r="EVK48" s="103"/>
      <c r="EVL48" s="103"/>
      <c r="EVM48" s="103"/>
      <c r="EVN48" s="103"/>
      <c r="EVO48" s="103"/>
      <c r="EVP48" s="103"/>
      <c r="EVQ48" s="103"/>
      <c r="EVR48" s="103"/>
      <c r="EVS48" s="103"/>
      <c r="EVT48" s="103"/>
      <c r="EVU48" s="103"/>
      <c r="EVV48" s="103"/>
      <c r="EVW48" s="103"/>
      <c r="EVX48" s="103"/>
      <c r="EVY48" s="103"/>
      <c r="EVZ48" s="103"/>
      <c r="EWA48" s="103"/>
      <c r="EWB48" s="103"/>
      <c r="EWC48" s="103"/>
      <c r="EWD48" s="103"/>
      <c r="EWE48" s="103"/>
      <c r="EWF48" s="103"/>
      <c r="EWG48" s="103"/>
      <c r="EWH48" s="103"/>
      <c r="EWI48" s="103"/>
      <c r="EWJ48" s="103"/>
      <c r="EWK48" s="103"/>
      <c r="EWL48" s="103"/>
      <c r="EWM48" s="103"/>
      <c r="EWN48" s="103"/>
      <c r="EWO48" s="103"/>
      <c r="EWP48" s="103"/>
      <c r="EWQ48" s="103"/>
      <c r="EWR48" s="103"/>
      <c r="EWS48" s="103"/>
      <c r="EWT48" s="103"/>
      <c r="EWU48" s="103"/>
      <c r="EWV48" s="103"/>
      <c r="EWW48" s="103"/>
      <c r="EWX48" s="103"/>
      <c r="EWY48" s="103"/>
      <c r="EWZ48" s="103"/>
      <c r="EXA48" s="103"/>
      <c r="EXB48" s="103"/>
      <c r="EXC48" s="103"/>
      <c r="EXD48" s="103"/>
      <c r="EXE48" s="103"/>
      <c r="EXF48" s="103"/>
      <c r="EXG48" s="103"/>
      <c r="EXH48" s="103"/>
      <c r="EXI48" s="103"/>
      <c r="EXJ48" s="103"/>
      <c r="EXK48" s="103"/>
      <c r="EXL48" s="103"/>
      <c r="EXM48" s="103"/>
      <c r="EXN48" s="103"/>
      <c r="EXO48" s="103"/>
      <c r="EXP48" s="103"/>
      <c r="EXQ48" s="103"/>
      <c r="EXR48" s="103"/>
      <c r="EXS48" s="103"/>
      <c r="EXT48" s="103"/>
      <c r="EXU48" s="103"/>
      <c r="EXV48" s="103"/>
      <c r="EXW48" s="103"/>
      <c r="EXX48" s="103"/>
      <c r="EXY48" s="103"/>
      <c r="EXZ48" s="103"/>
      <c r="EYA48" s="103"/>
      <c r="EYB48" s="103"/>
      <c r="EYC48" s="103"/>
      <c r="EYD48" s="103"/>
      <c r="EYE48" s="103"/>
      <c r="EYF48" s="103"/>
      <c r="EYG48" s="103"/>
      <c r="EYH48" s="103"/>
      <c r="EYI48" s="103"/>
      <c r="EYJ48" s="103"/>
      <c r="EYK48" s="103"/>
      <c r="EYL48" s="103"/>
      <c r="EYM48" s="103"/>
      <c r="EYN48" s="103"/>
      <c r="EYO48" s="103"/>
      <c r="EYP48" s="103"/>
      <c r="EYQ48" s="103"/>
      <c r="EYR48" s="103"/>
      <c r="EYS48" s="103"/>
      <c r="EYT48" s="103"/>
      <c r="EYU48" s="103"/>
      <c r="EYV48" s="103"/>
      <c r="EYW48" s="103"/>
      <c r="EYX48" s="103"/>
      <c r="EYY48" s="103"/>
      <c r="EYZ48" s="103"/>
      <c r="EZA48" s="103"/>
      <c r="EZB48" s="103"/>
      <c r="EZC48" s="103"/>
      <c r="EZD48" s="103"/>
      <c r="EZE48" s="103"/>
      <c r="EZF48" s="103"/>
      <c r="EZG48" s="103"/>
      <c r="EZH48" s="103"/>
      <c r="EZI48" s="103"/>
      <c r="EZJ48" s="103"/>
      <c r="EZK48" s="103"/>
      <c r="EZL48" s="103"/>
      <c r="EZM48" s="103"/>
      <c r="EZN48" s="103"/>
      <c r="EZO48" s="103"/>
      <c r="EZP48" s="103"/>
      <c r="EZQ48" s="103"/>
      <c r="EZR48" s="103"/>
      <c r="EZS48" s="103"/>
      <c r="EZT48" s="103"/>
      <c r="EZU48" s="103"/>
      <c r="EZV48" s="103"/>
      <c r="EZW48" s="103"/>
      <c r="EZX48" s="103"/>
      <c r="EZY48" s="103"/>
      <c r="EZZ48" s="103"/>
      <c r="FAA48" s="103"/>
      <c r="FAB48" s="103"/>
      <c r="FAC48" s="103"/>
      <c r="FAD48" s="103"/>
      <c r="FAE48" s="103"/>
      <c r="FAF48" s="103"/>
      <c r="FAG48" s="103"/>
      <c r="FAH48" s="103"/>
      <c r="FAI48" s="103"/>
      <c r="FAJ48" s="103"/>
      <c r="FAK48" s="103"/>
      <c r="FAL48" s="103"/>
      <c r="FAM48" s="103"/>
      <c r="FAN48" s="103"/>
      <c r="FAO48" s="103"/>
      <c r="FAP48" s="103"/>
      <c r="FAQ48" s="103"/>
      <c r="FAR48" s="103"/>
      <c r="FAS48" s="103"/>
      <c r="FAT48" s="103"/>
      <c r="FAU48" s="103"/>
      <c r="FAV48" s="103"/>
      <c r="FAW48" s="103"/>
      <c r="FAX48" s="103"/>
      <c r="FAY48" s="103"/>
      <c r="FAZ48" s="103"/>
      <c r="FBA48" s="103"/>
      <c r="FBB48" s="103"/>
      <c r="FBC48" s="103"/>
      <c r="FBD48" s="103"/>
      <c r="FBE48" s="103"/>
      <c r="FBF48" s="103"/>
      <c r="FBG48" s="103"/>
      <c r="FBH48" s="103"/>
      <c r="FBI48" s="103"/>
      <c r="FBJ48" s="103"/>
      <c r="FBK48" s="103"/>
      <c r="FBL48" s="103"/>
      <c r="FBM48" s="103"/>
      <c r="FBN48" s="103"/>
      <c r="FBO48" s="103"/>
      <c r="FBP48" s="103"/>
      <c r="FBQ48" s="103"/>
      <c r="FBR48" s="103"/>
      <c r="FBS48" s="103"/>
      <c r="FBT48" s="103"/>
      <c r="FBU48" s="103"/>
      <c r="FBV48" s="103"/>
      <c r="FBW48" s="103"/>
      <c r="FBX48" s="103"/>
      <c r="FBY48" s="103"/>
      <c r="FBZ48" s="103"/>
      <c r="FCA48" s="103"/>
      <c r="FCB48" s="103"/>
      <c r="FCC48" s="103"/>
      <c r="FCD48" s="103"/>
      <c r="FCE48" s="103"/>
      <c r="FCF48" s="103"/>
      <c r="FCG48" s="103"/>
      <c r="FCH48" s="103"/>
      <c r="FCI48" s="103"/>
      <c r="FCJ48" s="103"/>
      <c r="FCK48" s="103"/>
      <c r="FCL48" s="103"/>
      <c r="FCM48" s="103"/>
      <c r="FCN48" s="103"/>
      <c r="FCO48" s="103"/>
      <c r="FCP48" s="103"/>
      <c r="FCQ48" s="103"/>
      <c r="FCR48" s="103"/>
      <c r="FCS48" s="103"/>
      <c r="FCT48" s="103"/>
      <c r="FCU48" s="103"/>
      <c r="FCV48" s="103"/>
      <c r="FCW48" s="103"/>
      <c r="FCX48" s="103"/>
      <c r="FCY48" s="103"/>
      <c r="FCZ48" s="103"/>
      <c r="FDA48" s="103"/>
      <c r="FDB48" s="103"/>
      <c r="FDC48" s="103"/>
      <c r="FDD48" s="103"/>
      <c r="FDE48" s="103"/>
      <c r="FDF48" s="103"/>
      <c r="FDG48" s="103"/>
      <c r="FDH48" s="103"/>
      <c r="FDI48" s="103"/>
      <c r="FDJ48" s="103"/>
      <c r="FDK48" s="103"/>
      <c r="FDL48" s="103"/>
      <c r="FDM48" s="103"/>
      <c r="FDN48" s="103"/>
      <c r="FDO48" s="103"/>
      <c r="FDP48" s="103"/>
      <c r="FDQ48" s="103"/>
      <c r="FDR48" s="103"/>
      <c r="FDS48" s="103"/>
      <c r="FDT48" s="103"/>
      <c r="FDU48" s="103"/>
      <c r="FDV48" s="103"/>
      <c r="FDW48" s="103"/>
      <c r="FDX48" s="103"/>
      <c r="FDY48" s="103"/>
      <c r="FDZ48" s="103"/>
      <c r="FEA48" s="103"/>
      <c r="FEB48" s="103"/>
      <c r="FEC48" s="103"/>
      <c r="FED48" s="103"/>
      <c r="FEE48" s="103"/>
      <c r="FEF48" s="103"/>
      <c r="FEG48" s="103"/>
      <c r="FEH48" s="103"/>
      <c r="FEI48" s="103"/>
      <c r="FEJ48" s="103"/>
      <c r="FEK48" s="103"/>
      <c r="FEL48" s="103"/>
      <c r="FEM48" s="103"/>
      <c r="FEN48" s="103"/>
      <c r="FEO48" s="103"/>
      <c r="FEP48" s="103"/>
      <c r="FEQ48" s="103"/>
      <c r="FER48" s="103"/>
      <c r="FES48" s="103"/>
      <c r="FET48" s="103"/>
      <c r="FEU48" s="103"/>
      <c r="FEV48" s="103"/>
      <c r="FEW48" s="103"/>
      <c r="FEX48" s="103"/>
      <c r="FEY48" s="103"/>
      <c r="FEZ48" s="103"/>
      <c r="FFA48" s="103"/>
      <c r="FFB48" s="103"/>
      <c r="FFC48" s="103"/>
      <c r="FFD48" s="103"/>
      <c r="FFE48" s="103"/>
      <c r="FFF48" s="103"/>
      <c r="FFG48" s="103"/>
      <c r="FFH48" s="103"/>
      <c r="FFI48" s="103"/>
      <c r="FFJ48" s="103"/>
      <c r="FFK48" s="103"/>
      <c r="FFL48" s="103"/>
      <c r="FFM48" s="103"/>
      <c r="FFN48" s="103"/>
      <c r="FFO48" s="103"/>
      <c r="FFP48" s="103"/>
      <c r="FFQ48" s="103"/>
      <c r="FFR48" s="103"/>
      <c r="FFS48" s="103"/>
      <c r="FFT48" s="103"/>
      <c r="FFU48" s="103"/>
      <c r="FFV48" s="103"/>
      <c r="FFW48" s="103"/>
      <c r="FFX48" s="103"/>
      <c r="FFY48" s="103"/>
      <c r="FFZ48" s="103"/>
      <c r="FGA48" s="103"/>
      <c r="FGB48" s="103"/>
      <c r="FGC48" s="103"/>
      <c r="FGD48" s="103"/>
      <c r="FGE48" s="103"/>
      <c r="FGF48" s="103"/>
      <c r="FGG48" s="103"/>
      <c r="FGH48" s="103"/>
      <c r="FGI48" s="103"/>
      <c r="FGJ48" s="103"/>
      <c r="FGK48" s="103"/>
      <c r="FGL48" s="103"/>
      <c r="FGM48" s="103"/>
      <c r="FGN48" s="103"/>
      <c r="FGO48" s="103"/>
      <c r="FGP48" s="103"/>
      <c r="FGQ48" s="103"/>
      <c r="FGR48" s="103"/>
      <c r="FGS48" s="103"/>
      <c r="FGT48" s="103"/>
      <c r="FGU48" s="103"/>
      <c r="FGV48" s="103"/>
      <c r="FGW48" s="103"/>
      <c r="FGX48" s="103"/>
      <c r="FGY48" s="103"/>
      <c r="FGZ48" s="103"/>
      <c r="FHA48" s="103"/>
      <c r="FHB48" s="103"/>
      <c r="FHC48" s="103"/>
      <c r="FHD48" s="103"/>
      <c r="FHE48" s="103"/>
      <c r="FHF48" s="103"/>
      <c r="FHG48" s="103"/>
      <c r="FHH48" s="103"/>
      <c r="FHI48" s="103"/>
      <c r="FHJ48" s="103"/>
      <c r="FHK48" s="103"/>
      <c r="FHL48" s="103"/>
      <c r="FHM48" s="103"/>
      <c r="FHN48" s="103"/>
      <c r="FHO48" s="103"/>
      <c r="FHP48" s="103"/>
      <c r="FHQ48" s="103"/>
      <c r="FHR48" s="103"/>
      <c r="FHS48" s="103"/>
      <c r="FHT48" s="103"/>
      <c r="FHU48" s="103"/>
      <c r="FHV48" s="103"/>
      <c r="FHW48" s="103"/>
      <c r="FHX48" s="103"/>
      <c r="FHY48" s="103"/>
      <c r="FHZ48" s="103"/>
      <c r="FIA48" s="103"/>
      <c r="FIB48" s="103"/>
      <c r="FIC48" s="103"/>
      <c r="FID48" s="103"/>
      <c r="FIE48" s="103"/>
      <c r="FIF48" s="103"/>
      <c r="FIG48" s="103"/>
      <c r="FIH48" s="103"/>
      <c r="FII48" s="103"/>
      <c r="FIJ48" s="103"/>
      <c r="FIK48" s="103"/>
      <c r="FIL48" s="103"/>
      <c r="FIM48" s="103"/>
      <c r="FIN48" s="103"/>
      <c r="FIO48" s="103"/>
      <c r="FIP48" s="103"/>
      <c r="FIQ48" s="103"/>
      <c r="FIR48" s="103"/>
      <c r="FIS48" s="103"/>
      <c r="FIT48" s="103"/>
      <c r="FIU48" s="103"/>
      <c r="FIV48" s="103"/>
      <c r="FIW48" s="103"/>
      <c r="FIX48" s="103"/>
      <c r="FIY48" s="103"/>
      <c r="FIZ48" s="103"/>
      <c r="FJA48" s="103"/>
      <c r="FJB48" s="103"/>
      <c r="FJC48" s="103"/>
      <c r="FJD48" s="103"/>
      <c r="FJE48" s="103"/>
      <c r="FJF48" s="103"/>
      <c r="FJG48" s="103"/>
      <c r="FJH48" s="103"/>
      <c r="FJI48" s="103"/>
      <c r="FJJ48" s="103"/>
      <c r="FJK48" s="103"/>
      <c r="FJL48" s="103"/>
      <c r="FJM48" s="103"/>
      <c r="FJN48" s="103"/>
      <c r="FJO48" s="103"/>
      <c r="FJP48" s="103"/>
      <c r="FJQ48" s="103"/>
      <c r="FJR48" s="103"/>
      <c r="FJS48" s="103"/>
      <c r="FJT48" s="103"/>
      <c r="FJU48" s="103"/>
      <c r="FJV48" s="103"/>
      <c r="FJW48" s="103"/>
      <c r="FJX48" s="103"/>
      <c r="FJY48" s="103"/>
      <c r="FJZ48" s="103"/>
      <c r="FKA48" s="103"/>
      <c r="FKB48" s="103"/>
      <c r="FKC48" s="103"/>
      <c r="FKD48" s="103"/>
      <c r="FKE48" s="103"/>
      <c r="FKF48" s="103"/>
      <c r="FKG48" s="103"/>
      <c r="FKH48" s="103"/>
      <c r="FKI48" s="103"/>
      <c r="FKJ48" s="103"/>
      <c r="FKK48" s="103"/>
      <c r="FKL48" s="103"/>
      <c r="FKM48" s="103"/>
      <c r="FKN48" s="103"/>
      <c r="FKO48" s="103"/>
      <c r="FKP48" s="103"/>
      <c r="FKQ48" s="103"/>
      <c r="FKR48" s="103"/>
      <c r="FKS48" s="103"/>
      <c r="FKT48" s="103"/>
      <c r="FKU48" s="103"/>
      <c r="FKV48" s="103"/>
      <c r="FKW48" s="103"/>
      <c r="FKX48" s="103"/>
      <c r="FKY48" s="103"/>
      <c r="FKZ48" s="103"/>
      <c r="FLA48" s="103"/>
      <c r="FLB48" s="103"/>
      <c r="FLC48" s="103"/>
      <c r="FLD48" s="103"/>
      <c r="FLE48" s="103"/>
      <c r="FLF48" s="103"/>
      <c r="FLG48" s="103"/>
      <c r="FLH48" s="103"/>
      <c r="FLI48" s="103"/>
      <c r="FLJ48" s="103"/>
      <c r="FLK48" s="103"/>
      <c r="FLL48" s="103"/>
      <c r="FLM48" s="103"/>
      <c r="FLN48" s="103"/>
      <c r="FLO48" s="103"/>
      <c r="FLP48" s="103"/>
      <c r="FLQ48" s="103"/>
      <c r="FLR48" s="103"/>
      <c r="FLS48" s="103"/>
      <c r="FLT48" s="103"/>
      <c r="FLU48" s="103"/>
      <c r="FLV48" s="103"/>
      <c r="FLW48" s="103"/>
      <c r="FLX48" s="103"/>
      <c r="FLY48" s="103"/>
      <c r="FLZ48" s="103"/>
      <c r="FMA48" s="103"/>
      <c r="FMB48" s="103"/>
      <c r="FMC48" s="103"/>
      <c r="FMD48" s="103"/>
      <c r="FME48" s="103"/>
      <c r="FMF48" s="103"/>
      <c r="FMG48" s="103"/>
      <c r="FMH48" s="103"/>
      <c r="FMI48" s="103"/>
      <c r="FMJ48" s="103"/>
      <c r="FMK48" s="103"/>
      <c r="FML48" s="103"/>
      <c r="FMM48" s="103"/>
      <c r="FMN48" s="103"/>
      <c r="FMO48" s="103"/>
      <c r="FMP48" s="103"/>
      <c r="FMQ48" s="103"/>
      <c r="FMR48" s="103"/>
      <c r="FMS48" s="103"/>
      <c r="FMT48" s="103"/>
      <c r="FMU48" s="103"/>
      <c r="FMV48" s="103"/>
      <c r="FMW48" s="103"/>
      <c r="FMX48" s="103"/>
      <c r="FMY48" s="103"/>
      <c r="FMZ48" s="103"/>
      <c r="FNA48" s="103"/>
      <c r="FNB48" s="103"/>
      <c r="FNC48" s="103"/>
      <c r="FND48" s="103"/>
      <c r="FNE48" s="103"/>
      <c r="FNF48" s="103"/>
      <c r="FNG48" s="103"/>
      <c r="FNH48" s="103"/>
      <c r="FNI48" s="103"/>
      <c r="FNJ48" s="103"/>
      <c r="FNK48" s="103"/>
      <c r="FNL48" s="103"/>
      <c r="FNM48" s="103"/>
      <c r="FNN48" s="103"/>
      <c r="FNO48" s="103"/>
      <c r="FNP48" s="103"/>
      <c r="FNQ48" s="103"/>
      <c r="FNR48" s="103"/>
      <c r="FNS48" s="103"/>
      <c r="FNT48" s="103"/>
      <c r="FNU48" s="103"/>
      <c r="FNV48" s="103"/>
      <c r="FNW48" s="103"/>
      <c r="FNX48" s="103"/>
      <c r="FNY48" s="103"/>
      <c r="FNZ48" s="103"/>
      <c r="FOA48" s="103"/>
      <c r="FOB48" s="103"/>
      <c r="FOC48" s="103"/>
      <c r="FOD48" s="103"/>
      <c r="FOE48" s="103"/>
      <c r="FOF48" s="103"/>
      <c r="FOG48" s="103"/>
      <c r="FOH48" s="103"/>
      <c r="FOI48" s="103"/>
      <c r="FOJ48" s="103"/>
      <c r="FOK48" s="103"/>
      <c r="FOL48" s="103"/>
      <c r="FOM48" s="103"/>
      <c r="FON48" s="103"/>
      <c r="FOO48" s="103"/>
      <c r="FOP48" s="103"/>
      <c r="FOQ48" s="103"/>
      <c r="FOR48" s="103"/>
      <c r="FOS48" s="103"/>
      <c r="FOT48" s="103"/>
      <c r="FOU48" s="103"/>
      <c r="FOV48" s="103"/>
      <c r="FOW48" s="103"/>
      <c r="FOX48" s="103"/>
      <c r="FOY48" s="103"/>
      <c r="FOZ48" s="103"/>
      <c r="FPA48" s="103"/>
      <c r="FPB48" s="103"/>
      <c r="FPC48" s="103"/>
      <c r="FPD48" s="103"/>
      <c r="FPE48" s="103"/>
      <c r="FPF48" s="103"/>
      <c r="FPG48" s="103"/>
      <c r="FPH48" s="103"/>
      <c r="FPI48" s="103"/>
      <c r="FPJ48" s="103"/>
      <c r="FPK48" s="103"/>
      <c r="FPL48" s="103"/>
      <c r="FPM48" s="103"/>
      <c r="FPN48" s="103"/>
      <c r="FPO48" s="103"/>
      <c r="FPP48" s="103"/>
      <c r="FPQ48" s="103"/>
      <c r="FPR48" s="103"/>
      <c r="FPS48" s="103"/>
      <c r="FPT48" s="103"/>
      <c r="FPU48" s="103"/>
      <c r="FPV48" s="103"/>
      <c r="FPW48" s="103"/>
      <c r="FPX48" s="103"/>
      <c r="FPY48" s="103"/>
      <c r="FPZ48" s="103"/>
      <c r="FQA48" s="103"/>
      <c r="FQB48" s="103"/>
      <c r="FQC48" s="103"/>
      <c r="FQD48" s="103"/>
      <c r="FQE48" s="103"/>
      <c r="FQF48" s="103"/>
      <c r="FQG48" s="103"/>
      <c r="FQH48" s="103"/>
      <c r="FQI48" s="103"/>
      <c r="FQJ48" s="103"/>
      <c r="FQK48" s="103"/>
      <c r="FQL48" s="103"/>
      <c r="FQM48" s="103"/>
      <c r="FQN48" s="103"/>
      <c r="FQO48" s="103"/>
      <c r="FQP48" s="103"/>
      <c r="FQQ48" s="103"/>
      <c r="FQR48" s="103"/>
      <c r="FQS48" s="103"/>
      <c r="FQT48" s="103"/>
      <c r="FQU48" s="103"/>
      <c r="FQV48" s="103"/>
      <c r="FQW48" s="103"/>
      <c r="FQX48" s="103"/>
      <c r="FQY48" s="103"/>
      <c r="FQZ48" s="103"/>
      <c r="FRA48" s="103"/>
      <c r="FRB48" s="103"/>
      <c r="FRC48" s="103"/>
      <c r="FRD48" s="103"/>
      <c r="FRE48" s="103"/>
      <c r="FRF48" s="103"/>
      <c r="FRG48" s="103"/>
      <c r="FRH48" s="103"/>
      <c r="FRI48" s="103"/>
      <c r="FRJ48" s="103"/>
      <c r="FRK48" s="103"/>
      <c r="FRL48" s="103"/>
      <c r="FRM48" s="103"/>
      <c r="FRN48" s="103"/>
      <c r="FRO48" s="103"/>
      <c r="FRP48" s="103"/>
      <c r="FRQ48" s="103"/>
      <c r="FRR48" s="103"/>
      <c r="FRS48" s="103"/>
      <c r="FRT48" s="103"/>
      <c r="FRU48" s="103"/>
      <c r="FRV48" s="103"/>
      <c r="FRW48" s="103"/>
      <c r="FRX48" s="103"/>
      <c r="FRY48" s="103"/>
      <c r="FRZ48" s="103"/>
      <c r="FSA48" s="103"/>
      <c r="FSB48" s="103"/>
      <c r="FSC48" s="103"/>
      <c r="FSD48" s="103"/>
      <c r="FSE48" s="103"/>
      <c r="FSF48" s="103"/>
      <c r="FSG48" s="103"/>
      <c r="FSH48" s="103"/>
      <c r="FSI48" s="103"/>
      <c r="FSJ48" s="103"/>
      <c r="FSK48" s="103"/>
      <c r="FSL48" s="103"/>
      <c r="FSM48" s="103"/>
      <c r="FSN48" s="103"/>
      <c r="FSO48" s="103"/>
      <c r="FSP48" s="103"/>
      <c r="FSQ48" s="103"/>
      <c r="FSR48" s="103"/>
      <c r="FSS48" s="103"/>
      <c r="FST48" s="103"/>
      <c r="FSU48" s="103"/>
      <c r="FSV48" s="103"/>
      <c r="FSW48" s="103"/>
      <c r="FSX48" s="103"/>
      <c r="FSY48" s="103"/>
      <c r="FSZ48" s="103"/>
      <c r="FTA48" s="103"/>
      <c r="FTB48" s="103"/>
      <c r="FTC48" s="103"/>
      <c r="FTD48" s="103"/>
      <c r="FTE48" s="103"/>
      <c r="FTF48" s="103"/>
      <c r="FTG48" s="103"/>
      <c r="FTH48" s="103"/>
      <c r="FTI48" s="103"/>
      <c r="FTJ48" s="103"/>
      <c r="FTK48" s="103"/>
      <c r="FTL48" s="103"/>
      <c r="FTM48" s="103"/>
      <c r="FTN48" s="103"/>
      <c r="FTO48" s="103"/>
      <c r="FTP48" s="103"/>
      <c r="FTQ48" s="103"/>
      <c r="FTR48" s="103"/>
      <c r="FTS48" s="103"/>
      <c r="FTT48" s="103"/>
      <c r="FTU48" s="103"/>
      <c r="FTV48" s="103"/>
      <c r="FTW48" s="103"/>
      <c r="FTX48" s="103"/>
      <c r="FTY48" s="103"/>
      <c r="FTZ48" s="103"/>
      <c r="FUA48" s="103"/>
      <c r="FUB48" s="103"/>
      <c r="FUC48" s="103"/>
      <c r="FUD48" s="103"/>
      <c r="FUE48" s="103"/>
      <c r="FUF48" s="103"/>
      <c r="FUG48" s="103"/>
      <c r="FUH48" s="103"/>
      <c r="FUI48" s="103"/>
      <c r="FUJ48" s="103"/>
      <c r="FUK48" s="103"/>
      <c r="FUL48" s="103"/>
      <c r="FUM48" s="103"/>
      <c r="FUN48" s="103"/>
      <c r="FUO48" s="103"/>
      <c r="FUP48" s="103"/>
      <c r="FUQ48" s="103"/>
      <c r="FUR48" s="103"/>
      <c r="FUS48" s="103"/>
      <c r="FUT48" s="103"/>
      <c r="FUU48" s="103"/>
      <c r="FUV48" s="103"/>
      <c r="FUW48" s="103"/>
      <c r="FUX48" s="103"/>
      <c r="FUY48" s="103"/>
      <c r="FUZ48" s="103"/>
      <c r="FVA48" s="103"/>
      <c r="FVB48" s="103"/>
      <c r="FVC48" s="103"/>
      <c r="FVD48" s="103"/>
      <c r="FVE48" s="103"/>
      <c r="FVF48" s="103"/>
      <c r="FVG48" s="103"/>
      <c r="FVH48" s="103"/>
      <c r="FVI48" s="103"/>
      <c r="FVJ48" s="103"/>
      <c r="FVK48" s="103"/>
      <c r="FVL48" s="103"/>
      <c r="FVM48" s="103"/>
      <c r="FVN48" s="103"/>
      <c r="FVO48" s="103"/>
      <c r="FVP48" s="103"/>
      <c r="FVQ48" s="103"/>
      <c r="FVR48" s="103"/>
      <c r="FVS48" s="103"/>
      <c r="FVT48" s="103"/>
      <c r="FVU48" s="103"/>
      <c r="FVV48" s="103"/>
      <c r="FVW48" s="103"/>
      <c r="FVX48" s="103"/>
      <c r="FVY48" s="103"/>
      <c r="FVZ48" s="103"/>
      <c r="FWA48" s="103"/>
      <c r="FWB48" s="103"/>
      <c r="FWC48" s="103"/>
      <c r="FWD48" s="103"/>
      <c r="FWE48" s="103"/>
      <c r="FWF48" s="103"/>
      <c r="FWG48" s="103"/>
      <c r="FWH48" s="103"/>
      <c r="FWI48" s="103"/>
      <c r="FWJ48" s="103"/>
      <c r="FWK48" s="103"/>
      <c r="FWL48" s="103"/>
      <c r="FWM48" s="103"/>
      <c r="FWN48" s="103"/>
      <c r="FWO48" s="103"/>
      <c r="FWP48" s="103"/>
      <c r="FWQ48" s="103"/>
      <c r="FWR48" s="103"/>
      <c r="FWS48" s="103"/>
      <c r="FWT48" s="103"/>
      <c r="FWU48" s="103"/>
      <c r="FWV48" s="103"/>
      <c r="FWW48" s="103"/>
      <c r="FWX48" s="103"/>
      <c r="FWY48" s="103"/>
      <c r="FWZ48" s="103"/>
      <c r="FXA48" s="103"/>
      <c r="FXB48" s="103"/>
      <c r="FXC48" s="103"/>
      <c r="FXD48" s="103"/>
      <c r="FXE48" s="103"/>
      <c r="FXF48" s="103"/>
      <c r="FXG48" s="103"/>
      <c r="FXH48" s="103"/>
      <c r="FXI48" s="103"/>
      <c r="FXJ48" s="103"/>
      <c r="FXK48" s="103"/>
      <c r="FXL48" s="103"/>
      <c r="FXM48" s="103"/>
      <c r="FXN48" s="103"/>
      <c r="FXO48" s="103"/>
      <c r="FXP48" s="103"/>
      <c r="FXQ48" s="103"/>
      <c r="FXR48" s="103"/>
      <c r="FXS48" s="103"/>
      <c r="FXT48" s="103"/>
      <c r="FXU48" s="103"/>
      <c r="FXV48" s="103"/>
      <c r="FXW48" s="103"/>
      <c r="FXX48" s="103"/>
      <c r="FXY48" s="103"/>
      <c r="FXZ48" s="103"/>
      <c r="FYA48" s="103"/>
      <c r="FYB48" s="103"/>
      <c r="FYC48" s="103"/>
      <c r="FYD48" s="103"/>
      <c r="FYE48" s="103"/>
      <c r="FYF48" s="103"/>
      <c r="FYG48" s="103"/>
      <c r="FYH48" s="103"/>
      <c r="FYI48" s="103"/>
      <c r="FYJ48" s="103"/>
      <c r="FYK48" s="103"/>
      <c r="FYL48" s="103"/>
      <c r="FYM48" s="103"/>
      <c r="FYN48" s="103"/>
      <c r="FYO48" s="103"/>
      <c r="FYP48" s="103"/>
      <c r="FYQ48" s="103"/>
      <c r="FYR48" s="103"/>
      <c r="FYS48" s="103"/>
      <c r="FYT48" s="103"/>
      <c r="FYU48" s="103"/>
      <c r="FYV48" s="103"/>
      <c r="FYW48" s="103"/>
      <c r="FYX48" s="103"/>
      <c r="FYY48" s="103"/>
      <c r="FYZ48" s="103"/>
      <c r="FZA48" s="103"/>
      <c r="FZB48" s="103"/>
      <c r="FZC48" s="103"/>
      <c r="FZD48" s="103"/>
      <c r="FZE48" s="103"/>
      <c r="FZF48" s="103"/>
      <c r="FZG48" s="103"/>
      <c r="FZH48" s="103"/>
      <c r="FZI48" s="103"/>
      <c r="FZJ48" s="103"/>
      <c r="FZK48" s="103"/>
      <c r="FZL48" s="103"/>
      <c r="FZM48" s="103"/>
      <c r="FZN48" s="103"/>
      <c r="FZO48" s="103"/>
      <c r="FZP48" s="103"/>
      <c r="FZQ48" s="103"/>
      <c r="FZR48" s="103"/>
      <c r="FZS48" s="103"/>
      <c r="FZT48" s="103"/>
      <c r="FZU48" s="103"/>
      <c r="FZV48" s="103"/>
      <c r="FZW48" s="103"/>
      <c r="FZX48" s="103"/>
      <c r="FZY48" s="103"/>
      <c r="FZZ48" s="103"/>
      <c r="GAA48" s="103"/>
      <c r="GAB48" s="103"/>
      <c r="GAC48" s="103"/>
      <c r="GAD48" s="103"/>
      <c r="GAE48" s="103"/>
      <c r="GAF48" s="103"/>
      <c r="GAG48" s="103"/>
      <c r="GAH48" s="103"/>
      <c r="GAI48" s="103"/>
      <c r="GAJ48" s="103"/>
      <c r="GAK48" s="103"/>
      <c r="GAL48" s="103"/>
      <c r="GAM48" s="103"/>
      <c r="GAN48" s="103"/>
      <c r="GAO48" s="103"/>
      <c r="GAP48" s="103"/>
      <c r="GAQ48" s="103"/>
      <c r="GAR48" s="103"/>
      <c r="GAS48" s="103"/>
      <c r="GAT48" s="103"/>
      <c r="GAU48" s="103"/>
      <c r="GAV48" s="103"/>
      <c r="GAW48" s="103"/>
      <c r="GAX48" s="103"/>
      <c r="GAY48" s="103"/>
      <c r="GAZ48" s="103"/>
      <c r="GBA48" s="103"/>
      <c r="GBB48" s="103"/>
      <c r="GBC48" s="103"/>
      <c r="GBD48" s="103"/>
      <c r="GBE48" s="103"/>
      <c r="GBF48" s="103"/>
      <c r="GBG48" s="103"/>
      <c r="GBH48" s="103"/>
      <c r="GBI48" s="103"/>
      <c r="GBJ48" s="103"/>
      <c r="GBK48" s="103"/>
      <c r="GBL48" s="103"/>
      <c r="GBM48" s="103"/>
      <c r="GBN48" s="103"/>
      <c r="GBO48" s="103"/>
      <c r="GBP48" s="103"/>
      <c r="GBQ48" s="103"/>
      <c r="GBR48" s="103"/>
      <c r="GBS48" s="103"/>
      <c r="GBT48" s="103"/>
      <c r="GBU48" s="103"/>
      <c r="GBV48" s="103"/>
      <c r="GBW48" s="103"/>
      <c r="GBX48" s="103"/>
      <c r="GBY48" s="103"/>
      <c r="GBZ48" s="103"/>
      <c r="GCA48" s="103"/>
      <c r="GCB48" s="103"/>
      <c r="GCC48" s="103"/>
      <c r="GCD48" s="103"/>
      <c r="GCE48" s="103"/>
      <c r="GCF48" s="103"/>
      <c r="GCG48" s="103"/>
      <c r="GCH48" s="103"/>
      <c r="GCI48" s="103"/>
      <c r="GCJ48" s="103"/>
      <c r="GCK48" s="103"/>
      <c r="GCL48" s="103"/>
      <c r="GCM48" s="103"/>
      <c r="GCN48" s="103"/>
      <c r="GCO48" s="103"/>
      <c r="GCP48" s="103"/>
      <c r="GCQ48" s="103"/>
      <c r="GCR48" s="103"/>
      <c r="GCS48" s="103"/>
      <c r="GCT48" s="103"/>
      <c r="GCU48" s="103"/>
      <c r="GCV48" s="103"/>
      <c r="GCW48" s="103"/>
      <c r="GCX48" s="103"/>
      <c r="GCY48" s="103"/>
      <c r="GCZ48" s="103"/>
      <c r="GDA48" s="103"/>
      <c r="GDB48" s="103"/>
      <c r="GDC48" s="103"/>
      <c r="GDD48" s="103"/>
      <c r="GDE48" s="103"/>
      <c r="GDF48" s="103"/>
      <c r="GDG48" s="103"/>
      <c r="GDH48" s="103"/>
      <c r="GDI48" s="103"/>
      <c r="GDJ48" s="103"/>
      <c r="GDK48" s="103"/>
      <c r="GDL48" s="103"/>
      <c r="GDM48" s="103"/>
      <c r="GDN48" s="103"/>
      <c r="GDO48" s="103"/>
      <c r="GDP48" s="103"/>
      <c r="GDQ48" s="103"/>
      <c r="GDR48" s="103"/>
      <c r="GDS48" s="103"/>
      <c r="GDT48" s="103"/>
      <c r="GDU48" s="103"/>
      <c r="GDV48" s="103"/>
      <c r="GDW48" s="103"/>
      <c r="GDX48" s="103"/>
      <c r="GDY48" s="103"/>
      <c r="GDZ48" s="103"/>
      <c r="GEA48" s="103"/>
      <c r="GEB48" s="103"/>
      <c r="GEC48" s="103"/>
      <c r="GED48" s="103"/>
      <c r="GEE48" s="103"/>
      <c r="GEF48" s="103"/>
      <c r="GEG48" s="103"/>
      <c r="GEH48" s="103"/>
      <c r="GEI48" s="103"/>
      <c r="GEJ48" s="103"/>
      <c r="GEK48" s="103"/>
      <c r="GEL48" s="103"/>
      <c r="GEM48" s="103"/>
      <c r="GEN48" s="103"/>
      <c r="GEO48" s="103"/>
      <c r="GEP48" s="103"/>
      <c r="GEQ48" s="103"/>
      <c r="GER48" s="103"/>
      <c r="GES48" s="103"/>
      <c r="GET48" s="103"/>
      <c r="GEU48" s="103"/>
      <c r="GEV48" s="103"/>
      <c r="GEW48" s="103"/>
      <c r="GEX48" s="103"/>
      <c r="GEY48" s="103"/>
      <c r="GEZ48" s="103"/>
      <c r="GFA48" s="103"/>
      <c r="GFB48" s="103"/>
      <c r="GFC48" s="103"/>
      <c r="GFD48" s="103"/>
      <c r="GFE48" s="103"/>
      <c r="GFF48" s="103"/>
      <c r="GFG48" s="103"/>
      <c r="GFH48" s="103"/>
      <c r="GFI48" s="103"/>
      <c r="GFJ48" s="103"/>
      <c r="GFK48" s="103"/>
      <c r="GFL48" s="103"/>
      <c r="GFM48" s="103"/>
      <c r="GFN48" s="103"/>
      <c r="GFO48" s="103"/>
      <c r="GFP48" s="103"/>
      <c r="GFQ48" s="103"/>
      <c r="GFR48" s="103"/>
      <c r="GFS48" s="103"/>
      <c r="GFT48" s="103"/>
      <c r="GFU48" s="103"/>
      <c r="GFV48" s="103"/>
      <c r="GFW48" s="103"/>
      <c r="GFX48" s="103"/>
      <c r="GFY48" s="103"/>
      <c r="GFZ48" s="103"/>
      <c r="GGA48" s="103"/>
      <c r="GGB48" s="103"/>
      <c r="GGC48" s="103"/>
      <c r="GGD48" s="103"/>
      <c r="GGE48" s="103"/>
      <c r="GGF48" s="103"/>
      <c r="GGG48" s="103"/>
      <c r="GGH48" s="103"/>
      <c r="GGI48" s="103"/>
      <c r="GGJ48" s="103"/>
      <c r="GGK48" s="103"/>
      <c r="GGL48" s="103"/>
      <c r="GGM48" s="103"/>
      <c r="GGN48" s="103"/>
      <c r="GGO48" s="103"/>
      <c r="GGP48" s="103"/>
      <c r="GGQ48" s="103"/>
      <c r="GGR48" s="103"/>
      <c r="GGS48" s="103"/>
      <c r="GGT48" s="103"/>
      <c r="GGU48" s="103"/>
      <c r="GGV48" s="103"/>
      <c r="GGW48" s="103"/>
      <c r="GGX48" s="103"/>
      <c r="GGY48" s="103"/>
      <c r="GGZ48" s="103"/>
      <c r="GHA48" s="103"/>
      <c r="GHB48" s="103"/>
      <c r="GHC48" s="103"/>
      <c r="GHD48" s="103"/>
      <c r="GHE48" s="103"/>
      <c r="GHF48" s="103"/>
      <c r="GHG48" s="103"/>
      <c r="GHH48" s="103"/>
      <c r="GHI48" s="103"/>
      <c r="GHJ48" s="103"/>
      <c r="GHK48" s="103"/>
      <c r="GHL48" s="103"/>
      <c r="GHM48" s="103"/>
      <c r="GHN48" s="103"/>
      <c r="GHO48" s="103"/>
      <c r="GHP48" s="103"/>
      <c r="GHQ48" s="103"/>
      <c r="GHR48" s="103"/>
      <c r="GHS48" s="103"/>
      <c r="GHT48" s="103"/>
      <c r="GHU48" s="103"/>
      <c r="GHV48" s="103"/>
      <c r="GHW48" s="103"/>
      <c r="GHX48" s="103"/>
      <c r="GHY48" s="103"/>
      <c r="GHZ48" s="103"/>
      <c r="GIA48" s="103"/>
      <c r="GIB48" s="103"/>
      <c r="GIC48" s="103"/>
      <c r="GID48" s="103"/>
      <c r="GIE48" s="103"/>
      <c r="GIF48" s="103"/>
      <c r="GIG48" s="103"/>
      <c r="GIH48" s="103"/>
      <c r="GII48" s="103"/>
      <c r="GIJ48" s="103"/>
      <c r="GIK48" s="103"/>
      <c r="GIL48" s="103"/>
      <c r="GIM48" s="103"/>
      <c r="GIN48" s="103"/>
      <c r="GIO48" s="103"/>
      <c r="GIP48" s="103"/>
      <c r="GIQ48" s="103"/>
      <c r="GIR48" s="103"/>
      <c r="GIS48" s="103"/>
      <c r="GIT48" s="103"/>
      <c r="GIU48" s="103"/>
      <c r="GIV48" s="103"/>
      <c r="GIW48" s="103"/>
      <c r="GIX48" s="103"/>
      <c r="GIY48" s="103"/>
      <c r="GIZ48" s="103"/>
      <c r="GJA48" s="103"/>
      <c r="GJB48" s="103"/>
      <c r="GJC48" s="103"/>
      <c r="GJD48" s="103"/>
      <c r="GJE48" s="103"/>
      <c r="GJF48" s="103"/>
      <c r="GJG48" s="103"/>
      <c r="GJH48" s="103"/>
      <c r="GJI48" s="103"/>
      <c r="GJJ48" s="103"/>
      <c r="GJK48" s="103"/>
      <c r="GJL48" s="103"/>
      <c r="GJM48" s="103"/>
      <c r="GJN48" s="103"/>
      <c r="GJO48" s="103"/>
      <c r="GJP48" s="103"/>
      <c r="GJQ48" s="103"/>
      <c r="GJR48" s="103"/>
      <c r="GJS48" s="103"/>
      <c r="GJT48" s="103"/>
      <c r="GJU48" s="103"/>
      <c r="GJV48" s="103"/>
      <c r="GJW48" s="103"/>
      <c r="GJX48" s="103"/>
      <c r="GJY48" s="103"/>
      <c r="GJZ48" s="103"/>
      <c r="GKA48" s="103"/>
      <c r="GKB48" s="103"/>
      <c r="GKC48" s="103"/>
      <c r="GKD48" s="103"/>
      <c r="GKE48" s="103"/>
      <c r="GKF48" s="103"/>
      <c r="GKG48" s="103"/>
      <c r="GKH48" s="103"/>
      <c r="GKI48" s="103"/>
      <c r="GKJ48" s="103"/>
      <c r="GKK48" s="103"/>
      <c r="GKL48" s="103"/>
      <c r="GKM48" s="103"/>
      <c r="GKN48" s="103"/>
      <c r="GKO48" s="103"/>
      <c r="GKP48" s="103"/>
      <c r="GKQ48" s="103"/>
      <c r="GKR48" s="103"/>
      <c r="GKS48" s="103"/>
      <c r="GKT48" s="103"/>
      <c r="GKU48" s="103"/>
      <c r="GKV48" s="103"/>
      <c r="GKW48" s="103"/>
      <c r="GKX48" s="103"/>
      <c r="GKY48" s="103"/>
      <c r="GKZ48" s="103"/>
      <c r="GLA48" s="103"/>
      <c r="GLB48" s="103"/>
      <c r="GLC48" s="103"/>
      <c r="GLD48" s="103"/>
      <c r="GLE48" s="103"/>
      <c r="GLF48" s="103"/>
      <c r="GLG48" s="103"/>
      <c r="GLH48" s="103"/>
      <c r="GLI48" s="103"/>
      <c r="GLJ48" s="103"/>
      <c r="GLK48" s="103"/>
      <c r="GLL48" s="103"/>
      <c r="GLM48" s="103"/>
      <c r="GLN48" s="103"/>
      <c r="GLO48" s="103"/>
      <c r="GLP48" s="103"/>
      <c r="GLQ48" s="103"/>
      <c r="GLR48" s="103"/>
      <c r="GLS48" s="103"/>
      <c r="GLT48" s="103"/>
      <c r="GLU48" s="103"/>
      <c r="GLV48" s="103"/>
      <c r="GLW48" s="103"/>
      <c r="GLX48" s="103"/>
      <c r="GLY48" s="103"/>
      <c r="GLZ48" s="103"/>
      <c r="GMA48" s="103"/>
      <c r="GMB48" s="103"/>
      <c r="GMC48" s="103"/>
      <c r="GMD48" s="103"/>
      <c r="GME48" s="103"/>
      <c r="GMF48" s="103"/>
      <c r="GMG48" s="103"/>
      <c r="GMH48" s="103"/>
      <c r="GMI48" s="103"/>
      <c r="GMJ48" s="103"/>
      <c r="GMK48" s="103"/>
      <c r="GML48" s="103"/>
      <c r="GMM48" s="103"/>
      <c r="GMN48" s="103"/>
      <c r="GMO48" s="103"/>
      <c r="GMP48" s="103"/>
      <c r="GMQ48" s="103"/>
      <c r="GMR48" s="103"/>
      <c r="GMS48" s="103"/>
      <c r="GMT48" s="103"/>
      <c r="GMU48" s="103"/>
      <c r="GMV48" s="103"/>
      <c r="GMW48" s="103"/>
      <c r="GMX48" s="103"/>
      <c r="GMY48" s="103"/>
      <c r="GMZ48" s="103"/>
      <c r="GNA48" s="103"/>
      <c r="GNB48" s="103"/>
      <c r="GNC48" s="103"/>
      <c r="GND48" s="103"/>
      <c r="GNE48" s="103"/>
      <c r="GNF48" s="103"/>
      <c r="GNG48" s="103"/>
      <c r="GNH48" s="103"/>
      <c r="GNI48" s="103"/>
      <c r="GNJ48" s="103"/>
      <c r="GNK48" s="103"/>
      <c r="GNL48" s="103"/>
      <c r="GNM48" s="103"/>
      <c r="GNN48" s="103"/>
      <c r="GNO48" s="103"/>
      <c r="GNP48" s="103"/>
      <c r="GNQ48" s="103"/>
      <c r="GNR48" s="103"/>
      <c r="GNS48" s="103"/>
      <c r="GNT48" s="103"/>
      <c r="GNU48" s="103"/>
      <c r="GNV48" s="103"/>
      <c r="GNW48" s="103"/>
      <c r="GNX48" s="103"/>
      <c r="GNY48" s="103"/>
      <c r="GNZ48" s="103"/>
      <c r="GOA48" s="103"/>
      <c r="GOB48" s="103"/>
      <c r="GOC48" s="103"/>
      <c r="GOD48" s="103"/>
      <c r="GOE48" s="103"/>
      <c r="GOF48" s="103"/>
      <c r="GOG48" s="103"/>
      <c r="GOH48" s="103"/>
      <c r="GOI48" s="103"/>
      <c r="GOJ48" s="103"/>
      <c r="GOK48" s="103"/>
      <c r="GOL48" s="103"/>
      <c r="GOM48" s="103"/>
      <c r="GON48" s="103"/>
      <c r="GOO48" s="103"/>
      <c r="GOP48" s="103"/>
      <c r="GOQ48" s="103"/>
      <c r="GOR48" s="103"/>
      <c r="GOS48" s="103"/>
      <c r="GOT48" s="103"/>
      <c r="GOU48" s="103"/>
      <c r="GOV48" s="103"/>
      <c r="GOW48" s="103"/>
      <c r="GOX48" s="103"/>
      <c r="GOY48" s="103"/>
      <c r="GOZ48" s="103"/>
      <c r="GPA48" s="103"/>
      <c r="GPB48" s="103"/>
      <c r="GPC48" s="103"/>
      <c r="GPD48" s="103"/>
      <c r="GPE48" s="103"/>
      <c r="GPF48" s="103"/>
      <c r="GPG48" s="103"/>
      <c r="GPH48" s="103"/>
      <c r="GPI48" s="103"/>
      <c r="GPJ48" s="103"/>
      <c r="GPK48" s="103"/>
      <c r="GPL48" s="103"/>
      <c r="GPM48" s="103"/>
      <c r="GPN48" s="103"/>
      <c r="GPO48" s="103"/>
      <c r="GPP48" s="103"/>
      <c r="GPQ48" s="103"/>
      <c r="GPR48" s="103"/>
      <c r="GPS48" s="103"/>
      <c r="GPT48" s="103"/>
      <c r="GPU48" s="103"/>
      <c r="GPV48" s="103"/>
      <c r="GPW48" s="103"/>
      <c r="GPX48" s="103"/>
      <c r="GPY48" s="103"/>
      <c r="GPZ48" s="103"/>
      <c r="GQA48" s="103"/>
      <c r="GQB48" s="103"/>
      <c r="GQC48" s="103"/>
      <c r="GQD48" s="103"/>
      <c r="GQE48" s="103"/>
      <c r="GQF48" s="103"/>
      <c r="GQG48" s="103"/>
      <c r="GQH48" s="103"/>
      <c r="GQI48" s="103"/>
      <c r="GQJ48" s="103"/>
      <c r="GQK48" s="103"/>
      <c r="GQL48" s="103"/>
      <c r="GQM48" s="103"/>
      <c r="GQN48" s="103"/>
      <c r="GQO48" s="103"/>
      <c r="GQP48" s="103"/>
      <c r="GQQ48" s="103"/>
      <c r="GQR48" s="103"/>
      <c r="GQS48" s="103"/>
      <c r="GQT48" s="103"/>
      <c r="GQU48" s="103"/>
      <c r="GQV48" s="103"/>
      <c r="GQW48" s="103"/>
      <c r="GQX48" s="103"/>
      <c r="GQY48" s="103"/>
      <c r="GQZ48" s="103"/>
      <c r="GRA48" s="103"/>
      <c r="GRB48" s="103"/>
      <c r="GRC48" s="103"/>
      <c r="GRD48" s="103"/>
      <c r="GRE48" s="103"/>
      <c r="GRF48" s="103"/>
      <c r="GRG48" s="103"/>
      <c r="GRH48" s="103"/>
      <c r="GRI48" s="103"/>
      <c r="GRJ48" s="103"/>
      <c r="GRK48" s="103"/>
      <c r="GRL48" s="103"/>
      <c r="GRM48" s="103"/>
      <c r="GRN48" s="103"/>
      <c r="GRO48" s="103"/>
      <c r="GRP48" s="103"/>
      <c r="GRQ48" s="103"/>
      <c r="GRR48" s="103"/>
      <c r="GRS48" s="103"/>
      <c r="GRT48" s="103"/>
      <c r="GRU48" s="103"/>
      <c r="GRV48" s="103"/>
      <c r="GRW48" s="103"/>
      <c r="GRX48" s="103"/>
      <c r="GRY48" s="103"/>
      <c r="GRZ48" s="103"/>
      <c r="GSA48" s="103"/>
      <c r="GSB48" s="103"/>
      <c r="GSC48" s="103"/>
      <c r="GSD48" s="103"/>
      <c r="GSE48" s="103"/>
      <c r="GSF48" s="103"/>
      <c r="GSG48" s="103"/>
      <c r="GSH48" s="103"/>
      <c r="GSI48" s="103"/>
      <c r="GSJ48" s="103"/>
      <c r="GSK48" s="103"/>
      <c r="GSL48" s="103"/>
      <c r="GSM48" s="103"/>
      <c r="GSN48" s="103"/>
      <c r="GSO48" s="103"/>
      <c r="GSP48" s="103"/>
      <c r="GSQ48" s="103"/>
      <c r="GSR48" s="103"/>
      <c r="GSS48" s="103"/>
      <c r="GST48" s="103"/>
      <c r="GSU48" s="103"/>
      <c r="GSV48" s="103"/>
      <c r="GSW48" s="103"/>
      <c r="GSX48" s="103"/>
      <c r="GSY48" s="103"/>
      <c r="GSZ48" s="103"/>
      <c r="GTA48" s="103"/>
      <c r="GTB48" s="103"/>
      <c r="GTC48" s="103"/>
      <c r="GTD48" s="103"/>
      <c r="GTE48" s="103"/>
      <c r="GTF48" s="103"/>
      <c r="GTG48" s="103"/>
      <c r="GTH48" s="103"/>
      <c r="GTI48" s="103"/>
      <c r="GTJ48" s="103"/>
      <c r="GTK48" s="103"/>
      <c r="GTL48" s="103"/>
      <c r="GTM48" s="103"/>
      <c r="GTN48" s="103"/>
      <c r="GTO48" s="103"/>
      <c r="GTP48" s="103"/>
      <c r="GTQ48" s="103"/>
      <c r="GTR48" s="103"/>
      <c r="GTS48" s="103"/>
      <c r="GTT48" s="103"/>
      <c r="GTU48" s="103"/>
      <c r="GTV48" s="103"/>
      <c r="GTW48" s="103"/>
      <c r="GTX48" s="103"/>
      <c r="GTY48" s="103"/>
      <c r="GTZ48" s="103"/>
      <c r="GUA48" s="103"/>
      <c r="GUB48" s="103"/>
      <c r="GUC48" s="103"/>
      <c r="GUD48" s="103"/>
      <c r="GUE48" s="103"/>
      <c r="GUF48" s="103"/>
      <c r="GUG48" s="103"/>
      <c r="GUH48" s="103"/>
      <c r="GUI48" s="103"/>
      <c r="GUJ48" s="103"/>
      <c r="GUK48" s="103"/>
      <c r="GUL48" s="103"/>
      <c r="GUM48" s="103"/>
      <c r="GUN48" s="103"/>
      <c r="GUO48" s="103"/>
      <c r="GUP48" s="103"/>
      <c r="GUQ48" s="103"/>
      <c r="GUR48" s="103"/>
      <c r="GUS48" s="103"/>
      <c r="GUT48" s="103"/>
      <c r="GUU48" s="103"/>
      <c r="GUV48" s="103"/>
      <c r="GUW48" s="103"/>
      <c r="GUX48" s="103"/>
      <c r="GUY48" s="103"/>
      <c r="GUZ48" s="103"/>
      <c r="GVA48" s="103"/>
      <c r="GVB48" s="103"/>
      <c r="GVC48" s="103"/>
      <c r="GVD48" s="103"/>
      <c r="GVE48" s="103"/>
      <c r="GVF48" s="103"/>
      <c r="GVG48" s="103"/>
      <c r="GVH48" s="103"/>
      <c r="GVI48" s="103"/>
      <c r="GVJ48" s="103"/>
      <c r="GVK48" s="103"/>
      <c r="GVL48" s="103"/>
      <c r="GVM48" s="103"/>
      <c r="GVN48" s="103"/>
      <c r="GVO48" s="103"/>
      <c r="GVP48" s="103"/>
      <c r="GVQ48" s="103"/>
      <c r="GVR48" s="103"/>
      <c r="GVS48" s="103"/>
      <c r="GVT48" s="103"/>
      <c r="GVU48" s="103"/>
      <c r="GVV48" s="103"/>
      <c r="GVW48" s="103"/>
      <c r="GVX48" s="103"/>
      <c r="GVY48" s="103"/>
      <c r="GVZ48" s="103"/>
      <c r="GWA48" s="103"/>
      <c r="GWB48" s="103"/>
      <c r="GWC48" s="103"/>
      <c r="GWD48" s="103"/>
      <c r="GWE48" s="103"/>
      <c r="GWF48" s="103"/>
      <c r="GWG48" s="103"/>
      <c r="GWH48" s="103"/>
      <c r="GWI48" s="103"/>
      <c r="GWJ48" s="103"/>
      <c r="GWK48" s="103"/>
      <c r="GWL48" s="103"/>
      <c r="GWM48" s="103"/>
      <c r="GWN48" s="103"/>
      <c r="GWO48" s="103"/>
      <c r="GWP48" s="103"/>
      <c r="GWQ48" s="103"/>
      <c r="GWR48" s="103"/>
      <c r="GWS48" s="103"/>
      <c r="GWT48" s="103"/>
      <c r="GWU48" s="103"/>
      <c r="GWV48" s="103"/>
      <c r="GWW48" s="103"/>
      <c r="GWX48" s="103"/>
      <c r="GWY48" s="103"/>
      <c r="GWZ48" s="103"/>
      <c r="GXA48" s="103"/>
      <c r="GXB48" s="103"/>
      <c r="GXC48" s="103"/>
      <c r="GXD48" s="103"/>
      <c r="GXE48" s="103"/>
      <c r="GXF48" s="103"/>
      <c r="GXG48" s="103"/>
      <c r="GXH48" s="103"/>
      <c r="GXI48" s="103"/>
      <c r="GXJ48" s="103"/>
      <c r="GXK48" s="103"/>
      <c r="GXL48" s="103"/>
      <c r="GXM48" s="103"/>
      <c r="GXN48" s="103"/>
      <c r="GXO48" s="103"/>
      <c r="GXP48" s="103"/>
      <c r="GXQ48" s="103"/>
      <c r="GXR48" s="103"/>
      <c r="GXS48" s="103"/>
      <c r="GXT48" s="103"/>
      <c r="GXU48" s="103"/>
      <c r="GXV48" s="103"/>
      <c r="GXW48" s="103"/>
      <c r="GXX48" s="103"/>
      <c r="GXY48" s="103"/>
      <c r="GXZ48" s="103"/>
      <c r="GYA48" s="103"/>
      <c r="GYB48" s="103"/>
      <c r="GYC48" s="103"/>
      <c r="GYD48" s="103"/>
      <c r="GYE48" s="103"/>
      <c r="GYF48" s="103"/>
      <c r="GYG48" s="103"/>
      <c r="GYH48" s="103"/>
      <c r="GYI48" s="103"/>
      <c r="GYJ48" s="103"/>
      <c r="GYK48" s="103"/>
      <c r="GYL48" s="103"/>
      <c r="GYM48" s="103"/>
      <c r="GYN48" s="103"/>
      <c r="GYO48" s="103"/>
      <c r="GYP48" s="103"/>
      <c r="GYQ48" s="103"/>
      <c r="GYR48" s="103"/>
      <c r="GYS48" s="103"/>
      <c r="GYT48" s="103"/>
      <c r="GYU48" s="103"/>
      <c r="GYV48" s="103"/>
      <c r="GYW48" s="103"/>
      <c r="GYX48" s="103"/>
      <c r="GYY48" s="103"/>
      <c r="GYZ48" s="103"/>
      <c r="GZA48" s="103"/>
      <c r="GZB48" s="103"/>
      <c r="GZC48" s="103"/>
      <c r="GZD48" s="103"/>
      <c r="GZE48" s="103"/>
      <c r="GZF48" s="103"/>
      <c r="GZG48" s="103"/>
      <c r="GZH48" s="103"/>
      <c r="GZI48" s="103"/>
      <c r="GZJ48" s="103"/>
      <c r="GZK48" s="103"/>
      <c r="GZL48" s="103"/>
      <c r="GZM48" s="103"/>
      <c r="GZN48" s="103"/>
      <c r="GZO48" s="103"/>
      <c r="GZP48" s="103"/>
      <c r="GZQ48" s="103"/>
      <c r="GZR48" s="103"/>
      <c r="GZS48" s="103"/>
      <c r="GZT48" s="103"/>
      <c r="GZU48" s="103"/>
      <c r="GZV48" s="103"/>
      <c r="GZW48" s="103"/>
      <c r="GZX48" s="103"/>
      <c r="GZY48" s="103"/>
      <c r="GZZ48" s="103"/>
      <c r="HAA48" s="103"/>
      <c r="HAB48" s="103"/>
      <c r="HAC48" s="103"/>
      <c r="HAD48" s="103"/>
      <c r="HAE48" s="103"/>
      <c r="HAF48" s="103"/>
      <c r="HAG48" s="103"/>
      <c r="HAH48" s="103"/>
      <c r="HAI48" s="103"/>
      <c r="HAJ48" s="103"/>
      <c r="HAK48" s="103"/>
      <c r="HAL48" s="103"/>
      <c r="HAM48" s="103"/>
      <c r="HAN48" s="103"/>
      <c r="HAO48" s="103"/>
      <c r="HAP48" s="103"/>
      <c r="HAQ48" s="103"/>
      <c r="HAR48" s="103"/>
      <c r="HAS48" s="103"/>
      <c r="HAT48" s="103"/>
      <c r="HAU48" s="103"/>
      <c r="HAV48" s="103"/>
      <c r="HAW48" s="103"/>
      <c r="HAX48" s="103"/>
      <c r="HAY48" s="103"/>
      <c r="HAZ48" s="103"/>
      <c r="HBA48" s="103"/>
      <c r="HBB48" s="103"/>
      <c r="HBC48" s="103"/>
      <c r="HBD48" s="103"/>
      <c r="HBE48" s="103"/>
      <c r="HBF48" s="103"/>
      <c r="HBG48" s="103"/>
      <c r="HBH48" s="103"/>
      <c r="HBI48" s="103"/>
      <c r="HBJ48" s="103"/>
      <c r="HBK48" s="103"/>
      <c r="HBL48" s="103"/>
      <c r="HBM48" s="103"/>
      <c r="HBN48" s="103"/>
      <c r="HBO48" s="103"/>
      <c r="HBP48" s="103"/>
      <c r="HBQ48" s="103"/>
      <c r="HBR48" s="103"/>
      <c r="HBS48" s="103"/>
      <c r="HBT48" s="103"/>
      <c r="HBU48" s="103"/>
      <c r="HBV48" s="103"/>
      <c r="HBW48" s="103"/>
      <c r="HBX48" s="103"/>
      <c r="HBY48" s="103"/>
      <c r="HBZ48" s="103"/>
      <c r="HCA48" s="103"/>
      <c r="HCB48" s="103"/>
      <c r="HCC48" s="103"/>
      <c r="HCD48" s="103"/>
      <c r="HCE48" s="103"/>
      <c r="HCF48" s="103"/>
      <c r="HCG48" s="103"/>
      <c r="HCH48" s="103"/>
      <c r="HCI48" s="103"/>
      <c r="HCJ48" s="103"/>
      <c r="HCK48" s="103"/>
      <c r="HCL48" s="103"/>
      <c r="HCM48" s="103"/>
      <c r="HCN48" s="103"/>
      <c r="HCO48" s="103"/>
      <c r="HCP48" s="103"/>
      <c r="HCQ48" s="103"/>
      <c r="HCR48" s="103"/>
      <c r="HCS48" s="103"/>
      <c r="HCT48" s="103"/>
      <c r="HCU48" s="103"/>
      <c r="HCV48" s="103"/>
      <c r="HCW48" s="103"/>
      <c r="HCX48" s="103"/>
      <c r="HCY48" s="103"/>
      <c r="HCZ48" s="103"/>
      <c r="HDA48" s="103"/>
      <c r="HDB48" s="103"/>
      <c r="HDC48" s="103"/>
      <c r="HDD48" s="103"/>
      <c r="HDE48" s="103"/>
      <c r="HDF48" s="103"/>
      <c r="HDG48" s="103"/>
      <c r="HDH48" s="103"/>
      <c r="HDI48" s="103"/>
      <c r="HDJ48" s="103"/>
      <c r="HDK48" s="103"/>
      <c r="HDL48" s="103"/>
      <c r="HDM48" s="103"/>
      <c r="HDN48" s="103"/>
      <c r="HDO48" s="103"/>
      <c r="HDP48" s="103"/>
      <c r="HDQ48" s="103"/>
      <c r="HDR48" s="103"/>
      <c r="HDS48" s="103"/>
      <c r="HDT48" s="103"/>
      <c r="HDU48" s="103"/>
      <c r="HDV48" s="103"/>
      <c r="HDW48" s="103"/>
      <c r="HDX48" s="103"/>
      <c r="HDY48" s="103"/>
      <c r="HDZ48" s="103"/>
      <c r="HEA48" s="103"/>
      <c r="HEB48" s="103"/>
      <c r="HEC48" s="103"/>
      <c r="HED48" s="103"/>
      <c r="HEE48" s="103"/>
      <c r="HEF48" s="103"/>
      <c r="HEG48" s="103"/>
      <c r="HEH48" s="103"/>
      <c r="HEI48" s="103"/>
      <c r="HEJ48" s="103"/>
      <c r="HEK48" s="103"/>
      <c r="HEL48" s="103"/>
      <c r="HEM48" s="103"/>
      <c r="HEN48" s="103"/>
      <c r="HEO48" s="103"/>
      <c r="HEP48" s="103"/>
      <c r="HEQ48" s="103"/>
      <c r="HER48" s="103"/>
      <c r="HES48" s="103"/>
      <c r="HET48" s="103"/>
      <c r="HEU48" s="103"/>
      <c r="HEV48" s="103"/>
      <c r="HEW48" s="103"/>
      <c r="HEX48" s="103"/>
      <c r="HEY48" s="103"/>
      <c r="HEZ48" s="103"/>
      <c r="HFA48" s="103"/>
      <c r="HFB48" s="103"/>
      <c r="HFC48" s="103"/>
      <c r="HFD48" s="103"/>
      <c r="HFE48" s="103"/>
      <c r="HFF48" s="103"/>
      <c r="HFG48" s="103"/>
      <c r="HFH48" s="103"/>
      <c r="HFI48" s="103"/>
      <c r="HFJ48" s="103"/>
      <c r="HFK48" s="103"/>
      <c r="HFL48" s="103"/>
      <c r="HFM48" s="103"/>
      <c r="HFN48" s="103"/>
      <c r="HFO48" s="103"/>
      <c r="HFP48" s="103"/>
      <c r="HFQ48" s="103"/>
      <c r="HFR48" s="103"/>
      <c r="HFS48" s="103"/>
      <c r="HFT48" s="103"/>
      <c r="HFU48" s="103"/>
      <c r="HFV48" s="103"/>
      <c r="HFW48" s="103"/>
      <c r="HFX48" s="103"/>
      <c r="HFY48" s="103"/>
      <c r="HFZ48" s="103"/>
      <c r="HGA48" s="103"/>
      <c r="HGB48" s="103"/>
      <c r="HGC48" s="103"/>
      <c r="HGD48" s="103"/>
      <c r="HGE48" s="103"/>
      <c r="HGF48" s="103"/>
      <c r="HGG48" s="103"/>
      <c r="HGH48" s="103"/>
      <c r="HGI48" s="103"/>
      <c r="HGJ48" s="103"/>
      <c r="HGK48" s="103"/>
      <c r="HGL48" s="103"/>
      <c r="HGM48" s="103"/>
      <c r="HGN48" s="103"/>
      <c r="HGO48" s="103"/>
      <c r="HGP48" s="103"/>
      <c r="HGQ48" s="103"/>
      <c r="HGR48" s="103"/>
      <c r="HGS48" s="103"/>
      <c r="HGT48" s="103"/>
      <c r="HGU48" s="103"/>
      <c r="HGV48" s="103"/>
      <c r="HGW48" s="103"/>
      <c r="HGX48" s="103"/>
      <c r="HGY48" s="103"/>
      <c r="HGZ48" s="103"/>
      <c r="HHA48" s="103"/>
      <c r="HHB48" s="103"/>
      <c r="HHC48" s="103"/>
      <c r="HHD48" s="103"/>
      <c r="HHE48" s="103"/>
      <c r="HHF48" s="103"/>
      <c r="HHG48" s="103"/>
      <c r="HHH48" s="103"/>
      <c r="HHI48" s="103"/>
      <c r="HHJ48" s="103"/>
      <c r="HHK48" s="103"/>
      <c r="HHL48" s="103"/>
      <c r="HHM48" s="103"/>
      <c r="HHN48" s="103"/>
      <c r="HHO48" s="103"/>
      <c r="HHP48" s="103"/>
      <c r="HHQ48" s="103"/>
      <c r="HHR48" s="103"/>
      <c r="HHS48" s="103"/>
      <c r="HHT48" s="103"/>
      <c r="HHU48" s="103"/>
      <c r="HHV48" s="103"/>
      <c r="HHW48" s="103"/>
      <c r="HHX48" s="103"/>
      <c r="HHY48" s="103"/>
      <c r="HHZ48" s="103"/>
      <c r="HIA48" s="103"/>
      <c r="HIB48" s="103"/>
      <c r="HIC48" s="103"/>
      <c r="HID48" s="103"/>
      <c r="HIE48" s="103"/>
      <c r="HIF48" s="103"/>
      <c r="HIG48" s="103"/>
      <c r="HIH48" s="103"/>
      <c r="HII48" s="103"/>
      <c r="HIJ48" s="103"/>
      <c r="HIK48" s="103"/>
      <c r="HIL48" s="103"/>
      <c r="HIM48" s="103"/>
      <c r="HIN48" s="103"/>
      <c r="HIO48" s="103"/>
      <c r="HIP48" s="103"/>
      <c r="HIQ48" s="103"/>
      <c r="HIR48" s="103"/>
      <c r="HIS48" s="103"/>
      <c r="HIT48" s="103"/>
      <c r="HIU48" s="103"/>
      <c r="HIV48" s="103"/>
      <c r="HIW48" s="103"/>
      <c r="HIX48" s="103"/>
      <c r="HIY48" s="103"/>
      <c r="HIZ48" s="103"/>
      <c r="HJA48" s="103"/>
      <c r="HJB48" s="103"/>
      <c r="HJC48" s="103"/>
      <c r="HJD48" s="103"/>
      <c r="HJE48" s="103"/>
      <c r="HJF48" s="103"/>
      <c r="HJG48" s="103"/>
      <c r="HJH48" s="103"/>
      <c r="HJI48" s="103"/>
      <c r="HJJ48" s="103"/>
      <c r="HJK48" s="103"/>
      <c r="HJL48" s="103"/>
      <c r="HJM48" s="103"/>
      <c r="HJN48" s="103"/>
      <c r="HJO48" s="103"/>
      <c r="HJP48" s="103"/>
      <c r="HJQ48" s="103"/>
      <c r="HJR48" s="103"/>
      <c r="HJS48" s="103"/>
      <c r="HJT48" s="103"/>
      <c r="HJU48" s="103"/>
      <c r="HJV48" s="103"/>
      <c r="HJW48" s="103"/>
      <c r="HJX48" s="103"/>
      <c r="HJY48" s="103"/>
      <c r="HJZ48" s="103"/>
      <c r="HKA48" s="103"/>
      <c r="HKB48" s="103"/>
      <c r="HKC48" s="103"/>
      <c r="HKD48" s="103"/>
      <c r="HKE48" s="103"/>
      <c r="HKF48" s="103"/>
      <c r="HKG48" s="103"/>
      <c r="HKH48" s="103"/>
      <c r="HKI48" s="103"/>
      <c r="HKJ48" s="103"/>
      <c r="HKK48" s="103"/>
      <c r="HKL48" s="103"/>
      <c r="HKM48" s="103"/>
      <c r="HKN48" s="103"/>
      <c r="HKO48" s="103"/>
      <c r="HKP48" s="103"/>
      <c r="HKQ48" s="103"/>
      <c r="HKR48" s="103"/>
      <c r="HKS48" s="103"/>
      <c r="HKT48" s="103"/>
      <c r="HKU48" s="103"/>
      <c r="HKV48" s="103"/>
      <c r="HKW48" s="103"/>
      <c r="HKX48" s="103"/>
      <c r="HKY48" s="103"/>
      <c r="HKZ48" s="103"/>
      <c r="HLA48" s="103"/>
      <c r="HLB48" s="103"/>
      <c r="HLC48" s="103"/>
      <c r="HLD48" s="103"/>
      <c r="HLE48" s="103"/>
      <c r="HLF48" s="103"/>
      <c r="HLG48" s="103"/>
      <c r="HLH48" s="103"/>
      <c r="HLI48" s="103"/>
      <c r="HLJ48" s="103"/>
      <c r="HLK48" s="103"/>
      <c r="HLL48" s="103"/>
      <c r="HLM48" s="103"/>
      <c r="HLN48" s="103"/>
      <c r="HLO48" s="103"/>
      <c r="HLP48" s="103"/>
      <c r="HLQ48" s="103"/>
      <c r="HLR48" s="103"/>
      <c r="HLS48" s="103"/>
      <c r="HLT48" s="103"/>
      <c r="HLU48" s="103"/>
      <c r="HLV48" s="103"/>
      <c r="HLW48" s="103"/>
      <c r="HLX48" s="103"/>
      <c r="HLY48" s="103"/>
      <c r="HLZ48" s="103"/>
      <c r="HMA48" s="103"/>
      <c r="HMB48" s="103"/>
      <c r="HMC48" s="103"/>
      <c r="HMD48" s="103"/>
      <c r="HME48" s="103"/>
      <c r="HMF48" s="103"/>
      <c r="HMG48" s="103"/>
      <c r="HMH48" s="103"/>
      <c r="HMI48" s="103"/>
      <c r="HMJ48" s="103"/>
      <c r="HMK48" s="103"/>
      <c r="HML48" s="103"/>
      <c r="HMM48" s="103"/>
      <c r="HMN48" s="103"/>
      <c r="HMO48" s="103"/>
      <c r="HMP48" s="103"/>
      <c r="HMQ48" s="103"/>
      <c r="HMR48" s="103"/>
      <c r="HMS48" s="103"/>
      <c r="HMT48" s="103"/>
      <c r="HMU48" s="103"/>
      <c r="HMV48" s="103"/>
      <c r="HMW48" s="103"/>
      <c r="HMX48" s="103"/>
      <c r="HMY48" s="103"/>
      <c r="HMZ48" s="103"/>
      <c r="HNA48" s="103"/>
      <c r="HNB48" s="103"/>
      <c r="HNC48" s="103"/>
      <c r="HND48" s="103"/>
      <c r="HNE48" s="103"/>
      <c r="HNF48" s="103"/>
      <c r="HNG48" s="103"/>
      <c r="HNH48" s="103"/>
      <c r="HNI48" s="103"/>
      <c r="HNJ48" s="103"/>
      <c r="HNK48" s="103"/>
      <c r="HNL48" s="103"/>
      <c r="HNM48" s="103"/>
      <c r="HNN48" s="103"/>
      <c r="HNO48" s="103"/>
      <c r="HNP48" s="103"/>
      <c r="HNQ48" s="103"/>
      <c r="HNR48" s="103"/>
      <c r="HNS48" s="103"/>
      <c r="HNT48" s="103"/>
      <c r="HNU48" s="103"/>
      <c r="HNV48" s="103"/>
      <c r="HNW48" s="103"/>
      <c r="HNX48" s="103"/>
      <c r="HNY48" s="103"/>
      <c r="HNZ48" s="103"/>
      <c r="HOA48" s="103"/>
      <c r="HOB48" s="103"/>
      <c r="HOC48" s="103"/>
      <c r="HOD48" s="103"/>
      <c r="HOE48" s="103"/>
      <c r="HOF48" s="103"/>
      <c r="HOG48" s="103"/>
      <c r="HOH48" s="103"/>
      <c r="HOI48" s="103"/>
      <c r="HOJ48" s="103"/>
      <c r="HOK48" s="103"/>
      <c r="HOL48" s="103"/>
      <c r="HOM48" s="103"/>
      <c r="HON48" s="103"/>
      <c r="HOO48" s="103"/>
      <c r="HOP48" s="103"/>
      <c r="HOQ48" s="103"/>
      <c r="HOR48" s="103"/>
      <c r="HOS48" s="103"/>
      <c r="HOT48" s="103"/>
      <c r="HOU48" s="103"/>
      <c r="HOV48" s="103"/>
      <c r="HOW48" s="103"/>
      <c r="HOX48" s="103"/>
      <c r="HOY48" s="103"/>
      <c r="HOZ48" s="103"/>
      <c r="HPA48" s="103"/>
      <c r="HPB48" s="103"/>
      <c r="HPC48" s="103"/>
      <c r="HPD48" s="103"/>
      <c r="HPE48" s="103"/>
      <c r="HPF48" s="103"/>
      <c r="HPG48" s="103"/>
      <c r="HPH48" s="103"/>
      <c r="HPI48" s="103"/>
      <c r="HPJ48" s="103"/>
      <c r="HPK48" s="103"/>
      <c r="HPL48" s="103"/>
      <c r="HPM48" s="103"/>
      <c r="HPN48" s="103"/>
      <c r="HPO48" s="103"/>
      <c r="HPP48" s="103"/>
      <c r="HPQ48" s="103"/>
      <c r="HPR48" s="103"/>
      <c r="HPS48" s="103"/>
      <c r="HPT48" s="103"/>
      <c r="HPU48" s="103"/>
      <c r="HPV48" s="103"/>
      <c r="HPW48" s="103"/>
      <c r="HPX48" s="103"/>
      <c r="HPY48" s="103"/>
      <c r="HPZ48" s="103"/>
      <c r="HQA48" s="103"/>
      <c r="HQB48" s="103"/>
      <c r="HQC48" s="103"/>
      <c r="HQD48" s="103"/>
      <c r="HQE48" s="103"/>
      <c r="HQF48" s="103"/>
      <c r="HQG48" s="103"/>
      <c r="HQH48" s="103"/>
      <c r="HQI48" s="103"/>
      <c r="HQJ48" s="103"/>
      <c r="HQK48" s="103"/>
      <c r="HQL48" s="103"/>
      <c r="HQM48" s="103"/>
      <c r="HQN48" s="103"/>
      <c r="HQO48" s="103"/>
      <c r="HQP48" s="103"/>
      <c r="HQQ48" s="103"/>
      <c r="HQR48" s="103"/>
      <c r="HQS48" s="103"/>
      <c r="HQT48" s="103"/>
      <c r="HQU48" s="103"/>
      <c r="HQV48" s="103"/>
      <c r="HQW48" s="103"/>
      <c r="HQX48" s="103"/>
      <c r="HQY48" s="103"/>
      <c r="HQZ48" s="103"/>
      <c r="HRA48" s="103"/>
      <c r="HRB48" s="103"/>
      <c r="HRC48" s="103"/>
      <c r="HRD48" s="103"/>
      <c r="HRE48" s="103"/>
      <c r="HRF48" s="103"/>
      <c r="HRG48" s="103"/>
      <c r="HRH48" s="103"/>
      <c r="HRI48" s="103"/>
      <c r="HRJ48" s="103"/>
      <c r="HRK48" s="103"/>
      <c r="HRL48" s="103"/>
      <c r="HRM48" s="103"/>
      <c r="HRN48" s="103"/>
      <c r="HRO48" s="103"/>
      <c r="HRP48" s="103"/>
      <c r="HRQ48" s="103"/>
      <c r="HRR48" s="103"/>
      <c r="HRS48" s="103"/>
      <c r="HRT48" s="103"/>
      <c r="HRU48" s="103"/>
      <c r="HRV48" s="103"/>
      <c r="HRW48" s="103"/>
      <c r="HRX48" s="103"/>
      <c r="HRY48" s="103"/>
      <c r="HRZ48" s="103"/>
      <c r="HSA48" s="103"/>
      <c r="HSB48" s="103"/>
      <c r="HSC48" s="103"/>
      <c r="HSD48" s="103"/>
      <c r="HSE48" s="103"/>
      <c r="HSF48" s="103"/>
      <c r="HSG48" s="103"/>
      <c r="HSH48" s="103"/>
      <c r="HSI48" s="103"/>
      <c r="HSJ48" s="103"/>
      <c r="HSK48" s="103"/>
      <c r="HSL48" s="103"/>
      <c r="HSM48" s="103"/>
      <c r="HSN48" s="103"/>
      <c r="HSO48" s="103"/>
      <c r="HSP48" s="103"/>
      <c r="HSQ48" s="103"/>
      <c r="HSR48" s="103"/>
      <c r="HSS48" s="103"/>
      <c r="HST48" s="103"/>
      <c r="HSU48" s="103"/>
      <c r="HSV48" s="103"/>
      <c r="HSW48" s="103"/>
      <c r="HSX48" s="103"/>
      <c r="HSY48" s="103"/>
      <c r="HSZ48" s="103"/>
      <c r="HTA48" s="103"/>
      <c r="HTB48" s="103"/>
      <c r="HTC48" s="103"/>
      <c r="HTD48" s="103"/>
      <c r="HTE48" s="103"/>
      <c r="HTF48" s="103"/>
      <c r="HTG48" s="103"/>
      <c r="HTH48" s="103"/>
      <c r="HTI48" s="103"/>
      <c r="HTJ48" s="103"/>
      <c r="HTK48" s="103"/>
      <c r="HTL48" s="103"/>
      <c r="HTM48" s="103"/>
      <c r="HTN48" s="103"/>
      <c r="HTO48" s="103"/>
      <c r="HTP48" s="103"/>
      <c r="HTQ48" s="103"/>
      <c r="HTR48" s="103"/>
      <c r="HTS48" s="103"/>
      <c r="HTT48" s="103"/>
      <c r="HTU48" s="103"/>
      <c r="HTV48" s="103"/>
      <c r="HTW48" s="103"/>
      <c r="HTX48" s="103"/>
      <c r="HTY48" s="103"/>
      <c r="HTZ48" s="103"/>
      <c r="HUA48" s="103"/>
      <c r="HUB48" s="103"/>
      <c r="HUC48" s="103"/>
      <c r="HUD48" s="103"/>
      <c r="HUE48" s="103"/>
      <c r="HUF48" s="103"/>
      <c r="HUG48" s="103"/>
      <c r="HUH48" s="103"/>
      <c r="HUI48" s="103"/>
      <c r="HUJ48" s="103"/>
      <c r="HUK48" s="103"/>
      <c r="HUL48" s="103"/>
      <c r="HUM48" s="103"/>
      <c r="HUN48" s="103"/>
      <c r="HUO48" s="103"/>
      <c r="HUP48" s="103"/>
      <c r="HUQ48" s="103"/>
      <c r="HUR48" s="103"/>
      <c r="HUS48" s="103"/>
      <c r="HUT48" s="103"/>
      <c r="HUU48" s="103"/>
      <c r="HUV48" s="103"/>
      <c r="HUW48" s="103"/>
      <c r="HUX48" s="103"/>
      <c r="HUY48" s="103"/>
      <c r="HUZ48" s="103"/>
      <c r="HVA48" s="103"/>
      <c r="HVB48" s="103"/>
      <c r="HVC48" s="103"/>
      <c r="HVD48" s="103"/>
      <c r="HVE48" s="103"/>
      <c r="HVF48" s="103"/>
      <c r="HVG48" s="103"/>
      <c r="HVH48" s="103"/>
      <c r="HVI48" s="103"/>
      <c r="HVJ48" s="103"/>
      <c r="HVK48" s="103"/>
      <c r="HVL48" s="103"/>
      <c r="HVM48" s="103"/>
      <c r="HVN48" s="103"/>
      <c r="HVO48" s="103"/>
      <c r="HVP48" s="103"/>
      <c r="HVQ48" s="103"/>
      <c r="HVR48" s="103"/>
      <c r="HVS48" s="103"/>
      <c r="HVT48" s="103"/>
      <c r="HVU48" s="103"/>
      <c r="HVV48" s="103"/>
      <c r="HVW48" s="103"/>
      <c r="HVX48" s="103"/>
      <c r="HVY48" s="103"/>
      <c r="HVZ48" s="103"/>
      <c r="HWA48" s="103"/>
      <c r="HWB48" s="103"/>
      <c r="HWC48" s="103"/>
      <c r="HWD48" s="103"/>
      <c r="HWE48" s="103"/>
      <c r="HWF48" s="103"/>
      <c r="HWG48" s="103"/>
      <c r="HWH48" s="103"/>
      <c r="HWI48" s="103"/>
      <c r="HWJ48" s="103"/>
      <c r="HWK48" s="103"/>
      <c r="HWL48" s="103"/>
      <c r="HWM48" s="103"/>
      <c r="HWN48" s="103"/>
      <c r="HWO48" s="103"/>
      <c r="HWP48" s="103"/>
      <c r="HWQ48" s="103"/>
      <c r="HWR48" s="103"/>
      <c r="HWS48" s="103"/>
      <c r="HWT48" s="103"/>
      <c r="HWU48" s="103"/>
      <c r="HWV48" s="103"/>
      <c r="HWW48" s="103"/>
      <c r="HWX48" s="103"/>
      <c r="HWY48" s="103"/>
      <c r="HWZ48" s="103"/>
      <c r="HXA48" s="103"/>
      <c r="HXB48" s="103"/>
      <c r="HXC48" s="103"/>
      <c r="HXD48" s="103"/>
      <c r="HXE48" s="103"/>
      <c r="HXF48" s="103"/>
      <c r="HXG48" s="103"/>
      <c r="HXH48" s="103"/>
      <c r="HXI48" s="103"/>
      <c r="HXJ48" s="103"/>
      <c r="HXK48" s="103"/>
      <c r="HXL48" s="103"/>
      <c r="HXM48" s="103"/>
      <c r="HXN48" s="103"/>
      <c r="HXO48" s="103"/>
      <c r="HXP48" s="103"/>
      <c r="HXQ48" s="103"/>
      <c r="HXR48" s="103"/>
      <c r="HXS48" s="103"/>
      <c r="HXT48" s="103"/>
      <c r="HXU48" s="103"/>
      <c r="HXV48" s="103"/>
      <c r="HXW48" s="103"/>
      <c r="HXX48" s="103"/>
      <c r="HXY48" s="103"/>
      <c r="HXZ48" s="103"/>
      <c r="HYA48" s="103"/>
      <c r="HYB48" s="103"/>
      <c r="HYC48" s="103"/>
      <c r="HYD48" s="103"/>
      <c r="HYE48" s="103"/>
      <c r="HYF48" s="103"/>
      <c r="HYG48" s="103"/>
      <c r="HYH48" s="103"/>
      <c r="HYI48" s="103"/>
      <c r="HYJ48" s="103"/>
      <c r="HYK48" s="103"/>
      <c r="HYL48" s="103"/>
      <c r="HYM48" s="103"/>
      <c r="HYN48" s="103"/>
      <c r="HYO48" s="103"/>
      <c r="HYP48" s="103"/>
      <c r="HYQ48" s="103"/>
      <c r="HYR48" s="103"/>
      <c r="HYS48" s="103"/>
      <c r="HYT48" s="103"/>
      <c r="HYU48" s="103"/>
      <c r="HYV48" s="103"/>
      <c r="HYW48" s="103"/>
      <c r="HYX48" s="103"/>
      <c r="HYY48" s="103"/>
      <c r="HYZ48" s="103"/>
      <c r="HZA48" s="103"/>
      <c r="HZB48" s="103"/>
      <c r="HZC48" s="103"/>
      <c r="HZD48" s="103"/>
      <c r="HZE48" s="103"/>
      <c r="HZF48" s="103"/>
      <c r="HZG48" s="103"/>
      <c r="HZH48" s="103"/>
      <c r="HZI48" s="103"/>
      <c r="HZJ48" s="103"/>
      <c r="HZK48" s="103"/>
      <c r="HZL48" s="103"/>
      <c r="HZM48" s="103"/>
      <c r="HZN48" s="103"/>
      <c r="HZO48" s="103"/>
      <c r="HZP48" s="103"/>
      <c r="HZQ48" s="103"/>
      <c r="HZR48" s="103"/>
      <c r="HZS48" s="103"/>
      <c r="HZT48" s="103"/>
      <c r="HZU48" s="103"/>
      <c r="HZV48" s="103"/>
      <c r="HZW48" s="103"/>
      <c r="HZX48" s="103"/>
      <c r="HZY48" s="103"/>
      <c r="HZZ48" s="103"/>
      <c r="IAA48" s="103"/>
      <c r="IAB48" s="103"/>
      <c r="IAC48" s="103"/>
      <c r="IAD48" s="103"/>
      <c r="IAE48" s="103"/>
      <c r="IAF48" s="103"/>
      <c r="IAG48" s="103"/>
      <c r="IAH48" s="103"/>
      <c r="IAI48" s="103"/>
      <c r="IAJ48" s="103"/>
      <c r="IAK48" s="103"/>
      <c r="IAL48" s="103"/>
      <c r="IAM48" s="103"/>
      <c r="IAN48" s="103"/>
      <c r="IAO48" s="103"/>
      <c r="IAP48" s="103"/>
      <c r="IAQ48" s="103"/>
      <c r="IAR48" s="103"/>
      <c r="IAS48" s="103"/>
      <c r="IAT48" s="103"/>
      <c r="IAU48" s="103"/>
      <c r="IAV48" s="103"/>
      <c r="IAW48" s="103"/>
      <c r="IAX48" s="103"/>
      <c r="IAY48" s="103"/>
      <c r="IAZ48" s="103"/>
      <c r="IBA48" s="103"/>
      <c r="IBB48" s="103"/>
      <c r="IBC48" s="103"/>
      <c r="IBD48" s="103"/>
      <c r="IBE48" s="103"/>
      <c r="IBF48" s="103"/>
      <c r="IBG48" s="103"/>
      <c r="IBH48" s="103"/>
      <c r="IBI48" s="103"/>
      <c r="IBJ48" s="103"/>
      <c r="IBK48" s="103"/>
      <c r="IBL48" s="103"/>
      <c r="IBM48" s="103"/>
      <c r="IBN48" s="103"/>
      <c r="IBO48" s="103"/>
      <c r="IBP48" s="103"/>
      <c r="IBQ48" s="103"/>
      <c r="IBR48" s="103"/>
      <c r="IBS48" s="103"/>
      <c r="IBT48" s="103"/>
      <c r="IBU48" s="103"/>
      <c r="IBV48" s="103"/>
      <c r="IBW48" s="103"/>
      <c r="IBX48" s="103"/>
      <c r="IBY48" s="103"/>
      <c r="IBZ48" s="103"/>
      <c r="ICA48" s="103"/>
      <c r="ICB48" s="103"/>
      <c r="ICC48" s="103"/>
      <c r="ICD48" s="103"/>
      <c r="ICE48" s="103"/>
      <c r="ICF48" s="103"/>
      <c r="ICG48" s="103"/>
      <c r="ICH48" s="103"/>
      <c r="ICI48" s="103"/>
      <c r="ICJ48" s="103"/>
      <c r="ICK48" s="103"/>
      <c r="ICL48" s="103"/>
      <c r="ICM48" s="103"/>
      <c r="ICN48" s="103"/>
      <c r="ICO48" s="103"/>
      <c r="ICP48" s="103"/>
      <c r="ICQ48" s="103"/>
      <c r="ICR48" s="103"/>
      <c r="ICS48" s="103"/>
      <c r="ICT48" s="103"/>
      <c r="ICU48" s="103"/>
      <c r="ICV48" s="103"/>
      <c r="ICW48" s="103"/>
      <c r="ICX48" s="103"/>
      <c r="ICY48" s="103"/>
      <c r="ICZ48" s="103"/>
      <c r="IDA48" s="103"/>
      <c r="IDB48" s="103"/>
      <c r="IDC48" s="103"/>
      <c r="IDD48" s="103"/>
      <c r="IDE48" s="103"/>
      <c r="IDF48" s="103"/>
      <c r="IDG48" s="103"/>
      <c r="IDH48" s="103"/>
      <c r="IDI48" s="103"/>
      <c r="IDJ48" s="103"/>
      <c r="IDK48" s="103"/>
      <c r="IDL48" s="103"/>
      <c r="IDM48" s="103"/>
      <c r="IDN48" s="103"/>
      <c r="IDO48" s="103"/>
      <c r="IDP48" s="103"/>
      <c r="IDQ48" s="103"/>
      <c r="IDR48" s="103"/>
      <c r="IDS48" s="103"/>
      <c r="IDT48" s="103"/>
      <c r="IDU48" s="103"/>
      <c r="IDV48" s="103"/>
      <c r="IDW48" s="103"/>
      <c r="IDX48" s="103"/>
      <c r="IDY48" s="103"/>
      <c r="IDZ48" s="103"/>
      <c r="IEA48" s="103"/>
      <c r="IEB48" s="103"/>
      <c r="IEC48" s="103"/>
      <c r="IED48" s="103"/>
      <c r="IEE48" s="103"/>
      <c r="IEF48" s="103"/>
      <c r="IEG48" s="103"/>
      <c r="IEH48" s="103"/>
      <c r="IEI48" s="103"/>
      <c r="IEJ48" s="103"/>
      <c r="IEK48" s="103"/>
      <c r="IEL48" s="103"/>
      <c r="IEM48" s="103"/>
      <c r="IEN48" s="103"/>
      <c r="IEO48" s="103"/>
      <c r="IEP48" s="103"/>
      <c r="IEQ48" s="103"/>
      <c r="IER48" s="103"/>
      <c r="IES48" s="103"/>
      <c r="IET48" s="103"/>
      <c r="IEU48" s="103"/>
      <c r="IEV48" s="103"/>
      <c r="IEW48" s="103"/>
      <c r="IEX48" s="103"/>
      <c r="IEY48" s="103"/>
      <c r="IEZ48" s="103"/>
      <c r="IFA48" s="103"/>
      <c r="IFB48" s="103"/>
      <c r="IFC48" s="103"/>
      <c r="IFD48" s="103"/>
      <c r="IFE48" s="103"/>
      <c r="IFF48" s="103"/>
      <c r="IFG48" s="103"/>
      <c r="IFH48" s="103"/>
      <c r="IFI48" s="103"/>
      <c r="IFJ48" s="103"/>
      <c r="IFK48" s="103"/>
      <c r="IFL48" s="103"/>
      <c r="IFM48" s="103"/>
      <c r="IFN48" s="103"/>
      <c r="IFO48" s="103"/>
      <c r="IFP48" s="103"/>
      <c r="IFQ48" s="103"/>
      <c r="IFR48" s="103"/>
      <c r="IFS48" s="103"/>
      <c r="IFT48" s="103"/>
      <c r="IFU48" s="103"/>
      <c r="IFV48" s="103"/>
      <c r="IFW48" s="103"/>
      <c r="IFX48" s="103"/>
      <c r="IFY48" s="103"/>
      <c r="IFZ48" s="103"/>
      <c r="IGA48" s="103"/>
      <c r="IGB48" s="103"/>
      <c r="IGC48" s="103"/>
      <c r="IGD48" s="103"/>
      <c r="IGE48" s="103"/>
      <c r="IGF48" s="103"/>
      <c r="IGG48" s="103"/>
      <c r="IGH48" s="103"/>
      <c r="IGI48" s="103"/>
      <c r="IGJ48" s="103"/>
      <c r="IGK48" s="103"/>
      <c r="IGL48" s="103"/>
      <c r="IGM48" s="103"/>
      <c r="IGN48" s="103"/>
      <c r="IGO48" s="103"/>
      <c r="IGP48" s="103"/>
      <c r="IGQ48" s="103"/>
      <c r="IGR48" s="103"/>
      <c r="IGS48" s="103"/>
      <c r="IGT48" s="103"/>
      <c r="IGU48" s="103"/>
      <c r="IGV48" s="103"/>
      <c r="IGW48" s="103"/>
      <c r="IGX48" s="103"/>
      <c r="IGY48" s="103"/>
      <c r="IGZ48" s="103"/>
      <c r="IHA48" s="103"/>
      <c r="IHB48" s="103"/>
      <c r="IHC48" s="103"/>
      <c r="IHD48" s="103"/>
      <c r="IHE48" s="103"/>
      <c r="IHF48" s="103"/>
      <c r="IHG48" s="103"/>
      <c r="IHH48" s="103"/>
      <c r="IHI48" s="103"/>
      <c r="IHJ48" s="103"/>
      <c r="IHK48" s="103"/>
      <c r="IHL48" s="103"/>
      <c r="IHM48" s="103"/>
      <c r="IHN48" s="103"/>
      <c r="IHO48" s="103"/>
      <c r="IHP48" s="103"/>
      <c r="IHQ48" s="103"/>
      <c r="IHR48" s="103"/>
      <c r="IHS48" s="103"/>
      <c r="IHT48" s="103"/>
      <c r="IHU48" s="103"/>
      <c r="IHV48" s="103"/>
      <c r="IHW48" s="103"/>
      <c r="IHX48" s="103"/>
      <c r="IHY48" s="103"/>
      <c r="IHZ48" s="103"/>
      <c r="IIA48" s="103"/>
      <c r="IIB48" s="103"/>
      <c r="IIC48" s="103"/>
      <c r="IID48" s="103"/>
      <c r="IIE48" s="103"/>
      <c r="IIF48" s="103"/>
      <c r="IIG48" s="103"/>
      <c r="IIH48" s="103"/>
      <c r="III48" s="103"/>
      <c r="IIJ48" s="103"/>
      <c r="IIK48" s="103"/>
      <c r="IIL48" s="103"/>
      <c r="IIM48" s="103"/>
      <c r="IIN48" s="103"/>
      <c r="IIO48" s="103"/>
      <c r="IIP48" s="103"/>
      <c r="IIQ48" s="103"/>
      <c r="IIR48" s="103"/>
      <c r="IIS48" s="103"/>
      <c r="IIT48" s="103"/>
      <c r="IIU48" s="103"/>
      <c r="IIV48" s="103"/>
      <c r="IIW48" s="103"/>
      <c r="IIX48" s="103"/>
      <c r="IIY48" s="103"/>
      <c r="IIZ48" s="103"/>
      <c r="IJA48" s="103"/>
      <c r="IJB48" s="103"/>
      <c r="IJC48" s="103"/>
      <c r="IJD48" s="103"/>
      <c r="IJE48" s="103"/>
      <c r="IJF48" s="103"/>
      <c r="IJG48" s="103"/>
      <c r="IJH48" s="103"/>
      <c r="IJI48" s="103"/>
      <c r="IJJ48" s="103"/>
      <c r="IJK48" s="103"/>
      <c r="IJL48" s="103"/>
      <c r="IJM48" s="103"/>
      <c r="IJN48" s="103"/>
      <c r="IJO48" s="103"/>
      <c r="IJP48" s="103"/>
      <c r="IJQ48" s="103"/>
      <c r="IJR48" s="103"/>
      <c r="IJS48" s="103"/>
      <c r="IJT48" s="103"/>
      <c r="IJU48" s="103"/>
      <c r="IJV48" s="103"/>
      <c r="IJW48" s="103"/>
      <c r="IJX48" s="103"/>
      <c r="IJY48" s="103"/>
      <c r="IJZ48" s="103"/>
      <c r="IKA48" s="103"/>
      <c r="IKB48" s="103"/>
      <c r="IKC48" s="103"/>
      <c r="IKD48" s="103"/>
      <c r="IKE48" s="103"/>
      <c r="IKF48" s="103"/>
      <c r="IKG48" s="103"/>
      <c r="IKH48" s="103"/>
      <c r="IKI48" s="103"/>
      <c r="IKJ48" s="103"/>
      <c r="IKK48" s="103"/>
      <c r="IKL48" s="103"/>
      <c r="IKM48" s="103"/>
      <c r="IKN48" s="103"/>
      <c r="IKO48" s="103"/>
      <c r="IKP48" s="103"/>
      <c r="IKQ48" s="103"/>
      <c r="IKR48" s="103"/>
      <c r="IKS48" s="103"/>
      <c r="IKT48" s="103"/>
      <c r="IKU48" s="103"/>
      <c r="IKV48" s="103"/>
      <c r="IKW48" s="103"/>
      <c r="IKX48" s="103"/>
      <c r="IKY48" s="103"/>
      <c r="IKZ48" s="103"/>
      <c r="ILA48" s="103"/>
      <c r="ILB48" s="103"/>
      <c r="ILC48" s="103"/>
      <c r="ILD48" s="103"/>
      <c r="ILE48" s="103"/>
      <c r="ILF48" s="103"/>
      <c r="ILG48" s="103"/>
      <c r="ILH48" s="103"/>
      <c r="ILI48" s="103"/>
      <c r="ILJ48" s="103"/>
      <c r="ILK48" s="103"/>
      <c r="ILL48" s="103"/>
      <c r="ILM48" s="103"/>
      <c r="ILN48" s="103"/>
      <c r="ILO48" s="103"/>
      <c r="ILP48" s="103"/>
      <c r="ILQ48" s="103"/>
      <c r="ILR48" s="103"/>
      <c r="ILS48" s="103"/>
      <c r="ILT48" s="103"/>
      <c r="ILU48" s="103"/>
      <c r="ILV48" s="103"/>
      <c r="ILW48" s="103"/>
      <c r="ILX48" s="103"/>
      <c r="ILY48" s="103"/>
      <c r="ILZ48" s="103"/>
      <c r="IMA48" s="103"/>
      <c r="IMB48" s="103"/>
      <c r="IMC48" s="103"/>
      <c r="IMD48" s="103"/>
      <c r="IME48" s="103"/>
      <c r="IMF48" s="103"/>
      <c r="IMG48" s="103"/>
      <c r="IMH48" s="103"/>
      <c r="IMI48" s="103"/>
      <c r="IMJ48" s="103"/>
      <c r="IMK48" s="103"/>
      <c r="IML48" s="103"/>
      <c r="IMM48" s="103"/>
      <c r="IMN48" s="103"/>
      <c r="IMO48" s="103"/>
      <c r="IMP48" s="103"/>
      <c r="IMQ48" s="103"/>
      <c r="IMR48" s="103"/>
      <c r="IMS48" s="103"/>
      <c r="IMT48" s="103"/>
      <c r="IMU48" s="103"/>
      <c r="IMV48" s="103"/>
      <c r="IMW48" s="103"/>
      <c r="IMX48" s="103"/>
      <c r="IMY48" s="103"/>
      <c r="IMZ48" s="103"/>
      <c r="INA48" s="103"/>
      <c r="INB48" s="103"/>
      <c r="INC48" s="103"/>
      <c r="IND48" s="103"/>
      <c r="INE48" s="103"/>
      <c r="INF48" s="103"/>
      <c r="ING48" s="103"/>
      <c r="INH48" s="103"/>
      <c r="INI48" s="103"/>
      <c r="INJ48" s="103"/>
      <c r="INK48" s="103"/>
      <c r="INL48" s="103"/>
      <c r="INM48" s="103"/>
      <c r="INN48" s="103"/>
      <c r="INO48" s="103"/>
      <c r="INP48" s="103"/>
      <c r="INQ48" s="103"/>
      <c r="INR48" s="103"/>
      <c r="INS48" s="103"/>
      <c r="INT48" s="103"/>
      <c r="INU48" s="103"/>
      <c r="INV48" s="103"/>
      <c r="INW48" s="103"/>
      <c r="INX48" s="103"/>
      <c r="INY48" s="103"/>
      <c r="INZ48" s="103"/>
      <c r="IOA48" s="103"/>
      <c r="IOB48" s="103"/>
      <c r="IOC48" s="103"/>
      <c r="IOD48" s="103"/>
      <c r="IOE48" s="103"/>
      <c r="IOF48" s="103"/>
      <c r="IOG48" s="103"/>
      <c r="IOH48" s="103"/>
      <c r="IOI48" s="103"/>
      <c r="IOJ48" s="103"/>
      <c r="IOK48" s="103"/>
      <c r="IOL48" s="103"/>
      <c r="IOM48" s="103"/>
      <c r="ION48" s="103"/>
      <c r="IOO48" s="103"/>
      <c r="IOP48" s="103"/>
      <c r="IOQ48" s="103"/>
      <c r="IOR48" s="103"/>
      <c r="IOS48" s="103"/>
      <c r="IOT48" s="103"/>
      <c r="IOU48" s="103"/>
      <c r="IOV48" s="103"/>
      <c r="IOW48" s="103"/>
      <c r="IOX48" s="103"/>
      <c r="IOY48" s="103"/>
      <c r="IOZ48" s="103"/>
      <c r="IPA48" s="103"/>
      <c r="IPB48" s="103"/>
      <c r="IPC48" s="103"/>
      <c r="IPD48" s="103"/>
      <c r="IPE48" s="103"/>
      <c r="IPF48" s="103"/>
      <c r="IPG48" s="103"/>
      <c r="IPH48" s="103"/>
      <c r="IPI48" s="103"/>
      <c r="IPJ48" s="103"/>
      <c r="IPK48" s="103"/>
      <c r="IPL48" s="103"/>
      <c r="IPM48" s="103"/>
      <c r="IPN48" s="103"/>
      <c r="IPO48" s="103"/>
      <c r="IPP48" s="103"/>
      <c r="IPQ48" s="103"/>
      <c r="IPR48" s="103"/>
      <c r="IPS48" s="103"/>
      <c r="IPT48" s="103"/>
      <c r="IPU48" s="103"/>
      <c r="IPV48" s="103"/>
      <c r="IPW48" s="103"/>
      <c r="IPX48" s="103"/>
      <c r="IPY48" s="103"/>
      <c r="IPZ48" s="103"/>
      <c r="IQA48" s="103"/>
      <c r="IQB48" s="103"/>
      <c r="IQC48" s="103"/>
      <c r="IQD48" s="103"/>
      <c r="IQE48" s="103"/>
      <c r="IQF48" s="103"/>
      <c r="IQG48" s="103"/>
      <c r="IQH48" s="103"/>
      <c r="IQI48" s="103"/>
      <c r="IQJ48" s="103"/>
      <c r="IQK48" s="103"/>
      <c r="IQL48" s="103"/>
      <c r="IQM48" s="103"/>
      <c r="IQN48" s="103"/>
      <c r="IQO48" s="103"/>
      <c r="IQP48" s="103"/>
      <c r="IQQ48" s="103"/>
      <c r="IQR48" s="103"/>
      <c r="IQS48" s="103"/>
      <c r="IQT48" s="103"/>
      <c r="IQU48" s="103"/>
      <c r="IQV48" s="103"/>
      <c r="IQW48" s="103"/>
      <c r="IQX48" s="103"/>
      <c r="IQY48" s="103"/>
      <c r="IQZ48" s="103"/>
      <c r="IRA48" s="103"/>
      <c r="IRB48" s="103"/>
      <c r="IRC48" s="103"/>
      <c r="IRD48" s="103"/>
      <c r="IRE48" s="103"/>
      <c r="IRF48" s="103"/>
      <c r="IRG48" s="103"/>
      <c r="IRH48" s="103"/>
      <c r="IRI48" s="103"/>
      <c r="IRJ48" s="103"/>
      <c r="IRK48" s="103"/>
      <c r="IRL48" s="103"/>
      <c r="IRM48" s="103"/>
      <c r="IRN48" s="103"/>
      <c r="IRO48" s="103"/>
      <c r="IRP48" s="103"/>
      <c r="IRQ48" s="103"/>
      <c r="IRR48" s="103"/>
      <c r="IRS48" s="103"/>
      <c r="IRT48" s="103"/>
      <c r="IRU48" s="103"/>
      <c r="IRV48" s="103"/>
      <c r="IRW48" s="103"/>
      <c r="IRX48" s="103"/>
      <c r="IRY48" s="103"/>
      <c r="IRZ48" s="103"/>
      <c r="ISA48" s="103"/>
      <c r="ISB48" s="103"/>
      <c r="ISC48" s="103"/>
      <c r="ISD48" s="103"/>
      <c r="ISE48" s="103"/>
      <c r="ISF48" s="103"/>
      <c r="ISG48" s="103"/>
      <c r="ISH48" s="103"/>
      <c r="ISI48" s="103"/>
      <c r="ISJ48" s="103"/>
      <c r="ISK48" s="103"/>
      <c r="ISL48" s="103"/>
      <c r="ISM48" s="103"/>
      <c r="ISN48" s="103"/>
      <c r="ISO48" s="103"/>
      <c r="ISP48" s="103"/>
      <c r="ISQ48" s="103"/>
      <c r="ISR48" s="103"/>
      <c r="ISS48" s="103"/>
      <c r="IST48" s="103"/>
      <c r="ISU48" s="103"/>
      <c r="ISV48" s="103"/>
      <c r="ISW48" s="103"/>
      <c r="ISX48" s="103"/>
      <c r="ISY48" s="103"/>
      <c r="ISZ48" s="103"/>
      <c r="ITA48" s="103"/>
      <c r="ITB48" s="103"/>
      <c r="ITC48" s="103"/>
      <c r="ITD48" s="103"/>
      <c r="ITE48" s="103"/>
      <c r="ITF48" s="103"/>
      <c r="ITG48" s="103"/>
      <c r="ITH48" s="103"/>
      <c r="ITI48" s="103"/>
      <c r="ITJ48" s="103"/>
      <c r="ITK48" s="103"/>
      <c r="ITL48" s="103"/>
      <c r="ITM48" s="103"/>
      <c r="ITN48" s="103"/>
      <c r="ITO48" s="103"/>
      <c r="ITP48" s="103"/>
      <c r="ITQ48" s="103"/>
      <c r="ITR48" s="103"/>
      <c r="ITS48" s="103"/>
      <c r="ITT48" s="103"/>
      <c r="ITU48" s="103"/>
      <c r="ITV48" s="103"/>
      <c r="ITW48" s="103"/>
      <c r="ITX48" s="103"/>
      <c r="ITY48" s="103"/>
      <c r="ITZ48" s="103"/>
      <c r="IUA48" s="103"/>
      <c r="IUB48" s="103"/>
      <c r="IUC48" s="103"/>
      <c r="IUD48" s="103"/>
      <c r="IUE48" s="103"/>
      <c r="IUF48" s="103"/>
      <c r="IUG48" s="103"/>
      <c r="IUH48" s="103"/>
      <c r="IUI48" s="103"/>
      <c r="IUJ48" s="103"/>
      <c r="IUK48" s="103"/>
      <c r="IUL48" s="103"/>
      <c r="IUM48" s="103"/>
      <c r="IUN48" s="103"/>
      <c r="IUO48" s="103"/>
      <c r="IUP48" s="103"/>
      <c r="IUQ48" s="103"/>
      <c r="IUR48" s="103"/>
      <c r="IUS48" s="103"/>
      <c r="IUT48" s="103"/>
      <c r="IUU48" s="103"/>
      <c r="IUV48" s="103"/>
      <c r="IUW48" s="103"/>
      <c r="IUX48" s="103"/>
      <c r="IUY48" s="103"/>
      <c r="IUZ48" s="103"/>
      <c r="IVA48" s="103"/>
      <c r="IVB48" s="103"/>
      <c r="IVC48" s="103"/>
      <c r="IVD48" s="103"/>
      <c r="IVE48" s="103"/>
      <c r="IVF48" s="103"/>
      <c r="IVG48" s="103"/>
      <c r="IVH48" s="103"/>
      <c r="IVI48" s="103"/>
      <c r="IVJ48" s="103"/>
      <c r="IVK48" s="103"/>
      <c r="IVL48" s="103"/>
      <c r="IVM48" s="103"/>
      <c r="IVN48" s="103"/>
      <c r="IVO48" s="103"/>
      <c r="IVP48" s="103"/>
      <c r="IVQ48" s="103"/>
      <c r="IVR48" s="103"/>
      <c r="IVS48" s="103"/>
      <c r="IVT48" s="103"/>
      <c r="IVU48" s="103"/>
      <c r="IVV48" s="103"/>
      <c r="IVW48" s="103"/>
      <c r="IVX48" s="103"/>
      <c r="IVY48" s="103"/>
      <c r="IVZ48" s="103"/>
      <c r="IWA48" s="103"/>
      <c r="IWB48" s="103"/>
      <c r="IWC48" s="103"/>
      <c r="IWD48" s="103"/>
      <c r="IWE48" s="103"/>
      <c r="IWF48" s="103"/>
      <c r="IWG48" s="103"/>
      <c r="IWH48" s="103"/>
      <c r="IWI48" s="103"/>
      <c r="IWJ48" s="103"/>
      <c r="IWK48" s="103"/>
      <c r="IWL48" s="103"/>
      <c r="IWM48" s="103"/>
      <c r="IWN48" s="103"/>
      <c r="IWO48" s="103"/>
      <c r="IWP48" s="103"/>
      <c r="IWQ48" s="103"/>
      <c r="IWR48" s="103"/>
      <c r="IWS48" s="103"/>
      <c r="IWT48" s="103"/>
      <c r="IWU48" s="103"/>
      <c r="IWV48" s="103"/>
      <c r="IWW48" s="103"/>
      <c r="IWX48" s="103"/>
      <c r="IWY48" s="103"/>
      <c r="IWZ48" s="103"/>
      <c r="IXA48" s="103"/>
      <c r="IXB48" s="103"/>
      <c r="IXC48" s="103"/>
      <c r="IXD48" s="103"/>
      <c r="IXE48" s="103"/>
      <c r="IXF48" s="103"/>
      <c r="IXG48" s="103"/>
      <c r="IXH48" s="103"/>
      <c r="IXI48" s="103"/>
      <c r="IXJ48" s="103"/>
      <c r="IXK48" s="103"/>
      <c r="IXL48" s="103"/>
      <c r="IXM48" s="103"/>
      <c r="IXN48" s="103"/>
      <c r="IXO48" s="103"/>
      <c r="IXP48" s="103"/>
      <c r="IXQ48" s="103"/>
      <c r="IXR48" s="103"/>
      <c r="IXS48" s="103"/>
      <c r="IXT48" s="103"/>
      <c r="IXU48" s="103"/>
      <c r="IXV48" s="103"/>
      <c r="IXW48" s="103"/>
      <c r="IXX48" s="103"/>
      <c r="IXY48" s="103"/>
      <c r="IXZ48" s="103"/>
      <c r="IYA48" s="103"/>
      <c r="IYB48" s="103"/>
      <c r="IYC48" s="103"/>
      <c r="IYD48" s="103"/>
      <c r="IYE48" s="103"/>
      <c r="IYF48" s="103"/>
      <c r="IYG48" s="103"/>
      <c r="IYH48" s="103"/>
      <c r="IYI48" s="103"/>
      <c r="IYJ48" s="103"/>
      <c r="IYK48" s="103"/>
      <c r="IYL48" s="103"/>
      <c r="IYM48" s="103"/>
      <c r="IYN48" s="103"/>
      <c r="IYO48" s="103"/>
      <c r="IYP48" s="103"/>
      <c r="IYQ48" s="103"/>
      <c r="IYR48" s="103"/>
      <c r="IYS48" s="103"/>
      <c r="IYT48" s="103"/>
      <c r="IYU48" s="103"/>
      <c r="IYV48" s="103"/>
      <c r="IYW48" s="103"/>
      <c r="IYX48" s="103"/>
      <c r="IYY48" s="103"/>
      <c r="IYZ48" s="103"/>
      <c r="IZA48" s="103"/>
      <c r="IZB48" s="103"/>
      <c r="IZC48" s="103"/>
      <c r="IZD48" s="103"/>
      <c r="IZE48" s="103"/>
      <c r="IZF48" s="103"/>
      <c r="IZG48" s="103"/>
      <c r="IZH48" s="103"/>
      <c r="IZI48" s="103"/>
      <c r="IZJ48" s="103"/>
      <c r="IZK48" s="103"/>
      <c r="IZL48" s="103"/>
      <c r="IZM48" s="103"/>
      <c r="IZN48" s="103"/>
      <c r="IZO48" s="103"/>
      <c r="IZP48" s="103"/>
      <c r="IZQ48" s="103"/>
      <c r="IZR48" s="103"/>
      <c r="IZS48" s="103"/>
      <c r="IZT48" s="103"/>
      <c r="IZU48" s="103"/>
      <c r="IZV48" s="103"/>
      <c r="IZW48" s="103"/>
      <c r="IZX48" s="103"/>
      <c r="IZY48" s="103"/>
      <c r="IZZ48" s="103"/>
      <c r="JAA48" s="103"/>
      <c r="JAB48" s="103"/>
      <c r="JAC48" s="103"/>
      <c r="JAD48" s="103"/>
      <c r="JAE48" s="103"/>
      <c r="JAF48" s="103"/>
      <c r="JAG48" s="103"/>
      <c r="JAH48" s="103"/>
      <c r="JAI48" s="103"/>
      <c r="JAJ48" s="103"/>
      <c r="JAK48" s="103"/>
      <c r="JAL48" s="103"/>
      <c r="JAM48" s="103"/>
      <c r="JAN48" s="103"/>
      <c r="JAO48" s="103"/>
      <c r="JAP48" s="103"/>
      <c r="JAQ48" s="103"/>
      <c r="JAR48" s="103"/>
      <c r="JAS48" s="103"/>
      <c r="JAT48" s="103"/>
      <c r="JAU48" s="103"/>
      <c r="JAV48" s="103"/>
      <c r="JAW48" s="103"/>
      <c r="JAX48" s="103"/>
      <c r="JAY48" s="103"/>
      <c r="JAZ48" s="103"/>
      <c r="JBA48" s="103"/>
      <c r="JBB48" s="103"/>
      <c r="JBC48" s="103"/>
      <c r="JBD48" s="103"/>
      <c r="JBE48" s="103"/>
      <c r="JBF48" s="103"/>
      <c r="JBG48" s="103"/>
      <c r="JBH48" s="103"/>
      <c r="JBI48" s="103"/>
      <c r="JBJ48" s="103"/>
      <c r="JBK48" s="103"/>
      <c r="JBL48" s="103"/>
      <c r="JBM48" s="103"/>
      <c r="JBN48" s="103"/>
      <c r="JBO48" s="103"/>
      <c r="JBP48" s="103"/>
      <c r="JBQ48" s="103"/>
      <c r="JBR48" s="103"/>
      <c r="JBS48" s="103"/>
      <c r="JBT48" s="103"/>
      <c r="JBU48" s="103"/>
      <c r="JBV48" s="103"/>
      <c r="JBW48" s="103"/>
      <c r="JBX48" s="103"/>
      <c r="JBY48" s="103"/>
      <c r="JBZ48" s="103"/>
      <c r="JCA48" s="103"/>
      <c r="JCB48" s="103"/>
      <c r="JCC48" s="103"/>
      <c r="JCD48" s="103"/>
      <c r="JCE48" s="103"/>
      <c r="JCF48" s="103"/>
      <c r="JCG48" s="103"/>
      <c r="JCH48" s="103"/>
      <c r="JCI48" s="103"/>
      <c r="JCJ48" s="103"/>
      <c r="JCK48" s="103"/>
      <c r="JCL48" s="103"/>
      <c r="JCM48" s="103"/>
      <c r="JCN48" s="103"/>
      <c r="JCO48" s="103"/>
      <c r="JCP48" s="103"/>
      <c r="JCQ48" s="103"/>
      <c r="JCR48" s="103"/>
      <c r="JCS48" s="103"/>
      <c r="JCT48" s="103"/>
      <c r="JCU48" s="103"/>
      <c r="JCV48" s="103"/>
      <c r="JCW48" s="103"/>
      <c r="JCX48" s="103"/>
      <c r="JCY48" s="103"/>
      <c r="JCZ48" s="103"/>
      <c r="JDA48" s="103"/>
      <c r="JDB48" s="103"/>
      <c r="JDC48" s="103"/>
      <c r="JDD48" s="103"/>
      <c r="JDE48" s="103"/>
      <c r="JDF48" s="103"/>
      <c r="JDG48" s="103"/>
      <c r="JDH48" s="103"/>
      <c r="JDI48" s="103"/>
      <c r="JDJ48" s="103"/>
      <c r="JDK48" s="103"/>
      <c r="JDL48" s="103"/>
      <c r="JDM48" s="103"/>
      <c r="JDN48" s="103"/>
      <c r="JDO48" s="103"/>
      <c r="JDP48" s="103"/>
      <c r="JDQ48" s="103"/>
      <c r="JDR48" s="103"/>
      <c r="JDS48" s="103"/>
      <c r="JDT48" s="103"/>
      <c r="JDU48" s="103"/>
      <c r="JDV48" s="103"/>
      <c r="JDW48" s="103"/>
      <c r="JDX48" s="103"/>
      <c r="JDY48" s="103"/>
      <c r="JDZ48" s="103"/>
      <c r="JEA48" s="103"/>
      <c r="JEB48" s="103"/>
      <c r="JEC48" s="103"/>
      <c r="JED48" s="103"/>
      <c r="JEE48" s="103"/>
      <c r="JEF48" s="103"/>
      <c r="JEG48" s="103"/>
      <c r="JEH48" s="103"/>
      <c r="JEI48" s="103"/>
      <c r="JEJ48" s="103"/>
      <c r="JEK48" s="103"/>
      <c r="JEL48" s="103"/>
      <c r="JEM48" s="103"/>
      <c r="JEN48" s="103"/>
      <c r="JEO48" s="103"/>
      <c r="JEP48" s="103"/>
      <c r="JEQ48" s="103"/>
      <c r="JER48" s="103"/>
      <c r="JES48" s="103"/>
      <c r="JET48" s="103"/>
      <c r="JEU48" s="103"/>
      <c r="JEV48" s="103"/>
      <c r="JEW48" s="103"/>
      <c r="JEX48" s="103"/>
      <c r="JEY48" s="103"/>
      <c r="JEZ48" s="103"/>
      <c r="JFA48" s="103"/>
      <c r="JFB48" s="103"/>
      <c r="JFC48" s="103"/>
      <c r="JFD48" s="103"/>
      <c r="JFE48" s="103"/>
      <c r="JFF48" s="103"/>
      <c r="JFG48" s="103"/>
      <c r="JFH48" s="103"/>
      <c r="JFI48" s="103"/>
      <c r="JFJ48" s="103"/>
      <c r="JFK48" s="103"/>
      <c r="JFL48" s="103"/>
      <c r="JFM48" s="103"/>
      <c r="JFN48" s="103"/>
      <c r="JFO48" s="103"/>
      <c r="JFP48" s="103"/>
      <c r="JFQ48" s="103"/>
      <c r="JFR48" s="103"/>
      <c r="JFS48" s="103"/>
      <c r="JFT48" s="103"/>
      <c r="JFU48" s="103"/>
      <c r="JFV48" s="103"/>
      <c r="JFW48" s="103"/>
      <c r="JFX48" s="103"/>
      <c r="JFY48" s="103"/>
      <c r="JFZ48" s="103"/>
      <c r="JGA48" s="103"/>
      <c r="JGB48" s="103"/>
      <c r="JGC48" s="103"/>
      <c r="JGD48" s="103"/>
      <c r="JGE48" s="103"/>
      <c r="JGF48" s="103"/>
      <c r="JGG48" s="103"/>
      <c r="JGH48" s="103"/>
      <c r="JGI48" s="103"/>
      <c r="JGJ48" s="103"/>
      <c r="JGK48" s="103"/>
      <c r="JGL48" s="103"/>
      <c r="JGM48" s="103"/>
      <c r="JGN48" s="103"/>
      <c r="JGO48" s="103"/>
      <c r="JGP48" s="103"/>
      <c r="JGQ48" s="103"/>
      <c r="JGR48" s="103"/>
      <c r="JGS48" s="103"/>
      <c r="JGT48" s="103"/>
      <c r="JGU48" s="103"/>
      <c r="JGV48" s="103"/>
      <c r="JGW48" s="103"/>
      <c r="JGX48" s="103"/>
      <c r="JGY48" s="103"/>
      <c r="JGZ48" s="103"/>
      <c r="JHA48" s="103"/>
      <c r="JHB48" s="103"/>
      <c r="JHC48" s="103"/>
      <c r="JHD48" s="103"/>
      <c r="JHE48" s="103"/>
      <c r="JHF48" s="103"/>
      <c r="JHG48" s="103"/>
      <c r="JHH48" s="103"/>
      <c r="JHI48" s="103"/>
      <c r="JHJ48" s="103"/>
      <c r="JHK48" s="103"/>
      <c r="JHL48" s="103"/>
      <c r="JHM48" s="103"/>
      <c r="JHN48" s="103"/>
      <c r="JHO48" s="103"/>
      <c r="JHP48" s="103"/>
      <c r="JHQ48" s="103"/>
      <c r="JHR48" s="103"/>
      <c r="JHS48" s="103"/>
      <c r="JHT48" s="103"/>
      <c r="JHU48" s="103"/>
      <c r="JHV48" s="103"/>
      <c r="JHW48" s="103"/>
      <c r="JHX48" s="103"/>
      <c r="JHY48" s="103"/>
      <c r="JHZ48" s="103"/>
      <c r="JIA48" s="103"/>
      <c r="JIB48" s="103"/>
      <c r="JIC48" s="103"/>
      <c r="JID48" s="103"/>
      <c r="JIE48" s="103"/>
      <c r="JIF48" s="103"/>
      <c r="JIG48" s="103"/>
      <c r="JIH48" s="103"/>
      <c r="JII48" s="103"/>
      <c r="JIJ48" s="103"/>
      <c r="JIK48" s="103"/>
      <c r="JIL48" s="103"/>
      <c r="JIM48" s="103"/>
      <c r="JIN48" s="103"/>
      <c r="JIO48" s="103"/>
      <c r="JIP48" s="103"/>
      <c r="JIQ48" s="103"/>
      <c r="JIR48" s="103"/>
      <c r="JIS48" s="103"/>
      <c r="JIT48" s="103"/>
      <c r="JIU48" s="103"/>
      <c r="JIV48" s="103"/>
      <c r="JIW48" s="103"/>
      <c r="JIX48" s="103"/>
      <c r="JIY48" s="103"/>
      <c r="JIZ48" s="103"/>
      <c r="JJA48" s="103"/>
      <c r="JJB48" s="103"/>
      <c r="JJC48" s="103"/>
      <c r="JJD48" s="103"/>
      <c r="JJE48" s="103"/>
      <c r="JJF48" s="103"/>
      <c r="JJG48" s="103"/>
      <c r="JJH48" s="103"/>
      <c r="JJI48" s="103"/>
      <c r="JJJ48" s="103"/>
      <c r="JJK48" s="103"/>
      <c r="JJL48" s="103"/>
      <c r="JJM48" s="103"/>
      <c r="JJN48" s="103"/>
      <c r="JJO48" s="103"/>
      <c r="JJP48" s="103"/>
      <c r="JJQ48" s="103"/>
      <c r="JJR48" s="103"/>
      <c r="JJS48" s="103"/>
      <c r="JJT48" s="103"/>
      <c r="JJU48" s="103"/>
      <c r="JJV48" s="103"/>
      <c r="JJW48" s="103"/>
      <c r="JJX48" s="103"/>
      <c r="JJY48" s="103"/>
      <c r="JJZ48" s="103"/>
      <c r="JKA48" s="103"/>
      <c r="JKB48" s="103"/>
      <c r="JKC48" s="103"/>
      <c r="JKD48" s="103"/>
      <c r="JKE48" s="103"/>
      <c r="JKF48" s="103"/>
      <c r="JKG48" s="103"/>
      <c r="JKH48" s="103"/>
      <c r="JKI48" s="103"/>
      <c r="JKJ48" s="103"/>
      <c r="JKK48" s="103"/>
      <c r="JKL48" s="103"/>
      <c r="JKM48" s="103"/>
      <c r="JKN48" s="103"/>
      <c r="JKO48" s="103"/>
      <c r="JKP48" s="103"/>
      <c r="JKQ48" s="103"/>
      <c r="JKR48" s="103"/>
      <c r="JKS48" s="103"/>
      <c r="JKT48" s="103"/>
      <c r="JKU48" s="103"/>
      <c r="JKV48" s="103"/>
      <c r="JKW48" s="103"/>
      <c r="JKX48" s="103"/>
      <c r="JKY48" s="103"/>
      <c r="JKZ48" s="103"/>
      <c r="JLA48" s="103"/>
      <c r="JLB48" s="103"/>
      <c r="JLC48" s="103"/>
      <c r="JLD48" s="103"/>
      <c r="JLE48" s="103"/>
      <c r="JLF48" s="103"/>
      <c r="JLG48" s="103"/>
      <c r="JLH48" s="103"/>
      <c r="JLI48" s="103"/>
      <c r="JLJ48" s="103"/>
      <c r="JLK48" s="103"/>
      <c r="JLL48" s="103"/>
      <c r="JLM48" s="103"/>
      <c r="JLN48" s="103"/>
      <c r="JLO48" s="103"/>
      <c r="JLP48" s="103"/>
      <c r="JLQ48" s="103"/>
      <c r="JLR48" s="103"/>
      <c r="JLS48" s="103"/>
      <c r="JLT48" s="103"/>
      <c r="JLU48" s="103"/>
      <c r="JLV48" s="103"/>
      <c r="JLW48" s="103"/>
      <c r="JLX48" s="103"/>
      <c r="JLY48" s="103"/>
      <c r="JLZ48" s="103"/>
      <c r="JMA48" s="103"/>
      <c r="JMB48" s="103"/>
      <c r="JMC48" s="103"/>
      <c r="JMD48" s="103"/>
      <c r="JME48" s="103"/>
      <c r="JMF48" s="103"/>
      <c r="JMG48" s="103"/>
      <c r="JMH48" s="103"/>
      <c r="JMI48" s="103"/>
      <c r="JMJ48" s="103"/>
      <c r="JMK48" s="103"/>
      <c r="JML48" s="103"/>
      <c r="JMM48" s="103"/>
      <c r="JMN48" s="103"/>
      <c r="JMO48" s="103"/>
      <c r="JMP48" s="103"/>
      <c r="JMQ48" s="103"/>
      <c r="JMR48" s="103"/>
      <c r="JMS48" s="103"/>
      <c r="JMT48" s="103"/>
      <c r="JMU48" s="103"/>
      <c r="JMV48" s="103"/>
      <c r="JMW48" s="103"/>
      <c r="JMX48" s="103"/>
      <c r="JMY48" s="103"/>
      <c r="JMZ48" s="103"/>
      <c r="JNA48" s="103"/>
      <c r="JNB48" s="103"/>
      <c r="JNC48" s="103"/>
      <c r="JND48" s="103"/>
      <c r="JNE48" s="103"/>
      <c r="JNF48" s="103"/>
      <c r="JNG48" s="103"/>
      <c r="JNH48" s="103"/>
      <c r="JNI48" s="103"/>
      <c r="JNJ48" s="103"/>
      <c r="JNK48" s="103"/>
      <c r="JNL48" s="103"/>
      <c r="JNM48" s="103"/>
      <c r="JNN48" s="103"/>
      <c r="JNO48" s="103"/>
      <c r="JNP48" s="103"/>
      <c r="JNQ48" s="103"/>
      <c r="JNR48" s="103"/>
      <c r="JNS48" s="103"/>
      <c r="JNT48" s="103"/>
      <c r="JNU48" s="103"/>
      <c r="JNV48" s="103"/>
      <c r="JNW48" s="103"/>
      <c r="JNX48" s="103"/>
      <c r="JNY48" s="103"/>
      <c r="JNZ48" s="103"/>
      <c r="JOA48" s="103"/>
      <c r="JOB48" s="103"/>
      <c r="JOC48" s="103"/>
      <c r="JOD48" s="103"/>
      <c r="JOE48" s="103"/>
      <c r="JOF48" s="103"/>
      <c r="JOG48" s="103"/>
      <c r="JOH48" s="103"/>
      <c r="JOI48" s="103"/>
      <c r="JOJ48" s="103"/>
      <c r="JOK48" s="103"/>
      <c r="JOL48" s="103"/>
      <c r="JOM48" s="103"/>
      <c r="JON48" s="103"/>
      <c r="JOO48" s="103"/>
      <c r="JOP48" s="103"/>
      <c r="JOQ48" s="103"/>
      <c r="JOR48" s="103"/>
      <c r="JOS48" s="103"/>
      <c r="JOT48" s="103"/>
      <c r="JOU48" s="103"/>
      <c r="JOV48" s="103"/>
      <c r="JOW48" s="103"/>
      <c r="JOX48" s="103"/>
      <c r="JOY48" s="103"/>
      <c r="JOZ48" s="103"/>
      <c r="JPA48" s="103"/>
      <c r="JPB48" s="103"/>
      <c r="JPC48" s="103"/>
      <c r="JPD48" s="103"/>
      <c r="JPE48" s="103"/>
      <c r="JPF48" s="103"/>
      <c r="JPG48" s="103"/>
      <c r="JPH48" s="103"/>
      <c r="JPI48" s="103"/>
      <c r="JPJ48" s="103"/>
      <c r="JPK48" s="103"/>
      <c r="JPL48" s="103"/>
      <c r="JPM48" s="103"/>
      <c r="JPN48" s="103"/>
      <c r="JPO48" s="103"/>
      <c r="JPP48" s="103"/>
      <c r="JPQ48" s="103"/>
      <c r="JPR48" s="103"/>
      <c r="JPS48" s="103"/>
      <c r="JPT48" s="103"/>
      <c r="JPU48" s="103"/>
      <c r="JPV48" s="103"/>
      <c r="JPW48" s="103"/>
      <c r="JPX48" s="103"/>
      <c r="JPY48" s="103"/>
      <c r="JPZ48" s="103"/>
      <c r="JQA48" s="103"/>
      <c r="JQB48" s="103"/>
      <c r="JQC48" s="103"/>
      <c r="JQD48" s="103"/>
      <c r="JQE48" s="103"/>
      <c r="JQF48" s="103"/>
      <c r="JQG48" s="103"/>
      <c r="JQH48" s="103"/>
      <c r="JQI48" s="103"/>
      <c r="JQJ48" s="103"/>
      <c r="JQK48" s="103"/>
      <c r="JQL48" s="103"/>
      <c r="JQM48" s="103"/>
      <c r="JQN48" s="103"/>
      <c r="JQO48" s="103"/>
      <c r="JQP48" s="103"/>
      <c r="JQQ48" s="103"/>
      <c r="JQR48" s="103"/>
      <c r="JQS48" s="103"/>
      <c r="JQT48" s="103"/>
      <c r="JQU48" s="103"/>
      <c r="JQV48" s="103"/>
      <c r="JQW48" s="103"/>
      <c r="JQX48" s="103"/>
      <c r="JQY48" s="103"/>
      <c r="JQZ48" s="103"/>
      <c r="JRA48" s="103"/>
      <c r="JRB48" s="103"/>
      <c r="JRC48" s="103"/>
      <c r="JRD48" s="103"/>
      <c r="JRE48" s="103"/>
      <c r="JRF48" s="103"/>
      <c r="JRG48" s="103"/>
      <c r="JRH48" s="103"/>
      <c r="JRI48" s="103"/>
      <c r="JRJ48" s="103"/>
      <c r="JRK48" s="103"/>
      <c r="JRL48" s="103"/>
      <c r="JRM48" s="103"/>
      <c r="JRN48" s="103"/>
      <c r="JRO48" s="103"/>
      <c r="JRP48" s="103"/>
      <c r="JRQ48" s="103"/>
      <c r="JRR48" s="103"/>
      <c r="JRS48" s="103"/>
      <c r="JRT48" s="103"/>
      <c r="JRU48" s="103"/>
      <c r="JRV48" s="103"/>
      <c r="JRW48" s="103"/>
      <c r="JRX48" s="103"/>
      <c r="JRY48" s="103"/>
      <c r="JRZ48" s="103"/>
      <c r="JSA48" s="103"/>
      <c r="JSB48" s="103"/>
      <c r="JSC48" s="103"/>
      <c r="JSD48" s="103"/>
      <c r="JSE48" s="103"/>
      <c r="JSF48" s="103"/>
      <c r="JSG48" s="103"/>
      <c r="JSH48" s="103"/>
      <c r="JSI48" s="103"/>
      <c r="JSJ48" s="103"/>
      <c r="JSK48" s="103"/>
      <c r="JSL48" s="103"/>
      <c r="JSM48" s="103"/>
      <c r="JSN48" s="103"/>
      <c r="JSO48" s="103"/>
      <c r="JSP48" s="103"/>
      <c r="JSQ48" s="103"/>
      <c r="JSR48" s="103"/>
      <c r="JSS48" s="103"/>
      <c r="JST48" s="103"/>
      <c r="JSU48" s="103"/>
      <c r="JSV48" s="103"/>
      <c r="JSW48" s="103"/>
      <c r="JSX48" s="103"/>
      <c r="JSY48" s="103"/>
      <c r="JSZ48" s="103"/>
      <c r="JTA48" s="103"/>
      <c r="JTB48" s="103"/>
      <c r="JTC48" s="103"/>
      <c r="JTD48" s="103"/>
      <c r="JTE48" s="103"/>
      <c r="JTF48" s="103"/>
      <c r="JTG48" s="103"/>
      <c r="JTH48" s="103"/>
      <c r="JTI48" s="103"/>
      <c r="JTJ48" s="103"/>
      <c r="JTK48" s="103"/>
      <c r="JTL48" s="103"/>
      <c r="JTM48" s="103"/>
      <c r="JTN48" s="103"/>
      <c r="JTO48" s="103"/>
      <c r="JTP48" s="103"/>
      <c r="JTQ48" s="103"/>
      <c r="JTR48" s="103"/>
      <c r="JTS48" s="103"/>
      <c r="JTT48" s="103"/>
      <c r="JTU48" s="103"/>
      <c r="JTV48" s="103"/>
      <c r="JTW48" s="103"/>
      <c r="JTX48" s="103"/>
      <c r="JTY48" s="103"/>
      <c r="JTZ48" s="103"/>
      <c r="JUA48" s="103"/>
      <c r="JUB48" s="103"/>
      <c r="JUC48" s="103"/>
      <c r="JUD48" s="103"/>
      <c r="JUE48" s="103"/>
      <c r="JUF48" s="103"/>
      <c r="JUG48" s="103"/>
      <c r="JUH48" s="103"/>
      <c r="JUI48" s="103"/>
      <c r="JUJ48" s="103"/>
      <c r="JUK48" s="103"/>
      <c r="JUL48" s="103"/>
      <c r="JUM48" s="103"/>
      <c r="JUN48" s="103"/>
      <c r="JUO48" s="103"/>
      <c r="JUP48" s="103"/>
      <c r="JUQ48" s="103"/>
      <c r="JUR48" s="103"/>
      <c r="JUS48" s="103"/>
      <c r="JUT48" s="103"/>
      <c r="JUU48" s="103"/>
      <c r="JUV48" s="103"/>
      <c r="JUW48" s="103"/>
      <c r="JUX48" s="103"/>
      <c r="JUY48" s="103"/>
      <c r="JUZ48" s="103"/>
      <c r="JVA48" s="103"/>
      <c r="JVB48" s="103"/>
      <c r="JVC48" s="103"/>
      <c r="JVD48" s="103"/>
      <c r="JVE48" s="103"/>
      <c r="JVF48" s="103"/>
      <c r="JVG48" s="103"/>
      <c r="JVH48" s="103"/>
      <c r="JVI48" s="103"/>
      <c r="JVJ48" s="103"/>
      <c r="JVK48" s="103"/>
      <c r="JVL48" s="103"/>
      <c r="JVM48" s="103"/>
      <c r="JVN48" s="103"/>
      <c r="JVO48" s="103"/>
      <c r="JVP48" s="103"/>
      <c r="JVQ48" s="103"/>
      <c r="JVR48" s="103"/>
      <c r="JVS48" s="103"/>
      <c r="JVT48" s="103"/>
      <c r="JVU48" s="103"/>
      <c r="JVV48" s="103"/>
      <c r="JVW48" s="103"/>
      <c r="JVX48" s="103"/>
      <c r="JVY48" s="103"/>
      <c r="JVZ48" s="103"/>
      <c r="JWA48" s="103"/>
      <c r="JWB48" s="103"/>
      <c r="JWC48" s="103"/>
      <c r="JWD48" s="103"/>
      <c r="JWE48" s="103"/>
      <c r="JWF48" s="103"/>
      <c r="JWG48" s="103"/>
      <c r="JWH48" s="103"/>
      <c r="JWI48" s="103"/>
      <c r="JWJ48" s="103"/>
      <c r="JWK48" s="103"/>
      <c r="JWL48" s="103"/>
      <c r="JWM48" s="103"/>
      <c r="JWN48" s="103"/>
      <c r="JWO48" s="103"/>
      <c r="JWP48" s="103"/>
      <c r="JWQ48" s="103"/>
      <c r="JWR48" s="103"/>
      <c r="JWS48" s="103"/>
      <c r="JWT48" s="103"/>
      <c r="JWU48" s="103"/>
      <c r="JWV48" s="103"/>
      <c r="JWW48" s="103"/>
      <c r="JWX48" s="103"/>
      <c r="JWY48" s="103"/>
      <c r="JWZ48" s="103"/>
      <c r="JXA48" s="103"/>
      <c r="JXB48" s="103"/>
      <c r="JXC48" s="103"/>
      <c r="JXD48" s="103"/>
      <c r="JXE48" s="103"/>
      <c r="JXF48" s="103"/>
      <c r="JXG48" s="103"/>
      <c r="JXH48" s="103"/>
      <c r="JXI48" s="103"/>
      <c r="JXJ48" s="103"/>
      <c r="JXK48" s="103"/>
      <c r="JXL48" s="103"/>
      <c r="JXM48" s="103"/>
      <c r="JXN48" s="103"/>
      <c r="JXO48" s="103"/>
      <c r="JXP48" s="103"/>
      <c r="JXQ48" s="103"/>
      <c r="JXR48" s="103"/>
      <c r="JXS48" s="103"/>
      <c r="JXT48" s="103"/>
      <c r="JXU48" s="103"/>
      <c r="JXV48" s="103"/>
      <c r="JXW48" s="103"/>
      <c r="JXX48" s="103"/>
      <c r="JXY48" s="103"/>
      <c r="JXZ48" s="103"/>
      <c r="JYA48" s="103"/>
      <c r="JYB48" s="103"/>
      <c r="JYC48" s="103"/>
      <c r="JYD48" s="103"/>
      <c r="JYE48" s="103"/>
      <c r="JYF48" s="103"/>
      <c r="JYG48" s="103"/>
      <c r="JYH48" s="103"/>
      <c r="JYI48" s="103"/>
      <c r="JYJ48" s="103"/>
      <c r="JYK48" s="103"/>
      <c r="JYL48" s="103"/>
      <c r="JYM48" s="103"/>
      <c r="JYN48" s="103"/>
      <c r="JYO48" s="103"/>
      <c r="JYP48" s="103"/>
      <c r="JYQ48" s="103"/>
      <c r="JYR48" s="103"/>
      <c r="JYS48" s="103"/>
      <c r="JYT48" s="103"/>
      <c r="JYU48" s="103"/>
      <c r="JYV48" s="103"/>
      <c r="JYW48" s="103"/>
      <c r="JYX48" s="103"/>
      <c r="JYY48" s="103"/>
      <c r="JYZ48" s="103"/>
      <c r="JZA48" s="103"/>
      <c r="JZB48" s="103"/>
      <c r="JZC48" s="103"/>
      <c r="JZD48" s="103"/>
      <c r="JZE48" s="103"/>
      <c r="JZF48" s="103"/>
      <c r="JZG48" s="103"/>
      <c r="JZH48" s="103"/>
      <c r="JZI48" s="103"/>
      <c r="JZJ48" s="103"/>
      <c r="JZK48" s="103"/>
      <c r="JZL48" s="103"/>
      <c r="JZM48" s="103"/>
      <c r="JZN48" s="103"/>
      <c r="JZO48" s="103"/>
      <c r="JZP48" s="103"/>
      <c r="JZQ48" s="103"/>
      <c r="JZR48" s="103"/>
      <c r="JZS48" s="103"/>
      <c r="JZT48" s="103"/>
      <c r="JZU48" s="103"/>
      <c r="JZV48" s="103"/>
      <c r="JZW48" s="103"/>
      <c r="JZX48" s="103"/>
      <c r="JZY48" s="103"/>
      <c r="JZZ48" s="103"/>
      <c r="KAA48" s="103"/>
      <c r="KAB48" s="103"/>
      <c r="KAC48" s="103"/>
      <c r="KAD48" s="103"/>
      <c r="KAE48" s="103"/>
      <c r="KAF48" s="103"/>
      <c r="KAG48" s="103"/>
      <c r="KAH48" s="103"/>
      <c r="KAI48" s="103"/>
      <c r="KAJ48" s="103"/>
      <c r="KAK48" s="103"/>
      <c r="KAL48" s="103"/>
      <c r="KAM48" s="103"/>
      <c r="KAN48" s="103"/>
      <c r="KAO48" s="103"/>
      <c r="KAP48" s="103"/>
      <c r="KAQ48" s="103"/>
      <c r="KAR48" s="103"/>
      <c r="KAS48" s="103"/>
      <c r="KAT48" s="103"/>
      <c r="KAU48" s="103"/>
      <c r="KAV48" s="103"/>
      <c r="KAW48" s="103"/>
      <c r="KAX48" s="103"/>
      <c r="KAY48" s="103"/>
      <c r="KAZ48" s="103"/>
      <c r="KBA48" s="103"/>
      <c r="KBB48" s="103"/>
      <c r="KBC48" s="103"/>
      <c r="KBD48" s="103"/>
      <c r="KBE48" s="103"/>
      <c r="KBF48" s="103"/>
      <c r="KBG48" s="103"/>
      <c r="KBH48" s="103"/>
      <c r="KBI48" s="103"/>
      <c r="KBJ48" s="103"/>
      <c r="KBK48" s="103"/>
      <c r="KBL48" s="103"/>
      <c r="KBM48" s="103"/>
      <c r="KBN48" s="103"/>
      <c r="KBO48" s="103"/>
      <c r="KBP48" s="103"/>
      <c r="KBQ48" s="103"/>
      <c r="KBR48" s="103"/>
      <c r="KBS48" s="103"/>
      <c r="KBT48" s="103"/>
      <c r="KBU48" s="103"/>
      <c r="KBV48" s="103"/>
      <c r="KBW48" s="103"/>
      <c r="KBX48" s="103"/>
      <c r="KBY48" s="103"/>
      <c r="KBZ48" s="103"/>
      <c r="KCA48" s="103"/>
      <c r="KCB48" s="103"/>
      <c r="KCC48" s="103"/>
      <c r="KCD48" s="103"/>
      <c r="KCE48" s="103"/>
      <c r="KCF48" s="103"/>
      <c r="KCG48" s="103"/>
      <c r="KCH48" s="103"/>
      <c r="KCI48" s="103"/>
      <c r="KCJ48" s="103"/>
      <c r="KCK48" s="103"/>
      <c r="KCL48" s="103"/>
      <c r="KCM48" s="103"/>
      <c r="KCN48" s="103"/>
      <c r="KCO48" s="103"/>
      <c r="KCP48" s="103"/>
      <c r="KCQ48" s="103"/>
      <c r="KCR48" s="103"/>
      <c r="KCS48" s="103"/>
      <c r="KCT48" s="103"/>
      <c r="KCU48" s="103"/>
      <c r="KCV48" s="103"/>
      <c r="KCW48" s="103"/>
      <c r="KCX48" s="103"/>
      <c r="KCY48" s="103"/>
      <c r="KCZ48" s="103"/>
      <c r="KDA48" s="103"/>
      <c r="KDB48" s="103"/>
      <c r="KDC48" s="103"/>
      <c r="KDD48" s="103"/>
      <c r="KDE48" s="103"/>
      <c r="KDF48" s="103"/>
      <c r="KDG48" s="103"/>
      <c r="KDH48" s="103"/>
      <c r="KDI48" s="103"/>
      <c r="KDJ48" s="103"/>
      <c r="KDK48" s="103"/>
      <c r="KDL48" s="103"/>
      <c r="KDM48" s="103"/>
      <c r="KDN48" s="103"/>
      <c r="KDO48" s="103"/>
      <c r="KDP48" s="103"/>
      <c r="KDQ48" s="103"/>
      <c r="KDR48" s="103"/>
      <c r="KDS48" s="103"/>
      <c r="KDT48" s="103"/>
      <c r="KDU48" s="103"/>
      <c r="KDV48" s="103"/>
      <c r="KDW48" s="103"/>
      <c r="KDX48" s="103"/>
      <c r="KDY48" s="103"/>
      <c r="KDZ48" s="103"/>
      <c r="KEA48" s="103"/>
      <c r="KEB48" s="103"/>
      <c r="KEC48" s="103"/>
      <c r="KED48" s="103"/>
      <c r="KEE48" s="103"/>
      <c r="KEF48" s="103"/>
      <c r="KEG48" s="103"/>
      <c r="KEH48" s="103"/>
      <c r="KEI48" s="103"/>
      <c r="KEJ48" s="103"/>
      <c r="KEK48" s="103"/>
      <c r="KEL48" s="103"/>
      <c r="KEM48" s="103"/>
      <c r="KEN48" s="103"/>
      <c r="KEO48" s="103"/>
      <c r="KEP48" s="103"/>
      <c r="KEQ48" s="103"/>
      <c r="KER48" s="103"/>
      <c r="KES48" s="103"/>
      <c r="KET48" s="103"/>
      <c r="KEU48" s="103"/>
      <c r="KEV48" s="103"/>
      <c r="KEW48" s="103"/>
      <c r="KEX48" s="103"/>
      <c r="KEY48" s="103"/>
      <c r="KEZ48" s="103"/>
      <c r="KFA48" s="103"/>
      <c r="KFB48" s="103"/>
      <c r="KFC48" s="103"/>
      <c r="KFD48" s="103"/>
      <c r="KFE48" s="103"/>
      <c r="KFF48" s="103"/>
      <c r="KFG48" s="103"/>
      <c r="KFH48" s="103"/>
      <c r="KFI48" s="103"/>
      <c r="KFJ48" s="103"/>
      <c r="KFK48" s="103"/>
      <c r="KFL48" s="103"/>
      <c r="KFM48" s="103"/>
      <c r="KFN48" s="103"/>
      <c r="KFO48" s="103"/>
      <c r="KFP48" s="103"/>
      <c r="KFQ48" s="103"/>
      <c r="KFR48" s="103"/>
      <c r="KFS48" s="103"/>
      <c r="KFT48" s="103"/>
      <c r="KFU48" s="103"/>
      <c r="KFV48" s="103"/>
      <c r="KFW48" s="103"/>
      <c r="KFX48" s="103"/>
      <c r="KFY48" s="103"/>
      <c r="KFZ48" s="103"/>
      <c r="KGA48" s="103"/>
      <c r="KGB48" s="103"/>
      <c r="KGC48" s="103"/>
      <c r="KGD48" s="103"/>
      <c r="KGE48" s="103"/>
      <c r="KGF48" s="103"/>
      <c r="KGG48" s="103"/>
      <c r="KGH48" s="103"/>
      <c r="KGI48" s="103"/>
      <c r="KGJ48" s="103"/>
      <c r="KGK48" s="103"/>
      <c r="KGL48" s="103"/>
      <c r="KGM48" s="103"/>
      <c r="KGN48" s="103"/>
      <c r="KGO48" s="103"/>
      <c r="KGP48" s="103"/>
      <c r="KGQ48" s="103"/>
      <c r="KGR48" s="103"/>
      <c r="KGS48" s="103"/>
      <c r="KGT48" s="103"/>
      <c r="KGU48" s="103"/>
      <c r="KGV48" s="103"/>
      <c r="KGW48" s="103"/>
      <c r="KGX48" s="103"/>
      <c r="KGY48" s="103"/>
      <c r="KGZ48" s="103"/>
      <c r="KHA48" s="103"/>
      <c r="KHB48" s="103"/>
      <c r="KHC48" s="103"/>
      <c r="KHD48" s="103"/>
      <c r="KHE48" s="103"/>
      <c r="KHF48" s="103"/>
      <c r="KHG48" s="103"/>
      <c r="KHH48" s="103"/>
      <c r="KHI48" s="103"/>
      <c r="KHJ48" s="103"/>
      <c r="KHK48" s="103"/>
      <c r="KHL48" s="103"/>
      <c r="KHM48" s="103"/>
      <c r="KHN48" s="103"/>
      <c r="KHO48" s="103"/>
      <c r="KHP48" s="103"/>
      <c r="KHQ48" s="103"/>
      <c r="KHR48" s="103"/>
      <c r="KHS48" s="103"/>
      <c r="KHT48" s="103"/>
      <c r="KHU48" s="103"/>
      <c r="KHV48" s="103"/>
      <c r="KHW48" s="103"/>
      <c r="KHX48" s="103"/>
      <c r="KHY48" s="103"/>
      <c r="KHZ48" s="103"/>
      <c r="KIA48" s="103"/>
      <c r="KIB48" s="103"/>
      <c r="KIC48" s="103"/>
      <c r="KID48" s="103"/>
      <c r="KIE48" s="103"/>
      <c r="KIF48" s="103"/>
      <c r="KIG48" s="103"/>
      <c r="KIH48" s="103"/>
      <c r="KII48" s="103"/>
      <c r="KIJ48" s="103"/>
      <c r="KIK48" s="103"/>
      <c r="KIL48" s="103"/>
      <c r="KIM48" s="103"/>
      <c r="KIN48" s="103"/>
      <c r="KIO48" s="103"/>
      <c r="KIP48" s="103"/>
      <c r="KIQ48" s="103"/>
      <c r="KIR48" s="103"/>
      <c r="KIS48" s="103"/>
      <c r="KIT48" s="103"/>
      <c r="KIU48" s="103"/>
      <c r="KIV48" s="103"/>
      <c r="KIW48" s="103"/>
      <c r="KIX48" s="103"/>
      <c r="KIY48" s="103"/>
      <c r="KIZ48" s="103"/>
      <c r="KJA48" s="103"/>
      <c r="KJB48" s="103"/>
      <c r="KJC48" s="103"/>
      <c r="KJD48" s="103"/>
      <c r="KJE48" s="103"/>
      <c r="KJF48" s="103"/>
      <c r="KJG48" s="103"/>
      <c r="KJH48" s="103"/>
      <c r="KJI48" s="103"/>
      <c r="KJJ48" s="103"/>
      <c r="KJK48" s="103"/>
      <c r="KJL48" s="103"/>
      <c r="KJM48" s="103"/>
      <c r="KJN48" s="103"/>
      <c r="KJO48" s="103"/>
      <c r="KJP48" s="103"/>
      <c r="KJQ48" s="103"/>
      <c r="KJR48" s="103"/>
      <c r="KJS48" s="103"/>
      <c r="KJT48" s="103"/>
      <c r="KJU48" s="103"/>
      <c r="KJV48" s="103"/>
      <c r="KJW48" s="103"/>
      <c r="KJX48" s="103"/>
      <c r="KJY48" s="103"/>
      <c r="KJZ48" s="103"/>
      <c r="KKA48" s="103"/>
      <c r="KKB48" s="103"/>
      <c r="KKC48" s="103"/>
      <c r="KKD48" s="103"/>
      <c r="KKE48" s="103"/>
      <c r="KKF48" s="103"/>
      <c r="KKG48" s="103"/>
      <c r="KKH48" s="103"/>
      <c r="KKI48" s="103"/>
      <c r="KKJ48" s="103"/>
      <c r="KKK48" s="103"/>
      <c r="KKL48" s="103"/>
      <c r="KKM48" s="103"/>
      <c r="KKN48" s="103"/>
      <c r="KKO48" s="103"/>
      <c r="KKP48" s="103"/>
      <c r="KKQ48" s="103"/>
      <c r="KKR48" s="103"/>
      <c r="KKS48" s="103"/>
      <c r="KKT48" s="103"/>
      <c r="KKU48" s="103"/>
      <c r="KKV48" s="103"/>
      <c r="KKW48" s="103"/>
      <c r="KKX48" s="103"/>
      <c r="KKY48" s="103"/>
      <c r="KKZ48" s="103"/>
      <c r="KLA48" s="103"/>
      <c r="KLB48" s="103"/>
      <c r="KLC48" s="103"/>
      <c r="KLD48" s="103"/>
      <c r="KLE48" s="103"/>
      <c r="KLF48" s="103"/>
      <c r="KLG48" s="103"/>
      <c r="KLH48" s="103"/>
      <c r="KLI48" s="103"/>
      <c r="KLJ48" s="103"/>
      <c r="KLK48" s="103"/>
      <c r="KLL48" s="103"/>
      <c r="KLM48" s="103"/>
      <c r="KLN48" s="103"/>
      <c r="KLO48" s="103"/>
      <c r="KLP48" s="103"/>
      <c r="KLQ48" s="103"/>
      <c r="KLR48" s="103"/>
      <c r="KLS48" s="103"/>
      <c r="KLT48" s="103"/>
      <c r="KLU48" s="103"/>
      <c r="KLV48" s="103"/>
      <c r="KLW48" s="103"/>
      <c r="KLX48" s="103"/>
      <c r="KLY48" s="103"/>
      <c r="KLZ48" s="103"/>
      <c r="KMA48" s="103"/>
      <c r="KMB48" s="103"/>
      <c r="KMC48" s="103"/>
      <c r="KMD48" s="103"/>
      <c r="KME48" s="103"/>
      <c r="KMF48" s="103"/>
      <c r="KMG48" s="103"/>
      <c r="KMH48" s="103"/>
      <c r="KMI48" s="103"/>
      <c r="KMJ48" s="103"/>
      <c r="KMK48" s="103"/>
      <c r="KML48" s="103"/>
      <c r="KMM48" s="103"/>
      <c r="KMN48" s="103"/>
      <c r="KMO48" s="103"/>
      <c r="KMP48" s="103"/>
      <c r="KMQ48" s="103"/>
      <c r="KMR48" s="103"/>
      <c r="KMS48" s="103"/>
      <c r="KMT48" s="103"/>
      <c r="KMU48" s="103"/>
      <c r="KMV48" s="103"/>
      <c r="KMW48" s="103"/>
      <c r="KMX48" s="103"/>
      <c r="KMY48" s="103"/>
      <c r="KMZ48" s="103"/>
      <c r="KNA48" s="103"/>
      <c r="KNB48" s="103"/>
      <c r="KNC48" s="103"/>
      <c r="KND48" s="103"/>
      <c r="KNE48" s="103"/>
      <c r="KNF48" s="103"/>
      <c r="KNG48" s="103"/>
      <c r="KNH48" s="103"/>
      <c r="KNI48" s="103"/>
      <c r="KNJ48" s="103"/>
      <c r="KNK48" s="103"/>
      <c r="KNL48" s="103"/>
      <c r="KNM48" s="103"/>
      <c r="KNN48" s="103"/>
      <c r="KNO48" s="103"/>
      <c r="KNP48" s="103"/>
      <c r="KNQ48" s="103"/>
      <c r="KNR48" s="103"/>
      <c r="KNS48" s="103"/>
      <c r="KNT48" s="103"/>
      <c r="KNU48" s="103"/>
      <c r="KNV48" s="103"/>
      <c r="KNW48" s="103"/>
      <c r="KNX48" s="103"/>
      <c r="KNY48" s="103"/>
      <c r="KNZ48" s="103"/>
      <c r="KOA48" s="103"/>
      <c r="KOB48" s="103"/>
      <c r="KOC48" s="103"/>
      <c r="KOD48" s="103"/>
      <c r="KOE48" s="103"/>
      <c r="KOF48" s="103"/>
      <c r="KOG48" s="103"/>
      <c r="KOH48" s="103"/>
      <c r="KOI48" s="103"/>
      <c r="KOJ48" s="103"/>
      <c r="KOK48" s="103"/>
      <c r="KOL48" s="103"/>
      <c r="KOM48" s="103"/>
      <c r="KON48" s="103"/>
      <c r="KOO48" s="103"/>
      <c r="KOP48" s="103"/>
      <c r="KOQ48" s="103"/>
      <c r="KOR48" s="103"/>
      <c r="KOS48" s="103"/>
      <c r="KOT48" s="103"/>
      <c r="KOU48" s="103"/>
      <c r="KOV48" s="103"/>
      <c r="KOW48" s="103"/>
      <c r="KOX48" s="103"/>
      <c r="KOY48" s="103"/>
      <c r="KOZ48" s="103"/>
      <c r="KPA48" s="103"/>
      <c r="KPB48" s="103"/>
      <c r="KPC48" s="103"/>
      <c r="KPD48" s="103"/>
      <c r="KPE48" s="103"/>
      <c r="KPF48" s="103"/>
      <c r="KPG48" s="103"/>
      <c r="KPH48" s="103"/>
      <c r="KPI48" s="103"/>
      <c r="KPJ48" s="103"/>
      <c r="KPK48" s="103"/>
      <c r="KPL48" s="103"/>
      <c r="KPM48" s="103"/>
      <c r="KPN48" s="103"/>
      <c r="KPO48" s="103"/>
      <c r="KPP48" s="103"/>
      <c r="KPQ48" s="103"/>
      <c r="KPR48" s="103"/>
      <c r="KPS48" s="103"/>
      <c r="KPT48" s="103"/>
      <c r="KPU48" s="103"/>
      <c r="KPV48" s="103"/>
      <c r="KPW48" s="103"/>
      <c r="KPX48" s="103"/>
      <c r="KPY48" s="103"/>
      <c r="KPZ48" s="103"/>
      <c r="KQA48" s="103"/>
      <c r="KQB48" s="103"/>
      <c r="KQC48" s="103"/>
      <c r="KQD48" s="103"/>
      <c r="KQE48" s="103"/>
      <c r="KQF48" s="103"/>
      <c r="KQG48" s="103"/>
      <c r="KQH48" s="103"/>
      <c r="KQI48" s="103"/>
      <c r="KQJ48" s="103"/>
      <c r="KQK48" s="103"/>
      <c r="KQL48" s="103"/>
      <c r="KQM48" s="103"/>
      <c r="KQN48" s="103"/>
      <c r="KQO48" s="103"/>
      <c r="KQP48" s="103"/>
      <c r="KQQ48" s="103"/>
      <c r="KQR48" s="103"/>
      <c r="KQS48" s="103"/>
      <c r="KQT48" s="103"/>
      <c r="KQU48" s="103"/>
      <c r="KQV48" s="103"/>
      <c r="KQW48" s="103"/>
      <c r="KQX48" s="103"/>
      <c r="KQY48" s="103"/>
      <c r="KQZ48" s="103"/>
      <c r="KRA48" s="103"/>
      <c r="KRB48" s="103"/>
      <c r="KRC48" s="103"/>
      <c r="KRD48" s="103"/>
      <c r="KRE48" s="103"/>
      <c r="KRF48" s="103"/>
      <c r="KRG48" s="103"/>
      <c r="KRH48" s="103"/>
      <c r="KRI48" s="103"/>
      <c r="KRJ48" s="103"/>
      <c r="KRK48" s="103"/>
      <c r="KRL48" s="103"/>
      <c r="KRM48" s="103"/>
      <c r="KRN48" s="103"/>
      <c r="KRO48" s="103"/>
      <c r="KRP48" s="103"/>
      <c r="KRQ48" s="103"/>
      <c r="KRR48" s="103"/>
      <c r="KRS48" s="103"/>
      <c r="KRT48" s="103"/>
      <c r="KRU48" s="103"/>
      <c r="KRV48" s="103"/>
      <c r="KRW48" s="103"/>
      <c r="KRX48" s="103"/>
      <c r="KRY48" s="103"/>
      <c r="KRZ48" s="103"/>
      <c r="KSA48" s="103"/>
      <c r="KSB48" s="103"/>
      <c r="KSC48" s="103"/>
      <c r="KSD48" s="103"/>
      <c r="KSE48" s="103"/>
      <c r="KSF48" s="103"/>
      <c r="KSG48" s="103"/>
      <c r="KSH48" s="103"/>
      <c r="KSI48" s="103"/>
      <c r="KSJ48" s="103"/>
      <c r="KSK48" s="103"/>
      <c r="KSL48" s="103"/>
      <c r="KSM48" s="103"/>
      <c r="KSN48" s="103"/>
      <c r="KSO48" s="103"/>
      <c r="KSP48" s="103"/>
      <c r="KSQ48" s="103"/>
      <c r="KSR48" s="103"/>
      <c r="KSS48" s="103"/>
      <c r="KST48" s="103"/>
      <c r="KSU48" s="103"/>
      <c r="KSV48" s="103"/>
      <c r="KSW48" s="103"/>
      <c r="KSX48" s="103"/>
      <c r="KSY48" s="103"/>
      <c r="KSZ48" s="103"/>
      <c r="KTA48" s="103"/>
      <c r="KTB48" s="103"/>
      <c r="KTC48" s="103"/>
      <c r="KTD48" s="103"/>
      <c r="KTE48" s="103"/>
      <c r="KTF48" s="103"/>
      <c r="KTG48" s="103"/>
      <c r="KTH48" s="103"/>
      <c r="KTI48" s="103"/>
      <c r="KTJ48" s="103"/>
      <c r="KTK48" s="103"/>
      <c r="KTL48" s="103"/>
      <c r="KTM48" s="103"/>
      <c r="KTN48" s="103"/>
      <c r="KTO48" s="103"/>
      <c r="KTP48" s="103"/>
      <c r="KTQ48" s="103"/>
      <c r="KTR48" s="103"/>
      <c r="KTS48" s="103"/>
      <c r="KTT48" s="103"/>
      <c r="KTU48" s="103"/>
      <c r="KTV48" s="103"/>
      <c r="KTW48" s="103"/>
      <c r="KTX48" s="103"/>
      <c r="KTY48" s="103"/>
      <c r="KTZ48" s="103"/>
      <c r="KUA48" s="103"/>
      <c r="KUB48" s="103"/>
      <c r="KUC48" s="103"/>
      <c r="KUD48" s="103"/>
      <c r="KUE48" s="103"/>
      <c r="KUF48" s="103"/>
      <c r="KUG48" s="103"/>
      <c r="KUH48" s="103"/>
      <c r="KUI48" s="103"/>
      <c r="KUJ48" s="103"/>
      <c r="KUK48" s="103"/>
      <c r="KUL48" s="103"/>
      <c r="KUM48" s="103"/>
      <c r="KUN48" s="103"/>
      <c r="KUO48" s="103"/>
      <c r="KUP48" s="103"/>
      <c r="KUQ48" s="103"/>
      <c r="KUR48" s="103"/>
      <c r="KUS48" s="103"/>
      <c r="KUT48" s="103"/>
      <c r="KUU48" s="103"/>
      <c r="KUV48" s="103"/>
      <c r="KUW48" s="103"/>
      <c r="KUX48" s="103"/>
      <c r="KUY48" s="103"/>
      <c r="KUZ48" s="103"/>
      <c r="KVA48" s="103"/>
      <c r="KVB48" s="103"/>
      <c r="KVC48" s="103"/>
      <c r="KVD48" s="103"/>
      <c r="KVE48" s="103"/>
      <c r="KVF48" s="103"/>
      <c r="KVG48" s="103"/>
      <c r="KVH48" s="103"/>
      <c r="KVI48" s="103"/>
      <c r="KVJ48" s="103"/>
      <c r="KVK48" s="103"/>
      <c r="KVL48" s="103"/>
      <c r="KVM48" s="103"/>
      <c r="KVN48" s="103"/>
      <c r="KVO48" s="103"/>
      <c r="KVP48" s="103"/>
      <c r="KVQ48" s="103"/>
      <c r="KVR48" s="103"/>
      <c r="KVS48" s="103"/>
      <c r="KVT48" s="103"/>
      <c r="KVU48" s="103"/>
      <c r="KVV48" s="103"/>
      <c r="KVW48" s="103"/>
      <c r="KVX48" s="103"/>
      <c r="KVY48" s="103"/>
      <c r="KVZ48" s="103"/>
      <c r="KWA48" s="103"/>
      <c r="KWB48" s="103"/>
      <c r="KWC48" s="103"/>
      <c r="KWD48" s="103"/>
      <c r="KWE48" s="103"/>
      <c r="KWF48" s="103"/>
      <c r="KWG48" s="103"/>
      <c r="KWH48" s="103"/>
      <c r="KWI48" s="103"/>
      <c r="KWJ48" s="103"/>
      <c r="KWK48" s="103"/>
      <c r="KWL48" s="103"/>
      <c r="KWM48" s="103"/>
      <c r="KWN48" s="103"/>
      <c r="KWO48" s="103"/>
      <c r="KWP48" s="103"/>
      <c r="KWQ48" s="103"/>
      <c r="KWR48" s="103"/>
      <c r="KWS48" s="103"/>
      <c r="KWT48" s="103"/>
      <c r="KWU48" s="103"/>
      <c r="KWV48" s="103"/>
      <c r="KWW48" s="103"/>
      <c r="KWX48" s="103"/>
      <c r="KWY48" s="103"/>
      <c r="KWZ48" s="103"/>
      <c r="KXA48" s="103"/>
      <c r="KXB48" s="103"/>
      <c r="KXC48" s="103"/>
      <c r="KXD48" s="103"/>
      <c r="KXE48" s="103"/>
      <c r="KXF48" s="103"/>
      <c r="KXG48" s="103"/>
      <c r="KXH48" s="103"/>
      <c r="KXI48" s="103"/>
      <c r="KXJ48" s="103"/>
      <c r="KXK48" s="103"/>
      <c r="KXL48" s="103"/>
      <c r="KXM48" s="103"/>
      <c r="KXN48" s="103"/>
      <c r="KXO48" s="103"/>
      <c r="KXP48" s="103"/>
      <c r="KXQ48" s="103"/>
      <c r="KXR48" s="103"/>
      <c r="KXS48" s="103"/>
      <c r="KXT48" s="103"/>
      <c r="KXU48" s="103"/>
      <c r="KXV48" s="103"/>
      <c r="KXW48" s="103"/>
      <c r="KXX48" s="103"/>
      <c r="KXY48" s="103"/>
      <c r="KXZ48" s="103"/>
      <c r="KYA48" s="103"/>
      <c r="KYB48" s="103"/>
      <c r="KYC48" s="103"/>
      <c r="KYD48" s="103"/>
      <c r="KYE48" s="103"/>
      <c r="KYF48" s="103"/>
      <c r="KYG48" s="103"/>
      <c r="KYH48" s="103"/>
      <c r="KYI48" s="103"/>
      <c r="KYJ48" s="103"/>
      <c r="KYK48" s="103"/>
      <c r="KYL48" s="103"/>
      <c r="KYM48" s="103"/>
      <c r="KYN48" s="103"/>
      <c r="KYO48" s="103"/>
      <c r="KYP48" s="103"/>
      <c r="KYQ48" s="103"/>
      <c r="KYR48" s="103"/>
      <c r="KYS48" s="103"/>
      <c r="KYT48" s="103"/>
      <c r="KYU48" s="103"/>
      <c r="KYV48" s="103"/>
      <c r="KYW48" s="103"/>
      <c r="KYX48" s="103"/>
      <c r="KYY48" s="103"/>
      <c r="KYZ48" s="103"/>
      <c r="KZA48" s="103"/>
      <c r="KZB48" s="103"/>
      <c r="KZC48" s="103"/>
      <c r="KZD48" s="103"/>
      <c r="KZE48" s="103"/>
      <c r="KZF48" s="103"/>
      <c r="KZG48" s="103"/>
      <c r="KZH48" s="103"/>
      <c r="KZI48" s="103"/>
      <c r="KZJ48" s="103"/>
      <c r="KZK48" s="103"/>
      <c r="KZL48" s="103"/>
      <c r="KZM48" s="103"/>
      <c r="KZN48" s="103"/>
      <c r="KZO48" s="103"/>
      <c r="KZP48" s="103"/>
      <c r="KZQ48" s="103"/>
      <c r="KZR48" s="103"/>
      <c r="KZS48" s="103"/>
      <c r="KZT48" s="103"/>
      <c r="KZU48" s="103"/>
      <c r="KZV48" s="103"/>
      <c r="KZW48" s="103"/>
      <c r="KZX48" s="103"/>
      <c r="KZY48" s="103"/>
      <c r="KZZ48" s="103"/>
      <c r="LAA48" s="103"/>
      <c r="LAB48" s="103"/>
      <c r="LAC48" s="103"/>
      <c r="LAD48" s="103"/>
      <c r="LAE48" s="103"/>
      <c r="LAF48" s="103"/>
      <c r="LAG48" s="103"/>
      <c r="LAH48" s="103"/>
      <c r="LAI48" s="103"/>
      <c r="LAJ48" s="103"/>
      <c r="LAK48" s="103"/>
      <c r="LAL48" s="103"/>
      <c r="LAM48" s="103"/>
      <c r="LAN48" s="103"/>
      <c r="LAO48" s="103"/>
      <c r="LAP48" s="103"/>
      <c r="LAQ48" s="103"/>
      <c r="LAR48" s="103"/>
      <c r="LAS48" s="103"/>
      <c r="LAT48" s="103"/>
      <c r="LAU48" s="103"/>
      <c r="LAV48" s="103"/>
      <c r="LAW48" s="103"/>
      <c r="LAX48" s="103"/>
      <c r="LAY48" s="103"/>
      <c r="LAZ48" s="103"/>
      <c r="LBA48" s="103"/>
      <c r="LBB48" s="103"/>
      <c r="LBC48" s="103"/>
      <c r="LBD48" s="103"/>
      <c r="LBE48" s="103"/>
      <c r="LBF48" s="103"/>
      <c r="LBG48" s="103"/>
      <c r="LBH48" s="103"/>
      <c r="LBI48" s="103"/>
      <c r="LBJ48" s="103"/>
      <c r="LBK48" s="103"/>
      <c r="LBL48" s="103"/>
      <c r="LBM48" s="103"/>
      <c r="LBN48" s="103"/>
      <c r="LBO48" s="103"/>
      <c r="LBP48" s="103"/>
      <c r="LBQ48" s="103"/>
      <c r="LBR48" s="103"/>
      <c r="LBS48" s="103"/>
      <c r="LBT48" s="103"/>
      <c r="LBU48" s="103"/>
      <c r="LBV48" s="103"/>
      <c r="LBW48" s="103"/>
      <c r="LBX48" s="103"/>
      <c r="LBY48" s="103"/>
      <c r="LBZ48" s="103"/>
      <c r="LCA48" s="103"/>
      <c r="LCB48" s="103"/>
      <c r="LCC48" s="103"/>
      <c r="LCD48" s="103"/>
      <c r="LCE48" s="103"/>
      <c r="LCF48" s="103"/>
      <c r="LCG48" s="103"/>
      <c r="LCH48" s="103"/>
      <c r="LCI48" s="103"/>
      <c r="LCJ48" s="103"/>
      <c r="LCK48" s="103"/>
      <c r="LCL48" s="103"/>
      <c r="LCM48" s="103"/>
      <c r="LCN48" s="103"/>
      <c r="LCO48" s="103"/>
      <c r="LCP48" s="103"/>
      <c r="LCQ48" s="103"/>
      <c r="LCR48" s="103"/>
      <c r="LCS48" s="103"/>
      <c r="LCT48" s="103"/>
      <c r="LCU48" s="103"/>
      <c r="LCV48" s="103"/>
      <c r="LCW48" s="103"/>
      <c r="LCX48" s="103"/>
      <c r="LCY48" s="103"/>
      <c r="LCZ48" s="103"/>
      <c r="LDA48" s="103"/>
      <c r="LDB48" s="103"/>
      <c r="LDC48" s="103"/>
      <c r="LDD48" s="103"/>
      <c r="LDE48" s="103"/>
      <c r="LDF48" s="103"/>
      <c r="LDG48" s="103"/>
      <c r="LDH48" s="103"/>
      <c r="LDI48" s="103"/>
      <c r="LDJ48" s="103"/>
      <c r="LDK48" s="103"/>
      <c r="LDL48" s="103"/>
      <c r="LDM48" s="103"/>
      <c r="LDN48" s="103"/>
      <c r="LDO48" s="103"/>
      <c r="LDP48" s="103"/>
      <c r="LDQ48" s="103"/>
      <c r="LDR48" s="103"/>
      <c r="LDS48" s="103"/>
      <c r="LDT48" s="103"/>
      <c r="LDU48" s="103"/>
      <c r="LDV48" s="103"/>
      <c r="LDW48" s="103"/>
      <c r="LDX48" s="103"/>
      <c r="LDY48" s="103"/>
      <c r="LDZ48" s="103"/>
      <c r="LEA48" s="103"/>
      <c r="LEB48" s="103"/>
      <c r="LEC48" s="103"/>
      <c r="LED48" s="103"/>
      <c r="LEE48" s="103"/>
      <c r="LEF48" s="103"/>
      <c r="LEG48" s="103"/>
      <c r="LEH48" s="103"/>
      <c r="LEI48" s="103"/>
      <c r="LEJ48" s="103"/>
      <c r="LEK48" s="103"/>
      <c r="LEL48" s="103"/>
      <c r="LEM48" s="103"/>
      <c r="LEN48" s="103"/>
      <c r="LEO48" s="103"/>
      <c r="LEP48" s="103"/>
      <c r="LEQ48" s="103"/>
      <c r="LER48" s="103"/>
      <c r="LES48" s="103"/>
      <c r="LET48" s="103"/>
      <c r="LEU48" s="103"/>
      <c r="LEV48" s="103"/>
      <c r="LEW48" s="103"/>
      <c r="LEX48" s="103"/>
      <c r="LEY48" s="103"/>
      <c r="LEZ48" s="103"/>
      <c r="LFA48" s="103"/>
      <c r="LFB48" s="103"/>
      <c r="LFC48" s="103"/>
      <c r="LFD48" s="103"/>
      <c r="LFE48" s="103"/>
      <c r="LFF48" s="103"/>
      <c r="LFG48" s="103"/>
      <c r="LFH48" s="103"/>
      <c r="LFI48" s="103"/>
      <c r="LFJ48" s="103"/>
      <c r="LFK48" s="103"/>
      <c r="LFL48" s="103"/>
      <c r="LFM48" s="103"/>
      <c r="LFN48" s="103"/>
      <c r="LFO48" s="103"/>
      <c r="LFP48" s="103"/>
      <c r="LFQ48" s="103"/>
      <c r="LFR48" s="103"/>
      <c r="LFS48" s="103"/>
      <c r="LFT48" s="103"/>
      <c r="LFU48" s="103"/>
      <c r="LFV48" s="103"/>
      <c r="LFW48" s="103"/>
      <c r="LFX48" s="103"/>
      <c r="LFY48" s="103"/>
      <c r="LFZ48" s="103"/>
      <c r="LGA48" s="103"/>
      <c r="LGB48" s="103"/>
      <c r="LGC48" s="103"/>
      <c r="LGD48" s="103"/>
      <c r="LGE48" s="103"/>
      <c r="LGF48" s="103"/>
      <c r="LGG48" s="103"/>
      <c r="LGH48" s="103"/>
      <c r="LGI48" s="103"/>
      <c r="LGJ48" s="103"/>
      <c r="LGK48" s="103"/>
      <c r="LGL48" s="103"/>
      <c r="LGM48" s="103"/>
      <c r="LGN48" s="103"/>
      <c r="LGO48" s="103"/>
      <c r="LGP48" s="103"/>
      <c r="LGQ48" s="103"/>
      <c r="LGR48" s="103"/>
      <c r="LGS48" s="103"/>
      <c r="LGT48" s="103"/>
      <c r="LGU48" s="103"/>
      <c r="LGV48" s="103"/>
      <c r="LGW48" s="103"/>
      <c r="LGX48" s="103"/>
      <c r="LGY48" s="103"/>
      <c r="LGZ48" s="103"/>
      <c r="LHA48" s="103"/>
      <c r="LHB48" s="103"/>
      <c r="LHC48" s="103"/>
      <c r="LHD48" s="103"/>
      <c r="LHE48" s="103"/>
      <c r="LHF48" s="103"/>
      <c r="LHG48" s="103"/>
      <c r="LHH48" s="103"/>
      <c r="LHI48" s="103"/>
      <c r="LHJ48" s="103"/>
      <c r="LHK48" s="103"/>
      <c r="LHL48" s="103"/>
      <c r="LHM48" s="103"/>
      <c r="LHN48" s="103"/>
      <c r="LHO48" s="103"/>
      <c r="LHP48" s="103"/>
      <c r="LHQ48" s="103"/>
      <c r="LHR48" s="103"/>
      <c r="LHS48" s="103"/>
      <c r="LHT48" s="103"/>
      <c r="LHU48" s="103"/>
      <c r="LHV48" s="103"/>
      <c r="LHW48" s="103"/>
      <c r="LHX48" s="103"/>
      <c r="LHY48" s="103"/>
      <c r="LHZ48" s="103"/>
      <c r="LIA48" s="103"/>
      <c r="LIB48" s="103"/>
      <c r="LIC48" s="103"/>
      <c r="LID48" s="103"/>
      <c r="LIE48" s="103"/>
      <c r="LIF48" s="103"/>
      <c r="LIG48" s="103"/>
      <c r="LIH48" s="103"/>
      <c r="LII48" s="103"/>
      <c r="LIJ48" s="103"/>
      <c r="LIK48" s="103"/>
      <c r="LIL48" s="103"/>
      <c r="LIM48" s="103"/>
      <c r="LIN48" s="103"/>
      <c r="LIO48" s="103"/>
      <c r="LIP48" s="103"/>
      <c r="LIQ48" s="103"/>
      <c r="LIR48" s="103"/>
      <c r="LIS48" s="103"/>
      <c r="LIT48" s="103"/>
      <c r="LIU48" s="103"/>
      <c r="LIV48" s="103"/>
      <c r="LIW48" s="103"/>
      <c r="LIX48" s="103"/>
      <c r="LIY48" s="103"/>
      <c r="LIZ48" s="103"/>
      <c r="LJA48" s="103"/>
      <c r="LJB48" s="103"/>
      <c r="LJC48" s="103"/>
      <c r="LJD48" s="103"/>
      <c r="LJE48" s="103"/>
      <c r="LJF48" s="103"/>
      <c r="LJG48" s="103"/>
      <c r="LJH48" s="103"/>
      <c r="LJI48" s="103"/>
      <c r="LJJ48" s="103"/>
      <c r="LJK48" s="103"/>
      <c r="LJL48" s="103"/>
      <c r="LJM48" s="103"/>
      <c r="LJN48" s="103"/>
      <c r="LJO48" s="103"/>
      <c r="LJP48" s="103"/>
      <c r="LJQ48" s="103"/>
      <c r="LJR48" s="103"/>
      <c r="LJS48" s="103"/>
      <c r="LJT48" s="103"/>
      <c r="LJU48" s="103"/>
      <c r="LJV48" s="103"/>
      <c r="LJW48" s="103"/>
      <c r="LJX48" s="103"/>
      <c r="LJY48" s="103"/>
      <c r="LJZ48" s="103"/>
      <c r="LKA48" s="103"/>
      <c r="LKB48" s="103"/>
      <c r="LKC48" s="103"/>
      <c r="LKD48" s="103"/>
      <c r="LKE48" s="103"/>
      <c r="LKF48" s="103"/>
      <c r="LKG48" s="103"/>
      <c r="LKH48" s="103"/>
      <c r="LKI48" s="103"/>
      <c r="LKJ48" s="103"/>
      <c r="LKK48" s="103"/>
      <c r="LKL48" s="103"/>
      <c r="LKM48" s="103"/>
      <c r="LKN48" s="103"/>
      <c r="LKO48" s="103"/>
      <c r="LKP48" s="103"/>
      <c r="LKQ48" s="103"/>
      <c r="LKR48" s="103"/>
      <c r="LKS48" s="103"/>
      <c r="LKT48" s="103"/>
      <c r="LKU48" s="103"/>
      <c r="LKV48" s="103"/>
      <c r="LKW48" s="103"/>
      <c r="LKX48" s="103"/>
      <c r="LKY48" s="103"/>
      <c r="LKZ48" s="103"/>
      <c r="LLA48" s="103"/>
      <c r="LLB48" s="103"/>
      <c r="LLC48" s="103"/>
      <c r="LLD48" s="103"/>
      <c r="LLE48" s="103"/>
      <c r="LLF48" s="103"/>
      <c r="LLG48" s="103"/>
      <c r="LLH48" s="103"/>
      <c r="LLI48" s="103"/>
      <c r="LLJ48" s="103"/>
      <c r="LLK48" s="103"/>
      <c r="LLL48" s="103"/>
      <c r="LLM48" s="103"/>
      <c r="LLN48" s="103"/>
      <c r="LLO48" s="103"/>
      <c r="LLP48" s="103"/>
      <c r="LLQ48" s="103"/>
      <c r="LLR48" s="103"/>
      <c r="LLS48" s="103"/>
      <c r="LLT48" s="103"/>
      <c r="LLU48" s="103"/>
      <c r="LLV48" s="103"/>
      <c r="LLW48" s="103"/>
      <c r="LLX48" s="103"/>
      <c r="LLY48" s="103"/>
      <c r="LLZ48" s="103"/>
      <c r="LMA48" s="103"/>
      <c r="LMB48" s="103"/>
      <c r="LMC48" s="103"/>
      <c r="LMD48" s="103"/>
      <c r="LME48" s="103"/>
      <c r="LMF48" s="103"/>
      <c r="LMG48" s="103"/>
      <c r="LMH48" s="103"/>
      <c r="LMI48" s="103"/>
      <c r="LMJ48" s="103"/>
      <c r="LMK48" s="103"/>
      <c r="LML48" s="103"/>
      <c r="LMM48" s="103"/>
      <c r="LMN48" s="103"/>
      <c r="LMO48" s="103"/>
      <c r="LMP48" s="103"/>
      <c r="LMQ48" s="103"/>
      <c r="LMR48" s="103"/>
      <c r="LMS48" s="103"/>
      <c r="LMT48" s="103"/>
      <c r="LMU48" s="103"/>
      <c r="LMV48" s="103"/>
      <c r="LMW48" s="103"/>
      <c r="LMX48" s="103"/>
      <c r="LMY48" s="103"/>
      <c r="LMZ48" s="103"/>
      <c r="LNA48" s="103"/>
      <c r="LNB48" s="103"/>
      <c r="LNC48" s="103"/>
      <c r="LND48" s="103"/>
      <c r="LNE48" s="103"/>
      <c r="LNF48" s="103"/>
      <c r="LNG48" s="103"/>
      <c r="LNH48" s="103"/>
      <c r="LNI48" s="103"/>
      <c r="LNJ48" s="103"/>
      <c r="LNK48" s="103"/>
      <c r="LNL48" s="103"/>
      <c r="LNM48" s="103"/>
      <c r="LNN48" s="103"/>
      <c r="LNO48" s="103"/>
      <c r="LNP48" s="103"/>
      <c r="LNQ48" s="103"/>
      <c r="LNR48" s="103"/>
      <c r="LNS48" s="103"/>
      <c r="LNT48" s="103"/>
      <c r="LNU48" s="103"/>
      <c r="LNV48" s="103"/>
      <c r="LNW48" s="103"/>
      <c r="LNX48" s="103"/>
      <c r="LNY48" s="103"/>
      <c r="LNZ48" s="103"/>
      <c r="LOA48" s="103"/>
      <c r="LOB48" s="103"/>
      <c r="LOC48" s="103"/>
      <c r="LOD48" s="103"/>
      <c r="LOE48" s="103"/>
      <c r="LOF48" s="103"/>
      <c r="LOG48" s="103"/>
      <c r="LOH48" s="103"/>
      <c r="LOI48" s="103"/>
      <c r="LOJ48" s="103"/>
      <c r="LOK48" s="103"/>
      <c r="LOL48" s="103"/>
      <c r="LOM48" s="103"/>
      <c r="LON48" s="103"/>
      <c r="LOO48" s="103"/>
      <c r="LOP48" s="103"/>
      <c r="LOQ48" s="103"/>
      <c r="LOR48" s="103"/>
      <c r="LOS48" s="103"/>
      <c r="LOT48" s="103"/>
      <c r="LOU48" s="103"/>
      <c r="LOV48" s="103"/>
      <c r="LOW48" s="103"/>
      <c r="LOX48" s="103"/>
      <c r="LOY48" s="103"/>
      <c r="LOZ48" s="103"/>
      <c r="LPA48" s="103"/>
      <c r="LPB48" s="103"/>
      <c r="LPC48" s="103"/>
      <c r="LPD48" s="103"/>
      <c r="LPE48" s="103"/>
      <c r="LPF48" s="103"/>
      <c r="LPG48" s="103"/>
      <c r="LPH48" s="103"/>
      <c r="LPI48" s="103"/>
      <c r="LPJ48" s="103"/>
      <c r="LPK48" s="103"/>
      <c r="LPL48" s="103"/>
      <c r="LPM48" s="103"/>
      <c r="LPN48" s="103"/>
      <c r="LPO48" s="103"/>
      <c r="LPP48" s="103"/>
      <c r="LPQ48" s="103"/>
      <c r="LPR48" s="103"/>
      <c r="LPS48" s="103"/>
      <c r="LPT48" s="103"/>
      <c r="LPU48" s="103"/>
      <c r="LPV48" s="103"/>
      <c r="LPW48" s="103"/>
      <c r="LPX48" s="103"/>
      <c r="LPY48" s="103"/>
      <c r="LPZ48" s="103"/>
      <c r="LQA48" s="103"/>
      <c r="LQB48" s="103"/>
      <c r="LQC48" s="103"/>
      <c r="LQD48" s="103"/>
      <c r="LQE48" s="103"/>
      <c r="LQF48" s="103"/>
      <c r="LQG48" s="103"/>
      <c r="LQH48" s="103"/>
      <c r="LQI48" s="103"/>
      <c r="LQJ48" s="103"/>
      <c r="LQK48" s="103"/>
      <c r="LQL48" s="103"/>
      <c r="LQM48" s="103"/>
      <c r="LQN48" s="103"/>
      <c r="LQO48" s="103"/>
      <c r="LQP48" s="103"/>
      <c r="LQQ48" s="103"/>
      <c r="LQR48" s="103"/>
      <c r="LQS48" s="103"/>
      <c r="LQT48" s="103"/>
      <c r="LQU48" s="103"/>
      <c r="LQV48" s="103"/>
      <c r="LQW48" s="103"/>
      <c r="LQX48" s="103"/>
      <c r="LQY48" s="103"/>
      <c r="LQZ48" s="103"/>
      <c r="LRA48" s="103"/>
      <c r="LRB48" s="103"/>
      <c r="LRC48" s="103"/>
      <c r="LRD48" s="103"/>
      <c r="LRE48" s="103"/>
      <c r="LRF48" s="103"/>
      <c r="LRG48" s="103"/>
      <c r="LRH48" s="103"/>
      <c r="LRI48" s="103"/>
      <c r="LRJ48" s="103"/>
      <c r="LRK48" s="103"/>
      <c r="LRL48" s="103"/>
      <c r="LRM48" s="103"/>
      <c r="LRN48" s="103"/>
      <c r="LRO48" s="103"/>
      <c r="LRP48" s="103"/>
      <c r="LRQ48" s="103"/>
      <c r="LRR48" s="103"/>
      <c r="LRS48" s="103"/>
      <c r="LRT48" s="103"/>
      <c r="LRU48" s="103"/>
      <c r="LRV48" s="103"/>
      <c r="LRW48" s="103"/>
      <c r="LRX48" s="103"/>
      <c r="LRY48" s="103"/>
      <c r="LRZ48" s="103"/>
      <c r="LSA48" s="103"/>
      <c r="LSB48" s="103"/>
      <c r="LSC48" s="103"/>
      <c r="LSD48" s="103"/>
      <c r="LSE48" s="103"/>
      <c r="LSF48" s="103"/>
      <c r="LSG48" s="103"/>
      <c r="LSH48" s="103"/>
      <c r="LSI48" s="103"/>
      <c r="LSJ48" s="103"/>
      <c r="LSK48" s="103"/>
      <c r="LSL48" s="103"/>
      <c r="LSM48" s="103"/>
      <c r="LSN48" s="103"/>
      <c r="LSO48" s="103"/>
      <c r="LSP48" s="103"/>
      <c r="LSQ48" s="103"/>
      <c r="LSR48" s="103"/>
      <c r="LSS48" s="103"/>
      <c r="LST48" s="103"/>
      <c r="LSU48" s="103"/>
      <c r="LSV48" s="103"/>
      <c r="LSW48" s="103"/>
      <c r="LSX48" s="103"/>
      <c r="LSY48" s="103"/>
      <c r="LSZ48" s="103"/>
      <c r="LTA48" s="103"/>
      <c r="LTB48" s="103"/>
      <c r="LTC48" s="103"/>
      <c r="LTD48" s="103"/>
      <c r="LTE48" s="103"/>
      <c r="LTF48" s="103"/>
      <c r="LTG48" s="103"/>
      <c r="LTH48" s="103"/>
      <c r="LTI48" s="103"/>
      <c r="LTJ48" s="103"/>
      <c r="LTK48" s="103"/>
      <c r="LTL48" s="103"/>
      <c r="LTM48" s="103"/>
      <c r="LTN48" s="103"/>
      <c r="LTO48" s="103"/>
      <c r="LTP48" s="103"/>
      <c r="LTQ48" s="103"/>
      <c r="LTR48" s="103"/>
      <c r="LTS48" s="103"/>
      <c r="LTT48" s="103"/>
      <c r="LTU48" s="103"/>
      <c r="LTV48" s="103"/>
      <c r="LTW48" s="103"/>
      <c r="LTX48" s="103"/>
      <c r="LTY48" s="103"/>
      <c r="LTZ48" s="103"/>
      <c r="LUA48" s="103"/>
      <c r="LUB48" s="103"/>
      <c r="LUC48" s="103"/>
      <c r="LUD48" s="103"/>
      <c r="LUE48" s="103"/>
      <c r="LUF48" s="103"/>
      <c r="LUG48" s="103"/>
      <c r="LUH48" s="103"/>
      <c r="LUI48" s="103"/>
      <c r="LUJ48" s="103"/>
      <c r="LUK48" s="103"/>
      <c r="LUL48" s="103"/>
      <c r="LUM48" s="103"/>
      <c r="LUN48" s="103"/>
      <c r="LUO48" s="103"/>
      <c r="LUP48" s="103"/>
      <c r="LUQ48" s="103"/>
      <c r="LUR48" s="103"/>
      <c r="LUS48" s="103"/>
      <c r="LUT48" s="103"/>
      <c r="LUU48" s="103"/>
      <c r="LUV48" s="103"/>
      <c r="LUW48" s="103"/>
      <c r="LUX48" s="103"/>
      <c r="LUY48" s="103"/>
      <c r="LUZ48" s="103"/>
      <c r="LVA48" s="103"/>
      <c r="LVB48" s="103"/>
      <c r="LVC48" s="103"/>
      <c r="LVD48" s="103"/>
      <c r="LVE48" s="103"/>
      <c r="LVF48" s="103"/>
      <c r="LVG48" s="103"/>
      <c r="LVH48" s="103"/>
      <c r="LVI48" s="103"/>
      <c r="LVJ48" s="103"/>
      <c r="LVK48" s="103"/>
      <c r="LVL48" s="103"/>
      <c r="LVM48" s="103"/>
      <c r="LVN48" s="103"/>
      <c r="LVO48" s="103"/>
      <c r="LVP48" s="103"/>
      <c r="LVQ48" s="103"/>
      <c r="LVR48" s="103"/>
      <c r="LVS48" s="103"/>
      <c r="LVT48" s="103"/>
      <c r="LVU48" s="103"/>
      <c r="LVV48" s="103"/>
      <c r="LVW48" s="103"/>
      <c r="LVX48" s="103"/>
      <c r="LVY48" s="103"/>
      <c r="LVZ48" s="103"/>
      <c r="LWA48" s="103"/>
      <c r="LWB48" s="103"/>
      <c r="LWC48" s="103"/>
      <c r="LWD48" s="103"/>
      <c r="LWE48" s="103"/>
      <c r="LWF48" s="103"/>
      <c r="LWG48" s="103"/>
      <c r="LWH48" s="103"/>
      <c r="LWI48" s="103"/>
      <c r="LWJ48" s="103"/>
      <c r="LWK48" s="103"/>
      <c r="LWL48" s="103"/>
      <c r="LWM48" s="103"/>
      <c r="LWN48" s="103"/>
      <c r="LWO48" s="103"/>
      <c r="LWP48" s="103"/>
      <c r="LWQ48" s="103"/>
      <c r="LWR48" s="103"/>
      <c r="LWS48" s="103"/>
      <c r="LWT48" s="103"/>
      <c r="LWU48" s="103"/>
      <c r="LWV48" s="103"/>
      <c r="LWW48" s="103"/>
      <c r="LWX48" s="103"/>
      <c r="LWY48" s="103"/>
      <c r="LWZ48" s="103"/>
      <c r="LXA48" s="103"/>
      <c r="LXB48" s="103"/>
      <c r="LXC48" s="103"/>
      <c r="LXD48" s="103"/>
      <c r="LXE48" s="103"/>
      <c r="LXF48" s="103"/>
      <c r="LXG48" s="103"/>
      <c r="LXH48" s="103"/>
      <c r="LXI48" s="103"/>
      <c r="LXJ48" s="103"/>
      <c r="LXK48" s="103"/>
      <c r="LXL48" s="103"/>
      <c r="LXM48" s="103"/>
      <c r="LXN48" s="103"/>
      <c r="LXO48" s="103"/>
      <c r="LXP48" s="103"/>
      <c r="LXQ48" s="103"/>
      <c r="LXR48" s="103"/>
      <c r="LXS48" s="103"/>
      <c r="LXT48" s="103"/>
      <c r="LXU48" s="103"/>
      <c r="LXV48" s="103"/>
      <c r="LXW48" s="103"/>
      <c r="LXX48" s="103"/>
      <c r="LXY48" s="103"/>
      <c r="LXZ48" s="103"/>
      <c r="LYA48" s="103"/>
      <c r="LYB48" s="103"/>
      <c r="LYC48" s="103"/>
      <c r="LYD48" s="103"/>
      <c r="LYE48" s="103"/>
      <c r="LYF48" s="103"/>
      <c r="LYG48" s="103"/>
      <c r="LYH48" s="103"/>
      <c r="LYI48" s="103"/>
      <c r="LYJ48" s="103"/>
      <c r="LYK48" s="103"/>
      <c r="LYL48" s="103"/>
      <c r="LYM48" s="103"/>
      <c r="LYN48" s="103"/>
      <c r="LYO48" s="103"/>
      <c r="LYP48" s="103"/>
      <c r="LYQ48" s="103"/>
      <c r="LYR48" s="103"/>
      <c r="LYS48" s="103"/>
      <c r="LYT48" s="103"/>
      <c r="LYU48" s="103"/>
      <c r="LYV48" s="103"/>
      <c r="LYW48" s="103"/>
      <c r="LYX48" s="103"/>
      <c r="LYY48" s="103"/>
      <c r="LYZ48" s="103"/>
      <c r="LZA48" s="103"/>
      <c r="LZB48" s="103"/>
      <c r="LZC48" s="103"/>
      <c r="LZD48" s="103"/>
      <c r="LZE48" s="103"/>
      <c r="LZF48" s="103"/>
      <c r="LZG48" s="103"/>
      <c r="LZH48" s="103"/>
      <c r="LZI48" s="103"/>
      <c r="LZJ48" s="103"/>
      <c r="LZK48" s="103"/>
      <c r="LZL48" s="103"/>
      <c r="LZM48" s="103"/>
      <c r="LZN48" s="103"/>
      <c r="LZO48" s="103"/>
      <c r="LZP48" s="103"/>
      <c r="LZQ48" s="103"/>
      <c r="LZR48" s="103"/>
      <c r="LZS48" s="103"/>
      <c r="LZT48" s="103"/>
      <c r="LZU48" s="103"/>
      <c r="LZV48" s="103"/>
      <c r="LZW48" s="103"/>
      <c r="LZX48" s="103"/>
      <c r="LZY48" s="103"/>
      <c r="LZZ48" s="103"/>
      <c r="MAA48" s="103"/>
      <c r="MAB48" s="103"/>
      <c r="MAC48" s="103"/>
      <c r="MAD48" s="103"/>
      <c r="MAE48" s="103"/>
      <c r="MAF48" s="103"/>
      <c r="MAG48" s="103"/>
      <c r="MAH48" s="103"/>
      <c r="MAI48" s="103"/>
      <c r="MAJ48" s="103"/>
      <c r="MAK48" s="103"/>
      <c r="MAL48" s="103"/>
      <c r="MAM48" s="103"/>
      <c r="MAN48" s="103"/>
      <c r="MAO48" s="103"/>
      <c r="MAP48" s="103"/>
      <c r="MAQ48" s="103"/>
      <c r="MAR48" s="103"/>
      <c r="MAS48" s="103"/>
      <c r="MAT48" s="103"/>
      <c r="MAU48" s="103"/>
      <c r="MAV48" s="103"/>
      <c r="MAW48" s="103"/>
      <c r="MAX48" s="103"/>
      <c r="MAY48" s="103"/>
      <c r="MAZ48" s="103"/>
      <c r="MBA48" s="103"/>
      <c r="MBB48" s="103"/>
      <c r="MBC48" s="103"/>
      <c r="MBD48" s="103"/>
      <c r="MBE48" s="103"/>
      <c r="MBF48" s="103"/>
      <c r="MBG48" s="103"/>
      <c r="MBH48" s="103"/>
      <c r="MBI48" s="103"/>
      <c r="MBJ48" s="103"/>
      <c r="MBK48" s="103"/>
      <c r="MBL48" s="103"/>
      <c r="MBM48" s="103"/>
      <c r="MBN48" s="103"/>
      <c r="MBO48" s="103"/>
      <c r="MBP48" s="103"/>
      <c r="MBQ48" s="103"/>
      <c r="MBR48" s="103"/>
      <c r="MBS48" s="103"/>
      <c r="MBT48" s="103"/>
      <c r="MBU48" s="103"/>
      <c r="MBV48" s="103"/>
      <c r="MBW48" s="103"/>
      <c r="MBX48" s="103"/>
      <c r="MBY48" s="103"/>
      <c r="MBZ48" s="103"/>
      <c r="MCA48" s="103"/>
      <c r="MCB48" s="103"/>
      <c r="MCC48" s="103"/>
      <c r="MCD48" s="103"/>
      <c r="MCE48" s="103"/>
      <c r="MCF48" s="103"/>
      <c r="MCG48" s="103"/>
      <c r="MCH48" s="103"/>
      <c r="MCI48" s="103"/>
      <c r="MCJ48" s="103"/>
      <c r="MCK48" s="103"/>
      <c r="MCL48" s="103"/>
      <c r="MCM48" s="103"/>
      <c r="MCN48" s="103"/>
      <c r="MCO48" s="103"/>
      <c r="MCP48" s="103"/>
      <c r="MCQ48" s="103"/>
      <c r="MCR48" s="103"/>
      <c r="MCS48" s="103"/>
      <c r="MCT48" s="103"/>
      <c r="MCU48" s="103"/>
      <c r="MCV48" s="103"/>
      <c r="MCW48" s="103"/>
      <c r="MCX48" s="103"/>
      <c r="MCY48" s="103"/>
      <c r="MCZ48" s="103"/>
      <c r="MDA48" s="103"/>
      <c r="MDB48" s="103"/>
      <c r="MDC48" s="103"/>
      <c r="MDD48" s="103"/>
      <c r="MDE48" s="103"/>
      <c r="MDF48" s="103"/>
      <c r="MDG48" s="103"/>
      <c r="MDH48" s="103"/>
      <c r="MDI48" s="103"/>
      <c r="MDJ48" s="103"/>
      <c r="MDK48" s="103"/>
      <c r="MDL48" s="103"/>
      <c r="MDM48" s="103"/>
      <c r="MDN48" s="103"/>
      <c r="MDO48" s="103"/>
      <c r="MDP48" s="103"/>
      <c r="MDQ48" s="103"/>
      <c r="MDR48" s="103"/>
      <c r="MDS48" s="103"/>
      <c r="MDT48" s="103"/>
      <c r="MDU48" s="103"/>
      <c r="MDV48" s="103"/>
      <c r="MDW48" s="103"/>
      <c r="MDX48" s="103"/>
      <c r="MDY48" s="103"/>
      <c r="MDZ48" s="103"/>
      <c r="MEA48" s="103"/>
      <c r="MEB48" s="103"/>
      <c r="MEC48" s="103"/>
      <c r="MED48" s="103"/>
      <c r="MEE48" s="103"/>
      <c r="MEF48" s="103"/>
      <c r="MEG48" s="103"/>
      <c r="MEH48" s="103"/>
      <c r="MEI48" s="103"/>
      <c r="MEJ48" s="103"/>
      <c r="MEK48" s="103"/>
      <c r="MEL48" s="103"/>
      <c r="MEM48" s="103"/>
      <c r="MEN48" s="103"/>
      <c r="MEO48" s="103"/>
      <c r="MEP48" s="103"/>
      <c r="MEQ48" s="103"/>
      <c r="MER48" s="103"/>
      <c r="MES48" s="103"/>
      <c r="MET48" s="103"/>
      <c r="MEU48" s="103"/>
      <c r="MEV48" s="103"/>
      <c r="MEW48" s="103"/>
      <c r="MEX48" s="103"/>
      <c r="MEY48" s="103"/>
      <c r="MEZ48" s="103"/>
      <c r="MFA48" s="103"/>
      <c r="MFB48" s="103"/>
      <c r="MFC48" s="103"/>
      <c r="MFD48" s="103"/>
      <c r="MFE48" s="103"/>
      <c r="MFF48" s="103"/>
      <c r="MFG48" s="103"/>
      <c r="MFH48" s="103"/>
      <c r="MFI48" s="103"/>
      <c r="MFJ48" s="103"/>
      <c r="MFK48" s="103"/>
      <c r="MFL48" s="103"/>
      <c r="MFM48" s="103"/>
      <c r="MFN48" s="103"/>
      <c r="MFO48" s="103"/>
      <c r="MFP48" s="103"/>
      <c r="MFQ48" s="103"/>
      <c r="MFR48" s="103"/>
      <c r="MFS48" s="103"/>
      <c r="MFT48" s="103"/>
      <c r="MFU48" s="103"/>
      <c r="MFV48" s="103"/>
      <c r="MFW48" s="103"/>
      <c r="MFX48" s="103"/>
      <c r="MFY48" s="103"/>
      <c r="MFZ48" s="103"/>
      <c r="MGA48" s="103"/>
      <c r="MGB48" s="103"/>
      <c r="MGC48" s="103"/>
      <c r="MGD48" s="103"/>
      <c r="MGE48" s="103"/>
      <c r="MGF48" s="103"/>
      <c r="MGG48" s="103"/>
      <c r="MGH48" s="103"/>
      <c r="MGI48" s="103"/>
      <c r="MGJ48" s="103"/>
      <c r="MGK48" s="103"/>
      <c r="MGL48" s="103"/>
      <c r="MGM48" s="103"/>
      <c r="MGN48" s="103"/>
      <c r="MGO48" s="103"/>
      <c r="MGP48" s="103"/>
      <c r="MGQ48" s="103"/>
      <c r="MGR48" s="103"/>
      <c r="MGS48" s="103"/>
      <c r="MGT48" s="103"/>
      <c r="MGU48" s="103"/>
      <c r="MGV48" s="103"/>
      <c r="MGW48" s="103"/>
      <c r="MGX48" s="103"/>
      <c r="MGY48" s="103"/>
      <c r="MGZ48" s="103"/>
      <c r="MHA48" s="103"/>
      <c r="MHB48" s="103"/>
      <c r="MHC48" s="103"/>
      <c r="MHD48" s="103"/>
      <c r="MHE48" s="103"/>
      <c r="MHF48" s="103"/>
      <c r="MHG48" s="103"/>
      <c r="MHH48" s="103"/>
      <c r="MHI48" s="103"/>
      <c r="MHJ48" s="103"/>
      <c r="MHK48" s="103"/>
      <c r="MHL48" s="103"/>
      <c r="MHM48" s="103"/>
      <c r="MHN48" s="103"/>
      <c r="MHO48" s="103"/>
      <c r="MHP48" s="103"/>
      <c r="MHQ48" s="103"/>
      <c r="MHR48" s="103"/>
      <c r="MHS48" s="103"/>
      <c r="MHT48" s="103"/>
      <c r="MHU48" s="103"/>
      <c r="MHV48" s="103"/>
      <c r="MHW48" s="103"/>
      <c r="MHX48" s="103"/>
      <c r="MHY48" s="103"/>
      <c r="MHZ48" s="103"/>
      <c r="MIA48" s="103"/>
      <c r="MIB48" s="103"/>
      <c r="MIC48" s="103"/>
      <c r="MID48" s="103"/>
      <c r="MIE48" s="103"/>
      <c r="MIF48" s="103"/>
      <c r="MIG48" s="103"/>
      <c r="MIH48" s="103"/>
      <c r="MII48" s="103"/>
      <c r="MIJ48" s="103"/>
      <c r="MIK48" s="103"/>
      <c r="MIL48" s="103"/>
      <c r="MIM48" s="103"/>
      <c r="MIN48" s="103"/>
      <c r="MIO48" s="103"/>
      <c r="MIP48" s="103"/>
      <c r="MIQ48" s="103"/>
      <c r="MIR48" s="103"/>
      <c r="MIS48" s="103"/>
      <c r="MIT48" s="103"/>
      <c r="MIU48" s="103"/>
      <c r="MIV48" s="103"/>
      <c r="MIW48" s="103"/>
      <c r="MIX48" s="103"/>
      <c r="MIY48" s="103"/>
      <c r="MIZ48" s="103"/>
      <c r="MJA48" s="103"/>
      <c r="MJB48" s="103"/>
      <c r="MJC48" s="103"/>
      <c r="MJD48" s="103"/>
      <c r="MJE48" s="103"/>
      <c r="MJF48" s="103"/>
      <c r="MJG48" s="103"/>
      <c r="MJH48" s="103"/>
      <c r="MJI48" s="103"/>
      <c r="MJJ48" s="103"/>
      <c r="MJK48" s="103"/>
      <c r="MJL48" s="103"/>
      <c r="MJM48" s="103"/>
      <c r="MJN48" s="103"/>
      <c r="MJO48" s="103"/>
      <c r="MJP48" s="103"/>
      <c r="MJQ48" s="103"/>
      <c r="MJR48" s="103"/>
      <c r="MJS48" s="103"/>
      <c r="MJT48" s="103"/>
      <c r="MJU48" s="103"/>
      <c r="MJV48" s="103"/>
      <c r="MJW48" s="103"/>
      <c r="MJX48" s="103"/>
      <c r="MJY48" s="103"/>
      <c r="MJZ48" s="103"/>
      <c r="MKA48" s="103"/>
      <c r="MKB48" s="103"/>
      <c r="MKC48" s="103"/>
      <c r="MKD48" s="103"/>
      <c r="MKE48" s="103"/>
      <c r="MKF48" s="103"/>
      <c r="MKG48" s="103"/>
      <c r="MKH48" s="103"/>
      <c r="MKI48" s="103"/>
      <c r="MKJ48" s="103"/>
      <c r="MKK48" s="103"/>
      <c r="MKL48" s="103"/>
      <c r="MKM48" s="103"/>
      <c r="MKN48" s="103"/>
      <c r="MKO48" s="103"/>
      <c r="MKP48" s="103"/>
      <c r="MKQ48" s="103"/>
      <c r="MKR48" s="103"/>
      <c r="MKS48" s="103"/>
      <c r="MKT48" s="103"/>
      <c r="MKU48" s="103"/>
      <c r="MKV48" s="103"/>
      <c r="MKW48" s="103"/>
      <c r="MKX48" s="103"/>
      <c r="MKY48" s="103"/>
      <c r="MKZ48" s="103"/>
      <c r="MLA48" s="103"/>
      <c r="MLB48" s="103"/>
      <c r="MLC48" s="103"/>
      <c r="MLD48" s="103"/>
      <c r="MLE48" s="103"/>
      <c r="MLF48" s="103"/>
      <c r="MLG48" s="103"/>
      <c r="MLH48" s="103"/>
      <c r="MLI48" s="103"/>
      <c r="MLJ48" s="103"/>
      <c r="MLK48" s="103"/>
      <c r="MLL48" s="103"/>
      <c r="MLM48" s="103"/>
      <c r="MLN48" s="103"/>
      <c r="MLO48" s="103"/>
      <c r="MLP48" s="103"/>
      <c r="MLQ48" s="103"/>
      <c r="MLR48" s="103"/>
      <c r="MLS48" s="103"/>
      <c r="MLT48" s="103"/>
      <c r="MLU48" s="103"/>
      <c r="MLV48" s="103"/>
      <c r="MLW48" s="103"/>
      <c r="MLX48" s="103"/>
      <c r="MLY48" s="103"/>
      <c r="MLZ48" s="103"/>
      <c r="MMA48" s="103"/>
      <c r="MMB48" s="103"/>
      <c r="MMC48" s="103"/>
      <c r="MMD48" s="103"/>
      <c r="MME48" s="103"/>
      <c r="MMF48" s="103"/>
      <c r="MMG48" s="103"/>
      <c r="MMH48" s="103"/>
      <c r="MMI48" s="103"/>
      <c r="MMJ48" s="103"/>
      <c r="MMK48" s="103"/>
      <c r="MML48" s="103"/>
      <c r="MMM48" s="103"/>
      <c r="MMN48" s="103"/>
      <c r="MMO48" s="103"/>
      <c r="MMP48" s="103"/>
      <c r="MMQ48" s="103"/>
      <c r="MMR48" s="103"/>
      <c r="MMS48" s="103"/>
      <c r="MMT48" s="103"/>
      <c r="MMU48" s="103"/>
      <c r="MMV48" s="103"/>
      <c r="MMW48" s="103"/>
      <c r="MMX48" s="103"/>
      <c r="MMY48" s="103"/>
      <c r="MMZ48" s="103"/>
      <c r="MNA48" s="103"/>
      <c r="MNB48" s="103"/>
      <c r="MNC48" s="103"/>
      <c r="MND48" s="103"/>
      <c r="MNE48" s="103"/>
      <c r="MNF48" s="103"/>
      <c r="MNG48" s="103"/>
      <c r="MNH48" s="103"/>
      <c r="MNI48" s="103"/>
      <c r="MNJ48" s="103"/>
      <c r="MNK48" s="103"/>
      <c r="MNL48" s="103"/>
      <c r="MNM48" s="103"/>
      <c r="MNN48" s="103"/>
      <c r="MNO48" s="103"/>
      <c r="MNP48" s="103"/>
      <c r="MNQ48" s="103"/>
      <c r="MNR48" s="103"/>
      <c r="MNS48" s="103"/>
      <c r="MNT48" s="103"/>
      <c r="MNU48" s="103"/>
      <c r="MNV48" s="103"/>
      <c r="MNW48" s="103"/>
      <c r="MNX48" s="103"/>
      <c r="MNY48" s="103"/>
      <c r="MNZ48" s="103"/>
      <c r="MOA48" s="103"/>
      <c r="MOB48" s="103"/>
      <c r="MOC48" s="103"/>
      <c r="MOD48" s="103"/>
      <c r="MOE48" s="103"/>
      <c r="MOF48" s="103"/>
      <c r="MOG48" s="103"/>
      <c r="MOH48" s="103"/>
      <c r="MOI48" s="103"/>
      <c r="MOJ48" s="103"/>
      <c r="MOK48" s="103"/>
      <c r="MOL48" s="103"/>
      <c r="MOM48" s="103"/>
      <c r="MON48" s="103"/>
      <c r="MOO48" s="103"/>
      <c r="MOP48" s="103"/>
      <c r="MOQ48" s="103"/>
      <c r="MOR48" s="103"/>
      <c r="MOS48" s="103"/>
      <c r="MOT48" s="103"/>
      <c r="MOU48" s="103"/>
      <c r="MOV48" s="103"/>
      <c r="MOW48" s="103"/>
      <c r="MOX48" s="103"/>
      <c r="MOY48" s="103"/>
      <c r="MOZ48" s="103"/>
      <c r="MPA48" s="103"/>
      <c r="MPB48" s="103"/>
      <c r="MPC48" s="103"/>
      <c r="MPD48" s="103"/>
      <c r="MPE48" s="103"/>
      <c r="MPF48" s="103"/>
      <c r="MPG48" s="103"/>
      <c r="MPH48" s="103"/>
      <c r="MPI48" s="103"/>
      <c r="MPJ48" s="103"/>
      <c r="MPK48" s="103"/>
      <c r="MPL48" s="103"/>
      <c r="MPM48" s="103"/>
      <c r="MPN48" s="103"/>
      <c r="MPO48" s="103"/>
      <c r="MPP48" s="103"/>
      <c r="MPQ48" s="103"/>
      <c r="MPR48" s="103"/>
      <c r="MPS48" s="103"/>
      <c r="MPT48" s="103"/>
      <c r="MPU48" s="103"/>
      <c r="MPV48" s="103"/>
      <c r="MPW48" s="103"/>
      <c r="MPX48" s="103"/>
      <c r="MPY48" s="103"/>
      <c r="MPZ48" s="103"/>
      <c r="MQA48" s="103"/>
      <c r="MQB48" s="103"/>
      <c r="MQC48" s="103"/>
      <c r="MQD48" s="103"/>
      <c r="MQE48" s="103"/>
      <c r="MQF48" s="103"/>
      <c r="MQG48" s="103"/>
      <c r="MQH48" s="103"/>
      <c r="MQI48" s="103"/>
      <c r="MQJ48" s="103"/>
      <c r="MQK48" s="103"/>
      <c r="MQL48" s="103"/>
      <c r="MQM48" s="103"/>
      <c r="MQN48" s="103"/>
      <c r="MQO48" s="103"/>
      <c r="MQP48" s="103"/>
      <c r="MQQ48" s="103"/>
      <c r="MQR48" s="103"/>
      <c r="MQS48" s="103"/>
      <c r="MQT48" s="103"/>
      <c r="MQU48" s="103"/>
      <c r="MQV48" s="103"/>
      <c r="MQW48" s="103"/>
      <c r="MQX48" s="103"/>
      <c r="MQY48" s="103"/>
      <c r="MQZ48" s="103"/>
      <c r="MRA48" s="103"/>
      <c r="MRB48" s="103"/>
      <c r="MRC48" s="103"/>
      <c r="MRD48" s="103"/>
      <c r="MRE48" s="103"/>
      <c r="MRF48" s="103"/>
      <c r="MRG48" s="103"/>
      <c r="MRH48" s="103"/>
      <c r="MRI48" s="103"/>
      <c r="MRJ48" s="103"/>
      <c r="MRK48" s="103"/>
      <c r="MRL48" s="103"/>
      <c r="MRM48" s="103"/>
      <c r="MRN48" s="103"/>
      <c r="MRO48" s="103"/>
      <c r="MRP48" s="103"/>
      <c r="MRQ48" s="103"/>
      <c r="MRR48" s="103"/>
      <c r="MRS48" s="103"/>
      <c r="MRT48" s="103"/>
      <c r="MRU48" s="103"/>
      <c r="MRV48" s="103"/>
      <c r="MRW48" s="103"/>
      <c r="MRX48" s="103"/>
      <c r="MRY48" s="103"/>
      <c r="MRZ48" s="103"/>
      <c r="MSA48" s="103"/>
      <c r="MSB48" s="103"/>
      <c r="MSC48" s="103"/>
      <c r="MSD48" s="103"/>
      <c r="MSE48" s="103"/>
      <c r="MSF48" s="103"/>
      <c r="MSG48" s="103"/>
      <c r="MSH48" s="103"/>
      <c r="MSI48" s="103"/>
      <c r="MSJ48" s="103"/>
      <c r="MSK48" s="103"/>
      <c r="MSL48" s="103"/>
      <c r="MSM48" s="103"/>
      <c r="MSN48" s="103"/>
      <c r="MSO48" s="103"/>
      <c r="MSP48" s="103"/>
      <c r="MSQ48" s="103"/>
      <c r="MSR48" s="103"/>
      <c r="MSS48" s="103"/>
      <c r="MST48" s="103"/>
      <c r="MSU48" s="103"/>
      <c r="MSV48" s="103"/>
      <c r="MSW48" s="103"/>
      <c r="MSX48" s="103"/>
      <c r="MSY48" s="103"/>
      <c r="MSZ48" s="103"/>
      <c r="MTA48" s="103"/>
      <c r="MTB48" s="103"/>
      <c r="MTC48" s="103"/>
      <c r="MTD48" s="103"/>
      <c r="MTE48" s="103"/>
      <c r="MTF48" s="103"/>
      <c r="MTG48" s="103"/>
      <c r="MTH48" s="103"/>
      <c r="MTI48" s="103"/>
      <c r="MTJ48" s="103"/>
      <c r="MTK48" s="103"/>
      <c r="MTL48" s="103"/>
      <c r="MTM48" s="103"/>
      <c r="MTN48" s="103"/>
      <c r="MTO48" s="103"/>
      <c r="MTP48" s="103"/>
      <c r="MTQ48" s="103"/>
      <c r="MTR48" s="103"/>
      <c r="MTS48" s="103"/>
      <c r="MTT48" s="103"/>
      <c r="MTU48" s="103"/>
      <c r="MTV48" s="103"/>
      <c r="MTW48" s="103"/>
      <c r="MTX48" s="103"/>
      <c r="MTY48" s="103"/>
      <c r="MTZ48" s="103"/>
      <c r="MUA48" s="103"/>
      <c r="MUB48" s="103"/>
      <c r="MUC48" s="103"/>
      <c r="MUD48" s="103"/>
      <c r="MUE48" s="103"/>
      <c r="MUF48" s="103"/>
      <c r="MUG48" s="103"/>
      <c r="MUH48" s="103"/>
      <c r="MUI48" s="103"/>
      <c r="MUJ48" s="103"/>
      <c r="MUK48" s="103"/>
      <c r="MUL48" s="103"/>
      <c r="MUM48" s="103"/>
      <c r="MUN48" s="103"/>
      <c r="MUO48" s="103"/>
      <c r="MUP48" s="103"/>
      <c r="MUQ48" s="103"/>
      <c r="MUR48" s="103"/>
      <c r="MUS48" s="103"/>
      <c r="MUT48" s="103"/>
      <c r="MUU48" s="103"/>
      <c r="MUV48" s="103"/>
      <c r="MUW48" s="103"/>
      <c r="MUX48" s="103"/>
      <c r="MUY48" s="103"/>
      <c r="MUZ48" s="103"/>
      <c r="MVA48" s="103"/>
      <c r="MVB48" s="103"/>
      <c r="MVC48" s="103"/>
      <c r="MVD48" s="103"/>
      <c r="MVE48" s="103"/>
      <c r="MVF48" s="103"/>
      <c r="MVG48" s="103"/>
      <c r="MVH48" s="103"/>
      <c r="MVI48" s="103"/>
      <c r="MVJ48" s="103"/>
      <c r="MVK48" s="103"/>
      <c r="MVL48" s="103"/>
      <c r="MVM48" s="103"/>
      <c r="MVN48" s="103"/>
      <c r="MVO48" s="103"/>
      <c r="MVP48" s="103"/>
      <c r="MVQ48" s="103"/>
      <c r="MVR48" s="103"/>
      <c r="MVS48" s="103"/>
      <c r="MVT48" s="103"/>
      <c r="MVU48" s="103"/>
      <c r="MVV48" s="103"/>
      <c r="MVW48" s="103"/>
      <c r="MVX48" s="103"/>
      <c r="MVY48" s="103"/>
      <c r="MVZ48" s="103"/>
      <c r="MWA48" s="103"/>
      <c r="MWB48" s="103"/>
      <c r="MWC48" s="103"/>
      <c r="MWD48" s="103"/>
      <c r="MWE48" s="103"/>
      <c r="MWF48" s="103"/>
      <c r="MWG48" s="103"/>
      <c r="MWH48" s="103"/>
      <c r="MWI48" s="103"/>
      <c r="MWJ48" s="103"/>
      <c r="MWK48" s="103"/>
      <c r="MWL48" s="103"/>
      <c r="MWM48" s="103"/>
      <c r="MWN48" s="103"/>
      <c r="MWO48" s="103"/>
      <c r="MWP48" s="103"/>
      <c r="MWQ48" s="103"/>
      <c r="MWR48" s="103"/>
      <c r="MWS48" s="103"/>
      <c r="MWT48" s="103"/>
      <c r="MWU48" s="103"/>
      <c r="MWV48" s="103"/>
      <c r="MWW48" s="103"/>
      <c r="MWX48" s="103"/>
      <c r="MWY48" s="103"/>
      <c r="MWZ48" s="103"/>
      <c r="MXA48" s="103"/>
      <c r="MXB48" s="103"/>
      <c r="MXC48" s="103"/>
      <c r="MXD48" s="103"/>
      <c r="MXE48" s="103"/>
      <c r="MXF48" s="103"/>
      <c r="MXG48" s="103"/>
      <c r="MXH48" s="103"/>
      <c r="MXI48" s="103"/>
      <c r="MXJ48" s="103"/>
      <c r="MXK48" s="103"/>
      <c r="MXL48" s="103"/>
      <c r="MXM48" s="103"/>
      <c r="MXN48" s="103"/>
      <c r="MXO48" s="103"/>
      <c r="MXP48" s="103"/>
      <c r="MXQ48" s="103"/>
      <c r="MXR48" s="103"/>
      <c r="MXS48" s="103"/>
      <c r="MXT48" s="103"/>
      <c r="MXU48" s="103"/>
      <c r="MXV48" s="103"/>
      <c r="MXW48" s="103"/>
      <c r="MXX48" s="103"/>
      <c r="MXY48" s="103"/>
      <c r="MXZ48" s="103"/>
      <c r="MYA48" s="103"/>
      <c r="MYB48" s="103"/>
      <c r="MYC48" s="103"/>
      <c r="MYD48" s="103"/>
      <c r="MYE48" s="103"/>
      <c r="MYF48" s="103"/>
      <c r="MYG48" s="103"/>
      <c r="MYH48" s="103"/>
      <c r="MYI48" s="103"/>
      <c r="MYJ48" s="103"/>
      <c r="MYK48" s="103"/>
      <c r="MYL48" s="103"/>
      <c r="MYM48" s="103"/>
      <c r="MYN48" s="103"/>
      <c r="MYO48" s="103"/>
      <c r="MYP48" s="103"/>
      <c r="MYQ48" s="103"/>
      <c r="MYR48" s="103"/>
      <c r="MYS48" s="103"/>
      <c r="MYT48" s="103"/>
      <c r="MYU48" s="103"/>
      <c r="MYV48" s="103"/>
      <c r="MYW48" s="103"/>
      <c r="MYX48" s="103"/>
      <c r="MYY48" s="103"/>
      <c r="MYZ48" s="103"/>
      <c r="MZA48" s="103"/>
      <c r="MZB48" s="103"/>
      <c r="MZC48" s="103"/>
      <c r="MZD48" s="103"/>
      <c r="MZE48" s="103"/>
      <c r="MZF48" s="103"/>
      <c r="MZG48" s="103"/>
      <c r="MZH48" s="103"/>
      <c r="MZI48" s="103"/>
      <c r="MZJ48" s="103"/>
      <c r="MZK48" s="103"/>
      <c r="MZL48" s="103"/>
      <c r="MZM48" s="103"/>
      <c r="MZN48" s="103"/>
      <c r="MZO48" s="103"/>
      <c r="MZP48" s="103"/>
      <c r="MZQ48" s="103"/>
      <c r="MZR48" s="103"/>
      <c r="MZS48" s="103"/>
      <c r="MZT48" s="103"/>
      <c r="MZU48" s="103"/>
      <c r="MZV48" s="103"/>
      <c r="MZW48" s="103"/>
      <c r="MZX48" s="103"/>
      <c r="MZY48" s="103"/>
      <c r="MZZ48" s="103"/>
      <c r="NAA48" s="103"/>
      <c r="NAB48" s="103"/>
      <c r="NAC48" s="103"/>
      <c r="NAD48" s="103"/>
      <c r="NAE48" s="103"/>
      <c r="NAF48" s="103"/>
      <c r="NAG48" s="103"/>
      <c r="NAH48" s="103"/>
      <c r="NAI48" s="103"/>
      <c r="NAJ48" s="103"/>
      <c r="NAK48" s="103"/>
      <c r="NAL48" s="103"/>
      <c r="NAM48" s="103"/>
      <c r="NAN48" s="103"/>
      <c r="NAO48" s="103"/>
      <c r="NAP48" s="103"/>
      <c r="NAQ48" s="103"/>
      <c r="NAR48" s="103"/>
      <c r="NAS48" s="103"/>
      <c r="NAT48" s="103"/>
      <c r="NAU48" s="103"/>
      <c r="NAV48" s="103"/>
      <c r="NAW48" s="103"/>
      <c r="NAX48" s="103"/>
      <c r="NAY48" s="103"/>
      <c r="NAZ48" s="103"/>
      <c r="NBA48" s="103"/>
      <c r="NBB48" s="103"/>
      <c r="NBC48" s="103"/>
      <c r="NBD48" s="103"/>
      <c r="NBE48" s="103"/>
      <c r="NBF48" s="103"/>
      <c r="NBG48" s="103"/>
      <c r="NBH48" s="103"/>
      <c r="NBI48" s="103"/>
      <c r="NBJ48" s="103"/>
      <c r="NBK48" s="103"/>
      <c r="NBL48" s="103"/>
      <c r="NBM48" s="103"/>
      <c r="NBN48" s="103"/>
      <c r="NBO48" s="103"/>
      <c r="NBP48" s="103"/>
      <c r="NBQ48" s="103"/>
      <c r="NBR48" s="103"/>
      <c r="NBS48" s="103"/>
      <c r="NBT48" s="103"/>
      <c r="NBU48" s="103"/>
      <c r="NBV48" s="103"/>
      <c r="NBW48" s="103"/>
      <c r="NBX48" s="103"/>
      <c r="NBY48" s="103"/>
      <c r="NBZ48" s="103"/>
      <c r="NCA48" s="103"/>
      <c r="NCB48" s="103"/>
      <c r="NCC48" s="103"/>
      <c r="NCD48" s="103"/>
      <c r="NCE48" s="103"/>
      <c r="NCF48" s="103"/>
      <c r="NCG48" s="103"/>
      <c r="NCH48" s="103"/>
      <c r="NCI48" s="103"/>
      <c r="NCJ48" s="103"/>
      <c r="NCK48" s="103"/>
      <c r="NCL48" s="103"/>
      <c r="NCM48" s="103"/>
      <c r="NCN48" s="103"/>
      <c r="NCO48" s="103"/>
      <c r="NCP48" s="103"/>
      <c r="NCQ48" s="103"/>
      <c r="NCR48" s="103"/>
      <c r="NCS48" s="103"/>
      <c r="NCT48" s="103"/>
      <c r="NCU48" s="103"/>
      <c r="NCV48" s="103"/>
      <c r="NCW48" s="103"/>
      <c r="NCX48" s="103"/>
      <c r="NCY48" s="103"/>
      <c r="NCZ48" s="103"/>
      <c r="NDA48" s="103"/>
      <c r="NDB48" s="103"/>
      <c r="NDC48" s="103"/>
      <c r="NDD48" s="103"/>
      <c r="NDE48" s="103"/>
      <c r="NDF48" s="103"/>
      <c r="NDG48" s="103"/>
      <c r="NDH48" s="103"/>
      <c r="NDI48" s="103"/>
      <c r="NDJ48" s="103"/>
      <c r="NDK48" s="103"/>
      <c r="NDL48" s="103"/>
      <c r="NDM48" s="103"/>
      <c r="NDN48" s="103"/>
      <c r="NDO48" s="103"/>
      <c r="NDP48" s="103"/>
      <c r="NDQ48" s="103"/>
      <c r="NDR48" s="103"/>
      <c r="NDS48" s="103"/>
      <c r="NDT48" s="103"/>
      <c r="NDU48" s="103"/>
      <c r="NDV48" s="103"/>
      <c r="NDW48" s="103"/>
      <c r="NDX48" s="103"/>
      <c r="NDY48" s="103"/>
      <c r="NDZ48" s="103"/>
      <c r="NEA48" s="103"/>
      <c r="NEB48" s="103"/>
      <c r="NEC48" s="103"/>
      <c r="NED48" s="103"/>
      <c r="NEE48" s="103"/>
      <c r="NEF48" s="103"/>
      <c r="NEG48" s="103"/>
      <c r="NEH48" s="103"/>
      <c r="NEI48" s="103"/>
      <c r="NEJ48" s="103"/>
      <c r="NEK48" s="103"/>
      <c r="NEL48" s="103"/>
      <c r="NEM48" s="103"/>
      <c r="NEN48" s="103"/>
      <c r="NEO48" s="103"/>
      <c r="NEP48" s="103"/>
      <c r="NEQ48" s="103"/>
      <c r="NER48" s="103"/>
      <c r="NES48" s="103"/>
      <c r="NET48" s="103"/>
      <c r="NEU48" s="103"/>
      <c r="NEV48" s="103"/>
      <c r="NEW48" s="103"/>
      <c r="NEX48" s="103"/>
      <c r="NEY48" s="103"/>
      <c r="NEZ48" s="103"/>
      <c r="NFA48" s="103"/>
      <c r="NFB48" s="103"/>
      <c r="NFC48" s="103"/>
      <c r="NFD48" s="103"/>
      <c r="NFE48" s="103"/>
      <c r="NFF48" s="103"/>
      <c r="NFG48" s="103"/>
      <c r="NFH48" s="103"/>
      <c r="NFI48" s="103"/>
      <c r="NFJ48" s="103"/>
      <c r="NFK48" s="103"/>
      <c r="NFL48" s="103"/>
      <c r="NFM48" s="103"/>
      <c r="NFN48" s="103"/>
      <c r="NFO48" s="103"/>
      <c r="NFP48" s="103"/>
      <c r="NFQ48" s="103"/>
      <c r="NFR48" s="103"/>
      <c r="NFS48" s="103"/>
      <c r="NFT48" s="103"/>
      <c r="NFU48" s="103"/>
      <c r="NFV48" s="103"/>
      <c r="NFW48" s="103"/>
      <c r="NFX48" s="103"/>
      <c r="NFY48" s="103"/>
      <c r="NFZ48" s="103"/>
      <c r="NGA48" s="103"/>
      <c r="NGB48" s="103"/>
      <c r="NGC48" s="103"/>
      <c r="NGD48" s="103"/>
      <c r="NGE48" s="103"/>
      <c r="NGF48" s="103"/>
      <c r="NGG48" s="103"/>
      <c r="NGH48" s="103"/>
      <c r="NGI48" s="103"/>
      <c r="NGJ48" s="103"/>
      <c r="NGK48" s="103"/>
      <c r="NGL48" s="103"/>
      <c r="NGM48" s="103"/>
      <c r="NGN48" s="103"/>
      <c r="NGO48" s="103"/>
      <c r="NGP48" s="103"/>
      <c r="NGQ48" s="103"/>
      <c r="NGR48" s="103"/>
      <c r="NGS48" s="103"/>
      <c r="NGT48" s="103"/>
      <c r="NGU48" s="103"/>
      <c r="NGV48" s="103"/>
      <c r="NGW48" s="103"/>
      <c r="NGX48" s="103"/>
      <c r="NGY48" s="103"/>
      <c r="NGZ48" s="103"/>
      <c r="NHA48" s="103"/>
      <c r="NHB48" s="103"/>
      <c r="NHC48" s="103"/>
      <c r="NHD48" s="103"/>
      <c r="NHE48" s="103"/>
      <c r="NHF48" s="103"/>
      <c r="NHG48" s="103"/>
      <c r="NHH48" s="103"/>
      <c r="NHI48" s="103"/>
      <c r="NHJ48" s="103"/>
      <c r="NHK48" s="103"/>
      <c r="NHL48" s="103"/>
      <c r="NHM48" s="103"/>
      <c r="NHN48" s="103"/>
      <c r="NHO48" s="103"/>
      <c r="NHP48" s="103"/>
      <c r="NHQ48" s="103"/>
      <c r="NHR48" s="103"/>
      <c r="NHS48" s="103"/>
      <c r="NHT48" s="103"/>
      <c r="NHU48" s="103"/>
      <c r="NHV48" s="103"/>
      <c r="NHW48" s="103"/>
      <c r="NHX48" s="103"/>
      <c r="NHY48" s="103"/>
      <c r="NHZ48" s="103"/>
      <c r="NIA48" s="103"/>
      <c r="NIB48" s="103"/>
      <c r="NIC48" s="103"/>
      <c r="NID48" s="103"/>
      <c r="NIE48" s="103"/>
      <c r="NIF48" s="103"/>
      <c r="NIG48" s="103"/>
      <c r="NIH48" s="103"/>
      <c r="NII48" s="103"/>
      <c r="NIJ48" s="103"/>
      <c r="NIK48" s="103"/>
      <c r="NIL48" s="103"/>
      <c r="NIM48" s="103"/>
      <c r="NIN48" s="103"/>
      <c r="NIO48" s="103"/>
      <c r="NIP48" s="103"/>
      <c r="NIQ48" s="103"/>
      <c r="NIR48" s="103"/>
      <c r="NIS48" s="103"/>
      <c r="NIT48" s="103"/>
      <c r="NIU48" s="103"/>
      <c r="NIV48" s="103"/>
      <c r="NIW48" s="103"/>
      <c r="NIX48" s="103"/>
      <c r="NIY48" s="103"/>
      <c r="NIZ48" s="103"/>
      <c r="NJA48" s="103"/>
      <c r="NJB48" s="103"/>
      <c r="NJC48" s="103"/>
      <c r="NJD48" s="103"/>
      <c r="NJE48" s="103"/>
      <c r="NJF48" s="103"/>
      <c r="NJG48" s="103"/>
      <c r="NJH48" s="103"/>
      <c r="NJI48" s="103"/>
      <c r="NJJ48" s="103"/>
      <c r="NJK48" s="103"/>
      <c r="NJL48" s="103"/>
      <c r="NJM48" s="103"/>
      <c r="NJN48" s="103"/>
      <c r="NJO48" s="103"/>
      <c r="NJP48" s="103"/>
      <c r="NJQ48" s="103"/>
      <c r="NJR48" s="103"/>
      <c r="NJS48" s="103"/>
      <c r="NJT48" s="103"/>
      <c r="NJU48" s="103"/>
      <c r="NJV48" s="103"/>
      <c r="NJW48" s="103"/>
      <c r="NJX48" s="103"/>
      <c r="NJY48" s="103"/>
      <c r="NJZ48" s="103"/>
      <c r="NKA48" s="103"/>
      <c r="NKB48" s="103"/>
      <c r="NKC48" s="103"/>
      <c r="NKD48" s="103"/>
      <c r="NKE48" s="103"/>
      <c r="NKF48" s="103"/>
      <c r="NKG48" s="103"/>
      <c r="NKH48" s="103"/>
      <c r="NKI48" s="103"/>
      <c r="NKJ48" s="103"/>
      <c r="NKK48" s="103"/>
      <c r="NKL48" s="103"/>
      <c r="NKM48" s="103"/>
      <c r="NKN48" s="103"/>
      <c r="NKO48" s="103"/>
      <c r="NKP48" s="103"/>
      <c r="NKQ48" s="103"/>
      <c r="NKR48" s="103"/>
      <c r="NKS48" s="103"/>
      <c r="NKT48" s="103"/>
      <c r="NKU48" s="103"/>
      <c r="NKV48" s="103"/>
      <c r="NKW48" s="103"/>
      <c r="NKX48" s="103"/>
      <c r="NKY48" s="103"/>
      <c r="NKZ48" s="103"/>
      <c r="NLA48" s="103"/>
      <c r="NLB48" s="103"/>
      <c r="NLC48" s="103"/>
      <c r="NLD48" s="103"/>
      <c r="NLE48" s="103"/>
      <c r="NLF48" s="103"/>
      <c r="NLG48" s="103"/>
      <c r="NLH48" s="103"/>
      <c r="NLI48" s="103"/>
      <c r="NLJ48" s="103"/>
      <c r="NLK48" s="103"/>
      <c r="NLL48" s="103"/>
      <c r="NLM48" s="103"/>
      <c r="NLN48" s="103"/>
      <c r="NLO48" s="103"/>
      <c r="NLP48" s="103"/>
      <c r="NLQ48" s="103"/>
      <c r="NLR48" s="103"/>
      <c r="NLS48" s="103"/>
      <c r="NLT48" s="103"/>
      <c r="NLU48" s="103"/>
      <c r="NLV48" s="103"/>
      <c r="NLW48" s="103"/>
      <c r="NLX48" s="103"/>
      <c r="NLY48" s="103"/>
      <c r="NLZ48" s="103"/>
      <c r="NMA48" s="103"/>
      <c r="NMB48" s="103"/>
      <c r="NMC48" s="103"/>
      <c r="NMD48" s="103"/>
      <c r="NME48" s="103"/>
      <c r="NMF48" s="103"/>
      <c r="NMG48" s="103"/>
      <c r="NMH48" s="103"/>
      <c r="NMI48" s="103"/>
      <c r="NMJ48" s="103"/>
      <c r="NMK48" s="103"/>
      <c r="NML48" s="103"/>
      <c r="NMM48" s="103"/>
      <c r="NMN48" s="103"/>
      <c r="NMO48" s="103"/>
      <c r="NMP48" s="103"/>
      <c r="NMQ48" s="103"/>
      <c r="NMR48" s="103"/>
      <c r="NMS48" s="103"/>
      <c r="NMT48" s="103"/>
      <c r="NMU48" s="103"/>
      <c r="NMV48" s="103"/>
      <c r="NMW48" s="103"/>
      <c r="NMX48" s="103"/>
      <c r="NMY48" s="103"/>
      <c r="NMZ48" s="103"/>
      <c r="NNA48" s="103"/>
      <c r="NNB48" s="103"/>
      <c r="NNC48" s="103"/>
      <c r="NND48" s="103"/>
      <c r="NNE48" s="103"/>
      <c r="NNF48" s="103"/>
      <c r="NNG48" s="103"/>
      <c r="NNH48" s="103"/>
      <c r="NNI48" s="103"/>
      <c r="NNJ48" s="103"/>
      <c r="NNK48" s="103"/>
      <c r="NNL48" s="103"/>
      <c r="NNM48" s="103"/>
      <c r="NNN48" s="103"/>
      <c r="NNO48" s="103"/>
      <c r="NNP48" s="103"/>
      <c r="NNQ48" s="103"/>
      <c r="NNR48" s="103"/>
      <c r="NNS48" s="103"/>
      <c r="NNT48" s="103"/>
      <c r="NNU48" s="103"/>
      <c r="NNV48" s="103"/>
      <c r="NNW48" s="103"/>
      <c r="NNX48" s="103"/>
      <c r="NNY48" s="103"/>
      <c r="NNZ48" s="103"/>
      <c r="NOA48" s="103"/>
      <c r="NOB48" s="103"/>
      <c r="NOC48" s="103"/>
      <c r="NOD48" s="103"/>
      <c r="NOE48" s="103"/>
      <c r="NOF48" s="103"/>
      <c r="NOG48" s="103"/>
      <c r="NOH48" s="103"/>
      <c r="NOI48" s="103"/>
      <c r="NOJ48" s="103"/>
      <c r="NOK48" s="103"/>
      <c r="NOL48" s="103"/>
      <c r="NOM48" s="103"/>
      <c r="NON48" s="103"/>
      <c r="NOO48" s="103"/>
      <c r="NOP48" s="103"/>
      <c r="NOQ48" s="103"/>
      <c r="NOR48" s="103"/>
      <c r="NOS48" s="103"/>
      <c r="NOT48" s="103"/>
      <c r="NOU48" s="103"/>
      <c r="NOV48" s="103"/>
      <c r="NOW48" s="103"/>
      <c r="NOX48" s="103"/>
      <c r="NOY48" s="103"/>
      <c r="NOZ48" s="103"/>
      <c r="NPA48" s="103"/>
      <c r="NPB48" s="103"/>
      <c r="NPC48" s="103"/>
      <c r="NPD48" s="103"/>
      <c r="NPE48" s="103"/>
      <c r="NPF48" s="103"/>
      <c r="NPG48" s="103"/>
      <c r="NPH48" s="103"/>
      <c r="NPI48" s="103"/>
      <c r="NPJ48" s="103"/>
      <c r="NPK48" s="103"/>
      <c r="NPL48" s="103"/>
      <c r="NPM48" s="103"/>
      <c r="NPN48" s="103"/>
      <c r="NPO48" s="103"/>
      <c r="NPP48" s="103"/>
      <c r="NPQ48" s="103"/>
      <c r="NPR48" s="103"/>
      <c r="NPS48" s="103"/>
      <c r="NPT48" s="103"/>
      <c r="NPU48" s="103"/>
      <c r="NPV48" s="103"/>
      <c r="NPW48" s="103"/>
      <c r="NPX48" s="103"/>
      <c r="NPY48" s="103"/>
      <c r="NPZ48" s="103"/>
      <c r="NQA48" s="103"/>
      <c r="NQB48" s="103"/>
      <c r="NQC48" s="103"/>
      <c r="NQD48" s="103"/>
      <c r="NQE48" s="103"/>
      <c r="NQF48" s="103"/>
      <c r="NQG48" s="103"/>
      <c r="NQH48" s="103"/>
      <c r="NQI48" s="103"/>
      <c r="NQJ48" s="103"/>
      <c r="NQK48" s="103"/>
      <c r="NQL48" s="103"/>
      <c r="NQM48" s="103"/>
      <c r="NQN48" s="103"/>
      <c r="NQO48" s="103"/>
      <c r="NQP48" s="103"/>
      <c r="NQQ48" s="103"/>
      <c r="NQR48" s="103"/>
      <c r="NQS48" s="103"/>
      <c r="NQT48" s="103"/>
      <c r="NQU48" s="103"/>
      <c r="NQV48" s="103"/>
      <c r="NQW48" s="103"/>
      <c r="NQX48" s="103"/>
      <c r="NQY48" s="103"/>
      <c r="NQZ48" s="103"/>
      <c r="NRA48" s="103"/>
      <c r="NRB48" s="103"/>
      <c r="NRC48" s="103"/>
      <c r="NRD48" s="103"/>
      <c r="NRE48" s="103"/>
      <c r="NRF48" s="103"/>
      <c r="NRG48" s="103"/>
      <c r="NRH48" s="103"/>
      <c r="NRI48" s="103"/>
      <c r="NRJ48" s="103"/>
      <c r="NRK48" s="103"/>
      <c r="NRL48" s="103"/>
      <c r="NRM48" s="103"/>
      <c r="NRN48" s="103"/>
      <c r="NRO48" s="103"/>
      <c r="NRP48" s="103"/>
      <c r="NRQ48" s="103"/>
      <c r="NRR48" s="103"/>
      <c r="NRS48" s="103"/>
      <c r="NRT48" s="103"/>
      <c r="NRU48" s="103"/>
      <c r="NRV48" s="103"/>
      <c r="NRW48" s="103"/>
      <c r="NRX48" s="103"/>
      <c r="NRY48" s="103"/>
      <c r="NRZ48" s="103"/>
      <c r="NSA48" s="103"/>
      <c r="NSB48" s="103"/>
      <c r="NSC48" s="103"/>
      <c r="NSD48" s="103"/>
      <c r="NSE48" s="103"/>
      <c r="NSF48" s="103"/>
      <c r="NSG48" s="103"/>
      <c r="NSH48" s="103"/>
      <c r="NSI48" s="103"/>
      <c r="NSJ48" s="103"/>
      <c r="NSK48" s="103"/>
      <c r="NSL48" s="103"/>
      <c r="NSM48" s="103"/>
      <c r="NSN48" s="103"/>
      <c r="NSO48" s="103"/>
      <c r="NSP48" s="103"/>
      <c r="NSQ48" s="103"/>
      <c r="NSR48" s="103"/>
      <c r="NSS48" s="103"/>
      <c r="NST48" s="103"/>
      <c r="NSU48" s="103"/>
      <c r="NSV48" s="103"/>
      <c r="NSW48" s="103"/>
      <c r="NSX48" s="103"/>
      <c r="NSY48" s="103"/>
      <c r="NSZ48" s="103"/>
      <c r="NTA48" s="103"/>
      <c r="NTB48" s="103"/>
      <c r="NTC48" s="103"/>
      <c r="NTD48" s="103"/>
      <c r="NTE48" s="103"/>
      <c r="NTF48" s="103"/>
      <c r="NTG48" s="103"/>
      <c r="NTH48" s="103"/>
      <c r="NTI48" s="103"/>
      <c r="NTJ48" s="103"/>
      <c r="NTK48" s="103"/>
      <c r="NTL48" s="103"/>
      <c r="NTM48" s="103"/>
      <c r="NTN48" s="103"/>
      <c r="NTO48" s="103"/>
      <c r="NTP48" s="103"/>
      <c r="NTQ48" s="103"/>
      <c r="NTR48" s="103"/>
      <c r="NTS48" s="103"/>
      <c r="NTT48" s="103"/>
      <c r="NTU48" s="103"/>
      <c r="NTV48" s="103"/>
      <c r="NTW48" s="103"/>
      <c r="NTX48" s="103"/>
      <c r="NTY48" s="103"/>
      <c r="NTZ48" s="103"/>
      <c r="NUA48" s="103"/>
      <c r="NUB48" s="103"/>
      <c r="NUC48" s="103"/>
      <c r="NUD48" s="103"/>
      <c r="NUE48" s="103"/>
      <c r="NUF48" s="103"/>
      <c r="NUG48" s="103"/>
      <c r="NUH48" s="103"/>
      <c r="NUI48" s="103"/>
      <c r="NUJ48" s="103"/>
      <c r="NUK48" s="103"/>
      <c r="NUL48" s="103"/>
      <c r="NUM48" s="103"/>
      <c r="NUN48" s="103"/>
      <c r="NUO48" s="103"/>
      <c r="NUP48" s="103"/>
      <c r="NUQ48" s="103"/>
      <c r="NUR48" s="103"/>
      <c r="NUS48" s="103"/>
      <c r="NUT48" s="103"/>
      <c r="NUU48" s="103"/>
      <c r="NUV48" s="103"/>
      <c r="NUW48" s="103"/>
      <c r="NUX48" s="103"/>
      <c r="NUY48" s="103"/>
      <c r="NUZ48" s="103"/>
      <c r="NVA48" s="103"/>
      <c r="NVB48" s="103"/>
      <c r="NVC48" s="103"/>
      <c r="NVD48" s="103"/>
      <c r="NVE48" s="103"/>
      <c r="NVF48" s="103"/>
      <c r="NVG48" s="103"/>
      <c r="NVH48" s="103"/>
      <c r="NVI48" s="103"/>
      <c r="NVJ48" s="103"/>
      <c r="NVK48" s="103"/>
      <c r="NVL48" s="103"/>
      <c r="NVM48" s="103"/>
      <c r="NVN48" s="103"/>
      <c r="NVO48" s="103"/>
      <c r="NVP48" s="103"/>
      <c r="NVQ48" s="103"/>
      <c r="NVR48" s="103"/>
      <c r="NVS48" s="103"/>
      <c r="NVT48" s="103"/>
      <c r="NVU48" s="103"/>
      <c r="NVV48" s="103"/>
      <c r="NVW48" s="103"/>
      <c r="NVX48" s="103"/>
      <c r="NVY48" s="103"/>
      <c r="NVZ48" s="103"/>
      <c r="NWA48" s="103"/>
      <c r="NWB48" s="103"/>
      <c r="NWC48" s="103"/>
      <c r="NWD48" s="103"/>
      <c r="NWE48" s="103"/>
      <c r="NWF48" s="103"/>
      <c r="NWG48" s="103"/>
      <c r="NWH48" s="103"/>
      <c r="NWI48" s="103"/>
      <c r="NWJ48" s="103"/>
      <c r="NWK48" s="103"/>
      <c r="NWL48" s="103"/>
      <c r="NWM48" s="103"/>
      <c r="NWN48" s="103"/>
      <c r="NWO48" s="103"/>
      <c r="NWP48" s="103"/>
      <c r="NWQ48" s="103"/>
      <c r="NWR48" s="103"/>
      <c r="NWS48" s="103"/>
      <c r="NWT48" s="103"/>
      <c r="NWU48" s="103"/>
      <c r="NWV48" s="103"/>
      <c r="NWW48" s="103"/>
      <c r="NWX48" s="103"/>
      <c r="NWY48" s="103"/>
      <c r="NWZ48" s="103"/>
      <c r="NXA48" s="103"/>
      <c r="NXB48" s="103"/>
      <c r="NXC48" s="103"/>
      <c r="NXD48" s="103"/>
      <c r="NXE48" s="103"/>
      <c r="NXF48" s="103"/>
      <c r="NXG48" s="103"/>
      <c r="NXH48" s="103"/>
      <c r="NXI48" s="103"/>
      <c r="NXJ48" s="103"/>
      <c r="NXK48" s="103"/>
      <c r="NXL48" s="103"/>
      <c r="NXM48" s="103"/>
      <c r="NXN48" s="103"/>
      <c r="NXO48" s="103"/>
      <c r="NXP48" s="103"/>
      <c r="NXQ48" s="103"/>
      <c r="NXR48" s="103"/>
      <c r="NXS48" s="103"/>
      <c r="NXT48" s="103"/>
      <c r="NXU48" s="103"/>
      <c r="NXV48" s="103"/>
      <c r="NXW48" s="103"/>
      <c r="NXX48" s="103"/>
      <c r="NXY48" s="103"/>
      <c r="NXZ48" s="103"/>
      <c r="NYA48" s="103"/>
      <c r="NYB48" s="103"/>
      <c r="NYC48" s="103"/>
      <c r="NYD48" s="103"/>
      <c r="NYE48" s="103"/>
      <c r="NYF48" s="103"/>
      <c r="NYG48" s="103"/>
      <c r="NYH48" s="103"/>
      <c r="NYI48" s="103"/>
      <c r="NYJ48" s="103"/>
      <c r="NYK48" s="103"/>
      <c r="NYL48" s="103"/>
      <c r="NYM48" s="103"/>
      <c r="NYN48" s="103"/>
      <c r="NYO48" s="103"/>
      <c r="NYP48" s="103"/>
      <c r="NYQ48" s="103"/>
      <c r="NYR48" s="103"/>
      <c r="NYS48" s="103"/>
      <c r="NYT48" s="103"/>
      <c r="NYU48" s="103"/>
      <c r="NYV48" s="103"/>
      <c r="NYW48" s="103"/>
      <c r="NYX48" s="103"/>
      <c r="NYY48" s="103"/>
      <c r="NYZ48" s="103"/>
      <c r="NZA48" s="103"/>
      <c r="NZB48" s="103"/>
      <c r="NZC48" s="103"/>
      <c r="NZD48" s="103"/>
      <c r="NZE48" s="103"/>
      <c r="NZF48" s="103"/>
      <c r="NZG48" s="103"/>
      <c r="NZH48" s="103"/>
      <c r="NZI48" s="103"/>
      <c r="NZJ48" s="103"/>
      <c r="NZK48" s="103"/>
      <c r="NZL48" s="103"/>
      <c r="NZM48" s="103"/>
      <c r="NZN48" s="103"/>
      <c r="NZO48" s="103"/>
      <c r="NZP48" s="103"/>
      <c r="NZQ48" s="103"/>
      <c r="NZR48" s="103"/>
      <c r="NZS48" s="103"/>
      <c r="NZT48" s="103"/>
      <c r="NZU48" s="103"/>
      <c r="NZV48" s="103"/>
      <c r="NZW48" s="103"/>
      <c r="NZX48" s="103"/>
      <c r="NZY48" s="103"/>
      <c r="NZZ48" s="103"/>
      <c r="OAA48" s="103"/>
      <c r="OAB48" s="103"/>
      <c r="OAC48" s="103"/>
      <c r="OAD48" s="103"/>
      <c r="OAE48" s="103"/>
      <c r="OAF48" s="103"/>
      <c r="OAG48" s="103"/>
      <c r="OAH48" s="103"/>
      <c r="OAI48" s="103"/>
      <c r="OAJ48" s="103"/>
      <c r="OAK48" s="103"/>
      <c r="OAL48" s="103"/>
      <c r="OAM48" s="103"/>
      <c r="OAN48" s="103"/>
      <c r="OAO48" s="103"/>
      <c r="OAP48" s="103"/>
      <c r="OAQ48" s="103"/>
      <c r="OAR48" s="103"/>
      <c r="OAS48" s="103"/>
      <c r="OAT48" s="103"/>
      <c r="OAU48" s="103"/>
      <c r="OAV48" s="103"/>
      <c r="OAW48" s="103"/>
      <c r="OAX48" s="103"/>
      <c r="OAY48" s="103"/>
      <c r="OAZ48" s="103"/>
      <c r="OBA48" s="103"/>
      <c r="OBB48" s="103"/>
      <c r="OBC48" s="103"/>
      <c r="OBD48" s="103"/>
      <c r="OBE48" s="103"/>
      <c r="OBF48" s="103"/>
      <c r="OBG48" s="103"/>
      <c r="OBH48" s="103"/>
      <c r="OBI48" s="103"/>
      <c r="OBJ48" s="103"/>
      <c r="OBK48" s="103"/>
      <c r="OBL48" s="103"/>
      <c r="OBM48" s="103"/>
      <c r="OBN48" s="103"/>
      <c r="OBO48" s="103"/>
      <c r="OBP48" s="103"/>
      <c r="OBQ48" s="103"/>
      <c r="OBR48" s="103"/>
      <c r="OBS48" s="103"/>
      <c r="OBT48" s="103"/>
      <c r="OBU48" s="103"/>
      <c r="OBV48" s="103"/>
      <c r="OBW48" s="103"/>
      <c r="OBX48" s="103"/>
      <c r="OBY48" s="103"/>
      <c r="OBZ48" s="103"/>
      <c r="OCA48" s="103"/>
      <c r="OCB48" s="103"/>
      <c r="OCC48" s="103"/>
      <c r="OCD48" s="103"/>
      <c r="OCE48" s="103"/>
      <c r="OCF48" s="103"/>
      <c r="OCG48" s="103"/>
      <c r="OCH48" s="103"/>
      <c r="OCI48" s="103"/>
      <c r="OCJ48" s="103"/>
      <c r="OCK48" s="103"/>
      <c r="OCL48" s="103"/>
      <c r="OCM48" s="103"/>
      <c r="OCN48" s="103"/>
      <c r="OCO48" s="103"/>
      <c r="OCP48" s="103"/>
      <c r="OCQ48" s="103"/>
      <c r="OCR48" s="103"/>
      <c r="OCS48" s="103"/>
      <c r="OCT48" s="103"/>
      <c r="OCU48" s="103"/>
      <c r="OCV48" s="103"/>
      <c r="OCW48" s="103"/>
      <c r="OCX48" s="103"/>
      <c r="OCY48" s="103"/>
      <c r="OCZ48" s="103"/>
      <c r="ODA48" s="103"/>
      <c r="ODB48" s="103"/>
      <c r="ODC48" s="103"/>
      <c r="ODD48" s="103"/>
      <c r="ODE48" s="103"/>
      <c r="ODF48" s="103"/>
      <c r="ODG48" s="103"/>
      <c r="ODH48" s="103"/>
      <c r="ODI48" s="103"/>
      <c r="ODJ48" s="103"/>
      <c r="ODK48" s="103"/>
      <c r="ODL48" s="103"/>
      <c r="ODM48" s="103"/>
      <c r="ODN48" s="103"/>
      <c r="ODO48" s="103"/>
      <c r="ODP48" s="103"/>
      <c r="ODQ48" s="103"/>
      <c r="ODR48" s="103"/>
      <c r="ODS48" s="103"/>
      <c r="ODT48" s="103"/>
      <c r="ODU48" s="103"/>
      <c r="ODV48" s="103"/>
      <c r="ODW48" s="103"/>
      <c r="ODX48" s="103"/>
      <c r="ODY48" s="103"/>
      <c r="ODZ48" s="103"/>
      <c r="OEA48" s="103"/>
      <c r="OEB48" s="103"/>
      <c r="OEC48" s="103"/>
      <c r="OED48" s="103"/>
      <c r="OEE48" s="103"/>
      <c r="OEF48" s="103"/>
      <c r="OEG48" s="103"/>
      <c r="OEH48" s="103"/>
      <c r="OEI48" s="103"/>
      <c r="OEJ48" s="103"/>
      <c r="OEK48" s="103"/>
      <c r="OEL48" s="103"/>
      <c r="OEM48" s="103"/>
      <c r="OEN48" s="103"/>
      <c r="OEO48" s="103"/>
      <c r="OEP48" s="103"/>
      <c r="OEQ48" s="103"/>
      <c r="OER48" s="103"/>
      <c r="OES48" s="103"/>
      <c r="OET48" s="103"/>
      <c r="OEU48" s="103"/>
      <c r="OEV48" s="103"/>
      <c r="OEW48" s="103"/>
      <c r="OEX48" s="103"/>
      <c r="OEY48" s="103"/>
      <c r="OEZ48" s="103"/>
      <c r="OFA48" s="103"/>
      <c r="OFB48" s="103"/>
      <c r="OFC48" s="103"/>
      <c r="OFD48" s="103"/>
      <c r="OFE48" s="103"/>
      <c r="OFF48" s="103"/>
      <c r="OFG48" s="103"/>
      <c r="OFH48" s="103"/>
      <c r="OFI48" s="103"/>
      <c r="OFJ48" s="103"/>
      <c r="OFK48" s="103"/>
      <c r="OFL48" s="103"/>
      <c r="OFM48" s="103"/>
      <c r="OFN48" s="103"/>
      <c r="OFO48" s="103"/>
      <c r="OFP48" s="103"/>
      <c r="OFQ48" s="103"/>
      <c r="OFR48" s="103"/>
      <c r="OFS48" s="103"/>
      <c r="OFT48" s="103"/>
      <c r="OFU48" s="103"/>
      <c r="OFV48" s="103"/>
      <c r="OFW48" s="103"/>
      <c r="OFX48" s="103"/>
      <c r="OFY48" s="103"/>
      <c r="OFZ48" s="103"/>
      <c r="OGA48" s="103"/>
      <c r="OGB48" s="103"/>
      <c r="OGC48" s="103"/>
      <c r="OGD48" s="103"/>
      <c r="OGE48" s="103"/>
      <c r="OGF48" s="103"/>
      <c r="OGG48" s="103"/>
      <c r="OGH48" s="103"/>
      <c r="OGI48" s="103"/>
      <c r="OGJ48" s="103"/>
      <c r="OGK48" s="103"/>
      <c r="OGL48" s="103"/>
      <c r="OGM48" s="103"/>
      <c r="OGN48" s="103"/>
      <c r="OGO48" s="103"/>
      <c r="OGP48" s="103"/>
      <c r="OGQ48" s="103"/>
      <c r="OGR48" s="103"/>
      <c r="OGS48" s="103"/>
      <c r="OGT48" s="103"/>
      <c r="OGU48" s="103"/>
      <c r="OGV48" s="103"/>
      <c r="OGW48" s="103"/>
      <c r="OGX48" s="103"/>
      <c r="OGY48" s="103"/>
      <c r="OGZ48" s="103"/>
      <c r="OHA48" s="103"/>
      <c r="OHB48" s="103"/>
      <c r="OHC48" s="103"/>
      <c r="OHD48" s="103"/>
      <c r="OHE48" s="103"/>
      <c r="OHF48" s="103"/>
      <c r="OHG48" s="103"/>
      <c r="OHH48" s="103"/>
      <c r="OHI48" s="103"/>
      <c r="OHJ48" s="103"/>
      <c r="OHK48" s="103"/>
      <c r="OHL48" s="103"/>
      <c r="OHM48" s="103"/>
      <c r="OHN48" s="103"/>
      <c r="OHO48" s="103"/>
      <c r="OHP48" s="103"/>
      <c r="OHQ48" s="103"/>
      <c r="OHR48" s="103"/>
      <c r="OHS48" s="103"/>
      <c r="OHT48" s="103"/>
      <c r="OHU48" s="103"/>
      <c r="OHV48" s="103"/>
      <c r="OHW48" s="103"/>
      <c r="OHX48" s="103"/>
      <c r="OHY48" s="103"/>
      <c r="OHZ48" s="103"/>
      <c r="OIA48" s="103"/>
      <c r="OIB48" s="103"/>
      <c r="OIC48" s="103"/>
      <c r="OID48" s="103"/>
      <c r="OIE48" s="103"/>
      <c r="OIF48" s="103"/>
      <c r="OIG48" s="103"/>
      <c r="OIH48" s="103"/>
      <c r="OII48" s="103"/>
      <c r="OIJ48" s="103"/>
      <c r="OIK48" s="103"/>
      <c r="OIL48" s="103"/>
      <c r="OIM48" s="103"/>
      <c r="OIN48" s="103"/>
      <c r="OIO48" s="103"/>
      <c r="OIP48" s="103"/>
      <c r="OIQ48" s="103"/>
      <c r="OIR48" s="103"/>
      <c r="OIS48" s="103"/>
      <c r="OIT48" s="103"/>
      <c r="OIU48" s="103"/>
      <c r="OIV48" s="103"/>
      <c r="OIW48" s="103"/>
      <c r="OIX48" s="103"/>
      <c r="OIY48" s="103"/>
      <c r="OIZ48" s="103"/>
      <c r="OJA48" s="103"/>
      <c r="OJB48" s="103"/>
      <c r="OJC48" s="103"/>
      <c r="OJD48" s="103"/>
      <c r="OJE48" s="103"/>
      <c r="OJF48" s="103"/>
      <c r="OJG48" s="103"/>
      <c r="OJH48" s="103"/>
      <c r="OJI48" s="103"/>
      <c r="OJJ48" s="103"/>
      <c r="OJK48" s="103"/>
      <c r="OJL48" s="103"/>
      <c r="OJM48" s="103"/>
      <c r="OJN48" s="103"/>
      <c r="OJO48" s="103"/>
      <c r="OJP48" s="103"/>
      <c r="OJQ48" s="103"/>
      <c r="OJR48" s="103"/>
      <c r="OJS48" s="103"/>
      <c r="OJT48" s="103"/>
      <c r="OJU48" s="103"/>
      <c r="OJV48" s="103"/>
      <c r="OJW48" s="103"/>
      <c r="OJX48" s="103"/>
      <c r="OJY48" s="103"/>
      <c r="OJZ48" s="103"/>
      <c r="OKA48" s="103"/>
      <c r="OKB48" s="103"/>
      <c r="OKC48" s="103"/>
      <c r="OKD48" s="103"/>
      <c r="OKE48" s="103"/>
      <c r="OKF48" s="103"/>
      <c r="OKG48" s="103"/>
      <c r="OKH48" s="103"/>
      <c r="OKI48" s="103"/>
      <c r="OKJ48" s="103"/>
      <c r="OKK48" s="103"/>
      <c r="OKL48" s="103"/>
      <c r="OKM48" s="103"/>
      <c r="OKN48" s="103"/>
      <c r="OKO48" s="103"/>
      <c r="OKP48" s="103"/>
      <c r="OKQ48" s="103"/>
      <c r="OKR48" s="103"/>
      <c r="OKS48" s="103"/>
      <c r="OKT48" s="103"/>
      <c r="OKU48" s="103"/>
      <c r="OKV48" s="103"/>
      <c r="OKW48" s="103"/>
      <c r="OKX48" s="103"/>
      <c r="OKY48" s="103"/>
      <c r="OKZ48" s="103"/>
      <c r="OLA48" s="103"/>
      <c r="OLB48" s="103"/>
      <c r="OLC48" s="103"/>
      <c r="OLD48" s="103"/>
      <c r="OLE48" s="103"/>
      <c r="OLF48" s="103"/>
      <c r="OLG48" s="103"/>
      <c r="OLH48" s="103"/>
      <c r="OLI48" s="103"/>
      <c r="OLJ48" s="103"/>
      <c r="OLK48" s="103"/>
      <c r="OLL48" s="103"/>
      <c r="OLM48" s="103"/>
      <c r="OLN48" s="103"/>
      <c r="OLO48" s="103"/>
      <c r="OLP48" s="103"/>
      <c r="OLQ48" s="103"/>
      <c r="OLR48" s="103"/>
      <c r="OLS48" s="103"/>
      <c r="OLT48" s="103"/>
      <c r="OLU48" s="103"/>
      <c r="OLV48" s="103"/>
      <c r="OLW48" s="103"/>
      <c r="OLX48" s="103"/>
      <c r="OLY48" s="103"/>
      <c r="OLZ48" s="103"/>
      <c r="OMA48" s="103"/>
      <c r="OMB48" s="103"/>
      <c r="OMC48" s="103"/>
      <c r="OMD48" s="103"/>
      <c r="OME48" s="103"/>
      <c r="OMF48" s="103"/>
      <c r="OMG48" s="103"/>
      <c r="OMH48" s="103"/>
      <c r="OMI48" s="103"/>
      <c r="OMJ48" s="103"/>
      <c r="OMK48" s="103"/>
      <c r="OML48" s="103"/>
      <c r="OMM48" s="103"/>
      <c r="OMN48" s="103"/>
      <c r="OMO48" s="103"/>
      <c r="OMP48" s="103"/>
      <c r="OMQ48" s="103"/>
      <c r="OMR48" s="103"/>
      <c r="OMS48" s="103"/>
      <c r="OMT48" s="103"/>
      <c r="OMU48" s="103"/>
      <c r="OMV48" s="103"/>
      <c r="OMW48" s="103"/>
      <c r="OMX48" s="103"/>
      <c r="OMY48" s="103"/>
      <c r="OMZ48" s="103"/>
      <c r="ONA48" s="103"/>
      <c r="ONB48" s="103"/>
      <c r="ONC48" s="103"/>
      <c r="OND48" s="103"/>
      <c r="ONE48" s="103"/>
      <c r="ONF48" s="103"/>
      <c r="ONG48" s="103"/>
      <c r="ONH48" s="103"/>
      <c r="ONI48" s="103"/>
      <c r="ONJ48" s="103"/>
      <c r="ONK48" s="103"/>
      <c r="ONL48" s="103"/>
      <c r="ONM48" s="103"/>
      <c r="ONN48" s="103"/>
      <c r="ONO48" s="103"/>
      <c r="ONP48" s="103"/>
      <c r="ONQ48" s="103"/>
      <c r="ONR48" s="103"/>
      <c r="ONS48" s="103"/>
      <c r="ONT48" s="103"/>
      <c r="ONU48" s="103"/>
      <c r="ONV48" s="103"/>
      <c r="ONW48" s="103"/>
      <c r="ONX48" s="103"/>
      <c r="ONY48" s="103"/>
      <c r="ONZ48" s="103"/>
      <c r="OOA48" s="103"/>
      <c r="OOB48" s="103"/>
      <c r="OOC48" s="103"/>
      <c r="OOD48" s="103"/>
      <c r="OOE48" s="103"/>
      <c r="OOF48" s="103"/>
      <c r="OOG48" s="103"/>
      <c r="OOH48" s="103"/>
      <c r="OOI48" s="103"/>
      <c r="OOJ48" s="103"/>
      <c r="OOK48" s="103"/>
      <c r="OOL48" s="103"/>
      <c r="OOM48" s="103"/>
      <c r="OON48" s="103"/>
      <c r="OOO48" s="103"/>
      <c r="OOP48" s="103"/>
      <c r="OOQ48" s="103"/>
      <c r="OOR48" s="103"/>
      <c r="OOS48" s="103"/>
      <c r="OOT48" s="103"/>
      <c r="OOU48" s="103"/>
      <c r="OOV48" s="103"/>
      <c r="OOW48" s="103"/>
      <c r="OOX48" s="103"/>
      <c r="OOY48" s="103"/>
      <c r="OOZ48" s="103"/>
      <c r="OPA48" s="103"/>
      <c r="OPB48" s="103"/>
      <c r="OPC48" s="103"/>
      <c r="OPD48" s="103"/>
      <c r="OPE48" s="103"/>
      <c r="OPF48" s="103"/>
      <c r="OPG48" s="103"/>
      <c r="OPH48" s="103"/>
      <c r="OPI48" s="103"/>
      <c r="OPJ48" s="103"/>
      <c r="OPK48" s="103"/>
      <c r="OPL48" s="103"/>
      <c r="OPM48" s="103"/>
      <c r="OPN48" s="103"/>
      <c r="OPO48" s="103"/>
      <c r="OPP48" s="103"/>
      <c r="OPQ48" s="103"/>
      <c r="OPR48" s="103"/>
      <c r="OPS48" s="103"/>
      <c r="OPT48" s="103"/>
      <c r="OPU48" s="103"/>
      <c r="OPV48" s="103"/>
      <c r="OPW48" s="103"/>
      <c r="OPX48" s="103"/>
      <c r="OPY48" s="103"/>
      <c r="OPZ48" s="103"/>
      <c r="OQA48" s="103"/>
      <c r="OQB48" s="103"/>
      <c r="OQC48" s="103"/>
      <c r="OQD48" s="103"/>
      <c r="OQE48" s="103"/>
      <c r="OQF48" s="103"/>
      <c r="OQG48" s="103"/>
      <c r="OQH48" s="103"/>
      <c r="OQI48" s="103"/>
      <c r="OQJ48" s="103"/>
      <c r="OQK48" s="103"/>
      <c r="OQL48" s="103"/>
      <c r="OQM48" s="103"/>
      <c r="OQN48" s="103"/>
      <c r="OQO48" s="103"/>
      <c r="OQP48" s="103"/>
      <c r="OQQ48" s="103"/>
      <c r="OQR48" s="103"/>
      <c r="OQS48" s="103"/>
      <c r="OQT48" s="103"/>
      <c r="OQU48" s="103"/>
      <c r="OQV48" s="103"/>
      <c r="OQW48" s="103"/>
      <c r="OQX48" s="103"/>
      <c r="OQY48" s="103"/>
      <c r="OQZ48" s="103"/>
      <c r="ORA48" s="103"/>
      <c r="ORB48" s="103"/>
      <c r="ORC48" s="103"/>
      <c r="ORD48" s="103"/>
      <c r="ORE48" s="103"/>
      <c r="ORF48" s="103"/>
      <c r="ORG48" s="103"/>
      <c r="ORH48" s="103"/>
      <c r="ORI48" s="103"/>
      <c r="ORJ48" s="103"/>
      <c r="ORK48" s="103"/>
      <c r="ORL48" s="103"/>
      <c r="ORM48" s="103"/>
      <c r="ORN48" s="103"/>
      <c r="ORO48" s="103"/>
      <c r="ORP48" s="103"/>
      <c r="ORQ48" s="103"/>
      <c r="ORR48" s="103"/>
      <c r="ORS48" s="103"/>
      <c r="ORT48" s="103"/>
      <c r="ORU48" s="103"/>
      <c r="ORV48" s="103"/>
      <c r="ORW48" s="103"/>
      <c r="ORX48" s="103"/>
      <c r="ORY48" s="103"/>
      <c r="ORZ48" s="103"/>
      <c r="OSA48" s="103"/>
      <c r="OSB48" s="103"/>
      <c r="OSC48" s="103"/>
      <c r="OSD48" s="103"/>
      <c r="OSE48" s="103"/>
      <c r="OSF48" s="103"/>
      <c r="OSG48" s="103"/>
      <c r="OSH48" s="103"/>
      <c r="OSI48" s="103"/>
      <c r="OSJ48" s="103"/>
      <c r="OSK48" s="103"/>
      <c r="OSL48" s="103"/>
      <c r="OSM48" s="103"/>
      <c r="OSN48" s="103"/>
      <c r="OSO48" s="103"/>
      <c r="OSP48" s="103"/>
      <c r="OSQ48" s="103"/>
      <c r="OSR48" s="103"/>
      <c r="OSS48" s="103"/>
      <c r="OST48" s="103"/>
      <c r="OSU48" s="103"/>
      <c r="OSV48" s="103"/>
      <c r="OSW48" s="103"/>
      <c r="OSX48" s="103"/>
      <c r="OSY48" s="103"/>
      <c r="OSZ48" s="103"/>
      <c r="OTA48" s="103"/>
      <c r="OTB48" s="103"/>
      <c r="OTC48" s="103"/>
      <c r="OTD48" s="103"/>
      <c r="OTE48" s="103"/>
      <c r="OTF48" s="103"/>
      <c r="OTG48" s="103"/>
      <c r="OTH48" s="103"/>
      <c r="OTI48" s="103"/>
      <c r="OTJ48" s="103"/>
      <c r="OTK48" s="103"/>
      <c r="OTL48" s="103"/>
      <c r="OTM48" s="103"/>
      <c r="OTN48" s="103"/>
      <c r="OTO48" s="103"/>
      <c r="OTP48" s="103"/>
      <c r="OTQ48" s="103"/>
      <c r="OTR48" s="103"/>
      <c r="OTS48" s="103"/>
      <c r="OTT48" s="103"/>
      <c r="OTU48" s="103"/>
      <c r="OTV48" s="103"/>
      <c r="OTW48" s="103"/>
      <c r="OTX48" s="103"/>
      <c r="OTY48" s="103"/>
      <c r="OTZ48" s="103"/>
      <c r="OUA48" s="103"/>
      <c r="OUB48" s="103"/>
      <c r="OUC48" s="103"/>
      <c r="OUD48" s="103"/>
      <c r="OUE48" s="103"/>
      <c r="OUF48" s="103"/>
      <c r="OUG48" s="103"/>
      <c r="OUH48" s="103"/>
      <c r="OUI48" s="103"/>
      <c r="OUJ48" s="103"/>
      <c r="OUK48" s="103"/>
      <c r="OUL48" s="103"/>
      <c r="OUM48" s="103"/>
      <c r="OUN48" s="103"/>
      <c r="OUO48" s="103"/>
      <c r="OUP48" s="103"/>
      <c r="OUQ48" s="103"/>
      <c r="OUR48" s="103"/>
      <c r="OUS48" s="103"/>
      <c r="OUT48" s="103"/>
      <c r="OUU48" s="103"/>
      <c r="OUV48" s="103"/>
      <c r="OUW48" s="103"/>
      <c r="OUX48" s="103"/>
      <c r="OUY48" s="103"/>
      <c r="OUZ48" s="103"/>
      <c r="OVA48" s="103"/>
      <c r="OVB48" s="103"/>
      <c r="OVC48" s="103"/>
      <c r="OVD48" s="103"/>
      <c r="OVE48" s="103"/>
      <c r="OVF48" s="103"/>
      <c r="OVG48" s="103"/>
      <c r="OVH48" s="103"/>
      <c r="OVI48" s="103"/>
      <c r="OVJ48" s="103"/>
      <c r="OVK48" s="103"/>
      <c r="OVL48" s="103"/>
      <c r="OVM48" s="103"/>
      <c r="OVN48" s="103"/>
      <c r="OVO48" s="103"/>
      <c r="OVP48" s="103"/>
      <c r="OVQ48" s="103"/>
      <c r="OVR48" s="103"/>
      <c r="OVS48" s="103"/>
      <c r="OVT48" s="103"/>
      <c r="OVU48" s="103"/>
      <c r="OVV48" s="103"/>
      <c r="OVW48" s="103"/>
      <c r="OVX48" s="103"/>
      <c r="OVY48" s="103"/>
      <c r="OVZ48" s="103"/>
      <c r="OWA48" s="103"/>
      <c r="OWB48" s="103"/>
      <c r="OWC48" s="103"/>
      <c r="OWD48" s="103"/>
      <c r="OWE48" s="103"/>
      <c r="OWF48" s="103"/>
      <c r="OWG48" s="103"/>
      <c r="OWH48" s="103"/>
      <c r="OWI48" s="103"/>
      <c r="OWJ48" s="103"/>
      <c r="OWK48" s="103"/>
      <c r="OWL48" s="103"/>
      <c r="OWM48" s="103"/>
      <c r="OWN48" s="103"/>
      <c r="OWO48" s="103"/>
      <c r="OWP48" s="103"/>
      <c r="OWQ48" s="103"/>
      <c r="OWR48" s="103"/>
      <c r="OWS48" s="103"/>
      <c r="OWT48" s="103"/>
      <c r="OWU48" s="103"/>
      <c r="OWV48" s="103"/>
      <c r="OWW48" s="103"/>
      <c r="OWX48" s="103"/>
      <c r="OWY48" s="103"/>
      <c r="OWZ48" s="103"/>
      <c r="OXA48" s="103"/>
      <c r="OXB48" s="103"/>
      <c r="OXC48" s="103"/>
      <c r="OXD48" s="103"/>
      <c r="OXE48" s="103"/>
      <c r="OXF48" s="103"/>
      <c r="OXG48" s="103"/>
      <c r="OXH48" s="103"/>
      <c r="OXI48" s="103"/>
      <c r="OXJ48" s="103"/>
      <c r="OXK48" s="103"/>
      <c r="OXL48" s="103"/>
      <c r="OXM48" s="103"/>
      <c r="OXN48" s="103"/>
      <c r="OXO48" s="103"/>
      <c r="OXP48" s="103"/>
      <c r="OXQ48" s="103"/>
      <c r="OXR48" s="103"/>
      <c r="OXS48" s="103"/>
      <c r="OXT48" s="103"/>
      <c r="OXU48" s="103"/>
      <c r="OXV48" s="103"/>
      <c r="OXW48" s="103"/>
      <c r="OXX48" s="103"/>
      <c r="OXY48" s="103"/>
      <c r="OXZ48" s="103"/>
      <c r="OYA48" s="103"/>
      <c r="OYB48" s="103"/>
      <c r="OYC48" s="103"/>
      <c r="OYD48" s="103"/>
      <c r="OYE48" s="103"/>
      <c r="OYF48" s="103"/>
      <c r="OYG48" s="103"/>
      <c r="OYH48" s="103"/>
      <c r="OYI48" s="103"/>
      <c r="OYJ48" s="103"/>
      <c r="OYK48" s="103"/>
      <c r="OYL48" s="103"/>
      <c r="OYM48" s="103"/>
      <c r="OYN48" s="103"/>
      <c r="OYO48" s="103"/>
      <c r="OYP48" s="103"/>
      <c r="OYQ48" s="103"/>
      <c r="OYR48" s="103"/>
      <c r="OYS48" s="103"/>
      <c r="OYT48" s="103"/>
      <c r="OYU48" s="103"/>
      <c r="OYV48" s="103"/>
      <c r="OYW48" s="103"/>
      <c r="OYX48" s="103"/>
      <c r="OYY48" s="103"/>
      <c r="OYZ48" s="103"/>
      <c r="OZA48" s="103"/>
      <c r="OZB48" s="103"/>
      <c r="OZC48" s="103"/>
      <c r="OZD48" s="103"/>
      <c r="OZE48" s="103"/>
      <c r="OZF48" s="103"/>
      <c r="OZG48" s="103"/>
      <c r="OZH48" s="103"/>
      <c r="OZI48" s="103"/>
      <c r="OZJ48" s="103"/>
      <c r="OZK48" s="103"/>
      <c r="OZL48" s="103"/>
      <c r="OZM48" s="103"/>
      <c r="OZN48" s="103"/>
      <c r="OZO48" s="103"/>
      <c r="OZP48" s="103"/>
      <c r="OZQ48" s="103"/>
      <c r="OZR48" s="103"/>
      <c r="OZS48" s="103"/>
      <c r="OZT48" s="103"/>
      <c r="OZU48" s="103"/>
      <c r="OZV48" s="103"/>
      <c r="OZW48" s="103"/>
      <c r="OZX48" s="103"/>
      <c r="OZY48" s="103"/>
      <c r="OZZ48" s="103"/>
      <c r="PAA48" s="103"/>
      <c r="PAB48" s="103"/>
      <c r="PAC48" s="103"/>
      <c r="PAD48" s="103"/>
      <c r="PAE48" s="103"/>
      <c r="PAF48" s="103"/>
      <c r="PAG48" s="103"/>
      <c r="PAH48" s="103"/>
      <c r="PAI48" s="103"/>
      <c r="PAJ48" s="103"/>
      <c r="PAK48" s="103"/>
      <c r="PAL48" s="103"/>
      <c r="PAM48" s="103"/>
      <c r="PAN48" s="103"/>
      <c r="PAO48" s="103"/>
      <c r="PAP48" s="103"/>
      <c r="PAQ48" s="103"/>
      <c r="PAR48" s="103"/>
      <c r="PAS48" s="103"/>
      <c r="PAT48" s="103"/>
      <c r="PAU48" s="103"/>
      <c r="PAV48" s="103"/>
      <c r="PAW48" s="103"/>
      <c r="PAX48" s="103"/>
      <c r="PAY48" s="103"/>
      <c r="PAZ48" s="103"/>
      <c r="PBA48" s="103"/>
      <c r="PBB48" s="103"/>
      <c r="PBC48" s="103"/>
      <c r="PBD48" s="103"/>
      <c r="PBE48" s="103"/>
      <c r="PBF48" s="103"/>
      <c r="PBG48" s="103"/>
      <c r="PBH48" s="103"/>
      <c r="PBI48" s="103"/>
      <c r="PBJ48" s="103"/>
      <c r="PBK48" s="103"/>
      <c r="PBL48" s="103"/>
      <c r="PBM48" s="103"/>
      <c r="PBN48" s="103"/>
      <c r="PBO48" s="103"/>
      <c r="PBP48" s="103"/>
      <c r="PBQ48" s="103"/>
      <c r="PBR48" s="103"/>
      <c r="PBS48" s="103"/>
      <c r="PBT48" s="103"/>
      <c r="PBU48" s="103"/>
      <c r="PBV48" s="103"/>
      <c r="PBW48" s="103"/>
      <c r="PBX48" s="103"/>
      <c r="PBY48" s="103"/>
      <c r="PBZ48" s="103"/>
      <c r="PCA48" s="103"/>
      <c r="PCB48" s="103"/>
      <c r="PCC48" s="103"/>
      <c r="PCD48" s="103"/>
      <c r="PCE48" s="103"/>
      <c r="PCF48" s="103"/>
      <c r="PCG48" s="103"/>
      <c r="PCH48" s="103"/>
      <c r="PCI48" s="103"/>
      <c r="PCJ48" s="103"/>
      <c r="PCK48" s="103"/>
      <c r="PCL48" s="103"/>
      <c r="PCM48" s="103"/>
      <c r="PCN48" s="103"/>
      <c r="PCO48" s="103"/>
      <c r="PCP48" s="103"/>
      <c r="PCQ48" s="103"/>
      <c r="PCR48" s="103"/>
      <c r="PCS48" s="103"/>
      <c r="PCT48" s="103"/>
      <c r="PCU48" s="103"/>
      <c r="PCV48" s="103"/>
      <c r="PCW48" s="103"/>
      <c r="PCX48" s="103"/>
      <c r="PCY48" s="103"/>
      <c r="PCZ48" s="103"/>
      <c r="PDA48" s="103"/>
      <c r="PDB48" s="103"/>
      <c r="PDC48" s="103"/>
      <c r="PDD48" s="103"/>
      <c r="PDE48" s="103"/>
      <c r="PDF48" s="103"/>
      <c r="PDG48" s="103"/>
      <c r="PDH48" s="103"/>
      <c r="PDI48" s="103"/>
      <c r="PDJ48" s="103"/>
      <c r="PDK48" s="103"/>
      <c r="PDL48" s="103"/>
      <c r="PDM48" s="103"/>
      <c r="PDN48" s="103"/>
      <c r="PDO48" s="103"/>
      <c r="PDP48" s="103"/>
      <c r="PDQ48" s="103"/>
      <c r="PDR48" s="103"/>
      <c r="PDS48" s="103"/>
      <c r="PDT48" s="103"/>
      <c r="PDU48" s="103"/>
      <c r="PDV48" s="103"/>
      <c r="PDW48" s="103"/>
      <c r="PDX48" s="103"/>
      <c r="PDY48" s="103"/>
      <c r="PDZ48" s="103"/>
      <c r="PEA48" s="103"/>
      <c r="PEB48" s="103"/>
      <c r="PEC48" s="103"/>
      <c r="PED48" s="103"/>
      <c r="PEE48" s="103"/>
      <c r="PEF48" s="103"/>
      <c r="PEG48" s="103"/>
      <c r="PEH48" s="103"/>
      <c r="PEI48" s="103"/>
      <c r="PEJ48" s="103"/>
      <c r="PEK48" s="103"/>
      <c r="PEL48" s="103"/>
      <c r="PEM48" s="103"/>
      <c r="PEN48" s="103"/>
      <c r="PEO48" s="103"/>
      <c r="PEP48" s="103"/>
      <c r="PEQ48" s="103"/>
      <c r="PER48" s="103"/>
      <c r="PES48" s="103"/>
      <c r="PET48" s="103"/>
      <c r="PEU48" s="103"/>
      <c r="PEV48" s="103"/>
      <c r="PEW48" s="103"/>
      <c r="PEX48" s="103"/>
      <c r="PEY48" s="103"/>
      <c r="PEZ48" s="103"/>
      <c r="PFA48" s="103"/>
      <c r="PFB48" s="103"/>
      <c r="PFC48" s="103"/>
      <c r="PFD48" s="103"/>
      <c r="PFE48" s="103"/>
      <c r="PFF48" s="103"/>
      <c r="PFG48" s="103"/>
      <c r="PFH48" s="103"/>
      <c r="PFI48" s="103"/>
      <c r="PFJ48" s="103"/>
      <c r="PFK48" s="103"/>
      <c r="PFL48" s="103"/>
      <c r="PFM48" s="103"/>
      <c r="PFN48" s="103"/>
      <c r="PFO48" s="103"/>
      <c r="PFP48" s="103"/>
      <c r="PFQ48" s="103"/>
      <c r="PFR48" s="103"/>
      <c r="PFS48" s="103"/>
      <c r="PFT48" s="103"/>
      <c r="PFU48" s="103"/>
      <c r="PFV48" s="103"/>
      <c r="PFW48" s="103"/>
      <c r="PFX48" s="103"/>
      <c r="PFY48" s="103"/>
      <c r="PFZ48" s="103"/>
      <c r="PGA48" s="103"/>
      <c r="PGB48" s="103"/>
      <c r="PGC48" s="103"/>
      <c r="PGD48" s="103"/>
      <c r="PGE48" s="103"/>
      <c r="PGF48" s="103"/>
      <c r="PGG48" s="103"/>
      <c r="PGH48" s="103"/>
      <c r="PGI48" s="103"/>
      <c r="PGJ48" s="103"/>
      <c r="PGK48" s="103"/>
      <c r="PGL48" s="103"/>
      <c r="PGM48" s="103"/>
      <c r="PGN48" s="103"/>
      <c r="PGO48" s="103"/>
      <c r="PGP48" s="103"/>
      <c r="PGQ48" s="103"/>
      <c r="PGR48" s="103"/>
      <c r="PGS48" s="103"/>
      <c r="PGT48" s="103"/>
      <c r="PGU48" s="103"/>
      <c r="PGV48" s="103"/>
      <c r="PGW48" s="103"/>
      <c r="PGX48" s="103"/>
      <c r="PGY48" s="103"/>
      <c r="PGZ48" s="103"/>
      <c r="PHA48" s="103"/>
      <c r="PHB48" s="103"/>
      <c r="PHC48" s="103"/>
      <c r="PHD48" s="103"/>
      <c r="PHE48" s="103"/>
      <c r="PHF48" s="103"/>
      <c r="PHG48" s="103"/>
      <c r="PHH48" s="103"/>
      <c r="PHI48" s="103"/>
      <c r="PHJ48" s="103"/>
      <c r="PHK48" s="103"/>
      <c r="PHL48" s="103"/>
      <c r="PHM48" s="103"/>
      <c r="PHN48" s="103"/>
      <c r="PHO48" s="103"/>
      <c r="PHP48" s="103"/>
      <c r="PHQ48" s="103"/>
      <c r="PHR48" s="103"/>
      <c r="PHS48" s="103"/>
      <c r="PHT48" s="103"/>
      <c r="PHU48" s="103"/>
      <c r="PHV48" s="103"/>
      <c r="PHW48" s="103"/>
      <c r="PHX48" s="103"/>
      <c r="PHY48" s="103"/>
      <c r="PHZ48" s="103"/>
      <c r="PIA48" s="103"/>
      <c r="PIB48" s="103"/>
      <c r="PIC48" s="103"/>
      <c r="PID48" s="103"/>
      <c r="PIE48" s="103"/>
      <c r="PIF48" s="103"/>
      <c r="PIG48" s="103"/>
      <c r="PIH48" s="103"/>
      <c r="PII48" s="103"/>
      <c r="PIJ48" s="103"/>
      <c r="PIK48" s="103"/>
      <c r="PIL48" s="103"/>
      <c r="PIM48" s="103"/>
      <c r="PIN48" s="103"/>
      <c r="PIO48" s="103"/>
      <c r="PIP48" s="103"/>
      <c r="PIQ48" s="103"/>
      <c r="PIR48" s="103"/>
      <c r="PIS48" s="103"/>
      <c r="PIT48" s="103"/>
      <c r="PIU48" s="103"/>
      <c r="PIV48" s="103"/>
      <c r="PIW48" s="103"/>
      <c r="PIX48" s="103"/>
      <c r="PIY48" s="103"/>
      <c r="PIZ48" s="103"/>
      <c r="PJA48" s="103"/>
      <c r="PJB48" s="103"/>
      <c r="PJC48" s="103"/>
      <c r="PJD48" s="103"/>
      <c r="PJE48" s="103"/>
      <c r="PJF48" s="103"/>
      <c r="PJG48" s="103"/>
      <c r="PJH48" s="103"/>
      <c r="PJI48" s="103"/>
      <c r="PJJ48" s="103"/>
      <c r="PJK48" s="103"/>
      <c r="PJL48" s="103"/>
      <c r="PJM48" s="103"/>
      <c r="PJN48" s="103"/>
      <c r="PJO48" s="103"/>
      <c r="PJP48" s="103"/>
      <c r="PJQ48" s="103"/>
      <c r="PJR48" s="103"/>
      <c r="PJS48" s="103"/>
      <c r="PJT48" s="103"/>
      <c r="PJU48" s="103"/>
      <c r="PJV48" s="103"/>
      <c r="PJW48" s="103"/>
      <c r="PJX48" s="103"/>
      <c r="PJY48" s="103"/>
      <c r="PJZ48" s="103"/>
      <c r="PKA48" s="103"/>
      <c r="PKB48" s="103"/>
      <c r="PKC48" s="103"/>
      <c r="PKD48" s="103"/>
      <c r="PKE48" s="103"/>
      <c r="PKF48" s="103"/>
      <c r="PKG48" s="103"/>
      <c r="PKH48" s="103"/>
      <c r="PKI48" s="103"/>
      <c r="PKJ48" s="103"/>
      <c r="PKK48" s="103"/>
      <c r="PKL48" s="103"/>
      <c r="PKM48" s="103"/>
      <c r="PKN48" s="103"/>
      <c r="PKO48" s="103"/>
      <c r="PKP48" s="103"/>
      <c r="PKQ48" s="103"/>
      <c r="PKR48" s="103"/>
      <c r="PKS48" s="103"/>
      <c r="PKT48" s="103"/>
      <c r="PKU48" s="103"/>
      <c r="PKV48" s="103"/>
      <c r="PKW48" s="103"/>
      <c r="PKX48" s="103"/>
      <c r="PKY48" s="103"/>
      <c r="PKZ48" s="103"/>
      <c r="PLA48" s="103"/>
      <c r="PLB48" s="103"/>
      <c r="PLC48" s="103"/>
      <c r="PLD48" s="103"/>
      <c r="PLE48" s="103"/>
      <c r="PLF48" s="103"/>
      <c r="PLG48" s="103"/>
      <c r="PLH48" s="103"/>
      <c r="PLI48" s="103"/>
      <c r="PLJ48" s="103"/>
      <c r="PLK48" s="103"/>
      <c r="PLL48" s="103"/>
      <c r="PLM48" s="103"/>
      <c r="PLN48" s="103"/>
      <c r="PLO48" s="103"/>
      <c r="PLP48" s="103"/>
      <c r="PLQ48" s="103"/>
      <c r="PLR48" s="103"/>
      <c r="PLS48" s="103"/>
      <c r="PLT48" s="103"/>
      <c r="PLU48" s="103"/>
      <c r="PLV48" s="103"/>
      <c r="PLW48" s="103"/>
      <c r="PLX48" s="103"/>
      <c r="PLY48" s="103"/>
      <c r="PLZ48" s="103"/>
      <c r="PMA48" s="103"/>
      <c r="PMB48" s="103"/>
      <c r="PMC48" s="103"/>
      <c r="PMD48" s="103"/>
      <c r="PME48" s="103"/>
      <c r="PMF48" s="103"/>
      <c r="PMG48" s="103"/>
      <c r="PMH48" s="103"/>
      <c r="PMI48" s="103"/>
      <c r="PMJ48" s="103"/>
      <c r="PMK48" s="103"/>
      <c r="PML48" s="103"/>
      <c r="PMM48" s="103"/>
      <c r="PMN48" s="103"/>
      <c r="PMO48" s="103"/>
      <c r="PMP48" s="103"/>
      <c r="PMQ48" s="103"/>
      <c r="PMR48" s="103"/>
      <c r="PMS48" s="103"/>
      <c r="PMT48" s="103"/>
      <c r="PMU48" s="103"/>
      <c r="PMV48" s="103"/>
      <c r="PMW48" s="103"/>
      <c r="PMX48" s="103"/>
      <c r="PMY48" s="103"/>
      <c r="PMZ48" s="103"/>
      <c r="PNA48" s="103"/>
      <c r="PNB48" s="103"/>
      <c r="PNC48" s="103"/>
      <c r="PND48" s="103"/>
      <c r="PNE48" s="103"/>
      <c r="PNF48" s="103"/>
      <c r="PNG48" s="103"/>
      <c r="PNH48" s="103"/>
      <c r="PNI48" s="103"/>
      <c r="PNJ48" s="103"/>
      <c r="PNK48" s="103"/>
      <c r="PNL48" s="103"/>
      <c r="PNM48" s="103"/>
      <c r="PNN48" s="103"/>
      <c r="PNO48" s="103"/>
      <c r="PNP48" s="103"/>
      <c r="PNQ48" s="103"/>
      <c r="PNR48" s="103"/>
      <c r="PNS48" s="103"/>
      <c r="PNT48" s="103"/>
      <c r="PNU48" s="103"/>
      <c r="PNV48" s="103"/>
      <c r="PNW48" s="103"/>
      <c r="PNX48" s="103"/>
      <c r="PNY48" s="103"/>
      <c r="PNZ48" s="103"/>
      <c r="POA48" s="103"/>
      <c r="POB48" s="103"/>
      <c r="POC48" s="103"/>
      <c r="POD48" s="103"/>
      <c r="POE48" s="103"/>
      <c r="POF48" s="103"/>
      <c r="POG48" s="103"/>
      <c r="POH48" s="103"/>
      <c r="POI48" s="103"/>
      <c r="POJ48" s="103"/>
      <c r="POK48" s="103"/>
      <c r="POL48" s="103"/>
      <c r="POM48" s="103"/>
      <c r="PON48" s="103"/>
      <c r="POO48" s="103"/>
      <c r="POP48" s="103"/>
      <c r="POQ48" s="103"/>
      <c r="POR48" s="103"/>
      <c r="POS48" s="103"/>
      <c r="POT48" s="103"/>
      <c r="POU48" s="103"/>
      <c r="POV48" s="103"/>
      <c r="POW48" s="103"/>
      <c r="POX48" s="103"/>
      <c r="POY48" s="103"/>
      <c r="POZ48" s="103"/>
      <c r="PPA48" s="103"/>
      <c r="PPB48" s="103"/>
      <c r="PPC48" s="103"/>
      <c r="PPD48" s="103"/>
      <c r="PPE48" s="103"/>
      <c r="PPF48" s="103"/>
      <c r="PPG48" s="103"/>
      <c r="PPH48" s="103"/>
      <c r="PPI48" s="103"/>
      <c r="PPJ48" s="103"/>
      <c r="PPK48" s="103"/>
      <c r="PPL48" s="103"/>
      <c r="PPM48" s="103"/>
      <c r="PPN48" s="103"/>
      <c r="PPO48" s="103"/>
      <c r="PPP48" s="103"/>
      <c r="PPQ48" s="103"/>
      <c r="PPR48" s="103"/>
      <c r="PPS48" s="103"/>
      <c r="PPT48" s="103"/>
      <c r="PPU48" s="103"/>
      <c r="PPV48" s="103"/>
      <c r="PPW48" s="103"/>
      <c r="PPX48" s="103"/>
      <c r="PPY48" s="103"/>
      <c r="PPZ48" s="103"/>
      <c r="PQA48" s="103"/>
      <c r="PQB48" s="103"/>
      <c r="PQC48" s="103"/>
      <c r="PQD48" s="103"/>
      <c r="PQE48" s="103"/>
      <c r="PQF48" s="103"/>
      <c r="PQG48" s="103"/>
      <c r="PQH48" s="103"/>
      <c r="PQI48" s="103"/>
      <c r="PQJ48" s="103"/>
      <c r="PQK48" s="103"/>
      <c r="PQL48" s="103"/>
      <c r="PQM48" s="103"/>
      <c r="PQN48" s="103"/>
      <c r="PQO48" s="103"/>
      <c r="PQP48" s="103"/>
      <c r="PQQ48" s="103"/>
      <c r="PQR48" s="103"/>
      <c r="PQS48" s="103"/>
      <c r="PQT48" s="103"/>
      <c r="PQU48" s="103"/>
      <c r="PQV48" s="103"/>
      <c r="PQW48" s="103"/>
      <c r="PQX48" s="103"/>
      <c r="PQY48" s="103"/>
      <c r="PQZ48" s="103"/>
      <c r="PRA48" s="103"/>
      <c r="PRB48" s="103"/>
      <c r="PRC48" s="103"/>
      <c r="PRD48" s="103"/>
      <c r="PRE48" s="103"/>
      <c r="PRF48" s="103"/>
      <c r="PRG48" s="103"/>
      <c r="PRH48" s="103"/>
      <c r="PRI48" s="103"/>
      <c r="PRJ48" s="103"/>
      <c r="PRK48" s="103"/>
      <c r="PRL48" s="103"/>
      <c r="PRM48" s="103"/>
      <c r="PRN48" s="103"/>
      <c r="PRO48" s="103"/>
      <c r="PRP48" s="103"/>
      <c r="PRQ48" s="103"/>
      <c r="PRR48" s="103"/>
      <c r="PRS48" s="103"/>
      <c r="PRT48" s="103"/>
      <c r="PRU48" s="103"/>
      <c r="PRV48" s="103"/>
      <c r="PRW48" s="103"/>
      <c r="PRX48" s="103"/>
      <c r="PRY48" s="103"/>
      <c r="PRZ48" s="103"/>
      <c r="PSA48" s="103"/>
      <c r="PSB48" s="103"/>
      <c r="PSC48" s="103"/>
      <c r="PSD48" s="103"/>
      <c r="PSE48" s="103"/>
      <c r="PSF48" s="103"/>
      <c r="PSG48" s="103"/>
      <c r="PSH48" s="103"/>
      <c r="PSI48" s="103"/>
      <c r="PSJ48" s="103"/>
      <c r="PSK48" s="103"/>
      <c r="PSL48" s="103"/>
      <c r="PSM48" s="103"/>
      <c r="PSN48" s="103"/>
      <c r="PSO48" s="103"/>
      <c r="PSP48" s="103"/>
      <c r="PSQ48" s="103"/>
      <c r="PSR48" s="103"/>
      <c r="PSS48" s="103"/>
      <c r="PST48" s="103"/>
      <c r="PSU48" s="103"/>
      <c r="PSV48" s="103"/>
      <c r="PSW48" s="103"/>
      <c r="PSX48" s="103"/>
      <c r="PSY48" s="103"/>
      <c r="PSZ48" s="103"/>
      <c r="PTA48" s="103"/>
      <c r="PTB48" s="103"/>
      <c r="PTC48" s="103"/>
      <c r="PTD48" s="103"/>
      <c r="PTE48" s="103"/>
      <c r="PTF48" s="103"/>
      <c r="PTG48" s="103"/>
      <c r="PTH48" s="103"/>
      <c r="PTI48" s="103"/>
      <c r="PTJ48" s="103"/>
      <c r="PTK48" s="103"/>
      <c r="PTL48" s="103"/>
      <c r="PTM48" s="103"/>
      <c r="PTN48" s="103"/>
      <c r="PTO48" s="103"/>
      <c r="PTP48" s="103"/>
      <c r="PTQ48" s="103"/>
      <c r="PTR48" s="103"/>
      <c r="PTS48" s="103"/>
      <c r="PTT48" s="103"/>
      <c r="PTU48" s="103"/>
      <c r="PTV48" s="103"/>
      <c r="PTW48" s="103"/>
      <c r="PTX48" s="103"/>
      <c r="PTY48" s="103"/>
      <c r="PTZ48" s="103"/>
      <c r="PUA48" s="103"/>
      <c r="PUB48" s="103"/>
      <c r="PUC48" s="103"/>
      <c r="PUD48" s="103"/>
      <c r="PUE48" s="103"/>
      <c r="PUF48" s="103"/>
      <c r="PUG48" s="103"/>
      <c r="PUH48" s="103"/>
      <c r="PUI48" s="103"/>
      <c r="PUJ48" s="103"/>
      <c r="PUK48" s="103"/>
      <c r="PUL48" s="103"/>
      <c r="PUM48" s="103"/>
      <c r="PUN48" s="103"/>
      <c r="PUO48" s="103"/>
      <c r="PUP48" s="103"/>
      <c r="PUQ48" s="103"/>
      <c r="PUR48" s="103"/>
      <c r="PUS48" s="103"/>
      <c r="PUT48" s="103"/>
      <c r="PUU48" s="103"/>
      <c r="PUV48" s="103"/>
      <c r="PUW48" s="103"/>
      <c r="PUX48" s="103"/>
      <c r="PUY48" s="103"/>
      <c r="PUZ48" s="103"/>
      <c r="PVA48" s="103"/>
      <c r="PVB48" s="103"/>
      <c r="PVC48" s="103"/>
      <c r="PVD48" s="103"/>
      <c r="PVE48" s="103"/>
      <c r="PVF48" s="103"/>
      <c r="PVG48" s="103"/>
      <c r="PVH48" s="103"/>
      <c r="PVI48" s="103"/>
      <c r="PVJ48" s="103"/>
      <c r="PVK48" s="103"/>
      <c r="PVL48" s="103"/>
      <c r="PVM48" s="103"/>
      <c r="PVN48" s="103"/>
      <c r="PVO48" s="103"/>
      <c r="PVP48" s="103"/>
      <c r="PVQ48" s="103"/>
      <c r="PVR48" s="103"/>
      <c r="PVS48" s="103"/>
      <c r="PVT48" s="103"/>
      <c r="PVU48" s="103"/>
      <c r="PVV48" s="103"/>
      <c r="PVW48" s="103"/>
      <c r="PVX48" s="103"/>
      <c r="PVY48" s="103"/>
      <c r="PVZ48" s="103"/>
      <c r="PWA48" s="103"/>
      <c r="PWB48" s="103"/>
      <c r="PWC48" s="103"/>
      <c r="PWD48" s="103"/>
      <c r="PWE48" s="103"/>
      <c r="PWF48" s="103"/>
      <c r="PWG48" s="103"/>
      <c r="PWH48" s="103"/>
      <c r="PWI48" s="103"/>
      <c r="PWJ48" s="103"/>
      <c r="PWK48" s="103"/>
      <c r="PWL48" s="103"/>
      <c r="PWM48" s="103"/>
      <c r="PWN48" s="103"/>
      <c r="PWO48" s="103"/>
      <c r="PWP48" s="103"/>
      <c r="PWQ48" s="103"/>
      <c r="PWR48" s="103"/>
      <c r="PWS48" s="103"/>
      <c r="PWT48" s="103"/>
      <c r="PWU48" s="103"/>
      <c r="PWV48" s="103"/>
      <c r="PWW48" s="103"/>
      <c r="PWX48" s="103"/>
      <c r="PWY48" s="103"/>
      <c r="PWZ48" s="103"/>
      <c r="PXA48" s="103"/>
      <c r="PXB48" s="103"/>
      <c r="PXC48" s="103"/>
      <c r="PXD48" s="103"/>
      <c r="PXE48" s="103"/>
      <c r="PXF48" s="103"/>
      <c r="PXG48" s="103"/>
      <c r="PXH48" s="103"/>
      <c r="PXI48" s="103"/>
      <c r="PXJ48" s="103"/>
      <c r="PXK48" s="103"/>
      <c r="PXL48" s="103"/>
      <c r="PXM48" s="103"/>
      <c r="PXN48" s="103"/>
      <c r="PXO48" s="103"/>
      <c r="PXP48" s="103"/>
      <c r="PXQ48" s="103"/>
      <c r="PXR48" s="103"/>
      <c r="PXS48" s="103"/>
      <c r="PXT48" s="103"/>
      <c r="PXU48" s="103"/>
      <c r="PXV48" s="103"/>
      <c r="PXW48" s="103"/>
      <c r="PXX48" s="103"/>
      <c r="PXY48" s="103"/>
      <c r="PXZ48" s="103"/>
      <c r="PYA48" s="103"/>
      <c r="PYB48" s="103"/>
      <c r="PYC48" s="103"/>
      <c r="PYD48" s="103"/>
      <c r="PYE48" s="103"/>
      <c r="PYF48" s="103"/>
      <c r="PYG48" s="103"/>
      <c r="PYH48" s="103"/>
      <c r="PYI48" s="103"/>
      <c r="PYJ48" s="103"/>
      <c r="PYK48" s="103"/>
      <c r="PYL48" s="103"/>
      <c r="PYM48" s="103"/>
      <c r="PYN48" s="103"/>
      <c r="PYO48" s="103"/>
      <c r="PYP48" s="103"/>
      <c r="PYQ48" s="103"/>
      <c r="PYR48" s="103"/>
      <c r="PYS48" s="103"/>
      <c r="PYT48" s="103"/>
      <c r="PYU48" s="103"/>
      <c r="PYV48" s="103"/>
      <c r="PYW48" s="103"/>
      <c r="PYX48" s="103"/>
      <c r="PYY48" s="103"/>
      <c r="PYZ48" s="103"/>
      <c r="PZA48" s="103"/>
      <c r="PZB48" s="103"/>
      <c r="PZC48" s="103"/>
      <c r="PZD48" s="103"/>
      <c r="PZE48" s="103"/>
      <c r="PZF48" s="103"/>
      <c r="PZG48" s="103"/>
      <c r="PZH48" s="103"/>
      <c r="PZI48" s="103"/>
      <c r="PZJ48" s="103"/>
      <c r="PZK48" s="103"/>
      <c r="PZL48" s="103"/>
      <c r="PZM48" s="103"/>
      <c r="PZN48" s="103"/>
      <c r="PZO48" s="103"/>
      <c r="PZP48" s="103"/>
      <c r="PZQ48" s="103"/>
      <c r="PZR48" s="103"/>
      <c r="PZS48" s="103"/>
      <c r="PZT48" s="103"/>
      <c r="PZU48" s="103"/>
      <c r="PZV48" s="103"/>
      <c r="PZW48" s="103"/>
      <c r="PZX48" s="103"/>
      <c r="PZY48" s="103"/>
      <c r="PZZ48" s="103"/>
      <c r="QAA48" s="103"/>
      <c r="QAB48" s="103"/>
      <c r="QAC48" s="103"/>
      <c r="QAD48" s="103"/>
      <c r="QAE48" s="103"/>
      <c r="QAF48" s="103"/>
      <c r="QAG48" s="103"/>
      <c r="QAH48" s="103"/>
      <c r="QAI48" s="103"/>
      <c r="QAJ48" s="103"/>
      <c r="QAK48" s="103"/>
      <c r="QAL48" s="103"/>
      <c r="QAM48" s="103"/>
      <c r="QAN48" s="103"/>
      <c r="QAO48" s="103"/>
      <c r="QAP48" s="103"/>
      <c r="QAQ48" s="103"/>
      <c r="QAR48" s="103"/>
      <c r="QAS48" s="103"/>
      <c r="QAT48" s="103"/>
      <c r="QAU48" s="103"/>
      <c r="QAV48" s="103"/>
      <c r="QAW48" s="103"/>
      <c r="QAX48" s="103"/>
      <c r="QAY48" s="103"/>
      <c r="QAZ48" s="103"/>
      <c r="QBA48" s="103"/>
      <c r="QBB48" s="103"/>
      <c r="QBC48" s="103"/>
      <c r="QBD48" s="103"/>
      <c r="QBE48" s="103"/>
      <c r="QBF48" s="103"/>
      <c r="QBG48" s="103"/>
      <c r="QBH48" s="103"/>
      <c r="QBI48" s="103"/>
      <c r="QBJ48" s="103"/>
      <c r="QBK48" s="103"/>
      <c r="QBL48" s="103"/>
      <c r="QBM48" s="103"/>
      <c r="QBN48" s="103"/>
      <c r="QBO48" s="103"/>
      <c r="QBP48" s="103"/>
      <c r="QBQ48" s="103"/>
      <c r="QBR48" s="103"/>
      <c r="QBS48" s="103"/>
      <c r="QBT48" s="103"/>
      <c r="QBU48" s="103"/>
      <c r="QBV48" s="103"/>
      <c r="QBW48" s="103"/>
      <c r="QBX48" s="103"/>
      <c r="QBY48" s="103"/>
      <c r="QBZ48" s="103"/>
      <c r="QCA48" s="103"/>
      <c r="QCB48" s="103"/>
      <c r="QCC48" s="103"/>
      <c r="QCD48" s="103"/>
      <c r="QCE48" s="103"/>
      <c r="QCF48" s="103"/>
      <c r="QCG48" s="103"/>
      <c r="QCH48" s="103"/>
      <c r="QCI48" s="103"/>
      <c r="QCJ48" s="103"/>
      <c r="QCK48" s="103"/>
      <c r="QCL48" s="103"/>
      <c r="QCM48" s="103"/>
      <c r="QCN48" s="103"/>
      <c r="QCO48" s="103"/>
      <c r="QCP48" s="103"/>
      <c r="QCQ48" s="103"/>
      <c r="QCR48" s="103"/>
      <c r="QCS48" s="103"/>
      <c r="QCT48" s="103"/>
      <c r="QCU48" s="103"/>
      <c r="QCV48" s="103"/>
      <c r="QCW48" s="103"/>
      <c r="QCX48" s="103"/>
      <c r="QCY48" s="103"/>
      <c r="QCZ48" s="103"/>
      <c r="QDA48" s="103"/>
      <c r="QDB48" s="103"/>
      <c r="QDC48" s="103"/>
      <c r="QDD48" s="103"/>
      <c r="QDE48" s="103"/>
      <c r="QDF48" s="103"/>
      <c r="QDG48" s="103"/>
      <c r="QDH48" s="103"/>
      <c r="QDI48" s="103"/>
      <c r="QDJ48" s="103"/>
      <c r="QDK48" s="103"/>
      <c r="QDL48" s="103"/>
      <c r="QDM48" s="103"/>
      <c r="QDN48" s="103"/>
      <c r="QDO48" s="103"/>
      <c r="QDP48" s="103"/>
      <c r="QDQ48" s="103"/>
      <c r="QDR48" s="103"/>
      <c r="QDS48" s="103"/>
      <c r="QDT48" s="103"/>
      <c r="QDU48" s="103"/>
      <c r="QDV48" s="103"/>
      <c r="QDW48" s="103"/>
      <c r="QDX48" s="103"/>
      <c r="QDY48" s="103"/>
      <c r="QDZ48" s="103"/>
      <c r="QEA48" s="103"/>
      <c r="QEB48" s="103"/>
      <c r="QEC48" s="103"/>
      <c r="QED48" s="103"/>
      <c r="QEE48" s="103"/>
      <c r="QEF48" s="103"/>
      <c r="QEG48" s="103"/>
      <c r="QEH48" s="103"/>
      <c r="QEI48" s="103"/>
      <c r="QEJ48" s="103"/>
      <c r="QEK48" s="103"/>
      <c r="QEL48" s="103"/>
      <c r="QEM48" s="103"/>
      <c r="QEN48" s="103"/>
      <c r="QEO48" s="103"/>
      <c r="QEP48" s="103"/>
      <c r="QEQ48" s="103"/>
      <c r="QER48" s="103"/>
      <c r="QES48" s="103"/>
      <c r="QET48" s="103"/>
      <c r="QEU48" s="103"/>
      <c r="QEV48" s="103"/>
      <c r="QEW48" s="103"/>
      <c r="QEX48" s="103"/>
      <c r="QEY48" s="103"/>
      <c r="QEZ48" s="103"/>
      <c r="QFA48" s="103"/>
      <c r="QFB48" s="103"/>
      <c r="QFC48" s="103"/>
      <c r="QFD48" s="103"/>
      <c r="QFE48" s="103"/>
      <c r="QFF48" s="103"/>
      <c r="QFG48" s="103"/>
      <c r="QFH48" s="103"/>
      <c r="QFI48" s="103"/>
      <c r="QFJ48" s="103"/>
      <c r="QFK48" s="103"/>
      <c r="QFL48" s="103"/>
      <c r="QFM48" s="103"/>
      <c r="QFN48" s="103"/>
      <c r="QFO48" s="103"/>
      <c r="QFP48" s="103"/>
      <c r="QFQ48" s="103"/>
      <c r="QFR48" s="103"/>
      <c r="QFS48" s="103"/>
      <c r="QFT48" s="103"/>
      <c r="QFU48" s="103"/>
      <c r="QFV48" s="103"/>
      <c r="QFW48" s="103"/>
      <c r="QFX48" s="103"/>
      <c r="QFY48" s="103"/>
      <c r="QFZ48" s="103"/>
      <c r="QGA48" s="103"/>
      <c r="QGB48" s="103"/>
      <c r="QGC48" s="103"/>
      <c r="QGD48" s="103"/>
      <c r="QGE48" s="103"/>
      <c r="QGF48" s="103"/>
      <c r="QGG48" s="103"/>
      <c r="QGH48" s="103"/>
      <c r="QGI48" s="103"/>
      <c r="QGJ48" s="103"/>
      <c r="QGK48" s="103"/>
      <c r="QGL48" s="103"/>
      <c r="QGM48" s="103"/>
      <c r="QGN48" s="103"/>
      <c r="QGO48" s="103"/>
      <c r="QGP48" s="103"/>
      <c r="QGQ48" s="103"/>
      <c r="QGR48" s="103"/>
      <c r="QGS48" s="103"/>
      <c r="QGT48" s="103"/>
      <c r="QGU48" s="103"/>
      <c r="QGV48" s="103"/>
      <c r="QGW48" s="103"/>
      <c r="QGX48" s="103"/>
      <c r="QGY48" s="103"/>
      <c r="QGZ48" s="103"/>
      <c r="QHA48" s="103"/>
      <c r="QHB48" s="103"/>
      <c r="QHC48" s="103"/>
      <c r="QHD48" s="103"/>
      <c r="QHE48" s="103"/>
      <c r="QHF48" s="103"/>
      <c r="QHG48" s="103"/>
      <c r="QHH48" s="103"/>
      <c r="QHI48" s="103"/>
      <c r="QHJ48" s="103"/>
      <c r="QHK48" s="103"/>
      <c r="QHL48" s="103"/>
      <c r="QHM48" s="103"/>
      <c r="QHN48" s="103"/>
      <c r="QHO48" s="103"/>
      <c r="QHP48" s="103"/>
      <c r="QHQ48" s="103"/>
      <c r="QHR48" s="103"/>
      <c r="QHS48" s="103"/>
      <c r="QHT48" s="103"/>
      <c r="QHU48" s="103"/>
      <c r="QHV48" s="103"/>
      <c r="QHW48" s="103"/>
      <c r="QHX48" s="103"/>
      <c r="QHY48" s="103"/>
      <c r="QHZ48" s="103"/>
      <c r="QIA48" s="103"/>
      <c r="QIB48" s="103"/>
      <c r="QIC48" s="103"/>
      <c r="QID48" s="103"/>
      <c r="QIE48" s="103"/>
      <c r="QIF48" s="103"/>
      <c r="QIG48" s="103"/>
      <c r="QIH48" s="103"/>
      <c r="QII48" s="103"/>
      <c r="QIJ48" s="103"/>
      <c r="QIK48" s="103"/>
      <c r="QIL48" s="103"/>
      <c r="QIM48" s="103"/>
      <c r="QIN48" s="103"/>
      <c r="QIO48" s="103"/>
      <c r="QIP48" s="103"/>
      <c r="QIQ48" s="103"/>
      <c r="QIR48" s="103"/>
      <c r="QIS48" s="103"/>
      <c r="QIT48" s="103"/>
      <c r="QIU48" s="103"/>
      <c r="QIV48" s="103"/>
      <c r="QIW48" s="103"/>
      <c r="QIX48" s="103"/>
      <c r="QIY48" s="103"/>
      <c r="QIZ48" s="103"/>
      <c r="QJA48" s="103"/>
      <c r="QJB48" s="103"/>
      <c r="QJC48" s="103"/>
      <c r="QJD48" s="103"/>
      <c r="QJE48" s="103"/>
      <c r="QJF48" s="103"/>
      <c r="QJG48" s="103"/>
      <c r="QJH48" s="103"/>
      <c r="QJI48" s="103"/>
      <c r="QJJ48" s="103"/>
      <c r="QJK48" s="103"/>
      <c r="QJL48" s="103"/>
      <c r="QJM48" s="103"/>
      <c r="QJN48" s="103"/>
      <c r="QJO48" s="103"/>
      <c r="QJP48" s="103"/>
      <c r="QJQ48" s="103"/>
      <c r="QJR48" s="103"/>
      <c r="QJS48" s="103"/>
      <c r="QJT48" s="103"/>
      <c r="QJU48" s="103"/>
      <c r="QJV48" s="103"/>
      <c r="QJW48" s="103"/>
      <c r="QJX48" s="103"/>
      <c r="QJY48" s="103"/>
      <c r="QJZ48" s="103"/>
      <c r="QKA48" s="103"/>
      <c r="QKB48" s="103"/>
      <c r="QKC48" s="103"/>
      <c r="QKD48" s="103"/>
      <c r="QKE48" s="103"/>
      <c r="QKF48" s="103"/>
      <c r="QKG48" s="103"/>
      <c r="QKH48" s="103"/>
      <c r="QKI48" s="103"/>
      <c r="QKJ48" s="103"/>
      <c r="QKK48" s="103"/>
      <c r="QKL48" s="103"/>
      <c r="QKM48" s="103"/>
      <c r="QKN48" s="103"/>
      <c r="QKO48" s="103"/>
      <c r="QKP48" s="103"/>
      <c r="QKQ48" s="103"/>
      <c r="QKR48" s="103"/>
      <c r="QKS48" s="103"/>
      <c r="QKT48" s="103"/>
      <c r="QKU48" s="103"/>
      <c r="QKV48" s="103"/>
      <c r="QKW48" s="103"/>
      <c r="QKX48" s="103"/>
      <c r="QKY48" s="103"/>
      <c r="QKZ48" s="103"/>
      <c r="QLA48" s="103"/>
      <c r="QLB48" s="103"/>
      <c r="QLC48" s="103"/>
      <c r="QLD48" s="103"/>
      <c r="QLE48" s="103"/>
      <c r="QLF48" s="103"/>
      <c r="QLG48" s="103"/>
      <c r="QLH48" s="103"/>
      <c r="QLI48" s="103"/>
      <c r="QLJ48" s="103"/>
      <c r="QLK48" s="103"/>
      <c r="QLL48" s="103"/>
      <c r="QLM48" s="103"/>
      <c r="QLN48" s="103"/>
      <c r="QLO48" s="103"/>
      <c r="QLP48" s="103"/>
      <c r="QLQ48" s="103"/>
      <c r="QLR48" s="103"/>
      <c r="QLS48" s="103"/>
      <c r="QLT48" s="103"/>
      <c r="QLU48" s="103"/>
      <c r="QLV48" s="103"/>
      <c r="QLW48" s="103"/>
      <c r="QLX48" s="103"/>
      <c r="QLY48" s="103"/>
      <c r="QLZ48" s="103"/>
      <c r="QMA48" s="103"/>
      <c r="QMB48" s="103"/>
      <c r="QMC48" s="103"/>
      <c r="QMD48" s="103"/>
      <c r="QME48" s="103"/>
      <c r="QMF48" s="103"/>
      <c r="QMG48" s="103"/>
      <c r="QMH48" s="103"/>
      <c r="QMI48" s="103"/>
      <c r="QMJ48" s="103"/>
      <c r="QMK48" s="103"/>
      <c r="QML48" s="103"/>
      <c r="QMM48" s="103"/>
      <c r="QMN48" s="103"/>
      <c r="QMO48" s="103"/>
      <c r="QMP48" s="103"/>
      <c r="QMQ48" s="103"/>
      <c r="QMR48" s="103"/>
      <c r="QMS48" s="103"/>
      <c r="QMT48" s="103"/>
      <c r="QMU48" s="103"/>
      <c r="QMV48" s="103"/>
      <c r="QMW48" s="103"/>
      <c r="QMX48" s="103"/>
      <c r="QMY48" s="103"/>
      <c r="QMZ48" s="103"/>
      <c r="QNA48" s="103"/>
      <c r="QNB48" s="103"/>
      <c r="QNC48" s="103"/>
      <c r="QND48" s="103"/>
      <c r="QNE48" s="103"/>
      <c r="QNF48" s="103"/>
      <c r="QNG48" s="103"/>
      <c r="QNH48" s="103"/>
      <c r="QNI48" s="103"/>
      <c r="QNJ48" s="103"/>
      <c r="QNK48" s="103"/>
      <c r="QNL48" s="103"/>
      <c r="QNM48" s="103"/>
      <c r="QNN48" s="103"/>
      <c r="QNO48" s="103"/>
      <c r="QNP48" s="103"/>
      <c r="QNQ48" s="103"/>
      <c r="QNR48" s="103"/>
      <c r="QNS48" s="103"/>
      <c r="QNT48" s="103"/>
      <c r="QNU48" s="103"/>
      <c r="QNV48" s="103"/>
      <c r="QNW48" s="103"/>
      <c r="QNX48" s="103"/>
      <c r="QNY48" s="103"/>
      <c r="QNZ48" s="103"/>
      <c r="QOA48" s="103"/>
      <c r="QOB48" s="103"/>
      <c r="QOC48" s="103"/>
      <c r="QOD48" s="103"/>
      <c r="QOE48" s="103"/>
      <c r="QOF48" s="103"/>
      <c r="QOG48" s="103"/>
      <c r="QOH48" s="103"/>
      <c r="QOI48" s="103"/>
      <c r="QOJ48" s="103"/>
      <c r="QOK48" s="103"/>
      <c r="QOL48" s="103"/>
      <c r="QOM48" s="103"/>
      <c r="QON48" s="103"/>
      <c r="QOO48" s="103"/>
      <c r="QOP48" s="103"/>
      <c r="QOQ48" s="103"/>
      <c r="QOR48" s="103"/>
      <c r="QOS48" s="103"/>
      <c r="QOT48" s="103"/>
      <c r="QOU48" s="103"/>
      <c r="QOV48" s="103"/>
      <c r="QOW48" s="103"/>
      <c r="QOX48" s="103"/>
      <c r="QOY48" s="103"/>
      <c r="QOZ48" s="103"/>
      <c r="QPA48" s="103"/>
      <c r="QPB48" s="103"/>
      <c r="QPC48" s="103"/>
      <c r="QPD48" s="103"/>
      <c r="QPE48" s="103"/>
      <c r="QPF48" s="103"/>
      <c r="QPG48" s="103"/>
      <c r="QPH48" s="103"/>
      <c r="QPI48" s="103"/>
      <c r="QPJ48" s="103"/>
      <c r="QPK48" s="103"/>
      <c r="QPL48" s="103"/>
      <c r="QPM48" s="103"/>
      <c r="QPN48" s="103"/>
      <c r="QPO48" s="103"/>
      <c r="QPP48" s="103"/>
      <c r="QPQ48" s="103"/>
      <c r="QPR48" s="103"/>
      <c r="QPS48" s="103"/>
      <c r="QPT48" s="103"/>
      <c r="QPU48" s="103"/>
      <c r="QPV48" s="103"/>
      <c r="QPW48" s="103"/>
      <c r="QPX48" s="103"/>
      <c r="QPY48" s="103"/>
      <c r="QPZ48" s="103"/>
      <c r="QQA48" s="103"/>
      <c r="QQB48" s="103"/>
      <c r="QQC48" s="103"/>
      <c r="QQD48" s="103"/>
      <c r="QQE48" s="103"/>
      <c r="QQF48" s="103"/>
      <c r="QQG48" s="103"/>
      <c r="QQH48" s="103"/>
      <c r="QQI48" s="103"/>
      <c r="QQJ48" s="103"/>
      <c r="QQK48" s="103"/>
      <c r="QQL48" s="103"/>
      <c r="QQM48" s="103"/>
      <c r="QQN48" s="103"/>
      <c r="QQO48" s="103"/>
      <c r="QQP48" s="103"/>
      <c r="QQQ48" s="103"/>
      <c r="QQR48" s="103"/>
      <c r="QQS48" s="103"/>
      <c r="QQT48" s="103"/>
      <c r="QQU48" s="103"/>
      <c r="QQV48" s="103"/>
      <c r="QQW48" s="103"/>
      <c r="QQX48" s="103"/>
      <c r="QQY48" s="103"/>
      <c r="QQZ48" s="103"/>
      <c r="QRA48" s="103"/>
      <c r="QRB48" s="103"/>
      <c r="QRC48" s="103"/>
      <c r="QRD48" s="103"/>
      <c r="QRE48" s="103"/>
      <c r="QRF48" s="103"/>
      <c r="QRG48" s="103"/>
      <c r="QRH48" s="103"/>
      <c r="QRI48" s="103"/>
      <c r="QRJ48" s="103"/>
      <c r="QRK48" s="103"/>
      <c r="QRL48" s="103"/>
      <c r="QRM48" s="103"/>
      <c r="QRN48" s="103"/>
      <c r="QRO48" s="103"/>
      <c r="QRP48" s="103"/>
      <c r="QRQ48" s="103"/>
      <c r="QRR48" s="103"/>
      <c r="QRS48" s="103"/>
      <c r="QRT48" s="103"/>
      <c r="QRU48" s="103"/>
      <c r="QRV48" s="103"/>
      <c r="QRW48" s="103"/>
      <c r="QRX48" s="103"/>
      <c r="QRY48" s="103"/>
      <c r="QRZ48" s="103"/>
      <c r="QSA48" s="103"/>
      <c r="QSB48" s="103"/>
      <c r="QSC48" s="103"/>
      <c r="QSD48" s="103"/>
      <c r="QSE48" s="103"/>
      <c r="QSF48" s="103"/>
      <c r="QSG48" s="103"/>
      <c r="QSH48" s="103"/>
      <c r="QSI48" s="103"/>
      <c r="QSJ48" s="103"/>
      <c r="QSK48" s="103"/>
      <c r="QSL48" s="103"/>
      <c r="QSM48" s="103"/>
      <c r="QSN48" s="103"/>
      <c r="QSO48" s="103"/>
      <c r="QSP48" s="103"/>
      <c r="QSQ48" s="103"/>
      <c r="QSR48" s="103"/>
      <c r="QSS48" s="103"/>
      <c r="QST48" s="103"/>
      <c r="QSU48" s="103"/>
      <c r="QSV48" s="103"/>
      <c r="QSW48" s="103"/>
      <c r="QSX48" s="103"/>
      <c r="QSY48" s="103"/>
      <c r="QSZ48" s="103"/>
      <c r="QTA48" s="103"/>
      <c r="QTB48" s="103"/>
      <c r="QTC48" s="103"/>
      <c r="QTD48" s="103"/>
      <c r="QTE48" s="103"/>
      <c r="QTF48" s="103"/>
      <c r="QTG48" s="103"/>
      <c r="QTH48" s="103"/>
      <c r="QTI48" s="103"/>
      <c r="QTJ48" s="103"/>
      <c r="QTK48" s="103"/>
      <c r="QTL48" s="103"/>
      <c r="QTM48" s="103"/>
      <c r="QTN48" s="103"/>
      <c r="QTO48" s="103"/>
      <c r="QTP48" s="103"/>
      <c r="QTQ48" s="103"/>
      <c r="QTR48" s="103"/>
      <c r="QTS48" s="103"/>
      <c r="QTT48" s="103"/>
      <c r="QTU48" s="103"/>
      <c r="QTV48" s="103"/>
      <c r="QTW48" s="103"/>
      <c r="QTX48" s="103"/>
      <c r="QTY48" s="103"/>
      <c r="QTZ48" s="103"/>
      <c r="QUA48" s="103"/>
      <c r="QUB48" s="103"/>
      <c r="QUC48" s="103"/>
      <c r="QUD48" s="103"/>
      <c r="QUE48" s="103"/>
      <c r="QUF48" s="103"/>
      <c r="QUG48" s="103"/>
      <c r="QUH48" s="103"/>
      <c r="QUI48" s="103"/>
      <c r="QUJ48" s="103"/>
      <c r="QUK48" s="103"/>
      <c r="QUL48" s="103"/>
      <c r="QUM48" s="103"/>
      <c r="QUN48" s="103"/>
      <c r="QUO48" s="103"/>
      <c r="QUP48" s="103"/>
      <c r="QUQ48" s="103"/>
      <c r="QUR48" s="103"/>
      <c r="QUS48" s="103"/>
      <c r="QUT48" s="103"/>
      <c r="QUU48" s="103"/>
      <c r="QUV48" s="103"/>
      <c r="QUW48" s="103"/>
      <c r="QUX48" s="103"/>
      <c r="QUY48" s="103"/>
      <c r="QUZ48" s="103"/>
      <c r="QVA48" s="103"/>
      <c r="QVB48" s="103"/>
      <c r="QVC48" s="103"/>
      <c r="QVD48" s="103"/>
      <c r="QVE48" s="103"/>
      <c r="QVF48" s="103"/>
      <c r="QVG48" s="103"/>
      <c r="QVH48" s="103"/>
      <c r="QVI48" s="103"/>
      <c r="QVJ48" s="103"/>
      <c r="QVK48" s="103"/>
      <c r="QVL48" s="103"/>
      <c r="QVM48" s="103"/>
      <c r="QVN48" s="103"/>
      <c r="QVO48" s="103"/>
      <c r="QVP48" s="103"/>
      <c r="QVQ48" s="103"/>
      <c r="QVR48" s="103"/>
      <c r="QVS48" s="103"/>
      <c r="QVT48" s="103"/>
      <c r="QVU48" s="103"/>
      <c r="QVV48" s="103"/>
      <c r="QVW48" s="103"/>
      <c r="QVX48" s="103"/>
      <c r="QVY48" s="103"/>
      <c r="QVZ48" s="103"/>
      <c r="QWA48" s="103"/>
      <c r="QWB48" s="103"/>
      <c r="QWC48" s="103"/>
      <c r="QWD48" s="103"/>
      <c r="QWE48" s="103"/>
      <c r="QWF48" s="103"/>
      <c r="QWG48" s="103"/>
      <c r="QWH48" s="103"/>
      <c r="QWI48" s="103"/>
      <c r="QWJ48" s="103"/>
      <c r="QWK48" s="103"/>
      <c r="QWL48" s="103"/>
      <c r="QWM48" s="103"/>
      <c r="QWN48" s="103"/>
      <c r="QWO48" s="103"/>
      <c r="QWP48" s="103"/>
      <c r="QWQ48" s="103"/>
      <c r="QWR48" s="103"/>
      <c r="QWS48" s="103"/>
      <c r="QWT48" s="103"/>
      <c r="QWU48" s="103"/>
      <c r="QWV48" s="103"/>
      <c r="QWW48" s="103"/>
      <c r="QWX48" s="103"/>
      <c r="QWY48" s="103"/>
      <c r="QWZ48" s="103"/>
      <c r="QXA48" s="103"/>
      <c r="QXB48" s="103"/>
      <c r="QXC48" s="103"/>
      <c r="QXD48" s="103"/>
      <c r="QXE48" s="103"/>
      <c r="QXF48" s="103"/>
      <c r="QXG48" s="103"/>
      <c r="QXH48" s="103"/>
      <c r="QXI48" s="103"/>
      <c r="QXJ48" s="103"/>
      <c r="QXK48" s="103"/>
      <c r="QXL48" s="103"/>
      <c r="QXM48" s="103"/>
      <c r="QXN48" s="103"/>
      <c r="QXO48" s="103"/>
      <c r="QXP48" s="103"/>
      <c r="QXQ48" s="103"/>
      <c r="QXR48" s="103"/>
      <c r="QXS48" s="103"/>
      <c r="QXT48" s="103"/>
      <c r="QXU48" s="103"/>
      <c r="QXV48" s="103"/>
      <c r="QXW48" s="103"/>
      <c r="QXX48" s="103"/>
      <c r="QXY48" s="103"/>
      <c r="QXZ48" s="103"/>
      <c r="QYA48" s="103"/>
      <c r="QYB48" s="103"/>
      <c r="QYC48" s="103"/>
      <c r="QYD48" s="103"/>
      <c r="QYE48" s="103"/>
      <c r="QYF48" s="103"/>
      <c r="QYG48" s="103"/>
      <c r="QYH48" s="103"/>
      <c r="QYI48" s="103"/>
      <c r="QYJ48" s="103"/>
      <c r="QYK48" s="103"/>
      <c r="QYL48" s="103"/>
      <c r="QYM48" s="103"/>
      <c r="QYN48" s="103"/>
      <c r="QYO48" s="103"/>
      <c r="QYP48" s="103"/>
      <c r="QYQ48" s="103"/>
      <c r="QYR48" s="103"/>
      <c r="QYS48" s="103"/>
      <c r="QYT48" s="103"/>
      <c r="QYU48" s="103"/>
      <c r="QYV48" s="103"/>
      <c r="QYW48" s="103"/>
      <c r="QYX48" s="103"/>
      <c r="QYY48" s="103"/>
      <c r="QYZ48" s="103"/>
      <c r="QZA48" s="103"/>
      <c r="QZB48" s="103"/>
      <c r="QZC48" s="103"/>
      <c r="QZD48" s="103"/>
      <c r="QZE48" s="103"/>
      <c r="QZF48" s="103"/>
      <c r="QZG48" s="103"/>
      <c r="QZH48" s="103"/>
      <c r="QZI48" s="103"/>
      <c r="QZJ48" s="103"/>
      <c r="QZK48" s="103"/>
      <c r="QZL48" s="103"/>
      <c r="QZM48" s="103"/>
      <c r="QZN48" s="103"/>
      <c r="QZO48" s="103"/>
      <c r="QZP48" s="103"/>
      <c r="QZQ48" s="103"/>
      <c r="QZR48" s="103"/>
      <c r="QZS48" s="103"/>
      <c r="QZT48" s="103"/>
      <c r="QZU48" s="103"/>
      <c r="QZV48" s="103"/>
      <c r="QZW48" s="103"/>
      <c r="QZX48" s="103"/>
      <c r="QZY48" s="103"/>
      <c r="QZZ48" s="103"/>
      <c r="RAA48" s="103"/>
      <c r="RAB48" s="103"/>
      <c r="RAC48" s="103"/>
      <c r="RAD48" s="103"/>
      <c r="RAE48" s="103"/>
      <c r="RAF48" s="103"/>
      <c r="RAG48" s="103"/>
      <c r="RAH48" s="103"/>
      <c r="RAI48" s="103"/>
      <c r="RAJ48" s="103"/>
      <c r="RAK48" s="103"/>
      <c r="RAL48" s="103"/>
      <c r="RAM48" s="103"/>
      <c r="RAN48" s="103"/>
      <c r="RAO48" s="103"/>
      <c r="RAP48" s="103"/>
      <c r="RAQ48" s="103"/>
      <c r="RAR48" s="103"/>
      <c r="RAS48" s="103"/>
      <c r="RAT48" s="103"/>
      <c r="RAU48" s="103"/>
      <c r="RAV48" s="103"/>
      <c r="RAW48" s="103"/>
      <c r="RAX48" s="103"/>
      <c r="RAY48" s="103"/>
      <c r="RAZ48" s="103"/>
      <c r="RBA48" s="103"/>
      <c r="RBB48" s="103"/>
      <c r="RBC48" s="103"/>
      <c r="RBD48" s="103"/>
      <c r="RBE48" s="103"/>
      <c r="RBF48" s="103"/>
      <c r="RBG48" s="103"/>
      <c r="RBH48" s="103"/>
      <c r="RBI48" s="103"/>
      <c r="RBJ48" s="103"/>
      <c r="RBK48" s="103"/>
      <c r="RBL48" s="103"/>
      <c r="RBM48" s="103"/>
      <c r="RBN48" s="103"/>
      <c r="RBO48" s="103"/>
      <c r="RBP48" s="103"/>
      <c r="RBQ48" s="103"/>
      <c r="RBR48" s="103"/>
      <c r="RBS48" s="103"/>
      <c r="RBT48" s="103"/>
      <c r="RBU48" s="103"/>
      <c r="RBV48" s="103"/>
      <c r="RBW48" s="103"/>
      <c r="RBX48" s="103"/>
      <c r="RBY48" s="103"/>
      <c r="RBZ48" s="103"/>
      <c r="RCA48" s="103"/>
      <c r="RCB48" s="103"/>
      <c r="RCC48" s="103"/>
      <c r="RCD48" s="103"/>
      <c r="RCE48" s="103"/>
      <c r="RCF48" s="103"/>
      <c r="RCG48" s="103"/>
      <c r="RCH48" s="103"/>
      <c r="RCI48" s="103"/>
      <c r="RCJ48" s="103"/>
      <c r="RCK48" s="103"/>
      <c r="RCL48" s="103"/>
      <c r="RCM48" s="103"/>
      <c r="RCN48" s="103"/>
      <c r="RCO48" s="103"/>
      <c r="RCP48" s="103"/>
      <c r="RCQ48" s="103"/>
      <c r="RCR48" s="103"/>
      <c r="RCS48" s="103"/>
      <c r="RCT48" s="103"/>
      <c r="RCU48" s="103"/>
      <c r="RCV48" s="103"/>
      <c r="RCW48" s="103"/>
      <c r="RCX48" s="103"/>
      <c r="RCY48" s="103"/>
      <c r="RCZ48" s="103"/>
      <c r="RDA48" s="103"/>
      <c r="RDB48" s="103"/>
      <c r="RDC48" s="103"/>
      <c r="RDD48" s="103"/>
      <c r="RDE48" s="103"/>
      <c r="RDF48" s="103"/>
      <c r="RDG48" s="103"/>
      <c r="RDH48" s="103"/>
      <c r="RDI48" s="103"/>
      <c r="RDJ48" s="103"/>
      <c r="RDK48" s="103"/>
      <c r="RDL48" s="103"/>
      <c r="RDM48" s="103"/>
      <c r="RDN48" s="103"/>
      <c r="RDO48" s="103"/>
      <c r="RDP48" s="103"/>
      <c r="RDQ48" s="103"/>
      <c r="RDR48" s="103"/>
      <c r="RDS48" s="103"/>
      <c r="RDT48" s="103"/>
      <c r="RDU48" s="103"/>
      <c r="RDV48" s="103"/>
      <c r="RDW48" s="103"/>
      <c r="RDX48" s="103"/>
      <c r="RDY48" s="103"/>
      <c r="RDZ48" s="103"/>
      <c r="REA48" s="103"/>
      <c r="REB48" s="103"/>
      <c r="REC48" s="103"/>
      <c r="RED48" s="103"/>
      <c r="REE48" s="103"/>
      <c r="REF48" s="103"/>
      <c r="REG48" s="103"/>
      <c r="REH48" s="103"/>
      <c r="REI48" s="103"/>
      <c r="REJ48" s="103"/>
      <c r="REK48" s="103"/>
      <c r="REL48" s="103"/>
      <c r="REM48" s="103"/>
      <c r="REN48" s="103"/>
      <c r="REO48" s="103"/>
      <c r="REP48" s="103"/>
      <c r="REQ48" s="103"/>
      <c r="RER48" s="103"/>
      <c r="RES48" s="103"/>
      <c r="RET48" s="103"/>
      <c r="REU48" s="103"/>
      <c r="REV48" s="103"/>
      <c r="REW48" s="103"/>
      <c r="REX48" s="103"/>
      <c r="REY48" s="103"/>
      <c r="REZ48" s="103"/>
      <c r="RFA48" s="103"/>
      <c r="RFB48" s="103"/>
      <c r="RFC48" s="103"/>
      <c r="RFD48" s="103"/>
      <c r="RFE48" s="103"/>
      <c r="RFF48" s="103"/>
      <c r="RFG48" s="103"/>
      <c r="RFH48" s="103"/>
      <c r="RFI48" s="103"/>
      <c r="RFJ48" s="103"/>
      <c r="RFK48" s="103"/>
      <c r="RFL48" s="103"/>
      <c r="RFM48" s="103"/>
      <c r="RFN48" s="103"/>
      <c r="RFO48" s="103"/>
      <c r="RFP48" s="103"/>
      <c r="RFQ48" s="103"/>
      <c r="RFR48" s="103"/>
      <c r="RFS48" s="103"/>
      <c r="RFT48" s="103"/>
      <c r="RFU48" s="103"/>
      <c r="RFV48" s="103"/>
      <c r="RFW48" s="103"/>
      <c r="RFX48" s="103"/>
      <c r="RFY48" s="103"/>
      <c r="RFZ48" s="103"/>
      <c r="RGA48" s="103"/>
      <c r="RGB48" s="103"/>
      <c r="RGC48" s="103"/>
      <c r="RGD48" s="103"/>
      <c r="RGE48" s="103"/>
      <c r="RGF48" s="103"/>
      <c r="RGG48" s="103"/>
      <c r="RGH48" s="103"/>
      <c r="RGI48" s="103"/>
      <c r="RGJ48" s="103"/>
      <c r="RGK48" s="103"/>
      <c r="RGL48" s="103"/>
      <c r="RGM48" s="103"/>
      <c r="RGN48" s="103"/>
      <c r="RGO48" s="103"/>
      <c r="RGP48" s="103"/>
      <c r="RGQ48" s="103"/>
      <c r="RGR48" s="103"/>
      <c r="RGS48" s="103"/>
      <c r="RGT48" s="103"/>
      <c r="RGU48" s="103"/>
      <c r="RGV48" s="103"/>
      <c r="RGW48" s="103"/>
      <c r="RGX48" s="103"/>
      <c r="RGY48" s="103"/>
      <c r="RGZ48" s="103"/>
      <c r="RHA48" s="103"/>
      <c r="RHB48" s="103"/>
      <c r="RHC48" s="103"/>
      <c r="RHD48" s="103"/>
      <c r="RHE48" s="103"/>
      <c r="RHF48" s="103"/>
      <c r="RHG48" s="103"/>
      <c r="RHH48" s="103"/>
      <c r="RHI48" s="103"/>
      <c r="RHJ48" s="103"/>
      <c r="RHK48" s="103"/>
      <c r="RHL48" s="103"/>
      <c r="RHM48" s="103"/>
      <c r="RHN48" s="103"/>
      <c r="RHO48" s="103"/>
      <c r="RHP48" s="103"/>
      <c r="RHQ48" s="103"/>
      <c r="RHR48" s="103"/>
      <c r="RHS48" s="103"/>
      <c r="RHT48" s="103"/>
      <c r="RHU48" s="103"/>
      <c r="RHV48" s="103"/>
      <c r="RHW48" s="103"/>
      <c r="RHX48" s="103"/>
      <c r="RHY48" s="103"/>
      <c r="RHZ48" s="103"/>
      <c r="RIA48" s="103"/>
      <c r="RIB48" s="103"/>
      <c r="RIC48" s="103"/>
      <c r="RID48" s="103"/>
      <c r="RIE48" s="103"/>
      <c r="RIF48" s="103"/>
      <c r="RIG48" s="103"/>
      <c r="RIH48" s="103"/>
      <c r="RII48" s="103"/>
      <c r="RIJ48" s="103"/>
      <c r="RIK48" s="103"/>
      <c r="RIL48" s="103"/>
      <c r="RIM48" s="103"/>
      <c r="RIN48" s="103"/>
      <c r="RIO48" s="103"/>
      <c r="RIP48" s="103"/>
      <c r="RIQ48" s="103"/>
      <c r="RIR48" s="103"/>
      <c r="RIS48" s="103"/>
      <c r="RIT48" s="103"/>
      <c r="RIU48" s="103"/>
      <c r="RIV48" s="103"/>
      <c r="RIW48" s="103"/>
      <c r="RIX48" s="103"/>
      <c r="RIY48" s="103"/>
      <c r="RIZ48" s="103"/>
      <c r="RJA48" s="103"/>
      <c r="RJB48" s="103"/>
      <c r="RJC48" s="103"/>
      <c r="RJD48" s="103"/>
      <c r="RJE48" s="103"/>
      <c r="RJF48" s="103"/>
      <c r="RJG48" s="103"/>
      <c r="RJH48" s="103"/>
      <c r="RJI48" s="103"/>
      <c r="RJJ48" s="103"/>
      <c r="RJK48" s="103"/>
      <c r="RJL48" s="103"/>
      <c r="RJM48" s="103"/>
      <c r="RJN48" s="103"/>
      <c r="RJO48" s="103"/>
      <c r="RJP48" s="103"/>
      <c r="RJQ48" s="103"/>
      <c r="RJR48" s="103"/>
      <c r="RJS48" s="103"/>
      <c r="RJT48" s="103"/>
      <c r="RJU48" s="103"/>
      <c r="RJV48" s="103"/>
      <c r="RJW48" s="103"/>
      <c r="RJX48" s="103"/>
      <c r="RJY48" s="103"/>
      <c r="RJZ48" s="103"/>
      <c r="RKA48" s="103"/>
      <c r="RKB48" s="103"/>
      <c r="RKC48" s="103"/>
      <c r="RKD48" s="103"/>
      <c r="RKE48" s="103"/>
      <c r="RKF48" s="103"/>
      <c r="RKG48" s="103"/>
      <c r="RKH48" s="103"/>
      <c r="RKI48" s="103"/>
      <c r="RKJ48" s="103"/>
      <c r="RKK48" s="103"/>
      <c r="RKL48" s="103"/>
      <c r="RKM48" s="103"/>
      <c r="RKN48" s="103"/>
      <c r="RKO48" s="103"/>
      <c r="RKP48" s="103"/>
      <c r="RKQ48" s="103"/>
      <c r="RKR48" s="103"/>
      <c r="RKS48" s="103"/>
      <c r="RKT48" s="103"/>
      <c r="RKU48" s="103"/>
      <c r="RKV48" s="103"/>
      <c r="RKW48" s="103"/>
      <c r="RKX48" s="103"/>
      <c r="RKY48" s="103"/>
      <c r="RKZ48" s="103"/>
      <c r="RLA48" s="103"/>
      <c r="RLB48" s="103"/>
      <c r="RLC48" s="103"/>
      <c r="RLD48" s="103"/>
      <c r="RLE48" s="103"/>
      <c r="RLF48" s="103"/>
      <c r="RLG48" s="103"/>
      <c r="RLH48" s="103"/>
      <c r="RLI48" s="103"/>
      <c r="RLJ48" s="103"/>
      <c r="RLK48" s="103"/>
      <c r="RLL48" s="103"/>
      <c r="RLM48" s="103"/>
      <c r="RLN48" s="103"/>
      <c r="RLO48" s="103"/>
      <c r="RLP48" s="103"/>
      <c r="RLQ48" s="103"/>
      <c r="RLR48" s="103"/>
      <c r="RLS48" s="103"/>
      <c r="RLT48" s="103"/>
      <c r="RLU48" s="103"/>
      <c r="RLV48" s="103"/>
      <c r="RLW48" s="103"/>
      <c r="RLX48" s="103"/>
      <c r="RLY48" s="103"/>
      <c r="RLZ48" s="103"/>
      <c r="RMA48" s="103"/>
      <c r="RMB48" s="103"/>
      <c r="RMC48" s="103"/>
      <c r="RMD48" s="103"/>
      <c r="RME48" s="103"/>
      <c r="RMF48" s="103"/>
      <c r="RMG48" s="103"/>
      <c r="RMH48" s="103"/>
      <c r="RMI48" s="103"/>
      <c r="RMJ48" s="103"/>
      <c r="RMK48" s="103"/>
      <c r="RML48" s="103"/>
      <c r="RMM48" s="103"/>
      <c r="RMN48" s="103"/>
      <c r="RMO48" s="103"/>
      <c r="RMP48" s="103"/>
      <c r="RMQ48" s="103"/>
      <c r="RMR48" s="103"/>
      <c r="RMS48" s="103"/>
      <c r="RMT48" s="103"/>
      <c r="RMU48" s="103"/>
      <c r="RMV48" s="103"/>
      <c r="RMW48" s="103"/>
      <c r="RMX48" s="103"/>
      <c r="RMY48" s="103"/>
      <c r="RMZ48" s="103"/>
      <c r="RNA48" s="103"/>
      <c r="RNB48" s="103"/>
      <c r="RNC48" s="103"/>
      <c r="RND48" s="103"/>
      <c r="RNE48" s="103"/>
      <c r="RNF48" s="103"/>
      <c r="RNG48" s="103"/>
      <c r="RNH48" s="103"/>
      <c r="RNI48" s="103"/>
      <c r="RNJ48" s="103"/>
      <c r="RNK48" s="103"/>
      <c r="RNL48" s="103"/>
      <c r="RNM48" s="103"/>
      <c r="RNN48" s="103"/>
      <c r="RNO48" s="103"/>
      <c r="RNP48" s="103"/>
      <c r="RNQ48" s="103"/>
      <c r="RNR48" s="103"/>
      <c r="RNS48" s="103"/>
      <c r="RNT48" s="103"/>
      <c r="RNU48" s="103"/>
      <c r="RNV48" s="103"/>
      <c r="RNW48" s="103"/>
      <c r="RNX48" s="103"/>
      <c r="RNY48" s="103"/>
      <c r="RNZ48" s="103"/>
      <c r="ROA48" s="103"/>
      <c r="ROB48" s="103"/>
      <c r="ROC48" s="103"/>
      <c r="ROD48" s="103"/>
      <c r="ROE48" s="103"/>
      <c r="ROF48" s="103"/>
      <c r="ROG48" s="103"/>
      <c r="ROH48" s="103"/>
      <c r="ROI48" s="103"/>
      <c r="ROJ48" s="103"/>
      <c r="ROK48" s="103"/>
      <c r="ROL48" s="103"/>
      <c r="ROM48" s="103"/>
      <c r="RON48" s="103"/>
      <c r="ROO48" s="103"/>
      <c r="ROP48" s="103"/>
      <c r="ROQ48" s="103"/>
      <c r="ROR48" s="103"/>
      <c r="ROS48" s="103"/>
      <c r="ROT48" s="103"/>
      <c r="ROU48" s="103"/>
      <c r="ROV48" s="103"/>
      <c r="ROW48" s="103"/>
      <c r="ROX48" s="103"/>
      <c r="ROY48" s="103"/>
      <c r="ROZ48" s="103"/>
      <c r="RPA48" s="103"/>
      <c r="RPB48" s="103"/>
      <c r="RPC48" s="103"/>
      <c r="RPD48" s="103"/>
      <c r="RPE48" s="103"/>
      <c r="RPF48" s="103"/>
      <c r="RPG48" s="103"/>
      <c r="RPH48" s="103"/>
      <c r="RPI48" s="103"/>
      <c r="RPJ48" s="103"/>
      <c r="RPK48" s="103"/>
      <c r="RPL48" s="103"/>
      <c r="RPM48" s="103"/>
      <c r="RPN48" s="103"/>
      <c r="RPO48" s="103"/>
      <c r="RPP48" s="103"/>
      <c r="RPQ48" s="103"/>
      <c r="RPR48" s="103"/>
      <c r="RPS48" s="103"/>
      <c r="RPT48" s="103"/>
      <c r="RPU48" s="103"/>
      <c r="RPV48" s="103"/>
      <c r="RPW48" s="103"/>
      <c r="RPX48" s="103"/>
      <c r="RPY48" s="103"/>
      <c r="RPZ48" s="103"/>
      <c r="RQA48" s="103"/>
      <c r="RQB48" s="103"/>
      <c r="RQC48" s="103"/>
      <c r="RQD48" s="103"/>
      <c r="RQE48" s="103"/>
      <c r="RQF48" s="103"/>
      <c r="RQG48" s="103"/>
      <c r="RQH48" s="103"/>
      <c r="RQI48" s="103"/>
      <c r="RQJ48" s="103"/>
      <c r="RQK48" s="103"/>
      <c r="RQL48" s="103"/>
      <c r="RQM48" s="103"/>
      <c r="RQN48" s="103"/>
      <c r="RQO48" s="103"/>
      <c r="RQP48" s="103"/>
      <c r="RQQ48" s="103"/>
      <c r="RQR48" s="103"/>
      <c r="RQS48" s="103"/>
      <c r="RQT48" s="103"/>
      <c r="RQU48" s="103"/>
      <c r="RQV48" s="103"/>
      <c r="RQW48" s="103"/>
      <c r="RQX48" s="103"/>
      <c r="RQY48" s="103"/>
      <c r="RQZ48" s="103"/>
      <c r="RRA48" s="103"/>
      <c r="RRB48" s="103"/>
      <c r="RRC48" s="103"/>
      <c r="RRD48" s="103"/>
      <c r="RRE48" s="103"/>
      <c r="RRF48" s="103"/>
      <c r="RRG48" s="103"/>
      <c r="RRH48" s="103"/>
      <c r="RRI48" s="103"/>
      <c r="RRJ48" s="103"/>
      <c r="RRK48" s="103"/>
      <c r="RRL48" s="103"/>
      <c r="RRM48" s="103"/>
      <c r="RRN48" s="103"/>
      <c r="RRO48" s="103"/>
      <c r="RRP48" s="103"/>
      <c r="RRQ48" s="103"/>
      <c r="RRR48" s="103"/>
      <c r="RRS48" s="103"/>
      <c r="RRT48" s="103"/>
      <c r="RRU48" s="103"/>
      <c r="RRV48" s="103"/>
      <c r="RRW48" s="103"/>
      <c r="RRX48" s="103"/>
      <c r="RRY48" s="103"/>
      <c r="RRZ48" s="103"/>
      <c r="RSA48" s="103"/>
      <c r="RSB48" s="103"/>
      <c r="RSC48" s="103"/>
      <c r="RSD48" s="103"/>
      <c r="RSE48" s="103"/>
      <c r="RSF48" s="103"/>
      <c r="RSG48" s="103"/>
      <c r="RSH48" s="103"/>
      <c r="RSI48" s="103"/>
      <c r="RSJ48" s="103"/>
      <c r="RSK48" s="103"/>
      <c r="RSL48" s="103"/>
      <c r="RSM48" s="103"/>
      <c r="RSN48" s="103"/>
      <c r="RSO48" s="103"/>
      <c r="RSP48" s="103"/>
      <c r="RSQ48" s="103"/>
      <c r="RSR48" s="103"/>
      <c r="RSS48" s="103"/>
      <c r="RST48" s="103"/>
      <c r="RSU48" s="103"/>
      <c r="RSV48" s="103"/>
      <c r="RSW48" s="103"/>
      <c r="RSX48" s="103"/>
      <c r="RSY48" s="103"/>
      <c r="RSZ48" s="103"/>
      <c r="RTA48" s="103"/>
      <c r="RTB48" s="103"/>
      <c r="RTC48" s="103"/>
      <c r="RTD48" s="103"/>
      <c r="RTE48" s="103"/>
      <c r="RTF48" s="103"/>
      <c r="RTG48" s="103"/>
      <c r="RTH48" s="103"/>
      <c r="RTI48" s="103"/>
      <c r="RTJ48" s="103"/>
      <c r="RTK48" s="103"/>
      <c r="RTL48" s="103"/>
      <c r="RTM48" s="103"/>
      <c r="RTN48" s="103"/>
      <c r="RTO48" s="103"/>
      <c r="RTP48" s="103"/>
      <c r="RTQ48" s="103"/>
      <c r="RTR48" s="103"/>
      <c r="RTS48" s="103"/>
      <c r="RTT48" s="103"/>
      <c r="RTU48" s="103"/>
      <c r="RTV48" s="103"/>
      <c r="RTW48" s="103"/>
      <c r="RTX48" s="103"/>
      <c r="RTY48" s="103"/>
      <c r="RTZ48" s="103"/>
      <c r="RUA48" s="103"/>
      <c r="RUB48" s="103"/>
      <c r="RUC48" s="103"/>
      <c r="RUD48" s="103"/>
      <c r="RUE48" s="103"/>
      <c r="RUF48" s="103"/>
      <c r="RUG48" s="103"/>
      <c r="RUH48" s="103"/>
      <c r="RUI48" s="103"/>
      <c r="RUJ48" s="103"/>
      <c r="RUK48" s="103"/>
      <c r="RUL48" s="103"/>
      <c r="RUM48" s="103"/>
      <c r="RUN48" s="103"/>
      <c r="RUO48" s="103"/>
      <c r="RUP48" s="103"/>
      <c r="RUQ48" s="103"/>
      <c r="RUR48" s="103"/>
      <c r="RUS48" s="103"/>
      <c r="RUT48" s="103"/>
      <c r="RUU48" s="103"/>
      <c r="RUV48" s="103"/>
      <c r="RUW48" s="103"/>
      <c r="RUX48" s="103"/>
      <c r="RUY48" s="103"/>
      <c r="RUZ48" s="103"/>
      <c r="RVA48" s="103"/>
      <c r="RVB48" s="103"/>
      <c r="RVC48" s="103"/>
      <c r="RVD48" s="103"/>
      <c r="RVE48" s="103"/>
      <c r="RVF48" s="103"/>
      <c r="RVG48" s="103"/>
      <c r="RVH48" s="103"/>
      <c r="RVI48" s="103"/>
      <c r="RVJ48" s="103"/>
      <c r="RVK48" s="103"/>
      <c r="RVL48" s="103"/>
      <c r="RVM48" s="103"/>
      <c r="RVN48" s="103"/>
      <c r="RVO48" s="103"/>
      <c r="RVP48" s="103"/>
      <c r="RVQ48" s="103"/>
      <c r="RVR48" s="103"/>
      <c r="RVS48" s="103"/>
      <c r="RVT48" s="103"/>
      <c r="RVU48" s="103"/>
      <c r="RVV48" s="103"/>
      <c r="RVW48" s="103"/>
      <c r="RVX48" s="103"/>
      <c r="RVY48" s="103"/>
      <c r="RVZ48" s="103"/>
      <c r="RWA48" s="103"/>
      <c r="RWB48" s="103"/>
      <c r="RWC48" s="103"/>
      <c r="RWD48" s="103"/>
      <c r="RWE48" s="103"/>
      <c r="RWF48" s="103"/>
      <c r="RWG48" s="103"/>
      <c r="RWH48" s="103"/>
      <c r="RWI48" s="103"/>
      <c r="RWJ48" s="103"/>
      <c r="RWK48" s="103"/>
      <c r="RWL48" s="103"/>
      <c r="RWM48" s="103"/>
      <c r="RWN48" s="103"/>
      <c r="RWO48" s="103"/>
      <c r="RWP48" s="103"/>
      <c r="RWQ48" s="103"/>
      <c r="RWR48" s="103"/>
      <c r="RWS48" s="103"/>
      <c r="RWT48" s="103"/>
      <c r="RWU48" s="103"/>
      <c r="RWV48" s="103"/>
      <c r="RWW48" s="103"/>
      <c r="RWX48" s="103"/>
      <c r="RWY48" s="103"/>
      <c r="RWZ48" s="103"/>
      <c r="RXA48" s="103"/>
      <c r="RXB48" s="103"/>
      <c r="RXC48" s="103"/>
      <c r="RXD48" s="103"/>
      <c r="RXE48" s="103"/>
      <c r="RXF48" s="103"/>
      <c r="RXG48" s="103"/>
      <c r="RXH48" s="103"/>
      <c r="RXI48" s="103"/>
      <c r="RXJ48" s="103"/>
      <c r="RXK48" s="103"/>
      <c r="RXL48" s="103"/>
      <c r="RXM48" s="103"/>
      <c r="RXN48" s="103"/>
      <c r="RXO48" s="103"/>
      <c r="RXP48" s="103"/>
      <c r="RXQ48" s="103"/>
      <c r="RXR48" s="103"/>
      <c r="RXS48" s="103"/>
      <c r="RXT48" s="103"/>
      <c r="RXU48" s="103"/>
      <c r="RXV48" s="103"/>
      <c r="RXW48" s="103"/>
      <c r="RXX48" s="103"/>
      <c r="RXY48" s="103"/>
      <c r="RXZ48" s="103"/>
      <c r="RYA48" s="103"/>
      <c r="RYB48" s="103"/>
      <c r="RYC48" s="103"/>
      <c r="RYD48" s="103"/>
      <c r="RYE48" s="103"/>
      <c r="RYF48" s="103"/>
      <c r="RYG48" s="103"/>
      <c r="RYH48" s="103"/>
      <c r="RYI48" s="103"/>
      <c r="RYJ48" s="103"/>
      <c r="RYK48" s="103"/>
      <c r="RYL48" s="103"/>
      <c r="RYM48" s="103"/>
      <c r="RYN48" s="103"/>
      <c r="RYO48" s="103"/>
      <c r="RYP48" s="103"/>
      <c r="RYQ48" s="103"/>
      <c r="RYR48" s="103"/>
      <c r="RYS48" s="103"/>
      <c r="RYT48" s="103"/>
      <c r="RYU48" s="103"/>
      <c r="RYV48" s="103"/>
      <c r="RYW48" s="103"/>
      <c r="RYX48" s="103"/>
      <c r="RYY48" s="103"/>
      <c r="RYZ48" s="103"/>
      <c r="RZA48" s="103"/>
      <c r="RZB48" s="103"/>
      <c r="RZC48" s="103"/>
      <c r="RZD48" s="103"/>
      <c r="RZE48" s="103"/>
      <c r="RZF48" s="103"/>
      <c r="RZG48" s="103"/>
      <c r="RZH48" s="103"/>
      <c r="RZI48" s="103"/>
      <c r="RZJ48" s="103"/>
      <c r="RZK48" s="103"/>
      <c r="RZL48" s="103"/>
      <c r="RZM48" s="103"/>
      <c r="RZN48" s="103"/>
      <c r="RZO48" s="103"/>
      <c r="RZP48" s="103"/>
      <c r="RZQ48" s="103"/>
      <c r="RZR48" s="103"/>
      <c r="RZS48" s="103"/>
      <c r="RZT48" s="103"/>
      <c r="RZU48" s="103"/>
      <c r="RZV48" s="103"/>
      <c r="RZW48" s="103"/>
      <c r="RZX48" s="103"/>
      <c r="RZY48" s="103"/>
      <c r="RZZ48" s="103"/>
      <c r="SAA48" s="103"/>
      <c r="SAB48" s="103"/>
      <c r="SAC48" s="103"/>
      <c r="SAD48" s="103"/>
      <c r="SAE48" s="103"/>
      <c r="SAF48" s="103"/>
      <c r="SAG48" s="103"/>
      <c r="SAH48" s="103"/>
      <c r="SAI48" s="103"/>
      <c r="SAJ48" s="103"/>
      <c r="SAK48" s="103"/>
      <c r="SAL48" s="103"/>
      <c r="SAM48" s="103"/>
      <c r="SAN48" s="103"/>
      <c r="SAO48" s="103"/>
      <c r="SAP48" s="103"/>
      <c r="SAQ48" s="103"/>
      <c r="SAR48" s="103"/>
      <c r="SAS48" s="103"/>
      <c r="SAT48" s="103"/>
      <c r="SAU48" s="103"/>
      <c r="SAV48" s="103"/>
      <c r="SAW48" s="103"/>
      <c r="SAX48" s="103"/>
      <c r="SAY48" s="103"/>
      <c r="SAZ48" s="103"/>
      <c r="SBA48" s="103"/>
      <c r="SBB48" s="103"/>
      <c r="SBC48" s="103"/>
      <c r="SBD48" s="103"/>
      <c r="SBE48" s="103"/>
      <c r="SBF48" s="103"/>
      <c r="SBG48" s="103"/>
      <c r="SBH48" s="103"/>
      <c r="SBI48" s="103"/>
      <c r="SBJ48" s="103"/>
      <c r="SBK48" s="103"/>
      <c r="SBL48" s="103"/>
      <c r="SBM48" s="103"/>
      <c r="SBN48" s="103"/>
      <c r="SBO48" s="103"/>
      <c r="SBP48" s="103"/>
      <c r="SBQ48" s="103"/>
      <c r="SBR48" s="103"/>
      <c r="SBS48" s="103"/>
      <c r="SBT48" s="103"/>
      <c r="SBU48" s="103"/>
      <c r="SBV48" s="103"/>
      <c r="SBW48" s="103"/>
      <c r="SBX48" s="103"/>
      <c r="SBY48" s="103"/>
      <c r="SBZ48" s="103"/>
      <c r="SCA48" s="103"/>
      <c r="SCB48" s="103"/>
      <c r="SCC48" s="103"/>
      <c r="SCD48" s="103"/>
      <c r="SCE48" s="103"/>
      <c r="SCF48" s="103"/>
      <c r="SCG48" s="103"/>
      <c r="SCH48" s="103"/>
      <c r="SCI48" s="103"/>
      <c r="SCJ48" s="103"/>
      <c r="SCK48" s="103"/>
      <c r="SCL48" s="103"/>
      <c r="SCM48" s="103"/>
      <c r="SCN48" s="103"/>
      <c r="SCO48" s="103"/>
      <c r="SCP48" s="103"/>
      <c r="SCQ48" s="103"/>
      <c r="SCR48" s="103"/>
      <c r="SCS48" s="103"/>
      <c r="SCT48" s="103"/>
      <c r="SCU48" s="103"/>
      <c r="SCV48" s="103"/>
      <c r="SCW48" s="103"/>
      <c r="SCX48" s="103"/>
      <c r="SCY48" s="103"/>
      <c r="SCZ48" s="103"/>
      <c r="SDA48" s="103"/>
      <c r="SDB48" s="103"/>
      <c r="SDC48" s="103"/>
      <c r="SDD48" s="103"/>
      <c r="SDE48" s="103"/>
      <c r="SDF48" s="103"/>
      <c r="SDG48" s="103"/>
      <c r="SDH48" s="103"/>
      <c r="SDI48" s="103"/>
      <c r="SDJ48" s="103"/>
      <c r="SDK48" s="103"/>
      <c r="SDL48" s="103"/>
      <c r="SDM48" s="103"/>
      <c r="SDN48" s="103"/>
      <c r="SDO48" s="103"/>
      <c r="SDP48" s="103"/>
      <c r="SDQ48" s="103"/>
      <c r="SDR48" s="103"/>
      <c r="SDS48" s="103"/>
      <c r="SDT48" s="103"/>
      <c r="SDU48" s="103"/>
      <c r="SDV48" s="103"/>
      <c r="SDW48" s="103"/>
      <c r="SDX48" s="103"/>
      <c r="SDY48" s="103"/>
      <c r="SDZ48" s="103"/>
      <c r="SEA48" s="103"/>
      <c r="SEB48" s="103"/>
      <c r="SEC48" s="103"/>
      <c r="SED48" s="103"/>
      <c r="SEE48" s="103"/>
      <c r="SEF48" s="103"/>
      <c r="SEG48" s="103"/>
      <c r="SEH48" s="103"/>
      <c r="SEI48" s="103"/>
      <c r="SEJ48" s="103"/>
      <c r="SEK48" s="103"/>
      <c r="SEL48" s="103"/>
      <c r="SEM48" s="103"/>
      <c r="SEN48" s="103"/>
      <c r="SEO48" s="103"/>
      <c r="SEP48" s="103"/>
      <c r="SEQ48" s="103"/>
      <c r="SER48" s="103"/>
      <c r="SES48" s="103"/>
      <c r="SET48" s="103"/>
      <c r="SEU48" s="103"/>
      <c r="SEV48" s="103"/>
      <c r="SEW48" s="103"/>
      <c r="SEX48" s="103"/>
      <c r="SEY48" s="103"/>
      <c r="SEZ48" s="103"/>
      <c r="SFA48" s="103"/>
      <c r="SFB48" s="103"/>
      <c r="SFC48" s="103"/>
      <c r="SFD48" s="103"/>
      <c r="SFE48" s="103"/>
      <c r="SFF48" s="103"/>
      <c r="SFG48" s="103"/>
      <c r="SFH48" s="103"/>
      <c r="SFI48" s="103"/>
      <c r="SFJ48" s="103"/>
      <c r="SFK48" s="103"/>
      <c r="SFL48" s="103"/>
      <c r="SFM48" s="103"/>
      <c r="SFN48" s="103"/>
      <c r="SFO48" s="103"/>
      <c r="SFP48" s="103"/>
      <c r="SFQ48" s="103"/>
      <c r="SFR48" s="103"/>
      <c r="SFS48" s="103"/>
      <c r="SFT48" s="103"/>
      <c r="SFU48" s="103"/>
      <c r="SFV48" s="103"/>
      <c r="SFW48" s="103"/>
      <c r="SFX48" s="103"/>
      <c r="SFY48" s="103"/>
      <c r="SFZ48" s="103"/>
      <c r="SGA48" s="103"/>
      <c r="SGB48" s="103"/>
      <c r="SGC48" s="103"/>
      <c r="SGD48" s="103"/>
      <c r="SGE48" s="103"/>
      <c r="SGF48" s="103"/>
      <c r="SGG48" s="103"/>
      <c r="SGH48" s="103"/>
      <c r="SGI48" s="103"/>
      <c r="SGJ48" s="103"/>
      <c r="SGK48" s="103"/>
      <c r="SGL48" s="103"/>
      <c r="SGM48" s="103"/>
      <c r="SGN48" s="103"/>
      <c r="SGO48" s="103"/>
      <c r="SGP48" s="103"/>
      <c r="SGQ48" s="103"/>
      <c r="SGR48" s="103"/>
      <c r="SGS48" s="103"/>
      <c r="SGT48" s="103"/>
      <c r="SGU48" s="103"/>
      <c r="SGV48" s="103"/>
      <c r="SGW48" s="103"/>
      <c r="SGX48" s="103"/>
      <c r="SGY48" s="103"/>
      <c r="SGZ48" s="103"/>
      <c r="SHA48" s="103"/>
      <c r="SHB48" s="103"/>
      <c r="SHC48" s="103"/>
      <c r="SHD48" s="103"/>
      <c r="SHE48" s="103"/>
      <c r="SHF48" s="103"/>
      <c r="SHG48" s="103"/>
      <c r="SHH48" s="103"/>
      <c r="SHI48" s="103"/>
      <c r="SHJ48" s="103"/>
      <c r="SHK48" s="103"/>
      <c r="SHL48" s="103"/>
      <c r="SHM48" s="103"/>
      <c r="SHN48" s="103"/>
      <c r="SHO48" s="103"/>
      <c r="SHP48" s="103"/>
      <c r="SHQ48" s="103"/>
      <c r="SHR48" s="103"/>
      <c r="SHS48" s="103"/>
      <c r="SHT48" s="103"/>
      <c r="SHU48" s="103"/>
      <c r="SHV48" s="103"/>
      <c r="SHW48" s="103"/>
      <c r="SHX48" s="103"/>
      <c r="SHY48" s="103"/>
      <c r="SHZ48" s="103"/>
      <c r="SIA48" s="103"/>
      <c r="SIB48" s="103"/>
      <c r="SIC48" s="103"/>
      <c r="SID48" s="103"/>
      <c r="SIE48" s="103"/>
      <c r="SIF48" s="103"/>
      <c r="SIG48" s="103"/>
      <c r="SIH48" s="103"/>
      <c r="SII48" s="103"/>
      <c r="SIJ48" s="103"/>
      <c r="SIK48" s="103"/>
      <c r="SIL48" s="103"/>
      <c r="SIM48" s="103"/>
      <c r="SIN48" s="103"/>
      <c r="SIO48" s="103"/>
      <c r="SIP48" s="103"/>
      <c r="SIQ48" s="103"/>
      <c r="SIR48" s="103"/>
      <c r="SIS48" s="103"/>
      <c r="SIT48" s="103"/>
      <c r="SIU48" s="103"/>
      <c r="SIV48" s="103"/>
      <c r="SIW48" s="103"/>
      <c r="SIX48" s="103"/>
      <c r="SIY48" s="103"/>
      <c r="SIZ48" s="103"/>
      <c r="SJA48" s="103"/>
      <c r="SJB48" s="103"/>
      <c r="SJC48" s="103"/>
      <c r="SJD48" s="103"/>
      <c r="SJE48" s="103"/>
      <c r="SJF48" s="103"/>
      <c r="SJG48" s="103"/>
      <c r="SJH48" s="103"/>
      <c r="SJI48" s="103"/>
      <c r="SJJ48" s="103"/>
      <c r="SJK48" s="103"/>
      <c r="SJL48" s="103"/>
      <c r="SJM48" s="103"/>
      <c r="SJN48" s="103"/>
      <c r="SJO48" s="103"/>
      <c r="SJP48" s="103"/>
      <c r="SJQ48" s="103"/>
      <c r="SJR48" s="103"/>
      <c r="SJS48" s="103"/>
      <c r="SJT48" s="103"/>
      <c r="SJU48" s="103"/>
      <c r="SJV48" s="103"/>
      <c r="SJW48" s="103"/>
      <c r="SJX48" s="103"/>
      <c r="SJY48" s="103"/>
      <c r="SJZ48" s="103"/>
      <c r="SKA48" s="103"/>
      <c r="SKB48" s="103"/>
      <c r="SKC48" s="103"/>
      <c r="SKD48" s="103"/>
      <c r="SKE48" s="103"/>
      <c r="SKF48" s="103"/>
      <c r="SKG48" s="103"/>
      <c r="SKH48" s="103"/>
      <c r="SKI48" s="103"/>
      <c r="SKJ48" s="103"/>
      <c r="SKK48" s="103"/>
      <c r="SKL48" s="103"/>
      <c r="SKM48" s="103"/>
      <c r="SKN48" s="103"/>
      <c r="SKO48" s="103"/>
      <c r="SKP48" s="103"/>
      <c r="SKQ48" s="103"/>
      <c r="SKR48" s="103"/>
      <c r="SKS48" s="103"/>
      <c r="SKT48" s="103"/>
      <c r="SKU48" s="103"/>
      <c r="SKV48" s="103"/>
      <c r="SKW48" s="103"/>
      <c r="SKX48" s="103"/>
      <c r="SKY48" s="103"/>
      <c r="SKZ48" s="103"/>
      <c r="SLA48" s="103"/>
      <c r="SLB48" s="103"/>
      <c r="SLC48" s="103"/>
      <c r="SLD48" s="103"/>
      <c r="SLE48" s="103"/>
      <c r="SLF48" s="103"/>
      <c r="SLG48" s="103"/>
      <c r="SLH48" s="103"/>
      <c r="SLI48" s="103"/>
      <c r="SLJ48" s="103"/>
      <c r="SLK48" s="103"/>
      <c r="SLL48" s="103"/>
      <c r="SLM48" s="103"/>
      <c r="SLN48" s="103"/>
      <c r="SLO48" s="103"/>
      <c r="SLP48" s="103"/>
      <c r="SLQ48" s="103"/>
      <c r="SLR48" s="103"/>
      <c r="SLS48" s="103"/>
      <c r="SLT48" s="103"/>
      <c r="SLU48" s="103"/>
      <c r="SLV48" s="103"/>
      <c r="SLW48" s="103"/>
      <c r="SLX48" s="103"/>
      <c r="SLY48" s="103"/>
      <c r="SLZ48" s="103"/>
      <c r="SMA48" s="103"/>
      <c r="SMB48" s="103"/>
      <c r="SMC48" s="103"/>
      <c r="SMD48" s="103"/>
      <c r="SME48" s="103"/>
      <c r="SMF48" s="103"/>
      <c r="SMG48" s="103"/>
      <c r="SMH48" s="103"/>
      <c r="SMI48" s="103"/>
      <c r="SMJ48" s="103"/>
      <c r="SMK48" s="103"/>
      <c r="SML48" s="103"/>
      <c r="SMM48" s="103"/>
      <c r="SMN48" s="103"/>
      <c r="SMO48" s="103"/>
      <c r="SMP48" s="103"/>
      <c r="SMQ48" s="103"/>
      <c r="SMR48" s="103"/>
      <c r="SMS48" s="103"/>
      <c r="SMT48" s="103"/>
      <c r="SMU48" s="103"/>
      <c r="SMV48" s="103"/>
      <c r="SMW48" s="103"/>
      <c r="SMX48" s="103"/>
      <c r="SMY48" s="103"/>
      <c r="SMZ48" s="103"/>
      <c r="SNA48" s="103"/>
      <c r="SNB48" s="103"/>
      <c r="SNC48" s="103"/>
      <c r="SND48" s="103"/>
      <c r="SNE48" s="103"/>
      <c r="SNF48" s="103"/>
      <c r="SNG48" s="103"/>
      <c r="SNH48" s="103"/>
      <c r="SNI48" s="103"/>
      <c r="SNJ48" s="103"/>
      <c r="SNK48" s="103"/>
      <c r="SNL48" s="103"/>
      <c r="SNM48" s="103"/>
      <c r="SNN48" s="103"/>
      <c r="SNO48" s="103"/>
      <c r="SNP48" s="103"/>
      <c r="SNQ48" s="103"/>
      <c r="SNR48" s="103"/>
      <c r="SNS48" s="103"/>
      <c r="SNT48" s="103"/>
      <c r="SNU48" s="103"/>
      <c r="SNV48" s="103"/>
      <c r="SNW48" s="103"/>
      <c r="SNX48" s="103"/>
      <c r="SNY48" s="103"/>
      <c r="SNZ48" s="103"/>
      <c r="SOA48" s="103"/>
      <c r="SOB48" s="103"/>
      <c r="SOC48" s="103"/>
      <c r="SOD48" s="103"/>
      <c r="SOE48" s="103"/>
      <c r="SOF48" s="103"/>
      <c r="SOG48" s="103"/>
      <c r="SOH48" s="103"/>
      <c r="SOI48" s="103"/>
      <c r="SOJ48" s="103"/>
      <c r="SOK48" s="103"/>
      <c r="SOL48" s="103"/>
      <c r="SOM48" s="103"/>
      <c r="SON48" s="103"/>
      <c r="SOO48" s="103"/>
      <c r="SOP48" s="103"/>
      <c r="SOQ48" s="103"/>
      <c r="SOR48" s="103"/>
      <c r="SOS48" s="103"/>
      <c r="SOT48" s="103"/>
      <c r="SOU48" s="103"/>
      <c r="SOV48" s="103"/>
      <c r="SOW48" s="103"/>
      <c r="SOX48" s="103"/>
      <c r="SOY48" s="103"/>
      <c r="SOZ48" s="103"/>
      <c r="SPA48" s="103"/>
      <c r="SPB48" s="103"/>
      <c r="SPC48" s="103"/>
      <c r="SPD48" s="103"/>
      <c r="SPE48" s="103"/>
      <c r="SPF48" s="103"/>
      <c r="SPG48" s="103"/>
      <c r="SPH48" s="103"/>
      <c r="SPI48" s="103"/>
      <c r="SPJ48" s="103"/>
      <c r="SPK48" s="103"/>
      <c r="SPL48" s="103"/>
      <c r="SPM48" s="103"/>
      <c r="SPN48" s="103"/>
      <c r="SPO48" s="103"/>
      <c r="SPP48" s="103"/>
      <c r="SPQ48" s="103"/>
      <c r="SPR48" s="103"/>
      <c r="SPS48" s="103"/>
      <c r="SPT48" s="103"/>
      <c r="SPU48" s="103"/>
      <c r="SPV48" s="103"/>
      <c r="SPW48" s="103"/>
      <c r="SPX48" s="103"/>
      <c r="SPY48" s="103"/>
      <c r="SPZ48" s="103"/>
      <c r="SQA48" s="103"/>
      <c r="SQB48" s="103"/>
      <c r="SQC48" s="103"/>
      <c r="SQD48" s="103"/>
      <c r="SQE48" s="103"/>
      <c r="SQF48" s="103"/>
      <c r="SQG48" s="103"/>
      <c r="SQH48" s="103"/>
      <c r="SQI48" s="103"/>
      <c r="SQJ48" s="103"/>
      <c r="SQK48" s="103"/>
      <c r="SQL48" s="103"/>
      <c r="SQM48" s="103"/>
      <c r="SQN48" s="103"/>
      <c r="SQO48" s="103"/>
      <c r="SQP48" s="103"/>
      <c r="SQQ48" s="103"/>
      <c r="SQR48" s="103"/>
      <c r="SQS48" s="103"/>
      <c r="SQT48" s="103"/>
      <c r="SQU48" s="103"/>
      <c r="SQV48" s="103"/>
      <c r="SQW48" s="103"/>
      <c r="SQX48" s="103"/>
      <c r="SQY48" s="103"/>
      <c r="SQZ48" s="103"/>
      <c r="SRA48" s="103"/>
      <c r="SRB48" s="103"/>
      <c r="SRC48" s="103"/>
      <c r="SRD48" s="103"/>
      <c r="SRE48" s="103"/>
      <c r="SRF48" s="103"/>
      <c r="SRG48" s="103"/>
      <c r="SRH48" s="103"/>
      <c r="SRI48" s="103"/>
      <c r="SRJ48" s="103"/>
      <c r="SRK48" s="103"/>
      <c r="SRL48" s="103"/>
      <c r="SRM48" s="103"/>
      <c r="SRN48" s="103"/>
      <c r="SRO48" s="103"/>
      <c r="SRP48" s="103"/>
      <c r="SRQ48" s="103"/>
      <c r="SRR48" s="103"/>
      <c r="SRS48" s="103"/>
      <c r="SRT48" s="103"/>
      <c r="SRU48" s="103"/>
      <c r="SRV48" s="103"/>
      <c r="SRW48" s="103"/>
      <c r="SRX48" s="103"/>
      <c r="SRY48" s="103"/>
      <c r="SRZ48" s="103"/>
      <c r="SSA48" s="103"/>
      <c r="SSB48" s="103"/>
      <c r="SSC48" s="103"/>
      <c r="SSD48" s="103"/>
      <c r="SSE48" s="103"/>
      <c r="SSF48" s="103"/>
      <c r="SSG48" s="103"/>
      <c r="SSH48" s="103"/>
      <c r="SSI48" s="103"/>
      <c r="SSJ48" s="103"/>
      <c r="SSK48" s="103"/>
      <c r="SSL48" s="103"/>
      <c r="SSM48" s="103"/>
      <c r="SSN48" s="103"/>
      <c r="SSO48" s="103"/>
      <c r="SSP48" s="103"/>
      <c r="SSQ48" s="103"/>
      <c r="SSR48" s="103"/>
      <c r="SSS48" s="103"/>
      <c r="SST48" s="103"/>
      <c r="SSU48" s="103"/>
      <c r="SSV48" s="103"/>
      <c r="SSW48" s="103"/>
      <c r="SSX48" s="103"/>
      <c r="SSY48" s="103"/>
      <c r="SSZ48" s="103"/>
      <c r="STA48" s="103"/>
      <c r="STB48" s="103"/>
      <c r="STC48" s="103"/>
      <c r="STD48" s="103"/>
      <c r="STE48" s="103"/>
      <c r="STF48" s="103"/>
      <c r="STG48" s="103"/>
      <c r="STH48" s="103"/>
      <c r="STI48" s="103"/>
      <c r="STJ48" s="103"/>
      <c r="STK48" s="103"/>
      <c r="STL48" s="103"/>
      <c r="STM48" s="103"/>
      <c r="STN48" s="103"/>
      <c r="STO48" s="103"/>
      <c r="STP48" s="103"/>
      <c r="STQ48" s="103"/>
      <c r="STR48" s="103"/>
      <c r="STS48" s="103"/>
      <c r="STT48" s="103"/>
      <c r="STU48" s="103"/>
      <c r="STV48" s="103"/>
      <c r="STW48" s="103"/>
      <c r="STX48" s="103"/>
      <c r="STY48" s="103"/>
      <c r="STZ48" s="103"/>
      <c r="SUA48" s="103"/>
      <c r="SUB48" s="103"/>
      <c r="SUC48" s="103"/>
      <c r="SUD48" s="103"/>
      <c r="SUE48" s="103"/>
      <c r="SUF48" s="103"/>
      <c r="SUG48" s="103"/>
      <c r="SUH48" s="103"/>
      <c r="SUI48" s="103"/>
      <c r="SUJ48" s="103"/>
      <c r="SUK48" s="103"/>
      <c r="SUL48" s="103"/>
      <c r="SUM48" s="103"/>
      <c r="SUN48" s="103"/>
      <c r="SUO48" s="103"/>
      <c r="SUP48" s="103"/>
      <c r="SUQ48" s="103"/>
      <c r="SUR48" s="103"/>
      <c r="SUS48" s="103"/>
      <c r="SUT48" s="103"/>
      <c r="SUU48" s="103"/>
      <c r="SUV48" s="103"/>
      <c r="SUW48" s="103"/>
      <c r="SUX48" s="103"/>
      <c r="SUY48" s="103"/>
      <c r="SUZ48" s="103"/>
      <c r="SVA48" s="103"/>
      <c r="SVB48" s="103"/>
      <c r="SVC48" s="103"/>
      <c r="SVD48" s="103"/>
      <c r="SVE48" s="103"/>
      <c r="SVF48" s="103"/>
      <c r="SVG48" s="103"/>
      <c r="SVH48" s="103"/>
      <c r="SVI48" s="103"/>
      <c r="SVJ48" s="103"/>
      <c r="SVK48" s="103"/>
      <c r="SVL48" s="103"/>
      <c r="SVM48" s="103"/>
      <c r="SVN48" s="103"/>
      <c r="SVO48" s="103"/>
      <c r="SVP48" s="103"/>
      <c r="SVQ48" s="103"/>
      <c r="SVR48" s="103"/>
      <c r="SVS48" s="103"/>
      <c r="SVT48" s="103"/>
      <c r="SVU48" s="103"/>
      <c r="SVV48" s="103"/>
      <c r="SVW48" s="103"/>
      <c r="SVX48" s="103"/>
      <c r="SVY48" s="103"/>
      <c r="SVZ48" s="103"/>
      <c r="SWA48" s="103"/>
      <c r="SWB48" s="103"/>
      <c r="SWC48" s="103"/>
      <c r="SWD48" s="103"/>
      <c r="SWE48" s="103"/>
      <c r="SWF48" s="103"/>
      <c r="SWG48" s="103"/>
      <c r="SWH48" s="103"/>
      <c r="SWI48" s="103"/>
      <c r="SWJ48" s="103"/>
      <c r="SWK48" s="103"/>
      <c r="SWL48" s="103"/>
      <c r="SWM48" s="103"/>
      <c r="SWN48" s="103"/>
      <c r="SWO48" s="103"/>
      <c r="SWP48" s="103"/>
      <c r="SWQ48" s="103"/>
      <c r="SWR48" s="103"/>
      <c r="SWS48" s="103"/>
      <c r="SWT48" s="103"/>
      <c r="SWU48" s="103"/>
      <c r="SWV48" s="103"/>
      <c r="SWW48" s="103"/>
      <c r="SWX48" s="103"/>
      <c r="SWY48" s="103"/>
      <c r="SWZ48" s="103"/>
      <c r="SXA48" s="103"/>
      <c r="SXB48" s="103"/>
      <c r="SXC48" s="103"/>
      <c r="SXD48" s="103"/>
      <c r="SXE48" s="103"/>
      <c r="SXF48" s="103"/>
      <c r="SXG48" s="103"/>
      <c r="SXH48" s="103"/>
      <c r="SXI48" s="103"/>
      <c r="SXJ48" s="103"/>
      <c r="SXK48" s="103"/>
      <c r="SXL48" s="103"/>
      <c r="SXM48" s="103"/>
      <c r="SXN48" s="103"/>
      <c r="SXO48" s="103"/>
      <c r="SXP48" s="103"/>
      <c r="SXQ48" s="103"/>
      <c r="SXR48" s="103"/>
      <c r="SXS48" s="103"/>
      <c r="SXT48" s="103"/>
      <c r="SXU48" s="103"/>
      <c r="SXV48" s="103"/>
      <c r="SXW48" s="103"/>
      <c r="SXX48" s="103"/>
      <c r="SXY48" s="103"/>
      <c r="SXZ48" s="103"/>
      <c r="SYA48" s="103"/>
      <c r="SYB48" s="103"/>
      <c r="SYC48" s="103"/>
      <c r="SYD48" s="103"/>
      <c r="SYE48" s="103"/>
      <c r="SYF48" s="103"/>
      <c r="SYG48" s="103"/>
      <c r="SYH48" s="103"/>
      <c r="SYI48" s="103"/>
      <c r="SYJ48" s="103"/>
      <c r="SYK48" s="103"/>
      <c r="SYL48" s="103"/>
      <c r="SYM48" s="103"/>
      <c r="SYN48" s="103"/>
      <c r="SYO48" s="103"/>
      <c r="SYP48" s="103"/>
      <c r="SYQ48" s="103"/>
      <c r="SYR48" s="103"/>
      <c r="SYS48" s="103"/>
      <c r="SYT48" s="103"/>
      <c r="SYU48" s="103"/>
      <c r="SYV48" s="103"/>
      <c r="SYW48" s="103"/>
      <c r="SYX48" s="103"/>
      <c r="SYY48" s="103"/>
      <c r="SYZ48" s="103"/>
      <c r="SZA48" s="103"/>
      <c r="SZB48" s="103"/>
      <c r="SZC48" s="103"/>
      <c r="SZD48" s="103"/>
      <c r="SZE48" s="103"/>
      <c r="SZF48" s="103"/>
      <c r="SZG48" s="103"/>
      <c r="SZH48" s="103"/>
      <c r="SZI48" s="103"/>
      <c r="SZJ48" s="103"/>
      <c r="SZK48" s="103"/>
      <c r="SZL48" s="103"/>
      <c r="SZM48" s="103"/>
      <c r="SZN48" s="103"/>
      <c r="SZO48" s="103"/>
      <c r="SZP48" s="103"/>
      <c r="SZQ48" s="103"/>
      <c r="SZR48" s="103"/>
      <c r="SZS48" s="103"/>
      <c r="SZT48" s="103"/>
      <c r="SZU48" s="103"/>
      <c r="SZV48" s="103"/>
      <c r="SZW48" s="103"/>
      <c r="SZX48" s="103"/>
      <c r="SZY48" s="103"/>
      <c r="SZZ48" s="103"/>
      <c r="TAA48" s="103"/>
      <c r="TAB48" s="103"/>
      <c r="TAC48" s="103"/>
      <c r="TAD48" s="103"/>
      <c r="TAE48" s="103"/>
      <c r="TAF48" s="103"/>
      <c r="TAG48" s="103"/>
      <c r="TAH48" s="103"/>
      <c r="TAI48" s="103"/>
      <c r="TAJ48" s="103"/>
      <c r="TAK48" s="103"/>
      <c r="TAL48" s="103"/>
      <c r="TAM48" s="103"/>
      <c r="TAN48" s="103"/>
      <c r="TAO48" s="103"/>
      <c r="TAP48" s="103"/>
      <c r="TAQ48" s="103"/>
      <c r="TAR48" s="103"/>
      <c r="TAS48" s="103"/>
      <c r="TAT48" s="103"/>
      <c r="TAU48" s="103"/>
      <c r="TAV48" s="103"/>
      <c r="TAW48" s="103"/>
      <c r="TAX48" s="103"/>
      <c r="TAY48" s="103"/>
      <c r="TAZ48" s="103"/>
      <c r="TBA48" s="103"/>
      <c r="TBB48" s="103"/>
      <c r="TBC48" s="103"/>
      <c r="TBD48" s="103"/>
      <c r="TBE48" s="103"/>
      <c r="TBF48" s="103"/>
      <c r="TBG48" s="103"/>
      <c r="TBH48" s="103"/>
      <c r="TBI48" s="103"/>
      <c r="TBJ48" s="103"/>
      <c r="TBK48" s="103"/>
      <c r="TBL48" s="103"/>
      <c r="TBM48" s="103"/>
      <c r="TBN48" s="103"/>
      <c r="TBO48" s="103"/>
      <c r="TBP48" s="103"/>
      <c r="TBQ48" s="103"/>
      <c r="TBR48" s="103"/>
      <c r="TBS48" s="103"/>
      <c r="TBT48" s="103"/>
      <c r="TBU48" s="103"/>
      <c r="TBV48" s="103"/>
      <c r="TBW48" s="103"/>
      <c r="TBX48" s="103"/>
      <c r="TBY48" s="103"/>
      <c r="TBZ48" s="103"/>
      <c r="TCA48" s="103"/>
      <c r="TCB48" s="103"/>
      <c r="TCC48" s="103"/>
      <c r="TCD48" s="103"/>
      <c r="TCE48" s="103"/>
      <c r="TCF48" s="103"/>
      <c r="TCG48" s="103"/>
      <c r="TCH48" s="103"/>
      <c r="TCI48" s="103"/>
      <c r="TCJ48" s="103"/>
      <c r="TCK48" s="103"/>
      <c r="TCL48" s="103"/>
      <c r="TCM48" s="103"/>
      <c r="TCN48" s="103"/>
      <c r="TCO48" s="103"/>
      <c r="TCP48" s="103"/>
      <c r="TCQ48" s="103"/>
      <c r="TCR48" s="103"/>
      <c r="TCS48" s="103"/>
      <c r="TCT48" s="103"/>
      <c r="TCU48" s="103"/>
      <c r="TCV48" s="103"/>
      <c r="TCW48" s="103"/>
      <c r="TCX48" s="103"/>
      <c r="TCY48" s="103"/>
      <c r="TCZ48" s="103"/>
      <c r="TDA48" s="103"/>
      <c r="TDB48" s="103"/>
      <c r="TDC48" s="103"/>
      <c r="TDD48" s="103"/>
      <c r="TDE48" s="103"/>
      <c r="TDF48" s="103"/>
      <c r="TDG48" s="103"/>
      <c r="TDH48" s="103"/>
      <c r="TDI48" s="103"/>
      <c r="TDJ48" s="103"/>
      <c r="TDK48" s="103"/>
      <c r="TDL48" s="103"/>
      <c r="TDM48" s="103"/>
      <c r="TDN48" s="103"/>
      <c r="TDO48" s="103"/>
      <c r="TDP48" s="103"/>
      <c r="TDQ48" s="103"/>
      <c r="TDR48" s="103"/>
      <c r="TDS48" s="103"/>
      <c r="TDT48" s="103"/>
      <c r="TDU48" s="103"/>
      <c r="TDV48" s="103"/>
      <c r="TDW48" s="103"/>
      <c r="TDX48" s="103"/>
      <c r="TDY48" s="103"/>
      <c r="TDZ48" s="103"/>
      <c r="TEA48" s="103"/>
      <c r="TEB48" s="103"/>
      <c r="TEC48" s="103"/>
      <c r="TED48" s="103"/>
      <c r="TEE48" s="103"/>
      <c r="TEF48" s="103"/>
      <c r="TEG48" s="103"/>
      <c r="TEH48" s="103"/>
      <c r="TEI48" s="103"/>
      <c r="TEJ48" s="103"/>
      <c r="TEK48" s="103"/>
      <c r="TEL48" s="103"/>
      <c r="TEM48" s="103"/>
      <c r="TEN48" s="103"/>
      <c r="TEO48" s="103"/>
      <c r="TEP48" s="103"/>
      <c r="TEQ48" s="103"/>
      <c r="TER48" s="103"/>
      <c r="TES48" s="103"/>
      <c r="TET48" s="103"/>
      <c r="TEU48" s="103"/>
      <c r="TEV48" s="103"/>
      <c r="TEW48" s="103"/>
      <c r="TEX48" s="103"/>
      <c r="TEY48" s="103"/>
      <c r="TEZ48" s="103"/>
      <c r="TFA48" s="103"/>
      <c r="TFB48" s="103"/>
      <c r="TFC48" s="103"/>
      <c r="TFD48" s="103"/>
      <c r="TFE48" s="103"/>
      <c r="TFF48" s="103"/>
      <c r="TFG48" s="103"/>
      <c r="TFH48" s="103"/>
      <c r="TFI48" s="103"/>
      <c r="TFJ48" s="103"/>
      <c r="TFK48" s="103"/>
      <c r="TFL48" s="103"/>
      <c r="TFM48" s="103"/>
      <c r="TFN48" s="103"/>
      <c r="TFO48" s="103"/>
      <c r="TFP48" s="103"/>
      <c r="TFQ48" s="103"/>
      <c r="TFR48" s="103"/>
      <c r="TFS48" s="103"/>
      <c r="TFT48" s="103"/>
      <c r="TFU48" s="103"/>
      <c r="TFV48" s="103"/>
      <c r="TFW48" s="103"/>
      <c r="TFX48" s="103"/>
      <c r="TFY48" s="103"/>
      <c r="TFZ48" s="103"/>
      <c r="TGA48" s="103"/>
      <c r="TGB48" s="103"/>
      <c r="TGC48" s="103"/>
      <c r="TGD48" s="103"/>
      <c r="TGE48" s="103"/>
      <c r="TGF48" s="103"/>
      <c r="TGG48" s="103"/>
      <c r="TGH48" s="103"/>
      <c r="TGI48" s="103"/>
      <c r="TGJ48" s="103"/>
      <c r="TGK48" s="103"/>
      <c r="TGL48" s="103"/>
      <c r="TGM48" s="103"/>
      <c r="TGN48" s="103"/>
      <c r="TGO48" s="103"/>
      <c r="TGP48" s="103"/>
      <c r="TGQ48" s="103"/>
      <c r="TGR48" s="103"/>
      <c r="TGS48" s="103"/>
      <c r="TGT48" s="103"/>
      <c r="TGU48" s="103"/>
      <c r="TGV48" s="103"/>
      <c r="TGW48" s="103"/>
      <c r="TGX48" s="103"/>
      <c r="TGY48" s="103"/>
      <c r="TGZ48" s="103"/>
      <c r="THA48" s="103"/>
      <c r="THB48" s="103"/>
      <c r="THC48" s="103"/>
      <c r="THD48" s="103"/>
      <c r="THE48" s="103"/>
      <c r="THF48" s="103"/>
      <c r="THG48" s="103"/>
      <c r="THH48" s="103"/>
      <c r="THI48" s="103"/>
      <c r="THJ48" s="103"/>
      <c r="THK48" s="103"/>
      <c r="THL48" s="103"/>
      <c r="THM48" s="103"/>
      <c r="THN48" s="103"/>
      <c r="THO48" s="103"/>
      <c r="THP48" s="103"/>
      <c r="THQ48" s="103"/>
      <c r="THR48" s="103"/>
      <c r="THS48" s="103"/>
      <c r="THT48" s="103"/>
      <c r="THU48" s="103"/>
      <c r="THV48" s="103"/>
      <c r="THW48" s="103"/>
      <c r="THX48" s="103"/>
      <c r="THY48" s="103"/>
      <c r="THZ48" s="103"/>
      <c r="TIA48" s="103"/>
      <c r="TIB48" s="103"/>
      <c r="TIC48" s="103"/>
      <c r="TID48" s="103"/>
      <c r="TIE48" s="103"/>
      <c r="TIF48" s="103"/>
      <c r="TIG48" s="103"/>
      <c r="TIH48" s="103"/>
      <c r="TII48" s="103"/>
      <c r="TIJ48" s="103"/>
      <c r="TIK48" s="103"/>
      <c r="TIL48" s="103"/>
      <c r="TIM48" s="103"/>
      <c r="TIN48" s="103"/>
      <c r="TIO48" s="103"/>
      <c r="TIP48" s="103"/>
      <c r="TIQ48" s="103"/>
      <c r="TIR48" s="103"/>
      <c r="TIS48" s="103"/>
      <c r="TIT48" s="103"/>
      <c r="TIU48" s="103"/>
      <c r="TIV48" s="103"/>
      <c r="TIW48" s="103"/>
      <c r="TIX48" s="103"/>
      <c r="TIY48" s="103"/>
      <c r="TIZ48" s="103"/>
      <c r="TJA48" s="103"/>
      <c r="TJB48" s="103"/>
      <c r="TJC48" s="103"/>
      <c r="TJD48" s="103"/>
      <c r="TJE48" s="103"/>
      <c r="TJF48" s="103"/>
      <c r="TJG48" s="103"/>
      <c r="TJH48" s="103"/>
      <c r="TJI48" s="103"/>
      <c r="TJJ48" s="103"/>
      <c r="TJK48" s="103"/>
      <c r="TJL48" s="103"/>
      <c r="TJM48" s="103"/>
      <c r="TJN48" s="103"/>
      <c r="TJO48" s="103"/>
      <c r="TJP48" s="103"/>
      <c r="TJQ48" s="103"/>
      <c r="TJR48" s="103"/>
      <c r="TJS48" s="103"/>
      <c r="TJT48" s="103"/>
      <c r="TJU48" s="103"/>
      <c r="TJV48" s="103"/>
      <c r="TJW48" s="103"/>
      <c r="TJX48" s="103"/>
      <c r="TJY48" s="103"/>
      <c r="TJZ48" s="103"/>
      <c r="TKA48" s="103"/>
      <c r="TKB48" s="103"/>
      <c r="TKC48" s="103"/>
      <c r="TKD48" s="103"/>
      <c r="TKE48" s="103"/>
      <c r="TKF48" s="103"/>
      <c r="TKG48" s="103"/>
      <c r="TKH48" s="103"/>
      <c r="TKI48" s="103"/>
      <c r="TKJ48" s="103"/>
      <c r="TKK48" s="103"/>
      <c r="TKL48" s="103"/>
      <c r="TKM48" s="103"/>
      <c r="TKN48" s="103"/>
      <c r="TKO48" s="103"/>
      <c r="TKP48" s="103"/>
      <c r="TKQ48" s="103"/>
      <c r="TKR48" s="103"/>
      <c r="TKS48" s="103"/>
      <c r="TKT48" s="103"/>
      <c r="TKU48" s="103"/>
      <c r="TKV48" s="103"/>
      <c r="TKW48" s="103"/>
      <c r="TKX48" s="103"/>
      <c r="TKY48" s="103"/>
      <c r="TKZ48" s="103"/>
      <c r="TLA48" s="103"/>
      <c r="TLB48" s="103"/>
      <c r="TLC48" s="103"/>
      <c r="TLD48" s="103"/>
      <c r="TLE48" s="103"/>
      <c r="TLF48" s="103"/>
      <c r="TLG48" s="103"/>
      <c r="TLH48" s="103"/>
      <c r="TLI48" s="103"/>
      <c r="TLJ48" s="103"/>
      <c r="TLK48" s="103"/>
      <c r="TLL48" s="103"/>
      <c r="TLM48" s="103"/>
      <c r="TLN48" s="103"/>
      <c r="TLO48" s="103"/>
      <c r="TLP48" s="103"/>
      <c r="TLQ48" s="103"/>
      <c r="TLR48" s="103"/>
      <c r="TLS48" s="103"/>
      <c r="TLT48" s="103"/>
      <c r="TLU48" s="103"/>
      <c r="TLV48" s="103"/>
      <c r="TLW48" s="103"/>
      <c r="TLX48" s="103"/>
      <c r="TLY48" s="103"/>
      <c r="TLZ48" s="103"/>
      <c r="TMA48" s="103"/>
      <c r="TMB48" s="103"/>
      <c r="TMC48" s="103"/>
      <c r="TMD48" s="103"/>
      <c r="TME48" s="103"/>
      <c r="TMF48" s="103"/>
      <c r="TMG48" s="103"/>
      <c r="TMH48" s="103"/>
      <c r="TMI48" s="103"/>
      <c r="TMJ48" s="103"/>
      <c r="TMK48" s="103"/>
      <c r="TML48" s="103"/>
      <c r="TMM48" s="103"/>
      <c r="TMN48" s="103"/>
      <c r="TMO48" s="103"/>
      <c r="TMP48" s="103"/>
      <c r="TMQ48" s="103"/>
      <c r="TMR48" s="103"/>
      <c r="TMS48" s="103"/>
      <c r="TMT48" s="103"/>
      <c r="TMU48" s="103"/>
      <c r="TMV48" s="103"/>
      <c r="TMW48" s="103"/>
      <c r="TMX48" s="103"/>
      <c r="TMY48" s="103"/>
      <c r="TMZ48" s="103"/>
      <c r="TNA48" s="103"/>
      <c r="TNB48" s="103"/>
      <c r="TNC48" s="103"/>
      <c r="TND48" s="103"/>
      <c r="TNE48" s="103"/>
      <c r="TNF48" s="103"/>
      <c r="TNG48" s="103"/>
      <c r="TNH48" s="103"/>
      <c r="TNI48" s="103"/>
      <c r="TNJ48" s="103"/>
      <c r="TNK48" s="103"/>
      <c r="TNL48" s="103"/>
      <c r="TNM48" s="103"/>
      <c r="TNN48" s="103"/>
      <c r="TNO48" s="103"/>
      <c r="TNP48" s="103"/>
      <c r="TNQ48" s="103"/>
      <c r="TNR48" s="103"/>
      <c r="TNS48" s="103"/>
      <c r="TNT48" s="103"/>
      <c r="TNU48" s="103"/>
      <c r="TNV48" s="103"/>
      <c r="TNW48" s="103"/>
      <c r="TNX48" s="103"/>
      <c r="TNY48" s="103"/>
      <c r="TNZ48" s="103"/>
      <c r="TOA48" s="103"/>
      <c r="TOB48" s="103"/>
      <c r="TOC48" s="103"/>
      <c r="TOD48" s="103"/>
      <c r="TOE48" s="103"/>
      <c r="TOF48" s="103"/>
      <c r="TOG48" s="103"/>
      <c r="TOH48" s="103"/>
      <c r="TOI48" s="103"/>
      <c r="TOJ48" s="103"/>
      <c r="TOK48" s="103"/>
      <c r="TOL48" s="103"/>
      <c r="TOM48" s="103"/>
      <c r="TON48" s="103"/>
      <c r="TOO48" s="103"/>
      <c r="TOP48" s="103"/>
      <c r="TOQ48" s="103"/>
      <c r="TOR48" s="103"/>
      <c r="TOS48" s="103"/>
      <c r="TOT48" s="103"/>
      <c r="TOU48" s="103"/>
      <c r="TOV48" s="103"/>
      <c r="TOW48" s="103"/>
      <c r="TOX48" s="103"/>
      <c r="TOY48" s="103"/>
      <c r="TOZ48" s="103"/>
      <c r="TPA48" s="103"/>
      <c r="TPB48" s="103"/>
      <c r="TPC48" s="103"/>
      <c r="TPD48" s="103"/>
      <c r="TPE48" s="103"/>
      <c r="TPF48" s="103"/>
      <c r="TPG48" s="103"/>
      <c r="TPH48" s="103"/>
      <c r="TPI48" s="103"/>
      <c r="TPJ48" s="103"/>
      <c r="TPK48" s="103"/>
      <c r="TPL48" s="103"/>
      <c r="TPM48" s="103"/>
      <c r="TPN48" s="103"/>
      <c r="TPO48" s="103"/>
      <c r="TPP48" s="103"/>
      <c r="TPQ48" s="103"/>
      <c r="TPR48" s="103"/>
      <c r="TPS48" s="103"/>
      <c r="TPT48" s="103"/>
      <c r="TPU48" s="103"/>
      <c r="TPV48" s="103"/>
      <c r="TPW48" s="103"/>
      <c r="TPX48" s="103"/>
      <c r="TPY48" s="103"/>
      <c r="TPZ48" s="103"/>
      <c r="TQA48" s="103"/>
      <c r="TQB48" s="103"/>
      <c r="TQC48" s="103"/>
      <c r="TQD48" s="103"/>
      <c r="TQE48" s="103"/>
      <c r="TQF48" s="103"/>
      <c r="TQG48" s="103"/>
      <c r="TQH48" s="103"/>
      <c r="TQI48" s="103"/>
      <c r="TQJ48" s="103"/>
      <c r="TQK48" s="103"/>
      <c r="TQL48" s="103"/>
      <c r="TQM48" s="103"/>
      <c r="TQN48" s="103"/>
      <c r="TQO48" s="103"/>
      <c r="TQP48" s="103"/>
      <c r="TQQ48" s="103"/>
      <c r="TQR48" s="103"/>
      <c r="TQS48" s="103"/>
      <c r="TQT48" s="103"/>
      <c r="TQU48" s="103"/>
      <c r="TQV48" s="103"/>
      <c r="TQW48" s="103"/>
      <c r="TQX48" s="103"/>
      <c r="TQY48" s="103"/>
      <c r="TQZ48" s="103"/>
      <c r="TRA48" s="103"/>
      <c r="TRB48" s="103"/>
      <c r="TRC48" s="103"/>
      <c r="TRD48" s="103"/>
      <c r="TRE48" s="103"/>
      <c r="TRF48" s="103"/>
      <c r="TRG48" s="103"/>
      <c r="TRH48" s="103"/>
      <c r="TRI48" s="103"/>
      <c r="TRJ48" s="103"/>
      <c r="TRK48" s="103"/>
      <c r="TRL48" s="103"/>
      <c r="TRM48" s="103"/>
      <c r="TRN48" s="103"/>
      <c r="TRO48" s="103"/>
      <c r="TRP48" s="103"/>
      <c r="TRQ48" s="103"/>
      <c r="TRR48" s="103"/>
      <c r="TRS48" s="103"/>
      <c r="TRT48" s="103"/>
      <c r="TRU48" s="103"/>
      <c r="TRV48" s="103"/>
      <c r="TRW48" s="103"/>
      <c r="TRX48" s="103"/>
      <c r="TRY48" s="103"/>
      <c r="TRZ48" s="103"/>
      <c r="TSA48" s="103"/>
      <c r="TSB48" s="103"/>
      <c r="TSC48" s="103"/>
      <c r="TSD48" s="103"/>
      <c r="TSE48" s="103"/>
      <c r="TSF48" s="103"/>
      <c r="TSG48" s="103"/>
      <c r="TSH48" s="103"/>
      <c r="TSI48" s="103"/>
      <c r="TSJ48" s="103"/>
      <c r="TSK48" s="103"/>
      <c r="TSL48" s="103"/>
      <c r="TSM48" s="103"/>
      <c r="TSN48" s="103"/>
      <c r="TSO48" s="103"/>
      <c r="TSP48" s="103"/>
      <c r="TSQ48" s="103"/>
      <c r="TSR48" s="103"/>
      <c r="TSS48" s="103"/>
      <c r="TST48" s="103"/>
      <c r="TSU48" s="103"/>
      <c r="TSV48" s="103"/>
      <c r="TSW48" s="103"/>
      <c r="TSX48" s="103"/>
      <c r="TSY48" s="103"/>
      <c r="TSZ48" s="103"/>
      <c r="TTA48" s="103"/>
      <c r="TTB48" s="103"/>
      <c r="TTC48" s="103"/>
      <c r="TTD48" s="103"/>
      <c r="TTE48" s="103"/>
      <c r="TTF48" s="103"/>
      <c r="TTG48" s="103"/>
      <c r="TTH48" s="103"/>
      <c r="TTI48" s="103"/>
      <c r="TTJ48" s="103"/>
      <c r="TTK48" s="103"/>
      <c r="TTL48" s="103"/>
      <c r="TTM48" s="103"/>
      <c r="TTN48" s="103"/>
      <c r="TTO48" s="103"/>
      <c r="TTP48" s="103"/>
      <c r="TTQ48" s="103"/>
      <c r="TTR48" s="103"/>
      <c r="TTS48" s="103"/>
      <c r="TTT48" s="103"/>
      <c r="TTU48" s="103"/>
      <c r="TTV48" s="103"/>
      <c r="TTW48" s="103"/>
      <c r="TTX48" s="103"/>
      <c r="TTY48" s="103"/>
      <c r="TTZ48" s="103"/>
      <c r="TUA48" s="103"/>
      <c r="TUB48" s="103"/>
      <c r="TUC48" s="103"/>
      <c r="TUD48" s="103"/>
      <c r="TUE48" s="103"/>
      <c r="TUF48" s="103"/>
      <c r="TUG48" s="103"/>
      <c r="TUH48" s="103"/>
      <c r="TUI48" s="103"/>
      <c r="TUJ48" s="103"/>
      <c r="TUK48" s="103"/>
      <c r="TUL48" s="103"/>
      <c r="TUM48" s="103"/>
      <c r="TUN48" s="103"/>
      <c r="TUO48" s="103"/>
      <c r="TUP48" s="103"/>
      <c r="TUQ48" s="103"/>
      <c r="TUR48" s="103"/>
      <c r="TUS48" s="103"/>
      <c r="TUT48" s="103"/>
      <c r="TUU48" s="103"/>
      <c r="TUV48" s="103"/>
      <c r="TUW48" s="103"/>
      <c r="TUX48" s="103"/>
      <c r="TUY48" s="103"/>
      <c r="TUZ48" s="103"/>
      <c r="TVA48" s="103"/>
      <c r="TVB48" s="103"/>
      <c r="TVC48" s="103"/>
      <c r="TVD48" s="103"/>
      <c r="TVE48" s="103"/>
      <c r="TVF48" s="103"/>
      <c r="TVG48" s="103"/>
      <c r="TVH48" s="103"/>
      <c r="TVI48" s="103"/>
      <c r="TVJ48" s="103"/>
      <c r="TVK48" s="103"/>
      <c r="TVL48" s="103"/>
      <c r="TVM48" s="103"/>
      <c r="TVN48" s="103"/>
      <c r="TVO48" s="103"/>
      <c r="TVP48" s="103"/>
      <c r="TVQ48" s="103"/>
      <c r="TVR48" s="103"/>
      <c r="TVS48" s="103"/>
      <c r="TVT48" s="103"/>
      <c r="TVU48" s="103"/>
      <c r="TVV48" s="103"/>
      <c r="TVW48" s="103"/>
      <c r="TVX48" s="103"/>
      <c r="TVY48" s="103"/>
      <c r="TVZ48" s="103"/>
      <c r="TWA48" s="103"/>
      <c r="TWB48" s="103"/>
      <c r="TWC48" s="103"/>
      <c r="TWD48" s="103"/>
      <c r="TWE48" s="103"/>
      <c r="TWF48" s="103"/>
      <c r="TWG48" s="103"/>
      <c r="TWH48" s="103"/>
      <c r="TWI48" s="103"/>
      <c r="TWJ48" s="103"/>
      <c r="TWK48" s="103"/>
      <c r="TWL48" s="103"/>
      <c r="TWM48" s="103"/>
      <c r="TWN48" s="103"/>
      <c r="TWO48" s="103"/>
      <c r="TWP48" s="103"/>
      <c r="TWQ48" s="103"/>
      <c r="TWR48" s="103"/>
      <c r="TWS48" s="103"/>
      <c r="TWT48" s="103"/>
      <c r="TWU48" s="103"/>
      <c r="TWV48" s="103"/>
      <c r="TWW48" s="103"/>
      <c r="TWX48" s="103"/>
      <c r="TWY48" s="103"/>
      <c r="TWZ48" s="103"/>
      <c r="TXA48" s="103"/>
      <c r="TXB48" s="103"/>
      <c r="TXC48" s="103"/>
      <c r="TXD48" s="103"/>
      <c r="TXE48" s="103"/>
      <c r="TXF48" s="103"/>
      <c r="TXG48" s="103"/>
      <c r="TXH48" s="103"/>
      <c r="TXI48" s="103"/>
      <c r="TXJ48" s="103"/>
      <c r="TXK48" s="103"/>
      <c r="TXL48" s="103"/>
      <c r="TXM48" s="103"/>
      <c r="TXN48" s="103"/>
      <c r="TXO48" s="103"/>
      <c r="TXP48" s="103"/>
      <c r="TXQ48" s="103"/>
      <c r="TXR48" s="103"/>
      <c r="TXS48" s="103"/>
      <c r="TXT48" s="103"/>
      <c r="TXU48" s="103"/>
      <c r="TXV48" s="103"/>
      <c r="TXW48" s="103"/>
      <c r="TXX48" s="103"/>
      <c r="TXY48" s="103"/>
      <c r="TXZ48" s="103"/>
      <c r="TYA48" s="103"/>
      <c r="TYB48" s="103"/>
      <c r="TYC48" s="103"/>
      <c r="TYD48" s="103"/>
      <c r="TYE48" s="103"/>
      <c r="TYF48" s="103"/>
      <c r="TYG48" s="103"/>
      <c r="TYH48" s="103"/>
      <c r="TYI48" s="103"/>
      <c r="TYJ48" s="103"/>
      <c r="TYK48" s="103"/>
      <c r="TYL48" s="103"/>
      <c r="TYM48" s="103"/>
      <c r="TYN48" s="103"/>
      <c r="TYO48" s="103"/>
      <c r="TYP48" s="103"/>
      <c r="TYQ48" s="103"/>
      <c r="TYR48" s="103"/>
      <c r="TYS48" s="103"/>
      <c r="TYT48" s="103"/>
      <c r="TYU48" s="103"/>
      <c r="TYV48" s="103"/>
      <c r="TYW48" s="103"/>
      <c r="TYX48" s="103"/>
      <c r="TYY48" s="103"/>
      <c r="TYZ48" s="103"/>
      <c r="TZA48" s="103"/>
      <c r="TZB48" s="103"/>
      <c r="TZC48" s="103"/>
      <c r="TZD48" s="103"/>
      <c r="TZE48" s="103"/>
      <c r="TZF48" s="103"/>
      <c r="TZG48" s="103"/>
      <c r="TZH48" s="103"/>
      <c r="TZI48" s="103"/>
      <c r="TZJ48" s="103"/>
      <c r="TZK48" s="103"/>
      <c r="TZL48" s="103"/>
      <c r="TZM48" s="103"/>
      <c r="TZN48" s="103"/>
      <c r="TZO48" s="103"/>
      <c r="TZP48" s="103"/>
      <c r="TZQ48" s="103"/>
      <c r="TZR48" s="103"/>
      <c r="TZS48" s="103"/>
      <c r="TZT48" s="103"/>
      <c r="TZU48" s="103"/>
      <c r="TZV48" s="103"/>
      <c r="TZW48" s="103"/>
      <c r="TZX48" s="103"/>
      <c r="TZY48" s="103"/>
      <c r="TZZ48" s="103"/>
      <c r="UAA48" s="103"/>
      <c r="UAB48" s="103"/>
      <c r="UAC48" s="103"/>
      <c r="UAD48" s="103"/>
      <c r="UAE48" s="103"/>
      <c r="UAF48" s="103"/>
      <c r="UAG48" s="103"/>
      <c r="UAH48" s="103"/>
      <c r="UAI48" s="103"/>
      <c r="UAJ48" s="103"/>
      <c r="UAK48" s="103"/>
      <c r="UAL48" s="103"/>
      <c r="UAM48" s="103"/>
      <c r="UAN48" s="103"/>
      <c r="UAO48" s="103"/>
      <c r="UAP48" s="103"/>
      <c r="UAQ48" s="103"/>
      <c r="UAR48" s="103"/>
      <c r="UAS48" s="103"/>
      <c r="UAT48" s="103"/>
      <c r="UAU48" s="103"/>
      <c r="UAV48" s="103"/>
      <c r="UAW48" s="103"/>
      <c r="UAX48" s="103"/>
      <c r="UAY48" s="103"/>
      <c r="UAZ48" s="103"/>
      <c r="UBA48" s="103"/>
      <c r="UBB48" s="103"/>
      <c r="UBC48" s="103"/>
      <c r="UBD48" s="103"/>
      <c r="UBE48" s="103"/>
      <c r="UBF48" s="103"/>
      <c r="UBG48" s="103"/>
      <c r="UBH48" s="103"/>
      <c r="UBI48" s="103"/>
      <c r="UBJ48" s="103"/>
      <c r="UBK48" s="103"/>
      <c r="UBL48" s="103"/>
      <c r="UBM48" s="103"/>
      <c r="UBN48" s="103"/>
      <c r="UBO48" s="103"/>
      <c r="UBP48" s="103"/>
      <c r="UBQ48" s="103"/>
      <c r="UBR48" s="103"/>
      <c r="UBS48" s="103"/>
      <c r="UBT48" s="103"/>
      <c r="UBU48" s="103"/>
      <c r="UBV48" s="103"/>
      <c r="UBW48" s="103"/>
      <c r="UBX48" s="103"/>
      <c r="UBY48" s="103"/>
      <c r="UBZ48" s="103"/>
      <c r="UCA48" s="103"/>
      <c r="UCB48" s="103"/>
      <c r="UCC48" s="103"/>
      <c r="UCD48" s="103"/>
      <c r="UCE48" s="103"/>
      <c r="UCF48" s="103"/>
      <c r="UCG48" s="103"/>
      <c r="UCH48" s="103"/>
      <c r="UCI48" s="103"/>
      <c r="UCJ48" s="103"/>
      <c r="UCK48" s="103"/>
      <c r="UCL48" s="103"/>
      <c r="UCM48" s="103"/>
      <c r="UCN48" s="103"/>
      <c r="UCO48" s="103"/>
      <c r="UCP48" s="103"/>
      <c r="UCQ48" s="103"/>
      <c r="UCR48" s="103"/>
      <c r="UCS48" s="103"/>
      <c r="UCT48" s="103"/>
      <c r="UCU48" s="103"/>
      <c r="UCV48" s="103"/>
      <c r="UCW48" s="103"/>
      <c r="UCX48" s="103"/>
      <c r="UCY48" s="103"/>
      <c r="UCZ48" s="103"/>
      <c r="UDA48" s="103"/>
      <c r="UDB48" s="103"/>
      <c r="UDC48" s="103"/>
      <c r="UDD48" s="103"/>
      <c r="UDE48" s="103"/>
      <c r="UDF48" s="103"/>
      <c r="UDG48" s="103"/>
      <c r="UDH48" s="103"/>
      <c r="UDI48" s="103"/>
      <c r="UDJ48" s="103"/>
      <c r="UDK48" s="103"/>
      <c r="UDL48" s="103"/>
      <c r="UDM48" s="103"/>
      <c r="UDN48" s="103"/>
      <c r="UDO48" s="103"/>
      <c r="UDP48" s="103"/>
      <c r="UDQ48" s="103"/>
      <c r="UDR48" s="103"/>
      <c r="UDS48" s="103"/>
      <c r="UDT48" s="103"/>
      <c r="UDU48" s="103"/>
      <c r="UDV48" s="103"/>
      <c r="UDW48" s="103"/>
      <c r="UDX48" s="103"/>
      <c r="UDY48" s="103"/>
      <c r="UDZ48" s="103"/>
      <c r="UEA48" s="103"/>
      <c r="UEB48" s="103"/>
      <c r="UEC48" s="103"/>
      <c r="UED48" s="103"/>
      <c r="UEE48" s="103"/>
      <c r="UEF48" s="103"/>
      <c r="UEG48" s="103"/>
      <c r="UEH48" s="103"/>
      <c r="UEI48" s="103"/>
      <c r="UEJ48" s="103"/>
      <c r="UEK48" s="103"/>
      <c r="UEL48" s="103"/>
      <c r="UEM48" s="103"/>
      <c r="UEN48" s="103"/>
      <c r="UEO48" s="103"/>
      <c r="UEP48" s="103"/>
      <c r="UEQ48" s="103"/>
      <c r="UER48" s="103"/>
      <c r="UES48" s="103"/>
      <c r="UET48" s="103"/>
      <c r="UEU48" s="103"/>
      <c r="UEV48" s="103"/>
      <c r="UEW48" s="103"/>
      <c r="UEX48" s="103"/>
      <c r="UEY48" s="103"/>
      <c r="UEZ48" s="103"/>
      <c r="UFA48" s="103"/>
      <c r="UFB48" s="103"/>
      <c r="UFC48" s="103"/>
      <c r="UFD48" s="103"/>
      <c r="UFE48" s="103"/>
      <c r="UFF48" s="103"/>
      <c r="UFG48" s="103"/>
      <c r="UFH48" s="103"/>
      <c r="UFI48" s="103"/>
      <c r="UFJ48" s="103"/>
      <c r="UFK48" s="103"/>
      <c r="UFL48" s="103"/>
      <c r="UFM48" s="103"/>
      <c r="UFN48" s="103"/>
      <c r="UFO48" s="103"/>
      <c r="UFP48" s="103"/>
      <c r="UFQ48" s="103"/>
      <c r="UFR48" s="103"/>
      <c r="UFS48" s="103"/>
      <c r="UFT48" s="103"/>
      <c r="UFU48" s="103"/>
      <c r="UFV48" s="103"/>
      <c r="UFW48" s="103"/>
      <c r="UFX48" s="103"/>
      <c r="UFY48" s="103"/>
      <c r="UFZ48" s="103"/>
      <c r="UGA48" s="103"/>
      <c r="UGB48" s="103"/>
      <c r="UGC48" s="103"/>
      <c r="UGD48" s="103"/>
      <c r="UGE48" s="103"/>
      <c r="UGF48" s="103"/>
      <c r="UGG48" s="103"/>
      <c r="UGH48" s="103"/>
      <c r="UGI48" s="103"/>
      <c r="UGJ48" s="103"/>
      <c r="UGK48" s="103"/>
      <c r="UGL48" s="103"/>
      <c r="UGM48" s="103"/>
      <c r="UGN48" s="103"/>
      <c r="UGO48" s="103"/>
      <c r="UGP48" s="103"/>
      <c r="UGQ48" s="103"/>
      <c r="UGR48" s="103"/>
      <c r="UGS48" s="103"/>
      <c r="UGT48" s="103"/>
      <c r="UGU48" s="103"/>
      <c r="UGV48" s="103"/>
      <c r="UGW48" s="103"/>
      <c r="UGX48" s="103"/>
      <c r="UGY48" s="103"/>
      <c r="UGZ48" s="103"/>
      <c r="UHA48" s="103"/>
      <c r="UHB48" s="103"/>
      <c r="UHC48" s="103"/>
      <c r="UHD48" s="103"/>
      <c r="UHE48" s="103"/>
      <c r="UHF48" s="103"/>
      <c r="UHG48" s="103"/>
      <c r="UHH48" s="103"/>
      <c r="UHI48" s="103"/>
      <c r="UHJ48" s="103"/>
      <c r="UHK48" s="103"/>
      <c r="UHL48" s="103"/>
      <c r="UHM48" s="103"/>
      <c r="UHN48" s="103"/>
      <c r="UHO48" s="103"/>
      <c r="UHP48" s="103"/>
      <c r="UHQ48" s="103"/>
      <c r="UHR48" s="103"/>
      <c r="UHS48" s="103"/>
      <c r="UHT48" s="103"/>
      <c r="UHU48" s="103"/>
      <c r="UHV48" s="103"/>
      <c r="UHW48" s="103"/>
      <c r="UHX48" s="103"/>
      <c r="UHY48" s="103"/>
      <c r="UHZ48" s="103"/>
      <c r="UIA48" s="103"/>
      <c r="UIB48" s="103"/>
      <c r="UIC48" s="103"/>
      <c r="UID48" s="103"/>
      <c r="UIE48" s="103"/>
      <c r="UIF48" s="103"/>
      <c r="UIG48" s="103"/>
      <c r="UIH48" s="103"/>
      <c r="UII48" s="103"/>
      <c r="UIJ48" s="103"/>
      <c r="UIK48" s="103"/>
      <c r="UIL48" s="103"/>
      <c r="UIM48" s="103"/>
      <c r="UIN48" s="103"/>
      <c r="UIO48" s="103"/>
      <c r="UIP48" s="103"/>
      <c r="UIQ48" s="103"/>
      <c r="UIR48" s="103"/>
      <c r="UIS48" s="103"/>
      <c r="UIT48" s="103"/>
      <c r="UIU48" s="103"/>
      <c r="UIV48" s="103"/>
      <c r="UIW48" s="103"/>
      <c r="UIX48" s="103"/>
      <c r="UIY48" s="103"/>
      <c r="UIZ48" s="103"/>
      <c r="UJA48" s="103"/>
      <c r="UJB48" s="103"/>
      <c r="UJC48" s="103"/>
      <c r="UJD48" s="103"/>
      <c r="UJE48" s="103"/>
      <c r="UJF48" s="103"/>
      <c r="UJG48" s="103"/>
      <c r="UJH48" s="103"/>
      <c r="UJI48" s="103"/>
      <c r="UJJ48" s="103"/>
      <c r="UJK48" s="103"/>
      <c r="UJL48" s="103"/>
      <c r="UJM48" s="103"/>
      <c r="UJN48" s="103"/>
      <c r="UJO48" s="103"/>
      <c r="UJP48" s="103"/>
      <c r="UJQ48" s="103"/>
      <c r="UJR48" s="103"/>
      <c r="UJS48" s="103"/>
      <c r="UJT48" s="103"/>
      <c r="UJU48" s="103"/>
      <c r="UJV48" s="103"/>
      <c r="UJW48" s="103"/>
      <c r="UJX48" s="103"/>
      <c r="UJY48" s="103"/>
      <c r="UJZ48" s="103"/>
      <c r="UKA48" s="103"/>
      <c r="UKB48" s="103"/>
      <c r="UKC48" s="103"/>
      <c r="UKD48" s="103"/>
      <c r="UKE48" s="103"/>
      <c r="UKF48" s="103"/>
      <c r="UKG48" s="103"/>
      <c r="UKH48" s="103"/>
      <c r="UKI48" s="103"/>
      <c r="UKJ48" s="103"/>
      <c r="UKK48" s="103"/>
      <c r="UKL48" s="103"/>
      <c r="UKM48" s="103"/>
      <c r="UKN48" s="103"/>
      <c r="UKO48" s="103"/>
      <c r="UKP48" s="103"/>
      <c r="UKQ48" s="103"/>
      <c r="UKR48" s="103"/>
      <c r="UKS48" s="103"/>
      <c r="UKT48" s="103"/>
      <c r="UKU48" s="103"/>
      <c r="UKV48" s="103"/>
      <c r="UKW48" s="103"/>
      <c r="UKX48" s="103"/>
      <c r="UKY48" s="103"/>
      <c r="UKZ48" s="103"/>
      <c r="ULA48" s="103"/>
      <c r="ULB48" s="103"/>
      <c r="ULC48" s="103"/>
      <c r="ULD48" s="103"/>
      <c r="ULE48" s="103"/>
      <c r="ULF48" s="103"/>
      <c r="ULG48" s="103"/>
      <c r="ULH48" s="103"/>
      <c r="ULI48" s="103"/>
      <c r="ULJ48" s="103"/>
      <c r="ULK48" s="103"/>
      <c r="ULL48" s="103"/>
      <c r="ULM48" s="103"/>
      <c r="ULN48" s="103"/>
      <c r="ULO48" s="103"/>
      <c r="ULP48" s="103"/>
      <c r="ULQ48" s="103"/>
      <c r="ULR48" s="103"/>
      <c r="ULS48" s="103"/>
      <c r="ULT48" s="103"/>
      <c r="ULU48" s="103"/>
      <c r="ULV48" s="103"/>
      <c r="ULW48" s="103"/>
      <c r="ULX48" s="103"/>
      <c r="ULY48" s="103"/>
      <c r="ULZ48" s="103"/>
      <c r="UMA48" s="103"/>
      <c r="UMB48" s="103"/>
      <c r="UMC48" s="103"/>
      <c r="UMD48" s="103"/>
      <c r="UME48" s="103"/>
      <c r="UMF48" s="103"/>
      <c r="UMG48" s="103"/>
      <c r="UMH48" s="103"/>
      <c r="UMI48" s="103"/>
      <c r="UMJ48" s="103"/>
      <c r="UMK48" s="103"/>
      <c r="UML48" s="103"/>
      <c r="UMM48" s="103"/>
      <c r="UMN48" s="103"/>
      <c r="UMO48" s="103"/>
      <c r="UMP48" s="103"/>
      <c r="UMQ48" s="103"/>
      <c r="UMR48" s="103"/>
      <c r="UMS48" s="103"/>
      <c r="UMT48" s="103"/>
      <c r="UMU48" s="103"/>
      <c r="UMV48" s="103"/>
      <c r="UMW48" s="103"/>
      <c r="UMX48" s="103"/>
      <c r="UMY48" s="103"/>
      <c r="UMZ48" s="103"/>
      <c r="UNA48" s="103"/>
      <c r="UNB48" s="103"/>
      <c r="UNC48" s="103"/>
      <c r="UND48" s="103"/>
      <c r="UNE48" s="103"/>
      <c r="UNF48" s="103"/>
      <c r="UNG48" s="103"/>
      <c r="UNH48" s="103"/>
      <c r="UNI48" s="103"/>
      <c r="UNJ48" s="103"/>
      <c r="UNK48" s="103"/>
      <c r="UNL48" s="103"/>
      <c r="UNM48" s="103"/>
      <c r="UNN48" s="103"/>
      <c r="UNO48" s="103"/>
      <c r="UNP48" s="103"/>
      <c r="UNQ48" s="103"/>
      <c r="UNR48" s="103"/>
      <c r="UNS48" s="103"/>
      <c r="UNT48" s="103"/>
      <c r="UNU48" s="103"/>
      <c r="UNV48" s="103"/>
      <c r="UNW48" s="103"/>
      <c r="UNX48" s="103"/>
      <c r="UNY48" s="103"/>
      <c r="UNZ48" s="103"/>
      <c r="UOA48" s="103"/>
      <c r="UOB48" s="103"/>
      <c r="UOC48" s="103"/>
      <c r="UOD48" s="103"/>
      <c r="UOE48" s="103"/>
      <c r="UOF48" s="103"/>
      <c r="UOG48" s="103"/>
      <c r="UOH48" s="103"/>
      <c r="UOI48" s="103"/>
      <c r="UOJ48" s="103"/>
      <c r="UOK48" s="103"/>
      <c r="UOL48" s="103"/>
      <c r="UOM48" s="103"/>
      <c r="UON48" s="103"/>
      <c r="UOO48" s="103"/>
      <c r="UOP48" s="103"/>
      <c r="UOQ48" s="103"/>
      <c r="UOR48" s="103"/>
      <c r="UOS48" s="103"/>
      <c r="UOT48" s="103"/>
      <c r="UOU48" s="103"/>
      <c r="UOV48" s="103"/>
      <c r="UOW48" s="103"/>
      <c r="UOX48" s="103"/>
      <c r="UOY48" s="103"/>
      <c r="UOZ48" s="103"/>
      <c r="UPA48" s="103"/>
      <c r="UPB48" s="103"/>
      <c r="UPC48" s="103"/>
      <c r="UPD48" s="103"/>
      <c r="UPE48" s="103"/>
      <c r="UPF48" s="103"/>
      <c r="UPG48" s="103"/>
      <c r="UPH48" s="103"/>
      <c r="UPI48" s="103"/>
      <c r="UPJ48" s="103"/>
      <c r="UPK48" s="103"/>
      <c r="UPL48" s="103"/>
      <c r="UPM48" s="103"/>
      <c r="UPN48" s="103"/>
      <c r="UPO48" s="103"/>
      <c r="UPP48" s="103"/>
      <c r="UPQ48" s="103"/>
      <c r="UPR48" s="103"/>
      <c r="UPS48" s="103"/>
      <c r="UPT48" s="103"/>
      <c r="UPU48" s="103"/>
      <c r="UPV48" s="103"/>
      <c r="UPW48" s="103"/>
      <c r="UPX48" s="103"/>
      <c r="UPY48" s="103"/>
      <c r="UPZ48" s="103"/>
      <c r="UQA48" s="103"/>
      <c r="UQB48" s="103"/>
      <c r="UQC48" s="103"/>
      <c r="UQD48" s="103"/>
      <c r="UQE48" s="103"/>
      <c r="UQF48" s="103"/>
      <c r="UQG48" s="103"/>
      <c r="UQH48" s="103"/>
      <c r="UQI48" s="103"/>
      <c r="UQJ48" s="103"/>
      <c r="UQK48" s="103"/>
      <c r="UQL48" s="103"/>
      <c r="UQM48" s="103"/>
      <c r="UQN48" s="103"/>
      <c r="UQO48" s="103"/>
      <c r="UQP48" s="103"/>
      <c r="UQQ48" s="103"/>
      <c r="UQR48" s="103"/>
      <c r="UQS48" s="103"/>
      <c r="UQT48" s="103"/>
      <c r="UQU48" s="103"/>
      <c r="UQV48" s="103"/>
      <c r="UQW48" s="103"/>
      <c r="UQX48" s="103"/>
      <c r="UQY48" s="103"/>
      <c r="UQZ48" s="103"/>
      <c r="URA48" s="103"/>
      <c r="URB48" s="103"/>
      <c r="URC48" s="103"/>
      <c r="URD48" s="103"/>
      <c r="URE48" s="103"/>
      <c r="URF48" s="103"/>
      <c r="URG48" s="103"/>
      <c r="URH48" s="103"/>
      <c r="URI48" s="103"/>
      <c r="URJ48" s="103"/>
      <c r="URK48" s="103"/>
      <c r="URL48" s="103"/>
      <c r="URM48" s="103"/>
      <c r="URN48" s="103"/>
      <c r="URO48" s="103"/>
      <c r="URP48" s="103"/>
      <c r="URQ48" s="103"/>
      <c r="URR48" s="103"/>
      <c r="URS48" s="103"/>
      <c r="URT48" s="103"/>
      <c r="URU48" s="103"/>
      <c r="URV48" s="103"/>
      <c r="URW48" s="103"/>
      <c r="URX48" s="103"/>
      <c r="URY48" s="103"/>
      <c r="URZ48" s="103"/>
      <c r="USA48" s="103"/>
      <c r="USB48" s="103"/>
      <c r="USC48" s="103"/>
      <c r="USD48" s="103"/>
      <c r="USE48" s="103"/>
      <c r="USF48" s="103"/>
      <c r="USG48" s="103"/>
      <c r="USH48" s="103"/>
      <c r="USI48" s="103"/>
      <c r="USJ48" s="103"/>
      <c r="USK48" s="103"/>
      <c r="USL48" s="103"/>
      <c r="USM48" s="103"/>
      <c r="USN48" s="103"/>
      <c r="USO48" s="103"/>
      <c r="USP48" s="103"/>
      <c r="USQ48" s="103"/>
      <c r="USR48" s="103"/>
      <c r="USS48" s="103"/>
      <c r="UST48" s="103"/>
      <c r="USU48" s="103"/>
      <c r="USV48" s="103"/>
      <c r="USW48" s="103"/>
      <c r="USX48" s="103"/>
      <c r="USY48" s="103"/>
      <c r="USZ48" s="103"/>
      <c r="UTA48" s="103"/>
      <c r="UTB48" s="103"/>
      <c r="UTC48" s="103"/>
      <c r="UTD48" s="103"/>
      <c r="UTE48" s="103"/>
      <c r="UTF48" s="103"/>
      <c r="UTG48" s="103"/>
      <c r="UTH48" s="103"/>
      <c r="UTI48" s="103"/>
      <c r="UTJ48" s="103"/>
      <c r="UTK48" s="103"/>
      <c r="UTL48" s="103"/>
      <c r="UTM48" s="103"/>
      <c r="UTN48" s="103"/>
      <c r="UTO48" s="103"/>
      <c r="UTP48" s="103"/>
      <c r="UTQ48" s="103"/>
      <c r="UTR48" s="103"/>
      <c r="UTS48" s="103"/>
      <c r="UTT48" s="103"/>
      <c r="UTU48" s="103"/>
      <c r="UTV48" s="103"/>
      <c r="UTW48" s="103"/>
      <c r="UTX48" s="103"/>
      <c r="UTY48" s="103"/>
      <c r="UTZ48" s="103"/>
      <c r="UUA48" s="103"/>
      <c r="UUB48" s="103"/>
      <c r="UUC48" s="103"/>
      <c r="UUD48" s="103"/>
      <c r="UUE48" s="103"/>
      <c r="UUF48" s="103"/>
      <c r="UUG48" s="103"/>
      <c r="UUH48" s="103"/>
      <c r="UUI48" s="103"/>
      <c r="UUJ48" s="103"/>
      <c r="UUK48" s="103"/>
      <c r="UUL48" s="103"/>
      <c r="UUM48" s="103"/>
      <c r="UUN48" s="103"/>
      <c r="UUO48" s="103"/>
      <c r="UUP48" s="103"/>
      <c r="UUQ48" s="103"/>
      <c r="UUR48" s="103"/>
      <c r="UUS48" s="103"/>
      <c r="UUT48" s="103"/>
      <c r="UUU48" s="103"/>
      <c r="UUV48" s="103"/>
      <c r="UUW48" s="103"/>
      <c r="UUX48" s="103"/>
      <c r="UUY48" s="103"/>
      <c r="UUZ48" s="103"/>
      <c r="UVA48" s="103"/>
      <c r="UVB48" s="103"/>
      <c r="UVC48" s="103"/>
      <c r="UVD48" s="103"/>
      <c r="UVE48" s="103"/>
      <c r="UVF48" s="103"/>
      <c r="UVG48" s="103"/>
      <c r="UVH48" s="103"/>
      <c r="UVI48" s="103"/>
      <c r="UVJ48" s="103"/>
      <c r="UVK48" s="103"/>
      <c r="UVL48" s="103"/>
      <c r="UVM48" s="103"/>
      <c r="UVN48" s="103"/>
      <c r="UVO48" s="103"/>
      <c r="UVP48" s="103"/>
      <c r="UVQ48" s="103"/>
      <c r="UVR48" s="103"/>
      <c r="UVS48" s="103"/>
      <c r="UVT48" s="103"/>
      <c r="UVU48" s="103"/>
      <c r="UVV48" s="103"/>
      <c r="UVW48" s="103"/>
      <c r="UVX48" s="103"/>
      <c r="UVY48" s="103"/>
      <c r="UVZ48" s="103"/>
      <c r="UWA48" s="103"/>
      <c r="UWB48" s="103"/>
      <c r="UWC48" s="103"/>
      <c r="UWD48" s="103"/>
      <c r="UWE48" s="103"/>
      <c r="UWF48" s="103"/>
      <c r="UWG48" s="103"/>
      <c r="UWH48" s="103"/>
      <c r="UWI48" s="103"/>
      <c r="UWJ48" s="103"/>
      <c r="UWK48" s="103"/>
      <c r="UWL48" s="103"/>
      <c r="UWM48" s="103"/>
      <c r="UWN48" s="103"/>
      <c r="UWO48" s="103"/>
      <c r="UWP48" s="103"/>
      <c r="UWQ48" s="103"/>
      <c r="UWR48" s="103"/>
      <c r="UWS48" s="103"/>
      <c r="UWT48" s="103"/>
      <c r="UWU48" s="103"/>
      <c r="UWV48" s="103"/>
      <c r="UWW48" s="103"/>
      <c r="UWX48" s="103"/>
      <c r="UWY48" s="103"/>
      <c r="UWZ48" s="103"/>
      <c r="UXA48" s="103"/>
      <c r="UXB48" s="103"/>
      <c r="UXC48" s="103"/>
      <c r="UXD48" s="103"/>
      <c r="UXE48" s="103"/>
      <c r="UXF48" s="103"/>
      <c r="UXG48" s="103"/>
      <c r="UXH48" s="103"/>
      <c r="UXI48" s="103"/>
      <c r="UXJ48" s="103"/>
      <c r="UXK48" s="103"/>
      <c r="UXL48" s="103"/>
      <c r="UXM48" s="103"/>
      <c r="UXN48" s="103"/>
      <c r="UXO48" s="103"/>
      <c r="UXP48" s="103"/>
      <c r="UXQ48" s="103"/>
      <c r="UXR48" s="103"/>
      <c r="UXS48" s="103"/>
      <c r="UXT48" s="103"/>
      <c r="UXU48" s="103"/>
      <c r="UXV48" s="103"/>
      <c r="UXW48" s="103"/>
      <c r="UXX48" s="103"/>
      <c r="UXY48" s="103"/>
      <c r="UXZ48" s="103"/>
      <c r="UYA48" s="103"/>
      <c r="UYB48" s="103"/>
      <c r="UYC48" s="103"/>
      <c r="UYD48" s="103"/>
      <c r="UYE48" s="103"/>
      <c r="UYF48" s="103"/>
      <c r="UYG48" s="103"/>
      <c r="UYH48" s="103"/>
      <c r="UYI48" s="103"/>
      <c r="UYJ48" s="103"/>
      <c r="UYK48" s="103"/>
      <c r="UYL48" s="103"/>
      <c r="UYM48" s="103"/>
      <c r="UYN48" s="103"/>
      <c r="UYO48" s="103"/>
      <c r="UYP48" s="103"/>
      <c r="UYQ48" s="103"/>
      <c r="UYR48" s="103"/>
      <c r="UYS48" s="103"/>
      <c r="UYT48" s="103"/>
      <c r="UYU48" s="103"/>
      <c r="UYV48" s="103"/>
      <c r="UYW48" s="103"/>
      <c r="UYX48" s="103"/>
      <c r="UYY48" s="103"/>
      <c r="UYZ48" s="103"/>
      <c r="UZA48" s="103"/>
      <c r="UZB48" s="103"/>
      <c r="UZC48" s="103"/>
      <c r="UZD48" s="103"/>
      <c r="UZE48" s="103"/>
      <c r="UZF48" s="103"/>
      <c r="UZG48" s="103"/>
      <c r="UZH48" s="103"/>
      <c r="UZI48" s="103"/>
      <c r="UZJ48" s="103"/>
      <c r="UZK48" s="103"/>
      <c r="UZL48" s="103"/>
      <c r="UZM48" s="103"/>
      <c r="UZN48" s="103"/>
      <c r="UZO48" s="103"/>
      <c r="UZP48" s="103"/>
      <c r="UZQ48" s="103"/>
      <c r="UZR48" s="103"/>
      <c r="UZS48" s="103"/>
      <c r="UZT48" s="103"/>
      <c r="UZU48" s="103"/>
      <c r="UZV48" s="103"/>
      <c r="UZW48" s="103"/>
      <c r="UZX48" s="103"/>
      <c r="UZY48" s="103"/>
      <c r="UZZ48" s="103"/>
      <c r="VAA48" s="103"/>
      <c r="VAB48" s="103"/>
      <c r="VAC48" s="103"/>
      <c r="VAD48" s="103"/>
      <c r="VAE48" s="103"/>
      <c r="VAF48" s="103"/>
      <c r="VAG48" s="103"/>
      <c r="VAH48" s="103"/>
      <c r="VAI48" s="103"/>
      <c r="VAJ48" s="103"/>
      <c r="VAK48" s="103"/>
      <c r="VAL48" s="103"/>
      <c r="VAM48" s="103"/>
      <c r="VAN48" s="103"/>
      <c r="VAO48" s="103"/>
      <c r="VAP48" s="103"/>
      <c r="VAQ48" s="103"/>
      <c r="VAR48" s="103"/>
      <c r="VAS48" s="103"/>
      <c r="VAT48" s="103"/>
      <c r="VAU48" s="103"/>
      <c r="VAV48" s="103"/>
      <c r="VAW48" s="103"/>
      <c r="VAX48" s="103"/>
      <c r="VAY48" s="103"/>
      <c r="VAZ48" s="103"/>
      <c r="VBA48" s="103"/>
      <c r="VBB48" s="103"/>
      <c r="VBC48" s="103"/>
      <c r="VBD48" s="103"/>
      <c r="VBE48" s="103"/>
      <c r="VBF48" s="103"/>
      <c r="VBG48" s="103"/>
      <c r="VBH48" s="103"/>
      <c r="VBI48" s="103"/>
      <c r="VBJ48" s="103"/>
      <c r="VBK48" s="103"/>
      <c r="VBL48" s="103"/>
      <c r="VBM48" s="103"/>
      <c r="VBN48" s="103"/>
      <c r="VBO48" s="103"/>
      <c r="VBP48" s="103"/>
      <c r="VBQ48" s="103"/>
      <c r="VBR48" s="103"/>
      <c r="VBS48" s="103"/>
      <c r="VBT48" s="103"/>
      <c r="VBU48" s="103"/>
      <c r="VBV48" s="103"/>
      <c r="VBW48" s="103"/>
      <c r="VBX48" s="103"/>
      <c r="VBY48" s="103"/>
      <c r="VBZ48" s="103"/>
      <c r="VCA48" s="103"/>
      <c r="VCB48" s="103"/>
      <c r="VCC48" s="103"/>
      <c r="VCD48" s="103"/>
      <c r="VCE48" s="103"/>
      <c r="VCF48" s="103"/>
      <c r="VCG48" s="103"/>
      <c r="VCH48" s="103"/>
      <c r="VCI48" s="103"/>
      <c r="VCJ48" s="103"/>
      <c r="VCK48" s="103"/>
      <c r="VCL48" s="103"/>
      <c r="VCM48" s="103"/>
      <c r="VCN48" s="103"/>
      <c r="VCO48" s="103"/>
      <c r="VCP48" s="103"/>
      <c r="VCQ48" s="103"/>
      <c r="VCR48" s="103"/>
      <c r="VCS48" s="103"/>
      <c r="VCT48" s="103"/>
      <c r="VCU48" s="103"/>
      <c r="VCV48" s="103"/>
      <c r="VCW48" s="103"/>
      <c r="VCX48" s="103"/>
      <c r="VCY48" s="103"/>
      <c r="VCZ48" s="103"/>
      <c r="VDA48" s="103"/>
      <c r="VDB48" s="103"/>
      <c r="VDC48" s="103"/>
      <c r="VDD48" s="103"/>
      <c r="VDE48" s="103"/>
      <c r="VDF48" s="103"/>
      <c r="VDG48" s="103"/>
      <c r="VDH48" s="103"/>
      <c r="VDI48" s="103"/>
      <c r="VDJ48" s="103"/>
      <c r="VDK48" s="103"/>
      <c r="VDL48" s="103"/>
      <c r="VDM48" s="103"/>
      <c r="VDN48" s="103"/>
      <c r="VDO48" s="103"/>
      <c r="VDP48" s="103"/>
      <c r="VDQ48" s="103"/>
      <c r="VDR48" s="103"/>
      <c r="VDS48" s="103"/>
      <c r="VDT48" s="103"/>
      <c r="VDU48" s="103"/>
      <c r="VDV48" s="103"/>
      <c r="VDW48" s="103"/>
      <c r="VDX48" s="103"/>
      <c r="VDY48" s="103"/>
      <c r="VDZ48" s="103"/>
      <c r="VEA48" s="103"/>
      <c r="VEB48" s="103"/>
      <c r="VEC48" s="103"/>
      <c r="VED48" s="103"/>
      <c r="VEE48" s="103"/>
      <c r="VEF48" s="103"/>
      <c r="VEG48" s="103"/>
      <c r="VEH48" s="103"/>
      <c r="VEI48" s="103"/>
      <c r="VEJ48" s="103"/>
      <c r="VEK48" s="103"/>
      <c r="VEL48" s="103"/>
      <c r="VEM48" s="103"/>
      <c r="VEN48" s="103"/>
      <c r="VEO48" s="103"/>
      <c r="VEP48" s="103"/>
      <c r="VEQ48" s="103"/>
      <c r="VER48" s="103"/>
      <c r="VES48" s="103"/>
      <c r="VET48" s="103"/>
      <c r="VEU48" s="103"/>
      <c r="VEV48" s="103"/>
      <c r="VEW48" s="103"/>
      <c r="VEX48" s="103"/>
      <c r="VEY48" s="103"/>
      <c r="VEZ48" s="103"/>
      <c r="VFA48" s="103"/>
      <c r="VFB48" s="103"/>
      <c r="VFC48" s="103"/>
      <c r="VFD48" s="103"/>
      <c r="VFE48" s="103"/>
      <c r="VFF48" s="103"/>
      <c r="VFG48" s="103"/>
      <c r="VFH48" s="103"/>
      <c r="VFI48" s="103"/>
      <c r="VFJ48" s="103"/>
      <c r="VFK48" s="103"/>
      <c r="VFL48" s="103"/>
      <c r="VFM48" s="103"/>
      <c r="VFN48" s="103"/>
      <c r="VFO48" s="103"/>
      <c r="VFP48" s="103"/>
      <c r="VFQ48" s="103"/>
      <c r="VFR48" s="103"/>
      <c r="VFS48" s="103"/>
      <c r="VFT48" s="103"/>
      <c r="VFU48" s="103"/>
      <c r="VFV48" s="103"/>
      <c r="VFW48" s="103"/>
      <c r="VFX48" s="103"/>
      <c r="VFY48" s="103"/>
      <c r="VFZ48" s="103"/>
      <c r="VGA48" s="103"/>
      <c r="VGB48" s="103"/>
      <c r="VGC48" s="103"/>
      <c r="VGD48" s="103"/>
      <c r="VGE48" s="103"/>
      <c r="VGF48" s="103"/>
      <c r="VGG48" s="103"/>
      <c r="VGH48" s="103"/>
      <c r="VGI48" s="103"/>
      <c r="VGJ48" s="103"/>
      <c r="VGK48" s="103"/>
      <c r="VGL48" s="103"/>
      <c r="VGM48" s="103"/>
      <c r="VGN48" s="103"/>
      <c r="VGO48" s="103"/>
      <c r="VGP48" s="103"/>
      <c r="VGQ48" s="103"/>
      <c r="VGR48" s="103"/>
      <c r="VGS48" s="103"/>
      <c r="VGT48" s="103"/>
      <c r="VGU48" s="103"/>
      <c r="VGV48" s="103"/>
      <c r="VGW48" s="103"/>
      <c r="VGX48" s="103"/>
      <c r="VGY48" s="103"/>
      <c r="VGZ48" s="103"/>
      <c r="VHA48" s="103"/>
      <c r="VHB48" s="103"/>
      <c r="VHC48" s="103"/>
      <c r="VHD48" s="103"/>
      <c r="VHE48" s="103"/>
      <c r="VHF48" s="103"/>
      <c r="VHG48" s="103"/>
      <c r="VHH48" s="103"/>
      <c r="VHI48" s="103"/>
      <c r="VHJ48" s="103"/>
      <c r="VHK48" s="103"/>
      <c r="VHL48" s="103"/>
      <c r="VHM48" s="103"/>
      <c r="VHN48" s="103"/>
      <c r="VHO48" s="103"/>
      <c r="VHP48" s="103"/>
      <c r="VHQ48" s="103"/>
      <c r="VHR48" s="103"/>
      <c r="VHS48" s="103"/>
      <c r="VHT48" s="103"/>
      <c r="VHU48" s="103"/>
      <c r="VHV48" s="103"/>
      <c r="VHW48" s="103"/>
      <c r="VHX48" s="103"/>
      <c r="VHY48" s="103"/>
      <c r="VHZ48" s="103"/>
      <c r="VIA48" s="103"/>
      <c r="VIB48" s="103"/>
      <c r="VIC48" s="103"/>
      <c r="VID48" s="103"/>
      <c r="VIE48" s="103"/>
      <c r="VIF48" s="103"/>
      <c r="VIG48" s="103"/>
      <c r="VIH48" s="103"/>
      <c r="VII48" s="103"/>
      <c r="VIJ48" s="103"/>
      <c r="VIK48" s="103"/>
      <c r="VIL48" s="103"/>
      <c r="VIM48" s="103"/>
      <c r="VIN48" s="103"/>
      <c r="VIO48" s="103"/>
      <c r="VIP48" s="103"/>
      <c r="VIQ48" s="103"/>
      <c r="VIR48" s="103"/>
      <c r="VIS48" s="103"/>
      <c r="VIT48" s="103"/>
      <c r="VIU48" s="103"/>
      <c r="VIV48" s="103"/>
      <c r="VIW48" s="103"/>
      <c r="VIX48" s="103"/>
      <c r="VIY48" s="103"/>
      <c r="VIZ48" s="103"/>
      <c r="VJA48" s="103"/>
      <c r="VJB48" s="103"/>
      <c r="VJC48" s="103"/>
      <c r="VJD48" s="103"/>
      <c r="VJE48" s="103"/>
      <c r="VJF48" s="103"/>
      <c r="VJG48" s="103"/>
      <c r="VJH48" s="103"/>
      <c r="VJI48" s="103"/>
      <c r="VJJ48" s="103"/>
      <c r="VJK48" s="103"/>
      <c r="VJL48" s="103"/>
      <c r="VJM48" s="103"/>
      <c r="VJN48" s="103"/>
      <c r="VJO48" s="103"/>
      <c r="VJP48" s="103"/>
      <c r="VJQ48" s="103"/>
      <c r="VJR48" s="103"/>
      <c r="VJS48" s="103"/>
      <c r="VJT48" s="103"/>
      <c r="VJU48" s="103"/>
      <c r="VJV48" s="103"/>
      <c r="VJW48" s="103"/>
      <c r="VJX48" s="103"/>
      <c r="VJY48" s="103"/>
      <c r="VJZ48" s="103"/>
      <c r="VKA48" s="103"/>
      <c r="VKB48" s="103"/>
      <c r="VKC48" s="103"/>
      <c r="VKD48" s="103"/>
      <c r="VKE48" s="103"/>
      <c r="VKF48" s="103"/>
      <c r="VKG48" s="103"/>
      <c r="VKH48" s="103"/>
      <c r="VKI48" s="103"/>
      <c r="VKJ48" s="103"/>
      <c r="VKK48" s="103"/>
      <c r="VKL48" s="103"/>
      <c r="VKM48" s="103"/>
      <c r="VKN48" s="103"/>
      <c r="VKO48" s="103"/>
      <c r="VKP48" s="103"/>
      <c r="VKQ48" s="103"/>
      <c r="VKR48" s="103"/>
      <c r="VKS48" s="103"/>
      <c r="VKT48" s="103"/>
      <c r="VKU48" s="103"/>
      <c r="VKV48" s="103"/>
      <c r="VKW48" s="103"/>
      <c r="VKX48" s="103"/>
      <c r="VKY48" s="103"/>
      <c r="VKZ48" s="103"/>
      <c r="VLA48" s="103"/>
      <c r="VLB48" s="103"/>
      <c r="VLC48" s="103"/>
      <c r="VLD48" s="103"/>
      <c r="VLE48" s="103"/>
      <c r="VLF48" s="103"/>
      <c r="VLG48" s="103"/>
      <c r="VLH48" s="103"/>
      <c r="VLI48" s="103"/>
      <c r="VLJ48" s="103"/>
      <c r="VLK48" s="103"/>
      <c r="VLL48" s="103"/>
      <c r="VLM48" s="103"/>
      <c r="VLN48" s="103"/>
      <c r="VLO48" s="103"/>
      <c r="VLP48" s="103"/>
      <c r="VLQ48" s="103"/>
      <c r="VLR48" s="103"/>
      <c r="VLS48" s="103"/>
      <c r="VLT48" s="103"/>
      <c r="VLU48" s="103"/>
      <c r="VLV48" s="103"/>
      <c r="VLW48" s="103"/>
      <c r="VLX48" s="103"/>
      <c r="VLY48" s="103"/>
      <c r="VLZ48" s="103"/>
      <c r="VMA48" s="103"/>
      <c r="VMB48" s="103"/>
      <c r="VMC48" s="103"/>
      <c r="VMD48" s="103"/>
      <c r="VME48" s="103"/>
      <c r="VMF48" s="103"/>
      <c r="VMG48" s="103"/>
      <c r="VMH48" s="103"/>
      <c r="VMI48" s="103"/>
      <c r="VMJ48" s="103"/>
      <c r="VMK48" s="103"/>
      <c r="VML48" s="103"/>
      <c r="VMM48" s="103"/>
      <c r="VMN48" s="103"/>
      <c r="VMO48" s="103"/>
      <c r="VMP48" s="103"/>
      <c r="VMQ48" s="103"/>
      <c r="VMR48" s="103"/>
      <c r="VMS48" s="103"/>
      <c r="VMT48" s="103"/>
      <c r="VMU48" s="103"/>
      <c r="VMV48" s="103"/>
      <c r="VMW48" s="103"/>
      <c r="VMX48" s="103"/>
      <c r="VMY48" s="103"/>
      <c r="VMZ48" s="103"/>
      <c r="VNA48" s="103"/>
      <c r="VNB48" s="103"/>
      <c r="VNC48" s="103"/>
      <c r="VND48" s="103"/>
      <c r="VNE48" s="103"/>
      <c r="VNF48" s="103"/>
      <c r="VNG48" s="103"/>
      <c r="VNH48" s="103"/>
      <c r="VNI48" s="103"/>
      <c r="VNJ48" s="103"/>
      <c r="VNK48" s="103"/>
      <c r="VNL48" s="103"/>
      <c r="VNM48" s="103"/>
      <c r="VNN48" s="103"/>
      <c r="VNO48" s="103"/>
      <c r="VNP48" s="103"/>
      <c r="VNQ48" s="103"/>
      <c r="VNR48" s="103"/>
      <c r="VNS48" s="103"/>
      <c r="VNT48" s="103"/>
      <c r="VNU48" s="103"/>
      <c r="VNV48" s="103"/>
      <c r="VNW48" s="103"/>
      <c r="VNX48" s="103"/>
      <c r="VNY48" s="103"/>
      <c r="VNZ48" s="103"/>
      <c r="VOA48" s="103"/>
      <c r="VOB48" s="103"/>
      <c r="VOC48" s="103"/>
      <c r="VOD48" s="103"/>
      <c r="VOE48" s="103"/>
      <c r="VOF48" s="103"/>
      <c r="VOG48" s="103"/>
      <c r="VOH48" s="103"/>
      <c r="VOI48" s="103"/>
      <c r="VOJ48" s="103"/>
      <c r="VOK48" s="103"/>
      <c r="VOL48" s="103"/>
      <c r="VOM48" s="103"/>
      <c r="VON48" s="103"/>
      <c r="VOO48" s="103"/>
      <c r="VOP48" s="103"/>
      <c r="VOQ48" s="103"/>
      <c r="VOR48" s="103"/>
      <c r="VOS48" s="103"/>
      <c r="VOT48" s="103"/>
      <c r="VOU48" s="103"/>
      <c r="VOV48" s="103"/>
      <c r="VOW48" s="103"/>
      <c r="VOX48" s="103"/>
      <c r="VOY48" s="103"/>
      <c r="VOZ48" s="103"/>
      <c r="VPA48" s="103"/>
      <c r="VPB48" s="103"/>
      <c r="VPC48" s="103"/>
      <c r="VPD48" s="103"/>
      <c r="VPE48" s="103"/>
      <c r="VPF48" s="103"/>
      <c r="VPG48" s="103"/>
      <c r="VPH48" s="103"/>
      <c r="VPI48" s="103"/>
      <c r="VPJ48" s="103"/>
      <c r="VPK48" s="103"/>
      <c r="VPL48" s="103"/>
      <c r="VPM48" s="103"/>
      <c r="VPN48" s="103"/>
      <c r="VPO48" s="103"/>
      <c r="VPP48" s="103"/>
      <c r="VPQ48" s="103"/>
      <c r="VPR48" s="103"/>
      <c r="VPS48" s="103"/>
      <c r="VPT48" s="103"/>
      <c r="VPU48" s="103"/>
      <c r="VPV48" s="103"/>
      <c r="VPW48" s="103"/>
      <c r="VPX48" s="103"/>
      <c r="VPY48" s="103"/>
      <c r="VPZ48" s="103"/>
      <c r="VQA48" s="103"/>
      <c r="VQB48" s="103"/>
      <c r="VQC48" s="103"/>
      <c r="VQD48" s="103"/>
      <c r="VQE48" s="103"/>
      <c r="VQF48" s="103"/>
      <c r="VQG48" s="103"/>
      <c r="VQH48" s="103"/>
      <c r="VQI48" s="103"/>
      <c r="VQJ48" s="103"/>
      <c r="VQK48" s="103"/>
      <c r="VQL48" s="103"/>
      <c r="VQM48" s="103"/>
      <c r="VQN48" s="103"/>
      <c r="VQO48" s="103"/>
      <c r="VQP48" s="103"/>
      <c r="VQQ48" s="103"/>
      <c r="VQR48" s="103"/>
      <c r="VQS48" s="103"/>
      <c r="VQT48" s="103"/>
      <c r="VQU48" s="103"/>
      <c r="VQV48" s="103"/>
      <c r="VQW48" s="103"/>
      <c r="VQX48" s="103"/>
      <c r="VQY48" s="103"/>
      <c r="VQZ48" s="103"/>
      <c r="VRA48" s="103"/>
      <c r="VRB48" s="103"/>
      <c r="VRC48" s="103"/>
      <c r="VRD48" s="103"/>
      <c r="VRE48" s="103"/>
      <c r="VRF48" s="103"/>
      <c r="VRG48" s="103"/>
      <c r="VRH48" s="103"/>
      <c r="VRI48" s="103"/>
      <c r="VRJ48" s="103"/>
      <c r="VRK48" s="103"/>
      <c r="VRL48" s="103"/>
      <c r="VRM48" s="103"/>
      <c r="VRN48" s="103"/>
      <c r="VRO48" s="103"/>
      <c r="VRP48" s="103"/>
      <c r="VRQ48" s="103"/>
      <c r="VRR48" s="103"/>
      <c r="VRS48" s="103"/>
      <c r="VRT48" s="103"/>
      <c r="VRU48" s="103"/>
      <c r="VRV48" s="103"/>
      <c r="VRW48" s="103"/>
      <c r="VRX48" s="103"/>
      <c r="VRY48" s="103"/>
      <c r="VRZ48" s="103"/>
      <c r="VSA48" s="103"/>
      <c r="VSB48" s="103"/>
      <c r="VSC48" s="103"/>
      <c r="VSD48" s="103"/>
      <c r="VSE48" s="103"/>
      <c r="VSF48" s="103"/>
      <c r="VSG48" s="103"/>
      <c r="VSH48" s="103"/>
      <c r="VSI48" s="103"/>
      <c r="VSJ48" s="103"/>
      <c r="VSK48" s="103"/>
      <c r="VSL48" s="103"/>
      <c r="VSM48" s="103"/>
      <c r="VSN48" s="103"/>
      <c r="VSO48" s="103"/>
      <c r="VSP48" s="103"/>
      <c r="VSQ48" s="103"/>
      <c r="VSR48" s="103"/>
      <c r="VSS48" s="103"/>
      <c r="VST48" s="103"/>
      <c r="VSU48" s="103"/>
      <c r="VSV48" s="103"/>
      <c r="VSW48" s="103"/>
      <c r="VSX48" s="103"/>
      <c r="VSY48" s="103"/>
      <c r="VSZ48" s="103"/>
      <c r="VTA48" s="103"/>
      <c r="VTB48" s="103"/>
      <c r="VTC48" s="103"/>
      <c r="VTD48" s="103"/>
      <c r="VTE48" s="103"/>
      <c r="VTF48" s="103"/>
      <c r="VTG48" s="103"/>
      <c r="VTH48" s="103"/>
      <c r="VTI48" s="103"/>
      <c r="VTJ48" s="103"/>
      <c r="VTK48" s="103"/>
      <c r="VTL48" s="103"/>
      <c r="VTM48" s="103"/>
      <c r="VTN48" s="103"/>
      <c r="VTO48" s="103"/>
      <c r="VTP48" s="103"/>
      <c r="VTQ48" s="103"/>
      <c r="VTR48" s="103"/>
      <c r="VTS48" s="103"/>
      <c r="VTT48" s="103"/>
      <c r="VTU48" s="103"/>
      <c r="VTV48" s="103"/>
      <c r="VTW48" s="103"/>
      <c r="VTX48" s="103"/>
      <c r="VTY48" s="103"/>
      <c r="VTZ48" s="103"/>
      <c r="VUA48" s="103"/>
      <c r="VUB48" s="103"/>
      <c r="VUC48" s="103"/>
      <c r="VUD48" s="103"/>
      <c r="VUE48" s="103"/>
      <c r="VUF48" s="103"/>
      <c r="VUG48" s="103"/>
      <c r="VUH48" s="103"/>
      <c r="VUI48" s="103"/>
      <c r="VUJ48" s="103"/>
      <c r="VUK48" s="103"/>
      <c r="VUL48" s="103"/>
      <c r="VUM48" s="103"/>
      <c r="VUN48" s="103"/>
      <c r="VUO48" s="103"/>
      <c r="VUP48" s="103"/>
      <c r="VUQ48" s="103"/>
      <c r="VUR48" s="103"/>
      <c r="VUS48" s="103"/>
      <c r="VUT48" s="103"/>
      <c r="VUU48" s="103"/>
      <c r="VUV48" s="103"/>
      <c r="VUW48" s="103"/>
      <c r="VUX48" s="103"/>
      <c r="VUY48" s="103"/>
      <c r="VUZ48" s="103"/>
      <c r="VVA48" s="103"/>
      <c r="VVB48" s="103"/>
      <c r="VVC48" s="103"/>
      <c r="VVD48" s="103"/>
      <c r="VVE48" s="103"/>
      <c r="VVF48" s="103"/>
      <c r="VVG48" s="103"/>
      <c r="VVH48" s="103"/>
      <c r="VVI48" s="103"/>
      <c r="VVJ48" s="103"/>
      <c r="VVK48" s="103"/>
      <c r="VVL48" s="103"/>
      <c r="VVM48" s="103"/>
      <c r="VVN48" s="103"/>
      <c r="VVO48" s="103"/>
      <c r="VVP48" s="103"/>
      <c r="VVQ48" s="103"/>
      <c r="VVR48" s="103"/>
      <c r="VVS48" s="103"/>
      <c r="VVT48" s="103"/>
      <c r="VVU48" s="103"/>
      <c r="VVV48" s="103"/>
      <c r="VVW48" s="103"/>
      <c r="VVX48" s="103"/>
      <c r="VVY48" s="103"/>
      <c r="VVZ48" s="103"/>
      <c r="VWA48" s="103"/>
      <c r="VWB48" s="103"/>
      <c r="VWC48" s="103"/>
      <c r="VWD48" s="103"/>
      <c r="VWE48" s="103"/>
      <c r="VWF48" s="103"/>
      <c r="VWG48" s="103"/>
      <c r="VWH48" s="103"/>
      <c r="VWI48" s="103"/>
      <c r="VWJ48" s="103"/>
      <c r="VWK48" s="103"/>
      <c r="VWL48" s="103"/>
      <c r="VWM48" s="103"/>
      <c r="VWN48" s="103"/>
      <c r="VWO48" s="103"/>
      <c r="VWP48" s="103"/>
      <c r="VWQ48" s="103"/>
      <c r="VWR48" s="103"/>
      <c r="VWS48" s="103"/>
      <c r="VWT48" s="103"/>
      <c r="VWU48" s="103"/>
      <c r="VWV48" s="103"/>
      <c r="VWW48" s="103"/>
      <c r="VWX48" s="103"/>
      <c r="VWY48" s="103"/>
      <c r="VWZ48" s="103"/>
      <c r="VXA48" s="103"/>
      <c r="VXB48" s="103"/>
      <c r="VXC48" s="103"/>
      <c r="VXD48" s="103"/>
      <c r="VXE48" s="103"/>
      <c r="VXF48" s="103"/>
      <c r="VXG48" s="103"/>
      <c r="VXH48" s="103"/>
      <c r="VXI48" s="103"/>
      <c r="VXJ48" s="103"/>
      <c r="VXK48" s="103"/>
      <c r="VXL48" s="103"/>
      <c r="VXM48" s="103"/>
      <c r="VXN48" s="103"/>
      <c r="VXO48" s="103"/>
      <c r="VXP48" s="103"/>
      <c r="VXQ48" s="103"/>
      <c r="VXR48" s="103"/>
      <c r="VXS48" s="103"/>
      <c r="VXT48" s="103"/>
      <c r="VXU48" s="103"/>
      <c r="VXV48" s="103"/>
      <c r="VXW48" s="103"/>
      <c r="VXX48" s="103"/>
      <c r="VXY48" s="103"/>
      <c r="VXZ48" s="103"/>
      <c r="VYA48" s="103"/>
      <c r="VYB48" s="103"/>
      <c r="VYC48" s="103"/>
      <c r="VYD48" s="103"/>
      <c r="VYE48" s="103"/>
      <c r="VYF48" s="103"/>
      <c r="VYG48" s="103"/>
      <c r="VYH48" s="103"/>
      <c r="VYI48" s="103"/>
      <c r="VYJ48" s="103"/>
      <c r="VYK48" s="103"/>
      <c r="VYL48" s="103"/>
      <c r="VYM48" s="103"/>
      <c r="VYN48" s="103"/>
      <c r="VYO48" s="103"/>
      <c r="VYP48" s="103"/>
      <c r="VYQ48" s="103"/>
      <c r="VYR48" s="103"/>
      <c r="VYS48" s="103"/>
      <c r="VYT48" s="103"/>
      <c r="VYU48" s="103"/>
      <c r="VYV48" s="103"/>
      <c r="VYW48" s="103"/>
      <c r="VYX48" s="103"/>
      <c r="VYY48" s="103"/>
      <c r="VYZ48" s="103"/>
      <c r="VZA48" s="103"/>
      <c r="VZB48" s="103"/>
      <c r="VZC48" s="103"/>
      <c r="VZD48" s="103"/>
      <c r="VZE48" s="103"/>
      <c r="VZF48" s="103"/>
      <c r="VZG48" s="103"/>
      <c r="VZH48" s="103"/>
      <c r="VZI48" s="103"/>
      <c r="VZJ48" s="103"/>
      <c r="VZK48" s="103"/>
      <c r="VZL48" s="103"/>
      <c r="VZM48" s="103"/>
      <c r="VZN48" s="103"/>
      <c r="VZO48" s="103"/>
      <c r="VZP48" s="103"/>
      <c r="VZQ48" s="103"/>
      <c r="VZR48" s="103"/>
      <c r="VZS48" s="103"/>
      <c r="VZT48" s="103"/>
      <c r="VZU48" s="103"/>
      <c r="VZV48" s="103"/>
      <c r="VZW48" s="103"/>
      <c r="VZX48" s="103"/>
      <c r="VZY48" s="103"/>
      <c r="VZZ48" s="103"/>
      <c r="WAA48" s="103"/>
      <c r="WAB48" s="103"/>
      <c r="WAC48" s="103"/>
      <c r="WAD48" s="103"/>
      <c r="WAE48" s="103"/>
      <c r="WAF48" s="103"/>
      <c r="WAG48" s="103"/>
      <c r="WAH48" s="103"/>
      <c r="WAI48" s="103"/>
      <c r="WAJ48" s="103"/>
      <c r="WAK48" s="103"/>
      <c r="WAL48" s="103"/>
      <c r="WAM48" s="103"/>
      <c r="WAN48" s="103"/>
      <c r="WAO48" s="103"/>
      <c r="WAP48" s="103"/>
      <c r="WAQ48" s="103"/>
      <c r="WAR48" s="103"/>
      <c r="WAS48" s="103"/>
      <c r="WAT48" s="103"/>
      <c r="WAU48" s="103"/>
      <c r="WAV48" s="103"/>
      <c r="WAW48" s="103"/>
      <c r="WAX48" s="103"/>
      <c r="WAY48" s="103"/>
      <c r="WAZ48" s="103"/>
      <c r="WBA48" s="103"/>
      <c r="WBB48" s="103"/>
      <c r="WBC48" s="103"/>
      <c r="WBD48" s="103"/>
      <c r="WBE48" s="103"/>
      <c r="WBF48" s="103"/>
      <c r="WBG48" s="103"/>
      <c r="WBH48" s="103"/>
      <c r="WBI48" s="103"/>
      <c r="WBJ48" s="103"/>
      <c r="WBK48" s="103"/>
      <c r="WBL48" s="103"/>
      <c r="WBM48" s="103"/>
      <c r="WBN48" s="103"/>
      <c r="WBO48" s="103"/>
      <c r="WBP48" s="103"/>
      <c r="WBQ48" s="103"/>
      <c r="WBR48" s="103"/>
      <c r="WBS48" s="103"/>
      <c r="WBT48" s="103"/>
      <c r="WBU48" s="103"/>
      <c r="WBV48" s="103"/>
      <c r="WBW48" s="103"/>
      <c r="WBX48" s="103"/>
      <c r="WBY48" s="103"/>
      <c r="WBZ48" s="103"/>
      <c r="WCA48" s="103"/>
      <c r="WCB48" s="103"/>
      <c r="WCC48" s="103"/>
      <c r="WCD48" s="103"/>
      <c r="WCE48" s="103"/>
      <c r="WCF48" s="103"/>
      <c r="WCG48" s="103"/>
      <c r="WCH48" s="103"/>
      <c r="WCI48" s="103"/>
      <c r="WCJ48" s="103"/>
      <c r="WCK48" s="103"/>
      <c r="WCL48" s="103"/>
      <c r="WCM48" s="103"/>
      <c r="WCN48" s="103"/>
      <c r="WCO48" s="103"/>
      <c r="WCP48" s="103"/>
      <c r="WCQ48" s="103"/>
      <c r="WCR48" s="103"/>
      <c r="WCS48" s="103"/>
      <c r="WCT48" s="103"/>
      <c r="WCU48" s="103"/>
      <c r="WCV48" s="103"/>
      <c r="WCW48" s="103"/>
      <c r="WCX48" s="103"/>
      <c r="WCY48" s="103"/>
      <c r="WCZ48" s="103"/>
      <c r="WDA48" s="103"/>
      <c r="WDB48" s="103"/>
      <c r="WDC48" s="103"/>
      <c r="WDD48" s="103"/>
      <c r="WDE48" s="103"/>
      <c r="WDF48" s="103"/>
      <c r="WDG48" s="103"/>
      <c r="WDH48" s="103"/>
      <c r="WDI48" s="103"/>
      <c r="WDJ48" s="103"/>
      <c r="WDK48" s="103"/>
      <c r="WDL48" s="103"/>
      <c r="WDM48" s="103"/>
      <c r="WDN48" s="103"/>
      <c r="WDO48" s="103"/>
      <c r="WDP48" s="103"/>
      <c r="WDQ48" s="103"/>
      <c r="WDR48" s="103"/>
      <c r="WDS48" s="103"/>
      <c r="WDT48" s="103"/>
      <c r="WDU48" s="103"/>
      <c r="WDV48" s="103"/>
      <c r="WDW48" s="103"/>
      <c r="WDX48" s="103"/>
      <c r="WDY48" s="103"/>
      <c r="WDZ48" s="103"/>
      <c r="WEA48" s="103"/>
      <c r="WEB48" s="103"/>
      <c r="WEC48" s="103"/>
      <c r="WED48" s="103"/>
      <c r="WEE48" s="103"/>
      <c r="WEF48" s="103"/>
      <c r="WEG48" s="103"/>
      <c r="WEH48" s="103"/>
      <c r="WEI48" s="103"/>
      <c r="WEJ48" s="103"/>
      <c r="WEK48" s="103"/>
      <c r="WEL48" s="103"/>
      <c r="WEM48" s="103"/>
      <c r="WEN48" s="103"/>
      <c r="WEO48" s="103"/>
      <c r="WEP48" s="103"/>
      <c r="WEQ48" s="103"/>
      <c r="WER48" s="103"/>
      <c r="WES48" s="103"/>
      <c r="WET48" s="103"/>
      <c r="WEU48" s="103"/>
      <c r="WEV48" s="103"/>
      <c r="WEW48" s="103"/>
      <c r="WEX48" s="103"/>
      <c r="WEY48" s="103"/>
      <c r="WEZ48" s="103"/>
      <c r="WFA48" s="103"/>
      <c r="WFB48" s="103"/>
      <c r="WFC48" s="103"/>
      <c r="WFD48" s="103"/>
      <c r="WFE48" s="103"/>
      <c r="WFF48" s="103"/>
      <c r="WFG48" s="103"/>
      <c r="WFH48" s="103"/>
      <c r="WFI48" s="103"/>
      <c r="WFJ48" s="103"/>
      <c r="WFK48" s="103"/>
      <c r="WFL48" s="103"/>
      <c r="WFM48" s="103"/>
      <c r="WFN48" s="103"/>
      <c r="WFO48" s="103"/>
      <c r="WFP48" s="103"/>
      <c r="WFQ48" s="103"/>
      <c r="WFR48" s="103"/>
      <c r="WFS48" s="103"/>
      <c r="WFT48" s="103"/>
      <c r="WFU48" s="103"/>
      <c r="WFV48" s="103"/>
      <c r="WFW48" s="103"/>
      <c r="WFX48" s="103"/>
      <c r="WFY48" s="103"/>
      <c r="WFZ48" s="103"/>
      <c r="WGA48" s="103"/>
      <c r="WGB48" s="103"/>
      <c r="WGC48" s="103"/>
      <c r="WGD48" s="103"/>
      <c r="WGE48" s="103"/>
      <c r="WGF48" s="103"/>
      <c r="WGG48" s="103"/>
      <c r="WGH48" s="103"/>
      <c r="WGI48" s="103"/>
      <c r="WGJ48" s="103"/>
      <c r="WGK48" s="103"/>
      <c r="WGL48" s="103"/>
      <c r="WGM48" s="103"/>
      <c r="WGN48" s="103"/>
      <c r="WGO48" s="103"/>
      <c r="WGP48" s="103"/>
      <c r="WGQ48" s="103"/>
      <c r="WGR48" s="103"/>
      <c r="WGS48" s="103"/>
      <c r="WGT48" s="103"/>
      <c r="WGU48" s="103"/>
      <c r="WGV48" s="103"/>
      <c r="WGW48" s="103"/>
      <c r="WGX48" s="103"/>
      <c r="WGY48" s="103"/>
      <c r="WGZ48" s="103"/>
      <c r="WHA48" s="103"/>
      <c r="WHB48" s="103"/>
      <c r="WHC48" s="103"/>
      <c r="WHD48" s="103"/>
      <c r="WHE48" s="103"/>
      <c r="WHF48" s="103"/>
      <c r="WHG48" s="103"/>
      <c r="WHH48" s="103"/>
      <c r="WHI48" s="103"/>
      <c r="WHJ48" s="103"/>
      <c r="WHK48" s="103"/>
      <c r="WHL48" s="103"/>
      <c r="WHM48" s="103"/>
      <c r="WHN48" s="103"/>
      <c r="WHO48" s="103"/>
      <c r="WHP48" s="103"/>
      <c r="WHQ48" s="103"/>
      <c r="WHR48" s="103"/>
      <c r="WHS48" s="103"/>
      <c r="WHT48" s="103"/>
      <c r="WHU48" s="103"/>
      <c r="WHV48" s="103"/>
      <c r="WHW48" s="103"/>
      <c r="WHX48" s="103"/>
      <c r="WHY48" s="103"/>
      <c r="WHZ48" s="103"/>
      <c r="WIA48" s="103"/>
      <c r="WIB48" s="103"/>
      <c r="WIC48" s="103"/>
      <c r="WID48" s="103"/>
      <c r="WIE48" s="103"/>
      <c r="WIF48" s="103"/>
      <c r="WIG48" s="103"/>
      <c r="WIH48" s="103"/>
      <c r="WII48" s="103"/>
      <c r="WIJ48" s="103"/>
      <c r="WIK48" s="103"/>
      <c r="WIL48" s="103"/>
      <c r="WIM48" s="103"/>
      <c r="WIN48" s="103"/>
      <c r="WIO48" s="103"/>
      <c r="WIP48" s="103"/>
      <c r="WIQ48" s="103"/>
      <c r="WIR48" s="103"/>
      <c r="WIS48" s="103"/>
      <c r="WIT48" s="103"/>
      <c r="WIU48" s="103"/>
      <c r="WIV48" s="103"/>
      <c r="WIW48" s="103"/>
      <c r="WIX48" s="103"/>
      <c r="WIY48" s="103"/>
      <c r="WIZ48" s="103"/>
      <c r="WJA48" s="103"/>
      <c r="WJB48" s="103"/>
      <c r="WJC48" s="103"/>
      <c r="WJD48" s="103"/>
      <c r="WJE48" s="103"/>
      <c r="WJF48" s="103"/>
      <c r="WJG48" s="103"/>
      <c r="WJH48" s="103"/>
      <c r="WJI48" s="103"/>
      <c r="WJJ48" s="103"/>
      <c r="WJK48" s="103"/>
      <c r="WJL48" s="103"/>
      <c r="WJM48" s="103"/>
      <c r="WJN48" s="103"/>
      <c r="WJO48" s="103"/>
      <c r="WJP48" s="103"/>
      <c r="WJQ48" s="103"/>
      <c r="WJR48" s="103"/>
      <c r="WJS48" s="103"/>
      <c r="WJT48" s="103"/>
      <c r="WJU48" s="103"/>
      <c r="WJV48" s="103"/>
      <c r="WJW48" s="103"/>
      <c r="WJX48" s="103"/>
      <c r="WJY48" s="103"/>
      <c r="WJZ48" s="103"/>
      <c r="WKA48" s="103"/>
      <c r="WKB48" s="103"/>
      <c r="WKC48" s="103"/>
      <c r="WKD48" s="103"/>
      <c r="WKE48" s="103"/>
      <c r="WKF48" s="103"/>
      <c r="WKG48" s="103"/>
      <c r="WKH48" s="103"/>
      <c r="WKI48" s="103"/>
      <c r="WKJ48" s="103"/>
      <c r="WKK48" s="103"/>
      <c r="WKL48" s="103"/>
      <c r="WKM48" s="103"/>
      <c r="WKN48" s="103"/>
      <c r="WKO48" s="103"/>
      <c r="WKP48" s="103"/>
      <c r="WKQ48" s="103"/>
      <c r="WKR48" s="103"/>
      <c r="WKS48" s="103"/>
      <c r="WKT48" s="103"/>
      <c r="WKU48" s="103"/>
      <c r="WKV48" s="103"/>
      <c r="WKW48" s="103"/>
      <c r="WKX48" s="103"/>
      <c r="WKY48" s="103"/>
      <c r="WKZ48" s="103"/>
      <c r="WLA48" s="103"/>
      <c r="WLB48" s="103"/>
      <c r="WLC48" s="103"/>
      <c r="WLD48" s="103"/>
      <c r="WLE48" s="103"/>
      <c r="WLF48" s="103"/>
      <c r="WLG48" s="103"/>
      <c r="WLH48" s="103"/>
      <c r="WLI48" s="103"/>
      <c r="WLJ48" s="103"/>
      <c r="WLK48" s="103"/>
      <c r="WLL48" s="103"/>
      <c r="WLM48" s="103"/>
      <c r="WLN48" s="103"/>
      <c r="WLO48" s="103"/>
      <c r="WLP48" s="103"/>
      <c r="WLQ48" s="103"/>
      <c r="WLR48" s="103"/>
      <c r="WLS48" s="103"/>
      <c r="WLT48" s="103"/>
      <c r="WLU48" s="103"/>
      <c r="WLV48" s="103"/>
      <c r="WLW48" s="103"/>
      <c r="WLX48" s="103"/>
      <c r="WLY48" s="103"/>
      <c r="WLZ48" s="103"/>
      <c r="WMA48" s="103"/>
      <c r="WMB48" s="103"/>
      <c r="WMC48" s="103"/>
      <c r="WMD48" s="103"/>
      <c r="WME48" s="103"/>
      <c r="WMF48" s="103"/>
      <c r="WMG48" s="103"/>
      <c r="WMH48" s="103"/>
      <c r="WMI48" s="103"/>
      <c r="WMJ48" s="103"/>
      <c r="WMK48" s="103"/>
      <c r="WML48" s="103"/>
      <c r="WMM48" s="103"/>
      <c r="WMN48" s="103"/>
      <c r="WMO48" s="103"/>
      <c r="WMP48" s="103"/>
      <c r="WMQ48" s="103"/>
      <c r="WMR48" s="103"/>
      <c r="WMS48" s="103"/>
      <c r="WMT48" s="103"/>
      <c r="WMU48" s="103"/>
      <c r="WMV48" s="103"/>
      <c r="WMW48" s="103"/>
      <c r="WMX48" s="103"/>
      <c r="WMY48" s="103"/>
      <c r="WMZ48" s="103"/>
      <c r="WNA48" s="103"/>
      <c r="WNB48" s="103"/>
      <c r="WNC48" s="103"/>
      <c r="WND48" s="103"/>
      <c r="WNE48" s="103"/>
      <c r="WNF48" s="103"/>
      <c r="WNG48" s="103"/>
      <c r="WNH48" s="103"/>
      <c r="WNI48" s="103"/>
      <c r="WNJ48" s="103"/>
      <c r="WNK48" s="103"/>
      <c r="WNL48" s="103"/>
      <c r="WNM48" s="103"/>
      <c r="WNN48" s="103"/>
      <c r="WNO48" s="103"/>
      <c r="WNP48" s="103"/>
      <c r="WNQ48" s="103"/>
      <c r="WNR48" s="103"/>
      <c r="WNS48" s="103"/>
      <c r="WNT48" s="103"/>
      <c r="WNU48" s="103"/>
      <c r="WNV48" s="103"/>
      <c r="WNW48" s="103"/>
      <c r="WNX48" s="103"/>
      <c r="WNY48" s="103"/>
      <c r="WNZ48" s="103"/>
      <c r="WOA48" s="103"/>
      <c r="WOB48" s="103"/>
      <c r="WOC48" s="103"/>
      <c r="WOD48" s="103"/>
      <c r="WOE48" s="103"/>
      <c r="WOF48" s="103"/>
      <c r="WOG48" s="103"/>
      <c r="WOH48" s="103"/>
      <c r="WOI48" s="103"/>
      <c r="WOJ48" s="103"/>
      <c r="WOK48" s="103"/>
      <c r="WOL48" s="103"/>
      <c r="WOM48" s="103"/>
      <c r="WON48" s="103"/>
      <c r="WOO48" s="103"/>
      <c r="WOP48" s="103"/>
      <c r="WOQ48" s="103"/>
      <c r="WOR48" s="103"/>
      <c r="WOS48" s="103"/>
      <c r="WOT48" s="103"/>
      <c r="WOU48" s="103"/>
      <c r="WOV48" s="103"/>
      <c r="WOW48" s="103"/>
      <c r="WOX48" s="103"/>
      <c r="WOY48" s="103"/>
      <c r="WOZ48" s="103"/>
      <c r="WPA48" s="103"/>
      <c r="WPB48" s="103"/>
      <c r="WPC48" s="103"/>
      <c r="WPD48" s="103"/>
      <c r="WPE48" s="103"/>
      <c r="WPF48" s="103"/>
      <c r="WPG48" s="103"/>
      <c r="WPH48" s="103"/>
      <c r="WPI48" s="103"/>
      <c r="WPJ48" s="103"/>
      <c r="WPK48" s="103"/>
      <c r="WPL48" s="103"/>
      <c r="WPM48" s="103"/>
      <c r="WPN48" s="103"/>
      <c r="WPO48" s="103"/>
      <c r="WPP48" s="103"/>
      <c r="WPQ48" s="103"/>
      <c r="WPR48" s="103"/>
      <c r="WPS48" s="103"/>
      <c r="WPT48" s="103"/>
      <c r="WPU48" s="103"/>
      <c r="WPV48" s="103"/>
      <c r="WPW48" s="103"/>
      <c r="WPX48" s="103"/>
      <c r="WPY48" s="103"/>
      <c r="WPZ48" s="103"/>
      <c r="WQA48" s="103"/>
      <c r="WQB48" s="103"/>
      <c r="WQC48" s="103"/>
      <c r="WQD48" s="103"/>
      <c r="WQE48" s="103"/>
      <c r="WQF48" s="103"/>
      <c r="WQG48" s="103"/>
      <c r="WQH48" s="103"/>
      <c r="WQI48" s="103"/>
      <c r="WQJ48" s="103"/>
      <c r="WQK48" s="103"/>
      <c r="WQL48" s="103"/>
      <c r="WQM48" s="103"/>
      <c r="WQN48" s="103"/>
      <c r="WQO48" s="103"/>
      <c r="WQP48" s="103"/>
      <c r="WQQ48" s="103"/>
      <c r="WQR48" s="103"/>
      <c r="WQS48" s="103"/>
      <c r="WQT48" s="103"/>
      <c r="WQU48" s="103"/>
      <c r="WQV48" s="103"/>
      <c r="WQW48" s="103"/>
      <c r="WQX48" s="103"/>
      <c r="WQY48" s="103"/>
      <c r="WQZ48" s="103"/>
      <c r="WRA48" s="103"/>
      <c r="WRB48" s="103"/>
      <c r="WRC48" s="103"/>
      <c r="WRD48" s="103"/>
      <c r="WRE48" s="103"/>
      <c r="WRF48" s="103"/>
      <c r="WRG48" s="103"/>
      <c r="WRH48" s="103"/>
      <c r="WRI48" s="103"/>
      <c r="WRJ48" s="103"/>
      <c r="WRK48" s="103"/>
      <c r="WRL48" s="103"/>
      <c r="WRM48" s="103"/>
      <c r="WRN48" s="103"/>
      <c r="WRO48" s="103"/>
      <c r="WRP48" s="103"/>
      <c r="WRQ48" s="103"/>
      <c r="WRR48" s="103"/>
      <c r="WRS48" s="103"/>
      <c r="WRT48" s="103"/>
      <c r="WRU48" s="103"/>
      <c r="WRV48" s="103"/>
      <c r="WRW48" s="103"/>
      <c r="WRX48" s="103"/>
      <c r="WRY48" s="103"/>
      <c r="WRZ48" s="103"/>
      <c r="WSA48" s="103"/>
      <c r="WSB48" s="103"/>
      <c r="WSC48" s="103"/>
      <c r="WSD48" s="103"/>
      <c r="WSE48" s="103"/>
      <c r="WSF48" s="103"/>
      <c r="WSG48" s="103"/>
      <c r="WSH48" s="103"/>
      <c r="WSI48" s="103"/>
      <c r="WSJ48" s="103"/>
      <c r="WSK48" s="103"/>
      <c r="WSL48" s="103"/>
      <c r="WSM48" s="103"/>
      <c r="WSN48" s="103"/>
      <c r="WSO48" s="103"/>
      <c r="WSP48" s="103"/>
      <c r="WSQ48" s="103"/>
      <c r="WSR48" s="103"/>
      <c r="WSS48" s="103"/>
      <c r="WST48" s="103"/>
      <c r="WSU48" s="103"/>
      <c r="WSV48" s="103"/>
      <c r="WSW48" s="103"/>
      <c r="WSX48" s="103"/>
      <c r="WSY48" s="103"/>
      <c r="WSZ48" s="103"/>
      <c r="WTA48" s="103"/>
      <c r="WTB48" s="103"/>
      <c r="WTC48" s="103"/>
      <c r="WTD48" s="103"/>
      <c r="WTE48" s="103"/>
      <c r="WTF48" s="103"/>
      <c r="WTG48" s="103"/>
      <c r="WTH48" s="103"/>
      <c r="WTI48" s="103"/>
      <c r="WTJ48" s="103"/>
      <c r="WTK48" s="103"/>
      <c r="WTL48" s="103"/>
      <c r="WTM48" s="103"/>
      <c r="WTN48" s="103"/>
      <c r="WTO48" s="103"/>
      <c r="WTP48" s="103"/>
      <c r="WTQ48" s="103"/>
      <c r="WTR48" s="103"/>
      <c r="WTS48" s="103"/>
      <c r="WTT48" s="103"/>
      <c r="WTU48" s="103"/>
      <c r="WTV48" s="103"/>
      <c r="WTW48" s="103"/>
      <c r="WTX48" s="103"/>
      <c r="WTY48" s="103"/>
      <c r="WTZ48" s="103"/>
      <c r="WUA48" s="103"/>
      <c r="WUB48" s="103"/>
      <c r="WUC48" s="103"/>
      <c r="WUD48" s="103"/>
      <c r="WUE48" s="103"/>
      <c r="WUF48" s="103"/>
      <c r="WUG48" s="103"/>
      <c r="WUH48" s="103"/>
      <c r="WUI48" s="103"/>
      <c r="WUJ48" s="103"/>
      <c r="WUK48" s="103"/>
      <c r="WUL48" s="103"/>
      <c r="WUM48" s="103"/>
      <c r="WUN48" s="103"/>
      <c r="WUO48" s="103"/>
      <c r="WUP48" s="103"/>
      <c r="WUQ48" s="103"/>
      <c r="WUR48" s="103"/>
      <c r="WUS48" s="103"/>
      <c r="WUT48" s="103"/>
      <c r="WUU48" s="103"/>
      <c r="WUV48" s="103"/>
      <c r="WUW48" s="103"/>
      <c r="WUX48" s="103"/>
      <c r="WUY48" s="103"/>
      <c r="WUZ48" s="103"/>
      <c r="WVA48" s="103"/>
      <c r="WVB48" s="103"/>
      <c r="WVC48" s="103"/>
      <c r="WVD48" s="103"/>
      <c r="WVE48" s="103"/>
      <c r="WVF48" s="103"/>
      <c r="WVG48" s="103"/>
      <c r="WVH48" s="103"/>
      <c r="WVI48" s="103"/>
      <c r="WVJ48" s="103"/>
      <c r="WVK48" s="103"/>
      <c r="WVL48" s="103"/>
      <c r="WVM48" s="103"/>
      <c r="WVN48" s="103"/>
      <c r="WVO48" s="103"/>
      <c r="WVP48" s="103"/>
      <c r="WVQ48" s="103"/>
      <c r="WVR48" s="103"/>
      <c r="WVS48" s="103"/>
      <c r="WVT48" s="103"/>
      <c r="WVU48" s="103"/>
      <c r="WVV48" s="103"/>
      <c r="WVW48" s="103"/>
      <c r="WVX48" s="103"/>
      <c r="WVY48" s="103"/>
      <c r="WVZ48" s="103"/>
      <c r="WWA48" s="103"/>
      <c r="WWB48" s="103"/>
      <c r="WWC48" s="103"/>
      <c r="WWD48" s="103"/>
      <c r="WWE48" s="103"/>
      <c r="WWF48" s="103"/>
      <c r="WWG48" s="103"/>
      <c r="WWH48" s="103"/>
      <c r="WWI48" s="103"/>
      <c r="WWJ48" s="103"/>
      <c r="WWK48" s="103"/>
      <c r="WWL48" s="103"/>
      <c r="WWM48" s="103"/>
      <c r="WWN48" s="103"/>
      <c r="WWO48" s="103"/>
      <c r="WWP48" s="103"/>
      <c r="WWQ48" s="103"/>
      <c r="WWR48" s="103"/>
      <c r="WWS48" s="103"/>
      <c r="WWT48" s="103"/>
      <c r="WWU48" s="103"/>
      <c r="WWV48" s="103"/>
      <c r="WWW48" s="103"/>
      <c r="WWX48" s="103"/>
      <c r="WWY48" s="103"/>
      <c r="WWZ48" s="103"/>
      <c r="WXA48" s="103"/>
      <c r="WXB48" s="103"/>
      <c r="WXC48" s="103"/>
      <c r="WXD48" s="103"/>
      <c r="WXE48" s="103"/>
      <c r="WXF48" s="103"/>
      <c r="WXG48" s="103"/>
      <c r="WXH48" s="103"/>
      <c r="WXI48" s="103"/>
      <c r="WXJ48" s="103"/>
      <c r="WXK48" s="103"/>
      <c r="WXL48" s="103"/>
      <c r="WXM48" s="103"/>
      <c r="WXN48" s="103"/>
      <c r="WXO48" s="103"/>
      <c r="WXP48" s="103"/>
      <c r="WXQ48" s="103"/>
      <c r="WXR48" s="103"/>
      <c r="WXS48" s="103"/>
      <c r="WXT48" s="103"/>
      <c r="WXU48" s="103"/>
      <c r="WXV48" s="103"/>
      <c r="WXW48" s="103"/>
      <c r="WXX48" s="103"/>
      <c r="WXY48" s="103"/>
      <c r="WXZ48" s="103"/>
      <c r="WYA48" s="103"/>
      <c r="WYB48" s="103"/>
      <c r="WYC48" s="103"/>
      <c r="WYD48" s="103"/>
      <c r="WYE48" s="103"/>
      <c r="WYF48" s="103"/>
      <c r="WYG48" s="103"/>
      <c r="WYH48" s="103"/>
      <c r="WYI48" s="103"/>
      <c r="WYJ48" s="103"/>
      <c r="WYK48" s="103"/>
      <c r="WYL48" s="103"/>
      <c r="WYM48" s="103"/>
      <c r="WYN48" s="103"/>
      <c r="WYO48" s="103"/>
      <c r="WYP48" s="103"/>
      <c r="WYQ48" s="103"/>
      <c r="WYR48" s="103"/>
      <c r="WYS48" s="103"/>
      <c r="WYT48" s="103"/>
      <c r="WYU48" s="103"/>
      <c r="WYV48" s="103"/>
      <c r="WYW48" s="103"/>
      <c r="WYX48" s="103"/>
      <c r="WYY48" s="103"/>
      <c r="WYZ48" s="103"/>
      <c r="WZA48" s="103"/>
      <c r="WZB48" s="103"/>
      <c r="WZC48" s="103"/>
      <c r="WZD48" s="103"/>
      <c r="WZE48" s="103"/>
      <c r="WZF48" s="103"/>
      <c r="WZG48" s="103"/>
      <c r="WZH48" s="103"/>
      <c r="WZI48" s="103"/>
      <c r="WZJ48" s="103"/>
      <c r="WZK48" s="103"/>
      <c r="WZL48" s="103"/>
      <c r="WZM48" s="103"/>
      <c r="WZN48" s="103"/>
      <c r="WZO48" s="103"/>
      <c r="WZP48" s="103"/>
      <c r="WZQ48" s="103"/>
      <c r="WZR48" s="103"/>
      <c r="WZS48" s="103"/>
      <c r="WZT48" s="103"/>
      <c r="WZU48" s="103"/>
      <c r="WZV48" s="103"/>
      <c r="WZW48" s="103"/>
      <c r="WZX48" s="103"/>
      <c r="WZY48" s="103"/>
      <c r="WZZ48" s="103"/>
      <c r="XAA48" s="103"/>
      <c r="XAB48" s="103"/>
      <c r="XAC48" s="103"/>
      <c r="XAD48" s="103"/>
      <c r="XAE48" s="103"/>
      <c r="XAF48" s="103"/>
      <c r="XAG48" s="103"/>
      <c r="XAH48" s="103"/>
      <c r="XAI48" s="103"/>
      <c r="XAJ48" s="103"/>
      <c r="XAK48" s="103"/>
      <c r="XAL48" s="103"/>
      <c r="XAM48" s="103"/>
      <c r="XAN48" s="103"/>
      <c r="XAO48" s="103"/>
      <c r="XAP48" s="103"/>
      <c r="XAQ48" s="103"/>
      <c r="XAR48" s="103"/>
      <c r="XAS48" s="103"/>
      <c r="XAT48" s="103"/>
      <c r="XAU48" s="103"/>
      <c r="XAV48" s="103"/>
      <c r="XAW48" s="103"/>
      <c r="XAX48" s="103"/>
      <c r="XAY48" s="103"/>
      <c r="XAZ48" s="103"/>
      <c r="XBA48" s="103"/>
      <c r="XBB48" s="103"/>
      <c r="XBC48" s="103"/>
      <c r="XBD48" s="103"/>
      <c r="XBE48" s="103"/>
      <c r="XBF48" s="103"/>
      <c r="XBG48" s="103"/>
      <c r="XBH48" s="103"/>
      <c r="XBI48" s="103"/>
      <c r="XBJ48" s="103"/>
      <c r="XBK48" s="103"/>
      <c r="XBL48" s="103"/>
      <c r="XBM48" s="103"/>
      <c r="XBN48" s="103"/>
      <c r="XBO48" s="103"/>
      <c r="XBP48" s="103"/>
      <c r="XBQ48" s="103"/>
      <c r="XBR48" s="103"/>
      <c r="XBS48" s="103"/>
      <c r="XBT48" s="103"/>
      <c r="XBU48" s="103"/>
      <c r="XBV48" s="103"/>
      <c r="XBW48" s="103"/>
      <c r="XBX48" s="103"/>
      <c r="XBY48" s="103"/>
      <c r="XBZ48" s="103"/>
      <c r="XCA48" s="103"/>
      <c r="XCB48" s="103"/>
      <c r="XCC48" s="103"/>
      <c r="XCD48" s="103"/>
      <c r="XCE48" s="103"/>
      <c r="XCF48" s="103"/>
      <c r="XCG48" s="103"/>
      <c r="XCH48" s="103"/>
      <c r="XCI48" s="103"/>
      <c r="XCJ48" s="103"/>
      <c r="XCK48" s="103"/>
      <c r="XCL48" s="103"/>
      <c r="XCM48" s="103"/>
      <c r="XCN48" s="103"/>
      <c r="XCO48" s="103"/>
      <c r="XCP48" s="103"/>
      <c r="XCQ48" s="103"/>
      <c r="XCR48" s="103"/>
      <c r="XCS48" s="103"/>
      <c r="XCT48" s="103"/>
      <c r="XCU48" s="103"/>
      <c r="XCV48" s="103"/>
      <c r="XCW48" s="103"/>
      <c r="XCX48" s="103"/>
      <c r="XCY48" s="103"/>
      <c r="XCZ48" s="103"/>
      <c r="XDA48" s="103"/>
      <c r="XDB48" s="103"/>
      <c r="XDC48" s="103"/>
      <c r="XDD48" s="103"/>
      <c r="XDE48" s="103"/>
      <c r="XDF48" s="103"/>
      <c r="XDG48" s="103"/>
      <c r="XDH48" s="103"/>
      <c r="XDI48" s="103"/>
      <c r="XDJ48" s="103"/>
      <c r="XDK48" s="103"/>
      <c r="XDL48" s="103"/>
      <c r="XDM48" s="103"/>
      <c r="XDN48" s="103"/>
      <c r="XDO48" s="103"/>
      <c r="XDP48" s="103"/>
      <c r="XDQ48" s="103"/>
      <c r="XDR48" s="103"/>
      <c r="XDS48" s="103"/>
      <c r="XDT48" s="103"/>
      <c r="XDU48" s="103"/>
      <c r="XDV48" s="103"/>
      <c r="XDW48" s="103"/>
      <c r="XDX48" s="103"/>
      <c r="XDY48" s="103"/>
      <c r="XDZ48" s="103"/>
      <c r="XEA48" s="103"/>
      <c r="XEB48" s="103"/>
      <c r="XEC48" s="103"/>
      <c r="XED48" s="103"/>
      <c r="XEE48" s="103"/>
      <c r="XEF48" s="103"/>
      <c r="XEG48" s="103"/>
      <c r="XEH48" s="103"/>
      <c r="XEI48" s="103"/>
      <c r="XEJ48" s="103"/>
      <c r="XEK48" s="103"/>
      <c r="XEL48" s="103"/>
      <c r="XEM48" s="103"/>
      <c r="XEN48" s="103"/>
      <c r="XEO48" s="103"/>
      <c r="XEP48" s="103"/>
      <c r="XEQ48" s="103"/>
      <c r="XER48" s="103"/>
      <c r="XES48" s="103"/>
      <c r="XET48" s="103"/>
      <c r="XEU48" s="103"/>
      <c r="XEV48" s="103"/>
      <c r="XEW48" s="103"/>
      <c r="XEX48" s="103"/>
    </row>
    <row r="49" spans="1:24" s="103" customFormat="1" ht="10.5" customHeight="1" x14ac:dyDescent="0.25">
      <c r="A49" s="25">
        <v>8140</v>
      </c>
      <c r="B49" s="106" t="s">
        <v>418</v>
      </c>
      <c r="C49" s="13" t="s">
        <v>3057</v>
      </c>
      <c r="D49" s="55">
        <v>45474</v>
      </c>
      <c r="E49" s="55">
        <v>46203</v>
      </c>
      <c r="F49" s="26" t="s">
        <v>2887</v>
      </c>
      <c r="G49" s="160" t="s">
        <v>120</v>
      </c>
      <c r="H49" s="26"/>
      <c r="I49" s="26"/>
      <c r="J49" s="26"/>
      <c r="K49" s="26"/>
      <c r="L49" s="26" t="s">
        <v>3058</v>
      </c>
      <c r="M49" s="26"/>
      <c r="N49" s="102">
        <v>45499</v>
      </c>
      <c r="O49" s="85" t="s">
        <v>3059</v>
      </c>
      <c r="P49" s="55">
        <v>46203</v>
      </c>
      <c r="Q49" s="26" t="s">
        <v>83</v>
      </c>
      <c r="R49" s="16" t="s">
        <v>84</v>
      </c>
      <c r="S49" s="30">
        <v>15609399</v>
      </c>
      <c r="T49" s="30">
        <v>0</v>
      </c>
      <c r="U49" s="30">
        <v>0</v>
      </c>
      <c r="V49" s="30">
        <v>2901922</v>
      </c>
      <c r="W49" s="30">
        <v>0</v>
      </c>
      <c r="X49" s="77" t="s">
        <v>125</v>
      </c>
    </row>
    <row r="50" spans="1:24" s="103" customFormat="1" ht="12" customHeight="1" x14ac:dyDescent="0.25">
      <c r="A50" s="25">
        <v>8140</v>
      </c>
      <c r="B50" s="106" t="s">
        <v>1495</v>
      </c>
      <c r="C50" s="13" t="s">
        <v>3060</v>
      </c>
      <c r="D50" s="55">
        <v>45444</v>
      </c>
      <c r="E50" s="55">
        <v>46538</v>
      </c>
      <c r="F50" s="26" t="s">
        <v>2887</v>
      </c>
      <c r="G50" s="160" t="s">
        <v>1013</v>
      </c>
      <c r="H50" s="26"/>
      <c r="I50" s="26"/>
      <c r="J50" s="26"/>
      <c r="K50" s="26"/>
      <c r="L50" s="26" t="s">
        <v>3061</v>
      </c>
      <c r="M50" s="26"/>
      <c r="N50" s="102">
        <v>45499</v>
      </c>
      <c r="O50" s="85" t="s">
        <v>3062</v>
      </c>
      <c r="P50" s="55">
        <v>46538</v>
      </c>
      <c r="Q50" s="26" t="s">
        <v>83</v>
      </c>
      <c r="R50" s="16" t="s">
        <v>84</v>
      </c>
      <c r="S50" s="30">
        <v>11915007</v>
      </c>
      <c r="T50" s="30">
        <v>0</v>
      </c>
      <c r="U50" s="30">
        <v>0</v>
      </c>
      <c r="V50" s="30">
        <v>2154037</v>
      </c>
      <c r="W50" s="30">
        <v>0</v>
      </c>
      <c r="X50" s="77" t="s">
        <v>125</v>
      </c>
    </row>
    <row r="51" spans="1:24" s="103" customFormat="1" ht="9.75" customHeight="1" x14ac:dyDescent="0.25">
      <c r="A51" s="25">
        <v>8140</v>
      </c>
      <c r="B51" s="106" t="s">
        <v>1500</v>
      </c>
      <c r="C51" s="13" t="s">
        <v>3063</v>
      </c>
      <c r="D51" s="55">
        <v>45505</v>
      </c>
      <c r="E51" s="55">
        <v>46599</v>
      </c>
      <c r="F51" s="26" t="s">
        <v>2887</v>
      </c>
      <c r="G51" s="160" t="s">
        <v>136</v>
      </c>
      <c r="H51" s="26"/>
      <c r="I51" s="26"/>
      <c r="J51" s="26"/>
      <c r="K51" s="26"/>
      <c r="L51" s="26" t="s">
        <v>3064</v>
      </c>
      <c r="M51" s="26"/>
      <c r="N51" s="102">
        <v>45499</v>
      </c>
      <c r="O51" s="106" t="s">
        <v>3065</v>
      </c>
      <c r="P51" s="55">
        <v>46599</v>
      </c>
      <c r="Q51" s="26" t="s">
        <v>83</v>
      </c>
      <c r="R51" s="26" t="s">
        <v>84</v>
      </c>
      <c r="S51" s="30">
        <v>12101549</v>
      </c>
      <c r="T51" s="30">
        <v>0</v>
      </c>
      <c r="U51" s="30">
        <v>0</v>
      </c>
      <c r="V51" s="30">
        <v>0</v>
      </c>
      <c r="W51" s="30">
        <v>0</v>
      </c>
      <c r="X51" s="77" t="s">
        <v>125</v>
      </c>
    </row>
    <row r="52" spans="1:24" s="103" customFormat="1" ht="9.75" customHeight="1" x14ac:dyDescent="0.25">
      <c r="A52" s="25">
        <v>8140</v>
      </c>
      <c r="B52" s="106" t="s">
        <v>424</v>
      </c>
      <c r="C52" s="13" t="s">
        <v>3066</v>
      </c>
      <c r="D52" s="55">
        <v>45366</v>
      </c>
      <c r="E52" s="55">
        <v>46460</v>
      </c>
      <c r="F52" s="26" t="s">
        <v>2887</v>
      </c>
      <c r="G52" s="160" t="s">
        <v>1024</v>
      </c>
      <c r="H52" s="26"/>
      <c r="I52" s="26"/>
      <c r="J52" s="26"/>
      <c r="K52" s="26"/>
      <c r="L52" s="26" t="s">
        <v>3067</v>
      </c>
      <c r="M52" s="26"/>
      <c r="N52" s="102">
        <v>45548</v>
      </c>
      <c r="O52" s="85" t="s">
        <v>3068</v>
      </c>
      <c r="P52" s="55">
        <v>2958173</v>
      </c>
      <c r="Q52" s="26" t="s">
        <v>83</v>
      </c>
      <c r="R52" s="26" t="s">
        <v>84</v>
      </c>
      <c r="S52" s="30">
        <v>9822773</v>
      </c>
      <c r="T52" s="30">
        <v>0</v>
      </c>
      <c r="U52" s="30">
        <v>0</v>
      </c>
      <c r="V52" s="30">
        <v>3424824</v>
      </c>
      <c r="W52" s="30">
        <v>0</v>
      </c>
      <c r="X52" s="77" t="s">
        <v>85</v>
      </c>
    </row>
    <row r="53" spans="1:24" s="103" customFormat="1" ht="9.75" customHeight="1" x14ac:dyDescent="0.25">
      <c r="A53" s="25">
        <v>8140</v>
      </c>
      <c r="B53" s="106" t="s">
        <v>430</v>
      </c>
      <c r="C53" s="13" t="s">
        <v>3069</v>
      </c>
      <c r="D53" s="55">
        <v>45458</v>
      </c>
      <c r="E53" s="55">
        <v>46552</v>
      </c>
      <c r="F53" s="26" t="s">
        <v>2887</v>
      </c>
      <c r="G53" s="160" t="s">
        <v>1030</v>
      </c>
      <c r="H53" s="26"/>
      <c r="I53" s="26"/>
      <c r="J53" s="26"/>
      <c r="K53" s="26"/>
      <c r="L53" s="26" t="s">
        <v>3070</v>
      </c>
      <c r="M53" s="26"/>
      <c r="N53" s="102">
        <v>45548</v>
      </c>
      <c r="O53" s="85" t="s">
        <v>3071</v>
      </c>
      <c r="P53" s="55">
        <v>46552</v>
      </c>
      <c r="Q53" s="26" t="s">
        <v>83</v>
      </c>
      <c r="R53" s="26" t="s">
        <v>84</v>
      </c>
      <c r="S53" s="30">
        <v>15417760</v>
      </c>
      <c r="T53" s="30">
        <v>0</v>
      </c>
      <c r="U53" s="30">
        <v>0</v>
      </c>
      <c r="V53" s="30">
        <v>2243950</v>
      </c>
      <c r="W53" s="30">
        <v>0</v>
      </c>
      <c r="X53" s="77" t="s">
        <v>125</v>
      </c>
    </row>
    <row r="54" spans="1:24" s="103" customFormat="1" ht="9.75" customHeight="1" x14ac:dyDescent="0.25">
      <c r="A54" s="25">
        <v>8140</v>
      </c>
      <c r="B54" s="106" t="s">
        <v>1508</v>
      </c>
      <c r="C54" s="13" t="s">
        <v>3072</v>
      </c>
      <c r="D54" s="55">
        <v>45552</v>
      </c>
      <c r="E54" s="55">
        <v>46646</v>
      </c>
      <c r="F54" s="26" t="s">
        <v>2887</v>
      </c>
      <c r="G54" s="160" t="s">
        <v>2507</v>
      </c>
      <c r="H54" s="26"/>
      <c r="I54" s="26"/>
      <c r="J54" s="26"/>
      <c r="K54" s="26"/>
      <c r="L54" s="132" t="s">
        <v>3073</v>
      </c>
      <c r="M54" s="26"/>
      <c r="N54" s="102">
        <v>45588</v>
      </c>
      <c r="O54" s="106" t="s">
        <v>3074</v>
      </c>
      <c r="P54" s="55">
        <v>46646</v>
      </c>
      <c r="Q54" s="26" t="s">
        <v>83</v>
      </c>
      <c r="R54" s="26" t="s">
        <v>84</v>
      </c>
      <c r="S54" s="30">
        <v>16369289</v>
      </c>
      <c r="T54" s="30">
        <v>0</v>
      </c>
      <c r="U54" s="30">
        <v>0</v>
      </c>
      <c r="V54" s="30">
        <v>2170604</v>
      </c>
      <c r="W54" s="30">
        <v>0</v>
      </c>
      <c r="X54" s="77" t="s">
        <v>85</v>
      </c>
    </row>
    <row r="55" spans="1:24" s="103" customFormat="1" ht="9.75" customHeight="1" x14ac:dyDescent="0.25">
      <c r="A55" s="25">
        <v>8140</v>
      </c>
      <c r="B55" s="126" t="s">
        <v>1514</v>
      </c>
      <c r="C55" s="13" t="s">
        <v>3075</v>
      </c>
      <c r="D55" s="55">
        <v>45600</v>
      </c>
      <c r="E55" s="55">
        <v>48368</v>
      </c>
      <c r="F55" s="26" t="s">
        <v>2887</v>
      </c>
      <c r="G55" s="160" t="s">
        <v>1035</v>
      </c>
      <c r="H55" s="26"/>
      <c r="I55" s="26"/>
      <c r="J55" s="26"/>
      <c r="K55" s="26"/>
      <c r="L55" s="132" t="s">
        <v>3076</v>
      </c>
      <c r="M55" s="26"/>
      <c r="N55" s="102">
        <v>45614</v>
      </c>
      <c r="O55" s="106" t="s">
        <v>3077</v>
      </c>
      <c r="P55" s="55">
        <v>45699</v>
      </c>
      <c r="Q55" s="149" t="s">
        <v>2681</v>
      </c>
      <c r="R55" s="26" t="s">
        <v>84</v>
      </c>
      <c r="S55" s="30">
        <v>150325841</v>
      </c>
      <c r="T55" s="30">
        <v>0</v>
      </c>
      <c r="U55" s="30">
        <v>0</v>
      </c>
      <c r="V55" s="30">
        <v>0</v>
      </c>
      <c r="W55" s="30">
        <v>0</v>
      </c>
      <c r="X55" s="77" t="s">
        <v>85</v>
      </c>
    </row>
    <row r="56" spans="1:24" s="103" customFormat="1" ht="9.75" customHeight="1" x14ac:dyDescent="0.25">
      <c r="A56" s="25">
        <v>8140</v>
      </c>
      <c r="B56" s="126" t="s">
        <v>436</v>
      </c>
      <c r="C56" s="13" t="s">
        <v>3078</v>
      </c>
      <c r="D56" s="55">
        <v>45582</v>
      </c>
      <c r="E56" s="55">
        <v>46676</v>
      </c>
      <c r="F56" s="26" t="s">
        <v>2887</v>
      </c>
      <c r="G56" s="160" t="s">
        <v>1041</v>
      </c>
      <c r="H56" s="26"/>
      <c r="I56" s="26"/>
      <c r="J56" s="26"/>
      <c r="K56" s="26"/>
      <c r="L56" s="132" t="s">
        <v>796</v>
      </c>
      <c r="M56" s="26"/>
      <c r="N56" s="102">
        <v>45614</v>
      </c>
      <c r="O56" s="106" t="s">
        <v>3079</v>
      </c>
      <c r="P56" s="55">
        <v>46676</v>
      </c>
      <c r="Q56" s="26" t="s">
        <v>83</v>
      </c>
      <c r="R56" s="26" t="s">
        <v>84</v>
      </c>
      <c r="S56" s="30">
        <v>12269945</v>
      </c>
      <c r="T56" s="30">
        <v>0</v>
      </c>
      <c r="U56" s="30">
        <v>0</v>
      </c>
      <c r="V56" s="30">
        <v>1631716</v>
      </c>
      <c r="W56" s="30">
        <v>0</v>
      </c>
      <c r="X56" s="77" t="s">
        <v>85</v>
      </c>
    </row>
    <row r="57" spans="1:24" s="103" customFormat="1" ht="9.75" customHeight="1" x14ac:dyDescent="0.25">
      <c r="A57" s="25">
        <v>8140</v>
      </c>
      <c r="B57" s="126" t="s">
        <v>1520</v>
      </c>
      <c r="C57" s="13" t="s">
        <v>3080</v>
      </c>
      <c r="D57" s="55">
        <v>45566</v>
      </c>
      <c r="E57" s="55">
        <v>46295</v>
      </c>
      <c r="F57" s="26" t="s">
        <v>2887</v>
      </c>
      <c r="G57" s="160" t="s">
        <v>1047</v>
      </c>
      <c r="H57" s="26"/>
      <c r="I57" s="26"/>
      <c r="J57" s="26"/>
      <c r="K57" s="26"/>
      <c r="L57" s="132" t="s">
        <v>3081</v>
      </c>
      <c r="M57" s="26"/>
      <c r="N57" s="102">
        <v>45614</v>
      </c>
      <c r="O57" s="106" t="s">
        <v>3082</v>
      </c>
      <c r="P57" s="55">
        <v>46295</v>
      </c>
      <c r="Q57" s="26" t="s">
        <v>83</v>
      </c>
      <c r="R57" s="26" t="s">
        <v>84</v>
      </c>
      <c r="S57" s="30">
        <v>13676000</v>
      </c>
      <c r="T57" s="30">
        <v>0</v>
      </c>
      <c r="U57" s="30">
        <v>0</v>
      </c>
      <c r="V57" s="30">
        <v>0</v>
      </c>
      <c r="W57" s="30">
        <v>0</v>
      </c>
      <c r="X57" s="77" t="s">
        <v>85</v>
      </c>
    </row>
    <row r="58" spans="1:24" x14ac:dyDescent="0.25">
      <c r="A58" s="25">
        <v>8140</v>
      </c>
      <c r="B58" s="25" t="s">
        <v>1525</v>
      </c>
      <c r="C58" s="13" t="s">
        <v>3083</v>
      </c>
      <c r="D58" s="55">
        <v>45567</v>
      </c>
      <c r="E58" s="55">
        <v>46298</v>
      </c>
      <c r="F58" s="25" t="s">
        <v>2887</v>
      </c>
      <c r="G58" s="160" t="s">
        <v>1053</v>
      </c>
      <c r="L58" s="25" t="s">
        <v>3084</v>
      </c>
      <c r="N58" s="102">
        <v>45642</v>
      </c>
      <c r="O58" s="151" t="s">
        <v>3085</v>
      </c>
      <c r="P58" s="55">
        <v>46298</v>
      </c>
      <c r="Q58" s="16" t="s">
        <v>83</v>
      </c>
      <c r="R58" s="26" t="s">
        <v>84</v>
      </c>
      <c r="S58" s="30">
        <v>9878280</v>
      </c>
      <c r="T58" s="30">
        <v>0</v>
      </c>
      <c r="U58" s="30">
        <v>0</v>
      </c>
      <c r="V58" s="30">
        <v>1627600</v>
      </c>
      <c r="W58" s="30">
        <v>0</v>
      </c>
    </row>
    <row r="59" spans="1:24" x14ac:dyDescent="0.25">
      <c r="A59" s="25">
        <v>8140</v>
      </c>
      <c r="B59" s="25" t="s">
        <v>1530</v>
      </c>
      <c r="C59" s="13" t="s">
        <v>3086</v>
      </c>
      <c r="D59" s="55">
        <v>45627</v>
      </c>
      <c r="E59" s="55">
        <v>46720</v>
      </c>
      <c r="F59" s="25" t="s">
        <v>2887</v>
      </c>
      <c r="G59" s="160" t="s">
        <v>1060</v>
      </c>
      <c r="L59" s="25" t="s">
        <v>3087</v>
      </c>
      <c r="N59" s="102">
        <v>45742</v>
      </c>
      <c r="O59" s="151" t="s">
        <v>3088</v>
      </c>
      <c r="P59" s="55">
        <v>46720</v>
      </c>
      <c r="Q59" s="16" t="s">
        <v>83</v>
      </c>
      <c r="R59" s="26" t="s">
        <v>84</v>
      </c>
      <c r="S59" s="30">
        <v>11540440</v>
      </c>
      <c r="T59" s="30">
        <v>0</v>
      </c>
      <c r="U59" s="30">
        <v>0</v>
      </c>
      <c r="V59" s="30">
        <v>2032239</v>
      </c>
      <c r="W59" s="30">
        <v>0</v>
      </c>
    </row>
    <row r="60" spans="1:24" x14ac:dyDescent="0.25">
      <c r="A60" s="25">
        <v>8140</v>
      </c>
      <c r="B60" s="25" t="s">
        <v>442</v>
      </c>
      <c r="C60" s="13" t="s">
        <v>3089</v>
      </c>
      <c r="D60" s="55">
        <v>45383</v>
      </c>
      <c r="E60" s="55">
        <v>46843</v>
      </c>
      <c r="F60" s="25" t="s">
        <v>2887</v>
      </c>
      <c r="G60" s="160" t="s">
        <v>1875</v>
      </c>
      <c r="L60" s="25" t="s">
        <v>3090</v>
      </c>
      <c r="N60" s="102">
        <v>45831</v>
      </c>
      <c r="O60" s="151" t="s">
        <v>3091</v>
      </c>
      <c r="P60" s="55">
        <v>46843</v>
      </c>
      <c r="Q60" s="16" t="s">
        <v>83</v>
      </c>
      <c r="R60" s="26" t="s">
        <v>84</v>
      </c>
      <c r="S60" s="30">
        <v>18492205</v>
      </c>
      <c r="T60" s="30">
        <v>0</v>
      </c>
      <c r="U60" s="30">
        <v>0</v>
      </c>
      <c r="V60" s="30">
        <v>0</v>
      </c>
      <c r="W60" s="30">
        <v>0</v>
      </c>
    </row>
    <row r="61" spans="1:24" x14ac:dyDescent="0.25">
      <c r="A61" s="25">
        <v>8140</v>
      </c>
      <c r="B61" s="25" t="s">
        <v>448</v>
      </c>
      <c r="C61" s="13" t="s">
        <v>3092</v>
      </c>
      <c r="D61" s="55">
        <v>45870</v>
      </c>
      <c r="E61" s="55">
        <v>46965</v>
      </c>
      <c r="F61" s="25" t="s">
        <v>2887</v>
      </c>
      <c r="G61" s="160" t="s">
        <v>143</v>
      </c>
      <c r="L61" s="25" t="s">
        <v>3093</v>
      </c>
      <c r="N61" s="102">
        <v>45896</v>
      </c>
      <c r="O61" s="71">
        <v>9102</v>
      </c>
      <c r="P61" s="55">
        <v>46965</v>
      </c>
      <c r="Q61" s="16" t="s">
        <v>83</v>
      </c>
      <c r="R61" s="26" t="s">
        <v>84</v>
      </c>
      <c r="S61" s="30">
        <v>93440962</v>
      </c>
      <c r="T61" s="30">
        <v>0</v>
      </c>
      <c r="U61" s="30">
        <v>0</v>
      </c>
      <c r="V61" s="30">
        <v>0</v>
      </c>
      <c r="W61" s="30">
        <v>0</v>
      </c>
    </row>
    <row r="62" spans="1:24" x14ac:dyDescent="0.25">
      <c r="A62" s="25">
        <v>8140</v>
      </c>
      <c r="B62" s="25" t="s">
        <v>1536</v>
      </c>
      <c r="C62" s="13" t="s">
        <v>3094</v>
      </c>
      <c r="D62" s="55">
        <v>45786</v>
      </c>
      <c r="E62" s="55">
        <v>47611</v>
      </c>
      <c r="F62" s="25" t="s">
        <v>2887</v>
      </c>
      <c r="G62" s="160" t="s">
        <v>1072</v>
      </c>
      <c r="L62" s="25" t="s">
        <v>3095</v>
      </c>
      <c r="N62" s="102">
        <v>45958</v>
      </c>
      <c r="O62" s="71" t="s">
        <v>3096</v>
      </c>
      <c r="P62" s="55">
        <v>47611</v>
      </c>
      <c r="Q62" s="16" t="s">
        <v>83</v>
      </c>
      <c r="R62" s="26" t="s">
        <v>84</v>
      </c>
      <c r="S62" s="30">
        <v>16500000</v>
      </c>
      <c r="T62" s="30">
        <v>0</v>
      </c>
      <c r="U62" s="30">
        <v>0</v>
      </c>
      <c r="V62" s="30">
        <v>0</v>
      </c>
      <c r="W62" s="30">
        <v>0</v>
      </c>
    </row>
    <row r="63" spans="1:24" x14ac:dyDescent="0.25">
      <c r="A63" s="25">
        <v>8140</v>
      </c>
      <c r="B63" s="129" t="s">
        <v>1542</v>
      </c>
      <c r="C63" s="13" t="s">
        <v>3247</v>
      </c>
      <c r="D63" s="55">
        <v>45839</v>
      </c>
      <c r="E63" s="55">
        <v>46934</v>
      </c>
      <c r="F63" s="25" t="s">
        <v>2887</v>
      </c>
      <c r="G63" s="160" t="s">
        <v>1079</v>
      </c>
      <c r="L63" s="25" t="s">
        <v>3544</v>
      </c>
      <c r="N63" s="102">
        <v>45979</v>
      </c>
      <c r="O63" s="157" t="s">
        <v>3249</v>
      </c>
      <c r="P63" s="55">
        <v>46934</v>
      </c>
      <c r="Q63" s="16" t="s">
        <v>83</v>
      </c>
      <c r="R63" s="26" t="s">
        <v>84</v>
      </c>
      <c r="S63" s="30">
        <v>16409358</v>
      </c>
      <c r="T63" s="30">
        <v>0</v>
      </c>
      <c r="U63" s="30">
        <v>1545851</v>
      </c>
      <c r="V63" s="30">
        <v>3143588</v>
      </c>
      <c r="W63" s="30"/>
    </row>
    <row r="64" spans="1:24" x14ac:dyDescent="0.25">
      <c r="A64" s="25">
        <v>8140</v>
      </c>
      <c r="B64" s="129" t="s">
        <v>1548</v>
      </c>
      <c r="C64" s="13" t="s">
        <v>3331</v>
      </c>
      <c r="D64" s="55"/>
      <c r="E64" s="55">
        <v>46822</v>
      </c>
      <c r="F64" s="25" t="s">
        <v>2887</v>
      </c>
      <c r="G64" s="160" t="s">
        <v>150</v>
      </c>
      <c r="L64" s="25" t="s">
        <v>3558</v>
      </c>
      <c r="N64" s="102"/>
      <c r="O64" s="159" t="s">
        <v>3334</v>
      </c>
      <c r="P64" s="55">
        <v>46822</v>
      </c>
      <c r="Q64" s="16" t="s">
        <v>83</v>
      </c>
      <c r="R64" s="26" t="s">
        <v>84</v>
      </c>
      <c r="S64" s="30">
        <v>11916303</v>
      </c>
      <c r="T64" s="30">
        <v>0</v>
      </c>
      <c r="U64" s="30"/>
      <c r="V64" s="30"/>
      <c r="W64" s="30"/>
    </row>
    <row r="65" spans="1:26" x14ac:dyDescent="0.25">
      <c r="D65" s="55"/>
      <c r="E65" s="55"/>
      <c r="T65" s="137"/>
    </row>
    <row r="66" spans="1:26" x14ac:dyDescent="0.25">
      <c r="A66" s="26" t="s">
        <v>2885</v>
      </c>
      <c r="B66" s="106" t="s">
        <v>924</v>
      </c>
      <c r="C66" s="11" t="s">
        <v>3097</v>
      </c>
      <c r="D66" s="55">
        <v>44652</v>
      </c>
      <c r="E66" s="55">
        <v>45747</v>
      </c>
      <c r="F66" s="26" t="s">
        <v>2887</v>
      </c>
      <c r="G66" s="162" t="s">
        <v>981</v>
      </c>
      <c r="H66" s="11" t="s">
        <v>111</v>
      </c>
      <c r="I66" s="11"/>
      <c r="J66" s="11" t="s">
        <v>909</v>
      </c>
      <c r="K66" s="26" t="s">
        <v>3032</v>
      </c>
      <c r="L66" s="26" t="s">
        <v>910</v>
      </c>
      <c r="M66" s="11" t="s">
        <v>174</v>
      </c>
      <c r="N66" s="55">
        <v>44768</v>
      </c>
      <c r="O66" s="86" t="s">
        <v>3098</v>
      </c>
      <c r="P66" s="55" t="s">
        <v>82</v>
      </c>
      <c r="Q66" s="55" t="s">
        <v>911</v>
      </c>
      <c r="R66" s="17" t="s">
        <v>912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14"/>
    </row>
    <row r="67" spans="1:26" x14ac:dyDescent="0.25">
      <c r="A67" s="26" t="s">
        <v>2885</v>
      </c>
      <c r="B67" s="106" t="s">
        <v>906</v>
      </c>
      <c r="C67" s="11" t="s">
        <v>3099</v>
      </c>
      <c r="D67" s="55">
        <v>43556</v>
      </c>
      <c r="E67" s="55">
        <v>44647</v>
      </c>
      <c r="F67" s="26" t="s">
        <v>2887</v>
      </c>
      <c r="G67" s="162" t="s">
        <v>2882</v>
      </c>
      <c r="H67" s="11" t="s">
        <v>111</v>
      </c>
      <c r="I67" s="11"/>
      <c r="J67" s="11" t="s">
        <v>909</v>
      </c>
      <c r="K67" s="26" t="s">
        <v>469</v>
      </c>
      <c r="L67" s="26" t="s">
        <v>910</v>
      </c>
      <c r="M67" s="11" t="s">
        <v>3100</v>
      </c>
      <c r="N67" s="55">
        <v>43563</v>
      </c>
      <c r="O67" s="85" t="s">
        <v>3101</v>
      </c>
      <c r="P67" s="55" t="s">
        <v>82</v>
      </c>
      <c r="Q67" s="55" t="s">
        <v>911</v>
      </c>
      <c r="R67" s="17" t="s">
        <v>912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9" t="s">
        <v>913</v>
      </c>
    </row>
    <row r="68" spans="1:26" x14ac:dyDescent="0.25">
      <c r="A68" s="26" t="s">
        <v>2885</v>
      </c>
      <c r="B68" s="106" t="s">
        <v>2827</v>
      </c>
      <c r="C68" s="11" t="s">
        <v>3102</v>
      </c>
      <c r="D68" s="55">
        <v>43467</v>
      </c>
      <c r="E68" s="55">
        <v>44198</v>
      </c>
      <c r="F68" s="24" t="s">
        <v>962</v>
      </c>
      <c r="G68" s="162" t="s">
        <v>3103</v>
      </c>
      <c r="H68" s="11" t="s">
        <v>111</v>
      </c>
      <c r="I68" s="11"/>
      <c r="J68" s="11" t="s">
        <v>113</v>
      </c>
      <c r="K68" s="26" t="s">
        <v>469</v>
      </c>
      <c r="L68" s="26" t="s">
        <v>910</v>
      </c>
      <c r="M68" s="11" t="s">
        <v>481</v>
      </c>
      <c r="N68" s="55">
        <v>43587</v>
      </c>
      <c r="O68" s="85" t="s">
        <v>3077</v>
      </c>
      <c r="P68" s="55" t="s">
        <v>82</v>
      </c>
      <c r="Q68" s="55" t="s">
        <v>911</v>
      </c>
      <c r="R68" s="17" t="s">
        <v>912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9" t="s">
        <v>965</v>
      </c>
    </row>
    <row r="69" spans="1:26" x14ac:dyDescent="0.25">
      <c r="A69" s="26" t="s">
        <v>2885</v>
      </c>
      <c r="B69" s="106" t="s">
        <v>989</v>
      </c>
      <c r="C69" s="11" t="s">
        <v>3104</v>
      </c>
      <c r="D69" s="55">
        <v>42309</v>
      </c>
      <c r="E69" s="55">
        <v>45961</v>
      </c>
      <c r="F69" s="26" t="s">
        <v>2887</v>
      </c>
      <c r="G69" s="162" t="s">
        <v>3105</v>
      </c>
      <c r="H69" s="11" t="s">
        <v>111</v>
      </c>
      <c r="I69" s="11" t="s">
        <v>2698</v>
      </c>
      <c r="J69" s="11" t="s">
        <v>113</v>
      </c>
      <c r="K69" s="26" t="s">
        <v>114</v>
      </c>
      <c r="L69" s="26" t="s">
        <v>3106</v>
      </c>
      <c r="M69" s="11" t="s">
        <v>397</v>
      </c>
      <c r="N69" s="55">
        <v>44088</v>
      </c>
      <c r="O69" s="85" t="s">
        <v>3107</v>
      </c>
      <c r="P69" s="55">
        <v>45961</v>
      </c>
      <c r="Q69" s="16" t="s">
        <v>1011</v>
      </c>
      <c r="R69" s="17" t="s">
        <v>911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14"/>
    </row>
    <row r="70" spans="1:26" x14ac:dyDescent="0.25">
      <c r="A70" s="26" t="s">
        <v>2885</v>
      </c>
      <c r="B70" s="106" t="s">
        <v>1000</v>
      </c>
      <c r="C70" s="11" t="s">
        <v>3108</v>
      </c>
      <c r="D70" s="55">
        <v>41609</v>
      </c>
      <c r="E70" s="55">
        <v>45626</v>
      </c>
      <c r="F70" s="26" t="s">
        <v>2887</v>
      </c>
      <c r="G70" s="162" t="s">
        <v>3109</v>
      </c>
      <c r="H70" s="11" t="s">
        <v>111</v>
      </c>
      <c r="I70" s="11" t="s">
        <v>2457</v>
      </c>
      <c r="J70" s="11" t="s">
        <v>113</v>
      </c>
      <c r="K70" s="26" t="s">
        <v>114</v>
      </c>
      <c r="L70" s="26" t="s">
        <v>3110</v>
      </c>
      <c r="M70" s="11" t="s">
        <v>325</v>
      </c>
      <c r="N70" s="55">
        <v>44084</v>
      </c>
      <c r="O70" s="85" t="s">
        <v>3111</v>
      </c>
      <c r="P70" s="55">
        <v>45625</v>
      </c>
      <c r="Q70" s="16" t="s">
        <v>1011</v>
      </c>
      <c r="R70" s="17" t="s">
        <v>912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14"/>
    </row>
    <row r="71" spans="1:26" x14ac:dyDescent="0.25">
      <c r="A71" s="26" t="s">
        <v>2885</v>
      </c>
      <c r="B71" s="106" t="s">
        <v>1005</v>
      </c>
      <c r="C71" s="11" t="s">
        <v>3112</v>
      </c>
      <c r="D71" s="55">
        <v>42719</v>
      </c>
      <c r="E71" s="55">
        <v>44651</v>
      </c>
      <c r="F71" s="26" t="s">
        <v>2887</v>
      </c>
      <c r="G71" s="162" t="s">
        <v>3113</v>
      </c>
      <c r="H71" s="11" t="s">
        <v>111</v>
      </c>
      <c r="I71" s="11" t="s">
        <v>2461</v>
      </c>
      <c r="J71" s="11" t="s">
        <v>113</v>
      </c>
      <c r="K71" s="26" t="s">
        <v>114</v>
      </c>
      <c r="L71" s="26" t="s">
        <v>3114</v>
      </c>
      <c r="M71" s="11" t="s">
        <v>131</v>
      </c>
      <c r="N71" s="55">
        <v>44088</v>
      </c>
      <c r="O71" s="85" t="s">
        <v>3115</v>
      </c>
      <c r="P71" s="55">
        <v>44673</v>
      </c>
      <c r="Q71" s="55" t="s">
        <v>911</v>
      </c>
      <c r="R71" s="17" t="s">
        <v>912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9" t="s">
        <v>999</v>
      </c>
    </row>
    <row r="72" spans="1:26" x14ac:dyDescent="0.25">
      <c r="A72" s="26" t="s">
        <v>2885</v>
      </c>
      <c r="B72" s="106" t="s">
        <v>1017</v>
      </c>
      <c r="C72" s="11" t="s">
        <v>3116</v>
      </c>
      <c r="D72" s="55">
        <v>42785</v>
      </c>
      <c r="E72" s="55">
        <v>45672</v>
      </c>
      <c r="F72" s="26" t="s">
        <v>2887</v>
      </c>
      <c r="G72" s="162" t="s">
        <v>3117</v>
      </c>
      <c r="H72" s="11" t="s">
        <v>111</v>
      </c>
      <c r="I72" s="11" t="s">
        <v>2466</v>
      </c>
      <c r="J72" s="11" t="s">
        <v>113</v>
      </c>
      <c r="K72" s="26" t="s">
        <v>114</v>
      </c>
      <c r="L72" s="26" t="s">
        <v>3118</v>
      </c>
      <c r="M72" s="11" t="s">
        <v>352</v>
      </c>
      <c r="N72" s="55">
        <v>44088</v>
      </c>
      <c r="O72" s="85" t="s">
        <v>3119</v>
      </c>
      <c r="P72" s="55">
        <v>45672</v>
      </c>
      <c r="Q72" s="16" t="s">
        <v>1011</v>
      </c>
      <c r="R72" s="17" t="s">
        <v>912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14"/>
    </row>
    <row r="73" spans="1:26" x14ac:dyDescent="0.25">
      <c r="A73" s="26" t="s">
        <v>2885</v>
      </c>
      <c r="B73" s="106" t="s">
        <v>134</v>
      </c>
      <c r="C73" s="11" t="s">
        <v>3120</v>
      </c>
      <c r="D73" s="55">
        <v>41699</v>
      </c>
      <c r="E73" s="55">
        <v>43980</v>
      </c>
      <c r="F73" s="26" t="s">
        <v>2887</v>
      </c>
      <c r="G73" s="162" t="s">
        <v>2717</v>
      </c>
      <c r="H73" s="11" t="s">
        <v>111</v>
      </c>
      <c r="I73" s="11"/>
      <c r="J73" s="11" t="s">
        <v>113</v>
      </c>
      <c r="K73" s="26" t="s">
        <v>82</v>
      </c>
      <c r="L73" s="26" t="s">
        <v>3121</v>
      </c>
      <c r="M73" s="11" t="s">
        <v>131</v>
      </c>
      <c r="N73" s="55">
        <v>43509</v>
      </c>
      <c r="O73" s="85" t="s">
        <v>3122</v>
      </c>
      <c r="P73" s="55">
        <v>43980</v>
      </c>
      <c r="Q73" s="55" t="s">
        <v>911</v>
      </c>
      <c r="R73" s="17" t="s">
        <v>912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9" t="s">
        <v>999</v>
      </c>
    </row>
    <row r="74" spans="1:26" x14ac:dyDescent="0.25">
      <c r="A74" s="26" t="s">
        <v>2885</v>
      </c>
      <c r="B74" s="106" t="s">
        <v>1022</v>
      </c>
      <c r="C74" s="11" t="s">
        <v>3123</v>
      </c>
      <c r="D74" s="55">
        <v>42055</v>
      </c>
      <c r="E74" s="55">
        <v>44127</v>
      </c>
      <c r="F74" s="26" t="s">
        <v>2887</v>
      </c>
      <c r="G74" s="162" t="s">
        <v>3124</v>
      </c>
      <c r="H74" s="11" t="s">
        <v>111</v>
      </c>
      <c r="I74" s="11" t="s">
        <v>2469</v>
      </c>
      <c r="J74" s="11" t="s">
        <v>113</v>
      </c>
      <c r="K74" s="26" t="s">
        <v>82</v>
      </c>
      <c r="L74" s="26" t="s">
        <v>3125</v>
      </c>
      <c r="M74" s="11" t="s">
        <v>139</v>
      </c>
      <c r="N74" s="55">
        <v>44088</v>
      </c>
      <c r="O74" s="85" t="s">
        <v>3126</v>
      </c>
      <c r="P74" s="55">
        <v>44104</v>
      </c>
      <c r="Q74" s="55" t="s">
        <v>911</v>
      </c>
      <c r="R74" s="17" t="s">
        <v>912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9" t="s">
        <v>999</v>
      </c>
    </row>
    <row r="75" spans="1:26" x14ac:dyDescent="0.25">
      <c r="A75" s="26" t="s">
        <v>2885</v>
      </c>
      <c r="B75" s="106" t="s">
        <v>1028</v>
      </c>
      <c r="C75" s="11" t="s">
        <v>3127</v>
      </c>
      <c r="D75" s="55">
        <v>39234</v>
      </c>
      <c r="E75" s="55">
        <v>44144</v>
      </c>
      <c r="F75" s="26" t="s">
        <v>2887</v>
      </c>
      <c r="G75" s="162" t="s">
        <v>3128</v>
      </c>
      <c r="H75" s="11" t="s">
        <v>111</v>
      </c>
      <c r="I75" s="11" t="s">
        <v>2832</v>
      </c>
      <c r="J75" s="11" t="s">
        <v>113</v>
      </c>
      <c r="K75" s="26" t="s">
        <v>82</v>
      </c>
      <c r="L75" s="26" t="s">
        <v>3129</v>
      </c>
      <c r="M75" s="11" t="s">
        <v>3130</v>
      </c>
      <c r="N75" s="55">
        <v>44088</v>
      </c>
      <c r="O75" s="85" t="s">
        <v>3131</v>
      </c>
      <c r="P75" s="55">
        <v>44105</v>
      </c>
      <c r="Q75" s="55" t="s">
        <v>911</v>
      </c>
      <c r="R75" s="17" t="s">
        <v>912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9" t="s">
        <v>999</v>
      </c>
    </row>
    <row r="76" spans="1:26" x14ac:dyDescent="0.25">
      <c r="A76" s="26" t="s">
        <v>2885</v>
      </c>
      <c r="B76" s="106" t="s">
        <v>1051</v>
      </c>
      <c r="C76" s="11" t="s">
        <v>3132</v>
      </c>
      <c r="D76" s="55">
        <v>41864</v>
      </c>
      <c r="E76" s="55">
        <v>44880</v>
      </c>
      <c r="F76" s="26" t="s">
        <v>2887</v>
      </c>
      <c r="G76" s="162" t="s">
        <v>3133</v>
      </c>
      <c r="H76" s="11" t="s">
        <v>111</v>
      </c>
      <c r="I76" s="11" t="s">
        <v>2473</v>
      </c>
      <c r="J76" s="11" t="s">
        <v>113</v>
      </c>
      <c r="K76" s="26" t="s">
        <v>114</v>
      </c>
      <c r="L76" s="26" t="s">
        <v>3134</v>
      </c>
      <c r="M76" s="11" t="s">
        <v>1349</v>
      </c>
      <c r="N76" s="55">
        <v>44088</v>
      </c>
      <c r="O76" s="85" t="s">
        <v>3135</v>
      </c>
      <c r="P76" s="55">
        <v>44880</v>
      </c>
      <c r="Q76" s="55" t="s">
        <v>911</v>
      </c>
      <c r="R76" s="17" t="s">
        <v>912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9" t="s">
        <v>999</v>
      </c>
    </row>
    <row r="77" spans="1:26" x14ac:dyDescent="0.25">
      <c r="A77" s="26" t="s">
        <v>2885</v>
      </c>
      <c r="B77" s="106" t="s">
        <v>1058</v>
      </c>
      <c r="C77" s="11" t="s">
        <v>3136</v>
      </c>
      <c r="D77" s="55">
        <v>41699</v>
      </c>
      <c r="E77" s="55">
        <v>44804</v>
      </c>
      <c r="F77" s="26" t="s">
        <v>2887</v>
      </c>
      <c r="G77" s="162" t="s">
        <v>1960</v>
      </c>
      <c r="H77" s="11" t="s">
        <v>111</v>
      </c>
      <c r="I77" s="11" t="s">
        <v>2476</v>
      </c>
      <c r="J77" s="11" t="s">
        <v>113</v>
      </c>
      <c r="K77" s="26" t="s">
        <v>114</v>
      </c>
      <c r="L77" s="26" t="s">
        <v>3137</v>
      </c>
      <c r="M77" s="11" t="s">
        <v>131</v>
      </c>
      <c r="N77" s="55">
        <v>44088</v>
      </c>
      <c r="O77" s="85" t="s">
        <v>3138</v>
      </c>
      <c r="P77" s="55">
        <v>44804</v>
      </c>
      <c r="Q77" s="55" t="s">
        <v>911</v>
      </c>
      <c r="R77" s="17" t="s">
        <v>912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9" t="s">
        <v>999</v>
      </c>
    </row>
    <row r="78" spans="1:26" x14ac:dyDescent="0.25">
      <c r="A78" s="26" t="s">
        <v>2885</v>
      </c>
      <c r="B78" s="106" t="s">
        <v>1064</v>
      </c>
      <c r="C78" s="11" t="s">
        <v>3139</v>
      </c>
      <c r="D78" s="55">
        <v>40057</v>
      </c>
      <c r="E78" s="55">
        <v>45898</v>
      </c>
      <c r="F78" s="26" t="s">
        <v>2887</v>
      </c>
      <c r="G78" s="162" t="s">
        <v>1964</v>
      </c>
      <c r="H78" s="11" t="s">
        <v>111</v>
      </c>
      <c r="I78" s="11" t="s">
        <v>2880</v>
      </c>
      <c r="J78" s="11" t="s">
        <v>113</v>
      </c>
      <c r="K78" s="26" t="s">
        <v>114</v>
      </c>
      <c r="L78" s="26" t="s">
        <v>3140</v>
      </c>
      <c r="M78" s="11" t="s">
        <v>3141</v>
      </c>
      <c r="N78" s="55">
        <v>44088</v>
      </c>
      <c r="O78" s="85" t="s">
        <v>3142</v>
      </c>
      <c r="P78" s="55">
        <v>45898</v>
      </c>
      <c r="Q78" s="55" t="s">
        <v>1011</v>
      </c>
      <c r="R78" s="17" t="s">
        <v>911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87" t="s">
        <v>155</v>
      </c>
      <c r="Z78" s="109"/>
    </row>
    <row r="79" spans="1:26" x14ac:dyDescent="0.25">
      <c r="A79" s="26" t="s">
        <v>2885</v>
      </c>
      <c r="B79" s="106" t="s">
        <v>141</v>
      </c>
      <c r="C79" s="11" t="s">
        <v>3086</v>
      </c>
      <c r="D79" s="55">
        <v>42736</v>
      </c>
      <c r="E79" s="55">
        <v>45626</v>
      </c>
      <c r="F79" s="26" t="s">
        <v>2887</v>
      </c>
      <c r="G79" s="162" t="s">
        <v>1968</v>
      </c>
      <c r="H79" s="11" t="s">
        <v>111</v>
      </c>
      <c r="I79" s="11" t="s">
        <v>2844</v>
      </c>
      <c r="J79" s="11" t="s">
        <v>113</v>
      </c>
      <c r="K79" s="26" t="s">
        <v>114</v>
      </c>
      <c r="L79" s="26" t="s">
        <v>3143</v>
      </c>
      <c r="M79" s="11" t="s">
        <v>139</v>
      </c>
      <c r="N79" s="55">
        <v>44088</v>
      </c>
      <c r="O79" s="85" t="s">
        <v>3088</v>
      </c>
      <c r="P79" s="55">
        <v>45625</v>
      </c>
      <c r="Q79" s="16" t="s">
        <v>1011</v>
      </c>
      <c r="R79" s="17" t="s">
        <v>3144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14"/>
    </row>
    <row r="80" spans="1:26" x14ac:dyDescent="0.25">
      <c r="A80" s="26" t="s">
        <v>2885</v>
      </c>
      <c r="B80" s="106" t="s">
        <v>1077</v>
      </c>
      <c r="C80" s="11" t="s">
        <v>3145</v>
      </c>
      <c r="D80" s="55">
        <v>39539</v>
      </c>
      <c r="E80" s="55">
        <v>45213</v>
      </c>
      <c r="F80" s="26" t="s">
        <v>2887</v>
      </c>
      <c r="G80" s="162" t="s">
        <v>3146</v>
      </c>
      <c r="H80" s="11" t="s">
        <v>111</v>
      </c>
      <c r="I80" s="11" t="s">
        <v>3147</v>
      </c>
      <c r="J80" s="11" t="s">
        <v>113</v>
      </c>
      <c r="K80" s="26" t="s">
        <v>114</v>
      </c>
      <c r="L80" s="26" t="s">
        <v>3148</v>
      </c>
      <c r="M80" s="11" t="s">
        <v>545</v>
      </c>
      <c r="N80" s="55">
        <v>44088</v>
      </c>
      <c r="O80" s="85" t="s">
        <v>3149</v>
      </c>
      <c r="P80" s="55">
        <v>45213</v>
      </c>
      <c r="Q80" s="55" t="s">
        <v>911</v>
      </c>
      <c r="R80" s="17" t="s">
        <v>912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93" t="s">
        <v>999</v>
      </c>
    </row>
    <row r="81" spans="1:24" x14ac:dyDescent="0.25">
      <c r="A81" s="26" t="s">
        <v>2885</v>
      </c>
      <c r="B81" s="106" t="s">
        <v>148</v>
      </c>
      <c r="C81" s="11" t="s">
        <v>3150</v>
      </c>
      <c r="D81" s="55">
        <v>41782</v>
      </c>
      <c r="E81" s="55">
        <v>45443</v>
      </c>
      <c r="F81" s="26" t="s">
        <v>2887</v>
      </c>
      <c r="G81" s="162" t="s">
        <v>3151</v>
      </c>
      <c r="H81" s="11" t="s">
        <v>111</v>
      </c>
      <c r="I81" s="11" t="s">
        <v>2849</v>
      </c>
      <c r="J81" s="11" t="s">
        <v>113</v>
      </c>
      <c r="K81" s="26" t="s">
        <v>114</v>
      </c>
      <c r="L81" s="26" t="s">
        <v>3152</v>
      </c>
      <c r="M81" s="11" t="s">
        <v>410</v>
      </c>
      <c r="N81" s="55">
        <v>44088</v>
      </c>
      <c r="O81" s="85" t="s">
        <v>3062</v>
      </c>
      <c r="P81" s="55">
        <v>45443</v>
      </c>
      <c r="Q81" s="16" t="s">
        <v>911</v>
      </c>
      <c r="R81" s="17" t="s">
        <v>3153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87" t="s">
        <v>155</v>
      </c>
    </row>
    <row r="82" spans="1:24" x14ac:dyDescent="0.25">
      <c r="A82" s="26" t="s">
        <v>2885</v>
      </c>
      <c r="B82" s="106" t="s">
        <v>156</v>
      </c>
      <c r="C82" s="11" t="s">
        <v>3154</v>
      </c>
      <c r="D82" s="55">
        <v>42170</v>
      </c>
      <c r="E82" s="55">
        <v>44727</v>
      </c>
      <c r="F82" s="26" t="s">
        <v>2887</v>
      </c>
      <c r="G82" s="162" t="s">
        <v>3155</v>
      </c>
      <c r="H82" s="11" t="s">
        <v>111</v>
      </c>
      <c r="I82" s="11" t="s">
        <v>2739</v>
      </c>
      <c r="J82" s="11" t="s">
        <v>113</v>
      </c>
      <c r="K82" s="26" t="s">
        <v>114</v>
      </c>
      <c r="L82" s="26" t="s">
        <v>3156</v>
      </c>
      <c r="M82" s="11" t="s">
        <v>1349</v>
      </c>
      <c r="N82" s="55">
        <v>44088</v>
      </c>
      <c r="O82" s="85" t="s">
        <v>3157</v>
      </c>
      <c r="P82" s="55">
        <v>44726</v>
      </c>
      <c r="Q82" s="55" t="s">
        <v>911</v>
      </c>
      <c r="R82" s="17" t="s">
        <v>912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9" t="s">
        <v>999</v>
      </c>
    </row>
    <row r="83" spans="1:24" x14ac:dyDescent="0.25">
      <c r="A83" s="26" t="s">
        <v>2885</v>
      </c>
      <c r="B83" s="106" t="s">
        <v>1095</v>
      </c>
      <c r="C83" s="11" t="s">
        <v>3158</v>
      </c>
      <c r="D83" s="55">
        <v>42622</v>
      </c>
      <c r="E83" s="55">
        <v>45169</v>
      </c>
      <c r="F83" s="26" t="s">
        <v>2887</v>
      </c>
      <c r="G83" s="162" t="s">
        <v>3159</v>
      </c>
      <c r="H83" s="11" t="s">
        <v>111</v>
      </c>
      <c r="I83" s="11" t="s">
        <v>1766</v>
      </c>
      <c r="J83" s="11" t="s">
        <v>113</v>
      </c>
      <c r="K83" s="26" t="s">
        <v>114</v>
      </c>
      <c r="L83" s="26" t="s">
        <v>3160</v>
      </c>
      <c r="M83" s="11" t="s">
        <v>131</v>
      </c>
      <c r="N83" s="55">
        <v>44088</v>
      </c>
      <c r="O83" s="85" t="s">
        <v>3161</v>
      </c>
      <c r="P83" s="55">
        <v>45169</v>
      </c>
      <c r="Q83" s="55" t="s">
        <v>82</v>
      </c>
      <c r="R83" s="66" t="s">
        <v>3162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93" t="s">
        <v>249</v>
      </c>
    </row>
    <row r="84" spans="1:24" x14ac:dyDescent="0.25">
      <c r="A84" s="26" t="s">
        <v>2885</v>
      </c>
      <c r="B84" s="106" t="s">
        <v>1101</v>
      </c>
      <c r="C84" s="11" t="s">
        <v>3163</v>
      </c>
      <c r="D84" s="55">
        <v>42217</v>
      </c>
      <c r="E84" s="55">
        <v>44773</v>
      </c>
      <c r="F84" s="26" t="s">
        <v>2887</v>
      </c>
      <c r="G84" s="162" t="s">
        <v>3164</v>
      </c>
      <c r="H84" s="11" t="s">
        <v>111</v>
      </c>
      <c r="I84" s="11" t="s">
        <v>1770</v>
      </c>
      <c r="J84" s="11" t="s">
        <v>113</v>
      </c>
      <c r="K84" s="26" t="s">
        <v>114</v>
      </c>
      <c r="L84" s="26" t="s">
        <v>3165</v>
      </c>
      <c r="M84" s="11" t="s">
        <v>131</v>
      </c>
      <c r="N84" s="55">
        <v>44088</v>
      </c>
      <c r="O84" s="85" t="s">
        <v>3166</v>
      </c>
      <c r="P84" s="55">
        <v>44773</v>
      </c>
      <c r="Q84" s="55" t="s">
        <v>911</v>
      </c>
      <c r="R84" s="17" t="s">
        <v>912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9" t="s">
        <v>999</v>
      </c>
    </row>
    <row r="85" spans="1:24" x14ac:dyDescent="0.25">
      <c r="A85" s="26" t="s">
        <v>2885</v>
      </c>
      <c r="B85" s="106" t="s">
        <v>163</v>
      </c>
      <c r="C85" s="11" t="s">
        <v>3167</v>
      </c>
      <c r="D85" s="55">
        <v>43029</v>
      </c>
      <c r="E85" s="55">
        <v>45950</v>
      </c>
      <c r="F85" s="26" t="s">
        <v>2887</v>
      </c>
      <c r="G85" s="162" t="s">
        <v>2611</v>
      </c>
      <c r="H85" s="11" t="s">
        <v>111</v>
      </c>
      <c r="I85" s="11" t="s">
        <v>1774</v>
      </c>
      <c r="J85" s="11" t="s">
        <v>113</v>
      </c>
      <c r="K85" s="26" t="s">
        <v>114</v>
      </c>
      <c r="L85" s="26" t="s">
        <v>3168</v>
      </c>
      <c r="M85" s="11" t="s">
        <v>116</v>
      </c>
      <c r="N85" s="55">
        <v>44088</v>
      </c>
      <c r="O85" s="85" t="s">
        <v>3169</v>
      </c>
      <c r="P85" s="55">
        <v>45950</v>
      </c>
      <c r="Q85" s="16" t="s">
        <v>1011</v>
      </c>
      <c r="R85" s="17" t="s">
        <v>911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14"/>
    </row>
    <row r="86" spans="1:24" x14ac:dyDescent="0.25">
      <c r="A86" s="26" t="s">
        <v>2885</v>
      </c>
      <c r="B86" s="106" t="s">
        <v>1111</v>
      </c>
      <c r="C86" s="11" t="s">
        <v>3170</v>
      </c>
      <c r="D86" s="55">
        <v>42948</v>
      </c>
      <c r="E86" s="55">
        <v>43889</v>
      </c>
      <c r="F86" s="26" t="s">
        <v>2887</v>
      </c>
      <c r="G86" s="162" t="s">
        <v>1779</v>
      </c>
      <c r="H86" s="11" t="s">
        <v>111</v>
      </c>
      <c r="I86" s="11"/>
      <c r="J86" s="11" t="s">
        <v>113</v>
      </c>
      <c r="K86" s="26" t="s">
        <v>82</v>
      </c>
      <c r="L86" s="26" t="s">
        <v>3171</v>
      </c>
      <c r="M86" s="11" t="s">
        <v>131</v>
      </c>
      <c r="N86" s="55">
        <v>43509</v>
      </c>
      <c r="O86" s="85" t="s">
        <v>3172</v>
      </c>
      <c r="P86" s="55">
        <v>43889</v>
      </c>
      <c r="Q86" s="55" t="s">
        <v>911</v>
      </c>
      <c r="R86" s="17" t="s">
        <v>912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9" t="s">
        <v>999</v>
      </c>
    </row>
    <row r="87" spans="1:24" x14ac:dyDescent="0.25">
      <c r="A87" s="26" t="s">
        <v>2885</v>
      </c>
      <c r="B87" s="106" t="s">
        <v>169</v>
      </c>
      <c r="C87" s="11" t="s">
        <v>3173</v>
      </c>
      <c r="D87" s="55">
        <v>42795</v>
      </c>
      <c r="E87" s="55">
        <v>45382</v>
      </c>
      <c r="F87" s="26" t="s">
        <v>2887</v>
      </c>
      <c r="G87" s="162" t="s">
        <v>3174</v>
      </c>
      <c r="H87" s="11" t="s">
        <v>111</v>
      </c>
      <c r="I87" s="11" t="s">
        <v>1784</v>
      </c>
      <c r="J87" s="11" t="s">
        <v>113</v>
      </c>
      <c r="K87" s="26" t="s">
        <v>114</v>
      </c>
      <c r="L87" s="26" t="s">
        <v>3175</v>
      </c>
      <c r="M87" s="11" t="s">
        <v>139</v>
      </c>
      <c r="N87" s="55">
        <v>44088</v>
      </c>
      <c r="O87" s="85" t="s">
        <v>3048</v>
      </c>
      <c r="P87" s="55">
        <v>45382</v>
      </c>
      <c r="Q87" s="55" t="s">
        <v>911</v>
      </c>
      <c r="R87" s="66" t="s">
        <v>3176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87" t="s">
        <v>155</v>
      </c>
    </row>
    <row r="88" spans="1:24" x14ac:dyDescent="0.25">
      <c r="A88" s="26" t="s">
        <v>2885</v>
      </c>
      <c r="B88" s="106" t="s">
        <v>1116</v>
      </c>
      <c r="C88" s="11" t="s">
        <v>2927</v>
      </c>
      <c r="D88" s="55">
        <v>42736</v>
      </c>
      <c r="E88" s="55">
        <v>46022</v>
      </c>
      <c r="F88" s="26" t="s">
        <v>2887</v>
      </c>
      <c r="G88" s="162" t="s">
        <v>2928</v>
      </c>
      <c r="H88" s="11" t="s">
        <v>111</v>
      </c>
      <c r="I88" s="11" t="s">
        <v>1788</v>
      </c>
      <c r="J88" s="11" t="s">
        <v>113</v>
      </c>
      <c r="K88" s="26" t="s">
        <v>114</v>
      </c>
      <c r="L88" s="26" t="s">
        <v>2929</v>
      </c>
      <c r="M88" s="11" t="s">
        <v>1349</v>
      </c>
      <c r="N88" s="55">
        <v>44088</v>
      </c>
      <c r="O88" s="85" t="s">
        <v>2930</v>
      </c>
      <c r="P88" s="55">
        <v>46022</v>
      </c>
      <c r="Q88" s="16" t="s">
        <v>1011</v>
      </c>
      <c r="R88" s="17" t="s">
        <v>911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14"/>
    </row>
    <row r="89" spans="1:24" x14ac:dyDescent="0.25">
      <c r="A89" s="26" t="s">
        <v>2885</v>
      </c>
      <c r="B89" s="106" t="s">
        <v>1127</v>
      </c>
      <c r="C89" s="11" t="s">
        <v>3177</v>
      </c>
      <c r="D89" s="55">
        <v>43069</v>
      </c>
      <c r="E89" s="55">
        <v>45930</v>
      </c>
      <c r="F89" s="26" t="s">
        <v>2887</v>
      </c>
      <c r="G89" s="162" t="s">
        <v>3178</v>
      </c>
      <c r="H89" s="11" t="s">
        <v>111</v>
      </c>
      <c r="I89" s="11" t="s">
        <v>2750</v>
      </c>
      <c r="J89" s="11" t="s">
        <v>113</v>
      </c>
      <c r="K89" s="26" t="s">
        <v>114</v>
      </c>
      <c r="L89" s="26" t="s">
        <v>3179</v>
      </c>
      <c r="M89" s="11" t="s">
        <v>174</v>
      </c>
      <c r="N89" s="55">
        <v>44088</v>
      </c>
      <c r="O89" s="85" t="s">
        <v>3180</v>
      </c>
      <c r="P89" s="55">
        <v>45930</v>
      </c>
      <c r="Q89" s="16" t="s">
        <v>1011</v>
      </c>
      <c r="R89" s="17" t="s">
        <v>911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14"/>
    </row>
    <row r="90" spans="1:24" x14ac:dyDescent="0.25">
      <c r="A90" s="26" t="s">
        <v>2885</v>
      </c>
      <c r="B90" s="106" t="s">
        <v>1137</v>
      </c>
      <c r="C90" s="11" t="s">
        <v>3181</v>
      </c>
      <c r="D90" s="55">
        <v>42736</v>
      </c>
      <c r="E90" s="55">
        <v>44439</v>
      </c>
      <c r="F90" s="26" t="s">
        <v>2887</v>
      </c>
      <c r="G90" s="162" t="s">
        <v>3182</v>
      </c>
      <c r="H90" s="11" t="s">
        <v>111</v>
      </c>
      <c r="I90" s="11" t="s">
        <v>1803</v>
      </c>
      <c r="J90" s="11" t="s">
        <v>113</v>
      </c>
      <c r="K90" s="26" t="s">
        <v>114</v>
      </c>
      <c r="L90" s="26" t="s">
        <v>3183</v>
      </c>
      <c r="M90" s="11" t="s">
        <v>1349</v>
      </c>
      <c r="N90" s="55">
        <v>44088</v>
      </c>
      <c r="O90" s="85" t="s">
        <v>3184</v>
      </c>
      <c r="P90" s="55">
        <v>44459</v>
      </c>
      <c r="Q90" s="55" t="s">
        <v>911</v>
      </c>
      <c r="R90" s="17" t="s">
        <v>912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9" t="s">
        <v>999</v>
      </c>
    </row>
    <row r="91" spans="1:24" x14ac:dyDescent="0.25">
      <c r="A91" s="26" t="s">
        <v>2885</v>
      </c>
      <c r="B91" s="106" t="s">
        <v>1142</v>
      </c>
      <c r="C91" s="11" t="s">
        <v>3185</v>
      </c>
      <c r="D91" s="55">
        <v>42775</v>
      </c>
      <c r="E91" s="55">
        <v>44196</v>
      </c>
      <c r="F91" s="26" t="s">
        <v>2887</v>
      </c>
      <c r="G91" s="162" t="s">
        <v>925</v>
      </c>
      <c r="H91" s="11" t="s">
        <v>111</v>
      </c>
      <c r="I91" s="11" t="s">
        <v>1807</v>
      </c>
      <c r="J91" s="11" t="s">
        <v>113</v>
      </c>
      <c r="K91" s="26" t="s">
        <v>82</v>
      </c>
      <c r="L91" s="26" t="s">
        <v>3186</v>
      </c>
      <c r="M91" s="11" t="s">
        <v>116</v>
      </c>
      <c r="N91" s="55">
        <v>44130</v>
      </c>
      <c r="O91" s="85" t="s">
        <v>3187</v>
      </c>
      <c r="P91" s="55">
        <v>44196</v>
      </c>
      <c r="Q91" s="55" t="s">
        <v>911</v>
      </c>
      <c r="R91" s="17" t="s">
        <v>912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9" t="s">
        <v>999</v>
      </c>
    </row>
    <row r="92" spans="1:24" x14ac:dyDescent="0.25">
      <c r="A92" s="26" t="s">
        <v>2885</v>
      </c>
      <c r="B92" s="106" t="s">
        <v>182</v>
      </c>
      <c r="C92" s="11" t="s">
        <v>3188</v>
      </c>
      <c r="D92" s="55">
        <v>41883</v>
      </c>
      <c r="E92" s="55">
        <v>45900</v>
      </c>
      <c r="F92" s="26" t="s">
        <v>2887</v>
      </c>
      <c r="G92" s="162" t="s">
        <v>129</v>
      </c>
      <c r="H92" s="11" t="s">
        <v>111</v>
      </c>
      <c r="I92" s="11" t="s">
        <v>2488</v>
      </c>
      <c r="J92" s="11" t="s">
        <v>113</v>
      </c>
      <c r="K92" s="26" t="s">
        <v>114</v>
      </c>
      <c r="L92" s="26" t="s">
        <v>3189</v>
      </c>
      <c r="M92" s="11" t="s">
        <v>3190</v>
      </c>
      <c r="N92" s="55">
        <v>44088</v>
      </c>
      <c r="O92" s="85" t="s">
        <v>3191</v>
      </c>
      <c r="P92" s="55">
        <v>45899</v>
      </c>
      <c r="Q92" s="16" t="s">
        <v>1011</v>
      </c>
      <c r="R92" s="17" t="s">
        <v>911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14"/>
    </row>
    <row r="93" spans="1:24" x14ac:dyDescent="0.25">
      <c r="A93" s="26" t="s">
        <v>2885</v>
      </c>
      <c r="B93" s="106" t="s">
        <v>1170</v>
      </c>
      <c r="C93" s="11" t="s">
        <v>3192</v>
      </c>
      <c r="D93" s="55">
        <v>41883</v>
      </c>
      <c r="E93" s="55">
        <v>44439</v>
      </c>
      <c r="F93" s="26" t="s">
        <v>2887</v>
      </c>
      <c r="G93" s="162" t="s">
        <v>1014</v>
      </c>
      <c r="H93" s="11" t="s">
        <v>111</v>
      </c>
      <c r="I93" s="11" t="s">
        <v>1830</v>
      </c>
      <c r="J93" s="11" t="s">
        <v>113</v>
      </c>
      <c r="K93" s="26" t="s">
        <v>114</v>
      </c>
      <c r="L93" s="26" t="s">
        <v>3193</v>
      </c>
      <c r="M93" s="11" t="s">
        <v>1349</v>
      </c>
      <c r="N93" s="55">
        <v>44088</v>
      </c>
      <c r="O93" s="85" t="s">
        <v>3194</v>
      </c>
      <c r="P93" s="55">
        <v>44436</v>
      </c>
      <c r="Q93" s="55" t="s">
        <v>911</v>
      </c>
      <c r="R93" s="17" t="s">
        <v>912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9" t="s">
        <v>999</v>
      </c>
    </row>
    <row r="94" spans="1:24" x14ac:dyDescent="0.25">
      <c r="A94" s="26" t="s">
        <v>2885</v>
      </c>
      <c r="B94" s="106" t="s">
        <v>1185</v>
      </c>
      <c r="C94" s="11" t="s">
        <v>3195</v>
      </c>
      <c r="D94" s="55">
        <v>42865</v>
      </c>
      <c r="E94" s="55">
        <v>44104</v>
      </c>
      <c r="F94" s="26" t="s">
        <v>2887</v>
      </c>
      <c r="G94" s="162" t="s">
        <v>1025</v>
      </c>
      <c r="H94" s="11" t="s">
        <v>111</v>
      </c>
      <c r="I94" s="11" t="s">
        <v>1834</v>
      </c>
      <c r="J94" s="11" t="s">
        <v>113</v>
      </c>
      <c r="K94" s="26" t="s">
        <v>82</v>
      </c>
      <c r="L94" s="26" t="s">
        <v>3196</v>
      </c>
      <c r="M94" s="11" t="s">
        <v>3197</v>
      </c>
      <c r="N94" s="55">
        <v>44088</v>
      </c>
      <c r="O94" s="85" t="s">
        <v>3198</v>
      </c>
      <c r="P94" s="55">
        <v>44104</v>
      </c>
      <c r="Q94" s="55" t="s">
        <v>911</v>
      </c>
      <c r="R94" s="17" t="s">
        <v>912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9" t="s">
        <v>999</v>
      </c>
    </row>
    <row r="95" spans="1:24" x14ac:dyDescent="0.25">
      <c r="A95" s="26" t="s">
        <v>2885</v>
      </c>
      <c r="B95" s="106" t="s">
        <v>1190</v>
      </c>
      <c r="C95" s="11" t="s">
        <v>3199</v>
      </c>
      <c r="D95" s="55">
        <v>41518</v>
      </c>
      <c r="E95" s="55">
        <v>45169</v>
      </c>
      <c r="F95" s="26" t="s">
        <v>2887</v>
      </c>
      <c r="G95" s="162" t="s">
        <v>1031</v>
      </c>
      <c r="H95" s="11" t="s">
        <v>111</v>
      </c>
      <c r="I95" s="11" t="s">
        <v>2491</v>
      </c>
      <c r="J95" s="11" t="s">
        <v>113</v>
      </c>
      <c r="K95" s="26" t="s">
        <v>114</v>
      </c>
      <c r="L95" s="26" t="s">
        <v>3200</v>
      </c>
      <c r="M95" s="11" t="s">
        <v>3201</v>
      </c>
      <c r="N95" s="55">
        <v>44088</v>
      </c>
      <c r="O95" s="85" t="s">
        <v>3202</v>
      </c>
      <c r="P95" s="55">
        <v>45169</v>
      </c>
      <c r="Q95" s="55" t="s">
        <v>911</v>
      </c>
      <c r="R95" s="17" t="s">
        <v>912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93" t="s">
        <v>999</v>
      </c>
    </row>
    <row r="96" spans="1:24" x14ac:dyDescent="0.25">
      <c r="A96" s="26" t="s">
        <v>2885</v>
      </c>
      <c r="B96" s="106" t="s">
        <v>1195</v>
      </c>
      <c r="C96" s="11" t="s">
        <v>3203</v>
      </c>
      <c r="D96" s="55">
        <v>41548</v>
      </c>
      <c r="E96" s="55">
        <v>45931</v>
      </c>
      <c r="F96" s="26" t="s">
        <v>2887</v>
      </c>
      <c r="G96" s="162" t="s">
        <v>3204</v>
      </c>
      <c r="H96" s="11" t="s">
        <v>111</v>
      </c>
      <c r="I96" s="11" t="s">
        <v>1838</v>
      </c>
      <c r="J96" s="11" t="s">
        <v>113</v>
      </c>
      <c r="K96" s="26" t="s">
        <v>114</v>
      </c>
      <c r="L96" s="26" t="s">
        <v>3205</v>
      </c>
      <c r="M96" s="11" t="s">
        <v>3206</v>
      </c>
      <c r="N96" s="55">
        <v>44088</v>
      </c>
      <c r="O96" s="86" t="s">
        <v>3207</v>
      </c>
      <c r="P96" s="56">
        <v>45931</v>
      </c>
      <c r="Q96" s="16" t="s">
        <v>1011</v>
      </c>
      <c r="R96" s="17" t="s">
        <v>911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14"/>
    </row>
    <row r="97" spans="1:26" x14ac:dyDescent="0.25">
      <c r="A97" s="26" t="s">
        <v>2885</v>
      </c>
      <c r="B97" s="106" t="s">
        <v>194</v>
      </c>
      <c r="C97" s="11" t="s">
        <v>3208</v>
      </c>
      <c r="D97" s="55">
        <v>41913</v>
      </c>
      <c r="E97" s="55">
        <v>45930</v>
      </c>
      <c r="F97" s="26" t="s">
        <v>2887</v>
      </c>
      <c r="G97" s="162" t="s">
        <v>1042</v>
      </c>
      <c r="H97" s="11" t="s">
        <v>111</v>
      </c>
      <c r="I97" s="11" t="s">
        <v>2493</v>
      </c>
      <c r="J97" s="11" t="s">
        <v>113</v>
      </c>
      <c r="K97" s="26" t="s">
        <v>114</v>
      </c>
      <c r="L97" s="26" t="s">
        <v>3209</v>
      </c>
      <c r="M97" s="11" t="s">
        <v>131</v>
      </c>
      <c r="N97" s="55">
        <v>44088</v>
      </c>
      <c r="O97" s="85" t="s">
        <v>3210</v>
      </c>
      <c r="P97" s="55">
        <v>45930</v>
      </c>
      <c r="Q97" s="16" t="s">
        <v>1011</v>
      </c>
      <c r="R97" s="17" t="s">
        <v>912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14"/>
    </row>
    <row r="98" spans="1:26" x14ac:dyDescent="0.25">
      <c r="A98" s="26" t="s">
        <v>2885</v>
      </c>
      <c r="B98" s="106" t="s">
        <v>1205</v>
      </c>
      <c r="C98" s="11" t="s">
        <v>3078</v>
      </c>
      <c r="D98" s="55">
        <v>41928</v>
      </c>
      <c r="E98" s="55">
        <v>45581</v>
      </c>
      <c r="F98" s="26" t="s">
        <v>2887</v>
      </c>
      <c r="G98" s="162" t="s">
        <v>1048</v>
      </c>
      <c r="H98" s="11" t="s">
        <v>111</v>
      </c>
      <c r="I98" s="11" t="s">
        <v>2872</v>
      </c>
      <c r="J98" s="11" t="s">
        <v>113</v>
      </c>
      <c r="K98" s="26" t="s">
        <v>114</v>
      </c>
      <c r="L98" s="26" t="s">
        <v>3211</v>
      </c>
      <c r="M98" s="11" t="s">
        <v>131</v>
      </c>
      <c r="N98" s="55">
        <v>44088</v>
      </c>
      <c r="O98" s="85" t="s">
        <v>3079</v>
      </c>
      <c r="P98" s="55">
        <v>45581</v>
      </c>
      <c r="Q98" s="16" t="s">
        <v>911</v>
      </c>
      <c r="R98" s="17" t="s">
        <v>3212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14"/>
    </row>
    <row r="99" spans="1:26" x14ac:dyDescent="0.25">
      <c r="A99" s="26" t="s">
        <v>2885</v>
      </c>
      <c r="B99" s="106" t="s">
        <v>200</v>
      </c>
      <c r="C99" s="11" t="s">
        <v>3213</v>
      </c>
      <c r="D99" s="55">
        <v>42046</v>
      </c>
      <c r="E99" s="55">
        <v>45363</v>
      </c>
      <c r="F99" s="26" t="s">
        <v>2887</v>
      </c>
      <c r="G99" s="162" t="s">
        <v>1061</v>
      </c>
      <c r="H99" s="11" t="s">
        <v>111</v>
      </c>
      <c r="I99" s="11" t="s">
        <v>2829</v>
      </c>
      <c r="J99" s="11" t="s">
        <v>113</v>
      </c>
      <c r="K99" s="26" t="s">
        <v>114</v>
      </c>
      <c r="L99" s="26" t="s">
        <v>3214</v>
      </c>
      <c r="M99" s="11" t="s">
        <v>410</v>
      </c>
      <c r="N99" s="55">
        <v>44088</v>
      </c>
      <c r="O99" s="85" t="s">
        <v>3045</v>
      </c>
      <c r="P99" s="55">
        <v>45363</v>
      </c>
      <c r="Q99" s="16" t="s">
        <v>911</v>
      </c>
      <c r="R99" s="66" t="s">
        <v>3215</v>
      </c>
      <c r="S99" s="23">
        <v>0</v>
      </c>
      <c r="T99" s="23">
        <v>0</v>
      </c>
      <c r="U99" s="23">
        <v>0</v>
      </c>
      <c r="V99" s="23">
        <v>0</v>
      </c>
      <c r="W99" s="23">
        <v>0</v>
      </c>
      <c r="X99" s="87" t="s">
        <v>155</v>
      </c>
    </row>
    <row r="100" spans="1:26" x14ac:dyDescent="0.25">
      <c r="A100" s="26" t="s">
        <v>2885</v>
      </c>
      <c r="B100" s="106" t="s">
        <v>1210</v>
      </c>
      <c r="C100" s="11" t="s">
        <v>3216</v>
      </c>
      <c r="D100" s="55">
        <v>42401</v>
      </c>
      <c r="E100" s="55">
        <v>44926</v>
      </c>
      <c r="F100" s="26" t="s">
        <v>2887</v>
      </c>
      <c r="G100" s="162" t="s">
        <v>1067</v>
      </c>
      <c r="H100" s="11" t="s">
        <v>111</v>
      </c>
      <c r="I100" s="11" t="s">
        <v>1848</v>
      </c>
      <c r="J100" s="11" t="s">
        <v>113</v>
      </c>
      <c r="K100" s="26" t="s">
        <v>114</v>
      </c>
      <c r="L100" s="26" t="s">
        <v>3217</v>
      </c>
      <c r="M100" s="11" t="s">
        <v>131</v>
      </c>
      <c r="N100" s="55">
        <v>44088</v>
      </c>
      <c r="O100" s="85" t="s">
        <v>3218</v>
      </c>
      <c r="P100" s="55">
        <v>44957</v>
      </c>
      <c r="Q100" s="55" t="s">
        <v>911</v>
      </c>
      <c r="R100" s="17" t="s">
        <v>912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9" t="s">
        <v>999</v>
      </c>
    </row>
    <row r="101" spans="1:26" x14ac:dyDescent="0.25">
      <c r="A101" s="26" t="s">
        <v>2885</v>
      </c>
      <c r="B101" s="106" t="s">
        <v>1215</v>
      </c>
      <c r="C101" s="11" t="s">
        <v>3051</v>
      </c>
      <c r="D101" s="55">
        <v>42389</v>
      </c>
      <c r="E101" s="55">
        <v>45310</v>
      </c>
      <c r="F101" s="26" t="s">
        <v>2887</v>
      </c>
      <c r="G101" s="162" t="s">
        <v>144</v>
      </c>
      <c r="H101" s="11" t="s">
        <v>111</v>
      </c>
      <c r="I101" s="11" t="s">
        <v>2835</v>
      </c>
      <c r="J101" s="11" t="s">
        <v>113</v>
      </c>
      <c r="K101" s="26" t="s">
        <v>114</v>
      </c>
      <c r="L101" s="26" t="s">
        <v>3219</v>
      </c>
      <c r="M101" s="11" t="s">
        <v>139</v>
      </c>
      <c r="N101" s="55">
        <v>44088</v>
      </c>
      <c r="O101" s="85" t="s">
        <v>3053</v>
      </c>
      <c r="P101" s="55">
        <v>45310</v>
      </c>
      <c r="Q101" s="16" t="s">
        <v>911</v>
      </c>
      <c r="R101" s="66" t="s">
        <v>3220</v>
      </c>
      <c r="S101" s="23">
        <v>0</v>
      </c>
      <c r="T101" s="23">
        <v>0</v>
      </c>
      <c r="U101" s="23">
        <v>0</v>
      </c>
      <c r="V101" s="23">
        <v>0</v>
      </c>
      <c r="W101" s="23">
        <v>0</v>
      </c>
      <c r="X101" s="87" t="s">
        <v>155</v>
      </c>
    </row>
    <row r="102" spans="1:26" x14ac:dyDescent="0.25">
      <c r="A102" s="26" t="s">
        <v>2885</v>
      </c>
      <c r="B102" s="106" t="s">
        <v>1221</v>
      </c>
      <c r="C102" s="11" t="s">
        <v>2966</v>
      </c>
      <c r="D102" s="55">
        <v>42370</v>
      </c>
      <c r="E102" s="55">
        <v>46022</v>
      </c>
      <c r="F102" s="26" t="s">
        <v>2887</v>
      </c>
      <c r="G102" s="162" t="s">
        <v>1073</v>
      </c>
      <c r="H102" s="11" t="s">
        <v>111</v>
      </c>
      <c r="I102" s="11" t="s">
        <v>1855</v>
      </c>
      <c r="J102" s="11" t="s">
        <v>113</v>
      </c>
      <c r="K102" s="26" t="s">
        <v>114</v>
      </c>
      <c r="L102" s="26" t="s">
        <v>2967</v>
      </c>
      <c r="M102" s="11" t="s">
        <v>131</v>
      </c>
      <c r="N102" s="55">
        <v>44088</v>
      </c>
      <c r="O102" s="85" t="s">
        <v>2968</v>
      </c>
      <c r="P102" s="55">
        <v>46022</v>
      </c>
      <c r="Q102" s="16" t="s">
        <v>1011</v>
      </c>
      <c r="R102" s="17" t="s">
        <v>911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14"/>
    </row>
    <row r="103" spans="1:26" x14ac:dyDescent="0.25">
      <c r="A103" s="26" t="s">
        <v>2885</v>
      </c>
      <c r="B103" s="106" t="s">
        <v>206</v>
      </c>
      <c r="C103" s="11" t="s">
        <v>3049</v>
      </c>
      <c r="D103" s="55">
        <v>42436</v>
      </c>
      <c r="E103" s="55">
        <v>45357</v>
      </c>
      <c r="F103" s="26" t="s">
        <v>2887</v>
      </c>
      <c r="G103" s="162" t="s">
        <v>1080</v>
      </c>
      <c r="H103" s="11" t="s">
        <v>111</v>
      </c>
      <c r="I103" s="11" t="s">
        <v>1859</v>
      </c>
      <c r="J103" s="11" t="s">
        <v>113</v>
      </c>
      <c r="K103" s="26" t="s">
        <v>114</v>
      </c>
      <c r="L103" s="26" t="s">
        <v>3221</v>
      </c>
      <c r="M103" s="11" t="s">
        <v>174</v>
      </c>
      <c r="N103" s="55">
        <v>44088</v>
      </c>
      <c r="O103" s="85" t="s">
        <v>3050</v>
      </c>
      <c r="P103" s="55">
        <v>45357</v>
      </c>
      <c r="Q103" s="16" t="s">
        <v>911</v>
      </c>
      <c r="R103" s="66" t="s">
        <v>3222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87" t="s">
        <v>155</v>
      </c>
    </row>
    <row r="104" spans="1:26" x14ac:dyDescent="0.25">
      <c r="A104" s="26" t="s">
        <v>2885</v>
      </c>
      <c r="B104" s="106" t="s">
        <v>212</v>
      </c>
      <c r="C104" s="11" t="s">
        <v>2969</v>
      </c>
      <c r="D104" s="55">
        <v>42415</v>
      </c>
      <c r="E104" s="55">
        <v>46067</v>
      </c>
      <c r="F104" s="26" t="s">
        <v>2887</v>
      </c>
      <c r="G104" s="162" t="s">
        <v>151</v>
      </c>
      <c r="H104" s="11" t="s">
        <v>111</v>
      </c>
      <c r="I104" s="11" t="s">
        <v>2502</v>
      </c>
      <c r="J104" s="11" t="s">
        <v>113</v>
      </c>
      <c r="K104" s="26" t="s">
        <v>114</v>
      </c>
      <c r="L104" s="26" t="s">
        <v>2970</v>
      </c>
      <c r="M104" s="11" t="s">
        <v>131</v>
      </c>
      <c r="N104" s="55">
        <v>44088</v>
      </c>
      <c r="O104" s="85" t="s">
        <v>2971</v>
      </c>
      <c r="P104" s="55">
        <v>46067</v>
      </c>
      <c r="Q104" s="16" t="s">
        <v>1011</v>
      </c>
      <c r="R104" s="17" t="s">
        <v>911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14"/>
    </row>
    <row r="105" spans="1:26" x14ac:dyDescent="0.25">
      <c r="A105" s="26" t="s">
        <v>2885</v>
      </c>
      <c r="B105" s="106" t="s">
        <v>218</v>
      </c>
      <c r="C105" s="11" t="s">
        <v>3223</v>
      </c>
      <c r="D105" s="55">
        <v>42607</v>
      </c>
      <c r="E105" s="55">
        <v>43701</v>
      </c>
      <c r="F105" s="26" t="s">
        <v>2887</v>
      </c>
      <c r="G105" s="162" t="s">
        <v>1863</v>
      </c>
      <c r="H105" s="11" t="s">
        <v>111</v>
      </c>
      <c r="I105" s="11"/>
      <c r="J105" s="11" t="s">
        <v>113</v>
      </c>
      <c r="K105" s="26" t="s">
        <v>82</v>
      </c>
      <c r="L105" s="26" t="s">
        <v>3224</v>
      </c>
      <c r="M105" s="11" t="s">
        <v>174</v>
      </c>
      <c r="N105" s="55">
        <v>43509</v>
      </c>
      <c r="O105" s="85" t="s">
        <v>3225</v>
      </c>
      <c r="P105" s="55">
        <v>43701</v>
      </c>
      <c r="Q105" s="55" t="s">
        <v>911</v>
      </c>
      <c r="R105" s="17" t="s">
        <v>912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9" t="s">
        <v>999</v>
      </c>
    </row>
    <row r="106" spans="1:26" x14ac:dyDescent="0.25">
      <c r="A106" s="26" t="s">
        <v>2885</v>
      </c>
      <c r="B106" s="106" t="s">
        <v>230</v>
      </c>
      <c r="C106" s="11" t="s">
        <v>3226</v>
      </c>
      <c r="D106" s="55">
        <v>42644</v>
      </c>
      <c r="E106" s="55">
        <v>44926</v>
      </c>
      <c r="F106" s="26" t="s">
        <v>2887</v>
      </c>
      <c r="G106" s="162" t="s">
        <v>1092</v>
      </c>
      <c r="H106" s="11" t="s">
        <v>111</v>
      </c>
      <c r="I106" s="11" t="s">
        <v>2716</v>
      </c>
      <c r="J106" s="11" t="s">
        <v>113</v>
      </c>
      <c r="K106" s="26" t="s">
        <v>114</v>
      </c>
      <c r="L106" s="26" t="s">
        <v>3227</v>
      </c>
      <c r="M106" s="11" t="s">
        <v>2712</v>
      </c>
      <c r="N106" s="55">
        <v>44088</v>
      </c>
      <c r="O106" s="85" t="s">
        <v>3228</v>
      </c>
      <c r="P106" s="55">
        <v>44104</v>
      </c>
      <c r="Q106" s="55" t="s">
        <v>911</v>
      </c>
      <c r="R106" s="17" t="s">
        <v>912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9" t="s">
        <v>999</v>
      </c>
    </row>
    <row r="107" spans="1:26" x14ac:dyDescent="0.25">
      <c r="A107" s="26" t="s">
        <v>2885</v>
      </c>
      <c r="B107" s="106" t="s">
        <v>663</v>
      </c>
      <c r="C107" s="11" t="s">
        <v>3229</v>
      </c>
      <c r="D107" s="55">
        <v>42640</v>
      </c>
      <c r="E107" s="55">
        <v>44465</v>
      </c>
      <c r="F107" s="26" t="s">
        <v>2887</v>
      </c>
      <c r="G107" s="162" t="s">
        <v>1098</v>
      </c>
      <c r="H107" s="11" t="s">
        <v>111</v>
      </c>
      <c r="I107" s="11" t="s">
        <v>2721</v>
      </c>
      <c r="J107" s="11" t="s">
        <v>113</v>
      </c>
      <c r="K107" s="26" t="s">
        <v>114</v>
      </c>
      <c r="L107" s="26" t="s">
        <v>3230</v>
      </c>
      <c r="M107" s="11" t="s">
        <v>131</v>
      </c>
      <c r="N107" s="55">
        <v>44088</v>
      </c>
      <c r="O107" s="85" t="s">
        <v>3231</v>
      </c>
      <c r="P107" s="55">
        <v>44463</v>
      </c>
      <c r="Q107" s="55" t="s">
        <v>911</v>
      </c>
      <c r="R107" s="17" t="s">
        <v>912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9" t="s">
        <v>999</v>
      </c>
    </row>
    <row r="108" spans="1:26" x14ac:dyDescent="0.25">
      <c r="A108" s="26" t="s">
        <v>2885</v>
      </c>
      <c r="B108" s="106" t="s">
        <v>470</v>
      </c>
      <c r="C108" s="11" t="s">
        <v>3080</v>
      </c>
      <c r="D108" s="55">
        <v>42646</v>
      </c>
      <c r="E108" s="55">
        <v>45565</v>
      </c>
      <c r="F108" s="26" t="s">
        <v>2887</v>
      </c>
      <c r="G108" s="162" t="s">
        <v>1103</v>
      </c>
      <c r="H108" s="11" t="s">
        <v>111</v>
      </c>
      <c r="I108" s="11" t="s">
        <v>2511</v>
      </c>
      <c r="J108" s="11" t="s">
        <v>113</v>
      </c>
      <c r="K108" s="26" t="s">
        <v>114</v>
      </c>
      <c r="L108" s="26" t="s">
        <v>3232</v>
      </c>
      <c r="M108" s="11" t="s">
        <v>410</v>
      </c>
      <c r="N108" s="55">
        <v>44088</v>
      </c>
      <c r="O108" s="85" t="s">
        <v>3082</v>
      </c>
      <c r="P108" s="55">
        <v>45565</v>
      </c>
      <c r="Q108" s="16" t="s">
        <v>1011</v>
      </c>
      <c r="R108" s="17" t="s">
        <v>3233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87" t="s">
        <v>155</v>
      </c>
    </row>
    <row r="109" spans="1:26" x14ac:dyDescent="0.25">
      <c r="A109" s="26" t="s">
        <v>2885</v>
      </c>
      <c r="B109" s="106" t="s">
        <v>1243</v>
      </c>
      <c r="C109" s="11" t="s">
        <v>3234</v>
      </c>
      <c r="D109" s="55">
        <v>42690</v>
      </c>
      <c r="E109" s="55">
        <v>44926</v>
      </c>
      <c r="F109" s="26" t="s">
        <v>2887</v>
      </c>
      <c r="G109" s="162" t="s">
        <v>1108</v>
      </c>
      <c r="H109" s="11" t="s">
        <v>111</v>
      </c>
      <c r="I109" s="11" t="s">
        <v>2512</v>
      </c>
      <c r="J109" s="11" t="s">
        <v>113</v>
      </c>
      <c r="K109" s="26" t="s">
        <v>114</v>
      </c>
      <c r="L109" s="26" t="s">
        <v>3235</v>
      </c>
      <c r="M109" s="11" t="s">
        <v>174</v>
      </c>
      <c r="N109" s="55">
        <v>44088</v>
      </c>
      <c r="O109" s="85" t="s">
        <v>3236</v>
      </c>
      <c r="P109" s="55">
        <v>44911</v>
      </c>
      <c r="Q109" s="55" t="s">
        <v>911</v>
      </c>
      <c r="R109" s="17" t="s">
        <v>912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  <c r="X109" s="9" t="s">
        <v>999</v>
      </c>
    </row>
    <row r="110" spans="1:26" x14ac:dyDescent="0.25">
      <c r="A110" s="26" t="s">
        <v>2885</v>
      </c>
      <c r="B110" s="106" t="s">
        <v>242</v>
      </c>
      <c r="C110" s="11" t="s">
        <v>3237</v>
      </c>
      <c r="D110" s="55">
        <v>42767</v>
      </c>
      <c r="E110" s="55">
        <v>45322</v>
      </c>
      <c r="F110" s="26" t="s">
        <v>2887</v>
      </c>
      <c r="G110" s="162" t="s">
        <v>1113</v>
      </c>
      <c r="H110" s="11" t="s">
        <v>111</v>
      </c>
      <c r="I110" s="11" t="s">
        <v>2513</v>
      </c>
      <c r="J110" s="11" t="s">
        <v>113</v>
      </c>
      <c r="K110" s="26" t="s">
        <v>114</v>
      </c>
      <c r="L110" s="26" t="s">
        <v>3238</v>
      </c>
      <c r="M110" s="11" t="s">
        <v>131</v>
      </c>
      <c r="N110" s="55">
        <v>44088</v>
      </c>
      <c r="O110" s="85" t="s">
        <v>3239</v>
      </c>
      <c r="P110" s="55">
        <v>45322</v>
      </c>
      <c r="Q110" s="55" t="s">
        <v>911</v>
      </c>
      <c r="R110" s="17" t="s">
        <v>912</v>
      </c>
      <c r="S110" s="23">
        <v>0</v>
      </c>
      <c r="T110" s="23">
        <v>0</v>
      </c>
      <c r="U110" s="23">
        <v>0</v>
      </c>
      <c r="V110" s="23">
        <v>0</v>
      </c>
      <c r="W110" s="23">
        <v>0</v>
      </c>
      <c r="X110" s="87" t="s">
        <v>1153</v>
      </c>
    </row>
    <row r="111" spans="1:26" x14ac:dyDescent="0.25">
      <c r="A111" s="26" t="s">
        <v>2885</v>
      </c>
      <c r="B111" s="106" t="s">
        <v>250</v>
      </c>
      <c r="C111" s="11" t="s">
        <v>2981</v>
      </c>
      <c r="D111" s="55">
        <v>42767</v>
      </c>
      <c r="E111" s="55">
        <v>46053</v>
      </c>
      <c r="F111" s="26" t="s">
        <v>2887</v>
      </c>
      <c r="G111" s="162" t="s">
        <v>172</v>
      </c>
      <c r="H111" s="11" t="s">
        <v>111</v>
      </c>
      <c r="I111" s="11" t="s">
        <v>1876</v>
      </c>
      <c r="J111" s="11" t="s">
        <v>113</v>
      </c>
      <c r="K111" s="26" t="s">
        <v>114</v>
      </c>
      <c r="L111" s="26" t="s">
        <v>2982</v>
      </c>
      <c r="M111" s="11" t="s">
        <v>131</v>
      </c>
      <c r="N111" s="55">
        <v>44088</v>
      </c>
      <c r="O111" s="85" t="s">
        <v>2983</v>
      </c>
      <c r="P111" s="55">
        <v>46053</v>
      </c>
      <c r="Q111" s="16" t="s">
        <v>1011</v>
      </c>
      <c r="R111" s="17" t="s">
        <v>911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14"/>
    </row>
    <row r="112" spans="1:26" x14ac:dyDescent="0.25">
      <c r="A112" s="26" t="s">
        <v>2885</v>
      </c>
      <c r="B112" s="106" t="s">
        <v>1248</v>
      </c>
      <c r="C112" s="11" t="s">
        <v>3240</v>
      </c>
      <c r="D112" s="55">
        <v>42979</v>
      </c>
      <c r="E112" s="55">
        <v>45534</v>
      </c>
      <c r="F112" s="26" t="s">
        <v>2887</v>
      </c>
      <c r="G112" s="162" t="s">
        <v>1119</v>
      </c>
      <c r="H112" s="11" t="s">
        <v>111</v>
      </c>
      <c r="I112" s="11" t="s">
        <v>1880</v>
      </c>
      <c r="J112" s="11" t="s">
        <v>113</v>
      </c>
      <c r="K112" s="26" t="s">
        <v>114</v>
      </c>
      <c r="L112" s="26" t="s">
        <v>3241</v>
      </c>
      <c r="M112" s="11" t="s">
        <v>131</v>
      </c>
      <c r="N112" s="55">
        <v>44088</v>
      </c>
      <c r="O112" s="85" t="s">
        <v>3242</v>
      </c>
      <c r="P112" s="55">
        <v>45534</v>
      </c>
      <c r="Q112" s="16" t="s">
        <v>1011</v>
      </c>
      <c r="R112" s="17" t="s">
        <v>911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87" t="s">
        <v>155</v>
      </c>
      <c r="Z112" s="109"/>
    </row>
    <row r="113" spans="1:26" x14ac:dyDescent="0.25">
      <c r="A113" s="26" t="s">
        <v>2885</v>
      </c>
      <c r="B113" s="106" t="s">
        <v>257</v>
      </c>
      <c r="C113" s="11" t="s">
        <v>3243</v>
      </c>
      <c r="D113" s="55">
        <v>42826</v>
      </c>
      <c r="E113" s="55">
        <v>43539</v>
      </c>
      <c r="F113" s="26" t="s">
        <v>2887</v>
      </c>
      <c r="G113" s="162" t="s">
        <v>2843</v>
      </c>
      <c r="H113" s="11" t="s">
        <v>111</v>
      </c>
      <c r="I113" s="11"/>
      <c r="J113" s="11" t="s">
        <v>113</v>
      </c>
      <c r="K113" s="26" t="s">
        <v>82</v>
      </c>
      <c r="L113" s="26" t="s">
        <v>3244</v>
      </c>
      <c r="M113" s="11" t="s">
        <v>3245</v>
      </c>
      <c r="N113" s="55">
        <v>43509</v>
      </c>
      <c r="O113" s="85" t="s">
        <v>3246</v>
      </c>
      <c r="P113" s="55">
        <v>43555</v>
      </c>
      <c r="Q113" s="55" t="s">
        <v>911</v>
      </c>
      <c r="R113" s="17" t="s">
        <v>912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9" t="s">
        <v>999</v>
      </c>
    </row>
    <row r="114" spans="1:26" x14ac:dyDescent="0.25">
      <c r="A114" s="26" t="s">
        <v>2885</v>
      </c>
      <c r="B114" s="106" t="s">
        <v>263</v>
      </c>
      <c r="C114" s="11" t="s">
        <v>3247</v>
      </c>
      <c r="D114" s="55">
        <v>42814</v>
      </c>
      <c r="E114" s="55">
        <v>45838</v>
      </c>
      <c r="F114" s="26" t="s">
        <v>2887</v>
      </c>
      <c r="G114" s="162" t="s">
        <v>1124</v>
      </c>
      <c r="H114" s="11" t="s">
        <v>111</v>
      </c>
      <c r="I114" s="11" t="s">
        <v>2847</v>
      </c>
      <c r="J114" s="11" t="s">
        <v>113</v>
      </c>
      <c r="K114" s="26" t="s">
        <v>114</v>
      </c>
      <c r="L114" s="26" t="s">
        <v>3248</v>
      </c>
      <c r="M114" s="11" t="s">
        <v>131</v>
      </c>
      <c r="N114" s="55">
        <v>44088</v>
      </c>
      <c r="O114" s="85" t="s">
        <v>3249</v>
      </c>
      <c r="P114" s="55">
        <v>45838</v>
      </c>
      <c r="Q114" s="16" t="s">
        <v>1011</v>
      </c>
      <c r="R114" s="17" t="s">
        <v>3545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87" t="s">
        <v>125</v>
      </c>
    </row>
    <row r="115" spans="1:26" x14ac:dyDescent="0.25">
      <c r="A115" s="26" t="s">
        <v>2885</v>
      </c>
      <c r="B115" s="106" t="s">
        <v>1254</v>
      </c>
      <c r="C115" s="11" t="s">
        <v>3250</v>
      </c>
      <c r="D115" s="55">
        <v>42915</v>
      </c>
      <c r="E115" s="55">
        <v>45834</v>
      </c>
      <c r="F115" s="26" t="s">
        <v>2887</v>
      </c>
      <c r="G115" s="162" t="s">
        <v>1129</v>
      </c>
      <c r="H115" s="11" t="s">
        <v>111</v>
      </c>
      <c r="I115" s="11" t="s">
        <v>2848</v>
      </c>
      <c r="J115" s="11" t="s">
        <v>113</v>
      </c>
      <c r="K115" s="26" t="s">
        <v>114</v>
      </c>
      <c r="L115" s="26" t="s">
        <v>3251</v>
      </c>
      <c r="M115" s="11" t="s">
        <v>131</v>
      </c>
      <c r="N115" s="55">
        <v>44088</v>
      </c>
      <c r="O115" s="85" t="s">
        <v>3252</v>
      </c>
      <c r="P115" s="55">
        <v>45834</v>
      </c>
      <c r="Q115" s="16" t="s">
        <v>1011</v>
      </c>
      <c r="R115" s="17" t="s">
        <v>911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14"/>
    </row>
    <row r="116" spans="1:26" x14ac:dyDescent="0.25">
      <c r="A116" s="26" t="s">
        <v>2885</v>
      </c>
      <c r="B116" s="106" t="s">
        <v>1260</v>
      </c>
      <c r="C116" s="11" t="s">
        <v>3253</v>
      </c>
      <c r="D116" s="55">
        <v>42856</v>
      </c>
      <c r="E116" s="55">
        <v>43496</v>
      </c>
      <c r="F116" s="26" t="s">
        <v>2887</v>
      </c>
      <c r="G116" s="162" t="s">
        <v>2851</v>
      </c>
      <c r="H116" s="11" t="s">
        <v>111</v>
      </c>
      <c r="I116" s="11"/>
      <c r="J116" s="11" t="s">
        <v>113</v>
      </c>
      <c r="K116" s="26" t="s">
        <v>82</v>
      </c>
      <c r="L116" s="26" t="s">
        <v>3254</v>
      </c>
      <c r="M116" s="11" t="s">
        <v>3255</v>
      </c>
      <c r="N116" s="55">
        <v>43509</v>
      </c>
      <c r="O116" s="85" t="s">
        <v>3256</v>
      </c>
      <c r="P116" s="55">
        <v>43496</v>
      </c>
      <c r="Q116" s="55" t="s">
        <v>911</v>
      </c>
      <c r="R116" s="17" t="s">
        <v>912</v>
      </c>
      <c r="S116" s="23">
        <v>0</v>
      </c>
      <c r="T116" s="23">
        <v>0</v>
      </c>
      <c r="U116" s="23">
        <v>0</v>
      </c>
      <c r="V116" s="23">
        <v>0</v>
      </c>
      <c r="W116" s="23">
        <v>0</v>
      </c>
      <c r="X116" s="9" t="s">
        <v>999</v>
      </c>
    </row>
    <row r="117" spans="1:26" x14ac:dyDescent="0.25">
      <c r="A117" s="26" t="s">
        <v>2885</v>
      </c>
      <c r="B117" s="106" t="s">
        <v>269</v>
      </c>
      <c r="C117" s="11" t="s">
        <v>3069</v>
      </c>
      <c r="D117" s="55">
        <v>42901</v>
      </c>
      <c r="E117" s="55">
        <v>45457</v>
      </c>
      <c r="F117" s="26" t="s">
        <v>2887</v>
      </c>
      <c r="G117" s="162" t="s">
        <v>1139</v>
      </c>
      <c r="H117" s="11" t="s">
        <v>111</v>
      </c>
      <c r="I117" s="11" t="s">
        <v>2855</v>
      </c>
      <c r="J117" s="11" t="s">
        <v>113</v>
      </c>
      <c r="K117" s="26" t="s">
        <v>114</v>
      </c>
      <c r="L117" s="26" t="s">
        <v>3257</v>
      </c>
      <c r="M117" s="11" t="s">
        <v>131</v>
      </c>
      <c r="N117" s="55">
        <v>44088</v>
      </c>
      <c r="O117" s="85" t="s">
        <v>3071</v>
      </c>
      <c r="P117" s="55">
        <v>45457</v>
      </c>
      <c r="Q117" s="16" t="s">
        <v>911</v>
      </c>
      <c r="R117" s="17" t="s">
        <v>3258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87" t="s">
        <v>155</v>
      </c>
    </row>
    <row r="118" spans="1:26" x14ac:dyDescent="0.25">
      <c r="A118" s="26" t="s">
        <v>2885</v>
      </c>
      <c r="B118" s="106" t="s">
        <v>1272</v>
      </c>
      <c r="C118" s="11" t="s">
        <v>3259</v>
      </c>
      <c r="D118" s="55">
        <v>42917</v>
      </c>
      <c r="E118" s="55">
        <v>45076</v>
      </c>
      <c r="F118" s="26" t="s">
        <v>2887</v>
      </c>
      <c r="G118" s="162" t="s">
        <v>1144</v>
      </c>
      <c r="H118" s="11" t="s">
        <v>111</v>
      </c>
      <c r="I118" s="11" t="s">
        <v>2858</v>
      </c>
      <c r="J118" s="11" t="s">
        <v>113</v>
      </c>
      <c r="K118" s="26" t="s">
        <v>114</v>
      </c>
      <c r="L118" s="26" t="s">
        <v>3260</v>
      </c>
      <c r="M118" s="11" t="s">
        <v>131</v>
      </c>
      <c r="N118" s="55">
        <v>44088</v>
      </c>
      <c r="O118" s="85" t="s">
        <v>3261</v>
      </c>
      <c r="P118" s="55">
        <v>45076</v>
      </c>
      <c r="Q118" s="55" t="s">
        <v>911</v>
      </c>
      <c r="R118" s="17" t="s">
        <v>912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93" t="s">
        <v>999</v>
      </c>
    </row>
    <row r="119" spans="1:26" x14ac:dyDescent="0.25">
      <c r="A119" s="26" t="s">
        <v>2885</v>
      </c>
      <c r="B119" s="106" t="s">
        <v>1279</v>
      </c>
      <c r="C119" s="11" t="s">
        <v>3262</v>
      </c>
      <c r="D119" s="55">
        <v>42948</v>
      </c>
      <c r="E119" s="55">
        <v>44967</v>
      </c>
      <c r="F119" s="26" t="s">
        <v>2887</v>
      </c>
      <c r="G119" s="162" t="s">
        <v>1150</v>
      </c>
      <c r="H119" s="11" t="s">
        <v>111</v>
      </c>
      <c r="I119" s="11" t="s">
        <v>2528</v>
      </c>
      <c r="J119" s="11" t="s">
        <v>113</v>
      </c>
      <c r="K119" s="26" t="s">
        <v>114</v>
      </c>
      <c r="L119" s="26" t="s">
        <v>3263</v>
      </c>
      <c r="M119" s="11" t="s">
        <v>131</v>
      </c>
      <c r="N119" s="55">
        <v>44088</v>
      </c>
      <c r="O119" s="85" t="s">
        <v>3264</v>
      </c>
      <c r="P119" s="55">
        <v>44967</v>
      </c>
      <c r="Q119" s="55" t="s">
        <v>911</v>
      </c>
      <c r="R119" s="17" t="s">
        <v>912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93" t="s">
        <v>999</v>
      </c>
    </row>
    <row r="120" spans="1:26" x14ac:dyDescent="0.25">
      <c r="A120" s="26" t="s">
        <v>2885</v>
      </c>
      <c r="B120" s="106" t="s">
        <v>1285</v>
      </c>
      <c r="C120" s="11" t="s">
        <v>3057</v>
      </c>
      <c r="D120" s="55">
        <v>42917</v>
      </c>
      <c r="E120" s="55">
        <v>45473</v>
      </c>
      <c r="F120" s="26" t="s">
        <v>2887</v>
      </c>
      <c r="G120" s="162" t="s">
        <v>179</v>
      </c>
      <c r="H120" s="11" t="s">
        <v>111</v>
      </c>
      <c r="I120" s="11" t="s">
        <v>2860</v>
      </c>
      <c r="J120" s="11" t="s">
        <v>113</v>
      </c>
      <c r="K120" s="26" t="s">
        <v>114</v>
      </c>
      <c r="L120" s="26" t="s">
        <v>3265</v>
      </c>
      <c r="M120" s="11" t="s">
        <v>131</v>
      </c>
      <c r="N120" s="55">
        <v>44088</v>
      </c>
      <c r="O120" s="85" t="s">
        <v>3059</v>
      </c>
      <c r="P120" s="55">
        <v>45473</v>
      </c>
      <c r="Q120" s="16" t="s">
        <v>911</v>
      </c>
      <c r="R120" s="17" t="s">
        <v>3266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87" t="s">
        <v>155</v>
      </c>
    </row>
    <row r="121" spans="1:26" x14ac:dyDescent="0.25">
      <c r="A121" s="26" t="s">
        <v>2885</v>
      </c>
      <c r="B121" s="106" t="s">
        <v>275</v>
      </c>
      <c r="C121" s="11" t="s">
        <v>3092</v>
      </c>
      <c r="D121" s="55">
        <v>42948</v>
      </c>
      <c r="E121" s="55">
        <v>45869</v>
      </c>
      <c r="F121" s="26" t="s">
        <v>2887</v>
      </c>
      <c r="G121" s="162" t="s">
        <v>1156</v>
      </c>
      <c r="H121" s="11" t="s">
        <v>111</v>
      </c>
      <c r="I121" s="11" t="s">
        <v>1890</v>
      </c>
      <c r="J121" s="11" t="s">
        <v>113</v>
      </c>
      <c r="K121" s="26" t="s">
        <v>114</v>
      </c>
      <c r="L121" s="26" t="s">
        <v>3267</v>
      </c>
      <c r="M121" s="11" t="s">
        <v>131</v>
      </c>
      <c r="N121" s="55">
        <v>44088</v>
      </c>
      <c r="O121" s="85" t="s">
        <v>3268</v>
      </c>
      <c r="P121" s="55">
        <v>45869</v>
      </c>
      <c r="Q121" s="16" t="s">
        <v>1011</v>
      </c>
      <c r="R121" s="17" t="s">
        <v>911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14"/>
    </row>
    <row r="122" spans="1:26" x14ac:dyDescent="0.25">
      <c r="A122" s="26" t="s">
        <v>2885</v>
      </c>
      <c r="B122" s="106" t="s">
        <v>1291</v>
      </c>
      <c r="C122" s="11" t="s">
        <v>3269</v>
      </c>
      <c r="D122" s="55">
        <v>42948</v>
      </c>
      <c r="E122" s="55">
        <v>45869</v>
      </c>
      <c r="F122" s="26" t="s">
        <v>2887</v>
      </c>
      <c r="G122" s="162" t="s">
        <v>1161</v>
      </c>
      <c r="H122" s="11" t="s">
        <v>111</v>
      </c>
      <c r="I122" s="11" t="s">
        <v>2876</v>
      </c>
      <c r="J122" s="11" t="s">
        <v>113</v>
      </c>
      <c r="K122" s="26" t="s">
        <v>114</v>
      </c>
      <c r="L122" s="26" t="s">
        <v>3270</v>
      </c>
      <c r="M122" s="11" t="s">
        <v>131</v>
      </c>
      <c r="N122" s="55">
        <v>44088</v>
      </c>
      <c r="O122" s="85" t="s">
        <v>3271</v>
      </c>
      <c r="P122" s="55">
        <v>46599</v>
      </c>
      <c r="Q122" s="91" t="s">
        <v>2681</v>
      </c>
      <c r="R122" s="17" t="s">
        <v>911</v>
      </c>
      <c r="S122" s="23">
        <v>0</v>
      </c>
      <c r="T122" s="23">
        <v>0</v>
      </c>
      <c r="U122" s="23">
        <v>0</v>
      </c>
      <c r="V122" s="23">
        <v>0</v>
      </c>
      <c r="W122" s="23">
        <v>0</v>
      </c>
      <c r="X122" s="14"/>
    </row>
    <row r="123" spans="1:26" x14ac:dyDescent="0.25">
      <c r="A123" s="26" t="s">
        <v>2885</v>
      </c>
      <c r="B123" s="106" t="s">
        <v>1297</v>
      </c>
      <c r="C123" s="11" t="s">
        <v>3272</v>
      </c>
      <c r="D123" s="55">
        <v>42917</v>
      </c>
      <c r="E123" s="55">
        <v>45657</v>
      </c>
      <c r="F123" s="26" t="s">
        <v>2887</v>
      </c>
      <c r="G123" s="162" t="s">
        <v>185</v>
      </c>
      <c r="H123" s="11" t="s">
        <v>111</v>
      </c>
      <c r="I123" s="11" t="s">
        <v>2533</v>
      </c>
      <c r="J123" s="11" t="s">
        <v>113</v>
      </c>
      <c r="K123" s="26" t="s">
        <v>114</v>
      </c>
      <c r="L123" s="26" t="s">
        <v>3273</v>
      </c>
      <c r="M123" s="11" t="s">
        <v>131</v>
      </c>
      <c r="N123" s="55">
        <v>44088</v>
      </c>
      <c r="O123" s="85" t="s">
        <v>3274</v>
      </c>
      <c r="P123" s="55">
        <v>45657</v>
      </c>
      <c r="Q123" s="16" t="s">
        <v>1011</v>
      </c>
      <c r="R123" s="17" t="s">
        <v>911</v>
      </c>
      <c r="S123" s="23">
        <v>0</v>
      </c>
      <c r="T123" s="23">
        <v>0</v>
      </c>
      <c r="U123" s="23">
        <v>0</v>
      </c>
      <c r="V123" s="23">
        <v>0</v>
      </c>
      <c r="W123" s="23">
        <v>0</v>
      </c>
      <c r="X123" s="14"/>
      <c r="Z123" s="109"/>
    </row>
    <row r="124" spans="1:26" x14ac:dyDescent="0.25">
      <c r="A124" s="26" t="s">
        <v>2885</v>
      </c>
      <c r="B124" s="106" t="s">
        <v>282</v>
      </c>
      <c r="C124" s="11" t="s">
        <v>3275</v>
      </c>
      <c r="D124" s="55">
        <v>43003</v>
      </c>
      <c r="E124" s="55">
        <v>45923</v>
      </c>
      <c r="F124" s="26" t="s">
        <v>2887</v>
      </c>
      <c r="G124" s="162" t="s">
        <v>1167</v>
      </c>
      <c r="H124" s="11" t="s">
        <v>111</v>
      </c>
      <c r="I124" s="11" t="s">
        <v>2535</v>
      </c>
      <c r="J124" s="11" t="s">
        <v>113</v>
      </c>
      <c r="K124" s="26" t="s">
        <v>114</v>
      </c>
      <c r="L124" s="26" t="s">
        <v>3276</v>
      </c>
      <c r="M124" s="11" t="s">
        <v>131</v>
      </c>
      <c r="N124" s="55">
        <v>44088</v>
      </c>
      <c r="O124" s="85" t="s">
        <v>3277</v>
      </c>
      <c r="P124" s="55">
        <v>45923</v>
      </c>
      <c r="Q124" s="16" t="s">
        <v>1011</v>
      </c>
      <c r="R124" s="17" t="s">
        <v>911</v>
      </c>
      <c r="S124" s="23">
        <v>0</v>
      </c>
      <c r="T124" s="23">
        <v>0</v>
      </c>
      <c r="U124" s="23">
        <v>0</v>
      </c>
      <c r="V124" s="23">
        <v>0</v>
      </c>
      <c r="W124" s="23">
        <v>0</v>
      </c>
      <c r="X124" s="14"/>
    </row>
    <row r="125" spans="1:26" x14ac:dyDescent="0.25">
      <c r="A125" s="26" t="s">
        <v>2885</v>
      </c>
      <c r="B125" s="106" t="s">
        <v>289</v>
      </c>
      <c r="C125" s="11" t="s">
        <v>3278</v>
      </c>
      <c r="D125" s="55">
        <v>42979</v>
      </c>
      <c r="E125" s="55">
        <v>44804</v>
      </c>
      <c r="F125" s="26" t="s">
        <v>2887</v>
      </c>
      <c r="G125" s="162" t="s">
        <v>191</v>
      </c>
      <c r="H125" s="11" t="s">
        <v>111</v>
      </c>
      <c r="I125" s="11" t="s">
        <v>2537</v>
      </c>
      <c r="J125" s="11" t="s">
        <v>113</v>
      </c>
      <c r="K125" s="26" t="s">
        <v>114</v>
      </c>
      <c r="L125" s="26" t="s">
        <v>3279</v>
      </c>
      <c r="M125" s="11" t="s">
        <v>131</v>
      </c>
      <c r="N125" s="55">
        <v>44088</v>
      </c>
      <c r="O125" s="85" t="s">
        <v>3280</v>
      </c>
      <c r="P125" s="55">
        <v>44804</v>
      </c>
      <c r="Q125" s="55" t="s">
        <v>911</v>
      </c>
      <c r="R125" s="17" t="s">
        <v>912</v>
      </c>
      <c r="S125" s="23">
        <v>0</v>
      </c>
      <c r="T125" s="23">
        <v>0</v>
      </c>
      <c r="U125" s="23">
        <v>0</v>
      </c>
      <c r="V125" s="23">
        <v>0</v>
      </c>
      <c r="W125" s="23">
        <v>0</v>
      </c>
      <c r="X125" s="9" t="s">
        <v>999</v>
      </c>
    </row>
    <row r="126" spans="1:26" x14ac:dyDescent="0.25">
      <c r="A126" s="26" t="s">
        <v>2885</v>
      </c>
      <c r="B126" s="106" t="s">
        <v>296</v>
      </c>
      <c r="C126" s="11" t="s">
        <v>3281</v>
      </c>
      <c r="D126" s="55">
        <v>43029</v>
      </c>
      <c r="E126" s="55">
        <v>44576</v>
      </c>
      <c r="F126" s="26" t="s">
        <v>2887</v>
      </c>
      <c r="G126" s="162" t="s">
        <v>1178</v>
      </c>
      <c r="H126" s="11" t="s">
        <v>111</v>
      </c>
      <c r="I126" s="11" t="s">
        <v>2541</v>
      </c>
      <c r="J126" s="11" t="s">
        <v>113</v>
      </c>
      <c r="K126" s="26" t="s">
        <v>114</v>
      </c>
      <c r="L126" s="26" t="s">
        <v>3282</v>
      </c>
      <c r="M126" s="11" t="s">
        <v>131</v>
      </c>
      <c r="N126" s="55">
        <v>44088</v>
      </c>
      <c r="O126" s="85" t="s">
        <v>3283</v>
      </c>
      <c r="P126" s="55">
        <v>44576</v>
      </c>
      <c r="Q126" s="55" t="s">
        <v>911</v>
      </c>
      <c r="R126" s="17" t="s">
        <v>912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9" t="s">
        <v>999</v>
      </c>
    </row>
    <row r="127" spans="1:26" x14ac:dyDescent="0.25">
      <c r="A127" s="26" t="s">
        <v>2885</v>
      </c>
      <c r="B127" s="106" t="s">
        <v>1309</v>
      </c>
      <c r="C127" s="11" t="s">
        <v>3284</v>
      </c>
      <c r="D127" s="55">
        <v>43040</v>
      </c>
      <c r="E127" s="55">
        <v>45292</v>
      </c>
      <c r="F127" s="26" t="s">
        <v>2887</v>
      </c>
      <c r="G127" s="162" t="s">
        <v>1183</v>
      </c>
      <c r="H127" s="11" t="s">
        <v>111</v>
      </c>
      <c r="I127" s="11" t="s">
        <v>2863</v>
      </c>
      <c r="J127" s="11" t="s">
        <v>113</v>
      </c>
      <c r="K127" s="26" t="s">
        <v>114</v>
      </c>
      <c r="L127" s="26" t="s">
        <v>3285</v>
      </c>
      <c r="M127" s="11" t="s">
        <v>131</v>
      </c>
      <c r="N127" s="55">
        <v>44088</v>
      </c>
      <c r="O127" s="85" t="s">
        <v>3286</v>
      </c>
      <c r="P127" s="55">
        <v>45292</v>
      </c>
      <c r="Q127" s="55" t="s">
        <v>911</v>
      </c>
      <c r="R127" s="17" t="s">
        <v>912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87" t="s">
        <v>1153</v>
      </c>
    </row>
    <row r="128" spans="1:26" x14ac:dyDescent="0.25">
      <c r="A128" s="26" t="s">
        <v>2885</v>
      </c>
      <c r="B128" s="106" t="s">
        <v>1315</v>
      </c>
      <c r="C128" s="11" t="s">
        <v>3287</v>
      </c>
      <c r="D128" s="55">
        <v>43146</v>
      </c>
      <c r="E128" s="55">
        <v>45648</v>
      </c>
      <c r="F128" s="26" t="s">
        <v>2887</v>
      </c>
      <c r="G128" s="162" t="s">
        <v>1187</v>
      </c>
      <c r="H128" s="11" t="s">
        <v>111</v>
      </c>
      <c r="I128" s="11" t="s">
        <v>2754</v>
      </c>
      <c r="J128" s="11" t="s">
        <v>113</v>
      </c>
      <c r="K128" s="26" t="s">
        <v>114</v>
      </c>
      <c r="L128" s="26" t="s">
        <v>3288</v>
      </c>
      <c r="M128" s="11" t="s">
        <v>139</v>
      </c>
      <c r="N128" s="55">
        <v>44088</v>
      </c>
      <c r="O128" s="85" t="s">
        <v>3289</v>
      </c>
      <c r="P128" s="55">
        <v>45648</v>
      </c>
      <c r="Q128" s="16" t="s">
        <v>1011</v>
      </c>
      <c r="R128" s="17" t="s">
        <v>911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14"/>
      <c r="Z128" s="109"/>
    </row>
    <row r="129" spans="1:26" x14ac:dyDescent="0.25">
      <c r="A129" s="26" t="s">
        <v>2885</v>
      </c>
      <c r="B129" s="106" t="s">
        <v>302</v>
      </c>
      <c r="C129" s="11" t="s">
        <v>3290</v>
      </c>
      <c r="D129" s="55">
        <v>43123</v>
      </c>
      <c r="E129" s="55">
        <v>44196</v>
      </c>
      <c r="F129" s="26" t="s">
        <v>2887</v>
      </c>
      <c r="G129" s="162" t="s">
        <v>1192</v>
      </c>
      <c r="H129" s="11" t="s">
        <v>111</v>
      </c>
      <c r="I129" s="11" t="s">
        <v>1900</v>
      </c>
      <c r="J129" s="11" t="s">
        <v>113</v>
      </c>
      <c r="K129" s="26" t="s">
        <v>82</v>
      </c>
      <c r="L129" s="26" t="s">
        <v>3291</v>
      </c>
      <c r="M129" s="11" t="s">
        <v>131</v>
      </c>
      <c r="N129" s="55">
        <v>44088</v>
      </c>
      <c r="O129" s="85" t="s">
        <v>3292</v>
      </c>
      <c r="P129" s="55">
        <v>45961</v>
      </c>
      <c r="Q129" s="16" t="s">
        <v>1011</v>
      </c>
      <c r="R129" s="17" t="s">
        <v>911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9" t="s">
        <v>3293</v>
      </c>
      <c r="Z129" s="109"/>
    </row>
    <row r="130" spans="1:26" x14ac:dyDescent="0.25">
      <c r="A130" s="26" t="s">
        <v>2885</v>
      </c>
      <c r="B130" s="106" t="s">
        <v>1320</v>
      </c>
      <c r="C130" s="11" t="s">
        <v>2991</v>
      </c>
      <c r="D130" s="55">
        <v>43081</v>
      </c>
      <c r="E130" s="55">
        <v>46002</v>
      </c>
      <c r="F130" s="26" t="s">
        <v>2887</v>
      </c>
      <c r="G130" s="162" t="s">
        <v>1197</v>
      </c>
      <c r="H130" s="11" t="s">
        <v>111</v>
      </c>
      <c r="I130" s="11" t="s">
        <v>2542</v>
      </c>
      <c r="J130" s="11" t="s">
        <v>113</v>
      </c>
      <c r="K130" s="26" t="s">
        <v>114</v>
      </c>
      <c r="L130" s="26" t="s">
        <v>2992</v>
      </c>
      <c r="M130" s="11" t="s">
        <v>174</v>
      </c>
      <c r="N130" s="55">
        <v>44088</v>
      </c>
      <c r="O130" s="85" t="s">
        <v>2993</v>
      </c>
      <c r="P130" s="55">
        <v>46002</v>
      </c>
      <c r="Q130" s="16" t="s">
        <v>1011</v>
      </c>
      <c r="R130" s="17" t="s">
        <v>911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14"/>
    </row>
    <row r="131" spans="1:26" x14ac:dyDescent="0.25">
      <c r="A131" s="26" t="s">
        <v>2885</v>
      </c>
      <c r="B131" s="106" t="s">
        <v>1325</v>
      </c>
      <c r="C131" s="11" t="s">
        <v>3294</v>
      </c>
      <c r="D131" s="55">
        <v>43153</v>
      </c>
      <c r="E131" s="55">
        <v>45660</v>
      </c>
      <c r="F131" s="26" t="s">
        <v>2887</v>
      </c>
      <c r="G131" s="162" t="s">
        <v>1202</v>
      </c>
      <c r="H131" s="11" t="s">
        <v>111</v>
      </c>
      <c r="I131" s="11" t="s">
        <v>2543</v>
      </c>
      <c r="J131" s="11" t="s">
        <v>113</v>
      </c>
      <c r="K131" s="26" t="s">
        <v>114</v>
      </c>
      <c r="L131" s="26" t="s">
        <v>3295</v>
      </c>
      <c r="M131" s="11" t="s">
        <v>139</v>
      </c>
      <c r="N131" s="55">
        <v>44088</v>
      </c>
      <c r="O131" s="85" t="s">
        <v>3296</v>
      </c>
      <c r="P131" s="55">
        <v>45660</v>
      </c>
      <c r="Q131" s="16" t="s">
        <v>1011</v>
      </c>
      <c r="R131" s="17" t="s">
        <v>911</v>
      </c>
      <c r="S131" s="23">
        <v>0</v>
      </c>
      <c r="T131" s="23">
        <v>0</v>
      </c>
      <c r="U131" s="23">
        <v>0</v>
      </c>
      <c r="V131" s="23">
        <v>0</v>
      </c>
      <c r="W131" s="23">
        <v>0</v>
      </c>
      <c r="X131" s="14"/>
      <c r="Z131" s="109"/>
    </row>
    <row r="132" spans="1:26" x14ac:dyDescent="0.25">
      <c r="A132" s="26" t="s">
        <v>2885</v>
      </c>
      <c r="B132" s="106" t="s">
        <v>1330</v>
      </c>
      <c r="C132" s="11" t="s">
        <v>3297</v>
      </c>
      <c r="D132" s="55">
        <v>43059</v>
      </c>
      <c r="E132" s="55">
        <v>45652</v>
      </c>
      <c r="F132" s="26" t="s">
        <v>2887</v>
      </c>
      <c r="G132" s="162" t="s">
        <v>197</v>
      </c>
      <c r="H132" s="11" t="s">
        <v>111</v>
      </c>
      <c r="I132" s="11" t="s">
        <v>2545</v>
      </c>
      <c r="J132" s="11" t="s">
        <v>113</v>
      </c>
      <c r="K132" s="26" t="s">
        <v>114</v>
      </c>
      <c r="L132" s="26" t="s">
        <v>3298</v>
      </c>
      <c r="M132" s="11" t="s">
        <v>139</v>
      </c>
      <c r="N132" s="55">
        <v>44088</v>
      </c>
      <c r="O132" s="85" t="s">
        <v>3299</v>
      </c>
      <c r="P132" s="55">
        <v>45652</v>
      </c>
      <c r="Q132" s="16" t="s">
        <v>1011</v>
      </c>
      <c r="R132" s="17" t="s">
        <v>911</v>
      </c>
      <c r="S132" s="23">
        <v>0</v>
      </c>
      <c r="T132" s="23">
        <v>0</v>
      </c>
      <c r="U132" s="23">
        <v>0</v>
      </c>
      <c r="V132" s="23">
        <v>0</v>
      </c>
      <c r="W132" s="23">
        <v>0</v>
      </c>
      <c r="X132" s="14"/>
      <c r="Z132" s="109"/>
    </row>
    <row r="133" spans="1:26" x14ac:dyDescent="0.25">
      <c r="A133" s="26" t="s">
        <v>2885</v>
      </c>
      <c r="B133" s="106" t="s">
        <v>1335</v>
      </c>
      <c r="C133" s="11" t="s">
        <v>2997</v>
      </c>
      <c r="D133" s="55">
        <v>43115</v>
      </c>
      <c r="E133" s="55">
        <v>46036</v>
      </c>
      <c r="F133" s="26" t="s">
        <v>2887</v>
      </c>
      <c r="G133" s="162" t="s">
        <v>1904</v>
      </c>
      <c r="H133" s="11" t="s">
        <v>111</v>
      </c>
      <c r="I133" s="11" t="s">
        <v>2549</v>
      </c>
      <c r="J133" s="11" t="s">
        <v>113</v>
      </c>
      <c r="K133" s="26" t="s">
        <v>114</v>
      </c>
      <c r="L133" s="26" t="s">
        <v>2998</v>
      </c>
      <c r="M133" s="11" t="s">
        <v>131</v>
      </c>
      <c r="N133" s="55">
        <v>44088</v>
      </c>
      <c r="O133" s="85" t="s">
        <v>2999</v>
      </c>
      <c r="P133" s="55">
        <v>46036</v>
      </c>
      <c r="Q133" s="16" t="s">
        <v>1011</v>
      </c>
      <c r="R133" s="17" t="s">
        <v>911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14"/>
    </row>
    <row r="134" spans="1:26" x14ac:dyDescent="0.25">
      <c r="A134" s="26" t="s">
        <v>2885</v>
      </c>
      <c r="B134" s="106" t="s">
        <v>682</v>
      </c>
      <c r="C134" s="11" t="s">
        <v>3300</v>
      </c>
      <c r="D134" s="55">
        <v>41548</v>
      </c>
      <c r="E134" s="55">
        <v>45931</v>
      </c>
      <c r="F134" s="26" t="s">
        <v>2887</v>
      </c>
      <c r="G134" s="162" t="s">
        <v>1212</v>
      </c>
      <c r="H134" s="11" t="s">
        <v>111</v>
      </c>
      <c r="I134" s="11" t="s">
        <v>2764</v>
      </c>
      <c r="J134" s="11" t="s">
        <v>113</v>
      </c>
      <c r="K134" s="26" t="s">
        <v>114</v>
      </c>
      <c r="L134" s="26" t="s">
        <v>3301</v>
      </c>
      <c r="M134" s="11" t="s">
        <v>3206</v>
      </c>
      <c r="N134" s="55">
        <v>44088</v>
      </c>
      <c r="O134" s="85" t="s">
        <v>3207</v>
      </c>
      <c r="P134" s="55">
        <v>45931</v>
      </c>
      <c r="Q134" s="16" t="s">
        <v>1011</v>
      </c>
      <c r="R134" s="17" t="s">
        <v>911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14"/>
    </row>
    <row r="135" spans="1:26" x14ac:dyDescent="0.25">
      <c r="A135" s="26" t="s">
        <v>2885</v>
      </c>
      <c r="B135" s="106" t="s">
        <v>320</v>
      </c>
      <c r="C135" s="11" t="s">
        <v>3302</v>
      </c>
      <c r="D135" s="55">
        <v>43374</v>
      </c>
      <c r="E135" s="55">
        <v>45210</v>
      </c>
      <c r="F135" s="26" t="s">
        <v>2887</v>
      </c>
      <c r="G135" s="162" t="s">
        <v>2776</v>
      </c>
      <c r="H135" s="11" t="s">
        <v>111</v>
      </c>
      <c r="I135" s="11"/>
      <c r="J135" s="11" t="s">
        <v>113</v>
      </c>
      <c r="K135" s="26" t="s">
        <v>469</v>
      </c>
      <c r="L135" s="26" t="s">
        <v>910</v>
      </c>
      <c r="M135" s="11" t="s">
        <v>131</v>
      </c>
      <c r="N135" s="55">
        <v>43587</v>
      </c>
      <c r="O135" s="85" t="s">
        <v>3077</v>
      </c>
      <c r="P135" s="55">
        <v>45210</v>
      </c>
      <c r="Q135" s="16" t="s">
        <v>1011</v>
      </c>
      <c r="R135" s="17" t="s">
        <v>912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93" t="s">
        <v>3303</v>
      </c>
    </row>
    <row r="136" spans="1:26" x14ac:dyDescent="0.25">
      <c r="A136" s="26" t="s">
        <v>2885</v>
      </c>
      <c r="B136" s="106" t="s">
        <v>1357</v>
      </c>
      <c r="C136" s="11" t="s">
        <v>3304</v>
      </c>
      <c r="D136" s="55">
        <v>43554</v>
      </c>
      <c r="E136" s="55">
        <v>45745</v>
      </c>
      <c r="F136" s="26" t="s">
        <v>2887</v>
      </c>
      <c r="G136" s="162" t="s">
        <v>3305</v>
      </c>
      <c r="H136" s="11" t="s">
        <v>111</v>
      </c>
      <c r="I136" s="11"/>
      <c r="J136" s="11" t="s">
        <v>113</v>
      </c>
      <c r="K136" s="26" t="s">
        <v>469</v>
      </c>
      <c r="L136" s="26" t="s">
        <v>3306</v>
      </c>
      <c r="M136" s="11" t="s">
        <v>174</v>
      </c>
      <c r="N136" s="55">
        <v>43647</v>
      </c>
      <c r="O136" s="85" t="s">
        <v>3307</v>
      </c>
      <c r="P136" s="55">
        <v>45745</v>
      </c>
      <c r="Q136" s="55" t="s">
        <v>911</v>
      </c>
      <c r="R136" s="17" t="s">
        <v>911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14"/>
      <c r="Z136" s="109"/>
    </row>
    <row r="137" spans="1:26" x14ac:dyDescent="0.25">
      <c r="A137" s="26" t="s">
        <v>2885</v>
      </c>
      <c r="B137" s="106" t="s">
        <v>333</v>
      </c>
      <c r="C137" s="11" t="s">
        <v>3308</v>
      </c>
      <c r="D137" s="55">
        <v>43237</v>
      </c>
      <c r="E137" s="55">
        <v>45428</v>
      </c>
      <c r="F137" s="26" t="s">
        <v>2887</v>
      </c>
      <c r="G137" s="162" t="s">
        <v>3309</v>
      </c>
      <c r="H137" s="11" t="s">
        <v>111</v>
      </c>
      <c r="I137" s="11"/>
      <c r="J137" s="11" t="s">
        <v>113</v>
      </c>
      <c r="K137" s="26" t="s">
        <v>469</v>
      </c>
      <c r="L137" s="26" t="s">
        <v>3310</v>
      </c>
      <c r="M137" s="11" t="s">
        <v>146</v>
      </c>
      <c r="N137" s="55">
        <v>43647</v>
      </c>
      <c r="O137" s="85" t="s">
        <v>3311</v>
      </c>
      <c r="P137" s="55">
        <v>45428</v>
      </c>
      <c r="Q137" s="16" t="s">
        <v>911</v>
      </c>
      <c r="R137" s="66" t="s">
        <v>3312</v>
      </c>
      <c r="S137" s="23">
        <v>0</v>
      </c>
      <c r="T137" s="23">
        <v>0</v>
      </c>
      <c r="U137" s="23">
        <v>0</v>
      </c>
      <c r="V137" s="23">
        <v>0</v>
      </c>
      <c r="W137" s="23">
        <v>0</v>
      </c>
      <c r="X137" s="93"/>
    </row>
    <row r="138" spans="1:26" x14ac:dyDescent="0.25">
      <c r="A138" s="26" t="s">
        <v>2885</v>
      </c>
      <c r="B138" s="106" t="s">
        <v>340</v>
      </c>
      <c r="C138" s="11" t="s">
        <v>3072</v>
      </c>
      <c r="D138" s="55">
        <v>43466</v>
      </c>
      <c r="E138" s="55">
        <v>45551</v>
      </c>
      <c r="F138" s="26" t="s">
        <v>2887</v>
      </c>
      <c r="G138" s="162" t="s">
        <v>2565</v>
      </c>
      <c r="H138" s="11" t="s">
        <v>111</v>
      </c>
      <c r="I138" s="11"/>
      <c r="J138" s="11" t="s">
        <v>113</v>
      </c>
      <c r="K138" s="26" t="s">
        <v>469</v>
      </c>
      <c r="L138" s="26" t="s">
        <v>3313</v>
      </c>
      <c r="M138" s="11" t="s">
        <v>3314</v>
      </c>
      <c r="N138" s="55">
        <v>43647</v>
      </c>
      <c r="O138" s="85" t="s">
        <v>3074</v>
      </c>
      <c r="P138" s="55">
        <v>45551</v>
      </c>
      <c r="Q138" s="131" t="s">
        <v>911</v>
      </c>
      <c r="R138" s="17" t="s">
        <v>3315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87" t="s">
        <v>155</v>
      </c>
    </row>
    <row r="139" spans="1:26" x14ac:dyDescent="0.25">
      <c r="A139" s="26" t="s">
        <v>2885</v>
      </c>
      <c r="B139" s="106" t="s">
        <v>347</v>
      </c>
      <c r="C139" s="11" t="s">
        <v>3316</v>
      </c>
      <c r="D139" s="55">
        <v>43363</v>
      </c>
      <c r="E139" s="55">
        <v>44465</v>
      </c>
      <c r="F139" s="26" t="s">
        <v>2887</v>
      </c>
      <c r="G139" s="162" t="s">
        <v>1229</v>
      </c>
      <c r="H139" s="11" t="s">
        <v>111</v>
      </c>
      <c r="I139" s="11" t="s">
        <v>3317</v>
      </c>
      <c r="J139" s="11" t="s">
        <v>113</v>
      </c>
      <c r="K139" s="26" t="s">
        <v>114</v>
      </c>
      <c r="L139" s="26" t="s">
        <v>3318</v>
      </c>
      <c r="M139" s="11" t="s">
        <v>174</v>
      </c>
      <c r="N139" s="55">
        <v>44088</v>
      </c>
      <c r="O139" s="85" t="s">
        <v>3319</v>
      </c>
      <c r="P139" s="55">
        <v>44459</v>
      </c>
      <c r="Q139" s="55" t="s">
        <v>911</v>
      </c>
      <c r="R139" s="17" t="s">
        <v>912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9" t="s">
        <v>999</v>
      </c>
    </row>
    <row r="140" spans="1:26" x14ac:dyDescent="0.25">
      <c r="A140" s="26" t="s">
        <v>2885</v>
      </c>
      <c r="B140" s="106" t="s">
        <v>1363</v>
      </c>
      <c r="C140" s="11" t="s">
        <v>3320</v>
      </c>
      <c r="D140" s="55">
        <v>43466</v>
      </c>
      <c r="E140" s="55">
        <v>45604</v>
      </c>
      <c r="F140" s="26" t="s">
        <v>2887</v>
      </c>
      <c r="G140" s="162" t="s">
        <v>3321</v>
      </c>
      <c r="H140" s="11" t="s">
        <v>111</v>
      </c>
      <c r="I140" s="11"/>
      <c r="J140" s="11" t="s">
        <v>113</v>
      </c>
      <c r="K140" s="26" t="s">
        <v>469</v>
      </c>
      <c r="L140" s="26" t="s">
        <v>3322</v>
      </c>
      <c r="M140" s="11" t="s">
        <v>3323</v>
      </c>
      <c r="N140" s="55">
        <v>43647</v>
      </c>
      <c r="O140" s="85" t="s">
        <v>3324</v>
      </c>
      <c r="P140" s="55">
        <v>45604</v>
      </c>
      <c r="Q140" s="16" t="s">
        <v>1011</v>
      </c>
      <c r="R140" s="17" t="s">
        <v>911</v>
      </c>
      <c r="S140" s="23">
        <v>0</v>
      </c>
      <c r="T140" s="23">
        <v>0</v>
      </c>
      <c r="U140" s="23">
        <v>0</v>
      </c>
      <c r="V140" s="23">
        <v>0</v>
      </c>
      <c r="W140" s="23">
        <v>0</v>
      </c>
      <c r="X140" s="14"/>
      <c r="Z140" s="109"/>
    </row>
    <row r="141" spans="1:26" x14ac:dyDescent="0.25">
      <c r="A141" s="26" t="s">
        <v>2885</v>
      </c>
      <c r="B141" s="106" t="s">
        <v>360</v>
      </c>
      <c r="C141" s="11" t="s">
        <v>3041</v>
      </c>
      <c r="D141" s="55">
        <v>43500</v>
      </c>
      <c r="E141" s="55">
        <v>45398</v>
      </c>
      <c r="F141" s="26" t="s">
        <v>2887</v>
      </c>
      <c r="G141" s="162" t="s">
        <v>3325</v>
      </c>
      <c r="H141" s="11" t="s">
        <v>111</v>
      </c>
      <c r="I141" s="11"/>
      <c r="J141" s="11" t="s">
        <v>113</v>
      </c>
      <c r="K141" s="26" t="s">
        <v>469</v>
      </c>
      <c r="L141" s="26" t="s">
        <v>3326</v>
      </c>
      <c r="M141" s="11" t="s">
        <v>131</v>
      </c>
      <c r="N141" s="55">
        <v>43798</v>
      </c>
      <c r="O141" s="85" t="s">
        <v>3042</v>
      </c>
      <c r="P141" s="55">
        <v>45398</v>
      </c>
      <c r="Q141" s="16" t="s">
        <v>911</v>
      </c>
      <c r="R141" s="66" t="s">
        <v>3327</v>
      </c>
      <c r="S141" s="23">
        <v>0</v>
      </c>
      <c r="T141" s="23">
        <v>0</v>
      </c>
      <c r="U141" s="23">
        <v>0</v>
      </c>
      <c r="V141" s="23">
        <v>0</v>
      </c>
      <c r="W141" s="23">
        <v>0</v>
      </c>
      <c r="X141" s="9"/>
    </row>
    <row r="142" spans="1:26" x14ac:dyDescent="0.25">
      <c r="A142" s="26" t="s">
        <v>2885</v>
      </c>
      <c r="B142" s="106" t="s">
        <v>366</v>
      </c>
      <c r="C142" s="11" t="s">
        <v>3328</v>
      </c>
      <c r="D142" s="55">
        <v>43466</v>
      </c>
      <c r="E142" s="55">
        <v>45901</v>
      </c>
      <c r="F142" s="26" t="s">
        <v>2887</v>
      </c>
      <c r="G142" s="162" t="s">
        <v>2572</v>
      </c>
      <c r="H142" s="11" t="s">
        <v>111</v>
      </c>
      <c r="I142" s="11"/>
      <c r="J142" s="11" t="s">
        <v>113</v>
      </c>
      <c r="K142" s="26" t="s">
        <v>469</v>
      </c>
      <c r="L142" s="26" t="s">
        <v>3329</v>
      </c>
      <c r="M142" s="11" t="s">
        <v>116</v>
      </c>
      <c r="N142" s="55">
        <v>44000</v>
      </c>
      <c r="O142" s="85" t="s">
        <v>3330</v>
      </c>
      <c r="P142" s="55">
        <v>45901</v>
      </c>
      <c r="Q142" s="16" t="s">
        <v>1011</v>
      </c>
      <c r="R142" s="17" t="s">
        <v>911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  <c r="X142" s="14"/>
    </row>
    <row r="143" spans="1:26" x14ac:dyDescent="0.25">
      <c r="A143" s="26" t="s">
        <v>2885</v>
      </c>
      <c r="B143" s="106" t="s">
        <v>1374</v>
      </c>
      <c r="C143" s="11" t="s">
        <v>3010</v>
      </c>
      <c r="D143" s="55">
        <v>43480</v>
      </c>
      <c r="E143" s="55">
        <v>46036</v>
      </c>
      <c r="F143" s="26" t="s">
        <v>2887</v>
      </c>
      <c r="G143" s="162" t="s">
        <v>2574</v>
      </c>
      <c r="H143" s="11" t="s">
        <v>111</v>
      </c>
      <c r="I143" s="11"/>
      <c r="J143" s="11" t="s">
        <v>113</v>
      </c>
      <c r="K143" s="26" t="s">
        <v>469</v>
      </c>
      <c r="L143" s="26" t="s">
        <v>3011</v>
      </c>
      <c r="M143" s="11" t="s">
        <v>139</v>
      </c>
      <c r="N143" s="55">
        <v>44000</v>
      </c>
      <c r="O143" s="85" t="s">
        <v>3012</v>
      </c>
      <c r="P143" s="55">
        <v>46036</v>
      </c>
      <c r="Q143" s="16" t="s">
        <v>1011</v>
      </c>
      <c r="R143" s="17" t="s">
        <v>911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87" t="s">
        <v>125</v>
      </c>
    </row>
    <row r="144" spans="1:26" x14ac:dyDescent="0.25">
      <c r="A144" s="26" t="s">
        <v>2885</v>
      </c>
      <c r="B144" s="106" t="s">
        <v>1379</v>
      </c>
      <c r="C144" s="11" t="s">
        <v>3013</v>
      </c>
      <c r="D144" s="55">
        <v>43709</v>
      </c>
      <c r="E144" s="55">
        <v>46001</v>
      </c>
      <c r="F144" s="26" t="s">
        <v>2887</v>
      </c>
      <c r="G144" s="162" t="s">
        <v>3014</v>
      </c>
      <c r="H144" s="11" t="s">
        <v>111</v>
      </c>
      <c r="I144" s="11"/>
      <c r="J144" s="11" t="s">
        <v>113</v>
      </c>
      <c r="K144" s="26" t="s">
        <v>469</v>
      </c>
      <c r="L144" s="26" t="s">
        <v>3015</v>
      </c>
      <c r="M144" s="11" t="s">
        <v>3016</v>
      </c>
      <c r="N144" s="55">
        <v>44000</v>
      </c>
      <c r="O144" s="85" t="s">
        <v>3017</v>
      </c>
      <c r="P144" s="55">
        <v>46001</v>
      </c>
      <c r="Q144" s="16" t="s">
        <v>1011</v>
      </c>
      <c r="R144" s="17" t="s">
        <v>911</v>
      </c>
      <c r="S144" s="23">
        <v>0</v>
      </c>
      <c r="T144" s="23">
        <v>0</v>
      </c>
      <c r="U144" s="23">
        <v>0</v>
      </c>
      <c r="V144" s="23">
        <v>0</v>
      </c>
      <c r="W144" s="23">
        <v>0</v>
      </c>
      <c r="X144" s="14"/>
    </row>
    <row r="145" spans="1:16378" x14ac:dyDescent="0.25">
      <c r="A145" s="26" t="s">
        <v>2885</v>
      </c>
      <c r="B145" s="106" t="s">
        <v>1385</v>
      </c>
      <c r="C145" s="11" t="s">
        <v>3331</v>
      </c>
      <c r="D145" s="55">
        <v>43535</v>
      </c>
      <c r="E145" s="55">
        <v>45726</v>
      </c>
      <c r="F145" s="26" t="s">
        <v>2887</v>
      </c>
      <c r="G145" s="162" t="s">
        <v>3332</v>
      </c>
      <c r="H145" s="11" t="s">
        <v>111</v>
      </c>
      <c r="I145" s="11"/>
      <c r="J145" s="11" t="s">
        <v>113</v>
      </c>
      <c r="K145" s="26" t="s">
        <v>469</v>
      </c>
      <c r="L145" s="26" t="s">
        <v>3333</v>
      </c>
      <c r="M145" s="11" t="s">
        <v>116</v>
      </c>
      <c r="N145" s="55">
        <v>44000</v>
      </c>
      <c r="O145" s="85" t="s">
        <v>3334</v>
      </c>
      <c r="P145" s="55">
        <v>45726</v>
      </c>
      <c r="Q145" s="55" t="s">
        <v>911</v>
      </c>
      <c r="R145" s="17" t="s">
        <v>3559</v>
      </c>
      <c r="S145" s="23">
        <v>0</v>
      </c>
      <c r="T145" s="23">
        <v>0</v>
      </c>
      <c r="U145" s="23">
        <v>0</v>
      </c>
      <c r="V145" s="23">
        <v>0</v>
      </c>
      <c r="W145" s="23">
        <v>0</v>
      </c>
      <c r="X145" s="14"/>
      <c r="Z145" s="109"/>
    </row>
    <row r="146" spans="1:16378" x14ac:dyDescent="0.25">
      <c r="A146" s="26" t="s">
        <v>2885</v>
      </c>
      <c r="B146" s="106" t="s">
        <v>1390</v>
      </c>
      <c r="C146" s="11" t="s">
        <v>3089</v>
      </c>
      <c r="D146" s="55">
        <v>43556</v>
      </c>
      <c r="E146" s="55">
        <v>45382</v>
      </c>
      <c r="F146" s="26" t="s">
        <v>2887</v>
      </c>
      <c r="G146" s="162" t="s">
        <v>3335</v>
      </c>
      <c r="H146" s="11" t="s">
        <v>111</v>
      </c>
      <c r="I146" s="11"/>
      <c r="J146" s="11" t="s">
        <v>113</v>
      </c>
      <c r="K146" s="26" t="s">
        <v>469</v>
      </c>
      <c r="L146" s="26" t="s">
        <v>3336</v>
      </c>
      <c r="M146" s="11" t="s">
        <v>116</v>
      </c>
      <c r="N146" s="55">
        <v>44001</v>
      </c>
      <c r="O146" s="85" t="s">
        <v>3091</v>
      </c>
      <c r="P146" s="55">
        <v>45382</v>
      </c>
      <c r="Q146" s="16" t="s">
        <v>1011</v>
      </c>
      <c r="R146" s="17" t="s">
        <v>3337</v>
      </c>
      <c r="S146" s="23">
        <v>0</v>
      </c>
      <c r="T146" s="23">
        <v>0</v>
      </c>
      <c r="U146" s="23">
        <v>0</v>
      </c>
      <c r="V146" s="23">
        <v>0</v>
      </c>
      <c r="W146" s="23">
        <v>0</v>
      </c>
      <c r="X146" s="87" t="s">
        <v>155</v>
      </c>
      <c r="Z146" s="109"/>
    </row>
    <row r="147" spans="1:16378" x14ac:dyDescent="0.25">
      <c r="A147" s="26" t="s">
        <v>2885</v>
      </c>
      <c r="B147" s="106" t="s">
        <v>372</v>
      </c>
      <c r="C147" s="11" t="s">
        <v>3338</v>
      </c>
      <c r="D147" s="55">
        <v>43466</v>
      </c>
      <c r="E147" s="55">
        <v>45291</v>
      </c>
      <c r="F147" s="26" t="s">
        <v>2887</v>
      </c>
      <c r="G147" s="162" t="s">
        <v>2580</v>
      </c>
      <c r="H147" s="11" t="s">
        <v>111</v>
      </c>
      <c r="I147" s="11"/>
      <c r="J147" s="11" t="s">
        <v>113</v>
      </c>
      <c r="K147" s="26" t="s">
        <v>469</v>
      </c>
      <c r="L147" s="26" t="s">
        <v>3339</v>
      </c>
      <c r="M147" s="11" t="s">
        <v>139</v>
      </c>
      <c r="N147" s="55">
        <v>44001</v>
      </c>
      <c r="O147" s="85" t="s">
        <v>3340</v>
      </c>
      <c r="P147" s="55">
        <v>45291</v>
      </c>
      <c r="Q147" s="55" t="s">
        <v>911</v>
      </c>
      <c r="R147" s="17" t="s">
        <v>912</v>
      </c>
      <c r="S147" s="23">
        <v>0</v>
      </c>
      <c r="T147" s="23">
        <v>0</v>
      </c>
      <c r="U147" s="23">
        <v>0</v>
      </c>
      <c r="V147" s="23">
        <v>0</v>
      </c>
      <c r="W147" s="23">
        <v>0</v>
      </c>
      <c r="X147" s="93" t="s">
        <v>999</v>
      </c>
    </row>
    <row r="148" spans="1:16378" x14ac:dyDescent="0.25">
      <c r="A148" s="26" t="s">
        <v>2885</v>
      </c>
      <c r="B148" s="106" t="s">
        <v>1397</v>
      </c>
      <c r="C148" s="11" t="s">
        <v>3063</v>
      </c>
      <c r="D148" s="55">
        <v>43678</v>
      </c>
      <c r="E148" s="55">
        <v>45504</v>
      </c>
      <c r="F148" s="26" t="s">
        <v>2887</v>
      </c>
      <c r="G148" s="162" t="s">
        <v>3341</v>
      </c>
      <c r="H148" s="11" t="s">
        <v>111</v>
      </c>
      <c r="I148" s="11"/>
      <c r="J148" s="11" t="s">
        <v>113</v>
      </c>
      <c r="K148" s="26" t="s">
        <v>469</v>
      </c>
      <c r="L148" s="26" t="s">
        <v>3342</v>
      </c>
      <c r="M148" s="11" t="s">
        <v>255</v>
      </c>
      <c r="N148" s="55">
        <v>44001</v>
      </c>
      <c r="O148" s="85" t="s">
        <v>3065</v>
      </c>
      <c r="P148" s="55">
        <v>45504</v>
      </c>
      <c r="Q148" s="16" t="s">
        <v>911</v>
      </c>
      <c r="R148" s="17" t="s">
        <v>3343</v>
      </c>
      <c r="S148" s="23">
        <v>0</v>
      </c>
      <c r="T148" s="23">
        <v>0</v>
      </c>
      <c r="U148" s="23">
        <v>0</v>
      </c>
      <c r="V148" s="23">
        <v>0</v>
      </c>
      <c r="W148" s="23">
        <v>0</v>
      </c>
      <c r="X148" s="87" t="s">
        <v>155</v>
      </c>
    </row>
    <row r="149" spans="1:16378" x14ac:dyDescent="0.25">
      <c r="A149" s="26" t="s">
        <v>2885</v>
      </c>
      <c r="B149" s="106" t="s">
        <v>1403</v>
      </c>
      <c r="C149" s="11" t="s">
        <v>3344</v>
      </c>
      <c r="D149" s="55">
        <v>43466</v>
      </c>
      <c r="E149" s="55">
        <v>45549</v>
      </c>
      <c r="F149" s="26" t="s">
        <v>2887</v>
      </c>
      <c r="G149" s="162" t="s">
        <v>3345</v>
      </c>
      <c r="H149" s="11" t="s">
        <v>111</v>
      </c>
      <c r="I149" s="11"/>
      <c r="J149" s="11" t="s">
        <v>113</v>
      </c>
      <c r="K149" s="26" t="s">
        <v>469</v>
      </c>
      <c r="L149" s="26" t="s">
        <v>3346</v>
      </c>
      <c r="M149" s="11" t="s">
        <v>3314</v>
      </c>
      <c r="N149" s="55">
        <v>44001</v>
      </c>
      <c r="O149" s="85" t="s">
        <v>3347</v>
      </c>
      <c r="P149" s="55">
        <v>45549</v>
      </c>
      <c r="Q149" s="16" t="s">
        <v>1011</v>
      </c>
      <c r="R149" s="17" t="s">
        <v>911</v>
      </c>
      <c r="S149" s="23">
        <v>0</v>
      </c>
      <c r="T149" s="23">
        <v>0</v>
      </c>
      <c r="U149" s="23">
        <v>0</v>
      </c>
      <c r="V149" s="23">
        <v>0</v>
      </c>
      <c r="W149" s="23">
        <v>0</v>
      </c>
      <c r="X149" s="87" t="s">
        <v>155</v>
      </c>
      <c r="Z149" s="109"/>
    </row>
    <row r="150" spans="1:16378" x14ac:dyDescent="0.25">
      <c r="A150" s="26" t="s">
        <v>2885</v>
      </c>
      <c r="B150" s="106" t="s">
        <v>1414</v>
      </c>
      <c r="C150" s="11" t="s">
        <v>3348</v>
      </c>
      <c r="D150" s="55">
        <v>43513</v>
      </c>
      <c r="E150" s="55">
        <v>44957</v>
      </c>
      <c r="F150" s="26" t="s">
        <v>2887</v>
      </c>
      <c r="G150" s="162" t="s">
        <v>3349</v>
      </c>
      <c r="H150" s="11" t="s">
        <v>111</v>
      </c>
      <c r="I150" s="11"/>
      <c r="J150" s="11" t="s">
        <v>113</v>
      </c>
      <c r="K150" s="26" t="s">
        <v>469</v>
      </c>
      <c r="L150" s="26" t="s">
        <v>3350</v>
      </c>
      <c r="M150" s="11" t="s">
        <v>116</v>
      </c>
      <c r="N150" s="55">
        <v>44032</v>
      </c>
      <c r="O150" s="85" t="s">
        <v>3351</v>
      </c>
      <c r="P150" s="55">
        <v>44973</v>
      </c>
      <c r="Q150" s="55" t="s">
        <v>911</v>
      </c>
      <c r="R150" s="17" t="s">
        <v>912</v>
      </c>
      <c r="S150" s="23">
        <v>0</v>
      </c>
      <c r="T150" s="23">
        <v>0</v>
      </c>
      <c r="U150" s="23">
        <v>0</v>
      </c>
      <c r="V150" s="23">
        <v>0</v>
      </c>
      <c r="W150" s="23">
        <v>0</v>
      </c>
      <c r="X150" s="93" t="s">
        <v>999</v>
      </c>
    </row>
    <row r="151" spans="1:16378" x14ac:dyDescent="0.25">
      <c r="A151" s="26" t="s">
        <v>2885</v>
      </c>
      <c r="B151" s="106" t="s">
        <v>1420</v>
      </c>
      <c r="C151" s="11" t="s">
        <v>3352</v>
      </c>
      <c r="D151" s="55">
        <v>43525</v>
      </c>
      <c r="E151" s="55">
        <v>44255</v>
      </c>
      <c r="F151" s="26" t="s">
        <v>2887</v>
      </c>
      <c r="G151" s="162" t="s">
        <v>3353</v>
      </c>
      <c r="H151" s="11" t="s">
        <v>111</v>
      </c>
      <c r="I151" s="11"/>
      <c r="J151" s="11" t="s">
        <v>113</v>
      </c>
      <c r="K151" s="26" t="s">
        <v>82</v>
      </c>
      <c r="L151" s="26" t="s">
        <v>3354</v>
      </c>
      <c r="M151" s="11" t="s">
        <v>116</v>
      </c>
      <c r="N151" s="55">
        <v>44032</v>
      </c>
      <c r="O151" s="85" t="s">
        <v>3355</v>
      </c>
      <c r="P151" s="55">
        <v>44255</v>
      </c>
      <c r="Q151" s="55" t="s">
        <v>911</v>
      </c>
      <c r="R151" s="17" t="s">
        <v>912</v>
      </c>
      <c r="S151" s="23">
        <v>0</v>
      </c>
      <c r="T151" s="23">
        <v>0</v>
      </c>
      <c r="U151" s="23">
        <v>0</v>
      </c>
      <c r="V151" s="23">
        <v>0</v>
      </c>
      <c r="W151" s="23">
        <v>0</v>
      </c>
      <c r="X151" s="9" t="s">
        <v>999</v>
      </c>
    </row>
    <row r="152" spans="1:16378" x14ac:dyDescent="0.25">
      <c r="A152" s="26" t="s">
        <v>2885</v>
      </c>
      <c r="B152" s="106" t="s">
        <v>1426</v>
      </c>
      <c r="C152" s="11" t="s">
        <v>3021</v>
      </c>
      <c r="D152" s="55">
        <v>43497</v>
      </c>
      <c r="E152" s="55">
        <v>46053</v>
      </c>
      <c r="F152" s="26" t="s">
        <v>2887</v>
      </c>
      <c r="G152" s="162" t="s">
        <v>3022</v>
      </c>
      <c r="H152" s="11" t="s">
        <v>111</v>
      </c>
      <c r="I152" s="11"/>
      <c r="J152" s="11" t="s">
        <v>113</v>
      </c>
      <c r="K152" s="26" t="s">
        <v>469</v>
      </c>
      <c r="L152" s="26" t="s">
        <v>3023</v>
      </c>
      <c r="M152" s="11" t="s">
        <v>116</v>
      </c>
      <c r="N152" s="55">
        <v>44032</v>
      </c>
      <c r="O152" s="86" t="s">
        <v>3024</v>
      </c>
      <c r="P152" s="55">
        <v>46053</v>
      </c>
      <c r="Q152" s="16" t="s">
        <v>1011</v>
      </c>
      <c r="R152" s="17" t="s">
        <v>911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14"/>
      <c r="Z152" s="109"/>
    </row>
    <row r="153" spans="1:16378" x14ac:dyDescent="0.25">
      <c r="A153" s="26" t="s">
        <v>2885</v>
      </c>
      <c r="B153" s="106" t="s">
        <v>379</v>
      </c>
      <c r="C153" s="11" t="s">
        <v>3356</v>
      </c>
      <c r="D153" s="55">
        <v>43466</v>
      </c>
      <c r="E153" s="55">
        <v>45781</v>
      </c>
      <c r="F153" s="26" t="s">
        <v>2887</v>
      </c>
      <c r="G153" s="162" t="s">
        <v>3357</v>
      </c>
      <c r="H153" s="11" t="s">
        <v>111</v>
      </c>
      <c r="I153" s="11"/>
      <c r="J153" s="11" t="s">
        <v>113</v>
      </c>
      <c r="K153" s="26" t="s">
        <v>469</v>
      </c>
      <c r="L153" s="26" t="s">
        <v>3358</v>
      </c>
      <c r="M153" s="11" t="s">
        <v>3323</v>
      </c>
      <c r="N153" s="55">
        <v>44032</v>
      </c>
      <c r="O153" s="150" t="s">
        <v>3359</v>
      </c>
      <c r="P153" s="55">
        <v>45781</v>
      </c>
      <c r="Q153" s="16" t="s">
        <v>1011</v>
      </c>
      <c r="R153" s="17" t="s">
        <v>911</v>
      </c>
      <c r="S153" s="23">
        <v>0</v>
      </c>
      <c r="T153" s="23">
        <v>0</v>
      </c>
      <c r="U153" s="23">
        <v>0</v>
      </c>
      <c r="V153" s="23">
        <v>0</v>
      </c>
      <c r="W153" s="23">
        <v>0</v>
      </c>
      <c r="X153" s="14"/>
    </row>
    <row r="154" spans="1:16378" x14ac:dyDescent="0.25">
      <c r="A154" s="26" t="s">
        <v>2885</v>
      </c>
      <c r="B154" s="106" t="s">
        <v>1432</v>
      </c>
      <c r="C154" s="11" t="s">
        <v>3094</v>
      </c>
      <c r="D154" s="55">
        <v>43960</v>
      </c>
      <c r="E154" s="55">
        <v>45785</v>
      </c>
      <c r="F154" s="26" t="s">
        <v>2887</v>
      </c>
      <c r="G154" s="162" t="s">
        <v>927</v>
      </c>
      <c r="H154" s="11" t="s">
        <v>111</v>
      </c>
      <c r="I154" s="11"/>
      <c r="J154" s="11" t="s">
        <v>113</v>
      </c>
      <c r="K154" s="26" t="s">
        <v>114</v>
      </c>
      <c r="L154" s="26" t="s">
        <v>3360</v>
      </c>
      <c r="M154" s="11" t="s">
        <v>131</v>
      </c>
      <c r="N154" s="55">
        <v>44134</v>
      </c>
      <c r="O154" s="150" t="s">
        <v>3096</v>
      </c>
      <c r="P154" s="55">
        <v>45785</v>
      </c>
      <c r="Q154" s="16" t="s">
        <v>1011</v>
      </c>
      <c r="R154" s="17" t="s">
        <v>3361</v>
      </c>
      <c r="S154" s="23">
        <v>0</v>
      </c>
      <c r="T154" s="23">
        <v>0</v>
      </c>
      <c r="U154" s="23">
        <v>0</v>
      </c>
      <c r="V154" s="23">
        <v>0</v>
      </c>
      <c r="W154" s="23">
        <v>0</v>
      </c>
      <c r="X154" s="14"/>
    </row>
    <row r="155" spans="1:16378" x14ac:dyDescent="0.25">
      <c r="A155" s="26" t="s">
        <v>2885</v>
      </c>
      <c r="B155" s="106" t="s">
        <v>386</v>
      </c>
      <c r="C155" s="11" t="s">
        <v>3362</v>
      </c>
      <c r="D155" s="55">
        <v>43981</v>
      </c>
      <c r="E155" s="55">
        <v>44651</v>
      </c>
      <c r="F155" s="26" t="s">
        <v>2887</v>
      </c>
      <c r="G155" s="162" t="s">
        <v>977</v>
      </c>
      <c r="H155" s="11" t="s">
        <v>111</v>
      </c>
      <c r="I155" s="11"/>
      <c r="J155" s="11" t="s">
        <v>113</v>
      </c>
      <c r="K155" s="26" t="s">
        <v>114</v>
      </c>
      <c r="L155" s="26" t="s">
        <v>3033</v>
      </c>
      <c r="M155" s="11" t="s">
        <v>481</v>
      </c>
      <c r="N155" s="55">
        <v>44161</v>
      </c>
      <c r="O155" s="85" t="s">
        <v>3034</v>
      </c>
      <c r="P155" s="55">
        <v>44346</v>
      </c>
      <c r="Q155" s="55" t="s">
        <v>911</v>
      </c>
      <c r="R155" s="17" t="s">
        <v>912</v>
      </c>
      <c r="S155" s="23">
        <v>0</v>
      </c>
      <c r="T155" s="23">
        <v>0</v>
      </c>
      <c r="U155" s="23">
        <v>0</v>
      </c>
      <c r="V155" s="23">
        <v>0</v>
      </c>
      <c r="W155" s="23">
        <v>0</v>
      </c>
      <c r="X155" s="9" t="s">
        <v>2833</v>
      </c>
    </row>
    <row r="156" spans="1:16378" x14ac:dyDescent="0.25">
      <c r="A156" s="26" t="s">
        <v>2885</v>
      </c>
      <c r="B156" s="106" t="s">
        <v>1456</v>
      </c>
      <c r="C156" s="11" t="s">
        <v>3158</v>
      </c>
      <c r="D156" s="55">
        <v>45170</v>
      </c>
      <c r="E156" s="55">
        <v>45900</v>
      </c>
      <c r="F156" s="26" t="s">
        <v>2887</v>
      </c>
      <c r="G156" s="162" t="s">
        <v>985</v>
      </c>
      <c r="H156" s="11" t="s">
        <v>111</v>
      </c>
      <c r="J156" s="11" t="s">
        <v>113</v>
      </c>
      <c r="K156" s="26" t="s">
        <v>114</v>
      </c>
      <c r="L156" s="26" t="s">
        <v>3363</v>
      </c>
      <c r="M156" s="11" t="s">
        <v>116</v>
      </c>
      <c r="N156" s="55">
        <v>45139</v>
      </c>
      <c r="O156" s="85" t="s">
        <v>3161</v>
      </c>
      <c r="P156" s="55">
        <v>45900</v>
      </c>
      <c r="Q156" s="16" t="s">
        <v>1011</v>
      </c>
      <c r="R156" s="17" t="s">
        <v>911</v>
      </c>
      <c r="S156" s="23">
        <v>0</v>
      </c>
      <c r="T156" s="23">
        <v>0</v>
      </c>
      <c r="U156" s="23">
        <v>0</v>
      </c>
      <c r="V156" s="23">
        <v>0</v>
      </c>
      <c r="W156" s="23">
        <v>0</v>
      </c>
      <c r="X156" s="14"/>
    </row>
    <row r="157" spans="1:16378" x14ac:dyDescent="0.25">
      <c r="A157" s="25">
        <v>8140</v>
      </c>
      <c r="B157" s="122" t="s">
        <v>1484</v>
      </c>
      <c r="C157" s="13" t="s">
        <v>3308</v>
      </c>
      <c r="D157" s="55">
        <v>45429</v>
      </c>
      <c r="E157" s="55">
        <v>45793</v>
      </c>
      <c r="F157" s="26" t="s">
        <v>2887</v>
      </c>
      <c r="L157" s="26">
        <v>5000103</v>
      </c>
      <c r="N157" s="102">
        <v>45441</v>
      </c>
      <c r="O157" s="85" t="s">
        <v>3311</v>
      </c>
      <c r="P157" s="55">
        <v>45792</v>
      </c>
      <c r="Q157" s="16" t="s">
        <v>1011</v>
      </c>
      <c r="R157" s="17" t="s">
        <v>911</v>
      </c>
      <c r="S157" s="23">
        <v>0</v>
      </c>
      <c r="T157" s="23">
        <v>0</v>
      </c>
      <c r="U157" s="23">
        <v>0</v>
      </c>
      <c r="V157" s="23">
        <v>0</v>
      </c>
      <c r="W157" s="23">
        <v>0</v>
      </c>
      <c r="X157" s="90" t="s">
        <v>125</v>
      </c>
    </row>
    <row r="158" spans="1:16378" ht="11.25" customHeight="1" x14ac:dyDescent="0.25">
      <c r="A158" s="25">
        <v>8140</v>
      </c>
      <c r="B158" s="106" t="s">
        <v>1489</v>
      </c>
      <c r="C158" s="13" t="s">
        <v>3051</v>
      </c>
      <c r="D158" s="55">
        <v>45310</v>
      </c>
      <c r="E158" s="55">
        <v>46042</v>
      </c>
      <c r="F158" s="26" t="s">
        <v>2887</v>
      </c>
      <c r="G158" s="26"/>
      <c r="H158" s="26"/>
      <c r="I158" s="26"/>
      <c r="J158" s="26"/>
      <c r="K158" s="26"/>
      <c r="L158" s="26" t="s">
        <v>3052</v>
      </c>
      <c r="M158" s="26"/>
      <c r="N158" s="102">
        <v>45467</v>
      </c>
      <c r="O158" s="106" t="s">
        <v>3053</v>
      </c>
      <c r="P158" s="55">
        <v>46042</v>
      </c>
      <c r="Q158" s="16" t="s">
        <v>1011</v>
      </c>
      <c r="R158" s="17" t="s">
        <v>911</v>
      </c>
      <c r="S158" s="23">
        <v>0</v>
      </c>
      <c r="T158" s="23">
        <v>0</v>
      </c>
      <c r="U158" s="23">
        <v>0</v>
      </c>
      <c r="V158" s="23">
        <v>0</v>
      </c>
      <c r="W158" s="23">
        <v>0</v>
      </c>
      <c r="X158" s="90" t="s">
        <v>125</v>
      </c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03"/>
      <c r="AN158" s="103"/>
      <c r="AO158" s="103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3"/>
      <c r="BN158" s="103"/>
      <c r="BO158" s="103"/>
      <c r="BP158" s="103"/>
      <c r="BQ158" s="103"/>
      <c r="BR158" s="103"/>
      <c r="BS158" s="103"/>
      <c r="BT158" s="103"/>
      <c r="BU158" s="103"/>
      <c r="BV158" s="103"/>
      <c r="BW158" s="103"/>
      <c r="BX158" s="103"/>
      <c r="BY158" s="103"/>
      <c r="BZ158" s="103"/>
      <c r="CA158" s="103"/>
      <c r="CB158" s="103"/>
      <c r="CC158" s="103"/>
      <c r="CD158" s="103"/>
      <c r="CE158" s="103"/>
      <c r="CF158" s="103"/>
      <c r="CG158" s="103"/>
      <c r="CH158" s="103"/>
      <c r="CI158" s="103"/>
      <c r="CJ158" s="103"/>
      <c r="CK158" s="103"/>
      <c r="CL158" s="103"/>
      <c r="CM158" s="103"/>
      <c r="CN158" s="103"/>
      <c r="CO158" s="103"/>
      <c r="CP158" s="103"/>
      <c r="CQ158" s="103"/>
      <c r="CR158" s="103"/>
      <c r="CS158" s="103"/>
      <c r="CT158" s="103"/>
      <c r="CU158" s="103"/>
      <c r="CV158" s="103"/>
      <c r="CW158" s="103"/>
      <c r="CX158" s="103"/>
      <c r="CY158" s="103"/>
      <c r="CZ158" s="103"/>
      <c r="DA158" s="103"/>
      <c r="DB158" s="103"/>
      <c r="DC158" s="103"/>
      <c r="DD158" s="103"/>
      <c r="DE158" s="103"/>
      <c r="DF158" s="103"/>
      <c r="DG158" s="103"/>
      <c r="DH158" s="103"/>
      <c r="DI158" s="103"/>
      <c r="DJ158" s="103"/>
      <c r="DK158" s="103"/>
      <c r="DL158" s="103"/>
      <c r="DM158" s="103"/>
      <c r="DN158" s="103"/>
      <c r="DO158" s="103"/>
      <c r="DP158" s="103"/>
      <c r="DQ158" s="103"/>
      <c r="DR158" s="103"/>
      <c r="DS158" s="103"/>
      <c r="DT158" s="103"/>
      <c r="DU158" s="103"/>
      <c r="DV158" s="103"/>
      <c r="DW158" s="103"/>
      <c r="DX158" s="103"/>
      <c r="DY158" s="103"/>
      <c r="DZ158" s="103"/>
      <c r="EA158" s="103"/>
      <c r="EB158" s="103"/>
      <c r="EC158" s="103"/>
      <c r="ED158" s="103"/>
      <c r="EE158" s="103"/>
      <c r="EF158" s="103"/>
      <c r="EG158" s="103"/>
      <c r="EH158" s="103"/>
      <c r="EI158" s="103"/>
      <c r="EJ158" s="103"/>
      <c r="EK158" s="103"/>
      <c r="EL158" s="103"/>
      <c r="EM158" s="103"/>
      <c r="EN158" s="103"/>
      <c r="EO158" s="103"/>
      <c r="EP158" s="103"/>
      <c r="EQ158" s="103"/>
      <c r="ER158" s="103"/>
      <c r="ES158" s="103"/>
      <c r="ET158" s="103"/>
      <c r="EU158" s="103"/>
      <c r="EV158" s="103"/>
      <c r="EW158" s="103"/>
      <c r="EX158" s="103"/>
      <c r="EY158" s="103"/>
      <c r="EZ158" s="103"/>
      <c r="FA158" s="103"/>
      <c r="FB158" s="103"/>
      <c r="FC158" s="103"/>
      <c r="FD158" s="103"/>
      <c r="FE158" s="103"/>
      <c r="FF158" s="103"/>
      <c r="FG158" s="103"/>
      <c r="FH158" s="103"/>
      <c r="FI158" s="103"/>
      <c r="FJ158" s="103"/>
      <c r="FK158" s="103"/>
      <c r="FL158" s="103"/>
      <c r="FM158" s="103"/>
      <c r="FN158" s="103"/>
      <c r="FO158" s="103"/>
      <c r="FP158" s="103"/>
      <c r="FQ158" s="103"/>
      <c r="FR158" s="103"/>
      <c r="FS158" s="103"/>
      <c r="FT158" s="103"/>
      <c r="FU158" s="103"/>
      <c r="FV158" s="103"/>
      <c r="FW158" s="103"/>
      <c r="FX158" s="103"/>
      <c r="FY158" s="103"/>
      <c r="FZ158" s="103"/>
      <c r="GA158" s="103"/>
      <c r="GB158" s="103"/>
      <c r="GC158" s="103"/>
      <c r="GD158" s="103"/>
      <c r="GE158" s="103"/>
      <c r="GF158" s="103"/>
      <c r="GG158" s="103"/>
      <c r="GH158" s="103"/>
      <c r="GI158" s="103"/>
      <c r="GJ158" s="103"/>
      <c r="GK158" s="103"/>
      <c r="GL158" s="103"/>
      <c r="GM158" s="103"/>
      <c r="GN158" s="103"/>
      <c r="GO158" s="103"/>
      <c r="GP158" s="103"/>
      <c r="GQ158" s="103"/>
      <c r="GR158" s="103"/>
      <c r="GS158" s="103"/>
      <c r="GT158" s="103"/>
      <c r="GU158" s="103"/>
      <c r="GV158" s="103"/>
      <c r="GW158" s="103"/>
      <c r="GX158" s="103"/>
      <c r="GY158" s="103"/>
      <c r="GZ158" s="103"/>
      <c r="HA158" s="103"/>
      <c r="HB158" s="103"/>
      <c r="HC158" s="103"/>
      <c r="HD158" s="103"/>
      <c r="HE158" s="103"/>
      <c r="HF158" s="103"/>
      <c r="HG158" s="103"/>
      <c r="HH158" s="103"/>
      <c r="HI158" s="103"/>
      <c r="HJ158" s="103"/>
      <c r="HK158" s="103"/>
      <c r="HL158" s="103"/>
      <c r="HM158" s="103"/>
      <c r="HN158" s="103"/>
      <c r="HO158" s="103"/>
      <c r="HP158" s="103"/>
      <c r="HQ158" s="103"/>
      <c r="HR158" s="103"/>
      <c r="HS158" s="103"/>
      <c r="HT158" s="103"/>
      <c r="HU158" s="103"/>
      <c r="HV158" s="103"/>
      <c r="HW158" s="103"/>
      <c r="HX158" s="103"/>
      <c r="HY158" s="103"/>
      <c r="HZ158" s="103"/>
      <c r="IA158" s="103"/>
      <c r="IB158" s="103"/>
      <c r="IC158" s="103"/>
      <c r="ID158" s="103"/>
      <c r="IE158" s="103"/>
      <c r="IF158" s="103"/>
      <c r="IG158" s="103"/>
      <c r="IH158" s="103"/>
      <c r="II158" s="103"/>
      <c r="IJ158" s="103"/>
      <c r="IK158" s="103"/>
      <c r="IL158" s="103"/>
      <c r="IM158" s="103"/>
      <c r="IN158" s="103"/>
      <c r="IO158" s="103"/>
      <c r="IP158" s="103"/>
      <c r="IQ158" s="103"/>
      <c r="IR158" s="103"/>
      <c r="IS158" s="103"/>
      <c r="IT158" s="103"/>
      <c r="IU158" s="103"/>
      <c r="IV158" s="103"/>
      <c r="IW158" s="103"/>
      <c r="IX158" s="103"/>
      <c r="IY158" s="103"/>
      <c r="IZ158" s="103"/>
      <c r="JA158" s="103"/>
      <c r="JB158" s="103"/>
      <c r="JC158" s="103"/>
      <c r="JD158" s="103"/>
      <c r="JE158" s="103"/>
      <c r="JF158" s="103"/>
      <c r="JG158" s="103"/>
      <c r="JH158" s="103"/>
      <c r="JI158" s="103"/>
      <c r="JJ158" s="103"/>
      <c r="JK158" s="103"/>
      <c r="JL158" s="103"/>
      <c r="JM158" s="103"/>
      <c r="JN158" s="103"/>
      <c r="JO158" s="103"/>
      <c r="JP158" s="103"/>
      <c r="JQ158" s="103"/>
      <c r="JR158" s="103"/>
      <c r="JS158" s="103"/>
      <c r="JT158" s="103"/>
      <c r="JU158" s="103"/>
      <c r="JV158" s="103"/>
      <c r="JW158" s="103"/>
      <c r="JX158" s="103"/>
      <c r="JY158" s="103"/>
      <c r="JZ158" s="103"/>
      <c r="KA158" s="103"/>
      <c r="KB158" s="103"/>
      <c r="KC158" s="103"/>
      <c r="KD158" s="103"/>
      <c r="KE158" s="103"/>
      <c r="KF158" s="103"/>
      <c r="KG158" s="103"/>
      <c r="KH158" s="103"/>
      <c r="KI158" s="103"/>
      <c r="KJ158" s="103"/>
      <c r="KK158" s="103"/>
      <c r="KL158" s="103"/>
      <c r="KM158" s="103"/>
      <c r="KN158" s="103"/>
      <c r="KO158" s="103"/>
      <c r="KP158" s="103"/>
      <c r="KQ158" s="103"/>
      <c r="KR158" s="103"/>
      <c r="KS158" s="103"/>
      <c r="KT158" s="103"/>
      <c r="KU158" s="103"/>
      <c r="KV158" s="103"/>
      <c r="KW158" s="103"/>
      <c r="KX158" s="103"/>
      <c r="KY158" s="103"/>
      <c r="KZ158" s="103"/>
      <c r="LA158" s="103"/>
      <c r="LB158" s="103"/>
      <c r="LC158" s="103"/>
      <c r="LD158" s="103"/>
      <c r="LE158" s="103"/>
      <c r="LF158" s="103"/>
      <c r="LG158" s="103"/>
      <c r="LH158" s="103"/>
      <c r="LI158" s="103"/>
      <c r="LJ158" s="103"/>
      <c r="LK158" s="103"/>
      <c r="LL158" s="103"/>
      <c r="LM158" s="103"/>
      <c r="LN158" s="103"/>
      <c r="LO158" s="103"/>
      <c r="LP158" s="103"/>
      <c r="LQ158" s="103"/>
      <c r="LR158" s="103"/>
      <c r="LS158" s="103"/>
      <c r="LT158" s="103"/>
      <c r="LU158" s="103"/>
      <c r="LV158" s="103"/>
      <c r="LW158" s="103"/>
      <c r="LX158" s="103"/>
      <c r="LY158" s="103"/>
      <c r="LZ158" s="103"/>
      <c r="MA158" s="103"/>
      <c r="MB158" s="103"/>
      <c r="MC158" s="103"/>
      <c r="MD158" s="103"/>
      <c r="ME158" s="103"/>
      <c r="MF158" s="103"/>
      <c r="MG158" s="103"/>
      <c r="MH158" s="103"/>
      <c r="MI158" s="103"/>
      <c r="MJ158" s="103"/>
      <c r="MK158" s="103"/>
      <c r="ML158" s="103"/>
      <c r="MM158" s="103"/>
      <c r="MN158" s="103"/>
      <c r="MO158" s="103"/>
      <c r="MP158" s="103"/>
      <c r="MQ158" s="103"/>
      <c r="MR158" s="103"/>
      <c r="MS158" s="103"/>
      <c r="MT158" s="103"/>
      <c r="MU158" s="103"/>
      <c r="MV158" s="103"/>
      <c r="MW158" s="103"/>
      <c r="MX158" s="103"/>
      <c r="MY158" s="103"/>
      <c r="MZ158" s="103"/>
      <c r="NA158" s="103"/>
      <c r="NB158" s="103"/>
      <c r="NC158" s="103"/>
      <c r="ND158" s="103"/>
      <c r="NE158" s="103"/>
      <c r="NF158" s="103"/>
      <c r="NG158" s="103"/>
      <c r="NH158" s="103"/>
      <c r="NI158" s="103"/>
      <c r="NJ158" s="103"/>
      <c r="NK158" s="103"/>
      <c r="NL158" s="103"/>
      <c r="NM158" s="103"/>
      <c r="NN158" s="103"/>
      <c r="NO158" s="103"/>
      <c r="NP158" s="103"/>
      <c r="NQ158" s="103"/>
      <c r="NR158" s="103"/>
      <c r="NS158" s="103"/>
      <c r="NT158" s="103"/>
      <c r="NU158" s="103"/>
      <c r="NV158" s="103"/>
      <c r="NW158" s="103"/>
      <c r="NX158" s="103"/>
      <c r="NY158" s="103"/>
      <c r="NZ158" s="103"/>
      <c r="OA158" s="103"/>
      <c r="OB158" s="103"/>
      <c r="OC158" s="103"/>
      <c r="OD158" s="103"/>
      <c r="OE158" s="103"/>
      <c r="OF158" s="103"/>
      <c r="OG158" s="103"/>
      <c r="OH158" s="103"/>
      <c r="OI158" s="103"/>
      <c r="OJ158" s="103"/>
      <c r="OK158" s="103"/>
      <c r="OL158" s="103"/>
      <c r="OM158" s="103"/>
      <c r="ON158" s="103"/>
      <c r="OO158" s="103"/>
      <c r="OP158" s="103"/>
      <c r="OQ158" s="103"/>
      <c r="OR158" s="103"/>
      <c r="OS158" s="103"/>
      <c r="OT158" s="103"/>
      <c r="OU158" s="103"/>
      <c r="OV158" s="103"/>
      <c r="OW158" s="103"/>
      <c r="OX158" s="103"/>
      <c r="OY158" s="103"/>
      <c r="OZ158" s="103"/>
      <c r="PA158" s="103"/>
      <c r="PB158" s="103"/>
      <c r="PC158" s="103"/>
      <c r="PD158" s="103"/>
      <c r="PE158" s="103"/>
      <c r="PF158" s="103"/>
      <c r="PG158" s="103"/>
      <c r="PH158" s="103"/>
      <c r="PI158" s="103"/>
      <c r="PJ158" s="103"/>
      <c r="PK158" s="103"/>
      <c r="PL158" s="103"/>
      <c r="PM158" s="103"/>
      <c r="PN158" s="103"/>
      <c r="PO158" s="103"/>
      <c r="PP158" s="103"/>
      <c r="PQ158" s="103"/>
      <c r="PR158" s="103"/>
      <c r="PS158" s="103"/>
      <c r="PT158" s="103"/>
      <c r="PU158" s="103"/>
      <c r="PV158" s="103"/>
      <c r="PW158" s="103"/>
      <c r="PX158" s="103"/>
      <c r="PY158" s="103"/>
      <c r="PZ158" s="103"/>
      <c r="QA158" s="103"/>
      <c r="QB158" s="103"/>
      <c r="QC158" s="103"/>
      <c r="QD158" s="103"/>
      <c r="QE158" s="103"/>
      <c r="QF158" s="103"/>
      <c r="QG158" s="103"/>
      <c r="QH158" s="103"/>
      <c r="QI158" s="103"/>
      <c r="QJ158" s="103"/>
      <c r="QK158" s="103"/>
      <c r="QL158" s="103"/>
      <c r="QM158" s="103"/>
      <c r="QN158" s="103"/>
      <c r="QO158" s="103"/>
      <c r="QP158" s="103"/>
      <c r="QQ158" s="103"/>
      <c r="QR158" s="103"/>
      <c r="QS158" s="103"/>
      <c r="QT158" s="103"/>
      <c r="QU158" s="103"/>
      <c r="QV158" s="103"/>
      <c r="QW158" s="103"/>
      <c r="QX158" s="103"/>
      <c r="QY158" s="103"/>
      <c r="QZ158" s="103"/>
      <c r="RA158" s="103"/>
      <c r="RB158" s="103"/>
      <c r="RC158" s="103"/>
      <c r="RD158" s="103"/>
      <c r="RE158" s="103"/>
      <c r="RF158" s="103"/>
      <c r="RG158" s="103"/>
      <c r="RH158" s="103"/>
      <c r="RI158" s="103"/>
      <c r="RJ158" s="103"/>
      <c r="RK158" s="103"/>
      <c r="RL158" s="103"/>
      <c r="RM158" s="103"/>
      <c r="RN158" s="103"/>
      <c r="RO158" s="103"/>
      <c r="RP158" s="103"/>
      <c r="RQ158" s="103"/>
      <c r="RR158" s="103"/>
      <c r="RS158" s="103"/>
      <c r="RT158" s="103"/>
      <c r="RU158" s="103"/>
      <c r="RV158" s="103"/>
      <c r="RW158" s="103"/>
      <c r="RX158" s="103"/>
      <c r="RY158" s="103"/>
      <c r="RZ158" s="103"/>
      <c r="SA158" s="103"/>
      <c r="SB158" s="103"/>
      <c r="SC158" s="103"/>
      <c r="SD158" s="103"/>
      <c r="SE158" s="103"/>
      <c r="SF158" s="103"/>
      <c r="SG158" s="103"/>
      <c r="SH158" s="103"/>
      <c r="SI158" s="103"/>
      <c r="SJ158" s="103"/>
      <c r="SK158" s="103"/>
      <c r="SL158" s="103"/>
      <c r="SM158" s="103"/>
      <c r="SN158" s="103"/>
      <c r="SO158" s="103"/>
      <c r="SP158" s="103"/>
      <c r="SQ158" s="103"/>
      <c r="SR158" s="103"/>
      <c r="SS158" s="103"/>
      <c r="ST158" s="103"/>
      <c r="SU158" s="103"/>
      <c r="SV158" s="103"/>
      <c r="SW158" s="103"/>
      <c r="SX158" s="103"/>
      <c r="SY158" s="103"/>
      <c r="SZ158" s="103"/>
      <c r="TA158" s="103"/>
      <c r="TB158" s="103"/>
      <c r="TC158" s="103"/>
      <c r="TD158" s="103"/>
      <c r="TE158" s="103"/>
      <c r="TF158" s="103"/>
      <c r="TG158" s="103"/>
      <c r="TH158" s="103"/>
      <c r="TI158" s="103"/>
      <c r="TJ158" s="103"/>
      <c r="TK158" s="103"/>
      <c r="TL158" s="103"/>
      <c r="TM158" s="103"/>
      <c r="TN158" s="103"/>
      <c r="TO158" s="103"/>
      <c r="TP158" s="103"/>
      <c r="TQ158" s="103"/>
      <c r="TR158" s="103"/>
      <c r="TS158" s="103"/>
      <c r="TT158" s="103"/>
      <c r="TU158" s="103"/>
      <c r="TV158" s="103"/>
      <c r="TW158" s="103"/>
      <c r="TX158" s="103"/>
      <c r="TY158" s="103"/>
      <c r="TZ158" s="103"/>
      <c r="UA158" s="103"/>
      <c r="UB158" s="103"/>
      <c r="UC158" s="103"/>
      <c r="UD158" s="103"/>
      <c r="UE158" s="103"/>
      <c r="UF158" s="103"/>
      <c r="UG158" s="103"/>
      <c r="UH158" s="103"/>
      <c r="UI158" s="103"/>
      <c r="UJ158" s="103"/>
      <c r="UK158" s="103"/>
      <c r="UL158" s="103"/>
      <c r="UM158" s="103"/>
      <c r="UN158" s="103"/>
      <c r="UO158" s="103"/>
      <c r="UP158" s="103"/>
      <c r="UQ158" s="103"/>
      <c r="UR158" s="103"/>
      <c r="US158" s="103"/>
      <c r="UT158" s="103"/>
      <c r="UU158" s="103"/>
      <c r="UV158" s="103"/>
      <c r="UW158" s="103"/>
      <c r="UX158" s="103"/>
      <c r="UY158" s="103"/>
      <c r="UZ158" s="103"/>
      <c r="VA158" s="103"/>
      <c r="VB158" s="103"/>
      <c r="VC158" s="103"/>
      <c r="VD158" s="103"/>
      <c r="VE158" s="103"/>
      <c r="VF158" s="103"/>
      <c r="VG158" s="103"/>
      <c r="VH158" s="103"/>
      <c r="VI158" s="103"/>
      <c r="VJ158" s="103"/>
      <c r="VK158" s="103"/>
      <c r="VL158" s="103"/>
      <c r="VM158" s="103"/>
      <c r="VN158" s="103"/>
      <c r="VO158" s="103"/>
      <c r="VP158" s="103"/>
      <c r="VQ158" s="103"/>
      <c r="VR158" s="103"/>
      <c r="VS158" s="103"/>
      <c r="VT158" s="103"/>
      <c r="VU158" s="103"/>
      <c r="VV158" s="103"/>
      <c r="VW158" s="103"/>
      <c r="VX158" s="103"/>
      <c r="VY158" s="103"/>
      <c r="VZ158" s="103"/>
      <c r="WA158" s="103"/>
      <c r="WB158" s="103"/>
      <c r="WC158" s="103"/>
      <c r="WD158" s="103"/>
      <c r="WE158" s="103"/>
      <c r="WF158" s="103"/>
      <c r="WG158" s="103"/>
      <c r="WH158" s="103"/>
      <c r="WI158" s="103"/>
      <c r="WJ158" s="103"/>
      <c r="WK158" s="103"/>
      <c r="WL158" s="103"/>
      <c r="WM158" s="103"/>
      <c r="WN158" s="103"/>
      <c r="WO158" s="103"/>
      <c r="WP158" s="103"/>
      <c r="WQ158" s="103"/>
      <c r="WR158" s="103"/>
      <c r="WS158" s="103"/>
      <c r="WT158" s="103"/>
      <c r="WU158" s="103"/>
      <c r="WV158" s="103"/>
      <c r="WW158" s="103"/>
      <c r="WX158" s="103"/>
      <c r="WY158" s="103"/>
      <c r="WZ158" s="103"/>
      <c r="XA158" s="103"/>
      <c r="XB158" s="103"/>
      <c r="XC158" s="103"/>
      <c r="XD158" s="103"/>
      <c r="XE158" s="103"/>
      <c r="XF158" s="103"/>
      <c r="XG158" s="103"/>
      <c r="XH158" s="103"/>
      <c r="XI158" s="103"/>
      <c r="XJ158" s="103"/>
      <c r="XK158" s="103"/>
      <c r="XL158" s="103"/>
      <c r="XM158" s="103"/>
      <c r="XN158" s="103"/>
      <c r="XO158" s="103"/>
      <c r="XP158" s="103"/>
      <c r="XQ158" s="103"/>
      <c r="XR158" s="103"/>
      <c r="XS158" s="103"/>
      <c r="XT158" s="103"/>
      <c r="XU158" s="103"/>
      <c r="XV158" s="103"/>
      <c r="XW158" s="103"/>
      <c r="XX158" s="103"/>
      <c r="XY158" s="103"/>
      <c r="XZ158" s="103"/>
      <c r="YA158" s="103"/>
      <c r="YB158" s="103"/>
      <c r="YC158" s="103"/>
      <c r="YD158" s="103"/>
      <c r="YE158" s="103"/>
      <c r="YF158" s="103"/>
      <c r="YG158" s="103"/>
      <c r="YH158" s="103"/>
      <c r="YI158" s="103"/>
      <c r="YJ158" s="103"/>
      <c r="YK158" s="103"/>
      <c r="YL158" s="103"/>
      <c r="YM158" s="103"/>
      <c r="YN158" s="103"/>
      <c r="YO158" s="103"/>
      <c r="YP158" s="103"/>
      <c r="YQ158" s="103"/>
      <c r="YR158" s="103"/>
      <c r="YS158" s="103"/>
      <c r="YT158" s="103"/>
      <c r="YU158" s="103"/>
      <c r="YV158" s="103"/>
      <c r="YW158" s="103"/>
      <c r="YX158" s="103"/>
      <c r="YY158" s="103"/>
      <c r="YZ158" s="103"/>
      <c r="ZA158" s="103"/>
      <c r="ZB158" s="103"/>
      <c r="ZC158" s="103"/>
      <c r="ZD158" s="103"/>
      <c r="ZE158" s="103"/>
      <c r="ZF158" s="103"/>
      <c r="ZG158" s="103"/>
      <c r="ZH158" s="103"/>
      <c r="ZI158" s="103"/>
      <c r="ZJ158" s="103"/>
      <c r="ZK158" s="103"/>
      <c r="ZL158" s="103"/>
      <c r="ZM158" s="103"/>
      <c r="ZN158" s="103"/>
      <c r="ZO158" s="103"/>
      <c r="ZP158" s="103"/>
      <c r="ZQ158" s="103"/>
      <c r="ZR158" s="103"/>
      <c r="ZS158" s="103"/>
      <c r="ZT158" s="103"/>
      <c r="ZU158" s="103"/>
      <c r="ZV158" s="103"/>
      <c r="ZW158" s="103"/>
      <c r="ZX158" s="103"/>
      <c r="ZY158" s="103"/>
      <c r="ZZ158" s="103"/>
      <c r="AAA158" s="103"/>
      <c r="AAB158" s="103"/>
      <c r="AAC158" s="103"/>
      <c r="AAD158" s="103"/>
      <c r="AAE158" s="103"/>
      <c r="AAF158" s="103"/>
      <c r="AAG158" s="103"/>
      <c r="AAH158" s="103"/>
      <c r="AAI158" s="103"/>
      <c r="AAJ158" s="103"/>
      <c r="AAK158" s="103"/>
      <c r="AAL158" s="103"/>
      <c r="AAM158" s="103"/>
      <c r="AAN158" s="103"/>
      <c r="AAO158" s="103"/>
      <c r="AAP158" s="103"/>
      <c r="AAQ158" s="103"/>
      <c r="AAR158" s="103"/>
      <c r="AAS158" s="103"/>
      <c r="AAT158" s="103"/>
      <c r="AAU158" s="103"/>
      <c r="AAV158" s="103"/>
      <c r="AAW158" s="103"/>
      <c r="AAX158" s="103"/>
      <c r="AAY158" s="103"/>
      <c r="AAZ158" s="103"/>
      <c r="ABA158" s="103"/>
      <c r="ABB158" s="103"/>
      <c r="ABC158" s="103"/>
      <c r="ABD158" s="103"/>
      <c r="ABE158" s="103"/>
      <c r="ABF158" s="103"/>
      <c r="ABG158" s="103"/>
      <c r="ABH158" s="103"/>
      <c r="ABI158" s="103"/>
      <c r="ABJ158" s="103"/>
      <c r="ABK158" s="103"/>
      <c r="ABL158" s="103"/>
      <c r="ABM158" s="103"/>
      <c r="ABN158" s="103"/>
      <c r="ABO158" s="103"/>
      <c r="ABP158" s="103"/>
      <c r="ABQ158" s="103"/>
      <c r="ABR158" s="103"/>
      <c r="ABS158" s="103"/>
      <c r="ABT158" s="103"/>
      <c r="ABU158" s="103"/>
      <c r="ABV158" s="103"/>
      <c r="ABW158" s="103"/>
      <c r="ABX158" s="103"/>
      <c r="ABY158" s="103"/>
      <c r="ABZ158" s="103"/>
      <c r="ACA158" s="103"/>
      <c r="ACB158" s="103"/>
      <c r="ACC158" s="103"/>
      <c r="ACD158" s="103"/>
      <c r="ACE158" s="103"/>
      <c r="ACF158" s="103"/>
      <c r="ACG158" s="103"/>
      <c r="ACH158" s="103"/>
      <c r="ACI158" s="103"/>
      <c r="ACJ158" s="103"/>
      <c r="ACK158" s="103"/>
      <c r="ACL158" s="103"/>
      <c r="ACM158" s="103"/>
      <c r="ACN158" s="103"/>
      <c r="ACO158" s="103"/>
      <c r="ACP158" s="103"/>
      <c r="ACQ158" s="103"/>
      <c r="ACR158" s="103"/>
      <c r="ACS158" s="103"/>
      <c r="ACT158" s="103"/>
      <c r="ACU158" s="103"/>
      <c r="ACV158" s="103"/>
      <c r="ACW158" s="103"/>
      <c r="ACX158" s="103"/>
      <c r="ACY158" s="103"/>
      <c r="ACZ158" s="103"/>
      <c r="ADA158" s="103"/>
      <c r="ADB158" s="103"/>
      <c r="ADC158" s="103"/>
      <c r="ADD158" s="103"/>
      <c r="ADE158" s="103"/>
      <c r="ADF158" s="103"/>
      <c r="ADG158" s="103"/>
      <c r="ADH158" s="103"/>
      <c r="ADI158" s="103"/>
      <c r="ADJ158" s="103"/>
      <c r="ADK158" s="103"/>
      <c r="ADL158" s="103"/>
      <c r="ADM158" s="103"/>
      <c r="ADN158" s="103"/>
      <c r="ADO158" s="103"/>
      <c r="ADP158" s="103"/>
      <c r="ADQ158" s="103"/>
      <c r="ADR158" s="103"/>
      <c r="ADS158" s="103"/>
      <c r="ADT158" s="103"/>
      <c r="ADU158" s="103"/>
      <c r="ADV158" s="103"/>
      <c r="ADW158" s="103"/>
      <c r="ADX158" s="103"/>
      <c r="ADY158" s="103"/>
      <c r="ADZ158" s="103"/>
      <c r="AEA158" s="103"/>
      <c r="AEB158" s="103"/>
      <c r="AEC158" s="103"/>
      <c r="AED158" s="103"/>
      <c r="AEE158" s="103"/>
      <c r="AEF158" s="103"/>
      <c r="AEG158" s="103"/>
      <c r="AEH158" s="103"/>
      <c r="AEI158" s="103"/>
      <c r="AEJ158" s="103"/>
      <c r="AEK158" s="103"/>
      <c r="AEL158" s="103"/>
      <c r="AEM158" s="103"/>
      <c r="AEN158" s="103"/>
      <c r="AEO158" s="103"/>
      <c r="AEP158" s="103"/>
      <c r="AEQ158" s="103"/>
      <c r="AER158" s="103"/>
      <c r="AES158" s="103"/>
      <c r="AET158" s="103"/>
      <c r="AEU158" s="103"/>
      <c r="AEV158" s="103"/>
      <c r="AEW158" s="103"/>
      <c r="AEX158" s="103"/>
      <c r="AEY158" s="103"/>
      <c r="AEZ158" s="103"/>
      <c r="AFA158" s="103"/>
      <c r="AFB158" s="103"/>
      <c r="AFC158" s="103"/>
      <c r="AFD158" s="103"/>
      <c r="AFE158" s="103"/>
      <c r="AFF158" s="103"/>
      <c r="AFG158" s="103"/>
      <c r="AFH158" s="103"/>
      <c r="AFI158" s="103"/>
      <c r="AFJ158" s="103"/>
      <c r="AFK158" s="103"/>
      <c r="AFL158" s="103"/>
      <c r="AFM158" s="103"/>
      <c r="AFN158" s="103"/>
      <c r="AFO158" s="103"/>
      <c r="AFP158" s="103"/>
      <c r="AFQ158" s="103"/>
      <c r="AFR158" s="103"/>
      <c r="AFS158" s="103"/>
      <c r="AFT158" s="103"/>
      <c r="AFU158" s="103"/>
      <c r="AFV158" s="103"/>
      <c r="AFW158" s="103"/>
      <c r="AFX158" s="103"/>
      <c r="AFY158" s="103"/>
      <c r="AFZ158" s="103"/>
      <c r="AGA158" s="103"/>
      <c r="AGB158" s="103"/>
      <c r="AGC158" s="103"/>
      <c r="AGD158" s="103"/>
      <c r="AGE158" s="103"/>
      <c r="AGF158" s="103"/>
      <c r="AGG158" s="103"/>
      <c r="AGH158" s="103"/>
      <c r="AGI158" s="103"/>
      <c r="AGJ158" s="103"/>
      <c r="AGK158" s="103"/>
      <c r="AGL158" s="103"/>
      <c r="AGM158" s="103"/>
      <c r="AGN158" s="103"/>
      <c r="AGO158" s="103"/>
      <c r="AGP158" s="103"/>
      <c r="AGQ158" s="103"/>
      <c r="AGR158" s="103"/>
      <c r="AGS158" s="103"/>
      <c r="AGT158" s="103"/>
      <c r="AGU158" s="103"/>
      <c r="AGV158" s="103"/>
      <c r="AGW158" s="103"/>
      <c r="AGX158" s="103"/>
      <c r="AGY158" s="103"/>
      <c r="AGZ158" s="103"/>
      <c r="AHA158" s="103"/>
      <c r="AHB158" s="103"/>
      <c r="AHC158" s="103"/>
      <c r="AHD158" s="103"/>
      <c r="AHE158" s="103"/>
      <c r="AHF158" s="103"/>
      <c r="AHG158" s="103"/>
      <c r="AHH158" s="103"/>
      <c r="AHI158" s="103"/>
      <c r="AHJ158" s="103"/>
      <c r="AHK158" s="103"/>
      <c r="AHL158" s="103"/>
      <c r="AHM158" s="103"/>
      <c r="AHN158" s="103"/>
      <c r="AHO158" s="103"/>
      <c r="AHP158" s="103"/>
      <c r="AHQ158" s="103"/>
      <c r="AHR158" s="103"/>
      <c r="AHS158" s="103"/>
      <c r="AHT158" s="103"/>
      <c r="AHU158" s="103"/>
      <c r="AHV158" s="103"/>
      <c r="AHW158" s="103"/>
      <c r="AHX158" s="103"/>
      <c r="AHY158" s="103"/>
      <c r="AHZ158" s="103"/>
      <c r="AIA158" s="103"/>
      <c r="AIB158" s="103"/>
      <c r="AIC158" s="103"/>
      <c r="AID158" s="103"/>
      <c r="AIE158" s="103"/>
      <c r="AIF158" s="103"/>
      <c r="AIG158" s="103"/>
      <c r="AIH158" s="103"/>
      <c r="AII158" s="103"/>
      <c r="AIJ158" s="103"/>
      <c r="AIK158" s="103"/>
      <c r="AIL158" s="103"/>
      <c r="AIM158" s="103"/>
      <c r="AIN158" s="103"/>
      <c r="AIO158" s="103"/>
      <c r="AIP158" s="103"/>
      <c r="AIQ158" s="103"/>
      <c r="AIR158" s="103"/>
      <c r="AIS158" s="103"/>
      <c r="AIT158" s="103"/>
      <c r="AIU158" s="103"/>
      <c r="AIV158" s="103"/>
      <c r="AIW158" s="103"/>
      <c r="AIX158" s="103"/>
      <c r="AIY158" s="103"/>
      <c r="AIZ158" s="103"/>
      <c r="AJA158" s="103"/>
      <c r="AJB158" s="103"/>
      <c r="AJC158" s="103"/>
      <c r="AJD158" s="103"/>
      <c r="AJE158" s="103"/>
      <c r="AJF158" s="103"/>
      <c r="AJG158" s="103"/>
      <c r="AJH158" s="103"/>
      <c r="AJI158" s="103"/>
      <c r="AJJ158" s="103"/>
      <c r="AJK158" s="103"/>
      <c r="AJL158" s="103"/>
      <c r="AJM158" s="103"/>
      <c r="AJN158" s="103"/>
      <c r="AJO158" s="103"/>
      <c r="AJP158" s="103"/>
      <c r="AJQ158" s="103"/>
      <c r="AJR158" s="103"/>
      <c r="AJS158" s="103"/>
      <c r="AJT158" s="103"/>
      <c r="AJU158" s="103"/>
      <c r="AJV158" s="103"/>
      <c r="AJW158" s="103"/>
      <c r="AJX158" s="103"/>
      <c r="AJY158" s="103"/>
      <c r="AJZ158" s="103"/>
      <c r="AKA158" s="103"/>
      <c r="AKB158" s="103"/>
      <c r="AKC158" s="103"/>
      <c r="AKD158" s="103"/>
      <c r="AKE158" s="103"/>
      <c r="AKF158" s="103"/>
      <c r="AKG158" s="103"/>
      <c r="AKH158" s="103"/>
      <c r="AKI158" s="103"/>
      <c r="AKJ158" s="103"/>
      <c r="AKK158" s="103"/>
      <c r="AKL158" s="103"/>
      <c r="AKM158" s="103"/>
      <c r="AKN158" s="103"/>
      <c r="AKO158" s="103"/>
      <c r="AKP158" s="103"/>
      <c r="AKQ158" s="103"/>
      <c r="AKR158" s="103"/>
      <c r="AKS158" s="103"/>
      <c r="AKT158" s="103"/>
      <c r="AKU158" s="103"/>
      <c r="AKV158" s="103"/>
      <c r="AKW158" s="103"/>
      <c r="AKX158" s="103"/>
      <c r="AKY158" s="103"/>
      <c r="AKZ158" s="103"/>
      <c r="ALA158" s="103"/>
      <c r="ALB158" s="103"/>
      <c r="ALC158" s="103"/>
      <c r="ALD158" s="103"/>
      <c r="ALE158" s="103"/>
      <c r="ALF158" s="103"/>
      <c r="ALG158" s="103"/>
      <c r="ALH158" s="103"/>
      <c r="ALI158" s="103"/>
      <c r="ALJ158" s="103"/>
      <c r="ALK158" s="103"/>
      <c r="ALL158" s="103"/>
      <c r="ALM158" s="103"/>
      <c r="ALN158" s="103"/>
      <c r="ALO158" s="103"/>
      <c r="ALP158" s="103"/>
      <c r="ALQ158" s="103"/>
      <c r="ALR158" s="103"/>
      <c r="ALS158" s="103"/>
      <c r="ALT158" s="103"/>
      <c r="ALU158" s="103"/>
      <c r="ALV158" s="103"/>
      <c r="ALW158" s="103"/>
      <c r="ALX158" s="103"/>
      <c r="ALY158" s="103"/>
      <c r="ALZ158" s="103"/>
      <c r="AMA158" s="103"/>
      <c r="AMB158" s="103"/>
      <c r="AMC158" s="103"/>
      <c r="AMD158" s="103"/>
      <c r="AME158" s="103"/>
      <c r="AMF158" s="103"/>
      <c r="AMG158" s="103"/>
      <c r="AMH158" s="103"/>
      <c r="AMI158" s="103"/>
      <c r="AMJ158" s="103"/>
      <c r="AMK158" s="103"/>
      <c r="AML158" s="103"/>
      <c r="AMM158" s="103"/>
      <c r="AMN158" s="103"/>
      <c r="AMO158" s="103"/>
      <c r="AMP158" s="103"/>
      <c r="AMQ158" s="103"/>
      <c r="AMR158" s="103"/>
      <c r="AMS158" s="103"/>
      <c r="AMT158" s="103"/>
      <c r="AMU158" s="103"/>
      <c r="AMV158" s="103"/>
      <c r="AMW158" s="103"/>
      <c r="AMX158" s="103"/>
      <c r="AMY158" s="103"/>
      <c r="AMZ158" s="103"/>
      <c r="ANA158" s="103"/>
      <c r="ANB158" s="103"/>
      <c r="ANC158" s="103"/>
      <c r="AND158" s="103"/>
      <c r="ANE158" s="103"/>
      <c r="ANF158" s="103"/>
      <c r="ANG158" s="103"/>
      <c r="ANH158" s="103"/>
      <c r="ANI158" s="103"/>
      <c r="ANJ158" s="103"/>
      <c r="ANK158" s="103"/>
      <c r="ANL158" s="103"/>
      <c r="ANM158" s="103"/>
      <c r="ANN158" s="103"/>
      <c r="ANO158" s="103"/>
      <c r="ANP158" s="103"/>
      <c r="ANQ158" s="103"/>
      <c r="ANR158" s="103"/>
      <c r="ANS158" s="103"/>
      <c r="ANT158" s="103"/>
      <c r="ANU158" s="103"/>
      <c r="ANV158" s="103"/>
      <c r="ANW158" s="103"/>
      <c r="ANX158" s="103"/>
      <c r="ANY158" s="103"/>
      <c r="ANZ158" s="103"/>
      <c r="AOA158" s="103"/>
      <c r="AOB158" s="103"/>
      <c r="AOC158" s="103"/>
      <c r="AOD158" s="103"/>
      <c r="AOE158" s="103"/>
      <c r="AOF158" s="103"/>
      <c r="AOG158" s="103"/>
      <c r="AOH158" s="103"/>
      <c r="AOI158" s="103"/>
      <c r="AOJ158" s="103"/>
      <c r="AOK158" s="103"/>
      <c r="AOL158" s="103"/>
      <c r="AOM158" s="103"/>
      <c r="AON158" s="103"/>
      <c r="AOO158" s="103"/>
      <c r="AOP158" s="103"/>
      <c r="AOQ158" s="103"/>
      <c r="AOR158" s="103"/>
      <c r="AOS158" s="103"/>
      <c r="AOT158" s="103"/>
      <c r="AOU158" s="103"/>
      <c r="AOV158" s="103"/>
      <c r="AOW158" s="103"/>
      <c r="AOX158" s="103"/>
      <c r="AOY158" s="103"/>
      <c r="AOZ158" s="103"/>
      <c r="APA158" s="103"/>
      <c r="APB158" s="103"/>
      <c r="APC158" s="103"/>
      <c r="APD158" s="103"/>
      <c r="APE158" s="103"/>
      <c r="APF158" s="103"/>
      <c r="APG158" s="103"/>
      <c r="APH158" s="103"/>
      <c r="API158" s="103"/>
      <c r="APJ158" s="103"/>
      <c r="APK158" s="103"/>
      <c r="APL158" s="103"/>
      <c r="APM158" s="103"/>
      <c r="APN158" s="103"/>
      <c r="APO158" s="103"/>
      <c r="APP158" s="103"/>
      <c r="APQ158" s="103"/>
      <c r="APR158" s="103"/>
      <c r="APS158" s="103"/>
      <c r="APT158" s="103"/>
      <c r="APU158" s="103"/>
      <c r="APV158" s="103"/>
      <c r="APW158" s="103"/>
      <c r="APX158" s="103"/>
      <c r="APY158" s="103"/>
      <c r="APZ158" s="103"/>
      <c r="AQA158" s="103"/>
      <c r="AQB158" s="103"/>
      <c r="AQC158" s="103"/>
      <c r="AQD158" s="103"/>
      <c r="AQE158" s="103"/>
      <c r="AQF158" s="103"/>
      <c r="AQG158" s="103"/>
      <c r="AQH158" s="103"/>
      <c r="AQI158" s="103"/>
      <c r="AQJ158" s="103"/>
      <c r="AQK158" s="103"/>
      <c r="AQL158" s="103"/>
      <c r="AQM158" s="103"/>
      <c r="AQN158" s="103"/>
      <c r="AQO158" s="103"/>
      <c r="AQP158" s="103"/>
      <c r="AQQ158" s="103"/>
      <c r="AQR158" s="103"/>
      <c r="AQS158" s="103"/>
      <c r="AQT158" s="103"/>
      <c r="AQU158" s="103"/>
      <c r="AQV158" s="103"/>
      <c r="AQW158" s="103"/>
      <c r="AQX158" s="103"/>
      <c r="AQY158" s="103"/>
      <c r="AQZ158" s="103"/>
      <c r="ARA158" s="103"/>
      <c r="ARB158" s="103"/>
      <c r="ARC158" s="103"/>
      <c r="ARD158" s="103"/>
      <c r="ARE158" s="103"/>
      <c r="ARF158" s="103"/>
      <c r="ARG158" s="103"/>
      <c r="ARH158" s="103"/>
      <c r="ARI158" s="103"/>
      <c r="ARJ158" s="103"/>
      <c r="ARK158" s="103"/>
      <c r="ARL158" s="103"/>
      <c r="ARM158" s="103"/>
      <c r="ARN158" s="103"/>
      <c r="ARO158" s="103"/>
      <c r="ARP158" s="103"/>
      <c r="ARQ158" s="103"/>
      <c r="ARR158" s="103"/>
      <c r="ARS158" s="103"/>
      <c r="ART158" s="103"/>
      <c r="ARU158" s="103"/>
      <c r="ARV158" s="103"/>
      <c r="ARW158" s="103"/>
      <c r="ARX158" s="103"/>
      <c r="ARY158" s="103"/>
      <c r="ARZ158" s="103"/>
      <c r="ASA158" s="103"/>
      <c r="ASB158" s="103"/>
      <c r="ASC158" s="103"/>
      <c r="ASD158" s="103"/>
      <c r="ASE158" s="103"/>
      <c r="ASF158" s="103"/>
      <c r="ASG158" s="103"/>
      <c r="ASH158" s="103"/>
      <c r="ASI158" s="103"/>
      <c r="ASJ158" s="103"/>
      <c r="ASK158" s="103"/>
      <c r="ASL158" s="103"/>
      <c r="ASM158" s="103"/>
      <c r="ASN158" s="103"/>
      <c r="ASO158" s="103"/>
      <c r="ASP158" s="103"/>
      <c r="ASQ158" s="103"/>
      <c r="ASR158" s="103"/>
      <c r="ASS158" s="103"/>
      <c r="AST158" s="103"/>
      <c r="ASU158" s="103"/>
      <c r="ASV158" s="103"/>
      <c r="ASW158" s="103"/>
      <c r="ASX158" s="103"/>
      <c r="ASY158" s="103"/>
      <c r="ASZ158" s="103"/>
      <c r="ATA158" s="103"/>
      <c r="ATB158" s="103"/>
      <c r="ATC158" s="103"/>
      <c r="ATD158" s="103"/>
      <c r="ATE158" s="103"/>
      <c r="ATF158" s="103"/>
      <c r="ATG158" s="103"/>
      <c r="ATH158" s="103"/>
      <c r="ATI158" s="103"/>
      <c r="ATJ158" s="103"/>
      <c r="ATK158" s="103"/>
      <c r="ATL158" s="103"/>
      <c r="ATM158" s="103"/>
      <c r="ATN158" s="103"/>
      <c r="ATO158" s="103"/>
      <c r="ATP158" s="103"/>
      <c r="ATQ158" s="103"/>
      <c r="ATR158" s="103"/>
      <c r="ATS158" s="103"/>
      <c r="ATT158" s="103"/>
      <c r="ATU158" s="103"/>
      <c r="ATV158" s="103"/>
      <c r="ATW158" s="103"/>
      <c r="ATX158" s="103"/>
      <c r="ATY158" s="103"/>
      <c r="ATZ158" s="103"/>
      <c r="AUA158" s="103"/>
      <c r="AUB158" s="103"/>
      <c r="AUC158" s="103"/>
      <c r="AUD158" s="103"/>
      <c r="AUE158" s="103"/>
      <c r="AUF158" s="103"/>
      <c r="AUG158" s="103"/>
      <c r="AUH158" s="103"/>
      <c r="AUI158" s="103"/>
      <c r="AUJ158" s="103"/>
      <c r="AUK158" s="103"/>
      <c r="AUL158" s="103"/>
      <c r="AUM158" s="103"/>
      <c r="AUN158" s="103"/>
      <c r="AUO158" s="103"/>
      <c r="AUP158" s="103"/>
      <c r="AUQ158" s="103"/>
      <c r="AUR158" s="103"/>
      <c r="AUS158" s="103"/>
      <c r="AUT158" s="103"/>
      <c r="AUU158" s="103"/>
      <c r="AUV158" s="103"/>
      <c r="AUW158" s="103"/>
      <c r="AUX158" s="103"/>
      <c r="AUY158" s="103"/>
      <c r="AUZ158" s="103"/>
      <c r="AVA158" s="103"/>
      <c r="AVB158" s="103"/>
      <c r="AVC158" s="103"/>
      <c r="AVD158" s="103"/>
      <c r="AVE158" s="103"/>
      <c r="AVF158" s="103"/>
      <c r="AVG158" s="103"/>
      <c r="AVH158" s="103"/>
      <c r="AVI158" s="103"/>
      <c r="AVJ158" s="103"/>
      <c r="AVK158" s="103"/>
      <c r="AVL158" s="103"/>
      <c r="AVM158" s="103"/>
      <c r="AVN158" s="103"/>
      <c r="AVO158" s="103"/>
      <c r="AVP158" s="103"/>
      <c r="AVQ158" s="103"/>
      <c r="AVR158" s="103"/>
      <c r="AVS158" s="103"/>
      <c r="AVT158" s="103"/>
      <c r="AVU158" s="103"/>
      <c r="AVV158" s="103"/>
      <c r="AVW158" s="103"/>
      <c r="AVX158" s="103"/>
      <c r="AVY158" s="103"/>
      <c r="AVZ158" s="103"/>
      <c r="AWA158" s="103"/>
      <c r="AWB158" s="103"/>
      <c r="AWC158" s="103"/>
      <c r="AWD158" s="103"/>
      <c r="AWE158" s="103"/>
      <c r="AWF158" s="103"/>
      <c r="AWG158" s="103"/>
      <c r="AWH158" s="103"/>
      <c r="AWI158" s="103"/>
      <c r="AWJ158" s="103"/>
      <c r="AWK158" s="103"/>
      <c r="AWL158" s="103"/>
      <c r="AWM158" s="103"/>
      <c r="AWN158" s="103"/>
      <c r="AWO158" s="103"/>
      <c r="AWP158" s="103"/>
      <c r="AWQ158" s="103"/>
      <c r="AWR158" s="103"/>
      <c r="AWS158" s="103"/>
      <c r="AWT158" s="103"/>
      <c r="AWU158" s="103"/>
      <c r="AWV158" s="103"/>
      <c r="AWW158" s="103"/>
      <c r="AWX158" s="103"/>
      <c r="AWY158" s="103"/>
      <c r="AWZ158" s="103"/>
      <c r="AXA158" s="103"/>
      <c r="AXB158" s="103"/>
      <c r="AXC158" s="103"/>
      <c r="AXD158" s="103"/>
      <c r="AXE158" s="103"/>
      <c r="AXF158" s="103"/>
      <c r="AXG158" s="103"/>
      <c r="AXH158" s="103"/>
      <c r="AXI158" s="103"/>
      <c r="AXJ158" s="103"/>
      <c r="AXK158" s="103"/>
      <c r="AXL158" s="103"/>
      <c r="AXM158" s="103"/>
      <c r="AXN158" s="103"/>
      <c r="AXO158" s="103"/>
      <c r="AXP158" s="103"/>
      <c r="AXQ158" s="103"/>
      <c r="AXR158" s="103"/>
      <c r="AXS158" s="103"/>
      <c r="AXT158" s="103"/>
      <c r="AXU158" s="103"/>
      <c r="AXV158" s="103"/>
      <c r="AXW158" s="103"/>
      <c r="AXX158" s="103"/>
      <c r="AXY158" s="103"/>
      <c r="AXZ158" s="103"/>
      <c r="AYA158" s="103"/>
      <c r="AYB158" s="103"/>
      <c r="AYC158" s="103"/>
      <c r="AYD158" s="103"/>
      <c r="AYE158" s="103"/>
      <c r="AYF158" s="103"/>
      <c r="AYG158" s="103"/>
      <c r="AYH158" s="103"/>
      <c r="AYI158" s="103"/>
      <c r="AYJ158" s="103"/>
      <c r="AYK158" s="103"/>
      <c r="AYL158" s="103"/>
      <c r="AYM158" s="103"/>
      <c r="AYN158" s="103"/>
      <c r="AYO158" s="103"/>
      <c r="AYP158" s="103"/>
      <c r="AYQ158" s="103"/>
      <c r="AYR158" s="103"/>
      <c r="AYS158" s="103"/>
      <c r="AYT158" s="103"/>
      <c r="AYU158" s="103"/>
      <c r="AYV158" s="103"/>
      <c r="AYW158" s="103"/>
      <c r="AYX158" s="103"/>
      <c r="AYY158" s="103"/>
      <c r="AYZ158" s="103"/>
      <c r="AZA158" s="103"/>
      <c r="AZB158" s="103"/>
      <c r="AZC158" s="103"/>
      <c r="AZD158" s="103"/>
      <c r="AZE158" s="103"/>
      <c r="AZF158" s="103"/>
      <c r="AZG158" s="103"/>
      <c r="AZH158" s="103"/>
      <c r="AZI158" s="103"/>
      <c r="AZJ158" s="103"/>
      <c r="AZK158" s="103"/>
      <c r="AZL158" s="103"/>
      <c r="AZM158" s="103"/>
      <c r="AZN158" s="103"/>
      <c r="AZO158" s="103"/>
      <c r="AZP158" s="103"/>
      <c r="AZQ158" s="103"/>
      <c r="AZR158" s="103"/>
      <c r="AZS158" s="103"/>
      <c r="AZT158" s="103"/>
      <c r="AZU158" s="103"/>
      <c r="AZV158" s="103"/>
      <c r="AZW158" s="103"/>
      <c r="AZX158" s="103"/>
      <c r="AZY158" s="103"/>
      <c r="AZZ158" s="103"/>
      <c r="BAA158" s="103"/>
      <c r="BAB158" s="103"/>
      <c r="BAC158" s="103"/>
      <c r="BAD158" s="103"/>
      <c r="BAE158" s="103"/>
      <c r="BAF158" s="103"/>
      <c r="BAG158" s="103"/>
      <c r="BAH158" s="103"/>
      <c r="BAI158" s="103"/>
      <c r="BAJ158" s="103"/>
      <c r="BAK158" s="103"/>
      <c r="BAL158" s="103"/>
      <c r="BAM158" s="103"/>
      <c r="BAN158" s="103"/>
      <c r="BAO158" s="103"/>
      <c r="BAP158" s="103"/>
      <c r="BAQ158" s="103"/>
      <c r="BAR158" s="103"/>
      <c r="BAS158" s="103"/>
      <c r="BAT158" s="103"/>
      <c r="BAU158" s="103"/>
      <c r="BAV158" s="103"/>
      <c r="BAW158" s="103"/>
      <c r="BAX158" s="103"/>
      <c r="BAY158" s="103"/>
      <c r="BAZ158" s="103"/>
      <c r="BBA158" s="103"/>
      <c r="BBB158" s="103"/>
      <c r="BBC158" s="103"/>
      <c r="BBD158" s="103"/>
      <c r="BBE158" s="103"/>
      <c r="BBF158" s="103"/>
      <c r="BBG158" s="103"/>
      <c r="BBH158" s="103"/>
      <c r="BBI158" s="103"/>
      <c r="BBJ158" s="103"/>
      <c r="BBK158" s="103"/>
      <c r="BBL158" s="103"/>
      <c r="BBM158" s="103"/>
      <c r="BBN158" s="103"/>
      <c r="BBO158" s="103"/>
      <c r="BBP158" s="103"/>
      <c r="BBQ158" s="103"/>
      <c r="BBR158" s="103"/>
      <c r="BBS158" s="103"/>
      <c r="BBT158" s="103"/>
      <c r="BBU158" s="103"/>
      <c r="BBV158" s="103"/>
      <c r="BBW158" s="103"/>
      <c r="BBX158" s="103"/>
      <c r="BBY158" s="103"/>
      <c r="BBZ158" s="103"/>
      <c r="BCA158" s="103"/>
      <c r="BCB158" s="103"/>
      <c r="BCC158" s="103"/>
      <c r="BCD158" s="103"/>
      <c r="BCE158" s="103"/>
      <c r="BCF158" s="103"/>
      <c r="BCG158" s="103"/>
      <c r="BCH158" s="103"/>
      <c r="BCI158" s="103"/>
      <c r="BCJ158" s="103"/>
      <c r="BCK158" s="103"/>
      <c r="BCL158" s="103"/>
      <c r="BCM158" s="103"/>
      <c r="BCN158" s="103"/>
      <c r="BCO158" s="103"/>
      <c r="BCP158" s="103"/>
      <c r="BCQ158" s="103"/>
      <c r="BCR158" s="103"/>
      <c r="BCS158" s="103"/>
      <c r="BCT158" s="103"/>
      <c r="BCU158" s="103"/>
      <c r="BCV158" s="103"/>
      <c r="BCW158" s="103"/>
      <c r="BCX158" s="103"/>
      <c r="BCY158" s="103"/>
      <c r="BCZ158" s="103"/>
      <c r="BDA158" s="103"/>
      <c r="BDB158" s="103"/>
      <c r="BDC158" s="103"/>
      <c r="BDD158" s="103"/>
      <c r="BDE158" s="103"/>
      <c r="BDF158" s="103"/>
      <c r="BDG158" s="103"/>
      <c r="BDH158" s="103"/>
      <c r="BDI158" s="103"/>
      <c r="BDJ158" s="103"/>
      <c r="BDK158" s="103"/>
      <c r="BDL158" s="103"/>
      <c r="BDM158" s="103"/>
      <c r="BDN158" s="103"/>
      <c r="BDO158" s="103"/>
      <c r="BDP158" s="103"/>
      <c r="BDQ158" s="103"/>
      <c r="BDR158" s="103"/>
      <c r="BDS158" s="103"/>
      <c r="BDT158" s="103"/>
      <c r="BDU158" s="103"/>
      <c r="BDV158" s="103"/>
      <c r="BDW158" s="103"/>
      <c r="BDX158" s="103"/>
      <c r="BDY158" s="103"/>
      <c r="BDZ158" s="103"/>
      <c r="BEA158" s="103"/>
      <c r="BEB158" s="103"/>
      <c r="BEC158" s="103"/>
      <c r="BED158" s="103"/>
      <c r="BEE158" s="103"/>
      <c r="BEF158" s="103"/>
      <c r="BEG158" s="103"/>
      <c r="BEH158" s="103"/>
      <c r="BEI158" s="103"/>
      <c r="BEJ158" s="103"/>
      <c r="BEK158" s="103"/>
      <c r="BEL158" s="103"/>
      <c r="BEM158" s="103"/>
      <c r="BEN158" s="103"/>
      <c r="BEO158" s="103"/>
      <c r="BEP158" s="103"/>
      <c r="BEQ158" s="103"/>
      <c r="BER158" s="103"/>
      <c r="BES158" s="103"/>
      <c r="BET158" s="103"/>
      <c r="BEU158" s="103"/>
      <c r="BEV158" s="103"/>
      <c r="BEW158" s="103"/>
      <c r="BEX158" s="103"/>
      <c r="BEY158" s="103"/>
      <c r="BEZ158" s="103"/>
      <c r="BFA158" s="103"/>
      <c r="BFB158" s="103"/>
      <c r="BFC158" s="103"/>
      <c r="BFD158" s="103"/>
      <c r="BFE158" s="103"/>
      <c r="BFF158" s="103"/>
      <c r="BFG158" s="103"/>
      <c r="BFH158" s="103"/>
      <c r="BFI158" s="103"/>
      <c r="BFJ158" s="103"/>
      <c r="BFK158" s="103"/>
      <c r="BFL158" s="103"/>
      <c r="BFM158" s="103"/>
      <c r="BFN158" s="103"/>
      <c r="BFO158" s="103"/>
      <c r="BFP158" s="103"/>
      <c r="BFQ158" s="103"/>
      <c r="BFR158" s="103"/>
      <c r="BFS158" s="103"/>
      <c r="BFT158" s="103"/>
      <c r="BFU158" s="103"/>
      <c r="BFV158" s="103"/>
      <c r="BFW158" s="103"/>
      <c r="BFX158" s="103"/>
      <c r="BFY158" s="103"/>
      <c r="BFZ158" s="103"/>
      <c r="BGA158" s="103"/>
      <c r="BGB158" s="103"/>
      <c r="BGC158" s="103"/>
      <c r="BGD158" s="103"/>
      <c r="BGE158" s="103"/>
      <c r="BGF158" s="103"/>
      <c r="BGG158" s="103"/>
      <c r="BGH158" s="103"/>
      <c r="BGI158" s="103"/>
      <c r="BGJ158" s="103"/>
      <c r="BGK158" s="103"/>
      <c r="BGL158" s="103"/>
      <c r="BGM158" s="103"/>
      <c r="BGN158" s="103"/>
      <c r="BGO158" s="103"/>
      <c r="BGP158" s="103"/>
      <c r="BGQ158" s="103"/>
      <c r="BGR158" s="103"/>
      <c r="BGS158" s="103"/>
      <c r="BGT158" s="103"/>
      <c r="BGU158" s="103"/>
      <c r="BGV158" s="103"/>
      <c r="BGW158" s="103"/>
      <c r="BGX158" s="103"/>
      <c r="BGY158" s="103"/>
      <c r="BGZ158" s="103"/>
      <c r="BHA158" s="103"/>
      <c r="BHB158" s="103"/>
      <c r="BHC158" s="103"/>
      <c r="BHD158" s="103"/>
      <c r="BHE158" s="103"/>
      <c r="BHF158" s="103"/>
      <c r="BHG158" s="103"/>
      <c r="BHH158" s="103"/>
      <c r="BHI158" s="103"/>
      <c r="BHJ158" s="103"/>
      <c r="BHK158" s="103"/>
      <c r="BHL158" s="103"/>
      <c r="BHM158" s="103"/>
      <c r="BHN158" s="103"/>
      <c r="BHO158" s="103"/>
      <c r="BHP158" s="103"/>
      <c r="BHQ158" s="103"/>
      <c r="BHR158" s="103"/>
      <c r="BHS158" s="103"/>
      <c r="BHT158" s="103"/>
      <c r="BHU158" s="103"/>
      <c r="BHV158" s="103"/>
      <c r="BHW158" s="103"/>
      <c r="BHX158" s="103"/>
      <c r="BHY158" s="103"/>
      <c r="BHZ158" s="103"/>
      <c r="BIA158" s="103"/>
      <c r="BIB158" s="103"/>
      <c r="BIC158" s="103"/>
      <c r="BID158" s="103"/>
      <c r="BIE158" s="103"/>
      <c r="BIF158" s="103"/>
      <c r="BIG158" s="103"/>
      <c r="BIH158" s="103"/>
      <c r="BII158" s="103"/>
      <c r="BIJ158" s="103"/>
      <c r="BIK158" s="103"/>
      <c r="BIL158" s="103"/>
      <c r="BIM158" s="103"/>
      <c r="BIN158" s="103"/>
      <c r="BIO158" s="103"/>
      <c r="BIP158" s="103"/>
      <c r="BIQ158" s="103"/>
      <c r="BIR158" s="103"/>
      <c r="BIS158" s="103"/>
      <c r="BIT158" s="103"/>
      <c r="BIU158" s="103"/>
      <c r="BIV158" s="103"/>
      <c r="BIW158" s="103"/>
      <c r="BIX158" s="103"/>
      <c r="BIY158" s="103"/>
      <c r="BIZ158" s="103"/>
      <c r="BJA158" s="103"/>
      <c r="BJB158" s="103"/>
      <c r="BJC158" s="103"/>
      <c r="BJD158" s="103"/>
      <c r="BJE158" s="103"/>
      <c r="BJF158" s="103"/>
      <c r="BJG158" s="103"/>
      <c r="BJH158" s="103"/>
      <c r="BJI158" s="103"/>
      <c r="BJJ158" s="103"/>
      <c r="BJK158" s="103"/>
      <c r="BJL158" s="103"/>
      <c r="BJM158" s="103"/>
      <c r="BJN158" s="103"/>
      <c r="BJO158" s="103"/>
      <c r="BJP158" s="103"/>
      <c r="BJQ158" s="103"/>
      <c r="BJR158" s="103"/>
      <c r="BJS158" s="103"/>
      <c r="BJT158" s="103"/>
      <c r="BJU158" s="103"/>
      <c r="BJV158" s="103"/>
      <c r="BJW158" s="103"/>
      <c r="BJX158" s="103"/>
      <c r="BJY158" s="103"/>
      <c r="BJZ158" s="103"/>
      <c r="BKA158" s="103"/>
      <c r="BKB158" s="103"/>
      <c r="BKC158" s="103"/>
      <c r="BKD158" s="103"/>
      <c r="BKE158" s="103"/>
      <c r="BKF158" s="103"/>
      <c r="BKG158" s="103"/>
      <c r="BKH158" s="103"/>
      <c r="BKI158" s="103"/>
      <c r="BKJ158" s="103"/>
      <c r="BKK158" s="103"/>
      <c r="BKL158" s="103"/>
      <c r="BKM158" s="103"/>
      <c r="BKN158" s="103"/>
      <c r="BKO158" s="103"/>
      <c r="BKP158" s="103"/>
      <c r="BKQ158" s="103"/>
      <c r="BKR158" s="103"/>
      <c r="BKS158" s="103"/>
      <c r="BKT158" s="103"/>
      <c r="BKU158" s="103"/>
      <c r="BKV158" s="103"/>
      <c r="BKW158" s="103"/>
      <c r="BKX158" s="103"/>
      <c r="BKY158" s="103"/>
      <c r="BKZ158" s="103"/>
      <c r="BLA158" s="103"/>
      <c r="BLB158" s="103"/>
      <c r="BLC158" s="103"/>
      <c r="BLD158" s="103"/>
      <c r="BLE158" s="103"/>
      <c r="BLF158" s="103"/>
      <c r="BLG158" s="103"/>
      <c r="BLH158" s="103"/>
      <c r="BLI158" s="103"/>
      <c r="BLJ158" s="103"/>
      <c r="BLK158" s="103"/>
      <c r="BLL158" s="103"/>
      <c r="BLM158" s="103"/>
      <c r="BLN158" s="103"/>
      <c r="BLO158" s="103"/>
      <c r="BLP158" s="103"/>
      <c r="BLQ158" s="103"/>
      <c r="BLR158" s="103"/>
      <c r="BLS158" s="103"/>
      <c r="BLT158" s="103"/>
      <c r="BLU158" s="103"/>
      <c r="BLV158" s="103"/>
      <c r="BLW158" s="103"/>
      <c r="BLX158" s="103"/>
      <c r="BLY158" s="103"/>
      <c r="BLZ158" s="103"/>
      <c r="BMA158" s="103"/>
      <c r="BMB158" s="103"/>
      <c r="BMC158" s="103"/>
      <c r="BMD158" s="103"/>
      <c r="BME158" s="103"/>
      <c r="BMF158" s="103"/>
      <c r="BMG158" s="103"/>
      <c r="BMH158" s="103"/>
      <c r="BMI158" s="103"/>
      <c r="BMJ158" s="103"/>
      <c r="BMK158" s="103"/>
      <c r="BML158" s="103"/>
      <c r="BMM158" s="103"/>
      <c r="BMN158" s="103"/>
      <c r="BMO158" s="103"/>
      <c r="BMP158" s="103"/>
      <c r="BMQ158" s="103"/>
      <c r="BMR158" s="103"/>
      <c r="BMS158" s="103"/>
      <c r="BMT158" s="103"/>
      <c r="BMU158" s="103"/>
      <c r="BMV158" s="103"/>
      <c r="BMW158" s="103"/>
      <c r="BMX158" s="103"/>
      <c r="BMY158" s="103"/>
      <c r="BMZ158" s="103"/>
      <c r="BNA158" s="103"/>
      <c r="BNB158" s="103"/>
      <c r="BNC158" s="103"/>
      <c r="BND158" s="103"/>
      <c r="BNE158" s="103"/>
      <c r="BNF158" s="103"/>
      <c r="BNG158" s="103"/>
      <c r="BNH158" s="103"/>
      <c r="BNI158" s="103"/>
      <c r="BNJ158" s="103"/>
      <c r="BNK158" s="103"/>
      <c r="BNL158" s="103"/>
      <c r="BNM158" s="103"/>
      <c r="BNN158" s="103"/>
      <c r="BNO158" s="103"/>
      <c r="BNP158" s="103"/>
      <c r="BNQ158" s="103"/>
      <c r="BNR158" s="103"/>
      <c r="BNS158" s="103"/>
      <c r="BNT158" s="103"/>
      <c r="BNU158" s="103"/>
      <c r="BNV158" s="103"/>
      <c r="BNW158" s="103"/>
      <c r="BNX158" s="103"/>
      <c r="BNY158" s="103"/>
      <c r="BNZ158" s="103"/>
      <c r="BOA158" s="103"/>
      <c r="BOB158" s="103"/>
      <c r="BOC158" s="103"/>
      <c r="BOD158" s="103"/>
      <c r="BOE158" s="103"/>
      <c r="BOF158" s="103"/>
      <c r="BOG158" s="103"/>
      <c r="BOH158" s="103"/>
      <c r="BOI158" s="103"/>
      <c r="BOJ158" s="103"/>
      <c r="BOK158" s="103"/>
      <c r="BOL158" s="103"/>
      <c r="BOM158" s="103"/>
      <c r="BON158" s="103"/>
      <c r="BOO158" s="103"/>
      <c r="BOP158" s="103"/>
      <c r="BOQ158" s="103"/>
      <c r="BOR158" s="103"/>
      <c r="BOS158" s="103"/>
      <c r="BOT158" s="103"/>
      <c r="BOU158" s="103"/>
      <c r="BOV158" s="103"/>
      <c r="BOW158" s="103"/>
      <c r="BOX158" s="103"/>
      <c r="BOY158" s="103"/>
      <c r="BOZ158" s="103"/>
      <c r="BPA158" s="103"/>
      <c r="BPB158" s="103"/>
      <c r="BPC158" s="103"/>
      <c r="BPD158" s="103"/>
      <c r="BPE158" s="103"/>
      <c r="BPF158" s="103"/>
      <c r="BPG158" s="103"/>
      <c r="BPH158" s="103"/>
      <c r="BPI158" s="103"/>
      <c r="BPJ158" s="103"/>
      <c r="BPK158" s="103"/>
      <c r="BPL158" s="103"/>
      <c r="BPM158" s="103"/>
      <c r="BPN158" s="103"/>
      <c r="BPO158" s="103"/>
      <c r="BPP158" s="103"/>
      <c r="BPQ158" s="103"/>
      <c r="BPR158" s="103"/>
      <c r="BPS158" s="103"/>
      <c r="BPT158" s="103"/>
      <c r="BPU158" s="103"/>
      <c r="BPV158" s="103"/>
      <c r="BPW158" s="103"/>
      <c r="BPX158" s="103"/>
      <c r="BPY158" s="103"/>
      <c r="BPZ158" s="103"/>
      <c r="BQA158" s="103"/>
      <c r="BQB158" s="103"/>
      <c r="BQC158" s="103"/>
      <c r="BQD158" s="103"/>
      <c r="BQE158" s="103"/>
      <c r="BQF158" s="103"/>
      <c r="BQG158" s="103"/>
      <c r="BQH158" s="103"/>
      <c r="BQI158" s="103"/>
      <c r="BQJ158" s="103"/>
      <c r="BQK158" s="103"/>
      <c r="BQL158" s="103"/>
      <c r="BQM158" s="103"/>
      <c r="BQN158" s="103"/>
      <c r="BQO158" s="103"/>
      <c r="BQP158" s="103"/>
      <c r="BQQ158" s="103"/>
      <c r="BQR158" s="103"/>
      <c r="BQS158" s="103"/>
      <c r="BQT158" s="103"/>
      <c r="BQU158" s="103"/>
      <c r="BQV158" s="103"/>
      <c r="BQW158" s="103"/>
      <c r="BQX158" s="103"/>
      <c r="BQY158" s="103"/>
      <c r="BQZ158" s="103"/>
      <c r="BRA158" s="103"/>
      <c r="BRB158" s="103"/>
      <c r="BRC158" s="103"/>
      <c r="BRD158" s="103"/>
      <c r="BRE158" s="103"/>
      <c r="BRF158" s="103"/>
      <c r="BRG158" s="103"/>
      <c r="BRH158" s="103"/>
      <c r="BRI158" s="103"/>
      <c r="BRJ158" s="103"/>
      <c r="BRK158" s="103"/>
      <c r="BRL158" s="103"/>
      <c r="BRM158" s="103"/>
      <c r="BRN158" s="103"/>
      <c r="BRO158" s="103"/>
      <c r="BRP158" s="103"/>
      <c r="BRQ158" s="103"/>
      <c r="BRR158" s="103"/>
      <c r="BRS158" s="103"/>
      <c r="BRT158" s="103"/>
      <c r="BRU158" s="103"/>
      <c r="BRV158" s="103"/>
      <c r="BRW158" s="103"/>
      <c r="BRX158" s="103"/>
      <c r="BRY158" s="103"/>
      <c r="BRZ158" s="103"/>
      <c r="BSA158" s="103"/>
      <c r="BSB158" s="103"/>
      <c r="BSC158" s="103"/>
      <c r="BSD158" s="103"/>
      <c r="BSE158" s="103"/>
      <c r="BSF158" s="103"/>
      <c r="BSG158" s="103"/>
      <c r="BSH158" s="103"/>
      <c r="BSI158" s="103"/>
      <c r="BSJ158" s="103"/>
      <c r="BSK158" s="103"/>
      <c r="BSL158" s="103"/>
      <c r="BSM158" s="103"/>
      <c r="BSN158" s="103"/>
      <c r="BSO158" s="103"/>
      <c r="BSP158" s="103"/>
      <c r="BSQ158" s="103"/>
      <c r="BSR158" s="103"/>
      <c r="BSS158" s="103"/>
      <c r="BST158" s="103"/>
      <c r="BSU158" s="103"/>
      <c r="BSV158" s="103"/>
      <c r="BSW158" s="103"/>
      <c r="BSX158" s="103"/>
      <c r="BSY158" s="103"/>
      <c r="BSZ158" s="103"/>
      <c r="BTA158" s="103"/>
      <c r="BTB158" s="103"/>
      <c r="BTC158" s="103"/>
      <c r="BTD158" s="103"/>
      <c r="BTE158" s="103"/>
      <c r="BTF158" s="103"/>
      <c r="BTG158" s="103"/>
      <c r="BTH158" s="103"/>
      <c r="BTI158" s="103"/>
      <c r="BTJ158" s="103"/>
      <c r="BTK158" s="103"/>
      <c r="BTL158" s="103"/>
      <c r="BTM158" s="103"/>
      <c r="BTN158" s="103"/>
      <c r="BTO158" s="103"/>
      <c r="BTP158" s="103"/>
      <c r="BTQ158" s="103"/>
      <c r="BTR158" s="103"/>
      <c r="BTS158" s="103"/>
      <c r="BTT158" s="103"/>
      <c r="BTU158" s="103"/>
      <c r="BTV158" s="103"/>
      <c r="BTW158" s="103"/>
      <c r="BTX158" s="103"/>
      <c r="BTY158" s="103"/>
      <c r="BTZ158" s="103"/>
      <c r="BUA158" s="103"/>
      <c r="BUB158" s="103"/>
      <c r="BUC158" s="103"/>
      <c r="BUD158" s="103"/>
      <c r="BUE158" s="103"/>
      <c r="BUF158" s="103"/>
      <c r="BUG158" s="103"/>
      <c r="BUH158" s="103"/>
      <c r="BUI158" s="103"/>
      <c r="BUJ158" s="103"/>
      <c r="BUK158" s="103"/>
      <c r="BUL158" s="103"/>
      <c r="BUM158" s="103"/>
      <c r="BUN158" s="103"/>
      <c r="BUO158" s="103"/>
      <c r="BUP158" s="103"/>
      <c r="BUQ158" s="103"/>
      <c r="BUR158" s="103"/>
      <c r="BUS158" s="103"/>
      <c r="BUT158" s="103"/>
      <c r="BUU158" s="103"/>
      <c r="BUV158" s="103"/>
      <c r="BUW158" s="103"/>
      <c r="BUX158" s="103"/>
      <c r="BUY158" s="103"/>
      <c r="BUZ158" s="103"/>
      <c r="BVA158" s="103"/>
      <c r="BVB158" s="103"/>
      <c r="BVC158" s="103"/>
      <c r="BVD158" s="103"/>
      <c r="BVE158" s="103"/>
      <c r="BVF158" s="103"/>
      <c r="BVG158" s="103"/>
      <c r="BVH158" s="103"/>
      <c r="BVI158" s="103"/>
      <c r="BVJ158" s="103"/>
      <c r="BVK158" s="103"/>
      <c r="BVL158" s="103"/>
      <c r="BVM158" s="103"/>
      <c r="BVN158" s="103"/>
      <c r="BVO158" s="103"/>
      <c r="BVP158" s="103"/>
      <c r="BVQ158" s="103"/>
      <c r="BVR158" s="103"/>
      <c r="BVS158" s="103"/>
      <c r="BVT158" s="103"/>
      <c r="BVU158" s="103"/>
      <c r="BVV158" s="103"/>
      <c r="BVW158" s="103"/>
      <c r="BVX158" s="103"/>
      <c r="BVY158" s="103"/>
      <c r="BVZ158" s="103"/>
      <c r="BWA158" s="103"/>
      <c r="BWB158" s="103"/>
      <c r="BWC158" s="103"/>
      <c r="BWD158" s="103"/>
      <c r="BWE158" s="103"/>
      <c r="BWF158" s="103"/>
      <c r="BWG158" s="103"/>
      <c r="BWH158" s="103"/>
      <c r="BWI158" s="103"/>
      <c r="BWJ158" s="103"/>
      <c r="BWK158" s="103"/>
      <c r="BWL158" s="103"/>
      <c r="BWM158" s="103"/>
      <c r="BWN158" s="103"/>
      <c r="BWO158" s="103"/>
      <c r="BWP158" s="103"/>
      <c r="BWQ158" s="103"/>
      <c r="BWR158" s="103"/>
      <c r="BWS158" s="103"/>
      <c r="BWT158" s="103"/>
      <c r="BWU158" s="103"/>
      <c r="BWV158" s="103"/>
      <c r="BWW158" s="103"/>
      <c r="BWX158" s="103"/>
      <c r="BWY158" s="103"/>
      <c r="BWZ158" s="103"/>
      <c r="BXA158" s="103"/>
      <c r="BXB158" s="103"/>
      <c r="BXC158" s="103"/>
      <c r="BXD158" s="103"/>
      <c r="BXE158" s="103"/>
      <c r="BXF158" s="103"/>
      <c r="BXG158" s="103"/>
      <c r="BXH158" s="103"/>
      <c r="BXI158" s="103"/>
      <c r="BXJ158" s="103"/>
      <c r="BXK158" s="103"/>
      <c r="BXL158" s="103"/>
      <c r="BXM158" s="103"/>
      <c r="BXN158" s="103"/>
      <c r="BXO158" s="103"/>
      <c r="BXP158" s="103"/>
      <c r="BXQ158" s="103"/>
      <c r="BXR158" s="103"/>
      <c r="BXS158" s="103"/>
      <c r="BXT158" s="103"/>
      <c r="BXU158" s="103"/>
      <c r="BXV158" s="103"/>
      <c r="BXW158" s="103"/>
      <c r="BXX158" s="103"/>
      <c r="BXY158" s="103"/>
      <c r="BXZ158" s="103"/>
      <c r="BYA158" s="103"/>
      <c r="BYB158" s="103"/>
      <c r="BYC158" s="103"/>
      <c r="BYD158" s="103"/>
      <c r="BYE158" s="103"/>
      <c r="BYF158" s="103"/>
      <c r="BYG158" s="103"/>
      <c r="BYH158" s="103"/>
      <c r="BYI158" s="103"/>
      <c r="BYJ158" s="103"/>
      <c r="BYK158" s="103"/>
      <c r="BYL158" s="103"/>
      <c r="BYM158" s="103"/>
      <c r="BYN158" s="103"/>
      <c r="BYO158" s="103"/>
      <c r="BYP158" s="103"/>
      <c r="BYQ158" s="103"/>
      <c r="BYR158" s="103"/>
      <c r="BYS158" s="103"/>
      <c r="BYT158" s="103"/>
      <c r="BYU158" s="103"/>
      <c r="BYV158" s="103"/>
      <c r="BYW158" s="103"/>
      <c r="BYX158" s="103"/>
      <c r="BYY158" s="103"/>
      <c r="BYZ158" s="103"/>
      <c r="BZA158" s="103"/>
      <c r="BZB158" s="103"/>
      <c r="BZC158" s="103"/>
      <c r="BZD158" s="103"/>
      <c r="BZE158" s="103"/>
      <c r="BZF158" s="103"/>
      <c r="BZG158" s="103"/>
      <c r="BZH158" s="103"/>
      <c r="BZI158" s="103"/>
      <c r="BZJ158" s="103"/>
      <c r="BZK158" s="103"/>
      <c r="BZL158" s="103"/>
      <c r="BZM158" s="103"/>
      <c r="BZN158" s="103"/>
      <c r="BZO158" s="103"/>
      <c r="BZP158" s="103"/>
      <c r="BZQ158" s="103"/>
      <c r="BZR158" s="103"/>
      <c r="BZS158" s="103"/>
      <c r="BZT158" s="103"/>
      <c r="BZU158" s="103"/>
      <c r="BZV158" s="103"/>
      <c r="BZW158" s="103"/>
      <c r="BZX158" s="103"/>
      <c r="BZY158" s="103"/>
      <c r="BZZ158" s="103"/>
      <c r="CAA158" s="103"/>
      <c r="CAB158" s="103"/>
      <c r="CAC158" s="103"/>
      <c r="CAD158" s="103"/>
      <c r="CAE158" s="103"/>
      <c r="CAF158" s="103"/>
      <c r="CAG158" s="103"/>
      <c r="CAH158" s="103"/>
      <c r="CAI158" s="103"/>
      <c r="CAJ158" s="103"/>
      <c r="CAK158" s="103"/>
      <c r="CAL158" s="103"/>
      <c r="CAM158" s="103"/>
      <c r="CAN158" s="103"/>
      <c r="CAO158" s="103"/>
      <c r="CAP158" s="103"/>
      <c r="CAQ158" s="103"/>
      <c r="CAR158" s="103"/>
      <c r="CAS158" s="103"/>
      <c r="CAT158" s="103"/>
      <c r="CAU158" s="103"/>
      <c r="CAV158" s="103"/>
      <c r="CAW158" s="103"/>
      <c r="CAX158" s="103"/>
      <c r="CAY158" s="103"/>
      <c r="CAZ158" s="103"/>
      <c r="CBA158" s="103"/>
      <c r="CBB158" s="103"/>
      <c r="CBC158" s="103"/>
      <c r="CBD158" s="103"/>
      <c r="CBE158" s="103"/>
      <c r="CBF158" s="103"/>
      <c r="CBG158" s="103"/>
      <c r="CBH158" s="103"/>
      <c r="CBI158" s="103"/>
      <c r="CBJ158" s="103"/>
      <c r="CBK158" s="103"/>
      <c r="CBL158" s="103"/>
      <c r="CBM158" s="103"/>
      <c r="CBN158" s="103"/>
      <c r="CBO158" s="103"/>
      <c r="CBP158" s="103"/>
      <c r="CBQ158" s="103"/>
      <c r="CBR158" s="103"/>
      <c r="CBS158" s="103"/>
      <c r="CBT158" s="103"/>
      <c r="CBU158" s="103"/>
      <c r="CBV158" s="103"/>
      <c r="CBW158" s="103"/>
      <c r="CBX158" s="103"/>
      <c r="CBY158" s="103"/>
      <c r="CBZ158" s="103"/>
      <c r="CCA158" s="103"/>
      <c r="CCB158" s="103"/>
      <c r="CCC158" s="103"/>
      <c r="CCD158" s="103"/>
      <c r="CCE158" s="103"/>
      <c r="CCF158" s="103"/>
      <c r="CCG158" s="103"/>
      <c r="CCH158" s="103"/>
      <c r="CCI158" s="103"/>
      <c r="CCJ158" s="103"/>
      <c r="CCK158" s="103"/>
      <c r="CCL158" s="103"/>
      <c r="CCM158" s="103"/>
      <c r="CCN158" s="103"/>
      <c r="CCO158" s="103"/>
      <c r="CCP158" s="103"/>
      <c r="CCQ158" s="103"/>
      <c r="CCR158" s="103"/>
      <c r="CCS158" s="103"/>
      <c r="CCT158" s="103"/>
      <c r="CCU158" s="103"/>
      <c r="CCV158" s="103"/>
      <c r="CCW158" s="103"/>
      <c r="CCX158" s="103"/>
      <c r="CCY158" s="103"/>
      <c r="CCZ158" s="103"/>
      <c r="CDA158" s="103"/>
      <c r="CDB158" s="103"/>
      <c r="CDC158" s="103"/>
      <c r="CDD158" s="103"/>
      <c r="CDE158" s="103"/>
      <c r="CDF158" s="103"/>
      <c r="CDG158" s="103"/>
      <c r="CDH158" s="103"/>
      <c r="CDI158" s="103"/>
      <c r="CDJ158" s="103"/>
      <c r="CDK158" s="103"/>
      <c r="CDL158" s="103"/>
      <c r="CDM158" s="103"/>
      <c r="CDN158" s="103"/>
      <c r="CDO158" s="103"/>
      <c r="CDP158" s="103"/>
      <c r="CDQ158" s="103"/>
      <c r="CDR158" s="103"/>
      <c r="CDS158" s="103"/>
      <c r="CDT158" s="103"/>
      <c r="CDU158" s="103"/>
      <c r="CDV158" s="103"/>
      <c r="CDW158" s="103"/>
      <c r="CDX158" s="103"/>
      <c r="CDY158" s="103"/>
      <c r="CDZ158" s="103"/>
      <c r="CEA158" s="103"/>
      <c r="CEB158" s="103"/>
      <c r="CEC158" s="103"/>
      <c r="CED158" s="103"/>
      <c r="CEE158" s="103"/>
      <c r="CEF158" s="103"/>
      <c r="CEG158" s="103"/>
      <c r="CEH158" s="103"/>
      <c r="CEI158" s="103"/>
      <c r="CEJ158" s="103"/>
      <c r="CEK158" s="103"/>
      <c r="CEL158" s="103"/>
      <c r="CEM158" s="103"/>
      <c r="CEN158" s="103"/>
      <c r="CEO158" s="103"/>
      <c r="CEP158" s="103"/>
      <c r="CEQ158" s="103"/>
      <c r="CER158" s="103"/>
      <c r="CES158" s="103"/>
      <c r="CET158" s="103"/>
      <c r="CEU158" s="103"/>
      <c r="CEV158" s="103"/>
      <c r="CEW158" s="103"/>
      <c r="CEX158" s="103"/>
      <c r="CEY158" s="103"/>
      <c r="CEZ158" s="103"/>
      <c r="CFA158" s="103"/>
      <c r="CFB158" s="103"/>
      <c r="CFC158" s="103"/>
      <c r="CFD158" s="103"/>
      <c r="CFE158" s="103"/>
      <c r="CFF158" s="103"/>
      <c r="CFG158" s="103"/>
      <c r="CFH158" s="103"/>
      <c r="CFI158" s="103"/>
      <c r="CFJ158" s="103"/>
      <c r="CFK158" s="103"/>
      <c r="CFL158" s="103"/>
      <c r="CFM158" s="103"/>
      <c r="CFN158" s="103"/>
      <c r="CFO158" s="103"/>
      <c r="CFP158" s="103"/>
      <c r="CFQ158" s="103"/>
      <c r="CFR158" s="103"/>
      <c r="CFS158" s="103"/>
      <c r="CFT158" s="103"/>
      <c r="CFU158" s="103"/>
      <c r="CFV158" s="103"/>
      <c r="CFW158" s="103"/>
      <c r="CFX158" s="103"/>
      <c r="CFY158" s="103"/>
      <c r="CFZ158" s="103"/>
      <c r="CGA158" s="103"/>
      <c r="CGB158" s="103"/>
      <c r="CGC158" s="103"/>
      <c r="CGD158" s="103"/>
      <c r="CGE158" s="103"/>
      <c r="CGF158" s="103"/>
      <c r="CGG158" s="103"/>
      <c r="CGH158" s="103"/>
      <c r="CGI158" s="103"/>
      <c r="CGJ158" s="103"/>
      <c r="CGK158" s="103"/>
      <c r="CGL158" s="103"/>
      <c r="CGM158" s="103"/>
      <c r="CGN158" s="103"/>
      <c r="CGO158" s="103"/>
      <c r="CGP158" s="103"/>
      <c r="CGQ158" s="103"/>
      <c r="CGR158" s="103"/>
      <c r="CGS158" s="103"/>
      <c r="CGT158" s="103"/>
      <c r="CGU158" s="103"/>
      <c r="CGV158" s="103"/>
      <c r="CGW158" s="103"/>
      <c r="CGX158" s="103"/>
      <c r="CGY158" s="103"/>
      <c r="CGZ158" s="103"/>
      <c r="CHA158" s="103"/>
      <c r="CHB158" s="103"/>
      <c r="CHC158" s="103"/>
      <c r="CHD158" s="103"/>
      <c r="CHE158" s="103"/>
      <c r="CHF158" s="103"/>
      <c r="CHG158" s="103"/>
      <c r="CHH158" s="103"/>
      <c r="CHI158" s="103"/>
      <c r="CHJ158" s="103"/>
      <c r="CHK158" s="103"/>
      <c r="CHL158" s="103"/>
      <c r="CHM158" s="103"/>
      <c r="CHN158" s="103"/>
      <c r="CHO158" s="103"/>
      <c r="CHP158" s="103"/>
      <c r="CHQ158" s="103"/>
      <c r="CHR158" s="103"/>
      <c r="CHS158" s="103"/>
      <c r="CHT158" s="103"/>
      <c r="CHU158" s="103"/>
      <c r="CHV158" s="103"/>
      <c r="CHW158" s="103"/>
      <c r="CHX158" s="103"/>
      <c r="CHY158" s="103"/>
      <c r="CHZ158" s="103"/>
      <c r="CIA158" s="103"/>
      <c r="CIB158" s="103"/>
      <c r="CIC158" s="103"/>
      <c r="CID158" s="103"/>
      <c r="CIE158" s="103"/>
      <c r="CIF158" s="103"/>
      <c r="CIG158" s="103"/>
      <c r="CIH158" s="103"/>
      <c r="CII158" s="103"/>
      <c r="CIJ158" s="103"/>
      <c r="CIK158" s="103"/>
      <c r="CIL158" s="103"/>
      <c r="CIM158" s="103"/>
      <c r="CIN158" s="103"/>
      <c r="CIO158" s="103"/>
      <c r="CIP158" s="103"/>
      <c r="CIQ158" s="103"/>
      <c r="CIR158" s="103"/>
      <c r="CIS158" s="103"/>
      <c r="CIT158" s="103"/>
      <c r="CIU158" s="103"/>
      <c r="CIV158" s="103"/>
      <c r="CIW158" s="103"/>
      <c r="CIX158" s="103"/>
      <c r="CIY158" s="103"/>
      <c r="CIZ158" s="103"/>
      <c r="CJA158" s="103"/>
      <c r="CJB158" s="103"/>
      <c r="CJC158" s="103"/>
      <c r="CJD158" s="103"/>
      <c r="CJE158" s="103"/>
      <c r="CJF158" s="103"/>
      <c r="CJG158" s="103"/>
      <c r="CJH158" s="103"/>
      <c r="CJI158" s="103"/>
      <c r="CJJ158" s="103"/>
      <c r="CJK158" s="103"/>
      <c r="CJL158" s="103"/>
      <c r="CJM158" s="103"/>
      <c r="CJN158" s="103"/>
      <c r="CJO158" s="103"/>
      <c r="CJP158" s="103"/>
      <c r="CJQ158" s="103"/>
      <c r="CJR158" s="103"/>
      <c r="CJS158" s="103"/>
      <c r="CJT158" s="103"/>
      <c r="CJU158" s="103"/>
      <c r="CJV158" s="103"/>
      <c r="CJW158" s="103"/>
      <c r="CJX158" s="103"/>
      <c r="CJY158" s="103"/>
      <c r="CJZ158" s="103"/>
      <c r="CKA158" s="103"/>
      <c r="CKB158" s="103"/>
      <c r="CKC158" s="103"/>
      <c r="CKD158" s="103"/>
      <c r="CKE158" s="103"/>
      <c r="CKF158" s="103"/>
      <c r="CKG158" s="103"/>
      <c r="CKH158" s="103"/>
      <c r="CKI158" s="103"/>
      <c r="CKJ158" s="103"/>
      <c r="CKK158" s="103"/>
      <c r="CKL158" s="103"/>
      <c r="CKM158" s="103"/>
      <c r="CKN158" s="103"/>
      <c r="CKO158" s="103"/>
      <c r="CKP158" s="103"/>
      <c r="CKQ158" s="103"/>
      <c r="CKR158" s="103"/>
      <c r="CKS158" s="103"/>
      <c r="CKT158" s="103"/>
      <c r="CKU158" s="103"/>
      <c r="CKV158" s="103"/>
      <c r="CKW158" s="103"/>
      <c r="CKX158" s="103"/>
      <c r="CKY158" s="103"/>
      <c r="CKZ158" s="103"/>
      <c r="CLA158" s="103"/>
      <c r="CLB158" s="103"/>
      <c r="CLC158" s="103"/>
      <c r="CLD158" s="103"/>
      <c r="CLE158" s="103"/>
      <c r="CLF158" s="103"/>
      <c r="CLG158" s="103"/>
      <c r="CLH158" s="103"/>
      <c r="CLI158" s="103"/>
      <c r="CLJ158" s="103"/>
      <c r="CLK158" s="103"/>
      <c r="CLL158" s="103"/>
      <c r="CLM158" s="103"/>
      <c r="CLN158" s="103"/>
      <c r="CLO158" s="103"/>
      <c r="CLP158" s="103"/>
      <c r="CLQ158" s="103"/>
      <c r="CLR158" s="103"/>
      <c r="CLS158" s="103"/>
      <c r="CLT158" s="103"/>
      <c r="CLU158" s="103"/>
      <c r="CLV158" s="103"/>
      <c r="CLW158" s="103"/>
      <c r="CLX158" s="103"/>
      <c r="CLY158" s="103"/>
      <c r="CLZ158" s="103"/>
      <c r="CMA158" s="103"/>
      <c r="CMB158" s="103"/>
      <c r="CMC158" s="103"/>
      <c r="CMD158" s="103"/>
      <c r="CME158" s="103"/>
      <c r="CMF158" s="103"/>
      <c r="CMG158" s="103"/>
      <c r="CMH158" s="103"/>
      <c r="CMI158" s="103"/>
      <c r="CMJ158" s="103"/>
      <c r="CMK158" s="103"/>
      <c r="CML158" s="103"/>
      <c r="CMM158" s="103"/>
      <c r="CMN158" s="103"/>
      <c r="CMO158" s="103"/>
      <c r="CMP158" s="103"/>
      <c r="CMQ158" s="103"/>
      <c r="CMR158" s="103"/>
      <c r="CMS158" s="103"/>
      <c r="CMT158" s="103"/>
      <c r="CMU158" s="103"/>
      <c r="CMV158" s="103"/>
      <c r="CMW158" s="103"/>
      <c r="CMX158" s="103"/>
      <c r="CMY158" s="103"/>
      <c r="CMZ158" s="103"/>
      <c r="CNA158" s="103"/>
      <c r="CNB158" s="103"/>
      <c r="CNC158" s="103"/>
      <c r="CND158" s="103"/>
      <c r="CNE158" s="103"/>
      <c r="CNF158" s="103"/>
      <c r="CNG158" s="103"/>
      <c r="CNH158" s="103"/>
      <c r="CNI158" s="103"/>
      <c r="CNJ158" s="103"/>
      <c r="CNK158" s="103"/>
      <c r="CNL158" s="103"/>
      <c r="CNM158" s="103"/>
      <c r="CNN158" s="103"/>
      <c r="CNO158" s="103"/>
      <c r="CNP158" s="103"/>
      <c r="CNQ158" s="103"/>
      <c r="CNR158" s="103"/>
      <c r="CNS158" s="103"/>
      <c r="CNT158" s="103"/>
      <c r="CNU158" s="103"/>
      <c r="CNV158" s="103"/>
      <c r="CNW158" s="103"/>
      <c r="CNX158" s="103"/>
      <c r="CNY158" s="103"/>
      <c r="CNZ158" s="103"/>
      <c r="COA158" s="103"/>
      <c r="COB158" s="103"/>
      <c r="COC158" s="103"/>
      <c r="COD158" s="103"/>
      <c r="COE158" s="103"/>
      <c r="COF158" s="103"/>
      <c r="COG158" s="103"/>
      <c r="COH158" s="103"/>
      <c r="COI158" s="103"/>
      <c r="COJ158" s="103"/>
      <c r="COK158" s="103"/>
      <c r="COL158" s="103"/>
      <c r="COM158" s="103"/>
      <c r="CON158" s="103"/>
      <c r="COO158" s="103"/>
      <c r="COP158" s="103"/>
      <c r="COQ158" s="103"/>
      <c r="COR158" s="103"/>
      <c r="COS158" s="103"/>
      <c r="COT158" s="103"/>
      <c r="COU158" s="103"/>
      <c r="COV158" s="103"/>
      <c r="COW158" s="103"/>
      <c r="COX158" s="103"/>
      <c r="COY158" s="103"/>
      <c r="COZ158" s="103"/>
      <c r="CPA158" s="103"/>
      <c r="CPB158" s="103"/>
      <c r="CPC158" s="103"/>
      <c r="CPD158" s="103"/>
      <c r="CPE158" s="103"/>
      <c r="CPF158" s="103"/>
      <c r="CPG158" s="103"/>
      <c r="CPH158" s="103"/>
      <c r="CPI158" s="103"/>
      <c r="CPJ158" s="103"/>
      <c r="CPK158" s="103"/>
      <c r="CPL158" s="103"/>
      <c r="CPM158" s="103"/>
      <c r="CPN158" s="103"/>
      <c r="CPO158" s="103"/>
      <c r="CPP158" s="103"/>
      <c r="CPQ158" s="103"/>
      <c r="CPR158" s="103"/>
      <c r="CPS158" s="103"/>
      <c r="CPT158" s="103"/>
      <c r="CPU158" s="103"/>
      <c r="CPV158" s="103"/>
      <c r="CPW158" s="103"/>
      <c r="CPX158" s="103"/>
      <c r="CPY158" s="103"/>
      <c r="CPZ158" s="103"/>
      <c r="CQA158" s="103"/>
      <c r="CQB158" s="103"/>
      <c r="CQC158" s="103"/>
      <c r="CQD158" s="103"/>
      <c r="CQE158" s="103"/>
      <c r="CQF158" s="103"/>
      <c r="CQG158" s="103"/>
      <c r="CQH158" s="103"/>
      <c r="CQI158" s="103"/>
      <c r="CQJ158" s="103"/>
      <c r="CQK158" s="103"/>
      <c r="CQL158" s="103"/>
      <c r="CQM158" s="103"/>
      <c r="CQN158" s="103"/>
      <c r="CQO158" s="103"/>
      <c r="CQP158" s="103"/>
      <c r="CQQ158" s="103"/>
      <c r="CQR158" s="103"/>
      <c r="CQS158" s="103"/>
      <c r="CQT158" s="103"/>
      <c r="CQU158" s="103"/>
      <c r="CQV158" s="103"/>
      <c r="CQW158" s="103"/>
      <c r="CQX158" s="103"/>
      <c r="CQY158" s="103"/>
      <c r="CQZ158" s="103"/>
      <c r="CRA158" s="103"/>
      <c r="CRB158" s="103"/>
      <c r="CRC158" s="103"/>
      <c r="CRD158" s="103"/>
      <c r="CRE158" s="103"/>
      <c r="CRF158" s="103"/>
      <c r="CRG158" s="103"/>
      <c r="CRH158" s="103"/>
      <c r="CRI158" s="103"/>
      <c r="CRJ158" s="103"/>
      <c r="CRK158" s="103"/>
      <c r="CRL158" s="103"/>
      <c r="CRM158" s="103"/>
      <c r="CRN158" s="103"/>
      <c r="CRO158" s="103"/>
      <c r="CRP158" s="103"/>
      <c r="CRQ158" s="103"/>
      <c r="CRR158" s="103"/>
      <c r="CRS158" s="103"/>
      <c r="CRT158" s="103"/>
      <c r="CRU158" s="103"/>
      <c r="CRV158" s="103"/>
      <c r="CRW158" s="103"/>
      <c r="CRX158" s="103"/>
      <c r="CRY158" s="103"/>
      <c r="CRZ158" s="103"/>
      <c r="CSA158" s="103"/>
      <c r="CSB158" s="103"/>
      <c r="CSC158" s="103"/>
      <c r="CSD158" s="103"/>
      <c r="CSE158" s="103"/>
      <c r="CSF158" s="103"/>
      <c r="CSG158" s="103"/>
      <c r="CSH158" s="103"/>
      <c r="CSI158" s="103"/>
      <c r="CSJ158" s="103"/>
      <c r="CSK158" s="103"/>
      <c r="CSL158" s="103"/>
      <c r="CSM158" s="103"/>
      <c r="CSN158" s="103"/>
      <c r="CSO158" s="103"/>
      <c r="CSP158" s="103"/>
      <c r="CSQ158" s="103"/>
      <c r="CSR158" s="103"/>
      <c r="CSS158" s="103"/>
      <c r="CST158" s="103"/>
      <c r="CSU158" s="103"/>
      <c r="CSV158" s="103"/>
      <c r="CSW158" s="103"/>
      <c r="CSX158" s="103"/>
      <c r="CSY158" s="103"/>
      <c r="CSZ158" s="103"/>
      <c r="CTA158" s="103"/>
      <c r="CTB158" s="103"/>
      <c r="CTC158" s="103"/>
      <c r="CTD158" s="103"/>
      <c r="CTE158" s="103"/>
      <c r="CTF158" s="103"/>
      <c r="CTG158" s="103"/>
      <c r="CTH158" s="103"/>
      <c r="CTI158" s="103"/>
      <c r="CTJ158" s="103"/>
      <c r="CTK158" s="103"/>
      <c r="CTL158" s="103"/>
      <c r="CTM158" s="103"/>
      <c r="CTN158" s="103"/>
      <c r="CTO158" s="103"/>
      <c r="CTP158" s="103"/>
      <c r="CTQ158" s="103"/>
      <c r="CTR158" s="103"/>
      <c r="CTS158" s="103"/>
      <c r="CTT158" s="103"/>
      <c r="CTU158" s="103"/>
      <c r="CTV158" s="103"/>
      <c r="CTW158" s="103"/>
      <c r="CTX158" s="103"/>
      <c r="CTY158" s="103"/>
      <c r="CTZ158" s="103"/>
      <c r="CUA158" s="103"/>
      <c r="CUB158" s="103"/>
      <c r="CUC158" s="103"/>
      <c r="CUD158" s="103"/>
      <c r="CUE158" s="103"/>
      <c r="CUF158" s="103"/>
      <c r="CUG158" s="103"/>
      <c r="CUH158" s="103"/>
      <c r="CUI158" s="103"/>
      <c r="CUJ158" s="103"/>
      <c r="CUK158" s="103"/>
      <c r="CUL158" s="103"/>
      <c r="CUM158" s="103"/>
      <c r="CUN158" s="103"/>
      <c r="CUO158" s="103"/>
      <c r="CUP158" s="103"/>
      <c r="CUQ158" s="103"/>
      <c r="CUR158" s="103"/>
      <c r="CUS158" s="103"/>
      <c r="CUT158" s="103"/>
      <c r="CUU158" s="103"/>
      <c r="CUV158" s="103"/>
      <c r="CUW158" s="103"/>
      <c r="CUX158" s="103"/>
      <c r="CUY158" s="103"/>
      <c r="CUZ158" s="103"/>
      <c r="CVA158" s="103"/>
      <c r="CVB158" s="103"/>
      <c r="CVC158" s="103"/>
      <c r="CVD158" s="103"/>
      <c r="CVE158" s="103"/>
      <c r="CVF158" s="103"/>
      <c r="CVG158" s="103"/>
      <c r="CVH158" s="103"/>
      <c r="CVI158" s="103"/>
      <c r="CVJ158" s="103"/>
      <c r="CVK158" s="103"/>
      <c r="CVL158" s="103"/>
      <c r="CVM158" s="103"/>
      <c r="CVN158" s="103"/>
      <c r="CVO158" s="103"/>
      <c r="CVP158" s="103"/>
      <c r="CVQ158" s="103"/>
      <c r="CVR158" s="103"/>
      <c r="CVS158" s="103"/>
      <c r="CVT158" s="103"/>
      <c r="CVU158" s="103"/>
      <c r="CVV158" s="103"/>
      <c r="CVW158" s="103"/>
      <c r="CVX158" s="103"/>
      <c r="CVY158" s="103"/>
      <c r="CVZ158" s="103"/>
      <c r="CWA158" s="103"/>
      <c r="CWB158" s="103"/>
      <c r="CWC158" s="103"/>
      <c r="CWD158" s="103"/>
      <c r="CWE158" s="103"/>
      <c r="CWF158" s="103"/>
      <c r="CWG158" s="103"/>
      <c r="CWH158" s="103"/>
      <c r="CWI158" s="103"/>
      <c r="CWJ158" s="103"/>
      <c r="CWK158" s="103"/>
      <c r="CWL158" s="103"/>
      <c r="CWM158" s="103"/>
      <c r="CWN158" s="103"/>
      <c r="CWO158" s="103"/>
      <c r="CWP158" s="103"/>
      <c r="CWQ158" s="103"/>
      <c r="CWR158" s="103"/>
      <c r="CWS158" s="103"/>
      <c r="CWT158" s="103"/>
      <c r="CWU158" s="103"/>
      <c r="CWV158" s="103"/>
      <c r="CWW158" s="103"/>
      <c r="CWX158" s="103"/>
      <c r="CWY158" s="103"/>
      <c r="CWZ158" s="103"/>
      <c r="CXA158" s="103"/>
      <c r="CXB158" s="103"/>
      <c r="CXC158" s="103"/>
      <c r="CXD158" s="103"/>
      <c r="CXE158" s="103"/>
      <c r="CXF158" s="103"/>
      <c r="CXG158" s="103"/>
      <c r="CXH158" s="103"/>
      <c r="CXI158" s="103"/>
      <c r="CXJ158" s="103"/>
      <c r="CXK158" s="103"/>
      <c r="CXL158" s="103"/>
      <c r="CXM158" s="103"/>
      <c r="CXN158" s="103"/>
      <c r="CXO158" s="103"/>
      <c r="CXP158" s="103"/>
      <c r="CXQ158" s="103"/>
      <c r="CXR158" s="103"/>
      <c r="CXS158" s="103"/>
      <c r="CXT158" s="103"/>
      <c r="CXU158" s="103"/>
      <c r="CXV158" s="103"/>
      <c r="CXW158" s="103"/>
      <c r="CXX158" s="103"/>
      <c r="CXY158" s="103"/>
      <c r="CXZ158" s="103"/>
      <c r="CYA158" s="103"/>
      <c r="CYB158" s="103"/>
      <c r="CYC158" s="103"/>
      <c r="CYD158" s="103"/>
      <c r="CYE158" s="103"/>
      <c r="CYF158" s="103"/>
      <c r="CYG158" s="103"/>
      <c r="CYH158" s="103"/>
      <c r="CYI158" s="103"/>
      <c r="CYJ158" s="103"/>
      <c r="CYK158" s="103"/>
      <c r="CYL158" s="103"/>
      <c r="CYM158" s="103"/>
      <c r="CYN158" s="103"/>
      <c r="CYO158" s="103"/>
      <c r="CYP158" s="103"/>
      <c r="CYQ158" s="103"/>
      <c r="CYR158" s="103"/>
      <c r="CYS158" s="103"/>
      <c r="CYT158" s="103"/>
      <c r="CYU158" s="103"/>
      <c r="CYV158" s="103"/>
      <c r="CYW158" s="103"/>
      <c r="CYX158" s="103"/>
      <c r="CYY158" s="103"/>
      <c r="CYZ158" s="103"/>
      <c r="CZA158" s="103"/>
      <c r="CZB158" s="103"/>
      <c r="CZC158" s="103"/>
      <c r="CZD158" s="103"/>
      <c r="CZE158" s="103"/>
      <c r="CZF158" s="103"/>
      <c r="CZG158" s="103"/>
      <c r="CZH158" s="103"/>
      <c r="CZI158" s="103"/>
      <c r="CZJ158" s="103"/>
      <c r="CZK158" s="103"/>
      <c r="CZL158" s="103"/>
      <c r="CZM158" s="103"/>
      <c r="CZN158" s="103"/>
      <c r="CZO158" s="103"/>
      <c r="CZP158" s="103"/>
      <c r="CZQ158" s="103"/>
      <c r="CZR158" s="103"/>
      <c r="CZS158" s="103"/>
      <c r="CZT158" s="103"/>
      <c r="CZU158" s="103"/>
      <c r="CZV158" s="103"/>
      <c r="CZW158" s="103"/>
      <c r="CZX158" s="103"/>
      <c r="CZY158" s="103"/>
      <c r="CZZ158" s="103"/>
      <c r="DAA158" s="103"/>
      <c r="DAB158" s="103"/>
      <c r="DAC158" s="103"/>
      <c r="DAD158" s="103"/>
      <c r="DAE158" s="103"/>
      <c r="DAF158" s="103"/>
      <c r="DAG158" s="103"/>
      <c r="DAH158" s="103"/>
      <c r="DAI158" s="103"/>
      <c r="DAJ158" s="103"/>
      <c r="DAK158" s="103"/>
      <c r="DAL158" s="103"/>
      <c r="DAM158" s="103"/>
      <c r="DAN158" s="103"/>
      <c r="DAO158" s="103"/>
      <c r="DAP158" s="103"/>
      <c r="DAQ158" s="103"/>
      <c r="DAR158" s="103"/>
      <c r="DAS158" s="103"/>
      <c r="DAT158" s="103"/>
      <c r="DAU158" s="103"/>
      <c r="DAV158" s="103"/>
      <c r="DAW158" s="103"/>
      <c r="DAX158" s="103"/>
      <c r="DAY158" s="103"/>
      <c r="DAZ158" s="103"/>
      <c r="DBA158" s="103"/>
      <c r="DBB158" s="103"/>
      <c r="DBC158" s="103"/>
      <c r="DBD158" s="103"/>
      <c r="DBE158" s="103"/>
      <c r="DBF158" s="103"/>
      <c r="DBG158" s="103"/>
      <c r="DBH158" s="103"/>
      <c r="DBI158" s="103"/>
      <c r="DBJ158" s="103"/>
      <c r="DBK158" s="103"/>
      <c r="DBL158" s="103"/>
      <c r="DBM158" s="103"/>
      <c r="DBN158" s="103"/>
      <c r="DBO158" s="103"/>
      <c r="DBP158" s="103"/>
      <c r="DBQ158" s="103"/>
      <c r="DBR158" s="103"/>
      <c r="DBS158" s="103"/>
      <c r="DBT158" s="103"/>
      <c r="DBU158" s="103"/>
      <c r="DBV158" s="103"/>
      <c r="DBW158" s="103"/>
      <c r="DBX158" s="103"/>
      <c r="DBY158" s="103"/>
      <c r="DBZ158" s="103"/>
      <c r="DCA158" s="103"/>
      <c r="DCB158" s="103"/>
      <c r="DCC158" s="103"/>
      <c r="DCD158" s="103"/>
      <c r="DCE158" s="103"/>
      <c r="DCF158" s="103"/>
      <c r="DCG158" s="103"/>
      <c r="DCH158" s="103"/>
      <c r="DCI158" s="103"/>
      <c r="DCJ158" s="103"/>
      <c r="DCK158" s="103"/>
      <c r="DCL158" s="103"/>
      <c r="DCM158" s="103"/>
      <c r="DCN158" s="103"/>
      <c r="DCO158" s="103"/>
      <c r="DCP158" s="103"/>
      <c r="DCQ158" s="103"/>
      <c r="DCR158" s="103"/>
      <c r="DCS158" s="103"/>
      <c r="DCT158" s="103"/>
      <c r="DCU158" s="103"/>
      <c r="DCV158" s="103"/>
      <c r="DCW158" s="103"/>
      <c r="DCX158" s="103"/>
      <c r="DCY158" s="103"/>
      <c r="DCZ158" s="103"/>
      <c r="DDA158" s="103"/>
      <c r="DDB158" s="103"/>
      <c r="DDC158" s="103"/>
      <c r="DDD158" s="103"/>
      <c r="DDE158" s="103"/>
      <c r="DDF158" s="103"/>
      <c r="DDG158" s="103"/>
      <c r="DDH158" s="103"/>
      <c r="DDI158" s="103"/>
      <c r="DDJ158" s="103"/>
      <c r="DDK158" s="103"/>
      <c r="DDL158" s="103"/>
      <c r="DDM158" s="103"/>
      <c r="DDN158" s="103"/>
      <c r="DDO158" s="103"/>
      <c r="DDP158" s="103"/>
      <c r="DDQ158" s="103"/>
      <c r="DDR158" s="103"/>
      <c r="DDS158" s="103"/>
      <c r="DDT158" s="103"/>
      <c r="DDU158" s="103"/>
      <c r="DDV158" s="103"/>
      <c r="DDW158" s="103"/>
      <c r="DDX158" s="103"/>
      <c r="DDY158" s="103"/>
      <c r="DDZ158" s="103"/>
      <c r="DEA158" s="103"/>
      <c r="DEB158" s="103"/>
      <c r="DEC158" s="103"/>
      <c r="DED158" s="103"/>
      <c r="DEE158" s="103"/>
      <c r="DEF158" s="103"/>
      <c r="DEG158" s="103"/>
      <c r="DEH158" s="103"/>
      <c r="DEI158" s="103"/>
      <c r="DEJ158" s="103"/>
      <c r="DEK158" s="103"/>
      <c r="DEL158" s="103"/>
      <c r="DEM158" s="103"/>
      <c r="DEN158" s="103"/>
      <c r="DEO158" s="103"/>
      <c r="DEP158" s="103"/>
      <c r="DEQ158" s="103"/>
      <c r="DER158" s="103"/>
      <c r="DES158" s="103"/>
      <c r="DET158" s="103"/>
      <c r="DEU158" s="103"/>
      <c r="DEV158" s="103"/>
      <c r="DEW158" s="103"/>
      <c r="DEX158" s="103"/>
      <c r="DEY158" s="103"/>
      <c r="DEZ158" s="103"/>
      <c r="DFA158" s="103"/>
      <c r="DFB158" s="103"/>
      <c r="DFC158" s="103"/>
      <c r="DFD158" s="103"/>
      <c r="DFE158" s="103"/>
      <c r="DFF158" s="103"/>
      <c r="DFG158" s="103"/>
      <c r="DFH158" s="103"/>
      <c r="DFI158" s="103"/>
      <c r="DFJ158" s="103"/>
      <c r="DFK158" s="103"/>
      <c r="DFL158" s="103"/>
      <c r="DFM158" s="103"/>
      <c r="DFN158" s="103"/>
      <c r="DFO158" s="103"/>
      <c r="DFP158" s="103"/>
      <c r="DFQ158" s="103"/>
      <c r="DFR158" s="103"/>
      <c r="DFS158" s="103"/>
      <c r="DFT158" s="103"/>
      <c r="DFU158" s="103"/>
      <c r="DFV158" s="103"/>
      <c r="DFW158" s="103"/>
      <c r="DFX158" s="103"/>
      <c r="DFY158" s="103"/>
      <c r="DFZ158" s="103"/>
      <c r="DGA158" s="103"/>
      <c r="DGB158" s="103"/>
      <c r="DGC158" s="103"/>
      <c r="DGD158" s="103"/>
      <c r="DGE158" s="103"/>
      <c r="DGF158" s="103"/>
      <c r="DGG158" s="103"/>
      <c r="DGH158" s="103"/>
      <c r="DGI158" s="103"/>
      <c r="DGJ158" s="103"/>
      <c r="DGK158" s="103"/>
      <c r="DGL158" s="103"/>
      <c r="DGM158" s="103"/>
      <c r="DGN158" s="103"/>
      <c r="DGO158" s="103"/>
      <c r="DGP158" s="103"/>
      <c r="DGQ158" s="103"/>
      <c r="DGR158" s="103"/>
      <c r="DGS158" s="103"/>
      <c r="DGT158" s="103"/>
      <c r="DGU158" s="103"/>
      <c r="DGV158" s="103"/>
      <c r="DGW158" s="103"/>
      <c r="DGX158" s="103"/>
      <c r="DGY158" s="103"/>
      <c r="DGZ158" s="103"/>
      <c r="DHA158" s="103"/>
      <c r="DHB158" s="103"/>
      <c r="DHC158" s="103"/>
      <c r="DHD158" s="103"/>
      <c r="DHE158" s="103"/>
      <c r="DHF158" s="103"/>
      <c r="DHG158" s="103"/>
      <c r="DHH158" s="103"/>
      <c r="DHI158" s="103"/>
      <c r="DHJ158" s="103"/>
      <c r="DHK158" s="103"/>
      <c r="DHL158" s="103"/>
      <c r="DHM158" s="103"/>
      <c r="DHN158" s="103"/>
      <c r="DHO158" s="103"/>
      <c r="DHP158" s="103"/>
      <c r="DHQ158" s="103"/>
      <c r="DHR158" s="103"/>
      <c r="DHS158" s="103"/>
      <c r="DHT158" s="103"/>
      <c r="DHU158" s="103"/>
      <c r="DHV158" s="103"/>
      <c r="DHW158" s="103"/>
      <c r="DHX158" s="103"/>
      <c r="DHY158" s="103"/>
      <c r="DHZ158" s="103"/>
      <c r="DIA158" s="103"/>
      <c r="DIB158" s="103"/>
      <c r="DIC158" s="103"/>
      <c r="DID158" s="103"/>
      <c r="DIE158" s="103"/>
      <c r="DIF158" s="103"/>
      <c r="DIG158" s="103"/>
      <c r="DIH158" s="103"/>
      <c r="DII158" s="103"/>
      <c r="DIJ158" s="103"/>
      <c r="DIK158" s="103"/>
      <c r="DIL158" s="103"/>
      <c r="DIM158" s="103"/>
      <c r="DIN158" s="103"/>
      <c r="DIO158" s="103"/>
      <c r="DIP158" s="103"/>
      <c r="DIQ158" s="103"/>
      <c r="DIR158" s="103"/>
      <c r="DIS158" s="103"/>
      <c r="DIT158" s="103"/>
      <c r="DIU158" s="103"/>
      <c r="DIV158" s="103"/>
      <c r="DIW158" s="103"/>
      <c r="DIX158" s="103"/>
      <c r="DIY158" s="103"/>
      <c r="DIZ158" s="103"/>
      <c r="DJA158" s="103"/>
      <c r="DJB158" s="103"/>
      <c r="DJC158" s="103"/>
      <c r="DJD158" s="103"/>
      <c r="DJE158" s="103"/>
      <c r="DJF158" s="103"/>
      <c r="DJG158" s="103"/>
      <c r="DJH158" s="103"/>
      <c r="DJI158" s="103"/>
      <c r="DJJ158" s="103"/>
      <c r="DJK158" s="103"/>
      <c r="DJL158" s="103"/>
      <c r="DJM158" s="103"/>
      <c r="DJN158" s="103"/>
      <c r="DJO158" s="103"/>
      <c r="DJP158" s="103"/>
      <c r="DJQ158" s="103"/>
      <c r="DJR158" s="103"/>
      <c r="DJS158" s="103"/>
      <c r="DJT158" s="103"/>
      <c r="DJU158" s="103"/>
      <c r="DJV158" s="103"/>
      <c r="DJW158" s="103"/>
      <c r="DJX158" s="103"/>
      <c r="DJY158" s="103"/>
      <c r="DJZ158" s="103"/>
      <c r="DKA158" s="103"/>
      <c r="DKB158" s="103"/>
      <c r="DKC158" s="103"/>
      <c r="DKD158" s="103"/>
      <c r="DKE158" s="103"/>
      <c r="DKF158" s="103"/>
      <c r="DKG158" s="103"/>
      <c r="DKH158" s="103"/>
      <c r="DKI158" s="103"/>
      <c r="DKJ158" s="103"/>
      <c r="DKK158" s="103"/>
      <c r="DKL158" s="103"/>
      <c r="DKM158" s="103"/>
      <c r="DKN158" s="103"/>
      <c r="DKO158" s="103"/>
      <c r="DKP158" s="103"/>
      <c r="DKQ158" s="103"/>
      <c r="DKR158" s="103"/>
      <c r="DKS158" s="103"/>
      <c r="DKT158" s="103"/>
      <c r="DKU158" s="103"/>
      <c r="DKV158" s="103"/>
      <c r="DKW158" s="103"/>
      <c r="DKX158" s="103"/>
      <c r="DKY158" s="103"/>
      <c r="DKZ158" s="103"/>
      <c r="DLA158" s="103"/>
      <c r="DLB158" s="103"/>
      <c r="DLC158" s="103"/>
      <c r="DLD158" s="103"/>
      <c r="DLE158" s="103"/>
      <c r="DLF158" s="103"/>
      <c r="DLG158" s="103"/>
      <c r="DLH158" s="103"/>
      <c r="DLI158" s="103"/>
      <c r="DLJ158" s="103"/>
      <c r="DLK158" s="103"/>
      <c r="DLL158" s="103"/>
      <c r="DLM158" s="103"/>
      <c r="DLN158" s="103"/>
      <c r="DLO158" s="103"/>
      <c r="DLP158" s="103"/>
      <c r="DLQ158" s="103"/>
      <c r="DLR158" s="103"/>
      <c r="DLS158" s="103"/>
      <c r="DLT158" s="103"/>
      <c r="DLU158" s="103"/>
      <c r="DLV158" s="103"/>
      <c r="DLW158" s="103"/>
      <c r="DLX158" s="103"/>
      <c r="DLY158" s="103"/>
      <c r="DLZ158" s="103"/>
      <c r="DMA158" s="103"/>
      <c r="DMB158" s="103"/>
      <c r="DMC158" s="103"/>
      <c r="DMD158" s="103"/>
      <c r="DME158" s="103"/>
      <c r="DMF158" s="103"/>
      <c r="DMG158" s="103"/>
      <c r="DMH158" s="103"/>
      <c r="DMI158" s="103"/>
      <c r="DMJ158" s="103"/>
      <c r="DMK158" s="103"/>
      <c r="DML158" s="103"/>
      <c r="DMM158" s="103"/>
      <c r="DMN158" s="103"/>
      <c r="DMO158" s="103"/>
      <c r="DMP158" s="103"/>
      <c r="DMQ158" s="103"/>
      <c r="DMR158" s="103"/>
      <c r="DMS158" s="103"/>
      <c r="DMT158" s="103"/>
      <c r="DMU158" s="103"/>
      <c r="DMV158" s="103"/>
      <c r="DMW158" s="103"/>
      <c r="DMX158" s="103"/>
      <c r="DMY158" s="103"/>
      <c r="DMZ158" s="103"/>
      <c r="DNA158" s="103"/>
      <c r="DNB158" s="103"/>
      <c r="DNC158" s="103"/>
      <c r="DND158" s="103"/>
      <c r="DNE158" s="103"/>
      <c r="DNF158" s="103"/>
      <c r="DNG158" s="103"/>
      <c r="DNH158" s="103"/>
      <c r="DNI158" s="103"/>
      <c r="DNJ158" s="103"/>
      <c r="DNK158" s="103"/>
      <c r="DNL158" s="103"/>
      <c r="DNM158" s="103"/>
      <c r="DNN158" s="103"/>
      <c r="DNO158" s="103"/>
      <c r="DNP158" s="103"/>
      <c r="DNQ158" s="103"/>
      <c r="DNR158" s="103"/>
      <c r="DNS158" s="103"/>
      <c r="DNT158" s="103"/>
      <c r="DNU158" s="103"/>
      <c r="DNV158" s="103"/>
      <c r="DNW158" s="103"/>
      <c r="DNX158" s="103"/>
      <c r="DNY158" s="103"/>
      <c r="DNZ158" s="103"/>
      <c r="DOA158" s="103"/>
      <c r="DOB158" s="103"/>
      <c r="DOC158" s="103"/>
      <c r="DOD158" s="103"/>
      <c r="DOE158" s="103"/>
      <c r="DOF158" s="103"/>
      <c r="DOG158" s="103"/>
      <c r="DOH158" s="103"/>
      <c r="DOI158" s="103"/>
      <c r="DOJ158" s="103"/>
      <c r="DOK158" s="103"/>
      <c r="DOL158" s="103"/>
      <c r="DOM158" s="103"/>
      <c r="DON158" s="103"/>
      <c r="DOO158" s="103"/>
      <c r="DOP158" s="103"/>
      <c r="DOQ158" s="103"/>
      <c r="DOR158" s="103"/>
      <c r="DOS158" s="103"/>
      <c r="DOT158" s="103"/>
      <c r="DOU158" s="103"/>
      <c r="DOV158" s="103"/>
      <c r="DOW158" s="103"/>
      <c r="DOX158" s="103"/>
      <c r="DOY158" s="103"/>
      <c r="DOZ158" s="103"/>
      <c r="DPA158" s="103"/>
      <c r="DPB158" s="103"/>
      <c r="DPC158" s="103"/>
      <c r="DPD158" s="103"/>
      <c r="DPE158" s="103"/>
      <c r="DPF158" s="103"/>
      <c r="DPG158" s="103"/>
      <c r="DPH158" s="103"/>
      <c r="DPI158" s="103"/>
      <c r="DPJ158" s="103"/>
      <c r="DPK158" s="103"/>
      <c r="DPL158" s="103"/>
      <c r="DPM158" s="103"/>
      <c r="DPN158" s="103"/>
      <c r="DPO158" s="103"/>
      <c r="DPP158" s="103"/>
      <c r="DPQ158" s="103"/>
      <c r="DPR158" s="103"/>
      <c r="DPS158" s="103"/>
      <c r="DPT158" s="103"/>
      <c r="DPU158" s="103"/>
      <c r="DPV158" s="103"/>
      <c r="DPW158" s="103"/>
      <c r="DPX158" s="103"/>
      <c r="DPY158" s="103"/>
      <c r="DPZ158" s="103"/>
      <c r="DQA158" s="103"/>
      <c r="DQB158" s="103"/>
      <c r="DQC158" s="103"/>
      <c r="DQD158" s="103"/>
      <c r="DQE158" s="103"/>
      <c r="DQF158" s="103"/>
      <c r="DQG158" s="103"/>
      <c r="DQH158" s="103"/>
      <c r="DQI158" s="103"/>
      <c r="DQJ158" s="103"/>
      <c r="DQK158" s="103"/>
      <c r="DQL158" s="103"/>
      <c r="DQM158" s="103"/>
      <c r="DQN158" s="103"/>
      <c r="DQO158" s="103"/>
      <c r="DQP158" s="103"/>
      <c r="DQQ158" s="103"/>
      <c r="DQR158" s="103"/>
      <c r="DQS158" s="103"/>
      <c r="DQT158" s="103"/>
      <c r="DQU158" s="103"/>
      <c r="DQV158" s="103"/>
      <c r="DQW158" s="103"/>
      <c r="DQX158" s="103"/>
      <c r="DQY158" s="103"/>
      <c r="DQZ158" s="103"/>
      <c r="DRA158" s="103"/>
      <c r="DRB158" s="103"/>
      <c r="DRC158" s="103"/>
      <c r="DRD158" s="103"/>
      <c r="DRE158" s="103"/>
      <c r="DRF158" s="103"/>
      <c r="DRG158" s="103"/>
      <c r="DRH158" s="103"/>
      <c r="DRI158" s="103"/>
      <c r="DRJ158" s="103"/>
      <c r="DRK158" s="103"/>
      <c r="DRL158" s="103"/>
      <c r="DRM158" s="103"/>
      <c r="DRN158" s="103"/>
      <c r="DRO158" s="103"/>
      <c r="DRP158" s="103"/>
      <c r="DRQ158" s="103"/>
      <c r="DRR158" s="103"/>
      <c r="DRS158" s="103"/>
      <c r="DRT158" s="103"/>
      <c r="DRU158" s="103"/>
      <c r="DRV158" s="103"/>
      <c r="DRW158" s="103"/>
      <c r="DRX158" s="103"/>
      <c r="DRY158" s="103"/>
      <c r="DRZ158" s="103"/>
      <c r="DSA158" s="103"/>
      <c r="DSB158" s="103"/>
      <c r="DSC158" s="103"/>
      <c r="DSD158" s="103"/>
      <c r="DSE158" s="103"/>
      <c r="DSF158" s="103"/>
      <c r="DSG158" s="103"/>
      <c r="DSH158" s="103"/>
      <c r="DSI158" s="103"/>
      <c r="DSJ158" s="103"/>
      <c r="DSK158" s="103"/>
      <c r="DSL158" s="103"/>
      <c r="DSM158" s="103"/>
      <c r="DSN158" s="103"/>
      <c r="DSO158" s="103"/>
      <c r="DSP158" s="103"/>
      <c r="DSQ158" s="103"/>
      <c r="DSR158" s="103"/>
      <c r="DSS158" s="103"/>
      <c r="DST158" s="103"/>
      <c r="DSU158" s="103"/>
      <c r="DSV158" s="103"/>
      <c r="DSW158" s="103"/>
      <c r="DSX158" s="103"/>
      <c r="DSY158" s="103"/>
      <c r="DSZ158" s="103"/>
      <c r="DTA158" s="103"/>
      <c r="DTB158" s="103"/>
      <c r="DTC158" s="103"/>
      <c r="DTD158" s="103"/>
      <c r="DTE158" s="103"/>
      <c r="DTF158" s="103"/>
      <c r="DTG158" s="103"/>
      <c r="DTH158" s="103"/>
      <c r="DTI158" s="103"/>
      <c r="DTJ158" s="103"/>
      <c r="DTK158" s="103"/>
      <c r="DTL158" s="103"/>
      <c r="DTM158" s="103"/>
      <c r="DTN158" s="103"/>
      <c r="DTO158" s="103"/>
      <c r="DTP158" s="103"/>
      <c r="DTQ158" s="103"/>
      <c r="DTR158" s="103"/>
      <c r="DTS158" s="103"/>
      <c r="DTT158" s="103"/>
      <c r="DTU158" s="103"/>
      <c r="DTV158" s="103"/>
      <c r="DTW158" s="103"/>
      <c r="DTX158" s="103"/>
      <c r="DTY158" s="103"/>
      <c r="DTZ158" s="103"/>
      <c r="DUA158" s="103"/>
      <c r="DUB158" s="103"/>
      <c r="DUC158" s="103"/>
      <c r="DUD158" s="103"/>
      <c r="DUE158" s="103"/>
      <c r="DUF158" s="103"/>
      <c r="DUG158" s="103"/>
      <c r="DUH158" s="103"/>
      <c r="DUI158" s="103"/>
      <c r="DUJ158" s="103"/>
      <c r="DUK158" s="103"/>
      <c r="DUL158" s="103"/>
      <c r="DUM158" s="103"/>
      <c r="DUN158" s="103"/>
      <c r="DUO158" s="103"/>
      <c r="DUP158" s="103"/>
      <c r="DUQ158" s="103"/>
      <c r="DUR158" s="103"/>
      <c r="DUS158" s="103"/>
      <c r="DUT158" s="103"/>
      <c r="DUU158" s="103"/>
      <c r="DUV158" s="103"/>
      <c r="DUW158" s="103"/>
      <c r="DUX158" s="103"/>
      <c r="DUY158" s="103"/>
      <c r="DUZ158" s="103"/>
      <c r="DVA158" s="103"/>
      <c r="DVB158" s="103"/>
      <c r="DVC158" s="103"/>
      <c r="DVD158" s="103"/>
      <c r="DVE158" s="103"/>
      <c r="DVF158" s="103"/>
      <c r="DVG158" s="103"/>
      <c r="DVH158" s="103"/>
      <c r="DVI158" s="103"/>
      <c r="DVJ158" s="103"/>
      <c r="DVK158" s="103"/>
      <c r="DVL158" s="103"/>
      <c r="DVM158" s="103"/>
      <c r="DVN158" s="103"/>
      <c r="DVO158" s="103"/>
      <c r="DVP158" s="103"/>
      <c r="DVQ158" s="103"/>
      <c r="DVR158" s="103"/>
      <c r="DVS158" s="103"/>
      <c r="DVT158" s="103"/>
      <c r="DVU158" s="103"/>
      <c r="DVV158" s="103"/>
      <c r="DVW158" s="103"/>
      <c r="DVX158" s="103"/>
      <c r="DVY158" s="103"/>
      <c r="DVZ158" s="103"/>
      <c r="DWA158" s="103"/>
      <c r="DWB158" s="103"/>
      <c r="DWC158" s="103"/>
      <c r="DWD158" s="103"/>
      <c r="DWE158" s="103"/>
      <c r="DWF158" s="103"/>
      <c r="DWG158" s="103"/>
      <c r="DWH158" s="103"/>
      <c r="DWI158" s="103"/>
      <c r="DWJ158" s="103"/>
      <c r="DWK158" s="103"/>
      <c r="DWL158" s="103"/>
      <c r="DWM158" s="103"/>
      <c r="DWN158" s="103"/>
      <c r="DWO158" s="103"/>
      <c r="DWP158" s="103"/>
      <c r="DWQ158" s="103"/>
      <c r="DWR158" s="103"/>
      <c r="DWS158" s="103"/>
      <c r="DWT158" s="103"/>
      <c r="DWU158" s="103"/>
      <c r="DWV158" s="103"/>
      <c r="DWW158" s="103"/>
      <c r="DWX158" s="103"/>
      <c r="DWY158" s="103"/>
      <c r="DWZ158" s="103"/>
      <c r="DXA158" s="103"/>
      <c r="DXB158" s="103"/>
      <c r="DXC158" s="103"/>
      <c r="DXD158" s="103"/>
      <c r="DXE158" s="103"/>
      <c r="DXF158" s="103"/>
      <c r="DXG158" s="103"/>
      <c r="DXH158" s="103"/>
      <c r="DXI158" s="103"/>
      <c r="DXJ158" s="103"/>
      <c r="DXK158" s="103"/>
      <c r="DXL158" s="103"/>
      <c r="DXM158" s="103"/>
      <c r="DXN158" s="103"/>
      <c r="DXO158" s="103"/>
      <c r="DXP158" s="103"/>
      <c r="DXQ158" s="103"/>
      <c r="DXR158" s="103"/>
      <c r="DXS158" s="103"/>
      <c r="DXT158" s="103"/>
      <c r="DXU158" s="103"/>
      <c r="DXV158" s="103"/>
      <c r="DXW158" s="103"/>
      <c r="DXX158" s="103"/>
      <c r="DXY158" s="103"/>
      <c r="DXZ158" s="103"/>
      <c r="DYA158" s="103"/>
      <c r="DYB158" s="103"/>
      <c r="DYC158" s="103"/>
      <c r="DYD158" s="103"/>
      <c r="DYE158" s="103"/>
      <c r="DYF158" s="103"/>
      <c r="DYG158" s="103"/>
      <c r="DYH158" s="103"/>
      <c r="DYI158" s="103"/>
      <c r="DYJ158" s="103"/>
      <c r="DYK158" s="103"/>
      <c r="DYL158" s="103"/>
      <c r="DYM158" s="103"/>
      <c r="DYN158" s="103"/>
      <c r="DYO158" s="103"/>
      <c r="DYP158" s="103"/>
      <c r="DYQ158" s="103"/>
      <c r="DYR158" s="103"/>
      <c r="DYS158" s="103"/>
      <c r="DYT158" s="103"/>
      <c r="DYU158" s="103"/>
      <c r="DYV158" s="103"/>
      <c r="DYW158" s="103"/>
      <c r="DYX158" s="103"/>
      <c r="DYY158" s="103"/>
      <c r="DYZ158" s="103"/>
      <c r="DZA158" s="103"/>
      <c r="DZB158" s="103"/>
      <c r="DZC158" s="103"/>
      <c r="DZD158" s="103"/>
      <c r="DZE158" s="103"/>
      <c r="DZF158" s="103"/>
      <c r="DZG158" s="103"/>
      <c r="DZH158" s="103"/>
      <c r="DZI158" s="103"/>
      <c r="DZJ158" s="103"/>
      <c r="DZK158" s="103"/>
      <c r="DZL158" s="103"/>
      <c r="DZM158" s="103"/>
      <c r="DZN158" s="103"/>
      <c r="DZO158" s="103"/>
      <c r="DZP158" s="103"/>
      <c r="DZQ158" s="103"/>
      <c r="DZR158" s="103"/>
      <c r="DZS158" s="103"/>
      <c r="DZT158" s="103"/>
      <c r="DZU158" s="103"/>
      <c r="DZV158" s="103"/>
      <c r="DZW158" s="103"/>
      <c r="DZX158" s="103"/>
      <c r="DZY158" s="103"/>
      <c r="DZZ158" s="103"/>
      <c r="EAA158" s="103"/>
      <c r="EAB158" s="103"/>
      <c r="EAC158" s="103"/>
      <c r="EAD158" s="103"/>
      <c r="EAE158" s="103"/>
      <c r="EAF158" s="103"/>
      <c r="EAG158" s="103"/>
      <c r="EAH158" s="103"/>
      <c r="EAI158" s="103"/>
      <c r="EAJ158" s="103"/>
      <c r="EAK158" s="103"/>
      <c r="EAL158" s="103"/>
      <c r="EAM158" s="103"/>
      <c r="EAN158" s="103"/>
      <c r="EAO158" s="103"/>
      <c r="EAP158" s="103"/>
      <c r="EAQ158" s="103"/>
      <c r="EAR158" s="103"/>
      <c r="EAS158" s="103"/>
      <c r="EAT158" s="103"/>
      <c r="EAU158" s="103"/>
      <c r="EAV158" s="103"/>
      <c r="EAW158" s="103"/>
      <c r="EAX158" s="103"/>
      <c r="EAY158" s="103"/>
      <c r="EAZ158" s="103"/>
      <c r="EBA158" s="103"/>
      <c r="EBB158" s="103"/>
      <c r="EBC158" s="103"/>
      <c r="EBD158" s="103"/>
      <c r="EBE158" s="103"/>
      <c r="EBF158" s="103"/>
      <c r="EBG158" s="103"/>
      <c r="EBH158" s="103"/>
      <c r="EBI158" s="103"/>
      <c r="EBJ158" s="103"/>
      <c r="EBK158" s="103"/>
      <c r="EBL158" s="103"/>
      <c r="EBM158" s="103"/>
      <c r="EBN158" s="103"/>
      <c r="EBO158" s="103"/>
      <c r="EBP158" s="103"/>
      <c r="EBQ158" s="103"/>
      <c r="EBR158" s="103"/>
      <c r="EBS158" s="103"/>
      <c r="EBT158" s="103"/>
      <c r="EBU158" s="103"/>
      <c r="EBV158" s="103"/>
      <c r="EBW158" s="103"/>
      <c r="EBX158" s="103"/>
      <c r="EBY158" s="103"/>
      <c r="EBZ158" s="103"/>
      <c r="ECA158" s="103"/>
      <c r="ECB158" s="103"/>
      <c r="ECC158" s="103"/>
      <c r="ECD158" s="103"/>
      <c r="ECE158" s="103"/>
      <c r="ECF158" s="103"/>
      <c r="ECG158" s="103"/>
      <c r="ECH158" s="103"/>
      <c r="ECI158" s="103"/>
      <c r="ECJ158" s="103"/>
      <c r="ECK158" s="103"/>
      <c r="ECL158" s="103"/>
      <c r="ECM158" s="103"/>
      <c r="ECN158" s="103"/>
      <c r="ECO158" s="103"/>
      <c r="ECP158" s="103"/>
      <c r="ECQ158" s="103"/>
      <c r="ECR158" s="103"/>
      <c r="ECS158" s="103"/>
      <c r="ECT158" s="103"/>
      <c r="ECU158" s="103"/>
      <c r="ECV158" s="103"/>
      <c r="ECW158" s="103"/>
      <c r="ECX158" s="103"/>
      <c r="ECY158" s="103"/>
      <c r="ECZ158" s="103"/>
      <c r="EDA158" s="103"/>
      <c r="EDB158" s="103"/>
      <c r="EDC158" s="103"/>
      <c r="EDD158" s="103"/>
      <c r="EDE158" s="103"/>
      <c r="EDF158" s="103"/>
      <c r="EDG158" s="103"/>
      <c r="EDH158" s="103"/>
      <c r="EDI158" s="103"/>
      <c r="EDJ158" s="103"/>
      <c r="EDK158" s="103"/>
      <c r="EDL158" s="103"/>
      <c r="EDM158" s="103"/>
      <c r="EDN158" s="103"/>
      <c r="EDO158" s="103"/>
      <c r="EDP158" s="103"/>
      <c r="EDQ158" s="103"/>
      <c r="EDR158" s="103"/>
      <c r="EDS158" s="103"/>
      <c r="EDT158" s="103"/>
      <c r="EDU158" s="103"/>
      <c r="EDV158" s="103"/>
      <c r="EDW158" s="103"/>
      <c r="EDX158" s="103"/>
      <c r="EDY158" s="103"/>
      <c r="EDZ158" s="103"/>
      <c r="EEA158" s="103"/>
      <c r="EEB158" s="103"/>
      <c r="EEC158" s="103"/>
      <c r="EED158" s="103"/>
      <c r="EEE158" s="103"/>
      <c r="EEF158" s="103"/>
      <c r="EEG158" s="103"/>
      <c r="EEH158" s="103"/>
      <c r="EEI158" s="103"/>
      <c r="EEJ158" s="103"/>
      <c r="EEK158" s="103"/>
      <c r="EEL158" s="103"/>
      <c r="EEM158" s="103"/>
      <c r="EEN158" s="103"/>
      <c r="EEO158" s="103"/>
      <c r="EEP158" s="103"/>
      <c r="EEQ158" s="103"/>
      <c r="EER158" s="103"/>
      <c r="EES158" s="103"/>
      <c r="EET158" s="103"/>
      <c r="EEU158" s="103"/>
      <c r="EEV158" s="103"/>
      <c r="EEW158" s="103"/>
      <c r="EEX158" s="103"/>
      <c r="EEY158" s="103"/>
      <c r="EEZ158" s="103"/>
      <c r="EFA158" s="103"/>
      <c r="EFB158" s="103"/>
      <c r="EFC158" s="103"/>
      <c r="EFD158" s="103"/>
      <c r="EFE158" s="103"/>
      <c r="EFF158" s="103"/>
      <c r="EFG158" s="103"/>
      <c r="EFH158" s="103"/>
      <c r="EFI158" s="103"/>
      <c r="EFJ158" s="103"/>
      <c r="EFK158" s="103"/>
      <c r="EFL158" s="103"/>
      <c r="EFM158" s="103"/>
      <c r="EFN158" s="103"/>
      <c r="EFO158" s="103"/>
      <c r="EFP158" s="103"/>
      <c r="EFQ158" s="103"/>
      <c r="EFR158" s="103"/>
      <c r="EFS158" s="103"/>
      <c r="EFT158" s="103"/>
      <c r="EFU158" s="103"/>
      <c r="EFV158" s="103"/>
      <c r="EFW158" s="103"/>
      <c r="EFX158" s="103"/>
      <c r="EFY158" s="103"/>
      <c r="EFZ158" s="103"/>
      <c r="EGA158" s="103"/>
      <c r="EGB158" s="103"/>
      <c r="EGC158" s="103"/>
      <c r="EGD158" s="103"/>
      <c r="EGE158" s="103"/>
      <c r="EGF158" s="103"/>
      <c r="EGG158" s="103"/>
      <c r="EGH158" s="103"/>
      <c r="EGI158" s="103"/>
      <c r="EGJ158" s="103"/>
      <c r="EGK158" s="103"/>
      <c r="EGL158" s="103"/>
      <c r="EGM158" s="103"/>
      <c r="EGN158" s="103"/>
      <c r="EGO158" s="103"/>
      <c r="EGP158" s="103"/>
      <c r="EGQ158" s="103"/>
      <c r="EGR158" s="103"/>
      <c r="EGS158" s="103"/>
      <c r="EGT158" s="103"/>
      <c r="EGU158" s="103"/>
      <c r="EGV158" s="103"/>
      <c r="EGW158" s="103"/>
      <c r="EGX158" s="103"/>
      <c r="EGY158" s="103"/>
      <c r="EGZ158" s="103"/>
      <c r="EHA158" s="103"/>
      <c r="EHB158" s="103"/>
      <c r="EHC158" s="103"/>
      <c r="EHD158" s="103"/>
      <c r="EHE158" s="103"/>
      <c r="EHF158" s="103"/>
      <c r="EHG158" s="103"/>
      <c r="EHH158" s="103"/>
      <c r="EHI158" s="103"/>
      <c r="EHJ158" s="103"/>
      <c r="EHK158" s="103"/>
      <c r="EHL158" s="103"/>
      <c r="EHM158" s="103"/>
      <c r="EHN158" s="103"/>
      <c r="EHO158" s="103"/>
      <c r="EHP158" s="103"/>
      <c r="EHQ158" s="103"/>
      <c r="EHR158" s="103"/>
      <c r="EHS158" s="103"/>
      <c r="EHT158" s="103"/>
      <c r="EHU158" s="103"/>
      <c r="EHV158" s="103"/>
      <c r="EHW158" s="103"/>
      <c r="EHX158" s="103"/>
      <c r="EHY158" s="103"/>
      <c r="EHZ158" s="103"/>
      <c r="EIA158" s="103"/>
      <c r="EIB158" s="103"/>
      <c r="EIC158" s="103"/>
      <c r="EID158" s="103"/>
      <c r="EIE158" s="103"/>
      <c r="EIF158" s="103"/>
      <c r="EIG158" s="103"/>
      <c r="EIH158" s="103"/>
      <c r="EII158" s="103"/>
      <c r="EIJ158" s="103"/>
      <c r="EIK158" s="103"/>
      <c r="EIL158" s="103"/>
      <c r="EIM158" s="103"/>
      <c r="EIN158" s="103"/>
      <c r="EIO158" s="103"/>
      <c r="EIP158" s="103"/>
      <c r="EIQ158" s="103"/>
      <c r="EIR158" s="103"/>
      <c r="EIS158" s="103"/>
      <c r="EIT158" s="103"/>
      <c r="EIU158" s="103"/>
      <c r="EIV158" s="103"/>
      <c r="EIW158" s="103"/>
      <c r="EIX158" s="103"/>
      <c r="EIY158" s="103"/>
      <c r="EIZ158" s="103"/>
      <c r="EJA158" s="103"/>
      <c r="EJB158" s="103"/>
      <c r="EJC158" s="103"/>
      <c r="EJD158" s="103"/>
      <c r="EJE158" s="103"/>
      <c r="EJF158" s="103"/>
      <c r="EJG158" s="103"/>
      <c r="EJH158" s="103"/>
      <c r="EJI158" s="103"/>
      <c r="EJJ158" s="103"/>
      <c r="EJK158" s="103"/>
      <c r="EJL158" s="103"/>
      <c r="EJM158" s="103"/>
      <c r="EJN158" s="103"/>
      <c r="EJO158" s="103"/>
      <c r="EJP158" s="103"/>
      <c r="EJQ158" s="103"/>
      <c r="EJR158" s="103"/>
      <c r="EJS158" s="103"/>
      <c r="EJT158" s="103"/>
      <c r="EJU158" s="103"/>
      <c r="EJV158" s="103"/>
      <c r="EJW158" s="103"/>
      <c r="EJX158" s="103"/>
      <c r="EJY158" s="103"/>
      <c r="EJZ158" s="103"/>
      <c r="EKA158" s="103"/>
      <c r="EKB158" s="103"/>
      <c r="EKC158" s="103"/>
      <c r="EKD158" s="103"/>
      <c r="EKE158" s="103"/>
      <c r="EKF158" s="103"/>
      <c r="EKG158" s="103"/>
      <c r="EKH158" s="103"/>
      <c r="EKI158" s="103"/>
      <c r="EKJ158" s="103"/>
      <c r="EKK158" s="103"/>
      <c r="EKL158" s="103"/>
      <c r="EKM158" s="103"/>
      <c r="EKN158" s="103"/>
      <c r="EKO158" s="103"/>
      <c r="EKP158" s="103"/>
      <c r="EKQ158" s="103"/>
      <c r="EKR158" s="103"/>
      <c r="EKS158" s="103"/>
      <c r="EKT158" s="103"/>
      <c r="EKU158" s="103"/>
      <c r="EKV158" s="103"/>
      <c r="EKW158" s="103"/>
      <c r="EKX158" s="103"/>
      <c r="EKY158" s="103"/>
      <c r="EKZ158" s="103"/>
      <c r="ELA158" s="103"/>
      <c r="ELB158" s="103"/>
      <c r="ELC158" s="103"/>
      <c r="ELD158" s="103"/>
      <c r="ELE158" s="103"/>
      <c r="ELF158" s="103"/>
      <c r="ELG158" s="103"/>
      <c r="ELH158" s="103"/>
      <c r="ELI158" s="103"/>
      <c r="ELJ158" s="103"/>
      <c r="ELK158" s="103"/>
      <c r="ELL158" s="103"/>
      <c r="ELM158" s="103"/>
      <c r="ELN158" s="103"/>
      <c r="ELO158" s="103"/>
      <c r="ELP158" s="103"/>
      <c r="ELQ158" s="103"/>
      <c r="ELR158" s="103"/>
      <c r="ELS158" s="103"/>
      <c r="ELT158" s="103"/>
      <c r="ELU158" s="103"/>
      <c r="ELV158" s="103"/>
      <c r="ELW158" s="103"/>
      <c r="ELX158" s="103"/>
      <c r="ELY158" s="103"/>
      <c r="ELZ158" s="103"/>
      <c r="EMA158" s="103"/>
      <c r="EMB158" s="103"/>
      <c r="EMC158" s="103"/>
      <c r="EMD158" s="103"/>
      <c r="EME158" s="103"/>
      <c r="EMF158" s="103"/>
      <c r="EMG158" s="103"/>
      <c r="EMH158" s="103"/>
      <c r="EMI158" s="103"/>
      <c r="EMJ158" s="103"/>
      <c r="EMK158" s="103"/>
      <c r="EML158" s="103"/>
      <c r="EMM158" s="103"/>
      <c r="EMN158" s="103"/>
      <c r="EMO158" s="103"/>
      <c r="EMP158" s="103"/>
      <c r="EMQ158" s="103"/>
      <c r="EMR158" s="103"/>
      <c r="EMS158" s="103"/>
      <c r="EMT158" s="103"/>
      <c r="EMU158" s="103"/>
      <c r="EMV158" s="103"/>
      <c r="EMW158" s="103"/>
      <c r="EMX158" s="103"/>
      <c r="EMY158" s="103"/>
      <c r="EMZ158" s="103"/>
      <c r="ENA158" s="103"/>
      <c r="ENB158" s="103"/>
      <c r="ENC158" s="103"/>
      <c r="END158" s="103"/>
      <c r="ENE158" s="103"/>
      <c r="ENF158" s="103"/>
      <c r="ENG158" s="103"/>
      <c r="ENH158" s="103"/>
      <c r="ENI158" s="103"/>
      <c r="ENJ158" s="103"/>
      <c r="ENK158" s="103"/>
      <c r="ENL158" s="103"/>
      <c r="ENM158" s="103"/>
      <c r="ENN158" s="103"/>
      <c r="ENO158" s="103"/>
      <c r="ENP158" s="103"/>
      <c r="ENQ158" s="103"/>
      <c r="ENR158" s="103"/>
      <c r="ENS158" s="103"/>
      <c r="ENT158" s="103"/>
      <c r="ENU158" s="103"/>
      <c r="ENV158" s="103"/>
      <c r="ENW158" s="103"/>
      <c r="ENX158" s="103"/>
      <c r="ENY158" s="103"/>
      <c r="ENZ158" s="103"/>
      <c r="EOA158" s="103"/>
      <c r="EOB158" s="103"/>
      <c r="EOC158" s="103"/>
      <c r="EOD158" s="103"/>
      <c r="EOE158" s="103"/>
      <c r="EOF158" s="103"/>
      <c r="EOG158" s="103"/>
      <c r="EOH158" s="103"/>
      <c r="EOI158" s="103"/>
      <c r="EOJ158" s="103"/>
      <c r="EOK158" s="103"/>
      <c r="EOL158" s="103"/>
      <c r="EOM158" s="103"/>
      <c r="EON158" s="103"/>
      <c r="EOO158" s="103"/>
      <c r="EOP158" s="103"/>
      <c r="EOQ158" s="103"/>
      <c r="EOR158" s="103"/>
      <c r="EOS158" s="103"/>
      <c r="EOT158" s="103"/>
      <c r="EOU158" s="103"/>
      <c r="EOV158" s="103"/>
      <c r="EOW158" s="103"/>
      <c r="EOX158" s="103"/>
      <c r="EOY158" s="103"/>
      <c r="EOZ158" s="103"/>
      <c r="EPA158" s="103"/>
      <c r="EPB158" s="103"/>
      <c r="EPC158" s="103"/>
      <c r="EPD158" s="103"/>
      <c r="EPE158" s="103"/>
      <c r="EPF158" s="103"/>
      <c r="EPG158" s="103"/>
      <c r="EPH158" s="103"/>
      <c r="EPI158" s="103"/>
      <c r="EPJ158" s="103"/>
      <c r="EPK158" s="103"/>
      <c r="EPL158" s="103"/>
      <c r="EPM158" s="103"/>
      <c r="EPN158" s="103"/>
      <c r="EPO158" s="103"/>
      <c r="EPP158" s="103"/>
      <c r="EPQ158" s="103"/>
      <c r="EPR158" s="103"/>
      <c r="EPS158" s="103"/>
      <c r="EPT158" s="103"/>
      <c r="EPU158" s="103"/>
      <c r="EPV158" s="103"/>
      <c r="EPW158" s="103"/>
      <c r="EPX158" s="103"/>
      <c r="EPY158" s="103"/>
      <c r="EPZ158" s="103"/>
      <c r="EQA158" s="103"/>
      <c r="EQB158" s="103"/>
      <c r="EQC158" s="103"/>
      <c r="EQD158" s="103"/>
      <c r="EQE158" s="103"/>
      <c r="EQF158" s="103"/>
      <c r="EQG158" s="103"/>
      <c r="EQH158" s="103"/>
      <c r="EQI158" s="103"/>
      <c r="EQJ158" s="103"/>
      <c r="EQK158" s="103"/>
      <c r="EQL158" s="103"/>
      <c r="EQM158" s="103"/>
      <c r="EQN158" s="103"/>
      <c r="EQO158" s="103"/>
      <c r="EQP158" s="103"/>
      <c r="EQQ158" s="103"/>
      <c r="EQR158" s="103"/>
      <c r="EQS158" s="103"/>
      <c r="EQT158" s="103"/>
      <c r="EQU158" s="103"/>
      <c r="EQV158" s="103"/>
      <c r="EQW158" s="103"/>
      <c r="EQX158" s="103"/>
      <c r="EQY158" s="103"/>
      <c r="EQZ158" s="103"/>
      <c r="ERA158" s="103"/>
      <c r="ERB158" s="103"/>
      <c r="ERC158" s="103"/>
      <c r="ERD158" s="103"/>
      <c r="ERE158" s="103"/>
      <c r="ERF158" s="103"/>
      <c r="ERG158" s="103"/>
      <c r="ERH158" s="103"/>
      <c r="ERI158" s="103"/>
      <c r="ERJ158" s="103"/>
      <c r="ERK158" s="103"/>
      <c r="ERL158" s="103"/>
      <c r="ERM158" s="103"/>
      <c r="ERN158" s="103"/>
      <c r="ERO158" s="103"/>
      <c r="ERP158" s="103"/>
      <c r="ERQ158" s="103"/>
      <c r="ERR158" s="103"/>
      <c r="ERS158" s="103"/>
      <c r="ERT158" s="103"/>
      <c r="ERU158" s="103"/>
      <c r="ERV158" s="103"/>
      <c r="ERW158" s="103"/>
      <c r="ERX158" s="103"/>
      <c r="ERY158" s="103"/>
      <c r="ERZ158" s="103"/>
      <c r="ESA158" s="103"/>
      <c r="ESB158" s="103"/>
      <c r="ESC158" s="103"/>
      <c r="ESD158" s="103"/>
      <c r="ESE158" s="103"/>
      <c r="ESF158" s="103"/>
      <c r="ESG158" s="103"/>
      <c r="ESH158" s="103"/>
      <c r="ESI158" s="103"/>
      <c r="ESJ158" s="103"/>
      <c r="ESK158" s="103"/>
      <c r="ESL158" s="103"/>
      <c r="ESM158" s="103"/>
      <c r="ESN158" s="103"/>
      <c r="ESO158" s="103"/>
      <c r="ESP158" s="103"/>
      <c r="ESQ158" s="103"/>
      <c r="ESR158" s="103"/>
      <c r="ESS158" s="103"/>
      <c r="EST158" s="103"/>
      <c r="ESU158" s="103"/>
      <c r="ESV158" s="103"/>
      <c r="ESW158" s="103"/>
      <c r="ESX158" s="103"/>
      <c r="ESY158" s="103"/>
      <c r="ESZ158" s="103"/>
      <c r="ETA158" s="103"/>
      <c r="ETB158" s="103"/>
      <c r="ETC158" s="103"/>
      <c r="ETD158" s="103"/>
      <c r="ETE158" s="103"/>
      <c r="ETF158" s="103"/>
      <c r="ETG158" s="103"/>
      <c r="ETH158" s="103"/>
      <c r="ETI158" s="103"/>
      <c r="ETJ158" s="103"/>
      <c r="ETK158" s="103"/>
      <c r="ETL158" s="103"/>
      <c r="ETM158" s="103"/>
      <c r="ETN158" s="103"/>
      <c r="ETO158" s="103"/>
      <c r="ETP158" s="103"/>
      <c r="ETQ158" s="103"/>
      <c r="ETR158" s="103"/>
      <c r="ETS158" s="103"/>
      <c r="ETT158" s="103"/>
      <c r="ETU158" s="103"/>
      <c r="ETV158" s="103"/>
      <c r="ETW158" s="103"/>
      <c r="ETX158" s="103"/>
      <c r="ETY158" s="103"/>
      <c r="ETZ158" s="103"/>
      <c r="EUA158" s="103"/>
      <c r="EUB158" s="103"/>
      <c r="EUC158" s="103"/>
      <c r="EUD158" s="103"/>
      <c r="EUE158" s="103"/>
      <c r="EUF158" s="103"/>
      <c r="EUG158" s="103"/>
      <c r="EUH158" s="103"/>
      <c r="EUI158" s="103"/>
      <c r="EUJ158" s="103"/>
      <c r="EUK158" s="103"/>
      <c r="EUL158" s="103"/>
      <c r="EUM158" s="103"/>
      <c r="EUN158" s="103"/>
      <c r="EUO158" s="103"/>
      <c r="EUP158" s="103"/>
      <c r="EUQ158" s="103"/>
      <c r="EUR158" s="103"/>
      <c r="EUS158" s="103"/>
      <c r="EUT158" s="103"/>
      <c r="EUU158" s="103"/>
      <c r="EUV158" s="103"/>
      <c r="EUW158" s="103"/>
      <c r="EUX158" s="103"/>
      <c r="EUY158" s="103"/>
      <c r="EUZ158" s="103"/>
      <c r="EVA158" s="103"/>
      <c r="EVB158" s="103"/>
      <c r="EVC158" s="103"/>
      <c r="EVD158" s="103"/>
      <c r="EVE158" s="103"/>
      <c r="EVF158" s="103"/>
      <c r="EVG158" s="103"/>
      <c r="EVH158" s="103"/>
      <c r="EVI158" s="103"/>
      <c r="EVJ158" s="103"/>
      <c r="EVK158" s="103"/>
      <c r="EVL158" s="103"/>
      <c r="EVM158" s="103"/>
      <c r="EVN158" s="103"/>
      <c r="EVO158" s="103"/>
      <c r="EVP158" s="103"/>
      <c r="EVQ158" s="103"/>
      <c r="EVR158" s="103"/>
      <c r="EVS158" s="103"/>
      <c r="EVT158" s="103"/>
      <c r="EVU158" s="103"/>
      <c r="EVV158" s="103"/>
      <c r="EVW158" s="103"/>
      <c r="EVX158" s="103"/>
      <c r="EVY158" s="103"/>
      <c r="EVZ158" s="103"/>
      <c r="EWA158" s="103"/>
      <c r="EWB158" s="103"/>
      <c r="EWC158" s="103"/>
      <c r="EWD158" s="103"/>
      <c r="EWE158" s="103"/>
      <c r="EWF158" s="103"/>
      <c r="EWG158" s="103"/>
      <c r="EWH158" s="103"/>
      <c r="EWI158" s="103"/>
      <c r="EWJ158" s="103"/>
      <c r="EWK158" s="103"/>
      <c r="EWL158" s="103"/>
      <c r="EWM158" s="103"/>
      <c r="EWN158" s="103"/>
      <c r="EWO158" s="103"/>
      <c r="EWP158" s="103"/>
      <c r="EWQ158" s="103"/>
      <c r="EWR158" s="103"/>
      <c r="EWS158" s="103"/>
      <c r="EWT158" s="103"/>
      <c r="EWU158" s="103"/>
      <c r="EWV158" s="103"/>
      <c r="EWW158" s="103"/>
      <c r="EWX158" s="103"/>
      <c r="EWY158" s="103"/>
      <c r="EWZ158" s="103"/>
      <c r="EXA158" s="103"/>
      <c r="EXB158" s="103"/>
      <c r="EXC158" s="103"/>
      <c r="EXD158" s="103"/>
      <c r="EXE158" s="103"/>
      <c r="EXF158" s="103"/>
      <c r="EXG158" s="103"/>
      <c r="EXH158" s="103"/>
      <c r="EXI158" s="103"/>
      <c r="EXJ158" s="103"/>
      <c r="EXK158" s="103"/>
      <c r="EXL158" s="103"/>
      <c r="EXM158" s="103"/>
      <c r="EXN158" s="103"/>
      <c r="EXO158" s="103"/>
      <c r="EXP158" s="103"/>
      <c r="EXQ158" s="103"/>
      <c r="EXR158" s="103"/>
      <c r="EXS158" s="103"/>
      <c r="EXT158" s="103"/>
      <c r="EXU158" s="103"/>
      <c r="EXV158" s="103"/>
      <c r="EXW158" s="103"/>
      <c r="EXX158" s="103"/>
      <c r="EXY158" s="103"/>
      <c r="EXZ158" s="103"/>
      <c r="EYA158" s="103"/>
      <c r="EYB158" s="103"/>
      <c r="EYC158" s="103"/>
      <c r="EYD158" s="103"/>
      <c r="EYE158" s="103"/>
      <c r="EYF158" s="103"/>
      <c r="EYG158" s="103"/>
      <c r="EYH158" s="103"/>
      <c r="EYI158" s="103"/>
      <c r="EYJ158" s="103"/>
      <c r="EYK158" s="103"/>
      <c r="EYL158" s="103"/>
      <c r="EYM158" s="103"/>
      <c r="EYN158" s="103"/>
      <c r="EYO158" s="103"/>
      <c r="EYP158" s="103"/>
      <c r="EYQ158" s="103"/>
      <c r="EYR158" s="103"/>
      <c r="EYS158" s="103"/>
      <c r="EYT158" s="103"/>
      <c r="EYU158" s="103"/>
      <c r="EYV158" s="103"/>
      <c r="EYW158" s="103"/>
      <c r="EYX158" s="103"/>
      <c r="EYY158" s="103"/>
      <c r="EYZ158" s="103"/>
      <c r="EZA158" s="103"/>
      <c r="EZB158" s="103"/>
      <c r="EZC158" s="103"/>
      <c r="EZD158" s="103"/>
      <c r="EZE158" s="103"/>
      <c r="EZF158" s="103"/>
      <c r="EZG158" s="103"/>
      <c r="EZH158" s="103"/>
      <c r="EZI158" s="103"/>
      <c r="EZJ158" s="103"/>
      <c r="EZK158" s="103"/>
      <c r="EZL158" s="103"/>
      <c r="EZM158" s="103"/>
      <c r="EZN158" s="103"/>
      <c r="EZO158" s="103"/>
      <c r="EZP158" s="103"/>
      <c r="EZQ158" s="103"/>
      <c r="EZR158" s="103"/>
      <c r="EZS158" s="103"/>
      <c r="EZT158" s="103"/>
      <c r="EZU158" s="103"/>
      <c r="EZV158" s="103"/>
      <c r="EZW158" s="103"/>
      <c r="EZX158" s="103"/>
      <c r="EZY158" s="103"/>
      <c r="EZZ158" s="103"/>
      <c r="FAA158" s="103"/>
      <c r="FAB158" s="103"/>
      <c r="FAC158" s="103"/>
      <c r="FAD158" s="103"/>
      <c r="FAE158" s="103"/>
      <c r="FAF158" s="103"/>
      <c r="FAG158" s="103"/>
      <c r="FAH158" s="103"/>
      <c r="FAI158" s="103"/>
      <c r="FAJ158" s="103"/>
      <c r="FAK158" s="103"/>
      <c r="FAL158" s="103"/>
      <c r="FAM158" s="103"/>
      <c r="FAN158" s="103"/>
      <c r="FAO158" s="103"/>
      <c r="FAP158" s="103"/>
      <c r="FAQ158" s="103"/>
      <c r="FAR158" s="103"/>
      <c r="FAS158" s="103"/>
      <c r="FAT158" s="103"/>
      <c r="FAU158" s="103"/>
      <c r="FAV158" s="103"/>
      <c r="FAW158" s="103"/>
      <c r="FAX158" s="103"/>
      <c r="FAY158" s="103"/>
      <c r="FAZ158" s="103"/>
      <c r="FBA158" s="103"/>
      <c r="FBB158" s="103"/>
      <c r="FBC158" s="103"/>
      <c r="FBD158" s="103"/>
      <c r="FBE158" s="103"/>
      <c r="FBF158" s="103"/>
      <c r="FBG158" s="103"/>
      <c r="FBH158" s="103"/>
      <c r="FBI158" s="103"/>
      <c r="FBJ158" s="103"/>
      <c r="FBK158" s="103"/>
      <c r="FBL158" s="103"/>
      <c r="FBM158" s="103"/>
      <c r="FBN158" s="103"/>
      <c r="FBO158" s="103"/>
      <c r="FBP158" s="103"/>
      <c r="FBQ158" s="103"/>
      <c r="FBR158" s="103"/>
      <c r="FBS158" s="103"/>
      <c r="FBT158" s="103"/>
      <c r="FBU158" s="103"/>
      <c r="FBV158" s="103"/>
      <c r="FBW158" s="103"/>
      <c r="FBX158" s="103"/>
      <c r="FBY158" s="103"/>
      <c r="FBZ158" s="103"/>
      <c r="FCA158" s="103"/>
      <c r="FCB158" s="103"/>
      <c r="FCC158" s="103"/>
      <c r="FCD158" s="103"/>
      <c r="FCE158" s="103"/>
      <c r="FCF158" s="103"/>
      <c r="FCG158" s="103"/>
      <c r="FCH158" s="103"/>
      <c r="FCI158" s="103"/>
      <c r="FCJ158" s="103"/>
      <c r="FCK158" s="103"/>
      <c r="FCL158" s="103"/>
      <c r="FCM158" s="103"/>
      <c r="FCN158" s="103"/>
      <c r="FCO158" s="103"/>
      <c r="FCP158" s="103"/>
      <c r="FCQ158" s="103"/>
      <c r="FCR158" s="103"/>
      <c r="FCS158" s="103"/>
      <c r="FCT158" s="103"/>
      <c r="FCU158" s="103"/>
      <c r="FCV158" s="103"/>
      <c r="FCW158" s="103"/>
      <c r="FCX158" s="103"/>
      <c r="FCY158" s="103"/>
      <c r="FCZ158" s="103"/>
      <c r="FDA158" s="103"/>
      <c r="FDB158" s="103"/>
      <c r="FDC158" s="103"/>
      <c r="FDD158" s="103"/>
      <c r="FDE158" s="103"/>
      <c r="FDF158" s="103"/>
      <c r="FDG158" s="103"/>
      <c r="FDH158" s="103"/>
      <c r="FDI158" s="103"/>
      <c r="FDJ158" s="103"/>
      <c r="FDK158" s="103"/>
      <c r="FDL158" s="103"/>
      <c r="FDM158" s="103"/>
      <c r="FDN158" s="103"/>
      <c r="FDO158" s="103"/>
      <c r="FDP158" s="103"/>
      <c r="FDQ158" s="103"/>
      <c r="FDR158" s="103"/>
      <c r="FDS158" s="103"/>
      <c r="FDT158" s="103"/>
      <c r="FDU158" s="103"/>
      <c r="FDV158" s="103"/>
      <c r="FDW158" s="103"/>
      <c r="FDX158" s="103"/>
      <c r="FDY158" s="103"/>
      <c r="FDZ158" s="103"/>
      <c r="FEA158" s="103"/>
      <c r="FEB158" s="103"/>
      <c r="FEC158" s="103"/>
      <c r="FED158" s="103"/>
      <c r="FEE158" s="103"/>
      <c r="FEF158" s="103"/>
      <c r="FEG158" s="103"/>
      <c r="FEH158" s="103"/>
      <c r="FEI158" s="103"/>
      <c r="FEJ158" s="103"/>
      <c r="FEK158" s="103"/>
      <c r="FEL158" s="103"/>
      <c r="FEM158" s="103"/>
      <c r="FEN158" s="103"/>
      <c r="FEO158" s="103"/>
      <c r="FEP158" s="103"/>
      <c r="FEQ158" s="103"/>
      <c r="FER158" s="103"/>
      <c r="FES158" s="103"/>
      <c r="FET158" s="103"/>
      <c r="FEU158" s="103"/>
      <c r="FEV158" s="103"/>
      <c r="FEW158" s="103"/>
      <c r="FEX158" s="103"/>
      <c r="FEY158" s="103"/>
      <c r="FEZ158" s="103"/>
      <c r="FFA158" s="103"/>
      <c r="FFB158" s="103"/>
      <c r="FFC158" s="103"/>
      <c r="FFD158" s="103"/>
      <c r="FFE158" s="103"/>
      <c r="FFF158" s="103"/>
      <c r="FFG158" s="103"/>
      <c r="FFH158" s="103"/>
      <c r="FFI158" s="103"/>
      <c r="FFJ158" s="103"/>
      <c r="FFK158" s="103"/>
      <c r="FFL158" s="103"/>
      <c r="FFM158" s="103"/>
      <c r="FFN158" s="103"/>
      <c r="FFO158" s="103"/>
      <c r="FFP158" s="103"/>
      <c r="FFQ158" s="103"/>
      <c r="FFR158" s="103"/>
      <c r="FFS158" s="103"/>
      <c r="FFT158" s="103"/>
      <c r="FFU158" s="103"/>
      <c r="FFV158" s="103"/>
      <c r="FFW158" s="103"/>
      <c r="FFX158" s="103"/>
      <c r="FFY158" s="103"/>
      <c r="FFZ158" s="103"/>
      <c r="FGA158" s="103"/>
      <c r="FGB158" s="103"/>
      <c r="FGC158" s="103"/>
      <c r="FGD158" s="103"/>
      <c r="FGE158" s="103"/>
      <c r="FGF158" s="103"/>
      <c r="FGG158" s="103"/>
      <c r="FGH158" s="103"/>
      <c r="FGI158" s="103"/>
      <c r="FGJ158" s="103"/>
      <c r="FGK158" s="103"/>
      <c r="FGL158" s="103"/>
      <c r="FGM158" s="103"/>
      <c r="FGN158" s="103"/>
      <c r="FGO158" s="103"/>
      <c r="FGP158" s="103"/>
      <c r="FGQ158" s="103"/>
      <c r="FGR158" s="103"/>
      <c r="FGS158" s="103"/>
      <c r="FGT158" s="103"/>
      <c r="FGU158" s="103"/>
      <c r="FGV158" s="103"/>
      <c r="FGW158" s="103"/>
      <c r="FGX158" s="103"/>
      <c r="FGY158" s="103"/>
      <c r="FGZ158" s="103"/>
      <c r="FHA158" s="103"/>
      <c r="FHB158" s="103"/>
      <c r="FHC158" s="103"/>
      <c r="FHD158" s="103"/>
      <c r="FHE158" s="103"/>
      <c r="FHF158" s="103"/>
      <c r="FHG158" s="103"/>
      <c r="FHH158" s="103"/>
      <c r="FHI158" s="103"/>
      <c r="FHJ158" s="103"/>
      <c r="FHK158" s="103"/>
      <c r="FHL158" s="103"/>
      <c r="FHM158" s="103"/>
      <c r="FHN158" s="103"/>
      <c r="FHO158" s="103"/>
      <c r="FHP158" s="103"/>
      <c r="FHQ158" s="103"/>
      <c r="FHR158" s="103"/>
      <c r="FHS158" s="103"/>
      <c r="FHT158" s="103"/>
      <c r="FHU158" s="103"/>
      <c r="FHV158" s="103"/>
      <c r="FHW158" s="103"/>
      <c r="FHX158" s="103"/>
      <c r="FHY158" s="103"/>
      <c r="FHZ158" s="103"/>
      <c r="FIA158" s="103"/>
      <c r="FIB158" s="103"/>
      <c r="FIC158" s="103"/>
      <c r="FID158" s="103"/>
      <c r="FIE158" s="103"/>
      <c r="FIF158" s="103"/>
      <c r="FIG158" s="103"/>
      <c r="FIH158" s="103"/>
      <c r="FII158" s="103"/>
      <c r="FIJ158" s="103"/>
      <c r="FIK158" s="103"/>
      <c r="FIL158" s="103"/>
      <c r="FIM158" s="103"/>
      <c r="FIN158" s="103"/>
      <c r="FIO158" s="103"/>
      <c r="FIP158" s="103"/>
      <c r="FIQ158" s="103"/>
      <c r="FIR158" s="103"/>
      <c r="FIS158" s="103"/>
      <c r="FIT158" s="103"/>
      <c r="FIU158" s="103"/>
      <c r="FIV158" s="103"/>
      <c r="FIW158" s="103"/>
      <c r="FIX158" s="103"/>
      <c r="FIY158" s="103"/>
      <c r="FIZ158" s="103"/>
      <c r="FJA158" s="103"/>
      <c r="FJB158" s="103"/>
      <c r="FJC158" s="103"/>
      <c r="FJD158" s="103"/>
      <c r="FJE158" s="103"/>
      <c r="FJF158" s="103"/>
      <c r="FJG158" s="103"/>
      <c r="FJH158" s="103"/>
      <c r="FJI158" s="103"/>
      <c r="FJJ158" s="103"/>
      <c r="FJK158" s="103"/>
      <c r="FJL158" s="103"/>
      <c r="FJM158" s="103"/>
      <c r="FJN158" s="103"/>
      <c r="FJO158" s="103"/>
      <c r="FJP158" s="103"/>
      <c r="FJQ158" s="103"/>
      <c r="FJR158" s="103"/>
      <c r="FJS158" s="103"/>
      <c r="FJT158" s="103"/>
      <c r="FJU158" s="103"/>
      <c r="FJV158" s="103"/>
      <c r="FJW158" s="103"/>
      <c r="FJX158" s="103"/>
      <c r="FJY158" s="103"/>
      <c r="FJZ158" s="103"/>
      <c r="FKA158" s="103"/>
      <c r="FKB158" s="103"/>
      <c r="FKC158" s="103"/>
      <c r="FKD158" s="103"/>
      <c r="FKE158" s="103"/>
      <c r="FKF158" s="103"/>
      <c r="FKG158" s="103"/>
      <c r="FKH158" s="103"/>
      <c r="FKI158" s="103"/>
      <c r="FKJ158" s="103"/>
      <c r="FKK158" s="103"/>
      <c r="FKL158" s="103"/>
      <c r="FKM158" s="103"/>
      <c r="FKN158" s="103"/>
      <c r="FKO158" s="103"/>
      <c r="FKP158" s="103"/>
      <c r="FKQ158" s="103"/>
      <c r="FKR158" s="103"/>
      <c r="FKS158" s="103"/>
      <c r="FKT158" s="103"/>
      <c r="FKU158" s="103"/>
      <c r="FKV158" s="103"/>
      <c r="FKW158" s="103"/>
      <c r="FKX158" s="103"/>
      <c r="FKY158" s="103"/>
      <c r="FKZ158" s="103"/>
      <c r="FLA158" s="103"/>
      <c r="FLB158" s="103"/>
      <c r="FLC158" s="103"/>
      <c r="FLD158" s="103"/>
      <c r="FLE158" s="103"/>
      <c r="FLF158" s="103"/>
      <c r="FLG158" s="103"/>
      <c r="FLH158" s="103"/>
      <c r="FLI158" s="103"/>
      <c r="FLJ158" s="103"/>
      <c r="FLK158" s="103"/>
      <c r="FLL158" s="103"/>
      <c r="FLM158" s="103"/>
      <c r="FLN158" s="103"/>
      <c r="FLO158" s="103"/>
      <c r="FLP158" s="103"/>
      <c r="FLQ158" s="103"/>
      <c r="FLR158" s="103"/>
      <c r="FLS158" s="103"/>
      <c r="FLT158" s="103"/>
      <c r="FLU158" s="103"/>
      <c r="FLV158" s="103"/>
      <c r="FLW158" s="103"/>
      <c r="FLX158" s="103"/>
      <c r="FLY158" s="103"/>
      <c r="FLZ158" s="103"/>
      <c r="FMA158" s="103"/>
      <c r="FMB158" s="103"/>
      <c r="FMC158" s="103"/>
      <c r="FMD158" s="103"/>
      <c r="FME158" s="103"/>
      <c r="FMF158" s="103"/>
      <c r="FMG158" s="103"/>
      <c r="FMH158" s="103"/>
      <c r="FMI158" s="103"/>
      <c r="FMJ158" s="103"/>
      <c r="FMK158" s="103"/>
      <c r="FML158" s="103"/>
      <c r="FMM158" s="103"/>
      <c r="FMN158" s="103"/>
      <c r="FMO158" s="103"/>
      <c r="FMP158" s="103"/>
      <c r="FMQ158" s="103"/>
      <c r="FMR158" s="103"/>
      <c r="FMS158" s="103"/>
      <c r="FMT158" s="103"/>
      <c r="FMU158" s="103"/>
      <c r="FMV158" s="103"/>
      <c r="FMW158" s="103"/>
      <c r="FMX158" s="103"/>
      <c r="FMY158" s="103"/>
      <c r="FMZ158" s="103"/>
      <c r="FNA158" s="103"/>
      <c r="FNB158" s="103"/>
      <c r="FNC158" s="103"/>
      <c r="FND158" s="103"/>
      <c r="FNE158" s="103"/>
      <c r="FNF158" s="103"/>
      <c r="FNG158" s="103"/>
      <c r="FNH158" s="103"/>
      <c r="FNI158" s="103"/>
      <c r="FNJ158" s="103"/>
      <c r="FNK158" s="103"/>
      <c r="FNL158" s="103"/>
      <c r="FNM158" s="103"/>
      <c r="FNN158" s="103"/>
      <c r="FNO158" s="103"/>
      <c r="FNP158" s="103"/>
      <c r="FNQ158" s="103"/>
      <c r="FNR158" s="103"/>
      <c r="FNS158" s="103"/>
      <c r="FNT158" s="103"/>
      <c r="FNU158" s="103"/>
      <c r="FNV158" s="103"/>
      <c r="FNW158" s="103"/>
      <c r="FNX158" s="103"/>
      <c r="FNY158" s="103"/>
      <c r="FNZ158" s="103"/>
      <c r="FOA158" s="103"/>
      <c r="FOB158" s="103"/>
      <c r="FOC158" s="103"/>
      <c r="FOD158" s="103"/>
      <c r="FOE158" s="103"/>
      <c r="FOF158" s="103"/>
      <c r="FOG158" s="103"/>
      <c r="FOH158" s="103"/>
      <c r="FOI158" s="103"/>
      <c r="FOJ158" s="103"/>
      <c r="FOK158" s="103"/>
      <c r="FOL158" s="103"/>
      <c r="FOM158" s="103"/>
      <c r="FON158" s="103"/>
      <c r="FOO158" s="103"/>
      <c r="FOP158" s="103"/>
      <c r="FOQ158" s="103"/>
      <c r="FOR158" s="103"/>
      <c r="FOS158" s="103"/>
      <c r="FOT158" s="103"/>
      <c r="FOU158" s="103"/>
      <c r="FOV158" s="103"/>
      <c r="FOW158" s="103"/>
      <c r="FOX158" s="103"/>
      <c r="FOY158" s="103"/>
      <c r="FOZ158" s="103"/>
      <c r="FPA158" s="103"/>
      <c r="FPB158" s="103"/>
      <c r="FPC158" s="103"/>
      <c r="FPD158" s="103"/>
      <c r="FPE158" s="103"/>
      <c r="FPF158" s="103"/>
      <c r="FPG158" s="103"/>
      <c r="FPH158" s="103"/>
      <c r="FPI158" s="103"/>
      <c r="FPJ158" s="103"/>
      <c r="FPK158" s="103"/>
      <c r="FPL158" s="103"/>
      <c r="FPM158" s="103"/>
      <c r="FPN158" s="103"/>
      <c r="FPO158" s="103"/>
      <c r="FPP158" s="103"/>
      <c r="FPQ158" s="103"/>
      <c r="FPR158" s="103"/>
      <c r="FPS158" s="103"/>
      <c r="FPT158" s="103"/>
      <c r="FPU158" s="103"/>
      <c r="FPV158" s="103"/>
      <c r="FPW158" s="103"/>
      <c r="FPX158" s="103"/>
      <c r="FPY158" s="103"/>
      <c r="FPZ158" s="103"/>
      <c r="FQA158" s="103"/>
      <c r="FQB158" s="103"/>
      <c r="FQC158" s="103"/>
      <c r="FQD158" s="103"/>
      <c r="FQE158" s="103"/>
      <c r="FQF158" s="103"/>
      <c r="FQG158" s="103"/>
      <c r="FQH158" s="103"/>
      <c r="FQI158" s="103"/>
      <c r="FQJ158" s="103"/>
      <c r="FQK158" s="103"/>
      <c r="FQL158" s="103"/>
      <c r="FQM158" s="103"/>
      <c r="FQN158" s="103"/>
      <c r="FQO158" s="103"/>
      <c r="FQP158" s="103"/>
      <c r="FQQ158" s="103"/>
      <c r="FQR158" s="103"/>
      <c r="FQS158" s="103"/>
      <c r="FQT158" s="103"/>
      <c r="FQU158" s="103"/>
      <c r="FQV158" s="103"/>
      <c r="FQW158" s="103"/>
      <c r="FQX158" s="103"/>
      <c r="FQY158" s="103"/>
      <c r="FQZ158" s="103"/>
      <c r="FRA158" s="103"/>
      <c r="FRB158" s="103"/>
      <c r="FRC158" s="103"/>
      <c r="FRD158" s="103"/>
      <c r="FRE158" s="103"/>
      <c r="FRF158" s="103"/>
      <c r="FRG158" s="103"/>
      <c r="FRH158" s="103"/>
      <c r="FRI158" s="103"/>
      <c r="FRJ158" s="103"/>
      <c r="FRK158" s="103"/>
      <c r="FRL158" s="103"/>
      <c r="FRM158" s="103"/>
      <c r="FRN158" s="103"/>
      <c r="FRO158" s="103"/>
      <c r="FRP158" s="103"/>
      <c r="FRQ158" s="103"/>
      <c r="FRR158" s="103"/>
      <c r="FRS158" s="103"/>
      <c r="FRT158" s="103"/>
      <c r="FRU158" s="103"/>
      <c r="FRV158" s="103"/>
      <c r="FRW158" s="103"/>
      <c r="FRX158" s="103"/>
      <c r="FRY158" s="103"/>
      <c r="FRZ158" s="103"/>
      <c r="FSA158" s="103"/>
      <c r="FSB158" s="103"/>
      <c r="FSC158" s="103"/>
      <c r="FSD158" s="103"/>
      <c r="FSE158" s="103"/>
      <c r="FSF158" s="103"/>
      <c r="FSG158" s="103"/>
      <c r="FSH158" s="103"/>
      <c r="FSI158" s="103"/>
      <c r="FSJ158" s="103"/>
      <c r="FSK158" s="103"/>
      <c r="FSL158" s="103"/>
      <c r="FSM158" s="103"/>
      <c r="FSN158" s="103"/>
      <c r="FSO158" s="103"/>
      <c r="FSP158" s="103"/>
      <c r="FSQ158" s="103"/>
      <c r="FSR158" s="103"/>
      <c r="FSS158" s="103"/>
      <c r="FST158" s="103"/>
      <c r="FSU158" s="103"/>
      <c r="FSV158" s="103"/>
      <c r="FSW158" s="103"/>
      <c r="FSX158" s="103"/>
      <c r="FSY158" s="103"/>
      <c r="FSZ158" s="103"/>
      <c r="FTA158" s="103"/>
      <c r="FTB158" s="103"/>
      <c r="FTC158" s="103"/>
      <c r="FTD158" s="103"/>
      <c r="FTE158" s="103"/>
      <c r="FTF158" s="103"/>
      <c r="FTG158" s="103"/>
      <c r="FTH158" s="103"/>
      <c r="FTI158" s="103"/>
      <c r="FTJ158" s="103"/>
      <c r="FTK158" s="103"/>
      <c r="FTL158" s="103"/>
      <c r="FTM158" s="103"/>
      <c r="FTN158" s="103"/>
      <c r="FTO158" s="103"/>
      <c r="FTP158" s="103"/>
      <c r="FTQ158" s="103"/>
      <c r="FTR158" s="103"/>
      <c r="FTS158" s="103"/>
      <c r="FTT158" s="103"/>
      <c r="FTU158" s="103"/>
      <c r="FTV158" s="103"/>
      <c r="FTW158" s="103"/>
      <c r="FTX158" s="103"/>
      <c r="FTY158" s="103"/>
      <c r="FTZ158" s="103"/>
      <c r="FUA158" s="103"/>
      <c r="FUB158" s="103"/>
      <c r="FUC158" s="103"/>
      <c r="FUD158" s="103"/>
      <c r="FUE158" s="103"/>
      <c r="FUF158" s="103"/>
      <c r="FUG158" s="103"/>
      <c r="FUH158" s="103"/>
      <c r="FUI158" s="103"/>
      <c r="FUJ158" s="103"/>
      <c r="FUK158" s="103"/>
      <c r="FUL158" s="103"/>
      <c r="FUM158" s="103"/>
      <c r="FUN158" s="103"/>
      <c r="FUO158" s="103"/>
      <c r="FUP158" s="103"/>
      <c r="FUQ158" s="103"/>
      <c r="FUR158" s="103"/>
      <c r="FUS158" s="103"/>
      <c r="FUT158" s="103"/>
      <c r="FUU158" s="103"/>
      <c r="FUV158" s="103"/>
      <c r="FUW158" s="103"/>
      <c r="FUX158" s="103"/>
      <c r="FUY158" s="103"/>
      <c r="FUZ158" s="103"/>
      <c r="FVA158" s="103"/>
      <c r="FVB158" s="103"/>
      <c r="FVC158" s="103"/>
      <c r="FVD158" s="103"/>
      <c r="FVE158" s="103"/>
      <c r="FVF158" s="103"/>
      <c r="FVG158" s="103"/>
      <c r="FVH158" s="103"/>
      <c r="FVI158" s="103"/>
      <c r="FVJ158" s="103"/>
      <c r="FVK158" s="103"/>
      <c r="FVL158" s="103"/>
      <c r="FVM158" s="103"/>
      <c r="FVN158" s="103"/>
      <c r="FVO158" s="103"/>
      <c r="FVP158" s="103"/>
      <c r="FVQ158" s="103"/>
      <c r="FVR158" s="103"/>
      <c r="FVS158" s="103"/>
      <c r="FVT158" s="103"/>
      <c r="FVU158" s="103"/>
      <c r="FVV158" s="103"/>
      <c r="FVW158" s="103"/>
      <c r="FVX158" s="103"/>
      <c r="FVY158" s="103"/>
      <c r="FVZ158" s="103"/>
      <c r="FWA158" s="103"/>
      <c r="FWB158" s="103"/>
      <c r="FWC158" s="103"/>
      <c r="FWD158" s="103"/>
      <c r="FWE158" s="103"/>
      <c r="FWF158" s="103"/>
      <c r="FWG158" s="103"/>
      <c r="FWH158" s="103"/>
      <c r="FWI158" s="103"/>
      <c r="FWJ158" s="103"/>
      <c r="FWK158" s="103"/>
      <c r="FWL158" s="103"/>
      <c r="FWM158" s="103"/>
      <c r="FWN158" s="103"/>
      <c r="FWO158" s="103"/>
      <c r="FWP158" s="103"/>
      <c r="FWQ158" s="103"/>
      <c r="FWR158" s="103"/>
      <c r="FWS158" s="103"/>
      <c r="FWT158" s="103"/>
      <c r="FWU158" s="103"/>
      <c r="FWV158" s="103"/>
      <c r="FWW158" s="103"/>
      <c r="FWX158" s="103"/>
      <c r="FWY158" s="103"/>
      <c r="FWZ158" s="103"/>
      <c r="FXA158" s="103"/>
      <c r="FXB158" s="103"/>
      <c r="FXC158" s="103"/>
      <c r="FXD158" s="103"/>
      <c r="FXE158" s="103"/>
      <c r="FXF158" s="103"/>
      <c r="FXG158" s="103"/>
      <c r="FXH158" s="103"/>
      <c r="FXI158" s="103"/>
      <c r="FXJ158" s="103"/>
      <c r="FXK158" s="103"/>
      <c r="FXL158" s="103"/>
      <c r="FXM158" s="103"/>
      <c r="FXN158" s="103"/>
      <c r="FXO158" s="103"/>
      <c r="FXP158" s="103"/>
      <c r="FXQ158" s="103"/>
      <c r="FXR158" s="103"/>
      <c r="FXS158" s="103"/>
      <c r="FXT158" s="103"/>
      <c r="FXU158" s="103"/>
      <c r="FXV158" s="103"/>
      <c r="FXW158" s="103"/>
      <c r="FXX158" s="103"/>
      <c r="FXY158" s="103"/>
      <c r="FXZ158" s="103"/>
      <c r="FYA158" s="103"/>
      <c r="FYB158" s="103"/>
      <c r="FYC158" s="103"/>
      <c r="FYD158" s="103"/>
      <c r="FYE158" s="103"/>
      <c r="FYF158" s="103"/>
      <c r="FYG158" s="103"/>
      <c r="FYH158" s="103"/>
      <c r="FYI158" s="103"/>
      <c r="FYJ158" s="103"/>
      <c r="FYK158" s="103"/>
      <c r="FYL158" s="103"/>
      <c r="FYM158" s="103"/>
      <c r="FYN158" s="103"/>
      <c r="FYO158" s="103"/>
      <c r="FYP158" s="103"/>
      <c r="FYQ158" s="103"/>
      <c r="FYR158" s="103"/>
      <c r="FYS158" s="103"/>
      <c r="FYT158" s="103"/>
      <c r="FYU158" s="103"/>
      <c r="FYV158" s="103"/>
      <c r="FYW158" s="103"/>
      <c r="FYX158" s="103"/>
      <c r="FYY158" s="103"/>
      <c r="FYZ158" s="103"/>
      <c r="FZA158" s="103"/>
      <c r="FZB158" s="103"/>
      <c r="FZC158" s="103"/>
      <c r="FZD158" s="103"/>
      <c r="FZE158" s="103"/>
      <c r="FZF158" s="103"/>
      <c r="FZG158" s="103"/>
      <c r="FZH158" s="103"/>
      <c r="FZI158" s="103"/>
      <c r="FZJ158" s="103"/>
      <c r="FZK158" s="103"/>
      <c r="FZL158" s="103"/>
      <c r="FZM158" s="103"/>
      <c r="FZN158" s="103"/>
      <c r="FZO158" s="103"/>
      <c r="FZP158" s="103"/>
      <c r="FZQ158" s="103"/>
      <c r="FZR158" s="103"/>
      <c r="FZS158" s="103"/>
      <c r="FZT158" s="103"/>
      <c r="FZU158" s="103"/>
      <c r="FZV158" s="103"/>
      <c r="FZW158" s="103"/>
      <c r="FZX158" s="103"/>
      <c r="FZY158" s="103"/>
      <c r="FZZ158" s="103"/>
      <c r="GAA158" s="103"/>
      <c r="GAB158" s="103"/>
      <c r="GAC158" s="103"/>
      <c r="GAD158" s="103"/>
      <c r="GAE158" s="103"/>
      <c r="GAF158" s="103"/>
      <c r="GAG158" s="103"/>
      <c r="GAH158" s="103"/>
      <c r="GAI158" s="103"/>
      <c r="GAJ158" s="103"/>
      <c r="GAK158" s="103"/>
      <c r="GAL158" s="103"/>
      <c r="GAM158" s="103"/>
      <c r="GAN158" s="103"/>
      <c r="GAO158" s="103"/>
      <c r="GAP158" s="103"/>
      <c r="GAQ158" s="103"/>
      <c r="GAR158" s="103"/>
      <c r="GAS158" s="103"/>
      <c r="GAT158" s="103"/>
      <c r="GAU158" s="103"/>
      <c r="GAV158" s="103"/>
      <c r="GAW158" s="103"/>
      <c r="GAX158" s="103"/>
      <c r="GAY158" s="103"/>
      <c r="GAZ158" s="103"/>
      <c r="GBA158" s="103"/>
      <c r="GBB158" s="103"/>
      <c r="GBC158" s="103"/>
      <c r="GBD158" s="103"/>
      <c r="GBE158" s="103"/>
      <c r="GBF158" s="103"/>
      <c r="GBG158" s="103"/>
      <c r="GBH158" s="103"/>
      <c r="GBI158" s="103"/>
      <c r="GBJ158" s="103"/>
      <c r="GBK158" s="103"/>
      <c r="GBL158" s="103"/>
      <c r="GBM158" s="103"/>
      <c r="GBN158" s="103"/>
      <c r="GBO158" s="103"/>
      <c r="GBP158" s="103"/>
      <c r="GBQ158" s="103"/>
      <c r="GBR158" s="103"/>
      <c r="GBS158" s="103"/>
      <c r="GBT158" s="103"/>
      <c r="GBU158" s="103"/>
      <c r="GBV158" s="103"/>
      <c r="GBW158" s="103"/>
      <c r="GBX158" s="103"/>
      <c r="GBY158" s="103"/>
      <c r="GBZ158" s="103"/>
      <c r="GCA158" s="103"/>
      <c r="GCB158" s="103"/>
      <c r="GCC158" s="103"/>
      <c r="GCD158" s="103"/>
      <c r="GCE158" s="103"/>
      <c r="GCF158" s="103"/>
      <c r="GCG158" s="103"/>
      <c r="GCH158" s="103"/>
      <c r="GCI158" s="103"/>
      <c r="GCJ158" s="103"/>
      <c r="GCK158" s="103"/>
      <c r="GCL158" s="103"/>
      <c r="GCM158" s="103"/>
      <c r="GCN158" s="103"/>
      <c r="GCO158" s="103"/>
      <c r="GCP158" s="103"/>
      <c r="GCQ158" s="103"/>
      <c r="GCR158" s="103"/>
      <c r="GCS158" s="103"/>
      <c r="GCT158" s="103"/>
      <c r="GCU158" s="103"/>
      <c r="GCV158" s="103"/>
      <c r="GCW158" s="103"/>
      <c r="GCX158" s="103"/>
      <c r="GCY158" s="103"/>
      <c r="GCZ158" s="103"/>
      <c r="GDA158" s="103"/>
      <c r="GDB158" s="103"/>
      <c r="GDC158" s="103"/>
      <c r="GDD158" s="103"/>
      <c r="GDE158" s="103"/>
      <c r="GDF158" s="103"/>
      <c r="GDG158" s="103"/>
      <c r="GDH158" s="103"/>
      <c r="GDI158" s="103"/>
      <c r="GDJ158" s="103"/>
      <c r="GDK158" s="103"/>
      <c r="GDL158" s="103"/>
      <c r="GDM158" s="103"/>
      <c r="GDN158" s="103"/>
      <c r="GDO158" s="103"/>
      <c r="GDP158" s="103"/>
      <c r="GDQ158" s="103"/>
      <c r="GDR158" s="103"/>
      <c r="GDS158" s="103"/>
      <c r="GDT158" s="103"/>
      <c r="GDU158" s="103"/>
      <c r="GDV158" s="103"/>
      <c r="GDW158" s="103"/>
      <c r="GDX158" s="103"/>
      <c r="GDY158" s="103"/>
      <c r="GDZ158" s="103"/>
      <c r="GEA158" s="103"/>
      <c r="GEB158" s="103"/>
      <c r="GEC158" s="103"/>
      <c r="GED158" s="103"/>
      <c r="GEE158" s="103"/>
      <c r="GEF158" s="103"/>
      <c r="GEG158" s="103"/>
      <c r="GEH158" s="103"/>
      <c r="GEI158" s="103"/>
      <c r="GEJ158" s="103"/>
      <c r="GEK158" s="103"/>
      <c r="GEL158" s="103"/>
      <c r="GEM158" s="103"/>
      <c r="GEN158" s="103"/>
      <c r="GEO158" s="103"/>
      <c r="GEP158" s="103"/>
      <c r="GEQ158" s="103"/>
      <c r="GER158" s="103"/>
      <c r="GES158" s="103"/>
      <c r="GET158" s="103"/>
      <c r="GEU158" s="103"/>
      <c r="GEV158" s="103"/>
      <c r="GEW158" s="103"/>
      <c r="GEX158" s="103"/>
      <c r="GEY158" s="103"/>
      <c r="GEZ158" s="103"/>
      <c r="GFA158" s="103"/>
      <c r="GFB158" s="103"/>
      <c r="GFC158" s="103"/>
      <c r="GFD158" s="103"/>
      <c r="GFE158" s="103"/>
      <c r="GFF158" s="103"/>
      <c r="GFG158" s="103"/>
      <c r="GFH158" s="103"/>
      <c r="GFI158" s="103"/>
      <c r="GFJ158" s="103"/>
      <c r="GFK158" s="103"/>
      <c r="GFL158" s="103"/>
      <c r="GFM158" s="103"/>
      <c r="GFN158" s="103"/>
      <c r="GFO158" s="103"/>
      <c r="GFP158" s="103"/>
      <c r="GFQ158" s="103"/>
      <c r="GFR158" s="103"/>
      <c r="GFS158" s="103"/>
      <c r="GFT158" s="103"/>
      <c r="GFU158" s="103"/>
      <c r="GFV158" s="103"/>
      <c r="GFW158" s="103"/>
      <c r="GFX158" s="103"/>
      <c r="GFY158" s="103"/>
      <c r="GFZ158" s="103"/>
      <c r="GGA158" s="103"/>
      <c r="GGB158" s="103"/>
      <c r="GGC158" s="103"/>
      <c r="GGD158" s="103"/>
      <c r="GGE158" s="103"/>
      <c r="GGF158" s="103"/>
      <c r="GGG158" s="103"/>
      <c r="GGH158" s="103"/>
      <c r="GGI158" s="103"/>
      <c r="GGJ158" s="103"/>
      <c r="GGK158" s="103"/>
      <c r="GGL158" s="103"/>
      <c r="GGM158" s="103"/>
      <c r="GGN158" s="103"/>
      <c r="GGO158" s="103"/>
      <c r="GGP158" s="103"/>
      <c r="GGQ158" s="103"/>
      <c r="GGR158" s="103"/>
      <c r="GGS158" s="103"/>
      <c r="GGT158" s="103"/>
      <c r="GGU158" s="103"/>
      <c r="GGV158" s="103"/>
      <c r="GGW158" s="103"/>
      <c r="GGX158" s="103"/>
      <c r="GGY158" s="103"/>
      <c r="GGZ158" s="103"/>
      <c r="GHA158" s="103"/>
      <c r="GHB158" s="103"/>
      <c r="GHC158" s="103"/>
      <c r="GHD158" s="103"/>
      <c r="GHE158" s="103"/>
      <c r="GHF158" s="103"/>
      <c r="GHG158" s="103"/>
      <c r="GHH158" s="103"/>
      <c r="GHI158" s="103"/>
      <c r="GHJ158" s="103"/>
      <c r="GHK158" s="103"/>
      <c r="GHL158" s="103"/>
      <c r="GHM158" s="103"/>
      <c r="GHN158" s="103"/>
      <c r="GHO158" s="103"/>
      <c r="GHP158" s="103"/>
      <c r="GHQ158" s="103"/>
      <c r="GHR158" s="103"/>
      <c r="GHS158" s="103"/>
      <c r="GHT158" s="103"/>
      <c r="GHU158" s="103"/>
      <c r="GHV158" s="103"/>
      <c r="GHW158" s="103"/>
      <c r="GHX158" s="103"/>
      <c r="GHY158" s="103"/>
      <c r="GHZ158" s="103"/>
      <c r="GIA158" s="103"/>
      <c r="GIB158" s="103"/>
      <c r="GIC158" s="103"/>
      <c r="GID158" s="103"/>
      <c r="GIE158" s="103"/>
      <c r="GIF158" s="103"/>
      <c r="GIG158" s="103"/>
      <c r="GIH158" s="103"/>
      <c r="GII158" s="103"/>
      <c r="GIJ158" s="103"/>
      <c r="GIK158" s="103"/>
      <c r="GIL158" s="103"/>
      <c r="GIM158" s="103"/>
      <c r="GIN158" s="103"/>
      <c r="GIO158" s="103"/>
      <c r="GIP158" s="103"/>
      <c r="GIQ158" s="103"/>
      <c r="GIR158" s="103"/>
      <c r="GIS158" s="103"/>
      <c r="GIT158" s="103"/>
      <c r="GIU158" s="103"/>
      <c r="GIV158" s="103"/>
      <c r="GIW158" s="103"/>
      <c r="GIX158" s="103"/>
      <c r="GIY158" s="103"/>
      <c r="GIZ158" s="103"/>
      <c r="GJA158" s="103"/>
      <c r="GJB158" s="103"/>
      <c r="GJC158" s="103"/>
      <c r="GJD158" s="103"/>
      <c r="GJE158" s="103"/>
      <c r="GJF158" s="103"/>
      <c r="GJG158" s="103"/>
      <c r="GJH158" s="103"/>
      <c r="GJI158" s="103"/>
      <c r="GJJ158" s="103"/>
      <c r="GJK158" s="103"/>
      <c r="GJL158" s="103"/>
      <c r="GJM158" s="103"/>
      <c r="GJN158" s="103"/>
      <c r="GJO158" s="103"/>
      <c r="GJP158" s="103"/>
      <c r="GJQ158" s="103"/>
      <c r="GJR158" s="103"/>
      <c r="GJS158" s="103"/>
      <c r="GJT158" s="103"/>
      <c r="GJU158" s="103"/>
      <c r="GJV158" s="103"/>
      <c r="GJW158" s="103"/>
      <c r="GJX158" s="103"/>
      <c r="GJY158" s="103"/>
      <c r="GJZ158" s="103"/>
      <c r="GKA158" s="103"/>
      <c r="GKB158" s="103"/>
      <c r="GKC158" s="103"/>
      <c r="GKD158" s="103"/>
      <c r="GKE158" s="103"/>
      <c r="GKF158" s="103"/>
      <c r="GKG158" s="103"/>
      <c r="GKH158" s="103"/>
      <c r="GKI158" s="103"/>
      <c r="GKJ158" s="103"/>
      <c r="GKK158" s="103"/>
      <c r="GKL158" s="103"/>
      <c r="GKM158" s="103"/>
      <c r="GKN158" s="103"/>
      <c r="GKO158" s="103"/>
      <c r="GKP158" s="103"/>
      <c r="GKQ158" s="103"/>
      <c r="GKR158" s="103"/>
      <c r="GKS158" s="103"/>
      <c r="GKT158" s="103"/>
      <c r="GKU158" s="103"/>
      <c r="GKV158" s="103"/>
      <c r="GKW158" s="103"/>
      <c r="GKX158" s="103"/>
      <c r="GKY158" s="103"/>
      <c r="GKZ158" s="103"/>
      <c r="GLA158" s="103"/>
      <c r="GLB158" s="103"/>
      <c r="GLC158" s="103"/>
      <c r="GLD158" s="103"/>
      <c r="GLE158" s="103"/>
      <c r="GLF158" s="103"/>
      <c r="GLG158" s="103"/>
      <c r="GLH158" s="103"/>
      <c r="GLI158" s="103"/>
      <c r="GLJ158" s="103"/>
      <c r="GLK158" s="103"/>
      <c r="GLL158" s="103"/>
      <c r="GLM158" s="103"/>
      <c r="GLN158" s="103"/>
      <c r="GLO158" s="103"/>
      <c r="GLP158" s="103"/>
      <c r="GLQ158" s="103"/>
      <c r="GLR158" s="103"/>
      <c r="GLS158" s="103"/>
      <c r="GLT158" s="103"/>
      <c r="GLU158" s="103"/>
      <c r="GLV158" s="103"/>
      <c r="GLW158" s="103"/>
      <c r="GLX158" s="103"/>
      <c r="GLY158" s="103"/>
      <c r="GLZ158" s="103"/>
      <c r="GMA158" s="103"/>
      <c r="GMB158" s="103"/>
      <c r="GMC158" s="103"/>
      <c r="GMD158" s="103"/>
      <c r="GME158" s="103"/>
      <c r="GMF158" s="103"/>
      <c r="GMG158" s="103"/>
      <c r="GMH158" s="103"/>
      <c r="GMI158" s="103"/>
      <c r="GMJ158" s="103"/>
      <c r="GMK158" s="103"/>
      <c r="GML158" s="103"/>
      <c r="GMM158" s="103"/>
      <c r="GMN158" s="103"/>
      <c r="GMO158" s="103"/>
      <c r="GMP158" s="103"/>
      <c r="GMQ158" s="103"/>
      <c r="GMR158" s="103"/>
      <c r="GMS158" s="103"/>
      <c r="GMT158" s="103"/>
      <c r="GMU158" s="103"/>
      <c r="GMV158" s="103"/>
      <c r="GMW158" s="103"/>
      <c r="GMX158" s="103"/>
      <c r="GMY158" s="103"/>
      <c r="GMZ158" s="103"/>
      <c r="GNA158" s="103"/>
      <c r="GNB158" s="103"/>
      <c r="GNC158" s="103"/>
      <c r="GND158" s="103"/>
      <c r="GNE158" s="103"/>
      <c r="GNF158" s="103"/>
      <c r="GNG158" s="103"/>
      <c r="GNH158" s="103"/>
      <c r="GNI158" s="103"/>
      <c r="GNJ158" s="103"/>
      <c r="GNK158" s="103"/>
      <c r="GNL158" s="103"/>
      <c r="GNM158" s="103"/>
      <c r="GNN158" s="103"/>
      <c r="GNO158" s="103"/>
      <c r="GNP158" s="103"/>
      <c r="GNQ158" s="103"/>
      <c r="GNR158" s="103"/>
      <c r="GNS158" s="103"/>
      <c r="GNT158" s="103"/>
      <c r="GNU158" s="103"/>
      <c r="GNV158" s="103"/>
      <c r="GNW158" s="103"/>
      <c r="GNX158" s="103"/>
      <c r="GNY158" s="103"/>
      <c r="GNZ158" s="103"/>
      <c r="GOA158" s="103"/>
      <c r="GOB158" s="103"/>
      <c r="GOC158" s="103"/>
      <c r="GOD158" s="103"/>
      <c r="GOE158" s="103"/>
      <c r="GOF158" s="103"/>
      <c r="GOG158" s="103"/>
      <c r="GOH158" s="103"/>
      <c r="GOI158" s="103"/>
      <c r="GOJ158" s="103"/>
      <c r="GOK158" s="103"/>
      <c r="GOL158" s="103"/>
      <c r="GOM158" s="103"/>
      <c r="GON158" s="103"/>
      <c r="GOO158" s="103"/>
      <c r="GOP158" s="103"/>
      <c r="GOQ158" s="103"/>
      <c r="GOR158" s="103"/>
      <c r="GOS158" s="103"/>
      <c r="GOT158" s="103"/>
      <c r="GOU158" s="103"/>
      <c r="GOV158" s="103"/>
      <c r="GOW158" s="103"/>
      <c r="GOX158" s="103"/>
      <c r="GOY158" s="103"/>
      <c r="GOZ158" s="103"/>
      <c r="GPA158" s="103"/>
      <c r="GPB158" s="103"/>
      <c r="GPC158" s="103"/>
      <c r="GPD158" s="103"/>
      <c r="GPE158" s="103"/>
      <c r="GPF158" s="103"/>
      <c r="GPG158" s="103"/>
      <c r="GPH158" s="103"/>
      <c r="GPI158" s="103"/>
      <c r="GPJ158" s="103"/>
      <c r="GPK158" s="103"/>
      <c r="GPL158" s="103"/>
      <c r="GPM158" s="103"/>
      <c r="GPN158" s="103"/>
      <c r="GPO158" s="103"/>
      <c r="GPP158" s="103"/>
      <c r="GPQ158" s="103"/>
      <c r="GPR158" s="103"/>
      <c r="GPS158" s="103"/>
      <c r="GPT158" s="103"/>
      <c r="GPU158" s="103"/>
      <c r="GPV158" s="103"/>
      <c r="GPW158" s="103"/>
      <c r="GPX158" s="103"/>
      <c r="GPY158" s="103"/>
      <c r="GPZ158" s="103"/>
      <c r="GQA158" s="103"/>
      <c r="GQB158" s="103"/>
      <c r="GQC158" s="103"/>
      <c r="GQD158" s="103"/>
      <c r="GQE158" s="103"/>
      <c r="GQF158" s="103"/>
      <c r="GQG158" s="103"/>
      <c r="GQH158" s="103"/>
      <c r="GQI158" s="103"/>
      <c r="GQJ158" s="103"/>
      <c r="GQK158" s="103"/>
      <c r="GQL158" s="103"/>
      <c r="GQM158" s="103"/>
      <c r="GQN158" s="103"/>
      <c r="GQO158" s="103"/>
      <c r="GQP158" s="103"/>
      <c r="GQQ158" s="103"/>
      <c r="GQR158" s="103"/>
      <c r="GQS158" s="103"/>
      <c r="GQT158" s="103"/>
      <c r="GQU158" s="103"/>
      <c r="GQV158" s="103"/>
      <c r="GQW158" s="103"/>
      <c r="GQX158" s="103"/>
      <c r="GQY158" s="103"/>
      <c r="GQZ158" s="103"/>
      <c r="GRA158" s="103"/>
      <c r="GRB158" s="103"/>
      <c r="GRC158" s="103"/>
      <c r="GRD158" s="103"/>
      <c r="GRE158" s="103"/>
      <c r="GRF158" s="103"/>
      <c r="GRG158" s="103"/>
      <c r="GRH158" s="103"/>
      <c r="GRI158" s="103"/>
      <c r="GRJ158" s="103"/>
      <c r="GRK158" s="103"/>
      <c r="GRL158" s="103"/>
      <c r="GRM158" s="103"/>
      <c r="GRN158" s="103"/>
      <c r="GRO158" s="103"/>
      <c r="GRP158" s="103"/>
      <c r="GRQ158" s="103"/>
      <c r="GRR158" s="103"/>
      <c r="GRS158" s="103"/>
      <c r="GRT158" s="103"/>
      <c r="GRU158" s="103"/>
      <c r="GRV158" s="103"/>
      <c r="GRW158" s="103"/>
      <c r="GRX158" s="103"/>
      <c r="GRY158" s="103"/>
      <c r="GRZ158" s="103"/>
      <c r="GSA158" s="103"/>
      <c r="GSB158" s="103"/>
      <c r="GSC158" s="103"/>
      <c r="GSD158" s="103"/>
      <c r="GSE158" s="103"/>
      <c r="GSF158" s="103"/>
      <c r="GSG158" s="103"/>
      <c r="GSH158" s="103"/>
      <c r="GSI158" s="103"/>
      <c r="GSJ158" s="103"/>
      <c r="GSK158" s="103"/>
      <c r="GSL158" s="103"/>
      <c r="GSM158" s="103"/>
      <c r="GSN158" s="103"/>
      <c r="GSO158" s="103"/>
      <c r="GSP158" s="103"/>
      <c r="GSQ158" s="103"/>
      <c r="GSR158" s="103"/>
      <c r="GSS158" s="103"/>
      <c r="GST158" s="103"/>
      <c r="GSU158" s="103"/>
      <c r="GSV158" s="103"/>
      <c r="GSW158" s="103"/>
      <c r="GSX158" s="103"/>
      <c r="GSY158" s="103"/>
      <c r="GSZ158" s="103"/>
      <c r="GTA158" s="103"/>
      <c r="GTB158" s="103"/>
      <c r="GTC158" s="103"/>
      <c r="GTD158" s="103"/>
      <c r="GTE158" s="103"/>
      <c r="GTF158" s="103"/>
      <c r="GTG158" s="103"/>
      <c r="GTH158" s="103"/>
      <c r="GTI158" s="103"/>
      <c r="GTJ158" s="103"/>
      <c r="GTK158" s="103"/>
      <c r="GTL158" s="103"/>
      <c r="GTM158" s="103"/>
      <c r="GTN158" s="103"/>
      <c r="GTO158" s="103"/>
      <c r="GTP158" s="103"/>
      <c r="GTQ158" s="103"/>
      <c r="GTR158" s="103"/>
      <c r="GTS158" s="103"/>
      <c r="GTT158" s="103"/>
      <c r="GTU158" s="103"/>
      <c r="GTV158" s="103"/>
      <c r="GTW158" s="103"/>
      <c r="GTX158" s="103"/>
      <c r="GTY158" s="103"/>
      <c r="GTZ158" s="103"/>
      <c r="GUA158" s="103"/>
      <c r="GUB158" s="103"/>
      <c r="GUC158" s="103"/>
      <c r="GUD158" s="103"/>
      <c r="GUE158" s="103"/>
      <c r="GUF158" s="103"/>
      <c r="GUG158" s="103"/>
      <c r="GUH158" s="103"/>
      <c r="GUI158" s="103"/>
      <c r="GUJ158" s="103"/>
      <c r="GUK158" s="103"/>
      <c r="GUL158" s="103"/>
      <c r="GUM158" s="103"/>
      <c r="GUN158" s="103"/>
      <c r="GUO158" s="103"/>
      <c r="GUP158" s="103"/>
      <c r="GUQ158" s="103"/>
      <c r="GUR158" s="103"/>
      <c r="GUS158" s="103"/>
      <c r="GUT158" s="103"/>
      <c r="GUU158" s="103"/>
      <c r="GUV158" s="103"/>
      <c r="GUW158" s="103"/>
      <c r="GUX158" s="103"/>
      <c r="GUY158" s="103"/>
      <c r="GUZ158" s="103"/>
      <c r="GVA158" s="103"/>
      <c r="GVB158" s="103"/>
      <c r="GVC158" s="103"/>
      <c r="GVD158" s="103"/>
      <c r="GVE158" s="103"/>
      <c r="GVF158" s="103"/>
      <c r="GVG158" s="103"/>
      <c r="GVH158" s="103"/>
      <c r="GVI158" s="103"/>
      <c r="GVJ158" s="103"/>
      <c r="GVK158" s="103"/>
      <c r="GVL158" s="103"/>
      <c r="GVM158" s="103"/>
      <c r="GVN158" s="103"/>
      <c r="GVO158" s="103"/>
      <c r="GVP158" s="103"/>
      <c r="GVQ158" s="103"/>
      <c r="GVR158" s="103"/>
      <c r="GVS158" s="103"/>
      <c r="GVT158" s="103"/>
      <c r="GVU158" s="103"/>
      <c r="GVV158" s="103"/>
      <c r="GVW158" s="103"/>
      <c r="GVX158" s="103"/>
      <c r="GVY158" s="103"/>
      <c r="GVZ158" s="103"/>
      <c r="GWA158" s="103"/>
      <c r="GWB158" s="103"/>
      <c r="GWC158" s="103"/>
      <c r="GWD158" s="103"/>
      <c r="GWE158" s="103"/>
      <c r="GWF158" s="103"/>
      <c r="GWG158" s="103"/>
      <c r="GWH158" s="103"/>
      <c r="GWI158" s="103"/>
      <c r="GWJ158" s="103"/>
      <c r="GWK158" s="103"/>
      <c r="GWL158" s="103"/>
      <c r="GWM158" s="103"/>
      <c r="GWN158" s="103"/>
      <c r="GWO158" s="103"/>
      <c r="GWP158" s="103"/>
      <c r="GWQ158" s="103"/>
      <c r="GWR158" s="103"/>
      <c r="GWS158" s="103"/>
      <c r="GWT158" s="103"/>
      <c r="GWU158" s="103"/>
      <c r="GWV158" s="103"/>
      <c r="GWW158" s="103"/>
      <c r="GWX158" s="103"/>
      <c r="GWY158" s="103"/>
      <c r="GWZ158" s="103"/>
      <c r="GXA158" s="103"/>
      <c r="GXB158" s="103"/>
      <c r="GXC158" s="103"/>
      <c r="GXD158" s="103"/>
      <c r="GXE158" s="103"/>
      <c r="GXF158" s="103"/>
      <c r="GXG158" s="103"/>
      <c r="GXH158" s="103"/>
      <c r="GXI158" s="103"/>
      <c r="GXJ158" s="103"/>
      <c r="GXK158" s="103"/>
      <c r="GXL158" s="103"/>
      <c r="GXM158" s="103"/>
      <c r="GXN158" s="103"/>
      <c r="GXO158" s="103"/>
      <c r="GXP158" s="103"/>
      <c r="GXQ158" s="103"/>
      <c r="GXR158" s="103"/>
      <c r="GXS158" s="103"/>
      <c r="GXT158" s="103"/>
      <c r="GXU158" s="103"/>
      <c r="GXV158" s="103"/>
      <c r="GXW158" s="103"/>
      <c r="GXX158" s="103"/>
      <c r="GXY158" s="103"/>
      <c r="GXZ158" s="103"/>
      <c r="GYA158" s="103"/>
      <c r="GYB158" s="103"/>
      <c r="GYC158" s="103"/>
      <c r="GYD158" s="103"/>
      <c r="GYE158" s="103"/>
      <c r="GYF158" s="103"/>
      <c r="GYG158" s="103"/>
      <c r="GYH158" s="103"/>
      <c r="GYI158" s="103"/>
      <c r="GYJ158" s="103"/>
      <c r="GYK158" s="103"/>
      <c r="GYL158" s="103"/>
      <c r="GYM158" s="103"/>
      <c r="GYN158" s="103"/>
      <c r="GYO158" s="103"/>
      <c r="GYP158" s="103"/>
      <c r="GYQ158" s="103"/>
      <c r="GYR158" s="103"/>
      <c r="GYS158" s="103"/>
      <c r="GYT158" s="103"/>
      <c r="GYU158" s="103"/>
      <c r="GYV158" s="103"/>
      <c r="GYW158" s="103"/>
      <c r="GYX158" s="103"/>
      <c r="GYY158" s="103"/>
      <c r="GYZ158" s="103"/>
      <c r="GZA158" s="103"/>
      <c r="GZB158" s="103"/>
      <c r="GZC158" s="103"/>
      <c r="GZD158" s="103"/>
      <c r="GZE158" s="103"/>
      <c r="GZF158" s="103"/>
      <c r="GZG158" s="103"/>
      <c r="GZH158" s="103"/>
      <c r="GZI158" s="103"/>
      <c r="GZJ158" s="103"/>
      <c r="GZK158" s="103"/>
      <c r="GZL158" s="103"/>
      <c r="GZM158" s="103"/>
      <c r="GZN158" s="103"/>
      <c r="GZO158" s="103"/>
      <c r="GZP158" s="103"/>
      <c r="GZQ158" s="103"/>
      <c r="GZR158" s="103"/>
      <c r="GZS158" s="103"/>
      <c r="GZT158" s="103"/>
      <c r="GZU158" s="103"/>
      <c r="GZV158" s="103"/>
      <c r="GZW158" s="103"/>
      <c r="GZX158" s="103"/>
      <c r="GZY158" s="103"/>
      <c r="GZZ158" s="103"/>
      <c r="HAA158" s="103"/>
      <c r="HAB158" s="103"/>
      <c r="HAC158" s="103"/>
      <c r="HAD158" s="103"/>
      <c r="HAE158" s="103"/>
      <c r="HAF158" s="103"/>
      <c r="HAG158" s="103"/>
      <c r="HAH158" s="103"/>
      <c r="HAI158" s="103"/>
      <c r="HAJ158" s="103"/>
      <c r="HAK158" s="103"/>
      <c r="HAL158" s="103"/>
      <c r="HAM158" s="103"/>
      <c r="HAN158" s="103"/>
      <c r="HAO158" s="103"/>
      <c r="HAP158" s="103"/>
      <c r="HAQ158" s="103"/>
      <c r="HAR158" s="103"/>
      <c r="HAS158" s="103"/>
      <c r="HAT158" s="103"/>
      <c r="HAU158" s="103"/>
      <c r="HAV158" s="103"/>
      <c r="HAW158" s="103"/>
      <c r="HAX158" s="103"/>
      <c r="HAY158" s="103"/>
      <c r="HAZ158" s="103"/>
      <c r="HBA158" s="103"/>
      <c r="HBB158" s="103"/>
      <c r="HBC158" s="103"/>
      <c r="HBD158" s="103"/>
      <c r="HBE158" s="103"/>
      <c r="HBF158" s="103"/>
      <c r="HBG158" s="103"/>
      <c r="HBH158" s="103"/>
      <c r="HBI158" s="103"/>
      <c r="HBJ158" s="103"/>
      <c r="HBK158" s="103"/>
      <c r="HBL158" s="103"/>
      <c r="HBM158" s="103"/>
      <c r="HBN158" s="103"/>
      <c r="HBO158" s="103"/>
      <c r="HBP158" s="103"/>
      <c r="HBQ158" s="103"/>
      <c r="HBR158" s="103"/>
      <c r="HBS158" s="103"/>
      <c r="HBT158" s="103"/>
      <c r="HBU158" s="103"/>
      <c r="HBV158" s="103"/>
      <c r="HBW158" s="103"/>
      <c r="HBX158" s="103"/>
      <c r="HBY158" s="103"/>
      <c r="HBZ158" s="103"/>
      <c r="HCA158" s="103"/>
      <c r="HCB158" s="103"/>
      <c r="HCC158" s="103"/>
      <c r="HCD158" s="103"/>
      <c r="HCE158" s="103"/>
      <c r="HCF158" s="103"/>
      <c r="HCG158" s="103"/>
      <c r="HCH158" s="103"/>
      <c r="HCI158" s="103"/>
      <c r="HCJ158" s="103"/>
      <c r="HCK158" s="103"/>
      <c r="HCL158" s="103"/>
      <c r="HCM158" s="103"/>
      <c r="HCN158" s="103"/>
      <c r="HCO158" s="103"/>
      <c r="HCP158" s="103"/>
      <c r="HCQ158" s="103"/>
      <c r="HCR158" s="103"/>
      <c r="HCS158" s="103"/>
      <c r="HCT158" s="103"/>
      <c r="HCU158" s="103"/>
      <c r="HCV158" s="103"/>
      <c r="HCW158" s="103"/>
      <c r="HCX158" s="103"/>
      <c r="HCY158" s="103"/>
      <c r="HCZ158" s="103"/>
      <c r="HDA158" s="103"/>
      <c r="HDB158" s="103"/>
      <c r="HDC158" s="103"/>
      <c r="HDD158" s="103"/>
      <c r="HDE158" s="103"/>
      <c r="HDF158" s="103"/>
      <c r="HDG158" s="103"/>
      <c r="HDH158" s="103"/>
      <c r="HDI158" s="103"/>
      <c r="HDJ158" s="103"/>
      <c r="HDK158" s="103"/>
      <c r="HDL158" s="103"/>
      <c r="HDM158" s="103"/>
      <c r="HDN158" s="103"/>
      <c r="HDO158" s="103"/>
      <c r="HDP158" s="103"/>
      <c r="HDQ158" s="103"/>
      <c r="HDR158" s="103"/>
      <c r="HDS158" s="103"/>
      <c r="HDT158" s="103"/>
      <c r="HDU158" s="103"/>
      <c r="HDV158" s="103"/>
      <c r="HDW158" s="103"/>
      <c r="HDX158" s="103"/>
      <c r="HDY158" s="103"/>
      <c r="HDZ158" s="103"/>
      <c r="HEA158" s="103"/>
      <c r="HEB158" s="103"/>
      <c r="HEC158" s="103"/>
      <c r="HED158" s="103"/>
      <c r="HEE158" s="103"/>
      <c r="HEF158" s="103"/>
      <c r="HEG158" s="103"/>
      <c r="HEH158" s="103"/>
      <c r="HEI158" s="103"/>
      <c r="HEJ158" s="103"/>
      <c r="HEK158" s="103"/>
      <c r="HEL158" s="103"/>
      <c r="HEM158" s="103"/>
      <c r="HEN158" s="103"/>
      <c r="HEO158" s="103"/>
      <c r="HEP158" s="103"/>
      <c r="HEQ158" s="103"/>
      <c r="HER158" s="103"/>
      <c r="HES158" s="103"/>
      <c r="HET158" s="103"/>
      <c r="HEU158" s="103"/>
      <c r="HEV158" s="103"/>
      <c r="HEW158" s="103"/>
      <c r="HEX158" s="103"/>
      <c r="HEY158" s="103"/>
      <c r="HEZ158" s="103"/>
      <c r="HFA158" s="103"/>
      <c r="HFB158" s="103"/>
      <c r="HFC158" s="103"/>
      <c r="HFD158" s="103"/>
      <c r="HFE158" s="103"/>
      <c r="HFF158" s="103"/>
      <c r="HFG158" s="103"/>
      <c r="HFH158" s="103"/>
      <c r="HFI158" s="103"/>
      <c r="HFJ158" s="103"/>
      <c r="HFK158" s="103"/>
      <c r="HFL158" s="103"/>
      <c r="HFM158" s="103"/>
      <c r="HFN158" s="103"/>
      <c r="HFO158" s="103"/>
      <c r="HFP158" s="103"/>
      <c r="HFQ158" s="103"/>
      <c r="HFR158" s="103"/>
      <c r="HFS158" s="103"/>
      <c r="HFT158" s="103"/>
      <c r="HFU158" s="103"/>
      <c r="HFV158" s="103"/>
      <c r="HFW158" s="103"/>
      <c r="HFX158" s="103"/>
      <c r="HFY158" s="103"/>
      <c r="HFZ158" s="103"/>
      <c r="HGA158" s="103"/>
      <c r="HGB158" s="103"/>
      <c r="HGC158" s="103"/>
      <c r="HGD158" s="103"/>
      <c r="HGE158" s="103"/>
      <c r="HGF158" s="103"/>
      <c r="HGG158" s="103"/>
      <c r="HGH158" s="103"/>
      <c r="HGI158" s="103"/>
      <c r="HGJ158" s="103"/>
      <c r="HGK158" s="103"/>
      <c r="HGL158" s="103"/>
      <c r="HGM158" s="103"/>
      <c r="HGN158" s="103"/>
      <c r="HGO158" s="103"/>
      <c r="HGP158" s="103"/>
      <c r="HGQ158" s="103"/>
      <c r="HGR158" s="103"/>
      <c r="HGS158" s="103"/>
      <c r="HGT158" s="103"/>
      <c r="HGU158" s="103"/>
      <c r="HGV158" s="103"/>
      <c r="HGW158" s="103"/>
      <c r="HGX158" s="103"/>
      <c r="HGY158" s="103"/>
      <c r="HGZ158" s="103"/>
      <c r="HHA158" s="103"/>
      <c r="HHB158" s="103"/>
      <c r="HHC158" s="103"/>
      <c r="HHD158" s="103"/>
      <c r="HHE158" s="103"/>
      <c r="HHF158" s="103"/>
      <c r="HHG158" s="103"/>
      <c r="HHH158" s="103"/>
      <c r="HHI158" s="103"/>
      <c r="HHJ158" s="103"/>
      <c r="HHK158" s="103"/>
      <c r="HHL158" s="103"/>
      <c r="HHM158" s="103"/>
      <c r="HHN158" s="103"/>
      <c r="HHO158" s="103"/>
      <c r="HHP158" s="103"/>
      <c r="HHQ158" s="103"/>
      <c r="HHR158" s="103"/>
      <c r="HHS158" s="103"/>
      <c r="HHT158" s="103"/>
      <c r="HHU158" s="103"/>
      <c r="HHV158" s="103"/>
      <c r="HHW158" s="103"/>
      <c r="HHX158" s="103"/>
      <c r="HHY158" s="103"/>
      <c r="HHZ158" s="103"/>
      <c r="HIA158" s="103"/>
      <c r="HIB158" s="103"/>
      <c r="HIC158" s="103"/>
      <c r="HID158" s="103"/>
      <c r="HIE158" s="103"/>
      <c r="HIF158" s="103"/>
      <c r="HIG158" s="103"/>
      <c r="HIH158" s="103"/>
      <c r="HII158" s="103"/>
      <c r="HIJ158" s="103"/>
      <c r="HIK158" s="103"/>
      <c r="HIL158" s="103"/>
      <c r="HIM158" s="103"/>
      <c r="HIN158" s="103"/>
      <c r="HIO158" s="103"/>
      <c r="HIP158" s="103"/>
      <c r="HIQ158" s="103"/>
      <c r="HIR158" s="103"/>
      <c r="HIS158" s="103"/>
      <c r="HIT158" s="103"/>
      <c r="HIU158" s="103"/>
      <c r="HIV158" s="103"/>
      <c r="HIW158" s="103"/>
      <c r="HIX158" s="103"/>
      <c r="HIY158" s="103"/>
      <c r="HIZ158" s="103"/>
      <c r="HJA158" s="103"/>
      <c r="HJB158" s="103"/>
      <c r="HJC158" s="103"/>
      <c r="HJD158" s="103"/>
      <c r="HJE158" s="103"/>
      <c r="HJF158" s="103"/>
      <c r="HJG158" s="103"/>
      <c r="HJH158" s="103"/>
      <c r="HJI158" s="103"/>
      <c r="HJJ158" s="103"/>
      <c r="HJK158" s="103"/>
      <c r="HJL158" s="103"/>
      <c r="HJM158" s="103"/>
      <c r="HJN158" s="103"/>
      <c r="HJO158" s="103"/>
      <c r="HJP158" s="103"/>
      <c r="HJQ158" s="103"/>
      <c r="HJR158" s="103"/>
      <c r="HJS158" s="103"/>
      <c r="HJT158" s="103"/>
      <c r="HJU158" s="103"/>
      <c r="HJV158" s="103"/>
      <c r="HJW158" s="103"/>
      <c r="HJX158" s="103"/>
      <c r="HJY158" s="103"/>
      <c r="HJZ158" s="103"/>
      <c r="HKA158" s="103"/>
      <c r="HKB158" s="103"/>
      <c r="HKC158" s="103"/>
      <c r="HKD158" s="103"/>
      <c r="HKE158" s="103"/>
      <c r="HKF158" s="103"/>
      <c r="HKG158" s="103"/>
      <c r="HKH158" s="103"/>
      <c r="HKI158" s="103"/>
      <c r="HKJ158" s="103"/>
      <c r="HKK158" s="103"/>
      <c r="HKL158" s="103"/>
      <c r="HKM158" s="103"/>
      <c r="HKN158" s="103"/>
      <c r="HKO158" s="103"/>
      <c r="HKP158" s="103"/>
      <c r="HKQ158" s="103"/>
      <c r="HKR158" s="103"/>
      <c r="HKS158" s="103"/>
      <c r="HKT158" s="103"/>
      <c r="HKU158" s="103"/>
      <c r="HKV158" s="103"/>
      <c r="HKW158" s="103"/>
      <c r="HKX158" s="103"/>
      <c r="HKY158" s="103"/>
      <c r="HKZ158" s="103"/>
      <c r="HLA158" s="103"/>
      <c r="HLB158" s="103"/>
      <c r="HLC158" s="103"/>
      <c r="HLD158" s="103"/>
      <c r="HLE158" s="103"/>
      <c r="HLF158" s="103"/>
      <c r="HLG158" s="103"/>
      <c r="HLH158" s="103"/>
      <c r="HLI158" s="103"/>
      <c r="HLJ158" s="103"/>
      <c r="HLK158" s="103"/>
      <c r="HLL158" s="103"/>
      <c r="HLM158" s="103"/>
      <c r="HLN158" s="103"/>
      <c r="HLO158" s="103"/>
      <c r="HLP158" s="103"/>
      <c r="HLQ158" s="103"/>
      <c r="HLR158" s="103"/>
      <c r="HLS158" s="103"/>
      <c r="HLT158" s="103"/>
      <c r="HLU158" s="103"/>
      <c r="HLV158" s="103"/>
      <c r="HLW158" s="103"/>
      <c r="HLX158" s="103"/>
      <c r="HLY158" s="103"/>
      <c r="HLZ158" s="103"/>
      <c r="HMA158" s="103"/>
      <c r="HMB158" s="103"/>
      <c r="HMC158" s="103"/>
      <c r="HMD158" s="103"/>
      <c r="HME158" s="103"/>
      <c r="HMF158" s="103"/>
      <c r="HMG158" s="103"/>
      <c r="HMH158" s="103"/>
      <c r="HMI158" s="103"/>
      <c r="HMJ158" s="103"/>
      <c r="HMK158" s="103"/>
      <c r="HML158" s="103"/>
      <c r="HMM158" s="103"/>
      <c r="HMN158" s="103"/>
      <c r="HMO158" s="103"/>
      <c r="HMP158" s="103"/>
      <c r="HMQ158" s="103"/>
      <c r="HMR158" s="103"/>
      <c r="HMS158" s="103"/>
      <c r="HMT158" s="103"/>
      <c r="HMU158" s="103"/>
      <c r="HMV158" s="103"/>
      <c r="HMW158" s="103"/>
      <c r="HMX158" s="103"/>
      <c r="HMY158" s="103"/>
      <c r="HMZ158" s="103"/>
      <c r="HNA158" s="103"/>
      <c r="HNB158" s="103"/>
      <c r="HNC158" s="103"/>
      <c r="HND158" s="103"/>
      <c r="HNE158" s="103"/>
      <c r="HNF158" s="103"/>
      <c r="HNG158" s="103"/>
      <c r="HNH158" s="103"/>
      <c r="HNI158" s="103"/>
      <c r="HNJ158" s="103"/>
      <c r="HNK158" s="103"/>
      <c r="HNL158" s="103"/>
      <c r="HNM158" s="103"/>
      <c r="HNN158" s="103"/>
      <c r="HNO158" s="103"/>
      <c r="HNP158" s="103"/>
      <c r="HNQ158" s="103"/>
      <c r="HNR158" s="103"/>
      <c r="HNS158" s="103"/>
      <c r="HNT158" s="103"/>
      <c r="HNU158" s="103"/>
      <c r="HNV158" s="103"/>
      <c r="HNW158" s="103"/>
      <c r="HNX158" s="103"/>
      <c r="HNY158" s="103"/>
      <c r="HNZ158" s="103"/>
      <c r="HOA158" s="103"/>
      <c r="HOB158" s="103"/>
      <c r="HOC158" s="103"/>
      <c r="HOD158" s="103"/>
      <c r="HOE158" s="103"/>
      <c r="HOF158" s="103"/>
      <c r="HOG158" s="103"/>
      <c r="HOH158" s="103"/>
      <c r="HOI158" s="103"/>
      <c r="HOJ158" s="103"/>
      <c r="HOK158" s="103"/>
      <c r="HOL158" s="103"/>
      <c r="HOM158" s="103"/>
      <c r="HON158" s="103"/>
      <c r="HOO158" s="103"/>
      <c r="HOP158" s="103"/>
      <c r="HOQ158" s="103"/>
      <c r="HOR158" s="103"/>
      <c r="HOS158" s="103"/>
      <c r="HOT158" s="103"/>
      <c r="HOU158" s="103"/>
      <c r="HOV158" s="103"/>
      <c r="HOW158" s="103"/>
      <c r="HOX158" s="103"/>
      <c r="HOY158" s="103"/>
      <c r="HOZ158" s="103"/>
      <c r="HPA158" s="103"/>
      <c r="HPB158" s="103"/>
      <c r="HPC158" s="103"/>
      <c r="HPD158" s="103"/>
      <c r="HPE158" s="103"/>
      <c r="HPF158" s="103"/>
      <c r="HPG158" s="103"/>
      <c r="HPH158" s="103"/>
      <c r="HPI158" s="103"/>
      <c r="HPJ158" s="103"/>
      <c r="HPK158" s="103"/>
      <c r="HPL158" s="103"/>
      <c r="HPM158" s="103"/>
      <c r="HPN158" s="103"/>
      <c r="HPO158" s="103"/>
      <c r="HPP158" s="103"/>
      <c r="HPQ158" s="103"/>
      <c r="HPR158" s="103"/>
      <c r="HPS158" s="103"/>
      <c r="HPT158" s="103"/>
      <c r="HPU158" s="103"/>
      <c r="HPV158" s="103"/>
      <c r="HPW158" s="103"/>
      <c r="HPX158" s="103"/>
      <c r="HPY158" s="103"/>
      <c r="HPZ158" s="103"/>
      <c r="HQA158" s="103"/>
      <c r="HQB158" s="103"/>
      <c r="HQC158" s="103"/>
      <c r="HQD158" s="103"/>
      <c r="HQE158" s="103"/>
      <c r="HQF158" s="103"/>
      <c r="HQG158" s="103"/>
      <c r="HQH158" s="103"/>
      <c r="HQI158" s="103"/>
      <c r="HQJ158" s="103"/>
      <c r="HQK158" s="103"/>
      <c r="HQL158" s="103"/>
      <c r="HQM158" s="103"/>
      <c r="HQN158" s="103"/>
      <c r="HQO158" s="103"/>
      <c r="HQP158" s="103"/>
      <c r="HQQ158" s="103"/>
      <c r="HQR158" s="103"/>
      <c r="HQS158" s="103"/>
      <c r="HQT158" s="103"/>
      <c r="HQU158" s="103"/>
      <c r="HQV158" s="103"/>
      <c r="HQW158" s="103"/>
      <c r="HQX158" s="103"/>
      <c r="HQY158" s="103"/>
      <c r="HQZ158" s="103"/>
      <c r="HRA158" s="103"/>
      <c r="HRB158" s="103"/>
      <c r="HRC158" s="103"/>
      <c r="HRD158" s="103"/>
      <c r="HRE158" s="103"/>
      <c r="HRF158" s="103"/>
      <c r="HRG158" s="103"/>
      <c r="HRH158" s="103"/>
      <c r="HRI158" s="103"/>
      <c r="HRJ158" s="103"/>
      <c r="HRK158" s="103"/>
      <c r="HRL158" s="103"/>
      <c r="HRM158" s="103"/>
      <c r="HRN158" s="103"/>
      <c r="HRO158" s="103"/>
      <c r="HRP158" s="103"/>
      <c r="HRQ158" s="103"/>
      <c r="HRR158" s="103"/>
      <c r="HRS158" s="103"/>
      <c r="HRT158" s="103"/>
      <c r="HRU158" s="103"/>
      <c r="HRV158" s="103"/>
      <c r="HRW158" s="103"/>
      <c r="HRX158" s="103"/>
      <c r="HRY158" s="103"/>
      <c r="HRZ158" s="103"/>
      <c r="HSA158" s="103"/>
      <c r="HSB158" s="103"/>
      <c r="HSC158" s="103"/>
      <c r="HSD158" s="103"/>
      <c r="HSE158" s="103"/>
      <c r="HSF158" s="103"/>
      <c r="HSG158" s="103"/>
      <c r="HSH158" s="103"/>
      <c r="HSI158" s="103"/>
      <c r="HSJ158" s="103"/>
      <c r="HSK158" s="103"/>
      <c r="HSL158" s="103"/>
      <c r="HSM158" s="103"/>
      <c r="HSN158" s="103"/>
      <c r="HSO158" s="103"/>
      <c r="HSP158" s="103"/>
      <c r="HSQ158" s="103"/>
      <c r="HSR158" s="103"/>
      <c r="HSS158" s="103"/>
      <c r="HST158" s="103"/>
      <c r="HSU158" s="103"/>
      <c r="HSV158" s="103"/>
      <c r="HSW158" s="103"/>
      <c r="HSX158" s="103"/>
      <c r="HSY158" s="103"/>
      <c r="HSZ158" s="103"/>
      <c r="HTA158" s="103"/>
      <c r="HTB158" s="103"/>
      <c r="HTC158" s="103"/>
      <c r="HTD158" s="103"/>
      <c r="HTE158" s="103"/>
      <c r="HTF158" s="103"/>
      <c r="HTG158" s="103"/>
      <c r="HTH158" s="103"/>
      <c r="HTI158" s="103"/>
      <c r="HTJ158" s="103"/>
      <c r="HTK158" s="103"/>
      <c r="HTL158" s="103"/>
      <c r="HTM158" s="103"/>
      <c r="HTN158" s="103"/>
      <c r="HTO158" s="103"/>
      <c r="HTP158" s="103"/>
      <c r="HTQ158" s="103"/>
      <c r="HTR158" s="103"/>
      <c r="HTS158" s="103"/>
      <c r="HTT158" s="103"/>
      <c r="HTU158" s="103"/>
      <c r="HTV158" s="103"/>
      <c r="HTW158" s="103"/>
      <c r="HTX158" s="103"/>
      <c r="HTY158" s="103"/>
      <c r="HTZ158" s="103"/>
      <c r="HUA158" s="103"/>
      <c r="HUB158" s="103"/>
      <c r="HUC158" s="103"/>
      <c r="HUD158" s="103"/>
      <c r="HUE158" s="103"/>
      <c r="HUF158" s="103"/>
      <c r="HUG158" s="103"/>
      <c r="HUH158" s="103"/>
      <c r="HUI158" s="103"/>
      <c r="HUJ158" s="103"/>
      <c r="HUK158" s="103"/>
      <c r="HUL158" s="103"/>
      <c r="HUM158" s="103"/>
      <c r="HUN158" s="103"/>
      <c r="HUO158" s="103"/>
      <c r="HUP158" s="103"/>
      <c r="HUQ158" s="103"/>
      <c r="HUR158" s="103"/>
      <c r="HUS158" s="103"/>
      <c r="HUT158" s="103"/>
      <c r="HUU158" s="103"/>
      <c r="HUV158" s="103"/>
      <c r="HUW158" s="103"/>
      <c r="HUX158" s="103"/>
      <c r="HUY158" s="103"/>
      <c r="HUZ158" s="103"/>
      <c r="HVA158" s="103"/>
      <c r="HVB158" s="103"/>
      <c r="HVC158" s="103"/>
      <c r="HVD158" s="103"/>
      <c r="HVE158" s="103"/>
      <c r="HVF158" s="103"/>
      <c r="HVG158" s="103"/>
      <c r="HVH158" s="103"/>
      <c r="HVI158" s="103"/>
      <c r="HVJ158" s="103"/>
      <c r="HVK158" s="103"/>
      <c r="HVL158" s="103"/>
      <c r="HVM158" s="103"/>
      <c r="HVN158" s="103"/>
      <c r="HVO158" s="103"/>
      <c r="HVP158" s="103"/>
      <c r="HVQ158" s="103"/>
      <c r="HVR158" s="103"/>
      <c r="HVS158" s="103"/>
      <c r="HVT158" s="103"/>
      <c r="HVU158" s="103"/>
      <c r="HVV158" s="103"/>
      <c r="HVW158" s="103"/>
      <c r="HVX158" s="103"/>
      <c r="HVY158" s="103"/>
      <c r="HVZ158" s="103"/>
      <c r="HWA158" s="103"/>
      <c r="HWB158" s="103"/>
      <c r="HWC158" s="103"/>
      <c r="HWD158" s="103"/>
      <c r="HWE158" s="103"/>
      <c r="HWF158" s="103"/>
      <c r="HWG158" s="103"/>
      <c r="HWH158" s="103"/>
      <c r="HWI158" s="103"/>
      <c r="HWJ158" s="103"/>
      <c r="HWK158" s="103"/>
      <c r="HWL158" s="103"/>
      <c r="HWM158" s="103"/>
      <c r="HWN158" s="103"/>
      <c r="HWO158" s="103"/>
      <c r="HWP158" s="103"/>
      <c r="HWQ158" s="103"/>
      <c r="HWR158" s="103"/>
      <c r="HWS158" s="103"/>
      <c r="HWT158" s="103"/>
      <c r="HWU158" s="103"/>
      <c r="HWV158" s="103"/>
      <c r="HWW158" s="103"/>
      <c r="HWX158" s="103"/>
      <c r="HWY158" s="103"/>
      <c r="HWZ158" s="103"/>
      <c r="HXA158" s="103"/>
      <c r="HXB158" s="103"/>
      <c r="HXC158" s="103"/>
      <c r="HXD158" s="103"/>
      <c r="HXE158" s="103"/>
      <c r="HXF158" s="103"/>
      <c r="HXG158" s="103"/>
      <c r="HXH158" s="103"/>
      <c r="HXI158" s="103"/>
      <c r="HXJ158" s="103"/>
      <c r="HXK158" s="103"/>
      <c r="HXL158" s="103"/>
      <c r="HXM158" s="103"/>
      <c r="HXN158" s="103"/>
      <c r="HXO158" s="103"/>
      <c r="HXP158" s="103"/>
      <c r="HXQ158" s="103"/>
      <c r="HXR158" s="103"/>
      <c r="HXS158" s="103"/>
      <c r="HXT158" s="103"/>
      <c r="HXU158" s="103"/>
      <c r="HXV158" s="103"/>
      <c r="HXW158" s="103"/>
      <c r="HXX158" s="103"/>
      <c r="HXY158" s="103"/>
      <c r="HXZ158" s="103"/>
      <c r="HYA158" s="103"/>
      <c r="HYB158" s="103"/>
      <c r="HYC158" s="103"/>
      <c r="HYD158" s="103"/>
      <c r="HYE158" s="103"/>
      <c r="HYF158" s="103"/>
      <c r="HYG158" s="103"/>
      <c r="HYH158" s="103"/>
      <c r="HYI158" s="103"/>
      <c r="HYJ158" s="103"/>
      <c r="HYK158" s="103"/>
      <c r="HYL158" s="103"/>
      <c r="HYM158" s="103"/>
      <c r="HYN158" s="103"/>
      <c r="HYO158" s="103"/>
      <c r="HYP158" s="103"/>
      <c r="HYQ158" s="103"/>
      <c r="HYR158" s="103"/>
      <c r="HYS158" s="103"/>
      <c r="HYT158" s="103"/>
      <c r="HYU158" s="103"/>
      <c r="HYV158" s="103"/>
      <c r="HYW158" s="103"/>
      <c r="HYX158" s="103"/>
      <c r="HYY158" s="103"/>
      <c r="HYZ158" s="103"/>
      <c r="HZA158" s="103"/>
      <c r="HZB158" s="103"/>
      <c r="HZC158" s="103"/>
      <c r="HZD158" s="103"/>
      <c r="HZE158" s="103"/>
      <c r="HZF158" s="103"/>
      <c r="HZG158" s="103"/>
      <c r="HZH158" s="103"/>
      <c r="HZI158" s="103"/>
      <c r="HZJ158" s="103"/>
      <c r="HZK158" s="103"/>
      <c r="HZL158" s="103"/>
      <c r="HZM158" s="103"/>
      <c r="HZN158" s="103"/>
      <c r="HZO158" s="103"/>
      <c r="HZP158" s="103"/>
      <c r="HZQ158" s="103"/>
      <c r="HZR158" s="103"/>
      <c r="HZS158" s="103"/>
      <c r="HZT158" s="103"/>
      <c r="HZU158" s="103"/>
      <c r="HZV158" s="103"/>
      <c r="HZW158" s="103"/>
      <c r="HZX158" s="103"/>
      <c r="HZY158" s="103"/>
      <c r="HZZ158" s="103"/>
      <c r="IAA158" s="103"/>
      <c r="IAB158" s="103"/>
      <c r="IAC158" s="103"/>
      <c r="IAD158" s="103"/>
      <c r="IAE158" s="103"/>
      <c r="IAF158" s="103"/>
      <c r="IAG158" s="103"/>
      <c r="IAH158" s="103"/>
      <c r="IAI158" s="103"/>
      <c r="IAJ158" s="103"/>
      <c r="IAK158" s="103"/>
      <c r="IAL158" s="103"/>
      <c r="IAM158" s="103"/>
      <c r="IAN158" s="103"/>
      <c r="IAO158" s="103"/>
      <c r="IAP158" s="103"/>
      <c r="IAQ158" s="103"/>
      <c r="IAR158" s="103"/>
      <c r="IAS158" s="103"/>
      <c r="IAT158" s="103"/>
      <c r="IAU158" s="103"/>
      <c r="IAV158" s="103"/>
      <c r="IAW158" s="103"/>
      <c r="IAX158" s="103"/>
      <c r="IAY158" s="103"/>
      <c r="IAZ158" s="103"/>
      <c r="IBA158" s="103"/>
      <c r="IBB158" s="103"/>
      <c r="IBC158" s="103"/>
      <c r="IBD158" s="103"/>
      <c r="IBE158" s="103"/>
      <c r="IBF158" s="103"/>
      <c r="IBG158" s="103"/>
      <c r="IBH158" s="103"/>
      <c r="IBI158" s="103"/>
      <c r="IBJ158" s="103"/>
      <c r="IBK158" s="103"/>
      <c r="IBL158" s="103"/>
      <c r="IBM158" s="103"/>
      <c r="IBN158" s="103"/>
      <c r="IBO158" s="103"/>
      <c r="IBP158" s="103"/>
      <c r="IBQ158" s="103"/>
      <c r="IBR158" s="103"/>
      <c r="IBS158" s="103"/>
      <c r="IBT158" s="103"/>
      <c r="IBU158" s="103"/>
      <c r="IBV158" s="103"/>
      <c r="IBW158" s="103"/>
      <c r="IBX158" s="103"/>
      <c r="IBY158" s="103"/>
      <c r="IBZ158" s="103"/>
      <c r="ICA158" s="103"/>
      <c r="ICB158" s="103"/>
      <c r="ICC158" s="103"/>
      <c r="ICD158" s="103"/>
      <c r="ICE158" s="103"/>
      <c r="ICF158" s="103"/>
      <c r="ICG158" s="103"/>
      <c r="ICH158" s="103"/>
      <c r="ICI158" s="103"/>
      <c r="ICJ158" s="103"/>
      <c r="ICK158" s="103"/>
      <c r="ICL158" s="103"/>
      <c r="ICM158" s="103"/>
      <c r="ICN158" s="103"/>
      <c r="ICO158" s="103"/>
      <c r="ICP158" s="103"/>
      <c r="ICQ158" s="103"/>
      <c r="ICR158" s="103"/>
      <c r="ICS158" s="103"/>
      <c r="ICT158" s="103"/>
      <c r="ICU158" s="103"/>
      <c r="ICV158" s="103"/>
      <c r="ICW158" s="103"/>
      <c r="ICX158" s="103"/>
      <c r="ICY158" s="103"/>
      <c r="ICZ158" s="103"/>
      <c r="IDA158" s="103"/>
      <c r="IDB158" s="103"/>
      <c r="IDC158" s="103"/>
      <c r="IDD158" s="103"/>
      <c r="IDE158" s="103"/>
      <c r="IDF158" s="103"/>
      <c r="IDG158" s="103"/>
      <c r="IDH158" s="103"/>
      <c r="IDI158" s="103"/>
      <c r="IDJ158" s="103"/>
      <c r="IDK158" s="103"/>
      <c r="IDL158" s="103"/>
      <c r="IDM158" s="103"/>
      <c r="IDN158" s="103"/>
      <c r="IDO158" s="103"/>
      <c r="IDP158" s="103"/>
      <c r="IDQ158" s="103"/>
      <c r="IDR158" s="103"/>
      <c r="IDS158" s="103"/>
      <c r="IDT158" s="103"/>
      <c r="IDU158" s="103"/>
      <c r="IDV158" s="103"/>
      <c r="IDW158" s="103"/>
      <c r="IDX158" s="103"/>
      <c r="IDY158" s="103"/>
      <c r="IDZ158" s="103"/>
      <c r="IEA158" s="103"/>
      <c r="IEB158" s="103"/>
      <c r="IEC158" s="103"/>
      <c r="IED158" s="103"/>
      <c r="IEE158" s="103"/>
      <c r="IEF158" s="103"/>
      <c r="IEG158" s="103"/>
      <c r="IEH158" s="103"/>
      <c r="IEI158" s="103"/>
      <c r="IEJ158" s="103"/>
      <c r="IEK158" s="103"/>
      <c r="IEL158" s="103"/>
      <c r="IEM158" s="103"/>
      <c r="IEN158" s="103"/>
      <c r="IEO158" s="103"/>
      <c r="IEP158" s="103"/>
      <c r="IEQ158" s="103"/>
      <c r="IER158" s="103"/>
      <c r="IES158" s="103"/>
      <c r="IET158" s="103"/>
      <c r="IEU158" s="103"/>
      <c r="IEV158" s="103"/>
      <c r="IEW158" s="103"/>
      <c r="IEX158" s="103"/>
      <c r="IEY158" s="103"/>
      <c r="IEZ158" s="103"/>
      <c r="IFA158" s="103"/>
      <c r="IFB158" s="103"/>
      <c r="IFC158" s="103"/>
      <c r="IFD158" s="103"/>
      <c r="IFE158" s="103"/>
      <c r="IFF158" s="103"/>
      <c r="IFG158" s="103"/>
      <c r="IFH158" s="103"/>
      <c r="IFI158" s="103"/>
      <c r="IFJ158" s="103"/>
      <c r="IFK158" s="103"/>
      <c r="IFL158" s="103"/>
      <c r="IFM158" s="103"/>
      <c r="IFN158" s="103"/>
      <c r="IFO158" s="103"/>
      <c r="IFP158" s="103"/>
      <c r="IFQ158" s="103"/>
      <c r="IFR158" s="103"/>
      <c r="IFS158" s="103"/>
      <c r="IFT158" s="103"/>
      <c r="IFU158" s="103"/>
      <c r="IFV158" s="103"/>
      <c r="IFW158" s="103"/>
      <c r="IFX158" s="103"/>
      <c r="IFY158" s="103"/>
      <c r="IFZ158" s="103"/>
      <c r="IGA158" s="103"/>
      <c r="IGB158" s="103"/>
      <c r="IGC158" s="103"/>
      <c r="IGD158" s="103"/>
      <c r="IGE158" s="103"/>
      <c r="IGF158" s="103"/>
      <c r="IGG158" s="103"/>
      <c r="IGH158" s="103"/>
      <c r="IGI158" s="103"/>
      <c r="IGJ158" s="103"/>
      <c r="IGK158" s="103"/>
      <c r="IGL158" s="103"/>
      <c r="IGM158" s="103"/>
      <c r="IGN158" s="103"/>
      <c r="IGO158" s="103"/>
      <c r="IGP158" s="103"/>
      <c r="IGQ158" s="103"/>
      <c r="IGR158" s="103"/>
      <c r="IGS158" s="103"/>
      <c r="IGT158" s="103"/>
      <c r="IGU158" s="103"/>
      <c r="IGV158" s="103"/>
      <c r="IGW158" s="103"/>
      <c r="IGX158" s="103"/>
      <c r="IGY158" s="103"/>
      <c r="IGZ158" s="103"/>
      <c r="IHA158" s="103"/>
      <c r="IHB158" s="103"/>
      <c r="IHC158" s="103"/>
      <c r="IHD158" s="103"/>
      <c r="IHE158" s="103"/>
      <c r="IHF158" s="103"/>
      <c r="IHG158" s="103"/>
      <c r="IHH158" s="103"/>
      <c r="IHI158" s="103"/>
      <c r="IHJ158" s="103"/>
      <c r="IHK158" s="103"/>
      <c r="IHL158" s="103"/>
      <c r="IHM158" s="103"/>
      <c r="IHN158" s="103"/>
      <c r="IHO158" s="103"/>
      <c r="IHP158" s="103"/>
      <c r="IHQ158" s="103"/>
      <c r="IHR158" s="103"/>
      <c r="IHS158" s="103"/>
      <c r="IHT158" s="103"/>
      <c r="IHU158" s="103"/>
      <c r="IHV158" s="103"/>
      <c r="IHW158" s="103"/>
      <c r="IHX158" s="103"/>
      <c r="IHY158" s="103"/>
      <c r="IHZ158" s="103"/>
      <c r="IIA158" s="103"/>
      <c r="IIB158" s="103"/>
      <c r="IIC158" s="103"/>
      <c r="IID158" s="103"/>
      <c r="IIE158" s="103"/>
      <c r="IIF158" s="103"/>
      <c r="IIG158" s="103"/>
      <c r="IIH158" s="103"/>
      <c r="III158" s="103"/>
      <c r="IIJ158" s="103"/>
      <c r="IIK158" s="103"/>
      <c r="IIL158" s="103"/>
      <c r="IIM158" s="103"/>
      <c r="IIN158" s="103"/>
      <c r="IIO158" s="103"/>
      <c r="IIP158" s="103"/>
      <c r="IIQ158" s="103"/>
      <c r="IIR158" s="103"/>
      <c r="IIS158" s="103"/>
      <c r="IIT158" s="103"/>
      <c r="IIU158" s="103"/>
      <c r="IIV158" s="103"/>
      <c r="IIW158" s="103"/>
      <c r="IIX158" s="103"/>
      <c r="IIY158" s="103"/>
      <c r="IIZ158" s="103"/>
      <c r="IJA158" s="103"/>
      <c r="IJB158" s="103"/>
      <c r="IJC158" s="103"/>
      <c r="IJD158" s="103"/>
      <c r="IJE158" s="103"/>
      <c r="IJF158" s="103"/>
      <c r="IJG158" s="103"/>
      <c r="IJH158" s="103"/>
      <c r="IJI158" s="103"/>
      <c r="IJJ158" s="103"/>
      <c r="IJK158" s="103"/>
      <c r="IJL158" s="103"/>
      <c r="IJM158" s="103"/>
      <c r="IJN158" s="103"/>
      <c r="IJO158" s="103"/>
      <c r="IJP158" s="103"/>
      <c r="IJQ158" s="103"/>
      <c r="IJR158" s="103"/>
      <c r="IJS158" s="103"/>
      <c r="IJT158" s="103"/>
      <c r="IJU158" s="103"/>
      <c r="IJV158" s="103"/>
      <c r="IJW158" s="103"/>
      <c r="IJX158" s="103"/>
      <c r="IJY158" s="103"/>
      <c r="IJZ158" s="103"/>
      <c r="IKA158" s="103"/>
      <c r="IKB158" s="103"/>
      <c r="IKC158" s="103"/>
      <c r="IKD158" s="103"/>
      <c r="IKE158" s="103"/>
      <c r="IKF158" s="103"/>
      <c r="IKG158" s="103"/>
      <c r="IKH158" s="103"/>
      <c r="IKI158" s="103"/>
      <c r="IKJ158" s="103"/>
      <c r="IKK158" s="103"/>
      <c r="IKL158" s="103"/>
      <c r="IKM158" s="103"/>
      <c r="IKN158" s="103"/>
      <c r="IKO158" s="103"/>
      <c r="IKP158" s="103"/>
      <c r="IKQ158" s="103"/>
      <c r="IKR158" s="103"/>
      <c r="IKS158" s="103"/>
      <c r="IKT158" s="103"/>
      <c r="IKU158" s="103"/>
      <c r="IKV158" s="103"/>
      <c r="IKW158" s="103"/>
      <c r="IKX158" s="103"/>
      <c r="IKY158" s="103"/>
      <c r="IKZ158" s="103"/>
      <c r="ILA158" s="103"/>
      <c r="ILB158" s="103"/>
      <c r="ILC158" s="103"/>
      <c r="ILD158" s="103"/>
      <c r="ILE158" s="103"/>
      <c r="ILF158" s="103"/>
      <c r="ILG158" s="103"/>
      <c r="ILH158" s="103"/>
      <c r="ILI158" s="103"/>
      <c r="ILJ158" s="103"/>
      <c r="ILK158" s="103"/>
      <c r="ILL158" s="103"/>
      <c r="ILM158" s="103"/>
      <c r="ILN158" s="103"/>
      <c r="ILO158" s="103"/>
      <c r="ILP158" s="103"/>
      <c r="ILQ158" s="103"/>
      <c r="ILR158" s="103"/>
      <c r="ILS158" s="103"/>
      <c r="ILT158" s="103"/>
      <c r="ILU158" s="103"/>
      <c r="ILV158" s="103"/>
      <c r="ILW158" s="103"/>
      <c r="ILX158" s="103"/>
      <c r="ILY158" s="103"/>
      <c r="ILZ158" s="103"/>
      <c r="IMA158" s="103"/>
      <c r="IMB158" s="103"/>
      <c r="IMC158" s="103"/>
      <c r="IMD158" s="103"/>
      <c r="IME158" s="103"/>
      <c r="IMF158" s="103"/>
      <c r="IMG158" s="103"/>
      <c r="IMH158" s="103"/>
      <c r="IMI158" s="103"/>
      <c r="IMJ158" s="103"/>
      <c r="IMK158" s="103"/>
      <c r="IML158" s="103"/>
      <c r="IMM158" s="103"/>
      <c r="IMN158" s="103"/>
      <c r="IMO158" s="103"/>
      <c r="IMP158" s="103"/>
      <c r="IMQ158" s="103"/>
      <c r="IMR158" s="103"/>
      <c r="IMS158" s="103"/>
      <c r="IMT158" s="103"/>
      <c r="IMU158" s="103"/>
      <c r="IMV158" s="103"/>
      <c r="IMW158" s="103"/>
      <c r="IMX158" s="103"/>
      <c r="IMY158" s="103"/>
      <c r="IMZ158" s="103"/>
      <c r="INA158" s="103"/>
      <c r="INB158" s="103"/>
      <c r="INC158" s="103"/>
      <c r="IND158" s="103"/>
      <c r="INE158" s="103"/>
      <c r="INF158" s="103"/>
      <c r="ING158" s="103"/>
      <c r="INH158" s="103"/>
      <c r="INI158" s="103"/>
      <c r="INJ158" s="103"/>
      <c r="INK158" s="103"/>
      <c r="INL158" s="103"/>
      <c r="INM158" s="103"/>
      <c r="INN158" s="103"/>
      <c r="INO158" s="103"/>
      <c r="INP158" s="103"/>
      <c r="INQ158" s="103"/>
      <c r="INR158" s="103"/>
      <c r="INS158" s="103"/>
      <c r="INT158" s="103"/>
      <c r="INU158" s="103"/>
      <c r="INV158" s="103"/>
      <c r="INW158" s="103"/>
      <c r="INX158" s="103"/>
      <c r="INY158" s="103"/>
      <c r="INZ158" s="103"/>
      <c r="IOA158" s="103"/>
      <c r="IOB158" s="103"/>
      <c r="IOC158" s="103"/>
      <c r="IOD158" s="103"/>
      <c r="IOE158" s="103"/>
      <c r="IOF158" s="103"/>
      <c r="IOG158" s="103"/>
      <c r="IOH158" s="103"/>
      <c r="IOI158" s="103"/>
      <c r="IOJ158" s="103"/>
      <c r="IOK158" s="103"/>
      <c r="IOL158" s="103"/>
      <c r="IOM158" s="103"/>
      <c r="ION158" s="103"/>
      <c r="IOO158" s="103"/>
      <c r="IOP158" s="103"/>
      <c r="IOQ158" s="103"/>
      <c r="IOR158" s="103"/>
      <c r="IOS158" s="103"/>
      <c r="IOT158" s="103"/>
      <c r="IOU158" s="103"/>
      <c r="IOV158" s="103"/>
      <c r="IOW158" s="103"/>
      <c r="IOX158" s="103"/>
      <c r="IOY158" s="103"/>
      <c r="IOZ158" s="103"/>
      <c r="IPA158" s="103"/>
      <c r="IPB158" s="103"/>
      <c r="IPC158" s="103"/>
      <c r="IPD158" s="103"/>
      <c r="IPE158" s="103"/>
      <c r="IPF158" s="103"/>
      <c r="IPG158" s="103"/>
      <c r="IPH158" s="103"/>
      <c r="IPI158" s="103"/>
      <c r="IPJ158" s="103"/>
      <c r="IPK158" s="103"/>
      <c r="IPL158" s="103"/>
      <c r="IPM158" s="103"/>
      <c r="IPN158" s="103"/>
      <c r="IPO158" s="103"/>
      <c r="IPP158" s="103"/>
      <c r="IPQ158" s="103"/>
      <c r="IPR158" s="103"/>
      <c r="IPS158" s="103"/>
      <c r="IPT158" s="103"/>
      <c r="IPU158" s="103"/>
      <c r="IPV158" s="103"/>
      <c r="IPW158" s="103"/>
      <c r="IPX158" s="103"/>
      <c r="IPY158" s="103"/>
      <c r="IPZ158" s="103"/>
      <c r="IQA158" s="103"/>
      <c r="IQB158" s="103"/>
      <c r="IQC158" s="103"/>
      <c r="IQD158" s="103"/>
      <c r="IQE158" s="103"/>
      <c r="IQF158" s="103"/>
      <c r="IQG158" s="103"/>
      <c r="IQH158" s="103"/>
      <c r="IQI158" s="103"/>
      <c r="IQJ158" s="103"/>
      <c r="IQK158" s="103"/>
      <c r="IQL158" s="103"/>
      <c r="IQM158" s="103"/>
      <c r="IQN158" s="103"/>
      <c r="IQO158" s="103"/>
      <c r="IQP158" s="103"/>
      <c r="IQQ158" s="103"/>
      <c r="IQR158" s="103"/>
      <c r="IQS158" s="103"/>
      <c r="IQT158" s="103"/>
      <c r="IQU158" s="103"/>
      <c r="IQV158" s="103"/>
      <c r="IQW158" s="103"/>
      <c r="IQX158" s="103"/>
      <c r="IQY158" s="103"/>
      <c r="IQZ158" s="103"/>
      <c r="IRA158" s="103"/>
      <c r="IRB158" s="103"/>
      <c r="IRC158" s="103"/>
      <c r="IRD158" s="103"/>
      <c r="IRE158" s="103"/>
      <c r="IRF158" s="103"/>
      <c r="IRG158" s="103"/>
      <c r="IRH158" s="103"/>
      <c r="IRI158" s="103"/>
      <c r="IRJ158" s="103"/>
      <c r="IRK158" s="103"/>
      <c r="IRL158" s="103"/>
      <c r="IRM158" s="103"/>
      <c r="IRN158" s="103"/>
      <c r="IRO158" s="103"/>
      <c r="IRP158" s="103"/>
      <c r="IRQ158" s="103"/>
      <c r="IRR158" s="103"/>
      <c r="IRS158" s="103"/>
      <c r="IRT158" s="103"/>
      <c r="IRU158" s="103"/>
      <c r="IRV158" s="103"/>
      <c r="IRW158" s="103"/>
      <c r="IRX158" s="103"/>
      <c r="IRY158" s="103"/>
      <c r="IRZ158" s="103"/>
      <c r="ISA158" s="103"/>
      <c r="ISB158" s="103"/>
      <c r="ISC158" s="103"/>
      <c r="ISD158" s="103"/>
      <c r="ISE158" s="103"/>
      <c r="ISF158" s="103"/>
      <c r="ISG158" s="103"/>
      <c r="ISH158" s="103"/>
      <c r="ISI158" s="103"/>
      <c r="ISJ158" s="103"/>
      <c r="ISK158" s="103"/>
      <c r="ISL158" s="103"/>
      <c r="ISM158" s="103"/>
      <c r="ISN158" s="103"/>
      <c r="ISO158" s="103"/>
      <c r="ISP158" s="103"/>
      <c r="ISQ158" s="103"/>
      <c r="ISR158" s="103"/>
      <c r="ISS158" s="103"/>
      <c r="IST158" s="103"/>
      <c r="ISU158" s="103"/>
      <c r="ISV158" s="103"/>
      <c r="ISW158" s="103"/>
      <c r="ISX158" s="103"/>
      <c r="ISY158" s="103"/>
      <c r="ISZ158" s="103"/>
      <c r="ITA158" s="103"/>
      <c r="ITB158" s="103"/>
      <c r="ITC158" s="103"/>
      <c r="ITD158" s="103"/>
      <c r="ITE158" s="103"/>
      <c r="ITF158" s="103"/>
      <c r="ITG158" s="103"/>
      <c r="ITH158" s="103"/>
      <c r="ITI158" s="103"/>
      <c r="ITJ158" s="103"/>
      <c r="ITK158" s="103"/>
      <c r="ITL158" s="103"/>
      <c r="ITM158" s="103"/>
      <c r="ITN158" s="103"/>
      <c r="ITO158" s="103"/>
      <c r="ITP158" s="103"/>
      <c r="ITQ158" s="103"/>
      <c r="ITR158" s="103"/>
      <c r="ITS158" s="103"/>
      <c r="ITT158" s="103"/>
      <c r="ITU158" s="103"/>
      <c r="ITV158" s="103"/>
      <c r="ITW158" s="103"/>
      <c r="ITX158" s="103"/>
      <c r="ITY158" s="103"/>
      <c r="ITZ158" s="103"/>
      <c r="IUA158" s="103"/>
      <c r="IUB158" s="103"/>
      <c r="IUC158" s="103"/>
      <c r="IUD158" s="103"/>
      <c r="IUE158" s="103"/>
      <c r="IUF158" s="103"/>
      <c r="IUG158" s="103"/>
      <c r="IUH158" s="103"/>
      <c r="IUI158" s="103"/>
      <c r="IUJ158" s="103"/>
      <c r="IUK158" s="103"/>
      <c r="IUL158" s="103"/>
      <c r="IUM158" s="103"/>
      <c r="IUN158" s="103"/>
      <c r="IUO158" s="103"/>
      <c r="IUP158" s="103"/>
      <c r="IUQ158" s="103"/>
      <c r="IUR158" s="103"/>
      <c r="IUS158" s="103"/>
      <c r="IUT158" s="103"/>
      <c r="IUU158" s="103"/>
      <c r="IUV158" s="103"/>
      <c r="IUW158" s="103"/>
      <c r="IUX158" s="103"/>
      <c r="IUY158" s="103"/>
      <c r="IUZ158" s="103"/>
      <c r="IVA158" s="103"/>
      <c r="IVB158" s="103"/>
      <c r="IVC158" s="103"/>
      <c r="IVD158" s="103"/>
      <c r="IVE158" s="103"/>
      <c r="IVF158" s="103"/>
      <c r="IVG158" s="103"/>
      <c r="IVH158" s="103"/>
      <c r="IVI158" s="103"/>
      <c r="IVJ158" s="103"/>
      <c r="IVK158" s="103"/>
      <c r="IVL158" s="103"/>
      <c r="IVM158" s="103"/>
      <c r="IVN158" s="103"/>
      <c r="IVO158" s="103"/>
      <c r="IVP158" s="103"/>
      <c r="IVQ158" s="103"/>
      <c r="IVR158" s="103"/>
      <c r="IVS158" s="103"/>
      <c r="IVT158" s="103"/>
      <c r="IVU158" s="103"/>
      <c r="IVV158" s="103"/>
      <c r="IVW158" s="103"/>
      <c r="IVX158" s="103"/>
      <c r="IVY158" s="103"/>
      <c r="IVZ158" s="103"/>
      <c r="IWA158" s="103"/>
      <c r="IWB158" s="103"/>
      <c r="IWC158" s="103"/>
      <c r="IWD158" s="103"/>
      <c r="IWE158" s="103"/>
      <c r="IWF158" s="103"/>
      <c r="IWG158" s="103"/>
      <c r="IWH158" s="103"/>
      <c r="IWI158" s="103"/>
      <c r="IWJ158" s="103"/>
      <c r="IWK158" s="103"/>
      <c r="IWL158" s="103"/>
      <c r="IWM158" s="103"/>
      <c r="IWN158" s="103"/>
      <c r="IWO158" s="103"/>
      <c r="IWP158" s="103"/>
      <c r="IWQ158" s="103"/>
      <c r="IWR158" s="103"/>
      <c r="IWS158" s="103"/>
      <c r="IWT158" s="103"/>
      <c r="IWU158" s="103"/>
      <c r="IWV158" s="103"/>
      <c r="IWW158" s="103"/>
      <c r="IWX158" s="103"/>
      <c r="IWY158" s="103"/>
      <c r="IWZ158" s="103"/>
      <c r="IXA158" s="103"/>
      <c r="IXB158" s="103"/>
      <c r="IXC158" s="103"/>
      <c r="IXD158" s="103"/>
      <c r="IXE158" s="103"/>
      <c r="IXF158" s="103"/>
      <c r="IXG158" s="103"/>
      <c r="IXH158" s="103"/>
      <c r="IXI158" s="103"/>
      <c r="IXJ158" s="103"/>
      <c r="IXK158" s="103"/>
      <c r="IXL158" s="103"/>
      <c r="IXM158" s="103"/>
      <c r="IXN158" s="103"/>
      <c r="IXO158" s="103"/>
      <c r="IXP158" s="103"/>
      <c r="IXQ158" s="103"/>
      <c r="IXR158" s="103"/>
      <c r="IXS158" s="103"/>
      <c r="IXT158" s="103"/>
      <c r="IXU158" s="103"/>
      <c r="IXV158" s="103"/>
      <c r="IXW158" s="103"/>
      <c r="IXX158" s="103"/>
      <c r="IXY158" s="103"/>
      <c r="IXZ158" s="103"/>
      <c r="IYA158" s="103"/>
      <c r="IYB158" s="103"/>
      <c r="IYC158" s="103"/>
      <c r="IYD158" s="103"/>
      <c r="IYE158" s="103"/>
      <c r="IYF158" s="103"/>
      <c r="IYG158" s="103"/>
      <c r="IYH158" s="103"/>
      <c r="IYI158" s="103"/>
      <c r="IYJ158" s="103"/>
      <c r="IYK158" s="103"/>
      <c r="IYL158" s="103"/>
      <c r="IYM158" s="103"/>
      <c r="IYN158" s="103"/>
      <c r="IYO158" s="103"/>
      <c r="IYP158" s="103"/>
      <c r="IYQ158" s="103"/>
      <c r="IYR158" s="103"/>
      <c r="IYS158" s="103"/>
      <c r="IYT158" s="103"/>
      <c r="IYU158" s="103"/>
      <c r="IYV158" s="103"/>
      <c r="IYW158" s="103"/>
      <c r="IYX158" s="103"/>
      <c r="IYY158" s="103"/>
      <c r="IYZ158" s="103"/>
      <c r="IZA158" s="103"/>
      <c r="IZB158" s="103"/>
      <c r="IZC158" s="103"/>
      <c r="IZD158" s="103"/>
      <c r="IZE158" s="103"/>
      <c r="IZF158" s="103"/>
      <c r="IZG158" s="103"/>
      <c r="IZH158" s="103"/>
      <c r="IZI158" s="103"/>
      <c r="IZJ158" s="103"/>
      <c r="IZK158" s="103"/>
      <c r="IZL158" s="103"/>
      <c r="IZM158" s="103"/>
      <c r="IZN158" s="103"/>
      <c r="IZO158" s="103"/>
      <c r="IZP158" s="103"/>
      <c r="IZQ158" s="103"/>
      <c r="IZR158" s="103"/>
      <c r="IZS158" s="103"/>
      <c r="IZT158" s="103"/>
      <c r="IZU158" s="103"/>
      <c r="IZV158" s="103"/>
      <c r="IZW158" s="103"/>
      <c r="IZX158" s="103"/>
      <c r="IZY158" s="103"/>
      <c r="IZZ158" s="103"/>
      <c r="JAA158" s="103"/>
      <c r="JAB158" s="103"/>
      <c r="JAC158" s="103"/>
      <c r="JAD158" s="103"/>
      <c r="JAE158" s="103"/>
      <c r="JAF158" s="103"/>
      <c r="JAG158" s="103"/>
      <c r="JAH158" s="103"/>
      <c r="JAI158" s="103"/>
      <c r="JAJ158" s="103"/>
      <c r="JAK158" s="103"/>
      <c r="JAL158" s="103"/>
      <c r="JAM158" s="103"/>
      <c r="JAN158" s="103"/>
      <c r="JAO158" s="103"/>
      <c r="JAP158" s="103"/>
      <c r="JAQ158" s="103"/>
      <c r="JAR158" s="103"/>
      <c r="JAS158" s="103"/>
      <c r="JAT158" s="103"/>
      <c r="JAU158" s="103"/>
      <c r="JAV158" s="103"/>
      <c r="JAW158" s="103"/>
      <c r="JAX158" s="103"/>
      <c r="JAY158" s="103"/>
      <c r="JAZ158" s="103"/>
      <c r="JBA158" s="103"/>
      <c r="JBB158" s="103"/>
      <c r="JBC158" s="103"/>
      <c r="JBD158" s="103"/>
      <c r="JBE158" s="103"/>
      <c r="JBF158" s="103"/>
      <c r="JBG158" s="103"/>
      <c r="JBH158" s="103"/>
      <c r="JBI158" s="103"/>
      <c r="JBJ158" s="103"/>
      <c r="JBK158" s="103"/>
      <c r="JBL158" s="103"/>
      <c r="JBM158" s="103"/>
      <c r="JBN158" s="103"/>
      <c r="JBO158" s="103"/>
      <c r="JBP158" s="103"/>
      <c r="JBQ158" s="103"/>
      <c r="JBR158" s="103"/>
      <c r="JBS158" s="103"/>
      <c r="JBT158" s="103"/>
      <c r="JBU158" s="103"/>
      <c r="JBV158" s="103"/>
      <c r="JBW158" s="103"/>
      <c r="JBX158" s="103"/>
      <c r="JBY158" s="103"/>
      <c r="JBZ158" s="103"/>
      <c r="JCA158" s="103"/>
      <c r="JCB158" s="103"/>
      <c r="JCC158" s="103"/>
      <c r="JCD158" s="103"/>
      <c r="JCE158" s="103"/>
      <c r="JCF158" s="103"/>
      <c r="JCG158" s="103"/>
      <c r="JCH158" s="103"/>
      <c r="JCI158" s="103"/>
      <c r="JCJ158" s="103"/>
      <c r="JCK158" s="103"/>
      <c r="JCL158" s="103"/>
      <c r="JCM158" s="103"/>
      <c r="JCN158" s="103"/>
      <c r="JCO158" s="103"/>
      <c r="JCP158" s="103"/>
      <c r="JCQ158" s="103"/>
      <c r="JCR158" s="103"/>
      <c r="JCS158" s="103"/>
      <c r="JCT158" s="103"/>
      <c r="JCU158" s="103"/>
      <c r="JCV158" s="103"/>
      <c r="JCW158" s="103"/>
      <c r="JCX158" s="103"/>
      <c r="JCY158" s="103"/>
      <c r="JCZ158" s="103"/>
      <c r="JDA158" s="103"/>
      <c r="JDB158" s="103"/>
      <c r="JDC158" s="103"/>
      <c r="JDD158" s="103"/>
      <c r="JDE158" s="103"/>
      <c r="JDF158" s="103"/>
      <c r="JDG158" s="103"/>
      <c r="JDH158" s="103"/>
      <c r="JDI158" s="103"/>
      <c r="JDJ158" s="103"/>
      <c r="JDK158" s="103"/>
      <c r="JDL158" s="103"/>
      <c r="JDM158" s="103"/>
      <c r="JDN158" s="103"/>
      <c r="JDO158" s="103"/>
      <c r="JDP158" s="103"/>
      <c r="JDQ158" s="103"/>
      <c r="JDR158" s="103"/>
      <c r="JDS158" s="103"/>
      <c r="JDT158" s="103"/>
      <c r="JDU158" s="103"/>
      <c r="JDV158" s="103"/>
      <c r="JDW158" s="103"/>
      <c r="JDX158" s="103"/>
      <c r="JDY158" s="103"/>
      <c r="JDZ158" s="103"/>
      <c r="JEA158" s="103"/>
      <c r="JEB158" s="103"/>
      <c r="JEC158" s="103"/>
      <c r="JED158" s="103"/>
      <c r="JEE158" s="103"/>
      <c r="JEF158" s="103"/>
      <c r="JEG158" s="103"/>
      <c r="JEH158" s="103"/>
      <c r="JEI158" s="103"/>
      <c r="JEJ158" s="103"/>
      <c r="JEK158" s="103"/>
      <c r="JEL158" s="103"/>
      <c r="JEM158" s="103"/>
      <c r="JEN158" s="103"/>
      <c r="JEO158" s="103"/>
      <c r="JEP158" s="103"/>
      <c r="JEQ158" s="103"/>
      <c r="JER158" s="103"/>
      <c r="JES158" s="103"/>
      <c r="JET158" s="103"/>
      <c r="JEU158" s="103"/>
      <c r="JEV158" s="103"/>
      <c r="JEW158" s="103"/>
      <c r="JEX158" s="103"/>
      <c r="JEY158" s="103"/>
      <c r="JEZ158" s="103"/>
      <c r="JFA158" s="103"/>
      <c r="JFB158" s="103"/>
      <c r="JFC158" s="103"/>
      <c r="JFD158" s="103"/>
      <c r="JFE158" s="103"/>
      <c r="JFF158" s="103"/>
      <c r="JFG158" s="103"/>
      <c r="JFH158" s="103"/>
      <c r="JFI158" s="103"/>
      <c r="JFJ158" s="103"/>
      <c r="JFK158" s="103"/>
      <c r="JFL158" s="103"/>
      <c r="JFM158" s="103"/>
      <c r="JFN158" s="103"/>
      <c r="JFO158" s="103"/>
      <c r="JFP158" s="103"/>
      <c r="JFQ158" s="103"/>
      <c r="JFR158" s="103"/>
      <c r="JFS158" s="103"/>
      <c r="JFT158" s="103"/>
      <c r="JFU158" s="103"/>
      <c r="JFV158" s="103"/>
      <c r="JFW158" s="103"/>
      <c r="JFX158" s="103"/>
      <c r="JFY158" s="103"/>
      <c r="JFZ158" s="103"/>
      <c r="JGA158" s="103"/>
      <c r="JGB158" s="103"/>
      <c r="JGC158" s="103"/>
      <c r="JGD158" s="103"/>
      <c r="JGE158" s="103"/>
      <c r="JGF158" s="103"/>
      <c r="JGG158" s="103"/>
      <c r="JGH158" s="103"/>
      <c r="JGI158" s="103"/>
      <c r="JGJ158" s="103"/>
      <c r="JGK158" s="103"/>
      <c r="JGL158" s="103"/>
      <c r="JGM158" s="103"/>
      <c r="JGN158" s="103"/>
      <c r="JGO158" s="103"/>
      <c r="JGP158" s="103"/>
      <c r="JGQ158" s="103"/>
      <c r="JGR158" s="103"/>
      <c r="JGS158" s="103"/>
      <c r="JGT158" s="103"/>
      <c r="JGU158" s="103"/>
      <c r="JGV158" s="103"/>
      <c r="JGW158" s="103"/>
      <c r="JGX158" s="103"/>
      <c r="JGY158" s="103"/>
      <c r="JGZ158" s="103"/>
      <c r="JHA158" s="103"/>
      <c r="JHB158" s="103"/>
      <c r="JHC158" s="103"/>
      <c r="JHD158" s="103"/>
      <c r="JHE158" s="103"/>
      <c r="JHF158" s="103"/>
      <c r="JHG158" s="103"/>
      <c r="JHH158" s="103"/>
      <c r="JHI158" s="103"/>
      <c r="JHJ158" s="103"/>
      <c r="JHK158" s="103"/>
      <c r="JHL158" s="103"/>
      <c r="JHM158" s="103"/>
      <c r="JHN158" s="103"/>
      <c r="JHO158" s="103"/>
      <c r="JHP158" s="103"/>
      <c r="JHQ158" s="103"/>
      <c r="JHR158" s="103"/>
      <c r="JHS158" s="103"/>
      <c r="JHT158" s="103"/>
      <c r="JHU158" s="103"/>
      <c r="JHV158" s="103"/>
      <c r="JHW158" s="103"/>
      <c r="JHX158" s="103"/>
      <c r="JHY158" s="103"/>
      <c r="JHZ158" s="103"/>
      <c r="JIA158" s="103"/>
      <c r="JIB158" s="103"/>
      <c r="JIC158" s="103"/>
      <c r="JID158" s="103"/>
      <c r="JIE158" s="103"/>
      <c r="JIF158" s="103"/>
      <c r="JIG158" s="103"/>
      <c r="JIH158" s="103"/>
      <c r="JII158" s="103"/>
      <c r="JIJ158" s="103"/>
      <c r="JIK158" s="103"/>
      <c r="JIL158" s="103"/>
      <c r="JIM158" s="103"/>
      <c r="JIN158" s="103"/>
      <c r="JIO158" s="103"/>
      <c r="JIP158" s="103"/>
      <c r="JIQ158" s="103"/>
      <c r="JIR158" s="103"/>
      <c r="JIS158" s="103"/>
      <c r="JIT158" s="103"/>
      <c r="JIU158" s="103"/>
      <c r="JIV158" s="103"/>
      <c r="JIW158" s="103"/>
      <c r="JIX158" s="103"/>
      <c r="JIY158" s="103"/>
      <c r="JIZ158" s="103"/>
      <c r="JJA158" s="103"/>
      <c r="JJB158" s="103"/>
      <c r="JJC158" s="103"/>
      <c r="JJD158" s="103"/>
      <c r="JJE158" s="103"/>
      <c r="JJF158" s="103"/>
      <c r="JJG158" s="103"/>
      <c r="JJH158" s="103"/>
      <c r="JJI158" s="103"/>
      <c r="JJJ158" s="103"/>
      <c r="JJK158" s="103"/>
      <c r="JJL158" s="103"/>
      <c r="JJM158" s="103"/>
      <c r="JJN158" s="103"/>
      <c r="JJO158" s="103"/>
      <c r="JJP158" s="103"/>
      <c r="JJQ158" s="103"/>
      <c r="JJR158" s="103"/>
      <c r="JJS158" s="103"/>
      <c r="JJT158" s="103"/>
      <c r="JJU158" s="103"/>
      <c r="JJV158" s="103"/>
      <c r="JJW158" s="103"/>
      <c r="JJX158" s="103"/>
      <c r="JJY158" s="103"/>
      <c r="JJZ158" s="103"/>
      <c r="JKA158" s="103"/>
      <c r="JKB158" s="103"/>
      <c r="JKC158" s="103"/>
      <c r="JKD158" s="103"/>
      <c r="JKE158" s="103"/>
      <c r="JKF158" s="103"/>
      <c r="JKG158" s="103"/>
      <c r="JKH158" s="103"/>
      <c r="JKI158" s="103"/>
      <c r="JKJ158" s="103"/>
      <c r="JKK158" s="103"/>
      <c r="JKL158" s="103"/>
      <c r="JKM158" s="103"/>
      <c r="JKN158" s="103"/>
      <c r="JKO158" s="103"/>
      <c r="JKP158" s="103"/>
      <c r="JKQ158" s="103"/>
      <c r="JKR158" s="103"/>
      <c r="JKS158" s="103"/>
      <c r="JKT158" s="103"/>
      <c r="JKU158" s="103"/>
      <c r="JKV158" s="103"/>
      <c r="JKW158" s="103"/>
      <c r="JKX158" s="103"/>
      <c r="JKY158" s="103"/>
      <c r="JKZ158" s="103"/>
      <c r="JLA158" s="103"/>
      <c r="JLB158" s="103"/>
      <c r="JLC158" s="103"/>
      <c r="JLD158" s="103"/>
      <c r="JLE158" s="103"/>
      <c r="JLF158" s="103"/>
      <c r="JLG158" s="103"/>
      <c r="JLH158" s="103"/>
      <c r="JLI158" s="103"/>
      <c r="JLJ158" s="103"/>
      <c r="JLK158" s="103"/>
      <c r="JLL158" s="103"/>
      <c r="JLM158" s="103"/>
      <c r="JLN158" s="103"/>
      <c r="JLO158" s="103"/>
      <c r="JLP158" s="103"/>
      <c r="JLQ158" s="103"/>
      <c r="JLR158" s="103"/>
      <c r="JLS158" s="103"/>
      <c r="JLT158" s="103"/>
      <c r="JLU158" s="103"/>
      <c r="JLV158" s="103"/>
      <c r="JLW158" s="103"/>
      <c r="JLX158" s="103"/>
      <c r="JLY158" s="103"/>
      <c r="JLZ158" s="103"/>
      <c r="JMA158" s="103"/>
      <c r="JMB158" s="103"/>
      <c r="JMC158" s="103"/>
      <c r="JMD158" s="103"/>
      <c r="JME158" s="103"/>
      <c r="JMF158" s="103"/>
      <c r="JMG158" s="103"/>
      <c r="JMH158" s="103"/>
      <c r="JMI158" s="103"/>
      <c r="JMJ158" s="103"/>
      <c r="JMK158" s="103"/>
      <c r="JML158" s="103"/>
      <c r="JMM158" s="103"/>
      <c r="JMN158" s="103"/>
      <c r="JMO158" s="103"/>
      <c r="JMP158" s="103"/>
      <c r="JMQ158" s="103"/>
      <c r="JMR158" s="103"/>
      <c r="JMS158" s="103"/>
      <c r="JMT158" s="103"/>
      <c r="JMU158" s="103"/>
      <c r="JMV158" s="103"/>
      <c r="JMW158" s="103"/>
      <c r="JMX158" s="103"/>
      <c r="JMY158" s="103"/>
      <c r="JMZ158" s="103"/>
      <c r="JNA158" s="103"/>
      <c r="JNB158" s="103"/>
      <c r="JNC158" s="103"/>
      <c r="JND158" s="103"/>
      <c r="JNE158" s="103"/>
      <c r="JNF158" s="103"/>
      <c r="JNG158" s="103"/>
      <c r="JNH158" s="103"/>
      <c r="JNI158" s="103"/>
      <c r="JNJ158" s="103"/>
      <c r="JNK158" s="103"/>
      <c r="JNL158" s="103"/>
      <c r="JNM158" s="103"/>
      <c r="JNN158" s="103"/>
      <c r="JNO158" s="103"/>
      <c r="JNP158" s="103"/>
      <c r="JNQ158" s="103"/>
      <c r="JNR158" s="103"/>
      <c r="JNS158" s="103"/>
      <c r="JNT158" s="103"/>
      <c r="JNU158" s="103"/>
      <c r="JNV158" s="103"/>
      <c r="JNW158" s="103"/>
      <c r="JNX158" s="103"/>
      <c r="JNY158" s="103"/>
      <c r="JNZ158" s="103"/>
      <c r="JOA158" s="103"/>
      <c r="JOB158" s="103"/>
      <c r="JOC158" s="103"/>
      <c r="JOD158" s="103"/>
      <c r="JOE158" s="103"/>
      <c r="JOF158" s="103"/>
      <c r="JOG158" s="103"/>
      <c r="JOH158" s="103"/>
      <c r="JOI158" s="103"/>
      <c r="JOJ158" s="103"/>
      <c r="JOK158" s="103"/>
      <c r="JOL158" s="103"/>
      <c r="JOM158" s="103"/>
      <c r="JON158" s="103"/>
      <c r="JOO158" s="103"/>
      <c r="JOP158" s="103"/>
      <c r="JOQ158" s="103"/>
      <c r="JOR158" s="103"/>
      <c r="JOS158" s="103"/>
      <c r="JOT158" s="103"/>
      <c r="JOU158" s="103"/>
      <c r="JOV158" s="103"/>
      <c r="JOW158" s="103"/>
      <c r="JOX158" s="103"/>
      <c r="JOY158" s="103"/>
      <c r="JOZ158" s="103"/>
      <c r="JPA158" s="103"/>
      <c r="JPB158" s="103"/>
      <c r="JPC158" s="103"/>
      <c r="JPD158" s="103"/>
      <c r="JPE158" s="103"/>
      <c r="JPF158" s="103"/>
      <c r="JPG158" s="103"/>
      <c r="JPH158" s="103"/>
      <c r="JPI158" s="103"/>
      <c r="JPJ158" s="103"/>
      <c r="JPK158" s="103"/>
      <c r="JPL158" s="103"/>
      <c r="JPM158" s="103"/>
      <c r="JPN158" s="103"/>
      <c r="JPO158" s="103"/>
      <c r="JPP158" s="103"/>
      <c r="JPQ158" s="103"/>
      <c r="JPR158" s="103"/>
      <c r="JPS158" s="103"/>
      <c r="JPT158" s="103"/>
      <c r="JPU158" s="103"/>
      <c r="JPV158" s="103"/>
      <c r="JPW158" s="103"/>
      <c r="JPX158" s="103"/>
      <c r="JPY158" s="103"/>
      <c r="JPZ158" s="103"/>
      <c r="JQA158" s="103"/>
      <c r="JQB158" s="103"/>
      <c r="JQC158" s="103"/>
      <c r="JQD158" s="103"/>
      <c r="JQE158" s="103"/>
      <c r="JQF158" s="103"/>
      <c r="JQG158" s="103"/>
      <c r="JQH158" s="103"/>
      <c r="JQI158" s="103"/>
      <c r="JQJ158" s="103"/>
      <c r="JQK158" s="103"/>
      <c r="JQL158" s="103"/>
      <c r="JQM158" s="103"/>
      <c r="JQN158" s="103"/>
      <c r="JQO158" s="103"/>
      <c r="JQP158" s="103"/>
      <c r="JQQ158" s="103"/>
      <c r="JQR158" s="103"/>
      <c r="JQS158" s="103"/>
      <c r="JQT158" s="103"/>
      <c r="JQU158" s="103"/>
      <c r="JQV158" s="103"/>
      <c r="JQW158" s="103"/>
      <c r="JQX158" s="103"/>
      <c r="JQY158" s="103"/>
      <c r="JQZ158" s="103"/>
      <c r="JRA158" s="103"/>
      <c r="JRB158" s="103"/>
      <c r="JRC158" s="103"/>
      <c r="JRD158" s="103"/>
      <c r="JRE158" s="103"/>
      <c r="JRF158" s="103"/>
      <c r="JRG158" s="103"/>
      <c r="JRH158" s="103"/>
      <c r="JRI158" s="103"/>
      <c r="JRJ158" s="103"/>
      <c r="JRK158" s="103"/>
      <c r="JRL158" s="103"/>
      <c r="JRM158" s="103"/>
      <c r="JRN158" s="103"/>
      <c r="JRO158" s="103"/>
      <c r="JRP158" s="103"/>
      <c r="JRQ158" s="103"/>
      <c r="JRR158" s="103"/>
      <c r="JRS158" s="103"/>
      <c r="JRT158" s="103"/>
      <c r="JRU158" s="103"/>
      <c r="JRV158" s="103"/>
      <c r="JRW158" s="103"/>
      <c r="JRX158" s="103"/>
      <c r="JRY158" s="103"/>
      <c r="JRZ158" s="103"/>
      <c r="JSA158" s="103"/>
      <c r="JSB158" s="103"/>
      <c r="JSC158" s="103"/>
      <c r="JSD158" s="103"/>
      <c r="JSE158" s="103"/>
      <c r="JSF158" s="103"/>
      <c r="JSG158" s="103"/>
      <c r="JSH158" s="103"/>
      <c r="JSI158" s="103"/>
      <c r="JSJ158" s="103"/>
      <c r="JSK158" s="103"/>
      <c r="JSL158" s="103"/>
      <c r="JSM158" s="103"/>
      <c r="JSN158" s="103"/>
      <c r="JSO158" s="103"/>
      <c r="JSP158" s="103"/>
      <c r="JSQ158" s="103"/>
      <c r="JSR158" s="103"/>
      <c r="JSS158" s="103"/>
      <c r="JST158" s="103"/>
      <c r="JSU158" s="103"/>
      <c r="JSV158" s="103"/>
      <c r="JSW158" s="103"/>
      <c r="JSX158" s="103"/>
      <c r="JSY158" s="103"/>
      <c r="JSZ158" s="103"/>
      <c r="JTA158" s="103"/>
      <c r="JTB158" s="103"/>
      <c r="JTC158" s="103"/>
      <c r="JTD158" s="103"/>
      <c r="JTE158" s="103"/>
      <c r="JTF158" s="103"/>
      <c r="JTG158" s="103"/>
      <c r="JTH158" s="103"/>
      <c r="JTI158" s="103"/>
      <c r="JTJ158" s="103"/>
      <c r="JTK158" s="103"/>
      <c r="JTL158" s="103"/>
      <c r="JTM158" s="103"/>
      <c r="JTN158" s="103"/>
      <c r="JTO158" s="103"/>
      <c r="JTP158" s="103"/>
      <c r="JTQ158" s="103"/>
      <c r="JTR158" s="103"/>
      <c r="JTS158" s="103"/>
      <c r="JTT158" s="103"/>
      <c r="JTU158" s="103"/>
      <c r="JTV158" s="103"/>
      <c r="JTW158" s="103"/>
      <c r="JTX158" s="103"/>
      <c r="JTY158" s="103"/>
      <c r="JTZ158" s="103"/>
      <c r="JUA158" s="103"/>
      <c r="JUB158" s="103"/>
      <c r="JUC158" s="103"/>
      <c r="JUD158" s="103"/>
      <c r="JUE158" s="103"/>
      <c r="JUF158" s="103"/>
      <c r="JUG158" s="103"/>
      <c r="JUH158" s="103"/>
      <c r="JUI158" s="103"/>
      <c r="JUJ158" s="103"/>
      <c r="JUK158" s="103"/>
      <c r="JUL158" s="103"/>
      <c r="JUM158" s="103"/>
      <c r="JUN158" s="103"/>
      <c r="JUO158" s="103"/>
      <c r="JUP158" s="103"/>
      <c r="JUQ158" s="103"/>
      <c r="JUR158" s="103"/>
      <c r="JUS158" s="103"/>
      <c r="JUT158" s="103"/>
      <c r="JUU158" s="103"/>
      <c r="JUV158" s="103"/>
      <c r="JUW158" s="103"/>
      <c r="JUX158" s="103"/>
      <c r="JUY158" s="103"/>
      <c r="JUZ158" s="103"/>
      <c r="JVA158" s="103"/>
      <c r="JVB158" s="103"/>
      <c r="JVC158" s="103"/>
      <c r="JVD158" s="103"/>
      <c r="JVE158" s="103"/>
      <c r="JVF158" s="103"/>
      <c r="JVG158" s="103"/>
      <c r="JVH158" s="103"/>
      <c r="JVI158" s="103"/>
      <c r="JVJ158" s="103"/>
      <c r="JVK158" s="103"/>
      <c r="JVL158" s="103"/>
      <c r="JVM158" s="103"/>
      <c r="JVN158" s="103"/>
      <c r="JVO158" s="103"/>
      <c r="JVP158" s="103"/>
      <c r="JVQ158" s="103"/>
      <c r="JVR158" s="103"/>
      <c r="JVS158" s="103"/>
      <c r="JVT158" s="103"/>
      <c r="JVU158" s="103"/>
      <c r="JVV158" s="103"/>
      <c r="JVW158" s="103"/>
      <c r="JVX158" s="103"/>
      <c r="JVY158" s="103"/>
      <c r="JVZ158" s="103"/>
      <c r="JWA158" s="103"/>
      <c r="JWB158" s="103"/>
      <c r="JWC158" s="103"/>
      <c r="JWD158" s="103"/>
      <c r="JWE158" s="103"/>
      <c r="JWF158" s="103"/>
      <c r="JWG158" s="103"/>
      <c r="JWH158" s="103"/>
      <c r="JWI158" s="103"/>
      <c r="JWJ158" s="103"/>
      <c r="JWK158" s="103"/>
      <c r="JWL158" s="103"/>
      <c r="JWM158" s="103"/>
      <c r="JWN158" s="103"/>
      <c r="JWO158" s="103"/>
      <c r="JWP158" s="103"/>
      <c r="JWQ158" s="103"/>
      <c r="JWR158" s="103"/>
      <c r="JWS158" s="103"/>
      <c r="JWT158" s="103"/>
      <c r="JWU158" s="103"/>
      <c r="JWV158" s="103"/>
      <c r="JWW158" s="103"/>
      <c r="JWX158" s="103"/>
      <c r="JWY158" s="103"/>
      <c r="JWZ158" s="103"/>
      <c r="JXA158" s="103"/>
      <c r="JXB158" s="103"/>
      <c r="JXC158" s="103"/>
      <c r="JXD158" s="103"/>
      <c r="JXE158" s="103"/>
      <c r="JXF158" s="103"/>
      <c r="JXG158" s="103"/>
      <c r="JXH158" s="103"/>
      <c r="JXI158" s="103"/>
      <c r="JXJ158" s="103"/>
      <c r="JXK158" s="103"/>
      <c r="JXL158" s="103"/>
      <c r="JXM158" s="103"/>
      <c r="JXN158" s="103"/>
      <c r="JXO158" s="103"/>
      <c r="JXP158" s="103"/>
      <c r="JXQ158" s="103"/>
      <c r="JXR158" s="103"/>
      <c r="JXS158" s="103"/>
      <c r="JXT158" s="103"/>
      <c r="JXU158" s="103"/>
      <c r="JXV158" s="103"/>
      <c r="JXW158" s="103"/>
      <c r="JXX158" s="103"/>
      <c r="JXY158" s="103"/>
      <c r="JXZ158" s="103"/>
      <c r="JYA158" s="103"/>
      <c r="JYB158" s="103"/>
      <c r="JYC158" s="103"/>
      <c r="JYD158" s="103"/>
      <c r="JYE158" s="103"/>
      <c r="JYF158" s="103"/>
      <c r="JYG158" s="103"/>
      <c r="JYH158" s="103"/>
      <c r="JYI158" s="103"/>
      <c r="JYJ158" s="103"/>
      <c r="JYK158" s="103"/>
      <c r="JYL158" s="103"/>
      <c r="JYM158" s="103"/>
      <c r="JYN158" s="103"/>
      <c r="JYO158" s="103"/>
      <c r="JYP158" s="103"/>
      <c r="JYQ158" s="103"/>
      <c r="JYR158" s="103"/>
      <c r="JYS158" s="103"/>
      <c r="JYT158" s="103"/>
      <c r="JYU158" s="103"/>
      <c r="JYV158" s="103"/>
      <c r="JYW158" s="103"/>
      <c r="JYX158" s="103"/>
      <c r="JYY158" s="103"/>
      <c r="JYZ158" s="103"/>
      <c r="JZA158" s="103"/>
      <c r="JZB158" s="103"/>
      <c r="JZC158" s="103"/>
      <c r="JZD158" s="103"/>
      <c r="JZE158" s="103"/>
      <c r="JZF158" s="103"/>
      <c r="JZG158" s="103"/>
      <c r="JZH158" s="103"/>
      <c r="JZI158" s="103"/>
      <c r="JZJ158" s="103"/>
      <c r="JZK158" s="103"/>
      <c r="JZL158" s="103"/>
      <c r="JZM158" s="103"/>
      <c r="JZN158" s="103"/>
      <c r="JZO158" s="103"/>
      <c r="JZP158" s="103"/>
      <c r="JZQ158" s="103"/>
      <c r="JZR158" s="103"/>
      <c r="JZS158" s="103"/>
      <c r="JZT158" s="103"/>
      <c r="JZU158" s="103"/>
      <c r="JZV158" s="103"/>
      <c r="JZW158" s="103"/>
      <c r="JZX158" s="103"/>
      <c r="JZY158" s="103"/>
      <c r="JZZ158" s="103"/>
      <c r="KAA158" s="103"/>
      <c r="KAB158" s="103"/>
      <c r="KAC158" s="103"/>
      <c r="KAD158" s="103"/>
      <c r="KAE158" s="103"/>
      <c r="KAF158" s="103"/>
      <c r="KAG158" s="103"/>
      <c r="KAH158" s="103"/>
      <c r="KAI158" s="103"/>
      <c r="KAJ158" s="103"/>
      <c r="KAK158" s="103"/>
      <c r="KAL158" s="103"/>
      <c r="KAM158" s="103"/>
      <c r="KAN158" s="103"/>
      <c r="KAO158" s="103"/>
      <c r="KAP158" s="103"/>
      <c r="KAQ158" s="103"/>
      <c r="KAR158" s="103"/>
      <c r="KAS158" s="103"/>
      <c r="KAT158" s="103"/>
      <c r="KAU158" s="103"/>
      <c r="KAV158" s="103"/>
      <c r="KAW158" s="103"/>
      <c r="KAX158" s="103"/>
      <c r="KAY158" s="103"/>
      <c r="KAZ158" s="103"/>
      <c r="KBA158" s="103"/>
      <c r="KBB158" s="103"/>
      <c r="KBC158" s="103"/>
      <c r="KBD158" s="103"/>
      <c r="KBE158" s="103"/>
      <c r="KBF158" s="103"/>
      <c r="KBG158" s="103"/>
      <c r="KBH158" s="103"/>
      <c r="KBI158" s="103"/>
      <c r="KBJ158" s="103"/>
      <c r="KBK158" s="103"/>
      <c r="KBL158" s="103"/>
      <c r="KBM158" s="103"/>
      <c r="KBN158" s="103"/>
      <c r="KBO158" s="103"/>
      <c r="KBP158" s="103"/>
      <c r="KBQ158" s="103"/>
      <c r="KBR158" s="103"/>
      <c r="KBS158" s="103"/>
      <c r="KBT158" s="103"/>
      <c r="KBU158" s="103"/>
      <c r="KBV158" s="103"/>
      <c r="KBW158" s="103"/>
      <c r="KBX158" s="103"/>
      <c r="KBY158" s="103"/>
      <c r="KBZ158" s="103"/>
      <c r="KCA158" s="103"/>
      <c r="KCB158" s="103"/>
      <c r="KCC158" s="103"/>
      <c r="KCD158" s="103"/>
      <c r="KCE158" s="103"/>
      <c r="KCF158" s="103"/>
      <c r="KCG158" s="103"/>
      <c r="KCH158" s="103"/>
      <c r="KCI158" s="103"/>
      <c r="KCJ158" s="103"/>
      <c r="KCK158" s="103"/>
      <c r="KCL158" s="103"/>
      <c r="KCM158" s="103"/>
      <c r="KCN158" s="103"/>
      <c r="KCO158" s="103"/>
      <c r="KCP158" s="103"/>
      <c r="KCQ158" s="103"/>
      <c r="KCR158" s="103"/>
      <c r="KCS158" s="103"/>
      <c r="KCT158" s="103"/>
      <c r="KCU158" s="103"/>
      <c r="KCV158" s="103"/>
      <c r="KCW158" s="103"/>
      <c r="KCX158" s="103"/>
      <c r="KCY158" s="103"/>
      <c r="KCZ158" s="103"/>
      <c r="KDA158" s="103"/>
      <c r="KDB158" s="103"/>
      <c r="KDC158" s="103"/>
      <c r="KDD158" s="103"/>
      <c r="KDE158" s="103"/>
      <c r="KDF158" s="103"/>
      <c r="KDG158" s="103"/>
      <c r="KDH158" s="103"/>
      <c r="KDI158" s="103"/>
      <c r="KDJ158" s="103"/>
      <c r="KDK158" s="103"/>
      <c r="KDL158" s="103"/>
      <c r="KDM158" s="103"/>
      <c r="KDN158" s="103"/>
      <c r="KDO158" s="103"/>
      <c r="KDP158" s="103"/>
      <c r="KDQ158" s="103"/>
      <c r="KDR158" s="103"/>
      <c r="KDS158" s="103"/>
      <c r="KDT158" s="103"/>
      <c r="KDU158" s="103"/>
      <c r="KDV158" s="103"/>
      <c r="KDW158" s="103"/>
      <c r="KDX158" s="103"/>
      <c r="KDY158" s="103"/>
      <c r="KDZ158" s="103"/>
      <c r="KEA158" s="103"/>
      <c r="KEB158" s="103"/>
      <c r="KEC158" s="103"/>
      <c r="KED158" s="103"/>
      <c r="KEE158" s="103"/>
      <c r="KEF158" s="103"/>
      <c r="KEG158" s="103"/>
      <c r="KEH158" s="103"/>
      <c r="KEI158" s="103"/>
      <c r="KEJ158" s="103"/>
      <c r="KEK158" s="103"/>
      <c r="KEL158" s="103"/>
      <c r="KEM158" s="103"/>
      <c r="KEN158" s="103"/>
      <c r="KEO158" s="103"/>
      <c r="KEP158" s="103"/>
      <c r="KEQ158" s="103"/>
      <c r="KER158" s="103"/>
      <c r="KES158" s="103"/>
      <c r="KET158" s="103"/>
      <c r="KEU158" s="103"/>
      <c r="KEV158" s="103"/>
      <c r="KEW158" s="103"/>
      <c r="KEX158" s="103"/>
      <c r="KEY158" s="103"/>
      <c r="KEZ158" s="103"/>
      <c r="KFA158" s="103"/>
      <c r="KFB158" s="103"/>
      <c r="KFC158" s="103"/>
      <c r="KFD158" s="103"/>
      <c r="KFE158" s="103"/>
      <c r="KFF158" s="103"/>
      <c r="KFG158" s="103"/>
      <c r="KFH158" s="103"/>
      <c r="KFI158" s="103"/>
      <c r="KFJ158" s="103"/>
      <c r="KFK158" s="103"/>
      <c r="KFL158" s="103"/>
      <c r="KFM158" s="103"/>
      <c r="KFN158" s="103"/>
      <c r="KFO158" s="103"/>
      <c r="KFP158" s="103"/>
      <c r="KFQ158" s="103"/>
      <c r="KFR158" s="103"/>
      <c r="KFS158" s="103"/>
      <c r="KFT158" s="103"/>
      <c r="KFU158" s="103"/>
      <c r="KFV158" s="103"/>
      <c r="KFW158" s="103"/>
      <c r="KFX158" s="103"/>
      <c r="KFY158" s="103"/>
      <c r="KFZ158" s="103"/>
      <c r="KGA158" s="103"/>
      <c r="KGB158" s="103"/>
      <c r="KGC158" s="103"/>
      <c r="KGD158" s="103"/>
      <c r="KGE158" s="103"/>
      <c r="KGF158" s="103"/>
      <c r="KGG158" s="103"/>
      <c r="KGH158" s="103"/>
      <c r="KGI158" s="103"/>
      <c r="KGJ158" s="103"/>
      <c r="KGK158" s="103"/>
      <c r="KGL158" s="103"/>
      <c r="KGM158" s="103"/>
      <c r="KGN158" s="103"/>
      <c r="KGO158" s="103"/>
      <c r="KGP158" s="103"/>
      <c r="KGQ158" s="103"/>
      <c r="KGR158" s="103"/>
      <c r="KGS158" s="103"/>
      <c r="KGT158" s="103"/>
      <c r="KGU158" s="103"/>
      <c r="KGV158" s="103"/>
      <c r="KGW158" s="103"/>
      <c r="KGX158" s="103"/>
      <c r="KGY158" s="103"/>
      <c r="KGZ158" s="103"/>
      <c r="KHA158" s="103"/>
      <c r="KHB158" s="103"/>
      <c r="KHC158" s="103"/>
      <c r="KHD158" s="103"/>
      <c r="KHE158" s="103"/>
      <c r="KHF158" s="103"/>
      <c r="KHG158" s="103"/>
      <c r="KHH158" s="103"/>
      <c r="KHI158" s="103"/>
      <c r="KHJ158" s="103"/>
      <c r="KHK158" s="103"/>
      <c r="KHL158" s="103"/>
      <c r="KHM158" s="103"/>
      <c r="KHN158" s="103"/>
      <c r="KHO158" s="103"/>
      <c r="KHP158" s="103"/>
      <c r="KHQ158" s="103"/>
      <c r="KHR158" s="103"/>
      <c r="KHS158" s="103"/>
      <c r="KHT158" s="103"/>
      <c r="KHU158" s="103"/>
      <c r="KHV158" s="103"/>
      <c r="KHW158" s="103"/>
      <c r="KHX158" s="103"/>
      <c r="KHY158" s="103"/>
      <c r="KHZ158" s="103"/>
      <c r="KIA158" s="103"/>
      <c r="KIB158" s="103"/>
      <c r="KIC158" s="103"/>
      <c r="KID158" s="103"/>
      <c r="KIE158" s="103"/>
      <c r="KIF158" s="103"/>
      <c r="KIG158" s="103"/>
      <c r="KIH158" s="103"/>
      <c r="KII158" s="103"/>
      <c r="KIJ158" s="103"/>
      <c r="KIK158" s="103"/>
      <c r="KIL158" s="103"/>
      <c r="KIM158" s="103"/>
      <c r="KIN158" s="103"/>
      <c r="KIO158" s="103"/>
      <c r="KIP158" s="103"/>
      <c r="KIQ158" s="103"/>
      <c r="KIR158" s="103"/>
      <c r="KIS158" s="103"/>
      <c r="KIT158" s="103"/>
      <c r="KIU158" s="103"/>
      <c r="KIV158" s="103"/>
      <c r="KIW158" s="103"/>
      <c r="KIX158" s="103"/>
      <c r="KIY158" s="103"/>
      <c r="KIZ158" s="103"/>
      <c r="KJA158" s="103"/>
      <c r="KJB158" s="103"/>
      <c r="KJC158" s="103"/>
      <c r="KJD158" s="103"/>
      <c r="KJE158" s="103"/>
      <c r="KJF158" s="103"/>
      <c r="KJG158" s="103"/>
      <c r="KJH158" s="103"/>
      <c r="KJI158" s="103"/>
      <c r="KJJ158" s="103"/>
      <c r="KJK158" s="103"/>
      <c r="KJL158" s="103"/>
      <c r="KJM158" s="103"/>
      <c r="KJN158" s="103"/>
      <c r="KJO158" s="103"/>
      <c r="KJP158" s="103"/>
      <c r="KJQ158" s="103"/>
      <c r="KJR158" s="103"/>
      <c r="KJS158" s="103"/>
      <c r="KJT158" s="103"/>
      <c r="KJU158" s="103"/>
      <c r="KJV158" s="103"/>
      <c r="KJW158" s="103"/>
      <c r="KJX158" s="103"/>
      <c r="KJY158" s="103"/>
      <c r="KJZ158" s="103"/>
      <c r="KKA158" s="103"/>
      <c r="KKB158" s="103"/>
      <c r="KKC158" s="103"/>
      <c r="KKD158" s="103"/>
      <c r="KKE158" s="103"/>
      <c r="KKF158" s="103"/>
      <c r="KKG158" s="103"/>
      <c r="KKH158" s="103"/>
      <c r="KKI158" s="103"/>
      <c r="KKJ158" s="103"/>
      <c r="KKK158" s="103"/>
      <c r="KKL158" s="103"/>
      <c r="KKM158" s="103"/>
      <c r="KKN158" s="103"/>
      <c r="KKO158" s="103"/>
      <c r="KKP158" s="103"/>
      <c r="KKQ158" s="103"/>
      <c r="KKR158" s="103"/>
      <c r="KKS158" s="103"/>
      <c r="KKT158" s="103"/>
      <c r="KKU158" s="103"/>
      <c r="KKV158" s="103"/>
      <c r="KKW158" s="103"/>
      <c r="KKX158" s="103"/>
      <c r="KKY158" s="103"/>
      <c r="KKZ158" s="103"/>
      <c r="KLA158" s="103"/>
      <c r="KLB158" s="103"/>
      <c r="KLC158" s="103"/>
      <c r="KLD158" s="103"/>
      <c r="KLE158" s="103"/>
      <c r="KLF158" s="103"/>
      <c r="KLG158" s="103"/>
      <c r="KLH158" s="103"/>
      <c r="KLI158" s="103"/>
      <c r="KLJ158" s="103"/>
      <c r="KLK158" s="103"/>
      <c r="KLL158" s="103"/>
      <c r="KLM158" s="103"/>
      <c r="KLN158" s="103"/>
      <c r="KLO158" s="103"/>
      <c r="KLP158" s="103"/>
      <c r="KLQ158" s="103"/>
      <c r="KLR158" s="103"/>
      <c r="KLS158" s="103"/>
      <c r="KLT158" s="103"/>
      <c r="KLU158" s="103"/>
      <c r="KLV158" s="103"/>
      <c r="KLW158" s="103"/>
      <c r="KLX158" s="103"/>
      <c r="KLY158" s="103"/>
      <c r="KLZ158" s="103"/>
      <c r="KMA158" s="103"/>
      <c r="KMB158" s="103"/>
      <c r="KMC158" s="103"/>
      <c r="KMD158" s="103"/>
      <c r="KME158" s="103"/>
      <c r="KMF158" s="103"/>
      <c r="KMG158" s="103"/>
      <c r="KMH158" s="103"/>
      <c r="KMI158" s="103"/>
      <c r="KMJ158" s="103"/>
      <c r="KMK158" s="103"/>
      <c r="KML158" s="103"/>
      <c r="KMM158" s="103"/>
      <c r="KMN158" s="103"/>
      <c r="KMO158" s="103"/>
      <c r="KMP158" s="103"/>
      <c r="KMQ158" s="103"/>
      <c r="KMR158" s="103"/>
      <c r="KMS158" s="103"/>
      <c r="KMT158" s="103"/>
      <c r="KMU158" s="103"/>
      <c r="KMV158" s="103"/>
      <c r="KMW158" s="103"/>
      <c r="KMX158" s="103"/>
      <c r="KMY158" s="103"/>
      <c r="KMZ158" s="103"/>
      <c r="KNA158" s="103"/>
      <c r="KNB158" s="103"/>
      <c r="KNC158" s="103"/>
      <c r="KND158" s="103"/>
      <c r="KNE158" s="103"/>
      <c r="KNF158" s="103"/>
      <c r="KNG158" s="103"/>
      <c r="KNH158" s="103"/>
      <c r="KNI158" s="103"/>
      <c r="KNJ158" s="103"/>
      <c r="KNK158" s="103"/>
      <c r="KNL158" s="103"/>
      <c r="KNM158" s="103"/>
      <c r="KNN158" s="103"/>
      <c r="KNO158" s="103"/>
      <c r="KNP158" s="103"/>
      <c r="KNQ158" s="103"/>
      <c r="KNR158" s="103"/>
      <c r="KNS158" s="103"/>
      <c r="KNT158" s="103"/>
      <c r="KNU158" s="103"/>
      <c r="KNV158" s="103"/>
      <c r="KNW158" s="103"/>
      <c r="KNX158" s="103"/>
      <c r="KNY158" s="103"/>
      <c r="KNZ158" s="103"/>
      <c r="KOA158" s="103"/>
      <c r="KOB158" s="103"/>
      <c r="KOC158" s="103"/>
      <c r="KOD158" s="103"/>
      <c r="KOE158" s="103"/>
      <c r="KOF158" s="103"/>
      <c r="KOG158" s="103"/>
      <c r="KOH158" s="103"/>
      <c r="KOI158" s="103"/>
      <c r="KOJ158" s="103"/>
      <c r="KOK158" s="103"/>
      <c r="KOL158" s="103"/>
      <c r="KOM158" s="103"/>
      <c r="KON158" s="103"/>
      <c r="KOO158" s="103"/>
      <c r="KOP158" s="103"/>
      <c r="KOQ158" s="103"/>
      <c r="KOR158" s="103"/>
      <c r="KOS158" s="103"/>
      <c r="KOT158" s="103"/>
      <c r="KOU158" s="103"/>
      <c r="KOV158" s="103"/>
      <c r="KOW158" s="103"/>
      <c r="KOX158" s="103"/>
      <c r="KOY158" s="103"/>
      <c r="KOZ158" s="103"/>
      <c r="KPA158" s="103"/>
      <c r="KPB158" s="103"/>
      <c r="KPC158" s="103"/>
      <c r="KPD158" s="103"/>
      <c r="KPE158" s="103"/>
      <c r="KPF158" s="103"/>
      <c r="KPG158" s="103"/>
      <c r="KPH158" s="103"/>
      <c r="KPI158" s="103"/>
      <c r="KPJ158" s="103"/>
      <c r="KPK158" s="103"/>
      <c r="KPL158" s="103"/>
      <c r="KPM158" s="103"/>
      <c r="KPN158" s="103"/>
      <c r="KPO158" s="103"/>
      <c r="KPP158" s="103"/>
      <c r="KPQ158" s="103"/>
      <c r="KPR158" s="103"/>
      <c r="KPS158" s="103"/>
      <c r="KPT158" s="103"/>
      <c r="KPU158" s="103"/>
      <c r="KPV158" s="103"/>
      <c r="KPW158" s="103"/>
      <c r="KPX158" s="103"/>
      <c r="KPY158" s="103"/>
      <c r="KPZ158" s="103"/>
      <c r="KQA158" s="103"/>
      <c r="KQB158" s="103"/>
      <c r="KQC158" s="103"/>
      <c r="KQD158" s="103"/>
      <c r="KQE158" s="103"/>
      <c r="KQF158" s="103"/>
      <c r="KQG158" s="103"/>
      <c r="KQH158" s="103"/>
      <c r="KQI158" s="103"/>
      <c r="KQJ158" s="103"/>
      <c r="KQK158" s="103"/>
      <c r="KQL158" s="103"/>
      <c r="KQM158" s="103"/>
      <c r="KQN158" s="103"/>
      <c r="KQO158" s="103"/>
      <c r="KQP158" s="103"/>
      <c r="KQQ158" s="103"/>
      <c r="KQR158" s="103"/>
      <c r="KQS158" s="103"/>
      <c r="KQT158" s="103"/>
      <c r="KQU158" s="103"/>
      <c r="KQV158" s="103"/>
      <c r="KQW158" s="103"/>
      <c r="KQX158" s="103"/>
      <c r="KQY158" s="103"/>
      <c r="KQZ158" s="103"/>
      <c r="KRA158" s="103"/>
      <c r="KRB158" s="103"/>
      <c r="KRC158" s="103"/>
      <c r="KRD158" s="103"/>
      <c r="KRE158" s="103"/>
      <c r="KRF158" s="103"/>
      <c r="KRG158" s="103"/>
      <c r="KRH158" s="103"/>
      <c r="KRI158" s="103"/>
      <c r="KRJ158" s="103"/>
      <c r="KRK158" s="103"/>
      <c r="KRL158" s="103"/>
      <c r="KRM158" s="103"/>
      <c r="KRN158" s="103"/>
      <c r="KRO158" s="103"/>
      <c r="KRP158" s="103"/>
      <c r="KRQ158" s="103"/>
      <c r="KRR158" s="103"/>
      <c r="KRS158" s="103"/>
      <c r="KRT158" s="103"/>
      <c r="KRU158" s="103"/>
      <c r="KRV158" s="103"/>
      <c r="KRW158" s="103"/>
      <c r="KRX158" s="103"/>
      <c r="KRY158" s="103"/>
      <c r="KRZ158" s="103"/>
      <c r="KSA158" s="103"/>
      <c r="KSB158" s="103"/>
      <c r="KSC158" s="103"/>
      <c r="KSD158" s="103"/>
      <c r="KSE158" s="103"/>
      <c r="KSF158" s="103"/>
      <c r="KSG158" s="103"/>
      <c r="KSH158" s="103"/>
      <c r="KSI158" s="103"/>
      <c r="KSJ158" s="103"/>
      <c r="KSK158" s="103"/>
      <c r="KSL158" s="103"/>
      <c r="KSM158" s="103"/>
      <c r="KSN158" s="103"/>
      <c r="KSO158" s="103"/>
      <c r="KSP158" s="103"/>
      <c r="KSQ158" s="103"/>
      <c r="KSR158" s="103"/>
      <c r="KSS158" s="103"/>
      <c r="KST158" s="103"/>
      <c r="KSU158" s="103"/>
      <c r="KSV158" s="103"/>
      <c r="KSW158" s="103"/>
      <c r="KSX158" s="103"/>
      <c r="KSY158" s="103"/>
      <c r="KSZ158" s="103"/>
      <c r="KTA158" s="103"/>
      <c r="KTB158" s="103"/>
      <c r="KTC158" s="103"/>
      <c r="KTD158" s="103"/>
      <c r="KTE158" s="103"/>
      <c r="KTF158" s="103"/>
      <c r="KTG158" s="103"/>
      <c r="KTH158" s="103"/>
      <c r="KTI158" s="103"/>
      <c r="KTJ158" s="103"/>
      <c r="KTK158" s="103"/>
      <c r="KTL158" s="103"/>
      <c r="KTM158" s="103"/>
      <c r="KTN158" s="103"/>
      <c r="KTO158" s="103"/>
      <c r="KTP158" s="103"/>
      <c r="KTQ158" s="103"/>
      <c r="KTR158" s="103"/>
      <c r="KTS158" s="103"/>
      <c r="KTT158" s="103"/>
      <c r="KTU158" s="103"/>
      <c r="KTV158" s="103"/>
      <c r="KTW158" s="103"/>
      <c r="KTX158" s="103"/>
      <c r="KTY158" s="103"/>
      <c r="KTZ158" s="103"/>
      <c r="KUA158" s="103"/>
      <c r="KUB158" s="103"/>
      <c r="KUC158" s="103"/>
      <c r="KUD158" s="103"/>
      <c r="KUE158" s="103"/>
      <c r="KUF158" s="103"/>
      <c r="KUG158" s="103"/>
      <c r="KUH158" s="103"/>
      <c r="KUI158" s="103"/>
      <c r="KUJ158" s="103"/>
      <c r="KUK158" s="103"/>
      <c r="KUL158" s="103"/>
      <c r="KUM158" s="103"/>
      <c r="KUN158" s="103"/>
      <c r="KUO158" s="103"/>
      <c r="KUP158" s="103"/>
      <c r="KUQ158" s="103"/>
      <c r="KUR158" s="103"/>
      <c r="KUS158" s="103"/>
      <c r="KUT158" s="103"/>
      <c r="KUU158" s="103"/>
      <c r="KUV158" s="103"/>
      <c r="KUW158" s="103"/>
      <c r="KUX158" s="103"/>
      <c r="KUY158" s="103"/>
      <c r="KUZ158" s="103"/>
      <c r="KVA158" s="103"/>
      <c r="KVB158" s="103"/>
      <c r="KVC158" s="103"/>
      <c r="KVD158" s="103"/>
      <c r="KVE158" s="103"/>
      <c r="KVF158" s="103"/>
      <c r="KVG158" s="103"/>
      <c r="KVH158" s="103"/>
      <c r="KVI158" s="103"/>
      <c r="KVJ158" s="103"/>
      <c r="KVK158" s="103"/>
      <c r="KVL158" s="103"/>
      <c r="KVM158" s="103"/>
      <c r="KVN158" s="103"/>
      <c r="KVO158" s="103"/>
      <c r="KVP158" s="103"/>
      <c r="KVQ158" s="103"/>
      <c r="KVR158" s="103"/>
      <c r="KVS158" s="103"/>
      <c r="KVT158" s="103"/>
      <c r="KVU158" s="103"/>
      <c r="KVV158" s="103"/>
      <c r="KVW158" s="103"/>
      <c r="KVX158" s="103"/>
      <c r="KVY158" s="103"/>
      <c r="KVZ158" s="103"/>
      <c r="KWA158" s="103"/>
      <c r="KWB158" s="103"/>
      <c r="KWC158" s="103"/>
      <c r="KWD158" s="103"/>
      <c r="KWE158" s="103"/>
      <c r="KWF158" s="103"/>
      <c r="KWG158" s="103"/>
      <c r="KWH158" s="103"/>
      <c r="KWI158" s="103"/>
      <c r="KWJ158" s="103"/>
      <c r="KWK158" s="103"/>
      <c r="KWL158" s="103"/>
      <c r="KWM158" s="103"/>
      <c r="KWN158" s="103"/>
      <c r="KWO158" s="103"/>
      <c r="KWP158" s="103"/>
      <c r="KWQ158" s="103"/>
      <c r="KWR158" s="103"/>
      <c r="KWS158" s="103"/>
      <c r="KWT158" s="103"/>
      <c r="KWU158" s="103"/>
      <c r="KWV158" s="103"/>
      <c r="KWW158" s="103"/>
      <c r="KWX158" s="103"/>
      <c r="KWY158" s="103"/>
      <c r="KWZ158" s="103"/>
      <c r="KXA158" s="103"/>
      <c r="KXB158" s="103"/>
      <c r="KXC158" s="103"/>
      <c r="KXD158" s="103"/>
      <c r="KXE158" s="103"/>
      <c r="KXF158" s="103"/>
      <c r="KXG158" s="103"/>
      <c r="KXH158" s="103"/>
      <c r="KXI158" s="103"/>
      <c r="KXJ158" s="103"/>
      <c r="KXK158" s="103"/>
      <c r="KXL158" s="103"/>
      <c r="KXM158" s="103"/>
      <c r="KXN158" s="103"/>
      <c r="KXO158" s="103"/>
      <c r="KXP158" s="103"/>
      <c r="KXQ158" s="103"/>
      <c r="KXR158" s="103"/>
      <c r="KXS158" s="103"/>
      <c r="KXT158" s="103"/>
      <c r="KXU158" s="103"/>
      <c r="KXV158" s="103"/>
      <c r="KXW158" s="103"/>
      <c r="KXX158" s="103"/>
      <c r="KXY158" s="103"/>
      <c r="KXZ158" s="103"/>
      <c r="KYA158" s="103"/>
      <c r="KYB158" s="103"/>
      <c r="KYC158" s="103"/>
      <c r="KYD158" s="103"/>
      <c r="KYE158" s="103"/>
      <c r="KYF158" s="103"/>
      <c r="KYG158" s="103"/>
      <c r="KYH158" s="103"/>
      <c r="KYI158" s="103"/>
      <c r="KYJ158" s="103"/>
      <c r="KYK158" s="103"/>
      <c r="KYL158" s="103"/>
      <c r="KYM158" s="103"/>
      <c r="KYN158" s="103"/>
      <c r="KYO158" s="103"/>
      <c r="KYP158" s="103"/>
      <c r="KYQ158" s="103"/>
      <c r="KYR158" s="103"/>
      <c r="KYS158" s="103"/>
      <c r="KYT158" s="103"/>
      <c r="KYU158" s="103"/>
      <c r="KYV158" s="103"/>
      <c r="KYW158" s="103"/>
      <c r="KYX158" s="103"/>
      <c r="KYY158" s="103"/>
      <c r="KYZ158" s="103"/>
      <c r="KZA158" s="103"/>
      <c r="KZB158" s="103"/>
      <c r="KZC158" s="103"/>
      <c r="KZD158" s="103"/>
      <c r="KZE158" s="103"/>
      <c r="KZF158" s="103"/>
      <c r="KZG158" s="103"/>
      <c r="KZH158" s="103"/>
      <c r="KZI158" s="103"/>
      <c r="KZJ158" s="103"/>
      <c r="KZK158" s="103"/>
      <c r="KZL158" s="103"/>
      <c r="KZM158" s="103"/>
      <c r="KZN158" s="103"/>
      <c r="KZO158" s="103"/>
      <c r="KZP158" s="103"/>
      <c r="KZQ158" s="103"/>
      <c r="KZR158" s="103"/>
      <c r="KZS158" s="103"/>
      <c r="KZT158" s="103"/>
      <c r="KZU158" s="103"/>
      <c r="KZV158" s="103"/>
      <c r="KZW158" s="103"/>
      <c r="KZX158" s="103"/>
      <c r="KZY158" s="103"/>
      <c r="KZZ158" s="103"/>
      <c r="LAA158" s="103"/>
      <c r="LAB158" s="103"/>
      <c r="LAC158" s="103"/>
      <c r="LAD158" s="103"/>
      <c r="LAE158" s="103"/>
      <c r="LAF158" s="103"/>
      <c r="LAG158" s="103"/>
      <c r="LAH158" s="103"/>
      <c r="LAI158" s="103"/>
      <c r="LAJ158" s="103"/>
      <c r="LAK158" s="103"/>
      <c r="LAL158" s="103"/>
      <c r="LAM158" s="103"/>
      <c r="LAN158" s="103"/>
      <c r="LAO158" s="103"/>
      <c r="LAP158" s="103"/>
      <c r="LAQ158" s="103"/>
      <c r="LAR158" s="103"/>
      <c r="LAS158" s="103"/>
      <c r="LAT158" s="103"/>
      <c r="LAU158" s="103"/>
      <c r="LAV158" s="103"/>
      <c r="LAW158" s="103"/>
      <c r="LAX158" s="103"/>
      <c r="LAY158" s="103"/>
      <c r="LAZ158" s="103"/>
      <c r="LBA158" s="103"/>
      <c r="LBB158" s="103"/>
      <c r="LBC158" s="103"/>
      <c r="LBD158" s="103"/>
      <c r="LBE158" s="103"/>
      <c r="LBF158" s="103"/>
      <c r="LBG158" s="103"/>
      <c r="LBH158" s="103"/>
      <c r="LBI158" s="103"/>
      <c r="LBJ158" s="103"/>
      <c r="LBK158" s="103"/>
      <c r="LBL158" s="103"/>
      <c r="LBM158" s="103"/>
      <c r="LBN158" s="103"/>
      <c r="LBO158" s="103"/>
      <c r="LBP158" s="103"/>
      <c r="LBQ158" s="103"/>
      <c r="LBR158" s="103"/>
      <c r="LBS158" s="103"/>
      <c r="LBT158" s="103"/>
      <c r="LBU158" s="103"/>
      <c r="LBV158" s="103"/>
      <c r="LBW158" s="103"/>
      <c r="LBX158" s="103"/>
      <c r="LBY158" s="103"/>
      <c r="LBZ158" s="103"/>
      <c r="LCA158" s="103"/>
      <c r="LCB158" s="103"/>
      <c r="LCC158" s="103"/>
      <c r="LCD158" s="103"/>
      <c r="LCE158" s="103"/>
      <c r="LCF158" s="103"/>
      <c r="LCG158" s="103"/>
      <c r="LCH158" s="103"/>
      <c r="LCI158" s="103"/>
      <c r="LCJ158" s="103"/>
      <c r="LCK158" s="103"/>
      <c r="LCL158" s="103"/>
      <c r="LCM158" s="103"/>
      <c r="LCN158" s="103"/>
      <c r="LCO158" s="103"/>
      <c r="LCP158" s="103"/>
      <c r="LCQ158" s="103"/>
      <c r="LCR158" s="103"/>
      <c r="LCS158" s="103"/>
      <c r="LCT158" s="103"/>
      <c r="LCU158" s="103"/>
      <c r="LCV158" s="103"/>
      <c r="LCW158" s="103"/>
      <c r="LCX158" s="103"/>
      <c r="LCY158" s="103"/>
      <c r="LCZ158" s="103"/>
      <c r="LDA158" s="103"/>
      <c r="LDB158" s="103"/>
      <c r="LDC158" s="103"/>
      <c r="LDD158" s="103"/>
      <c r="LDE158" s="103"/>
      <c r="LDF158" s="103"/>
      <c r="LDG158" s="103"/>
      <c r="LDH158" s="103"/>
      <c r="LDI158" s="103"/>
      <c r="LDJ158" s="103"/>
      <c r="LDK158" s="103"/>
      <c r="LDL158" s="103"/>
      <c r="LDM158" s="103"/>
      <c r="LDN158" s="103"/>
      <c r="LDO158" s="103"/>
      <c r="LDP158" s="103"/>
      <c r="LDQ158" s="103"/>
      <c r="LDR158" s="103"/>
      <c r="LDS158" s="103"/>
      <c r="LDT158" s="103"/>
      <c r="LDU158" s="103"/>
      <c r="LDV158" s="103"/>
      <c r="LDW158" s="103"/>
      <c r="LDX158" s="103"/>
      <c r="LDY158" s="103"/>
      <c r="LDZ158" s="103"/>
      <c r="LEA158" s="103"/>
      <c r="LEB158" s="103"/>
      <c r="LEC158" s="103"/>
      <c r="LED158" s="103"/>
      <c r="LEE158" s="103"/>
      <c r="LEF158" s="103"/>
      <c r="LEG158" s="103"/>
      <c r="LEH158" s="103"/>
      <c r="LEI158" s="103"/>
      <c r="LEJ158" s="103"/>
      <c r="LEK158" s="103"/>
      <c r="LEL158" s="103"/>
      <c r="LEM158" s="103"/>
      <c r="LEN158" s="103"/>
      <c r="LEO158" s="103"/>
      <c r="LEP158" s="103"/>
      <c r="LEQ158" s="103"/>
      <c r="LER158" s="103"/>
      <c r="LES158" s="103"/>
      <c r="LET158" s="103"/>
      <c r="LEU158" s="103"/>
      <c r="LEV158" s="103"/>
      <c r="LEW158" s="103"/>
      <c r="LEX158" s="103"/>
      <c r="LEY158" s="103"/>
      <c r="LEZ158" s="103"/>
      <c r="LFA158" s="103"/>
      <c r="LFB158" s="103"/>
      <c r="LFC158" s="103"/>
      <c r="LFD158" s="103"/>
      <c r="LFE158" s="103"/>
      <c r="LFF158" s="103"/>
      <c r="LFG158" s="103"/>
      <c r="LFH158" s="103"/>
      <c r="LFI158" s="103"/>
      <c r="LFJ158" s="103"/>
      <c r="LFK158" s="103"/>
      <c r="LFL158" s="103"/>
      <c r="LFM158" s="103"/>
      <c r="LFN158" s="103"/>
      <c r="LFO158" s="103"/>
      <c r="LFP158" s="103"/>
      <c r="LFQ158" s="103"/>
      <c r="LFR158" s="103"/>
      <c r="LFS158" s="103"/>
      <c r="LFT158" s="103"/>
      <c r="LFU158" s="103"/>
      <c r="LFV158" s="103"/>
      <c r="LFW158" s="103"/>
      <c r="LFX158" s="103"/>
      <c r="LFY158" s="103"/>
      <c r="LFZ158" s="103"/>
      <c r="LGA158" s="103"/>
      <c r="LGB158" s="103"/>
      <c r="LGC158" s="103"/>
      <c r="LGD158" s="103"/>
      <c r="LGE158" s="103"/>
      <c r="LGF158" s="103"/>
      <c r="LGG158" s="103"/>
      <c r="LGH158" s="103"/>
      <c r="LGI158" s="103"/>
      <c r="LGJ158" s="103"/>
      <c r="LGK158" s="103"/>
      <c r="LGL158" s="103"/>
      <c r="LGM158" s="103"/>
      <c r="LGN158" s="103"/>
      <c r="LGO158" s="103"/>
      <c r="LGP158" s="103"/>
      <c r="LGQ158" s="103"/>
      <c r="LGR158" s="103"/>
      <c r="LGS158" s="103"/>
      <c r="LGT158" s="103"/>
      <c r="LGU158" s="103"/>
      <c r="LGV158" s="103"/>
      <c r="LGW158" s="103"/>
      <c r="LGX158" s="103"/>
      <c r="LGY158" s="103"/>
      <c r="LGZ158" s="103"/>
      <c r="LHA158" s="103"/>
      <c r="LHB158" s="103"/>
      <c r="LHC158" s="103"/>
      <c r="LHD158" s="103"/>
      <c r="LHE158" s="103"/>
      <c r="LHF158" s="103"/>
      <c r="LHG158" s="103"/>
      <c r="LHH158" s="103"/>
      <c r="LHI158" s="103"/>
      <c r="LHJ158" s="103"/>
      <c r="LHK158" s="103"/>
      <c r="LHL158" s="103"/>
      <c r="LHM158" s="103"/>
      <c r="LHN158" s="103"/>
      <c r="LHO158" s="103"/>
      <c r="LHP158" s="103"/>
      <c r="LHQ158" s="103"/>
      <c r="LHR158" s="103"/>
      <c r="LHS158" s="103"/>
      <c r="LHT158" s="103"/>
      <c r="LHU158" s="103"/>
      <c r="LHV158" s="103"/>
      <c r="LHW158" s="103"/>
      <c r="LHX158" s="103"/>
      <c r="LHY158" s="103"/>
      <c r="LHZ158" s="103"/>
      <c r="LIA158" s="103"/>
      <c r="LIB158" s="103"/>
      <c r="LIC158" s="103"/>
      <c r="LID158" s="103"/>
      <c r="LIE158" s="103"/>
      <c r="LIF158" s="103"/>
      <c r="LIG158" s="103"/>
      <c r="LIH158" s="103"/>
      <c r="LII158" s="103"/>
      <c r="LIJ158" s="103"/>
      <c r="LIK158" s="103"/>
      <c r="LIL158" s="103"/>
      <c r="LIM158" s="103"/>
      <c r="LIN158" s="103"/>
      <c r="LIO158" s="103"/>
      <c r="LIP158" s="103"/>
      <c r="LIQ158" s="103"/>
      <c r="LIR158" s="103"/>
      <c r="LIS158" s="103"/>
      <c r="LIT158" s="103"/>
      <c r="LIU158" s="103"/>
      <c r="LIV158" s="103"/>
      <c r="LIW158" s="103"/>
      <c r="LIX158" s="103"/>
      <c r="LIY158" s="103"/>
      <c r="LIZ158" s="103"/>
      <c r="LJA158" s="103"/>
      <c r="LJB158" s="103"/>
      <c r="LJC158" s="103"/>
      <c r="LJD158" s="103"/>
      <c r="LJE158" s="103"/>
      <c r="LJF158" s="103"/>
      <c r="LJG158" s="103"/>
      <c r="LJH158" s="103"/>
      <c r="LJI158" s="103"/>
      <c r="LJJ158" s="103"/>
      <c r="LJK158" s="103"/>
      <c r="LJL158" s="103"/>
      <c r="LJM158" s="103"/>
      <c r="LJN158" s="103"/>
      <c r="LJO158" s="103"/>
      <c r="LJP158" s="103"/>
      <c r="LJQ158" s="103"/>
      <c r="LJR158" s="103"/>
      <c r="LJS158" s="103"/>
      <c r="LJT158" s="103"/>
      <c r="LJU158" s="103"/>
      <c r="LJV158" s="103"/>
      <c r="LJW158" s="103"/>
      <c r="LJX158" s="103"/>
      <c r="LJY158" s="103"/>
      <c r="LJZ158" s="103"/>
      <c r="LKA158" s="103"/>
      <c r="LKB158" s="103"/>
      <c r="LKC158" s="103"/>
      <c r="LKD158" s="103"/>
      <c r="LKE158" s="103"/>
      <c r="LKF158" s="103"/>
      <c r="LKG158" s="103"/>
      <c r="LKH158" s="103"/>
      <c r="LKI158" s="103"/>
      <c r="LKJ158" s="103"/>
      <c r="LKK158" s="103"/>
      <c r="LKL158" s="103"/>
      <c r="LKM158" s="103"/>
      <c r="LKN158" s="103"/>
      <c r="LKO158" s="103"/>
      <c r="LKP158" s="103"/>
      <c r="LKQ158" s="103"/>
      <c r="LKR158" s="103"/>
      <c r="LKS158" s="103"/>
      <c r="LKT158" s="103"/>
      <c r="LKU158" s="103"/>
      <c r="LKV158" s="103"/>
      <c r="LKW158" s="103"/>
      <c r="LKX158" s="103"/>
      <c r="LKY158" s="103"/>
      <c r="LKZ158" s="103"/>
      <c r="LLA158" s="103"/>
      <c r="LLB158" s="103"/>
      <c r="LLC158" s="103"/>
      <c r="LLD158" s="103"/>
      <c r="LLE158" s="103"/>
      <c r="LLF158" s="103"/>
      <c r="LLG158" s="103"/>
      <c r="LLH158" s="103"/>
      <c r="LLI158" s="103"/>
      <c r="LLJ158" s="103"/>
      <c r="LLK158" s="103"/>
      <c r="LLL158" s="103"/>
      <c r="LLM158" s="103"/>
      <c r="LLN158" s="103"/>
      <c r="LLO158" s="103"/>
      <c r="LLP158" s="103"/>
      <c r="LLQ158" s="103"/>
      <c r="LLR158" s="103"/>
      <c r="LLS158" s="103"/>
      <c r="LLT158" s="103"/>
      <c r="LLU158" s="103"/>
      <c r="LLV158" s="103"/>
      <c r="LLW158" s="103"/>
      <c r="LLX158" s="103"/>
      <c r="LLY158" s="103"/>
      <c r="LLZ158" s="103"/>
      <c r="LMA158" s="103"/>
      <c r="LMB158" s="103"/>
      <c r="LMC158" s="103"/>
      <c r="LMD158" s="103"/>
      <c r="LME158" s="103"/>
      <c r="LMF158" s="103"/>
      <c r="LMG158" s="103"/>
      <c r="LMH158" s="103"/>
      <c r="LMI158" s="103"/>
      <c r="LMJ158" s="103"/>
      <c r="LMK158" s="103"/>
      <c r="LML158" s="103"/>
      <c r="LMM158" s="103"/>
      <c r="LMN158" s="103"/>
      <c r="LMO158" s="103"/>
      <c r="LMP158" s="103"/>
      <c r="LMQ158" s="103"/>
      <c r="LMR158" s="103"/>
      <c r="LMS158" s="103"/>
      <c r="LMT158" s="103"/>
      <c r="LMU158" s="103"/>
      <c r="LMV158" s="103"/>
      <c r="LMW158" s="103"/>
      <c r="LMX158" s="103"/>
      <c r="LMY158" s="103"/>
      <c r="LMZ158" s="103"/>
      <c r="LNA158" s="103"/>
      <c r="LNB158" s="103"/>
      <c r="LNC158" s="103"/>
      <c r="LND158" s="103"/>
      <c r="LNE158" s="103"/>
      <c r="LNF158" s="103"/>
      <c r="LNG158" s="103"/>
      <c r="LNH158" s="103"/>
      <c r="LNI158" s="103"/>
      <c r="LNJ158" s="103"/>
      <c r="LNK158" s="103"/>
      <c r="LNL158" s="103"/>
      <c r="LNM158" s="103"/>
      <c r="LNN158" s="103"/>
      <c r="LNO158" s="103"/>
      <c r="LNP158" s="103"/>
      <c r="LNQ158" s="103"/>
      <c r="LNR158" s="103"/>
      <c r="LNS158" s="103"/>
      <c r="LNT158" s="103"/>
      <c r="LNU158" s="103"/>
      <c r="LNV158" s="103"/>
      <c r="LNW158" s="103"/>
      <c r="LNX158" s="103"/>
      <c r="LNY158" s="103"/>
      <c r="LNZ158" s="103"/>
      <c r="LOA158" s="103"/>
      <c r="LOB158" s="103"/>
      <c r="LOC158" s="103"/>
      <c r="LOD158" s="103"/>
      <c r="LOE158" s="103"/>
      <c r="LOF158" s="103"/>
      <c r="LOG158" s="103"/>
      <c r="LOH158" s="103"/>
      <c r="LOI158" s="103"/>
      <c r="LOJ158" s="103"/>
      <c r="LOK158" s="103"/>
      <c r="LOL158" s="103"/>
      <c r="LOM158" s="103"/>
      <c r="LON158" s="103"/>
      <c r="LOO158" s="103"/>
      <c r="LOP158" s="103"/>
      <c r="LOQ158" s="103"/>
      <c r="LOR158" s="103"/>
      <c r="LOS158" s="103"/>
      <c r="LOT158" s="103"/>
      <c r="LOU158" s="103"/>
      <c r="LOV158" s="103"/>
      <c r="LOW158" s="103"/>
      <c r="LOX158" s="103"/>
      <c r="LOY158" s="103"/>
      <c r="LOZ158" s="103"/>
      <c r="LPA158" s="103"/>
      <c r="LPB158" s="103"/>
      <c r="LPC158" s="103"/>
      <c r="LPD158" s="103"/>
      <c r="LPE158" s="103"/>
      <c r="LPF158" s="103"/>
      <c r="LPG158" s="103"/>
      <c r="LPH158" s="103"/>
      <c r="LPI158" s="103"/>
      <c r="LPJ158" s="103"/>
      <c r="LPK158" s="103"/>
      <c r="LPL158" s="103"/>
      <c r="LPM158" s="103"/>
      <c r="LPN158" s="103"/>
      <c r="LPO158" s="103"/>
      <c r="LPP158" s="103"/>
      <c r="LPQ158" s="103"/>
      <c r="LPR158" s="103"/>
      <c r="LPS158" s="103"/>
      <c r="LPT158" s="103"/>
      <c r="LPU158" s="103"/>
      <c r="LPV158" s="103"/>
      <c r="LPW158" s="103"/>
      <c r="LPX158" s="103"/>
      <c r="LPY158" s="103"/>
      <c r="LPZ158" s="103"/>
      <c r="LQA158" s="103"/>
      <c r="LQB158" s="103"/>
      <c r="LQC158" s="103"/>
      <c r="LQD158" s="103"/>
      <c r="LQE158" s="103"/>
      <c r="LQF158" s="103"/>
      <c r="LQG158" s="103"/>
      <c r="LQH158" s="103"/>
      <c r="LQI158" s="103"/>
      <c r="LQJ158" s="103"/>
      <c r="LQK158" s="103"/>
      <c r="LQL158" s="103"/>
      <c r="LQM158" s="103"/>
      <c r="LQN158" s="103"/>
      <c r="LQO158" s="103"/>
      <c r="LQP158" s="103"/>
      <c r="LQQ158" s="103"/>
      <c r="LQR158" s="103"/>
      <c r="LQS158" s="103"/>
      <c r="LQT158" s="103"/>
      <c r="LQU158" s="103"/>
      <c r="LQV158" s="103"/>
      <c r="LQW158" s="103"/>
      <c r="LQX158" s="103"/>
      <c r="LQY158" s="103"/>
      <c r="LQZ158" s="103"/>
      <c r="LRA158" s="103"/>
      <c r="LRB158" s="103"/>
      <c r="LRC158" s="103"/>
      <c r="LRD158" s="103"/>
      <c r="LRE158" s="103"/>
      <c r="LRF158" s="103"/>
      <c r="LRG158" s="103"/>
      <c r="LRH158" s="103"/>
      <c r="LRI158" s="103"/>
      <c r="LRJ158" s="103"/>
      <c r="LRK158" s="103"/>
      <c r="LRL158" s="103"/>
      <c r="LRM158" s="103"/>
      <c r="LRN158" s="103"/>
      <c r="LRO158" s="103"/>
      <c r="LRP158" s="103"/>
      <c r="LRQ158" s="103"/>
      <c r="LRR158" s="103"/>
      <c r="LRS158" s="103"/>
      <c r="LRT158" s="103"/>
      <c r="LRU158" s="103"/>
      <c r="LRV158" s="103"/>
      <c r="LRW158" s="103"/>
      <c r="LRX158" s="103"/>
      <c r="LRY158" s="103"/>
      <c r="LRZ158" s="103"/>
      <c r="LSA158" s="103"/>
      <c r="LSB158" s="103"/>
      <c r="LSC158" s="103"/>
      <c r="LSD158" s="103"/>
      <c r="LSE158" s="103"/>
      <c r="LSF158" s="103"/>
      <c r="LSG158" s="103"/>
      <c r="LSH158" s="103"/>
      <c r="LSI158" s="103"/>
      <c r="LSJ158" s="103"/>
      <c r="LSK158" s="103"/>
      <c r="LSL158" s="103"/>
      <c r="LSM158" s="103"/>
      <c r="LSN158" s="103"/>
      <c r="LSO158" s="103"/>
      <c r="LSP158" s="103"/>
      <c r="LSQ158" s="103"/>
      <c r="LSR158" s="103"/>
      <c r="LSS158" s="103"/>
      <c r="LST158" s="103"/>
      <c r="LSU158" s="103"/>
      <c r="LSV158" s="103"/>
      <c r="LSW158" s="103"/>
      <c r="LSX158" s="103"/>
      <c r="LSY158" s="103"/>
      <c r="LSZ158" s="103"/>
      <c r="LTA158" s="103"/>
      <c r="LTB158" s="103"/>
      <c r="LTC158" s="103"/>
      <c r="LTD158" s="103"/>
      <c r="LTE158" s="103"/>
      <c r="LTF158" s="103"/>
      <c r="LTG158" s="103"/>
      <c r="LTH158" s="103"/>
      <c r="LTI158" s="103"/>
      <c r="LTJ158" s="103"/>
      <c r="LTK158" s="103"/>
      <c r="LTL158" s="103"/>
      <c r="LTM158" s="103"/>
      <c r="LTN158" s="103"/>
      <c r="LTO158" s="103"/>
      <c r="LTP158" s="103"/>
      <c r="LTQ158" s="103"/>
      <c r="LTR158" s="103"/>
      <c r="LTS158" s="103"/>
      <c r="LTT158" s="103"/>
      <c r="LTU158" s="103"/>
      <c r="LTV158" s="103"/>
      <c r="LTW158" s="103"/>
      <c r="LTX158" s="103"/>
      <c r="LTY158" s="103"/>
      <c r="LTZ158" s="103"/>
      <c r="LUA158" s="103"/>
      <c r="LUB158" s="103"/>
      <c r="LUC158" s="103"/>
      <c r="LUD158" s="103"/>
      <c r="LUE158" s="103"/>
      <c r="LUF158" s="103"/>
      <c r="LUG158" s="103"/>
      <c r="LUH158" s="103"/>
      <c r="LUI158" s="103"/>
      <c r="LUJ158" s="103"/>
      <c r="LUK158" s="103"/>
      <c r="LUL158" s="103"/>
      <c r="LUM158" s="103"/>
      <c r="LUN158" s="103"/>
      <c r="LUO158" s="103"/>
      <c r="LUP158" s="103"/>
      <c r="LUQ158" s="103"/>
      <c r="LUR158" s="103"/>
      <c r="LUS158" s="103"/>
      <c r="LUT158" s="103"/>
      <c r="LUU158" s="103"/>
      <c r="LUV158" s="103"/>
      <c r="LUW158" s="103"/>
      <c r="LUX158" s="103"/>
      <c r="LUY158" s="103"/>
      <c r="LUZ158" s="103"/>
      <c r="LVA158" s="103"/>
      <c r="LVB158" s="103"/>
      <c r="LVC158" s="103"/>
      <c r="LVD158" s="103"/>
      <c r="LVE158" s="103"/>
      <c r="LVF158" s="103"/>
      <c r="LVG158" s="103"/>
      <c r="LVH158" s="103"/>
      <c r="LVI158" s="103"/>
      <c r="LVJ158" s="103"/>
      <c r="LVK158" s="103"/>
      <c r="LVL158" s="103"/>
      <c r="LVM158" s="103"/>
      <c r="LVN158" s="103"/>
      <c r="LVO158" s="103"/>
      <c r="LVP158" s="103"/>
      <c r="LVQ158" s="103"/>
      <c r="LVR158" s="103"/>
      <c r="LVS158" s="103"/>
      <c r="LVT158" s="103"/>
      <c r="LVU158" s="103"/>
      <c r="LVV158" s="103"/>
      <c r="LVW158" s="103"/>
      <c r="LVX158" s="103"/>
      <c r="LVY158" s="103"/>
      <c r="LVZ158" s="103"/>
      <c r="LWA158" s="103"/>
      <c r="LWB158" s="103"/>
      <c r="LWC158" s="103"/>
      <c r="LWD158" s="103"/>
      <c r="LWE158" s="103"/>
      <c r="LWF158" s="103"/>
      <c r="LWG158" s="103"/>
      <c r="LWH158" s="103"/>
      <c r="LWI158" s="103"/>
      <c r="LWJ158" s="103"/>
      <c r="LWK158" s="103"/>
      <c r="LWL158" s="103"/>
      <c r="LWM158" s="103"/>
      <c r="LWN158" s="103"/>
      <c r="LWO158" s="103"/>
      <c r="LWP158" s="103"/>
      <c r="LWQ158" s="103"/>
      <c r="LWR158" s="103"/>
      <c r="LWS158" s="103"/>
      <c r="LWT158" s="103"/>
      <c r="LWU158" s="103"/>
      <c r="LWV158" s="103"/>
      <c r="LWW158" s="103"/>
      <c r="LWX158" s="103"/>
      <c r="LWY158" s="103"/>
      <c r="LWZ158" s="103"/>
      <c r="LXA158" s="103"/>
      <c r="LXB158" s="103"/>
      <c r="LXC158" s="103"/>
      <c r="LXD158" s="103"/>
      <c r="LXE158" s="103"/>
      <c r="LXF158" s="103"/>
      <c r="LXG158" s="103"/>
      <c r="LXH158" s="103"/>
      <c r="LXI158" s="103"/>
      <c r="LXJ158" s="103"/>
      <c r="LXK158" s="103"/>
      <c r="LXL158" s="103"/>
      <c r="LXM158" s="103"/>
      <c r="LXN158" s="103"/>
      <c r="LXO158" s="103"/>
      <c r="LXP158" s="103"/>
      <c r="LXQ158" s="103"/>
      <c r="LXR158" s="103"/>
      <c r="LXS158" s="103"/>
      <c r="LXT158" s="103"/>
      <c r="LXU158" s="103"/>
      <c r="LXV158" s="103"/>
      <c r="LXW158" s="103"/>
      <c r="LXX158" s="103"/>
      <c r="LXY158" s="103"/>
      <c r="LXZ158" s="103"/>
      <c r="LYA158" s="103"/>
      <c r="LYB158" s="103"/>
      <c r="LYC158" s="103"/>
      <c r="LYD158" s="103"/>
      <c r="LYE158" s="103"/>
      <c r="LYF158" s="103"/>
      <c r="LYG158" s="103"/>
      <c r="LYH158" s="103"/>
      <c r="LYI158" s="103"/>
      <c r="LYJ158" s="103"/>
      <c r="LYK158" s="103"/>
      <c r="LYL158" s="103"/>
      <c r="LYM158" s="103"/>
      <c r="LYN158" s="103"/>
      <c r="LYO158" s="103"/>
      <c r="LYP158" s="103"/>
      <c r="LYQ158" s="103"/>
      <c r="LYR158" s="103"/>
      <c r="LYS158" s="103"/>
      <c r="LYT158" s="103"/>
      <c r="LYU158" s="103"/>
      <c r="LYV158" s="103"/>
      <c r="LYW158" s="103"/>
      <c r="LYX158" s="103"/>
      <c r="LYY158" s="103"/>
      <c r="LYZ158" s="103"/>
      <c r="LZA158" s="103"/>
      <c r="LZB158" s="103"/>
      <c r="LZC158" s="103"/>
      <c r="LZD158" s="103"/>
      <c r="LZE158" s="103"/>
      <c r="LZF158" s="103"/>
      <c r="LZG158" s="103"/>
      <c r="LZH158" s="103"/>
      <c r="LZI158" s="103"/>
      <c r="LZJ158" s="103"/>
      <c r="LZK158" s="103"/>
      <c r="LZL158" s="103"/>
      <c r="LZM158" s="103"/>
      <c r="LZN158" s="103"/>
      <c r="LZO158" s="103"/>
      <c r="LZP158" s="103"/>
      <c r="LZQ158" s="103"/>
      <c r="LZR158" s="103"/>
      <c r="LZS158" s="103"/>
      <c r="LZT158" s="103"/>
      <c r="LZU158" s="103"/>
      <c r="LZV158" s="103"/>
      <c r="LZW158" s="103"/>
      <c r="LZX158" s="103"/>
      <c r="LZY158" s="103"/>
      <c r="LZZ158" s="103"/>
      <c r="MAA158" s="103"/>
      <c r="MAB158" s="103"/>
      <c r="MAC158" s="103"/>
      <c r="MAD158" s="103"/>
      <c r="MAE158" s="103"/>
      <c r="MAF158" s="103"/>
      <c r="MAG158" s="103"/>
      <c r="MAH158" s="103"/>
      <c r="MAI158" s="103"/>
      <c r="MAJ158" s="103"/>
      <c r="MAK158" s="103"/>
      <c r="MAL158" s="103"/>
      <c r="MAM158" s="103"/>
      <c r="MAN158" s="103"/>
      <c r="MAO158" s="103"/>
      <c r="MAP158" s="103"/>
      <c r="MAQ158" s="103"/>
      <c r="MAR158" s="103"/>
      <c r="MAS158" s="103"/>
      <c r="MAT158" s="103"/>
      <c r="MAU158" s="103"/>
      <c r="MAV158" s="103"/>
      <c r="MAW158" s="103"/>
      <c r="MAX158" s="103"/>
      <c r="MAY158" s="103"/>
      <c r="MAZ158" s="103"/>
      <c r="MBA158" s="103"/>
      <c r="MBB158" s="103"/>
      <c r="MBC158" s="103"/>
      <c r="MBD158" s="103"/>
      <c r="MBE158" s="103"/>
      <c r="MBF158" s="103"/>
      <c r="MBG158" s="103"/>
      <c r="MBH158" s="103"/>
      <c r="MBI158" s="103"/>
      <c r="MBJ158" s="103"/>
      <c r="MBK158" s="103"/>
      <c r="MBL158" s="103"/>
      <c r="MBM158" s="103"/>
      <c r="MBN158" s="103"/>
      <c r="MBO158" s="103"/>
      <c r="MBP158" s="103"/>
      <c r="MBQ158" s="103"/>
      <c r="MBR158" s="103"/>
      <c r="MBS158" s="103"/>
      <c r="MBT158" s="103"/>
      <c r="MBU158" s="103"/>
      <c r="MBV158" s="103"/>
      <c r="MBW158" s="103"/>
      <c r="MBX158" s="103"/>
      <c r="MBY158" s="103"/>
      <c r="MBZ158" s="103"/>
      <c r="MCA158" s="103"/>
      <c r="MCB158" s="103"/>
      <c r="MCC158" s="103"/>
      <c r="MCD158" s="103"/>
      <c r="MCE158" s="103"/>
      <c r="MCF158" s="103"/>
      <c r="MCG158" s="103"/>
      <c r="MCH158" s="103"/>
      <c r="MCI158" s="103"/>
      <c r="MCJ158" s="103"/>
      <c r="MCK158" s="103"/>
      <c r="MCL158" s="103"/>
      <c r="MCM158" s="103"/>
      <c r="MCN158" s="103"/>
      <c r="MCO158" s="103"/>
      <c r="MCP158" s="103"/>
      <c r="MCQ158" s="103"/>
      <c r="MCR158" s="103"/>
      <c r="MCS158" s="103"/>
      <c r="MCT158" s="103"/>
      <c r="MCU158" s="103"/>
      <c r="MCV158" s="103"/>
      <c r="MCW158" s="103"/>
      <c r="MCX158" s="103"/>
      <c r="MCY158" s="103"/>
      <c r="MCZ158" s="103"/>
      <c r="MDA158" s="103"/>
      <c r="MDB158" s="103"/>
      <c r="MDC158" s="103"/>
      <c r="MDD158" s="103"/>
      <c r="MDE158" s="103"/>
      <c r="MDF158" s="103"/>
      <c r="MDG158" s="103"/>
      <c r="MDH158" s="103"/>
      <c r="MDI158" s="103"/>
      <c r="MDJ158" s="103"/>
      <c r="MDK158" s="103"/>
      <c r="MDL158" s="103"/>
      <c r="MDM158" s="103"/>
      <c r="MDN158" s="103"/>
      <c r="MDO158" s="103"/>
      <c r="MDP158" s="103"/>
      <c r="MDQ158" s="103"/>
      <c r="MDR158" s="103"/>
      <c r="MDS158" s="103"/>
      <c r="MDT158" s="103"/>
      <c r="MDU158" s="103"/>
      <c r="MDV158" s="103"/>
      <c r="MDW158" s="103"/>
      <c r="MDX158" s="103"/>
      <c r="MDY158" s="103"/>
      <c r="MDZ158" s="103"/>
      <c r="MEA158" s="103"/>
      <c r="MEB158" s="103"/>
      <c r="MEC158" s="103"/>
      <c r="MED158" s="103"/>
      <c r="MEE158" s="103"/>
      <c r="MEF158" s="103"/>
      <c r="MEG158" s="103"/>
      <c r="MEH158" s="103"/>
      <c r="MEI158" s="103"/>
      <c r="MEJ158" s="103"/>
      <c r="MEK158" s="103"/>
      <c r="MEL158" s="103"/>
      <c r="MEM158" s="103"/>
      <c r="MEN158" s="103"/>
      <c r="MEO158" s="103"/>
      <c r="MEP158" s="103"/>
      <c r="MEQ158" s="103"/>
      <c r="MER158" s="103"/>
      <c r="MES158" s="103"/>
      <c r="MET158" s="103"/>
      <c r="MEU158" s="103"/>
      <c r="MEV158" s="103"/>
      <c r="MEW158" s="103"/>
      <c r="MEX158" s="103"/>
      <c r="MEY158" s="103"/>
      <c r="MEZ158" s="103"/>
      <c r="MFA158" s="103"/>
      <c r="MFB158" s="103"/>
      <c r="MFC158" s="103"/>
      <c r="MFD158" s="103"/>
      <c r="MFE158" s="103"/>
      <c r="MFF158" s="103"/>
      <c r="MFG158" s="103"/>
      <c r="MFH158" s="103"/>
      <c r="MFI158" s="103"/>
      <c r="MFJ158" s="103"/>
      <c r="MFK158" s="103"/>
      <c r="MFL158" s="103"/>
      <c r="MFM158" s="103"/>
      <c r="MFN158" s="103"/>
      <c r="MFO158" s="103"/>
      <c r="MFP158" s="103"/>
      <c r="MFQ158" s="103"/>
      <c r="MFR158" s="103"/>
      <c r="MFS158" s="103"/>
      <c r="MFT158" s="103"/>
      <c r="MFU158" s="103"/>
      <c r="MFV158" s="103"/>
      <c r="MFW158" s="103"/>
      <c r="MFX158" s="103"/>
      <c r="MFY158" s="103"/>
      <c r="MFZ158" s="103"/>
      <c r="MGA158" s="103"/>
      <c r="MGB158" s="103"/>
      <c r="MGC158" s="103"/>
      <c r="MGD158" s="103"/>
      <c r="MGE158" s="103"/>
      <c r="MGF158" s="103"/>
      <c r="MGG158" s="103"/>
      <c r="MGH158" s="103"/>
      <c r="MGI158" s="103"/>
      <c r="MGJ158" s="103"/>
      <c r="MGK158" s="103"/>
      <c r="MGL158" s="103"/>
      <c r="MGM158" s="103"/>
      <c r="MGN158" s="103"/>
      <c r="MGO158" s="103"/>
      <c r="MGP158" s="103"/>
      <c r="MGQ158" s="103"/>
      <c r="MGR158" s="103"/>
      <c r="MGS158" s="103"/>
      <c r="MGT158" s="103"/>
      <c r="MGU158" s="103"/>
      <c r="MGV158" s="103"/>
      <c r="MGW158" s="103"/>
      <c r="MGX158" s="103"/>
      <c r="MGY158" s="103"/>
      <c r="MGZ158" s="103"/>
      <c r="MHA158" s="103"/>
      <c r="MHB158" s="103"/>
      <c r="MHC158" s="103"/>
      <c r="MHD158" s="103"/>
      <c r="MHE158" s="103"/>
      <c r="MHF158" s="103"/>
      <c r="MHG158" s="103"/>
      <c r="MHH158" s="103"/>
      <c r="MHI158" s="103"/>
      <c r="MHJ158" s="103"/>
      <c r="MHK158" s="103"/>
      <c r="MHL158" s="103"/>
      <c r="MHM158" s="103"/>
      <c r="MHN158" s="103"/>
      <c r="MHO158" s="103"/>
      <c r="MHP158" s="103"/>
      <c r="MHQ158" s="103"/>
      <c r="MHR158" s="103"/>
      <c r="MHS158" s="103"/>
      <c r="MHT158" s="103"/>
      <c r="MHU158" s="103"/>
      <c r="MHV158" s="103"/>
      <c r="MHW158" s="103"/>
      <c r="MHX158" s="103"/>
      <c r="MHY158" s="103"/>
      <c r="MHZ158" s="103"/>
      <c r="MIA158" s="103"/>
      <c r="MIB158" s="103"/>
      <c r="MIC158" s="103"/>
      <c r="MID158" s="103"/>
      <c r="MIE158" s="103"/>
      <c r="MIF158" s="103"/>
      <c r="MIG158" s="103"/>
      <c r="MIH158" s="103"/>
      <c r="MII158" s="103"/>
      <c r="MIJ158" s="103"/>
      <c r="MIK158" s="103"/>
      <c r="MIL158" s="103"/>
      <c r="MIM158" s="103"/>
      <c r="MIN158" s="103"/>
      <c r="MIO158" s="103"/>
      <c r="MIP158" s="103"/>
      <c r="MIQ158" s="103"/>
      <c r="MIR158" s="103"/>
      <c r="MIS158" s="103"/>
      <c r="MIT158" s="103"/>
      <c r="MIU158" s="103"/>
      <c r="MIV158" s="103"/>
      <c r="MIW158" s="103"/>
      <c r="MIX158" s="103"/>
      <c r="MIY158" s="103"/>
      <c r="MIZ158" s="103"/>
      <c r="MJA158" s="103"/>
      <c r="MJB158" s="103"/>
      <c r="MJC158" s="103"/>
      <c r="MJD158" s="103"/>
      <c r="MJE158" s="103"/>
      <c r="MJF158" s="103"/>
      <c r="MJG158" s="103"/>
      <c r="MJH158" s="103"/>
      <c r="MJI158" s="103"/>
      <c r="MJJ158" s="103"/>
      <c r="MJK158" s="103"/>
      <c r="MJL158" s="103"/>
      <c r="MJM158" s="103"/>
      <c r="MJN158" s="103"/>
      <c r="MJO158" s="103"/>
      <c r="MJP158" s="103"/>
      <c r="MJQ158" s="103"/>
      <c r="MJR158" s="103"/>
      <c r="MJS158" s="103"/>
      <c r="MJT158" s="103"/>
      <c r="MJU158" s="103"/>
      <c r="MJV158" s="103"/>
      <c r="MJW158" s="103"/>
      <c r="MJX158" s="103"/>
      <c r="MJY158" s="103"/>
      <c r="MJZ158" s="103"/>
      <c r="MKA158" s="103"/>
      <c r="MKB158" s="103"/>
      <c r="MKC158" s="103"/>
      <c r="MKD158" s="103"/>
      <c r="MKE158" s="103"/>
      <c r="MKF158" s="103"/>
      <c r="MKG158" s="103"/>
      <c r="MKH158" s="103"/>
      <c r="MKI158" s="103"/>
      <c r="MKJ158" s="103"/>
      <c r="MKK158" s="103"/>
      <c r="MKL158" s="103"/>
      <c r="MKM158" s="103"/>
      <c r="MKN158" s="103"/>
      <c r="MKO158" s="103"/>
      <c r="MKP158" s="103"/>
      <c r="MKQ158" s="103"/>
      <c r="MKR158" s="103"/>
      <c r="MKS158" s="103"/>
      <c r="MKT158" s="103"/>
      <c r="MKU158" s="103"/>
      <c r="MKV158" s="103"/>
      <c r="MKW158" s="103"/>
      <c r="MKX158" s="103"/>
      <c r="MKY158" s="103"/>
      <c r="MKZ158" s="103"/>
      <c r="MLA158" s="103"/>
      <c r="MLB158" s="103"/>
      <c r="MLC158" s="103"/>
      <c r="MLD158" s="103"/>
      <c r="MLE158" s="103"/>
      <c r="MLF158" s="103"/>
      <c r="MLG158" s="103"/>
      <c r="MLH158" s="103"/>
      <c r="MLI158" s="103"/>
      <c r="MLJ158" s="103"/>
      <c r="MLK158" s="103"/>
      <c r="MLL158" s="103"/>
      <c r="MLM158" s="103"/>
      <c r="MLN158" s="103"/>
      <c r="MLO158" s="103"/>
      <c r="MLP158" s="103"/>
      <c r="MLQ158" s="103"/>
      <c r="MLR158" s="103"/>
      <c r="MLS158" s="103"/>
      <c r="MLT158" s="103"/>
      <c r="MLU158" s="103"/>
      <c r="MLV158" s="103"/>
      <c r="MLW158" s="103"/>
      <c r="MLX158" s="103"/>
      <c r="MLY158" s="103"/>
      <c r="MLZ158" s="103"/>
      <c r="MMA158" s="103"/>
      <c r="MMB158" s="103"/>
      <c r="MMC158" s="103"/>
      <c r="MMD158" s="103"/>
      <c r="MME158" s="103"/>
      <c r="MMF158" s="103"/>
      <c r="MMG158" s="103"/>
      <c r="MMH158" s="103"/>
      <c r="MMI158" s="103"/>
      <c r="MMJ158" s="103"/>
      <c r="MMK158" s="103"/>
      <c r="MML158" s="103"/>
      <c r="MMM158" s="103"/>
      <c r="MMN158" s="103"/>
      <c r="MMO158" s="103"/>
      <c r="MMP158" s="103"/>
      <c r="MMQ158" s="103"/>
      <c r="MMR158" s="103"/>
      <c r="MMS158" s="103"/>
      <c r="MMT158" s="103"/>
      <c r="MMU158" s="103"/>
      <c r="MMV158" s="103"/>
      <c r="MMW158" s="103"/>
      <c r="MMX158" s="103"/>
      <c r="MMY158" s="103"/>
      <c r="MMZ158" s="103"/>
      <c r="MNA158" s="103"/>
      <c r="MNB158" s="103"/>
      <c r="MNC158" s="103"/>
      <c r="MND158" s="103"/>
      <c r="MNE158" s="103"/>
      <c r="MNF158" s="103"/>
      <c r="MNG158" s="103"/>
      <c r="MNH158" s="103"/>
      <c r="MNI158" s="103"/>
      <c r="MNJ158" s="103"/>
      <c r="MNK158" s="103"/>
      <c r="MNL158" s="103"/>
      <c r="MNM158" s="103"/>
      <c r="MNN158" s="103"/>
      <c r="MNO158" s="103"/>
      <c r="MNP158" s="103"/>
      <c r="MNQ158" s="103"/>
      <c r="MNR158" s="103"/>
      <c r="MNS158" s="103"/>
      <c r="MNT158" s="103"/>
      <c r="MNU158" s="103"/>
      <c r="MNV158" s="103"/>
      <c r="MNW158" s="103"/>
      <c r="MNX158" s="103"/>
      <c r="MNY158" s="103"/>
      <c r="MNZ158" s="103"/>
      <c r="MOA158" s="103"/>
      <c r="MOB158" s="103"/>
      <c r="MOC158" s="103"/>
      <c r="MOD158" s="103"/>
      <c r="MOE158" s="103"/>
      <c r="MOF158" s="103"/>
      <c r="MOG158" s="103"/>
      <c r="MOH158" s="103"/>
      <c r="MOI158" s="103"/>
      <c r="MOJ158" s="103"/>
      <c r="MOK158" s="103"/>
      <c r="MOL158" s="103"/>
      <c r="MOM158" s="103"/>
      <c r="MON158" s="103"/>
      <c r="MOO158" s="103"/>
      <c r="MOP158" s="103"/>
      <c r="MOQ158" s="103"/>
      <c r="MOR158" s="103"/>
      <c r="MOS158" s="103"/>
      <c r="MOT158" s="103"/>
      <c r="MOU158" s="103"/>
      <c r="MOV158" s="103"/>
      <c r="MOW158" s="103"/>
      <c r="MOX158" s="103"/>
      <c r="MOY158" s="103"/>
      <c r="MOZ158" s="103"/>
      <c r="MPA158" s="103"/>
      <c r="MPB158" s="103"/>
      <c r="MPC158" s="103"/>
      <c r="MPD158" s="103"/>
      <c r="MPE158" s="103"/>
      <c r="MPF158" s="103"/>
      <c r="MPG158" s="103"/>
      <c r="MPH158" s="103"/>
      <c r="MPI158" s="103"/>
      <c r="MPJ158" s="103"/>
      <c r="MPK158" s="103"/>
      <c r="MPL158" s="103"/>
      <c r="MPM158" s="103"/>
      <c r="MPN158" s="103"/>
      <c r="MPO158" s="103"/>
      <c r="MPP158" s="103"/>
      <c r="MPQ158" s="103"/>
      <c r="MPR158" s="103"/>
      <c r="MPS158" s="103"/>
      <c r="MPT158" s="103"/>
      <c r="MPU158" s="103"/>
      <c r="MPV158" s="103"/>
      <c r="MPW158" s="103"/>
      <c r="MPX158" s="103"/>
      <c r="MPY158" s="103"/>
      <c r="MPZ158" s="103"/>
      <c r="MQA158" s="103"/>
      <c r="MQB158" s="103"/>
      <c r="MQC158" s="103"/>
      <c r="MQD158" s="103"/>
      <c r="MQE158" s="103"/>
      <c r="MQF158" s="103"/>
      <c r="MQG158" s="103"/>
      <c r="MQH158" s="103"/>
      <c r="MQI158" s="103"/>
      <c r="MQJ158" s="103"/>
      <c r="MQK158" s="103"/>
      <c r="MQL158" s="103"/>
      <c r="MQM158" s="103"/>
      <c r="MQN158" s="103"/>
      <c r="MQO158" s="103"/>
      <c r="MQP158" s="103"/>
      <c r="MQQ158" s="103"/>
      <c r="MQR158" s="103"/>
      <c r="MQS158" s="103"/>
      <c r="MQT158" s="103"/>
      <c r="MQU158" s="103"/>
      <c r="MQV158" s="103"/>
      <c r="MQW158" s="103"/>
      <c r="MQX158" s="103"/>
      <c r="MQY158" s="103"/>
      <c r="MQZ158" s="103"/>
      <c r="MRA158" s="103"/>
      <c r="MRB158" s="103"/>
      <c r="MRC158" s="103"/>
      <c r="MRD158" s="103"/>
      <c r="MRE158" s="103"/>
      <c r="MRF158" s="103"/>
      <c r="MRG158" s="103"/>
      <c r="MRH158" s="103"/>
      <c r="MRI158" s="103"/>
      <c r="MRJ158" s="103"/>
      <c r="MRK158" s="103"/>
      <c r="MRL158" s="103"/>
      <c r="MRM158" s="103"/>
      <c r="MRN158" s="103"/>
      <c r="MRO158" s="103"/>
      <c r="MRP158" s="103"/>
      <c r="MRQ158" s="103"/>
      <c r="MRR158" s="103"/>
      <c r="MRS158" s="103"/>
      <c r="MRT158" s="103"/>
      <c r="MRU158" s="103"/>
      <c r="MRV158" s="103"/>
      <c r="MRW158" s="103"/>
      <c r="MRX158" s="103"/>
      <c r="MRY158" s="103"/>
      <c r="MRZ158" s="103"/>
      <c r="MSA158" s="103"/>
      <c r="MSB158" s="103"/>
      <c r="MSC158" s="103"/>
      <c r="MSD158" s="103"/>
      <c r="MSE158" s="103"/>
      <c r="MSF158" s="103"/>
      <c r="MSG158" s="103"/>
      <c r="MSH158" s="103"/>
      <c r="MSI158" s="103"/>
      <c r="MSJ158" s="103"/>
      <c r="MSK158" s="103"/>
      <c r="MSL158" s="103"/>
      <c r="MSM158" s="103"/>
      <c r="MSN158" s="103"/>
      <c r="MSO158" s="103"/>
      <c r="MSP158" s="103"/>
      <c r="MSQ158" s="103"/>
      <c r="MSR158" s="103"/>
      <c r="MSS158" s="103"/>
      <c r="MST158" s="103"/>
      <c r="MSU158" s="103"/>
      <c r="MSV158" s="103"/>
      <c r="MSW158" s="103"/>
      <c r="MSX158" s="103"/>
      <c r="MSY158" s="103"/>
      <c r="MSZ158" s="103"/>
      <c r="MTA158" s="103"/>
      <c r="MTB158" s="103"/>
      <c r="MTC158" s="103"/>
      <c r="MTD158" s="103"/>
      <c r="MTE158" s="103"/>
      <c r="MTF158" s="103"/>
      <c r="MTG158" s="103"/>
      <c r="MTH158" s="103"/>
      <c r="MTI158" s="103"/>
      <c r="MTJ158" s="103"/>
      <c r="MTK158" s="103"/>
      <c r="MTL158" s="103"/>
      <c r="MTM158" s="103"/>
      <c r="MTN158" s="103"/>
      <c r="MTO158" s="103"/>
      <c r="MTP158" s="103"/>
      <c r="MTQ158" s="103"/>
      <c r="MTR158" s="103"/>
      <c r="MTS158" s="103"/>
      <c r="MTT158" s="103"/>
      <c r="MTU158" s="103"/>
      <c r="MTV158" s="103"/>
      <c r="MTW158" s="103"/>
      <c r="MTX158" s="103"/>
      <c r="MTY158" s="103"/>
      <c r="MTZ158" s="103"/>
      <c r="MUA158" s="103"/>
      <c r="MUB158" s="103"/>
      <c r="MUC158" s="103"/>
      <c r="MUD158" s="103"/>
      <c r="MUE158" s="103"/>
      <c r="MUF158" s="103"/>
      <c r="MUG158" s="103"/>
      <c r="MUH158" s="103"/>
      <c r="MUI158" s="103"/>
      <c r="MUJ158" s="103"/>
      <c r="MUK158" s="103"/>
      <c r="MUL158" s="103"/>
      <c r="MUM158" s="103"/>
      <c r="MUN158" s="103"/>
      <c r="MUO158" s="103"/>
      <c r="MUP158" s="103"/>
      <c r="MUQ158" s="103"/>
      <c r="MUR158" s="103"/>
      <c r="MUS158" s="103"/>
      <c r="MUT158" s="103"/>
      <c r="MUU158" s="103"/>
      <c r="MUV158" s="103"/>
      <c r="MUW158" s="103"/>
      <c r="MUX158" s="103"/>
      <c r="MUY158" s="103"/>
      <c r="MUZ158" s="103"/>
      <c r="MVA158" s="103"/>
      <c r="MVB158" s="103"/>
      <c r="MVC158" s="103"/>
      <c r="MVD158" s="103"/>
      <c r="MVE158" s="103"/>
      <c r="MVF158" s="103"/>
      <c r="MVG158" s="103"/>
      <c r="MVH158" s="103"/>
      <c r="MVI158" s="103"/>
      <c r="MVJ158" s="103"/>
      <c r="MVK158" s="103"/>
      <c r="MVL158" s="103"/>
      <c r="MVM158" s="103"/>
      <c r="MVN158" s="103"/>
      <c r="MVO158" s="103"/>
      <c r="MVP158" s="103"/>
      <c r="MVQ158" s="103"/>
      <c r="MVR158" s="103"/>
      <c r="MVS158" s="103"/>
      <c r="MVT158" s="103"/>
      <c r="MVU158" s="103"/>
      <c r="MVV158" s="103"/>
      <c r="MVW158" s="103"/>
      <c r="MVX158" s="103"/>
      <c r="MVY158" s="103"/>
      <c r="MVZ158" s="103"/>
      <c r="MWA158" s="103"/>
      <c r="MWB158" s="103"/>
      <c r="MWC158" s="103"/>
      <c r="MWD158" s="103"/>
      <c r="MWE158" s="103"/>
      <c r="MWF158" s="103"/>
      <c r="MWG158" s="103"/>
      <c r="MWH158" s="103"/>
      <c r="MWI158" s="103"/>
      <c r="MWJ158" s="103"/>
      <c r="MWK158" s="103"/>
      <c r="MWL158" s="103"/>
      <c r="MWM158" s="103"/>
      <c r="MWN158" s="103"/>
      <c r="MWO158" s="103"/>
      <c r="MWP158" s="103"/>
      <c r="MWQ158" s="103"/>
      <c r="MWR158" s="103"/>
      <c r="MWS158" s="103"/>
      <c r="MWT158" s="103"/>
      <c r="MWU158" s="103"/>
      <c r="MWV158" s="103"/>
      <c r="MWW158" s="103"/>
      <c r="MWX158" s="103"/>
      <c r="MWY158" s="103"/>
      <c r="MWZ158" s="103"/>
      <c r="MXA158" s="103"/>
      <c r="MXB158" s="103"/>
      <c r="MXC158" s="103"/>
      <c r="MXD158" s="103"/>
      <c r="MXE158" s="103"/>
      <c r="MXF158" s="103"/>
      <c r="MXG158" s="103"/>
      <c r="MXH158" s="103"/>
      <c r="MXI158" s="103"/>
      <c r="MXJ158" s="103"/>
      <c r="MXK158" s="103"/>
      <c r="MXL158" s="103"/>
      <c r="MXM158" s="103"/>
      <c r="MXN158" s="103"/>
      <c r="MXO158" s="103"/>
      <c r="MXP158" s="103"/>
      <c r="MXQ158" s="103"/>
      <c r="MXR158" s="103"/>
      <c r="MXS158" s="103"/>
      <c r="MXT158" s="103"/>
      <c r="MXU158" s="103"/>
      <c r="MXV158" s="103"/>
      <c r="MXW158" s="103"/>
      <c r="MXX158" s="103"/>
      <c r="MXY158" s="103"/>
      <c r="MXZ158" s="103"/>
      <c r="MYA158" s="103"/>
      <c r="MYB158" s="103"/>
      <c r="MYC158" s="103"/>
      <c r="MYD158" s="103"/>
      <c r="MYE158" s="103"/>
      <c r="MYF158" s="103"/>
      <c r="MYG158" s="103"/>
      <c r="MYH158" s="103"/>
      <c r="MYI158" s="103"/>
      <c r="MYJ158" s="103"/>
      <c r="MYK158" s="103"/>
      <c r="MYL158" s="103"/>
      <c r="MYM158" s="103"/>
      <c r="MYN158" s="103"/>
      <c r="MYO158" s="103"/>
      <c r="MYP158" s="103"/>
      <c r="MYQ158" s="103"/>
      <c r="MYR158" s="103"/>
      <c r="MYS158" s="103"/>
      <c r="MYT158" s="103"/>
      <c r="MYU158" s="103"/>
      <c r="MYV158" s="103"/>
      <c r="MYW158" s="103"/>
      <c r="MYX158" s="103"/>
      <c r="MYY158" s="103"/>
      <c r="MYZ158" s="103"/>
      <c r="MZA158" s="103"/>
      <c r="MZB158" s="103"/>
      <c r="MZC158" s="103"/>
      <c r="MZD158" s="103"/>
      <c r="MZE158" s="103"/>
      <c r="MZF158" s="103"/>
      <c r="MZG158" s="103"/>
      <c r="MZH158" s="103"/>
      <c r="MZI158" s="103"/>
      <c r="MZJ158" s="103"/>
      <c r="MZK158" s="103"/>
      <c r="MZL158" s="103"/>
      <c r="MZM158" s="103"/>
      <c r="MZN158" s="103"/>
      <c r="MZO158" s="103"/>
      <c r="MZP158" s="103"/>
      <c r="MZQ158" s="103"/>
      <c r="MZR158" s="103"/>
      <c r="MZS158" s="103"/>
      <c r="MZT158" s="103"/>
      <c r="MZU158" s="103"/>
      <c r="MZV158" s="103"/>
      <c r="MZW158" s="103"/>
      <c r="MZX158" s="103"/>
      <c r="MZY158" s="103"/>
      <c r="MZZ158" s="103"/>
      <c r="NAA158" s="103"/>
      <c r="NAB158" s="103"/>
      <c r="NAC158" s="103"/>
      <c r="NAD158" s="103"/>
      <c r="NAE158" s="103"/>
      <c r="NAF158" s="103"/>
      <c r="NAG158" s="103"/>
      <c r="NAH158" s="103"/>
      <c r="NAI158" s="103"/>
      <c r="NAJ158" s="103"/>
      <c r="NAK158" s="103"/>
      <c r="NAL158" s="103"/>
      <c r="NAM158" s="103"/>
      <c r="NAN158" s="103"/>
      <c r="NAO158" s="103"/>
      <c r="NAP158" s="103"/>
      <c r="NAQ158" s="103"/>
      <c r="NAR158" s="103"/>
      <c r="NAS158" s="103"/>
      <c r="NAT158" s="103"/>
      <c r="NAU158" s="103"/>
      <c r="NAV158" s="103"/>
      <c r="NAW158" s="103"/>
      <c r="NAX158" s="103"/>
      <c r="NAY158" s="103"/>
      <c r="NAZ158" s="103"/>
      <c r="NBA158" s="103"/>
      <c r="NBB158" s="103"/>
      <c r="NBC158" s="103"/>
      <c r="NBD158" s="103"/>
      <c r="NBE158" s="103"/>
      <c r="NBF158" s="103"/>
      <c r="NBG158" s="103"/>
      <c r="NBH158" s="103"/>
      <c r="NBI158" s="103"/>
      <c r="NBJ158" s="103"/>
      <c r="NBK158" s="103"/>
      <c r="NBL158" s="103"/>
      <c r="NBM158" s="103"/>
      <c r="NBN158" s="103"/>
      <c r="NBO158" s="103"/>
      <c r="NBP158" s="103"/>
      <c r="NBQ158" s="103"/>
      <c r="NBR158" s="103"/>
      <c r="NBS158" s="103"/>
      <c r="NBT158" s="103"/>
      <c r="NBU158" s="103"/>
      <c r="NBV158" s="103"/>
      <c r="NBW158" s="103"/>
      <c r="NBX158" s="103"/>
      <c r="NBY158" s="103"/>
      <c r="NBZ158" s="103"/>
      <c r="NCA158" s="103"/>
      <c r="NCB158" s="103"/>
      <c r="NCC158" s="103"/>
      <c r="NCD158" s="103"/>
      <c r="NCE158" s="103"/>
      <c r="NCF158" s="103"/>
      <c r="NCG158" s="103"/>
      <c r="NCH158" s="103"/>
      <c r="NCI158" s="103"/>
      <c r="NCJ158" s="103"/>
      <c r="NCK158" s="103"/>
      <c r="NCL158" s="103"/>
      <c r="NCM158" s="103"/>
      <c r="NCN158" s="103"/>
      <c r="NCO158" s="103"/>
      <c r="NCP158" s="103"/>
      <c r="NCQ158" s="103"/>
      <c r="NCR158" s="103"/>
      <c r="NCS158" s="103"/>
      <c r="NCT158" s="103"/>
      <c r="NCU158" s="103"/>
      <c r="NCV158" s="103"/>
      <c r="NCW158" s="103"/>
      <c r="NCX158" s="103"/>
      <c r="NCY158" s="103"/>
      <c r="NCZ158" s="103"/>
      <c r="NDA158" s="103"/>
      <c r="NDB158" s="103"/>
      <c r="NDC158" s="103"/>
      <c r="NDD158" s="103"/>
      <c r="NDE158" s="103"/>
      <c r="NDF158" s="103"/>
      <c r="NDG158" s="103"/>
      <c r="NDH158" s="103"/>
      <c r="NDI158" s="103"/>
      <c r="NDJ158" s="103"/>
      <c r="NDK158" s="103"/>
      <c r="NDL158" s="103"/>
      <c r="NDM158" s="103"/>
      <c r="NDN158" s="103"/>
      <c r="NDO158" s="103"/>
      <c r="NDP158" s="103"/>
      <c r="NDQ158" s="103"/>
      <c r="NDR158" s="103"/>
      <c r="NDS158" s="103"/>
      <c r="NDT158" s="103"/>
      <c r="NDU158" s="103"/>
      <c r="NDV158" s="103"/>
      <c r="NDW158" s="103"/>
      <c r="NDX158" s="103"/>
      <c r="NDY158" s="103"/>
      <c r="NDZ158" s="103"/>
      <c r="NEA158" s="103"/>
      <c r="NEB158" s="103"/>
      <c r="NEC158" s="103"/>
      <c r="NED158" s="103"/>
      <c r="NEE158" s="103"/>
      <c r="NEF158" s="103"/>
      <c r="NEG158" s="103"/>
      <c r="NEH158" s="103"/>
      <c r="NEI158" s="103"/>
      <c r="NEJ158" s="103"/>
      <c r="NEK158" s="103"/>
      <c r="NEL158" s="103"/>
      <c r="NEM158" s="103"/>
      <c r="NEN158" s="103"/>
      <c r="NEO158" s="103"/>
      <c r="NEP158" s="103"/>
      <c r="NEQ158" s="103"/>
      <c r="NER158" s="103"/>
      <c r="NES158" s="103"/>
      <c r="NET158" s="103"/>
      <c r="NEU158" s="103"/>
      <c r="NEV158" s="103"/>
      <c r="NEW158" s="103"/>
      <c r="NEX158" s="103"/>
      <c r="NEY158" s="103"/>
      <c r="NEZ158" s="103"/>
      <c r="NFA158" s="103"/>
      <c r="NFB158" s="103"/>
      <c r="NFC158" s="103"/>
      <c r="NFD158" s="103"/>
      <c r="NFE158" s="103"/>
      <c r="NFF158" s="103"/>
      <c r="NFG158" s="103"/>
      <c r="NFH158" s="103"/>
      <c r="NFI158" s="103"/>
      <c r="NFJ158" s="103"/>
      <c r="NFK158" s="103"/>
      <c r="NFL158" s="103"/>
      <c r="NFM158" s="103"/>
      <c r="NFN158" s="103"/>
      <c r="NFO158" s="103"/>
      <c r="NFP158" s="103"/>
      <c r="NFQ158" s="103"/>
      <c r="NFR158" s="103"/>
      <c r="NFS158" s="103"/>
      <c r="NFT158" s="103"/>
      <c r="NFU158" s="103"/>
      <c r="NFV158" s="103"/>
      <c r="NFW158" s="103"/>
      <c r="NFX158" s="103"/>
      <c r="NFY158" s="103"/>
      <c r="NFZ158" s="103"/>
      <c r="NGA158" s="103"/>
      <c r="NGB158" s="103"/>
      <c r="NGC158" s="103"/>
      <c r="NGD158" s="103"/>
      <c r="NGE158" s="103"/>
      <c r="NGF158" s="103"/>
      <c r="NGG158" s="103"/>
      <c r="NGH158" s="103"/>
      <c r="NGI158" s="103"/>
      <c r="NGJ158" s="103"/>
      <c r="NGK158" s="103"/>
      <c r="NGL158" s="103"/>
      <c r="NGM158" s="103"/>
      <c r="NGN158" s="103"/>
      <c r="NGO158" s="103"/>
      <c r="NGP158" s="103"/>
      <c r="NGQ158" s="103"/>
      <c r="NGR158" s="103"/>
      <c r="NGS158" s="103"/>
      <c r="NGT158" s="103"/>
      <c r="NGU158" s="103"/>
      <c r="NGV158" s="103"/>
      <c r="NGW158" s="103"/>
      <c r="NGX158" s="103"/>
      <c r="NGY158" s="103"/>
      <c r="NGZ158" s="103"/>
      <c r="NHA158" s="103"/>
      <c r="NHB158" s="103"/>
      <c r="NHC158" s="103"/>
      <c r="NHD158" s="103"/>
      <c r="NHE158" s="103"/>
      <c r="NHF158" s="103"/>
      <c r="NHG158" s="103"/>
      <c r="NHH158" s="103"/>
      <c r="NHI158" s="103"/>
      <c r="NHJ158" s="103"/>
      <c r="NHK158" s="103"/>
      <c r="NHL158" s="103"/>
      <c r="NHM158" s="103"/>
      <c r="NHN158" s="103"/>
      <c r="NHO158" s="103"/>
      <c r="NHP158" s="103"/>
      <c r="NHQ158" s="103"/>
      <c r="NHR158" s="103"/>
      <c r="NHS158" s="103"/>
      <c r="NHT158" s="103"/>
      <c r="NHU158" s="103"/>
      <c r="NHV158" s="103"/>
      <c r="NHW158" s="103"/>
      <c r="NHX158" s="103"/>
      <c r="NHY158" s="103"/>
      <c r="NHZ158" s="103"/>
      <c r="NIA158" s="103"/>
      <c r="NIB158" s="103"/>
      <c r="NIC158" s="103"/>
      <c r="NID158" s="103"/>
      <c r="NIE158" s="103"/>
      <c r="NIF158" s="103"/>
      <c r="NIG158" s="103"/>
      <c r="NIH158" s="103"/>
      <c r="NII158" s="103"/>
      <c r="NIJ158" s="103"/>
      <c r="NIK158" s="103"/>
      <c r="NIL158" s="103"/>
      <c r="NIM158" s="103"/>
      <c r="NIN158" s="103"/>
      <c r="NIO158" s="103"/>
      <c r="NIP158" s="103"/>
      <c r="NIQ158" s="103"/>
      <c r="NIR158" s="103"/>
      <c r="NIS158" s="103"/>
      <c r="NIT158" s="103"/>
      <c r="NIU158" s="103"/>
      <c r="NIV158" s="103"/>
      <c r="NIW158" s="103"/>
      <c r="NIX158" s="103"/>
      <c r="NIY158" s="103"/>
      <c r="NIZ158" s="103"/>
      <c r="NJA158" s="103"/>
      <c r="NJB158" s="103"/>
      <c r="NJC158" s="103"/>
      <c r="NJD158" s="103"/>
      <c r="NJE158" s="103"/>
      <c r="NJF158" s="103"/>
      <c r="NJG158" s="103"/>
      <c r="NJH158" s="103"/>
      <c r="NJI158" s="103"/>
      <c r="NJJ158" s="103"/>
      <c r="NJK158" s="103"/>
      <c r="NJL158" s="103"/>
      <c r="NJM158" s="103"/>
      <c r="NJN158" s="103"/>
      <c r="NJO158" s="103"/>
      <c r="NJP158" s="103"/>
      <c r="NJQ158" s="103"/>
      <c r="NJR158" s="103"/>
      <c r="NJS158" s="103"/>
      <c r="NJT158" s="103"/>
      <c r="NJU158" s="103"/>
      <c r="NJV158" s="103"/>
      <c r="NJW158" s="103"/>
      <c r="NJX158" s="103"/>
      <c r="NJY158" s="103"/>
      <c r="NJZ158" s="103"/>
      <c r="NKA158" s="103"/>
      <c r="NKB158" s="103"/>
      <c r="NKC158" s="103"/>
      <c r="NKD158" s="103"/>
      <c r="NKE158" s="103"/>
      <c r="NKF158" s="103"/>
      <c r="NKG158" s="103"/>
      <c r="NKH158" s="103"/>
      <c r="NKI158" s="103"/>
      <c r="NKJ158" s="103"/>
      <c r="NKK158" s="103"/>
      <c r="NKL158" s="103"/>
      <c r="NKM158" s="103"/>
      <c r="NKN158" s="103"/>
      <c r="NKO158" s="103"/>
      <c r="NKP158" s="103"/>
      <c r="NKQ158" s="103"/>
      <c r="NKR158" s="103"/>
      <c r="NKS158" s="103"/>
      <c r="NKT158" s="103"/>
      <c r="NKU158" s="103"/>
      <c r="NKV158" s="103"/>
      <c r="NKW158" s="103"/>
      <c r="NKX158" s="103"/>
      <c r="NKY158" s="103"/>
      <c r="NKZ158" s="103"/>
      <c r="NLA158" s="103"/>
      <c r="NLB158" s="103"/>
      <c r="NLC158" s="103"/>
      <c r="NLD158" s="103"/>
      <c r="NLE158" s="103"/>
      <c r="NLF158" s="103"/>
      <c r="NLG158" s="103"/>
      <c r="NLH158" s="103"/>
      <c r="NLI158" s="103"/>
      <c r="NLJ158" s="103"/>
      <c r="NLK158" s="103"/>
      <c r="NLL158" s="103"/>
      <c r="NLM158" s="103"/>
      <c r="NLN158" s="103"/>
      <c r="NLO158" s="103"/>
      <c r="NLP158" s="103"/>
      <c r="NLQ158" s="103"/>
      <c r="NLR158" s="103"/>
      <c r="NLS158" s="103"/>
      <c r="NLT158" s="103"/>
      <c r="NLU158" s="103"/>
      <c r="NLV158" s="103"/>
      <c r="NLW158" s="103"/>
      <c r="NLX158" s="103"/>
      <c r="NLY158" s="103"/>
      <c r="NLZ158" s="103"/>
      <c r="NMA158" s="103"/>
      <c r="NMB158" s="103"/>
      <c r="NMC158" s="103"/>
      <c r="NMD158" s="103"/>
      <c r="NME158" s="103"/>
      <c r="NMF158" s="103"/>
      <c r="NMG158" s="103"/>
      <c r="NMH158" s="103"/>
      <c r="NMI158" s="103"/>
      <c r="NMJ158" s="103"/>
      <c r="NMK158" s="103"/>
      <c r="NML158" s="103"/>
      <c r="NMM158" s="103"/>
      <c r="NMN158" s="103"/>
      <c r="NMO158" s="103"/>
      <c r="NMP158" s="103"/>
      <c r="NMQ158" s="103"/>
      <c r="NMR158" s="103"/>
      <c r="NMS158" s="103"/>
      <c r="NMT158" s="103"/>
      <c r="NMU158" s="103"/>
      <c r="NMV158" s="103"/>
      <c r="NMW158" s="103"/>
      <c r="NMX158" s="103"/>
      <c r="NMY158" s="103"/>
      <c r="NMZ158" s="103"/>
      <c r="NNA158" s="103"/>
      <c r="NNB158" s="103"/>
      <c r="NNC158" s="103"/>
      <c r="NND158" s="103"/>
      <c r="NNE158" s="103"/>
      <c r="NNF158" s="103"/>
      <c r="NNG158" s="103"/>
      <c r="NNH158" s="103"/>
      <c r="NNI158" s="103"/>
      <c r="NNJ158" s="103"/>
      <c r="NNK158" s="103"/>
      <c r="NNL158" s="103"/>
      <c r="NNM158" s="103"/>
      <c r="NNN158" s="103"/>
      <c r="NNO158" s="103"/>
      <c r="NNP158" s="103"/>
      <c r="NNQ158" s="103"/>
      <c r="NNR158" s="103"/>
      <c r="NNS158" s="103"/>
      <c r="NNT158" s="103"/>
      <c r="NNU158" s="103"/>
      <c r="NNV158" s="103"/>
      <c r="NNW158" s="103"/>
      <c r="NNX158" s="103"/>
      <c r="NNY158" s="103"/>
      <c r="NNZ158" s="103"/>
      <c r="NOA158" s="103"/>
      <c r="NOB158" s="103"/>
      <c r="NOC158" s="103"/>
      <c r="NOD158" s="103"/>
      <c r="NOE158" s="103"/>
      <c r="NOF158" s="103"/>
      <c r="NOG158" s="103"/>
      <c r="NOH158" s="103"/>
      <c r="NOI158" s="103"/>
      <c r="NOJ158" s="103"/>
      <c r="NOK158" s="103"/>
      <c r="NOL158" s="103"/>
      <c r="NOM158" s="103"/>
      <c r="NON158" s="103"/>
      <c r="NOO158" s="103"/>
      <c r="NOP158" s="103"/>
      <c r="NOQ158" s="103"/>
      <c r="NOR158" s="103"/>
      <c r="NOS158" s="103"/>
      <c r="NOT158" s="103"/>
      <c r="NOU158" s="103"/>
      <c r="NOV158" s="103"/>
      <c r="NOW158" s="103"/>
      <c r="NOX158" s="103"/>
      <c r="NOY158" s="103"/>
      <c r="NOZ158" s="103"/>
      <c r="NPA158" s="103"/>
      <c r="NPB158" s="103"/>
      <c r="NPC158" s="103"/>
      <c r="NPD158" s="103"/>
      <c r="NPE158" s="103"/>
      <c r="NPF158" s="103"/>
      <c r="NPG158" s="103"/>
      <c r="NPH158" s="103"/>
      <c r="NPI158" s="103"/>
      <c r="NPJ158" s="103"/>
      <c r="NPK158" s="103"/>
      <c r="NPL158" s="103"/>
      <c r="NPM158" s="103"/>
      <c r="NPN158" s="103"/>
      <c r="NPO158" s="103"/>
      <c r="NPP158" s="103"/>
      <c r="NPQ158" s="103"/>
      <c r="NPR158" s="103"/>
      <c r="NPS158" s="103"/>
      <c r="NPT158" s="103"/>
      <c r="NPU158" s="103"/>
      <c r="NPV158" s="103"/>
      <c r="NPW158" s="103"/>
      <c r="NPX158" s="103"/>
      <c r="NPY158" s="103"/>
      <c r="NPZ158" s="103"/>
      <c r="NQA158" s="103"/>
      <c r="NQB158" s="103"/>
      <c r="NQC158" s="103"/>
      <c r="NQD158" s="103"/>
      <c r="NQE158" s="103"/>
      <c r="NQF158" s="103"/>
      <c r="NQG158" s="103"/>
      <c r="NQH158" s="103"/>
      <c r="NQI158" s="103"/>
      <c r="NQJ158" s="103"/>
      <c r="NQK158" s="103"/>
      <c r="NQL158" s="103"/>
      <c r="NQM158" s="103"/>
      <c r="NQN158" s="103"/>
      <c r="NQO158" s="103"/>
      <c r="NQP158" s="103"/>
      <c r="NQQ158" s="103"/>
      <c r="NQR158" s="103"/>
      <c r="NQS158" s="103"/>
      <c r="NQT158" s="103"/>
      <c r="NQU158" s="103"/>
      <c r="NQV158" s="103"/>
      <c r="NQW158" s="103"/>
      <c r="NQX158" s="103"/>
      <c r="NQY158" s="103"/>
      <c r="NQZ158" s="103"/>
      <c r="NRA158" s="103"/>
      <c r="NRB158" s="103"/>
      <c r="NRC158" s="103"/>
      <c r="NRD158" s="103"/>
      <c r="NRE158" s="103"/>
      <c r="NRF158" s="103"/>
      <c r="NRG158" s="103"/>
      <c r="NRH158" s="103"/>
      <c r="NRI158" s="103"/>
      <c r="NRJ158" s="103"/>
      <c r="NRK158" s="103"/>
      <c r="NRL158" s="103"/>
      <c r="NRM158" s="103"/>
      <c r="NRN158" s="103"/>
      <c r="NRO158" s="103"/>
      <c r="NRP158" s="103"/>
      <c r="NRQ158" s="103"/>
      <c r="NRR158" s="103"/>
      <c r="NRS158" s="103"/>
      <c r="NRT158" s="103"/>
      <c r="NRU158" s="103"/>
      <c r="NRV158" s="103"/>
      <c r="NRW158" s="103"/>
      <c r="NRX158" s="103"/>
      <c r="NRY158" s="103"/>
      <c r="NRZ158" s="103"/>
      <c r="NSA158" s="103"/>
      <c r="NSB158" s="103"/>
      <c r="NSC158" s="103"/>
      <c r="NSD158" s="103"/>
      <c r="NSE158" s="103"/>
      <c r="NSF158" s="103"/>
      <c r="NSG158" s="103"/>
      <c r="NSH158" s="103"/>
      <c r="NSI158" s="103"/>
      <c r="NSJ158" s="103"/>
      <c r="NSK158" s="103"/>
      <c r="NSL158" s="103"/>
      <c r="NSM158" s="103"/>
      <c r="NSN158" s="103"/>
      <c r="NSO158" s="103"/>
      <c r="NSP158" s="103"/>
      <c r="NSQ158" s="103"/>
      <c r="NSR158" s="103"/>
      <c r="NSS158" s="103"/>
      <c r="NST158" s="103"/>
      <c r="NSU158" s="103"/>
      <c r="NSV158" s="103"/>
      <c r="NSW158" s="103"/>
      <c r="NSX158" s="103"/>
      <c r="NSY158" s="103"/>
      <c r="NSZ158" s="103"/>
      <c r="NTA158" s="103"/>
      <c r="NTB158" s="103"/>
      <c r="NTC158" s="103"/>
      <c r="NTD158" s="103"/>
      <c r="NTE158" s="103"/>
      <c r="NTF158" s="103"/>
      <c r="NTG158" s="103"/>
      <c r="NTH158" s="103"/>
      <c r="NTI158" s="103"/>
      <c r="NTJ158" s="103"/>
      <c r="NTK158" s="103"/>
      <c r="NTL158" s="103"/>
      <c r="NTM158" s="103"/>
      <c r="NTN158" s="103"/>
      <c r="NTO158" s="103"/>
      <c r="NTP158" s="103"/>
      <c r="NTQ158" s="103"/>
      <c r="NTR158" s="103"/>
      <c r="NTS158" s="103"/>
      <c r="NTT158" s="103"/>
      <c r="NTU158" s="103"/>
      <c r="NTV158" s="103"/>
      <c r="NTW158" s="103"/>
      <c r="NTX158" s="103"/>
      <c r="NTY158" s="103"/>
      <c r="NTZ158" s="103"/>
      <c r="NUA158" s="103"/>
      <c r="NUB158" s="103"/>
      <c r="NUC158" s="103"/>
      <c r="NUD158" s="103"/>
      <c r="NUE158" s="103"/>
      <c r="NUF158" s="103"/>
      <c r="NUG158" s="103"/>
      <c r="NUH158" s="103"/>
      <c r="NUI158" s="103"/>
      <c r="NUJ158" s="103"/>
      <c r="NUK158" s="103"/>
      <c r="NUL158" s="103"/>
      <c r="NUM158" s="103"/>
      <c r="NUN158" s="103"/>
      <c r="NUO158" s="103"/>
      <c r="NUP158" s="103"/>
      <c r="NUQ158" s="103"/>
      <c r="NUR158" s="103"/>
      <c r="NUS158" s="103"/>
      <c r="NUT158" s="103"/>
      <c r="NUU158" s="103"/>
      <c r="NUV158" s="103"/>
      <c r="NUW158" s="103"/>
      <c r="NUX158" s="103"/>
      <c r="NUY158" s="103"/>
      <c r="NUZ158" s="103"/>
      <c r="NVA158" s="103"/>
      <c r="NVB158" s="103"/>
      <c r="NVC158" s="103"/>
      <c r="NVD158" s="103"/>
      <c r="NVE158" s="103"/>
      <c r="NVF158" s="103"/>
      <c r="NVG158" s="103"/>
      <c r="NVH158" s="103"/>
      <c r="NVI158" s="103"/>
      <c r="NVJ158" s="103"/>
      <c r="NVK158" s="103"/>
      <c r="NVL158" s="103"/>
      <c r="NVM158" s="103"/>
      <c r="NVN158" s="103"/>
      <c r="NVO158" s="103"/>
      <c r="NVP158" s="103"/>
      <c r="NVQ158" s="103"/>
      <c r="NVR158" s="103"/>
      <c r="NVS158" s="103"/>
      <c r="NVT158" s="103"/>
      <c r="NVU158" s="103"/>
      <c r="NVV158" s="103"/>
      <c r="NVW158" s="103"/>
      <c r="NVX158" s="103"/>
      <c r="NVY158" s="103"/>
      <c r="NVZ158" s="103"/>
      <c r="NWA158" s="103"/>
      <c r="NWB158" s="103"/>
      <c r="NWC158" s="103"/>
      <c r="NWD158" s="103"/>
      <c r="NWE158" s="103"/>
      <c r="NWF158" s="103"/>
      <c r="NWG158" s="103"/>
      <c r="NWH158" s="103"/>
      <c r="NWI158" s="103"/>
      <c r="NWJ158" s="103"/>
      <c r="NWK158" s="103"/>
      <c r="NWL158" s="103"/>
      <c r="NWM158" s="103"/>
      <c r="NWN158" s="103"/>
      <c r="NWO158" s="103"/>
      <c r="NWP158" s="103"/>
      <c r="NWQ158" s="103"/>
      <c r="NWR158" s="103"/>
      <c r="NWS158" s="103"/>
      <c r="NWT158" s="103"/>
      <c r="NWU158" s="103"/>
      <c r="NWV158" s="103"/>
      <c r="NWW158" s="103"/>
      <c r="NWX158" s="103"/>
      <c r="NWY158" s="103"/>
      <c r="NWZ158" s="103"/>
      <c r="NXA158" s="103"/>
      <c r="NXB158" s="103"/>
      <c r="NXC158" s="103"/>
      <c r="NXD158" s="103"/>
      <c r="NXE158" s="103"/>
      <c r="NXF158" s="103"/>
      <c r="NXG158" s="103"/>
      <c r="NXH158" s="103"/>
      <c r="NXI158" s="103"/>
      <c r="NXJ158" s="103"/>
      <c r="NXK158" s="103"/>
      <c r="NXL158" s="103"/>
      <c r="NXM158" s="103"/>
      <c r="NXN158" s="103"/>
      <c r="NXO158" s="103"/>
      <c r="NXP158" s="103"/>
      <c r="NXQ158" s="103"/>
      <c r="NXR158" s="103"/>
      <c r="NXS158" s="103"/>
      <c r="NXT158" s="103"/>
      <c r="NXU158" s="103"/>
      <c r="NXV158" s="103"/>
      <c r="NXW158" s="103"/>
      <c r="NXX158" s="103"/>
      <c r="NXY158" s="103"/>
      <c r="NXZ158" s="103"/>
      <c r="NYA158" s="103"/>
      <c r="NYB158" s="103"/>
      <c r="NYC158" s="103"/>
      <c r="NYD158" s="103"/>
      <c r="NYE158" s="103"/>
      <c r="NYF158" s="103"/>
      <c r="NYG158" s="103"/>
      <c r="NYH158" s="103"/>
      <c r="NYI158" s="103"/>
      <c r="NYJ158" s="103"/>
      <c r="NYK158" s="103"/>
      <c r="NYL158" s="103"/>
      <c r="NYM158" s="103"/>
      <c r="NYN158" s="103"/>
      <c r="NYO158" s="103"/>
      <c r="NYP158" s="103"/>
      <c r="NYQ158" s="103"/>
      <c r="NYR158" s="103"/>
      <c r="NYS158" s="103"/>
      <c r="NYT158" s="103"/>
      <c r="NYU158" s="103"/>
      <c r="NYV158" s="103"/>
      <c r="NYW158" s="103"/>
      <c r="NYX158" s="103"/>
      <c r="NYY158" s="103"/>
      <c r="NYZ158" s="103"/>
      <c r="NZA158" s="103"/>
      <c r="NZB158" s="103"/>
      <c r="NZC158" s="103"/>
      <c r="NZD158" s="103"/>
      <c r="NZE158" s="103"/>
      <c r="NZF158" s="103"/>
      <c r="NZG158" s="103"/>
      <c r="NZH158" s="103"/>
      <c r="NZI158" s="103"/>
      <c r="NZJ158" s="103"/>
      <c r="NZK158" s="103"/>
      <c r="NZL158" s="103"/>
      <c r="NZM158" s="103"/>
      <c r="NZN158" s="103"/>
      <c r="NZO158" s="103"/>
      <c r="NZP158" s="103"/>
      <c r="NZQ158" s="103"/>
      <c r="NZR158" s="103"/>
      <c r="NZS158" s="103"/>
      <c r="NZT158" s="103"/>
      <c r="NZU158" s="103"/>
      <c r="NZV158" s="103"/>
      <c r="NZW158" s="103"/>
      <c r="NZX158" s="103"/>
      <c r="NZY158" s="103"/>
      <c r="NZZ158" s="103"/>
      <c r="OAA158" s="103"/>
      <c r="OAB158" s="103"/>
      <c r="OAC158" s="103"/>
      <c r="OAD158" s="103"/>
      <c r="OAE158" s="103"/>
      <c r="OAF158" s="103"/>
      <c r="OAG158" s="103"/>
      <c r="OAH158" s="103"/>
      <c r="OAI158" s="103"/>
      <c r="OAJ158" s="103"/>
      <c r="OAK158" s="103"/>
      <c r="OAL158" s="103"/>
      <c r="OAM158" s="103"/>
      <c r="OAN158" s="103"/>
      <c r="OAO158" s="103"/>
      <c r="OAP158" s="103"/>
      <c r="OAQ158" s="103"/>
      <c r="OAR158" s="103"/>
      <c r="OAS158" s="103"/>
      <c r="OAT158" s="103"/>
      <c r="OAU158" s="103"/>
      <c r="OAV158" s="103"/>
      <c r="OAW158" s="103"/>
      <c r="OAX158" s="103"/>
      <c r="OAY158" s="103"/>
      <c r="OAZ158" s="103"/>
      <c r="OBA158" s="103"/>
      <c r="OBB158" s="103"/>
      <c r="OBC158" s="103"/>
      <c r="OBD158" s="103"/>
      <c r="OBE158" s="103"/>
      <c r="OBF158" s="103"/>
      <c r="OBG158" s="103"/>
      <c r="OBH158" s="103"/>
      <c r="OBI158" s="103"/>
      <c r="OBJ158" s="103"/>
      <c r="OBK158" s="103"/>
      <c r="OBL158" s="103"/>
      <c r="OBM158" s="103"/>
      <c r="OBN158" s="103"/>
      <c r="OBO158" s="103"/>
      <c r="OBP158" s="103"/>
      <c r="OBQ158" s="103"/>
      <c r="OBR158" s="103"/>
      <c r="OBS158" s="103"/>
      <c r="OBT158" s="103"/>
      <c r="OBU158" s="103"/>
      <c r="OBV158" s="103"/>
      <c r="OBW158" s="103"/>
      <c r="OBX158" s="103"/>
      <c r="OBY158" s="103"/>
      <c r="OBZ158" s="103"/>
      <c r="OCA158" s="103"/>
      <c r="OCB158" s="103"/>
      <c r="OCC158" s="103"/>
      <c r="OCD158" s="103"/>
      <c r="OCE158" s="103"/>
      <c r="OCF158" s="103"/>
      <c r="OCG158" s="103"/>
      <c r="OCH158" s="103"/>
      <c r="OCI158" s="103"/>
      <c r="OCJ158" s="103"/>
      <c r="OCK158" s="103"/>
      <c r="OCL158" s="103"/>
      <c r="OCM158" s="103"/>
      <c r="OCN158" s="103"/>
      <c r="OCO158" s="103"/>
      <c r="OCP158" s="103"/>
      <c r="OCQ158" s="103"/>
      <c r="OCR158" s="103"/>
      <c r="OCS158" s="103"/>
      <c r="OCT158" s="103"/>
      <c r="OCU158" s="103"/>
      <c r="OCV158" s="103"/>
      <c r="OCW158" s="103"/>
      <c r="OCX158" s="103"/>
      <c r="OCY158" s="103"/>
      <c r="OCZ158" s="103"/>
      <c r="ODA158" s="103"/>
      <c r="ODB158" s="103"/>
      <c r="ODC158" s="103"/>
      <c r="ODD158" s="103"/>
      <c r="ODE158" s="103"/>
      <c r="ODF158" s="103"/>
      <c r="ODG158" s="103"/>
      <c r="ODH158" s="103"/>
      <c r="ODI158" s="103"/>
      <c r="ODJ158" s="103"/>
      <c r="ODK158" s="103"/>
      <c r="ODL158" s="103"/>
      <c r="ODM158" s="103"/>
      <c r="ODN158" s="103"/>
      <c r="ODO158" s="103"/>
      <c r="ODP158" s="103"/>
      <c r="ODQ158" s="103"/>
      <c r="ODR158" s="103"/>
      <c r="ODS158" s="103"/>
      <c r="ODT158" s="103"/>
      <c r="ODU158" s="103"/>
      <c r="ODV158" s="103"/>
      <c r="ODW158" s="103"/>
      <c r="ODX158" s="103"/>
      <c r="ODY158" s="103"/>
      <c r="ODZ158" s="103"/>
      <c r="OEA158" s="103"/>
      <c r="OEB158" s="103"/>
      <c r="OEC158" s="103"/>
      <c r="OED158" s="103"/>
      <c r="OEE158" s="103"/>
      <c r="OEF158" s="103"/>
      <c r="OEG158" s="103"/>
      <c r="OEH158" s="103"/>
      <c r="OEI158" s="103"/>
      <c r="OEJ158" s="103"/>
      <c r="OEK158" s="103"/>
      <c r="OEL158" s="103"/>
      <c r="OEM158" s="103"/>
      <c r="OEN158" s="103"/>
      <c r="OEO158" s="103"/>
      <c r="OEP158" s="103"/>
      <c r="OEQ158" s="103"/>
      <c r="OER158" s="103"/>
      <c r="OES158" s="103"/>
      <c r="OET158" s="103"/>
      <c r="OEU158" s="103"/>
      <c r="OEV158" s="103"/>
      <c r="OEW158" s="103"/>
      <c r="OEX158" s="103"/>
      <c r="OEY158" s="103"/>
      <c r="OEZ158" s="103"/>
      <c r="OFA158" s="103"/>
      <c r="OFB158" s="103"/>
      <c r="OFC158" s="103"/>
      <c r="OFD158" s="103"/>
      <c r="OFE158" s="103"/>
      <c r="OFF158" s="103"/>
      <c r="OFG158" s="103"/>
      <c r="OFH158" s="103"/>
      <c r="OFI158" s="103"/>
      <c r="OFJ158" s="103"/>
      <c r="OFK158" s="103"/>
      <c r="OFL158" s="103"/>
      <c r="OFM158" s="103"/>
      <c r="OFN158" s="103"/>
      <c r="OFO158" s="103"/>
      <c r="OFP158" s="103"/>
      <c r="OFQ158" s="103"/>
      <c r="OFR158" s="103"/>
      <c r="OFS158" s="103"/>
      <c r="OFT158" s="103"/>
      <c r="OFU158" s="103"/>
      <c r="OFV158" s="103"/>
      <c r="OFW158" s="103"/>
      <c r="OFX158" s="103"/>
      <c r="OFY158" s="103"/>
      <c r="OFZ158" s="103"/>
      <c r="OGA158" s="103"/>
      <c r="OGB158" s="103"/>
      <c r="OGC158" s="103"/>
      <c r="OGD158" s="103"/>
      <c r="OGE158" s="103"/>
      <c r="OGF158" s="103"/>
      <c r="OGG158" s="103"/>
      <c r="OGH158" s="103"/>
      <c r="OGI158" s="103"/>
      <c r="OGJ158" s="103"/>
      <c r="OGK158" s="103"/>
      <c r="OGL158" s="103"/>
      <c r="OGM158" s="103"/>
      <c r="OGN158" s="103"/>
      <c r="OGO158" s="103"/>
      <c r="OGP158" s="103"/>
      <c r="OGQ158" s="103"/>
      <c r="OGR158" s="103"/>
      <c r="OGS158" s="103"/>
      <c r="OGT158" s="103"/>
      <c r="OGU158" s="103"/>
      <c r="OGV158" s="103"/>
      <c r="OGW158" s="103"/>
      <c r="OGX158" s="103"/>
      <c r="OGY158" s="103"/>
      <c r="OGZ158" s="103"/>
      <c r="OHA158" s="103"/>
      <c r="OHB158" s="103"/>
      <c r="OHC158" s="103"/>
      <c r="OHD158" s="103"/>
      <c r="OHE158" s="103"/>
      <c r="OHF158" s="103"/>
      <c r="OHG158" s="103"/>
      <c r="OHH158" s="103"/>
      <c r="OHI158" s="103"/>
      <c r="OHJ158" s="103"/>
      <c r="OHK158" s="103"/>
      <c r="OHL158" s="103"/>
      <c r="OHM158" s="103"/>
      <c r="OHN158" s="103"/>
      <c r="OHO158" s="103"/>
      <c r="OHP158" s="103"/>
      <c r="OHQ158" s="103"/>
      <c r="OHR158" s="103"/>
      <c r="OHS158" s="103"/>
      <c r="OHT158" s="103"/>
      <c r="OHU158" s="103"/>
      <c r="OHV158" s="103"/>
      <c r="OHW158" s="103"/>
      <c r="OHX158" s="103"/>
      <c r="OHY158" s="103"/>
      <c r="OHZ158" s="103"/>
      <c r="OIA158" s="103"/>
      <c r="OIB158" s="103"/>
      <c r="OIC158" s="103"/>
      <c r="OID158" s="103"/>
      <c r="OIE158" s="103"/>
      <c r="OIF158" s="103"/>
      <c r="OIG158" s="103"/>
      <c r="OIH158" s="103"/>
      <c r="OII158" s="103"/>
      <c r="OIJ158" s="103"/>
      <c r="OIK158" s="103"/>
      <c r="OIL158" s="103"/>
      <c r="OIM158" s="103"/>
      <c r="OIN158" s="103"/>
      <c r="OIO158" s="103"/>
      <c r="OIP158" s="103"/>
      <c r="OIQ158" s="103"/>
      <c r="OIR158" s="103"/>
      <c r="OIS158" s="103"/>
      <c r="OIT158" s="103"/>
      <c r="OIU158" s="103"/>
      <c r="OIV158" s="103"/>
      <c r="OIW158" s="103"/>
      <c r="OIX158" s="103"/>
      <c r="OIY158" s="103"/>
      <c r="OIZ158" s="103"/>
      <c r="OJA158" s="103"/>
      <c r="OJB158" s="103"/>
      <c r="OJC158" s="103"/>
      <c r="OJD158" s="103"/>
      <c r="OJE158" s="103"/>
      <c r="OJF158" s="103"/>
      <c r="OJG158" s="103"/>
      <c r="OJH158" s="103"/>
      <c r="OJI158" s="103"/>
      <c r="OJJ158" s="103"/>
      <c r="OJK158" s="103"/>
      <c r="OJL158" s="103"/>
      <c r="OJM158" s="103"/>
      <c r="OJN158" s="103"/>
      <c r="OJO158" s="103"/>
      <c r="OJP158" s="103"/>
      <c r="OJQ158" s="103"/>
      <c r="OJR158" s="103"/>
      <c r="OJS158" s="103"/>
      <c r="OJT158" s="103"/>
      <c r="OJU158" s="103"/>
      <c r="OJV158" s="103"/>
      <c r="OJW158" s="103"/>
      <c r="OJX158" s="103"/>
      <c r="OJY158" s="103"/>
      <c r="OJZ158" s="103"/>
      <c r="OKA158" s="103"/>
      <c r="OKB158" s="103"/>
      <c r="OKC158" s="103"/>
      <c r="OKD158" s="103"/>
      <c r="OKE158" s="103"/>
      <c r="OKF158" s="103"/>
      <c r="OKG158" s="103"/>
      <c r="OKH158" s="103"/>
      <c r="OKI158" s="103"/>
      <c r="OKJ158" s="103"/>
      <c r="OKK158" s="103"/>
      <c r="OKL158" s="103"/>
      <c r="OKM158" s="103"/>
      <c r="OKN158" s="103"/>
      <c r="OKO158" s="103"/>
      <c r="OKP158" s="103"/>
      <c r="OKQ158" s="103"/>
      <c r="OKR158" s="103"/>
      <c r="OKS158" s="103"/>
      <c r="OKT158" s="103"/>
      <c r="OKU158" s="103"/>
      <c r="OKV158" s="103"/>
      <c r="OKW158" s="103"/>
      <c r="OKX158" s="103"/>
      <c r="OKY158" s="103"/>
      <c r="OKZ158" s="103"/>
      <c r="OLA158" s="103"/>
      <c r="OLB158" s="103"/>
      <c r="OLC158" s="103"/>
      <c r="OLD158" s="103"/>
      <c r="OLE158" s="103"/>
      <c r="OLF158" s="103"/>
      <c r="OLG158" s="103"/>
      <c r="OLH158" s="103"/>
      <c r="OLI158" s="103"/>
      <c r="OLJ158" s="103"/>
      <c r="OLK158" s="103"/>
      <c r="OLL158" s="103"/>
      <c r="OLM158" s="103"/>
      <c r="OLN158" s="103"/>
      <c r="OLO158" s="103"/>
      <c r="OLP158" s="103"/>
      <c r="OLQ158" s="103"/>
      <c r="OLR158" s="103"/>
      <c r="OLS158" s="103"/>
      <c r="OLT158" s="103"/>
      <c r="OLU158" s="103"/>
      <c r="OLV158" s="103"/>
      <c r="OLW158" s="103"/>
      <c r="OLX158" s="103"/>
      <c r="OLY158" s="103"/>
      <c r="OLZ158" s="103"/>
      <c r="OMA158" s="103"/>
      <c r="OMB158" s="103"/>
      <c r="OMC158" s="103"/>
      <c r="OMD158" s="103"/>
      <c r="OME158" s="103"/>
      <c r="OMF158" s="103"/>
      <c r="OMG158" s="103"/>
      <c r="OMH158" s="103"/>
      <c r="OMI158" s="103"/>
      <c r="OMJ158" s="103"/>
      <c r="OMK158" s="103"/>
      <c r="OML158" s="103"/>
      <c r="OMM158" s="103"/>
      <c r="OMN158" s="103"/>
      <c r="OMO158" s="103"/>
      <c r="OMP158" s="103"/>
      <c r="OMQ158" s="103"/>
      <c r="OMR158" s="103"/>
      <c r="OMS158" s="103"/>
      <c r="OMT158" s="103"/>
      <c r="OMU158" s="103"/>
      <c r="OMV158" s="103"/>
      <c r="OMW158" s="103"/>
      <c r="OMX158" s="103"/>
      <c r="OMY158" s="103"/>
      <c r="OMZ158" s="103"/>
      <c r="ONA158" s="103"/>
      <c r="ONB158" s="103"/>
      <c r="ONC158" s="103"/>
      <c r="OND158" s="103"/>
      <c r="ONE158" s="103"/>
      <c r="ONF158" s="103"/>
      <c r="ONG158" s="103"/>
      <c r="ONH158" s="103"/>
      <c r="ONI158" s="103"/>
      <c r="ONJ158" s="103"/>
      <c r="ONK158" s="103"/>
      <c r="ONL158" s="103"/>
      <c r="ONM158" s="103"/>
      <c r="ONN158" s="103"/>
      <c r="ONO158" s="103"/>
      <c r="ONP158" s="103"/>
      <c r="ONQ158" s="103"/>
      <c r="ONR158" s="103"/>
      <c r="ONS158" s="103"/>
      <c r="ONT158" s="103"/>
      <c r="ONU158" s="103"/>
      <c r="ONV158" s="103"/>
      <c r="ONW158" s="103"/>
      <c r="ONX158" s="103"/>
      <c r="ONY158" s="103"/>
      <c r="ONZ158" s="103"/>
      <c r="OOA158" s="103"/>
      <c r="OOB158" s="103"/>
      <c r="OOC158" s="103"/>
      <c r="OOD158" s="103"/>
      <c r="OOE158" s="103"/>
      <c r="OOF158" s="103"/>
      <c r="OOG158" s="103"/>
      <c r="OOH158" s="103"/>
      <c r="OOI158" s="103"/>
      <c r="OOJ158" s="103"/>
      <c r="OOK158" s="103"/>
      <c r="OOL158" s="103"/>
      <c r="OOM158" s="103"/>
      <c r="OON158" s="103"/>
      <c r="OOO158" s="103"/>
      <c r="OOP158" s="103"/>
      <c r="OOQ158" s="103"/>
      <c r="OOR158" s="103"/>
      <c r="OOS158" s="103"/>
      <c r="OOT158" s="103"/>
      <c r="OOU158" s="103"/>
      <c r="OOV158" s="103"/>
      <c r="OOW158" s="103"/>
      <c r="OOX158" s="103"/>
      <c r="OOY158" s="103"/>
      <c r="OOZ158" s="103"/>
      <c r="OPA158" s="103"/>
      <c r="OPB158" s="103"/>
      <c r="OPC158" s="103"/>
      <c r="OPD158" s="103"/>
      <c r="OPE158" s="103"/>
      <c r="OPF158" s="103"/>
      <c r="OPG158" s="103"/>
      <c r="OPH158" s="103"/>
      <c r="OPI158" s="103"/>
      <c r="OPJ158" s="103"/>
      <c r="OPK158" s="103"/>
      <c r="OPL158" s="103"/>
      <c r="OPM158" s="103"/>
      <c r="OPN158" s="103"/>
      <c r="OPO158" s="103"/>
      <c r="OPP158" s="103"/>
      <c r="OPQ158" s="103"/>
      <c r="OPR158" s="103"/>
      <c r="OPS158" s="103"/>
      <c r="OPT158" s="103"/>
      <c r="OPU158" s="103"/>
      <c r="OPV158" s="103"/>
      <c r="OPW158" s="103"/>
      <c r="OPX158" s="103"/>
      <c r="OPY158" s="103"/>
      <c r="OPZ158" s="103"/>
      <c r="OQA158" s="103"/>
      <c r="OQB158" s="103"/>
      <c r="OQC158" s="103"/>
      <c r="OQD158" s="103"/>
      <c r="OQE158" s="103"/>
      <c r="OQF158" s="103"/>
      <c r="OQG158" s="103"/>
      <c r="OQH158" s="103"/>
      <c r="OQI158" s="103"/>
      <c r="OQJ158" s="103"/>
      <c r="OQK158" s="103"/>
      <c r="OQL158" s="103"/>
      <c r="OQM158" s="103"/>
      <c r="OQN158" s="103"/>
      <c r="OQO158" s="103"/>
      <c r="OQP158" s="103"/>
      <c r="OQQ158" s="103"/>
      <c r="OQR158" s="103"/>
      <c r="OQS158" s="103"/>
      <c r="OQT158" s="103"/>
      <c r="OQU158" s="103"/>
      <c r="OQV158" s="103"/>
      <c r="OQW158" s="103"/>
      <c r="OQX158" s="103"/>
      <c r="OQY158" s="103"/>
      <c r="OQZ158" s="103"/>
      <c r="ORA158" s="103"/>
      <c r="ORB158" s="103"/>
      <c r="ORC158" s="103"/>
      <c r="ORD158" s="103"/>
      <c r="ORE158" s="103"/>
      <c r="ORF158" s="103"/>
      <c r="ORG158" s="103"/>
      <c r="ORH158" s="103"/>
      <c r="ORI158" s="103"/>
      <c r="ORJ158" s="103"/>
      <c r="ORK158" s="103"/>
      <c r="ORL158" s="103"/>
      <c r="ORM158" s="103"/>
      <c r="ORN158" s="103"/>
      <c r="ORO158" s="103"/>
      <c r="ORP158" s="103"/>
      <c r="ORQ158" s="103"/>
      <c r="ORR158" s="103"/>
      <c r="ORS158" s="103"/>
      <c r="ORT158" s="103"/>
      <c r="ORU158" s="103"/>
      <c r="ORV158" s="103"/>
      <c r="ORW158" s="103"/>
      <c r="ORX158" s="103"/>
      <c r="ORY158" s="103"/>
      <c r="ORZ158" s="103"/>
      <c r="OSA158" s="103"/>
      <c r="OSB158" s="103"/>
      <c r="OSC158" s="103"/>
      <c r="OSD158" s="103"/>
      <c r="OSE158" s="103"/>
      <c r="OSF158" s="103"/>
      <c r="OSG158" s="103"/>
      <c r="OSH158" s="103"/>
      <c r="OSI158" s="103"/>
      <c r="OSJ158" s="103"/>
      <c r="OSK158" s="103"/>
      <c r="OSL158" s="103"/>
      <c r="OSM158" s="103"/>
      <c r="OSN158" s="103"/>
      <c r="OSO158" s="103"/>
      <c r="OSP158" s="103"/>
      <c r="OSQ158" s="103"/>
      <c r="OSR158" s="103"/>
      <c r="OSS158" s="103"/>
      <c r="OST158" s="103"/>
      <c r="OSU158" s="103"/>
      <c r="OSV158" s="103"/>
      <c r="OSW158" s="103"/>
      <c r="OSX158" s="103"/>
      <c r="OSY158" s="103"/>
      <c r="OSZ158" s="103"/>
      <c r="OTA158" s="103"/>
      <c r="OTB158" s="103"/>
      <c r="OTC158" s="103"/>
      <c r="OTD158" s="103"/>
      <c r="OTE158" s="103"/>
      <c r="OTF158" s="103"/>
      <c r="OTG158" s="103"/>
      <c r="OTH158" s="103"/>
      <c r="OTI158" s="103"/>
      <c r="OTJ158" s="103"/>
      <c r="OTK158" s="103"/>
      <c r="OTL158" s="103"/>
      <c r="OTM158" s="103"/>
      <c r="OTN158" s="103"/>
      <c r="OTO158" s="103"/>
      <c r="OTP158" s="103"/>
      <c r="OTQ158" s="103"/>
      <c r="OTR158" s="103"/>
      <c r="OTS158" s="103"/>
      <c r="OTT158" s="103"/>
      <c r="OTU158" s="103"/>
      <c r="OTV158" s="103"/>
      <c r="OTW158" s="103"/>
      <c r="OTX158" s="103"/>
      <c r="OTY158" s="103"/>
      <c r="OTZ158" s="103"/>
      <c r="OUA158" s="103"/>
      <c r="OUB158" s="103"/>
      <c r="OUC158" s="103"/>
      <c r="OUD158" s="103"/>
      <c r="OUE158" s="103"/>
      <c r="OUF158" s="103"/>
      <c r="OUG158" s="103"/>
      <c r="OUH158" s="103"/>
      <c r="OUI158" s="103"/>
      <c r="OUJ158" s="103"/>
      <c r="OUK158" s="103"/>
      <c r="OUL158" s="103"/>
      <c r="OUM158" s="103"/>
      <c r="OUN158" s="103"/>
      <c r="OUO158" s="103"/>
      <c r="OUP158" s="103"/>
      <c r="OUQ158" s="103"/>
      <c r="OUR158" s="103"/>
      <c r="OUS158" s="103"/>
      <c r="OUT158" s="103"/>
      <c r="OUU158" s="103"/>
      <c r="OUV158" s="103"/>
      <c r="OUW158" s="103"/>
      <c r="OUX158" s="103"/>
      <c r="OUY158" s="103"/>
      <c r="OUZ158" s="103"/>
      <c r="OVA158" s="103"/>
      <c r="OVB158" s="103"/>
      <c r="OVC158" s="103"/>
      <c r="OVD158" s="103"/>
      <c r="OVE158" s="103"/>
      <c r="OVF158" s="103"/>
      <c r="OVG158" s="103"/>
      <c r="OVH158" s="103"/>
      <c r="OVI158" s="103"/>
      <c r="OVJ158" s="103"/>
      <c r="OVK158" s="103"/>
      <c r="OVL158" s="103"/>
      <c r="OVM158" s="103"/>
      <c r="OVN158" s="103"/>
      <c r="OVO158" s="103"/>
      <c r="OVP158" s="103"/>
      <c r="OVQ158" s="103"/>
      <c r="OVR158" s="103"/>
      <c r="OVS158" s="103"/>
      <c r="OVT158" s="103"/>
      <c r="OVU158" s="103"/>
      <c r="OVV158" s="103"/>
      <c r="OVW158" s="103"/>
      <c r="OVX158" s="103"/>
      <c r="OVY158" s="103"/>
      <c r="OVZ158" s="103"/>
      <c r="OWA158" s="103"/>
      <c r="OWB158" s="103"/>
      <c r="OWC158" s="103"/>
      <c r="OWD158" s="103"/>
      <c r="OWE158" s="103"/>
      <c r="OWF158" s="103"/>
      <c r="OWG158" s="103"/>
      <c r="OWH158" s="103"/>
      <c r="OWI158" s="103"/>
      <c r="OWJ158" s="103"/>
      <c r="OWK158" s="103"/>
      <c r="OWL158" s="103"/>
      <c r="OWM158" s="103"/>
      <c r="OWN158" s="103"/>
      <c r="OWO158" s="103"/>
      <c r="OWP158" s="103"/>
      <c r="OWQ158" s="103"/>
      <c r="OWR158" s="103"/>
      <c r="OWS158" s="103"/>
      <c r="OWT158" s="103"/>
      <c r="OWU158" s="103"/>
      <c r="OWV158" s="103"/>
      <c r="OWW158" s="103"/>
      <c r="OWX158" s="103"/>
      <c r="OWY158" s="103"/>
      <c r="OWZ158" s="103"/>
      <c r="OXA158" s="103"/>
      <c r="OXB158" s="103"/>
      <c r="OXC158" s="103"/>
      <c r="OXD158" s="103"/>
      <c r="OXE158" s="103"/>
      <c r="OXF158" s="103"/>
      <c r="OXG158" s="103"/>
      <c r="OXH158" s="103"/>
      <c r="OXI158" s="103"/>
      <c r="OXJ158" s="103"/>
      <c r="OXK158" s="103"/>
      <c r="OXL158" s="103"/>
      <c r="OXM158" s="103"/>
      <c r="OXN158" s="103"/>
      <c r="OXO158" s="103"/>
      <c r="OXP158" s="103"/>
      <c r="OXQ158" s="103"/>
      <c r="OXR158" s="103"/>
      <c r="OXS158" s="103"/>
      <c r="OXT158" s="103"/>
      <c r="OXU158" s="103"/>
      <c r="OXV158" s="103"/>
      <c r="OXW158" s="103"/>
      <c r="OXX158" s="103"/>
      <c r="OXY158" s="103"/>
      <c r="OXZ158" s="103"/>
      <c r="OYA158" s="103"/>
      <c r="OYB158" s="103"/>
      <c r="OYC158" s="103"/>
      <c r="OYD158" s="103"/>
      <c r="OYE158" s="103"/>
      <c r="OYF158" s="103"/>
      <c r="OYG158" s="103"/>
      <c r="OYH158" s="103"/>
      <c r="OYI158" s="103"/>
      <c r="OYJ158" s="103"/>
      <c r="OYK158" s="103"/>
      <c r="OYL158" s="103"/>
      <c r="OYM158" s="103"/>
      <c r="OYN158" s="103"/>
      <c r="OYO158" s="103"/>
      <c r="OYP158" s="103"/>
      <c r="OYQ158" s="103"/>
      <c r="OYR158" s="103"/>
      <c r="OYS158" s="103"/>
      <c r="OYT158" s="103"/>
      <c r="OYU158" s="103"/>
      <c r="OYV158" s="103"/>
      <c r="OYW158" s="103"/>
      <c r="OYX158" s="103"/>
      <c r="OYY158" s="103"/>
      <c r="OYZ158" s="103"/>
      <c r="OZA158" s="103"/>
      <c r="OZB158" s="103"/>
      <c r="OZC158" s="103"/>
      <c r="OZD158" s="103"/>
      <c r="OZE158" s="103"/>
      <c r="OZF158" s="103"/>
      <c r="OZG158" s="103"/>
      <c r="OZH158" s="103"/>
      <c r="OZI158" s="103"/>
      <c r="OZJ158" s="103"/>
      <c r="OZK158" s="103"/>
      <c r="OZL158" s="103"/>
      <c r="OZM158" s="103"/>
      <c r="OZN158" s="103"/>
      <c r="OZO158" s="103"/>
      <c r="OZP158" s="103"/>
      <c r="OZQ158" s="103"/>
      <c r="OZR158" s="103"/>
      <c r="OZS158" s="103"/>
      <c r="OZT158" s="103"/>
      <c r="OZU158" s="103"/>
      <c r="OZV158" s="103"/>
      <c r="OZW158" s="103"/>
      <c r="OZX158" s="103"/>
      <c r="OZY158" s="103"/>
      <c r="OZZ158" s="103"/>
      <c r="PAA158" s="103"/>
      <c r="PAB158" s="103"/>
      <c r="PAC158" s="103"/>
      <c r="PAD158" s="103"/>
      <c r="PAE158" s="103"/>
      <c r="PAF158" s="103"/>
      <c r="PAG158" s="103"/>
      <c r="PAH158" s="103"/>
      <c r="PAI158" s="103"/>
      <c r="PAJ158" s="103"/>
      <c r="PAK158" s="103"/>
      <c r="PAL158" s="103"/>
      <c r="PAM158" s="103"/>
      <c r="PAN158" s="103"/>
      <c r="PAO158" s="103"/>
      <c r="PAP158" s="103"/>
      <c r="PAQ158" s="103"/>
      <c r="PAR158" s="103"/>
      <c r="PAS158" s="103"/>
      <c r="PAT158" s="103"/>
      <c r="PAU158" s="103"/>
      <c r="PAV158" s="103"/>
      <c r="PAW158" s="103"/>
      <c r="PAX158" s="103"/>
      <c r="PAY158" s="103"/>
      <c r="PAZ158" s="103"/>
      <c r="PBA158" s="103"/>
      <c r="PBB158" s="103"/>
      <c r="PBC158" s="103"/>
      <c r="PBD158" s="103"/>
      <c r="PBE158" s="103"/>
      <c r="PBF158" s="103"/>
      <c r="PBG158" s="103"/>
      <c r="PBH158" s="103"/>
      <c r="PBI158" s="103"/>
      <c r="PBJ158" s="103"/>
      <c r="PBK158" s="103"/>
      <c r="PBL158" s="103"/>
      <c r="PBM158" s="103"/>
      <c r="PBN158" s="103"/>
      <c r="PBO158" s="103"/>
      <c r="PBP158" s="103"/>
      <c r="PBQ158" s="103"/>
      <c r="PBR158" s="103"/>
      <c r="PBS158" s="103"/>
      <c r="PBT158" s="103"/>
      <c r="PBU158" s="103"/>
      <c r="PBV158" s="103"/>
      <c r="PBW158" s="103"/>
      <c r="PBX158" s="103"/>
      <c r="PBY158" s="103"/>
      <c r="PBZ158" s="103"/>
      <c r="PCA158" s="103"/>
      <c r="PCB158" s="103"/>
      <c r="PCC158" s="103"/>
      <c r="PCD158" s="103"/>
      <c r="PCE158" s="103"/>
      <c r="PCF158" s="103"/>
      <c r="PCG158" s="103"/>
      <c r="PCH158" s="103"/>
      <c r="PCI158" s="103"/>
      <c r="PCJ158" s="103"/>
      <c r="PCK158" s="103"/>
      <c r="PCL158" s="103"/>
      <c r="PCM158" s="103"/>
      <c r="PCN158" s="103"/>
      <c r="PCO158" s="103"/>
      <c r="PCP158" s="103"/>
      <c r="PCQ158" s="103"/>
      <c r="PCR158" s="103"/>
      <c r="PCS158" s="103"/>
      <c r="PCT158" s="103"/>
      <c r="PCU158" s="103"/>
      <c r="PCV158" s="103"/>
      <c r="PCW158" s="103"/>
      <c r="PCX158" s="103"/>
      <c r="PCY158" s="103"/>
      <c r="PCZ158" s="103"/>
      <c r="PDA158" s="103"/>
      <c r="PDB158" s="103"/>
      <c r="PDC158" s="103"/>
      <c r="PDD158" s="103"/>
      <c r="PDE158" s="103"/>
      <c r="PDF158" s="103"/>
      <c r="PDG158" s="103"/>
      <c r="PDH158" s="103"/>
      <c r="PDI158" s="103"/>
      <c r="PDJ158" s="103"/>
      <c r="PDK158" s="103"/>
      <c r="PDL158" s="103"/>
      <c r="PDM158" s="103"/>
      <c r="PDN158" s="103"/>
      <c r="PDO158" s="103"/>
      <c r="PDP158" s="103"/>
      <c r="PDQ158" s="103"/>
      <c r="PDR158" s="103"/>
      <c r="PDS158" s="103"/>
      <c r="PDT158" s="103"/>
      <c r="PDU158" s="103"/>
      <c r="PDV158" s="103"/>
      <c r="PDW158" s="103"/>
      <c r="PDX158" s="103"/>
      <c r="PDY158" s="103"/>
      <c r="PDZ158" s="103"/>
      <c r="PEA158" s="103"/>
      <c r="PEB158" s="103"/>
      <c r="PEC158" s="103"/>
      <c r="PED158" s="103"/>
      <c r="PEE158" s="103"/>
      <c r="PEF158" s="103"/>
      <c r="PEG158" s="103"/>
      <c r="PEH158" s="103"/>
      <c r="PEI158" s="103"/>
      <c r="PEJ158" s="103"/>
      <c r="PEK158" s="103"/>
      <c r="PEL158" s="103"/>
      <c r="PEM158" s="103"/>
      <c r="PEN158" s="103"/>
      <c r="PEO158" s="103"/>
      <c r="PEP158" s="103"/>
      <c r="PEQ158" s="103"/>
      <c r="PER158" s="103"/>
      <c r="PES158" s="103"/>
      <c r="PET158" s="103"/>
      <c r="PEU158" s="103"/>
      <c r="PEV158" s="103"/>
      <c r="PEW158" s="103"/>
      <c r="PEX158" s="103"/>
      <c r="PEY158" s="103"/>
      <c r="PEZ158" s="103"/>
      <c r="PFA158" s="103"/>
      <c r="PFB158" s="103"/>
      <c r="PFC158" s="103"/>
      <c r="PFD158" s="103"/>
      <c r="PFE158" s="103"/>
      <c r="PFF158" s="103"/>
      <c r="PFG158" s="103"/>
      <c r="PFH158" s="103"/>
      <c r="PFI158" s="103"/>
      <c r="PFJ158" s="103"/>
      <c r="PFK158" s="103"/>
      <c r="PFL158" s="103"/>
      <c r="PFM158" s="103"/>
      <c r="PFN158" s="103"/>
      <c r="PFO158" s="103"/>
      <c r="PFP158" s="103"/>
      <c r="PFQ158" s="103"/>
      <c r="PFR158" s="103"/>
      <c r="PFS158" s="103"/>
      <c r="PFT158" s="103"/>
      <c r="PFU158" s="103"/>
      <c r="PFV158" s="103"/>
      <c r="PFW158" s="103"/>
      <c r="PFX158" s="103"/>
      <c r="PFY158" s="103"/>
      <c r="PFZ158" s="103"/>
      <c r="PGA158" s="103"/>
      <c r="PGB158" s="103"/>
      <c r="PGC158" s="103"/>
      <c r="PGD158" s="103"/>
      <c r="PGE158" s="103"/>
      <c r="PGF158" s="103"/>
      <c r="PGG158" s="103"/>
      <c r="PGH158" s="103"/>
      <c r="PGI158" s="103"/>
      <c r="PGJ158" s="103"/>
      <c r="PGK158" s="103"/>
      <c r="PGL158" s="103"/>
      <c r="PGM158" s="103"/>
      <c r="PGN158" s="103"/>
      <c r="PGO158" s="103"/>
      <c r="PGP158" s="103"/>
      <c r="PGQ158" s="103"/>
      <c r="PGR158" s="103"/>
      <c r="PGS158" s="103"/>
      <c r="PGT158" s="103"/>
      <c r="PGU158" s="103"/>
      <c r="PGV158" s="103"/>
      <c r="PGW158" s="103"/>
      <c r="PGX158" s="103"/>
      <c r="PGY158" s="103"/>
      <c r="PGZ158" s="103"/>
      <c r="PHA158" s="103"/>
      <c r="PHB158" s="103"/>
      <c r="PHC158" s="103"/>
      <c r="PHD158" s="103"/>
      <c r="PHE158" s="103"/>
      <c r="PHF158" s="103"/>
      <c r="PHG158" s="103"/>
      <c r="PHH158" s="103"/>
      <c r="PHI158" s="103"/>
      <c r="PHJ158" s="103"/>
      <c r="PHK158" s="103"/>
      <c r="PHL158" s="103"/>
      <c r="PHM158" s="103"/>
      <c r="PHN158" s="103"/>
      <c r="PHO158" s="103"/>
      <c r="PHP158" s="103"/>
      <c r="PHQ158" s="103"/>
      <c r="PHR158" s="103"/>
      <c r="PHS158" s="103"/>
      <c r="PHT158" s="103"/>
      <c r="PHU158" s="103"/>
      <c r="PHV158" s="103"/>
      <c r="PHW158" s="103"/>
      <c r="PHX158" s="103"/>
      <c r="PHY158" s="103"/>
      <c r="PHZ158" s="103"/>
      <c r="PIA158" s="103"/>
      <c r="PIB158" s="103"/>
      <c r="PIC158" s="103"/>
      <c r="PID158" s="103"/>
      <c r="PIE158" s="103"/>
      <c r="PIF158" s="103"/>
      <c r="PIG158" s="103"/>
      <c r="PIH158" s="103"/>
      <c r="PII158" s="103"/>
      <c r="PIJ158" s="103"/>
      <c r="PIK158" s="103"/>
      <c r="PIL158" s="103"/>
      <c r="PIM158" s="103"/>
      <c r="PIN158" s="103"/>
      <c r="PIO158" s="103"/>
      <c r="PIP158" s="103"/>
      <c r="PIQ158" s="103"/>
      <c r="PIR158" s="103"/>
      <c r="PIS158" s="103"/>
      <c r="PIT158" s="103"/>
      <c r="PIU158" s="103"/>
      <c r="PIV158" s="103"/>
      <c r="PIW158" s="103"/>
      <c r="PIX158" s="103"/>
      <c r="PIY158" s="103"/>
      <c r="PIZ158" s="103"/>
      <c r="PJA158" s="103"/>
      <c r="PJB158" s="103"/>
      <c r="PJC158" s="103"/>
      <c r="PJD158" s="103"/>
      <c r="PJE158" s="103"/>
      <c r="PJF158" s="103"/>
      <c r="PJG158" s="103"/>
      <c r="PJH158" s="103"/>
      <c r="PJI158" s="103"/>
      <c r="PJJ158" s="103"/>
      <c r="PJK158" s="103"/>
      <c r="PJL158" s="103"/>
      <c r="PJM158" s="103"/>
      <c r="PJN158" s="103"/>
      <c r="PJO158" s="103"/>
      <c r="PJP158" s="103"/>
      <c r="PJQ158" s="103"/>
      <c r="PJR158" s="103"/>
      <c r="PJS158" s="103"/>
      <c r="PJT158" s="103"/>
      <c r="PJU158" s="103"/>
      <c r="PJV158" s="103"/>
      <c r="PJW158" s="103"/>
      <c r="PJX158" s="103"/>
      <c r="PJY158" s="103"/>
      <c r="PJZ158" s="103"/>
      <c r="PKA158" s="103"/>
      <c r="PKB158" s="103"/>
      <c r="PKC158" s="103"/>
      <c r="PKD158" s="103"/>
      <c r="PKE158" s="103"/>
      <c r="PKF158" s="103"/>
      <c r="PKG158" s="103"/>
      <c r="PKH158" s="103"/>
      <c r="PKI158" s="103"/>
      <c r="PKJ158" s="103"/>
      <c r="PKK158" s="103"/>
      <c r="PKL158" s="103"/>
      <c r="PKM158" s="103"/>
      <c r="PKN158" s="103"/>
      <c r="PKO158" s="103"/>
      <c r="PKP158" s="103"/>
      <c r="PKQ158" s="103"/>
      <c r="PKR158" s="103"/>
      <c r="PKS158" s="103"/>
      <c r="PKT158" s="103"/>
      <c r="PKU158" s="103"/>
      <c r="PKV158" s="103"/>
      <c r="PKW158" s="103"/>
      <c r="PKX158" s="103"/>
      <c r="PKY158" s="103"/>
      <c r="PKZ158" s="103"/>
      <c r="PLA158" s="103"/>
      <c r="PLB158" s="103"/>
      <c r="PLC158" s="103"/>
      <c r="PLD158" s="103"/>
      <c r="PLE158" s="103"/>
      <c r="PLF158" s="103"/>
      <c r="PLG158" s="103"/>
      <c r="PLH158" s="103"/>
      <c r="PLI158" s="103"/>
      <c r="PLJ158" s="103"/>
      <c r="PLK158" s="103"/>
      <c r="PLL158" s="103"/>
      <c r="PLM158" s="103"/>
      <c r="PLN158" s="103"/>
      <c r="PLO158" s="103"/>
      <c r="PLP158" s="103"/>
      <c r="PLQ158" s="103"/>
      <c r="PLR158" s="103"/>
      <c r="PLS158" s="103"/>
      <c r="PLT158" s="103"/>
      <c r="PLU158" s="103"/>
      <c r="PLV158" s="103"/>
      <c r="PLW158" s="103"/>
      <c r="PLX158" s="103"/>
      <c r="PLY158" s="103"/>
      <c r="PLZ158" s="103"/>
      <c r="PMA158" s="103"/>
      <c r="PMB158" s="103"/>
      <c r="PMC158" s="103"/>
      <c r="PMD158" s="103"/>
      <c r="PME158" s="103"/>
      <c r="PMF158" s="103"/>
      <c r="PMG158" s="103"/>
      <c r="PMH158" s="103"/>
      <c r="PMI158" s="103"/>
      <c r="PMJ158" s="103"/>
      <c r="PMK158" s="103"/>
      <c r="PML158" s="103"/>
      <c r="PMM158" s="103"/>
      <c r="PMN158" s="103"/>
      <c r="PMO158" s="103"/>
      <c r="PMP158" s="103"/>
      <c r="PMQ158" s="103"/>
      <c r="PMR158" s="103"/>
      <c r="PMS158" s="103"/>
      <c r="PMT158" s="103"/>
      <c r="PMU158" s="103"/>
      <c r="PMV158" s="103"/>
      <c r="PMW158" s="103"/>
      <c r="PMX158" s="103"/>
      <c r="PMY158" s="103"/>
      <c r="PMZ158" s="103"/>
      <c r="PNA158" s="103"/>
      <c r="PNB158" s="103"/>
      <c r="PNC158" s="103"/>
      <c r="PND158" s="103"/>
      <c r="PNE158" s="103"/>
      <c r="PNF158" s="103"/>
      <c r="PNG158" s="103"/>
      <c r="PNH158" s="103"/>
      <c r="PNI158" s="103"/>
      <c r="PNJ158" s="103"/>
      <c r="PNK158" s="103"/>
      <c r="PNL158" s="103"/>
      <c r="PNM158" s="103"/>
      <c r="PNN158" s="103"/>
      <c r="PNO158" s="103"/>
      <c r="PNP158" s="103"/>
      <c r="PNQ158" s="103"/>
      <c r="PNR158" s="103"/>
      <c r="PNS158" s="103"/>
      <c r="PNT158" s="103"/>
      <c r="PNU158" s="103"/>
      <c r="PNV158" s="103"/>
      <c r="PNW158" s="103"/>
      <c r="PNX158" s="103"/>
      <c r="PNY158" s="103"/>
      <c r="PNZ158" s="103"/>
      <c r="POA158" s="103"/>
      <c r="POB158" s="103"/>
      <c r="POC158" s="103"/>
      <c r="POD158" s="103"/>
      <c r="POE158" s="103"/>
      <c r="POF158" s="103"/>
      <c r="POG158" s="103"/>
      <c r="POH158" s="103"/>
      <c r="POI158" s="103"/>
      <c r="POJ158" s="103"/>
      <c r="POK158" s="103"/>
      <c r="POL158" s="103"/>
      <c r="POM158" s="103"/>
      <c r="PON158" s="103"/>
      <c r="POO158" s="103"/>
      <c r="POP158" s="103"/>
      <c r="POQ158" s="103"/>
      <c r="POR158" s="103"/>
      <c r="POS158" s="103"/>
      <c r="POT158" s="103"/>
      <c r="POU158" s="103"/>
      <c r="POV158" s="103"/>
      <c r="POW158" s="103"/>
      <c r="POX158" s="103"/>
      <c r="POY158" s="103"/>
      <c r="POZ158" s="103"/>
      <c r="PPA158" s="103"/>
      <c r="PPB158" s="103"/>
      <c r="PPC158" s="103"/>
      <c r="PPD158" s="103"/>
      <c r="PPE158" s="103"/>
      <c r="PPF158" s="103"/>
      <c r="PPG158" s="103"/>
      <c r="PPH158" s="103"/>
      <c r="PPI158" s="103"/>
      <c r="PPJ158" s="103"/>
      <c r="PPK158" s="103"/>
      <c r="PPL158" s="103"/>
      <c r="PPM158" s="103"/>
      <c r="PPN158" s="103"/>
      <c r="PPO158" s="103"/>
      <c r="PPP158" s="103"/>
      <c r="PPQ158" s="103"/>
      <c r="PPR158" s="103"/>
      <c r="PPS158" s="103"/>
      <c r="PPT158" s="103"/>
      <c r="PPU158" s="103"/>
      <c r="PPV158" s="103"/>
      <c r="PPW158" s="103"/>
      <c r="PPX158" s="103"/>
      <c r="PPY158" s="103"/>
      <c r="PPZ158" s="103"/>
      <c r="PQA158" s="103"/>
      <c r="PQB158" s="103"/>
      <c r="PQC158" s="103"/>
      <c r="PQD158" s="103"/>
      <c r="PQE158" s="103"/>
      <c r="PQF158" s="103"/>
      <c r="PQG158" s="103"/>
      <c r="PQH158" s="103"/>
      <c r="PQI158" s="103"/>
      <c r="PQJ158" s="103"/>
      <c r="PQK158" s="103"/>
      <c r="PQL158" s="103"/>
      <c r="PQM158" s="103"/>
      <c r="PQN158" s="103"/>
      <c r="PQO158" s="103"/>
      <c r="PQP158" s="103"/>
      <c r="PQQ158" s="103"/>
      <c r="PQR158" s="103"/>
      <c r="PQS158" s="103"/>
      <c r="PQT158" s="103"/>
      <c r="PQU158" s="103"/>
      <c r="PQV158" s="103"/>
      <c r="PQW158" s="103"/>
      <c r="PQX158" s="103"/>
      <c r="PQY158" s="103"/>
      <c r="PQZ158" s="103"/>
      <c r="PRA158" s="103"/>
      <c r="PRB158" s="103"/>
      <c r="PRC158" s="103"/>
      <c r="PRD158" s="103"/>
      <c r="PRE158" s="103"/>
      <c r="PRF158" s="103"/>
      <c r="PRG158" s="103"/>
      <c r="PRH158" s="103"/>
      <c r="PRI158" s="103"/>
      <c r="PRJ158" s="103"/>
      <c r="PRK158" s="103"/>
      <c r="PRL158" s="103"/>
      <c r="PRM158" s="103"/>
      <c r="PRN158" s="103"/>
      <c r="PRO158" s="103"/>
      <c r="PRP158" s="103"/>
      <c r="PRQ158" s="103"/>
      <c r="PRR158" s="103"/>
      <c r="PRS158" s="103"/>
      <c r="PRT158" s="103"/>
      <c r="PRU158" s="103"/>
      <c r="PRV158" s="103"/>
      <c r="PRW158" s="103"/>
      <c r="PRX158" s="103"/>
      <c r="PRY158" s="103"/>
      <c r="PRZ158" s="103"/>
      <c r="PSA158" s="103"/>
      <c r="PSB158" s="103"/>
      <c r="PSC158" s="103"/>
      <c r="PSD158" s="103"/>
      <c r="PSE158" s="103"/>
      <c r="PSF158" s="103"/>
      <c r="PSG158" s="103"/>
      <c r="PSH158" s="103"/>
      <c r="PSI158" s="103"/>
      <c r="PSJ158" s="103"/>
      <c r="PSK158" s="103"/>
      <c r="PSL158" s="103"/>
      <c r="PSM158" s="103"/>
      <c r="PSN158" s="103"/>
      <c r="PSO158" s="103"/>
      <c r="PSP158" s="103"/>
      <c r="PSQ158" s="103"/>
      <c r="PSR158" s="103"/>
      <c r="PSS158" s="103"/>
      <c r="PST158" s="103"/>
      <c r="PSU158" s="103"/>
      <c r="PSV158" s="103"/>
      <c r="PSW158" s="103"/>
      <c r="PSX158" s="103"/>
      <c r="PSY158" s="103"/>
      <c r="PSZ158" s="103"/>
      <c r="PTA158" s="103"/>
      <c r="PTB158" s="103"/>
      <c r="PTC158" s="103"/>
      <c r="PTD158" s="103"/>
      <c r="PTE158" s="103"/>
      <c r="PTF158" s="103"/>
      <c r="PTG158" s="103"/>
      <c r="PTH158" s="103"/>
      <c r="PTI158" s="103"/>
      <c r="PTJ158" s="103"/>
      <c r="PTK158" s="103"/>
      <c r="PTL158" s="103"/>
      <c r="PTM158" s="103"/>
      <c r="PTN158" s="103"/>
      <c r="PTO158" s="103"/>
      <c r="PTP158" s="103"/>
      <c r="PTQ158" s="103"/>
      <c r="PTR158" s="103"/>
      <c r="PTS158" s="103"/>
      <c r="PTT158" s="103"/>
      <c r="PTU158" s="103"/>
      <c r="PTV158" s="103"/>
      <c r="PTW158" s="103"/>
      <c r="PTX158" s="103"/>
      <c r="PTY158" s="103"/>
      <c r="PTZ158" s="103"/>
      <c r="PUA158" s="103"/>
      <c r="PUB158" s="103"/>
      <c r="PUC158" s="103"/>
      <c r="PUD158" s="103"/>
      <c r="PUE158" s="103"/>
      <c r="PUF158" s="103"/>
      <c r="PUG158" s="103"/>
      <c r="PUH158" s="103"/>
      <c r="PUI158" s="103"/>
      <c r="PUJ158" s="103"/>
      <c r="PUK158" s="103"/>
      <c r="PUL158" s="103"/>
      <c r="PUM158" s="103"/>
      <c r="PUN158" s="103"/>
      <c r="PUO158" s="103"/>
      <c r="PUP158" s="103"/>
      <c r="PUQ158" s="103"/>
      <c r="PUR158" s="103"/>
      <c r="PUS158" s="103"/>
      <c r="PUT158" s="103"/>
      <c r="PUU158" s="103"/>
      <c r="PUV158" s="103"/>
      <c r="PUW158" s="103"/>
      <c r="PUX158" s="103"/>
      <c r="PUY158" s="103"/>
      <c r="PUZ158" s="103"/>
      <c r="PVA158" s="103"/>
      <c r="PVB158" s="103"/>
      <c r="PVC158" s="103"/>
      <c r="PVD158" s="103"/>
      <c r="PVE158" s="103"/>
      <c r="PVF158" s="103"/>
      <c r="PVG158" s="103"/>
      <c r="PVH158" s="103"/>
      <c r="PVI158" s="103"/>
      <c r="PVJ158" s="103"/>
      <c r="PVK158" s="103"/>
      <c r="PVL158" s="103"/>
      <c r="PVM158" s="103"/>
      <c r="PVN158" s="103"/>
      <c r="PVO158" s="103"/>
      <c r="PVP158" s="103"/>
      <c r="PVQ158" s="103"/>
      <c r="PVR158" s="103"/>
      <c r="PVS158" s="103"/>
      <c r="PVT158" s="103"/>
      <c r="PVU158" s="103"/>
      <c r="PVV158" s="103"/>
      <c r="PVW158" s="103"/>
      <c r="PVX158" s="103"/>
      <c r="PVY158" s="103"/>
      <c r="PVZ158" s="103"/>
      <c r="PWA158" s="103"/>
      <c r="PWB158" s="103"/>
      <c r="PWC158" s="103"/>
      <c r="PWD158" s="103"/>
      <c r="PWE158" s="103"/>
      <c r="PWF158" s="103"/>
      <c r="PWG158" s="103"/>
      <c r="PWH158" s="103"/>
      <c r="PWI158" s="103"/>
      <c r="PWJ158" s="103"/>
      <c r="PWK158" s="103"/>
      <c r="PWL158" s="103"/>
      <c r="PWM158" s="103"/>
      <c r="PWN158" s="103"/>
      <c r="PWO158" s="103"/>
      <c r="PWP158" s="103"/>
      <c r="PWQ158" s="103"/>
      <c r="PWR158" s="103"/>
      <c r="PWS158" s="103"/>
      <c r="PWT158" s="103"/>
      <c r="PWU158" s="103"/>
      <c r="PWV158" s="103"/>
      <c r="PWW158" s="103"/>
      <c r="PWX158" s="103"/>
      <c r="PWY158" s="103"/>
      <c r="PWZ158" s="103"/>
      <c r="PXA158" s="103"/>
      <c r="PXB158" s="103"/>
      <c r="PXC158" s="103"/>
      <c r="PXD158" s="103"/>
      <c r="PXE158" s="103"/>
      <c r="PXF158" s="103"/>
      <c r="PXG158" s="103"/>
      <c r="PXH158" s="103"/>
      <c r="PXI158" s="103"/>
      <c r="PXJ158" s="103"/>
      <c r="PXK158" s="103"/>
      <c r="PXL158" s="103"/>
      <c r="PXM158" s="103"/>
      <c r="PXN158" s="103"/>
      <c r="PXO158" s="103"/>
      <c r="PXP158" s="103"/>
      <c r="PXQ158" s="103"/>
      <c r="PXR158" s="103"/>
      <c r="PXS158" s="103"/>
      <c r="PXT158" s="103"/>
      <c r="PXU158" s="103"/>
      <c r="PXV158" s="103"/>
      <c r="PXW158" s="103"/>
      <c r="PXX158" s="103"/>
      <c r="PXY158" s="103"/>
      <c r="PXZ158" s="103"/>
      <c r="PYA158" s="103"/>
      <c r="PYB158" s="103"/>
      <c r="PYC158" s="103"/>
      <c r="PYD158" s="103"/>
      <c r="PYE158" s="103"/>
      <c r="PYF158" s="103"/>
      <c r="PYG158" s="103"/>
      <c r="PYH158" s="103"/>
      <c r="PYI158" s="103"/>
      <c r="PYJ158" s="103"/>
      <c r="PYK158" s="103"/>
      <c r="PYL158" s="103"/>
      <c r="PYM158" s="103"/>
      <c r="PYN158" s="103"/>
      <c r="PYO158" s="103"/>
      <c r="PYP158" s="103"/>
      <c r="PYQ158" s="103"/>
      <c r="PYR158" s="103"/>
      <c r="PYS158" s="103"/>
      <c r="PYT158" s="103"/>
      <c r="PYU158" s="103"/>
      <c r="PYV158" s="103"/>
      <c r="PYW158" s="103"/>
      <c r="PYX158" s="103"/>
      <c r="PYY158" s="103"/>
      <c r="PYZ158" s="103"/>
      <c r="PZA158" s="103"/>
      <c r="PZB158" s="103"/>
      <c r="PZC158" s="103"/>
      <c r="PZD158" s="103"/>
      <c r="PZE158" s="103"/>
      <c r="PZF158" s="103"/>
      <c r="PZG158" s="103"/>
      <c r="PZH158" s="103"/>
      <c r="PZI158" s="103"/>
      <c r="PZJ158" s="103"/>
      <c r="PZK158" s="103"/>
      <c r="PZL158" s="103"/>
      <c r="PZM158" s="103"/>
      <c r="PZN158" s="103"/>
      <c r="PZO158" s="103"/>
      <c r="PZP158" s="103"/>
      <c r="PZQ158" s="103"/>
      <c r="PZR158" s="103"/>
      <c r="PZS158" s="103"/>
      <c r="PZT158" s="103"/>
      <c r="PZU158" s="103"/>
      <c r="PZV158" s="103"/>
      <c r="PZW158" s="103"/>
      <c r="PZX158" s="103"/>
      <c r="PZY158" s="103"/>
      <c r="PZZ158" s="103"/>
      <c r="QAA158" s="103"/>
      <c r="QAB158" s="103"/>
      <c r="QAC158" s="103"/>
      <c r="QAD158" s="103"/>
      <c r="QAE158" s="103"/>
      <c r="QAF158" s="103"/>
      <c r="QAG158" s="103"/>
      <c r="QAH158" s="103"/>
      <c r="QAI158" s="103"/>
      <c r="QAJ158" s="103"/>
      <c r="QAK158" s="103"/>
      <c r="QAL158" s="103"/>
      <c r="QAM158" s="103"/>
      <c r="QAN158" s="103"/>
      <c r="QAO158" s="103"/>
      <c r="QAP158" s="103"/>
      <c r="QAQ158" s="103"/>
      <c r="QAR158" s="103"/>
      <c r="QAS158" s="103"/>
      <c r="QAT158" s="103"/>
      <c r="QAU158" s="103"/>
      <c r="QAV158" s="103"/>
      <c r="QAW158" s="103"/>
      <c r="QAX158" s="103"/>
      <c r="QAY158" s="103"/>
      <c r="QAZ158" s="103"/>
      <c r="QBA158" s="103"/>
      <c r="QBB158" s="103"/>
      <c r="QBC158" s="103"/>
      <c r="QBD158" s="103"/>
      <c r="QBE158" s="103"/>
      <c r="QBF158" s="103"/>
      <c r="QBG158" s="103"/>
      <c r="QBH158" s="103"/>
      <c r="QBI158" s="103"/>
      <c r="QBJ158" s="103"/>
      <c r="QBK158" s="103"/>
      <c r="QBL158" s="103"/>
      <c r="QBM158" s="103"/>
      <c r="QBN158" s="103"/>
      <c r="QBO158" s="103"/>
      <c r="QBP158" s="103"/>
      <c r="QBQ158" s="103"/>
      <c r="QBR158" s="103"/>
      <c r="QBS158" s="103"/>
      <c r="QBT158" s="103"/>
      <c r="QBU158" s="103"/>
      <c r="QBV158" s="103"/>
      <c r="QBW158" s="103"/>
      <c r="QBX158" s="103"/>
      <c r="QBY158" s="103"/>
      <c r="QBZ158" s="103"/>
      <c r="QCA158" s="103"/>
      <c r="QCB158" s="103"/>
      <c r="QCC158" s="103"/>
      <c r="QCD158" s="103"/>
      <c r="QCE158" s="103"/>
      <c r="QCF158" s="103"/>
      <c r="QCG158" s="103"/>
      <c r="QCH158" s="103"/>
      <c r="QCI158" s="103"/>
      <c r="QCJ158" s="103"/>
      <c r="QCK158" s="103"/>
      <c r="QCL158" s="103"/>
      <c r="QCM158" s="103"/>
      <c r="QCN158" s="103"/>
      <c r="QCO158" s="103"/>
      <c r="QCP158" s="103"/>
      <c r="QCQ158" s="103"/>
      <c r="QCR158" s="103"/>
      <c r="QCS158" s="103"/>
      <c r="QCT158" s="103"/>
      <c r="QCU158" s="103"/>
      <c r="QCV158" s="103"/>
      <c r="QCW158" s="103"/>
      <c r="QCX158" s="103"/>
      <c r="QCY158" s="103"/>
      <c r="QCZ158" s="103"/>
      <c r="QDA158" s="103"/>
      <c r="QDB158" s="103"/>
      <c r="QDC158" s="103"/>
      <c r="QDD158" s="103"/>
      <c r="QDE158" s="103"/>
      <c r="QDF158" s="103"/>
      <c r="QDG158" s="103"/>
      <c r="QDH158" s="103"/>
      <c r="QDI158" s="103"/>
      <c r="QDJ158" s="103"/>
      <c r="QDK158" s="103"/>
      <c r="QDL158" s="103"/>
      <c r="QDM158" s="103"/>
      <c r="QDN158" s="103"/>
      <c r="QDO158" s="103"/>
      <c r="QDP158" s="103"/>
      <c r="QDQ158" s="103"/>
      <c r="QDR158" s="103"/>
      <c r="QDS158" s="103"/>
      <c r="QDT158" s="103"/>
      <c r="QDU158" s="103"/>
      <c r="QDV158" s="103"/>
      <c r="QDW158" s="103"/>
      <c r="QDX158" s="103"/>
      <c r="QDY158" s="103"/>
      <c r="QDZ158" s="103"/>
      <c r="QEA158" s="103"/>
      <c r="QEB158" s="103"/>
      <c r="QEC158" s="103"/>
      <c r="QED158" s="103"/>
      <c r="QEE158" s="103"/>
      <c r="QEF158" s="103"/>
      <c r="QEG158" s="103"/>
      <c r="QEH158" s="103"/>
      <c r="QEI158" s="103"/>
      <c r="QEJ158" s="103"/>
      <c r="QEK158" s="103"/>
      <c r="QEL158" s="103"/>
      <c r="QEM158" s="103"/>
      <c r="QEN158" s="103"/>
      <c r="QEO158" s="103"/>
      <c r="QEP158" s="103"/>
      <c r="QEQ158" s="103"/>
      <c r="QER158" s="103"/>
      <c r="QES158" s="103"/>
      <c r="QET158" s="103"/>
      <c r="QEU158" s="103"/>
      <c r="QEV158" s="103"/>
      <c r="QEW158" s="103"/>
      <c r="QEX158" s="103"/>
      <c r="QEY158" s="103"/>
      <c r="QEZ158" s="103"/>
      <c r="QFA158" s="103"/>
      <c r="QFB158" s="103"/>
      <c r="QFC158" s="103"/>
      <c r="QFD158" s="103"/>
      <c r="QFE158" s="103"/>
      <c r="QFF158" s="103"/>
      <c r="QFG158" s="103"/>
      <c r="QFH158" s="103"/>
      <c r="QFI158" s="103"/>
      <c r="QFJ158" s="103"/>
      <c r="QFK158" s="103"/>
      <c r="QFL158" s="103"/>
      <c r="QFM158" s="103"/>
      <c r="QFN158" s="103"/>
      <c r="QFO158" s="103"/>
      <c r="QFP158" s="103"/>
      <c r="QFQ158" s="103"/>
      <c r="QFR158" s="103"/>
      <c r="QFS158" s="103"/>
      <c r="QFT158" s="103"/>
      <c r="QFU158" s="103"/>
      <c r="QFV158" s="103"/>
      <c r="QFW158" s="103"/>
      <c r="QFX158" s="103"/>
      <c r="QFY158" s="103"/>
      <c r="QFZ158" s="103"/>
      <c r="QGA158" s="103"/>
      <c r="QGB158" s="103"/>
      <c r="QGC158" s="103"/>
      <c r="QGD158" s="103"/>
      <c r="QGE158" s="103"/>
      <c r="QGF158" s="103"/>
      <c r="QGG158" s="103"/>
      <c r="QGH158" s="103"/>
      <c r="QGI158" s="103"/>
      <c r="QGJ158" s="103"/>
      <c r="QGK158" s="103"/>
      <c r="QGL158" s="103"/>
      <c r="QGM158" s="103"/>
      <c r="QGN158" s="103"/>
      <c r="QGO158" s="103"/>
      <c r="QGP158" s="103"/>
      <c r="QGQ158" s="103"/>
      <c r="QGR158" s="103"/>
      <c r="QGS158" s="103"/>
      <c r="QGT158" s="103"/>
      <c r="QGU158" s="103"/>
      <c r="QGV158" s="103"/>
      <c r="QGW158" s="103"/>
      <c r="QGX158" s="103"/>
      <c r="QGY158" s="103"/>
      <c r="QGZ158" s="103"/>
      <c r="QHA158" s="103"/>
      <c r="QHB158" s="103"/>
      <c r="QHC158" s="103"/>
      <c r="QHD158" s="103"/>
      <c r="QHE158" s="103"/>
      <c r="QHF158" s="103"/>
      <c r="QHG158" s="103"/>
      <c r="QHH158" s="103"/>
      <c r="QHI158" s="103"/>
      <c r="QHJ158" s="103"/>
      <c r="QHK158" s="103"/>
      <c r="QHL158" s="103"/>
      <c r="QHM158" s="103"/>
      <c r="QHN158" s="103"/>
      <c r="QHO158" s="103"/>
      <c r="QHP158" s="103"/>
      <c r="QHQ158" s="103"/>
      <c r="QHR158" s="103"/>
      <c r="QHS158" s="103"/>
      <c r="QHT158" s="103"/>
      <c r="QHU158" s="103"/>
      <c r="QHV158" s="103"/>
      <c r="QHW158" s="103"/>
      <c r="QHX158" s="103"/>
      <c r="QHY158" s="103"/>
      <c r="QHZ158" s="103"/>
      <c r="QIA158" s="103"/>
      <c r="QIB158" s="103"/>
      <c r="QIC158" s="103"/>
      <c r="QID158" s="103"/>
      <c r="QIE158" s="103"/>
      <c r="QIF158" s="103"/>
      <c r="QIG158" s="103"/>
      <c r="QIH158" s="103"/>
      <c r="QII158" s="103"/>
      <c r="QIJ158" s="103"/>
      <c r="QIK158" s="103"/>
      <c r="QIL158" s="103"/>
      <c r="QIM158" s="103"/>
      <c r="QIN158" s="103"/>
      <c r="QIO158" s="103"/>
      <c r="QIP158" s="103"/>
      <c r="QIQ158" s="103"/>
      <c r="QIR158" s="103"/>
      <c r="QIS158" s="103"/>
      <c r="QIT158" s="103"/>
      <c r="QIU158" s="103"/>
      <c r="QIV158" s="103"/>
      <c r="QIW158" s="103"/>
      <c r="QIX158" s="103"/>
      <c r="QIY158" s="103"/>
      <c r="QIZ158" s="103"/>
      <c r="QJA158" s="103"/>
      <c r="QJB158" s="103"/>
      <c r="QJC158" s="103"/>
      <c r="QJD158" s="103"/>
      <c r="QJE158" s="103"/>
      <c r="QJF158" s="103"/>
      <c r="QJG158" s="103"/>
      <c r="QJH158" s="103"/>
      <c r="QJI158" s="103"/>
      <c r="QJJ158" s="103"/>
      <c r="QJK158" s="103"/>
      <c r="QJL158" s="103"/>
      <c r="QJM158" s="103"/>
      <c r="QJN158" s="103"/>
      <c r="QJO158" s="103"/>
      <c r="QJP158" s="103"/>
      <c r="QJQ158" s="103"/>
      <c r="QJR158" s="103"/>
      <c r="QJS158" s="103"/>
      <c r="QJT158" s="103"/>
      <c r="QJU158" s="103"/>
      <c r="QJV158" s="103"/>
      <c r="QJW158" s="103"/>
      <c r="QJX158" s="103"/>
      <c r="QJY158" s="103"/>
      <c r="QJZ158" s="103"/>
      <c r="QKA158" s="103"/>
      <c r="QKB158" s="103"/>
      <c r="QKC158" s="103"/>
      <c r="QKD158" s="103"/>
      <c r="QKE158" s="103"/>
      <c r="QKF158" s="103"/>
      <c r="QKG158" s="103"/>
      <c r="QKH158" s="103"/>
      <c r="QKI158" s="103"/>
      <c r="QKJ158" s="103"/>
      <c r="QKK158" s="103"/>
      <c r="QKL158" s="103"/>
      <c r="QKM158" s="103"/>
      <c r="QKN158" s="103"/>
      <c r="QKO158" s="103"/>
      <c r="QKP158" s="103"/>
      <c r="QKQ158" s="103"/>
      <c r="QKR158" s="103"/>
      <c r="QKS158" s="103"/>
      <c r="QKT158" s="103"/>
      <c r="QKU158" s="103"/>
      <c r="QKV158" s="103"/>
      <c r="QKW158" s="103"/>
      <c r="QKX158" s="103"/>
      <c r="QKY158" s="103"/>
      <c r="QKZ158" s="103"/>
      <c r="QLA158" s="103"/>
      <c r="QLB158" s="103"/>
      <c r="QLC158" s="103"/>
      <c r="QLD158" s="103"/>
      <c r="QLE158" s="103"/>
      <c r="QLF158" s="103"/>
      <c r="QLG158" s="103"/>
      <c r="QLH158" s="103"/>
      <c r="QLI158" s="103"/>
      <c r="QLJ158" s="103"/>
      <c r="QLK158" s="103"/>
      <c r="QLL158" s="103"/>
      <c r="QLM158" s="103"/>
      <c r="QLN158" s="103"/>
      <c r="QLO158" s="103"/>
      <c r="QLP158" s="103"/>
      <c r="QLQ158" s="103"/>
      <c r="QLR158" s="103"/>
      <c r="QLS158" s="103"/>
      <c r="QLT158" s="103"/>
      <c r="QLU158" s="103"/>
      <c r="QLV158" s="103"/>
      <c r="QLW158" s="103"/>
      <c r="QLX158" s="103"/>
      <c r="QLY158" s="103"/>
      <c r="QLZ158" s="103"/>
      <c r="QMA158" s="103"/>
      <c r="QMB158" s="103"/>
      <c r="QMC158" s="103"/>
      <c r="QMD158" s="103"/>
      <c r="QME158" s="103"/>
      <c r="QMF158" s="103"/>
      <c r="QMG158" s="103"/>
      <c r="QMH158" s="103"/>
      <c r="QMI158" s="103"/>
      <c r="QMJ158" s="103"/>
      <c r="QMK158" s="103"/>
      <c r="QML158" s="103"/>
      <c r="QMM158" s="103"/>
      <c r="QMN158" s="103"/>
      <c r="QMO158" s="103"/>
      <c r="QMP158" s="103"/>
      <c r="QMQ158" s="103"/>
      <c r="QMR158" s="103"/>
      <c r="QMS158" s="103"/>
      <c r="QMT158" s="103"/>
      <c r="QMU158" s="103"/>
      <c r="QMV158" s="103"/>
      <c r="QMW158" s="103"/>
      <c r="QMX158" s="103"/>
      <c r="QMY158" s="103"/>
      <c r="QMZ158" s="103"/>
      <c r="QNA158" s="103"/>
      <c r="QNB158" s="103"/>
      <c r="QNC158" s="103"/>
      <c r="QND158" s="103"/>
      <c r="QNE158" s="103"/>
      <c r="QNF158" s="103"/>
      <c r="QNG158" s="103"/>
      <c r="QNH158" s="103"/>
      <c r="QNI158" s="103"/>
      <c r="QNJ158" s="103"/>
      <c r="QNK158" s="103"/>
      <c r="QNL158" s="103"/>
      <c r="QNM158" s="103"/>
      <c r="QNN158" s="103"/>
      <c r="QNO158" s="103"/>
      <c r="QNP158" s="103"/>
      <c r="QNQ158" s="103"/>
      <c r="QNR158" s="103"/>
      <c r="QNS158" s="103"/>
      <c r="QNT158" s="103"/>
      <c r="QNU158" s="103"/>
      <c r="QNV158" s="103"/>
      <c r="QNW158" s="103"/>
      <c r="QNX158" s="103"/>
      <c r="QNY158" s="103"/>
      <c r="QNZ158" s="103"/>
      <c r="QOA158" s="103"/>
      <c r="QOB158" s="103"/>
      <c r="QOC158" s="103"/>
      <c r="QOD158" s="103"/>
      <c r="QOE158" s="103"/>
      <c r="QOF158" s="103"/>
      <c r="QOG158" s="103"/>
      <c r="QOH158" s="103"/>
      <c r="QOI158" s="103"/>
      <c r="QOJ158" s="103"/>
      <c r="QOK158" s="103"/>
      <c r="QOL158" s="103"/>
      <c r="QOM158" s="103"/>
      <c r="QON158" s="103"/>
      <c r="QOO158" s="103"/>
      <c r="QOP158" s="103"/>
      <c r="QOQ158" s="103"/>
      <c r="QOR158" s="103"/>
      <c r="QOS158" s="103"/>
      <c r="QOT158" s="103"/>
      <c r="QOU158" s="103"/>
      <c r="QOV158" s="103"/>
      <c r="QOW158" s="103"/>
      <c r="QOX158" s="103"/>
      <c r="QOY158" s="103"/>
      <c r="QOZ158" s="103"/>
      <c r="QPA158" s="103"/>
      <c r="QPB158" s="103"/>
      <c r="QPC158" s="103"/>
      <c r="QPD158" s="103"/>
      <c r="QPE158" s="103"/>
      <c r="QPF158" s="103"/>
      <c r="QPG158" s="103"/>
      <c r="QPH158" s="103"/>
      <c r="QPI158" s="103"/>
      <c r="QPJ158" s="103"/>
      <c r="QPK158" s="103"/>
      <c r="QPL158" s="103"/>
      <c r="QPM158" s="103"/>
      <c r="QPN158" s="103"/>
      <c r="QPO158" s="103"/>
      <c r="QPP158" s="103"/>
      <c r="QPQ158" s="103"/>
      <c r="QPR158" s="103"/>
      <c r="QPS158" s="103"/>
      <c r="QPT158" s="103"/>
      <c r="QPU158" s="103"/>
      <c r="QPV158" s="103"/>
      <c r="QPW158" s="103"/>
      <c r="QPX158" s="103"/>
      <c r="QPY158" s="103"/>
      <c r="QPZ158" s="103"/>
      <c r="QQA158" s="103"/>
      <c r="QQB158" s="103"/>
      <c r="QQC158" s="103"/>
      <c r="QQD158" s="103"/>
      <c r="QQE158" s="103"/>
      <c r="QQF158" s="103"/>
      <c r="QQG158" s="103"/>
      <c r="QQH158" s="103"/>
      <c r="QQI158" s="103"/>
      <c r="QQJ158" s="103"/>
      <c r="QQK158" s="103"/>
      <c r="QQL158" s="103"/>
      <c r="QQM158" s="103"/>
      <c r="QQN158" s="103"/>
      <c r="QQO158" s="103"/>
      <c r="QQP158" s="103"/>
      <c r="QQQ158" s="103"/>
      <c r="QQR158" s="103"/>
      <c r="QQS158" s="103"/>
      <c r="QQT158" s="103"/>
      <c r="QQU158" s="103"/>
      <c r="QQV158" s="103"/>
      <c r="QQW158" s="103"/>
      <c r="QQX158" s="103"/>
      <c r="QQY158" s="103"/>
      <c r="QQZ158" s="103"/>
      <c r="QRA158" s="103"/>
      <c r="QRB158" s="103"/>
      <c r="QRC158" s="103"/>
      <c r="QRD158" s="103"/>
      <c r="QRE158" s="103"/>
      <c r="QRF158" s="103"/>
      <c r="QRG158" s="103"/>
      <c r="QRH158" s="103"/>
      <c r="QRI158" s="103"/>
      <c r="QRJ158" s="103"/>
      <c r="QRK158" s="103"/>
      <c r="QRL158" s="103"/>
      <c r="QRM158" s="103"/>
      <c r="QRN158" s="103"/>
      <c r="QRO158" s="103"/>
      <c r="QRP158" s="103"/>
      <c r="QRQ158" s="103"/>
      <c r="QRR158" s="103"/>
      <c r="QRS158" s="103"/>
      <c r="QRT158" s="103"/>
      <c r="QRU158" s="103"/>
      <c r="QRV158" s="103"/>
      <c r="QRW158" s="103"/>
      <c r="QRX158" s="103"/>
      <c r="QRY158" s="103"/>
      <c r="QRZ158" s="103"/>
      <c r="QSA158" s="103"/>
      <c r="QSB158" s="103"/>
      <c r="QSC158" s="103"/>
      <c r="QSD158" s="103"/>
      <c r="QSE158" s="103"/>
      <c r="QSF158" s="103"/>
      <c r="QSG158" s="103"/>
      <c r="QSH158" s="103"/>
      <c r="QSI158" s="103"/>
      <c r="QSJ158" s="103"/>
      <c r="QSK158" s="103"/>
      <c r="QSL158" s="103"/>
      <c r="QSM158" s="103"/>
      <c r="QSN158" s="103"/>
      <c r="QSO158" s="103"/>
      <c r="QSP158" s="103"/>
      <c r="QSQ158" s="103"/>
      <c r="QSR158" s="103"/>
      <c r="QSS158" s="103"/>
      <c r="QST158" s="103"/>
      <c r="QSU158" s="103"/>
      <c r="QSV158" s="103"/>
      <c r="QSW158" s="103"/>
      <c r="QSX158" s="103"/>
      <c r="QSY158" s="103"/>
      <c r="QSZ158" s="103"/>
      <c r="QTA158" s="103"/>
      <c r="QTB158" s="103"/>
      <c r="QTC158" s="103"/>
      <c r="QTD158" s="103"/>
      <c r="QTE158" s="103"/>
      <c r="QTF158" s="103"/>
      <c r="QTG158" s="103"/>
      <c r="QTH158" s="103"/>
      <c r="QTI158" s="103"/>
      <c r="QTJ158" s="103"/>
      <c r="QTK158" s="103"/>
      <c r="QTL158" s="103"/>
      <c r="QTM158" s="103"/>
      <c r="QTN158" s="103"/>
      <c r="QTO158" s="103"/>
      <c r="QTP158" s="103"/>
      <c r="QTQ158" s="103"/>
      <c r="QTR158" s="103"/>
      <c r="QTS158" s="103"/>
      <c r="QTT158" s="103"/>
      <c r="QTU158" s="103"/>
      <c r="QTV158" s="103"/>
      <c r="QTW158" s="103"/>
      <c r="QTX158" s="103"/>
      <c r="QTY158" s="103"/>
      <c r="QTZ158" s="103"/>
      <c r="QUA158" s="103"/>
      <c r="QUB158" s="103"/>
      <c r="QUC158" s="103"/>
      <c r="QUD158" s="103"/>
      <c r="QUE158" s="103"/>
      <c r="QUF158" s="103"/>
      <c r="QUG158" s="103"/>
      <c r="QUH158" s="103"/>
      <c r="QUI158" s="103"/>
      <c r="QUJ158" s="103"/>
      <c r="QUK158" s="103"/>
      <c r="QUL158" s="103"/>
      <c r="QUM158" s="103"/>
      <c r="QUN158" s="103"/>
      <c r="QUO158" s="103"/>
      <c r="QUP158" s="103"/>
      <c r="QUQ158" s="103"/>
      <c r="QUR158" s="103"/>
      <c r="QUS158" s="103"/>
      <c r="QUT158" s="103"/>
      <c r="QUU158" s="103"/>
      <c r="QUV158" s="103"/>
      <c r="QUW158" s="103"/>
      <c r="QUX158" s="103"/>
      <c r="QUY158" s="103"/>
      <c r="QUZ158" s="103"/>
      <c r="QVA158" s="103"/>
      <c r="QVB158" s="103"/>
      <c r="QVC158" s="103"/>
      <c r="QVD158" s="103"/>
      <c r="QVE158" s="103"/>
      <c r="QVF158" s="103"/>
      <c r="QVG158" s="103"/>
      <c r="QVH158" s="103"/>
      <c r="QVI158" s="103"/>
      <c r="QVJ158" s="103"/>
      <c r="QVK158" s="103"/>
      <c r="QVL158" s="103"/>
      <c r="QVM158" s="103"/>
      <c r="QVN158" s="103"/>
      <c r="QVO158" s="103"/>
      <c r="QVP158" s="103"/>
      <c r="QVQ158" s="103"/>
      <c r="QVR158" s="103"/>
      <c r="QVS158" s="103"/>
      <c r="QVT158" s="103"/>
      <c r="QVU158" s="103"/>
      <c r="QVV158" s="103"/>
      <c r="QVW158" s="103"/>
      <c r="QVX158" s="103"/>
      <c r="QVY158" s="103"/>
      <c r="QVZ158" s="103"/>
      <c r="QWA158" s="103"/>
      <c r="QWB158" s="103"/>
      <c r="QWC158" s="103"/>
      <c r="QWD158" s="103"/>
      <c r="QWE158" s="103"/>
      <c r="QWF158" s="103"/>
      <c r="QWG158" s="103"/>
      <c r="QWH158" s="103"/>
      <c r="QWI158" s="103"/>
      <c r="QWJ158" s="103"/>
      <c r="QWK158" s="103"/>
      <c r="QWL158" s="103"/>
      <c r="QWM158" s="103"/>
      <c r="QWN158" s="103"/>
      <c r="QWO158" s="103"/>
      <c r="QWP158" s="103"/>
      <c r="QWQ158" s="103"/>
      <c r="QWR158" s="103"/>
      <c r="QWS158" s="103"/>
      <c r="QWT158" s="103"/>
      <c r="QWU158" s="103"/>
      <c r="QWV158" s="103"/>
      <c r="QWW158" s="103"/>
      <c r="QWX158" s="103"/>
      <c r="QWY158" s="103"/>
      <c r="QWZ158" s="103"/>
      <c r="QXA158" s="103"/>
      <c r="QXB158" s="103"/>
      <c r="QXC158" s="103"/>
      <c r="QXD158" s="103"/>
      <c r="QXE158" s="103"/>
      <c r="QXF158" s="103"/>
      <c r="QXG158" s="103"/>
      <c r="QXH158" s="103"/>
      <c r="QXI158" s="103"/>
      <c r="QXJ158" s="103"/>
      <c r="QXK158" s="103"/>
      <c r="QXL158" s="103"/>
      <c r="QXM158" s="103"/>
      <c r="QXN158" s="103"/>
      <c r="QXO158" s="103"/>
      <c r="QXP158" s="103"/>
      <c r="QXQ158" s="103"/>
      <c r="QXR158" s="103"/>
      <c r="QXS158" s="103"/>
      <c r="QXT158" s="103"/>
      <c r="QXU158" s="103"/>
      <c r="QXV158" s="103"/>
      <c r="QXW158" s="103"/>
      <c r="QXX158" s="103"/>
      <c r="QXY158" s="103"/>
      <c r="QXZ158" s="103"/>
      <c r="QYA158" s="103"/>
      <c r="QYB158" s="103"/>
      <c r="QYC158" s="103"/>
      <c r="QYD158" s="103"/>
      <c r="QYE158" s="103"/>
      <c r="QYF158" s="103"/>
      <c r="QYG158" s="103"/>
      <c r="QYH158" s="103"/>
      <c r="QYI158" s="103"/>
      <c r="QYJ158" s="103"/>
      <c r="QYK158" s="103"/>
      <c r="QYL158" s="103"/>
      <c r="QYM158" s="103"/>
      <c r="QYN158" s="103"/>
      <c r="QYO158" s="103"/>
      <c r="QYP158" s="103"/>
      <c r="QYQ158" s="103"/>
      <c r="QYR158" s="103"/>
      <c r="QYS158" s="103"/>
      <c r="QYT158" s="103"/>
      <c r="QYU158" s="103"/>
      <c r="QYV158" s="103"/>
      <c r="QYW158" s="103"/>
      <c r="QYX158" s="103"/>
      <c r="QYY158" s="103"/>
      <c r="QYZ158" s="103"/>
      <c r="QZA158" s="103"/>
      <c r="QZB158" s="103"/>
      <c r="QZC158" s="103"/>
      <c r="QZD158" s="103"/>
      <c r="QZE158" s="103"/>
      <c r="QZF158" s="103"/>
      <c r="QZG158" s="103"/>
      <c r="QZH158" s="103"/>
      <c r="QZI158" s="103"/>
      <c r="QZJ158" s="103"/>
      <c r="QZK158" s="103"/>
      <c r="QZL158" s="103"/>
      <c r="QZM158" s="103"/>
      <c r="QZN158" s="103"/>
      <c r="QZO158" s="103"/>
      <c r="QZP158" s="103"/>
      <c r="QZQ158" s="103"/>
      <c r="QZR158" s="103"/>
      <c r="QZS158" s="103"/>
      <c r="QZT158" s="103"/>
      <c r="QZU158" s="103"/>
      <c r="QZV158" s="103"/>
      <c r="QZW158" s="103"/>
      <c r="QZX158" s="103"/>
      <c r="QZY158" s="103"/>
      <c r="QZZ158" s="103"/>
      <c r="RAA158" s="103"/>
      <c r="RAB158" s="103"/>
      <c r="RAC158" s="103"/>
      <c r="RAD158" s="103"/>
      <c r="RAE158" s="103"/>
      <c r="RAF158" s="103"/>
      <c r="RAG158" s="103"/>
      <c r="RAH158" s="103"/>
      <c r="RAI158" s="103"/>
      <c r="RAJ158" s="103"/>
      <c r="RAK158" s="103"/>
      <c r="RAL158" s="103"/>
      <c r="RAM158" s="103"/>
      <c r="RAN158" s="103"/>
      <c r="RAO158" s="103"/>
      <c r="RAP158" s="103"/>
      <c r="RAQ158" s="103"/>
      <c r="RAR158" s="103"/>
      <c r="RAS158" s="103"/>
      <c r="RAT158" s="103"/>
      <c r="RAU158" s="103"/>
      <c r="RAV158" s="103"/>
      <c r="RAW158" s="103"/>
      <c r="RAX158" s="103"/>
      <c r="RAY158" s="103"/>
      <c r="RAZ158" s="103"/>
      <c r="RBA158" s="103"/>
      <c r="RBB158" s="103"/>
      <c r="RBC158" s="103"/>
      <c r="RBD158" s="103"/>
      <c r="RBE158" s="103"/>
      <c r="RBF158" s="103"/>
      <c r="RBG158" s="103"/>
      <c r="RBH158" s="103"/>
      <c r="RBI158" s="103"/>
      <c r="RBJ158" s="103"/>
      <c r="RBK158" s="103"/>
      <c r="RBL158" s="103"/>
      <c r="RBM158" s="103"/>
      <c r="RBN158" s="103"/>
      <c r="RBO158" s="103"/>
      <c r="RBP158" s="103"/>
      <c r="RBQ158" s="103"/>
      <c r="RBR158" s="103"/>
      <c r="RBS158" s="103"/>
      <c r="RBT158" s="103"/>
      <c r="RBU158" s="103"/>
      <c r="RBV158" s="103"/>
      <c r="RBW158" s="103"/>
      <c r="RBX158" s="103"/>
      <c r="RBY158" s="103"/>
      <c r="RBZ158" s="103"/>
      <c r="RCA158" s="103"/>
      <c r="RCB158" s="103"/>
      <c r="RCC158" s="103"/>
      <c r="RCD158" s="103"/>
      <c r="RCE158" s="103"/>
      <c r="RCF158" s="103"/>
      <c r="RCG158" s="103"/>
      <c r="RCH158" s="103"/>
      <c r="RCI158" s="103"/>
      <c r="RCJ158" s="103"/>
      <c r="RCK158" s="103"/>
      <c r="RCL158" s="103"/>
      <c r="RCM158" s="103"/>
      <c r="RCN158" s="103"/>
      <c r="RCO158" s="103"/>
      <c r="RCP158" s="103"/>
      <c r="RCQ158" s="103"/>
      <c r="RCR158" s="103"/>
      <c r="RCS158" s="103"/>
      <c r="RCT158" s="103"/>
      <c r="RCU158" s="103"/>
      <c r="RCV158" s="103"/>
      <c r="RCW158" s="103"/>
      <c r="RCX158" s="103"/>
      <c r="RCY158" s="103"/>
      <c r="RCZ158" s="103"/>
      <c r="RDA158" s="103"/>
      <c r="RDB158" s="103"/>
      <c r="RDC158" s="103"/>
      <c r="RDD158" s="103"/>
      <c r="RDE158" s="103"/>
      <c r="RDF158" s="103"/>
      <c r="RDG158" s="103"/>
      <c r="RDH158" s="103"/>
      <c r="RDI158" s="103"/>
      <c r="RDJ158" s="103"/>
      <c r="RDK158" s="103"/>
      <c r="RDL158" s="103"/>
      <c r="RDM158" s="103"/>
      <c r="RDN158" s="103"/>
      <c r="RDO158" s="103"/>
      <c r="RDP158" s="103"/>
      <c r="RDQ158" s="103"/>
      <c r="RDR158" s="103"/>
      <c r="RDS158" s="103"/>
      <c r="RDT158" s="103"/>
      <c r="RDU158" s="103"/>
      <c r="RDV158" s="103"/>
      <c r="RDW158" s="103"/>
      <c r="RDX158" s="103"/>
      <c r="RDY158" s="103"/>
      <c r="RDZ158" s="103"/>
      <c r="REA158" s="103"/>
      <c r="REB158" s="103"/>
      <c r="REC158" s="103"/>
      <c r="RED158" s="103"/>
      <c r="REE158" s="103"/>
      <c r="REF158" s="103"/>
      <c r="REG158" s="103"/>
      <c r="REH158" s="103"/>
      <c r="REI158" s="103"/>
      <c r="REJ158" s="103"/>
      <c r="REK158" s="103"/>
      <c r="REL158" s="103"/>
      <c r="REM158" s="103"/>
      <c r="REN158" s="103"/>
      <c r="REO158" s="103"/>
      <c r="REP158" s="103"/>
      <c r="REQ158" s="103"/>
      <c r="RER158" s="103"/>
      <c r="RES158" s="103"/>
      <c r="RET158" s="103"/>
      <c r="REU158" s="103"/>
      <c r="REV158" s="103"/>
      <c r="REW158" s="103"/>
      <c r="REX158" s="103"/>
      <c r="REY158" s="103"/>
      <c r="REZ158" s="103"/>
      <c r="RFA158" s="103"/>
      <c r="RFB158" s="103"/>
      <c r="RFC158" s="103"/>
      <c r="RFD158" s="103"/>
      <c r="RFE158" s="103"/>
      <c r="RFF158" s="103"/>
      <c r="RFG158" s="103"/>
      <c r="RFH158" s="103"/>
      <c r="RFI158" s="103"/>
      <c r="RFJ158" s="103"/>
      <c r="RFK158" s="103"/>
      <c r="RFL158" s="103"/>
      <c r="RFM158" s="103"/>
      <c r="RFN158" s="103"/>
      <c r="RFO158" s="103"/>
      <c r="RFP158" s="103"/>
      <c r="RFQ158" s="103"/>
      <c r="RFR158" s="103"/>
      <c r="RFS158" s="103"/>
      <c r="RFT158" s="103"/>
      <c r="RFU158" s="103"/>
      <c r="RFV158" s="103"/>
      <c r="RFW158" s="103"/>
      <c r="RFX158" s="103"/>
      <c r="RFY158" s="103"/>
      <c r="RFZ158" s="103"/>
      <c r="RGA158" s="103"/>
      <c r="RGB158" s="103"/>
      <c r="RGC158" s="103"/>
      <c r="RGD158" s="103"/>
      <c r="RGE158" s="103"/>
      <c r="RGF158" s="103"/>
      <c r="RGG158" s="103"/>
      <c r="RGH158" s="103"/>
      <c r="RGI158" s="103"/>
      <c r="RGJ158" s="103"/>
      <c r="RGK158" s="103"/>
      <c r="RGL158" s="103"/>
      <c r="RGM158" s="103"/>
      <c r="RGN158" s="103"/>
      <c r="RGO158" s="103"/>
      <c r="RGP158" s="103"/>
      <c r="RGQ158" s="103"/>
      <c r="RGR158" s="103"/>
      <c r="RGS158" s="103"/>
      <c r="RGT158" s="103"/>
      <c r="RGU158" s="103"/>
      <c r="RGV158" s="103"/>
      <c r="RGW158" s="103"/>
      <c r="RGX158" s="103"/>
      <c r="RGY158" s="103"/>
      <c r="RGZ158" s="103"/>
      <c r="RHA158" s="103"/>
      <c r="RHB158" s="103"/>
      <c r="RHC158" s="103"/>
      <c r="RHD158" s="103"/>
      <c r="RHE158" s="103"/>
      <c r="RHF158" s="103"/>
      <c r="RHG158" s="103"/>
      <c r="RHH158" s="103"/>
      <c r="RHI158" s="103"/>
      <c r="RHJ158" s="103"/>
      <c r="RHK158" s="103"/>
      <c r="RHL158" s="103"/>
      <c r="RHM158" s="103"/>
      <c r="RHN158" s="103"/>
      <c r="RHO158" s="103"/>
      <c r="RHP158" s="103"/>
      <c r="RHQ158" s="103"/>
      <c r="RHR158" s="103"/>
      <c r="RHS158" s="103"/>
      <c r="RHT158" s="103"/>
      <c r="RHU158" s="103"/>
      <c r="RHV158" s="103"/>
      <c r="RHW158" s="103"/>
      <c r="RHX158" s="103"/>
      <c r="RHY158" s="103"/>
      <c r="RHZ158" s="103"/>
      <c r="RIA158" s="103"/>
      <c r="RIB158" s="103"/>
      <c r="RIC158" s="103"/>
      <c r="RID158" s="103"/>
      <c r="RIE158" s="103"/>
      <c r="RIF158" s="103"/>
      <c r="RIG158" s="103"/>
      <c r="RIH158" s="103"/>
      <c r="RII158" s="103"/>
      <c r="RIJ158" s="103"/>
      <c r="RIK158" s="103"/>
      <c r="RIL158" s="103"/>
      <c r="RIM158" s="103"/>
      <c r="RIN158" s="103"/>
      <c r="RIO158" s="103"/>
      <c r="RIP158" s="103"/>
      <c r="RIQ158" s="103"/>
      <c r="RIR158" s="103"/>
      <c r="RIS158" s="103"/>
      <c r="RIT158" s="103"/>
      <c r="RIU158" s="103"/>
      <c r="RIV158" s="103"/>
      <c r="RIW158" s="103"/>
      <c r="RIX158" s="103"/>
      <c r="RIY158" s="103"/>
      <c r="RIZ158" s="103"/>
      <c r="RJA158" s="103"/>
      <c r="RJB158" s="103"/>
      <c r="RJC158" s="103"/>
      <c r="RJD158" s="103"/>
      <c r="RJE158" s="103"/>
      <c r="RJF158" s="103"/>
      <c r="RJG158" s="103"/>
      <c r="RJH158" s="103"/>
      <c r="RJI158" s="103"/>
      <c r="RJJ158" s="103"/>
      <c r="RJK158" s="103"/>
      <c r="RJL158" s="103"/>
      <c r="RJM158" s="103"/>
      <c r="RJN158" s="103"/>
      <c r="RJO158" s="103"/>
      <c r="RJP158" s="103"/>
      <c r="RJQ158" s="103"/>
      <c r="RJR158" s="103"/>
      <c r="RJS158" s="103"/>
      <c r="RJT158" s="103"/>
      <c r="RJU158" s="103"/>
      <c r="RJV158" s="103"/>
      <c r="RJW158" s="103"/>
      <c r="RJX158" s="103"/>
      <c r="RJY158" s="103"/>
      <c r="RJZ158" s="103"/>
      <c r="RKA158" s="103"/>
      <c r="RKB158" s="103"/>
      <c r="RKC158" s="103"/>
      <c r="RKD158" s="103"/>
      <c r="RKE158" s="103"/>
      <c r="RKF158" s="103"/>
      <c r="RKG158" s="103"/>
      <c r="RKH158" s="103"/>
      <c r="RKI158" s="103"/>
      <c r="RKJ158" s="103"/>
      <c r="RKK158" s="103"/>
      <c r="RKL158" s="103"/>
      <c r="RKM158" s="103"/>
      <c r="RKN158" s="103"/>
      <c r="RKO158" s="103"/>
      <c r="RKP158" s="103"/>
      <c r="RKQ158" s="103"/>
      <c r="RKR158" s="103"/>
      <c r="RKS158" s="103"/>
      <c r="RKT158" s="103"/>
      <c r="RKU158" s="103"/>
      <c r="RKV158" s="103"/>
      <c r="RKW158" s="103"/>
      <c r="RKX158" s="103"/>
      <c r="RKY158" s="103"/>
      <c r="RKZ158" s="103"/>
      <c r="RLA158" s="103"/>
      <c r="RLB158" s="103"/>
      <c r="RLC158" s="103"/>
      <c r="RLD158" s="103"/>
      <c r="RLE158" s="103"/>
      <c r="RLF158" s="103"/>
      <c r="RLG158" s="103"/>
      <c r="RLH158" s="103"/>
      <c r="RLI158" s="103"/>
      <c r="RLJ158" s="103"/>
      <c r="RLK158" s="103"/>
      <c r="RLL158" s="103"/>
      <c r="RLM158" s="103"/>
      <c r="RLN158" s="103"/>
      <c r="RLO158" s="103"/>
      <c r="RLP158" s="103"/>
      <c r="RLQ158" s="103"/>
      <c r="RLR158" s="103"/>
      <c r="RLS158" s="103"/>
      <c r="RLT158" s="103"/>
      <c r="RLU158" s="103"/>
      <c r="RLV158" s="103"/>
      <c r="RLW158" s="103"/>
      <c r="RLX158" s="103"/>
      <c r="RLY158" s="103"/>
      <c r="RLZ158" s="103"/>
      <c r="RMA158" s="103"/>
      <c r="RMB158" s="103"/>
      <c r="RMC158" s="103"/>
      <c r="RMD158" s="103"/>
      <c r="RME158" s="103"/>
      <c r="RMF158" s="103"/>
      <c r="RMG158" s="103"/>
      <c r="RMH158" s="103"/>
      <c r="RMI158" s="103"/>
      <c r="RMJ158" s="103"/>
      <c r="RMK158" s="103"/>
      <c r="RML158" s="103"/>
      <c r="RMM158" s="103"/>
      <c r="RMN158" s="103"/>
      <c r="RMO158" s="103"/>
      <c r="RMP158" s="103"/>
      <c r="RMQ158" s="103"/>
      <c r="RMR158" s="103"/>
      <c r="RMS158" s="103"/>
      <c r="RMT158" s="103"/>
      <c r="RMU158" s="103"/>
      <c r="RMV158" s="103"/>
      <c r="RMW158" s="103"/>
      <c r="RMX158" s="103"/>
      <c r="RMY158" s="103"/>
      <c r="RMZ158" s="103"/>
      <c r="RNA158" s="103"/>
      <c r="RNB158" s="103"/>
      <c r="RNC158" s="103"/>
      <c r="RND158" s="103"/>
      <c r="RNE158" s="103"/>
      <c r="RNF158" s="103"/>
      <c r="RNG158" s="103"/>
      <c r="RNH158" s="103"/>
      <c r="RNI158" s="103"/>
      <c r="RNJ158" s="103"/>
      <c r="RNK158" s="103"/>
      <c r="RNL158" s="103"/>
      <c r="RNM158" s="103"/>
      <c r="RNN158" s="103"/>
      <c r="RNO158" s="103"/>
      <c r="RNP158" s="103"/>
      <c r="RNQ158" s="103"/>
      <c r="RNR158" s="103"/>
      <c r="RNS158" s="103"/>
      <c r="RNT158" s="103"/>
      <c r="RNU158" s="103"/>
      <c r="RNV158" s="103"/>
      <c r="RNW158" s="103"/>
      <c r="RNX158" s="103"/>
      <c r="RNY158" s="103"/>
      <c r="RNZ158" s="103"/>
      <c r="ROA158" s="103"/>
      <c r="ROB158" s="103"/>
      <c r="ROC158" s="103"/>
      <c r="ROD158" s="103"/>
      <c r="ROE158" s="103"/>
      <c r="ROF158" s="103"/>
      <c r="ROG158" s="103"/>
      <c r="ROH158" s="103"/>
      <c r="ROI158" s="103"/>
      <c r="ROJ158" s="103"/>
      <c r="ROK158" s="103"/>
      <c r="ROL158" s="103"/>
      <c r="ROM158" s="103"/>
      <c r="RON158" s="103"/>
      <c r="ROO158" s="103"/>
      <c r="ROP158" s="103"/>
      <c r="ROQ158" s="103"/>
      <c r="ROR158" s="103"/>
      <c r="ROS158" s="103"/>
      <c r="ROT158" s="103"/>
      <c r="ROU158" s="103"/>
      <c r="ROV158" s="103"/>
      <c r="ROW158" s="103"/>
      <c r="ROX158" s="103"/>
      <c r="ROY158" s="103"/>
      <c r="ROZ158" s="103"/>
      <c r="RPA158" s="103"/>
      <c r="RPB158" s="103"/>
      <c r="RPC158" s="103"/>
      <c r="RPD158" s="103"/>
      <c r="RPE158" s="103"/>
      <c r="RPF158" s="103"/>
      <c r="RPG158" s="103"/>
      <c r="RPH158" s="103"/>
      <c r="RPI158" s="103"/>
      <c r="RPJ158" s="103"/>
      <c r="RPK158" s="103"/>
      <c r="RPL158" s="103"/>
      <c r="RPM158" s="103"/>
      <c r="RPN158" s="103"/>
      <c r="RPO158" s="103"/>
      <c r="RPP158" s="103"/>
      <c r="RPQ158" s="103"/>
      <c r="RPR158" s="103"/>
      <c r="RPS158" s="103"/>
      <c r="RPT158" s="103"/>
      <c r="RPU158" s="103"/>
      <c r="RPV158" s="103"/>
      <c r="RPW158" s="103"/>
      <c r="RPX158" s="103"/>
      <c r="RPY158" s="103"/>
      <c r="RPZ158" s="103"/>
      <c r="RQA158" s="103"/>
      <c r="RQB158" s="103"/>
      <c r="RQC158" s="103"/>
      <c r="RQD158" s="103"/>
      <c r="RQE158" s="103"/>
      <c r="RQF158" s="103"/>
      <c r="RQG158" s="103"/>
      <c r="RQH158" s="103"/>
      <c r="RQI158" s="103"/>
      <c r="RQJ158" s="103"/>
      <c r="RQK158" s="103"/>
      <c r="RQL158" s="103"/>
      <c r="RQM158" s="103"/>
      <c r="RQN158" s="103"/>
      <c r="RQO158" s="103"/>
      <c r="RQP158" s="103"/>
      <c r="RQQ158" s="103"/>
      <c r="RQR158" s="103"/>
      <c r="RQS158" s="103"/>
      <c r="RQT158" s="103"/>
      <c r="RQU158" s="103"/>
      <c r="RQV158" s="103"/>
      <c r="RQW158" s="103"/>
      <c r="RQX158" s="103"/>
      <c r="RQY158" s="103"/>
      <c r="RQZ158" s="103"/>
      <c r="RRA158" s="103"/>
      <c r="RRB158" s="103"/>
      <c r="RRC158" s="103"/>
      <c r="RRD158" s="103"/>
      <c r="RRE158" s="103"/>
      <c r="RRF158" s="103"/>
      <c r="RRG158" s="103"/>
      <c r="RRH158" s="103"/>
      <c r="RRI158" s="103"/>
      <c r="RRJ158" s="103"/>
      <c r="RRK158" s="103"/>
      <c r="RRL158" s="103"/>
      <c r="RRM158" s="103"/>
      <c r="RRN158" s="103"/>
      <c r="RRO158" s="103"/>
      <c r="RRP158" s="103"/>
      <c r="RRQ158" s="103"/>
      <c r="RRR158" s="103"/>
      <c r="RRS158" s="103"/>
      <c r="RRT158" s="103"/>
      <c r="RRU158" s="103"/>
      <c r="RRV158" s="103"/>
      <c r="RRW158" s="103"/>
      <c r="RRX158" s="103"/>
      <c r="RRY158" s="103"/>
      <c r="RRZ158" s="103"/>
      <c r="RSA158" s="103"/>
      <c r="RSB158" s="103"/>
      <c r="RSC158" s="103"/>
      <c r="RSD158" s="103"/>
      <c r="RSE158" s="103"/>
      <c r="RSF158" s="103"/>
      <c r="RSG158" s="103"/>
      <c r="RSH158" s="103"/>
      <c r="RSI158" s="103"/>
      <c r="RSJ158" s="103"/>
      <c r="RSK158" s="103"/>
      <c r="RSL158" s="103"/>
      <c r="RSM158" s="103"/>
      <c r="RSN158" s="103"/>
      <c r="RSO158" s="103"/>
      <c r="RSP158" s="103"/>
      <c r="RSQ158" s="103"/>
      <c r="RSR158" s="103"/>
      <c r="RSS158" s="103"/>
      <c r="RST158" s="103"/>
      <c r="RSU158" s="103"/>
      <c r="RSV158" s="103"/>
      <c r="RSW158" s="103"/>
      <c r="RSX158" s="103"/>
      <c r="RSY158" s="103"/>
      <c r="RSZ158" s="103"/>
      <c r="RTA158" s="103"/>
      <c r="RTB158" s="103"/>
      <c r="RTC158" s="103"/>
      <c r="RTD158" s="103"/>
      <c r="RTE158" s="103"/>
      <c r="RTF158" s="103"/>
      <c r="RTG158" s="103"/>
      <c r="RTH158" s="103"/>
      <c r="RTI158" s="103"/>
      <c r="RTJ158" s="103"/>
      <c r="RTK158" s="103"/>
      <c r="RTL158" s="103"/>
      <c r="RTM158" s="103"/>
      <c r="RTN158" s="103"/>
      <c r="RTO158" s="103"/>
      <c r="RTP158" s="103"/>
      <c r="RTQ158" s="103"/>
      <c r="RTR158" s="103"/>
      <c r="RTS158" s="103"/>
      <c r="RTT158" s="103"/>
      <c r="RTU158" s="103"/>
      <c r="RTV158" s="103"/>
      <c r="RTW158" s="103"/>
      <c r="RTX158" s="103"/>
      <c r="RTY158" s="103"/>
      <c r="RTZ158" s="103"/>
      <c r="RUA158" s="103"/>
      <c r="RUB158" s="103"/>
      <c r="RUC158" s="103"/>
      <c r="RUD158" s="103"/>
      <c r="RUE158" s="103"/>
      <c r="RUF158" s="103"/>
      <c r="RUG158" s="103"/>
      <c r="RUH158" s="103"/>
      <c r="RUI158" s="103"/>
      <c r="RUJ158" s="103"/>
      <c r="RUK158" s="103"/>
      <c r="RUL158" s="103"/>
      <c r="RUM158" s="103"/>
      <c r="RUN158" s="103"/>
      <c r="RUO158" s="103"/>
      <c r="RUP158" s="103"/>
      <c r="RUQ158" s="103"/>
      <c r="RUR158" s="103"/>
      <c r="RUS158" s="103"/>
      <c r="RUT158" s="103"/>
      <c r="RUU158" s="103"/>
      <c r="RUV158" s="103"/>
      <c r="RUW158" s="103"/>
      <c r="RUX158" s="103"/>
      <c r="RUY158" s="103"/>
      <c r="RUZ158" s="103"/>
      <c r="RVA158" s="103"/>
      <c r="RVB158" s="103"/>
      <c r="RVC158" s="103"/>
      <c r="RVD158" s="103"/>
      <c r="RVE158" s="103"/>
      <c r="RVF158" s="103"/>
      <c r="RVG158" s="103"/>
      <c r="RVH158" s="103"/>
      <c r="RVI158" s="103"/>
      <c r="RVJ158" s="103"/>
      <c r="RVK158" s="103"/>
      <c r="RVL158" s="103"/>
      <c r="RVM158" s="103"/>
      <c r="RVN158" s="103"/>
      <c r="RVO158" s="103"/>
      <c r="RVP158" s="103"/>
      <c r="RVQ158" s="103"/>
      <c r="RVR158" s="103"/>
      <c r="RVS158" s="103"/>
      <c r="RVT158" s="103"/>
      <c r="RVU158" s="103"/>
      <c r="RVV158" s="103"/>
      <c r="RVW158" s="103"/>
      <c r="RVX158" s="103"/>
      <c r="RVY158" s="103"/>
      <c r="RVZ158" s="103"/>
      <c r="RWA158" s="103"/>
      <c r="RWB158" s="103"/>
      <c r="RWC158" s="103"/>
      <c r="RWD158" s="103"/>
      <c r="RWE158" s="103"/>
      <c r="RWF158" s="103"/>
      <c r="RWG158" s="103"/>
      <c r="RWH158" s="103"/>
      <c r="RWI158" s="103"/>
      <c r="RWJ158" s="103"/>
      <c r="RWK158" s="103"/>
      <c r="RWL158" s="103"/>
      <c r="RWM158" s="103"/>
      <c r="RWN158" s="103"/>
      <c r="RWO158" s="103"/>
      <c r="RWP158" s="103"/>
      <c r="RWQ158" s="103"/>
      <c r="RWR158" s="103"/>
      <c r="RWS158" s="103"/>
      <c r="RWT158" s="103"/>
      <c r="RWU158" s="103"/>
      <c r="RWV158" s="103"/>
      <c r="RWW158" s="103"/>
      <c r="RWX158" s="103"/>
      <c r="RWY158" s="103"/>
      <c r="RWZ158" s="103"/>
      <c r="RXA158" s="103"/>
      <c r="RXB158" s="103"/>
      <c r="RXC158" s="103"/>
      <c r="RXD158" s="103"/>
      <c r="RXE158" s="103"/>
      <c r="RXF158" s="103"/>
      <c r="RXG158" s="103"/>
      <c r="RXH158" s="103"/>
      <c r="RXI158" s="103"/>
      <c r="RXJ158" s="103"/>
      <c r="RXK158" s="103"/>
      <c r="RXL158" s="103"/>
      <c r="RXM158" s="103"/>
      <c r="RXN158" s="103"/>
      <c r="RXO158" s="103"/>
      <c r="RXP158" s="103"/>
      <c r="RXQ158" s="103"/>
      <c r="RXR158" s="103"/>
      <c r="RXS158" s="103"/>
      <c r="RXT158" s="103"/>
      <c r="RXU158" s="103"/>
      <c r="RXV158" s="103"/>
      <c r="RXW158" s="103"/>
      <c r="RXX158" s="103"/>
      <c r="RXY158" s="103"/>
      <c r="RXZ158" s="103"/>
      <c r="RYA158" s="103"/>
      <c r="RYB158" s="103"/>
      <c r="RYC158" s="103"/>
      <c r="RYD158" s="103"/>
      <c r="RYE158" s="103"/>
      <c r="RYF158" s="103"/>
      <c r="RYG158" s="103"/>
      <c r="RYH158" s="103"/>
      <c r="RYI158" s="103"/>
      <c r="RYJ158" s="103"/>
      <c r="RYK158" s="103"/>
      <c r="RYL158" s="103"/>
      <c r="RYM158" s="103"/>
      <c r="RYN158" s="103"/>
      <c r="RYO158" s="103"/>
      <c r="RYP158" s="103"/>
      <c r="RYQ158" s="103"/>
      <c r="RYR158" s="103"/>
      <c r="RYS158" s="103"/>
      <c r="RYT158" s="103"/>
      <c r="RYU158" s="103"/>
      <c r="RYV158" s="103"/>
      <c r="RYW158" s="103"/>
      <c r="RYX158" s="103"/>
      <c r="RYY158" s="103"/>
      <c r="RYZ158" s="103"/>
      <c r="RZA158" s="103"/>
      <c r="RZB158" s="103"/>
      <c r="RZC158" s="103"/>
      <c r="RZD158" s="103"/>
      <c r="RZE158" s="103"/>
      <c r="RZF158" s="103"/>
      <c r="RZG158" s="103"/>
      <c r="RZH158" s="103"/>
      <c r="RZI158" s="103"/>
      <c r="RZJ158" s="103"/>
      <c r="RZK158" s="103"/>
      <c r="RZL158" s="103"/>
      <c r="RZM158" s="103"/>
      <c r="RZN158" s="103"/>
      <c r="RZO158" s="103"/>
      <c r="RZP158" s="103"/>
      <c r="RZQ158" s="103"/>
      <c r="RZR158" s="103"/>
      <c r="RZS158" s="103"/>
      <c r="RZT158" s="103"/>
      <c r="RZU158" s="103"/>
      <c r="RZV158" s="103"/>
      <c r="RZW158" s="103"/>
      <c r="RZX158" s="103"/>
      <c r="RZY158" s="103"/>
      <c r="RZZ158" s="103"/>
      <c r="SAA158" s="103"/>
      <c r="SAB158" s="103"/>
      <c r="SAC158" s="103"/>
      <c r="SAD158" s="103"/>
      <c r="SAE158" s="103"/>
      <c r="SAF158" s="103"/>
      <c r="SAG158" s="103"/>
      <c r="SAH158" s="103"/>
      <c r="SAI158" s="103"/>
      <c r="SAJ158" s="103"/>
      <c r="SAK158" s="103"/>
      <c r="SAL158" s="103"/>
      <c r="SAM158" s="103"/>
      <c r="SAN158" s="103"/>
      <c r="SAO158" s="103"/>
      <c r="SAP158" s="103"/>
      <c r="SAQ158" s="103"/>
      <c r="SAR158" s="103"/>
      <c r="SAS158" s="103"/>
      <c r="SAT158" s="103"/>
      <c r="SAU158" s="103"/>
      <c r="SAV158" s="103"/>
      <c r="SAW158" s="103"/>
      <c r="SAX158" s="103"/>
      <c r="SAY158" s="103"/>
      <c r="SAZ158" s="103"/>
      <c r="SBA158" s="103"/>
      <c r="SBB158" s="103"/>
      <c r="SBC158" s="103"/>
      <c r="SBD158" s="103"/>
      <c r="SBE158" s="103"/>
      <c r="SBF158" s="103"/>
      <c r="SBG158" s="103"/>
      <c r="SBH158" s="103"/>
      <c r="SBI158" s="103"/>
      <c r="SBJ158" s="103"/>
      <c r="SBK158" s="103"/>
      <c r="SBL158" s="103"/>
      <c r="SBM158" s="103"/>
      <c r="SBN158" s="103"/>
      <c r="SBO158" s="103"/>
      <c r="SBP158" s="103"/>
      <c r="SBQ158" s="103"/>
      <c r="SBR158" s="103"/>
      <c r="SBS158" s="103"/>
      <c r="SBT158" s="103"/>
      <c r="SBU158" s="103"/>
      <c r="SBV158" s="103"/>
      <c r="SBW158" s="103"/>
      <c r="SBX158" s="103"/>
      <c r="SBY158" s="103"/>
      <c r="SBZ158" s="103"/>
      <c r="SCA158" s="103"/>
      <c r="SCB158" s="103"/>
      <c r="SCC158" s="103"/>
      <c r="SCD158" s="103"/>
      <c r="SCE158" s="103"/>
      <c r="SCF158" s="103"/>
      <c r="SCG158" s="103"/>
      <c r="SCH158" s="103"/>
      <c r="SCI158" s="103"/>
      <c r="SCJ158" s="103"/>
      <c r="SCK158" s="103"/>
      <c r="SCL158" s="103"/>
      <c r="SCM158" s="103"/>
      <c r="SCN158" s="103"/>
      <c r="SCO158" s="103"/>
      <c r="SCP158" s="103"/>
      <c r="SCQ158" s="103"/>
      <c r="SCR158" s="103"/>
      <c r="SCS158" s="103"/>
      <c r="SCT158" s="103"/>
      <c r="SCU158" s="103"/>
      <c r="SCV158" s="103"/>
      <c r="SCW158" s="103"/>
      <c r="SCX158" s="103"/>
      <c r="SCY158" s="103"/>
      <c r="SCZ158" s="103"/>
      <c r="SDA158" s="103"/>
      <c r="SDB158" s="103"/>
      <c r="SDC158" s="103"/>
      <c r="SDD158" s="103"/>
      <c r="SDE158" s="103"/>
      <c r="SDF158" s="103"/>
      <c r="SDG158" s="103"/>
      <c r="SDH158" s="103"/>
      <c r="SDI158" s="103"/>
      <c r="SDJ158" s="103"/>
      <c r="SDK158" s="103"/>
      <c r="SDL158" s="103"/>
      <c r="SDM158" s="103"/>
      <c r="SDN158" s="103"/>
      <c r="SDO158" s="103"/>
      <c r="SDP158" s="103"/>
      <c r="SDQ158" s="103"/>
      <c r="SDR158" s="103"/>
      <c r="SDS158" s="103"/>
      <c r="SDT158" s="103"/>
      <c r="SDU158" s="103"/>
      <c r="SDV158" s="103"/>
      <c r="SDW158" s="103"/>
      <c r="SDX158" s="103"/>
      <c r="SDY158" s="103"/>
      <c r="SDZ158" s="103"/>
      <c r="SEA158" s="103"/>
      <c r="SEB158" s="103"/>
      <c r="SEC158" s="103"/>
      <c r="SED158" s="103"/>
      <c r="SEE158" s="103"/>
      <c r="SEF158" s="103"/>
      <c r="SEG158" s="103"/>
      <c r="SEH158" s="103"/>
      <c r="SEI158" s="103"/>
      <c r="SEJ158" s="103"/>
      <c r="SEK158" s="103"/>
      <c r="SEL158" s="103"/>
      <c r="SEM158" s="103"/>
      <c r="SEN158" s="103"/>
      <c r="SEO158" s="103"/>
      <c r="SEP158" s="103"/>
      <c r="SEQ158" s="103"/>
      <c r="SER158" s="103"/>
      <c r="SES158" s="103"/>
      <c r="SET158" s="103"/>
      <c r="SEU158" s="103"/>
      <c r="SEV158" s="103"/>
      <c r="SEW158" s="103"/>
      <c r="SEX158" s="103"/>
      <c r="SEY158" s="103"/>
      <c r="SEZ158" s="103"/>
      <c r="SFA158" s="103"/>
      <c r="SFB158" s="103"/>
      <c r="SFC158" s="103"/>
      <c r="SFD158" s="103"/>
      <c r="SFE158" s="103"/>
      <c r="SFF158" s="103"/>
      <c r="SFG158" s="103"/>
      <c r="SFH158" s="103"/>
      <c r="SFI158" s="103"/>
      <c r="SFJ158" s="103"/>
      <c r="SFK158" s="103"/>
      <c r="SFL158" s="103"/>
      <c r="SFM158" s="103"/>
      <c r="SFN158" s="103"/>
      <c r="SFO158" s="103"/>
      <c r="SFP158" s="103"/>
      <c r="SFQ158" s="103"/>
      <c r="SFR158" s="103"/>
      <c r="SFS158" s="103"/>
      <c r="SFT158" s="103"/>
      <c r="SFU158" s="103"/>
      <c r="SFV158" s="103"/>
      <c r="SFW158" s="103"/>
      <c r="SFX158" s="103"/>
      <c r="SFY158" s="103"/>
      <c r="SFZ158" s="103"/>
      <c r="SGA158" s="103"/>
      <c r="SGB158" s="103"/>
      <c r="SGC158" s="103"/>
      <c r="SGD158" s="103"/>
      <c r="SGE158" s="103"/>
      <c r="SGF158" s="103"/>
      <c r="SGG158" s="103"/>
      <c r="SGH158" s="103"/>
      <c r="SGI158" s="103"/>
      <c r="SGJ158" s="103"/>
      <c r="SGK158" s="103"/>
      <c r="SGL158" s="103"/>
      <c r="SGM158" s="103"/>
      <c r="SGN158" s="103"/>
      <c r="SGO158" s="103"/>
      <c r="SGP158" s="103"/>
      <c r="SGQ158" s="103"/>
      <c r="SGR158" s="103"/>
      <c r="SGS158" s="103"/>
      <c r="SGT158" s="103"/>
      <c r="SGU158" s="103"/>
      <c r="SGV158" s="103"/>
      <c r="SGW158" s="103"/>
      <c r="SGX158" s="103"/>
      <c r="SGY158" s="103"/>
      <c r="SGZ158" s="103"/>
      <c r="SHA158" s="103"/>
      <c r="SHB158" s="103"/>
      <c r="SHC158" s="103"/>
      <c r="SHD158" s="103"/>
      <c r="SHE158" s="103"/>
      <c r="SHF158" s="103"/>
      <c r="SHG158" s="103"/>
      <c r="SHH158" s="103"/>
      <c r="SHI158" s="103"/>
      <c r="SHJ158" s="103"/>
      <c r="SHK158" s="103"/>
      <c r="SHL158" s="103"/>
      <c r="SHM158" s="103"/>
      <c r="SHN158" s="103"/>
      <c r="SHO158" s="103"/>
      <c r="SHP158" s="103"/>
      <c r="SHQ158" s="103"/>
      <c r="SHR158" s="103"/>
      <c r="SHS158" s="103"/>
      <c r="SHT158" s="103"/>
      <c r="SHU158" s="103"/>
      <c r="SHV158" s="103"/>
      <c r="SHW158" s="103"/>
      <c r="SHX158" s="103"/>
      <c r="SHY158" s="103"/>
      <c r="SHZ158" s="103"/>
      <c r="SIA158" s="103"/>
      <c r="SIB158" s="103"/>
      <c r="SIC158" s="103"/>
      <c r="SID158" s="103"/>
      <c r="SIE158" s="103"/>
      <c r="SIF158" s="103"/>
      <c r="SIG158" s="103"/>
      <c r="SIH158" s="103"/>
      <c r="SII158" s="103"/>
      <c r="SIJ158" s="103"/>
      <c r="SIK158" s="103"/>
      <c r="SIL158" s="103"/>
      <c r="SIM158" s="103"/>
      <c r="SIN158" s="103"/>
      <c r="SIO158" s="103"/>
      <c r="SIP158" s="103"/>
      <c r="SIQ158" s="103"/>
      <c r="SIR158" s="103"/>
      <c r="SIS158" s="103"/>
      <c r="SIT158" s="103"/>
      <c r="SIU158" s="103"/>
      <c r="SIV158" s="103"/>
      <c r="SIW158" s="103"/>
      <c r="SIX158" s="103"/>
      <c r="SIY158" s="103"/>
      <c r="SIZ158" s="103"/>
      <c r="SJA158" s="103"/>
      <c r="SJB158" s="103"/>
      <c r="SJC158" s="103"/>
      <c r="SJD158" s="103"/>
      <c r="SJE158" s="103"/>
      <c r="SJF158" s="103"/>
      <c r="SJG158" s="103"/>
      <c r="SJH158" s="103"/>
      <c r="SJI158" s="103"/>
      <c r="SJJ158" s="103"/>
      <c r="SJK158" s="103"/>
      <c r="SJL158" s="103"/>
      <c r="SJM158" s="103"/>
      <c r="SJN158" s="103"/>
      <c r="SJO158" s="103"/>
      <c r="SJP158" s="103"/>
      <c r="SJQ158" s="103"/>
      <c r="SJR158" s="103"/>
      <c r="SJS158" s="103"/>
      <c r="SJT158" s="103"/>
      <c r="SJU158" s="103"/>
      <c r="SJV158" s="103"/>
      <c r="SJW158" s="103"/>
      <c r="SJX158" s="103"/>
      <c r="SJY158" s="103"/>
      <c r="SJZ158" s="103"/>
      <c r="SKA158" s="103"/>
      <c r="SKB158" s="103"/>
      <c r="SKC158" s="103"/>
      <c r="SKD158" s="103"/>
      <c r="SKE158" s="103"/>
      <c r="SKF158" s="103"/>
      <c r="SKG158" s="103"/>
      <c r="SKH158" s="103"/>
      <c r="SKI158" s="103"/>
      <c r="SKJ158" s="103"/>
      <c r="SKK158" s="103"/>
      <c r="SKL158" s="103"/>
      <c r="SKM158" s="103"/>
      <c r="SKN158" s="103"/>
      <c r="SKO158" s="103"/>
      <c r="SKP158" s="103"/>
      <c r="SKQ158" s="103"/>
      <c r="SKR158" s="103"/>
      <c r="SKS158" s="103"/>
      <c r="SKT158" s="103"/>
      <c r="SKU158" s="103"/>
      <c r="SKV158" s="103"/>
      <c r="SKW158" s="103"/>
      <c r="SKX158" s="103"/>
      <c r="SKY158" s="103"/>
      <c r="SKZ158" s="103"/>
      <c r="SLA158" s="103"/>
      <c r="SLB158" s="103"/>
      <c r="SLC158" s="103"/>
      <c r="SLD158" s="103"/>
      <c r="SLE158" s="103"/>
      <c r="SLF158" s="103"/>
      <c r="SLG158" s="103"/>
      <c r="SLH158" s="103"/>
      <c r="SLI158" s="103"/>
      <c r="SLJ158" s="103"/>
      <c r="SLK158" s="103"/>
      <c r="SLL158" s="103"/>
      <c r="SLM158" s="103"/>
      <c r="SLN158" s="103"/>
      <c r="SLO158" s="103"/>
      <c r="SLP158" s="103"/>
      <c r="SLQ158" s="103"/>
      <c r="SLR158" s="103"/>
      <c r="SLS158" s="103"/>
      <c r="SLT158" s="103"/>
      <c r="SLU158" s="103"/>
      <c r="SLV158" s="103"/>
      <c r="SLW158" s="103"/>
      <c r="SLX158" s="103"/>
      <c r="SLY158" s="103"/>
      <c r="SLZ158" s="103"/>
      <c r="SMA158" s="103"/>
      <c r="SMB158" s="103"/>
      <c r="SMC158" s="103"/>
      <c r="SMD158" s="103"/>
      <c r="SME158" s="103"/>
      <c r="SMF158" s="103"/>
      <c r="SMG158" s="103"/>
      <c r="SMH158" s="103"/>
      <c r="SMI158" s="103"/>
      <c r="SMJ158" s="103"/>
      <c r="SMK158" s="103"/>
      <c r="SML158" s="103"/>
      <c r="SMM158" s="103"/>
      <c r="SMN158" s="103"/>
      <c r="SMO158" s="103"/>
      <c r="SMP158" s="103"/>
      <c r="SMQ158" s="103"/>
      <c r="SMR158" s="103"/>
      <c r="SMS158" s="103"/>
      <c r="SMT158" s="103"/>
      <c r="SMU158" s="103"/>
      <c r="SMV158" s="103"/>
      <c r="SMW158" s="103"/>
      <c r="SMX158" s="103"/>
      <c r="SMY158" s="103"/>
      <c r="SMZ158" s="103"/>
      <c r="SNA158" s="103"/>
      <c r="SNB158" s="103"/>
      <c r="SNC158" s="103"/>
      <c r="SND158" s="103"/>
      <c r="SNE158" s="103"/>
      <c r="SNF158" s="103"/>
      <c r="SNG158" s="103"/>
      <c r="SNH158" s="103"/>
      <c r="SNI158" s="103"/>
      <c r="SNJ158" s="103"/>
      <c r="SNK158" s="103"/>
      <c r="SNL158" s="103"/>
      <c r="SNM158" s="103"/>
      <c r="SNN158" s="103"/>
      <c r="SNO158" s="103"/>
      <c r="SNP158" s="103"/>
      <c r="SNQ158" s="103"/>
      <c r="SNR158" s="103"/>
      <c r="SNS158" s="103"/>
      <c r="SNT158" s="103"/>
      <c r="SNU158" s="103"/>
      <c r="SNV158" s="103"/>
      <c r="SNW158" s="103"/>
      <c r="SNX158" s="103"/>
      <c r="SNY158" s="103"/>
      <c r="SNZ158" s="103"/>
      <c r="SOA158" s="103"/>
      <c r="SOB158" s="103"/>
      <c r="SOC158" s="103"/>
      <c r="SOD158" s="103"/>
      <c r="SOE158" s="103"/>
      <c r="SOF158" s="103"/>
      <c r="SOG158" s="103"/>
      <c r="SOH158" s="103"/>
      <c r="SOI158" s="103"/>
      <c r="SOJ158" s="103"/>
      <c r="SOK158" s="103"/>
      <c r="SOL158" s="103"/>
      <c r="SOM158" s="103"/>
      <c r="SON158" s="103"/>
      <c r="SOO158" s="103"/>
      <c r="SOP158" s="103"/>
      <c r="SOQ158" s="103"/>
      <c r="SOR158" s="103"/>
      <c r="SOS158" s="103"/>
      <c r="SOT158" s="103"/>
      <c r="SOU158" s="103"/>
      <c r="SOV158" s="103"/>
      <c r="SOW158" s="103"/>
      <c r="SOX158" s="103"/>
      <c r="SOY158" s="103"/>
      <c r="SOZ158" s="103"/>
      <c r="SPA158" s="103"/>
      <c r="SPB158" s="103"/>
      <c r="SPC158" s="103"/>
      <c r="SPD158" s="103"/>
      <c r="SPE158" s="103"/>
      <c r="SPF158" s="103"/>
      <c r="SPG158" s="103"/>
      <c r="SPH158" s="103"/>
      <c r="SPI158" s="103"/>
      <c r="SPJ158" s="103"/>
      <c r="SPK158" s="103"/>
      <c r="SPL158" s="103"/>
      <c r="SPM158" s="103"/>
      <c r="SPN158" s="103"/>
      <c r="SPO158" s="103"/>
      <c r="SPP158" s="103"/>
      <c r="SPQ158" s="103"/>
      <c r="SPR158" s="103"/>
      <c r="SPS158" s="103"/>
      <c r="SPT158" s="103"/>
      <c r="SPU158" s="103"/>
      <c r="SPV158" s="103"/>
      <c r="SPW158" s="103"/>
      <c r="SPX158" s="103"/>
      <c r="SPY158" s="103"/>
      <c r="SPZ158" s="103"/>
      <c r="SQA158" s="103"/>
      <c r="SQB158" s="103"/>
      <c r="SQC158" s="103"/>
      <c r="SQD158" s="103"/>
      <c r="SQE158" s="103"/>
      <c r="SQF158" s="103"/>
      <c r="SQG158" s="103"/>
      <c r="SQH158" s="103"/>
      <c r="SQI158" s="103"/>
      <c r="SQJ158" s="103"/>
      <c r="SQK158" s="103"/>
      <c r="SQL158" s="103"/>
      <c r="SQM158" s="103"/>
      <c r="SQN158" s="103"/>
      <c r="SQO158" s="103"/>
      <c r="SQP158" s="103"/>
      <c r="SQQ158" s="103"/>
      <c r="SQR158" s="103"/>
      <c r="SQS158" s="103"/>
      <c r="SQT158" s="103"/>
      <c r="SQU158" s="103"/>
      <c r="SQV158" s="103"/>
      <c r="SQW158" s="103"/>
      <c r="SQX158" s="103"/>
      <c r="SQY158" s="103"/>
      <c r="SQZ158" s="103"/>
      <c r="SRA158" s="103"/>
      <c r="SRB158" s="103"/>
      <c r="SRC158" s="103"/>
      <c r="SRD158" s="103"/>
      <c r="SRE158" s="103"/>
      <c r="SRF158" s="103"/>
      <c r="SRG158" s="103"/>
      <c r="SRH158" s="103"/>
      <c r="SRI158" s="103"/>
      <c r="SRJ158" s="103"/>
      <c r="SRK158" s="103"/>
      <c r="SRL158" s="103"/>
      <c r="SRM158" s="103"/>
      <c r="SRN158" s="103"/>
      <c r="SRO158" s="103"/>
      <c r="SRP158" s="103"/>
      <c r="SRQ158" s="103"/>
      <c r="SRR158" s="103"/>
      <c r="SRS158" s="103"/>
      <c r="SRT158" s="103"/>
      <c r="SRU158" s="103"/>
      <c r="SRV158" s="103"/>
      <c r="SRW158" s="103"/>
      <c r="SRX158" s="103"/>
      <c r="SRY158" s="103"/>
      <c r="SRZ158" s="103"/>
      <c r="SSA158" s="103"/>
      <c r="SSB158" s="103"/>
      <c r="SSC158" s="103"/>
      <c r="SSD158" s="103"/>
      <c r="SSE158" s="103"/>
      <c r="SSF158" s="103"/>
      <c r="SSG158" s="103"/>
      <c r="SSH158" s="103"/>
      <c r="SSI158" s="103"/>
      <c r="SSJ158" s="103"/>
      <c r="SSK158" s="103"/>
      <c r="SSL158" s="103"/>
      <c r="SSM158" s="103"/>
      <c r="SSN158" s="103"/>
      <c r="SSO158" s="103"/>
      <c r="SSP158" s="103"/>
      <c r="SSQ158" s="103"/>
      <c r="SSR158" s="103"/>
      <c r="SSS158" s="103"/>
      <c r="SST158" s="103"/>
      <c r="SSU158" s="103"/>
      <c r="SSV158" s="103"/>
      <c r="SSW158" s="103"/>
      <c r="SSX158" s="103"/>
      <c r="SSY158" s="103"/>
      <c r="SSZ158" s="103"/>
      <c r="STA158" s="103"/>
      <c r="STB158" s="103"/>
      <c r="STC158" s="103"/>
      <c r="STD158" s="103"/>
      <c r="STE158" s="103"/>
      <c r="STF158" s="103"/>
      <c r="STG158" s="103"/>
      <c r="STH158" s="103"/>
      <c r="STI158" s="103"/>
      <c r="STJ158" s="103"/>
      <c r="STK158" s="103"/>
      <c r="STL158" s="103"/>
      <c r="STM158" s="103"/>
      <c r="STN158" s="103"/>
      <c r="STO158" s="103"/>
      <c r="STP158" s="103"/>
      <c r="STQ158" s="103"/>
      <c r="STR158" s="103"/>
      <c r="STS158" s="103"/>
      <c r="STT158" s="103"/>
      <c r="STU158" s="103"/>
      <c r="STV158" s="103"/>
      <c r="STW158" s="103"/>
      <c r="STX158" s="103"/>
      <c r="STY158" s="103"/>
      <c r="STZ158" s="103"/>
      <c r="SUA158" s="103"/>
      <c r="SUB158" s="103"/>
      <c r="SUC158" s="103"/>
      <c r="SUD158" s="103"/>
      <c r="SUE158" s="103"/>
      <c r="SUF158" s="103"/>
      <c r="SUG158" s="103"/>
      <c r="SUH158" s="103"/>
      <c r="SUI158" s="103"/>
      <c r="SUJ158" s="103"/>
      <c r="SUK158" s="103"/>
      <c r="SUL158" s="103"/>
      <c r="SUM158" s="103"/>
      <c r="SUN158" s="103"/>
      <c r="SUO158" s="103"/>
      <c r="SUP158" s="103"/>
      <c r="SUQ158" s="103"/>
      <c r="SUR158" s="103"/>
      <c r="SUS158" s="103"/>
      <c r="SUT158" s="103"/>
      <c r="SUU158" s="103"/>
      <c r="SUV158" s="103"/>
      <c r="SUW158" s="103"/>
      <c r="SUX158" s="103"/>
      <c r="SUY158" s="103"/>
      <c r="SUZ158" s="103"/>
      <c r="SVA158" s="103"/>
      <c r="SVB158" s="103"/>
      <c r="SVC158" s="103"/>
      <c r="SVD158" s="103"/>
      <c r="SVE158" s="103"/>
      <c r="SVF158" s="103"/>
      <c r="SVG158" s="103"/>
      <c r="SVH158" s="103"/>
      <c r="SVI158" s="103"/>
      <c r="SVJ158" s="103"/>
      <c r="SVK158" s="103"/>
      <c r="SVL158" s="103"/>
      <c r="SVM158" s="103"/>
      <c r="SVN158" s="103"/>
      <c r="SVO158" s="103"/>
      <c r="SVP158" s="103"/>
      <c r="SVQ158" s="103"/>
      <c r="SVR158" s="103"/>
      <c r="SVS158" s="103"/>
      <c r="SVT158" s="103"/>
      <c r="SVU158" s="103"/>
      <c r="SVV158" s="103"/>
      <c r="SVW158" s="103"/>
      <c r="SVX158" s="103"/>
      <c r="SVY158" s="103"/>
      <c r="SVZ158" s="103"/>
      <c r="SWA158" s="103"/>
      <c r="SWB158" s="103"/>
      <c r="SWC158" s="103"/>
      <c r="SWD158" s="103"/>
      <c r="SWE158" s="103"/>
      <c r="SWF158" s="103"/>
      <c r="SWG158" s="103"/>
      <c r="SWH158" s="103"/>
      <c r="SWI158" s="103"/>
      <c r="SWJ158" s="103"/>
      <c r="SWK158" s="103"/>
      <c r="SWL158" s="103"/>
      <c r="SWM158" s="103"/>
      <c r="SWN158" s="103"/>
      <c r="SWO158" s="103"/>
      <c r="SWP158" s="103"/>
      <c r="SWQ158" s="103"/>
      <c r="SWR158" s="103"/>
      <c r="SWS158" s="103"/>
      <c r="SWT158" s="103"/>
      <c r="SWU158" s="103"/>
      <c r="SWV158" s="103"/>
      <c r="SWW158" s="103"/>
      <c r="SWX158" s="103"/>
      <c r="SWY158" s="103"/>
      <c r="SWZ158" s="103"/>
      <c r="SXA158" s="103"/>
      <c r="SXB158" s="103"/>
      <c r="SXC158" s="103"/>
      <c r="SXD158" s="103"/>
      <c r="SXE158" s="103"/>
      <c r="SXF158" s="103"/>
      <c r="SXG158" s="103"/>
      <c r="SXH158" s="103"/>
      <c r="SXI158" s="103"/>
      <c r="SXJ158" s="103"/>
      <c r="SXK158" s="103"/>
      <c r="SXL158" s="103"/>
      <c r="SXM158" s="103"/>
      <c r="SXN158" s="103"/>
      <c r="SXO158" s="103"/>
      <c r="SXP158" s="103"/>
      <c r="SXQ158" s="103"/>
      <c r="SXR158" s="103"/>
      <c r="SXS158" s="103"/>
      <c r="SXT158" s="103"/>
      <c r="SXU158" s="103"/>
      <c r="SXV158" s="103"/>
      <c r="SXW158" s="103"/>
      <c r="SXX158" s="103"/>
      <c r="SXY158" s="103"/>
      <c r="SXZ158" s="103"/>
      <c r="SYA158" s="103"/>
      <c r="SYB158" s="103"/>
      <c r="SYC158" s="103"/>
      <c r="SYD158" s="103"/>
      <c r="SYE158" s="103"/>
      <c r="SYF158" s="103"/>
      <c r="SYG158" s="103"/>
      <c r="SYH158" s="103"/>
      <c r="SYI158" s="103"/>
      <c r="SYJ158" s="103"/>
      <c r="SYK158" s="103"/>
      <c r="SYL158" s="103"/>
      <c r="SYM158" s="103"/>
      <c r="SYN158" s="103"/>
      <c r="SYO158" s="103"/>
      <c r="SYP158" s="103"/>
      <c r="SYQ158" s="103"/>
      <c r="SYR158" s="103"/>
      <c r="SYS158" s="103"/>
      <c r="SYT158" s="103"/>
      <c r="SYU158" s="103"/>
      <c r="SYV158" s="103"/>
      <c r="SYW158" s="103"/>
      <c r="SYX158" s="103"/>
      <c r="SYY158" s="103"/>
      <c r="SYZ158" s="103"/>
      <c r="SZA158" s="103"/>
      <c r="SZB158" s="103"/>
      <c r="SZC158" s="103"/>
      <c r="SZD158" s="103"/>
      <c r="SZE158" s="103"/>
      <c r="SZF158" s="103"/>
      <c r="SZG158" s="103"/>
      <c r="SZH158" s="103"/>
      <c r="SZI158" s="103"/>
      <c r="SZJ158" s="103"/>
      <c r="SZK158" s="103"/>
      <c r="SZL158" s="103"/>
      <c r="SZM158" s="103"/>
      <c r="SZN158" s="103"/>
      <c r="SZO158" s="103"/>
      <c r="SZP158" s="103"/>
      <c r="SZQ158" s="103"/>
      <c r="SZR158" s="103"/>
      <c r="SZS158" s="103"/>
      <c r="SZT158" s="103"/>
      <c r="SZU158" s="103"/>
      <c r="SZV158" s="103"/>
      <c r="SZW158" s="103"/>
      <c r="SZX158" s="103"/>
      <c r="SZY158" s="103"/>
      <c r="SZZ158" s="103"/>
      <c r="TAA158" s="103"/>
      <c r="TAB158" s="103"/>
      <c r="TAC158" s="103"/>
      <c r="TAD158" s="103"/>
      <c r="TAE158" s="103"/>
      <c r="TAF158" s="103"/>
      <c r="TAG158" s="103"/>
      <c r="TAH158" s="103"/>
      <c r="TAI158" s="103"/>
      <c r="TAJ158" s="103"/>
      <c r="TAK158" s="103"/>
      <c r="TAL158" s="103"/>
      <c r="TAM158" s="103"/>
      <c r="TAN158" s="103"/>
      <c r="TAO158" s="103"/>
      <c r="TAP158" s="103"/>
      <c r="TAQ158" s="103"/>
      <c r="TAR158" s="103"/>
      <c r="TAS158" s="103"/>
      <c r="TAT158" s="103"/>
      <c r="TAU158" s="103"/>
      <c r="TAV158" s="103"/>
      <c r="TAW158" s="103"/>
      <c r="TAX158" s="103"/>
      <c r="TAY158" s="103"/>
      <c r="TAZ158" s="103"/>
      <c r="TBA158" s="103"/>
      <c r="TBB158" s="103"/>
      <c r="TBC158" s="103"/>
      <c r="TBD158" s="103"/>
      <c r="TBE158" s="103"/>
      <c r="TBF158" s="103"/>
      <c r="TBG158" s="103"/>
      <c r="TBH158" s="103"/>
      <c r="TBI158" s="103"/>
      <c r="TBJ158" s="103"/>
      <c r="TBK158" s="103"/>
      <c r="TBL158" s="103"/>
      <c r="TBM158" s="103"/>
      <c r="TBN158" s="103"/>
      <c r="TBO158" s="103"/>
      <c r="TBP158" s="103"/>
      <c r="TBQ158" s="103"/>
      <c r="TBR158" s="103"/>
      <c r="TBS158" s="103"/>
      <c r="TBT158" s="103"/>
      <c r="TBU158" s="103"/>
      <c r="TBV158" s="103"/>
      <c r="TBW158" s="103"/>
      <c r="TBX158" s="103"/>
      <c r="TBY158" s="103"/>
      <c r="TBZ158" s="103"/>
      <c r="TCA158" s="103"/>
      <c r="TCB158" s="103"/>
      <c r="TCC158" s="103"/>
      <c r="TCD158" s="103"/>
      <c r="TCE158" s="103"/>
      <c r="TCF158" s="103"/>
      <c r="TCG158" s="103"/>
      <c r="TCH158" s="103"/>
      <c r="TCI158" s="103"/>
      <c r="TCJ158" s="103"/>
      <c r="TCK158" s="103"/>
      <c r="TCL158" s="103"/>
      <c r="TCM158" s="103"/>
      <c r="TCN158" s="103"/>
      <c r="TCO158" s="103"/>
      <c r="TCP158" s="103"/>
      <c r="TCQ158" s="103"/>
      <c r="TCR158" s="103"/>
      <c r="TCS158" s="103"/>
      <c r="TCT158" s="103"/>
      <c r="TCU158" s="103"/>
      <c r="TCV158" s="103"/>
      <c r="TCW158" s="103"/>
      <c r="TCX158" s="103"/>
      <c r="TCY158" s="103"/>
      <c r="TCZ158" s="103"/>
      <c r="TDA158" s="103"/>
      <c r="TDB158" s="103"/>
      <c r="TDC158" s="103"/>
      <c r="TDD158" s="103"/>
      <c r="TDE158" s="103"/>
      <c r="TDF158" s="103"/>
      <c r="TDG158" s="103"/>
      <c r="TDH158" s="103"/>
      <c r="TDI158" s="103"/>
      <c r="TDJ158" s="103"/>
      <c r="TDK158" s="103"/>
      <c r="TDL158" s="103"/>
      <c r="TDM158" s="103"/>
      <c r="TDN158" s="103"/>
      <c r="TDO158" s="103"/>
      <c r="TDP158" s="103"/>
      <c r="TDQ158" s="103"/>
      <c r="TDR158" s="103"/>
      <c r="TDS158" s="103"/>
      <c r="TDT158" s="103"/>
      <c r="TDU158" s="103"/>
      <c r="TDV158" s="103"/>
      <c r="TDW158" s="103"/>
      <c r="TDX158" s="103"/>
      <c r="TDY158" s="103"/>
      <c r="TDZ158" s="103"/>
      <c r="TEA158" s="103"/>
      <c r="TEB158" s="103"/>
      <c r="TEC158" s="103"/>
      <c r="TED158" s="103"/>
      <c r="TEE158" s="103"/>
      <c r="TEF158" s="103"/>
      <c r="TEG158" s="103"/>
      <c r="TEH158" s="103"/>
      <c r="TEI158" s="103"/>
      <c r="TEJ158" s="103"/>
      <c r="TEK158" s="103"/>
      <c r="TEL158" s="103"/>
      <c r="TEM158" s="103"/>
      <c r="TEN158" s="103"/>
      <c r="TEO158" s="103"/>
      <c r="TEP158" s="103"/>
      <c r="TEQ158" s="103"/>
      <c r="TER158" s="103"/>
      <c r="TES158" s="103"/>
      <c r="TET158" s="103"/>
      <c r="TEU158" s="103"/>
      <c r="TEV158" s="103"/>
      <c r="TEW158" s="103"/>
      <c r="TEX158" s="103"/>
      <c r="TEY158" s="103"/>
      <c r="TEZ158" s="103"/>
      <c r="TFA158" s="103"/>
      <c r="TFB158" s="103"/>
      <c r="TFC158" s="103"/>
      <c r="TFD158" s="103"/>
      <c r="TFE158" s="103"/>
      <c r="TFF158" s="103"/>
      <c r="TFG158" s="103"/>
      <c r="TFH158" s="103"/>
      <c r="TFI158" s="103"/>
      <c r="TFJ158" s="103"/>
      <c r="TFK158" s="103"/>
      <c r="TFL158" s="103"/>
      <c r="TFM158" s="103"/>
      <c r="TFN158" s="103"/>
      <c r="TFO158" s="103"/>
      <c r="TFP158" s="103"/>
      <c r="TFQ158" s="103"/>
      <c r="TFR158" s="103"/>
      <c r="TFS158" s="103"/>
      <c r="TFT158" s="103"/>
      <c r="TFU158" s="103"/>
      <c r="TFV158" s="103"/>
      <c r="TFW158" s="103"/>
      <c r="TFX158" s="103"/>
      <c r="TFY158" s="103"/>
      <c r="TFZ158" s="103"/>
      <c r="TGA158" s="103"/>
      <c r="TGB158" s="103"/>
      <c r="TGC158" s="103"/>
      <c r="TGD158" s="103"/>
      <c r="TGE158" s="103"/>
      <c r="TGF158" s="103"/>
      <c r="TGG158" s="103"/>
      <c r="TGH158" s="103"/>
      <c r="TGI158" s="103"/>
      <c r="TGJ158" s="103"/>
      <c r="TGK158" s="103"/>
      <c r="TGL158" s="103"/>
      <c r="TGM158" s="103"/>
      <c r="TGN158" s="103"/>
      <c r="TGO158" s="103"/>
      <c r="TGP158" s="103"/>
      <c r="TGQ158" s="103"/>
      <c r="TGR158" s="103"/>
      <c r="TGS158" s="103"/>
      <c r="TGT158" s="103"/>
      <c r="TGU158" s="103"/>
      <c r="TGV158" s="103"/>
      <c r="TGW158" s="103"/>
      <c r="TGX158" s="103"/>
      <c r="TGY158" s="103"/>
      <c r="TGZ158" s="103"/>
      <c r="THA158" s="103"/>
      <c r="THB158" s="103"/>
      <c r="THC158" s="103"/>
      <c r="THD158" s="103"/>
      <c r="THE158" s="103"/>
      <c r="THF158" s="103"/>
      <c r="THG158" s="103"/>
      <c r="THH158" s="103"/>
      <c r="THI158" s="103"/>
      <c r="THJ158" s="103"/>
      <c r="THK158" s="103"/>
      <c r="THL158" s="103"/>
      <c r="THM158" s="103"/>
      <c r="THN158" s="103"/>
      <c r="THO158" s="103"/>
      <c r="THP158" s="103"/>
      <c r="THQ158" s="103"/>
      <c r="THR158" s="103"/>
      <c r="THS158" s="103"/>
      <c r="THT158" s="103"/>
      <c r="THU158" s="103"/>
      <c r="THV158" s="103"/>
      <c r="THW158" s="103"/>
      <c r="THX158" s="103"/>
      <c r="THY158" s="103"/>
      <c r="THZ158" s="103"/>
      <c r="TIA158" s="103"/>
      <c r="TIB158" s="103"/>
      <c r="TIC158" s="103"/>
      <c r="TID158" s="103"/>
      <c r="TIE158" s="103"/>
      <c r="TIF158" s="103"/>
      <c r="TIG158" s="103"/>
      <c r="TIH158" s="103"/>
      <c r="TII158" s="103"/>
      <c r="TIJ158" s="103"/>
      <c r="TIK158" s="103"/>
      <c r="TIL158" s="103"/>
      <c r="TIM158" s="103"/>
      <c r="TIN158" s="103"/>
      <c r="TIO158" s="103"/>
      <c r="TIP158" s="103"/>
      <c r="TIQ158" s="103"/>
      <c r="TIR158" s="103"/>
      <c r="TIS158" s="103"/>
      <c r="TIT158" s="103"/>
      <c r="TIU158" s="103"/>
      <c r="TIV158" s="103"/>
      <c r="TIW158" s="103"/>
      <c r="TIX158" s="103"/>
      <c r="TIY158" s="103"/>
      <c r="TIZ158" s="103"/>
      <c r="TJA158" s="103"/>
      <c r="TJB158" s="103"/>
      <c r="TJC158" s="103"/>
      <c r="TJD158" s="103"/>
      <c r="TJE158" s="103"/>
      <c r="TJF158" s="103"/>
      <c r="TJG158" s="103"/>
      <c r="TJH158" s="103"/>
      <c r="TJI158" s="103"/>
      <c r="TJJ158" s="103"/>
      <c r="TJK158" s="103"/>
      <c r="TJL158" s="103"/>
      <c r="TJM158" s="103"/>
      <c r="TJN158" s="103"/>
      <c r="TJO158" s="103"/>
      <c r="TJP158" s="103"/>
      <c r="TJQ158" s="103"/>
      <c r="TJR158" s="103"/>
      <c r="TJS158" s="103"/>
      <c r="TJT158" s="103"/>
      <c r="TJU158" s="103"/>
      <c r="TJV158" s="103"/>
      <c r="TJW158" s="103"/>
      <c r="TJX158" s="103"/>
      <c r="TJY158" s="103"/>
      <c r="TJZ158" s="103"/>
      <c r="TKA158" s="103"/>
      <c r="TKB158" s="103"/>
      <c r="TKC158" s="103"/>
      <c r="TKD158" s="103"/>
      <c r="TKE158" s="103"/>
      <c r="TKF158" s="103"/>
      <c r="TKG158" s="103"/>
      <c r="TKH158" s="103"/>
      <c r="TKI158" s="103"/>
      <c r="TKJ158" s="103"/>
      <c r="TKK158" s="103"/>
      <c r="TKL158" s="103"/>
      <c r="TKM158" s="103"/>
      <c r="TKN158" s="103"/>
      <c r="TKO158" s="103"/>
      <c r="TKP158" s="103"/>
      <c r="TKQ158" s="103"/>
      <c r="TKR158" s="103"/>
      <c r="TKS158" s="103"/>
      <c r="TKT158" s="103"/>
      <c r="TKU158" s="103"/>
      <c r="TKV158" s="103"/>
      <c r="TKW158" s="103"/>
      <c r="TKX158" s="103"/>
      <c r="TKY158" s="103"/>
      <c r="TKZ158" s="103"/>
      <c r="TLA158" s="103"/>
      <c r="TLB158" s="103"/>
      <c r="TLC158" s="103"/>
      <c r="TLD158" s="103"/>
      <c r="TLE158" s="103"/>
      <c r="TLF158" s="103"/>
      <c r="TLG158" s="103"/>
      <c r="TLH158" s="103"/>
      <c r="TLI158" s="103"/>
      <c r="TLJ158" s="103"/>
      <c r="TLK158" s="103"/>
      <c r="TLL158" s="103"/>
      <c r="TLM158" s="103"/>
      <c r="TLN158" s="103"/>
      <c r="TLO158" s="103"/>
      <c r="TLP158" s="103"/>
      <c r="TLQ158" s="103"/>
      <c r="TLR158" s="103"/>
      <c r="TLS158" s="103"/>
      <c r="TLT158" s="103"/>
      <c r="TLU158" s="103"/>
      <c r="TLV158" s="103"/>
      <c r="TLW158" s="103"/>
      <c r="TLX158" s="103"/>
      <c r="TLY158" s="103"/>
      <c r="TLZ158" s="103"/>
      <c r="TMA158" s="103"/>
      <c r="TMB158" s="103"/>
      <c r="TMC158" s="103"/>
      <c r="TMD158" s="103"/>
      <c r="TME158" s="103"/>
      <c r="TMF158" s="103"/>
      <c r="TMG158" s="103"/>
      <c r="TMH158" s="103"/>
      <c r="TMI158" s="103"/>
      <c r="TMJ158" s="103"/>
      <c r="TMK158" s="103"/>
      <c r="TML158" s="103"/>
      <c r="TMM158" s="103"/>
      <c r="TMN158" s="103"/>
      <c r="TMO158" s="103"/>
      <c r="TMP158" s="103"/>
      <c r="TMQ158" s="103"/>
      <c r="TMR158" s="103"/>
      <c r="TMS158" s="103"/>
      <c r="TMT158" s="103"/>
      <c r="TMU158" s="103"/>
      <c r="TMV158" s="103"/>
      <c r="TMW158" s="103"/>
      <c r="TMX158" s="103"/>
      <c r="TMY158" s="103"/>
      <c r="TMZ158" s="103"/>
      <c r="TNA158" s="103"/>
      <c r="TNB158" s="103"/>
      <c r="TNC158" s="103"/>
      <c r="TND158" s="103"/>
      <c r="TNE158" s="103"/>
      <c r="TNF158" s="103"/>
      <c r="TNG158" s="103"/>
      <c r="TNH158" s="103"/>
      <c r="TNI158" s="103"/>
      <c r="TNJ158" s="103"/>
      <c r="TNK158" s="103"/>
      <c r="TNL158" s="103"/>
      <c r="TNM158" s="103"/>
      <c r="TNN158" s="103"/>
      <c r="TNO158" s="103"/>
      <c r="TNP158" s="103"/>
      <c r="TNQ158" s="103"/>
      <c r="TNR158" s="103"/>
      <c r="TNS158" s="103"/>
      <c r="TNT158" s="103"/>
      <c r="TNU158" s="103"/>
      <c r="TNV158" s="103"/>
      <c r="TNW158" s="103"/>
      <c r="TNX158" s="103"/>
      <c r="TNY158" s="103"/>
      <c r="TNZ158" s="103"/>
      <c r="TOA158" s="103"/>
      <c r="TOB158" s="103"/>
      <c r="TOC158" s="103"/>
      <c r="TOD158" s="103"/>
      <c r="TOE158" s="103"/>
      <c r="TOF158" s="103"/>
      <c r="TOG158" s="103"/>
      <c r="TOH158" s="103"/>
      <c r="TOI158" s="103"/>
      <c r="TOJ158" s="103"/>
      <c r="TOK158" s="103"/>
      <c r="TOL158" s="103"/>
      <c r="TOM158" s="103"/>
      <c r="TON158" s="103"/>
      <c r="TOO158" s="103"/>
      <c r="TOP158" s="103"/>
      <c r="TOQ158" s="103"/>
      <c r="TOR158" s="103"/>
      <c r="TOS158" s="103"/>
      <c r="TOT158" s="103"/>
      <c r="TOU158" s="103"/>
      <c r="TOV158" s="103"/>
      <c r="TOW158" s="103"/>
      <c r="TOX158" s="103"/>
      <c r="TOY158" s="103"/>
      <c r="TOZ158" s="103"/>
      <c r="TPA158" s="103"/>
      <c r="TPB158" s="103"/>
      <c r="TPC158" s="103"/>
      <c r="TPD158" s="103"/>
      <c r="TPE158" s="103"/>
      <c r="TPF158" s="103"/>
      <c r="TPG158" s="103"/>
      <c r="TPH158" s="103"/>
      <c r="TPI158" s="103"/>
      <c r="TPJ158" s="103"/>
      <c r="TPK158" s="103"/>
      <c r="TPL158" s="103"/>
      <c r="TPM158" s="103"/>
      <c r="TPN158" s="103"/>
      <c r="TPO158" s="103"/>
      <c r="TPP158" s="103"/>
      <c r="TPQ158" s="103"/>
      <c r="TPR158" s="103"/>
      <c r="TPS158" s="103"/>
      <c r="TPT158" s="103"/>
      <c r="TPU158" s="103"/>
      <c r="TPV158" s="103"/>
      <c r="TPW158" s="103"/>
      <c r="TPX158" s="103"/>
      <c r="TPY158" s="103"/>
      <c r="TPZ158" s="103"/>
      <c r="TQA158" s="103"/>
      <c r="TQB158" s="103"/>
      <c r="TQC158" s="103"/>
      <c r="TQD158" s="103"/>
      <c r="TQE158" s="103"/>
      <c r="TQF158" s="103"/>
      <c r="TQG158" s="103"/>
      <c r="TQH158" s="103"/>
      <c r="TQI158" s="103"/>
      <c r="TQJ158" s="103"/>
      <c r="TQK158" s="103"/>
      <c r="TQL158" s="103"/>
      <c r="TQM158" s="103"/>
      <c r="TQN158" s="103"/>
      <c r="TQO158" s="103"/>
      <c r="TQP158" s="103"/>
      <c r="TQQ158" s="103"/>
      <c r="TQR158" s="103"/>
      <c r="TQS158" s="103"/>
      <c r="TQT158" s="103"/>
      <c r="TQU158" s="103"/>
      <c r="TQV158" s="103"/>
      <c r="TQW158" s="103"/>
      <c r="TQX158" s="103"/>
      <c r="TQY158" s="103"/>
      <c r="TQZ158" s="103"/>
      <c r="TRA158" s="103"/>
      <c r="TRB158" s="103"/>
      <c r="TRC158" s="103"/>
      <c r="TRD158" s="103"/>
      <c r="TRE158" s="103"/>
      <c r="TRF158" s="103"/>
      <c r="TRG158" s="103"/>
      <c r="TRH158" s="103"/>
      <c r="TRI158" s="103"/>
      <c r="TRJ158" s="103"/>
      <c r="TRK158" s="103"/>
      <c r="TRL158" s="103"/>
      <c r="TRM158" s="103"/>
      <c r="TRN158" s="103"/>
      <c r="TRO158" s="103"/>
      <c r="TRP158" s="103"/>
      <c r="TRQ158" s="103"/>
      <c r="TRR158" s="103"/>
      <c r="TRS158" s="103"/>
      <c r="TRT158" s="103"/>
      <c r="TRU158" s="103"/>
      <c r="TRV158" s="103"/>
      <c r="TRW158" s="103"/>
      <c r="TRX158" s="103"/>
      <c r="TRY158" s="103"/>
      <c r="TRZ158" s="103"/>
      <c r="TSA158" s="103"/>
      <c r="TSB158" s="103"/>
      <c r="TSC158" s="103"/>
      <c r="TSD158" s="103"/>
      <c r="TSE158" s="103"/>
      <c r="TSF158" s="103"/>
      <c r="TSG158" s="103"/>
      <c r="TSH158" s="103"/>
      <c r="TSI158" s="103"/>
      <c r="TSJ158" s="103"/>
      <c r="TSK158" s="103"/>
      <c r="TSL158" s="103"/>
      <c r="TSM158" s="103"/>
      <c r="TSN158" s="103"/>
      <c r="TSO158" s="103"/>
      <c r="TSP158" s="103"/>
      <c r="TSQ158" s="103"/>
      <c r="TSR158" s="103"/>
      <c r="TSS158" s="103"/>
      <c r="TST158" s="103"/>
      <c r="TSU158" s="103"/>
      <c r="TSV158" s="103"/>
      <c r="TSW158" s="103"/>
      <c r="TSX158" s="103"/>
      <c r="TSY158" s="103"/>
      <c r="TSZ158" s="103"/>
      <c r="TTA158" s="103"/>
      <c r="TTB158" s="103"/>
      <c r="TTC158" s="103"/>
      <c r="TTD158" s="103"/>
      <c r="TTE158" s="103"/>
      <c r="TTF158" s="103"/>
      <c r="TTG158" s="103"/>
      <c r="TTH158" s="103"/>
      <c r="TTI158" s="103"/>
      <c r="TTJ158" s="103"/>
      <c r="TTK158" s="103"/>
      <c r="TTL158" s="103"/>
      <c r="TTM158" s="103"/>
      <c r="TTN158" s="103"/>
      <c r="TTO158" s="103"/>
      <c r="TTP158" s="103"/>
      <c r="TTQ158" s="103"/>
      <c r="TTR158" s="103"/>
      <c r="TTS158" s="103"/>
      <c r="TTT158" s="103"/>
      <c r="TTU158" s="103"/>
      <c r="TTV158" s="103"/>
      <c r="TTW158" s="103"/>
      <c r="TTX158" s="103"/>
      <c r="TTY158" s="103"/>
      <c r="TTZ158" s="103"/>
      <c r="TUA158" s="103"/>
      <c r="TUB158" s="103"/>
      <c r="TUC158" s="103"/>
      <c r="TUD158" s="103"/>
      <c r="TUE158" s="103"/>
      <c r="TUF158" s="103"/>
      <c r="TUG158" s="103"/>
      <c r="TUH158" s="103"/>
      <c r="TUI158" s="103"/>
      <c r="TUJ158" s="103"/>
      <c r="TUK158" s="103"/>
      <c r="TUL158" s="103"/>
      <c r="TUM158" s="103"/>
      <c r="TUN158" s="103"/>
      <c r="TUO158" s="103"/>
      <c r="TUP158" s="103"/>
      <c r="TUQ158" s="103"/>
      <c r="TUR158" s="103"/>
      <c r="TUS158" s="103"/>
      <c r="TUT158" s="103"/>
      <c r="TUU158" s="103"/>
      <c r="TUV158" s="103"/>
      <c r="TUW158" s="103"/>
      <c r="TUX158" s="103"/>
      <c r="TUY158" s="103"/>
      <c r="TUZ158" s="103"/>
      <c r="TVA158" s="103"/>
      <c r="TVB158" s="103"/>
      <c r="TVC158" s="103"/>
      <c r="TVD158" s="103"/>
      <c r="TVE158" s="103"/>
      <c r="TVF158" s="103"/>
      <c r="TVG158" s="103"/>
      <c r="TVH158" s="103"/>
      <c r="TVI158" s="103"/>
      <c r="TVJ158" s="103"/>
      <c r="TVK158" s="103"/>
      <c r="TVL158" s="103"/>
      <c r="TVM158" s="103"/>
      <c r="TVN158" s="103"/>
      <c r="TVO158" s="103"/>
      <c r="TVP158" s="103"/>
      <c r="TVQ158" s="103"/>
      <c r="TVR158" s="103"/>
      <c r="TVS158" s="103"/>
      <c r="TVT158" s="103"/>
      <c r="TVU158" s="103"/>
      <c r="TVV158" s="103"/>
      <c r="TVW158" s="103"/>
      <c r="TVX158" s="103"/>
      <c r="TVY158" s="103"/>
      <c r="TVZ158" s="103"/>
      <c r="TWA158" s="103"/>
      <c r="TWB158" s="103"/>
      <c r="TWC158" s="103"/>
      <c r="TWD158" s="103"/>
      <c r="TWE158" s="103"/>
      <c r="TWF158" s="103"/>
      <c r="TWG158" s="103"/>
      <c r="TWH158" s="103"/>
      <c r="TWI158" s="103"/>
      <c r="TWJ158" s="103"/>
      <c r="TWK158" s="103"/>
      <c r="TWL158" s="103"/>
      <c r="TWM158" s="103"/>
      <c r="TWN158" s="103"/>
      <c r="TWO158" s="103"/>
      <c r="TWP158" s="103"/>
      <c r="TWQ158" s="103"/>
      <c r="TWR158" s="103"/>
      <c r="TWS158" s="103"/>
      <c r="TWT158" s="103"/>
      <c r="TWU158" s="103"/>
      <c r="TWV158" s="103"/>
      <c r="TWW158" s="103"/>
      <c r="TWX158" s="103"/>
      <c r="TWY158" s="103"/>
      <c r="TWZ158" s="103"/>
      <c r="TXA158" s="103"/>
      <c r="TXB158" s="103"/>
      <c r="TXC158" s="103"/>
      <c r="TXD158" s="103"/>
      <c r="TXE158" s="103"/>
      <c r="TXF158" s="103"/>
      <c r="TXG158" s="103"/>
      <c r="TXH158" s="103"/>
      <c r="TXI158" s="103"/>
      <c r="TXJ158" s="103"/>
      <c r="TXK158" s="103"/>
      <c r="TXL158" s="103"/>
      <c r="TXM158" s="103"/>
      <c r="TXN158" s="103"/>
      <c r="TXO158" s="103"/>
      <c r="TXP158" s="103"/>
      <c r="TXQ158" s="103"/>
      <c r="TXR158" s="103"/>
      <c r="TXS158" s="103"/>
      <c r="TXT158" s="103"/>
      <c r="TXU158" s="103"/>
      <c r="TXV158" s="103"/>
      <c r="TXW158" s="103"/>
      <c r="TXX158" s="103"/>
      <c r="TXY158" s="103"/>
      <c r="TXZ158" s="103"/>
      <c r="TYA158" s="103"/>
      <c r="TYB158" s="103"/>
      <c r="TYC158" s="103"/>
      <c r="TYD158" s="103"/>
      <c r="TYE158" s="103"/>
      <c r="TYF158" s="103"/>
      <c r="TYG158" s="103"/>
      <c r="TYH158" s="103"/>
      <c r="TYI158" s="103"/>
      <c r="TYJ158" s="103"/>
      <c r="TYK158" s="103"/>
      <c r="TYL158" s="103"/>
      <c r="TYM158" s="103"/>
      <c r="TYN158" s="103"/>
      <c r="TYO158" s="103"/>
      <c r="TYP158" s="103"/>
      <c r="TYQ158" s="103"/>
      <c r="TYR158" s="103"/>
      <c r="TYS158" s="103"/>
      <c r="TYT158" s="103"/>
      <c r="TYU158" s="103"/>
      <c r="TYV158" s="103"/>
      <c r="TYW158" s="103"/>
      <c r="TYX158" s="103"/>
      <c r="TYY158" s="103"/>
      <c r="TYZ158" s="103"/>
      <c r="TZA158" s="103"/>
      <c r="TZB158" s="103"/>
      <c r="TZC158" s="103"/>
      <c r="TZD158" s="103"/>
      <c r="TZE158" s="103"/>
      <c r="TZF158" s="103"/>
      <c r="TZG158" s="103"/>
      <c r="TZH158" s="103"/>
      <c r="TZI158" s="103"/>
      <c r="TZJ158" s="103"/>
      <c r="TZK158" s="103"/>
      <c r="TZL158" s="103"/>
      <c r="TZM158" s="103"/>
      <c r="TZN158" s="103"/>
      <c r="TZO158" s="103"/>
      <c r="TZP158" s="103"/>
      <c r="TZQ158" s="103"/>
      <c r="TZR158" s="103"/>
      <c r="TZS158" s="103"/>
      <c r="TZT158" s="103"/>
      <c r="TZU158" s="103"/>
      <c r="TZV158" s="103"/>
      <c r="TZW158" s="103"/>
      <c r="TZX158" s="103"/>
      <c r="TZY158" s="103"/>
      <c r="TZZ158" s="103"/>
      <c r="UAA158" s="103"/>
      <c r="UAB158" s="103"/>
      <c r="UAC158" s="103"/>
      <c r="UAD158" s="103"/>
      <c r="UAE158" s="103"/>
      <c r="UAF158" s="103"/>
      <c r="UAG158" s="103"/>
      <c r="UAH158" s="103"/>
      <c r="UAI158" s="103"/>
      <c r="UAJ158" s="103"/>
      <c r="UAK158" s="103"/>
      <c r="UAL158" s="103"/>
      <c r="UAM158" s="103"/>
      <c r="UAN158" s="103"/>
      <c r="UAO158" s="103"/>
      <c r="UAP158" s="103"/>
      <c r="UAQ158" s="103"/>
      <c r="UAR158" s="103"/>
      <c r="UAS158" s="103"/>
      <c r="UAT158" s="103"/>
      <c r="UAU158" s="103"/>
      <c r="UAV158" s="103"/>
      <c r="UAW158" s="103"/>
      <c r="UAX158" s="103"/>
      <c r="UAY158" s="103"/>
      <c r="UAZ158" s="103"/>
      <c r="UBA158" s="103"/>
      <c r="UBB158" s="103"/>
      <c r="UBC158" s="103"/>
      <c r="UBD158" s="103"/>
      <c r="UBE158" s="103"/>
      <c r="UBF158" s="103"/>
      <c r="UBG158" s="103"/>
      <c r="UBH158" s="103"/>
      <c r="UBI158" s="103"/>
      <c r="UBJ158" s="103"/>
      <c r="UBK158" s="103"/>
      <c r="UBL158" s="103"/>
      <c r="UBM158" s="103"/>
      <c r="UBN158" s="103"/>
      <c r="UBO158" s="103"/>
      <c r="UBP158" s="103"/>
      <c r="UBQ158" s="103"/>
      <c r="UBR158" s="103"/>
      <c r="UBS158" s="103"/>
      <c r="UBT158" s="103"/>
      <c r="UBU158" s="103"/>
      <c r="UBV158" s="103"/>
      <c r="UBW158" s="103"/>
      <c r="UBX158" s="103"/>
      <c r="UBY158" s="103"/>
      <c r="UBZ158" s="103"/>
      <c r="UCA158" s="103"/>
      <c r="UCB158" s="103"/>
      <c r="UCC158" s="103"/>
      <c r="UCD158" s="103"/>
      <c r="UCE158" s="103"/>
      <c r="UCF158" s="103"/>
      <c r="UCG158" s="103"/>
      <c r="UCH158" s="103"/>
      <c r="UCI158" s="103"/>
      <c r="UCJ158" s="103"/>
      <c r="UCK158" s="103"/>
      <c r="UCL158" s="103"/>
      <c r="UCM158" s="103"/>
      <c r="UCN158" s="103"/>
      <c r="UCO158" s="103"/>
      <c r="UCP158" s="103"/>
      <c r="UCQ158" s="103"/>
      <c r="UCR158" s="103"/>
      <c r="UCS158" s="103"/>
      <c r="UCT158" s="103"/>
      <c r="UCU158" s="103"/>
      <c r="UCV158" s="103"/>
      <c r="UCW158" s="103"/>
      <c r="UCX158" s="103"/>
      <c r="UCY158" s="103"/>
      <c r="UCZ158" s="103"/>
      <c r="UDA158" s="103"/>
      <c r="UDB158" s="103"/>
      <c r="UDC158" s="103"/>
      <c r="UDD158" s="103"/>
      <c r="UDE158" s="103"/>
      <c r="UDF158" s="103"/>
      <c r="UDG158" s="103"/>
      <c r="UDH158" s="103"/>
      <c r="UDI158" s="103"/>
      <c r="UDJ158" s="103"/>
      <c r="UDK158" s="103"/>
      <c r="UDL158" s="103"/>
      <c r="UDM158" s="103"/>
      <c r="UDN158" s="103"/>
      <c r="UDO158" s="103"/>
      <c r="UDP158" s="103"/>
      <c r="UDQ158" s="103"/>
      <c r="UDR158" s="103"/>
      <c r="UDS158" s="103"/>
      <c r="UDT158" s="103"/>
      <c r="UDU158" s="103"/>
      <c r="UDV158" s="103"/>
      <c r="UDW158" s="103"/>
      <c r="UDX158" s="103"/>
      <c r="UDY158" s="103"/>
      <c r="UDZ158" s="103"/>
      <c r="UEA158" s="103"/>
      <c r="UEB158" s="103"/>
      <c r="UEC158" s="103"/>
      <c r="UED158" s="103"/>
      <c r="UEE158" s="103"/>
      <c r="UEF158" s="103"/>
      <c r="UEG158" s="103"/>
      <c r="UEH158" s="103"/>
      <c r="UEI158" s="103"/>
      <c r="UEJ158" s="103"/>
      <c r="UEK158" s="103"/>
      <c r="UEL158" s="103"/>
      <c r="UEM158" s="103"/>
      <c r="UEN158" s="103"/>
      <c r="UEO158" s="103"/>
      <c r="UEP158" s="103"/>
      <c r="UEQ158" s="103"/>
      <c r="UER158" s="103"/>
      <c r="UES158" s="103"/>
      <c r="UET158" s="103"/>
      <c r="UEU158" s="103"/>
      <c r="UEV158" s="103"/>
      <c r="UEW158" s="103"/>
      <c r="UEX158" s="103"/>
      <c r="UEY158" s="103"/>
      <c r="UEZ158" s="103"/>
      <c r="UFA158" s="103"/>
      <c r="UFB158" s="103"/>
      <c r="UFC158" s="103"/>
      <c r="UFD158" s="103"/>
      <c r="UFE158" s="103"/>
      <c r="UFF158" s="103"/>
      <c r="UFG158" s="103"/>
      <c r="UFH158" s="103"/>
      <c r="UFI158" s="103"/>
      <c r="UFJ158" s="103"/>
      <c r="UFK158" s="103"/>
      <c r="UFL158" s="103"/>
      <c r="UFM158" s="103"/>
      <c r="UFN158" s="103"/>
      <c r="UFO158" s="103"/>
      <c r="UFP158" s="103"/>
      <c r="UFQ158" s="103"/>
      <c r="UFR158" s="103"/>
      <c r="UFS158" s="103"/>
      <c r="UFT158" s="103"/>
      <c r="UFU158" s="103"/>
      <c r="UFV158" s="103"/>
      <c r="UFW158" s="103"/>
      <c r="UFX158" s="103"/>
      <c r="UFY158" s="103"/>
      <c r="UFZ158" s="103"/>
      <c r="UGA158" s="103"/>
      <c r="UGB158" s="103"/>
      <c r="UGC158" s="103"/>
      <c r="UGD158" s="103"/>
      <c r="UGE158" s="103"/>
      <c r="UGF158" s="103"/>
      <c r="UGG158" s="103"/>
      <c r="UGH158" s="103"/>
      <c r="UGI158" s="103"/>
      <c r="UGJ158" s="103"/>
      <c r="UGK158" s="103"/>
      <c r="UGL158" s="103"/>
      <c r="UGM158" s="103"/>
      <c r="UGN158" s="103"/>
      <c r="UGO158" s="103"/>
      <c r="UGP158" s="103"/>
      <c r="UGQ158" s="103"/>
      <c r="UGR158" s="103"/>
      <c r="UGS158" s="103"/>
      <c r="UGT158" s="103"/>
      <c r="UGU158" s="103"/>
      <c r="UGV158" s="103"/>
      <c r="UGW158" s="103"/>
      <c r="UGX158" s="103"/>
      <c r="UGY158" s="103"/>
      <c r="UGZ158" s="103"/>
      <c r="UHA158" s="103"/>
      <c r="UHB158" s="103"/>
      <c r="UHC158" s="103"/>
      <c r="UHD158" s="103"/>
      <c r="UHE158" s="103"/>
      <c r="UHF158" s="103"/>
      <c r="UHG158" s="103"/>
      <c r="UHH158" s="103"/>
      <c r="UHI158" s="103"/>
      <c r="UHJ158" s="103"/>
      <c r="UHK158" s="103"/>
      <c r="UHL158" s="103"/>
      <c r="UHM158" s="103"/>
      <c r="UHN158" s="103"/>
      <c r="UHO158" s="103"/>
      <c r="UHP158" s="103"/>
      <c r="UHQ158" s="103"/>
      <c r="UHR158" s="103"/>
      <c r="UHS158" s="103"/>
      <c r="UHT158" s="103"/>
      <c r="UHU158" s="103"/>
      <c r="UHV158" s="103"/>
      <c r="UHW158" s="103"/>
      <c r="UHX158" s="103"/>
      <c r="UHY158" s="103"/>
      <c r="UHZ158" s="103"/>
      <c r="UIA158" s="103"/>
      <c r="UIB158" s="103"/>
      <c r="UIC158" s="103"/>
      <c r="UID158" s="103"/>
      <c r="UIE158" s="103"/>
      <c r="UIF158" s="103"/>
      <c r="UIG158" s="103"/>
      <c r="UIH158" s="103"/>
      <c r="UII158" s="103"/>
      <c r="UIJ158" s="103"/>
      <c r="UIK158" s="103"/>
      <c r="UIL158" s="103"/>
      <c r="UIM158" s="103"/>
      <c r="UIN158" s="103"/>
      <c r="UIO158" s="103"/>
      <c r="UIP158" s="103"/>
      <c r="UIQ158" s="103"/>
      <c r="UIR158" s="103"/>
      <c r="UIS158" s="103"/>
      <c r="UIT158" s="103"/>
      <c r="UIU158" s="103"/>
      <c r="UIV158" s="103"/>
      <c r="UIW158" s="103"/>
      <c r="UIX158" s="103"/>
      <c r="UIY158" s="103"/>
      <c r="UIZ158" s="103"/>
      <c r="UJA158" s="103"/>
      <c r="UJB158" s="103"/>
      <c r="UJC158" s="103"/>
      <c r="UJD158" s="103"/>
      <c r="UJE158" s="103"/>
      <c r="UJF158" s="103"/>
      <c r="UJG158" s="103"/>
      <c r="UJH158" s="103"/>
      <c r="UJI158" s="103"/>
      <c r="UJJ158" s="103"/>
      <c r="UJK158" s="103"/>
      <c r="UJL158" s="103"/>
      <c r="UJM158" s="103"/>
      <c r="UJN158" s="103"/>
      <c r="UJO158" s="103"/>
      <c r="UJP158" s="103"/>
      <c r="UJQ158" s="103"/>
      <c r="UJR158" s="103"/>
      <c r="UJS158" s="103"/>
      <c r="UJT158" s="103"/>
      <c r="UJU158" s="103"/>
      <c r="UJV158" s="103"/>
      <c r="UJW158" s="103"/>
      <c r="UJX158" s="103"/>
      <c r="UJY158" s="103"/>
      <c r="UJZ158" s="103"/>
      <c r="UKA158" s="103"/>
      <c r="UKB158" s="103"/>
      <c r="UKC158" s="103"/>
      <c r="UKD158" s="103"/>
      <c r="UKE158" s="103"/>
      <c r="UKF158" s="103"/>
      <c r="UKG158" s="103"/>
      <c r="UKH158" s="103"/>
      <c r="UKI158" s="103"/>
      <c r="UKJ158" s="103"/>
      <c r="UKK158" s="103"/>
      <c r="UKL158" s="103"/>
      <c r="UKM158" s="103"/>
      <c r="UKN158" s="103"/>
      <c r="UKO158" s="103"/>
      <c r="UKP158" s="103"/>
      <c r="UKQ158" s="103"/>
      <c r="UKR158" s="103"/>
      <c r="UKS158" s="103"/>
      <c r="UKT158" s="103"/>
      <c r="UKU158" s="103"/>
      <c r="UKV158" s="103"/>
      <c r="UKW158" s="103"/>
      <c r="UKX158" s="103"/>
      <c r="UKY158" s="103"/>
      <c r="UKZ158" s="103"/>
      <c r="ULA158" s="103"/>
      <c r="ULB158" s="103"/>
      <c r="ULC158" s="103"/>
      <c r="ULD158" s="103"/>
      <c r="ULE158" s="103"/>
      <c r="ULF158" s="103"/>
      <c r="ULG158" s="103"/>
      <c r="ULH158" s="103"/>
      <c r="ULI158" s="103"/>
      <c r="ULJ158" s="103"/>
      <c r="ULK158" s="103"/>
      <c r="ULL158" s="103"/>
      <c r="ULM158" s="103"/>
      <c r="ULN158" s="103"/>
      <c r="ULO158" s="103"/>
      <c r="ULP158" s="103"/>
      <c r="ULQ158" s="103"/>
      <c r="ULR158" s="103"/>
      <c r="ULS158" s="103"/>
      <c r="ULT158" s="103"/>
      <c r="ULU158" s="103"/>
      <c r="ULV158" s="103"/>
      <c r="ULW158" s="103"/>
      <c r="ULX158" s="103"/>
      <c r="ULY158" s="103"/>
      <c r="ULZ158" s="103"/>
      <c r="UMA158" s="103"/>
      <c r="UMB158" s="103"/>
      <c r="UMC158" s="103"/>
      <c r="UMD158" s="103"/>
      <c r="UME158" s="103"/>
      <c r="UMF158" s="103"/>
      <c r="UMG158" s="103"/>
      <c r="UMH158" s="103"/>
      <c r="UMI158" s="103"/>
      <c r="UMJ158" s="103"/>
      <c r="UMK158" s="103"/>
      <c r="UML158" s="103"/>
      <c r="UMM158" s="103"/>
      <c r="UMN158" s="103"/>
      <c r="UMO158" s="103"/>
      <c r="UMP158" s="103"/>
      <c r="UMQ158" s="103"/>
      <c r="UMR158" s="103"/>
      <c r="UMS158" s="103"/>
      <c r="UMT158" s="103"/>
      <c r="UMU158" s="103"/>
      <c r="UMV158" s="103"/>
      <c r="UMW158" s="103"/>
      <c r="UMX158" s="103"/>
      <c r="UMY158" s="103"/>
      <c r="UMZ158" s="103"/>
      <c r="UNA158" s="103"/>
      <c r="UNB158" s="103"/>
      <c r="UNC158" s="103"/>
      <c r="UND158" s="103"/>
      <c r="UNE158" s="103"/>
      <c r="UNF158" s="103"/>
      <c r="UNG158" s="103"/>
      <c r="UNH158" s="103"/>
      <c r="UNI158" s="103"/>
      <c r="UNJ158" s="103"/>
      <c r="UNK158" s="103"/>
      <c r="UNL158" s="103"/>
      <c r="UNM158" s="103"/>
      <c r="UNN158" s="103"/>
      <c r="UNO158" s="103"/>
      <c r="UNP158" s="103"/>
      <c r="UNQ158" s="103"/>
      <c r="UNR158" s="103"/>
      <c r="UNS158" s="103"/>
      <c r="UNT158" s="103"/>
      <c r="UNU158" s="103"/>
      <c r="UNV158" s="103"/>
      <c r="UNW158" s="103"/>
      <c r="UNX158" s="103"/>
      <c r="UNY158" s="103"/>
      <c r="UNZ158" s="103"/>
      <c r="UOA158" s="103"/>
      <c r="UOB158" s="103"/>
      <c r="UOC158" s="103"/>
      <c r="UOD158" s="103"/>
      <c r="UOE158" s="103"/>
      <c r="UOF158" s="103"/>
      <c r="UOG158" s="103"/>
      <c r="UOH158" s="103"/>
      <c r="UOI158" s="103"/>
      <c r="UOJ158" s="103"/>
      <c r="UOK158" s="103"/>
      <c r="UOL158" s="103"/>
      <c r="UOM158" s="103"/>
      <c r="UON158" s="103"/>
      <c r="UOO158" s="103"/>
      <c r="UOP158" s="103"/>
      <c r="UOQ158" s="103"/>
      <c r="UOR158" s="103"/>
      <c r="UOS158" s="103"/>
      <c r="UOT158" s="103"/>
      <c r="UOU158" s="103"/>
      <c r="UOV158" s="103"/>
      <c r="UOW158" s="103"/>
      <c r="UOX158" s="103"/>
      <c r="UOY158" s="103"/>
      <c r="UOZ158" s="103"/>
      <c r="UPA158" s="103"/>
      <c r="UPB158" s="103"/>
      <c r="UPC158" s="103"/>
      <c r="UPD158" s="103"/>
      <c r="UPE158" s="103"/>
      <c r="UPF158" s="103"/>
      <c r="UPG158" s="103"/>
      <c r="UPH158" s="103"/>
      <c r="UPI158" s="103"/>
      <c r="UPJ158" s="103"/>
      <c r="UPK158" s="103"/>
      <c r="UPL158" s="103"/>
      <c r="UPM158" s="103"/>
      <c r="UPN158" s="103"/>
      <c r="UPO158" s="103"/>
      <c r="UPP158" s="103"/>
      <c r="UPQ158" s="103"/>
      <c r="UPR158" s="103"/>
      <c r="UPS158" s="103"/>
      <c r="UPT158" s="103"/>
      <c r="UPU158" s="103"/>
      <c r="UPV158" s="103"/>
      <c r="UPW158" s="103"/>
      <c r="UPX158" s="103"/>
      <c r="UPY158" s="103"/>
      <c r="UPZ158" s="103"/>
      <c r="UQA158" s="103"/>
      <c r="UQB158" s="103"/>
      <c r="UQC158" s="103"/>
      <c r="UQD158" s="103"/>
      <c r="UQE158" s="103"/>
      <c r="UQF158" s="103"/>
      <c r="UQG158" s="103"/>
      <c r="UQH158" s="103"/>
      <c r="UQI158" s="103"/>
      <c r="UQJ158" s="103"/>
      <c r="UQK158" s="103"/>
      <c r="UQL158" s="103"/>
      <c r="UQM158" s="103"/>
      <c r="UQN158" s="103"/>
      <c r="UQO158" s="103"/>
      <c r="UQP158" s="103"/>
      <c r="UQQ158" s="103"/>
      <c r="UQR158" s="103"/>
      <c r="UQS158" s="103"/>
      <c r="UQT158" s="103"/>
      <c r="UQU158" s="103"/>
      <c r="UQV158" s="103"/>
      <c r="UQW158" s="103"/>
      <c r="UQX158" s="103"/>
      <c r="UQY158" s="103"/>
      <c r="UQZ158" s="103"/>
      <c r="URA158" s="103"/>
      <c r="URB158" s="103"/>
      <c r="URC158" s="103"/>
      <c r="URD158" s="103"/>
      <c r="URE158" s="103"/>
      <c r="URF158" s="103"/>
      <c r="URG158" s="103"/>
      <c r="URH158" s="103"/>
      <c r="URI158" s="103"/>
      <c r="URJ158" s="103"/>
      <c r="URK158" s="103"/>
      <c r="URL158" s="103"/>
      <c r="URM158" s="103"/>
      <c r="URN158" s="103"/>
      <c r="URO158" s="103"/>
      <c r="URP158" s="103"/>
      <c r="URQ158" s="103"/>
      <c r="URR158" s="103"/>
      <c r="URS158" s="103"/>
      <c r="URT158" s="103"/>
      <c r="URU158" s="103"/>
      <c r="URV158" s="103"/>
      <c r="URW158" s="103"/>
      <c r="URX158" s="103"/>
      <c r="URY158" s="103"/>
      <c r="URZ158" s="103"/>
      <c r="USA158" s="103"/>
      <c r="USB158" s="103"/>
      <c r="USC158" s="103"/>
      <c r="USD158" s="103"/>
      <c r="USE158" s="103"/>
      <c r="USF158" s="103"/>
      <c r="USG158" s="103"/>
      <c r="USH158" s="103"/>
      <c r="USI158" s="103"/>
      <c r="USJ158" s="103"/>
      <c r="USK158" s="103"/>
      <c r="USL158" s="103"/>
      <c r="USM158" s="103"/>
      <c r="USN158" s="103"/>
      <c r="USO158" s="103"/>
      <c r="USP158" s="103"/>
      <c r="USQ158" s="103"/>
      <c r="USR158" s="103"/>
      <c r="USS158" s="103"/>
      <c r="UST158" s="103"/>
      <c r="USU158" s="103"/>
      <c r="USV158" s="103"/>
      <c r="USW158" s="103"/>
      <c r="USX158" s="103"/>
      <c r="USY158" s="103"/>
      <c r="USZ158" s="103"/>
      <c r="UTA158" s="103"/>
      <c r="UTB158" s="103"/>
      <c r="UTC158" s="103"/>
      <c r="UTD158" s="103"/>
      <c r="UTE158" s="103"/>
      <c r="UTF158" s="103"/>
      <c r="UTG158" s="103"/>
      <c r="UTH158" s="103"/>
      <c r="UTI158" s="103"/>
      <c r="UTJ158" s="103"/>
      <c r="UTK158" s="103"/>
      <c r="UTL158" s="103"/>
      <c r="UTM158" s="103"/>
      <c r="UTN158" s="103"/>
      <c r="UTO158" s="103"/>
      <c r="UTP158" s="103"/>
      <c r="UTQ158" s="103"/>
      <c r="UTR158" s="103"/>
      <c r="UTS158" s="103"/>
      <c r="UTT158" s="103"/>
      <c r="UTU158" s="103"/>
      <c r="UTV158" s="103"/>
      <c r="UTW158" s="103"/>
      <c r="UTX158" s="103"/>
      <c r="UTY158" s="103"/>
      <c r="UTZ158" s="103"/>
      <c r="UUA158" s="103"/>
      <c r="UUB158" s="103"/>
      <c r="UUC158" s="103"/>
      <c r="UUD158" s="103"/>
      <c r="UUE158" s="103"/>
      <c r="UUF158" s="103"/>
      <c r="UUG158" s="103"/>
      <c r="UUH158" s="103"/>
      <c r="UUI158" s="103"/>
      <c r="UUJ158" s="103"/>
      <c r="UUK158" s="103"/>
      <c r="UUL158" s="103"/>
      <c r="UUM158" s="103"/>
      <c r="UUN158" s="103"/>
      <c r="UUO158" s="103"/>
      <c r="UUP158" s="103"/>
      <c r="UUQ158" s="103"/>
      <c r="UUR158" s="103"/>
      <c r="UUS158" s="103"/>
      <c r="UUT158" s="103"/>
      <c r="UUU158" s="103"/>
      <c r="UUV158" s="103"/>
      <c r="UUW158" s="103"/>
      <c r="UUX158" s="103"/>
      <c r="UUY158" s="103"/>
      <c r="UUZ158" s="103"/>
      <c r="UVA158" s="103"/>
      <c r="UVB158" s="103"/>
      <c r="UVC158" s="103"/>
      <c r="UVD158" s="103"/>
      <c r="UVE158" s="103"/>
      <c r="UVF158" s="103"/>
      <c r="UVG158" s="103"/>
      <c r="UVH158" s="103"/>
      <c r="UVI158" s="103"/>
      <c r="UVJ158" s="103"/>
      <c r="UVK158" s="103"/>
      <c r="UVL158" s="103"/>
      <c r="UVM158" s="103"/>
      <c r="UVN158" s="103"/>
      <c r="UVO158" s="103"/>
      <c r="UVP158" s="103"/>
      <c r="UVQ158" s="103"/>
      <c r="UVR158" s="103"/>
      <c r="UVS158" s="103"/>
      <c r="UVT158" s="103"/>
      <c r="UVU158" s="103"/>
      <c r="UVV158" s="103"/>
      <c r="UVW158" s="103"/>
      <c r="UVX158" s="103"/>
      <c r="UVY158" s="103"/>
      <c r="UVZ158" s="103"/>
      <c r="UWA158" s="103"/>
      <c r="UWB158" s="103"/>
      <c r="UWC158" s="103"/>
      <c r="UWD158" s="103"/>
      <c r="UWE158" s="103"/>
      <c r="UWF158" s="103"/>
      <c r="UWG158" s="103"/>
      <c r="UWH158" s="103"/>
      <c r="UWI158" s="103"/>
      <c r="UWJ158" s="103"/>
      <c r="UWK158" s="103"/>
      <c r="UWL158" s="103"/>
      <c r="UWM158" s="103"/>
      <c r="UWN158" s="103"/>
      <c r="UWO158" s="103"/>
      <c r="UWP158" s="103"/>
      <c r="UWQ158" s="103"/>
      <c r="UWR158" s="103"/>
      <c r="UWS158" s="103"/>
      <c r="UWT158" s="103"/>
      <c r="UWU158" s="103"/>
      <c r="UWV158" s="103"/>
      <c r="UWW158" s="103"/>
      <c r="UWX158" s="103"/>
      <c r="UWY158" s="103"/>
      <c r="UWZ158" s="103"/>
      <c r="UXA158" s="103"/>
      <c r="UXB158" s="103"/>
      <c r="UXC158" s="103"/>
      <c r="UXD158" s="103"/>
      <c r="UXE158" s="103"/>
      <c r="UXF158" s="103"/>
      <c r="UXG158" s="103"/>
      <c r="UXH158" s="103"/>
      <c r="UXI158" s="103"/>
      <c r="UXJ158" s="103"/>
      <c r="UXK158" s="103"/>
      <c r="UXL158" s="103"/>
      <c r="UXM158" s="103"/>
      <c r="UXN158" s="103"/>
      <c r="UXO158" s="103"/>
      <c r="UXP158" s="103"/>
      <c r="UXQ158" s="103"/>
      <c r="UXR158" s="103"/>
      <c r="UXS158" s="103"/>
      <c r="UXT158" s="103"/>
      <c r="UXU158" s="103"/>
      <c r="UXV158" s="103"/>
      <c r="UXW158" s="103"/>
      <c r="UXX158" s="103"/>
      <c r="UXY158" s="103"/>
      <c r="UXZ158" s="103"/>
      <c r="UYA158" s="103"/>
      <c r="UYB158" s="103"/>
      <c r="UYC158" s="103"/>
      <c r="UYD158" s="103"/>
      <c r="UYE158" s="103"/>
      <c r="UYF158" s="103"/>
      <c r="UYG158" s="103"/>
      <c r="UYH158" s="103"/>
      <c r="UYI158" s="103"/>
      <c r="UYJ158" s="103"/>
      <c r="UYK158" s="103"/>
      <c r="UYL158" s="103"/>
      <c r="UYM158" s="103"/>
      <c r="UYN158" s="103"/>
      <c r="UYO158" s="103"/>
      <c r="UYP158" s="103"/>
      <c r="UYQ158" s="103"/>
      <c r="UYR158" s="103"/>
      <c r="UYS158" s="103"/>
      <c r="UYT158" s="103"/>
      <c r="UYU158" s="103"/>
      <c r="UYV158" s="103"/>
      <c r="UYW158" s="103"/>
      <c r="UYX158" s="103"/>
      <c r="UYY158" s="103"/>
      <c r="UYZ158" s="103"/>
      <c r="UZA158" s="103"/>
      <c r="UZB158" s="103"/>
      <c r="UZC158" s="103"/>
      <c r="UZD158" s="103"/>
      <c r="UZE158" s="103"/>
      <c r="UZF158" s="103"/>
      <c r="UZG158" s="103"/>
      <c r="UZH158" s="103"/>
      <c r="UZI158" s="103"/>
      <c r="UZJ158" s="103"/>
      <c r="UZK158" s="103"/>
      <c r="UZL158" s="103"/>
      <c r="UZM158" s="103"/>
      <c r="UZN158" s="103"/>
      <c r="UZO158" s="103"/>
      <c r="UZP158" s="103"/>
      <c r="UZQ158" s="103"/>
      <c r="UZR158" s="103"/>
      <c r="UZS158" s="103"/>
      <c r="UZT158" s="103"/>
      <c r="UZU158" s="103"/>
      <c r="UZV158" s="103"/>
      <c r="UZW158" s="103"/>
      <c r="UZX158" s="103"/>
      <c r="UZY158" s="103"/>
      <c r="UZZ158" s="103"/>
      <c r="VAA158" s="103"/>
      <c r="VAB158" s="103"/>
      <c r="VAC158" s="103"/>
      <c r="VAD158" s="103"/>
      <c r="VAE158" s="103"/>
      <c r="VAF158" s="103"/>
      <c r="VAG158" s="103"/>
      <c r="VAH158" s="103"/>
      <c r="VAI158" s="103"/>
      <c r="VAJ158" s="103"/>
      <c r="VAK158" s="103"/>
      <c r="VAL158" s="103"/>
      <c r="VAM158" s="103"/>
      <c r="VAN158" s="103"/>
      <c r="VAO158" s="103"/>
      <c r="VAP158" s="103"/>
      <c r="VAQ158" s="103"/>
      <c r="VAR158" s="103"/>
      <c r="VAS158" s="103"/>
      <c r="VAT158" s="103"/>
      <c r="VAU158" s="103"/>
      <c r="VAV158" s="103"/>
      <c r="VAW158" s="103"/>
      <c r="VAX158" s="103"/>
      <c r="VAY158" s="103"/>
      <c r="VAZ158" s="103"/>
      <c r="VBA158" s="103"/>
      <c r="VBB158" s="103"/>
      <c r="VBC158" s="103"/>
      <c r="VBD158" s="103"/>
      <c r="VBE158" s="103"/>
      <c r="VBF158" s="103"/>
      <c r="VBG158" s="103"/>
      <c r="VBH158" s="103"/>
      <c r="VBI158" s="103"/>
      <c r="VBJ158" s="103"/>
      <c r="VBK158" s="103"/>
      <c r="VBL158" s="103"/>
      <c r="VBM158" s="103"/>
      <c r="VBN158" s="103"/>
      <c r="VBO158" s="103"/>
      <c r="VBP158" s="103"/>
      <c r="VBQ158" s="103"/>
      <c r="VBR158" s="103"/>
      <c r="VBS158" s="103"/>
      <c r="VBT158" s="103"/>
      <c r="VBU158" s="103"/>
      <c r="VBV158" s="103"/>
      <c r="VBW158" s="103"/>
      <c r="VBX158" s="103"/>
      <c r="VBY158" s="103"/>
      <c r="VBZ158" s="103"/>
      <c r="VCA158" s="103"/>
      <c r="VCB158" s="103"/>
      <c r="VCC158" s="103"/>
      <c r="VCD158" s="103"/>
      <c r="VCE158" s="103"/>
      <c r="VCF158" s="103"/>
      <c r="VCG158" s="103"/>
      <c r="VCH158" s="103"/>
      <c r="VCI158" s="103"/>
      <c r="VCJ158" s="103"/>
      <c r="VCK158" s="103"/>
      <c r="VCL158" s="103"/>
      <c r="VCM158" s="103"/>
      <c r="VCN158" s="103"/>
      <c r="VCO158" s="103"/>
      <c r="VCP158" s="103"/>
      <c r="VCQ158" s="103"/>
      <c r="VCR158" s="103"/>
      <c r="VCS158" s="103"/>
      <c r="VCT158" s="103"/>
      <c r="VCU158" s="103"/>
      <c r="VCV158" s="103"/>
      <c r="VCW158" s="103"/>
      <c r="VCX158" s="103"/>
      <c r="VCY158" s="103"/>
      <c r="VCZ158" s="103"/>
      <c r="VDA158" s="103"/>
      <c r="VDB158" s="103"/>
      <c r="VDC158" s="103"/>
      <c r="VDD158" s="103"/>
      <c r="VDE158" s="103"/>
      <c r="VDF158" s="103"/>
      <c r="VDG158" s="103"/>
      <c r="VDH158" s="103"/>
      <c r="VDI158" s="103"/>
      <c r="VDJ158" s="103"/>
      <c r="VDK158" s="103"/>
      <c r="VDL158" s="103"/>
      <c r="VDM158" s="103"/>
      <c r="VDN158" s="103"/>
      <c r="VDO158" s="103"/>
      <c r="VDP158" s="103"/>
      <c r="VDQ158" s="103"/>
      <c r="VDR158" s="103"/>
      <c r="VDS158" s="103"/>
      <c r="VDT158" s="103"/>
      <c r="VDU158" s="103"/>
      <c r="VDV158" s="103"/>
      <c r="VDW158" s="103"/>
      <c r="VDX158" s="103"/>
      <c r="VDY158" s="103"/>
      <c r="VDZ158" s="103"/>
      <c r="VEA158" s="103"/>
      <c r="VEB158" s="103"/>
      <c r="VEC158" s="103"/>
      <c r="VED158" s="103"/>
      <c r="VEE158" s="103"/>
      <c r="VEF158" s="103"/>
      <c r="VEG158" s="103"/>
      <c r="VEH158" s="103"/>
      <c r="VEI158" s="103"/>
      <c r="VEJ158" s="103"/>
      <c r="VEK158" s="103"/>
      <c r="VEL158" s="103"/>
      <c r="VEM158" s="103"/>
      <c r="VEN158" s="103"/>
      <c r="VEO158" s="103"/>
      <c r="VEP158" s="103"/>
      <c r="VEQ158" s="103"/>
      <c r="VER158" s="103"/>
      <c r="VES158" s="103"/>
      <c r="VET158" s="103"/>
      <c r="VEU158" s="103"/>
      <c r="VEV158" s="103"/>
      <c r="VEW158" s="103"/>
      <c r="VEX158" s="103"/>
      <c r="VEY158" s="103"/>
      <c r="VEZ158" s="103"/>
      <c r="VFA158" s="103"/>
      <c r="VFB158" s="103"/>
      <c r="VFC158" s="103"/>
      <c r="VFD158" s="103"/>
      <c r="VFE158" s="103"/>
      <c r="VFF158" s="103"/>
      <c r="VFG158" s="103"/>
      <c r="VFH158" s="103"/>
      <c r="VFI158" s="103"/>
      <c r="VFJ158" s="103"/>
      <c r="VFK158" s="103"/>
      <c r="VFL158" s="103"/>
      <c r="VFM158" s="103"/>
      <c r="VFN158" s="103"/>
      <c r="VFO158" s="103"/>
      <c r="VFP158" s="103"/>
      <c r="VFQ158" s="103"/>
      <c r="VFR158" s="103"/>
      <c r="VFS158" s="103"/>
      <c r="VFT158" s="103"/>
      <c r="VFU158" s="103"/>
      <c r="VFV158" s="103"/>
      <c r="VFW158" s="103"/>
      <c r="VFX158" s="103"/>
      <c r="VFY158" s="103"/>
      <c r="VFZ158" s="103"/>
      <c r="VGA158" s="103"/>
      <c r="VGB158" s="103"/>
      <c r="VGC158" s="103"/>
      <c r="VGD158" s="103"/>
      <c r="VGE158" s="103"/>
      <c r="VGF158" s="103"/>
      <c r="VGG158" s="103"/>
      <c r="VGH158" s="103"/>
      <c r="VGI158" s="103"/>
      <c r="VGJ158" s="103"/>
      <c r="VGK158" s="103"/>
      <c r="VGL158" s="103"/>
      <c r="VGM158" s="103"/>
      <c r="VGN158" s="103"/>
      <c r="VGO158" s="103"/>
      <c r="VGP158" s="103"/>
      <c r="VGQ158" s="103"/>
      <c r="VGR158" s="103"/>
      <c r="VGS158" s="103"/>
      <c r="VGT158" s="103"/>
      <c r="VGU158" s="103"/>
      <c r="VGV158" s="103"/>
      <c r="VGW158" s="103"/>
      <c r="VGX158" s="103"/>
      <c r="VGY158" s="103"/>
      <c r="VGZ158" s="103"/>
      <c r="VHA158" s="103"/>
      <c r="VHB158" s="103"/>
      <c r="VHC158" s="103"/>
      <c r="VHD158" s="103"/>
      <c r="VHE158" s="103"/>
      <c r="VHF158" s="103"/>
      <c r="VHG158" s="103"/>
      <c r="VHH158" s="103"/>
      <c r="VHI158" s="103"/>
      <c r="VHJ158" s="103"/>
      <c r="VHK158" s="103"/>
      <c r="VHL158" s="103"/>
      <c r="VHM158" s="103"/>
      <c r="VHN158" s="103"/>
      <c r="VHO158" s="103"/>
      <c r="VHP158" s="103"/>
      <c r="VHQ158" s="103"/>
      <c r="VHR158" s="103"/>
      <c r="VHS158" s="103"/>
      <c r="VHT158" s="103"/>
      <c r="VHU158" s="103"/>
      <c r="VHV158" s="103"/>
      <c r="VHW158" s="103"/>
      <c r="VHX158" s="103"/>
      <c r="VHY158" s="103"/>
      <c r="VHZ158" s="103"/>
      <c r="VIA158" s="103"/>
      <c r="VIB158" s="103"/>
      <c r="VIC158" s="103"/>
      <c r="VID158" s="103"/>
      <c r="VIE158" s="103"/>
      <c r="VIF158" s="103"/>
      <c r="VIG158" s="103"/>
      <c r="VIH158" s="103"/>
      <c r="VII158" s="103"/>
      <c r="VIJ158" s="103"/>
      <c r="VIK158" s="103"/>
      <c r="VIL158" s="103"/>
      <c r="VIM158" s="103"/>
      <c r="VIN158" s="103"/>
      <c r="VIO158" s="103"/>
      <c r="VIP158" s="103"/>
      <c r="VIQ158" s="103"/>
      <c r="VIR158" s="103"/>
      <c r="VIS158" s="103"/>
      <c r="VIT158" s="103"/>
      <c r="VIU158" s="103"/>
      <c r="VIV158" s="103"/>
      <c r="VIW158" s="103"/>
      <c r="VIX158" s="103"/>
      <c r="VIY158" s="103"/>
      <c r="VIZ158" s="103"/>
      <c r="VJA158" s="103"/>
      <c r="VJB158" s="103"/>
      <c r="VJC158" s="103"/>
      <c r="VJD158" s="103"/>
      <c r="VJE158" s="103"/>
      <c r="VJF158" s="103"/>
      <c r="VJG158" s="103"/>
      <c r="VJH158" s="103"/>
      <c r="VJI158" s="103"/>
      <c r="VJJ158" s="103"/>
      <c r="VJK158" s="103"/>
      <c r="VJL158" s="103"/>
      <c r="VJM158" s="103"/>
      <c r="VJN158" s="103"/>
      <c r="VJO158" s="103"/>
      <c r="VJP158" s="103"/>
      <c r="VJQ158" s="103"/>
      <c r="VJR158" s="103"/>
      <c r="VJS158" s="103"/>
      <c r="VJT158" s="103"/>
      <c r="VJU158" s="103"/>
      <c r="VJV158" s="103"/>
      <c r="VJW158" s="103"/>
      <c r="VJX158" s="103"/>
      <c r="VJY158" s="103"/>
      <c r="VJZ158" s="103"/>
      <c r="VKA158" s="103"/>
      <c r="VKB158" s="103"/>
      <c r="VKC158" s="103"/>
      <c r="VKD158" s="103"/>
      <c r="VKE158" s="103"/>
      <c r="VKF158" s="103"/>
      <c r="VKG158" s="103"/>
      <c r="VKH158" s="103"/>
      <c r="VKI158" s="103"/>
      <c r="VKJ158" s="103"/>
      <c r="VKK158" s="103"/>
      <c r="VKL158" s="103"/>
      <c r="VKM158" s="103"/>
      <c r="VKN158" s="103"/>
      <c r="VKO158" s="103"/>
      <c r="VKP158" s="103"/>
      <c r="VKQ158" s="103"/>
      <c r="VKR158" s="103"/>
      <c r="VKS158" s="103"/>
      <c r="VKT158" s="103"/>
      <c r="VKU158" s="103"/>
      <c r="VKV158" s="103"/>
      <c r="VKW158" s="103"/>
      <c r="VKX158" s="103"/>
      <c r="VKY158" s="103"/>
      <c r="VKZ158" s="103"/>
      <c r="VLA158" s="103"/>
      <c r="VLB158" s="103"/>
      <c r="VLC158" s="103"/>
      <c r="VLD158" s="103"/>
      <c r="VLE158" s="103"/>
      <c r="VLF158" s="103"/>
      <c r="VLG158" s="103"/>
      <c r="VLH158" s="103"/>
      <c r="VLI158" s="103"/>
      <c r="VLJ158" s="103"/>
      <c r="VLK158" s="103"/>
      <c r="VLL158" s="103"/>
      <c r="VLM158" s="103"/>
      <c r="VLN158" s="103"/>
      <c r="VLO158" s="103"/>
      <c r="VLP158" s="103"/>
      <c r="VLQ158" s="103"/>
      <c r="VLR158" s="103"/>
      <c r="VLS158" s="103"/>
      <c r="VLT158" s="103"/>
      <c r="VLU158" s="103"/>
      <c r="VLV158" s="103"/>
      <c r="VLW158" s="103"/>
      <c r="VLX158" s="103"/>
      <c r="VLY158" s="103"/>
      <c r="VLZ158" s="103"/>
      <c r="VMA158" s="103"/>
      <c r="VMB158" s="103"/>
      <c r="VMC158" s="103"/>
      <c r="VMD158" s="103"/>
      <c r="VME158" s="103"/>
      <c r="VMF158" s="103"/>
      <c r="VMG158" s="103"/>
      <c r="VMH158" s="103"/>
      <c r="VMI158" s="103"/>
      <c r="VMJ158" s="103"/>
      <c r="VMK158" s="103"/>
      <c r="VML158" s="103"/>
      <c r="VMM158" s="103"/>
      <c r="VMN158" s="103"/>
      <c r="VMO158" s="103"/>
      <c r="VMP158" s="103"/>
      <c r="VMQ158" s="103"/>
      <c r="VMR158" s="103"/>
      <c r="VMS158" s="103"/>
      <c r="VMT158" s="103"/>
      <c r="VMU158" s="103"/>
      <c r="VMV158" s="103"/>
      <c r="VMW158" s="103"/>
      <c r="VMX158" s="103"/>
      <c r="VMY158" s="103"/>
      <c r="VMZ158" s="103"/>
      <c r="VNA158" s="103"/>
      <c r="VNB158" s="103"/>
      <c r="VNC158" s="103"/>
      <c r="VND158" s="103"/>
      <c r="VNE158" s="103"/>
      <c r="VNF158" s="103"/>
      <c r="VNG158" s="103"/>
      <c r="VNH158" s="103"/>
      <c r="VNI158" s="103"/>
      <c r="VNJ158" s="103"/>
      <c r="VNK158" s="103"/>
      <c r="VNL158" s="103"/>
      <c r="VNM158" s="103"/>
      <c r="VNN158" s="103"/>
      <c r="VNO158" s="103"/>
      <c r="VNP158" s="103"/>
      <c r="VNQ158" s="103"/>
      <c r="VNR158" s="103"/>
      <c r="VNS158" s="103"/>
      <c r="VNT158" s="103"/>
      <c r="VNU158" s="103"/>
      <c r="VNV158" s="103"/>
      <c r="VNW158" s="103"/>
      <c r="VNX158" s="103"/>
      <c r="VNY158" s="103"/>
      <c r="VNZ158" s="103"/>
      <c r="VOA158" s="103"/>
      <c r="VOB158" s="103"/>
      <c r="VOC158" s="103"/>
      <c r="VOD158" s="103"/>
      <c r="VOE158" s="103"/>
      <c r="VOF158" s="103"/>
      <c r="VOG158" s="103"/>
      <c r="VOH158" s="103"/>
      <c r="VOI158" s="103"/>
      <c r="VOJ158" s="103"/>
      <c r="VOK158" s="103"/>
      <c r="VOL158" s="103"/>
      <c r="VOM158" s="103"/>
      <c r="VON158" s="103"/>
      <c r="VOO158" s="103"/>
      <c r="VOP158" s="103"/>
      <c r="VOQ158" s="103"/>
      <c r="VOR158" s="103"/>
      <c r="VOS158" s="103"/>
      <c r="VOT158" s="103"/>
      <c r="VOU158" s="103"/>
      <c r="VOV158" s="103"/>
      <c r="VOW158" s="103"/>
      <c r="VOX158" s="103"/>
      <c r="VOY158" s="103"/>
      <c r="VOZ158" s="103"/>
      <c r="VPA158" s="103"/>
      <c r="VPB158" s="103"/>
      <c r="VPC158" s="103"/>
      <c r="VPD158" s="103"/>
      <c r="VPE158" s="103"/>
      <c r="VPF158" s="103"/>
      <c r="VPG158" s="103"/>
      <c r="VPH158" s="103"/>
      <c r="VPI158" s="103"/>
      <c r="VPJ158" s="103"/>
      <c r="VPK158" s="103"/>
      <c r="VPL158" s="103"/>
      <c r="VPM158" s="103"/>
      <c r="VPN158" s="103"/>
      <c r="VPO158" s="103"/>
      <c r="VPP158" s="103"/>
      <c r="VPQ158" s="103"/>
      <c r="VPR158" s="103"/>
      <c r="VPS158" s="103"/>
      <c r="VPT158" s="103"/>
      <c r="VPU158" s="103"/>
      <c r="VPV158" s="103"/>
      <c r="VPW158" s="103"/>
      <c r="VPX158" s="103"/>
      <c r="VPY158" s="103"/>
      <c r="VPZ158" s="103"/>
      <c r="VQA158" s="103"/>
      <c r="VQB158" s="103"/>
      <c r="VQC158" s="103"/>
      <c r="VQD158" s="103"/>
      <c r="VQE158" s="103"/>
      <c r="VQF158" s="103"/>
      <c r="VQG158" s="103"/>
      <c r="VQH158" s="103"/>
      <c r="VQI158" s="103"/>
      <c r="VQJ158" s="103"/>
      <c r="VQK158" s="103"/>
      <c r="VQL158" s="103"/>
      <c r="VQM158" s="103"/>
      <c r="VQN158" s="103"/>
      <c r="VQO158" s="103"/>
      <c r="VQP158" s="103"/>
      <c r="VQQ158" s="103"/>
      <c r="VQR158" s="103"/>
      <c r="VQS158" s="103"/>
      <c r="VQT158" s="103"/>
      <c r="VQU158" s="103"/>
      <c r="VQV158" s="103"/>
      <c r="VQW158" s="103"/>
      <c r="VQX158" s="103"/>
      <c r="VQY158" s="103"/>
      <c r="VQZ158" s="103"/>
      <c r="VRA158" s="103"/>
      <c r="VRB158" s="103"/>
      <c r="VRC158" s="103"/>
      <c r="VRD158" s="103"/>
      <c r="VRE158" s="103"/>
      <c r="VRF158" s="103"/>
      <c r="VRG158" s="103"/>
      <c r="VRH158" s="103"/>
      <c r="VRI158" s="103"/>
      <c r="VRJ158" s="103"/>
      <c r="VRK158" s="103"/>
      <c r="VRL158" s="103"/>
      <c r="VRM158" s="103"/>
      <c r="VRN158" s="103"/>
      <c r="VRO158" s="103"/>
      <c r="VRP158" s="103"/>
      <c r="VRQ158" s="103"/>
      <c r="VRR158" s="103"/>
      <c r="VRS158" s="103"/>
      <c r="VRT158" s="103"/>
      <c r="VRU158" s="103"/>
      <c r="VRV158" s="103"/>
      <c r="VRW158" s="103"/>
      <c r="VRX158" s="103"/>
      <c r="VRY158" s="103"/>
      <c r="VRZ158" s="103"/>
      <c r="VSA158" s="103"/>
      <c r="VSB158" s="103"/>
      <c r="VSC158" s="103"/>
      <c r="VSD158" s="103"/>
      <c r="VSE158" s="103"/>
      <c r="VSF158" s="103"/>
      <c r="VSG158" s="103"/>
      <c r="VSH158" s="103"/>
      <c r="VSI158" s="103"/>
      <c r="VSJ158" s="103"/>
      <c r="VSK158" s="103"/>
      <c r="VSL158" s="103"/>
      <c r="VSM158" s="103"/>
      <c r="VSN158" s="103"/>
      <c r="VSO158" s="103"/>
      <c r="VSP158" s="103"/>
      <c r="VSQ158" s="103"/>
      <c r="VSR158" s="103"/>
      <c r="VSS158" s="103"/>
      <c r="VST158" s="103"/>
      <c r="VSU158" s="103"/>
      <c r="VSV158" s="103"/>
      <c r="VSW158" s="103"/>
      <c r="VSX158" s="103"/>
      <c r="VSY158" s="103"/>
      <c r="VSZ158" s="103"/>
      <c r="VTA158" s="103"/>
      <c r="VTB158" s="103"/>
      <c r="VTC158" s="103"/>
      <c r="VTD158" s="103"/>
      <c r="VTE158" s="103"/>
      <c r="VTF158" s="103"/>
      <c r="VTG158" s="103"/>
      <c r="VTH158" s="103"/>
      <c r="VTI158" s="103"/>
      <c r="VTJ158" s="103"/>
      <c r="VTK158" s="103"/>
      <c r="VTL158" s="103"/>
      <c r="VTM158" s="103"/>
      <c r="VTN158" s="103"/>
      <c r="VTO158" s="103"/>
      <c r="VTP158" s="103"/>
      <c r="VTQ158" s="103"/>
      <c r="VTR158" s="103"/>
      <c r="VTS158" s="103"/>
      <c r="VTT158" s="103"/>
      <c r="VTU158" s="103"/>
      <c r="VTV158" s="103"/>
      <c r="VTW158" s="103"/>
      <c r="VTX158" s="103"/>
      <c r="VTY158" s="103"/>
      <c r="VTZ158" s="103"/>
      <c r="VUA158" s="103"/>
      <c r="VUB158" s="103"/>
      <c r="VUC158" s="103"/>
      <c r="VUD158" s="103"/>
      <c r="VUE158" s="103"/>
      <c r="VUF158" s="103"/>
      <c r="VUG158" s="103"/>
      <c r="VUH158" s="103"/>
      <c r="VUI158" s="103"/>
      <c r="VUJ158" s="103"/>
      <c r="VUK158" s="103"/>
      <c r="VUL158" s="103"/>
      <c r="VUM158" s="103"/>
      <c r="VUN158" s="103"/>
      <c r="VUO158" s="103"/>
      <c r="VUP158" s="103"/>
      <c r="VUQ158" s="103"/>
      <c r="VUR158" s="103"/>
      <c r="VUS158" s="103"/>
      <c r="VUT158" s="103"/>
      <c r="VUU158" s="103"/>
      <c r="VUV158" s="103"/>
      <c r="VUW158" s="103"/>
      <c r="VUX158" s="103"/>
      <c r="VUY158" s="103"/>
      <c r="VUZ158" s="103"/>
      <c r="VVA158" s="103"/>
      <c r="VVB158" s="103"/>
      <c r="VVC158" s="103"/>
      <c r="VVD158" s="103"/>
      <c r="VVE158" s="103"/>
      <c r="VVF158" s="103"/>
      <c r="VVG158" s="103"/>
      <c r="VVH158" s="103"/>
      <c r="VVI158" s="103"/>
      <c r="VVJ158" s="103"/>
      <c r="VVK158" s="103"/>
      <c r="VVL158" s="103"/>
      <c r="VVM158" s="103"/>
      <c r="VVN158" s="103"/>
      <c r="VVO158" s="103"/>
      <c r="VVP158" s="103"/>
      <c r="VVQ158" s="103"/>
      <c r="VVR158" s="103"/>
      <c r="VVS158" s="103"/>
      <c r="VVT158" s="103"/>
      <c r="VVU158" s="103"/>
      <c r="VVV158" s="103"/>
      <c r="VVW158" s="103"/>
      <c r="VVX158" s="103"/>
      <c r="VVY158" s="103"/>
      <c r="VVZ158" s="103"/>
      <c r="VWA158" s="103"/>
      <c r="VWB158" s="103"/>
      <c r="VWC158" s="103"/>
      <c r="VWD158" s="103"/>
      <c r="VWE158" s="103"/>
      <c r="VWF158" s="103"/>
      <c r="VWG158" s="103"/>
      <c r="VWH158" s="103"/>
      <c r="VWI158" s="103"/>
      <c r="VWJ158" s="103"/>
      <c r="VWK158" s="103"/>
      <c r="VWL158" s="103"/>
      <c r="VWM158" s="103"/>
      <c r="VWN158" s="103"/>
      <c r="VWO158" s="103"/>
      <c r="VWP158" s="103"/>
      <c r="VWQ158" s="103"/>
      <c r="VWR158" s="103"/>
      <c r="VWS158" s="103"/>
      <c r="VWT158" s="103"/>
      <c r="VWU158" s="103"/>
      <c r="VWV158" s="103"/>
      <c r="VWW158" s="103"/>
      <c r="VWX158" s="103"/>
      <c r="VWY158" s="103"/>
      <c r="VWZ158" s="103"/>
      <c r="VXA158" s="103"/>
      <c r="VXB158" s="103"/>
      <c r="VXC158" s="103"/>
      <c r="VXD158" s="103"/>
      <c r="VXE158" s="103"/>
      <c r="VXF158" s="103"/>
      <c r="VXG158" s="103"/>
      <c r="VXH158" s="103"/>
      <c r="VXI158" s="103"/>
      <c r="VXJ158" s="103"/>
      <c r="VXK158" s="103"/>
      <c r="VXL158" s="103"/>
      <c r="VXM158" s="103"/>
      <c r="VXN158" s="103"/>
      <c r="VXO158" s="103"/>
      <c r="VXP158" s="103"/>
      <c r="VXQ158" s="103"/>
      <c r="VXR158" s="103"/>
      <c r="VXS158" s="103"/>
      <c r="VXT158" s="103"/>
      <c r="VXU158" s="103"/>
      <c r="VXV158" s="103"/>
      <c r="VXW158" s="103"/>
      <c r="VXX158" s="103"/>
      <c r="VXY158" s="103"/>
      <c r="VXZ158" s="103"/>
      <c r="VYA158" s="103"/>
      <c r="VYB158" s="103"/>
      <c r="VYC158" s="103"/>
      <c r="VYD158" s="103"/>
      <c r="VYE158" s="103"/>
      <c r="VYF158" s="103"/>
      <c r="VYG158" s="103"/>
      <c r="VYH158" s="103"/>
      <c r="VYI158" s="103"/>
      <c r="VYJ158" s="103"/>
      <c r="VYK158" s="103"/>
      <c r="VYL158" s="103"/>
      <c r="VYM158" s="103"/>
      <c r="VYN158" s="103"/>
      <c r="VYO158" s="103"/>
      <c r="VYP158" s="103"/>
      <c r="VYQ158" s="103"/>
      <c r="VYR158" s="103"/>
      <c r="VYS158" s="103"/>
      <c r="VYT158" s="103"/>
      <c r="VYU158" s="103"/>
      <c r="VYV158" s="103"/>
      <c r="VYW158" s="103"/>
      <c r="VYX158" s="103"/>
      <c r="VYY158" s="103"/>
      <c r="VYZ158" s="103"/>
      <c r="VZA158" s="103"/>
      <c r="VZB158" s="103"/>
      <c r="VZC158" s="103"/>
      <c r="VZD158" s="103"/>
      <c r="VZE158" s="103"/>
      <c r="VZF158" s="103"/>
      <c r="VZG158" s="103"/>
      <c r="VZH158" s="103"/>
      <c r="VZI158" s="103"/>
      <c r="VZJ158" s="103"/>
      <c r="VZK158" s="103"/>
      <c r="VZL158" s="103"/>
      <c r="VZM158" s="103"/>
      <c r="VZN158" s="103"/>
      <c r="VZO158" s="103"/>
      <c r="VZP158" s="103"/>
      <c r="VZQ158" s="103"/>
      <c r="VZR158" s="103"/>
      <c r="VZS158" s="103"/>
      <c r="VZT158" s="103"/>
      <c r="VZU158" s="103"/>
      <c r="VZV158" s="103"/>
      <c r="VZW158" s="103"/>
      <c r="VZX158" s="103"/>
      <c r="VZY158" s="103"/>
      <c r="VZZ158" s="103"/>
      <c r="WAA158" s="103"/>
      <c r="WAB158" s="103"/>
      <c r="WAC158" s="103"/>
      <c r="WAD158" s="103"/>
      <c r="WAE158" s="103"/>
      <c r="WAF158" s="103"/>
      <c r="WAG158" s="103"/>
      <c r="WAH158" s="103"/>
      <c r="WAI158" s="103"/>
      <c r="WAJ158" s="103"/>
      <c r="WAK158" s="103"/>
      <c r="WAL158" s="103"/>
      <c r="WAM158" s="103"/>
      <c r="WAN158" s="103"/>
      <c r="WAO158" s="103"/>
      <c r="WAP158" s="103"/>
      <c r="WAQ158" s="103"/>
      <c r="WAR158" s="103"/>
      <c r="WAS158" s="103"/>
      <c r="WAT158" s="103"/>
      <c r="WAU158" s="103"/>
      <c r="WAV158" s="103"/>
      <c r="WAW158" s="103"/>
      <c r="WAX158" s="103"/>
      <c r="WAY158" s="103"/>
      <c r="WAZ158" s="103"/>
      <c r="WBA158" s="103"/>
      <c r="WBB158" s="103"/>
      <c r="WBC158" s="103"/>
      <c r="WBD158" s="103"/>
      <c r="WBE158" s="103"/>
      <c r="WBF158" s="103"/>
      <c r="WBG158" s="103"/>
      <c r="WBH158" s="103"/>
      <c r="WBI158" s="103"/>
      <c r="WBJ158" s="103"/>
      <c r="WBK158" s="103"/>
      <c r="WBL158" s="103"/>
      <c r="WBM158" s="103"/>
      <c r="WBN158" s="103"/>
      <c r="WBO158" s="103"/>
      <c r="WBP158" s="103"/>
      <c r="WBQ158" s="103"/>
      <c r="WBR158" s="103"/>
      <c r="WBS158" s="103"/>
      <c r="WBT158" s="103"/>
      <c r="WBU158" s="103"/>
      <c r="WBV158" s="103"/>
      <c r="WBW158" s="103"/>
      <c r="WBX158" s="103"/>
      <c r="WBY158" s="103"/>
      <c r="WBZ158" s="103"/>
      <c r="WCA158" s="103"/>
      <c r="WCB158" s="103"/>
      <c r="WCC158" s="103"/>
      <c r="WCD158" s="103"/>
      <c r="WCE158" s="103"/>
      <c r="WCF158" s="103"/>
      <c r="WCG158" s="103"/>
      <c r="WCH158" s="103"/>
      <c r="WCI158" s="103"/>
      <c r="WCJ158" s="103"/>
      <c r="WCK158" s="103"/>
      <c r="WCL158" s="103"/>
      <c r="WCM158" s="103"/>
      <c r="WCN158" s="103"/>
      <c r="WCO158" s="103"/>
      <c r="WCP158" s="103"/>
      <c r="WCQ158" s="103"/>
      <c r="WCR158" s="103"/>
      <c r="WCS158" s="103"/>
      <c r="WCT158" s="103"/>
      <c r="WCU158" s="103"/>
      <c r="WCV158" s="103"/>
      <c r="WCW158" s="103"/>
      <c r="WCX158" s="103"/>
      <c r="WCY158" s="103"/>
      <c r="WCZ158" s="103"/>
      <c r="WDA158" s="103"/>
      <c r="WDB158" s="103"/>
      <c r="WDC158" s="103"/>
      <c r="WDD158" s="103"/>
      <c r="WDE158" s="103"/>
      <c r="WDF158" s="103"/>
      <c r="WDG158" s="103"/>
      <c r="WDH158" s="103"/>
      <c r="WDI158" s="103"/>
      <c r="WDJ158" s="103"/>
      <c r="WDK158" s="103"/>
      <c r="WDL158" s="103"/>
      <c r="WDM158" s="103"/>
      <c r="WDN158" s="103"/>
      <c r="WDO158" s="103"/>
      <c r="WDP158" s="103"/>
      <c r="WDQ158" s="103"/>
      <c r="WDR158" s="103"/>
      <c r="WDS158" s="103"/>
      <c r="WDT158" s="103"/>
      <c r="WDU158" s="103"/>
      <c r="WDV158" s="103"/>
      <c r="WDW158" s="103"/>
      <c r="WDX158" s="103"/>
      <c r="WDY158" s="103"/>
      <c r="WDZ158" s="103"/>
      <c r="WEA158" s="103"/>
      <c r="WEB158" s="103"/>
      <c r="WEC158" s="103"/>
      <c r="WED158" s="103"/>
      <c r="WEE158" s="103"/>
      <c r="WEF158" s="103"/>
      <c r="WEG158" s="103"/>
      <c r="WEH158" s="103"/>
      <c r="WEI158" s="103"/>
      <c r="WEJ158" s="103"/>
      <c r="WEK158" s="103"/>
      <c r="WEL158" s="103"/>
      <c r="WEM158" s="103"/>
      <c r="WEN158" s="103"/>
      <c r="WEO158" s="103"/>
      <c r="WEP158" s="103"/>
      <c r="WEQ158" s="103"/>
      <c r="WER158" s="103"/>
      <c r="WES158" s="103"/>
      <c r="WET158" s="103"/>
      <c r="WEU158" s="103"/>
      <c r="WEV158" s="103"/>
      <c r="WEW158" s="103"/>
      <c r="WEX158" s="103"/>
      <c r="WEY158" s="103"/>
      <c r="WEZ158" s="103"/>
      <c r="WFA158" s="103"/>
      <c r="WFB158" s="103"/>
      <c r="WFC158" s="103"/>
      <c r="WFD158" s="103"/>
      <c r="WFE158" s="103"/>
      <c r="WFF158" s="103"/>
      <c r="WFG158" s="103"/>
      <c r="WFH158" s="103"/>
      <c r="WFI158" s="103"/>
      <c r="WFJ158" s="103"/>
      <c r="WFK158" s="103"/>
      <c r="WFL158" s="103"/>
      <c r="WFM158" s="103"/>
      <c r="WFN158" s="103"/>
      <c r="WFO158" s="103"/>
      <c r="WFP158" s="103"/>
      <c r="WFQ158" s="103"/>
      <c r="WFR158" s="103"/>
      <c r="WFS158" s="103"/>
      <c r="WFT158" s="103"/>
      <c r="WFU158" s="103"/>
      <c r="WFV158" s="103"/>
      <c r="WFW158" s="103"/>
      <c r="WFX158" s="103"/>
      <c r="WFY158" s="103"/>
      <c r="WFZ158" s="103"/>
      <c r="WGA158" s="103"/>
      <c r="WGB158" s="103"/>
      <c r="WGC158" s="103"/>
      <c r="WGD158" s="103"/>
      <c r="WGE158" s="103"/>
      <c r="WGF158" s="103"/>
      <c r="WGG158" s="103"/>
      <c r="WGH158" s="103"/>
      <c r="WGI158" s="103"/>
      <c r="WGJ158" s="103"/>
      <c r="WGK158" s="103"/>
      <c r="WGL158" s="103"/>
      <c r="WGM158" s="103"/>
      <c r="WGN158" s="103"/>
      <c r="WGO158" s="103"/>
      <c r="WGP158" s="103"/>
      <c r="WGQ158" s="103"/>
      <c r="WGR158" s="103"/>
      <c r="WGS158" s="103"/>
      <c r="WGT158" s="103"/>
      <c r="WGU158" s="103"/>
      <c r="WGV158" s="103"/>
      <c r="WGW158" s="103"/>
      <c r="WGX158" s="103"/>
      <c r="WGY158" s="103"/>
      <c r="WGZ158" s="103"/>
      <c r="WHA158" s="103"/>
      <c r="WHB158" s="103"/>
      <c r="WHC158" s="103"/>
      <c r="WHD158" s="103"/>
      <c r="WHE158" s="103"/>
      <c r="WHF158" s="103"/>
      <c r="WHG158" s="103"/>
      <c r="WHH158" s="103"/>
      <c r="WHI158" s="103"/>
      <c r="WHJ158" s="103"/>
      <c r="WHK158" s="103"/>
      <c r="WHL158" s="103"/>
      <c r="WHM158" s="103"/>
      <c r="WHN158" s="103"/>
      <c r="WHO158" s="103"/>
      <c r="WHP158" s="103"/>
      <c r="WHQ158" s="103"/>
      <c r="WHR158" s="103"/>
      <c r="WHS158" s="103"/>
      <c r="WHT158" s="103"/>
      <c r="WHU158" s="103"/>
      <c r="WHV158" s="103"/>
      <c r="WHW158" s="103"/>
      <c r="WHX158" s="103"/>
      <c r="WHY158" s="103"/>
      <c r="WHZ158" s="103"/>
      <c r="WIA158" s="103"/>
      <c r="WIB158" s="103"/>
      <c r="WIC158" s="103"/>
      <c r="WID158" s="103"/>
      <c r="WIE158" s="103"/>
      <c r="WIF158" s="103"/>
      <c r="WIG158" s="103"/>
      <c r="WIH158" s="103"/>
      <c r="WII158" s="103"/>
      <c r="WIJ158" s="103"/>
      <c r="WIK158" s="103"/>
      <c r="WIL158" s="103"/>
      <c r="WIM158" s="103"/>
      <c r="WIN158" s="103"/>
      <c r="WIO158" s="103"/>
      <c r="WIP158" s="103"/>
      <c r="WIQ158" s="103"/>
      <c r="WIR158" s="103"/>
      <c r="WIS158" s="103"/>
      <c r="WIT158" s="103"/>
      <c r="WIU158" s="103"/>
      <c r="WIV158" s="103"/>
      <c r="WIW158" s="103"/>
      <c r="WIX158" s="103"/>
      <c r="WIY158" s="103"/>
      <c r="WIZ158" s="103"/>
      <c r="WJA158" s="103"/>
      <c r="WJB158" s="103"/>
      <c r="WJC158" s="103"/>
      <c r="WJD158" s="103"/>
      <c r="WJE158" s="103"/>
      <c r="WJF158" s="103"/>
      <c r="WJG158" s="103"/>
      <c r="WJH158" s="103"/>
      <c r="WJI158" s="103"/>
      <c r="WJJ158" s="103"/>
      <c r="WJK158" s="103"/>
      <c r="WJL158" s="103"/>
      <c r="WJM158" s="103"/>
      <c r="WJN158" s="103"/>
      <c r="WJO158" s="103"/>
      <c r="WJP158" s="103"/>
      <c r="WJQ158" s="103"/>
      <c r="WJR158" s="103"/>
      <c r="WJS158" s="103"/>
      <c r="WJT158" s="103"/>
      <c r="WJU158" s="103"/>
      <c r="WJV158" s="103"/>
      <c r="WJW158" s="103"/>
      <c r="WJX158" s="103"/>
      <c r="WJY158" s="103"/>
      <c r="WJZ158" s="103"/>
      <c r="WKA158" s="103"/>
      <c r="WKB158" s="103"/>
      <c r="WKC158" s="103"/>
      <c r="WKD158" s="103"/>
      <c r="WKE158" s="103"/>
      <c r="WKF158" s="103"/>
      <c r="WKG158" s="103"/>
      <c r="WKH158" s="103"/>
      <c r="WKI158" s="103"/>
      <c r="WKJ158" s="103"/>
      <c r="WKK158" s="103"/>
      <c r="WKL158" s="103"/>
      <c r="WKM158" s="103"/>
      <c r="WKN158" s="103"/>
      <c r="WKO158" s="103"/>
      <c r="WKP158" s="103"/>
      <c r="WKQ158" s="103"/>
      <c r="WKR158" s="103"/>
      <c r="WKS158" s="103"/>
      <c r="WKT158" s="103"/>
      <c r="WKU158" s="103"/>
      <c r="WKV158" s="103"/>
      <c r="WKW158" s="103"/>
      <c r="WKX158" s="103"/>
      <c r="WKY158" s="103"/>
      <c r="WKZ158" s="103"/>
      <c r="WLA158" s="103"/>
      <c r="WLB158" s="103"/>
      <c r="WLC158" s="103"/>
      <c r="WLD158" s="103"/>
      <c r="WLE158" s="103"/>
      <c r="WLF158" s="103"/>
      <c r="WLG158" s="103"/>
      <c r="WLH158" s="103"/>
      <c r="WLI158" s="103"/>
      <c r="WLJ158" s="103"/>
      <c r="WLK158" s="103"/>
      <c r="WLL158" s="103"/>
      <c r="WLM158" s="103"/>
      <c r="WLN158" s="103"/>
      <c r="WLO158" s="103"/>
      <c r="WLP158" s="103"/>
      <c r="WLQ158" s="103"/>
      <c r="WLR158" s="103"/>
      <c r="WLS158" s="103"/>
      <c r="WLT158" s="103"/>
      <c r="WLU158" s="103"/>
      <c r="WLV158" s="103"/>
      <c r="WLW158" s="103"/>
      <c r="WLX158" s="103"/>
      <c r="WLY158" s="103"/>
      <c r="WLZ158" s="103"/>
      <c r="WMA158" s="103"/>
      <c r="WMB158" s="103"/>
      <c r="WMC158" s="103"/>
      <c r="WMD158" s="103"/>
      <c r="WME158" s="103"/>
      <c r="WMF158" s="103"/>
      <c r="WMG158" s="103"/>
      <c r="WMH158" s="103"/>
      <c r="WMI158" s="103"/>
      <c r="WMJ158" s="103"/>
      <c r="WMK158" s="103"/>
      <c r="WML158" s="103"/>
      <c r="WMM158" s="103"/>
      <c r="WMN158" s="103"/>
      <c r="WMO158" s="103"/>
      <c r="WMP158" s="103"/>
      <c r="WMQ158" s="103"/>
      <c r="WMR158" s="103"/>
      <c r="WMS158" s="103"/>
      <c r="WMT158" s="103"/>
      <c r="WMU158" s="103"/>
      <c r="WMV158" s="103"/>
      <c r="WMW158" s="103"/>
      <c r="WMX158" s="103"/>
      <c r="WMY158" s="103"/>
      <c r="WMZ158" s="103"/>
      <c r="WNA158" s="103"/>
      <c r="WNB158" s="103"/>
      <c r="WNC158" s="103"/>
      <c r="WND158" s="103"/>
      <c r="WNE158" s="103"/>
      <c r="WNF158" s="103"/>
      <c r="WNG158" s="103"/>
      <c r="WNH158" s="103"/>
      <c r="WNI158" s="103"/>
      <c r="WNJ158" s="103"/>
      <c r="WNK158" s="103"/>
      <c r="WNL158" s="103"/>
      <c r="WNM158" s="103"/>
      <c r="WNN158" s="103"/>
      <c r="WNO158" s="103"/>
      <c r="WNP158" s="103"/>
      <c r="WNQ158" s="103"/>
      <c r="WNR158" s="103"/>
      <c r="WNS158" s="103"/>
      <c r="WNT158" s="103"/>
      <c r="WNU158" s="103"/>
      <c r="WNV158" s="103"/>
      <c r="WNW158" s="103"/>
      <c r="WNX158" s="103"/>
      <c r="WNY158" s="103"/>
      <c r="WNZ158" s="103"/>
      <c r="WOA158" s="103"/>
      <c r="WOB158" s="103"/>
      <c r="WOC158" s="103"/>
      <c r="WOD158" s="103"/>
      <c r="WOE158" s="103"/>
      <c r="WOF158" s="103"/>
      <c r="WOG158" s="103"/>
      <c r="WOH158" s="103"/>
      <c r="WOI158" s="103"/>
      <c r="WOJ158" s="103"/>
      <c r="WOK158" s="103"/>
      <c r="WOL158" s="103"/>
      <c r="WOM158" s="103"/>
      <c r="WON158" s="103"/>
      <c r="WOO158" s="103"/>
      <c r="WOP158" s="103"/>
      <c r="WOQ158" s="103"/>
      <c r="WOR158" s="103"/>
      <c r="WOS158" s="103"/>
      <c r="WOT158" s="103"/>
      <c r="WOU158" s="103"/>
      <c r="WOV158" s="103"/>
      <c r="WOW158" s="103"/>
      <c r="WOX158" s="103"/>
      <c r="WOY158" s="103"/>
      <c r="WOZ158" s="103"/>
      <c r="WPA158" s="103"/>
      <c r="WPB158" s="103"/>
      <c r="WPC158" s="103"/>
      <c r="WPD158" s="103"/>
      <c r="WPE158" s="103"/>
      <c r="WPF158" s="103"/>
      <c r="WPG158" s="103"/>
      <c r="WPH158" s="103"/>
      <c r="WPI158" s="103"/>
      <c r="WPJ158" s="103"/>
      <c r="WPK158" s="103"/>
      <c r="WPL158" s="103"/>
      <c r="WPM158" s="103"/>
      <c r="WPN158" s="103"/>
      <c r="WPO158" s="103"/>
      <c r="WPP158" s="103"/>
      <c r="WPQ158" s="103"/>
      <c r="WPR158" s="103"/>
      <c r="WPS158" s="103"/>
      <c r="WPT158" s="103"/>
      <c r="WPU158" s="103"/>
      <c r="WPV158" s="103"/>
      <c r="WPW158" s="103"/>
      <c r="WPX158" s="103"/>
      <c r="WPY158" s="103"/>
      <c r="WPZ158" s="103"/>
      <c r="WQA158" s="103"/>
      <c r="WQB158" s="103"/>
      <c r="WQC158" s="103"/>
      <c r="WQD158" s="103"/>
      <c r="WQE158" s="103"/>
      <c r="WQF158" s="103"/>
      <c r="WQG158" s="103"/>
      <c r="WQH158" s="103"/>
      <c r="WQI158" s="103"/>
      <c r="WQJ158" s="103"/>
      <c r="WQK158" s="103"/>
      <c r="WQL158" s="103"/>
      <c r="WQM158" s="103"/>
      <c r="WQN158" s="103"/>
      <c r="WQO158" s="103"/>
      <c r="WQP158" s="103"/>
      <c r="WQQ158" s="103"/>
      <c r="WQR158" s="103"/>
      <c r="WQS158" s="103"/>
      <c r="WQT158" s="103"/>
      <c r="WQU158" s="103"/>
      <c r="WQV158" s="103"/>
      <c r="WQW158" s="103"/>
      <c r="WQX158" s="103"/>
      <c r="WQY158" s="103"/>
      <c r="WQZ158" s="103"/>
      <c r="WRA158" s="103"/>
      <c r="WRB158" s="103"/>
      <c r="WRC158" s="103"/>
      <c r="WRD158" s="103"/>
      <c r="WRE158" s="103"/>
      <c r="WRF158" s="103"/>
      <c r="WRG158" s="103"/>
      <c r="WRH158" s="103"/>
      <c r="WRI158" s="103"/>
      <c r="WRJ158" s="103"/>
      <c r="WRK158" s="103"/>
      <c r="WRL158" s="103"/>
      <c r="WRM158" s="103"/>
      <c r="WRN158" s="103"/>
      <c r="WRO158" s="103"/>
      <c r="WRP158" s="103"/>
      <c r="WRQ158" s="103"/>
      <c r="WRR158" s="103"/>
      <c r="WRS158" s="103"/>
      <c r="WRT158" s="103"/>
      <c r="WRU158" s="103"/>
      <c r="WRV158" s="103"/>
      <c r="WRW158" s="103"/>
      <c r="WRX158" s="103"/>
      <c r="WRY158" s="103"/>
      <c r="WRZ158" s="103"/>
      <c r="WSA158" s="103"/>
      <c r="WSB158" s="103"/>
      <c r="WSC158" s="103"/>
      <c r="WSD158" s="103"/>
      <c r="WSE158" s="103"/>
      <c r="WSF158" s="103"/>
      <c r="WSG158" s="103"/>
      <c r="WSH158" s="103"/>
      <c r="WSI158" s="103"/>
      <c r="WSJ158" s="103"/>
      <c r="WSK158" s="103"/>
      <c r="WSL158" s="103"/>
      <c r="WSM158" s="103"/>
      <c r="WSN158" s="103"/>
      <c r="WSO158" s="103"/>
      <c r="WSP158" s="103"/>
      <c r="WSQ158" s="103"/>
      <c r="WSR158" s="103"/>
      <c r="WSS158" s="103"/>
      <c r="WST158" s="103"/>
      <c r="WSU158" s="103"/>
      <c r="WSV158" s="103"/>
      <c r="WSW158" s="103"/>
      <c r="WSX158" s="103"/>
      <c r="WSY158" s="103"/>
      <c r="WSZ158" s="103"/>
      <c r="WTA158" s="103"/>
      <c r="WTB158" s="103"/>
      <c r="WTC158" s="103"/>
      <c r="WTD158" s="103"/>
      <c r="WTE158" s="103"/>
      <c r="WTF158" s="103"/>
      <c r="WTG158" s="103"/>
      <c r="WTH158" s="103"/>
      <c r="WTI158" s="103"/>
      <c r="WTJ158" s="103"/>
      <c r="WTK158" s="103"/>
      <c r="WTL158" s="103"/>
      <c r="WTM158" s="103"/>
      <c r="WTN158" s="103"/>
      <c r="WTO158" s="103"/>
      <c r="WTP158" s="103"/>
      <c r="WTQ158" s="103"/>
      <c r="WTR158" s="103"/>
      <c r="WTS158" s="103"/>
      <c r="WTT158" s="103"/>
      <c r="WTU158" s="103"/>
      <c r="WTV158" s="103"/>
      <c r="WTW158" s="103"/>
      <c r="WTX158" s="103"/>
      <c r="WTY158" s="103"/>
      <c r="WTZ158" s="103"/>
      <c r="WUA158" s="103"/>
      <c r="WUB158" s="103"/>
      <c r="WUC158" s="103"/>
      <c r="WUD158" s="103"/>
      <c r="WUE158" s="103"/>
      <c r="WUF158" s="103"/>
      <c r="WUG158" s="103"/>
      <c r="WUH158" s="103"/>
      <c r="WUI158" s="103"/>
      <c r="WUJ158" s="103"/>
      <c r="WUK158" s="103"/>
      <c r="WUL158" s="103"/>
      <c r="WUM158" s="103"/>
      <c r="WUN158" s="103"/>
      <c r="WUO158" s="103"/>
      <c r="WUP158" s="103"/>
      <c r="WUQ158" s="103"/>
      <c r="WUR158" s="103"/>
      <c r="WUS158" s="103"/>
      <c r="WUT158" s="103"/>
      <c r="WUU158" s="103"/>
      <c r="WUV158" s="103"/>
      <c r="WUW158" s="103"/>
      <c r="WUX158" s="103"/>
      <c r="WUY158" s="103"/>
      <c r="WUZ158" s="103"/>
      <c r="WVA158" s="103"/>
      <c r="WVB158" s="103"/>
      <c r="WVC158" s="103"/>
      <c r="WVD158" s="103"/>
      <c r="WVE158" s="103"/>
      <c r="WVF158" s="103"/>
      <c r="WVG158" s="103"/>
      <c r="WVH158" s="103"/>
      <c r="WVI158" s="103"/>
      <c r="WVJ158" s="103"/>
      <c r="WVK158" s="103"/>
      <c r="WVL158" s="103"/>
      <c r="WVM158" s="103"/>
      <c r="WVN158" s="103"/>
      <c r="WVO158" s="103"/>
      <c r="WVP158" s="103"/>
      <c r="WVQ158" s="103"/>
      <c r="WVR158" s="103"/>
      <c r="WVS158" s="103"/>
      <c r="WVT158" s="103"/>
      <c r="WVU158" s="103"/>
      <c r="WVV158" s="103"/>
      <c r="WVW158" s="103"/>
      <c r="WVX158" s="103"/>
      <c r="WVY158" s="103"/>
      <c r="WVZ158" s="103"/>
      <c r="WWA158" s="103"/>
      <c r="WWB158" s="103"/>
      <c r="WWC158" s="103"/>
      <c r="WWD158" s="103"/>
      <c r="WWE158" s="103"/>
      <c r="WWF158" s="103"/>
      <c r="WWG158" s="103"/>
      <c r="WWH158" s="103"/>
      <c r="WWI158" s="103"/>
      <c r="WWJ158" s="103"/>
      <c r="WWK158" s="103"/>
      <c r="WWL158" s="103"/>
      <c r="WWM158" s="103"/>
      <c r="WWN158" s="103"/>
      <c r="WWO158" s="103"/>
      <c r="WWP158" s="103"/>
      <c r="WWQ158" s="103"/>
      <c r="WWR158" s="103"/>
      <c r="WWS158" s="103"/>
      <c r="WWT158" s="103"/>
      <c r="WWU158" s="103"/>
      <c r="WWV158" s="103"/>
      <c r="WWW158" s="103"/>
      <c r="WWX158" s="103"/>
      <c r="WWY158" s="103"/>
      <c r="WWZ158" s="103"/>
      <c r="WXA158" s="103"/>
      <c r="WXB158" s="103"/>
      <c r="WXC158" s="103"/>
      <c r="WXD158" s="103"/>
      <c r="WXE158" s="103"/>
      <c r="WXF158" s="103"/>
      <c r="WXG158" s="103"/>
      <c r="WXH158" s="103"/>
      <c r="WXI158" s="103"/>
      <c r="WXJ158" s="103"/>
      <c r="WXK158" s="103"/>
      <c r="WXL158" s="103"/>
      <c r="WXM158" s="103"/>
      <c r="WXN158" s="103"/>
      <c r="WXO158" s="103"/>
      <c r="WXP158" s="103"/>
      <c r="WXQ158" s="103"/>
      <c r="WXR158" s="103"/>
      <c r="WXS158" s="103"/>
      <c r="WXT158" s="103"/>
      <c r="WXU158" s="103"/>
      <c r="WXV158" s="103"/>
      <c r="WXW158" s="103"/>
      <c r="WXX158" s="103"/>
      <c r="WXY158" s="103"/>
      <c r="WXZ158" s="103"/>
      <c r="WYA158" s="103"/>
      <c r="WYB158" s="103"/>
      <c r="WYC158" s="103"/>
      <c r="WYD158" s="103"/>
      <c r="WYE158" s="103"/>
      <c r="WYF158" s="103"/>
      <c r="WYG158" s="103"/>
      <c r="WYH158" s="103"/>
      <c r="WYI158" s="103"/>
      <c r="WYJ158" s="103"/>
      <c r="WYK158" s="103"/>
      <c r="WYL158" s="103"/>
      <c r="WYM158" s="103"/>
      <c r="WYN158" s="103"/>
      <c r="WYO158" s="103"/>
      <c r="WYP158" s="103"/>
      <c r="WYQ158" s="103"/>
      <c r="WYR158" s="103"/>
      <c r="WYS158" s="103"/>
      <c r="WYT158" s="103"/>
      <c r="WYU158" s="103"/>
      <c r="WYV158" s="103"/>
      <c r="WYW158" s="103"/>
      <c r="WYX158" s="103"/>
      <c r="WYY158" s="103"/>
      <c r="WYZ158" s="103"/>
      <c r="WZA158" s="103"/>
      <c r="WZB158" s="103"/>
      <c r="WZC158" s="103"/>
      <c r="WZD158" s="103"/>
      <c r="WZE158" s="103"/>
      <c r="WZF158" s="103"/>
      <c r="WZG158" s="103"/>
      <c r="WZH158" s="103"/>
      <c r="WZI158" s="103"/>
      <c r="WZJ158" s="103"/>
      <c r="WZK158" s="103"/>
      <c r="WZL158" s="103"/>
      <c r="WZM158" s="103"/>
      <c r="WZN158" s="103"/>
      <c r="WZO158" s="103"/>
      <c r="WZP158" s="103"/>
      <c r="WZQ158" s="103"/>
      <c r="WZR158" s="103"/>
      <c r="WZS158" s="103"/>
      <c r="WZT158" s="103"/>
      <c r="WZU158" s="103"/>
      <c r="WZV158" s="103"/>
      <c r="WZW158" s="103"/>
      <c r="WZX158" s="103"/>
      <c r="WZY158" s="103"/>
      <c r="WZZ158" s="103"/>
      <c r="XAA158" s="103"/>
      <c r="XAB158" s="103"/>
      <c r="XAC158" s="103"/>
      <c r="XAD158" s="103"/>
      <c r="XAE158" s="103"/>
      <c r="XAF158" s="103"/>
      <c r="XAG158" s="103"/>
      <c r="XAH158" s="103"/>
      <c r="XAI158" s="103"/>
      <c r="XAJ158" s="103"/>
      <c r="XAK158" s="103"/>
      <c r="XAL158" s="103"/>
      <c r="XAM158" s="103"/>
      <c r="XAN158" s="103"/>
      <c r="XAO158" s="103"/>
      <c r="XAP158" s="103"/>
      <c r="XAQ158" s="103"/>
      <c r="XAR158" s="103"/>
      <c r="XAS158" s="103"/>
      <c r="XAT158" s="103"/>
      <c r="XAU158" s="103"/>
      <c r="XAV158" s="103"/>
      <c r="XAW158" s="103"/>
      <c r="XAX158" s="103"/>
      <c r="XAY158" s="103"/>
      <c r="XAZ158" s="103"/>
      <c r="XBA158" s="103"/>
      <c r="XBB158" s="103"/>
      <c r="XBC158" s="103"/>
      <c r="XBD158" s="103"/>
      <c r="XBE158" s="103"/>
      <c r="XBF158" s="103"/>
      <c r="XBG158" s="103"/>
      <c r="XBH158" s="103"/>
      <c r="XBI158" s="103"/>
      <c r="XBJ158" s="103"/>
      <c r="XBK158" s="103"/>
      <c r="XBL158" s="103"/>
      <c r="XBM158" s="103"/>
      <c r="XBN158" s="103"/>
      <c r="XBO158" s="103"/>
      <c r="XBP158" s="103"/>
      <c r="XBQ158" s="103"/>
      <c r="XBR158" s="103"/>
      <c r="XBS158" s="103"/>
      <c r="XBT158" s="103"/>
      <c r="XBU158" s="103"/>
      <c r="XBV158" s="103"/>
      <c r="XBW158" s="103"/>
      <c r="XBX158" s="103"/>
      <c r="XBY158" s="103"/>
      <c r="XBZ158" s="103"/>
      <c r="XCA158" s="103"/>
      <c r="XCB158" s="103"/>
      <c r="XCC158" s="103"/>
      <c r="XCD158" s="103"/>
      <c r="XCE158" s="103"/>
      <c r="XCF158" s="103"/>
      <c r="XCG158" s="103"/>
      <c r="XCH158" s="103"/>
      <c r="XCI158" s="103"/>
      <c r="XCJ158" s="103"/>
      <c r="XCK158" s="103"/>
      <c r="XCL158" s="103"/>
      <c r="XCM158" s="103"/>
      <c r="XCN158" s="103"/>
      <c r="XCO158" s="103"/>
      <c r="XCP158" s="103"/>
      <c r="XCQ158" s="103"/>
      <c r="XCR158" s="103"/>
      <c r="XCS158" s="103"/>
      <c r="XCT158" s="103"/>
      <c r="XCU158" s="103"/>
      <c r="XCV158" s="103"/>
      <c r="XCW158" s="103"/>
      <c r="XCX158" s="103"/>
      <c r="XCY158" s="103"/>
      <c r="XCZ158" s="103"/>
      <c r="XDA158" s="103"/>
      <c r="XDB158" s="103"/>
      <c r="XDC158" s="103"/>
      <c r="XDD158" s="103"/>
      <c r="XDE158" s="103"/>
      <c r="XDF158" s="103"/>
      <c r="XDG158" s="103"/>
      <c r="XDH158" s="103"/>
      <c r="XDI158" s="103"/>
      <c r="XDJ158" s="103"/>
      <c r="XDK158" s="103"/>
      <c r="XDL158" s="103"/>
      <c r="XDM158" s="103"/>
      <c r="XDN158" s="103"/>
      <c r="XDO158" s="103"/>
      <c r="XDP158" s="103"/>
      <c r="XDQ158" s="103"/>
      <c r="XDR158" s="103"/>
      <c r="XDS158" s="103"/>
      <c r="XDT158" s="103"/>
      <c r="XDU158" s="103"/>
      <c r="XDV158" s="103"/>
      <c r="XDW158" s="103"/>
      <c r="XDX158" s="103"/>
      <c r="XDY158" s="103"/>
      <c r="XDZ158" s="103"/>
      <c r="XEA158" s="103"/>
      <c r="XEB158" s="103"/>
      <c r="XEC158" s="103"/>
      <c r="XED158" s="103"/>
      <c r="XEE158" s="103"/>
      <c r="XEF158" s="103"/>
      <c r="XEG158" s="103"/>
      <c r="XEH158" s="103"/>
      <c r="XEI158" s="103"/>
      <c r="XEJ158" s="103"/>
      <c r="XEK158" s="103"/>
      <c r="XEL158" s="103"/>
      <c r="XEM158" s="103"/>
      <c r="XEN158" s="103"/>
      <c r="XEO158" s="103"/>
      <c r="XEP158" s="103"/>
      <c r="XEQ158" s="103"/>
      <c r="XER158" s="103"/>
      <c r="XES158" s="103"/>
      <c r="XET158" s="103"/>
      <c r="XEU158" s="103"/>
      <c r="XEV158" s="103"/>
      <c r="XEW158" s="103"/>
      <c r="XEX158" s="103"/>
    </row>
  </sheetData>
  <autoFilter ref="A6:XEX158" xr:uid="{00000000-0001-0000-0400-000000000000}"/>
  <mergeCells count="1">
    <mergeCell ref="S5:W5"/>
  </mergeCells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0290-DFB4-44C9-964D-9E0185E5782C}">
  <dimension ref="A1:Z46"/>
  <sheetViews>
    <sheetView showGridLines="0" topLeftCell="A31" zoomScaleNormal="100" workbookViewId="0">
      <selection activeCell="N60" sqref="N60"/>
    </sheetView>
  </sheetViews>
  <sheetFormatPr defaultColWidth="11.44140625" defaultRowHeight="11.4" outlineLevelCol="1" x14ac:dyDescent="0.25"/>
  <cols>
    <col min="1" max="1" width="8.33203125" style="13" customWidth="1"/>
    <col min="2" max="2" width="7.33203125" style="13" bestFit="1" customWidth="1"/>
    <col min="3" max="3" width="34.33203125" style="13" bestFit="1" customWidth="1"/>
    <col min="4" max="4" width="11.6640625" style="25" bestFit="1" customWidth="1"/>
    <col min="5" max="5" width="10.33203125" style="13" bestFit="1" customWidth="1"/>
    <col min="6" max="6" width="7.5546875" style="13" bestFit="1" customWidth="1"/>
    <col min="7" max="12" width="11.44140625" style="13" hidden="1" customWidth="1" outlineLevel="1"/>
    <col min="13" max="13" width="9" style="13" bestFit="1" customWidth="1" collapsed="1"/>
    <col min="14" max="15" width="11.44140625" style="13"/>
    <col min="16" max="16" width="13.33203125" style="13" bestFit="1" customWidth="1"/>
    <col min="17" max="17" width="12.44140625" style="13" bestFit="1" customWidth="1"/>
    <col min="18" max="21" width="11.44140625" style="13"/>
    <col min="22" max="23" width="11.5546875" style="13" bestFit="1" customWidth="1"/>
    <col min="24" max="16384" width="11.44140625" style="13"/>
  </cols>
  <sheetData>
    <row r="1" spans="1:26" x14ac:dyDescent="0.25">
      <c r="A1" s="13" t="e">
        <f>+VLOOKUP(B41,ARGENTINA!$B:$E,)</f>
        <v>#N/A</v>
      </c>
      <c r="R1" s="113" t="s">
        <v>3</v>
      </c>
      <c r="S1" s="113" t="s">
        <v>6</v>
      </c>
      <c r="T1" s="113" t="s">
        <v>50</v>
      </c>
      <c r="U1" s="113" t="s">
        <v>12</v>
      </c>
      <c r="V1" s="113" t="s">
        <v>51</v>
      </c>
      <c r="W1" s="118"/>
    </row>
    <row r="2" spans="1:26" s="60" customFormat="1" ht="15" x14ac:dyDescent="0.25">
      <c r="A2" s="57" t="s">
        <v>52</v>
      </c>
      <c r="B2" s="58"/>
      <c r="C2" s="59"/>
      <c r="D2" s="58"/>
      <c r="E2" s="59"/>
      <c r="F2" s="58"/>
      <c r="G2" s="58"/>
      <c r="H2" s="58"/>
      <c r="I2" s="58"/>
      <c r="J2" s="59"/>
      <c r="K2" s="82"/>
      <c r="L2" s="58"/>
      <c r="M2" s="58"/>
      <c r="N2" s="58"/>
      <c r="O2" s="58"/>
      <c r="P2" s="58"/>
      <c r="Q2" s="154">
        <f>+T2-T3</f>
        <v>0</v>
      </c>
      <c r="R2" s="115">
        <v>154338176.50000003</v>
      </c>
      <c r="S2" s="114">
        <v>0</v>
      </c>
      <c r="T2" s="114">
        <v>15649966.449999999</v>
      </c>
      <c r="U2" s="116">
        <v>6211559.54</v>
      </c>
      <c r="V2" s="116">
        <v>0</v>
      </c>
      <c r="W2" s="116">
        <f>+U2-U3</f>
        <v>0</v>
      </c>
    </row>
    <row r="3" spans="1:26" s="60" customFormat="1" ht="15" x14ac:dyDescent="0.25">
      <c r="A3" s="57" t="s">
        <v>3364</v>
      </c>
      <c r="B3" s="58"/>
      <c r="C3" s="59"/>
      <c r="D3" s="58"/>
      <c r="E3" s="59"/>
      <c r="F3" s="58"/>
      <c r="G3" s="58"/>
      <c r="H3" s="58"/>
      <c r="I3" s="58"/>
      <c r="J3" s="59"/>
      <c r="K3" s="82"/>
      <c r="L3" s="58"/>
      <c r="M3" s="58"/>
      <c r="N3" s="58"/>
      <c r="O3" s="58"/>
      <c r="P3" s="58"/>
      <c r="Q3" s="58"/>
      <c r="R3" s="117">
        <f>+SUM(R6:R39)</f>
        <v>154338176.50000003</v>
      </c>
      <c r="S3" s="117">
        <f>+SUM(S6:S39)</f>
        <v>0</v>
      </c>
      <c r="T3" s="117">
        <f>+SUM(T6:T39)</f>
        <v>15649966.449999999</v>
      </c>
      <c r="U3" s="117">
        <f>+SUM(U6:U39)</f>
        <v>6211559.54</v>
      </c>
      <c r="V3" s="117">
        <f>+SUM(V6:V37)</f>
        <v>0</v>
      </c>
      <c r="W3" s="118"/>
      <c r="Z3" s="78">
        <f>+T3-T2</f>
        <v>0</v>
      </c>
    </row>
    <row r="4" spans="1:26" s="60" customFormat="1" x14ac:dyDescent="0.3">
      <c r="A4" s="58"/>
      <c r="B4" s="58"/>
      <c r="C4" s="59"/>
      <c r="D4" s="58"/>
      <c r="E4" s="59" t="s">
        <v>54</v>
      </c>
      <c r="F4" s="58"/>
      <c r="G4" s="58"/>
      <c r="H4" s="58"/>
      <c r="I4" s="58"/>
      <c r="J4" s="59"/>
      <c r="K4" s="82"/>
      <c r="L4" s="58"/>
      <c r="M4" s="58"/>
      <c r="N4" s="61"/>
      <c r="O4" s="79" t="s">
        <v>3365</v>
      </c>
      <c r="P4" s="79"/>
      <c r="Q4" s="79"/>
      <c r="R4" s="184" t="s">
        <v>55</v>
      </c>
      <c r="S4" s="185"/>
      <c r="T4" s="185"/>
      <c r="U4" s="185"/>
      <c r="V4" s="186"/>
      <c r="W4" s="62"/>
    </row>
    <row r="5" spans="1:26" s="60" customFormat="1" ht="34.200000000000003" x14ac:dyDescent="0.3">
      <c r="A5" s="7" t="s">
        <v>56</v>
      </c>
      <c r="B5" s="84" t="s">
        <v>57</v>
      </c>
      <c r="C5" s="7" t="s">
        <v>58</v>
      </c>
      <c r="D5" s="7" t="s">
        <v>59</v>
      </c>
      <c r="E5" s="143" t="s">
        <v>60</v>
      </c>
      <c r="F5" s="7" t="s">
        <v>61</v>
      </c>
      <c r="G5" s="84" t="s">
        <v>62</v>
      </c>
      <c r="H5" s="7" t="s">
        <v>63</v>
      </c>
      <c r="I5" s="7" t="s">
        <v>65</v>
      </c>
      <c r="J5" s="7" t="s">
        <v>66</v>
      </c>
      <c r="K5" s="7" t="s">
        <v>67</v>
      </c>
      <c r="L5" s="7" t="s">
        <v>68</v>
      </c>
      <c r="M5" s="7" t="s">
        <v>69</v>
      </c>
      <c r="N5" s="81" t="s">
        <v>70</v>
      </c>
      <c r="O5" s="75" t="s">
        <v>71</v>
      </c>
      <c r="P5" s="76" t="s">
        <v>72</v>
      </c>
      <c r="Q5" s="15" t="s">
        <v>73</v>
      </c>
      <c r="R5" s="8" t="s">
        <v>4</v>
      </c>
      <c r="S5" s="8" t="s">
        <v>7</v>
      </c>
      <c r="T5" s="8" t="s">
        <v>10</v>
      </c>
      <c r="U5" s="8" t="s">
        <v>75</v>
      </c>
      <c r="V5" s="8" t="s">
        <v>19</v>
      </c>
      <c r="W5" s="8" t="s">
        <v>76</v>
      </c>
    </row>
    <row r="6" spans="1:26" x14ac:dyDescent="0.25">
      <c r="A6" s="26" t="s">
        <v>3366</v>
      </c>
      <c r="B6" s="106" t="s">
        <v>118</v>
      </c>
      <c r="C6" s="11" t="s">
        <v>3371</v>
      </c>
      <c r="D6" s="55">
        <v>44835</v>
      </c>
      <c r="E6" s="144">
        <v>46295</v>
      </c>
      <c r="F6" s="11" t="s">
        <v>3368</v>
      </c>
      <c r="G6" s="162" t="s">
        <v>2449</v>
      </c>
      <c r="H6" s="11" t="s">
        <v>111</v>
      </c>
      <c r="I6" s="11" t="s">
        <v>113</v>
      </c>
      <c r="J6" s="11" t="s">
        <v>114</v>
      </c>
      <c r="K6" s="11" t="s">
        <v>3372</v>
      </c>
      <c r="L6" s="11" t="s">
        <v>139</v>
      </c>
      <c r="M6" s="12">
        <v>45355</v>
      </c>
      <c r="N6" s="122" t="s">
        <v>3373</v>
      </c>
      <c r="O6" s="55">
        <v>46295</v>
      </c>
      <c r="P6" s="25" t="s">
        <v>83</v>
      </c>
      <c r="Q6" s="25" t="s">
        <v>84</v>
      </c>
      <c r="R6" s="21">
        <v>1625918.94</v>
      </c>
      <c r="S6" s="21">
        <v>0</v>
      </c>
      <c r="T6" s="21">
        <v>162592.89000000001</v>
      </c>
      <c r="U6" s="21">
        <v>81295.95</v>
      </c>
      <c r="V6" s="21">
        <v>0</v>
      </c>
    </row>
    <row r="7" spans="1:26" x14ac:dyDescent="0.25">
      <c r="A7" s="26" t="s">
        <v>3366</v>
      </c>
      <c r="B7" s="106" t="s">
        <v>994</v>
      </c>
      <c r="C7" s="11" t="s">
        <v>3374</v>
      </c>
      <c r="D7" s="55">
        <v>44866</v>
      </c>
      <c r="E7" s="144">
        <v>46326</v>
      </c>
      <c r="F7" s="11" t="s">
        <v>3368</v>
      </c>
      <c r="G7" s="162" t="s">
        <v>1747</v>
      </c>
      <c r="H7" s="11" t="s">
        <v>111</v>
      </c>
      <c r="I7" s="11" t="s">
        <v>113</v>
      </c>
      <c r="J7" s="11" t="s">
        <v>114</v>
      </c>
      <c r="K7" s="11" t="s">
        <v>3375</v>
      </c>
      <c r="L7" s="11" t="s">
        <v>139</v>
      </c>
      <c r="M7" s="12">
        <v>45355</v>
      </c>
      <c r="N7" s="122" t="s">
        <v>3376</v>
      </c>
      <c r="O7" s="55">
        <v>46326</v>
      </c>
      <c r="P7" s="25" t="s">
        <v>83</v>
      </c>
      <c r="Q7" s="25" t="s">
        <v>84</v>
      </c>
      <c r="R7" s="21">
        <v>17696000</v>
      </c>
      <c r="S7" s="21">
        <v>0</v>
      </c>
      <c r="T7" s="21">
        <v>1769600</v>
      </c>
      <c r="U7" s="21">
        <v>884800</v>
      </c>
      <c r="V7" s="21">
        <v>0</v>
      </c>
    </row>
    <row r="8" spans="1:26" x14ac:dyDescent="0.25">
      <c r="A8" s="26" t="s">
        <v>3366</v>
      </c>
      <c r="B8" s="106" t="s">
        <v>1000</v>
      </c>
      <c r="C8" s="11" t="s">
        <v>3381</v>
      </c>
      <c r="D8" s="55">
        <v>44927</v>
      </c>
      <c r="E8" s="144">
        <v>46387</v>
      </c>
      <c r="F8" s="11" t="s">
        <v>3368</v>
      </c>
      <c r="G8" s="162" t="s">
        <v>2457</v>
      </c>
      <c r="H8" s="11" t="s">
        <v>111</v>
      </c>
      <c r="I8" s="11" t="s">
        <v>113</v>
      </c>
      <c r="J8" s="11" t="s">
        <v>114</v>
      </c>
      <c r="K8" s="11" t="s">
        <v>3382</v>
      </c>
      <c r="L8" s="11" t="s">
        <v>139</v>
      </c>
      <c r="M8" s="12">
        <v>45355</v>
      </c>
      <c r="N8" s="122" t="s">
        <v>3383</v>
      </c>
      <c r="O8" s="55">
        <v>46387</v>
      </c>
      <c r="P8" s="25" t="s">
        <v>83</v>
      </c>
      <c r="Q8" s="25" t="s">
        <v>84</v>
      </c>
      <c r="R8" s="21">
        <v>2014070.23</v>
      </c>
      <c r="S8" s="21">
        <v>0</v>
      </c>
      <c r="T8" s="21">
        <v>201407.02</v>
      </c>
      <c r="U8" s="21">
        <v>100703.51</v>
      </c>
      <c r="V8" s="21">
        <v>0</v>
      </c>
    </row>
    <row r="9" spans="1:26" x14ac:dyDescent="0.25">
      <c r="A9" s="26" t="s">
        <v>3366</v>
      </c>
      <c r="B9" s="106" t="s">
        <v>1005</v>
      </c>
      <c r="C9" s="11" t="s">
        <v>3384</v>
      </c>
      <c r="D9" s="55">
        <v>44682</v>
      </c>
      <c r="E9" s="144">
        <v>46142</v>
      </c>
      <c r="F9" s="11" t="s">
        <v>3368</v>
      </c>
      <c r="G9" s="162" t="s">
        <v>2461</v>
      </c>
      <c r="H9" s="11" t="s">
        <v>111</v>
      </c>
      <c r="I9" s="11" t="s">
        <v>113</v>
      </c>
      <c r="J9" s="11" t="s">
        <v>114</v>
      </c>
      <c r="K9" s="11" t="s">
        <v>3385</v>
      </c>
      <c r="L9" s="11" t="s">
        <v>139</v>
      </c>
      <c r="M9" s="12">
        <v>45355</v>
      </c>
      <c r="N9" s="122" t="s">
        <v>3386</v>
      </c>
      <c r="O9" s="55">
        <v>46142</v>
      </c>
      <c r="P9" s="25" t="s">
        <v>83</v>
      </c>
      <c r="Q9" s="25" t="s">
        <v>84</v>
      </c>
      <c r="R9" s="21">
        <v>2171879.6800000002</v>
      </c>
      <c r="S9" s="21">
        <v>0</v>
      </c>
      <c r="T9" s="21">
        <v>217187.97</v>
      </c>
      <c r="U9" s="21">
        <v>108593.98</v>
      </c>
      <c r="V9" s="21">
        <v>0</v>
      </c>
    </row>
    <row r="10" spans="1:26" x14ac:dyDescent="0.25">
      <c r="A10" s="26" t="s">
        <v>3366</v>
      </c>
      <c r="B10" s="106" t="s">
        <v>1012</v>
      </c>
      <c r="C10" s="11" t="s">
        <v>3387</v>
      </c>
      <c r="D10" s="55">
        <v>44866</v>
      </c>
      <c r="E10" s="144">
        <v>46295</v>
      </c>
      <c r="F10" s="11" t="s">
        <v>3368</v>
      </c>
      <c r="G10" s="162" t="s">
        <v>2464</v>
      </c>
      <c r="H10" s="11" t="s">
        <v>111</v>
      </c>
      <c r="I10" s="11" t="s">
        <v>113</v>
      </c>
      <c r="J10" s="11" t="s">
        <v>114</v>
      </c>
      <c r="K10" s="11" t="s">
        <v>3388</v>
      </c>
      <c r="L10" s="11" t="s">
        <v>1625</v>
      </c>
      <c r="M10" s="12">
        <v>45355</v>
      </c>
      <c r="N10" s="122" t="s">
        <v>3389</v>
      </c>
      <c r="O10" s="55">
        <v>46295</v>
      </c>
      <c r="P10" s="25" t="s">
        <v>83</v>
      </c>
      <c r="Q10" s="25" t="s">
        <v>84</v>
      </c>
      <c r="R10" s="21">
        <v>2687752.3</v>
      </c>
      <c r="S10" s="21">
        <v>0</v>
      </c>
      <c r="T10" s="21">
        <v>268775.23</v>
      </c>
      <c r="U10" s="21">
        <v>134387.62</v>
      </c>
      <c r="V10" s="21">
        <v>0</v>
      </c>
    </row>
    <row r="11" spans="1:26" x14ac:dyDescent="0.25">
      <c r="A11" s="26" t="s">
        <v>3366</v>
      </c>
      <c r="B11" s="106" t="s">
        <v>1017</v>
      </c>
      <c r="C11" s="11" t="s">
        <v>3390</v>
      </c>
      <c r="D11" s="55">
        <v>44958</v>
      </c>
      <c r="E11" s="144">
        <v>46418</v>
      </c>
      <c r="F11" s="11" t="s">
        <v>3368</v>
      </c>
      <c r="G11" s="162" t="s">
        <v>2466</v>
      </c>
      <c r="H11" s="11" t="s">
        <v>111</v>
      </c>
      <c r="I11" s="11" t="s">
        <v>113</v>
      </c>
      <c r="J11" s="11" t="s">
        <v>114</v>
      </c>
      <c r="K11" s="11" t="s">
        <v>3391</v>
      </c>
      <c r="L11" s="11" t="s">
        <v>139</v>
      </c>
      <c r="M11" s="12">
        <v>45355</v>
      </c>
      <c r="N11" s="122" t="s">
        <v>3392</v>
      </c>
      <c r="O11" s="55">
        <v>46418</v>
      </c>
      <c r="P11" s="25" t="s">
        <v>83</v>
      </c>
      <c r="Q11" s="25" t="s">
        <v>84</v>
      </c>
      <c r="R11" s="21">
        <v>3414752.55</v>
      </c>
      <c r="S11" s="21">
        <v>0</v>
      </c>
      <c r="T11" s="21">
        <v>341475.26</v>
      </c>
      <c r="U11" s="21">
        <v>170737.63</v>
      </c>
      <c r="V11" s="21">
        <v>0</v>
      </c>
    </row>
    <row r="12" spans="1:26" x14ac:dyDescent="0.25">
      <c r="A12" s="26" t="s">
        <v>3366</v>
      </c>
      <c r="B12" s="106" t="s">
        <v>134</v>
      </c>
      <c r="C12" s="11" t="s">
        <v>3393</v>
      </c>
      <c r="D12" s="55">
        <v>44958</v>
      </c>
      <c r="E12" s="144">
        <v>46418</v>
      </c>
      <c r="F12" s="11" t="s">
        <v>3368</v>
      </c>
      <c r="G12" s="162" t="s">
        <v>2717</v>
      </c>
      <c r="H12" s="11" t="s">
        <v>111</v>
      </c>
      <c r="I12" s="11" t="s">
        <v>113</v>
      </c>
      <c r="J12" s="11" t="s">
        <v>114</v>
      </c>
      <c r="K12" s="11" t="s">
        <v>3394</v>
      </c>
      <c r="L12" s="11" t="s">
        <v>174</v>
      </c>
      <c r="M12" s="12">
        <v>45355</v>
      </c>
      <c r="N12" s="122" t="s">
        <v>3395</v>
      </c>
      <c r="O12" s="55">
        <v>46418</v>
      </c>
      <c r="P12" s="25" t="s">
        <v>83</v>
      </c>
      <c r="Q12" s="25" t="s">
        <v>84</v>
      </c>
      <c r="R12" s="21">
        <v>5311837.3</v>
      </c>
      <c r="S12" s="21">
        <v>0</v>
      </c>
      <c r="T12" s="21">
        <v>531183.73</v>
      </c>
      <c r="U12" s="21">
        <v>265591.87</v>
      </c>
      <c r="V12" s="21">
        <v>0</v>
      </c>
    </row>
    <row r="13" spans="1:26" x14ac:dyDescent="0.25">
      <c r="A13" s="26" t="s">
        <v>3366</v>
      </c>
      <c r="B13" s="106" t="s">
        <v>1028</v>
      </c>
      <c r="C13" s="11" t="s">
        <v>3396</v>
      </c>
      <c r="D13" s="55">
        <v>44743</v>
      </c>
      <c r="E13" s="144">
        <v>46295</v>
      </c>
      <c r="F13" s="11" t="s">
        <v>3368</v>
      </c>
      <c r="G13" s="162" t="s">
        <v>2725</v>
      </c>
      <c r="H13" s="11" t="s">
        <v>111</v>
      </c>
      <c r="I13" s="11" t="s">
        <v>113</v>
      </c>
      <c r="J13" s="11" t="s">
        <v>114</v>
      </c>
      <c r="K13" s="11" t="s">
        <v>3397</v>
      </c>
      <c r="L13" s="11" t="s">
        <v>2712</v>
      </c>
      <c r="M13" s="12">
        <v>45355</v>
      </c>
      <c r="N13" s="122" t="s">
        <v>3398</v>
      </c>
      <c r="O13" s="55">
        <v>46295</v>
      </c>
      <c r="P13" s="25" t="s">
        <v>83</v>
      </c>
      <c r="Q13" s="25" t="s">
        <v>84</v>
      </c>
      <c r="R13" s="21">
        <v>2765344</v>
      </c>
      <c r="S13" s="21">
        <v>0</v>
      </c>
      <c r="T13" s="21">
        <v>276534.40000000002</v>
      </c>
      <c r="U13" s="21">
        <v>138267.20000000001</v>
      </c>
      <c r="V13" s="21">
        <v>0</v>
      </c>
    </row>
    <row r="14" spans="1:26" x14ac:dyDescent="0.25">
      <c r="A14" s="26" t="s">
        <v>3366</v>
      </c>
      <c r="B14" s="106" t="s">
        <v>1756</v>
      </c>
      <c r="C14" s="11" t="s">
        <v>3399</v>
      </c>
      <c r="D14" s="55">
        <v>44621</v>
      </c>
      <c r="E14" s="144">
        <v>46812</v>
      </c>
      <c r="F14" s="11" t="s">
        <v>3368</v>
      </c>
      <c r="G14" s="162" t="s">
        <v>1758</v>
      </c>
      <c r="H14" s="11" t="s">
        <v>111</v>
      </c>
      <c r="I14" s="11" t="s">
        <v>113</v>
      </c>
      <c r="J14" s="11" t="s">
        <v>114</v>
      </c>
      <c r="K14" s="11" t="s">
        <v>3400</v>
      </c>
      <c r="L14" s="11" t="s">
        <v>174</v>
      </c>
      <c r="M14" s="12">
        <v>45355</v>
      </c>
      <c r="N14" s="122" t="s">
        <v>3401</v>
      </c>
      <c r="O14" s="55">
        <v>46812</v>
      </c>
      <c r="P14" s="25" t="s">
        <v>83</v>
      </c>
      <c r="Q14" s="25" t="s">
        <v>84</v>
      </c>
      <c r="R14" s="21">
        <v>2320339.71</v>
      </c>
      <c r="S14" s="21">
        <v>0</v>
      </c>
      <c r="T14" s="21">
        <v>348050.96</v>
      </c>
      <c r="U14" s="21">
        <v>0</v>
      </c>
      <c r="V14" s="21">
        <v>0</v>
      </c>
    </row>
    <row r="15" spans="1:26" x14ac:dyDescent="0.25">
      <c r="A15" s="26" t="s">
        <v>3366</v>
      </c>
      <c r="B15" s="106" t="s">
        <v>1045</v>
      </c>
      <c r="C15" s="11" t="s">
        <v>3405</v>
      </c>
      <c r="D15" s="55">
        <v>44774</v>
      </c>
      <c r="E15" s="144">
        <v>46234</v>
      </c>
      <c r="F15" s="11" t="s">
        <v>3368</v>
      </c>
      <c r="G15" s="162" t="s">
        <v>2473</v>
      </c>
      <c r="H15" s="11" t="s">
        <v>111</v>
      </c>
      <c r="I15" s="11" t="s">
        <v>113</v>
      </c>
      <c r="J15" s="11" t="s">
        <v>114</v>
      </c>
      <c r="K15" s="11" t="s">
        <v>3406</v>
      </c>
      <c r="L15" s="11" t="s">
        <v>139</v>
      </c>
      <c r="M15" s="12">
        <v>45355</v>
      </c>
      <c r="N15" s="122" t="s">
        <v>3407</v>
      </c>
      <c r="O15" s="55">
        <v>46234</v>
      </c>
      <c r="P15" s="25" t="s">
        <v>83</v>
      </c>
      <c r="Q15" s="25" t="s">
        <v>84</v>
      </c>
      <c r="R15" s="21">
        <v>1160621.52</v>
      </c>
      <c r="S15" s="21">
        <v>0</v>
      </c>
      <c r="T15" s="21">
        <v>116062.15</v>
      </c>
      <c r="U15" s="21">
        <v>58031.08</v>
      </c>
      <c r="V15" s="21">
        <v>0</v>
      </c>
    </row>
    <row r="16" spans="1:26" x14ac:dyDescent="0.25">
      <c r="A16" s="26" t="s">
        <v>3366</v>
      </c>
      <c r="B16" s="106" t="s">
        <v>1064</v>
      </c>
      <c r="C16" s="11" t="s">
        <v>3408</v>
      </c>
      <c r="D16" s="55">
        <v>44866</v>
      </c>
      <c r="E16" s="144">
        <v>46295</v>
      </c>
      <c r="F16" s="11" t="s">
        <v>3368</v>
      </c>
      <c r="G16" s="162" t="s">
        <v>2477</v>
      </c>
      <c r="H16" s="11" t="s">
        <v>111</v>
      </c>
      <c r="I16" s="11" t="s">
        <v>113</v>
      </c>
      <c r="J16" s="11" t="s">
        <v>114</v>
      </c>
      <c r="K16" s="11" t="s">
        <v>3409</v>
      </c>
      <c r="L16" s="11" t="s">
        <v>1625</v>
      </c>
      <c r="M16" s="12">
        <v>45355</v>
      </c>
      <c r="N16" s="122" t="s">
        <v>3410</v>
      </c>
      <c r="O16" s="55">
        <v>46295</v>
      </c>
      <c r="P16" s="25" t="s">
        <v>83</v>
      </c>
      <c r="Q16" s="25" t="s">
        <v>84</v>
      </c>
      <c r="R16" s="21">
        <v>1928356.12</v>
      </c>
      <c r="S16" s="21">
        <v>0</v>
      </c>
      <c r="T16" s="21">
        <v>192835.61</v>
      </c>
      <c r="U16" s="21">
        <v>96417.81</v>
      </c>
      <c r="V16" s="21">
        <v>0</v>
      </c>
    </row>
    <row r="17" spans="1:23" ht="12" customHeight="1" x14ac:dyDescent="0.25">
      <c r="A17" s="26" t="s">
        <v>3366</v>
      </c>
      <c r="B17" s="106" t="s">
        <v>1070</v>
      </c>
      <c r="C17" s="11" t="s">
        <v>3411</v>
      </c>
      <c r="D17" s="55">
        <v>44424</v>
      </c>
      <c r="E17" s="144">
        <v>46812</v>
      </c>
      <c r="F17" s="11" t="s">
        <v>3368</v>
      </c>
      <c r="G17" s="162" t="s">
        <v>2479</v>
      </c>
      <c r="H17" s="11" t="s">
        <v>111</v>
      </c>
      <c r="I17" s="11" t="s">
        <v>113</v>
      </c>
      <c r="J17" s="11" t="s">
        <v>114</v>
      </c>
      <c r="K17" s="11" t="s">
        <v>3412</v>
      </c>
      <c r="L17" s="11" t="s">
        <v>988</v>
      </c>
      <c r="M17" s="12">
        <v>45355</v>
      </c>
      <c r="N17" s="122" t="s">
        <v>3413</v>
      </c>
      <c r="O17" s="55">
        <v>46812</v>
      </c>
      <c r="P17" s="25" t="s">
        <v>83</v>
      </c>
      <c r="Q17" s="25" t="s">
        <v>84</v>
      </c>
      <c r="R17" s="21">
        <v>12159513</v>
      </c>
      <c r="S17" s="21">
        <v>0</v>
      </c>
      <c r="T17" s="21">
        <v>1823926.95</v>
      </c>
      <c r="U17" s="21">
        <v>0</v>
      </c>
      <c r="V17" s="21">
        <v>0</v>
      </c>
    </row>
    <row r="18" spans="1:23" x14ac:dyDescent="0.25">
      <c r="A18" s="26" t="s">
        <v>3366</v>
      </c>
      <c r="B18" s="106" t="s">
        <v>148</v>
      </c>
      <c r="C18" s="11" t="s">
        <v>3466</v>
      </c>
      <c r="D18" s="55">
        <v>44287</v>
      </c>
      <c r="E18" s="144">
        <v>46568</v>
      </c>
      <c r="F18" s="11" t="s">
        <v>3368</v>
      </c>
      <c r="G18" s="162" t="s">
        <v>1766</v>
      </c>
      <c r="H18" s="11" t="s">
        <v>111</v>
      </c>
      <c r="I18" s="11" t="s">
        <v>113</v>
      </c>
      <c r="J18" s="11" t="s">
        <v>114</v>
      </c>
      <c r="K18" s="11" t="s">
        <v>3467</v>
      </c>
      <c r="L18" s="11" t="s">
        <v>174</v>
      </c>
      <c r="M18" s="12">
        <v>45355</v>
      </c>
      <c r="N18" s="122" t="s">
        <v>3468</v>
      </c>
      <c r="O18" s="55">
        <v>46568</v>
      </c>
      <c r="P18" s="25" t="s">
        <v>83</v>
      </c>
      <c r="Q18" s="25" t="s">
        <v>84</v>
      </c>
      <c r="R18" s="21">
        <v>2823176.13</v>
      </c>
      <c r="S18" s="21">
        <v>0</v>
      </c>
      <c r="T18" s="21">
        <v>705794.03</v>
      </c>
      <c r="U18" s="21">
        <v>705794.03</v>
      </c>
      <c r="V18" s="21">
        <v>0</v>
      </c>
    </row>
    <row r="19" spans="1:23" x14ac:dyDescent="0.25">
      <c r="A19" s="26" t="s">
        <v>3366</v>
      </c>
      <c r="B19" s="106" t="s">
        <v>1083</v>
      </c>
      <c r="C19" s="11" t="s">
        <v>3417</v>
      </c>
      <c r="D19" s="55">
        <v>44136</v>
      </c>
      <c r="E19" s="144">
        <v>46789</v>
      </c>
      <c r="F19" s="11" t="s">
        <v>3368</v>
      </c>
      <c r="G19" s="162" t="s">
        <v>1770</v>
      </c>
      <c r="H19" s="11" t="s">
        <v>111</v>
      </c>
      <c r="I19" s="11" t="s">
        <v>113</v>
      </c>
      <c r="J19" s="11" t="s">
        <v>114</v>
      </c>
      <c r="K19" s="11" t="s">
        <v>3418</v>
      </c>
      <c r="L19" s="11" t="s">
        <v>139</v>
      </c>
      <c r="M19" s="12">
        <v>45355</v>
      </c>
      <c r="N19" s="122" t="s">
        <v>3419</v>
      </c>
      <c r="O19" s="55">
        <v>46789</v>
      </c>
      <c r="P19" s="25" t="s">
        <v>83</v>
      </c>
      <c r="Q19" s="58" t="s">
        <v>84</v>
      </c>
      <c r="R19" s="21">
        <v>2630968</v>
      </c>
      <c r="S19" s="21">
        <v>0</v>
      </c>
      <c r="T19" s="21">
        <v>394645.2</v>
      </c>
      <c r="U19" s="21">
        <v>0</v>
      </c>
      <c r="V19" s="21">
        <v>0</v>
      </c>
    </row>
    <row r="20" spans="1:23" x14ac:dyDescent="0.25">
      <c r="A20" s="26" t="s">
        <v>3366</v>
      </c>
      <c r="B20" s="106" t="s">
        <v>1089</v>
      </c>
      <c r="C20" s="11" t="s">
        <v>3420</v>
      </c>
      <c r="D20" s="55">
        <v>44317</v>
      </c>
      <c r="E20" s="144">
        <v>46207</v>
      </c>
      <c r="F20" s="11" t="s">
        <v>3368</v>
      </c>
      <c r="G20" s="162" t="s">
        <v>2484</v>
      </c>
      <c r="H20" s="11" t="s">
        <v>111</v>
      </c>
      <c r="I20" s="11" t="s">
        <v>113</v>
      </c>
      <c r="J20" s="11" t="s">
        <v>114</v>
      </c>
      <c r="K20" s="11" t="s">
        <v>3421</v>
      </c>
      <c r="L20" s="11" t="s">
        <v>1699</v>
      </c>
      <c r="M20" s="12">
        <v>45355</v>
      </c>
      <c r="N20" s="122" t="s">
        <v>3422</v>
      </c>
      <c r="O20" s="55">
        <v>46207</v>
      </c>
      <c r="P20" s="25" t="s">
        <v>83</v>
      </c>
      <c r="Q20" s="58" t="s">
        <v>84</v>
      </c>
      <c r="R20" s="21">
        <v>5523424.2000000002</v>
      </c>
      <c r="S20" s="21">
        <v>0</v>
      </c>
      <c r="T20" s="21">
        <v>828513.63</v>
      </c>
      <c r="U20" s="21">
        <v>0</v>
      </c>
      <c r="V20" s="21">
        <v>0</v>
      </c>
    </row>
    <row r="21" spans="1:23" x14ac:dyDescent="0.25">
      <c r="A21" s="26" t="s">
        <v>3366</v>
      </c>
      <c r="B21" s="106" t="s">
        <v>1095</v>
      </c>
      <c r="C21" s="11" t="s">
        <v>3423</v>
      </c>
      <c r="D21" s="55">
        <v>45139</v>
      </c>
      <c r="E21" s="144">
        <v>46599</v>
      </c>
      <c r="F21" s="11" t="s">
        <v>3368</v>
      </c>
      <c r="G21" s="162" t="s">
        <v>1779</v>
      </c>
      <c r="H21" s="11" t="s">
        <v>111</v>
      </c>
      <c r="I21" s="11" t="s">
        <v>113</v>
      </c>
      <c r="J21" s="11" t="s">
        <v>114</v>
      </c>
      <c r="K21" s="11" t="s">
        <v>3424</v>
      </c>
      <c r="L21" s="11" t="s">
        <v>139</v>
      </c>
      <c r="M21" s="12">
        <v>45355</v>
      </c>
      <c r="N21" s="122" t="s">
        <v>3425</v>
      </c>
      <c r="O21" s="55">
        <v>46599</v>
      </c>
      <c r="P21" s="25" t="s">
        <v>83</v>
      </c>
      <c r="Q21" s="58" t="s">
        <v>84</v>
      </c>
      <c r="R21" s="21">
        <v>785540</v>
      </c>
      <c r="S21" s="21">
        <v>0</v>
      </c>
      <c r="T21" s="21">
        <v>94264.8</v>
      </c>
      <c r="U21" s="21">
        <v>0</v>
      </c>
      <c r="V21" s="21">
        <v>0</v>
      </c>
    </row>
    <row r="22" spans="1:23" x14ac:dyDescent="0.25">
      <c r="A22" s="26" t="s">
        <v>3366</v>
      </c>
      <c r="B22" s="106" t="s">
        <v>163</v>
      </c>
      <c r="C22" s="11" t="s">
        <v>3426</v>
      </c>
      <c r="D22" s="55">
        <v>45261</v>
      </c>
      <c r="E22" s="144">
        <v>46477</v>
      </c>
      <c r="F22" s="11" t="s">
        <v>3368</v>
      </c>
      <c r="G22" s="162" t="s">
        <v>1788</v>
      </c>
      <c r="H22" s="11" t="s">
        <v>111</v>
      </c>
      <c r="I22" s="11" t="s">
        <v>113</v>
      </c>
      <c r="J22" s="11" t="s">
        <v>114</v>
      </c>
      <c r="K22" s="11" t="s">
        <v>3427</v>
      </c>
      <c r="L22" s="11" t="s">
        <v>397</v>
      </c>
      <c r="M22" s="12">
        <v>45355</v>
      </c>
      <c r="N22" s="122" t="s">
        <v>3428</v>
      </c>
      <c r="O22" s="55">
        <v>46477</v>
      </c>
      <c r="P22" s="25" t="s">
        <v>83</v>
      </c>
      <c r="Q22" s="58" t="s">
        <v>84</v>
      </c>
      <c r="R22" s="21">
        <v>4528799.79</v>
      </c>
      <c r="S22" s="21">
        <v>0</v>
      </c>
      <c r="T22" s="21">
        <v>679319.97</v>
      </c>
      <c r="U22" s="21">
        <v>0</v>
      </c>
      <c r="V22" s="21">
        <v>0</v>
      </c>
    </row>
    <row r="23" spans="1:23" x14ac:dyDescent="0.25">
      <c r="A23" s="26" t="s">
        <v>3366</v>
      </c>
      <c r="B23" s="106" t="s">
        <v>1106</v>
      </c>
      <c r="C23" s="13" t="s">
        <v>3429</v>
      </c>
      <c r="D23" s="102">
        <v>45200</v>
      </c>
      <c r="E23" s="109">
        <v>46641</v>
      </c>
      <c r="F23" s="11" t="s">
        <v>3368</v>
      </c>
      <c r="G23" s="160" t="s">
        <v>1807</v>
      </c>
      <c r="H23" s="11" t="s">
        <v>111</v>
      </c>
      <c r="I23" s="11" t="s">
        <v>113</v>
      </c>
      <c r="J23" s="11" t="s">
        <v>114</v>
      </c>
      <c r="M23" s="109">
        <v>45502</v>
      </c>
      <c r="N23" s="122" t="s">
        <v>3430</v>
      </c>
      <c r="O23" s="102">
        <v>46641</v>
      </c>
      <c r="P23" s="25" t="s">
        <v>83</v>
      </c>
      <c r="Q23" s="58" t="s">
        <v>84</v>
      </c>
      <c r="R23" s="21">
        <v>5577183.5</v>
      </c>
      <c r="S23" s="21">
        <v>0</v>
      </c>
      <c r="T23" s="21">
        <v>836577.53</v>
      </c>
      <c r="U23" s="21">
        <v>0</v>
      </c>
      <c r="V23" s="21">
        <v>0</v>
      </c>
    </row>
    <row r="24" spans="1:23" x14ac:dyDescent="0.25">
      <c r="A24" s="26" t="s">
        <v>3366</v>
      </c>
      <c r="B24" s="106" t="s">
        <v>169</v>
      </c>
      <c r="C24" s="11" t="s">
        <v>3431</v>
      </c>
      <c r="D24" s="55">
        <v>45108</v>
      </c>
      <c r="E24" s="144">
        <v>46203</v>
      </c>
      <c r="F24" s="11" t="s">
        <v>3368</v>
      </c>
      <c r="G24" s="162" t="s">
        <v>1799</v>
      </c>
      <c r="H24" s="11" t="s">
        <v>111</v>
      </c>
      <c r="I24" s="11" t="s">
        <v>113</v>
      </c>
      <c r="J24" s="11" t="s">
        <v>114</v>
      </c>
      <c r="K24" s="11"/>
      <c r="L24" s="11"/>
      <c r="M24" s="12">
        <v>45442</v>
      </c>
      <c r="N24" s="122" t="s">
        <v>3432</v>
      </c>
      <c r="O24" s="55">
        <v>46203</v>
      </c>
      <c r="P24" s="25" t="s">
        <v>83</v>
      </c>
      <c r="Q24" s="58" t="s">
        <v>84</v>
      </c>
      <c r="R24" s="21">
        <v>6750000</v>
      </c>
      <c r="S24" s="21">
        <v>0</v>
      </c>
      <c r="T24" s="21">
        <v>0</v>
      </c>
      <c r="U24" s="21">
        <v>0</v>
      </c>
      <c r="V24" s="21">
        <v>0</v>
      </c>
    </row>
    <row r="25" spans="1:23" x14ac:dyDescent="0.25">
      <c r="A25" s="26" t="s">
        <v>3366</v>
      </c>
      <c r="B25" s="106" t="s">
        <v>1111</v>
      </c>
      <c r="C25" s="11" t="s">
        <v>3433</v>
      </c>
      <c r="D25" s="55">
        <v>45292</v>
      </c>
      <c r="E25" s="144">
        <v>46387</v>
      </c>
      <c r="F25" s="11" t="s">
        <v>3368</v>
      </c>
      <c r="G25" s="162" t="s">
        <v>2750</v>
      </c>
      <c r="H25" s="11" t="s">
        <v>111</v>
      </c>
      <c r="I25" s="11" t="s">
        <v>113</v>
      </c>
      <c r="J25" s="11" t="s">
        <v>114</v>
      </c>
      <c r="K25" s="11"/>
      <c r="L25" s="11"/>
      <c r="M25" s="12">
        <v>45442</v>
      </c>
      <c r="N25" s="122" t="s">
        <v>3434</v>
      </c>
      <c r="O25" s="55">
        <v>46387</v>
      </c>
      <c r="P25" s="25" t="s">
        <v>83</v>
      </c>
      <c r="Q25" s="58" t="s">
        <v>84</v>
      </c>
      <c r="R25" s="21">
        <v>4864642.4000000004</v>
      </c>
      <c r="S25" s="21">
        <v>0</v>
      </c>
      <c r="T25" s="21">
        <v>0</v>
      </c>
      <c r="U25" s="21">
        <v>0</v>
      </c>
      <c r="V25" s="21">
        <v>0</v>
      </c>
    </row>
    <row r="26" spans="1:23" x14ac:dyDescent="0.25">
      <c r="A26" s="26" t="s">
        <v>3366</v>
      </c>
      <c r="B26" s="106" t="s">
        <v>1132</v>
      </c>
      <c r="C26" s="13" t="s">
        <v>3435</v>
      </c>
      <c r="D26" s="102">
        <v>45689</v>
      </c>
      <c r="E26" s="109">
        <v>46142</v>
      </c>
      <c r="F26" s="11" t="s">
        <v>3368</v>
      </c>
      <c r="G26" s="160" t="s">
        <v>1818</v>
      </c>
      <c r="H26" s="11" t="s">
        <v>111</v>
      </c>
      <c r="I26" s="11" t="s">
        <v>113</v>
      </c>
      <c r="J26" s="11" t="s">
        <v>114</v>
      </c>
      <c r="M26" s="109">
        <v>45743</v>
      </c>
      <c r="N26" s="122" t="s">
        <v>3436</v>
      </c>
      <c r="O26" s="55">
        <v>46142</v>
      </c>
      <c r="P26" s="25" t="s">
        <v>83</v>
      </c>
      <c r="Q26" s="25" t="s">
        <v>84</v>
      </c>
      <c r="R26" s="21">
        <v>2195383.5699999998</v>
      </c>
      <c r="S26" s="21">
        <v>0</v>
      </c>
      <c r="T26" s="21">
        <v>0</v>
      </c>
      <c r="U26" s="21">
        <v>0</v>
      </c>
      <c r="V26" s="21">
        <v>0</v>
      </c>
      <c r="W26" s="111"/>
    </row>
    <row r="27" spans="1:23" x14ac:dyDescent="0.25">
      <c r="A27" s="26" t="s">
        <v>3366</v>
      </c>
      <c r="B27" s="106" t="s">
        <v>1137</v>
      </c>
      <c r="C27" s="13" t="s">
        <v>3437</v>
      </c>
      <c r="D27" s="102">
        <v>45689</v>
      </c>
      <c r="E27" s="109">
        <v>46783</v>
      </c>
      <c r="F27" s="11" t="s">
        <v>3368</v>
      </c>
      <c r="G27" s="160" t="s">
        <v>2488</v>
      </c>
      <c r="H27" s="11" t="s">
        <v>111</v>
      </c>
      <c r="I27" s="11" t="s">
        <v>113</v>
      </c>
      <c r="J27" s="11" t="s">
        <v>114</v>
      </c>
      <c r="M27" s="109">
        <v>45743</v>
      </c>
      <c r="N27" s="122" t="s">
        <v>3438</v>
      </c>
      <c r="O27" s="55">
        <v>46783</v>
      </c>
      <c r="P27" s="25" t="s">
        <v>83</v>
      </c>
      <c r="Q27" s="25" t="s">
        <v>84</v>
      </c>
      <c r="R27" s="21">
        <v>9457399</v>
      </c>
      <c r="S27" s="21">
        <v>0</v>
      </c>
      <c r="T27" s="21">
        <v>1418609.85</v>
      </c>
      <c r="U27" s="21">
        <v>0</v>
      </c>
      <c r="V27" s="21">
        <v>0</v>
      </c>
      <c r="W27" s="111"/>
    </row>
    <row r="28" spans="1:23" x14ac:dyDescent="0.25">
      <c r="A28" s="26" t="s">
        <v>3366</v>
      </c>
      <c r="B28" s="106" t="s">
        <v>1142</v>
      </c>
      <c r="C28" s="13" t="s">
        <v>3439</v>
      </c>
      <c r="D28" s="102">
        <v>45689</v>
      </c>
      <c r="E28" s="109">
        <v>46630</v>
      </c>
      <c r="F28" s="11" t="s">
        <v>3368</v>
      </c>
      <c r="G28" s="160" t="s">
        <v>1822</v>
      </c>
      <c r="H28" s="11" t="s">
        <v>111</v>
      </c>
      <c r="I28" s="11" t="s">
        <v>113</v>
      </c>
      <c r="J28" s="11" t="s">
        <v>114</v>
      </c>
      <c r="M28" s="109">
        <v>45743</v>
      </c>
      <c r="N28" s="122" t="s">
        <v>3440</v>
      </c>
      <c r="O28" s="55">
        <v>46630</v>
      </c>
      <c r="P28" s="25" t="s">
        <v>83</v>
      </c>
      <c r="Q28" s="25" t="s">
        <v>84</v>
      </c>
      <c r="R28" s="21">
        <v>7403182</v>
      </c>
      <c r="S28" s="21">
        <v>0</v>
      </c>
      <c r="T28" s="21">
        <v>0</v>
      </c>
      <c r="U28" s="21">
        <v>0</v>
      </c>
      <c r="V28" s="21">
        <v>0</v>
      </c>
      <c r="W28" s="111"/>
    </row>
    <row r="29" spans="1:23" x14ac:dyDescent="0.25">
      <c r="A29" s="26" t="s">
        <v>3366</v>
      </c>
      <c r="B29" s="106" t="s">
        <v>1147</v>
      </c>
      <c r="C29" s="13" t="s">
        <v>3441</v>
      </c>
      <c r="D29" s="102">
        <v>45689</v>
      </c>
      <c r="E29" s="144">
        <v>46418</v>
      </c>
      <c r="F29" s="11" t="s">
        <v>3368</v>
      </c>
      <c r="G29" s="160" t="s">
        <v>1826</v>
      </c>
      <c r="H29" s="11" t="s">
        <v>111</v>
      </c>
      <c r="I29" s="11" t="s">
        <v>113</v>
      </c>
      <c r="J29" s="11" t="s">
        <v>114</v>
      </c>
      <c r="K29" s="13" t="s">
        <v>3728</v>
      </c>
      <c r="M29" s="109">
        <v>45803</v>
      </c>
      <c r="N29" s="122" t="s">
        <v>3442</v>
      </c>
      <c r="O29" s="55">
        <v>46053</v>
      </c>
      <c r="P29" s="25" t="s">
        <v>83</v>
      </c>
      <c r="Q29" s="25" t="s">
        <v>84</v>
      </c>
      <c r="R29" s="21">
        <v>4702948.8099999996</v>
      </c>
      <c r="S29" s="21">
        <v>0</v>
      </c>
      <c r="T29" s="21">
        <v>564353.82999999996</v>
      </c>
      <c r="U29" s="21">
        <v>1176048.81</v>
      </c>
      <c r="V29" s="21">
        <v>0</v>
      </c>
      <c r="W29" s="111"/>
    </row>
    <row r="30" spans="1:23" x14ac:dyDescent="0.25">
      <c r="A30" s="26" t="s">
        <v>3366</v>
      </c>
      <c r="B30" s="106" t="s">
        <v>176</v>
      </c>
      <c r="C30" s="13" t="s">
        <v>3443</v>
      </c>
      <c r="D30" s="102">
        <v>45659</v>
      </c>
      <c r="E30" s="144">
        <v>46753</v>
      </c>
      <c r="F30" s="11" t="s">
        <v>3368</v>
      </c>
      <c r="G30" s="160" t="s">
        <v>1830</v>
      </c>
      <c r="H30" s="11" t="s">
        <v>111</v>
      </c>
      <c r="I30" s="11" t="s">
        <v>113</v>
      </c>
      <c r="J30" s="11" t="s">
        <v>114</v>
      </c>
      <c r="K30" s="13" t="s">
        <v>3727</v>
      </c>
      <c r="M30" s="109">
        <v>45833</v>
      </c>
      <c r="N30" s="122" t="s">
        <v>3444</v>
      </c>
      <c r="O30" s="55">
        <v>46753</v>
      </c>
      <c r="P30" s="25" t="s">
        <v>83</v>
      </c>
      <c r="Q30" s="25" t="s">
        <v>84</v>
      </c>
      <c r="R30" s="21">
        <v>3283723.14</v>
      </c>
      <c r="S30" s="21">
        <v>0</v>
      </c>
      <c r="T30" s="21">
        <v>394046.78</v>
      </c>
      <c r="U30" s="21">
        <v>0</v>
      </c>
      <c r="V30" s="21">
        <v>0</v>
      </c>
      <c r="W30" s="111"/>
    </row>
    <row r="31" spans="1:23" x14ac:dyDescent="0.25">
      <c r="A31" s="26" t="s">
        <v>3366</v>
      </c>
      <c r="B31" s="106" t="s">
        <v>1154</v>
      </c>
      <c r="C31" s="13" t="s">
        <v>3445</v>
      </c>
      <c r="D31" s="102">
        <v>45711</v>
      </c>
      <c r="E31" s="144">
        <v>46805</v>
      </c>
      <c r="F31" s="11" t="s">
        <v>3368</v>
      </c>
      <c r="G31" s="160" t="s">
        <v>1834</v>
      </c>
      <c r="H31" s="11" t="s">
        <v>111</v>
      </c>
      <c r="I31" s="11" t="s">
        <v>113</v>
      </c>
      <c r="J31" s="11" t="s">
        <v>114</v>
      </c>
      <c r="K31" s="13" t="s">
        <v>3726</v>
      </c>
      <c r="M31" s="109">
        <v>45855</v>
      </c>
      <c r="N31" s="122" t="s">
        <v>3446</v>
      </c>
      <c r="O31" s="55">
        <v>46805</v>
      </c>
      <c r="P31" s="25" t="s">
        <v>83</v>
      </c>
      <c r="Q31" s="25" t="s">
        <v>84</v>
      </c>
      <c r="R31" s="21">
        <v>6577420</v>
      </c>
      <c r="S31" s="21">
        <v>0</v>
      </c>
      <c r="T31" s="21">
        <v>986613</v>
      </c>
      <c r="U31" s="21">
        <v>0</v>
      </c>
      <c r="V31" s="21">
        <v>0</v>
      </c>
      <c r="W31" s="111"/>
    </row>
    <row r="32" spans="1:23" x14ac:dyDescent="0.25">
      <c r="A32" s="26" t="s">
        <v>3366</v>
      </c>
      <c r="B32" s="106" t="s">
        <v>182</v>
      </c>
      <c r="C32" s="13" t="s">
        <v>3447</v>
      </c>
      <c r="D32" s="102">
        <v>45610</v>
      </c>
      <c r="E32" s="144">
        <v>46704</v>
      </c>
      <c r="F32" s="11" t="s">
        <v>3368</v>
      </c>
      <c r="G32" s="160" t="s">
        <v>1838</v>
      </c>
      <c r="H32" s="11" t="s">
        <v>111</v>
      </c>
      <c r="I32" s="11" t="s">
        <v>113</v>
      </c>
      <c r="J32" s="11" t="s">
        <v>114</v>
      </c>
      <c r="M32" s="109">
        <v>45868</v>
      </c>
      <c r="N32" s="122" t="s">
        <v>3448</v>
      </c>
      <c r="O32" s="55">
        <v>46704</v>
      </c>
      <c r="P32" s="25" t="s">
        <v>83</v>
      </c>
      <c r="Q32" s="25" t="s">
        <v>84</v>
      </c>
      <c r="R32" s="21">
        <v>2104717.5</v>
      </c>
      <c r="S32" s="21">
        <v>0</v>
      </c>
      <c r="T32" s="21">
        <v>210471.75</v>
      </c>
      <c r="U32" s="21">
        <v>105235.88</v>
      </c>
      <c r="V32" s="21">
        <v>0</v>
      </c>
      <c r="W32" s="111"/>
    </row>
    <row r="33" spans="1:23" x14ac:dyDescent="0.25">
      <c r="A33" s="26" t="s">
        <v>3366</v>
      </c>
      <c r="B33" s="106" t="s">
        <v>1164</v>
      </c>
      <c r="C33" s="13" t="s">
        <v>3449</v>
      </c>
      <c r="D33" s="102">
        <v>45778</v>
      </c>
      <c r="E33" s="144">
        <v>46873</v>
      </c>
      <c r="F33" s="11" t="s">
        <v>3368</v>
      </c>
      <c r="G33" s="160" t="s">
        <v>2877</v>
      </c>
      <c r="H33" s="11" t="s">
        <v>111</v>
      </c>
      <c r="I33" s="11" t="s">
        <v>113</v>
      </c>
      <c r="J33" s="11" t="s">
        <v>114</v>
      </c>
      <c r="K33" s="13" t="s">
        <v>3725</v>
      </c>
      <c r="M33" s="109">
        <v>45867</v>
      </c>
      <c r="N33" s="122" t="s">
        <v>3450</v>
      </c>
      <c r="O33" s="55">
        <v>46873</v>
      </c>
      <c r="P33" s="25" t="s">
        <v>83</v>
      </c>
      <c r="Q33" s="25" t="s">
        <v>84</v>
      </c>
      <c r="R33" s="21">
        <v>2428766</v>
      </c>
      <c r="S33" s="21">
        <v>0</v>
      </c>
      <c r="T33" s="21">
        <v>0</v>
      </c>
      <c r="U33" s="21">
        <v>0</v>
      </c>
      <c r="V33" s="21">
        <v>0</v>
      </c>
      <c r="W33" s="111"/>
    </row>
    <row r="34" spans="1:23" x14ac:dyDescent="0.25">
      <c r="A34" s="26" t="s">
        <v>3366</v>
      </c>
      <c r="B34" s="106" t="s">
        <v>188</v>
      </c>
      <c r="C34" s="13" t="s">
        <v>3451</v>
      </c>
      <c r="D34" s="102">
        <v>45717</v>
      </c>
      <c r="E34" s="144">
        <v>46203</v>
      </c>
      <c r="F34" s="11" t="s">
        <v>3368</v>
      </c>
      <c r="G34" s="160" t="s">
        <v>2493</v>
      </c>
      <c r="H34" s="11" t="s">
        <v>111</v>
      </c>
      <c r="I34" s="11" t="s">
        <v>113</v>
      </c>
      <c r="J34" s="11" t="s">
        <v>114</v>
      </c>
      <c r="M34" s="109">
        <v>45868</v>
      </c>
      <c r="N34" s="122" t="s">
        <v>3452</v>
      </c>
      <c r="O34" s="55">
        <v>46203</v>
      </c>
      <c r="P34" s="25" t="s">
        <v>83</v>
      </c>
      <c r="Q34" s="25" t="s">
        <v>84</v>
      </c>
      <c r="R34" s="21">
        <v>3715443.2</v>
      </c>
      <c r="S34" s="21">
        <v>0</v>
      </c>
      <c r="T34" s="21">
        <v>371544.32000000001</v>
      </c>
      <c r="U34" s="21">
        <v>371544.32000000001</v>
      </c>
      <c r="V34" s="21">
        <v>0</v>
      </c>
      <c r="W34" s="111"/>
    </row>
    <row r="35" spans="1:23" x14ac:dyDescent="0.25">
      <c r="A35" s="26" t="s">
        <v>3366</v>
      </c>
      <c r="B35" s="106" t="s">
        <v>1170</v>
      </c>
      <c r="C35" s="13" t="s">
        <v>3453</v>
      </c>
      <c r="D35" s="102">
        <v>45839</v>
      </c>
      <c r="E35" s="144">
        <v>46934</v>
      </c>
      <c r="F35" s="11" t="s">
        <v>3368</v>
      </c>
      <c r="G35" s="160" t="s">
        <v>2881</v>
      </c>
      <c r="H35" s="11" t="s">
        <v>111</v>
      </c>
      <c r="I35" s="11" t="s">
        <v>113</v>
      </c>
      <c r="J35" s="11" t="s">
        <v>114</v>
      </c>
      <c r="K35" s="13" t="s">
        <v>3472</v>
      </c>
      <c r="M35" s="109">
        <v>45896</v>
      </c>
      <c r="N35" s="122" t="s">
        <v>3454</v>
      </c>
      <c r="O35" s="55">
        <v>46934</v>
      </c>
      <c r="P35" s="25" t="s">
        <v>83</v>
      </c>
      <c r="Q35" s="25" t="s">
        <v>84</v>
      </c>
      <c r="R35" s="21">
        <v>5304946.5</v>
      </c>
      <c r="S35" s="21">
        <v>0</v>
      </c>
      <c r="T35" s="21">
        <v>795741.98</v>
      </c>
      <c r="U35" s="21">
        <v>0</v>
      </c>
      <c r="V35" s="21">
        <v>0</v>
      </c>
      <c r="W35" s="111"/>
    </row>
    <row r="36" spans="1:23" x14ac:dyDescent="0.25">
      <c r="A36" s="26" t="s">
        <v>3366</v>
      </c>
      <c r="B36" s="106" t="s">
        <v>1175</v>
      </c>
      <c r="C36" s="13" t="s">
        <v>3455</v>
      </c>
      <c r="D36" s="102">
        <v>45884</v>
      </c>
      <c r="E36" s="144">
        <v>47344</v>
      </c>
      <c r="F36" s="11" t="s">
        <v>3368</v>
      </c>
      <c r="G36" s="160" t="s">
        <v>2872</v>
      </c>
      <c r="H36" s="11" t="s">
        <v>111</v>
      </c>
      <c r="I36" s="11" t="s">
        <v>113</v>
      </c>
      <c r="J36" s="11" t="s">
        <v>114</v>
      </c>
      <c r="M36" s="109">
        <v>45895</v>
      </c>
      <c r="N36" s="122" t="s">
        <v>3456</v>
      </c>
      <c r="O36" s="55">
        <v>47344</v>
      </c>
      <c r="P36" s="25" t="s">
        <v>83</v>
      </c>
      <c r="Q36" s="25" t="s">
        <v>84</v>
      </c>
      <c r="R36" s="21">
        <v>3925187</v>
      </c>
      <c r="S36" s="21">
        <v>0</v>
      </c>
      <c r="T36" s="21">
        <v>392518.7</v>
      </c>
      <c r="U36" s="21">
        <v>196259.35</v>
      </c>
      <c r="V36" s="21">
        <v>0</v>
      </c>
      <c r="W36" s="111"/>
    </row>
    <row r="37" spans="1:23" x14ac:dyDescent="0.25">
      <c r="A37" s="26" t="s">
        <v>3366</v>
      </c>
      <c r="B37" s="106" t="s">
        <v>1181</v>
      </c>
      <c r="C37" s="13" t="s">
        <v>3463</v>
      </c>
      <c r="D37" s="102">
        <v>45901</v>
      </c>
      <c r="E37" s="144">
        <v>46630</v>
      </c>
      <c r="F37" s="11" t="s">
        <v>3368</v>
      </c>
      <c r="G37" s="160" t="s">
        <v>2829</v>
      </c>
      <c r="H37" s="11" t="s">
        <v>111</v>
      </c>
      <c r="I37" s="11" t="s">
        <v>113</v>
      </c>
      <c r="J37" s="11" t="s">
        <v>114</v>
      </c>
      <c r="K37" s="13" t="s">
        <v>3464</v>
      </c>
      <c r="M37" s="109">
        <v>45986</v>
      </c>
      <c r="N37" s="122" t="s">
        <v>3465</v>
      </c>
      <c r="O37" s="55">
        <v>46630</v>
      </c>
      <c r="P37" s="25" t="s">
        <v>83</v>
      </c>
      <c r="Q37" s="25" t="s">
        <v>84</v>
      </c>
      <c r="R37" s="21">
        <v>4257312.71</v>
      </c>
      <c r="S37" s="21">
        <v>0</v>
      </c>
      <c r="T37" s="21">
        <v>0</v>
      </c>
      <c r="U37" s="21">
        <v>0</v>
      </c>
      <c r="V37" s="21">
        <v>0</v>
      </c>
      <c r="W37" s="111"/>
    </row>
    <row r="38" spans="1:23" x14ac:dyDescent="0.25">
      <c r="A38" s="26" t="s">
        <v>3366</v>
      </c>
      <c r="B38" s="106" t="s">
        <v>1185</v>
      </c>
      <c r="C38" s="13" t="s">
        <v>3556</v>
      </c>
      <c r="D38" s="102">
        <v>45976</v>
      </c>
      <c r="E38" s="144">
        <v>46691</v>
      </c>
      <c r="F38" s="11" t="s">
        <v>3368</v>
      </c>
      <c r="G38" s="160" t="s">
        <v>1848</v>
      </c>
      <c r="H38" s="11" t="s">
        <v>111</v>
      </c>
      <c r="I38" s="11" t="s">
        <v>113</v>
      </c>
      <c r="J38" s="11" t="s">
        <v>114</v>
      </c>
      <c r="M38" s="109">
        <v>46010</v>
      </c>
      <c r="N38" s="122" t="s">
        <v>3557</v>
      </c>
      <c r="O38" s="55">
        <v>46691</v>
      </c>
      <c r="P38" s="25" t="s">
        <v>83</v>
      </c>
      <c r="Q38" s="25" t="s">
        <v>84</v>
      </c>
      <c r="R38" s="21">
        <v>5392835</v>
      </c>
      <c r="S38" s="21">
        <v>0</v>
      </c>
      <c r="T38" s="21"/>
      <c r="U38" s="21">
        <v>1617850.5</v>
      </c>
      <c r="V38" s="21"/>
      <c r="W38" s="111"/>
    </row>
    <row r="39" spans="1:23" x14ac:dyDescent="0.25">
      <c r="A39" s="26" t="s">
        <v>3366</v>
      </c>
      <c r="B39" s="106" t="s">
        <v>1190</v>
      </c>
      <c r="C39" s="13" t="s">
        <v>3460</v>
      </c>
      <c r="D39" s="102">
        <v>45780</v>
      </c>
      <c r="E39" s="144">
        <v>46875</v>
      </c>
      <c r="F39" s="11" t="s">
        <v>3368</v>
      </c>
      <c r="G39" s="160" t="s">
        <v>2835</v>
      </c>
      <c r="H39" s="11" t="s">
        <v>111</v>
      </c>
      <c r="I39" s="11" t="s">
        <v>113</v>
      </c>
      <c r="J39" s="11" t="s">
        <v>114</v>
      </c>
      <c r="K39" s="13" t="s">
        <v>3461</v>
      </c>
      <c r="M39" s="109">
        <v>46010</v>
      </c>
      <c r="N39" s="122" t="s">
        <v>3462</v>
      </c>
      <c r="O39" s="55">
        <v>46875</v>
      </c>
      <c r="P39" s="25" t="s">
        <v>83</v>
      </c>
      <c r="Q39" s="25" t="s">
        <v>84</v>
      </c>
      <c r="R39" s="21">
        <v>4848792.7</v>
      </c>
      <c r="S39" s="21">
        <v>0</v>
      </c>
      <c r="T39" s="21">
        <v>727318.91</v>
      </c>
      <c r="U39" s="21"/>
      <c r="V39" s="21"/>
      <c r="W39" s="111"/>
    </row>
    <row r="40" spans="1:23" x14ac:dyDescent="0.25">
      <c r="A40" s="26"/>
      <c r="B40" s="25"/>
      <c r="O40" s="55"/>
    </row>
    <row r="41" spans="1:23" x14ac:dyDescent="0.25">
      <c r="A41" s="26" t="s">
        <v>3366</v>
      </c>
      <c r="B41" s="106" t="s">
        <v>989</v>
      </c>
      <c r="C41" s="11" t="s">
        <v>3367</v>
      </c>
      <c r="D41" s="55">
        <v>44562</v>
      </c>
      <c r="E41" s="144">
        <v>46022</v>
      </c>
      <c r="F41" s="11" t="s">
        <v>3368</v>
      </c>
      <c r="G41" s="162" t="s">
        <v>2698</v>
      </c>
      <c r="H41" s="11" t="s">
        <v>111</v>
      </c>
      <c r="I41" s="11" t="s">
        <v>113</v>
      </c>
      <c r="J41" s="11" t="s">
        <v>114</v>
      </c>
      <c r="K41" s="11" t="s">
        <v>3369</v>
      </c>
      <c r="L41" s="11" t="s">
        <v>139</v>
      </c>
      <c r="M41" s="12">
        <v>45355</v>
      </c>
      <c r="N41" s="122" t="s">
        <v>3370</v>
      </c>
      <c r="O41" s="55">
        <v>46022</v>
      </c>
      <c r="P41" s="25" t="s">
        <v>1011</v>
      </c>
      <c r="Q41" s="66" t="s">
        <v>911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</row>
    <row r="42" spans="1:23" x14ac:dyDescent="0.25">
      <c r="A42" s="26" t="s">
        <v>3366</v>
      </c>
      <c r="B42" s="106" t="s">
        <v>126</v>
      </c>
      <c r="C42" s="11" t="s">
        <v>3377</v>
      </c>
      <c r="D42" s="55">
        <v>44641</v>
      </c>
      <c r="E42" s="144">
        <v>46011</v>
      </c>
      <c r="F42" s="11" t="s">
        <v>3368</v>
      </c>
      <c r="G42" s="162" t="s">
        <v>2453</v>
      </c>
      <c r="H42" s="11" t="s">
        <v>111</v>
      </c>
      <c r="I42" s="11" t="s">
        <v>113</v>
      </c>
      <c r="J42" s="11" t="s">
        <v>114</v>
      </c>
      <c r="K42" s="11" t="s">
        <v>3378</v>
      </c>
      <c r="L42" s="11" t="s">
        <v>3379</v>
      </c>
      <c r="M42" s="12">
        <v>45355</v>
      </c>
      <c r="N42" s="122" t="s">
        <v>3380</v>
      </c>
      <c r="O42" s="55">
        <v>46011</v>
      </c>
      <c r="P42" s="25" t="s">
        <v>1011</v>
      </c>
      <c r="Q42" s="66" t="s">
        <v>911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</row>
    <row r="43" spans="1:23" x14ac:dyDescent="0.25">
      <c r="A43" s="26" t="s">
        <v>3366</v>
      </c>
      <c r="B43" s="106" t="s">
        <v>1034</v>
      </c>
      <c r="C43" s="11" t="s">
        <v>3402</v>
      </c>
      <c r="D43" s="55">
        <v>44621</v>
      </c>
      <c r="E43" s="144">
        <v>45991</v>
      </c>
      <c r="F43" s="11" t="s">
        <v>3368</v>
      </c>
      <c r="G43" s="162" t="s">
        <v>2470</v>
      </c>
      <c r="H43" s="11" t="s">
        <v>111</v>
      </c>
      <c r="I43" s="11" t="s">
        <v>113</v>
      </c>
      <c r="J43" s="11" t="s">
        <v>114</v>
      </c>
      <c r="K43" s="11" t="s">
        <v>3403</v>
      </c>
      <c r="L43" s="11" t="s">
        <v>3379</v>
      </c>
      <c r="M43" s="12">
        <v>45355</v>
      </c>
      <c r="N43" s="122" t="s">
        <v>3404</v>
      </c>
      <c r="O43" s="55">
        <v>45991</v>
      </c>
      <c r="P43" s="25" t="s">
        <v>1011</v>
      </c>
      <c r="Q43" s="66" t="s">
        <v>911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</row>
    <row r="44" spans="1:23" x14ac:dyDescent="0.25">
      <c r="A44" s="26" t="s">
        <v>3366</v>
      </c>
      <c r="B44" s="106" t="s">
        <v>1039</v>
      </c>
      <c r="C44" s="11" t="s">
        <v>3457</v>
      </c>
      <c r="D44" s="55">
        <v>45200</v>
      </c>
      <c r="E44" s="144">
        <v>45930</v>
      </c>
      <c r="F44" s="11" t="s">
        <v>3368</v>
      </c>
      <c r="G44" s="162" t="s">
        <v>2471</v>
      </c>
      <c r="H44" s="11" t="s">
        <v>111</v>
      </c>
      <c r="I44" s="11" t="s">
        <v>113</v>
      </c>
      <c r="J44" s="11" t="s">
        <v>114</v>
      </c>
      <c r="K44" s="11" t="s">
        <v>3458</v>
      </c>
      <c r="L44" s="11" t="s">
        <v>116</v>
      </c>
      <c r="M44" s="12">
        <v>45355</v>
      </c>
      <c r="N44" s="122" t="s">
        <v>3459</v>
      </c>
      <c r="O44" s="55">
        <v>45930</v>
      </c>
      <c r="P44" s="25" t="s">
        <v>1011</v>
      </c>
      <c r="Q44" s="66" t="s">
        <v>911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</row>
    <row r="45" spans="1:23" x14ac:dyDescent="0.25">
      <c r="A45" s="26" t="s">
        <v>3366</v>
      </c>
      <c r="B45" s="106" t="s">
        <v>1077</v>
      </c>
      <c r="C45" s="11" t="s">
        <v>3414</v>
      </c>
      <c r="D45" s="55">
        <v>44440</v>
      </c>
      <c r="E45" s="144">
        <v>46081</v>
      </c>
      <c r="F45" s="11" t="s">
        <v>3368</v>
      </c>
      <c r="G45" s="162" t="s">
        <v>2739</v>
      </c>
      <c r="H45" s="11" t="s">
        <v>111</v>
      </c>
      <c r="I45" s="11" t="s">
        <v>113</v>
      </c>
      <c r="J45" s="11" t="s">
        <v>114</v>
      </c>
      <c r="K45" s="11" t="s">
        <v>3415</v>
      </c>
      <c r="L45" s="11" t="s">
        <v>174</v>
      </c>
      <c r="M45" s="12">
        <v>45355</v>
      </c>
      <c r="N45" s="122" t="s">
        <v>3416</v>
      </c>
      <c r="O45" s="55">
        <v>46081</v>
      </c>
      <c r="P45" s="25" t="s">
        <v>1011</v>
      </c>
      <c r="Q45" s="66" t="s">
        <v>911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</row>
    <row r="46" spans="1:23" x14ac:dyDescent="0.25">
      <c r="A46" s="26" t="s">
        <v>3366</v>
      </c>
      <c r="B46" s="106" t="s">
        <v>1159</v>
      </c>
      <c r="C46" s="13" t="s">
        <v>3469</v>
      </c>
      <c r="D46" s="55">
        <v>45627</v>
      </c>
      <c r="E46" s="144">
        <v>46053</v>
      </c>
      <c r="F46" s="11" t="s">
        <v>3368</v>
      </c>
      <c r="G46" s="160" t="s">
        <v>2491</v>
      </c>
      <c r="H46" s="11" t="s">
        <v>111</v>
      </c>
      <c r="I46" s="11" t="s">
        <v>113</v>
      </c>
      <c r="J46" s="11" t="s">
        <v>114</v>
      </c>
      <c r="K46" s="13" t="s">
        <v>3470</v>
      </c>
      <c r="M46" s="109">
        <v>45868</v>
      </c>
      <c r="N46" s="122" t="s">
        <v>3471</v>
      </c>
      <c r="O46" s="55">
        <v>46053</v>
      </c>
      <c r="P46" s="25" t="s">
        <v>1011</v>
      </c>
      <c r="Q46" s="66" t="s">
        <v>911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</row>
  </sheetData>
  <autoFilter ref="A5:Z46" xr:uid="{CD110290-DFB4-44C9-964D-9E0185E5782C}"/>
  <mergeCells count="1">
    <mergeCell ref="R4:V4"/>
  </mergeCells>
  <phoneticPr fontId="4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0B04-02E1-4071-AA40-485AC5D6C1A3}">
  <dimension ref="A1:Z18"/>
  <sheetViews>
    <sheetView showGridLines="0" zoomScaleNormal="100" workbookViewId="0">
      <selection activeCell="E12" sqref="E12"/>
    </sheetView>
  </sheetViews>
  <sheetFormatPr defaultColWidth="11.44140625" defaultRowHeight="15" outlineLevelCol="1" x14ac:dyDescent="0.35"/>
  <cols>
    <col min="1" max="1" width="8.33203125" style="99" customWidth="1"/>
    <col min="2" max="2" width="7.33203125" style="99" bestFit="1" customWidth="1"/>
    <col min="3" max="3" width="32.5546875" style="99" bestFit="1" customWidth="1"/>
    <col min="4" max="5" width="10.44140625" style="99" bestFit="1" customWidth="1"/>
    <col min="6" max="6" width="7.5546875" style="99" bestFit="1" customWidth="1"/>
    <col min="7" max="12" width="11.44140625" style="99" hidden="1" customWidth="1" outlineLevel="1"/>
    <col min="13" max="13" width="10.44140625" style="99" bestFit="1" customWidth="1" collapsed="1"/>
    <col min="14" max="16" width="11.44140625" style="99"/>
    <col min="17" max="17" width="15" style="99" bestFit="1" customWidth="1"/>
    <col min="18" max="18" width="11.5546875" style="99" bestFit="1" customWidth="1"/>
    <col min="19" max="19" width="11.44140625" style="99"/>
    <col min="20" max="21" width="11.5546875" style="99" bestFit="1" customWidth="1"/>
    <col min="22" max="22" width="11.6640625" style="99" bestFit="1" customWidth="1"/>
    <col min="23" max="23" width="13.33203125" style="99" customWidth="1"/>
    <col min="24" max="25" width="11.44140625" style="99"/>
    <col min="26" max="26" width="10.44140625" style="99" bestFit="1" customWidth="1"/>
    <col min="27" max="16384" width="11.44140625" style="99"/>
  </cols>
  <sheetData>
    <row r="1" spans="1:26" x14ac:dyDescent="0.35">
      <c r="R1" s="113" t="s">
        <v>3</v>
      </c>
      <c r="S1" s="113" t="s">
        <v>6</v>
      </c>
      <c r="T1" s="113" t="s">
        <v>50</v>
      </c>
      <c r="U1" s="113" t="s">
        <v>12</v>
      </c>
      <c r="V1" s="113" t="s">
        <v>51</v>
      </c>
      <c r="W1" s="138"/>
    </row>
    <row r="2" spans="1:26" s="98" customFormat="1" x14ac:dyDescent="0.25">
      <c r="A2" s="57" t="s">
        <v>52</v>
      </c>
      <c r="B2" s="94"/>
      <c r="C2" s="95"/>
      <c r="D2" s="94"/>
      <c r="E2" s="94"/>
      <c r="F2" s="94"/>
      <c r="G2" s="94"/>
      <c r="H2" s="94"/>
      <c r="I2" s="95"/>
      <c r="J2" s="94"/>
      <c r="K2" s="95"/>
      <c r="L2" s="96"/>
      <c r="M2" s="94"/>
      <c r="N2" s="94"/>
      <c r="O2" s="58"/>
      <c r="P2" s="58"/>
      <c r="Q2" s="94"/>
      <c r="R2" s="116">
        <v>3142161.09</v>
      </c>
      <c r="S2" s="116">
        <v>0</v>
      </c>
      <c r="T2" s="116">
        <v>217289.83000000002</v>
      </c>
      <c r="U2" s="116">
        <v>207179.02000000002</v>
      </c>
      <c r="V2" s="116">
        <f>+U2-U3</f>
        <v>0</v>
      </c>
      <c r="W2" s="116">
        <f>+V2-V3</f>
        <v>0</v>
      </c>
      <c r="Z2" s="94"/>
    </row>
    <row r="3" spans="1:26" s="98" customFormat="1" x14ac:dyDescent="0.25">
      <c r="A3" s="57" t="s">
        <v>3473</v>
      </c>
      <c r="B3" s="94"/>
      <c r="C3" s="95"/>
      <c r="D3" s="94"/>
      <c r="E3" s="94"/>
      <c r="F3" s="94"/>
      <c r="G3" s="94"/>
      <c r="H3" s="94"/>
      <c r="I3" s="94"/>
      <c r="J3" s="95"/>
      <c r="K3" s="96"/>
      <c r="L3" s="94"/>
      <c r="M3" s="94"/>
      <c r="N3" s="94"/>
      <c r="O3" s="94"/>
      <c r="P3" s="94"/>
      <c r="Q3" s="94"/>
      <c r="R3" s="117">
        <f>+SUM(R6:R16)</f>
        <v>2717692.24</v>
      </c>
      <c r="S3" s="117">
        <f>+SUM(S6:S214)</f>
        <v>0</v>
      </c>
      <c r="T3" s="117">
        <f>+SUM(T6:T214)</f>
        <v>217289.83000000002</v>
      </c>
      <c r="U3" s="117">
        <f>+SUM(U6:U214)</f>
        <v>207179.02000000002</v>
      </c>
      <c r="V3" s="117">
        <f>+SUM(V6:V214)</f>
        <v>0</v>
      </c>
      <c r="W3" s="118"/>
      <c r="Y3" s="97">
        <f>+R3-R2</f>
        <v>-424468.84999999963</v>
      </c>
      <c r="Z3" s="94"/>
    </row>
    <row r="4" spans="1:26" s="60" customFormat="1" ht="11.4" x14ac:dyDescent="0.3">
      <c r="A4" s="58"/>
      <c r="B4" s="58"/>
      <c r="C4" s="59"/>
      <c r="D4" s="58"/>
      <c r="E4" s="58" t="s">
        <v>54</v>
      </c>
      <c r="F4" s="58"/>
      <c r="G4" s="58"/>
      <c r="H4" s="58"/>
      <c r="I4" s="58"/>
      <c r="J4" s="59"/>
      <c r="K4" s="82"/>
      <c r="L4" s="58"/>
      <c r="M4" s="58"/>
      <c r="N4" s="61"/>
      <c r="O4" s="79" t="s">
        <v>3365</v>
      </c>
      <c r="P4" s="79"/>
      <c r="Q4" s="79"/>
      <c r="R4" s="184" t="s">
        <v>55</v>
      </c>
      <c r="S4" s="185"/>
      <c r="T4" s="185"/>
      <c r="U4" s="185"/>
      <c r="V4" s="186"/>
      <c r="Z4" s="58" t="s">
        <v>54</v>
      </c>
    </row>
    <row r="5" spans="1:26" s="60" customFormat="1" ht="34.200000000000003" x14ac:dyDescent="0.3">
      <c r="A5" s="7" t="s">
        <v>56</v>
      </c>
      <c r="B5" s="84" t="s">
        <v>57</v>
      </c>
      <c r="C5" s="7" t="s">
        <v>58</v>
      </c>
      <c r="D5" s="7" t="s">
        <v>59</v>
      </c>
      <c r="E5" s="7" t="s">
        <v>60</v>
      </c>
      <c r="F5" s="7" t="s">
        <v>61</v>
      </c>
      <c r="G5" s="84" t="s">
        <v>62</v>
      </c>
      <c r="H5" s="7" t="s">
        <v>63</v>
      </c>
      <c r="I5" s="7" t="s">
        <v>65</v>
      </c>
      <c r="J5" s="7" t="s">
        <v>66</v>
      </c>
      <c r="K5" s="7" t="s">
        <v>67</v>
      </c>
      <c r="L5" s="7" t="s">
        <v>68</v>
      </c>
      <c r="M5" s="7" t="s">
        <v>69</v>
      </c>
      <c r="N5" s="81" t="s">
        <v>70</v>
      </c>
      <c r="O5" s="75" t="s">
        <v>71</v>
      </c>
      <c r="P5" s="76" t="s">
        <v>72</v>
      </c>
      <c r="Q5" s="15" t="s">
        <v>73</v>
      </c>
      <c r="R5" s="8" t="s">
        <v>4</v>
      </c>
      <c r="S5" s="8" t="s">
        <v>7</v>
      </c>
      <c r="T5" s="8" t="s">
        <v>10</v>
      </c>
      <c r="U5" s="8" t="s">
        <v>75</v>
      </c>
      <c r="V5" s="8" t="s">
        <v>19</v>
      </c>
      <c r="W5" s="8" t="s">
        <v>76</v>
      </c>
      <c r="Z5" s="7" t="s">
        <v>60</v>
      </c>
    </row>
    <row r="6" spans="1:26" s="13" customFormat="1" ht="11.4" x14ac:dyDescent="0.25">
      <c r="A6" s="26" t="s">
        <v>3474</v>
      </c>
      <c r="B6" s="106" t="s">
        <v>108</v>
      </c>
      <c r="C6" s="11" t="s">
        <v>3475</v>
      </c>
      <c r="D6" s="55">
        <v>42459</v>
      </c>
      <c r="E6" s="55">
        <v>46265</v>
      </c>
      <c r="F6" s="11" t="s">
        <v>3476</v>
      </c>
      <c r="G6" s="162" t="s">
        <v>2437</v>
      </c>
      <c r="H6" s="11" t="s">
        <v>111</v>
      </c>
      <c r="I6" s="11" t="s">
        <v>113</v>
      </c>
      <c r="J6" s="11" t="s">
        <v>114</v>
      </c>
      <c r="K6" s="11" t="s">
        <v>3477</v>
      </c>
      <c r="L6" s="11" t="s">
        <v>280</v>
      </c>
      <c r="M6" s="12">
        <v>45355</v>
      </c>
      <c r="N6" s="122" t="s">
        <v>3478</v>
      </c>
      <c r="O6" s="55">
        <v>46265</v>
      </c>
      <c r="P6" s="55" t="s">
        <v>83</v>
      </c>
      <c r="Q6" s="25" t="s">
        <v>84</v>
      </c>
      <c r="R6" s="21">
        <v>413842.78</v>
      </c>
      <c r="S6" s="21"/>
      <c r="T6" s="21"/>
      <c r="U6" s="21"/>
      <c r="V6" s="21"/>
      <c r="W6" s="12"/>
      <c r="Z6" s="55">
        <v>46265</v>
      </c>
    </row>
    <row r="7" spans="1:26" s="13" customFormat="1" ht="11.4" x14ac:dyDescent="0.25">
      <c r="A7" s="26" t="s">
        <v>3474</v>
      </c>
      <c r="B7" s="106" t="s">
        <v>108</v>
      </c>
      <c r="C7" s="11" t="s">
        <v>3475</v>
      </c>
      <c r="D7" s="55">
        <v>42459</v>
      </c>
      <c r="E7" s="55">
        <v>46265</v>
      </c>
      <c r="F7" s="11" t="s">
        <v>3476</v>
      </c>
      <c r="G7" s="162" t="s">
        <v>2698</v>
      </c>
      <c r="H7" s="11" t="s">
        <v>111</v>
      </c>
      <c r="I7" s="11" t="s">
        <v>113</v>
      </c>
      <c r="J7" s="11" t="s">
        <v>114</v>
      </c>
      <c r="K7" s="11" t="s">
        <v>3477</v>
      </c>
      <c r="L7" s="11" t="s">
        <v>280</v>
      </c>
      <c r="M7" s="12">
        <v>45355</v>
      </c>
      <c r="N7" s="122" t="s">
        <v>3479</v>
      </c>
      <c r="O7" s="55">
        <v>46265</v>
      </c>
      <c r="P7" s="55" t="s">
        <v>83</v>
      </c>
      <c r="Q7" s="25" t="s">
        <v>84</v>
      </c>
      <c r="R7" s="21"/>
      <c r="S7" s="21"/>
      <c r="T7" s="21"/>
      <c r="U7" s="21"/>
      <c r="V7" s="21"/>
      <c r="W7" s="12"/>
      <c r="Z7" s="55">
        <v>46265</v>
      </c>
    </row>
    <row r="8" spans="1:26" s="13" customFormat="1" ht="11.4" x14ac:dyDescent="0.25">
      <c r="A8" s="26" t="s">
        <v>3474</v>
      </c>
      <c r="B8" s="106" t="s">
        <v>989</v>
      </c>
      <c r="C8" s="11" t="s">
        <v>3480</v>
      </c>
      <c r="D8" s="55">
        <v>44197</v>
      </c>
      <c r="E8" s="55">
        <v>47118</v>
      </c>
      <c r="F8" s="11" t="s">
        <v>3476</v>
      </c>
      <c r="G8" s="162" t="s">
        <v>2449</v>
      </c>
      <c r="H8" s="11" t="s">
        <v>111</v>
      </c>
      <c r="I8" s="11" t="s">
        <v>113</v>
      </c>
      <c r="J8" s="11" t="s">
        <v>114</v>
      </c>
      <c r="K8" s="11" t="s">
        <v>3481</v>
      </c>
      <c r="L8" s="11" t="s">
        <v>139</v>
      </c>
      <c r="M8" s="12">
        <v>45355</v>
      </c>
      <c r="N8" s="122" t="s">
        <v>3482</v>
      </c>
      <c r="O8" s="55">
        <v>47118</v>
      </c>
      <c r="P8" s="55" t="s">
        <v>83</v>
      </c>
      <c r="Q8" s="25" t="s">
        <v>84</v>
      </c>
      <c r="R8" s="21">
        <v>200693</v>
      </c>
      <c r="S8" s="21"/>
      <c r="T8" s="21">
        <v>25086.63</v>
      </c>
      <c r="U8" s="21">
        <v>74402.02</v>
      </c>
      <c r="V8" s="21"/>
      <c r="W8" s="12"/>
      <c r="Z8" s="55">
        <v>45657</v>
      </c>
    </row>
    <row r="9" spans="1:26" s="13" customFormat="1" ht="11.4" x14ac:dyDescent="0.25">
      <c r="A9" s="26" t="s">
        <v>3474</v>
      </c>
      <c r="B9" s="106" t="s">
        <v>994</v>
      </c>
      <c r="C9" s="11" t="s">
        <v>3483</v>
      </c>
      <c r="D9" s="55">
        <v>45047</v>
      </c>
      <c r="E9" s="55">
        <v>46507</v>
      </c>
      <c r="F9" s="11" t="s">
        <v>3476</v>
      </c>
      <c r="G9" s="162" t="s">
        <v>2453</v>
      </c>
      <c r="H9" s="11" t="s">
        <v>111</v>
      </c>
      <c r="I9" s="11" t="s">
        <v>113</v>
      </c>
      <c r="J9" s="11" t="s">
        <v>114</v>
      </c>
      <c r="K9" s="11" t="s">
        <v>3484</v>
      </c>
      <c r="L9" s="11" t="s">
        <v>139</v>
      </c>
      <c r="M9" s="12">
        <v>45355</v>
      </c>
      <c r="N9" s="122" t="s">
        <v>3485</v>
      </c>
      <c r="O9" s="55">
        <v>46507</v>
      </c>
      <c r="P9" s="55" t="s">
        <v>83</v>
      </c>
      <c r="Q9" s="25" t="s">
        <v>84</v>
      </c>
      <c r="R9" s="21">
        <v>419970</v>
      </c>
      <c r="S9" s="21"/>
      <c r="T9" s="21">
        <v>52496</v>
      </c>
      <c r="U9" s="21">
        <v>132777</v>
      </c>
      <c r="V9" s="21"/>
      <c r="W9" s="12"/>
      <c r="Z9" s="55">
        <v>46507</v>
      </c>
    </row>
    <row r="10" spans="1:26" ht="12" customHeight="1" x14ac:dyDescent="0.35">
      <c r="A10" s="26" t="s">
        <v>3474</v>
      </c>
      <c r="B10" s="106" t="s">
        <v>1012</v>
      </c>
      <c r="C10" s="11" t="s">
        <v>3486</v>
      </c>
      <c r="D10" s="55">
        <v>45292</v>
      </c>
      <c r="E10" s="55">
        <v>46858</v>
      </c>
      <c r="F10" s="11" t="s">
        <v>3476</v>
      </c>
      <c r="G10" s="162" t="s">
        <v>2466</v>
      </c>
      <c r="H10" s="11" t="s">
        <v>111</v>
      </c>
      <c r="I10" s="11" t="s">
        <v>113</v>
      </c>
      <c r="J10" s="11" t="s">
        <v>114</v>
      </c>
      <c r="K10" s="11" t="s">
        <v>3481</v>
      </c>
      <c r="L10" s="11"/>
      <c r="M10" s="12">
        <v>45443</v>
      </c>
      <c r="N10" s="106" t="s">
        <v>3487</v>
      </c>
      <c r="O10" s="55">
        <v>46858</v>
      </c>
      <c r="P10" s="55" t="s">
        <v>83</v>
      </c>
      <c r="Q10" s="25" t="s">
        <v>84</v>
      </c>
      <c r="R10" s="21">
        <v>295939</v>
      </c>
      <c r="S10" s="21"/>
      <c r="T10" s="21"/>
      <c r="U10" s="21"/>
      <c r="V10" s="21"/>
      <c r="W10" s="12"/>
      <c r="Z10" s="55">
        <v>46858</v>
      </c>
    </row>
    <row r="11" spans="1:26" ht="12" customHeight="1" x14ac:dyDescent="0.35">
      <c r="A11" s="26" t="s">
        <v>3474</v>
      </c>
      <c r="B11" s="106" t="s">
        <v>1017</v>
      </c>
      <c r="C11" s="11" t="s">
        <v>3488</v>
      </c>
      <c r="D11" s="55" t="s">
        <v>2024</v>
      </c>
      <c r="E11" s="55">
        <v>46455</v>
      </c>
      <c r="F11" s="11" t="s">
        <v>962</v>
      </c>
      <c r="G11" s="162" t="s">
        <v>2717</v>
      </c>
      <c r="H11" s="11" t="s">
        <v>111</v>
      </c>
      <c r="I11" s="11" t="s">
        <v>113</v>
      </c>
      <c r="J11" s="11" t="s">
        <v>114</v>
      </c>
      <c r="K11" s="11"/>
      <c r="L11" s="11"/>
      <c r="M11" s="12">
        <v>45443</v>
      </c>
      <c r="N11" s="106" t="s">
        <v>3489</v>
      </c>
      <c r="O11" s="55">
        <v>46455</v>
      </c>
      <c r="P11" s="55" t="s">
        <v>83</v>
      </c>
      <c r="Q11" s="25" t="s">
        <v>84</v>
      </c>
      <c r="R11" s="21">
        <v>4500</v>
      </c>
      <c r="S11" s="21"/>
      <c r="T11" s="21"/>
      <c r="U11" s="21"/>
      <c r="V11" s="21"/>
      <c r="Z11" s="55">
        <v>46455</v>
      </c>
    </row>
    <row r="12" spans="1:26" ht="12" customHeight="1" x14ac:dyDescent="0.35">
      <c r="A12" s="26" t="s">
        <v>3474</v>
      </c>
      <c r="B12" s="106" t="s">
        <v>134</v>
      </c>
      <c r="C12" s="11" t="s">
        <v>3490</v>
      </c>
      <c r="D12" s="55">
        <v>45153</v>
      </c>
      <c r="E12" s="55">
        <v>46832</v>
      </c>
      <c r="F12" s="11" t="s">
        <v>3476</v>
      </c>
      <c r="G12" s="162" t="s">
        <v>2469</v>
      </c>
      <c r="H12" s="11" t="s">
        <v>111</v>
      </c>
      <c r="I12" s="11" t="s">
        <v>113</v>
      </c>
      <c r="J12" s="11" t="s">
        <v>114</v>
      </c>
      <c r="K12" s="11"/>
      <c r="L12" s="11"/>
      <c r="M12" s="12">
        <v>45443</v>
      </c>
      <c r="N12" s="106" t="s">
        <v>3491</v>
      </c>
      <c r="O12" s="55">
        <v>46832</v>
      </c>
      <c r="P12" s="55" t="s">
        <v>83</v>
      </c>
      <c r="Q12" s="25" t="s">
        <v>84</v>
      </c>
      <c r="R12" s="21">
        <v>200463.59</v>
      </c>
      <c r="S12" s="21"/>
      <c r="T12" s="21">
        <v>24346.57</v>
      </c>
      <c r="U12" s="21"/>
      <c r="V12" s="21"/>
      <c r="Z12" s="55">
        <v>46842</v>
      </c>
    </row>
    <row r="13" spans="1:26" ht="12" customHeight="1" x14ac:dyDescent="0.35">
      <c r="A13" s="26" t="s">
        <v>3474</v>
      </c>
      <c r="B13" s="106" t="s">
        <v>1022</v>
      </c>
      <c r="C13" s="11" t="s">
        <v>3492</v>
      </c>
      <c r="D13" s="55">
        <v>45421</v>
      </c>
      <c r="E13" s="55">
        <v>47107</v>
      </c>
      <c r="F13" s="11" t="s">
        <v>3476</v>
      </c>
      <c r="G13" s="162" t="s">
        <v>2725</v>
      </c>
      <c r="H13" s="11" t="s">
        <v>111</v>
      </c>
      <c r="I13" s="11" t="s">
        <v>113</v>
      </c>
      <c r="J13" s="11" t="s">
        <v>114</v>
      </c>
      <c r="K13" s="11"/>
      <c r="L13" s="11"/>
      <c r="M13" s="12">
        <v>45505</v>
      </c>
      <c r="N13" s="106" t="s">
        <v>3493</v>
      </c>
      <c r="O13" s="55">
        <v>47107</v>
      </c>
      <c r="P13" s="55" t="s">
        <v>83</v>
      </c>
      <c r="Q13" s="25" t="s">
        <v>84</v>
      </c>
      <c r="R13" s="21">
        <v>359821</v>
      </c>
      <c r="S13" s="21"/>
      <c r="T13" s="21">
        <v>44978</v>
      </c>
      <c r="U13" s="21"/>
      <c r="V13" s="21"/>
      <c r="W13" s="112" t="s">
        <v>85</v>
      </c>
      <c r="Z13" s="55">
        <v>47109</v>
      </c>
    </row>
    <row r="14" spans="1:26" ht="12" customHeight="1" x14ac:dyDescent="0.35">
      <c r="A14" s="26" t="s">
        <v>3474</v>
      </c>
      <c r="B14" s="106" t="s">
        <v>1028</v>
      </c>
      <c r="C14" s="11" t="s">
        <v>3494</v>
      </c>
      <c r="D14" s="55">
        <v>45245</v>
      </c>
      <c r="E14" s="55">
        <v>46705</v>
      </c>
      <c r="F14" s="11" t="s">
        <v>962</v>
      </c>
      <c r="G14" s="162" t="s">
        <v>1758</v>
      </c>
      <c r="H14" s="11" t="s">
        <v>111</v>
      </c>
      <c r="I14" s="11" t="s">
        <v>113</v>
      </c>
      <c r="J14" s="11" t="s">
        <v>114</v>
      </c>
      <c r="K14" s="11"/>
      <c r="L14" s="11"/>
      <c r="M14" s="12">
        <v>45446</v>
      </c>
      <c r="N14" s="106" t="s">
        <v>3495</v>
      </c>
      <c r="O14" s="55">
        <v>46705</v>
      </c>
      <c r="P14" s="55" t="s">
        <v>83</v>
      </c>
      <c r="Q14" s="25" t="s">
        <v>84</v>
      </c>
      <c r="R14" s="21">
        <v>2500</v>
      </c>
      <c r="S14" s="21"/>
      <c r="T14" s="21">
        <v>312.5</v>
      </c>
      <c r="U14" s="21"/>
      <c r="V14" s="21"/>
      <c r="Z14" s="55">
        <v>46705</v>
      </c>
    </row>
    <row r="15" spans="1:26" x14ac:dyDescent="0.35">
      <c r="A15" s="26" t="s">
        <v>3474</v>
      </c>
      <c r="B15" s="106" t="s">
        <v>1756</v>
      </c>
      <c r="C15" s="11" t="s">
        <v>3496</v>
      </c>
      <c r="D15" s="55">
        <v>45457</v>
      </c>
      <c r="E15" s="55">
        <v>47282</v>
      </c>
      <c r="F15" s="11" t="s">
        <v>3476</v>
      </c>
      <c r="G15" s="162" t="s">
        <v>2470</v>
      </c>
      <c r="H15" s="11" t="s">
        <v>111</v>
      </c>
      <c r="I15" s="11" t="s">
        <v>113</v>
      </c>
      <c r="J15" s="11" t="s">
        <v>114</v>
      </c>
      <c r="K15" s="11">
        <v>5000005</v>
      </c>
      <c r="M15" s="12">
        <v>45551</v>
      </c>
      <c r="N15" s="106" t="s">
        <v>3497</v>
      </c>
      <c r="O15" s="55">
        <v>47282</v>
      </c>
      <c r="P15" s="55" t="s">
        <v>83</v>
      </c>
      <c r="Q15" s="25" t="s">
        <v>84</v>
      </c>
      <c r="R15" s="21">
        <v>259881.87</v>
      </c>
      <c r="S15" s="21"/>
      <c r="T15" s="21"/>
      <c r="U15" s="21"/>
      <c r="V15" s="21"/>
      <c r="W15" s="112" t="s">
        <v>85</v>
      </c>
    </row>
    <row r="16" spans="1:26" x14ac:dyDescent="0.35">
      <c r="A16" s="26" t="s">
        <v>3474</v>
      </c>
      <c r="B16" s="106" t="s">
        <v>1034</v>
      </c>
      <c r="C16" s="11" t="s">
        <v>3498</v>
      </c>
      <c r="D16" s="55">
        <v>45931</v>
      </c>
      <c r="E16" s="55">
        <v>47756</v>
      </c>
      <c r="F16" s="11" t="s">
        <v>3476</v>
      </c>
      <c r="G16" s="162" t="s">
        <v>2471</v>
      </c>
      <c r="H16" s="11" t="s">
        <v>111</v>
      </c>
      <c r="I16" s="11" t="s">
        <v>113</v>
      </c>
      <c r="J16" s="11" t="s">
        <v>114</v>
      </c>
      <c r="K16" s="11" t="s">
        <v>3499</v>
      </c>
      <c r="M16" s="12"/>
      <c r="N16" s="106" t="s">
        <v>3500</v>
      </c>
      <c r="O16" s="55">
        <v>47756</v>
      </c>
      <c r="P16" s="55" t="s">
        <v>83</v>
      </c>
      <c r="Q16" s="25" t="s">
        <v>84</v>
      </c>
      <c r="R16" s="21">
        <v>560081</v>
      </c>
      <c r="S16" s="21"/>
      <c r="T16" s="21">
        <v>70070.13</v>
      </c>
      <c r="U16" s="21"/>
      <c r="V16" s="21"/>
      <c r="W16" s="112"/>
    </row>
    <row r="17" spans="1:26" x14ac:dyDescent="0.35">
      <c r="P17" s="55"/>
    </row>
    <row r="18" spans="1:26" s="13" customFormat="1" ht="12" customHeight="1" x14ac:dyDescent="0.25">
      <c r="A18" s="26" t="s">
        <v>3474</v>
      </c>
      <c r="B18" s="106" t="s">
        <v>1005</v>
      </c>
      <c r="C18" s="11" t="s">
        <v>3501</v>
      </c>
      <c r="D18" s="55">
        <v>44256</v>
      </c>
      <c r="E18" s="55">
        <v>45838</v>
      </c>
      <c r="F18" s="11" t="s">
        <v>3476</v>
      </c>
      <c r="G18" s="162" t="s">
        <v>2464</v>
      </c>
      <c r="H18" s="11" t="s">
        <v>111</v>
      </c>
      <c r="I18" s="11" t="s">
        <v>113</v>
      </c>
      <c r="J18" s="11" t="s">
        <v>114</v>
      </c>
      <c r="K18" s="11" t="s">
        <v>3502</v>
      </c>
      <c r="L18" s="11" t="s">
        <v>3190</v>
      </c>
      <c r="M18" s="12">
        <v>45355</v>
      </c>
      <c r="N18" s="25" t="s">
        <v>3503</v>
      </c>
      <c r="O18" s="55">
        <v>45885</v>
      </c>
      <c r="P18" s="55" t="s">
        <v>1011</v>
      </c>
      <c r="Q18" s="107" t="s">
        <v>911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12"/>
      <c r="Z18" s="55">
        <v>45900</v>
      </c>
    </row>
  </sheetData>
  <autoFilter ref="A5:Y15" xr:uid="{C1830B04-02E1-4071-AA40-485AC5D6C1A3}"/>
  <mergeCells count="1">
    <mergeCell ref="R4:V4"/>
  </mergeCells>
  <phoneticPr fontId="4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selection activeCell="D11" sqref="D11"/>
    </sheetView>
  </sheetViews>
  <sheetFormatPr defaultColWidth="69.33203125" defaultRowHeight="14.4" x14ac:dyDescent="0.3"/>
  <cols>
    <col min="1" max="1" width="9.5546875" bestFit="1" customWidth="1"/>
    <col min="2" max="2" width="38.33203125" bestFit="1" customWidth="1"/>
    <col min="3" max="3" width="9.33203125" bestFit="1" customWidth="1"/>
    <col min="4" max="4" width="68" bestFit="1" customWidth="1"/>
  </cols>
  <sheetData>
    <row r="1" spans="1:4" x14ac:dyDescent="0.3">
      <c r="A1" s="1" t="s">
        <v>33</v>
      </c>
      <c r="B1" s="2"/>
      <c r="C1" s="1" t="s">
        <v>3504</v>
      </c>
      <c r="D1" s="1" t="s">
        <v>3505</v>
      </c>
    </row>
    <row r="2" spans="1:4" x14ac:dyDescent="0.3">
      <c r="A2" s="3">
        <v>1139120001</v>
      </c>
      <c r="B2" s="4" t="s">
        <v>3506</v>
      </c>
      <c r="C2" s="3" t="s">
        <v>3507</v>
      </c>
      <c r="D2" s="5" t="s">
        <v>3508</v>
      </c>
    </row>
    <row r="3" spans="1:4" x14ac:dyDescent="0.3">
      <c r="A3" s="3">
        <v>1139200001</v>
      </c>
      <c r="B3" s="4" t="s">
        <v>3509</v>
      </c>
      <c r="C3" s="3" t="s">
        <v>3507</v>
      </c>
      <c r="D3" s="5" t="s">
        <v>3510</v>
      </c>
    </row>
    <row r="4" spans="1:4" ht="20.399999999999999" x14ac:dyDescent="0.3">
      <c r="A4" s="3">
        <v>1138180002</v>
      </c>
      <c r="B4" s="4" t="s">
        <v>3511</v>
      </c>
      <c r="C4" s="3" t="s">
        <v>3507</v>
      </c>
      <c r="D4" s="6" t="s">
        <v>3512</v>
      </c>
    </row>
    <row r="5" spans="1:4" x14ac:dyDescent="0.3">
      <c r="A5" s="3"/>
      <c r="B5" s="4"/>
      <c r="C5" s="3"/>
      <c r="D5" s="5"/>
    </row>
    <row r="6" spans="1:4" ht="20.399999999999999" x14ac:dyDescent="0.3">
      <c r="A6" s="3">
        <v>1234150001</v>
      </c>
      <c r="B6" s="4" t="s">
        <v>3513</v>
      </c>
      <c r="C6" s="3" t="s">
        <v>3514</v>
      </c>
      <c r="D6" s="6" t="s">
        <v>3515</v>
      </c>
    </row>
    <row r="7" spans="1:4" ht="30.6" x14ac:dyDescent="0.3">
      <c r="A7" s="3">
        <v>1245150001</v>
      </c>
      <c r="B7" s="4" t="s">
        <v>3516</v>
      </c>
      <c r="C7" s="3" t="s">
        <v>3514</v>
      </c>
      <c r="D7" s="6" t="s">
        <v>3517</v>
      </c>
    </row>
    <row r="8" spans="1:4" ht="20.399999999999999" x14ac:dyDescent="0.3">
      <c r="A8" s="3">
        <v>1234150008</v>
      </c>
      <c r="B8" s="4" t="s">
        <v>3518</v>
      </c>
      <c r="C8" s="3" t="s">
        <v>3514</v>
      </c>
      <c r="D8" s="6" t="s">
        <v>3519</v>
      </c>
    </row>
    <row r="9" spans="1:4" ht="20.399999999999999" x14ac:dyDescent="0.3">
      <c r="A9" s="3">
        <v>1240130029</v>
      </c>
      <c r="B9" s="4" t="s">
        <v>3520</v>
      </c>
      <c r="C9" s="3" t="s">
        <v>3514</v>
      </c>
      <c r="D9" s="6" t="s">
        <v>3519</v>
      </c>
    </row>
    <row r="10" spans="1:4" ht="30.6" x14ac:dyDescent="0.3">
      <c r="A10" s="3">
        <v>1245150017</v>
      </c>
      <c r="B10" s="4" t="s">
        <v>3521</v>
      </c>
      <c r="C10" s="3" t="s">
        <v>3514</v>
      </c>
      <c r="D10" s="6" t="s">
        <v>3522</v>
      </c>
    </row>
    <row r="11" spans="1:4" x14ac:dyDescent="0.3">
      <c r="A11" s="3">
        <v>1211210002</v>
      </c>
      <c r="B11" s="4" t="s">
        <v>3523</v>
      </c>
      <c r="C11" s="3" t="s">
        <v>3524</v>
      </c>
      <c r="D11" s="6" t="s">
        <v>3525</v>
      </c>
    </row>
    <row r="12" spans="1:4" x14ac:dyDescent="0.3">
      <c r="A12" s="3"/>
      <c r="B12" s="4"/>
      <c r="C12" s="3"/>
      <c r="D12" s="6"/>
    </row>
    <row r="13" spans="1:4" x14ac:dyDescent="0.3">
      <c r="A13" s="3">
        <v>1719140011</v>
      </c>
      <c r="B13" s="4" t="s">
        <v>3526</v>
      </c>
      <c r="C13" s="3" t="s">
        <v>3527</v>
      </c>
      <c r="D13" s="6" t="s">
        <v>3528</v>
      </c>
    </row>
    <row r="14" spans="1:4" x14ac:dyDescent="0.3">
      <c r="A14" s="3">
        <v>1636100001</v>
      </c>
      <c r="B14" s="4" t="s">
        <v>3529</v>
      </c>
      <c r="C14" s="3" t="s">
        <v>3527</v>
      </c>
      <c r="D14" s="6" t="s">
        <v>3530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3B197BAA0C3843A9378427AE6BA85E" ma:contentTypeVersion="7" ma:contentTypeDescription="Create a new document." ma:contentTypeScope="" ma:versionID="4947c40bf947b925af20d6948e5df5fb">
  <xsd:schema xmlns:xsd="http://www.w3.org/2001/XMLSchema" xmlns:xs="http://www.w3.org/2001/XMLSchema" xmlns:p="http://schemas.microsoft.com/office/2006/metadata/properties" xmlns:ns2="b3b499aa-687d-4987-afbd-602c3ddb8a81" xmlns:ns3="225c3a28-8c40-491b-ab8e-93afb647132e" targetNamespace="http://schemas.microsoft.com/office/2006/metadata/properties" ma:root="true" ma:fieldsID="f02aed0ede395c215dce9f9fc171bed1" ns2:_="" ns3:_="">
    <xsd:import namespace="b3b499aa-687d-4987-afbd-602c3ddb8a81"/>
    <xsd:import namespace="225c3a28-8c40-491b-ab8e-93afb64713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b499aa-687d-4987-afbd-602c3ddb8a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c3a28-8c40-491b-ab8e-93afb647132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35AAF1-9A59-4329-8740-3F5B47141E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b499aa-687d-4987-afbd-602c3ddb8a81"/>
    <ds:schemaRef ds:uri="225c3a28-8c40-491b-ab8e-93afb64713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9602A5-FF31-44EE-A643-A14BDA6121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07A842-7C12-45DA-9F82-8204931B698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58F5ECD-EAC3-4788-8EBB-7AC4D6B6BEDE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225c3a28-8c40-491b-ab8e-93afb647132e"/>
    <ds:schemaRef ds:uri="b3b499aa-687d-4987-afbd-602c3ddb8a8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Condiciones</vt:lpstr>
      <vt:lpstr>CONTABILIZACION</vt:lpstr>
      <vt:lpstr>CHILE</vt:lpstr>
      <vt:lpstr>PERU </vt:lpstr>
      <vt:lpstr>ECUADOR</vt:lpstr>
      <vt:lpstr>COLOMBIA</vt:lpstr>
      <vt:lpstr>ARGENTINA</vt:lpstr>
      <vt:lpstr>URUGUAY</vt:lpstr>
      <vt:lpstr>CUENTAS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Gomez Susan</dc:creator>
  <cp:keywords/>
  <dc:description/>
  <cp:lastModifiedBy>Continuous Improvement 01</cp:lastModifiedBy>
  <cp:revision/>
  <dcterms:created xsi:type="dcterms:W3CDTF">2019-09-10T17:19:37Z</dcterms:created>
  <dcterms:modified xsi:type="dcterms:W3CDTF">2026-08-06T14:51:57Z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2e9a4386-74b9-4603-ae20-950a659f9b6e_Enabled">
    <vt:lpwstr>true</vt:lpwstr>
  </property>
  <property fmtid="{D5CDD505-2E9C-101B-9397-08002B2CF9AE}" pid="5" name="MSIP_Label_2e9a4386-74b9-4603-ae20-950a659f9b6e_SetDate">
    <vt:lpwstr>2022-03-08T17:59:20Z</vt:lpwstr>
  </property>
  <property fmtid="{D5CDD505-2E9C-101B-9397-08002B2CF9AE}" pid="6" name="MSIP_Label_2e9a4386-74b9-4603-ae20-950a659f9b6e_Method">
    <vt:lpwstr>Standard</vt:lpwstr>
  </property>
  <property fmtid="{D5CDD505-2E9C-101B-9397-08002B2CF9AE}" pid="7" name="MSIP_Label_2e9a4386-74b9-4603-ae20-950a659f9b6e_Name">
    <vt:lpwstr>Internal Use Only</vt:lpwstr>
  </property>
  <property fmtid="{D5CDD505-2E9C-101B-9397-08002B2CF9AE}" pid="8" name="MSIP_Label_2e9a4386-74b9-4603-ae20-950a659f9b6e_SiteId">
    <vt:lpwstr>c7d1a8f7-0546-4a0c-8cf5-3ddaebf97d51</vt:lpwstr>
  </property>
  <property fmtid="{D5CDD505-2E9C-101B-9397-08002B2CF9AE}" pid="9" name="MSIP_Label_2e9a4386-74b9-4603-ae20-950a659f9b6e_ActionId">
    <vt:lpwstr>4423a548-6cc6-467b-8df8-ffc2d330e4ba</vt:lpwstr>
  </property>
  <property fmtid="{D5CDD505-2E9C-101B-9397-08002B2CF9AE}" pid="10" name="MSIP_Label_2e9a4386-74b9-4603-ae20-950a659f9b6e_ContentBits">
    <vt:lpwstr>0</vt:lpwstr>
  </property>
  <property fmtid="{D5CDD505-2E9C-101B-9397-08002B2CF9AE}" pid="11" name="ContentTypeId">
    <vt:lpwstr>0x0101003A3B197BAA0C3843A9378427AE6BA85E</vt:lpwstr>
  </property>
</Properties>
</file>