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lor.lopez\Desktop\"/>
    </mc:Choice>
  </mc:AlternateContent>
  <xr:revisionPtr revIDLastSave="0" documentId="13_ncr:1_{476C19D4-E22B-43DA-A2D7-E04CF0576B54}" xr6:coauthVersionLast="47" xr6:coauthVersionMax="47" xr10:uidLastSave="{00000000-0000-0000-0000-000000000000}"/>
  <bookViews>
    <workbookView xWindow="28680" yWindow="-120" windowWidth="29040" windowHeight="15720" firstSheet="1" activeTab="3" xr2:uid="{544EB5D3-F1D6-4040-B171-D795AF346684}"/>
  </bookViews>
  <sheets>
    <sheet name="lucy" sheetId="21" r:id="rId1"/>
    <sheet name="CUENTAS" sheetId="18" r:id="rId2"/>
    <sheet name="MACHOTE" sheetId="17" r:id="rId3"/>
    <sheet name="TODOS" sheetId="5" r:id="rId4"/>
    <sheet name="contratos" sheetId="11" r:id="rId5"/>
    <sheet name="compenzaciones" sheetId="15" r:id="rId6"/>
    <sheet name="ADMON" sheetId="8" r:id="rId7"/>
    <sheet name="PRORRATEO" sheetId="9" r:id="rId8"/>
    <sheet name="arriendo1" sheetId="10" r:id="rId9"/>
  </sheets>
  <definedNames>
    <definedName name="_xlnm._FilterDatabase" localSheetId="6" hidden="1">ADMON!$A$1:$CX$99</definedName>
    <definedName name="_xlnm._FilterDatabase" localSheetId="8" hidden="1">arriendo1!$A$1:$DJ$144</definedName>
    <definedName name="_xlnm._FilterDatabase" localSheetId="4" hidden="1">contratos!$A$5:$X$157</definedName>
    <definedName name="_xlnm._FilterDatabase" localSheetId="7" hidden="1">PRORRATEO!$A$1:$O$106</definedName>
    <definedName name="_xlnm._FilterDatabase" localSheetId="3" hidden="1">TODOS!$A$8:$Y$1760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06" i="5" l="1"/>
  <c r="D1705" i="5"/>
  <c r="D1704" i="5"/>
  <c r="D188" i="5"/>
  <c r="D189" i="5"/>
  <c r="D187" i="5"/>
  <c r="D1035" i="5"/>
  <c r="D1036" i="5"/>
  <c r="D637" i="5"/>
  <c r="G746" i="5"/>
  <c r="D1282" i="5"/>
  <c r="L170" i="15"/>
  <c r="D1548" i="5" l="1"/>
  <c r="D1302" i="5"/>
  <c r="M777" i="5"/>
  <c r="M776" i="5"/>
  <c r="D776" i="5" s="1"/>
  <c r="M775" i="5"/>
  <c r="D778" i="5"/>
  <c r="D775" i="5"/>
  <c r="L1761" i="5"/>
  <c r="G778" i="5"/>
  <c r="G775" i="5"/>
  <c r="G777" i="5"/>
  <c r="G776" i="5"/>
  <c r="D777" i="5" l="1"/>
  <c r="D779" i="5" s="1"/>
  <c r="G93" i="15"/>
  <c r="G92" i="15"/>
  <c r="D222" i="5"/>
  <c r="D224" i="5"/>
  <c r="K224" i="5"/>
  <c r="D223" i="5" s="1"/>
  <c r="N1254" i="5" a="1"/>
  <c r="N1254" i="5" s="1"/>
  <c r="M1254" i="5" a="1"/>
  <c r="M1254" i="5" s="1"/>
  <c r="K1254" i="5" a="1"/>
  <c r="K1254" i="5" s="1"/>
  <c r="L1254" i="5" a="1"/>
  <c r="L1254" i="5" s="1"/>
  <c r="J1254" i="5" a="1"/>
  <c r="J1254" i="5" s="1"/>
  <c r="N1179" i="5"/>
  <c r="M1179" i="5"/>
  <c r="L1179" i="5"/>
  <c r="K1179" i="5"/>
  <c r="J1179" i="5"/>
  <c r="L69" i="5" l="1"/>
  <c r="D69" i="5" s="1"/>
  <c r="M69" i="5"/>
  <c r="D71" i="5" s="1"/>
  <c r="D67" i="5"/>
  <c r="A1159" i="5"/>
  <c r="D445" i="5"/>
  <c r="D444" i="5"/>
  <c r="D441" i="5"/>
  <c r="D1368" i="5"/>
  <c r="D686" i="5"/>
  <c r="K1127" i="5"/>
  <c r="D57" i="5"/>
  <c r="D499" i="5"/>
  <c r="J887" i="5"/>
  <c r="D1409" i="5"/>
  <c r="G1409" i="5"/>
  <c r="I1409" i="5"/>
  <c r="O1254" i="5"/>
  <c r="D871" i="5"/>
  <c r="D869" i="5"/>
  <c r="G1761" i="5"/>
  <c r="D1761" i="5"/>
  <c r="I1760" i="5"/>
  <c r="I1759" i="5"/>
  <c r="G1760" i="5"/>
  <c r="G1759" i="5"/>
  <c r="T1758" i="5"/>
  <c r="S1758" i="5"/>
  <c r="O1758" i="5"/>
  <c r="N1758" i="5"/>
  <c r="M1758" i="5"/>
  <c r="L1758" i="5"/>
  <c r="K1758" i="5"/>
  <c r="J1758" i="5"/>
  <c r="D12" i="5" l="1"/>
  <c r="D11" i="5"/>
  <c r="D10" i="5"/>
  <c r="D636" i="5" l="1"/>
  <c r="D635" i="5"/>
  <c r="D634" i="5"/>
  <c r="D24" i="5"/>
  <c r="D23" i="5"/>
  <c r="D25" i="5"/>
  <c r="D1608" i="5"/>
  <c r="A31" i="15" l="1"/>
  <c r="G39" i="5" l="1"/>
  <c r="G40" i="5"/>
  <c r="G41" i="5"/>
  <c r="M35" i="5"/>
  <c r="J35" i="5" s="1"/>
  <c r="K35" i="5" s="1"/>
  <c r="D39" i="5" s="1"/>
  <c r="G151" i="5"/>
  <c r="G146" i="5"/>
  <c r="G148" i="5"/>
  <c r="G147" i="5"/>
  <c r="G1549" i="5"/>
  <c r="G1545" i="5"/>
  <c r="G1548" i="5"/>
  <c r="D1545" i="5"/>
  <c r="G38" i="5"/>
  <c r="G1748" i="5"/>
  <c r="I1748" i="5"/>
  <c r="I1749" i="5" s="1"/>
  <c r="I1750" i="5" s="1"/>
  <c r="I1751" i="5" s="1"/>
  <c r="T1747" i="5"/>
  <c r="S1747" i="5"/>
  <c r="O1747" i="5"/>
  <c r="D1748" i="5" s="1"/>
  <c r="N1747" i="5"/>
  <c r="M1747" i="5"/>
  <c r="L1747" i="5"/>
  <c r="K1747" i="5"/>
  <c r="J1747" i="5"/>
  <c r="O1201" i="5"/>
  <c r="D1371" i="5"/>
  <c r="J34" i="5" l="1"/>
  <c r="K34" i="5" s="1"/>
  <c r="J37" i="5"/>
  <c r="K37" i="5" s="1"/>
  <c r="D41" i="5" s="1"/>
  <c r="J36" i="5"/>
  <c r="K36" i="5" s="1"/>
  <c r="D40" i="5" s="1"/>
  <c r="D1751" i="5"/>
  <c r="D1749" i="5" s="1"/>
  <c r="D1750" i="5" s="1"/>
  <c r="D1447" i="5"/>
  <c r="D1444" i="5"/>
  <c r="K38" i="5" l="1"/>
  <c r="D38" i="5"/>
  <c r="D42" i="5" s="1"/>
  <c r="D1752" i="5"/>
  <c r="D1448" i="5"/>
  <c r="A15" i="21"/>
  <c r="B15" i="21"/>
  <c r="C15" i="21"/>
  <c r="D15" i="21"/>
  <c r="F15" i="21"/>
  <c r="G15" i="21"/>
  <c r="A16" i="21"/>
  <c r="B16" i="21"/>
  <c r="C16" i="21"/>
  <c r="D16" i="21"/>
  <c r="F16" i="21"/>
  <c r="G16" i="21"/>
  <c r="A17" i="21"/>
  <c r="B17" i="21"/>
  <c r="C17" i="21"/>
  <c r="D17" i="21"/>
  <c r="F17" i="21"/>
  <c r="G17" i="21"/>
  <c r="A18" i="21"/>
  <c r="B18" i="21"/>
  <c r="C18" i="21"/>
  <c r="D18" i="21"/>
  <c r="F18" i="21"/>
  <c r="G18" i="21"/>
  <c r="A19" i="21"/>
  <c r="B19" i="21"/>
  <c r="C19" i="21"/>
  <c r="D19" i="21"/>
  <c r="F19" i="21"/>
  <c r="G19" i="21"/>
  <c r="A20" i="21"/>
  <c r="B20" i="21"/>
  <c r="C20" i="21"/>
  <c r="D20" i="21"/>
  <c r="F20" i="21"/>
  <c r="G20" i="21"/>
  <c r="G694" i="5" l="1"/>
  <c r="D1615" i="5"/>
  <c r="I150" i="9"/>
  <c r="D860" i="5"/>
  <c r="D861" i="5"/>
  <c r="L484" i="5"/>
  <c r="D862" i="5" l="1"/>
  <c r="D967" i="5"/>
  <c r="J719" i="5" l="1"/>
  <c r="D597" i="5" l="1"/>
  <c r="D1525" i="5"/>
  <c r="D192" i="5"/>
  <c r="D561" i="5"/>
  <c r="D560" i="5"/>
  <c r="G54" i="15"/>
  <c r="G45" i="15"/>
  <c r="G53" i="15"/>
  <c r="G56" i="15" s="1"/>
  <c r="G48" i="15"/>
  <c r="G44" i="15"/>
  <c r="D1462" i="5"/>
  <c r="D1461" i="5"/>
  <c r="D1466" i="5"/>
  <c r="D650" i="5"/>
  <c r="D649" i="5"/>
  <c r="D648" i="5"/>
  <c r="D1018" i="5"/>
  <c r="G50" i="15" l="1"/>
  <c r="A57" i="15"/>
  <c r="L54" i="15"/>
  <c r="K482" i="5"/>
  <c r="J484" i="5" s="1"/>
  <c r="K481" i="5"/>
  <c r="D1098" i="5"/>
  <c r="D1549" i="5"/>
  <c r="A248" i="15"/>
  <c r="J485" i="5" l="1"/>
  <c r="K485" i="5" s="1"/>
  <c r="D482" i="5" s="1"/>
  <c r="J486" i="5"/>
  <c r="K486" i="5" s="1"/>
  <c r="D483" i="5" s="1"/>
  <c r="K484" i="5"/>
  <c r="D481" i="5" s="1"/>
  <c r="J483" i="5"/>
  <c r="K483" i="5" s="1"/>
  <c r="D480" i="5" s="1"/>
  <c r="D572" i="5"/>
  <c r="B258" i="15"/>
  <c r="K258" i="15" s="1"/>
  <c r="G259" i="15"/>
  <c r="G263" i="15" s="1"/>
  <c r="B268" i="15"/>
  <c r="B269" i="15" s="1"/>
  <c r="G267" i="15"/>
  <c r="G264" i="15"/>
  <c r="A251" i="15" s="1"/>
  <c r="C258" i="15"/>
  <c r="C266" i="15" s="1"/>
  <c r="A258" i="15"/>
  <c r="A266" i="15" s="1"/>
  <c r="E252" i="15"/>
  <c r="E251" i="15"/>
  <c r="G269" i="15" s="1"/>
  <c r="K748" i="5"/>
  <c r="L746" i="5" s="1"/>
  <c r="M746" i="5" s="1"/>
  <c r="D749" i="5" s="1"/>
  <c r="G96" i="15"/>
  <c r="D38" i="15"/>
  <c r="D1719" i="5"/>
  <c r="D1718" i="5"/>
  <c r="D1671" i="5"/>
  <c r="G1746" i="5"/>
  <c r="D1746" i="5"/>
  <c r="G1745" i="5"/>
  <c r="G1744" i="5"/>
  <c r="I1744" i="5"/>
  <c r="I1745" i="5" s="1"/>
  <c r="T1743" i="5"/>
  <c r="S1743" i="5"/>
  <c r="O1743" i="5"/>
  <c r="N1743" i="5"/>
  <c r="M1743" i="5"/>
  <c r="L1743" i="5"/>
  <c r="K1743" i="5"/>
  <c r="J1743" i="5"/>
  <c r="G1012" i="5"/>
  <c r="D1242" i="5"/>
  <c r="D1246" i="5" s="1"/>
  <c r="N1054" i="5"/>
  <c r="I1741" i="5"/>
  <c r="I1742" i="5" s="1"/>
  <c r="D1742" i="5"/>
  <c r="G1741" i="5"/>
  <c r="G1742" i="5" s="1"/>
  <c r="T1740" i="5"/>
  <c r="S1740" i="5"/>
  <c r="R1740" i="5"/>
  <c r="Q1740" i="5"/>
  <c r="P1740" i="5"/>
  <c r="O1740" i="5"/>
  <c r="N1740" i="5"/>
  <c r="M1740" i="5"/>
  <c r="L1740" i="5"/>
  <c r="K1740" i="5"/>
  <c r="J1740" i="5"/>
  <c r="D159" i="5"/>
  <c r="G268" i="15" l="1"/>
  <c r="D479" i="5"/>
  <c r="K487" i="5"/>
  <c r="A249" i="15"/>
  <c r="P258" i="15"/>
  <c r="K259" i="15"/>
  <c r="B266" i="15"/>
  <c r="M267" i="15"/>
  <c r="G270" i="15"/>
  <c r="G266" i="15" s="1"/>
  <c r="Q258" i="15"/>
  <c r="L258" i="15"/>
  <c r="G262" i="15"/>
  <c r="M260" i="15" s="1"/>
  <c r="T1731" i="5"/>
  <c r="S1731" i="5"/>
  <c r="O1731" i="5"/>
  <c r="D1733" i="5" s="1"/>
  <c r="J1731" i="5"/>
  <c r="N1731" i="5"/>
  <c r="G1732" i="5"/>
  <c r="G1733" i="5" s="1"/>
  <c r="G1734" i="5" s="1"/>
  <c r="G1735" i="5" s="1"/>
  <c r="G1736" i="5" s="1"/>
  <c r="G1737" i="5" s="1"/>
  <c r="G1738" i="5" s="1"/>
  <c r="L486" i="5" l="1"/>
  <c r="A252" i="15"/>
  <c r="A254" i="15" s="1"/>
  <c r="K266" i="15"/>
  <c r="K267" i="15" s="1"/>
  <c r="K268" i="15" s="1"/>
  <c r="K260" i="15"/>
  <c r="K261" i="15" s="1"/>
  <c r="D1738" i="5"/>
  <c r="D1737" i="5"/>
  <c r="I1733" i="5"/>
  <c r="I1734" i="5" s="1"/>
  <c r="I1735" i="5" s="1"/>
  <c r="K1731" i="5"/>
  <c r="M1731" i="5"/>
  <c r="L1731" i="5"/>
  <c r="D90" i="5" l="1"/>
  <c r="G1404" i="5" l="1"/>
  <c r="K1342" i="5"/>
  <c r="G1665" i="5"/>
  <c r="G1512" i="5"/>
  <c r="D131" i="5" l="1"/>
  <c r="G828" i="5" l="1"/>
  <c r="D1213" i="5"/>
  <c r="D1212" i="5"/>
  <c r="J1081" i="5"/>
  <c r="D581" i="5"/>
  <c r="B240" i="15"/>
  <c r="B241" i="15" s="1"/>
  <c r="G231" i="15"/>
  <c r="G235" i="15" s="1"/>
  <c r="C230" i="15"/>
  <c r="C238" i="15" s="1"/>
  <c r="B230" i="15"/>
  <c r="A230" i="15"/>
  <c r="A238" i="15" s="1"/>
  <c r="E224" i="15"/>
  <c r="E223" i="15"/>
  <c r="G241" i="15" s="1"/>
  <c r="A220" i="15"/>
  <c r="B3" i="15"/>
  <c r="D1454" i="5"/>
  <c r="D889" i="5"/>
  <c r="D1322" i="5"/>
  <c r="K1320" i="5" s="1"/>
  <c r="D1318" i="5"/>
  <c r="G240" i="15" l="1"/>
  <c r="G239" i="15"/>
  <c r="M239" i="15" s="1"/>
  <c r="A221" i="15"/>
  <c r="P230" i="15"/>
  <c r="G236" i="15"/>
  <c r="A223" i="15" s="1"/>
  <c r="Q230" i="15"/>
  <c r="K230" i="15"/>
  <c r="K231" i="15" s="1"/>
  <c r="B238" i="15"/>
  <c r="L230" i="15"/>
  <c r="G234" i="15"/>
  <c r="M232" i="15" s="1"/>
  <c r="G242" i="15"/>
  <c r="A224" i="15" s="1"/>
  <c r="D931" i="5"/>
  <c r="D930" i="5"/>
  <c r="D929" i="5"/>
  <c r="K927" i="5" s="1"/>
  <c r="D1358" i="5"/>
  <c r="I106" i="9"/>
  <c r="P1758" i="5" s="1"/>
  <c r="A119" i="15"/>
  <c r="F39" i="17"/>
  <c r="F40" i="17"/>
  <c r="F3" i="21" s="1"/>
  <c r="F41" i="17"/>
  <c r="F4" i="21" s="1"/>
  <c r="J1542" i="5"/>
  <c r="K106" i="9" l="1"/>
  <c r="P1743" i="5"/>
  <c r="A226" i="15"/>
  <c r="G238" i="15"/>
  <c r="K232" i="15"/>
  <c r="K233" i="15" s="1"/>
  <c r="K238" i="15"/>
  <c r="K239" i="15" s="1"/>
  <c r="K240" i="15" s="1"/>
  <c r="J106" i="9"/>
  <c r="D1730" i="5"/>
  <c r="D1739" i="5" s="1"/>
  <c r="D1270" i="5"/>
  <c r="D1326" i="5"/>
  <c r="D1330" i="5"/>
  <c r="G1593" i="5"/>
  <c r="D1696" i="5"/>
  <c r="G1727" i="5"/>
  <c r="D1276" i="5"/>
  <c r="D1128" i="5"/>
  <c r="D1127" i="5"/>
  <c r="D1401" i="5"/>
  <c r="J1416" i="5"/>
  <c r="D1418" i="5"/>
  <c r="G1099" i="5"/>
  <c r="G1096" i="5"/>
  <c r="G1095" i="5"/>
  <c r="G760" i="5"/>
  <c r="D4" i="17"/>
  <c r="D5" i="17"/>
  <c r="D6" i="17"/>
  <c r="D7" i="17"/>
  <c r="D8" i="17"/>
  <c r="D9" i="17"/>
  <c r="D10" i="17"/>
  <c r="D11" i="17"/>
  <c r="D12" i="17"/>
  <c r="D13" i="17"/>
  <c r="D3" i="17"/>
  <c r="D124" i="5"/>
  <c r="D1106" i="5"/>
  <c r="D1108" i="5" s="1"/>
  <c r="G1729" i="5"/>
  <c r="I1729" i="5"/>
  <c r="I1730" i="5" s="1"/>
  <c r="T1728" i="5"/>
  <c r="S1728" i="5"/>
  <c r="R1728" i="5"/>
  <c r="Q1728" i="5"/>
  <c r="P1728" i="5"/>
  <c r="O1728" i="5"/>
  <c r="N1728" i="5"/>
  <c r="M1728" i="5"/>
  <c r="L1728" i="5"/>
  <c r="K1728" i="5"/>
  <c r="J1728" i="5"/>
  <c r="D1590" i="5"/>
  <c r="D1588" i="5"/>
  <c r="D196" i="5"/>
  <c r="G192" i="5"/>
  <c r="Q1743" i="5" l="1"/>
  <c r="Q1758" i="5"/>
  <c r="R1743" i="5"/>
  <c r="R1758" i="5"/>
  <c r="G1730" i="5"/>
  <c r="G1739" i="5" s="1"/>
  <c r="G101" i="15"/>
  <c r="I1725" i="5"/>
  <c r="I1726" i="5" s="1"/>
  <c r="G1725" i="5"/>
  <c r="D1727" i="5"/>
  <c r="G1726" i="5"/>
  <c r="T1724" i="5"/>
  <c r="S1724" i="5"/>
  <c r="O1724" i="5"/>
  <c r="N1724" i="5"/>
  <c r="M1724" i="5"/>
  <c r="L1724" i="5"/>
  <c r="K1724" i="5"/>
  <c r="J1724" i="5"/>
  <c r="D754" i="5"/>
  <c r="G753" i="5"/>
  <c r="D1039" i="5"/>
  <c r="B41" i="17" l="1"/>
  <c r="B4" i="21" s="1"/>
  <c r="G39" i="17"/>
  <c r="G2" i="21" s="1"/>
  <c r="B39" i="17"/>
  <c r="B2" i="21" s="1"/>
  <c r="G211" i="15"/>
  <c r="C210" i="15"/>
  <c r="B210" i="15"/>
  <c r="P210" i="15" s="1"/>
  <c r="A210" i="15"/>
  <c r="E204" i="15"/>
  <c r="E203" i="15"/>
  <c r="G216" i="15" s="1"/>
  <c r="A200" i="15"/>
  <c r="C189" i="15"/>
  <c r="B189" i="15"/>
  <c r="P189" i="15" s="1"/>
  <c r="A189" i="15"/>
  <c r="G169" i="15"/>
  <c r="J161" i="15" s="1"/>
  <c r="C168" i="15"/>
  <c r="B168" i="15"/>
  <c r="A168" i="15"/>
  <c r="G148" i="15"/>
  <c r="C147" i="15"/>
  <c r="B147" i="15"/>
  <c r="K147" i="15" s="1"/>
  <c r="K148" i="15" s="1"/>
  <c r="A147" i="15"/>
  <c r="E141" i="15"/>
  <c r="E140" i="15"/>
  <c r="A137" i="15"/>
  <c r="K1668" i="5"/>
  <c r="D1670" i="5"/>
  <c r="A39" i="17"/>
  <c r="C39" i="17"/>
  <c r="D39" i="17"/>
  <c r="D2" i="21" s="1"/>
  <c r="A40" i="17"/>
  <c r="A3" i="21" s="1"/>
  <c r="C40" i="17"/>
  <c r="C3" i="21" s="1"/>
  <c r="D40" i="17"/>
  <c r="D3" i="21" s="1"/>
  <c r="A41" i="17"/>
  <c r="A4" i="21" s="1"/>
  <c r="C41" i="17"/>
  <c r="C4" i="21" s="1"/>
  <c r="D41" i="17"/>
  <c r="D4" i="21" s="1"/>
  <c r="G1366" i="5"/>
  <c r="D1362" i="5"/>
  <c r="D1578" i="5"/>
  <c r="D284" i="5"/>
  <c r="D1027" i="5"/>
  <c r="G1669" i="5"/>
  <c r="G1667" i="5"/>
  <c r="G826" i="5"/>
  <c r="D1722" i="5"/>
  <c r="D1723" i="5" s="1"/>
  <c r="I1721" i="5"/>
  <c r="I1722" i="5" s="1"/>
  <c r="G1721" i="5"/>
  <c r="G1722" i="5" s="1"/>
  <c r="G1723" i="5" s="1"/>
  <c r="T1720" i="5"/>
  <c r="S1720" i="5"/>
  <c r="R1720" i="5"/>
  <c r="Q1720" i="5"/>
  <c r="P1720" i="5"/>
  <c r="O1720" i="5"/>
  <c r="N1720" i="5"/>
  <c r="M1720" i="5"/>
  <c r="L1720" i="5"/>
  <c r="K1720" i="5"/>
  <c r="J1720" i="5"/>
  <c r="J164" i="15" l="1"/>
  <c r="J163" i="15"/>
  <c r="G173" i="15"/>
  <c r="A162" i="15" s="1"/>
  <c r="K210" i="15"/>
  <c r="K211" i="15" s="1"/>
  <c r="K212" i="15" s="1"/>
  <c r="K213" i="15" s="1"/>
  <c r="G215" i="15"/>
  <c r="A204" i="15" s="1"/>
  <c r="A203" i="15"/>
  <c r="B40" i="17"/>
  <c r="B3" i="21" s="1"/>
  <c r="A201" i="15"/>
  <c r="G214" i="15"/>
  <c r="N213" i="15" s="1"/>
  <c r="Q210" i="15"/>
  <c r="L210" i="15"/>
  <c r="E182" i="15"/>
  <c r="G195" i="15" s="1"/>
  <c r="A182" i="15" s="1"/>
  <c r="G190" i="15"/>
  <c r="Q189" i="15"/>
  <c r="K189" i="15"/>
  <c r="K190" i="15" s="1"/>
  <c r="K191" i="15" s="1"/>
  <c r="K192" i="15" s="1"/>
  <c r="A179" i="15"/>
  <c r="G193" i="15" s="1"/>
  <c r="E183" i="15"/>
  <c r="L189" i="15"/>
  <c r="A158" i="15"/>
  <c r="G172" i="15" s="1"/>
  <c r="E161" i="15"/>
  <c r="G174" i="15" s="1"/>
  <c r="A161" i="15" s="1"/>
  <c r="E162" i="15"/>
  <c r="P168" i="15"/>
  <c r="Q168" i="15"/>
  <c r="K168" i="15"/>
  <c r="K169" i="15" s="1"/>
  <c r="K170" i="15" s="1"/>
  <c r="K171" i="15" s="1"/>
  <c r="L168" i="15"/>
  <c r="K149" i="15"/>
  <c r="K150" i="15" s="1"/>
  <c r="L147" i="15"/>
  <c r="G152" i="15"/>
  <c r="A141" i="15" s="1"/>
  <c r="G153" i="15"/>
  <c r="A140" i="15" s="1"/>
  <c r="A138" i="15"/>
  <c r="P147" i="15"/>
  <c r="Q147" i="15"/>
  <c r="G151" i="15"/>
  <c r="L149" i="15" s="1"/>
  <c r="D1666" i="5"/>
  <c r="D1560" i="5"/>
  <c r="D1561" i="5" s="1"/>
  <c r="D289" i="5"/>
  <c r="D1676" i="5"/>
  <c r="D1677" i="5" s="1"/>
  <c r="G1675" i="5"/>
  <c r="G1673" i="5"/>
  <c r="G212" i="15" l="1"/>
  <c r="A206" i="15"/>
  <c r="A164" i="15"/>
  <c r="G40" i="17"/>
  <c r="G3" i="21" s="1"/>
  <c r="G41" i="17"/>
  <c r="G4" i="21" s="1"/>
  <c r="A180" i="15"/>
  <c r="G194" i="15"/>
  <c r="A183" i="15" s="1"/>
  <c r="A185" i="15" s="1"/>
  <c r="A159" i="15"/>
  <c r="L169" i="15"/>
  <c r="A143" i="15"/>
  <c r="D1245" i="5"/>
  <c r="D872" i="5"/>
  <c r="I34" i="9"/>
  <c r="D1315" i="5"/>
  <c r="G1221" i="5"/>
  <c r="L191" i="15" l="1"/>
  <c r="L46" i="15"/>
  <c r="L45" i="15"/>
  <c r="G49" i="15"/>
  <c r="A37" i="15" s="1"/>
  <c r="G170" i="15"/>
  <c r="A4" i="17"/>
  <c r="F4" i="17"/>
  <c r="J4" i="17"/>
  <c r="A5" i="17"/>
  <c r="F5" i="17"/>
  <c r="J5" i="17"/>
  <c r="A6" i="17"/>
  <c r="F6" i="17"/>
  <c r="J6" i="17"/>
  <c r="A7" i="17"/>
  <c r="F7" i="17"/>
  <c r="J7" i="17"/>
  <c r="A8" i="17"/>
  <c r="F8" i="17"/>
  <c r="J8" i="17"/>
  <c r="A9" i="17"/>
  <c r="F9" i="17"/>
  <c r="J9" i="17"/>
  <c r="A10" i="17"/>
  <c r="F10" i="17"/>
  <c r="J10" i="17"/>
  <c r="A11" i="17"/>
  <c r="F11" i="17"/>
  <c r="J11" i="17"/>
  <c r="A12" i="17"/>
  <c r="F12" i="17"/>
  <c r="J12" i="17"/>
  <c r="A13" i="17"/>
  <c r="F13" i="17"/>
  <c r="J13" i="17"/>
  <c r="O13" i="17"/>
  <c r="A3" i="17"/>
  <c r="G1682" i="5"/>
  <c r="D1682" i="5"/>
  <c r="G1681" i="5"/>
  <c r="G1679" i="5"/>
  <c r="G1680" i="5"/>
  <c r="L47" i="15" l="1"/>
  <c r="K954" i="5"/>
  <c r="K939" i="5" l="1"/>
  <c r="P305" i="5"/>
  <c r="K1343" i="5"/>
  <c r="K1344" i="5" s="1"/>
  <c r="D1556" i="5"/>
  <c r="D1555" i="5"/>
  <c r="D1554" i="5"/>
  <c r="G1717" i="5"/>
  <c r="G1718" i="5" s="1"/>
  <c r="G1719" i="5" s="1"/>
  <c r="I1717" i="5"/>
  <c r="I1718" i="5" s="1"/>
  <c r="I1719" i="5" s="1"/>
  <c r="D1716" i="5"/>
  <c r="T1716" i="5"/>
  <c r="S1716" i="5"/>
  <c r="O1716" i="5"/>
  <c r="N1716" i="5"/>
  <c r="M1716" i="5"/>
  <c r="L1716" i="5"/>
  <c r="K1716" i="5"/>
  <c r="J1716" i="5"/>
  <c r="G757" i="5"/>
  <c r="G756" i="5"/>
  <c r="G758" i="5" s="1"/>
  <c r="G759" i="5" s="1"/>
  <c r="I1709" i="5"/>
  <c r="I1710" i="5" s="1"/>
  <c r="I1711" i="5" s="1"/>
  <c r="G1709" i="5"/>
  <c r="G1710" i="5" s="1"/>
  <c r="G1711" i="5" s="1"/>
  <c r="G1712" i="5" s="1"/>
  <c r="G1713" i="5" s="1"/>
  <c r="G1714" i="5" s="1"/>
  <c r="G1715" i="5" s="1"/>
  <c r="T1708" i="5"/>
  <c r="S1708" i="5"/>
  <c r="O1708" i="5"/>
  <c r="N1708" i="5"/>
  <c r="M1708" i="5"/>
  <c r="L1708" i="5"/>
  <c r="D1709" i="5" s="1"/>
  <c r="D1712" i="5" s="1"/>
  <c r="K1708" i="5"/>
  <c r="J1708" i="5"/>
  <c r="D1626" i="5"/>
  <c r="D1627" i="5" s="1"/>
  <c r="I1625" i="5"/>
  <c r="I1626" i="5" s="1"/>
  <c r="G1625" i="5"/>
  <c r="G1626" i="5" s="1"/>
  <c r="G1627" i="5" s="1"/>
  <c r="T1624" i="5"/>
  <c r="S1624" i="5"/>
  <c r="R1624" i="5"/>
  <c r="Q1624" i="5"/>
  <c r="P1624" i="5"/>
  <c r="O1624" i="5"/>
  <c r="N1624" i="5"/>
  <c r="M1624" i="5"/>
  <c r="L1624" i="5"/>
  <c r="K1624" i="5"/>
  <c r="J1624" i="5"/>
  <c r="J1539" i="5"/>
  <c r="J1540" i="5"/>
  <c r="J1538" i="5"/>
  <c r="D20" i="5"/>
  <c r="G1701" i="5"/>
  <c r="G1702" i="5" s="1"/>
  <c r="G1703" i="5" s="1"/>
  <c r="G1704" i="5" s="1"/>
  <c r="G1705" i="5" s="1"/>
  <c r="G1706" i="5" s="1"/>
  <c r="G1707" i="5" s="1"/>
  <c r="I1701" i="5"/>
  <c r="I1702" i="5" s="1"/>
  <c r="I1703" i="5" s="1"/>
  <c r="I1704" i="5" s="1"/>
  <c r="T1700" i="5"/>
  <c r="S1700" i="5"/>
  <c r="O1700" i="5"/>
  <c r="N1700" i="5"/>
  <c r="M1700" i="5"/>
  <c r="L1700" i="5"/>
  <c r="K1700" i="5"/>
  <c r="J1700" i="5"/>
  <c r="B42" i="17"/>
  <c r="B5" i="21" s="1"/>
  <c r="T1429" i="5"/>
  <c r="S1429" i="5"/>
  <c r="O1429" i="5"/>
  <c r="D1431" i="5" s="1"/>
  <c r="I1679" i="5"/>
  <c r="I1680" i="5" s="1"/>
  <c r="I1681" i="5" s="1"/>
  <c r="A49" i="17"/>
  <c r="A12" i="21" s="1"/>
  <c r="B49" i="17"/>
  <c r="B12" i="21" s="1"/>
  <c r="C49" i="17"/>
  <c r="C12" i="21" s="1"/>
  <c r="D49" i="17"/>
  <c r="D12" i="21" s="1"/>
  <c r="F49" i="17"/>
  <c r="F12" i="21" s="1"/>
  <c r="G49" i="17"/>
  <c r="G12" i="21" s="1"/>
  <c r="A50" i="17"/>
  <c r="A13" i="21" s="1"/>
  <c r="B50" i="17"/>
  <c r="B13" i="21" s="1"/>
  <c r="C50" i="17"/>
  <c r="C13" i="21" s="1"/>
  <c r="D50" i="17"/>
  <c r="D13" i="21" s="1"/>
  <c r="F50" i="17"/>
  <c r="F13" i="21" s="1"/>
  <c r="G50" i="17"/>
  <c r="G13" i="21" s="1"/>
  <c r="A51" i="17"/>
  <c r="A14" i="21" s="1"/>
  <c r="B51" i="17"/>
  <c r="B14" i="21" s="1"/>
  <c r="C51" i="17"/>
  <c r="C14" i="21" s="1"/>
  <c r="D51" i="17"/>
  <c r="D14" i="21" s="1"/>
  <c r="F51" i="17"/>
  <c r="F14" i="21" s="1"/>
  <c r="G51" i="17"/>
  <c r="G14" i="21" s="1"/>
  <c r="A42" i="17"/>
  <c r="A5" i="21" s="1"/>
  <c r="C42" i="17"/>
  <c r="C5" i="21" s="1"/>
  <c r="D42" i="17"/>
  <c r="D5" i="21" s="1"/>
  <c r="F42" i="17"/>
  <c r="F5" i="21" s="1"/>
  <c r="G42" i="17"/>
  <c r="G5" i="21" s="1"/>
  <c r="A43" i="17"/>
  <c r="A6" i="21" s="1"/>
  <c r="B43" i="17"/>
  <c r="B6" i="21" s="1"/>
  <c r="C43" i="17"/>
  <c r="C6" i="21" s="1"/>
  <c r="D43" i="17"/>
  <c r="D6" i="21" s="1"/>
  <c r="F43" i="17"/>
  <c r="F6" i="21" s="1"/>
  <c r="G43" i="17"/>
  <c r="G6" i="21" s="1"/>
  <c r="A44" i="17"/>
  <c r="A7" i="21" s="1"/>
  <c r="B44" i="17"/>
  <c r="B7" i="21" s="1"/>
  <c r="C44" i="17"/>
  <c r="C7" i="21" s="1"/>
  <c r="D44" i="17"/>
  <c r="D7" i="21" s="1"/>
  <c r="F44" i="17"/>
  <c r="F7" i="21" s="1"/>
  <c r="G44" i="17"/>
  <c r="G7" i="21" s="1"/>
  <c r="A45" i="17"/>
  <c r="A8" i="21" s="1"/>
  <c r="B45" i="17"/>
  <c r="B8" i="21" s="1"/>
  <c r="C45" i="17"/>
  <c r="C8" i="21" s="1"/>
  <c r="D45" i="17"/>
  <c r="D8" i="21" s="1"/>
  <c r="F45" i="17"/>
  <c r="F8" i="21" s="1"/>
  <c r="G45" i="17"/>
  <c r="G8" i="21" s="1"/>
  <c r="A46" i="17"/>
  <c r="A9" i="21" s="1"/>
  <c r="B46" i="17"/>
  <c r="B9" i="21" s="1"/>
  <c r="C46" i="17"/>
  <c r="C9" i="21" s="1"/>
  <c r="D46" i="17"/>
  <c r="D9" i="21" s="1"/>
  <c r="F46" i="17"/>
  <c r="F9" i="21" s="1"/>
  <c r="G46" i="17"/>
  <c r="G9" i="21" s="1"/>
  <c r="A47" i="17"/>
  <c r="A10" i="21" s="1"/>
  <c r="B47" i="17"/>
  <c r="B10" i="21" s="1"/>
  <c r="C47" i="17"/>
  <c r="C10" i="21" s="1"/>
  <c r="D47" i="17"/>
  <c r="D10" i="21" s="1"/>
  <c r="F47" i="17"/>
  <c r="F10" i="21" s="1"/>
  <c r="G47" i="17"/>
  <c r="G10" i="21" s="1"/>
  <c r="A48" i="17"/>
  <c r="A11" i="21" s="1"/>
  <c r="B48" i="17"/>
  <c r="B11" i="21" s="1"/>
  <c r="C48" i="17"/>
  <c r="C11" i="21" s="1"/>
  <c r="D48" i="17"/>
  <c r="D11" i="21" s="1"/>
  <c r="F48" i="17"/>
  <c r="F11" i="21" s="1"/>
  <c r="G48" i="17"/>
  <c r="G11" i="21" s="1"/>
  <c r="G1546" i="5"/>
  <c r="G1547" i="5"/>
  <c r="D1713" i="5" l="1"/>
  <c r="D1714" i="5"/>
  <c r="D1710" i="5"/>
  <c r="D1711" i="5" s="1"/>
  <c r="J1541" i="5"/>
  <c r="D1542" i="5" s="1"/>
  <c r="D1543" i="5" s="1"/>
  <c r="D1434" i="5"/>
  <c r="D1430" i="5"/>
  <c r="G1176" i="5"/>
  <c r="D1715" i="5" l="1"/>
  <c r="D1519" i="5" l="1"/>
  <c r="D797" i="5" l="1"/>
  <c r="D1237" i="5"/>
  <c r="D1218" i="5"/>
  <c r="D1217" i="5"/>
  <c r="D1513" i="5"/>
  <c r="D1514" i="5" s="1"/>
  <c r="D1292" i="5"/>
  <c r="D1294" i="5"/>
  <c r="D1296" i="5" s="1"/>
  <c r="D1295" i="5" s="1"/>
  <c r="D415" i="5"/>
  <c r="D414" i="5"/>
  <c r="D413" i="5"/>
  <c r="D1453" i="5"/>
  <c r="D1405" i="5"/>
  <c r="D838" i="5"/>
  <c r="G90" i="5"/>
  <c r="G91" i="5" s="1"/>
  <c r="G92" i="5" s="1"/>
  <c r="I90" i="5"/>
  <c r="I91" i="5" s="1"/>
  <c r="I92" i="5" s="1"/>
  <c r="D1219" i="5" l="1"/>
  <c r="D1025" i="5"/>
  <c r="G1022" i="5"/>
  <c r="G1021" i="5"/>
  <c r="D744" i="5" l="1"/>
  <c r="J745" i="5"/>
  <c r="K745" i="5"/>
  <c r="L745" i="5"/>
  <c r="M745" i="5"/>
  <c r="N745" i="5"/>
  <c r="O745" i="5"/>
  <c r="G20" i="5" l="1"/>
  <c r="D497" i="5"/>
  <c r="G1410" i="5"/>
  <c r="D1698" i="5"/>
  <c r="G1699" i="5"/>
  <c r="I1699" i="5"/>
  <c r="J1698" i="5"/>
  <c r="T1698" i="5"/>
  <c r="S1698" i="5"/>
  <c r="R1698" i="5"/>
  <c r="Q1698" i="5"/>
  <c r="P1698" i="5"/>
  <c r="O1698" i="5"/>
  <c r="N1698" i="5"/>
  <c r="M1698" i="5"/>
  <c r="L1698" i="5"/>
  <c r="K1698" i="5"/>
  <c r="D619" i="5"/>
  <c r="K1086" i="5"/>
  <c r="G1695" i="5" l="1"/>
  <c r="G1690" i="5"/>
  <c r="G1692" i="5" s="1"/>
  <c r="G1691" i="5"/>
  <c r="D1697" i="5"/>
  <c r="I1694" i="5"/>
  <c r="I1695" i="5"/>
  <c r="G1697" i="5"/>
  <c r="G1696" i="5"/>
  <c r="G1694" i="5"/>
  <c r="T1693" i="5"/>
  <c r="S1693" i="5"/>
  <c r="R1693" i="5"/>
  <c r="Q1693" i="5"/>
  <c r="P1693" i="5"/>
  <c r="O1693" i="5"/>
  <c r="N1693" i="5"/>
  <c r="M1693" i="5"/>
  <c r="L1693" i="5"/>
  <c r="K1693" i="5"/>
  <c r="J1693" i="5"/>
  <c r="D1691" i="5"/>
  <c r="D1692" i="5" s="1"/>
  <c r="I1690" i="5"/>
  <c r="I1691" i="5" s="1"/>
  <c r="T1689" i="5"/>
  <c r="S1689" i="5"/>
  <c r="R1689" i="5"/>
  <c r="Q1689" i="5"/>
  <c r="P1689" i="5"/>
  <c r="O1689" i="5"/>
  <c r="N1689" i="5"/>
  <c r="M1689" i="5"/>
  <c r="L1689" i="5"/>
  <c r="K1689" i="5"/>
  <c r="J1689" i="5"/>
  <c r="G1686" i="5"/>
  <c r="G1687" i="5"/>
  <c r="G1688" i="5" s="1"/>
  <c r="D1687" i="5"/>
  <c r="D1688" i="5" s="1"/>
  <c r="I1686" i="5"/>
  <c r="I1687" i="5" s="1"/>
  <c r="T1685" i="5"/>
  <c r="S1685" i="5"/>
  <c r="R1685" i="5"/>
  <c r="Q1685" i="5"/>
  <c r="P1685" i="5"/>
  <c r="O1685" i="5"/>
  <c r="N1685" i="5"/>
  <c r="M1685" i="5"/>
  <c r="L1685" i="5"/>
  <c r="K1685" i="5"/>
  <c r="J1685" i="5"/>
  <c r="D1381" i="5"/>
  <c r="G1378" i="5"/>
  <c r="G1373" i="5"/>
  <c r="D169" i="5"/>
  <c r="D454" i="5"/>
  <c r="D453" i="5"/>
  <c r="N1672" i="5" l="1"/>
  <c r="M1672" i="5"/>
  <c r="L1672" i="5"/>
  <c r="K1672" i="5"/>
  <c r="J1672" i="5"/>
  <c r="N1666" i="5"/>
  <c r="M1666" i="5"/>
  <c r="L1666" i="5"/>
  <c r="K1666" i="5"/>
  <c r="J1666" i="5"/>
  <c r="N1663" i="5"/>
  <c r="M1663" i="5"/>
  <c r="L1663" i="5"/>
  <c r="K1663" i="5"/>
  <c r="J1663" i="5"/>
  <c r="N1658" i="5"/>
  <c r="M1658" i="5"/>
  <c r="L1658" i="5"/>
  <c r="K1658" i="5"/>
  <c r="J1658" i="5"/>
  <c r="N1655" i="5"/>
  <c r="M1655" i="5"/>
  <c r="L1655" i="5"/>
  <c r="K1655" i="5"/>
  <c r="J1655" i="5"/>
  <c r="N1652" i="5"/>
  <c r="M1652" i="5"/>
  <c r="L1652" i="5"/>
  <c r="K1652" i="5"/>
  <c r="J1652" i="5"/>
  <c r="N1649" i="5"/>
  <c r="M1649" i="5"/>
  <c r="L1649" i="5"/>
  <c r="K1649" i="5"/>
  <c r="J1649" i="5"/>
  <c r="N1645" i="5"/>
  <c r="M1645" i="5"/>
  <c r="L1645" i="5"/>
  <c r="K1645" i="5"/>
  <c r="J1645" i="5"/>
  <c r="N1642" i="5"/>
  <c r="M1642" i="5"/>
  <c r="L1642" i="5"/>
  <c r="K1642" i="5"/>
  <c r="J1642" i="5"/>
  <c r="N1639" i="5"/>
  <c r="M1639" i="5"/>
  <c r="L1639" i="5"/>
  <c r="K1639" i="5"/>
  <c r="J1639" i="5"/>
  <c r="N1628" i="5"/>
  <c r="M1628" i="5"/>
  <c r="L1628" i="5"/>
  <c r="K1628" i="5"/>
  <c r="J1628" i="5"/>
  <c r="N1620" i="5"/>
  <c r="M1620" i="5"/>
  <c r="L1620" i="5"/>
  <c r="K1620" i="5"/>
  <c r="J1620" i="5"/>
  <c r="N1617" i="5"/>
  <c r="M1617" i="5"/>
  <c r="L1617" i="5"/>
  <c r="K1617" i="5"/>
  <c r="J1617" i="5"/>
  <c r="N1610" i="5"/>
  <c r="M1610" i="5"/>
  <c r="L1610" i="5"/>
  <c r="K1610" i="5"/>
  <c r="J1610" i="5"/>
  <c r="N1604" i="5"/>
  <c r="M1604" i="5"/>
  <c r="L1604" i="5"/>
  <c r="K1604" i="5"/>
  <c r="J1604" i="5"/>
  <c r="N1584" i="5"/>
  <c r="M1584" i="5"/>
  <c r="L1584" i="5"/>
  <c r="K1584" i="5"/>
  <c r="J1584" i="5"/>
  <c r="N1580" i="5"/>
  <c r="M1580" i="5"/>
  <c r="L1580" i="5"/>
  <c r="K1580" i="5"/>
  <c r="J1580" i="5"/>
  <c r="N1574" i="5"/>
  <c r="M1574" i="5"/>
  <c r="L1574" i="5"/>
  <c r="K1574" i="5"/>
  <c r="J1574" i="5"/>
  <c r="N1570" i="5"/>
  <c r="M1570" i="5"/>
  <c r="L1570" i="5"/>
  <c r="K1570" i="5"/>
  <c r="J1570" i="5"/>
  <c r="N1566" i="5"/>
  <c r="M1566" i="5"/>
  <c r="L1566" i="5"/>
  <c r="K1566" i="5"/>
  <c r="J1566" i="5"/>
  <c r="N1562" i="5"/>
  <c r="M1562" i="5"/>
  <c r="L1562" i="5"/>
  <c r="K1562" i="5"/>
  <c r="J1562" i="5"/>
  <c r="N1558" i="5"/>
  <c r="M1558" i="5"/>
  <c r="L1558" i="5"/>
  <c r="K1558" i="5"/>
  <c r="J1558" i="5"/>
  <c r="N1550" i="5"/>
  <c r="M1550" i="5"/>
  <c r="L1550" i="5"/>
  <c r="K1550" i="5"/>
  <c r="J1550" i="5"/>
  <c r="N1544" i="5"/>
  <c r="M1544" i="5"/>
  <c r="L1544" i="5"/>
  <c r="K1544" i="5"/>
  <c r="J1544" i="5"/>
  <c r="N1537" i="5"/>
  <c r="M1537" i="5"/>
  <c r="L1537" i="5"/>
  <c r="K1537" i="5"/>
  <c r="J1537" i="5"/>
  <c r="N1533" i="5"/>
  <c r="M1533" i="5"/>
  <c r="L1533" i="5"/>
  <c r="K1533" i="5"/>
  <c r="J1533" i="5"/>
  <c r="N1527" i="5"/>
  <c r="M1527" i="5"/>
  <c r="L1527" i="5"/>
  <c r="K1527" i="5"/>
  <c r="J1527" i="5"/>
  <c r="N1521" i="5"/>
  <c r="M1521" i="5"/>
  <c r="L1521" i="5"/>
  <c r="K1521" i="5"/>
  <c r="J1521" i="5"/>
  <c r="N1515" i="5"/>
  <c r="M1515" i="5"/>
  <c r="L1515" i="5"/>
  <c r="K1515" i="5"/>
  <c r="J1515" i="5"/>
  <c r="N1511" i="5"/>
  <c r="M1511" i="5"/>
  <c r="L1511" i="5"/>
  <c r="K1511" i="5"/>
  <c r="J1511" i="5"/>
  <c r="N1507" i="5"/>
  <c r="M1507" i="5"/>
  <c r="L1507" i="5"/>
  <c r="K1507" i="5"/>
  <c r="J1507" i="5"/>
  <c r="N1503" i="5"/>
  <c r="M1503" i="5"/>
  <c r="L1503" i="5"/>
  <c r="K1503" i="5"/>
  <c r="J1503" i="5"/>
  <c r="N1500" i="5"/>
  <c r="M1500" i="5"/>
  <c r="L1500" i="5"/>
  <c r="K1500" i="5"/>
  <c r="J1500" i="5"/>
  <c r="N1493" i="5"/>
  <c r="M1493" i="5"/>
  <c r="L1493" i="5"/>
  <c r="K1493" i="5"/>
  <c r="J1493" i="5"/>
  <c r="N1487" i="5"/>
  <c r="M1487" i="5"/>
  <c r="L1487" i="5"/>
  <c r="K1487" i="5"/>
  <c r="J1487" i="5"/>
  <c r="N1481" i="5"/>
  <c r="M1481" i="5"/>
  <c r="L1481" i="5"/>
  <c r="K1481" i="5"/>
  <c r="J1481" i="5"/>
  <c r="N1468" i="5"/>
  <c r="M1468" i="5"/>
  <c r="L1468" i="5"/>
  <c r="K1468" i="5"/>
  <c r="J1468" i="5"/>
  <c r="N1460" i="5"/>
  <c r="M1460" i="5"/>
  <c r="L1460" i="5"/>
  <c r="K1460" i="5"/>
  <c r="J1460" i="5"/>
  <c r="N1452" i="5"/>
  <c r="M1452" i="5"/>
  <c r="L1452" i="5"/>
  <c r="K1452" i="5"/>
  <c r="J1452" i="5"/>
  <c r="N1443" i="5"/>
  <c r="M1443" i="5"/>
  <c r="L1443" i="5"/>
  <c r="K1443" i="5"/>
  <c r="J1443" i="5"/>
  <c r="N1436" i="5"/>
  <c r="M1436" i="5"/>
  <c r="L1436" i="5"/>
  <c r="K1436" i="5"/>
  <c r="J1436" i="5"/>
  <c r="N1408" i="5"/>
  <c r="M1408" i="5"/>
  <c r="L1408" i="5"/>
  <c r="K1408" i="5"/>
  <c r="J1408" i="5"/>
  <c r="N1403" i="5"/>
  <c r="M1403" i="5"/>
  <c r="L1403" i="5"/>
  <c r="K1403" i="5"/>
  <c r="J1403" i="5"/>
  <c r="N1398" i="5"/>
  <c r="M1398" i="5"/>
  <c r="L1398" i="5"/>
  <c r="K1398" i="5"/>
  <c r="J1398" i="5"/>
  <c r="N1390" i="5"/>
  <c r="M1390" i="5"/>
  <c r="L1390" i="5"/>
  <c r="K1390" i="5"/>
  <c r="J1390" i="5"/>
  <c r="N1382" i="5"/>
  <c r="M1382" i="5"/>
  <c r="L1382" i="5"/>
  <c r="K1382" i="5"/>
  <c r="J1382" i="5"/>
  <c r="N1372" i="5"/>
  <c r="M1372" i="5"/>
  <c r="L1372" i="5"/>
  <c r="K1372" i="5"/>
  <c r="J1372" i="5"/>
  <c r="N1363" i="5"/>
  <c r="M1363" i="5"/>
  <c r="L1363" i="5"/>
  <c r="K1363" i="5"/>
  <c r="J1363" i="5"/>
  <c r="N1355" i="5"/>
  <c r="M1355" i="5"/>
  <c r="L1355" i="5"/>
  <c r="K1355" i="5"/>
  <c r="J1355" i="5"/>
  <c r="N1347" i="5"/>
  <c r="M1347" i="5"/>
  <c r="L1347" i="5"/>
  <c r="K1347" i="5"/>
  <c r="J1347" i="5"/>
  <c r="N1336" i="5"/>
  <c r="M1336" i="5"/>
  <c r="L1336" i="5"/>
  <c r="K1336" i="5"/>
  <c r="J1336" i="5"/>
  <c r="N1332" i="5"/>
  <c r="M1332" i="5"/>
  <c r="L1332" i="5"/>
  <c r="K1332" i="5"/>
  <c r="J1332" i="5"/>
  <c r="N1324" i="5"/>
  <c r="M1324" i="5"/>
  <c r="L1324" i="5"/>
  <c r="K1324" i="5"/>
  <c r="J1324" i="5"/>
  <c r="N1317" i="5"/>
  <c r="M1317" i="5"/>
  <c r="L1317" i="5"/>
  <c r="K1317" i="5"/>
  <c r="J1317" i="5"/>
  <c r="N1311" i="5"/>
  <c r="M1311" i="5"/>
  <c r="L1311" i="5"/>
  <c r="K1311" i="5"/>
  <c r="J1311" i="5"/>
  <c r="N1307" i="5"/>
  <c r="M1307" i="5"/>
  <c r="L1307" i="5"/>
  <c r="K1307" i="5"/>
  <c r="J1307" i="5"/>
  <c r="N1304" i="5"/>
  <c r="M1304" i="5"/>
  <c r="L1304" i="5"/>
  <c r="K1304" i="5"/>
  <c r="J1304" i="5"/>
  <c r="N1299" i="5"/>
  <c r="M1299" i="5"/>
  <c r="L1299" i="5"/>
  <c r="K1299" i="5"/>
  <c r="J1299" i="5"/>
  <c r="N1288" i="5"/>
  <c r="M1288" i="5"/>
  <c r="L1288" i="5"/>
  <c r="K1288" i="5"/>
  <c r="J1288" i="5"/>
  <c r="N1284" i="5"/>
  <c r="M1284" i="5"/>
  <c r="L1284" i="5"/>
  <c r="K1284" i="5"/>
  <c r="J1284" i="5"/>
  <c r="N1278" i="5"/>
  <c r="M1278" i="5"/>
  <c r="L1278" i="5"/>
  <c r="K1278" i="5"/>
  <c r="J1278" i="5"/>
  <c r="N1272" i="5"/>
  <c r="M1272" i="5"/>
  <c r="L1272" i="5"/>
  <c r="K1272" i="5"/>
  <c r="J1272" i="5"/>
  <c r="N1266" i="5"/>
  <c r="M1266" i="5"/>
  <c r="L1266" i="5"/>
  <c r="K1266" i="5"/>
  <c r="J1266" i="5"/>
  <c r="N1260" i="5"/>
  <c r="M1260" i="5"/>
  <c r="L1260" i="5"/>
  <c r="K1260" i="5"/>
  <c r="J1260" i="5"/>
  <c r="N1248" i="5"/>
  <c r="M1248" i="5"/>
  <c r="L1248" i="5"/>
  <c r="K1248" i="5"/>
  <c r="J1248" i="5"/>
  <c r="N1240" i="5"/>
  <c r="M1240" i="5"/>
  <c r="L1240" i="5"/>
  <c r="K1240" i="5"/>
  <c r="J1240" i="5"/>
  <c r="N1235" i="5"/>
  <c r="M1235" i="5"/>
  <c r="L1235" i="5"/>
  <c r="K1235" i="5"/>
  <c r="J1235" i="5"/>
  <c r="N1230" i="5"/>
  <c r="M1230" i="5"/>
  <c r="L1230" i="5"/>
  <c r="K1230" i="5"/>
  <c r="J1230" i="5"/>
  <c r="N1225" i="5"/>
  <c r="M1225" i="5"/>
  <c r="L1225" i="5"/>
  <c r="K1225" i="5"/>
  <c r="J1225" i="5"/>
  <c r="N1220" i="5"/>
  <c r="M1220" i="5"/>
  <c r="L1220" i="5"/>
  <c r="K1220" i="5"/>
  <c r="J1220" i="5"/>
  <c r="N1215" i="5"/>
  <c r="M1215" i="5"/>
  <c r="L1215" i="5"/>
  <c r="K1215" i="5"/>
  <c r="J1215" i="5"/>
  <c r="N1208" i="5"/>
  <c r="M1208" i="5"/>
  <c r="L1208" i="5"/>
  <c r="K1208" i="5"/>
  <c r="J1208" i="5"/>
  <c r="N1201" i="5"/>
  <c r="M1201" i="5"/>
  <c r="L1201" i="5"/>
  <c r="K1201" i="5"/>
  <c r="J1201" i="5"/>
  <c r="N1198" i="5"/>
  <c r="M1198" i="5"/>
  <c r="L1198" i="5"/>
  <c r="K1198" i="5"/>
  <c r="J1198" i="5"/>
  <c r="N1193" i="5"/>
  <c r="M1193" i="5"/>
  <c r="L1193" i="5"/>
  <c r="K1193" i="5"/>
  <c r="J1193" i="5"/>
  <c r="N1189" i="5"/>
  <c r="M1189" i="5"/>
  <c r="L1189" i="5"/>
  <c r="K1189" i="5"/>
  <c r="J1189" i="5"/>
  <c r="N1183" i="5"/>
  <c r="M1183" i="5"/>
  <c r="L1183" i="5"/>
  <c r="K1183" i="5"/>
  <c r="J1183" i="5"/>
  <c r="N1175" i="5"/>
  <c r="M1175" i="5"/>
  <c r="L1175" i="5"/>
  <c r="K1175" i="5"/>
  <c r="J1175" i="5"/>
  <c r="N1171" i="5"/>
  <c r="M1171" i="5"/>
  <c r="L1171" i="5"/>
  <c r="K1171" i="5"/>
  <c r="J1171" i="5"/>
  <c r="N1167" i="5"/>
  <c r="M1167" i="5"/>
  <c r="L1167" i="5"/>
  <c r="K1167" i="5"/>
  <c r="J1167" i="5"/>
  <c r="N1161" i="5"/>
  <c r="M1161" i="5"/>
  <c r="L1161" i="5"/>
  <c r="K1161" i="5"/>
  <c r="J1161" i="5"/>
  <c r="N1152" i="5"/>
  <c r="M1152" i="5"/>
  <c r="L1152" i="5"/>
  <c r="K1152" i="5"/>
  <c r="J1152" i="5"/>
  <c r="N1151" i="5"/>
  <c r="M1151" i="5"/>
  <c r="L1151" i="5"/>
  <c r="K1151" i="5"/>
  <c r="J1151" i="5"/>
  <c r="N1147" i="5"/>
  <c r="M1147" i="5"/>
  <c r="L1147" i="5"/>
  <c r="K1147" i="5"/>
  <c r="J1147" i="5"/>
  <c r="N1142" i="5"/>
  <c r="M1142" i="5"/>
  <c r="L1142" i="5"/>
  <c r="K1142" i="5"/>
  <c r="J1142" i="5"/>
  <c r="N1139" i="5"/>
  <c r="M1139" i="5"/>
  <c r="L1139" i="5"/>
  <c r="K1139" i="5"/>
  <c r="J1139" i="5"/>
  <c r="N1136" i="5"/>
  <c r="M1136" i="5"/>
  <c r="L1136" i="5"/>
  <c r="K1136" i="5"/>
  <c r="J1136" i="5"/>
  <c r="N1133" i="5"/>
  <c r="M1133" i="5"/>
  <c r="L1133" i="5"/>
  <c r="K1133" i="5"/>
  <c r="J1133" i="5"/>
  <c r="N1130" i="5"/>
  <c r="M1130" i="5"/>
  <c r="L1130" i="5"/>
  <c r="K1130" i="5"/>
  <c r="J1130" i="5"/>
  <c r="N1123" i="5"/>
  <c r="M1123" i="5"/>
  <c r="L1123" i="5"/>
  <c r="K1123" i="5"/>
  <c r="J1123" i="5"/>
  <c r="N1117" i="5"/>
  <c r="M1117" i="5"/>
  <c r="L1117" i="5"/>
  <c r="K1117" i="5"/>
  <c r="J1117" i="5"/>
  <c r="N1109" i="5"/>
  <c r="M1109" i="5"/>
  <c r="L1109" i="5"/>
  <c r="K1109" i="5"/>
  <c r="J1109" i="5"/>
  <c r="N1100" i="5"/>
  <c r="M1100" i="5"/>
  <c r="L1100" i="5"/>
  <c r="K1100" i="5"/>
  <c r="J1100" i="5"/>
  <c r="N1094" i="5"/>
  <c r="M1094" i="5"/>
  <c r="L1094" i="5"/>
  <c r="K1094" i="5"/>
  <c r="J1094" i="5"/>
  <c r="N1090" i="5"/>
  <c r="M1090" i="5"/>
  <c r="L1090" i="5"/>
  <c r="K1090" i="5"/>
  <c r="J1090" i="5"/>
  <c r="N1083" i="5"/>
  <c r="M1083" i="5"/>
  <c r="L1083" i="5"/>
  <c r="K1083" i="5"/>
  <c r="J1083" i="5"/>
  <c r="N1074" i="5"/>
  <c r="M1074" i="5"/>
  <c r="D1076" i="5" s="1"/>
  <c r="L1074" i="5"/>
  <c r="K1074" i="5"/>
  <c r="J1074" i="5"/>
  <c r="N1067" i="5"/>
  <c r="M1067" i="5"/>
  <c r="L1067" i="5"/>
  <c r="K1067" i="5"/>
  <c r="J1067" i="5"/>
  <c r="N1060" i="5"/>
  <c r="M1060" i="5"/>
  <c r="L1060" i="5"/>
  <c r="K1060" i="5"/>
  <c r="J1060" i="5"/>
  <c r="M1054" i="5"/>
  <c r="L1054" i="5"/>
  <c r="K1054" i="5"/>
  <c r="J1054" i="5"/>
  <c r="N1051" i="5"/>
  <c r="M1051" i="5"/>
  <c r="L1051" i="5"/>
  <c r="K1051" i="5"/>
  <c r="J1051" i="5"/>
  <c r="N1046" i="5"/>
  <c r="M1046" i="5"/>
  <c r="L1046" i="5"/>
  <c r="K1046" i="5"/>
  <c r="J1046" i="5"/>
  <c r="N1042" i="5"/>
  <c r="M1042" i="5"/>
  <c r="L1042" i="5"/>
  <c r="K1042" i="5"/>
  <c r="J1042" i="5"/>
  <c r="N1038" i="5"/>
  <c r="M1038" i="5"/>
  <c r="L1038" i="5"/>
  <c r="K1038" i="5"/>
  <c r="J1038" i="5"/>
  <c r="N1034" i="5"/>
  <c r="M1034" i="5"/>
  <c r="L1034" i="5"/>
  <c r="K1034" i="5"/>
  <c r="J1034" i="5"/>
  <c r="N1030" i="5"/>
  <c r="M1030" i="5"/>
  <c r="L1030" i="5"/>
  <c r="K1030" i="5"/>
  <c r="J1030" i="5"/>
  <c r="N1026" i="5"/>
  <c r="M1026" i="5"/>
  <c r="L1026" i="5"/>
  <c r="K1026" i="5"/>
  <c r="J1026" i="5"/>
  <c r="N1020" i="5"/>
  <c r="M1020" i="5"/>
  <c r="L1020" i="5"/>
  <c r="K1020" i="5"/>
  <c r="J1020" i="5"/>
  <c r="N1014" i="5"/>
  <c r="M1014" i="5"/>
  <c r="L1014" i="5"/>
  <c r="K1014" i="5"/>
  <c r="J1014" i="5"/>
  <c r="N1011" i="5"/>
  <c r="M1011" i="5"/>
  <c r="L1011" i="5"/>
  <c r="K1011" i="5"/>
  <c r="J1011" i="5"/>
  <c r="N1007" i="5"/>
  <c r="M1007" i="5"/>
  <c r="L1007" i="5"/>
  <c r="K1007" i="5"/>
  <c r="J1007" i="5"/>
  <c r="N1001" i="5"/>
  <c r="M1001" i="5"/>
  <c r="L1001" i="5"/>
  <c r="K1001" i="5"/>
  <c r="J1001" i="5"/>
  <c r="N995" i="5"/>
  <c r="M995" i="5"/>
  <c r="L995" i="5"/>
  <c r="K995" i="5"/>
  <c r="J995" i="5"/>
  <c r="N987" i="5"/>
  <c r="M987" i="5"/>
  <c r="L987" i="5"/>
  <c r="K987" i="5"/>
  <c r="J987" i="5"/>
  <c r="N979" i="5"/>
  <c r="M979" i="5"/>
  <c r="L979" i="5"/>
  <c r="K979" i="5"/>
  <c r="J979" i="5"/>
  <c r="N971" i="5"/>
  <c r="M971" i="5"/>
  <c r="L971" i="5"/>
  <c r="K971" i="5"/>
  <c r="J971" i="5"/>
  <c r="N965" i="5"/>
  <c r="M965" i="5"/>
  <c r="L965" i="5"/>
  <c r="K965" i="5"/>
  <c r="J965" i="5"/>
  <c r="N957" i="5"/>
  <c r="M957" i="5"/>
  <c r="L957" i="5"/>
  <c r="K957" i="5"/>
  <c r="J957" i="5"/>
  <c r="N949" i="5"/>
  <c r="M949" i="5"/>
  <c r="L949" i="5"/>
  <c r="K949" i="5"/>
  <c r="J949" i="5"/>
  <c r="N941" i="5"/>
  <c r="M941" i="5"/>
  <c r="L941" i="5"/>
  <c r="K941" i="5"/>
  <c r="J941" i="5"/>
  <c r="N933" i="5"/>
  <c r="M933" i="5"/>
  <c r="L933" i="5"/>
  <c r="K933" i="5"/>
  <c r="J933" i="5"/>
  <c r="N925" i="5"/>
  <c r="M925" i="5"/>
  <c r="L925" i="5"/>
  <c r="K925" i="5"/>
  <c r="J925" i="5"/>
  <c r="N916" i="5"/>
  <c r="M916" i="5"/>
  <c r="L916" i="5"/>
  <c r="K916" i="5"/>
  <c r="J916" i="5"/>
  <c r="N907" i="5"/>
  <c r="M907" i="5"/>
  <c r="L907" i="5"/>
  <c r="K907" i="5"/>
  <c r="J907" i="5"/>
  <c r="N899" i="5"/>
  <c r="M899" i="5"/>
  <c r="L899" i="5"/>
  <c r="K899" i="5"/>
  <c r="J899" i="5"/>
  <c r="N891" i="5"/>
  <c r="M891" i="5"/>
  <c r="L891" i="5"/>
  <c r="K891" i="5"/>
  <c r="J891" i="5"/>
  <c r="N887" i="5"/>
  <c r="M887" i="5"/>
  <c r="L887" i="5"/>
  <c r="K887" i="5"/>
  <c r="N880" i="5"/>
  <c r="M880" i="5"/>
  <c r="L880" i="5"/>
  <c r="K880" i="5"/>
  <c r="J880" i="5"/>
  <c r="N873" i="5"/>
  <c r="M873" i="5"/>
  <c r="L873" i="5"/>
  <c r="K873" i="5"/>
  <c r="J873" i="5"/>
  <c r="N868" i="5"/>
  <c r="M868" i="5"/>
  <c r="L868" i="5"/>
  <c r="K868" i="5"/>
  <c r="J868" i="5"/>
  <c r="N863" i="5"/>
  <c r="M863" i="5"/>
  <c r="L863" i="5"/>
  <c r="K863" i="5"/>
  <c r="J863" i="5"/>
  <c r="N858" i="5"/>
  <c r="M858" i="5"/>
  <c r="L858" i="5"/>
  <c r="K858" i="5"/>
  <c r="J858" i="5"/>
  <c r="N853" i="5"/>
  <c r="M853" i="5"/>
  <c r="L853" i="5"/>
  <c r="K853" i="5"/>
  <c r="J853" i="5"/>
  <c r="N848" i="5"/>
  <c r="M848" i="5"/>
  <c r="L848" i="5"/>
  <c r="K848" i="5"/>
  <c r="J848" i="5"/>
  <c r="N839" i="5"/>
  <c r="M839" i="5"/>
  <c r="L839" i="5"/>
  <c r="K839" i="5"/>
  <c r="J839" i="5"/>
  <c r="N832" i="5"/>
  <c r="M832" i="5"/>
  <c r="L832" i="5"/>
  <c r="K832" i="5"/>
  <c r="J832" i="5"/>
  <c r="N825" i="5"/>
  <c r="M825" i="5"/>
  <c r="L825" i="5"/>
  <c r="K825" i="5"/>
  <c r="J825" i="5"/>
  <c r="N818" i="5"/>
  <c r="M818" i="5"/>
  <c r="L818" i="5"/>
  <c r="K818" i="5"/>
  <c r="J818" i="5"/>
  <c r="N809" i="5"/>
  <c r="M809" i="5"/>
  <c r="L809" i="5"/>
  <c r="K809" i="5"/>
  <c r="J809" i="5"/>
  <c r="N806" i="5"/>
  <c r="M806" i="5"/>
  <c r="L806" i="5"/>
  <c r="K806" i="5"/>
  <c r="J806" i="5"/>
  <c r="N803" i="5"/>
  <c r="M803" i="5"/>
  <c r="L803" i="5"/>
  <c r="K803" i="5"/>
  <c r="J803" i="5"/>
  <c r="N799" i="5"/>
  <c r="M799" i="5"/>
  <c r="L799" i="5"/>
  <c r="K799" i="5"/>
  <c r="J799" i="5"/>
  <c r="N791" i="5"/>
  <c r="M791" i="5"/>
  <c r="L791" i="5"/>
  <c r="K791" i="5"/>
  <c r="J791" i="5"/>
  <c r="N788" i="5"/>
  <c r="M788" i="5"/>
  <c r="L788" i="5"/>
  <c r="K788" i="5"/>
  <c r="J788" i="5"/>
  <c r="N784" i="5"/>
  <c r="M784" i="5"/>
  <c r="L784" i="5"/>
  <c r="K784" i="5"/>
  <c r="J784" i="5"/>
  <c r="N774" i="5"/>
  <c r="M774" i="5"/>
  <c r="L774" i="5"/>
  <c r="K774" i="5"/>
  <c r="J774" i="5"/>
  <c r="N768" i="5"/>
  <c r="M768" i="5"/>
  <c r="L768" i="5"/>
  <c r="K768" i="5"/>
  <c r="J768" i="5"/>
  <c r="N764" i="5"/>
  <c r="M764" i="5"/>
  <c r="L764" i="5"/>
  <c r="K764" i="5"/>
  <c r="J764" i="5"/>
  <c r="N761" i="5"/>
  <c r="M761" i="5"/>
  <c r="L761" i="5"/>
  <c r="K761" i="5"/>
  <c r="J761" i="5"/>
  <c r="N755" i="5"/>
  <c r="M755" i="5"/>
  <c r="L755" i="5"/>
  <c r="K755" i="5"/>
  <c r="J755" i="5"/>
  <c r="N751" i="5"/>
  <c r="M751" i="5"/>
  <c r="L751" i="5"/>
  <c r="K751" i="5"/>
  <c r="J751" i="5"/>
  <c r="N739" i="5"/>
  <c r="M739" i="5"/>
  <c r="L739" i="5"/>
  <c r="K739" i="5"/>
  <c r="J739" i="5"/>
  <c r="N735" i="5"/>
  <c r="M735" i="5"/>
  <c r="L735" i="5"/>
  <c r="K735" i="5"/>
  <c r="J735" i="5"/>
  <c r="N726" i="5"/>
  <c r="M726" i="5"/>
  <c r="L726" i="5"/>
  <c r="K726" i="5"/>
  <c r="J726" i="5"/>
  <c r="N719" i="5"/>
  <c r="M719" i="5"/>
  <c r="L719" i="5"/>
  <c r="K719" i="5"/>
  <c r="N696" i="5"/>
  <c r="M696" i="5"/>
  <c r="L696" i="5"/>
  <c r="K696" i="5"/>
  <c r="J696" i="5"/>
  <c r="N693" i="5"/>
  <c r="M693" i="5"/>
  <c r="L693" i="5"/>
  <c r="K693" i="5"/>
  <c r="J693" i="5"/>
  <c r="N690" i="5"/>
  <c r="M690" i="5"/>
  <c r="L690" i="5"/>
  <c r="K690" i="5"/>
  <c r="J690" i="5"/>
  <c r="N662" i="5"/>
  <c r="M662" i="5"/>
  <c r="L662" i="5"/>
  <c r="K662" i="5"/>
  <c r="J662" i="5"/>
  <c r="N654" i="5"/>
  <c r="M654" i="5"/>
  <c r="L654" i="5"/>
  <c r="K654" i="5"/>
  <c r="J654" i="5"/>
  <c r="N651" i="5"/>
  <c r="M651" i="5"/>
  <c r="L651" i="5"/>
  <c r="K651" i="5"/>
  <c r="J651" i="5"/>
  <c r="N642" i="5"/>
  <c r="M642" i="5"/>
  <c r="L642" i="5"/>
  <c r="K642" i="5"/>
  <c r="J642" i="5"/>
  <c r="N602" i="5"/>
  <c r="M602" i="5"/>
  <c r="L602" i="5"/>
  <c r="K602" i="5"/>
  <c r="J602" i="5"/>
  <c r="N590" i="5"/>
  <c r="M590" i="5"/>
  <c r="L590" i="5"/>
  <c r="K590" i="5"/>
  <c r="J590" i="5"/>
  <c r="N585" i="5"/>
  <c r="M585" i="5"/>
  <c r="L585" i="5"/>
  <c r="K585" i="5"/>
  <c r="J585" i="5"/>
  <c r="N457" i="5"/>
  <c r="M457" i="5"/>
  <c r="L457" i="5"/>
  <c r="K457" i="5"/>
  <c r="J457" i="5"/>
  <c r="N430" i="5"/>
  <c r="M430" i="5"/>
  <c r="L430" i="5"/>
  <c r="K430" i="5"/>
  <c r="J430" i="5"/>
  <c r="N422" i="5"/>
  <c r="M422" i="5"/>
  <c r="L422" i="5"/>
  <c r="K422" i="5"/>
  <c r="J422" i="5"/>
  <c r="N388" i="5"/>
  <c r="M388" i="5"/>
  <c r="L388" i="5"/>
  <c r="K388" i="5"/>
  <c r="J388" i="5"/>
  <c r="N227" i="5"/>
  <c r="M227" i="5"/>
  <c r="L227" i="5"/>
  <c r="K227" i="5"/>
  <c r="J227" i="5"/>
  <c r="N221" i="5"/>
  <c r="M221" i="5"/>
  <c r="L221" i="5"/>
  <c r="K221" i="5"/>
  <c r="J221" i="5"/>
  <c r="N213" i="5"/>
  <c r="M213" i="5"/>
  <c r="L213" i="5"/>
  <c r="K213" i="5"/>
  <c r="J213" i="5"/>
  <c r="N206" i="5"/>
  <c r="M206" i="5"/>
  <c r="L206" i="5"/>
  <c r="K206" i="5"/>
  <c r="J206" i="5"/>
  <c r="N152" i="5"/>
  <c r="M152" i="5"/>
  <c r="L152" i="5"/>
  <c r="K152" i="5"/>
  <c r="J152" i="5"/>
  <c r="N145" i="5"/>
  <c r="M145" i="5"/>
  <c r="L145" i="5"/>
  <c r="K145" i="5"/>
  <c r="J145" i="5"/>
  <c r="N139" i="5"/>
  <c r="M139" i="5"/>
  <c r="L139" i="5"/>
  <c r="K139" i="5"/>
  <c r="J139" i="5"/>
  <c r="N133" i="5"/>
  <c r="M133" i="5"/>
  <c r="L133" i="5"/>
  <c r="K133" i="5"/>
  <c r="J133" i="5"/>
  <c r="N126" i="5"/>
  <c r="M126" i="5"/>
  <c r="L126" i="5"/>
  <c r="K126" i="5"/>
  <c r="J126" i="5"/>
  <c r="N117" i="5"/>
  <c r="M117" i="5"/>
  <c r="L117" i="5"/>
  <c r="K117" i="5"/>
  <c r="J117" i="5"/>
  <c r="N101" i="5"/>
  <c r="M101" i="5"/>
  <c r="L101" i="5"/>
  <c r="K101" i="5"/>
  <c r="J101" i="5"/>
  <c r="N97" i="5"/>
  <c r="M97" i="5"/>
  <c r="L97" i="5"/>
  <c r="K97" i="5"/>
  <c r="J97" i="5"/>
  <c r="N89" i="5"/>
  <c r="M89" i="5"/>
  <c r="L89" i="5"/>
  <c r="K89" i="5"/>
  <c r="J89" i="5"/>
  <c r="N52" i="5"/>
  <c r="M52" i="5"/>
  <c r="L52" i="5"/>
  <c r="K52" i="5"/>
  <c r="J52" i="5"/>
  <c r="N21" i="5"/>
  <c r="M21" i="5"/>
  <c r="L21" i="5"/>
  <c r="K21" i="5"/>
  <c r="J21" i="5"/>
  <c r="J74" i="5"/>
  <c r="D1080" i="5" l="1"/>
  <c r="J1078" i="5"/>
  <c r="D1081" i="5"/>
  <c r="D1188" i="5"/>
  <c r="D604" i="5"/>
  <c r="I645" i="5"/>
  <c r="I646" i="5" s="1"/>
  <c r="I647" i="5" s="1"/>
  <c r="I648" i="5" s="1"/>
  <c r="D866" i="5" l="1"/>
  <c r="D1050" i="5"/>
  <c r="D1132" i="5"/>
  <c r="D1568" i="5"/>
  <c r="D1569" i="5" s="1"/>
  <c r="D1684" i="5" l="1"/>
  <c r="D1088" i="5"/>
  <c r="D1089" i="5" s="1"/>
  <c r="I1682" i="5"/>
  <c r="D1683" i="5"/>
  <c r="G698" i="5"/>
  <c r="G71" i="5" l="1"/>
  <c r="D72" i="5"/>
  <c r="D1031" i="5"/>
  <c r="D1033" i="5" s="1"/>
  <c r="D564" i="5"/>
  <c r="A80" i="15"/>
  <c r="D1191" i="5"/>
  <c r="G97" i="15" l="1"/>
  <c r="G15" i="5"/>
  <c r="D1458" i="5"/>
  <c r="G18" i="15" l="1"/>
  <c r="G21" i="15"/>
  <c r="O340" i="5"/>
  <c r="D342" i="5" s="1"/>
  <c r="L19" i="15" l="1"/>
  <c r="D347" i="5"/>
  <c r="D346" i="5"/>
  <c r="G1676" i="5" l="1"/>
  <c r="G1677" i="5" s="1"/>
  <c r="G1674" i="5"/>
  <c r="G1101" i="5"/>
  <c r="I1673" i="5"/>
  <c r="I1674" i="5" s="1"/>
  <c r="T1672" i="5"/>
  <c r="S1672" i="5"/>
  <c r="O1672" i="5"/>
  <c r="I1400" i="5"/>
  <c r="I1676" i="5" l="1"/>
  <c r="I1675" i="5"/>
  <c r="I22" i="17"/>
  <c r="K22" i="17" s="1"/>
  <c r="I23" i="17"/>
  <c r="K23" i="17" s="1"/>
  <c r="O4" i="17" s="1"/>
  <c r="I24" i="17"/>
  <c r="I26" i="17"/>
  <c r="I27" i="17"/>
  <c r="I25" i="17" l="1"/>
  <c r="G691" i="5"/>
  <c r="G888" i="5"/>
  <c r="I652" i="5"/>
  <c r="I653" i="5" s="1"/>
  <c r="I53" i="5"/>
  <c r="D1437" i="5"/>
  <c r="D1442" i="5" s="1"/>
  <c r="I1667" i="5"/>
  <c r="I1668" i="5" s="1"/>
  <c r="G1668" i="5"/>
  <c r="G1659" i="5"/>
  <c r="G1664" i="5"/>
  <c r="T1666" i="5"/>
  <c r="S1666" i="5"/>
  <c r="R1666" i="5"/>
  <c r="Q1666" i="5"/>
  <c r="P1666" i="5"/>
  <c r="O1666" i="5"/>
  <c r="Y280" i="5"/>
  <c r="P280" i="5"/>
  <c r="G280" i="5"/>
  <c r="B280" i="5"/>
  <c r="D163" i="5"/>
  <c r="D164" i="5"/>
  <c r="I146" i="5"/>
  <c r="I147" i="5" s="1"/>
  <c r="I148" i="5" s="1"/>
  <c r="J148" i="5"/>
  <c r="D1335" i="5"/>
  <c r="D1345" i="5"/>
  <c r="K1345" i="5" s="1"/>
  <c r="G1342" i="5"/>
  <c r="G1341" i="5"/>
  <c r="G1339" i="5"/>
  <c r="G1338" i="5"/>
  <c r="G1337" i="5"/>
  <c r="G1346" i="5"/>
  <c r="G1345" i="5"/>
  <c r="G1344" i="5"/>
  <c r="G1343" i="5"/>
  <c r="G1340" i="5"/>
  <c r="I1664" i="5"/>
  <c r="I1665" i="5" s="1"/>
  <c r="D1665" i="5"/>
  <c r="T1663" i="5"/>
  <c r="S1663" i="5"/>
  <c r="O1663" i="5"/>
  <c r="G1391" i="5"/>
  <c r="I1670" i="5" l="1"/>
  <c r="I1671" i="5" s="1"/>
  <c r="I1669" i="5"/>
  <c r="G1670" i="5"/>
  <c r="G1671" i="5" s="1"/>
  <c r="D1517" i="5"/>
  <c r="I888" i="5"/>
  <c r="D1505" i="5"/>
  <c r="D1506" i="5" s="1"/>
  <c r="D1662" i="5"/>
  <c r="D1661" i="5"/>
  <c r="I1660" i="5"/>
  <c r="G1660" i="5"/>
  <c r="G1661" i="5" s="1"/>
  <c r="G1662" i="5" s="1"/>
  <c r="T1658" i="5"/>
  <c r="S1658" i="5"/>
  <c r="O1658" i="5"/>
  <c r="I1391" i="5"/>
  <c r="I1392" i="5" s="1"/>
  <c r="I1393" i="5" s="1"/>
  <c r="I1394" i="5" s="1"/>
  <c r="I1395" i="5" s="1"/>
  <c r="I1396" i="5" s="1"/>
  <c r="I1397" i="5" s="1"/>
  <c r="G1392" i="5"/>
  <c r="G1393" i="5" s="1"/>
  <c r="G1394" i="5" s="1"/>
  <c r="G1395" i="5" s="1"/>
  <c r="G1396" i="5" s="1"/>
  <c r="G1397" i="5" s="1"/>
  <c r="T1390" i="5"/>
  <c r="S1390" i="5"/>
  <c r="D1396" i="5" s="1"/>
  <c r="O1390" i="5"/>
  <c r="D1384" i="5"/>
  <c r="D1383" i="5"/>
  <c r="I1383" i="5"/>
  <c r="I1384" i="5" s="1"/>
  <c r="I1385" i="5" s="1"/>
  <c r="I1386" i="5" s="1"/>
  <c r="I1387" i="5" s="1"/>
  <c r="I1388" i="5" s="1"/>
  <c r="I1389" i="5" s="1"/>
  <c r="G1383" i="5"/>
  <c r="G1384" i="5" s="1"/>
  <c r="G1385" i="5" s="1"/>
  <c r="G1386" i="5" s="1"/>
  <c r="G1387" i="5" s="1"/>
  <c r="G1388" i="5" s="1"/>
  <c r="G1389" i="5" s="1"/>
  <c r="T1382" i="5"/>
  <c r="S1382" i="5"/>
  <c r="O1382" i="5"/>
  <c r="O1398" i="5"/>
  <c r="S1398" i="5"/>
  <c r="T1398" i="5"/>
  <c r="D1399" i="5"/>
  <c r="D1402" i="5" s="1"/>
  <c r="G1399" i="5"/>
  <c r="G1400" i="5" s="1"/>
  <c r="G1381" i="5"/>
  <c r="G1380" i="5"/>
  <c r="G1379" i="5"/>
  <c r="G1374" i="5"/>
  <c r="G1375" i="5" s="1"/>
  <c r="I1373" i="5"/>
  <c r="T1372" i="5"/>
  <c r="S1372" i="5"/>
  <c r="D1379" i="5" s="1"/>
  <c r="D1380" i="5" s="1"/>
  <c r="O1372" i="5"/>
  <c r="G1371" i="5"/>
  <c r="G1370" i="5"/>
  <c r="G1369" i="5"/>
  <c r="G1365" i="5"/>
  <c r="G1367" i="5" s="1"/>
  <c r="G1368" i="5" s="1"/>
  <c r="I1364" i="5"/>
  <c r="I1365" i="5" s="1"/>
  <c r="G1364" i="5"/>
  <c r="T1363" i="5"/>
  <c r="S1363" i="5"/>
  <c r="D1369" i="5" s="1"/>
  <c r="O1363" i="5"/>
  <c r="G1362" i="5"/>
  <c r="G1361" i="5"/>
  <c r="G1360" i="5"/>
  <c r="G1357" i="5"/>
  <c r="G1358" i="5" s="1"/>
  <c r="G1359" i="5" s="1"/>
  <c r="I1356" i="5"/>
  <c r="I1357" i="5" s="1"/>
  <c r="I1358" i="5" s="1"/>
  <c r="I1359" i="5" s="1"/>
  <c r="I1360" i="5" s="1"/>
  <c r="I1361" i="5" s="1"/>
  <c r="I1362" i="5" s="1"/>
  <c r="G1356" i="5"/>
  <c r="T1355" i="5"/>
  <c r="S1355" i="5"/>
  <c r="O1355" i="5"/>
  <c r="D1354" i="5"/>
  <c r="G1354" i="5"/>
  <c r="G1353" i="5"/>
  <c r="G1352" i="5"/>
  <c r="G1348" i="5"/>
  <c r="I1348" i="5"/>
  <c r="I1349" i="5" s="1"/>
  <c r="I1350" i="5" s="1"/>
  <c r="I1351" i="5" s="1"/>
  <c r="I1352" i="5" s="1"/>
  <c r="I1353" i="5" s="1"/>
  <c r="I1354" i="5" s="1"/>
  <c r="G1349" i="5"/>
  <c r="G1350" i="5" s="1"/>
  <c r="G1351" i="5" s="1"/>
  <c r="T1347" i="5"/>
  <c r="S1347" i="5"/>
  <c r="O1347" i="5"/>
  <c r="G140" i="5"/>
  <c r="D1657" i="5"/>
  <c r="I1656" i="5"/>
  <c r="G1656" i="5"/>
  <c r="G1657" i="5" s="1"/>
  <c r="T1655" i="5"/>
  <c r="S1655" i="5"/>
  <c r="O1655" i="5"/>
  <c r="I1653" i="5"/>
  <c r="G1653" i="5"/>
  <c r="T1652" i="5"/>
  <c r="S1652" i="5"/>
  <c r="O1652" i="5"/>
  <c r="I1650" i="5"/>
  <c r="T1649" i="5"/>
  <c r="S1649" i="5"/>
  <c r="O1649" i="5"/>
  <c r="I1646" i="5"/>
  <c r="T1645" i="5"/>
  <c r="S1645" i="5"/>
  <c r="O1645" i="5"/>
  <c r="I1374" i="5" l="1"/>
  <c r="I1376" i="5" s="1"/>
  <c r="I1377" i="5" s="1"/>
  <c r="I1378" i="5" s="1"/>
  <c r="I1379" i="5" s="1"/>
  <c r="I1380" i="5" s="1"/>
  <c r="I1381" i="5" s="1"/>
  <c r="I1375" i="5"/>
  <c r="I1367" i="5"/>
  <c r="I1368" i="5" s="1"/>
  <c r="I1369" i="5" s="1"/>
  <c r="I1370" i="5" s="1"/>
  <c r="I1371" i="5" s="1"/>
  <c r="I1366" i="5"/>
  <c r="D1372" i="5"/>
  <c r="G1376" i="5"/>
  <c r="D1370" i="5"/>
  <c r="D1363" i="5" s="1"/>
  <c r="C2" i="21"/>
  <c r="A2" i="21"/>
  <c r="D1389" i="5"/>
  <c r="D1387" i="5" s="1"/>
  <c r="D1659" i="5"/>
  <c r="D1395" i="5"/>
  <c r="D1360" i="5"/>
  <c r="D1361" i="5" s="1"/>
  <c r="D1352" i="5"/>
  <c r="D1353" i="5" s="1"/>
  <c r="D449" i="5"/>
  <c r="D448" i="5"/>
  <c r="D447" i="5"/>
  <c r="D446" i="5"/>
  <c r="J3" i="17"/>
  <c r="X13" i="17"/>
  <c r="I28" i="17"/>
  <c r="I29" i="17"/>
  <c r="I30" i="17"/>
  <c r="I31" i="17"/>
  <c r="D550" i="5"/>
  <c r="J1643" i="5"/>
  <c r="T1642" i="5"/>
  <c r="S1642" i="5"/>
  <c r="R1642" i="5"/>
  <c r="Q1642" i="5"/>
  <c r="P1642" i="5"/>
  <c r="O1642" i="5"/>
  <c r="D1641" i="5"/>
  <c r="D1644" i="5" s="1"/>
  <c r="D1647" i="5" s="1"/>
  <c r="J1640" i="5"/>
  <c r="T1639" i="5"/>
  <c r="S1639" i="5"/>
  <c r="R1639" i="5"/>
  <c r="Q1639" i="5"/>
  <c r="P1639" i="5"/>
  <c r="O1639" i="5"/>
  <c r="D1427" i="5"/>
  <c r="D1426" i="5"/>
  <c r="D1425" i="5" s="1"/>
  <c r="G1377" i="5" l="1"/>
  <c r="F2" i="21"/>
  <c r="D1388" i="5"/>
  <c r="D1382" i="5" s="1"/>
  <c r="D233" i="5" l="1"/>
  <c r="D234" i="5"/>
  <c r="D235" i="5"/>
  <c r="D236" i="5"/>
  <c r="D237" i="5"/>
  <c r="D238" i="5"/>
  <c r="D232" i="5"/>
  <c r="D1636" i="5"/>
  <c r="D1635" i="5"/>
  <c r="D1637" i="5"/>
  <c r="G1634" i="5"/>
  <c r="H1634" i="5" l="1"/>
  <c r="N1634" i="5" l="1"/>
  <c r="M1634" i="5"/>
  <c r="L1634" i="5"/>
  <c r="K1634" i="5"/>
  <c r="J1634" i="5"/>
  <c r="T1634" i="5"/>
  <c r="I1635" i="5"/>
  <c r="S1634" i="5"/>
  <c r="O1634" i="5"/>
  <c r="D1149" i="5"/>
  <c r="D1148" i="5" s="1"/>
  <c r="D456" i="5"/>
  <c r="D455" i="5"/>
  <c r="D452" i="5"/>
  <c r="D442" i="5"/>
  <c r="D440" i="5" s="1"/>
  <c r="D1483" i="5"/>
  <c r="D1486" i="5" s="1"/>
  <c r="D1413" i="5"/>
  <c r="K24" i="17"/>
  <c r="O5" i="17" s="1"/>
  <c r="K25" i="17"/>
  <c r="O6" i="17" s="1"/>
  <c r="K26" i="17"/>
  <c r="O7" i="17" s="1"/>
  <c r="K27" i="17"/>
  <c r="O8" i="17" s="1"/>
  <c r="K28" i="17"/>
  <c r="O9" i="17" s="1"/>
  <c r="K29" i="17"/>
  <c r="O10" i="17" s="1"/>
  <c r="K30" i="17"/>
  <c r="O11" i="17" s="1"/>
  <c r="K31" i="17"/>
  <c r="O12" i="17" s="1"/>
  <c r="F3" i="17"/>
  <c r="S1493" i="5"/>
  <c r="X12" i="17" l="1"/>
  <c r="X11" i="17"/>
  <c r="X6" i="17"/>
  <c r="X10" i="17"/>
  <c r="X9" i="17"/>
  <c r="X8" i="17"/>
  <c r="X7" i="17"/>
  <c r="X5" i="17"/>
  <c r="G699" i="5" l="1"/>
  <c r="D679" i="5"/>
  <c r="D699" i="5" s="1"/>
  <c r="D1509" i="5"/>
  <c r="G57" i="5" l="1"/>
  <c r="G58" i="5"/>
  <c r="G56" i="5"/>
  <c r="I656" i="5"/>
  <c r="I657" i="5" s="1"/>
  <c r="G68" i="5" l="1"/>
  <c r="G69" i="5"/>
  <c r="G710" i="5" l="1"/>
  <c r="H710" i="5"/>
  <c r="O52" i="5"/>
  <c r="O651" i="5"/>
  <c r="O761" i="5"/>
  <c r="O784" i="5"/>
  <c r="T1628" i="5"/>
  <c r="S1628" i="5"/>
  <c r="O1628" i="5"/>
  <c r="T1550" i="5"/>
  <c r="S1550" i="5"/>
  <c r="D1552" i="5" s="1"/>
  <c r="O1550" i="5"/>
  <c r="T1452" i="5"/>
  <c r="S1452" i="5"/>
  <c r="D1456" i="5" s="1"/>
  <c r="O1452" i="5"/>
  <c r="T1408" i="5"/>
  <c r="S1408" i="5"/>
  <c r="O1408" i="5"/>
  <c r="T995" i="5"/>
  <c r="S995" i="5"/>
  <c r="O995" i="5"/>
  <c r="T987" i="5"/>
  <c r="S987" i="5"/>
  <c r="O987" i="5"/>
  <c r="T979" i="5"/>
  <c r="S979" i="5"/>
  <c r="O979" i="5"/>
  <c r="T971" i="5"/>
  <c r="S971" i="5"/>
  <c r="O971" i="5"/>
  <c r="D972" i="5" s="1"/>
  <c r="T965" i="5"/>
  <c r="S965" i="5"/>
  <c r="O965" i="5"/>
  <c r="T957" i="5"/>
  <c r="S957" i="5"/>
  <c r="O957" i="5"/>
  <c r="T949" i="5"/>
  <c r="S949" i="5"/>
  <c r="O949" i="5"/>
  <c r="D950" i="5" s="1"/>
  <c r="T941" i="5"/>
  <c r="S941" i="5"/>
  <c r="O941" i="5"/>
  <c r="T933" i="5"/>
  <c r="S933" i="5"/>
  <c r="O933" i="5"/>
  <c r="D934" i="5" s="1"/>
  <c r="D937" i="5" s="1"/>
  <c r="T925" i="5"/>
  <c r="S925" i="5"/>
  <c r="D927" i="5" s="1"/>
  <c r="O925" i="5"/>
  <c r="T916" i="5"/>
  <c r="S916" i="5"/>
  <c r="O916" i="5"/>
  <c r="D918" i="5" s="1"/>
  <c r="T907" i="5"/>
  <c r="S907" i="5"/>
  <c r="O907" i="5"/>
  <c r="D909" i="5" s="1"/>
  <c r="T899" i="5"/>
  <c r="S899" i="5"/>
  <c r="O899" i="5"/>
  <c r="T430" i="5"/>
  <c r="S430" i="5"/>
  <c r="O430" i="5"/>
  <c r="D433" i="5" s="1"/>
  <c r="D436" i="5" s="1"/>
  <c r="T388" i="5"/>
  <c r="S388" i="5"/>
  <c r="O388" i="5"/>
  <c r="T213" i="5"/>
  <c r="S213" i="5"/>
  <c r="O213" i="5"/>
  <c r="T719" i="5"/>
  <c r="S719" i="5"/>
  <c r="O719" i="5"/>
  <c r="T1580" i="5"/>
  <c r="S1580" i="5"/>
  <c r="O1580" i="5"/>
  <c r="D1581" i="5" s="1"/>
  <c r="T1443" i="5"/>
  <c r="S1443" i="5"/>
  <c r="D1445" i="5" s="1"/>
  <c r="O1443" i="5"/>
  <c r="T1620" i="5"/>
  <c r="S1620" i="5"/>
  <c r="O1620" i="5"/>
  <c r="T1617" i="5"/>
  <c r="S1617" i="5"/>
  <c r="O1617" i="5"/>
  <c r="T1574" i="5"/>
  <c r="S1574" i="5"/>
  <c r="O1574" i="5"/>
  <c r="T1566" i="5"/>
  <c r="S1566" i="5"/>
  <c r="O1566" i="5"/>
  <c r="T1562" i="5"/>
  <c r="S1562" i="5"/>
  <c r="O1562" i="5"/>
  <c r="T1558" i="5"/>
  <c r="S1558" i="5"/>
  <c r="O1558" i="5"/>
  <c r="T1544" i="5"/>
  <c r="S1544" i="5"/>
  <c r="O1544" i="5"/>
  <c r="T1537" i="5"/>
  <c r="S1537" i="5"/>
  <c r="O1537" i="5"/>
  <c r="T1533" i="5"/>
  <c r="S1533" i="5"/>
  <c r="O1533" i="5"/>
  <c r="T1500" i="5"/>
  <c r="S1500" i="5"/>
  <c r="O1500" i="5"/>
  <c r="T1481" i="5"/>
  <c r="S1481" i="5"/>
  <c r="O1481" i="5"/>
  <c r="T1436" i="5"/>
  <c r="S1436" i="5"/>
  <c r="O1436" i="5"/>
  <c r="T1311" i="5"/>
  <c r="S1311" i="5"/>
  <c r="O1311" i="5"/>
  <c r="T1307" i="5"/>
  <c r="S1307" i="5"/>
  <c r="O1307" i="5"/>
  <c r="T1304" i="5"/>
  <c r="S1304" i="5"/>
  <c r="O1304" i="5"/>
  <c r="T1299" i="5"/>
  <c r="S1299" i="5"/>
  <c r="O1299" i="5"/>
  <c r="T1288" i="5"/>
  <c r="S1288" i="5"/>
  <c r="O1288" i="5"/>
  <c r="T1198" i="5"/>
  <c r="S1198" i="5"/>
  <c r="O1198" i="5"/>
  <c r="T1193" i="5"/>
  <c r="S1193" i="5"/>
  <c r="O1193" i="5"/>
  <c r="T1189" i="5"/>
  <c r="S1189" i="5"/>
  <c r="O1189" i="5"/>
  <c r="T1183" i="5"/>
  <c r="S1183" i="5"/>
  <c r="O1183" i="5"/>
  <c r="T1179" i="5"/>
  <c r="S1179" i="5"/>
  <c r="O1179" i="5"/>
  <c r="T1175" i="5"/>
  <c r="S1175" i="5"/>
  <c r="O1175" i="5"/>
  <c r="T1171" i="5"/>
  <c r="S1171" i="5"/>
  <c r="O1171" i="5"/>
  <c r="T1167" i="5"/>
  <c r="S1167" i="5"/>
  <c r="O1167" i="5"/>
  <c r="T1161" i="5"/>
  <c r="S1161" i="5"/>
  <c r="O1161" i="5"/>
  <c r="T1147" i="5"/>
  <c r="S1147" i="5"/>
  <c r="O1147" i="5"/>
  <c r="T1142" i="5"/>
  <c r="S1142" i="5"/>
  <c r="O1142" i="5"/>
  <c r="T1139" i="5"/>
  <c r="S1139" i="5"/>
  <c r="O1139" i="5"/>
  <c r="T1136" i="5"/>
  <c r="S1136" i="5"/>
  <c r="O1136" i="5"/>
  <c r="T1133" i="5"/>
  <c r="S1133" i="5"/>
  <c r="O1133" i="5"/>
  <c r="T1130" i="5"/>
  <c r="S1130" i="5"/>
  <c r="O1130" i="5"/>
  <c r="T1094" i="5"/>
  <c r="S1094" i="5"/>
  <c r="O1094" i="5"/>
  <c r="T1090" i="5"/>
  <c r="S1090" i="5"/>
  <c r="O1090" i="5"/>
  <c r="T1051" i="5"/>
  <c r="S1051" i="5"/>
  <c r="O1051" i="5"/>
  <c r="T1046" i="5"/>
  <c r="S1046" i="5"/>
  <c r="O1046" i="5"/>
  <c r="T1042" i="5"/>
  <c r="S1042" i="5"/>
  <c r="O1042" i="5"/>
  <c r="T1038" i="5"/>
  <c r="S1038" i="5"/>
  <c r="O1038" i="5"/>
  <c r="T1034" i="5"/>
  <c r="S1034" i="5"/>
  <c r="O1034" i="5"/>
  <c r="T1030" i="5"/>
  <c r="S1030" i="5"/>
  <c r="O1030" i="5"/>
  <c r="T1026" i="5"/>
  <c r="S1026" i="5"/>
  <c r="O1026" i="5"/>
  <c r="D1055" i="5" s="1"/>
  <c r="D1057" i="5" s="1"/>
  <c r="T1020" i="5"/>
  <c r="S1020" i="5"/>
  <c r="O1020" i="5"/>
  <c r="T1014" i="5"/>
  <c r="S1014" i="5"/>
  <c r="D1016" i="5" s="1"/>
  <c r="D1017" i="5" s="1"/>
  <c r="O1014" i="5"/>
  <c r="T1011" i="5"/>
  <c r="S1011" i="5"/>
  <c r="O1011" i="5"/>
  <c r="T1007" i="5"/>
  <c r="S1007" i="5"/>
  <c r="O1007" i="5"/>
  <c r="T868" i="5"/>
  <c r="S868" i="5"/>
  <c r="O868" i="5"/>
  <c r="T863" i="5"/>
  <c r="S863" i="5"/>
  <c r="O863" i="5"/>
  <c r="T806" i="5"/>
  <c r="S806" i="5"/>
  <c r="O806" i="5"/>
  <c r="T803" i="5"/>
  <c r="S803" i="5"/>
  <c r="O803" i="5"/>
  <c r="T799" i="5"/>
  <c r="S799" i="5"/>
  <c r="O799" i="5"/>
  <c r="T791" i="5"/>
  <c r="S791" i="5"/>
  <c r="D795" i="5" s="1"/>
  <c r="O791" i="5"/>
  <c r="T788" i="5"/>
  <c r="S788" i="5"/>
  <c r="O788" i="5"/>
  <c r="T784" i="5"/>
  <c r="S784" i="5"/>
  <c r="T774" i="5"/>
  <c r="S774" i="5"/>
  <c r="O774" i="5"/>
  <c r="T768" i="5"/>
  <c r="S768" i="5"/>
  <c r="O768" i="5"/>
  <c r="T764" i="5"/>
  <c r="S764" i="5"/>
  <c r="O764" i="5"/>
  <c r="T761" i="5"/>
  <c r="S761" i="5"/>
  <c r="T755" i="5"/>
  <c r="S755" i="5"/>
  <c r="O755" i="5"/>
  <c r="T751" i="5"/>
  <c r="S751" i="5"/>
  <c r="O751" i="5"/>
  <c r="T745" i="5"/>
  <c r="S745" i="5"/>
  <c r="T739" i="5"/>
  <c r="S739" i="5"/>
  <c r="O739" i="5"/>
  <c r="T735" i="5"/>
  <c r="S735" i="5"/>
  <c r="O735" i="5"/>
  <c r="T696" i="5"/>
  <c r="S696" i="5"/>
  <c r="O696" i="5"/>
  <c r="T693" i="5"/>
  <c r="S693" i="5"/>
  <c r="O693" i="5"/>
  <c r="T690" i="5"/>
  <c r="S690" i="5"/>
  <c r="O690" i="5"/>
  <c r="T590" i="5"/>
  <c r="S590" i="5"/>
  <c r="O590" i="5"/>
  <c r="T585" i="5"/>
  <c r="S585" i="5"/>
  <c r="O585" i="5"/>
  <c r="T221" i="5"/>
  <c r="S221" i="5"/>
  <c r="O221" i="5"/>
  <c r="T101" i="5"/>
  <c r="S101" i="5"/>
  <c r="O101" i="5"/>
  <c r="T97" i="5"/>
  <c r="S97" i="5"/>
  <c r="O97" i="5"/>
  <c r="T89" i="5"/>
  <c r="S89" i="5"/>
  <c r="O89" i="5"/>
  <c r="D92" i="5" s="1"/>
  <c r="D95" i="5" s="1"/>
  <c r="T1610" i="5"/>
  <c r="S1610" i="5"/>
  <c r="D1613" i="5" s="1"/>
  <c r="D1614" i="5" s="1"/>
  <c r="O1610" i="5"/>
  <c r="T1604" i="5"/>
  <c r="S1604" i="5"/>
  <c r="D1606" i="5" s="1"/>
  <c r="O1604" i="5"/>
  <c r="T1584" i="5"/>
  <c r="S1584" i="5"/>
  <c r="D1586" i="5" s="1"/>
  <c r="O1584" i="5"/>
  <c r="T1570" i="5"/>
  <c r="S1570" i="5"/>
  <c r="O1570" i="5"/>
  <c r="T1527" i="5"/>
  <c r="S1527" i="5"/>
  <c r="O1527" i="5"/>
  <c r="D1528" i="5" s="1"/>
  <c r="T1521" i="5"/>
  <c r="S1521" i="5"/>
  <c r="O1521" i="5"/>
  <c r="T1515" i="5"/>
  <c r="S1515" i="5"/>
  <c r="O1515" i="5"/>
  <c r="T1511" i="5"/>
  <c r="S1511" i="5"/>
  <c r="O1511" i="5"/>
  <c r="T1507" i="5"/>
  <c r="S1507" i="5"/>
  <c r="O1507" i="5"/>
  <c r="T1503" i="5"/>
  <c r="S1503" i="5"/>
  <c r="O1503" i="5"/>
  <c r="T1493" i="5"/>
  <c r="O1493" i="5"/>
  <c r="D1495" i="5" s="1"/>
  <c r="T1487" i="5"/>
  <c r="S1487" i="5"/>
  <c r="O1487" i="5"/>
  <c r="T1468" i="5"/>
  <c r="S1468" i="5"/>
  <c r="O1468" i="5"/>
  <c r="D1471" i="5" s="1"/>
  <c r="T1460" i="5"/>
  <c r="S1460" i="5"/>
  <c r="D1465" i="5" s="1"/>
  <c r="D1464" i="5" s="1"/>
  <c r="D1467" i="5" s="1"/>
  <c r="O1460" i="5"/>
  <c r="T1403" i="5"/>
  <c r="S1403" i="5"/>
  <c r="O1403" i="5"/>
  <c r="T1336" i="5"/>
  <c r="S1336" i="5"/>
  <c r="D1343" i="5" s="1"/>
  <c r="O1336" i="5"/>
  <c r="T1332" i="5"/>
  <c r="S1332" i="5"/>
  <c r="O1332" i="5"/>
  <c r="T1324" i="5"/>
  <c r="S1324" i="5"/>
  <c r="D1328" i="5" s="1"/>
  <c r="D1329" i="5" s="1"/>
  <c r="O1324" i="5"/>
  <c r="T1317" i="5"/>
  <c r="S1317" i="5"/>
  <c r="D1320" i="5" s="1"/>
  <c r="O1317" i="5"/>
  <c r="T1284" i="5"/>
  <c r="S1284" i="5"/>
  <c r="O1284" i="5"/>
  <c r="T1278" i="5"/>
  <c r="S1278" i="5"/>
  <c r="D1280" i="5" s="1"/>
  <c r="D1279" i="5" s="1"/>
  <c r="D1283" i="5" s="1"/>
  <c r="O1278" i="5"/>
  <c r="T1272" i="5"/>
  <c r="S1272" i="5"/>
  <c r="D1274" i="5" s="1"/>
  <c r="O1272" i="5"/>
  <c r="T1266" i="5"/>
  <c r="S1266" i="5"/>
  <c r="D1268" i="5" s="1"/>
  <c r="D1269" i="5" s="1"/>
  <c r="O1266" i="5"/>
  <c r="T1260" i="5"/>
  <c r="S1260" i="5"/>
  <c r="O1260" i="5"/>
  <c r="T1254" i="5"/>
  <c r="S1254" i="5"/>
  <c r="D1255" i="5"/>
  <c r="T1248" i="5"/>
  <c r="S1248" i="5"/>
  <c r="O1248" i="5"/>
  <c r="D1249" i="5" s="1"/>
  <c r="D1252" i="5" s="1"/>
  <c r="T1240" i="5"/>
  <c r="S1240" i="5"/>
  <c r="D1243" i="5" s="1"/>
  <c r="O1240" i="5"/>
  <c r="T1235" i="5"/>
  <c r="S1235" i="5"/>
  <c r="O1235" i="5"/>
  <c r="T1230" i="5"/>
  <c r="S1230" i="5"/>
  <c r="O1230" i="5"/>
  <c r="T1225" i="5"/>
  <c r="S1225" i="5"/>
  <c r="O1225" i="5"/>
  <c r="T1220" i="5"/>
  <c r="S1220" i="5"/>
  <c r="O1220" i="5"/>
  <c r="T1215" i="5"/>
  <c r="S1215" i="5"/>
  <c r="O1215" i="5"/>
  <c r="T1208" i="5"/>
  <c r="S1208" i="5"/>
  <c r="D1211" i="5" s="1"/>
  <c r="D1210" i="5" s="1"/>
  <c r="O1208" i="5"/>
  <c r="T1201" i="5"/>
  <c r="S1201" i="5"/>
  <c r="D1202" i="5"/>
  <c r="T1152" i="5"/>
  <c r="S1152" i="5"/>
  <c r="O1152" i="5"/>
  <c r="T1123" i="5"/>
  <c r="S1123" i="5"/>
  <c r="D1125" i="5" s="1"/>
  <c r="O1123" i="5"/>
  <c r="T1117" i="5"/>
  <c r="S1117" i="5"/>
  <c r="O1117" i="5"/>
  <c r="D1118" i="5" s="1"/>
  <c r="T1109" i="5"/>
  <c r="S1109" i="5"/>
  <c r="O1109" i="5"/>
  <c r="D1110" i="5" s="1"/>
  <c r="D1113" i="5" s="1"/>
  <c r="K1112" i="5" s="1"/>
  <c r="T1100" i="5"/>
  <c r="S1100" i="5"/>
  <c r="O1100" i="5"/>
  <c r="T1083" i="5"/>
  <c r="S1083" i="5"/>
  <c r="O1083" i="5"/>
  <c r="T1074" i="5"/>
  <c r="S1074" i="5"/>
  <c r="O1074" i="5"/>
  <c r="T1067" i="5"/>
  <c r="S1067" i="5"/>
  <c r="O1067" i="5"/>
  <c r="D1068" i="5" s="1"/>
  <c r="T1060" i="5"/>
  <c r="S1060" i="5"/>
  <c r="O1060" i="5"/>
  <c r="D1061" i="5" s="1"/>
  <c r="T1054" i="5"/>
  <c r="S1054" i="5"/>
  <c r="O1054" i="5"/>
  <c r="T1001" i="5"/>
  <c r="S1001" i="5"/>
  <c r="O1001" i="5"/>
  <c r="D1002" i="5" s="1"/>
  <c r="T891" i="5"/>
  <c r="S891" i="5"/>
  <c r="O891" i="5"/>
  <c r="D892" i="5" s="1"/>
  <c r="T887" i="5"/>
  <c r="S887" i="5"/>
  <c r="O887" i="5"/>
  <c r="T880" i="5"/>
  <c r="S880" i="5"/>
  <c r="O880" i="5"/>
  <c r="T873" i="5"/>
  <c r="S873" i="5"/>
  <c r="O873" i="5"/>
  <c r="T858" i="5"/>
  <c r="S858" i="5"/>
  <c r="O858" i="5"/>
  <c r="T853" i="5"/>
  <c r="S853" i="5"/>
  <c r="O853" i="5"/>
  <c r="T848" i="5"/>
  <c r="S848" i="5"/>
  <c r="O848" i="5"/>
  <c r="T839" i="5"/>
  <c r="S839" i="5"/>
  <c r="O839" i="5"/>
  <c r="T832" i="5"/>
  <c r="S832" i="5"/>
  <c r="O832" i="5"/>
  <c r="T825" i="5"/>
  <c r="S825" i="5"/>
  <c r="O825" i="5"/>
  <c r="T818" i="5"/>
  <c r="S818" i="5"/>
  <c r="O818" i="5"/>
  <c r="T809" i="5"/>
  <c r="S809" i="5"/>
  <c r="O809" i="5"/>
  <c r="D812" i="5" s="1"/>
  <c r="T726" i="5"/>
  <c r="S726" i="5"/>
  <c r="O726" i="5"/>
  <c r="D728" i="5" s="1"/>
  <c r="T701" i="5"/>
  <c r="S701" i="5"/>
  <c r="O701" i="5"/>
  <c r="T662" i="5"/>
  <c r="S662" i="5"/>
  <c r="O662" i="5"/>
  <c r="T654" i="5"/>
  <c r="S654" i="5"/>
  <c r="O654" i="5"/>
  <c r="T642" i="5"/>
  <c r="S642" i="5"/>
  <c r="D646" i="5" s="1"/>
  <c r="O642" i="5"/>
  <c r="T602" i="5"/>
  <c r="S602" i="5"/>
  <c r="D605" i="5" s="1"/>
  <c r="D606" i="5" s="1"/>
  <c r="D603" i="5" s="1"/>
  <c r="O602" i="5"/>
  <c r="T595" i="5"/>
  <c r="S595" i="5"/>
  <c r="O595" i="5"/>
  <c r="T555" i="5"/>
  <c r="S555" i="5"/>
  <c r="D558" i="5" s="1"/>
  <c r="O555" i="5"/>
  <c r="T543" i="5"/>
  <c r="S543" i="5"/>
  <c r="O543" i="5"/>
  <c r="T535" i="5"/>
  <c r="S535" i="5"/>
  <c r="O535" i="5"/>
  <c r="D537" i="5" s="1"/>
  <c r="D540" i="5" s="1"/>
  <c r="T526" i="5"/>
  <c r="S526" i="5"/>
  <c r="O526" i="5"/>
  <c r="D529" i="5" s="1"/>
  <c r="D530" i="5" s="1"/>
  <c r="T514" i="5"/>
  <c r="S514" i="5"/>
  <c r="O514" i="5"/>
  <c r="D516" i="5" s="1"/>
  <c r="D519" i="5" s="1"/>
  <c r="T505" i="5"/>
  <c r="S505" i="5"/>
  <c r="O505" i="5"/>
  <c r="D507" i="5" s="1"/>
  <c r="D512" i="5" s="1"/>
  <c r="T488" i="5"/>
  <c r="S488" i="5"/>
  <c r="O488" i="5"/>
  <c r="T471" i="5"/>
  <c r="S471" i="5"/>
  <c r="O471" i="5"/>
  <c r="D473" i="5" s="1"/>
  <c r="D476" i="5" s="1"/>
  <c r="T457" i="5"/>
  <c r="S457" i="5"/>
  <c r="O457" i="5"/>
  <c r="T422" i="5"/>
  <c r="S422" i="5"/>
  <c r="O422" i="5"/>
  <c r="D424" i="5" s="1"/>
  <c r="T408" i="5"/>
  <c r="S408" i="5"/>
  <c r="D411" i="5" s="1"/>
  <c r="O408" i="5"/>
  <c r="T400" i="5"/>
  <c r="S400" i="5"/>
  <c r="O400" i="5"/>
  <c r="T392" i="5"/>
  <c r="S392" i="5"/>
  <c r="O392" i="5"/>
  <c r="T380" i="5"/>
  <c r="S380" i="5"/>
  <c r="O380" i="5"/>
  <c r="T372" i="5"/>
  <c r="S372" i="5"/>
  <c r="O372" i="5"/>
  <c r="T364" i="5"/>
  <c r="S364" i="5"/>
  <c r="O364" i="5"/>
  <c r="T356" i="5"/>
  <c r="S356" i="5"/>
  <c r="O356" i="5"/>
  <c r="T348" i="5"/>
  <c r="S348" i="5"/>
  <c r="O348" i="5"/>
  <c r="T340" i="5"/>
  <c r="S340" i="5"/>
  <c r="T332" i="5"/>
  <c r="S332" i="5"/>
  <c r="O332" i="5"/>
  <c r="D334" i="5" s="1"/>
  <c r="T324" i="5"/>
  <c r="S324" i="5"/>
  <c r="O324" i="5"/>
  <c r="D326" i="5" s="1"/>
  <c r="T317" i="5"/>
  <c r="S317" i="5"/>
  <c r="O317" i="5"/>
  <c r="D319" i="5" s="1"/>
  <c r="D323" i="5" s="1"/>
  <c r="T310" i="5"/>
  <c r="S310" i="5"/>
  <c r="O310" i="5"/>
  <c r="T304" i="5"/>
  <c r="S304" i="5"/>
  <c r="Q305" i="5" s="1"/>
  <c r="O304" i="5"/>
  <c r="D305" i="5" s="1"/>
  <c r="T296" i="5"/>
  <c r="S296" i="5"/>
  <c r="O296" i="5"/>
  <c r="D298" i="5" s="1"/>
  <c r="T291" i="5"/>
  <c r="S291" i="5"/>
  <c r="O291" i="5"/>
  <c r="T227" i="5"/>
  <c r="S227" i="5"/>
  <c r="O227" i="5"/>
  <c r="T206" i="5"/>
  <c r="S206" i="5"/>
  <c r="O206" i="5"/>
  <c r="T198" i="5"/>
  <c r="S198" i="5"/>
  <c r="O198" i="5"/>
  <c r="T183" i="5"/>
  <c r="S183" i="5"/>
  <c r="D185" i="5" s="1"/>
  <c r="O183" i="5"/>
  <c r="T175" i="5"/>
  <c r="S175" i="5"/>
  <c r="O175" i="5"/>
  <c r="D176" i="5" s="1"/>
  <c r="D180" i="5" s="1"/>
  <c r="T166" i="5"/>
  <c r="S166" i="5"/>
  <c r="O166" i="5"/>
  <c r="T161" i="5"/>
  <c r="S161" i="5"/>
  <c r="O161" i="5"/>
  <c r="T145" i="5"/>
  <c r="S145" i="5"/>
  <c r="O145" i="5"/>
  <c r="T139" i="5"/>
  <c r="S139" i="5"/>
  <c r="O139" i="5"/>
  <c r="T133" i="5"/>
  <c r="S133" i="5"/>
  <c r="O133" i="5"/>
  <c r="T126" i="5"/>
  <c r="S126" i="5"/>
  <c r="O126" i="5"/>
  <c r="T117" i="5"/>
  <c r="S117" i="5"/>
  <c r="O117" i="5"/>
  <c r="G1618" i="5"/>
  <c r="G1621" i="5" s="1"/>
  <c r="G431" i="5"/>
  <c r="G153" i="5"/>
  <c r="G134" i="5"/>
  <c r="G127" i="5"/>
  <c r="G125" i="5"/>
  <c r="G124" i="5"/>
  <c r="G123" i="5"/>
  <c r="G122" i="5"/>
  <c r="G121" i="5"/>
  <c r="G120" i="5"/>
  <c r="G119" i="5"/>
  <c r="G118" i="5"/>
  <c r="G87" i="5"/>
  <c r="G84" i="5"/>
  <c r="G83" i="5"/>
  <c r="G82" i="5"/>
  <c r="G79" i="5"/>
  <c r="G78" i="5"/>
  <c r="G75" i="5"/>
  <c r="G74" i="5"/>
  <c r="G70" i="5"/>
  <c r="G67" i="5"/>
  <c r="G64" i="5"/>
  <c r="G63" i="5"/>
  <c r="G62" i="5"/>
  <c r="G61" i="5"/>
  <c r="G47" i="5"/>
  <c r="G42" i="5"/>
  <c r="G37" i="5"/>
  <c r="G36" i="5"/>
  <c r="G35" i="5"/>
  <c r="G34" i="5"/>
  <c r="G32" i="5"/>
  <c r="G31" i="5"/>
  <c r="G30" i="5"/>
  <c r="G29" i="5"/>
  <c r="G28" i="5"/>
  <c r="I1611" i="5"/>
  <c r="I1612" i="5" s="1"/>
  <c r="I1605" i="5"/>
  <c r="I1597" i="5"/>
  <c r="I1593" i="5"/>
  <c r="I1571" i="5"/>
  <c r="I1567" i="5"/>
  <c r="I1563" i="5"/>
  <c r="I1559" i="5"/>
  <c r="G1559" i="5"/>
  <c r="I1555" i="5"/>
  <c r="I1556" i="5" s="1"/>
  <c r="I1545" i="5"/>
  <c r="I1546" i="5" s="1"/>
  <c r="I1547" i="5" s="1"/>
  <c r="I1538" i="5"/>
  <c r="I1508" i="5"/>
  <c r="I1504" i="5"/>
  <c r="I1505" i="5" s="1"/>
  <c r="I1482" i="5"/>
  <c r="I1477" i="5"/>
  <c r="I1450" i="5"/>
  <c r="I1438" i="5"/>
  <c r="I1431" i="5"/>
  <c r="I1424" i="5"/>
  <c r="I1415" i="5"/>
  <c r="I1410" i="5"/>
  <c r="I1337" i="5"/>
  <c r="I1338" i="5" s="1"/>
  <c r="I1339" i="5" s="1"/>
  <c r="I1318" i="5"/>
  <c r="I1333" i="5"/>
  <c r="I1308" i="5"/>
  <c r="I1292" i="5"/>
  <c r="I1279" i="5"/>
  <c r="I1280" i="5" s="1"/>
  <c r="I1261" i="5"/>
  <c r="I1241" i="5"/>
  <c r="I1242" i="5" s="1"/>
  <c r="I1231" i="5"/>
  <c r="I1226" i="5"/>
  <c r="I1199" i="5"/>
  <c r="I1200" i="5" s="1"/>
  <c r="I1184" i="5"/>
  <c r="I1165" i="5"/>
  <c r="I1153" i="5"/>
  <c r="I1154" i="5" s="1"/>
  <c r="I1149" i="5"/>
  <c r="I1140" i="5"/>
  <c r="I1131" i="5"/>
  <c r="I1124" i="5"/>
  <c r="I1125" i="5" s="1"/>
  <c r="I1126" i="5" s="1"/>
  <c r="I1127" i="5" s="1"/>
  <c r="I1128" i="5" s="1"/>
  <c r="I1129" i="5" s="1"/>
  <c r="I1084" i="5"/>
  <c r="I1085" i="5" s="1"/>
  <c r="I1075" i="5"/>
  <c r="I1068" i="5"/>
  <c r="I1061" i="5"/>
  <c r="I1055" i="5"/>
  <c r="I1052" i="5"/>
  <c r="I1047" i="5"/>
  <c r="I1021" i="5"/>
  <c r="I996" i="5"/>
  <c r="I997" i="5" s="1"/>
  <c r="I980" i="5"/>
  <c r="I972" i="5"/>
  <c r="I966" i="5"/>
  <c r="I958" i="5"/>
  <c r="I950" i="5"/>
  <c r="I942" i="5"/>
  <c r="I934" i="5"/>
  <c r="I926" i="5"/>
  <c r="I917" i="5"/>
  <c r="I908" i="5"/>
  <c r="I900" i="5"/>
  <c r="I901" i="5" s="1"/>
  <c r="I902" i="5" s="1"/>
  <c r="I874" i="5"/>
  <c r="I864" i="5"/>
  <c r="I859" i="5"/>
  <c r="I854" i="5"/>
  <c r="I849" i="5"/>
  <c r="I840" i="5"/>
  <c r="I841" i="5" s="1"/>
  <c r="I833" i="5"/>
  <c r="I826" i="5"/>
  <c r="I819" i="5"/>
  <c r="I820" i="5" s="1"/>
  <c r="I810" i="5"/>
  <c r="I811" i="5" s="1"/>
  <c r="I812" i="5" s="1"/>
  <c r="I813" i="5" s="1"/>
  <c r="I814" i="5" s="1"/>
  <c r="I815" i="5" s="1"/>
  <c r="I816" i="5" s="1"/>
  <c r="I807" i="5"/>
  <c r="I804" i="5"/>
  <c r="I800" i="5"/>
  <c r="I792" i="5"/>
  <c r="I762" i="5"/>
  <c r="I763" i="5" s="1"/>
  <c r="I775" i="5"/>
  <c r="I785" i="5"/>
  <c r="G781" i="5"/>
  <c r="G782" i="5" s="1"/>
  <c r="G783" i="5" s="1"/>
  <c r="I769" i="5"/>
  <c r="I765" i="5"/>
  <c r="I766" i="5" s="1"/>
  <c r="I752" i="5"/>
  <c r="I753" i="5" s="1"/>
  <c r="I756" i="5"/>
  <c r="I746" i="5"/>
  <c r="I748" i="5" s="1"/>
  <c r="I740" i="5"/>
  <c r="I228" i="5"/>
  <c r="I207" i="5"/>
  <c r="I192" i="5"/>
  <c r="I153" i="5"/>
  <c r="I154" i="5" s="1"/>
  <c r="I155" i="5" s="1"/>
  <c r="I156" i="5" s="1"/>
  <c r="G52" i="5"/>
  <c r="I102" i="5"/>
  <c r="I98" i="5"/>
  <c r="I1471" i="5"/>
  <c r="I1472" i="5" s="1"/>
  <c r="I1473" i="5" s="1"/>
  <c r="I1474" i="5" s="1"/>
  <c r="I663" i="5"/>
  <c r="G19" i="5"/>
  <c r="G18" i="5"/>
  <c r="G16" i="5"/>
  <c r="G17" i="5"/>
  <c r="I1008" i="5"/>
  <c r="I869" i="5"/>
  <c r="I870" i="5" s="1"/>
  <c r="I871" i="5" s="1"/>
  <c r="I222" i="5"/>
  <c r="I1512" i="5"/>
  <c r="D1573" i="5"/>
  <c r="D1571" i="5" s="1"/>
  <c r="A127" i="15"/>
  <c r="E112" i="15"/>
  <c r="E113" i="15"/>
  <c r="G120" i="15"/>
  <c r="B129" i="15"/>
  <c r="G128" i="15" s="1"/>
  <c r="A109" i="15"/>
  <c r="C119" i="15"/>
  <c r="C127" i="15" s="1"/>
  <c r="B119" i="15"/>
  <c r="P119" i="15" s="1"/>
  <c r="D186" i="5" l="1"/>
  <c r="D190" i="5" s="1"/>
  <c r="I1282" i="5"/>
  <c r="I1281" i="5"/>
  <c r="I1283" i="5" s="1"/>
  <c r="D951" i="5"/>
  <c r="D952" i="5" s="1"/>
  <c r="S952" i="5"/>
  <c r="D1469" i="5"/>
  <c r="D1470" i="5"/>
  <c r="D816" i="5"/>
  <c r="K813" i="5" s="1"/>
  <c r="D1607" i="5"/>
  <c r="D1609" i="5" s="1"/>
  <c r="D302" i="5"/>
  <c r="J906" i="5"/>
  <c r="D904" i="5"/>
  <c r="D729" i="5"/>
  <c r="D730" i="5"/>
  <c r="D437" i="5"/>
  <c r="D1071" i="5"/>
  <c r="K1069" i="5" s="1"/>
  <c r="D1072" i="5"/>
  <c r="D474" i="5"/>
  <c r="D922" i="5"/>
  <c r="D921" i="5"/>
  <c r="D923" i="5"/>
  <c r="D1206" i="5"/>
  <c r="D1205" i="5"/>
  <c r="D1203" i="5" s="1"/>
  <c r="D1204" i="5" s="1"/>
  <c r="K902" i="5"/>
  <c r="D905" i="5"/>
  <c r="D903" i="5"/>
  <c r="D1058" i="5"/>
  <c r="D1056" i="5"/>
  <c r="D1250" i="5"/>
  <c r="D1251" i="5" s="1"/>
  <c r="D1253" i="5" s="1"/>
  <c r="G131" i="15"/>
  <c r="A113" i="15" s="1"/>
  <c r="G124" i="15"/>
  <c r="D1321" i="5"/>
  <c r="D1323" i="5" s="1"/>
  <c r="D928" i="5"/>
  <c r="D932" i="5" s="1"/>
  <c r="D1275" i="5"/>
  <c r="D1272" i="5" s="1"/>
  <c r="D1126" i="5"/>
  <c r="D1129" i="5" s="1"/>
  <c r="D1587" i="5"/>
  <c r="D122" i="5"/>
  <c r="D123" i="5" s="1"/>
  <c r="D1121" i="5"/>
  <c r="D913" i="5"/>
  <c r="D977" i="5"/>
  <c r="D976" i="5"/>
  <c r="D954" i="5"/>
  <c r="D955" i="5"/>
  <c r="D939" i="5"/>
  <c r="D938" i="5"/>
  <c r="D1553" i="5"/>
  <c r="D1557" i="5" s="1"/>
  <c r="I1539" i="5"/>
  <c r="I1541" i="5" s="1"/>
  <c r="I1540" i="5"/>
  <c r="D796" i="5"/>
  <c r="D798" i="5" s="1"/>
  <c r="D1344" i="5"/>
  <c r="D1336" i="5" s="1"/>
  <c r="O710" i="5"/>
  <c r="L710" i="5"/>
  <c r="J710" i="5"/>
  <c r="M710" i="5"/>
  <c r="K710" i="5"/>
  <c r="N710" i="5"/>
  <c r="D1244" i="5"/>
  <c r="D1247" i="5" s="1"/>
  <c r="D1120" i="5"/>
  <c r="D1457" i="5"/>
  <c r="D1459" i="5" s="1"/>
  <c r="D303" i="5"/>
  <c r="D301" i="5"/>
  <c r="X3" i="17"/>
  <c r="O3" i="17"/>
  <c r="X4" i="17"/>
  <c r="I909" i="5"/>
  <c r="I918" i="5" s="1"/>
  <c r="I770" i="5"/>
  <c r="I741" i="5"/>
  <c r="I742" i="5" s="1"/>
  <c r="I743" i="5" s="1"/>
  <c r="I821" i="5"/>
  <c r="I822" i="5" s="1"/>
  <c r="I823" i="5" s="1"/>
  <c r="D1004" i="5"/>
  <c r="D1005" i="5"/>
  <c r="D1064" i="5"/>
  <c r="D1065" i="5"/>
  <c r="I1598" i="5"/>
  <c r="I827" i="5"/>
  <c r="I828" i="5" s="1"/>
  <c r="I829" i="5" s="1"/>
  <c r="I830" i="5" s="1"/>
  <c r="I1076" i="5"/>
  <c r="I1132" i="5"/>
  <c r="I777" i="5"/>
  <c r="I778" i="5" s="1"/>
  <c r="I834" i="5"/>
  <c r="I835" i="5" s="1"/>
  <c r="I836" i="5" s="1"/>
  <c r="I837" i="5" s="1"/>
  <c r="I1509" i="5"/>
  <c r="I1510" i="5" s="1"/>
  <c r="I801" i="5"/>
  <c r="I865" i="5"/>
  <c r="I866" i="5" s="1"/>
  <c r="D150" i="5"/>
  <c r="G129" i="15"/>
  <c r="M128" i="15" s="1"/>
  <c r="G130" i="15"/>
  <c r="G125" i="15"/>
  <c r="B127" i="15"/>
  <c r="S710" i="5"/>
  <c r="T710" i="5"/>
  <c r="D1446" i="5"/>
  <c r="G123" i="15"/>
  <c r="M121" i="15" s="1"/>
  <c r="B130" i="15"/>
  <c r="K119" i="15"/>
  <c r="A110" i="15"/>
  <c r="Q119" i="15"/>
  <c r="L119" i="15"/>
  <c r="I1091" i="5"/>
  <c r="I1092" i="5" s="1"/>
  <c r="D1092" i="5"/>
  <c r="D1041" i="5"/>
  <c r="I1012" i="5"/>
  <c r="D434" i="5" l="1"/>
  <c r="D435" i="5" s="1"/>
  <c r="D1201" i="5"/>
  <c r="D906" i="5"/>
  <c r="D1059" i="5"/>
  <c r="D1122" i="5"/>
  <c r="G127" i="15"/>
  <c r="A112" i="15"/>
  <c r="A115" i="15" s="1"/>
  <c r="D956" i="5"/>
  <c r="I842" i="5"/>
  <c r="I843" i="5" s="1"/>
  <c r="I844" i="5" s="1"/>
  <c r="I845" i="5" s="1"/>
  <c r="I846" i="5" s="1"/>
  <c r="I793" i="5"/>
  <c r="I794" i="5" s="1"/>
  <c r="I1513" i="5"/>
  <c r="I1514" i="5" s="1"/>
  <c r="I771" i="5"/>
  <c r="I772" i="5" s="1"/>
  <c r="K120" i="15"/>
  <c r="K121" i="15" s="1"/>
  <c r="I1236" i="5"/>
  <c r="D1238" i="5"/>
  <c r="D1239" i="5" s="1"/>
  <c r="I1209" i="5"/>
  <c r="I1221" i="5"/>
  <c r="D1222" i="5"/>
  <c r="I1216" i="5"/>
  <c r="D1138" i="5"/>
  <c r="I1137" i="5"/>
  <c r="I1190" i="5"/>
  <c r="D1173" i="5"/>
  <c r="G1252" i="5"/>
  <c r="G1251" i="5"/>
  <c r="G1258" i="5" s="1"/>
  <c r="I1249" i="5"/>
  <c r="I1273" i="5"/>
  <c r="I1267" i="5"/>
  <c r="I1255" i="5"/>
  <c r="I1110" i="5"/>
  <c r="I694" i="5"/>
  <c r="D1177" i="5" l="1"/>
  <c r="D1181" i="5" s="1"/>
  <c r="D1182" i="5" s="1"/>
  <c r="D1174" i="5"/>
  <c r="I1155" i="5"/>
  <c r="I1156" i="5" s="1"/>
  <c r="I1157" i="5" s="1"/>
  <c r="I1158" i="5" s="1"/>
  <c r="I1159" i="5" s="1"/>
  <c r="I847" i="5"/>
  <c r="I850" i="5"/>
  <c r="I855" i="5" s="1"/>
  <c r="I860" i="5" s="1"/>
  <c r="I875" i="5" s="1"/>
  <c r="I876" i="5" s="1"/>
  <c r="I877" i="5" s="1"/>
  <c r="I878" i="5" s="1"/>
  <c r="G1256" i="5"/>
  <c r="G1257" i="5"/>
  <c r="K122" i="15"/>
  <c r="K127" i="15"/>
  <c r="K128" i="15" s="1"/>
  <c r="I889" i="5"/>
  <c r="D890" i="5"/>
  <c r="I1118" i="5"/>
  <c r="D622" i="5"/>
  <c r="G622" i="5"/>
  <c r="D615" i="5"/>
  <c r="D612" i="5" s="1"/>
  <c r="D609" i="5" s="1"/>
  <c r="H622" i="5" l="1"/>
  <c r="G624" i="5" s="1"/>
  <c r="K129" i="15"/>
  <c r="D1115" i="5"/>
  <c r="D1114" i="5"/>
  <c r="D881" i="5"/>
  <c r="I881" i="5"/>
  <c r="I882" i="5" s="1"/>
  <c r="I883" i="5" s="1"/>
  <c r="G89" i="15"/>
  <c r="D70" i="15"/>
  <c r="A65" i="15"/>
  <c r="I1134" i="5"/>
  <c r="I1135" i="5" s="1"/>
  <c r="I1138" i="5" s="1"/>
  <c r="I1141" i="5" s="1"/>
  <c r="I1421" i="5"/>
  <c r="D1422" i="5"/>
  <c r="L90" i="15" l="1"/>
  <c r="K622" i="5"/>
  <c r="J622" i="5"/>
  <c r="L622" i="5"/>
  <c r="N622" i="5"/>
  <c r="M622" i="5"/>
  <c r="I623" i="5"/>
  <c r="I624" i="5" s="1"/>
  <c r="T622" i="5"/>
  <c r="S622" i="5"/>
  <c r="O622" i="5"/>
  <c r="D1632" i="5" l="1"/>
  <c r="D1628" i="5" s="1"/>
  <c r="I1629" i="5"/>
  <c r="I1630" i="5" s="1"/>
  <c r="G1629" i="5"/>
  <c r="G1630" i="5" s="1"/>
  <c r="I1488" i="5"/>
  <c r="G1501" i="5"/>
  <c r="I1501" i="5"/>
  <c r="I1522" i="5"/>
  <c r="I697" i="5"/>
  <c r="I118" i="5"/>
  <c r="I119" i="5" s="1"/>
  <c r="I120" i="5" s="1"/>
  <c r="I121" i="5" s="1"/>
  <c r="I592" i="5"/>
  <c r="I1404" i="5"/>
  <c r="D1406" i="5"/>
  <c r="D1407" i="5" s="1"/>
  <c r="I728" i="5"/>
  <c r="I1489" i="5" l="1"/>
  <c r="I1490" i="5" s="1"/>
  <c r="I1491" i="5" s="1"/>
  <c r="I1548" i="5"/>
  <c r="G1091" i="5"/>
  <c r="G1149" i="5" s="1"/>
  <c r="G594" i="5"/>
  <c r="I127" i="5"/>
  <c r="L1195" i="5"/>
  <c r="D1195" i="5"/>
  <c r="I1194" i="5"/>
  <c r="D1622" i="5"/>
  <c r="D1623" i="5" s="1"/>
  <c r="D1638" i="5" s="1"/>
  <c r="I1621" i="5"/>
  <c r="I1618" i="5"/>
  <c r="D1619" i="5"/>
  <c r="D1648" i="5" s="1"/>
  <c r="I736" i="5"/>
  <c r="D736" i="5"/>
  <c r="D1651" i="5" l="1"/>
  <c r="D1654" i="5" s="1"/>
  <c r="I1599" i="5"/>
  <c r="N191" i="5"/>
  <c r="M191" i="5"/>
  <c r="L191" i="5"/>
  <c r="K191" i="5"/>
  <c r="J191" i="5"/>
  <c r="N780" i="5"/>
  <c r="M780" i="5"/>
  <c r="L780" i="5"/>
  <c r="J780" i="5"/>
  <c r="I1172" i="5"/>
  <c r="I1168" i="5" l="1"/>
  <c r="I1169" i="5" s="1"/>
  <c r="I1173" i="5" s="1"/>
  <c r="I1176" i="5"/>
  <c r="I1180" i="5"/>
  <c r="I1305" i="5"/>
  <c r="I1309" i="5" s="1"/>
  <c r="G48" i="5"/>
  <c r="I1577" i="5"/>
  <c r="I1576" i="5" s="1"/>
  <c r="I1143" i="5"/>
  <c r="D1146" i="5"/>
  <c r="D1151" i="5" s="1"/>
  <c r="I1039" i="5"/>
  <c r="I1035" i="5"/>
  <c r="I1312" i="5"/>
  <c r="I1095" i="5"/>
  <c r="I1313" i="5" l="1"/>
  <c r="I1411" i="5"/>
  <c r="G49" i="5"/>
  <c r="G50" i="5" s="1"/>
  <c r="G51" i="5" s="1"/>
  <c r="I1310" i="5"/>
  <c r="I1412" i="5"/>
  <c r="I1177" i="5"/>
  <c r="I1181" i="5" s="1"/>
  <c r="I1191" i="5" s="1"/>
  <c r="I1195" i="5" s="1"/>
  <c r="I1196" i="5" s="1"/>
  <c r="D1303" i="5"/>
  <c r="D1306" i="5" s="1"/>
  <c r="I1300" i="5"/>
  <c r="I1301" i="5" s="1"/>
  <c r="I1302" i="5" s="1"/>
  <c r="I1015" i="5"/>
  <c r="I1285" i="5"/>
  <c r="I1289" i="5"/>
  <c r="I1290" i="5" s="1"/>
  <c r="T780" i="5"/>
  <c r="S780" i="5"/>
  <c r="R780" i="5"/>
  <c r="Q780" i="5"/>
  <c r="P780" i="5"/>
  <c r="O780" i="5"/>
  <c r="I1495" i="5"/>
  <c r="I1496" i="5" s="1"/>
  <c r="I1497" i="5" s="1"/>
  <c r="I1455" i="5"/>
  <c r="I1456" i="5" s="1"/>
  <c r="I1457" i="5" s="1"/>
  <c r="I1463" i="5"/>
  <c r="I1464" i="5" s="1"/>
  <c r="I1465" i="5" s="1"/>
  <c r="D1316" i="5" l="1"/>
  <c r="I1286" i="5"/>
  <c r="I1295" i="5"/>
  <c r="I1293" i="5" s="1"/>
  <c r="I1296" i="5" s="1"/>
  <c r="I1294" i="5" s="1"/>
  <c r="I1297" i="5" s="1"/>
  <c r="I1416" i="5"/>
  <c r="I1202" i="5"/>
  <c r="I1203" i="5" s="1"/>
  <c r="I1204" i="5" s="1"/>
  <c r="I1205" i="5" s="1"/>
  <c r="I1210" i="5" s="1"/>
  <c r="I1211" i="5" s="1"/>
  <c r="I1212" i="5" s="1"/>
  <c r="I1217" i="5" s="1"/>
  <c r="I1528" i="5"/>
  <c r="I1534" i="5"/>
  <c r="I1516" i="5"/>
  <c r="I1517" i="5" s="1"/>
  <c r="I1518" i="5" s="1"/>
  <c r="I1519" i="5" s="1"/>
  <c r="I1119" i="5"/>
  <c r="I1120" i="5" s="1"/>
  <c r="I1520" i="5" l="1"/>
  <c r="I1523" i="5"/>
  <c r="I1524" i="5" s="1"/>
  <c r="I1525" i="5" s="1"/>
  <c r="I1551" i="5"/>
  <c r="I1478" i="5"/>
  <c r="I1479" i="5" s="1"/>
  <c r="I1218" i="5"/>
  <c r="J1233" i="5" s="1"/>
  <c r="I1222" i="5"/>
  <c r="I1227" i="5" s="1"/>
  <c r="I1327" i="5"/>
  <c r="J1325" i="5"/>
  <c r="D1325" i="5" s="1"/>
  <c r="D1331" i="5" s="1"/>
  <c r="B103" i="15"/>
  <c r="C100" i="15"/>
  <c r="B100" i="15"/>
  <c r="C95" i="15"/>
  <c r="B95" i="15"/>
  <c r="C88" i="15"/>
  <c r="B88" i="15"/>
  <c r="N78" i="15"/>
  <c r="I1526" i="5" l="1"/>
  <c r="I1228" i="5"/>
  <c r="I1229" i="5" s="1"/>
  <c r="I1232" i="5"/>
  <c r="I1529" i="5"/>
  <c r="I1530" i="5" s="1"/>
  <c r="I1531" i="5" s="1"/>
  <c r="I1535" i="5" s="1"/>
  <c r="I1542" i="5" s="1"/>
  <c r="I1543" i="5" s="1"/>
  <c r="I1549" i="5" s="1"/>
  <c r="I1480" i="5"/>
  <c r="I1483" i="5"/>
  <c r="I1484" i="5" s="1"/>
  <c r="P100" i="15"/>
  <c r="Q100" i="15"/>
  <c r="L100" i="15"/>
  <c r="K100" i="15"/>
  <c r="P95" i="15"/>
  <c r="K95" i="15"/>
  <c r="Q95" i="15"/>
  <c r="L95" i="15"/>
  <c r="P88" i="15"/>
  <c r="Q88" i="15"/>
  <c r="K88" i="15"/>
  <c r="L88" i="15"/>
  <c r="D54" i="15"/>
  <c r="D45" i="15"/>
  <c r="A34" i="15"/>
  <c r="D43" i="15"/>
  <c r="B56" i="15"/>
  <c r="G55" i="15"/>
  <c r="C43" i="15"/>
  <c r="C52" i="15" s="1"/>
  <c r="B43" i="15"/>
  <c r="B52" i="15" s="1"/>
  <c r="L53" i="15" l="1"/>
  <c r="A56" i="15"/>
  <c r="A36" i="15"/>
  <c r="D39" i="15" s="1"/>
  <c r="G23" i="15"/>
  <c r="I1552" i="5"/>
  <c r="I1553" i="5" s="1"/>
  <c r="I1554" i="5" s="1"/>
  <c r="I1560" i="5" s="1"/>
  <c r="I1233" i="5"/>
  <c r="I1234" i="5" s="1"/>
  <c r="I1237" i="5"/>
  <c r="I1243" i="5" s="1"/>
  <c r="I1244" i="5" s="1"/>
  <c r="I1245" i="5" s="1"/>
  <c r="K101" i="15"/>
  <c r="K102" i="15" s="1"/>
  <c r="K89" i="15"/>
  <c r="K90" i="15" s="1"/>
  <c r="K91" i="15" s="1"/>
  <c r="K92" i="15" s="1"/>
  <c r="K96" i="15"/>
  <c r="K97" i="15" s="1"/>
  <c r="G52" i="15"/>
  <c r="P43" i="15"/>
  <c r="Q43" i="15"/>
  <c r="K43" i="15"/>
  <c r="L43" i="15"/>
  <c r="J49" i="15" l="1"/>
  <c r="J52" i="15"/>
  <c r="J48" i="15"/>
  <c r="J56" i="15"/>
  <c r="J47" i="15"/>
  <c r="J50" i="15"/>
  <c r="J55" i="15"/>
  <c r="J46" i="15"/>
  <c r="J43" i="15"/>
  <c r="J54" i="15"/>
  <c r="J45" i="15"/>
  <c r="J53" i="15"/>
  <c r="J44" i="15"/>
  <c r="I1246" i="5"/>
  <c r="I1247" i="5" s="1"/>
  <c r="I1250" i="5"/>
  <c r="I1251" i="5" s="1"/>
  <c r="I1252" i="5" s="1"/>
  <c r="I1256" i="5" s="1"/>
  <c r="I1257" i="5" s="1"/>
  <c r="I1258" i="5" s="1"/>
  <c r="I1262" i="5" s="1"/>
  <c r="I1263" i="5" s="1"/>
  <c r="I1264" i="5" s="1"/>
  <c r="I1561" i="5"/>
  <c r="I1564" i="5"/>
  <c r="A39" i="15"/>
  <c r="F39" i="15" s="1"/>
  <c r="F40" i="15" s="1"/>
  <c r="G98" i="15"/>
  <c r="G103" i="15"/>
  <c r="K44" i="15"/>
  <c r="K45" i="15" s="1"/>
  <c r="I1565" i="5" l="1"/>
  <c r="I1568" i="5"/>
  <c r="I1265" i="5"/>
  <c r="I1268" i="5"/>
  <c r="I1269" i="5" s="1"/>
  <c r="I1270" i="5" s="1"/>
  <c r="A83" i="15"/>
  <c r="K52" i="15"/>
  <c r="K53" i="15" s="1"/>
  <c r="K54" i="15" s="1"/>
  <c r="K46" i="15"/>
  <c r="K47" i="15" s="1"/>
  <c r="I1271" i="5" l="1"/>
  <c r="I1274" i="5"/>
  <c r="I1275" i="5" s="1"/>
  <c r="K55" i="15"/>
  <c r="D1093" i="5" l="1"/>
  <c r="I1002" i="5"/>
  <c r="I1003" i="5" s="1"/>
  <c r="N60" i="15"/>
  <c r="G73" i="15"/>
  <c r="G71" i="15"/>
  <c r="G72" i="15"/>
  <c r="A63" i="15"/>
  <c r="D1163" i="5"/>
  <c r="I1162" i="5"/>
  <c r="I53" i="9"/>
  <c r="P430" i="5" s="1"/>
  <c r="I892" i="5"/>
  <c r="I893" i="5" s="1"/>
  <c r="I894" i="5" s="1"/>
  <c r="I895" i="5" s="1"/>
  <c r="I903" i="5" s="1"/>
  <c r="I1101" i="5"/>
  <c r="I1572" i="5"/>
  <c r="I1585" i="5"/>
  <c r="I1581" i="5"/>
  <c r="I1582" i="5" s="1"/>
  <c r="J258" i="15" l="1"/>
  <c r="J259" i="15" s="1"/>
  <c r="J260" i="15" s="1"/>
  <c r="J261" i="15" s="1"/>
  <c r="J262" i="15" s="1"/>
  <c r="J263" i="15" s="1"/>
  <c r="J264" i="15" s="1"/>
  <c r="J266" i="15"/>
  <c r="J267" i="15" s="1"/>
  <c r="J268" i="15" s="1"/>
  <c r="J269" i="15" s="1"/>
  <c r="J270" i="15" s="1"/>
  <c r="J238" i="15"/>
  <c r="J239" i="15" s="1"/>
  <c r="J240" i="15" s="1"/>
  <c r="J241" i="15" s="1"/>
  <c r="J242" i="15" s="1"/>
  <c r="J230" i="15"/>
  <c r="J231" i="15" s="1"/>
  <c r="J232" i="15" s="1"/>
  <c r="J233" i="15" s="1"/>
  <c r="J234" i="15" s="1"/>
  <c r="J235" i="15" s="1"/>
  <c r="J236" i="15" s="1"/>
  <c r="J127" i="15"/>
  <c r="J128" i="15" s="1"/>
  <c r="J119" i="15"/>
  <c r="J120" i="15" s="1"/>
  <c r="J100" i="15"/>
  <c r="J101" i="15" s="1"/>
  <c r="J95" i="15"/>
  <c r="J96" i="15" s="1"/>
  <c r="J88" i="15"/>
  <c r="J89" i="15" s="1"/>
  <c r="J90" i="15" s="1"/>
  <c r="J210" i="15"/>
  <c r="J211" i="15" s="1"/>
  <c r="J212" i="15" s="1"/>
  <c r="J213" i="15" s="1"/>
  <c r="J214" i="15" s="1"/>
  <c r="J215" i="15" s="1"/>
  <c r="J216" i="15" s="1"/>
  <c r="J189" i="15"/>
  <c r="J190" i="15" s="1"/>
  <c r="J191" i="15" s="1"/>
  <c r="J192" i="15" s="1"/>
  <c r="J193" i="15" s="1"/>
  <c r="J194" i="15" s="1"/>
  <c r="J195" i="15" s="1"/>
  <c r="J147" i="15"/>
  <c r="J148" i="15" s="1"/>
  <c r="J149" i="15" s="1"/>
  <c r="J150" i="15" s="1"/>
  <c r="J151" i="15" s="1"/>
  <c r="J152" i="15" s="1"/>
  <c r="J153" i="15" s="1"/>
  <c r="J168" i="15"/>
  <c r="J169" i="15" s="1"/>
  <c r="J170" i="15" s="1"/>
  <c r="I910" i="5"/>
  <c r="I911" i="5" s="1"/>
  <c r="I912" i="5" s="1"/>
  <c r="I1586" i="5"/>
  <c r="I1587" i="5" s="1"/>
  <c r="I1588" i="5" s="1"/>
  <c r="I1594" i="5" s="1"/>
  <c r="I1163" i="5"/>
  <c r="I1185" i="5"/>
  <c r="I1004" i="5"/>
  <c r="I1005" i="5" s="1"/>
  <c r="I1009" i="5"/>
  <c r="I1056" i="5" s="1"/>
  <c r="I1102" i="5"/>
  <c r="I1105" i="5" s="1"/>
  <c r="I1106" i="5" s="1"/>
  <c r="I1107" i="5" s="1"/>
  <c r="I1111" i="5" s="1"/>
  <c r="I1112" i="5" s="1"/>
  <c r="I1113" i="5" s="1"/>
  <c r="J1104" i="5"/>
  <c r="G74" i="15"/>
  <c r="G75" i="15"/>
  <c r="D545" i="5"/>
  <c r="J91" i="15" l="1"/>
  <c r="J92" i="15" s="1"/>
  <c r="J93" i="15" s="1"/>
  <c r="J171" i="15"/>
  <c r="J172" i="15" s="1"/>
  <c r="J173" i="15" s="1"/>
  <c r="J174" i="15" s="1"/>
  <c r="I913" i="5"/>
  <c r="I914" i="5" s="1"/>
  <c r="I919" i="5"/>
  <c r="I920" i="5" s="1"/>
  <c r="I921" i="5" s="1"/>
  <c r="I1057" i="5"/>
  <c r="I1062" i="5"/>
  <c r="I1063" i="5" s="1"/>
  <c r="I1064" i="5" s="1"/>
  <c r="I1069" i="5" s="1"/>
  <c r="I1070" i="5" s="1"/>
  <c r="I1071" i="5" s="1"/>
  <c r="I1186" i="5"/>
  <c r="I1314" i="5"/>
  <c r="I1595" i="5"/>
  <c r="I1600" i="5"/>
  <c r="I1601" i="5" s="1"/>
  <c r="I1602" i="5" s="1"/>
  <c r="J129" i="15"/>
  <c r="J130" i="15" s="1"/>
  <c r="J131" i="15" s="1"/>
  <c r="J121" i="15"/>
  <c r="J122" i="15" s="1"/>
  <c r="J123" i="15" s="1"/>
  <c r="J124" i="15" s="1"/>
  <c r="J125" i="15" s="1"/>
  <c r="J102" i="15"/>
  <c r="J103" i="15" s="1"/>
  <c r="G70" i="15"/>
  <c r="J97" i="15"/>
  <c r="J98" i="15" s="1"/>
  <c r="G731" i="5"/>
  <c r="I720" i="5"/>
  <c r="I721" i="5" s="1"/>
  <c r="I722" i="5" s="1"/>
  <c r="I1058" i="5" l="1"/>
  <c r="I1060" i="5"/>
  <c r="I1315" i="5"/>
  <c r="I1319" i="5" s="1"/>
  <c r="I1320" i="5" s="1"/>
  <c r="I1321" i="5" s="1"/>
  <c r="I1322" i="5" s="1"/>
  <c r="I1334" i="5"/>
  <c r="I1335" i="5" s="1"/>
  <c r="I1603" i="5"/>
  <c r="I1606" i="5"/>
  <c r="I1607" i="5" s="1"/>
  <c r="I1608" i="5" s="1"/>
  <c r="I922" i="5"/>
  <c r="I923" i="5" s="1"/>
  <c r="I924" i="5" s="1"/>
  <c r="I927" i="5"/>
  <c r="I928" i="5" s="1"/>
  <c r="I929" i="5" s="1"/>
  <c r="I1187" i="5"/>
  <c r="I1188" i="5" s="1"/>
  <c r="D712" i="5"/>
  <c r="D717" i="5" s="1"/>
  <c r="H731" i="5"/>
  <c r="H701" i="5"/>
  <c r="D703" i="5"/>
  <c r="D708" i="5" s="1"/>
  <c r="G701" i="5"/>
  <c r="I691" i="5"/>
  <c r="N701" i="5" l="1"/>
  <c r="M701" i="5"/>
  <c r="J701" i="5"/>
  <c r="L701" i="5"/>
  <c r="K701" i="5"/>
  <c r="J731" i="5"/>
  <c r="N731" i="5"/>
  <c r="L731" i="5"/>
  <c r="M731" i="5"/>
  <c r="K731" i="5"/>
  <c r="G703" i="5"/>
  <c r="G706" i="5"/>
  <c r="G709" i="5"/>
  <c r="G707" i="5"/>
  <c r="G705" i="5"/>
  <c r="G704" i="5"/>
  <c r="G702" i="5"/>
  <c r="G708" i="5"/>
  <c r="I1340" i="5"/>
  <c r="I1341" i="5" s="1"/>
  <c r="I1342" i="5" s="1"/>
  <c r="I1343" i="5" s="1"/>
  <c r="I1344" i="5" s="1"/>
  <c r="I1345" i="5" s="1"/>
  <c r="I1346" i="5" s="1"/>
  <c r="I1417" i="5"/>
  <c r="I1609" i="5"/>
  <c r="I1613" i="5"/>
  <c r="I1323" i="5"/>
  <c r="I1328" i="5"/>
  <c r="I1329" i="5" s="1"/>
  <c r="I1330" i="5" s="1"/>
  <c r="I930" i="5"/>
  <c r="I931" i="5" s="1"/>
  <c r="I932" i="5" s="1"/>
  <c r="I935" i="5"/>
  <c r="I936" i="5" s="1"/>
  <c r="I937" i="5" s="1"/>
  <c r="T731" i="5"/>
  <c r="S731" i="5"/>
  <c r="O731" i="5"/>
  <c r="I733" i="5"/>
  <c r="I734" i="5" s="1"/>
  <c r="I703" i="5"/>
  <c r="I704" i="5" s="1"/>
  <c r="I705" i="5" s="1"/>
  <c r="I706" i="5" s="1"/>
  <c r="H683" i="5"/>
  <c r="I588" i="5"/>
  <c r="D683" i="5"/>
  <c r="D680" i="5"/>
  <c r="G676" i="5"/>
  <c r="D75" i="5"/>
  <c r="D84" i="5"/>
  <c r="D82" i="5" s="1"/>
  <c r="H81" i="5"/>
  <c r="G81" i="5"/>
  <c r="I1614" i="5" l="1"/>
  <c r="I1615" i="5" s="1"/>
  <c r="I1616" i="5" s="1"/>
  <c r="J683" i="5"/>
  <c r="N683" i="5"/>
  <c r="M683" i="5"/>
  <c r="L683" i="5"/>
  <c r="K683" i="5"/>
  <c r="J81" i="5"/>
  <c r="L81" i="5"/>
  <c r="K81" i="5"/>
  <c r="N81" i="5"/>
  <c r="M81" i="5"/>
  <c r="I1485" i="5"/>
  <c r="I1486" i="5" s="1"/>
  <c r="I1622" i="5"/>
  <c r="I1631" i="5" s="1"/>
  <c r="I938" i="5"/>
  <c r="I939" i="5" s="1"/>
  <c r="I940" i="5" s="1"/>
  <c r="I943" i="5"/>
  <c r="I944" i="5" s="1"/>
  <c r="I945" i="5" s="1"/>
  <c r="I1406" i="5"/>
  <c r="I1407" i="5" s="1"/>
  <c r="I1413" i="5" s="1"/>
  <c r="I1401" i="5"/>
  <c r="H676" i="5"/>
  <c r="O683" i="5"/>
  <c r="T683" i="5"/>
  <c r="S683" i="5"/>
  <c r="I82" i="5"/>
  <c r="S81" i="5"/>
  <c r="O81" i="5"/>
  <c r="T81" i="5"/>
  <c r="I685" i="5"/>
  <c r="H680" i="5"/>
  <c r="I83" i="5"/>
  <c r="I84" i="5"/>
  <c r="H673" i="5"/>
  <c r="G670" i="5"/>
  <c r="H670" i="5" s="1"/>
  <c r="J669" i="5"/>
  <c r="G662" i="5"/>
  <c r="D664" i="5"/>
  <c r="I658" i="5"/>
  <c r="G654" i="5"/>
  <c r="D658" i="5"/>
  <c r="D661" i="5" s="1"/>
  <c r="G651" i="5"/>
  <c r="G638" i="5"/>
  <c r="H638" i="5" s="1"/>
  <c r="D668" i="5" l="1"/>
  <c r="N673" i="5"/>
  <c r="L673" i="5"/>
  <c r="M673" i="5"/>
  <c r="K673" i="5"/>
  <c r="J673" i="5"/>
  <c r="N638" i="5"/>
  <c r="L638" i="5"/>
  <c r="K638" i="5"/>
  <c r="J638" i="5"/>
  <c r="M638" i="5"/>
  <c r="N670" i="5"/>
  <c r="M670" i="5"/>
  <c r="L670" i="5"/>
  <c r="K670" i="5"/>
  <c r="J670" i="5"/>
  <c r="N680" i="5"/>
  <c r="L680" i="5"/>
  <c r="J680" i="5"/>
  <c r="K680" i="5"/>
  <c r="M680" i="5"/>
  <c r="I677" i="5"/>
  <c r="I678" i="5" s="1"/>
  <c r="L676" i="5"/>
  <c r="K676" i="5"/>
  <c r="N676" i="5"/>
  <c r="M676" i="5"/>
  <c r="J676" i="5"/>
  <c r="G678" i="5"/>
  <c r="I1418" i="5"/>
  <c r="I1419" i="5" s="1"/>
  <c r="I1422" i="5" s="1"/>
  <c r="I1425" i="5"/>
  <c r="I1426" i="5" s="1"/>
  <c r="I1427" i="5" s="1"/>
  <c r="I698" i="5"/>
  <c r="I946" i="5"/>
  <c r="I947" i="5" s="1"/>
  <c r="I948" i="5" s="1"/>
  <c r="I951" i="5"/>
  <c r="I952" i="5" s="1"/>
  <c r="I953" i="5" s="1"/>
  <c r="I659" i="5"/>
  <c r="I664" i="5"/>
  <c r="S676" i="5"/>
  <c r="O676" i="5"/>
  <c r="G677" i="5"/>
  <c r="T676" i="5"/>
  <c r="T680" i="5"/>
  <c r="S680" i="5"/>
  <c r="O680" i="5"/>
  <c r="T670" i="5"/>
  <c r="S670" i="5"/>
  <c r="O670" i="5"/>
  <c r="I675" i="5"/>
  <c r="I688" i="5" s="1"/>
  <c r="S673" i="5"/>
  <c r="O673" i="5"/>
  <c r="T673" i="5"/>
  <c r="T638" i="5"/>
  <c r="O638" i="5"/>
  <c r="S638" i="5"/>
  <c r="T651" i="5"/>
  <c r="S651" i="5"/>
  <c r="I672" i="5"/>
  <c r="G681" i="5"/>
  <c r="D651" i="5"/>
  <c r="D1443" i="5" s="1"/>
  <c r="I954" i="5" l="1"/>
  <c r="I955" i="5" s="1"/>
  <c r="I956" i="5" s="1"/>
  <c r="I959" i="5"/>
  <c r="I960" i="5" s="1"/>
  <c r="I961" i="5" s="1"/>
  <c r="I665" i="5"/>
  <c r="I666" i="5" s="1"/>
  <c r="I667" i="5" s="1"/>
  <c r="I1428" i="5"/>
  <c r="I1432" i="5"/>
  <c r="I1433" i="5" s="1"/>
  <c r="I1434" i="5" s="1"/>
  <c r="H632" i="5"/>
  <c r="D638" i="5"/>
  <c r="H628" i="5"/>
  <c r="G637" i="5" l="1"/>
  <c r="G636" i="5"/>
  <c r="G635" i="5"/>
  <c r="G633" i="5"/>
  <c r="I634" i="5"/>
  <c r="L632" i="5"/>
  <c r="K632" i="5"/>
  <c r="N632" i="5"/>
  <c r="J632" i="5"/>
  <c r="M632" i="5"/>
  <c r="L628" i="5"/>
  <c r="K628" i="5"/>
  <c r="J628" i="5"/>
  <c r="N628" i="5"/>
  <c r="M628" i="5"/>
  <c r="I1435" i="5"/>
  <c r="G697" i="5"/>
  <c r="G1102" i="5"/>
  <c r="I737" i="5"/>
  <c r="I962" i="5"/>
  <c r="I963" i="5" s="1"/>
  <c r="I964" i="5" s="1"/>
  <c r="I967" i="5"/>
  <c r="O628" i="5"/>
  <c r="D630" i="5" s="1"/>
  <c r="D631" i="5" s="1"/>
  <c r="D629" i="5" s="1"/>
  <c r="T628" i="5"/>
  <c r="S628" i="5"/>
  <c r="O632" i="5"/>
  <c r="T632" i="5"/>
  <c r="S632" i="5"/>
  <c r="I630" i="5"/>
  <c r="G625" i="5"/>
  <c r="H625" i="5" s="1"/>
  <c r="G618" i="5"/>
  <c r="G614" i="5"/>
  <c r="G611" i="5"/>
  <c r="G608" i="5"/>
  <c r="I605" i="5"/>
  <c r="I606" i="5" s="1"/>
  <c r="I607" i="5" s="1"/>
  <c r="G602" i="5"/>
  <c r="I134" i="5"/>
  <c r="I135" i="5" s="1"/>
  <c r="I136" i="5" s="1"/>
  <c r="I140" i="5"/>
  <c r="J625" i="5" l="1"/>
  <c r="L625" i="5"/>
  <c r="N625" i="5"/>
  <c r="M625" i="5"/>
  <c r="K625" i="5"/>
  <c r="G603" i="5"/>
  <c r="I141" i="5"/>
  <c r="I142" i="5" s="1"/>
  <c r="I143" i="5" s="1"/>
  <c r="I144" i="5" s="1"/>
  <c r="I968" i="5"/>
  <c r="I969" i="5" s="1"/>
  <c r="I973" i="5"/>
  <c r="I974" i="5" s="1"/>
  <c r="I975" i="5" s="1"/>
  <c r="I149" i="5"/>
  <c r="I157" i="5" s="1"/>
  <c r="I158" i="5" s="1"/>
  <c r="I159" i="5" s="1"/>
  <c r="I160" i="5" s="1"/>
  <c r="O625" i="5"/>
  <c r="T625" i="5"/>
  <c r="S625" i="5"/>
  <c r="H614" i="5"/>
  <c r="H618" i="5"/>
  <c r="H608" i="5"/>
  <c r="H611" i="5"/>
  <c r="D596" i="5"/>
  <c r="H595" i="5"/>
  <c r="H578" i="5"/>
  <c r="N618" i="5" l="1"/>
  <c r="M618" i="5"/>
  <c r="L618" i="5"/>
  <c r="J618" i="5"/>
  <c r="K618" i="5"/>
  <c r="M614" i="5"/>
  <c r="L614" i="5"/>
  <c r="J614" i="5"/>
  <c r="N614" i="5"/>
  <c r="K614" i="5"/>
  <c r="N608" i="5"/>
  <c r="J608" i="5"/>
  <c r="M608" i="5"/>
  <c r="L608" i="5"/>
  <c r="K608" i="5"/>
  <c r="K578" i="5"/>
  <c r="J578" i="5"/>
  <c r="N578" i="5"/>
  <c r="L578" i="5"/>
  <c r="M578" i="5"/>
  <c r="L595" i="5"/>
  <c r="K595" i="5"/>
  <c r="J595" i="5"/>
  <c r="N595" i="5"/>
  <c r="M595" i="5"/>
  <c r="J611" i="5"/>
  <c r="N611" i="5"/>
  <c r="M611" i="5"/>
  <c r="L611" i="5"/>
  <c r="K611" i="5"/>
  <c r="I976" i="5"/>
  <c r="I977" i="5" s="1"/>
  <c r="I981" i="5"/>
  <c r="I982" i="5" s="1"/>
  <c r="I983" i="5" s="1"/>
  <c r="I610" i="5"/>
  <c r="T608" i="5"/>
  <c r="S608" i="5"/>
  <c r="O608" i="5"/>
  <c r="I613" i="5"/>
  <c r="S611" i="5"/>
  <c r="O611" i="5"/>
  <c r="T611" i="5"/>
  <c r="I620" i="5"/>
  <c r="I621" i="5" s="1"/>
  <c r="T618" i="5"/>
  <c r="S618" i="5"/>
  <c r="O618" i="5"/>
  <c r="I616" i="5"/>
  <c r="I617" i="5" s="1"/>
  <c r="O614" i="5"/>
  <c r="T614" i="5"/>
  <c r="S614" i="5"/>
  <c r="O578" i="5"/>
  <c r="T578" i="5"/>
  <c r="S578" i="5"/>
  <c r="I581" i="5"/>
  <c r="I598" i="5"/>
  <c r="I599" i="5" s="1"/>
  <c r="I984" i="5" l="1"/>
  <c r="I985" i="5" s="1"/>
  <c r="I986" i="5" s="1"/>
  <c r="I589" i="5"/>
  <c r="G571" i="5" l="1"/>
  <c r="G566" i="5"/>
  <c r="H571" i="5" l="1"/>
  <c r="H566" i="5"/>
  <c r="G562" i="5"/>
  <c r="H555" i="5"/>
  <c r="G555" i="5"/>
  <c r="G543" i="5"/>
  <c r="H543" i="5"/>
  <c r="G552" i="5"/>
  <c r="G549" i="5"/>
  <c r="H535" i="5"/>
  <c r="G535" i="5"/>
  <c r="H532" i="5"/>
  <c r="H526" i="5"/>
  <c r="G526" i="5"/>
  <c r="G522" i="5"/>
  <c r="H522" i="5" s="1"/>
  <c r="D250" i="5"/>
  <c r="H514" i="5"/>
  <c r="G514" i="5"/>
  <c r="G531" i="5" l="1"/>
  <c r="K543" i="5"/>
  <c r="J543" i="5"/>
  <c r="N543" i="5"/>
  <c r="M543" i="5"/>
  <c r="L543" i="5"/>
  <c r="L555" i="5"/>
  <c r="K555" i="5"/>
  <c r="N555" i="5"/>
  <c r="M555" i="5"/>
  <c r="J555" i="5"/>
  <c r="O532" i="5"/>
  <c r="M532" i="5"/>
  <c r="L532" i="5"/>
  <c r="N532" i="5"/>
  <c r="K532" i="5"/>
  <c r="J532" i="5"/>
  <c r="L514" i="5"/>
  <c r="D517" i="5" s="1"/>
  <c r="K514" i="5"/>
  <c r="N514" i="5"/>
  <c r="J514" i="5"/>
  <c r="M514" i="5"/>
  <c r="N535" i="5"/>
  <c r="L535" i="5"/>
  <c r="M535" i="5"/>
  <c r="K535" i="5"/>
  <c r="J535" i="5"/>
  <c r="J526" i="5"/>
  <c r="N526" i="5"/>
  <c r="L526" i="5"/>
  <c r="M526" i="5"/>
  <c r="K526" i="5"/>
  <c r="J566" i="5"/>
  <c r="K566" i="5"/>
  <c r="N566" i="5"/>
  <c r="M566" i="5"/>
  <c r="L566" i="5"/>
  <c r="N522" i="5"/>
  <c r="L522" i="5"/>
  <c r="K522" i="5"/>
  <c r="J522" i="5"/>
  <c r="M522" i="5"/>
  <c r="G572" i="5"/>
  <c r="M571" i="5"/>
  <c r="L571" i="5"/>
  <c r="N571" i="5"/>
  <c r="K571" i="5"/>
  <c r="J571" i="5"/>
  <c r="T532" i="5"/>
  <c r="S532" i="5"/>
  <c r="R532" i="5"/>
  <c r="P532" i="5"/>
  <c r="Q532" i="5"/>
  <c r="O522" i="5"/>
  <c r="S522" i="5"/>
  <c r="T522" i="5"/>
  <c r="T566" i="5"/>
  <c r="S566" i="5"/>
  <c r="O566" i="5"/>
  <c r="O571" i="5"/>
  <c r="T571" i="5"/>
  <c r="S571" i="5"/>
  <c r="I573" i="5"/>
  <c r="I568" i="5"/>
  <c r="I524" i="5"/>
  <c r="I534" i="5"/>
  <c r="H562" i="5"/>
  <c r="I557" i="5"/>
  <c r="I558" i="5" s="1"/>
  <c r="I559" i="5" s="1"/>
  <c r="I545" i="5"/>
  <c r="H552" i="5"/>
  <c r="H549" i="5"/>
  <c r="I528" i="5"/>
  <c r="I537" i="5"/>
  <c r="I538" i="5" s="1"/>
  <c r="I539" i="5" s="1"/>
  <c r="I517" i="5"/>
  <c r="I518" i="5" s="1"/>
  <c r="T111" i="5"/>
  <c r="S111" i="5"/>
  <c r="O111" i="5"/>
  <c r="D113" i="5" s="1"/>
  <c r="G111" i="5"/>
  <c r="G104" i="5"/>
  <c r="H104" i="5" s="1"/>
  <c r="G107" i="5"/>
  <c r="H107" i="5" s="1"/>
  <c r="H27" i="5"/>
  <c r="G27" i="5"/>
  <c r="G505" i="5"/>
  <c r="H505" i="5" s="1"/>
  <c r="J505" i="5" s="1"/>
  <c r="G498" i="5"/>
  <c r="G495" i="5"/>
  <c r="D490" i="5"/>
  <c r="H488" i="5"/>
  <c r="G488" i="5"/>
  <c r="G478" i="5"/>
  <c r="H471" i="5"/>
  <c r="G471" i="5"/>
  <c r="I424" i="5"/>
  <c r="I425" i="5" s="1"/>
  <c r="I426" i="5" s="1"/>
  <c r="I432" i="5"/>
  <c r="I459" i="5"/>
  <c r="I460" i="5" s="1"/>
  <c r="I461" i="5" s="1"/>
  <c r="G465" i="5"/>
  <c r="D459" i="5"/>
  <c r="G416" i="5"/>
  <c r="H416" i="5" s="1"/>
  <c r="G419" i="5"/>
  <c r="H419" i="5" s="1"/>
  <c r="G439" i="5"/>
  <c r="G450" i="5"/>
  <c r="H408" i="5"/>
  <c r="G408" i="5"/>
  <c r="J406" i="5"/>
  <c r="G400" i="5"/>
  <c r="C17" i="15"/>
  <c r="B17" i="15"/>
  <c r="C70" i="15"/>
  <c r="B70" i="15"/>
  <c r="K70" i="15" s="1"/>
  <c r="J70" i="15" s="1"/>
  <c r="D513" i="5" l="1"/>
  <c r="M419" i="5"/>
  <c r="L419" i="5"/>
  <c r="N419" i="5"/>
  <c r="K419" i="5"/>
  <c r="J419" i="5"/>
  <c r="J471" i="5"/>
  <c r="N471" i="5"/>
  <c r="M471" i="5"/>
  <c r="L471" i="5"/>
  <c r="K471" i="5"/>
  <c r="J416" i="5"/>
  <c r="N416" i="5"/>
  <c r="L416" i="5"/>
  <c r="M416" i="5"/>
  <c r="K416" i="5"/>
  <c r="J27" i="5"/>
  <c r="L27" i="5"/>
  <c r="N27" i="5"/>
  <c r="K27" i="5"/>
  <c r="M27" i="5"/>
  <c r="N488" i="5"/>
  <c r="M488" i="5"/>
  <c r="L488" i="5"/>
  <c r="J488" i="5"/>
  <c r="K488" i="5"/>
  <c r="J104" i="5"/>
  <c r="L104" i="5"/>
  <c r="K104" i="5"/>
  <c r="M104" i="5"/>
  <c r="N104" i="5"/>
  <c r="N549" i="5"/>
  <c r="M549" i="5"/>
  <c r="L549" i="5"/>
  <c r="J549" i="5"/>
  <c r="K549" i="5"/>
  <c r="L505" i="5"/>
  <c r="K505" i="5"/>
  <c r="N505" i="5"/>
  <c r="M505" i="5"/>
  <c r="N562" i="5"/>
  <c r="M562" i="5"/>
  <c r="L562" i="5"/>
  <c r="K562" i="5"/>
  <c r="J562" i="5"/>
  <c r="N552" i="5"/>
  <c r="M552" i="5"/>
  <c r="L552" i="5"/>
  <c r="K552" i="5"/>
  <c r="J552" i="5"/>
  <c r="J107" i="5"/>
  <c r="N107" i="5"/>
  <c r="M107" i="5"/>
  <c r="L107" i="5"/>
  <c r="K107" i="5"/>
  <c r="N408" i="5"/>
  <c r="L408" i="5"/>
  <c r="K408" i="5"/>
  <c r="J408" i="5"/>
  <c r="M408" i="5"/>
  <c r="I433" i="5"/>
  <c r="I434" i="5" s="1"/>
  <c r="I435" i="5" s="1"/>
  <c r="I574" i="5"/>
  <c r="I593" i="5"/>
  <c r="I594" i="5" s="1"/>
  <c r="I516" i="5"/>
  <c r="I529" i="5" s="1"/>
  <c r="I583" i="5"/>
  <c r="I584" i="5" s="1"/>
  <c r="I600" i="5" s="1"/>
  <c r="I601" i="5" s="1"/>
  <c r="I582" i="5"/>
  <c r="H400" i="5"/>
  <c r="H111" i="5"/>
  <c r="I113" i="5" s="1"/>
  <c r="I114" i="5" s="1"/>
  <c r="I115" i="5" s="1"/>
  <c r="T562" i="5"/>
  <c r="S562" i="5"/>
  <c r="O562" i="5"/>
  <c r="S549" i="5"/>
  <c r="O549" i="5"/>
  <c r="T549" i="5"/>
  <c r="O552" i="5"/>
  <c r="T552" i="5"/>
  <c r="S552" i="5"/>
  <c r="O27" i="5"/>
  <c r="S27" i="5"/>
  <c r="T27" i="5"/>
  <c r="I421" i="5"/>
  <c r="T419" i="5"/>
  <c r="S419" i="5"/>
  <c r="O419" i="5"/>
  <c r="O416" i="5"/>
  <c r="S416" i="5"/>
  <c r="T416" i="5"/>
  <c r="I108" i="5"/>
  <c r="O107" i="5"/>
  <c r="S107" i="5"/>
  <c r="T107" i="5"/>
  <c r="I105" i="5"/>
  <c r="T104" i="5"/>
  <c r="S104" i="5"/>
  <c r="O104" i="5"/>
  <c r="H465" i="5"/>
  <c r="H498" i="5"/>
  <c r="H450" i="5"/>
  <c r="H478" i="5"/>
  <c r="G479" i="5" s="1"/>
  <c r="H439" i="5"/>
  <c r="G449" i="5" s="1"/>
  <c r="I418" i="5"/>
  <c r="I564" i="5"/>
  <c r="I565" i="5" s="1"/>
  <c r="D402" i="5"/>
  <c r="D405" i="5" s="1"/>
  <c r="I507" i="5"/>
  <c r="I551" i="5"/>
  <c r="I554" i="5"/>
  <c r="I490" i="5"/>
  <c r="I491" i="5" s="1"/>
  <c r="I492" i="5" s="1"/>
  <c r="G108" i="5"/>
  <c r="I109" i="5"/>
  <c r="I110" i="5" s="1"/>
  <c r="I29" i="5"/>
  <c r="I473" i="5"/>
  <c r="I474" i="5" s="1"/>
  <c r="I475" i="5" s="1"/>
  <c r="H495" i="5"/>
  <c r="I410" i="5"/>
  <c r="I411" i="5" s="1"/>
  <c r="I412" i="5" s="1"/>
  <c r="G417" i="5"/>
  <c r="G484" i="5" l="1"/>
  <c r="G485" i="5"/>
  <c r="G486" i="5"/>
  <c r="G487" i="5"/>
  <c r="I479" i="5"/>
  <c r="I480" i="5"/>
  <c r="I509" i="5"/>
  <c r="I510" i="5" s="1"/>
  <c r="I508" i="5"/>
  <c r="D475" i="5"/>
  <c r="D477" i="5"/>
  <c r="L450" i="5"/>
  <c r="K450" i="5"/>
  <c r="J450" i="5"/>
  <c r="N450" i="5"/>
  <c r="M450" i="5"/>
  <c r="N498" i="5"/>
  <c r="M498" i="5"/>
  <c r="L498" i="5"/>
  <c r="J498" i="5"/>
  <c r="K498" i="5"/>
  <c r="G466" i="5"/>
  <c r="N465" i="5"/>
  <c r="J465" i="5"/>
  <c r="M465" i="5"/>
  <c r="L465" i="5"/>
  <c r="K465" i="5"/>
  <c r="M478" i="5"/>
  <c r="L478" i="5"/>
  <c r="J478" i="5"/>
  <c r="K478" i="5"/>
  <c r="N478" i="5"/>
  <c r="K495" i="5"/>
  <c r="J495" i="5"/>
  <c r="L495" i="5"/>
  <c r="N495" i="5"/>
  <c r="M495" i="5"/>
  <c r="N439" i="5"/>
  <c r="M439" i="5"/>
  <c r="L439" i="5"/>
  <c r="J439" i="5"/>
  <c r="K439" i="5"/>
  <c r="M111" i="5"/>
  <c r="N111" i="5"/>
  <c r="L111" i="5"/>
  <c r="K111" i="5"/>
  <c r="J111" i="5"/>
  <c r="L400" i="5"/>
  <c r="K400" i="5"/>
  <c r="N400" i="5"/>
  <c r="J400" i="5"/>
  <c r="M400" i="5"/>
  <c r="I112" i="5"/>
  <c r="G501" i="5"/>
  <c r="G502" i="5"/>
  <c r="I575" i="5"/>
  <c r="I576" i="5" s="1"/>
  <c r="I577" i="5" s="1"/>
  <c r="I635" i="5"/>
  <c r="G420" i="5"/>
  <c r="I402" i="5"/>
  <c r="I403" i="5" s="1"/>
  <c r="I404" i="5" s="1"/>
  <c r="G112" i="5"/>
  <c r="G113" i="5" s="1"/>
  <c r="G114" i="5" s="1"/>
  <c r="G115" i="5" s="1"/>
  <c r="O495" i="5"/>
  <c r="O450" i="5"/>
  <c r="T450" i="5"/>
  <c r="S450" i="5"/>
  <c r="T498" i="5"/>
  <c r="S498" i="5"/>
  <c r="O498" i="5"/>
  <c r="T465" i="5"/>
  <c r="S465" i="5"/>
  <c r="O465" i="5"/>
  <c r="D470" i="5" s="1"/>
  <c r="I497" i="5"/>
  <c r="T495" i="5"/>
  <c r="S495" i="5"/>
  <c r="Q495" i="5"/>
  <c r="P495" i="5"/>
  <c r="R495" i="5"/>
  <c r="S439" i="5"/>
  <c r="O439" i="5"/>
  <c r="T439" i="5"/>
  <c r="O478" i="5"/>
  <c r="T478" i="5"/>
  <c r="S478" i="5"/>
  <c r="I467" i="5"/>
  <c r="I468" i="5" s="1"/>
  <c r="I469" i="5" s="1"/>
  <c r="I500" i="5"/>
  <c r="I484" i="5"/>
  <c r="I485" i="5" s="1"/>
  <c r="I452" i="5"/>
  <c r="I453" i="5" s="1"/>
  <c r="I454" i="5" s="1"/>
  <c r="I441" i="5"/>
  <c r="I442" i="5" s="1"/>
  <c r="I443" i="5" s="1"/>
  <c r="D110" i="5"/>
  <c r="L17" i="15"/>
  <c r="L70" i="15"/>
  <c r="Q70" i="15"/>
  <c r="P70" i="15"/>
  <c r="B28" i="15"/>
  <c r="G27" i="15"/>
  <c r="G26" i="15"/>
  <c r="K17" i="15"/>
  <c r="Q17" i="15"/>
  <c r="P17" i="15"/>
  <c r="A8" i="15"/>
  <c r="I483" i="5" l="1"/>
  <c r="I481" i="5"/>
  <c r="I482" i="5" s="1"/>
  <c r="J17" i="15"/>
  <c r="J18" i="15" s="1"/>
  <c r="J25" i="15"/>
  <c r="J26" i="15" s="1"/>
  <c r="G440" i="5"/>
  <c r="G441" i="5" s="1"/>
  <c r="G421" i="5"/>
  <c r="L26" i="15"/>
  <c r="D468" i="5"/>
  <c r="D472" i="5"/>
  <c r="G28" i="15"/>
  <c r="A10" i="15" s="1"/>
  <c r="I444" i="5"/>
  <c r="I445" i="5" s="1"/>
  <c r="I448" i="5"/>
  <c r="I449" i="5" s="1"/>
  <c r="I455" i="5"/>
  <c r="I456" i="5" s="1"/>
  <c r="G451" i="5"/>
  <c r="I501" i="5"/>
  <c r="I502" i="5" s="1"/>
  <c r="I116" i="5"/>
  <c r="I122" i="5" s="1"/>
  <c r="I123" i="5" s="1"/>
  <c r="I124" i="5" s="1"/>
  <c r="I128" i="5"/>
  <c r="I129" i="5" s="1"/>
  <c r="I130" i="5" s="1"/>
  <c r="I636" i="5"/>
  <c r="I1096" i="5"/>
  <c r="K71" i="15"/>
  <c r="K72" i="15" s="1"/>
  <c r="J71" i="15"/>
  <c r="J72" i="15" s="1"/>
  <c r="K18" i="15"/>
  <c r="D394" i="5"/>
  <c r="H392" i="5"/>
  <c r="G392" i="5"/>
  <c r="I214" i="5"/>
  <c r="J386" i="5"/>
  <c r="D382" i="5"/>
  <c r="H380" i="5"/>
  <c r="G380" i="5"/>
  <c r="D374" i="5"/>
  <c r="H372" i="5"/>
  <c r="K372" i="5" s="1"/>
  <c r="G372" i="5"/>
  <c r="D366" i="5"/>
  <c r="H364" i="5"/>
  <c r="G364" i="5"/>
  <c r="D358" i="5"/>
  <c r="D361" i="5" s="1"/>
  <c r="H356" i="5"/>
  <c r="G356" i="5"/>
  <c r="D350" i="5"/>
  <c r="H348" i="5"/>
  <c r="G348" i="5"/>
  <c r="G679" i="5" s="1"/>
  <c r="G682" i="5" s="1"/>
  <c r="H340" i="5"/>
  <c r="J340" i="5" s="1"/>
  <c r="G340" i="5"/>
  <c r="G324" i="5"/>
  <c r="H324" i="5"/>
  <c r="H332" i="5"/>
  <c r="G332" i="5"/>
  <c r="H317" i="5"/>
  <c r="G317" i="5"/>
  <c r="D312" i="5"/>
  <c r="H310" i="5"/>
  <c r="G310" i="5"/>
  <c r="D378" i="5" l="1"/>
  <c r="D379" i="5"/>
  <c r="G25" i="15"/>
  <c r="J27" i="15"/>
  <c r="J28" i="15" s="1"/>
  <c r="J19" i="15"/>
  <c r="J20" i="15" s="1"/>
  <c r="J21" i="15" s="1"/>
  <c r="J22" i="15" s="1"/>
  <c r="J23" i="15" s="1"/>
  <c r="L340" i="5"/>
  <c r="M340" i="5"/>
  <c r="K340" i="5"/>
  <c r="N340" i="5"/>
  <c r="N332" i="5"/>
  <c r="M332" i="5"/>
  <c r="L332" i="5"/>
  <c r="K332" i="5"/>
  <c r="J332" i="5"/>
  <c r="L392" i="5"/>
  <c r="K392" i="5"/>
  <c r="J392" i="5"/>
  <c r="N392" i="5"/>
  <c r="M392" i="5"/>
  <c r="N324" i="5"/>
  <c r="J324" i="5"/>
  <c r="M324" i="5"/>
  <c r="L324" i="5"/>
  <c r="K324" i="5"/>
  <c r="J356" i="5"/>
  <c r="N356" i="5"/>
  <c r="L356" i="5"/>
  <c r="M356" i="5"/>
  <c r="K356" i="5"/>
  <c r="K310" i="5"/>
  <c r="J310" i="5"/>
  <c r="N310" i="5"/>
  <c r="L310" i="5"/>
  <c r="M310" i="5"/>
  <c r="K380" i="5"/>
  <c r="J380" i="5"/>
  <c r="N380" i="5"/>
  <c r="M380" i="5"/>
  <c r="L380" i="5"/>
  <c r="M364" i="5"/>
  <c r="L364" i="5"/>
  <c r="N364" i="5"/>
  <c r="K364" i="5"/>
  <c r="J364" i="5"/>
  <c r="K317" i="5"/>
  <c r="N317" i="5"/>
  <c r="M317" i="5"/>
  <c r="L317" i="5"/>
  <c r="J317" i="5"/>
  <c r="M348" i="5"/>
  <c r="L348" i="5"/>
  <c r="K348" i="5"/>
  <c r="J348" i="5"/>
  <c r="N348" i="5"/>
  <c r="N372" i="5"/>
  <c r="L372" i="5"/>
  <c r="M372" i="5"/>
  <c r="J372" i="5"/>
  <c r="G365" i="5"/>
  <c r="I486" i="5"/>
  <c r="I487" i="5" s="1"/>
  <c r="I503" i="5"/>
  <c r="I504" i="5" s="1"/>
  <c r="I525" i="5"/>
  <c r="I637" i="5"/>
  <c r="I1023" i="5"/>
  <c r="I1024" i="5" s="1"/>
  <c r="I1048" i="5" s="1"/>
  <c r="I358" i="5"/>
  <c r="I359" i="5" s="1"/>
  <c r="I360" i="5" s="1"/>
  <c r="G311" i="5"/>
  <c r="G312" i="5" s="1"/>
  <c r="K19" i="15"/>
  <c r="K20" i="15" s="1"/>
  <c r="K25" i="15"/>
  <c r="K26" i="15" s="1"/>
  <c r="K27" i="15" s="1"/>
  <c r="J73" i="15"/>
  <c r="J74" i="15" s="1"/>
  <c r="J75" i="15" s="1"/>
  <c r="D330" i="5"/>
  <c r="D362" i="5" s="1"/>
  <c r="D398" i="5" s="1"/>
  <c r="I350" i="5"/>
  <c r="I351" i="5" s="1"/>
  <c r="I352" i="5" s="1"/>
  <c r="I374" i="5"/>
  <c r="I375" i="5" s="1"/>
  <c r="I376" i="5" s="1"/>
  <c r="I334" i="5"/>
  <c r="I335" i="5" s="1"/>
  <c r="I336" i="5" s="1"/>
  <c r="I326" i="5"/>
  <c r="I327" i="5" s="1"/>
  <c r="I328" i="5" s="1"/>
  <c r="I342" i="5"/>
  <c r="I343" i="5" s="1"/>
  <c r="I344" i="5" s="1"/>
  <c r="I319" i="5"/>
  <c r="I320" i="5" s="1"/>
  <c r="I321" i="5" s="1"/>
  <c r="I366" i="5"/>
  <c r="I367" i="5" s="1"/>
  <c r="I368" i="5" s="1"/>
  <c r="I312" i="5"/>
  <c r="I313" i="5" s="1"/>
  <c r="I314" i="5" s="1"/>
  <c r="D370" i="5"/>
  <c r="D406" i="5" s="1"/>
  <c r="D463" i="5" s="1"/>
  <c r="D541" i="5" s="1"/>
  <c r="D338" i="5"/>
  <c r="G480" i="5" l="1"/>
  <c r="I1097" i="5"/>
  <c r="G318" i="5"/>
  <c r="I1049" i="5"/>
  <c r="I1050" i="5" s="1"/>
  <c r="I1053" i="5" s="1"/>
  <c r="I1059" i="5" s="1"/>
  <c r="I1077" i="5"/>
  <c r="I1078" i="5" s="1"/>
  <c r="I1079" i="5" s="1"/>
  <c r="I1080" i="5" s="1"/>
  <c r="G483" i="5" l="1"/>
  <c r="G481" i="5"/>
  <c r="G482" i="5" s="1"/>
  <c r="G499" i="5"/>
  <c r="I1098" i="5"/>
  <c r="I1103" i="5"/>
  <c r="I1086" i="5"/>
  <c r="I1087" i="5" s="1"/>
  <c r="I1145" i="5"/>
  <c r="I1150" i="5" s="1"/>
  <c r="G325" i="5"/>
  <c r="H304" i="5"/>
  <c r="G304" i="5"/>
  <c r="H296" i="5"/>
  <c r="G296" i="5"/>
  <c r="J296" i="5" l="1"/>
  <c r="L296" i="5"/>
  <c r="K296" i="5"/>
  <c r="N296" i="5"/>
  <c r="M296" i="5"/>
  <c r="M304" i="5"/>
  <c r="N304" i="5"/>
  <c r="L304" i="5"/>
  <c r="J304" i="5"/>
  <c r="K304" i="5"/>
  <c r="G527" i="5"/>
  <c r="G533" i="5" s="1"/>
  <c r="G333" i="5"/>
  <c r="I297" i="5"/>
  <c r="D354" i="5"/>
  <c r="D386" i="5" s="1"/>
  <c r="D428" i="5" s="1"/>
  <c r="D520" i="5" s="1"/>
  <c r="D547" i="5" s="1"/>
  <c r="I305" i="5"/>
  <c r="I298" i="5"/>
  <c r="G563" i="5" l="1"/>
  <c r="G564" i="5" s="1"/>
  <c r="G341" i="5"/>
  <c r="G629" i="5" l="1"/>
  <c r="G349" i="5"/>
  <c r="H291" i="5"/>
  <c r="G291" i="5"/>
  <c r="N291" i="5" l="1"/>
  <c r="M291" i="5"/>
  <c r="K291" i="5"/>
  <c r="L291" i="5"/>
  <c r="D292" i="5" s="1"/>
  <c r="J291" i="5"/>
  <c r="G357" i="5"/>
  <c r="I292" i="5"/>
  <c r="D294" i="5" l="1"/>
  <c r="G671" i="5"/>
  <c r="G373" i="5"/>
  <c r="H275" i="5"/>
  <c r="H271" i="5"/>
  <c r="G286" i="5"/>
  <c r="G282" i="5"/>
  <c r="G279" i="5"/>
  <c r="H267" i="5"/>
  <c r="H240" i="5"/>
  <c r="H245" i="5"/>
  <c r="G246" i="5" s="1"/>
  <c r="H249" i="5"/>
  <c r="H253" i="5"/>
  <c r="G254" i="5" s="1"/>
  <c r="H257" i="5"/>
  <c r="G262" i="5"/>
  <c r="H231" i="5"/>
  <c r="G231" i="5"/>
  <c r="G261" i="5" l="1"/>
  <c r="G258" i="5"/>
  <c r="G259" i="5"/>
  <c r="N231" i="5"/>
  <c r="L231" i="5"/>
  <c r="K231" i="5"/>
  <c r="J231" i="5"/>
  <c r="M231" i="5"/>
  <c r="K257" i="5"/>
  <c r="J257" i="5"/>
  <c r="N257" i="5"/>
  <c r="L257" i="5"/>
  <c r="M257" i="5"/>
  <c r="K240" i="5"/>
  <c r="M240" i="5"/>
  <c r="L240" i="5"/>
  <c r="J240" i="5"/>
  <c r="N240" i="5"/>
  <c r="M267" i="5"/>
  <c r="J267" i="5"/>
  <c r="N267" i="5"/>
  <c r="L267" i="5"/>
  <c r="K267" i="5"/>
  <c r="L253" i="5"/>
  <c r="N253" i="5"/>
  <c r="M253" i="5"/>
  <c r="J253" i="5"/>
  <c r="K253" i="5"/>
  <c r="L249" i="5"/>
  <c r="K249" i="5"/>
  <c r="J249" i="5"/>
  <c r="N249" i="5"/>
  <c r="M249" i="5"/>
  <c r="N271" i="5"/>
  <c r="M271" i="5"/>
  <c r="L271" i="5"/>
  <c r="K271" i="5"/>
  <c r="J271" i="5"/>
  <c r="N245" i="5"/>
  <c r="M245" i="5"/>
  <c r="K245" i="5"/>
  <c r="L245" i="5"/>
  <c r="J245" i="5"/>
  <c r="K275" i="5"/>
  <c r="M275" i="5"/>
  <c r="N275" i="5"/>
  <c r="L275" i="5"/>
  <c r="J275" i="5"/>
  <c r="G232" i="5"/>
  <c r="G238" i="5"/>
  <c r="G237" i="5"/>
  <c r="G381" i="5"/>
  <c r="G674" i="5"/>
  <c r="O245" i="5"/>
  <c r="T245" i="5"/>
  <c r="S245" i="5"/>
  <c r="T240" i="5"/>
  <c r="S240" i="5"/>
  <c r="O240" i="5"/>
  <c r="O271" i="5"/>
  <c r="T271" i="5"/>
  <c r="S271" i="5"/>
  <c r="S267" i="5"/>
  <c r="O267" i="5"/>
  <c r="T267" i="5"/>
  <c r="T275" i="5"/>
  <c r="S275" i="5"/>
  <c r="O275" i="5"/>
  <c r="O257" i="5"/>
  <c r="S257" i="5"/>
  <c r="T257" i="5"/>
  <c r="T253" i="5"/>
  <c r="S253" i="5"/>
  <c r="O253" i="5"/>
  <c r="I232" i="5"/>
  <c r="O231" i="5"/>
  <c r="T231" i="5"/>
  <c r="S231" i="5"/>
  <c r="O249" i="5"/>
  <c r="T249" i="5"/>
  <c r="S249" i="5"/>
  <c r="H286" i="5"/>
  <c r="I272" i="5"/>
  <c r="H262" i="5"/>
  <c r="H279" i="5"/>
  <c r="I276" i="5"/>
  <c r="I258" i="5"/>
  <c r="I259" i="5" s="1"/>
  <c r="I241" i="5"/>
  <c r="H282" i="5"/>
  <c r="I268" i="5"/>
  <c r="I254" i="5"/>
  <c r="I250" i="5"/>
  <c r="I246" i="5"/>
  <c r="D214" i="5"/>
  <c r="D218" i="5" s="1"/>
  <c r="H198" i="5"/>
  <c r="G198" i="5"/>
  <c r="D199" i="5"/>
  <c r="D203" i="5" s="1"/>
  <c r="J195" i="5"/>
  <c r="D195" i="5" s="1"/>
  <c r="D194" i="5" s="1"/>
  <c r="T191" i="5"/>
  <c r="S191" i="5"/>
  <c r="O191" i="5"/>
  <c r="H183" i="5"/>
  <c r="G183" i="5"/>
  <c r="G184" i="5" s="1"/>
  <c r="H175" i="5"/>
  <c r="G175" i="5"/>
  <c r="H171" i="5"/>
  <c r="G171" i="5"/>
  <c r="T152" i="5"/>
  <c r="S152" i="5"/>
  <c r="O152" i="5"/>
  <c r="L286" i="5" l="1"/>
  <c r="M286" i="5"/>
  <c r="K286" i="5"/>
  <c r="J286" i="5"/>
  <c r="N286" i="5"/>
  <c r="K175" i="5"/>
  <c r="J175" i="5"/>
  <c r="M175" i="5"/>
  <c r="L175" i="5"/>
  <c r="N175" i="5"/>
  <c r="N282" i="5"/>
  <c r="L282" i="5"/>
  <c r="J282" i="5"/>
  <c r="M282" i="5"/>
  <c r="K282" i="5"/>
  <c r="N171" i="5"/>
  <c r="M171" i="5"/>
  <c r="L171" i="5"/>
  <c r="K171" i="5"/>
  <c r="J171" i="5"/>
  <c r="J262" i="5"/>
  <c r="N262" i="5"/>
  <c r="M262" i="5"/>
  <c r="L262" i="5"/>
  <c r="K262" i="5"/>
  <c r="N183" i="5"/>
  <c r="M183" i="5"/>
  <c r="L183" i="5"/>
  <c r="K183" i="5"/>
  <c r="J183" i="5"/>
  <c r="J198" i="5"/>
  <c r="L198" i="5"/>
  <c r="K198" i="5"/>
  <c r="N198" i="5"/>
  <c r="M198" i="5"/>
  <c r="N279" i="5"/>
  <c r="M279" i="5"/>
  <c r="L279" i="5"/>
  <c r="K279" i="5"/>
  <c r="J279" i="5"/>
  <c r="G176" i="5"/>
  <c r="I234" i="5"/>
  <c r="I235" i="5" s="1"/>
  <c r="I233" i="5"/>
  <c r="I273" i="5"/>
  <c r="I274" i="5" s="1"/>
  <c r="G732" i="5"/>
  <c r="I260" i="5"/>
  <c r="G389" i="5"/>
  <c r="G393" i="5" s="1"/>
  <c r="I172" i="5"/>
  <c r="I173" i="5" s="1"/>
  <c r="T171" i="5"/>
  <c r="S171" i="5"/>
  <c r="O171" i="5"/>
  <c r="I281" i="5"/>
  <c r="O279" i="5"/>
  <c r="T279" i="5"/>
  <c r="S279" i="5"/>
  <c r="I283" i="5"/>
  <c r="O282" i="5"/>
  <c r="T282" i="5"/>
  <c r="S282" i="5"/>
  <c r="I263" i="5"/>
  <c r="I264" i="5" s="1"/>
  <c r="T262" i="5"/>
  <c r="S262" i="5"/>
  <c r="O262" i="5"/>
  <c r="I287" i="5"/>
  <c r="I288" i="5" s="1"/>
  <c r="T286" i="5"/>
  <c r="S286" i="5"/>
  <c r="O286" i="5"/>
  <c r="I184" i="5"/>
  <c r="I199" i="5"/>
  <c r="D207" i="5"/>
  <c r="D211" i="5" s="1"/>
  <c r="D309" i="5" s="1"/>
  <c r="D387" i="5" s="1"/>
  <c r="D438" i="5" s="1"/>
  <c r="D181" i="5"/>
  <c r="D219" i="5"/>
  <c r="I176" i="5"/>
  <c r="D204" i="5"/>
  <c r="D669" i="5"/>
  <c r="D339" i="5"/>
  <c r="D429" i="5" s="1"/>
  <c r="G117" i="5"/>
  <c r="H166" i="5"/>
  <c r="G166" i="5"/>
  <c r="H161" i="5"/>
  <c r="G161" i="5"/>
  <c r="AJ144" i="10"/>
  <c r="BT143" i="10"/>
  <c r="BK143" i="10"/>
  <c r="BB143" i="10"/>
  <c r="AS143" i="10"/>
  <c r="AJ143" i="10"/>
  <c r="AB143" i="10"/>
  <c r="T143" i="10"/>
  <c r="V143" i="10" s="1"/>
  <c r="L143" i="10"/>
  <c r="BT141" i="10"/>
  <c r="BK141" i="10"/>
  <c r="BB141" i="10"/>
  <c r="AS141" i="10"/>
  <c r="AJ141" i="10"/>
  <c r="AB141" i="10"/>
  <c r="T141" i="10"/>
  <c r="AA137" i="10"/>
  <c r="BT135" i="10"/>
  <c r="BK135" i="10"/>
  <c r="BB135" i="10"/>
  <c r="AT135" i="10"/>
  <c r="AV135" i="10" s="1"/>
  <c r="AJ135" i="10"/>
  <c r="AB135" i="10"/>
  <c r="T135" i="10"/>
  <c r="L135" i="10"/>
  <c r="BT134" i="10"/>
  <c r="BK134" i="10"/>
  <c r="BB134" i="10"/>
  <c r="AS134" i="10"/>
  <c r="AJ134" i="10"/>
  <c r="AB134" i="10"/>
  <c r="T134" i="10"/>
  <c r="L134" i="10"/>
  <c r="BT133" i="10"/>
  <c r="BK133" i="10"/>
  <c r="BB133" i="10"/>
  <c r="AS133" i="10"/>
  <c r="AJ133" i="10"/>
  <c r="AB133" i="10"/>
  <c r="T133" i="10"/>
  <c r="V133" i="10" s="1"/>
  <c r="L133" i="10"/>
  <c r="BT132" i="10"/>
  <c r="BK132" i="10"/>
  <c r="BB132" i="10"/>
  <c r="AT132" i="10"/>
  <c r="AV132" i="10" s="1"/>
  <c r="AI132" i="10"/>
  <c r="AK132" i="10" s="1"/>
  <c r="AM132" i="10" s="1"/>
  <c r="AB132" i="10"/>
  <c r="T132" i="10"/>
  <c r="L132" i="10"/>
  <c r="BT131" i="10"/>
  <c r="BK131" i="10"/>
  <c r="BB131" i="10"/>
  <c r="AT131" i="10"/>
  <c r="AV131" i="10" s="1"/>
  <c r="AI131" i="10"/>
  <c r="AK131" i="10" s="1"/>
  <c r="AM131" i="10" s="1"/>
  <c r="AB131" i="10"/>
  <c r="T131" i="10"/>
  <c r="L131" i="10"/>
  <c r="BT130" i="10"/>
  <c r="BK130" i="10"/>
  <c r="BB130" i="10"/>
  <c r="AT130" i="10"/>
  <c r="AV130" i="10" s="1"/>
  <c r="AI130" i="10"/>
  <c r="AK130" i="10" s="1"/>
  <c r="AM130" i="10" s="1"/>
  <c r="AB130" i="10"/>
  <c r="T130" i="10"/>
  <c r="L130" i="10"/>
  <c r="BT129" i="10"/>
  <c r="BK129" i="10"/>
  <c r="BB129" i="10"/>
  <c r="AS129" i="10"/>
  <c r="AJ129" i="10"/>
  <c r="AB129" i="10"/>
  <c r="T129" i="10"/>
  <c r="V129" i="10" s="1"/>
  <c r="L129" i="10"/>
  <c r="O129" i="10" s="1"/>
  <c r="BT128" i="10"/>
  <c r="BK128" i="10"/>
  <c r="BB128" i="10"/>
  <c r="AS128" i="10"/>
  <c r="AJ128" i="10"/>
  <c r="AB128" i="10"/>
  <c r="T128" i="10"/>
  <c r="L128" i="10"/>
  <c r="BT127" i="10"/>
  <c r="BK127" i="10"/>
  <c r="BB127" i="10"/>
  <c r="AS127" i="10"/>
  <c r="AJ127" i="10"/>
  <c r="AB127" i="10"/>
  <c r="T127" i="10"/>
  <c r="L127" i="10"/>
  <c r="BT126" i="10"/>
  <c r="BK126" i="10"/>
  <c r="BB126" i="10"/>
  <c r="AS126" i="10"/>
  <c r="AJ126" i="10"/>
  <c r="AB126" i="10"/>
  <c r="T126" i="10"/>
  <c r="V126" i="10" s="1"/>
  <c r="L126" i="10"/>
  <c r="O126" i="10" s="1"/>
  <c r="BT125" i="10"/>
  <c r="BK125" i="10"/>
  <c r="BB125" i="10"/>
  <c r="AS125" i="10"/>
  <c r="AJ125" i="10"/>
  <c r="S125" i="10"/>
  <c r="AB125" i="10" s="1"/>
  <c r="AD125" i="10" s="1"/>
  <c r="L125" i="10"/>
  <c r="BT124" i="10"/>
  <c r="BK124" i="10"/>
  <c r="BB124" i="10"/>
  <c r="AS124" i="10"/>
  <c r="AJ124" i="10"/>
  <c r="AB124" i="10"/>
  <c r="T124" i="10"/>
  <c r="M124" i="10"/>
  <c r="O124" i="10" s="1"/>
  <c r="BT123" i="10"/>
  <c r="BK123" i="10"/>
  <c r="BB123" i="10"/>
  <c r="AS123" i="10"/>
  <c r="AJ123" i="10"/>
  <c r="AB123" i="10"/>
  <c r="T123" i="10"/>
  <c r="L123" i="10"/>
  <c r="BU122" i="10"/>
  <c r="BW122" i="10" s="1"/>
  <c r="BL122" i="10"/>
  <c r="BN122" i="10" s="1"/>
  <c r="BB122" i="10"/>
  <c r="AS122" i="10"/>
  <c r="AJ122" i="10"/>
  <c r="AB122" i="10"/>
  <c r="T122" i="10"/>
  <c r="L122" i="10"/>
  <c r="BU121" i="10"/>
  <c r="BW121" i="10" s="1"/>
  <c r="BK121" i="10"/>
  <c r="BB121" i="10"/>
  <c r="AS121" i="10"/>
  <c r="AJ121" i="10"/>
  <c r="AB121" i="10"/>
  <c r="T121" i="10"/>
  <c r="L121" i="10"/>
  <c r="BT120" i="10"/>
  <c r="BK120" i="10"/>
  <c r="BB120" i="10"/>
  <c r="AT120" i="10"/>
  <c r="AV120" i="10" s="1"/>
  <c r="AJ120" i="10"/>
  <c r="AB120" i="10"/>
  <c r="T120" i="10"/>
  <c r="L120" i="10"/>
  <c r="BT119" i="10"/>
  <c r="BK119" i="10"/>
  <c r="BB119" i="10"/>
  <c r="AS119" i="10"/>
  <c r="AJ119" i="10"/>
  <c r="AB119" i="10"/>
  <c r="T119" i="10"/>
  <c r="V119" i="10" s="1"/>
  <c r="L119" i="10"/>
  <c r="BT118" i="10"/>
  <c r="BK118" i="10"/>
  <c r="BB118" i="10"/>
  <c r="AS118" i="10"/>
  <c r="AK118" i="10"/>
  <c r="AM118" i="10" s="1"/>
  <c r="AB118" i="10"/>
  <c r="T118" i="10"/>
  <c r="L118" i="10"/>
  <c r="BT117" i="10"/>
  <c r="BK117" i="10"/>
  <c r="BB117" i="10"/>
  <c r="AS117" i="10"/>
  <c r="AJ117" i="10"/>
  <c r="AB117" i="10"/>
  <c r="T117" i="10"/>
  <c r="L117" i="10"/>
  <c r="O117" i="10" s="1"/>
  <c r="BT116" i="10"/>
  <c r="BK116" i="10"/>
  <c r="BB116" i="10"/>
  <c r="AS116" i="10"/>
  <c r="AI116" i="10"/>
  <c r="AJ116" i="10" s="1"/>
  <c r="AB116" i="10"/>
  <c r="T116" i="10"/>
  <c r="L116" i="10"/>
  <c r="BT115" i="10"/>
  <c r="BK115" i="10"/>
  <c r="BB115" i="10"/>
  <c r="AS115" i="10"/>
  <c r="AJ115" i="10"/>
  <c r="AB115" i="10"/>
  <c r="T115" i="10"/>
  <c r="V115" i="10" s="1"/>
  <c r="L115" i="10"/>
  <c r="BT114" i="10"/>
  <c r="BK114" i="10"/>
  <c r="BB114" i="10"/>
  <c r="AS114" i="10"/>
  <c r="AK114" i="10"/>
  <c r="AM114" i="10" s="1"/>
  <c r="AB114" i="10"/>
  <c r="T114" i="10"/>
  <c r="L114" i="10"/>
  <c r="BT113" i="10"/>
  <c r="BK113" i="10"/>
  <c r="BB113" i="10"/>
  <c r="AS113" i="10"/>
  <c r="AJ113" i="10"/>
  <c r="AM113" i="10" s="1"/>
  <c r="AA113" i="10"/>
  <c r="T113" i="10"/>
  <c r="V113" i="10" s="1"/>
  <c r="L113" i="10"/>
  <c r="O113" i="10" s="1"/>
  <c r="BT112" i="10"/>
  <c r="BK112" i="10"/>
  <c r="BC112" i="10"/>
  <c r="BE112" i="10" s="1"/>
  <c r="AT112" i="10"/>
  <c r="AV112" i="10" s="1"/>
  <c r="AJ112" i="10"/>
  <c r="AB112" i="10"/>
  <c r="T112" i="10"/>
  <c r="L112" i="10"/>
  <c r="BT111" i="10"/>
  <c r="BK111" i="10"/>
  <c r="BB111" i="10"/>
  <c r="AS111" i="10"/>
  <c r="AK111" i="10"/>
  <c r="AM111" i="10" s="1"/>
  <c r="AB111" i="10"/>
  <c r="T111" i="10"/>
  <c r="M111" i="10"/>
  <c r="O111" i="10" s="1"/>
  <c r="BU109" i="10"/>
  <c r="BW109" i="10" s="1"/>
  <c r="BL109" i="10"/>
  <c r="BN109" i="10" s="1"/>
  <c r="BB109" i="10"/>
  <c r="BE109" i="10" s="1"/>
  <c r="AS109" i="10"/>
  <c r="AV109" i="10" s="1"/>
  <c r="AK109" i="10"/>
  <c r="AM109" i="10" s="1"/>
  <c r="AB109" i="10"/>
  <c r="AD109" i="10" s="1"/>
  <c r="T109" i="10"/>
  <c r="V109" i="10" s="1"/>
  <c r="M109" i="10"/>
  <c r="O109" i="10" s="1"/>
  <c r="BT108" i="10"/>
  <c r="BK108" i="10"/>
  <c r="BB108" i="10"/>
  <c r="AS108" i="10"/>
  <c r="AJ108" i="10"/>
  <c r="AB108" i="10"/>
  <c r="T108" i="10"/>
  <c r="L108" i="10"/>
  <c r="BT107" i="10"/>
  <c r="BK107" i="10"/>
  <c r="BB107" i="10"/>
  <c r="AR107" i="10"/>
  <c r="AS107" i="10" s="1"/>
  <c r="AJ107" i="10"/>
  <c r="AB107" i="10"/>
  <c r="T107" i="10"/>
  <c r="M107" i="10"/>
  <c r="O107" i="10" s="1"/>
  <c r="T106" i="10"/>
  <c r="BT105" i="10"/>
  <c r="BK105" i="10"/>
  <c r="BB105" i="10"/>
  <c r="AR105" i="10"/>
  <c r="AS105" i="10" s="1"/>
  <c r="AJ105" i="10"/>
  <c r="AA105" i="10"/>
  <c r="AB105" i="10" s="1"/>
  <c r="S105" i="10"/>
  <c r="T105" i="10" s="1"/>
  <c r="K105" i="10"/>
  <c r="L105" i="10" s="1"/>
  <c r="O105" i="10" s="1"/>
  <c r="BT104" i="10"/>
  <c r="BK104" i="10"/>
  <c r="BC104" i="10"/>
  <c r="BE104" i="10" s="1"/>
  <c r="AS104" i="10"/>
  <c r="AJ104" i="10"/>
  <c r="AB104" i="10"/>
  <c r="T104" i="10"/>
  <c r="V104" i="10" s="1"/>
  <c r="O104" i="10"/>
  <c r="AS103" i="10"/>
  <c r="AJ103" i="10"/>
  <c r="AB103" i="10"/>
  <c r="T103" i="10"/>
  <c r="L103" i="10"/>
  <c r="AS102" i="10"/>
  <c r="AJ102" i="10"/>
  <c r="AB102" i="10"/>
  <c r="T102" i="10"/>
  <c r="L102" i="10"/>
  <c r="AS101" i="10"/>
  <c r="AJ101" i="10"/>
  <c r="AB101" i="10"/>
  <c r="T101" i="10"/>
  <c r="L101" i="10"/>
  <c r="BW100" i="10"/>
  <c r="BK100" i="10"/>
  <c r="BC100" i="10"/>
  <c r="BE100" i="10" s="1"/>
  <c r="AS100" i="10"/>
  <c r="AJ100" i="10"/>
  <c r="AB100" i="10"/>
  <c r="T100" i="10"/>
  <c r="V100" i="10" s="1"/>
  <c r="L100" i="10"/>
  <c r="O100" i="10" s="1"/>
  <c r="BT99" i="10"/>
  <c r="BW99" i="10" s="1"/>
  <c r="BK99" i="10"/>
  <c r="BB99" i="10"/>
  <c r="AS99" i="10"/>
  <c r="AJ99" i="10"/>
  <c r="AB99" i="10"/>
  <c r="T99" i="10"/>
  <c r="M99" i="10"/>
  <c r="O99" i="10" s="1"/>
  <c r="BT98" i="10"/>
  <c r="BK98" i="10"/>
  <c r="BC98" i="10"/>
  <c r="BE98" i="10" s="1"/>
  <c r="AS98" i="10"/>
  <c r="AJ98" i="10"/>
  <c r="AB98" i="10"/>
  <c r="T98" i="10"/>
  <c r="L98" i="10"/>
  <c r="BT97" i="10"/>
  <c r="BK97" i="10"/>
  <c r="BC97" i="10"/>
  <c r="BE97" i="10" s="1"/>
  <c r="AS97" i="10"/>
  <c r="AJ97" i="10"/>
  <c r="AB97" i="10"/>
  <c r="T97" i="10"/>
  <c r="L97" i="10"/>
  <c r="BT96" i="10"/>
  <c r="BK96" i="10"/>
  <c r="BB96" i="10"/>
  <c r="AS96" i="10"/>
  <c r="AJ96" i="10"/>
  <c r="AB96" i="10"/>
  <c r="T96" i="10"/>
  <c r="V96" i="10" s="1"/>
  <c r="L96" i="10"/>
  <c r="O96" i="10" s="1"/>
  <c r="BT95" i="10"/>
  <c r="BK95" i="10"/>
  <c r="BB95" i="10"/>
  <c r="AS95" i="10"/>
  <c r="AJ95" i="10"/>
  <c r="AB95" i="10"/>
  <c r="T95" i="10"/>
  <c r="L95" i="10"/>
  <c r="BT94" i="10"/>
  <c r="BK94" i="10"/>
  <c r="BB94" i="10"/>
  <c r="AS94" i="10"/>
  <c r="AJ94" i="10"/>
  <c r="AB94" i="10"/>
  <c r="T94" i="10"/>
  <c r="L94" i="10"/>
  <c r="BT93" i="10"/>
  <c r="BK93" i="10"/>
  <c r="BB93" i="10"/>
  <c r="AS93" i="10"/>
  <c r="AJ93" i="10"/>
  <c r="AB93" i="10"/>
  <c r="T93" i="10"/>
  <c r="L93" i="10"/>
  <c r="BT92" i="10"/>
  <c r="BK92" i="10"/>
  <c r="BB92" i="10"/>
  <c r="AS92" i="10"/>
  <c r="AJ92" i="10"/>
  <c r="AB92" i="10"/>
  <c r="T92" i="10"/>
  <c r="L92" i="10"/>
  <c r="BT91" i="10"/>
  <c r="BK91" i="10"/>
  <c r="BB91" i="10"/>
  <c r="AS91" i="10"/>
  <c r="AJ91" i="10"/>
  <c r="AB91" i="10"/>
  <c r="T91" i="10"/>
  <c r="V91" i="10" s="1"/>
  <c r="L91" i="10"/>
  <c r="O91" i="10" s="1"/>
  <c r="BK90" i="10"/>
  <c r="BB90" i="10"/>
  <c r="AS90" i="10"/>
  <c r="AJ90" i="10"/>
  <c r="AB90" i="10"/>
  <c r="T90" i="10"/>
  <c r="L90" i="10"/>
  <c r="BT89" i="10"/>
  <c r="BK89" i="10"/>
  <c r="BB89" i="10"/>
  <c r="AS89" i="10"/>
  <c r="AJ89" i="10"/>
  <c r="AB89" i="10"/>
  <c r="T89" i="10"/>
  <c r="L89" i="10"/>
  <c r="BT88" i="10"/>
  <c r="BK88" i="10"/>
  <c r="BB88" i="10"/>
  <c r="AS88" i="10"/>
  <c r="AJ88" i="10"/>
  <c r="AB88" i="10"/>
  <c r="T88" i="10"/>
  <c r="H88" i="10"/>
  <c r="L88" i="10" s="1"/>
  <c r="BT87" i="10"/>
  <c r="BK87" i="10"/>
  <c r="BB87" i="10"/>
  <c r="AS87" i="10"/>
  <c r="AJ87" i="10"/>
  <c r="AB87" i="10"/>
  <c r="T87" i="10"/>
  <c r="L87" i="10"/>
  <c r="H87" i="10"/>
  <c r="BT86" i="10"/>
  <c r="BK86" i="10"/>
  <c r="BB86" i="10"/>
  <c r="AS86" i="10"/>
  <c r="AJ86" i="10"/>
  <c r="AB86" i="10"/>
  <c r="T86" i="10"/>
  <c r="L86" i="10"/>
  <c r="H86" i="10"/>
  <c r="BT85" i="10"/>
  <c r="BK85" i="10"/>
  <c r="BB85" i="10"/>
  <c r="AS85" i="10"/>
  <c r="AJ85" i="10"/>
  <c r="AB85" i="10"/>
  <c r="T85" i="10"/>
  <c r="L85" i="10"/>
  <c r="H85" i="10"/>
  <c r="BT84" i="10"/>
  <c r="BK84" i="10"/>
  <c r="BB84" i="10"/>
  <c r="AS84" i="10"/>
  <c r="AJ84" i="10"/>
  <c r="AB84" i="10"/>
  <c r="L84" i="10"/>
  <c r="O84" i="10" s="1"/>
  <c r="K84" i="10"/>
  <c r="T84" i="10" s="1"/>
  <c r="V84" i="10" s="1"/>
  <c r="BT83" i="10"/>
  <c r="BK83" i="10"/>
  <c r="BB83" i="10"/>
  <c r="AS83" i="10"/>
  <c r="AJ83" i="10"/>
  <c r="AB83" i="10"/>
  <c r="T83" i="10"/>
  <c r="V83" i="10" s="1"/>
  <c r="L83" i="10"/>
  <c r="O83" i="10" s="1"/>
  <c r="BT82" i="10"/>
  <c r="BK82" i="10"/>
  <c r="BB82" i="10"/>
  <c r="AS82" i="10"/>
  <c r="AK82" i="10"/>
  <c r="AM82" i="10" s="1"/>
  <c r="AB82" i="10"/>
  <c r="AD82" i="10" s="1"/>
  <c r="T82" i="10"/>
  <c r="V82" i="10" s="1"/>
  <c r="L82" i="10"/>
  <c r="O82" i="10" s="1"/>
  <c r="BU81" i="10"/>
  <c r="BW81" i="10" s="1"/>
  <c r="BK81" i="10"/>
  <c r="BB81" i="10"/>
  <c r="AS81" i="10"/>
  <c r="AJ81" i="10"/>
  <c r="AB81" i="10"/>
  <c r="T81" i="10"/>
  <c r="L81" i="10"/>
  <c r="BT80" i="10"/>
  <c r="BK80" i="10"/>
  <c r="BB80" i="10"/>
  <c r="AS80" i="10"/>
  <c r="AJ80" i="10"/>
  <c r="AB80" i="10"/>
  <c r="T80" i="10"/>
  <c r="V80" i="10" s="1"/>
  <c r="L80" i="10"/>
  <c r="BT79" i="10"/>
  <c r="BK79" i="10"/>
  <c r="BB79" i="10"/>
  <c r="AT79" i="10"/>
  <c r="AV79" i="10" s="1"/>
  <c r="AJ79" i="10"/>
  <c r="AM79" i="10" s="1"/>
  <c r="AB79" i="10"/>
  <c r="AD79" i="10" s="1"/>
  <c r="T79" i="10"/>
  <c r="L79" i="10"/>
  <c r="BT78" i="10"/>
  <c r="BK78" i="10"/>
  <c r="BB78" i="10"/>
  <c r="AS78" i="10"/>
  <c r="AJ78" i="10"/>
  <c r="AB78" i="10"/>
  <c r="T78" i="10"/>
  <c r="M78" i="10"/>
  <c r="O78" i="10" s="1"/>
  <c r="BT76" i="10"/>
  <c r="BK76" i="10"/>
  <c r="BB76" i="10"/>
  <c r="AS76" i="10"/>
  <c r="AJ76" i="10"/>
  <c r="AB76" i="10"/>
  <c r="T76" i="10"/>
  <c r="L76" i="10"/>
  <c r="O76" i="10" s="1"/>
  <c r="BT75" i="10"/>
  <c r="BK75" i="10"/>
  <c r="BB75" i="10"/>
  <c r="AS75" i="10"/>
  <c r="AJ75" i="10"/>
  <c r="AB75" i="10"/>
  <c r="T75" i="10"/>
  <c r="L75" i="10"/>
  <c r="O75" i="10" s="1"/>
  <c r="BT74" i="10"/>
  <c r="BK74" i="10"/>
  <c r="BC74" i="10"/>
  <c r="BE74" i="10" s="1"/>
  <c r="AS74" i="10"/>
  <c r="AA74" i="10"/>
  <c r="AB74" i="10" s="1"/>
  <c r="S74" i="10"/>
  <c r="AJ74" i="10" s="1"/>
  <c r="K74" i="10"/>
  <c r="L74" i="10" s="1"/>
  <c r="O74" i="10" s="1"/>
  <c r="BT73" i="10"/>
  <c r="BK73" i="10"/>
  <c r="BB73" i="10"/>
  <c r="AS73" i="10"/>
  <c r="AJ73" i="10"/>
  <c r="AB73" i="10"/>
  <c r="T73" i="10"/>
  <c r="V73" i="10" s="1"/>
  <c r="K73" i="10"/>
  <c r="M73" i="10" s="1"/>
  <c r="O73" i="10" s="1"/>
  <c r="BK72" i="10"/>
  <c r="BB72" i="10"/>
  <c r="AS72" i="10"/>
  <c r="AJ72" i="10"/>
  <c r="AB72" i="10"/>
  <c r="T72" i="10"/>
  <c r="L72" i="10"/>
  <c r="BT71" i="10"/>
  <c r="BK71" i="10"/>
  <c r="BB71" i="10"/>
  <c r="AS71" i="10"/>
  <c r="AJ71" i="10"/>
  <c r="AB71" i="10"/>
  <c r="T71" i="10"/>
  <c r="K71" i="10"/>
  <c r="M71" i="10" s="1"/>
  <c r="O71" i="10" s="1"/>
  <c r="BT70" i="10"/>
  <c r="BK70" i="10"/>
  <c r="BB70" i="10"/>
  <c r="AS70" i="10"/>
  <c r="AJ70" i="10"/>
  <c r="AB70" i="10"/>
  <c r="T70" i="10"/>
  <c r="L70" i="10"/>
  <c r="O70" i="10" s="1"/>
  <c r="BT69" i="10"/>
  <c r="BK69" i="10"/>
  <c r="BB69" i="10"/>
  <c r="AS69" i="10"/>
  <c r="AJ69" i="10"/>
  <c r="AB69" i="10"/>
  <c r="T69" i="10"/>
  <c r="L69" i="10"/>
  <c r="BU68" i="10"/>
  <c r="BW68" i="10" s="1"/>
  <c r="BK68" i="10"/>
  <c r="BB68" i="10"/>
  <c r="AS68" i="10"/>
  <c r="AJ68" i="10"/>
  <c r="AB68" i="10"/>
  <c r="K68" i="10"/>
  <c r="T68" i="10" s="1"/>
  <c r="BT67" i="10"/>
  <c r="BL67" i="10"/>
  <c r="BN67" i="10" s="1"/>
  <c r="BB67" i="10"/>
  <c r="AS67" i="10"/>
  <c r="AJ67" i="10"/>
  <c r="AB67" i="10"/>
  <c r="T67" i="10"/>
  <c r="L67" i="10"/>
  <c r="BU65" i="10"/>
  <c r="BW65" i="10" s="1"/>
  <c r="BK65" i="10"/>
  <c r="BB65" i="10"/>
  <c r="AR65" i="10"/>
  <c r="AS65" i="10" s="1"/>
  <c r="AI65" i="10"/>
  <c r="AJ65" i="10" s="1"/>
  <c r="AB65" i="10"/>
  <c r="S65" i="10"/>
  <c r="T65" i="10" s="1"/>
  <c r="O65" i="10"/>
  <c r="K65" i="10"/>
  <c r="M65" i="10" s="1"/>
  <c r="BT64" i="10"/>
  <c r="BL64" i="10"/>
  <c r="BN64" i="10" s="1"/>
  <c r="BB64" i="10"/>
  <c r="AS64" i="10"/>
  <c r="AJ64" i="10"/>
  <c r="AB64" i="10"/>
  <c r="AD64" i="10" s="1"/>
  <c r="T64" i="10"/>
  <c r="V64" i="10" s="1"/>
  <c r="L64" i="10"/>
  <c r="O64" i="10" s="1"/>
  <c r="BT63" i="10"/>
  <c r="BK63" i="10"/>
  <c r="BN63" i="10" s="1"/>
  <c r="BC63" i="10"/>
  <c r="BE63" i="10" s="1"/>
  <c r="AS63" i="10"/>
  <c r="AJ63" i="10"/>
  <c r="AB63" i="10"/>
  <c r="T63" i="10"/>
  <c r="L63" i="10"/>
  <c r="BT62" i="10"/>
  <c r="BK62" i="10"/>
  <c r="BB62" i="10"/>
  <c r="BE62" i="10" s="1"/>
  <c r="AS62" i="10"/>
  <c r="AJ62" i="10"/>
  <c r="AB62" i="10"/>
  <c r="AD62" i="10" s="1"/>
  <c r="T62" i="10"/>
  <c r="V62" i="10" s="1"/>
  <c r="BT61" i="10"/>
  <c r="BK61" i="10"/>
  <c r="BN61" i="10" s="1"/>
  <c r="BB61" i="10"/>
  <c r="AS61" i="10"/>
  <c r="AJ61" i="10"/>
  <c r="AB61" i="10"/>
  <c r="T61" i="10"/>
  <c r="L61" i="10"/>
  <c r="O61" i="10" s="1"/>
  <c r="BT60" i="10"/>
  <c r="BK60" i="10"/>
  <c r="BB60" i="10"/>
  <c r="BE60" i="10" s="1"/>
  <c r="AS60" i="10"/>
  <c r="AJ60" i="10"/>
  <c r="AB60" i="10"/>
  <c r="AD60" i="10" s="1"/>
  <c r="T60" i="10"/>
  <c r="V60" i="10" s="1"/>
  <c r="BT58" i="10"/>
  <c r="BK58" i="10"/>
  <c r="BN58" i="10" s="1"/>
  <c r="BC58" i="10"/>
  <c r="BE58" i="10" s="1"/>
  <c r="AS58" i="10"/>
  <c r="AJ58" i="10"/>
  <c r="AB58" i="10"/>
  <c r="T58" i="10"/>
  <c r="L58" i="10"/>
  <c r="BT57" i="10"/>
  <c r="BK57" i="10"/>
  <c r="BB57" i="10"/>
  <c r="AS57" i="10"/>
  <c r="AJ57" i="10"/>
  <c r="AB57" i="10"/>
  <c r="AD57" i="10" s="1"/>
  <c r="T57" i="10"/>
  <c r="L57" i="10"/>
  <c r="O57" i="10" s="1"/>
  <c r="BT56" i="10"/>
  <c r="BK56" i="10"/>
  <c r="BB56" i="10"/>
  <c r="AS56" i="10"/>
  <c r="AJ56" i="10"/>
  <c r="AB56" i="10"/>
  <c r="T56" i="10"/>
  <c r="L56" i="10"/>
  <c r="BT54" i="10"/>
  <c r="BK54" i="10"/>
  <c r="BB54" i="10"/>
  <c r="AS54" i="10"/>
  <c r="AJ54" i="10"/>
  <c r="AB54" i="10"/>
  <c r="AD54" i="10" s="1"/>
  <c r="T54" i="10"/>
  <c r="V54" i="10" s="1"/>
  <c r="L54" i="10"/>
  <c r="BT52" i="10"/>
  <c r="BK52" i="10"/>
  <c r="BB52" i="10"/>
  <c r="AS52" i="10"/>
  <c r="AJ52" i="10"/>
  <c r="AB52" i="10"/>
  <c r="L52" i="10"/>
  <c r="BW50" i="10"/>
  <c r="BN50" i="10"/>
  <c r="BE50" i="10"/>
  <c r="AV50" i="10"/>
  <c r="AM50" i="10"/>
  <c r="AD50" i="10"/>
  <c r="V50" i="10"/>
  <c r="O50" i="10"/>
  <c r="BT49" i="10"/>
  <c r="BK49" i="10"/>
  <c r="BB49" i="10"/>
  <c r="AS49" i="10"/>
  <c r="AB49" i="10"/>
  <c r="T49" i="10"/>
  <c r="V49" i="10" s="1"/>
  <c r="L49" i="10"/>
  <c r="O49" i="10" s="1"/>
  <c r="BT48" i="10"/>
  <c r="BK48" i="10"/>
  <c r="BB48" i="10"/>
  <c r="AS48" i="10"/>
  <c r="AB48" i="10"/>
  <c r="T48" i="10"/>
  <c r="V48" i="10" s="1"/>
  <c r="L48" i="10"/>
  <c r="O48" i="10" s="1"/>
  <c r="AA47" i="10"/>
  <c r="T47" i="10"/>
  <c r="L47" i="10"/>
  <c r="BT46" i="10"/>
  <c r="BK46" i="10"/>
  <c r="BB46" i="10"/>
  <c r="BE46" i="10" s="1"/>
  <c r="AS46" i="10"/>
  <c r="AK46" i="10"/>
  <c r="AM46" i="10" s="1"/>
  <c r="AB46" i="10"/>
  <c r="T46" i="10"/>
  <c r="O46" i="10"/>
  <c r="BT44" i="10"/>
  <c r="BK44" i="10"/>
  <c r="BB44" i="10"/>
  <c r="AS44" i="10"/>
  <c r="AJ44" i="10"/>
  <c r="AB44" i="10"/>
  <c r="AD44" i="10" s="1"/>
  <c r="T44" i="10"/>
  <c r="V44" i="10" s="1"/>
  <c r="O44" i="10"/>
  <c r="BT42" i="10"/>
  <c r="BK42" i="10"/>
  <c r="BB42" i="10"/>
  <c r="AS42" i="10"/>
  <c r="AJ42" i="10"/>
  <c r="AB42" i="10"/>
  <c r="T42" i="10"/>
  <c r="V42" i="10" s="1"/>
  <c r="L42" i="10"/>
  <c r="BT40" i="10"/>
  <c r="BK40" i="10"/>
  <c r="BB40" i="10"/>
  <c r="AS40" i="10"/>
  <c r="AJ40" i="10"/>
  <c r="AB40" i="10"/>
  <c r="T40" i="10"/>
  <c r="O40" i="10"/>
  <c r="L40" i="10"/>
  <c r="BJ39" i="10"/>
  <c r="AR39" i="10"/>
  <c r="AA39" i="10"/>
  <c r="K39" i="10"/>
  <c r="BT37" i="10"/>
  <c r="BK37" i="10"/>
  <c r="BB37" i="10"/>
  <c r="AS37" i="10"/>
  <c r="AJ37" i="10"/>
  <c r="AB37" i="10"/>
  <c r="T37" i="10"/>
  <c r="M37" i="10"/>
  <c r="O37" i="10" s="1"/>
  <c r="BT36" i="10"/>
  <c r="BK36" i="10"/>
  <c r="AR36" i="10"/>
  <c r="AI36" i="10"/>
  <c r="AJ36" i="10" s="1"/>
  <c r="AA36" i="10"/>
  <c r="AB36" i="10" s="1"/>
  <c r="S36" i="10"/>
  <c r="T36" i="10" s="1"/>
  <c r="V36" i="10" s="1"/>
  <c r="L36" i="10"/>
  <c r="BT35" i="10"/>
  <c r="BK35" i="10"/>
  <c r="BB35" i="10"/>
  <c r="AS35" i="10"/>
  <c r="AJ35" i="10"/>
  <c r="AB35" i="10"/>
  <c r="AD35" i="10" s="1"/>
  <c r="T35" i="10"/>
  <c r="V35" i="10" s="1"/>
  <c r="L35" i="10"/>
  <c r="BT34" i="10"/>
  <c r="BK34" i="10"/>
  <c r="BB34" i="10"/>
  <c r="AS34" i="10"/>
  <c r="AK34" i="10"/>
  <c r="AM34" i="10" s="1"/>
  <c r="AB34" i="10"/>
  <c r="AD34" i="10" s="1"/>
  <c r="T34" i="10"/>
  <c r="V34" i="10" s="1"/>
  <c r="L34" i="10"/>
  <c r="O34" i="10" s="1"/>
  <c r="BB33" i="10"/>
  <c r="AS33" i="10"/>
  <c r="AJ33" i="10"/>
  <c r="AB33" i="10"/>
  <c r="T33" i="10"/>
  <c r="BT32" i="10"/>
  <c r="BW32" i="10" s="1"/>
  <c r="BK32" i="10"/>
  <c r="BB32" i="10"/>
  <c r="AS32" i="10"/>
  <c r="AJ32" i="10"/>
  <c r="AB32" i="10"/>
  <c r="L32" i="10"/>
  <c r="BT31" i="10"/>
  <c r="BK31" i="10"/>
  <c r="BB31" i="10"/>
  <c r="AS31" i="10"/>
  <c r="AJ31" i="10"/>
  <c r="AB31" i="10"/>
  <c r="T31" i="10"/>
  <c r="L31" i="10"/>
  <c r="BT30" i="10"/>
  <c r="BK30" i="10"/>
  <c r="BB30" i="10"/>
  <c r="AS30" i="10"/>
  <c r="AJ30" i="10"/>
  <c r="AB30" i="10"/>
  <c r="T30" i="10"/>
  <c r="V30" i="10" s="1"/>
  <c r="L30" i="10"/>
  <c r="O30" i="10" s="1"/>
  <c r="BT29" i="10"/>
  <c r="BK29" i="10"/>
  <c r="BB29" i="10"/>
  <c r="AS29" i="10"/>
  <c r="AJ29" i="10"/>
  <c r="AB29" i="10"/>
  <c r="T29" i="10"/>
  <c r="M29" i="10"/>
  <c r="O29" i="10" s="1"/>
  <c r="CC28" i="10"/>
  <c r="BT28" i="10"/>
  <c r="BK28" i="10"/>
  <c r="BB28" i="10"/>
  <c r="AS28" i="10"/>
  <c r="AJ28" i="10"/>
  <c r="AB28" i="10"/>
  <c r="AD28" i="10" s="1"/>
  <c r="T28" i="10"/>
  <c r="L28" i="10"/>
  <c r="BW27" i="10"/>
  <c r="BN27" i="10"/>
  <c r="BE27" i="10"/>
  <c r="AV27" i="10"/>
  <c r="AM27" i="10"/>
  <c r="AD27" i="10"/>
  <c r="V27" i="10"/>
  <c r="O27" i="10"/>
  <c r="BS26" i="10"/>
  <c r="BJ26" i="10"/>
  <c r="BA26" i="10"/>
  <c r="AR26" i="10"/>
  <c r="AI26" i="10"/>
  <c r="AS26" i="10" s="1"/>
  <c r="AA26" i="10"/>
  <c r="S26" i="10"/>
  <c r="K26" i="10"/>
  <c r="BT25" i="10"/>
  <c r="BK25" i="10"/>
  <c r="BB25" i="10"/>
  <c r="AS25" i="10"/>
  <c r="AJ25" i="10"/>
  <c r="AB25" i="10"/>
  <c r="T25" i="10"/>
  <c r="L25" i="10"/>
  <c r="O25" i="10" s="1"/>
  <c r="BT23" i="10"/>
  <c r="BK23" i="10"/>
  <c r="BB23" i="10"/>
  <c r="AT23" i="10"/>
  <c r="AV23" i="10" s="1"/>
  <c r="AI23" i="10"/>
  <c r="AJ23" i="10" s="1"/>
  <c r="AM23" i="10" s="1"/>
  <c r="AB23" i="10"/>
  <c r="T23" i="10"/>
  <c r="L23" i="10"/>
  <c r="BT21" i="10"/>
  <c r="BK21" i="10"/>
  <c r="BB21" i="10"/>
  <c r="AR21" i="10"/>
  <c r="AS21" i="10" s="1"/>
  <c r="AI21" i="10"/>
  <c r="AJ21" i="10" s="1"/>
  <c r="AA21" i="10"/>
  <c r="AB21" i="10" s="1"/>
  <c r="AD21" i="10" s="1"/>
  <c r="O21" i="10"/>
  <c r="K21" i="10"/>
  <c r="T21" i="10" s="1"/>
  <c r="V21" i="10" s="1"/>
  <c r="BT20" i="10"/>
  <c r="BK20" i="10"/>
  <c r="BB20" i="10"/>
  <c r="AS20" i="10"/>
  <c r="AJ20" i="10"/>
  <c r="AB20" i="10"/>
  <c r="T20" i="10"/>
  <c r="M20" i="10"/>
  <c r="O20" i="10" s="1"/>
  <c r="BT19" i="10"/>
  <c r="BN19" i="10"/>
  <c r="BE19" i="10"/>
  <c r="AV19" i="10"/>
  <c r="AM19" i="10"/>
  <c r="AD19" i="10"/>
  <c r="V19" i="10"/>
  <c r="O19" i="10"/>
  <c r="BT17" i="10"/>
  <c r="BK17" i="10"/>
  <c r="BB17" i="10"/>
  <c r="AS17" i="10"/>
  <c r="AJ17" i="10"/>
  <c r="AB17" i="10"/>
  <c r="T17" i="10"/>
  <c r="O17" i="10"/>
  <c r="BT16" i="10"/>
  <c r="BK16" i="10"/>
  <c r="BB16" i="10"/>
  <c r="AS16" i="10"/>
  <c r="AJ16" i="10"/>
  <c r="AB16" i="10"/>
  <c r="T16" i="10"/>
  <c r="M16" i="10"/>
  <c r="O16" i="10" s="1"/>
  <c r="BT15" i="10"/>
  <c r="BK15" i="10"/>
  <c r="BB15" i="10"/>
  <c r="AS15" i="10"/>
  <c r="AJ15" i="10"/>
  <c r="AB15" i="10"/>
  <c r="T15" i="10"/>
  <c r="V15" i="10" s="1"/>
  <c r="M15" i="10"/>
  <c r="O15" i="10" s="1"/>
  <c r="BU14" i="10"/>
  <c r="BW14" i="10" s="1"/>
  <c r="BK14" i="10"/>
  <c r="BB14" i="10"/>
  <c r="AS14" i="10"/>
  <c r="AJ14" i="10"/>
  <c r="AM14" i="10" s="1"/>
  <c r="AB14" i="10"/>
  <c r="T14" i="10"/>
  <c r="V14" i="10" s="1"/>
  <c r="L14" i="10"/>
  <c r="BT13" i="10"/>
  <c r="BK13" i="10"/>
  <c r="BC13" i="10"/>
  <c r="BE13" i="10" s="1"/>
  <c r="AS13" i="10"/>
  <c r="AJ13" i="10"/>
  <c r="AB13" i="10"/>
  <c r="T13" i="10"/>
  <c r="L13" i="10"/>
  <c r="BT11" i="10"/>
  <c r="BK11" i="10"/>
  <c r="AR11" i="10"/>
  <c r="BB11" i="10" s="1"/>
  <c r="BE11" i="10" s="1"/>
  <c r="AK11" i="10"/>
  <c r="AM11" i="10" s="1"/>
  <c r="AB11" i="10"/>
  <c r="S11" i="10"/>
  <c r="T11" i="10" s="1"/>
  <c r="L11" i="10"/>
  <c r="BT10" i="10"/>
  <c r="BK10" i="10"/>
  <c r="BB10" i="10"/>
  <c r="AS10" i="10"/>
  <c r="AJ10" i="10"/>
  <c r="AB10" i="10"/>
  <c r="T10" i="10"/>
  <c r="L10" i="10"/>
  <c r="O10" i="10" s="1"/>
  <c r="K9" i="10"/>
  <c r="BT8" i="10"/>
  <c r="BK8" i="10"/>
  <c r="BB8" i="10"/>
  <c r="AS8" i="10"/>
  <c r="AJ8" i="10"/>
  <c r="AB8" i="10"/>
  <c r="T8" i="10"/>
  <c r="V8" i="10" s="1"/>
  <c r="L8" i="10"/>
  <c r="BT7" i="10"/>
  <c r="BK7" i="10"/>
  <c r="BB7" i="10"/>
  <c r="AS7" i="10"/>
  <c r="AJ7" i="10"/>
  <c r="AB7" i="10"/>
  <c r="T7" i="10"/>
  <c r="V7" i="10" s="1"/>
  <c r="L7" i="10"/>
  <c r="BT6" i="10"/>
  <c r="BK6" i="10"/>
  <c r="BB6" i="10"/>
  <c r="AS6" i="10"/>
  <c r="AJ6" i="10"/>
  <c r="AB6" i="10"/>
  <c r="T6" i="10"/>
  <c r="M6" i="10"/>
  <c r="O6" i="10" s="1"/>
  <c r="L5" i="10"/>
  <c r="O5" i="10" s="1"/>
  <c r="BT4" i="10"/>
  <c r="BK4" i="10"/>
  <c r="BB4" i="10"/>
  <c r="AT4" i="10"/>
  <c r="AV4" i="10" s="1"/>
  <c r="K4" i="10"/>
  <c r="AB4" i="10" s="1"/>
  <c r="AD4" i="10" s="1"/>
  <c r="BT3" i="10"/>
  <c r="BK3" i="10"/>
  <c r="BB3" i="10"/>
  <c r="AS3" i="10"/>
  <c r="AJ3" i="10"/>
  <c r="AB3" i="10"/>
  <c r="T3" i="10"/>
  <c r="L3" i="10"/>
  <c r="AB2" i="10"/>
  <c r="T2" i="10"/>
  <c r="L2" i="10"/>
  <c r="BT26" i="10" l="1"/>
  <c r="T26" i="10"/>
  <c r="T74" i="10"/>
  <c r="T4" i="10"/>
  <c r="V4" i="10" s="1"/>
  <c r="AB26" i="10"/>
  <c r="AD26" i="10" s="1"/>
  <c r="L68" i="10"/>
  <c r="O68" i="10" s="1"/>
  <c r="AJ26" i="10"/>
  <c r="D521" i="5"/>
  <c r="D431" i="5"/>
  <c r="BB26" i="10"/>
  <c r="BK26" i="10"/>
  <c r="AT11" i="10"/>
  <c r="AV11" i="10" s="1"/>
  <c r="T125" i="10"/>
  <c r="V125" i="10" s="1"/>
  <c r="G167" i="5"/>
  <c r="M166" i="5"/>
  <c r="K166" i="5"/>
  <c r="J166" i="5"/>
  <c r="N166" i="5"/>
  <c r="L166" i="5"/>
  <c r="J161" i="5"/>
  <c r="L161" i="5"/>
  <c r="K161" i="5"/>
  <c r="N161" i="5"/>
  <c r="M161" i="5"/>
  <c r="G162" i="5"/>
  <c r="D316" i="5"/>
  <c r="D355" i="5" s="1"/>
  <c r="D399" i="5" s="1"/>
  <c r="D464" i="5" s="1"/>
  <c r="D293" i="5"/>
  <c r="D295" i="5" s="1"/>
  <c r="D548" i="5"/>
  <c r="D660" i="5"/>
  <c r="I238" i="5"/>
  <c r="I236" i="5"/>
  <c r="I237" i="5"/>
  <c r="I265" i="5"/>
  <c r="I569" i="5"/>
  <c r="G401" i="5"/>
  <c r="I177" i="5"/>
  <c r="I178" i="5" s="1"/>
  <c r="I179" i="5" s="1"/>
  <c r="I786" i="5" s="1"/>
  <c r="I749" i="5"/>
  <c r="I223" i="5"/>
  <c r="I243" i="5" s="1"/>
  <c r="D494" i="5"/>
  <c r="D531" i="5"/>
  <c r="D725" i="5" s="1"/>
  <c r="I193" i="5"/>
  <c r="I167" i="5"/>
  <c r="G228" i="5"/>
  <c r="I162" i="5"/>
  <c r="I163" i="5" s="1"/>
  <c r="M4" i="10"/>
  <c r="O4" i="10" s="1"/>
  <c r="L26" i="10"/>
  <c r="I570" i="5" l="1"/>
  <c r="I1636" i="5"/>
  <c r="I1637" i="5" s="1"/>
  <c r="I1638" i="5" s="1"/>
  <c r="D718" i="5"/>
  <c r="D331" i="5"/>
  <c r="D371" i="5" s="1"/>
  <c r="D542" i="5" s="1"/>
  <c r="D709" i="5" s="1"/>
  <c r="D363" i="5"/>
  <c r="D407" i="5" s="1"/>
  <c r="I225" i="5"/>
  <c r="G409" i="5"/>
  <c r="I168" i="5"/>
  <c r="I185" i="5" s="1"/>
  <c r="I186" i="5" s="1"/>
  <c r="I187" i="5" s="1"/>
  <c r="I194" i="5" s="1"/>
  <c r="I195" i="5" s="1"/>
  <c r="I196" i="5" s="1"/>
  <c r="I200" i="5" s="1"/>
  <c r="I201" i="5" s="1"/>
  <c r="I202" i="5" s="1"/>
  <c r="I208" i="5" s="1"/>
  <c r="I209" i="5" s="1"/>
  <c r="I210" i="5" s="1"/>
  <c r="I215" i="5" s="1"/>
  <c r="I216" i="5" s="1"/>
  <c r="I217" i="5" s="1"/>
  <c r="I787" i="5"/>
  <c r="I795" i="5"/>
  <c r="I796" i="5" s="1"/>
  <c r="I797" i="5" s="1"/>
  <c r="I798" i="5" s="1"/>
  <c r="I802" i="5" s="1"/>
  <c r="I805" i="5" s="1"/>
  <c r="I808" i="5" s="1"/>
  <c r="I817" i="5" s="1"/>
  <c r="I824" i="5" s="1"/>
  <c r="I831" i="5" s="1"/>
  <c r="I266" i="5"/>
  <c r="I269" i="5"/>
  <c r="I277" i="5" s="1"/>
  <c r="I284" i="5" s="1"/>
  <c r="H86" i="5"/>
  <c r="G86" i="5"/>
  <c r="H77" i="5"/>
  <c r="G77" i="5"/>
  <c r="H73" i="5"/>
  <c r="G73" i="5"/>
  <c r="H66" i="5"/>
  <c r="G66" i="5"/>
  <c r="H60" i="5"/>
  <c r="G60" i="5"/>
  <c r="H55" i="5"/>
  <c r="G55" i="5"/>
  <c r="H46" i="5"/>
  <c r="G46" i="5"/>
  <c r="H43" i="5"/>
  <c r="G43" i="5"/>
  <c r="H33" i="5"/>
  <c r="G33" i="5"/>
  <c r="G22" i="5"/>
  <c r="G23" i="5" s="1"/>
  <c r="G24" i="5" s="1"/>
  <c r="H14" i="5"/>
  <c r="I15" i="5" s="1"/>
  <c r="G14" i="5"/>
  <c r="G102" i="5"/>
  <c r="G105" i="5"/>
  <c r="G98" i="5"/>
  <c r="G99" i="5" s="1"/>
  <c r="H9" i="5"/>
  <c r="G9" i="5"/>
  <c r="G154" i="5"/>
  <c r="G155" i="5" s="1"/>
  <c r="G156" i="5" s="1"/>
  <c r="G135" i="5"/>
  <c r="G136" i="5" s="1"/>
  <c r="G13" i="5" l="1"/>
  <c r="G10" i="5"/>
  <c r="G11" i="5"/>
  <c r="G12" i="5"/>
  <c r="N106" i="9"/>
  <c r="O106" i="9" s="1"/>
  <c r="D914" i="5"/>
  <c r="D727" i="5"/>
  <c r="G44" i="5"/>
  <c r="G45" i="5" s="1"/>
  <c r="M55" i="5"/>
  <c r="L55" i="5"/>
  <c r="K55" i="5"/>
  <c r="J55" i="5"/>
  <c r="N55" i="5"/>
  <c r="M77" i="5"/>
  <c r="N77" i="5"/>
  <c r="L77" i="5"/>
  <c r="K77" i="5"/>
  <c r="J77" i="5"/>
  <c r="M33" i="5"/>
  <c r="J33" i="5"/>
  <c r="N33" i="5"/>
  <c r="L33" i="5"/>
  <c r="K33" i="5"/>
  <c r="L60" i="5"/>
  <c r="K60" i="5"/>
  <c r="N60" i="5"/>
  <c r="J60" i="5"/>
  <c r="M60" i="5"/>
  <c r="K86" i="5"/>
  <c r="N86" i="5"/>
  <c r="M86" i="5"/>
  <c r="L86" i="5"/>
  <c r="J86" i="5"/>
  <c r="L14" i="5"/>
  <c r="J14" i="5"/>
  <c r="M14" i="5"/>
  <c r="N14" i="5"/>
  <c r="K14" i="5"/>
  <c r="L9" i="5"/>
  <c r="N9" i="5"/>
  <c r="M9" i="5"/>
  <c r="K9" i="5"/>
  <c r="J9" i="5"/>
  <c r="N43" i="5"/>
  <c r="J43" i="5"/>
  <c r="M43" i="5"/>
  <c r="L43" i="5"/>
  <c r="K43" i="5"/>
  <c r="M66" i="5"/>
  <c r="L66" i="5"/>
  <c r="N66" i="5"/>
  <c r="K66" i="5"/>
  <c r="J66" i="5"/>
  <c r="K46" i="5"/>
  <c r="N46" i="5"/>
  <c r="M46" i="5"/>
  <c r="L46" i="5"/>
  <c r="J46" i="5"/>
  <c r="J73" i="5"/>
  <c r="K73" i="5"/>
  <c r="L73" i="5"/>
  <c r="N73" i="5"/>
  <c r="M73" i="5"/>
  <c r="I10" i="5"/>
  <c r="I11" i="5" s="1"/>
  <c r="I12" i="5" s="1"/>
  <c r="G141" i="5"/>
  <c r="G142" i="5" s="1"/>
  <c r="I229" i="5"/>
  <c r="I230" i="5" s="1"/>
  <c r="I239" i="5" s="1"/>
  <c r="I294" i="5"/>
  <c r="G93" i="5"/>
  <c r="G94" i="5" s="1"/>
  <c r="G95" i="5" s="1"/>
  <c r="G109" i="5"/>
  <c r="I285" i="5"/>
  <c r="I289" i="5"/>
  <c r="G423" i="5"/>
  <c r="G458" i="5" s="1"/>
  <c r="G472" i="5" s="1"/>
  <c r="O33" i="5"/>
  <c r="I44" i="5"/>
  <c r="S43" i="5"/>
  <c r="O43" i="5"/>
  <c r="N62" i="9" s="1"/>
  <c r="O62" i="9" s="1"/>
  <c r="T43" i="5"/>
  <c r="I67" i="5"/>
  <c r="T66" i="5"/>
  <c r="S66" i="5"/>
  <c r="O66" i="5"/>
  <c r="N19" i="9" s="1"/>
  <c r="O19" i="9" s="1"/>
  <c r="O14" i="5"/>
  <c r="N61" i="9" s="1"/>
  <c r="O61" i="9" s="1"/>
  <c r="T14" i="5"/>
  <c r="S14" i="5"/>
  <c r="O46" i="5"/>
  <c r="N50" i="9" s="1"/>
  <c r="O50" i="9" s="1"/>
  <c r="T46" i="5"/>
  <c r="S46" i="5"/>
  <c r="T52" i="5"/>
  <c r="S52" i="5"/>
  <c r="I74" i="5"/>
  <c r="O73" i="5"/>
  <c r="N97" i="9" s="1"/>
  <c r="O97" i="9" s="1"/>
  <c r="S73" i="5"/>
  <c r="T73" i="5"/>
  <c r="T21" i="5"/>
  <c r="S21" i="5"/>
  <c r="O21" i="5"/>
  <c r="N76" i="9" s="1"/>
  <c r="O76" i="9" s="1"/>
  <c r="I56" i="5"/>
  <c r="O55" i="5"/>
  <c r="N44" i="9" s="1"/>
  <c r="O44" i="9" s="1"/>
  <c r="T55" i="5"/>
  <c r="S55" i="5"/>
  <c r="I78" i="5"/>
  <c r="T77" i="5"/>
  <c r="S77" i="5"/>
  <c r="O77" i="5"/>
  <c r="I34" i="5"/>
  <c r="T33" i="5"/>
  <c r="S33" i="5"/>
  <c r="R33" i="5"/>
  <c r="P33" i="5"/>
  <c r="Q33" i="5"/>
  <c r="I61" i="5"/>
  <c r="O60" i="5"/>
  <c r="N66" i="9" s="1"/>
  <c r="O66" i="9" s="1"/>
  <c r="T60" i="5"/>
  <c r="S60" i="5"/>
  <c r="I87" i="5"/>
  <c r="O86" i="5"/>
  <c r="N74" i="9" s="1"/>
  <c r="O74" i="9" s="1"/>
  <c r="T86" i="5"/>
  <c r="S86" i="5"/>
  <c r="I47" i="5"/>
  <c r="I48" i="5" s="1"/>
  <c r="T9" i="5"/>
  <c r="O9" i="5"/>
  <c r="N39" i="9" s="1"/>
  <c r="O39" i="9" s="1"/>
  <c r="S9" i="5"/>
  <c r="N10" i="9"/>
  <c r="O10" i="9" s="1"/>
  <c r="N31" i="9"/>
  <c r="O31" i="9" s="1"/>
  <c r="N77" i="9"/>
  <c r="O77" i="9" s="1"/>
  <c r="N91" i="9"/>
  <c r="O91" i="9" s="1"/>
  <c r="N2" i="9"/>
  <c r="O2" i="9" s="1"/>
  <c r="N68" i="9"/>
  <c r="O68" i="9" s="1"/>
  <c r="N103" i="9"/>
  <c r="O103" i="9" s="1"/>
  <c r="N12" i="9"/>
  <c r="O12" i="9" s="1"/>
  <c r="N47" i="9"/>
  <c r="O47" i="9" s="1"/>
  <c r="N81" i="9"/>
  <c r="O81" i="9" s="1"/>
  <c r="N92" i="9"/>
  <c r="O92" i="9" s="1"/>
  <c r="N14" i="9"/>
  <c r="O14" i="9" s="1"/>
  <c r="N48" i="9"/>
  <c r="O48" i="9" s="1"/>
  <c r="N82" i="9"/>
  <c r="O82" i="9" s="1"/>
  <c r="N96" i="9"/>
  <c r="O96" i="9" s="1"/>
  <c r="N15" i="9"/>
  <c r="O15" i="9" s="1"/>
  <c r="N57" i="9"/>
  <c r="O57" i="9" s="1"/>
  <c r="N83" i="9"/>
  <c r="O83" i="9" s="1"/>
  <c r="N98" i="9"/>
  <c r="O98" i="9" s="1"/>
  <c r="N7" i="9"/>
  <c r="O7" i="9" s="1"/>
  <c r="N30" i="9"/>
  <c r="O30" i="9" s="1"/>
  <c r="N90" i="9"/>
  <c r="O90" i="9" s="1"/>
  <c r="N17" i="9"/>
  <c r="O17" i="9" s="1"/>
  <c r="N58" i="9"/>
  <c r="O58" i="9" s="1"/>
  <c r="N84" i="9"/>
  <c r="O84" i="9" s="1"/>
  <c r="N100" i="9"/>
  <c r="O100" i="9" s="1"/>
  <c r="N3" i="9"/>
  <c r="O3" i="9" s="1"/>
  <c r="N22" i="9"/>
  <c r="O22" i="9" s="1"/>
  <c r="N67" i="9"/>
  <c r="O67" i="9" s="1"/>
  <c r="N89" i="9"/>
  <c r="O89" i="9" s="1"/>
  <c r="N102" i="9"/>
  <c r="O102" i="9" s="1"/>
  <c r="N21" i="9"/>
  <c r="O21" i="9" s="1"/>
  <c r="N59" i="9"/>
  <c r="O59" i="9" s="1"/>
  <c r="N87" i="9"/>
  <c r="O87" i="9" s="1"/>
  <c r="N101" i="9"/>
  <c r="O101" i="9" s="1"/>
  <c r="N88" i="9"/>
  <c r="O88" i="9" s="1"/>
  <c r="N41" i="9"/>
  <c r="O41" i="9" s="1"/>
  <c r="N53" i="9"/>
  <c r="O53" i="9" s="1"/>
  <c r="N49" i="9"/>
  <c r="O49" i="9" s="1"/>
  <c r="N80" i="9"/>
  <c r="O80" i="9" s="1"/>
  <c r="N9" i="9"/>
  <c r="O9" i="9" s="1"/>
  <c r="N45" i="9"/>
  <c r="O45" i="9" s="1"/>
  <c r="N46" i="9"/>
  <c r="O46" i="9" s="1"/>
  <c r="N93" i="9"/>
  <c r="O93" i="9" s="1"/>
  <c r="N64" i="9"/>
  <c r="O64" i="9" s="1"/>
  <c r="N52" i="9"/>
  <c r="O52" i="9" s="1"/>
  <c r="N16" i="9"/>
  <c r="O16" i="9" s="1"/>
  <c r="N42" i="9"/>
  <c r="O42" i="9" s="1"/>
  <c r="N43" i="9"/>
  <c r="O43" i="9" s="1"/>
  <c r="N6" i="9"/>
  <c r="O6" i="9" s="1"/>
  <c r="N65" i="9"/>
  <c r="O65" i="9" s="1"/>
  <c r="N5" i="9"/>
  <c r="O5" i="9" s="1"/>
  <c r="N79" i="9"/>
  <c r="O79" i="9" s="1"/>
  <c r="N37" i="9"/>
  <c r="O37" i="9" s="1"/>
  <c r="N56" i="9"/>
  <c r="O56" i="9" s="1"/>
  <c r="N69" i="9"/>
  <c r="O69" i="9" s="1"/>
  <c r="N70" i="9"/>
  <c r="O70" i="9" s="1"/>
  <c r="N71" i="9"/>
  <c r="O71" i="9" s="1"/>
  <c r="N40" i="9"/>
  <c r="O40" i="9" s="1"/>
  <c r="N32" i="9"/>
  <c r="O32" i="9" s="1"/>
  <c r="N34" i="9"/>
  <c r="O34" i="9" s="1"/>
  <c r="N36" i="9"/>
  <c r="O36" i="9" s="1"/>
  <c r="N33" i="9"/>
  <c r="O33" i="9" s="1"/>
  <c r="N35" i="9"/>
  <c r="O35" i="9" s="1"/>
  <c r="N29" i="9"/>
  <c r="O29" i="9" s="1"/>
  <c r="N25" i="9"/>
  <c r="O25" i="9" s="1"/>
  <c r="N27" i="9"/>
  <c r="O27" i="9" s="1"/>
  <c r="N24" i="9"/>
  <c r="O24" i="9" s="1"/>
  <c r="N23" i="9"/>
  <c r="O23" i="9" s="1"/>
  <c r="N26" i="9"/>
  <c r="O26" i="9" s="1"/>
  <c r="N55" i="9"/>
  <c r="O55" i="9" s="1"/>
  <c r="N60" i="9"/>
  <c r="O60" i="9" s="1"/>
  <c r="N20" i="9"/>
  <c r="O20" i="9" s="1"/>
  <c r="N18" i="9"/>
  <c r="O18" i="9" s="1"/>
  <c r="N73" i="9"/>
  <c r="O73" i="9" s="1"/>
  <c r="N99" i="9"/>
  <c r="O99" i="9" s="1"/>
  <c r="N72" i="9"/>
  <c r="O72" i="9" s="1"/>
  <c r="N95" i="9"/>
  <c r="O95" i="9" s="1"/>
  <c r="N85" i="9"/>
  <c r="O85" i="9" s="1"/>
  <c r="N78" i="9"/>
  <c r="O78" i="9" s="1"/>
  <c r="N13" i="9"/>
  <c r="O13" i="9" s="1"/>
  <c r="N86" i="9"/>
  <c r="O86" i="9" s="1"/>
  <c r="N4" i="9"/>
  <c r="O4" i="9" s="1"/>
  <c r="N38" i="9"/>
  <c r="O38" i="9" s="1"/>
  <c r="N63" i="9"/>
  <c r="O63" i="9" s="1"/>
  <c r="N11" i="9"/>
  <c r="O11" i="9" s="1"/>
  <c r="N94" i="9"/>
  <c r="O94" i="9" s="1"/>
  <c r="N54" i="9"/>
  <c r="O54" i="9" s="1"/>
  <c r="N8" i="9"/>
  <c r="O8" i="9" s="1"/>
  <c r="N51" i="9"/>
  <c r="O51" i="9" s="1"/>
  <c r="I23" i="5"/>
  <c r="I131" i="5" l="1"/>
  <c r="I132" i="5" s="1"/>
  <c r="G489" i="5"/>
  <c r="I68" i="5"/>
  <c r="I62" i="5"/>
  <c r="I295" i="5"/>
  <c r="I299" i="5"/>
  <c r="I300" i="5" s="1"/>
  <c r="I301" i="5" s="1"/>
  <c r="I306" i="5" s="1"/>
  <c r="I307" i="5" s="1"/>
  <c r="I79" i="5"/>
  <c r="I99" i="5"/>
  <c r="G193" i="5"/>
  <c r="G110" i="5"/>
  <c r="N28" i="9"/>
  <c r="O28" i="9" s="1"/>
  <c r="I58" i="5"/>
  <c r="I57" i="5"/>
  <c r="I70" i="5"/>
  <c r="I69" i="5"/>
  <c r="I242" i="5" s="1"/>
  <c r="N75" i="9"/>
  <c r="O75" i="9" s="1"/>
  <c r="U76" i="5"/>
  <c r="I75" i="5" l="1"/>
  <c r="I71" i="5"/>
  <c r="I93" i="5"/>
  <c r="I94" i="5" s="1"/>
  <c r="I757" i="5"/>
  <c r="I758" i="5" s="1"/>
  <c r="G496" i="5"/>
  <c r="G116" i="5"/>
  <c r="G128" i="5"/>
  <c r="G129" i="5" s="1"/>
  <c r="G130" i="5" s="1"/>
  <c r="G131" i="5" s="1"/>
  <c r="G132" i="5" s="1"/>
  <c r="I30" i="5"/>
  <c r="G199" i="5"/>
  <c r="G207" i="5" s="1"/>
  <c r="G214" i="5" s="1"/>
  <c r="I103" i="9"/>
  <c r="I102" i="9"/>
  <c r="P1090" i="5" s="1"/>
  <c r="I101" i="9"/>
  <c r="I100" i="9"/>
  <c r="P1628" i="5" s="1"/>
  <c r="I99" i="9"/>
  <c r="I98" i="9"/>
  <c r="P907" i="5" s="1"/>
  <c r="D912" i="5" s="1"/>
  <c r="I97" i="9"/>
  <c r="I96" i="9"/>
  <c r="I95" i="9"/>
  <c r="I94" i="9"/>
  <c r="I93" i="9"/>
  <c r="I92" i="9"/>
  <c r="P1747" i="5" s="1"/>
  <c r="I91" i="9"/>
  <c r="I90" i="9"/>
  <c r="I89" i="9"/>
  <c r="I88" i="9"/>
  <c r="I87" i="9"/>
  <c r="I86" i="9"/>
  <c r="I85" i="9"/>
  <c r="P1634" i="5" s="1"/>
  <c r="I84" i="9"/>
  <c r="K84" i="9" s="1"/>
  <c r="I83" i="9"/>
  <c r="P1716" i="5" s="1"/>
  <c r="I82" i="9"/>
  <c r="I81" i="9"/>
  <c r="I80" i="9"/>
  <c r="I79" i="9"/>
  <c r="I78" i="9"/>
  <c r="P578" i="5" s="1"/>
  <c r="I77" i="9"/>
  <c r="I76" i="9"/>
  <c r="I75" i="9"/>
  <c r="I74" i="9"/>
  <c r="I73" i="9"/>
  <c r="P1708" i="5" s="1"/>
  <c r="I72" i="9"/>
  <c r="I71" i="9"/>
  <c r="P408" i="5" s="1"/>
  <c r="I70" i="9"/>
  <c r="P422" i="5" s="1"/>
  <c r="D427" i="5" s="1"/>
  <c r="I69" i="9"/>
  <c r="I68" i="9"/>
  <c r="K68" i="9" s="1"/>
  <c r="I67" i="9"/>
  <c r="M189" i="15" s="1"/>
  <c r="I66" i="9"/>
  <c r="M258" i="15" s="1"/>
  <c r="I65" i="9"/>
  <c r="M168" i="15" s="1"/>
  <c r="I64" i="9"/>
  <c r="P745" i="5" s="1"/>
  <c r="I63" i="9"/>
  <c r="I62" i="9"/>
  <c r="I61" i="9"/>
  <c r="I60" i="9"/>
  <c r="I59" i="9"/>
  <c r="M147" i="15" s="1"/>
  <c r="I58" i="9"/>
  <c r="I57" i="9"/>
  <c r="I56" i="9"/>
  <c r="I55" i="9"/>
  <c r="M230" i="15" s="1"/>
  <c r="I54" i="9"/>
  <c r="I52" i="9"/>
  <c r="I51" i="9"/>
  <c r="P1731" i="5" s="1"/>
  <c r="D1736" i="5" s="1"/>
  <c r="K1734" i="5" s="1"/>
  <c r="K1735" i="5" s="1"/>
  <c r="I50" i="9"/>
  <c r="I49" i="9"/>
  <c r="I48" i="9"/>
  <c r="I47" i="9"/>
  <c r="P916" i="5" s="1"/>
  <c r="I46" i="9"/>
  <c r="P701" i="5" s="1"/>
  <c r="D707" i="5" s="1"/>
  <c r="I45" i="9"/>
  <c r="I44" i="9"/>
  <c r="I43" i="9"/>
  <c r="J43" i="9" s="1"/>
  <c r="I42" i="9"/>
  <c r="I41" i="9"/>
  <c r="P526" i="5" s="1"/>
  <c r="I40" i="9"/>
  <c r="I39" i="9"/>
  <c r="I38" i="9"/>
  <c r="I37" i="9"/>
  <c r="I36" i="9"/>
  <c r="P332" i="5" s="1"/>
  <c r="D337" i="5" s="1"/>
  <c r="I35" i="9"/>
  <c r="P356" i="5" s="1"/>
  <c r="P324" i="5"/>
  <c r="I33" i="9"/>
  <c r="P340" i="5" s="1"/>
  <c r="D345" i="5" s="1"/>
  <c r="D343" i="5" s="1"/>
  <c r="D344" i="5" s="1"/>
  <c r="I32" i="9"/>
  <c r="I31" i="9"/>
  <c r="I30" i="9"/>
  <c r="I29" i="9"/>
  <c r="I28" i="9"/>
  <c r="I27" i="9"/>
  <c r="P304" i="5" s="1"/>
  <c r="D308" i="5" s="1"/>
  <c r="I26" i="9"/>
  <c r="I25" i="9"/>
  <c r="P296" i="5" s="1"/>
  <c r="I24" i="9"/>
  <c r="I23" i="9"/>
  <c r="I22" i="9"/>
  <c r="P1117" i="5" s="1"/>
  <c r="I21" i="9"/>
  <c r="I20" i="9"/>
  <c r="I19" i="9"/>
  <c r="I18" i="9"/>
  <c r="I17" i="9"/>
  <c r="I16" i="9"/>
  <c r="P1658" i="5" s="1"/>
  <c r="I15" i="9"/>
  <c r="I14" i="9"/>
  <c r="I13" i="9"/>
  <c r="I12" i="9"/>
  <c r="K12" i="9" s="1"/>
  <c r="I11" i="9"/>
  <c r="P1398" i="5" s="1"/>
  <c r="I10" i="9"/>
  <c r="I9" i="9"/>
  <c r="I8" i="9"/>
  <c r="I7" i="9"/>
  <c r="I6" i="9"/>
  <c r="I5" i="9"/>
  <c r="I4" i="9"/>
  <c r="I3" i="9"/>
  <c r="I2" i="9"/>
  <c r="BL99" i="8"/>
  <c r="BD99" i="8"/>
  <c r="AV99" i="8"/>
  <c r="AN99" i="8"/>
  <c r="AF99" i="8"/>
  <c r="Y99" i="8"/>
  <c r="R99" i="8"/>
  <c r="K99" i="8"/>
  <c r="M99" i="8" s="1"/>
  <c r="BL97" i="8"/>
  <c r="BD97" i="8"/>
  <c r="AV97" i="8"/>
  <c r="AY97" i="8" s="1"/>
  <c r="AN97" i="8"/>
  <c r="AF97" i="8"/>
  <c r="Y97" i="8"/>
  <c r="R97" i="8"/>
  <c r="T97" i="8" s="1"/>
  <c r="BL96" i="8"/>
  <c r="BD96" i="8"/>
  <c r="AW96" i="8"/>
  <c r="AY96" i="8" s="1"/>
  <c r="AN96" i="8"/>
  <c r="AF96" i="8"/>
  <c r="Y96" i="8"/>
  <c r="R96" i="8"/>
  <c r="K96" i="8"/>
  <c r="BK95" i="8"/>
  <c r="BF95" i="8"/>
  <c r="BC95" i="8"/>
  <c r="AX95" i="8"/>
  <c r="AU95" i="8"/>
  <c r="AP95" i="8"/>
  <c r="AM95" i="8"/>
  <c r="AH95" i="8"/>
  <c r="AE95" i="8"/>
  <c r="X95" i="8"/>
  <c r="S95" i="8"/>
  <c r="Q95" i="8"/>
  <c r="J95" i="8"/>
  <c r="K95" i="8" s="1"/>
  <c r="BL94" i="8"/>
  <c r="BD94" i="8"/>
  <c r="AV94" i="8"/>
  <c r="AN94" i="8"/>
  <c r="AF94" i="8"/>
  <c r="Y94" i="8"/>
  <c r="R94" i="8"/>
  <c r="K94" i="8"/>
  <c r="M94" i="8" s="1"/>
  <c r="BL93" i="8"/>
  <c r="BD93" i="8"/>
  <c r="AV93" i="8"/>
  <c r="AN93" i="8"/>
  <c r="AF93" i="8"/>
  <c r="Y93" i="8"/>
  <c r="R93" i="8"/>
  <c r="K93" i="8"/>
  <c r="M93" i="8" s="1"/>
  <c r="BL92" i="8"/>
  <c r="BD92" i="8"/>
  <c r="AV92" i="8"/>
  <c r="AN92" i="8"/>
  <c r="AF92" i="8"/>
  <c r="Y92" i="8"/>
  <c r="R92" i="8"/>
  <c r="K92" i="8"/>
  <c r="M92" i="8" s="1"/>
  <c r="BD91" i="8"/>
  <c r="AV91" i="8"/>
  <c r="AN91" i="8"/>
  <c r="AQ91" i="8" s="1"/>
  <c r="AF91" i="8"/>
  <c r="Y91" i="8"/>
  <c r="R91" i="8"/>
  <c r="K91" i="8"/>
  <c r="M91" i="8" s="1"/>
  <c r="BL90" i="8"/>
  <c r="BD90" i="8"/>
  <c r="AV90" i="8"/>
  <c r="AN90" i="8"/>
  <c r="AF90" i="8"/>
  <c r="AI90" i="8" s="1"/>
  <c r="Y90" i="8"/>
  <c r="R90" i="8"/>
  <c r="K90" i="8"/>
  <c r="M90" i="8" s="1"/>
  <c r="BL89" i="8"/>
  <c r="BD89" i="8"/>
  <c r="AV89" i="8"/>
  <c r="AN89" i="8"/>
  <c r="AF89" i="8"/>
  <c r="Y89" i="8"/>
  <c r="AA89" i="8" s="1"/>
  <c r="R89" i="8"/>
  <c r="K89" i="8"/>
  <c r="M89" i="8" s="1"/>
  <c r="BL88" i="8"/>
  <c r="BD88" i="8"/>
  <c r="AV88" i="8"/>
  <c r="AN88" i="8"/>
  <c r="AF88" i="8"/>
  <c r="AI88" i="8" s="1"/>
  <c r="Y88" i="8"/>
  <c r="AA88" i="8" s="1"/>
  <c r="R88" i="8"/>
  <c r="K88" i="8"/>
  <c r="BL87" i="8"/>
  <c r="BD87" i="8"/>
  <c r="AV87" i="8"/>
  <c r="AN87" i="8"/>
  <c r="AF87" i="8"/>
  <c r="AI87" i="8" s="1"/>
  <c r="Y87" i="8"/>
  <c r="R87" i="8"/>
  <c r="K87" i="8"/>
  <c r="M87" i="8" s="1"/>
  <c r="BL86" i="8"/>
  <c r="BD86" i="8"/>
  <c r="AV86" i="8"/>
  <c r="AN86" i="8"/>
  <c r="AQ86" i="8" s="1"/>
  <c r="AF86" i="8"/>
  <c r="AI86" i="8" s="1"/>
  <c r="Y86" i="8"/>
  <c r="R86" i="8"/>
  <c r="K86" i="8"/>
  <c r="M86" i="8" s="1"/>
  <c r="BL85" i="8"/>
  <c r="BO85" i="8" s="1"/>
  <c r="BD85" i="8"/>
  <c r="BG85" i="8" s="1"/>
  <c r="AW85" i="8"/>
  <c r="AY85" i="8" s="1"/>
  <c r="AN85" i="8"/>
  <c r="AQ85" i="8" s="1"/>
  <c r="AG85" i="8"/>
  <c r="AI85" i="8" s="1"/>
  <c r="Y85" i="8"/>
  <c r="AA85" i="8" s="1"/>
  <c r="R85" i="8"/>
  <c r="T85" i="8" s="1"/>
  <c r="K85" i="8"/>
  <c r="M85" i="8" s="1"/>
  <c r="BL84" i="8"/>
  <c r="BD84" i="8"/>
  <c r="AV84" i="8"/>
  <c r="AN84" i="8"/>
  <c r="AF84" i="8"/>
  <c r="AI84" i="8" s="1"/>
  <c r="Y84" i="8"/>
  <c r="R84" i="8"/>
  <c r="K84" i="8"/>
  <c r="M84" i="8" s="1"/>
  <c r="BL83" i="8"/>
  <c r="BD83" i="8"/>
  <c r="AV83" i="8"/>
  <c r="AM83" i="8"/>
  <c r="AO83" i="8" s="1"/>
  <c r="AQ83" i="8" s="1"/>
  <c r="AF83" i="8"/>
  <c r="Y83" i="8"/>
  <c r="AA83" i="8" s="1"/>
  <c r="R83" i="8"/>
  <c r="K83" i="8"/>
  <c r="M83" i="8" s="1"/>
  <c r="BL82" i="8"/>
  <c r="BD82" i="8"/>
  <c r="AV82" i="8"/>
  <c r="AN82" i="8"/>
  <c r="AF82" i="8"/>
  <c r="Y82" i="8"/>
  <c r="R82" i="8"/>
  <c r="K82" i="8"/>
  <c r="M82" i="8" s="1"/>
  <c r="BL81" i="8"/>
  <c r="BD81" i="8"/>
  <c r="AV81" i="8"/>
  <c r="AN81" i="8"/>
  <c r="AE81" i="8"/>
  <c r="AF81" i="8" s="1"/>
  <c r="Y81" i="8"/>
  <c r="R81" i="8"/>
  <c r="K81" i="8"/>
  <c r="M81" i="8" s="1"/>
  <c r="BL80" i="8"/>
  <c r="BD80" i="8"/>
  <c r="AV80" i="8"/>
  <c r="AN80" i="8"/>
  <c r="AG80" i="8"/>
  <c r="AI80" i="8" s="1"/>
  <c r="Y80" i="8"/>
  <c r="R80" i="8"/>
  <c r="K80" i="8"/>
  <c r="BL79" i="8"/>
  <c r="BD79" i="8"/>
  <c r="AV79" i="8"/>
  <c r="AN79" i="8"/>
  <c r="AF79" i="8"/>
  <c r="Y79" i="8"/>
  <c r="R79" i="8"/>
  <c r="K79" i="8"/>
  <c r="BL78" i="8"/>
  <c r="BD78" i="8"/>
  <c r="AV78" i="8"/>
  <c r="AN78" i="8"/>
  <c r="AF78" i="8"/>
  <c r="Y78" i="8"/>
  <c r="AA78" i="8" s="1"/>
  <c r="R78" i="8"/>
  <c r="K78" i="8"/>
  <c r="BL77" i="8"/>
  <c r="BD77" i="8"/>
  <c r="AV77" i="8"/>
  <c r="AN77" i="8"/>
  <c r="AF77" i="8"/>
  <c r="Y77" i="8"/>
  <c r="R77" i="8"/>
  <c r="K77" i="8"/>
  <c r="BL76" i="8"/>
  <c r="BD76" i="8"/>
  <c r="AV76" i="8"/>
  <c r="AN76" i="8"/>
  <c r="AQ76" i="8" s="1"/>
  <c r="AG76" i="8"/>
  <c r="AI76" i="8" s="1"/>
  <c r="Y76" i="8"/>
  <c r="R76" i="8"/>
  <c r="K76" i="8"/>
  <c r="BL75" i="8"/>
  <c r="BD75" i="8"/>
  <c r="AV75" i="8"/>
  <c r="AM75" i="8"/>
  <c r="AN75" i="8" s="1"/>
  <c r="AF75" i="8"/>
  <c r="AI75" i="8" s="1"/>
  <c r="Y75" i="8"/>
  <c r="AA75" i="8" s="1"/>
  <c r="R75" i="8"/>
  <c r="K75" i="8"/>
  <c r="BL74" i="8"/>
  <c r="BD74" i="8"/>
  <c r="AV74" i="8"/>
  <c r="AN74" i="8"/>
  <c r="AF74" i="8"/>
  <c r="Y74" i="8"/>
  <c r="Q74" i="8"/>
  <c r="R74" i="8" s="1"/>
  <c r="K74" i="8"/>
  <c r="BL73" i="8"/>
  <c r="BD73" i="8"/>
  <c r="AV73" i="8"/>
  <c r="AN73" i="8"/>
  <c r="AF73" i="8"/>
  <c r="Y73" i="8"/>
  <c r="R73" i="8"/>
  <c r="K73" i="8"/>
  <c r="BL72" i="8"/>
  <c r="BD72" i="8"/>
  <c r="AV72" i="8"/>
  <c r="AN72" i="8"/>
  <c r="AF72" i="8"/>
  <c r="Y72" i="8"/>
  <c r="R72" i="8"/>
  <c r="K72" i="8"/>
  <c r="BL71" i="8"/>
  <c r="BD71" i="8"/>
  <c r="AV71" i="8"/>
  <c r="AN71" i="8"/>
  <c r="AF71" i="8"/>
  <c r="AI71" i="8" s="1"/>
  <c r="Y71" i="8"/>
  <c r="R71" i="8"/>
  <c r="K71" i="8"/>
  <c r="M71" i="8" s="1"/>
  <c r="BL70" i="8"/>
  <c r="BD70" i="8"/>
  <c r="AV70" i="8"/>
  <c r="AN70" i="8"/>
  <c r="AF70" i="8"/>
  <c r="Y70" i="8"/>
  <c r="R70" i="8"/>
  <c r="K70" i="8"/>
  <c r="BL69" i="8"/>
  <c r="BD69" i="8"/>
  <c r="AV69" i="8"/>
  <c r="AN69" i="8"/>
  <c r="AF69" i="8"/>
  <c r="Y69" i="8"/>
  <c r="R69" i="8"/>
  <c r="T69" i="8" s="1"/>
  <c r="BK68" i="8"/>
  <c r="BC68" i="8"/>
  <c r="AU68" i="8"/>
  <c r="AM68" i="8"/>
  <c r="AE68" i="8"/>
  <c r="X68" i="8"/>
  <c r="Q68" i="8"/>
  <c r="J68" i="8"/>
  <c r="I68" i="8"/>
  <c r="BL67" i="8"/>
  <c r="BD67" i="8"/>
  <c r="AV67" i="8"/>
  <c r="AN67" i="8"/>
  <c r="AF67" i="8"/>
  <c r="Y67" i="8"/>
  <c r="AA67" i="8" s="1"/>
  <c r="R67" i="8"/>
  <c r="K67" i="8"/>
  <c r="M67" i="8" s="1"/>
  <c r="BL66" i="8"/>
  <c r="BD66" i="8"/>
  <c r="AV66" i="8"/>
  <c r="AN66" i="8"/>
  <c r="AG66" i="8"/>
  <c r="AI66" i="8" s="1"/>
  <c r="Y66" i="8"/>
  <c r="R66" i="8"/>
  <c r="K66" i="8"/>
  <c r="BL65" i="8"/>
  <c r="BD65" i="8"/>
  <c r="AV65" i="8"/>
  <c r="AN65" i="8"/>
  <c r="AF65" i="8"/>
  <c r="R65" i="8"/>
  <c r="T65" i="8" s="1"/>
  <c r="K65" i="8"/>
  <c r="BL64" i="8"/>
  <c r="BD64" i="8"/>
  <c r="AV64" i="8"/>
  <c r="AN64" i="8"/>
  <c r="AF64" i="8"/>
  <c r="AI64" i="8" s="1"/>
  <c r="Y64" i="8"/>
  <c r="R64" i="8"/>
  <c r="K64" i="8"/>
  <c r="M64" i="8" s="1"/>
  <c r="BL63" i="8"/>
  <c r="BO63" i="8" s="1"/>
  <c r="BD63" i="8"/>
  <c r="AW63" i="8"/>
  <c r="AY63" i="8" s="1"/>
  <c r="AN63" i="8"/>
  <c r="X63" i="8"/>
  <c r="AF63" i="8" s="1"/>
  <c r="AI63" i="8" s="1"/>
  <c r="Q63" i="8"/>
  <c r="J63" i="8"/>
  <c r="BL62" i="8"/>
  <c r="BD62" i="8"/>
  <c r="AV62" i="8"/>
  <c r="AN62" i="8"/>
  <c r="AF62" i="8"/>
  <c r="Y62" i="8"/>
  <c r="R62" i="8"/>
  <c r="K62" i="8"/>
  <c r="BL61" i="8"/>
  <c r="BD61" i="8"/>
  <c r="AV61" i="8"/>
  <c r="AN61" i="8"/>
  <c r="AF61" i="8"/>
  <c r="Y61" i="8"/>
  <c r="R61" i="8"/>
  <c r="K61" i="8"/>
  <c r="BL60" i="8"/>
  <c r="BD60" i="8"/>
  <c r="AV60" i="8"/>
  <c r="AN60" i="8"/>
  <c r="AF60" i="8"/>
  <c r="Y60" i="8"/>
  <c r="R60" i="8"/>
  <c r="K60" i="8"/>
  <c r="M60" i="8" s="1"/>
  <c r="BK59" i="8"/>
  <c r="BC59" i="8"/>
  <c r="AU59" i="8"/>
  <c r="AM59" i="8"/>
  <c r="AE59" i="8"/>
  <c r="X59" i="8"/>
  <c r="Q59" i="8"/>
  <c r="J59" i="8"/>
  <c r="K59" i="8" s="1"/>
  <c r="M59" i="8" s="1"/>
  <c r="BL58" i="8"/>
  <c r="BD58" i="8"/>
  <c r="AV58" i="8"/>
  <c r="AN58" i="8"/>
  <c r="AG58" i="8"/>
  <c r="AI58" i="8" s="1"/>
  <c r="Y58" i="8"/>
  <c r="R58" i="8"/>
  <c r="K58" i="8"/>
  <c r="M58" i="8" s="1"/>
  <c r="BL57" i="8"/>
  <c r="BD57" i="8"/>
  <c r="AV57" i="8"/>
  <c r="AN57" i="8"/>
  <c r="AF57" i="8"/>
  <c r="Y57" i="8"/>
  <c r="R57" i="8"/>
  <c r="T57" i="8" s="1"/>
  <c r="K57" i="8"/>
  <c r="BL56" i="8"/>
  <c r="BO56" i="8" s="1"/>
  <c r="BD56" i="8"/>
  <c r="AV56" i="8"/>
  <c r="AN56" i="8"/>
  <c r="AF56" i="8"/>
  <c r="Y56" i="8"/>
  <c r="J56" i="8"/>
  <c r="K56" i="8" s="1"/>
  <c r="M56" i="8" s="1"/>
  <c r="BL55" i="8"/>
  <c r="BD55" i="8"/>
  <c r="AV55" i="8"/>
  <c r="AO55" i="8"/>
  <c r="AQ55" i="8" s="1"/>
  <c r="AF55" i="8"/>
  <c r="Y55" i="8"/>
  <c r="R55" i="8"/>
  <c r="K55" i="8"/>
  <c r="BL54" i="8"/>
  <c r="BD54" i="8"/>
  <c r="AV54" i="8"/>
  <c r="AY54" i="8" s="1"/>
  <c r="AN54" i="8"/>
  <c r="AG54" i="8"/>
  <c r="AI54" i="8" s="1"/>
  <c r="Y54" i="8"/>
  <c r="R54" i="8"/>
  <c r="K54" i="8"/>
  <c r="BL53" i="8"/>
  <c r="BD53" i="8"/>
  <c r="AV53" i="8"/>
  <c r="AN53" i="8"/>
  <c r="AF53" i="8"/>
  <c r="Y53" i="8"/>
  <c r="R53" i="8"/>
  <c r="K53" i="8"/>
  <c r="BK52" i="8"/>
  <c r="BC52" i="8"/>
  <c r="AU52" i="8"/>
  <c r="AM52" i="8"/>
  <c r="AE52" i="8"/>
  <c r="X52" i="8"/>
  <c r="Q52" i="8"/>
  <c r="J52" i="8"/>
  <c r="K52" i="8" s="1"/>
  <c r="BL51" i="8"/>
  <c r="BD51" i="8"/>
  <c r="AV51" i="8"/>
  <c r="AN51" i="8"/>
  <c r="AG51" i="8"/>
  <c r="AI51" i="8" s="1"/>
  <c r="Y51" i="8"/>
  <c r="R51" i="8"/>
  <c r="K51" i="8"/>
  <c r="BL50" i="8"/>
  <c r="BO50" i="8" s="1"/>
  <c r="BD50" i="8"/>
  <c r="AP50" i="8"/>
  <c r="AM50" i="8"/>
  <c r="AV50" i="8" s="1"/>
  <c r="AE50" i="8"/>
  <c r="AG50" i="8" s="1"/>
  <c r="AI50" i="8" s="1"/>
  <c r="Y50" i="8"/>
  <c r="R50" i="8"/>
  <c r="T50" i="8" s="1"/>
  <c r="K50" i="8"/>
  <c r="BL49" i="8"/>
  <c r="BD49" i="8"/>
  <c r="AV49" i="8"/>
  <c r="AF49" i="8"/>
  <c r="AI49" i="8" s="1"/>
  <c r="Y49" i="8"/>
  <c r="AA49" i="8" s="1"/>
  <c r="R49" i="8"/>
  <c r="K49" i="8"/>
  <c r="M49" i="8" s="1"/>
  <c r="BL48" i="8"/>
  <c r="BD48" i="8"/>
  <c r="AV48" i="8"/>
  <c r="AN48" i="8"/>
  <c r="AF48" i="8"/>
  <c r="Y48" i="8"/>
  <c r="R48" i="8"/>
  <c r="K48" i="8"/>
  <c r="BL47" i="8"/>
  <c r="BD47" i="8"/>
  <c r="AV47" i="8"/>
  <c r="AN47" i="8"/>
  <c r="AF47" i="8"/>
  <c r="Y47" i="8"/>
  <c r="R47" i="8"/>
  <c r="K47" i="8"/>
  <c r="BK46" i="8"/>
  <c r="BC46" i="8"/>
  <c r="AU46" i="8"/>
  <c r="AM46" i="8"/>
  <c r="AE46" i="8"/>
  <c r="X46" i="8"/>
  <c r="Q46" i="8"/>
  <c r="J46" i="8"/>
  <c r="H46" i="8"/>
  <c r="BL45" i="8"/>
  <c r="BO45" i="8" s="1"/>
  <c r="BD45" i="8"/>
  <c r="BG45" i="8" s="1"/>
  <c r="AW45" i="8"/>
  <c r="AY45" i="8" s="1"/>
  <c r="AN45" i="8"/>
  <c r="AQ45" i="8" s="1"/>
  <c r="AF45" i="8"/>
  <c r="AI45" i="8" s="1"/>
  <c r="Y45" i="8"/>
  <c r="AA45" i="8" s="1"/>
  <c r="R45" i="8"/>
  <c r="T45" i="8" s="1"/>
  <c r="K45" i="8"/>
  <c r="M45" i="8" s="1"/>
  <c r="BL44" i="8"/>
  <c r="BD44" i="8"/>
  <c r="AV44" i="8"/>
  <c r="AN44" i="8"/>
  <c r="AF44" i="8"/>
  <c r="Y44" i="8"/>
  <c r="R44" i="8"/>
  <c r="K44" i="8"/>
  <c r="M44" i="8" s="1"/>
  <c r="BL43" i="8"/>
  <c r="BE43" i="8"/>
  <c r="AW43" i="8"/>
  <c r="AY43" i="8" s="1"/>
  <c r="AN43" i="8"/>
  <c r="AF43" i="8"/>
  <c r="Y43" i="8"/>
  <c r="R43" i="8"/>
  <c r="K43" i="8"/>
  <c r="M43" i="8" s="1"/>
  <c r="BL42" i="8"/>
  <c r="BD42" i="8"/>
  <c r="AV42" i="8"/>
  <c r="AN42" i="8"/>
  <c r="AF42" i="8"/>
  <c r="Y42" i="8"/>
  <c r="R42" i="8"/>
  <c r="T42" i="8" s="1"/>
  <c r="M42" i="8"/>
  <c r="BL41" i="8"/>
  <c r="BD41" i="8"/>
  <c r="AV41" i="8"/>
  <c r="AN41" i="8"/>
  <c r="AF41" i="8"/>
  <c r="Y41" i="8"/>
  <c r="R41" i="8"/>
  <c r="T41" i="8" s="1"/>
  <c r="K41" i="8"/>
  <c r="M41" i="8" s="1"/>
  <c r="BL40" i="8"/>
  <c r="BD40" i="8"/>
  <c r="AV40" i="8"/>
  <c r="AN40" i="8"/>
  <c r="AF40" i="8"/>
  <c r="R40" i="8"/>
  <c r="K40" i="8"/>
  <c r="BL39" i="8"/>
  <c r="BD39" i="8"/>
  <c r="AV39" i="8"/>
  <c r="AN39" i="8"/>
  <c r="AF39" i="8"/>
  <c r="Y39" i="8"/>
  <c r="AA39" i="8" s="1"/>
  <c r="R39" i="8"/>
  <c r="K39" i="8"/>
  <c r="M39" i="8" s="1"/>
  <c r="BL38" i="8"/>
  <c r="BD38" i="8"/>
  <c r="AV38" i="8"/>
  <c r="AN38" i="8"/>
  <c r="AF38" i="8"/>
  <c r="Y38" i="8"/>
  <c r="R38" i="8"/>
  <c r="K38" i="8"/>
  <c r="M38" i="8" s="1"/>
  <c r="BL37" i="8"/>
  <c r="BD37" i="8"/>
  <c r="AV37" i="8"/>
  <c r="AN37" i="8"/>
  <c r="AF37" i="8"/>
  <c r="Y37" i="8"/>
  <c r="AA37" i="8" s="1"/>
  <c r="R37" i="8"/>
  <c r="T37" i="8" s="1"/>
  <c r="K37" i="8"/>
  <c r="BL36" i="8"/>
  <c r="BD36" i="8"/>
  <c r="AV36" i="8"/>
  <c r="AN36" i="8"/>
  <c r="AF36" i="8"/>
  <c r="AI36" i="8" s="1"/>
  <c r="Y36" i="8"/>
  <c r="R36" i="8"/>
  <c r="K36" i="8"/>
  <c r="M36" i="8" s="1"/>
  <c r="BL35" i="8"/>
  <c r="BD35" i="8"/>
  <c r="AV35" i="8"/>
  <c r="AN35" i="8"/>
  <c r="AG35" i="8"/>
  <c r="AI35" i="8" s="1"/>
  <c r="Y35" i="8"/>
  <c r="R35" i="8"/>
  <c r="K35" i="8"/>
  <c r="BL34" i="8"/>
  <c r="BD34" i="8"/>
  <c r="AV34" i="8"/>
  <c r="AN34" i="8"/>
  <c r="AQ34" i="8" s="1"/>
  <c r="AF34" i="8"/>
  <c r="AI34" i="8" s="1"/>
  <c r="Y34" i="8"/>
  <c r="R34" i="8"/>
  <c r="T34" i="8" s="1"/>
  <c r="Y33" i="8"/>
  <c r="R33" i="8"/>
  <c r="K33" i="8"/>
  <c r="M33" i="8" s="1"/>
  <c r="BL32" i="8"/>
  <c r="BD32" i="8"/>
  <c r="AV32" i="8"/>
  <c r="AN32" i="8"/>
  <c r="AG32" i="8"/>
  <c r="AI32" i="8" s="1"/>
  <c r="Y32" i="8"/>
  <c r="R32" i="8"/>
  <c r="K32" i="8"/>
  <c r="M32" i="8" s="1"/>
  <c r="BL31" i="8"/>
  <c r="BD31" i="8"/>
  <c r="AV31" i="8"/>
  <c r="AN31" i="8"/>
  <c r="AF31" i="8"/>
  <c r="Y31" i="8"/>
  <c r="AA31" i="8" s="1"/>
  <c r="R31" i="8"/>
  <c r="T31" i="8" s="1"/>
  <c r="K31" i="8"/>
  <c r="M31" i="8" s="1"/>
  <c r="BL30" i="8"/>
  <c r="BD30" i="8"/>
  <c r="AV30" i="8"/>
  <c r="AN30" i="8"/>
  <c r="AG30" i="8"/>
  <c r="AI30" i="8" s="1"/>
  <c r="Y30" i="8"/>
  <c r="R30" i="8"/>
  <c r="K30" i="8"/>
  <c r="M30" i="8" s="1"/>
  <c r="BL29" i="8"/>
  <c r="BD29" i="8"/>
  <c r="AV29" i="8"/>
  <c r="AN29" i="8"/>
  <c r="AF29" i="8"/>
  <c r="Y29" i="8"/>
  <c r="R29" i="8"/>
  <c r="K29" i="8"/>
  <c r="M29" i="8" s="1"/>
  <c r="BL28" i="8"/>
  <c r="BD28" i="8"/>
  <c r="AV28" i="8"/>
  <c r="AN28" i="8"/>
  <c r="AF28" i="8"/>
  <c r="Y28" i="8"/>
  <c r="R28" i="8"/>
  <c r="K28" i="8"/>
  <c r="M28" i="8" s="1"/>
  <c r="BL27" i="8"/>
  <c r="BD27" i="8"/>
  <c r="AV27" i="8"/>
  <c r="AN27" i="8"/>
  <c r="AF27" i="8"/>
  <c r="Y27" i="8"/>
  <c r="R27" i="8"/>
  <c r="K27" i="8"/>
  <c r="M27" i="8" s="1"/>
  <c r="BL26" i="8"/>
  <c r="BD26" i="8"/>
  <c r="AM26" i="8"/>
  <c r="AN26" i="8" s="1"/>
  <c r="AF26" i="8"/>
  <c r="Y26" i="8"/>
  <c r="AA26" i="8" s="1"/>
  <c r="R26" i="8"/>
  <c r="T26" i="8" s="1"/>
  <c r="K26" i="8"/>
  <c r="BK25" i="8"/>
  <c r="BC25" i="8"/>
  <c r="AU25" i="8"/>
  <c r="AM25" i="8"/>
  <c r="X25" i="8"/>
  <c r="Q25" i="8"/>
  <c r="J25" i="8"/>
  <c r="BL24" i="8"/>
  <c r="BD24" i="8"/>
  <c r="AV24" i="8"/>
  <c r="AN24" i="8"/>
  <c r="AF24" i="8"/>
  <c r="Y24" i="8"/>
  <c r="AA24" i="8" s="1"/>
  <c r="R24" i="8"/>
  <c r="K24" i="8"/>
  <c r="BL23" i="8"/>
  <c r="BD23" i="8"/>
  <c r="AV23" i="8"/>
  <c r="AN23" i="8"/>
  <c r="AG23" i="8"/>
  <c r="AI23" i="8" s="1"/>
  <c r="Y23" i="8"/>
  <c r="R23" i="8"/>
  <c r="K23" i="8"/>
  <c r="M23" i="8" s="1"/>
  <c r="BL22" i="8"/>
  <c r="BD22" i="8"/>
  <c r="AV22" i="8"/>
  <c r="AN22" i="8"/>
  <c r="AG22" i="8"/>
  <c r="AI22" i="8" s="1"/>
  <c r="Y22" i="8"/>
  <c r="R22" i="8"/>
  <c r="K22" i="8"/>
  <c r="BL21" i="8"/>
  <c r="BD21" i="8"/>
  <c r="AV21" i="8"/>
  <c r="AN21" i="8"/>
  <c r="AF21" i="8"/>
  <c r="Y21" i="8"/>
  <c r="AA21" i="8" s="1"/>
  <c r="R21" i="8"/>
  <c r="T21" i="8" s="1"/>
  <c r="K21" i="8"/>
  <c r="M21" i="8" s="1"/>
  <c r="BL20" i="8"/>
  <c r="BE20" i="8"/>
  <c r="BG20" i="8" s="1"/>
  <c r="AV20" i="8"/>
  <c r="AY20" i="8" s="1"/>
  <c r="AN20" i="8"/>
  <c r="AF20" i="8"/>
  <c r="Y20" i="8"/>
  <c r="AA20" i="8" s="1"/>
  <c r="R20" i="8"/>
  <c r="K20" i="8"/>
  <c r="M20" i="8" s="1"/>
  <c r="BL19" i="8"/>
  <c r="BD19" i="8"/>
  <c r="AV19" i="8"/>
  <c r="AN19" i="8"/>
  <c r="AF19" i="8"/>
  <c r="Y19" i="8"/>
  <c r="R19" i="8"/>
  <c r="K19" i="8"/>
  <c r="M19" i="8" s="1"/>
  <c r="BO18" i="8"/>
  <c r="BG18" i="8"/>
  <c r="AY18" i="8"/>
  <c r="AQ18" i="8"/>
  <c r="AI18" i="8"/>
  <c r="AA18" i="8"/>
  <c r="T18" i="8"/>
  <c r="M18" i="8"/>
  <c r="BK17" i="8"/>
  <c r="BC17" i="8"/>
  <c r="AU17" i="8"/>
  <c r="AM17" i="8"/>
  <c r="AE17" i="8"/>
  <c r="X17" i="8"/>
  <c r="Q17" i="8"/>
  <c r="J17" i="8"/>
  <c r="BL16" i="8"/>
  <c r="BD16" i="8"/>
  <c r="AV16" i="8"/>
  <c r="AN16" i="8"/>
  <c r="AF16" i="8"/>
  <c r="Y16" i="8"/>
  <c r="R16" i="8"/>
  <c r="T16" i="8" s="1"/>
  <c r="K16" i="8"/>
  <c r="BL15" i="8"/>
  <c r="BD15" i="8"/>
  <c r="AV15" i="8"/>
  <c r="AN15" i="8"/>
  <c r="AF15" i="8"/>
  <c r="Y15" i="8"/>
  <c r="R15" i="8"/>
  <c r="K15" i="8"/>
  <c r="M15" i="8" s="1"/>
  <c r="BL14" i="8"/>
  <c r="BD14" i="8"/>
  <c r="AV14" i="8"/>
  <c r="AY14" i="8" s="1"/>
  <c r="AN14" i="8"/>
  <c r="AF14" i="8"/>
  <c r="Y14" i="8"/>
  <c r="R14" i="8"/>
  <c r="K14" i="8"/>
  <c r="M14" i="8" s="1"/>
  <c r="BL13" i="8"/>
  <c r="BD13" i="8"/>
  <c r="AV13" i="8"/>
  <c r="AN13" i="8"/>
  <c r="AF13" i="8"/>
  <c r="Y13" i="8"/>
  <c r="R13" i="8"/>
  <c r="K13" i="8"/>
  <c r="BL12" i="8"/>
  <c r="BD12" i="8"/>
  <c r="AV12" i="8"/>
  <c r="AY12" i="8" s="1"/>
  <c r="AN12" i="8"/>
  <c r="AF12" i="8"/>
  <c r="Y12" i="8"/>
  <c r="R12" i="8"/>
  <c r="K12" i="8"/>
  <c r="M12" i="8" s="1"/>
  <c r="BL11" i="8"/>
  <c r="BD11" i="8"/>
  <c r="AV11" i="8"/>
  <c r="AN11" i="8"/>
  <c r="AF11" i="8"/>
  <c r="Y11" i="8"/>
  <c r="R11" i="8"/>
  <c r="K11" i="8"/>
  <c r="BL10" i="8"/>
  <c r="AU10" i="8"/>
  <c r="AM10" i="8"/>
  <c r="AE10" i="8"/>
  <c r="X10" i="8"/>
  <c r="Y10" i="8" s="1"/>
  <c r="R10" i="8"/>
  <c r="K10" i="8"/>
  <c r="BL9" i="8"/>
  <c r="BD9" i="8"/>
  <c r="AV9" i="8"/>
  <c r="AN9" i="8"/>
  <c r="AG9" i="8"/>
  <c r="AI9" i="8" s="1"/>
  <c r="Y9" i="8"/>
  <c r="R9" i="8"/>
  <c r="K9" i="8"/>
  <c r="BL8" i="8"/>
  <c r="BD8" i="8"/>
  <c r="AV8" i="8"/>
  <c r="AN8" i="8"/>
  <c r="AF8" i="8"/>
  <c r="Y8" i="8"/>
  <c r="J8" i="8"/>
  <c r="K8" i="8" s="1"/>
  <c r="M8" i="8" s="1"/>
  <c r="H8" i="8"/>
  <c r="BL7" i="8"/>
  <c r="BK7" i="8"/>
  <c r="BD7" i="8"/>
  <c r="BC7" i="8"/>
  <c r="AV7" i="8"/>
  <c r="AU7" i="8"/>
  <c r="AN7" i="8"/>
  <c r="AM7" i="8"/>
  <c r="AF7" i="8"/>
  <c r="AE7" i="8"/>
  <c r="Y7" i="8"/>
  <c r="X7" i="8"/>
  <c r="R7" i="8"/>
  <c r="Q7" i="8"/>
  <c r="K7" i="8"/>
  <c r="J7" i="8"/>
  <c r="BL6" i="8"/>
  <c r="BD6" i="8"/>
  <c r="AV6" i="8"/>
  <c r="AN6" i="8"/>
  <c r="AF6" i="8"/>
  <c r="Y6" i="8"/>
  <c r="R6" i="8"/>
  <c r="T6" i="8" s="1"/>
  <c r="K6" i="8"/>
  <c r="M6" i="8" s="1"/>
  <c r="K5" i="8"/>
  <c r="M5" i="8" s="1"/>
  <c r="BL4" i="8"/>
  <c r="BD4" i="8"/>
  <c r="AV4" i="8"/>
  <c r="AN4" i="8"/>
  <c r="AF4" i="8"/>
  <c r="Y4" i="8"/>
  <c r="R4" i="8"/>
  <c r="K4" i="8"/>
  <c r="Y3" i="8"/>
  <c r="R3" i="8"/>
  <c r="T3" i="8" s="1"/>
  <c r="K3" i="8"/>
  <c r="M3" i="8" s="1"/>
  <c r="BL2" i="8"/>
  <c r="BD2" i="8"/>
  <c r="AV2" i="8"/>
  <c r="AN2" i="8"/>
  <c r="AG2" i="8"/>
  <c r="AI2" i="8" s="1"/>
  <c r="Y2" i="8"/>
  <c r="AA2" i="8" s="1"/>
  <c r="R2" i="8"/>
  <c r="K2" i="8"/>
  <c r="AF95" i="8" l="1"/>
  <c r="P899" i="5"/>
  <c r="P1724" i="5"/>
  <c r="P1700" i="5"/>
  <c r="M210" i="15"/>
  <c r="P673" i="5"/>
  <c r="P1429" i="5"/>
  <c r="P1100" i="5"/>
  <c r="P1672" i="5"/>
  <c r="P1663" i="5"/>
  <c r="P1652" i="5"/>
  <c r="P1645" i="5"/>
  <c r="P1655" i="5"/>
  <c r="P1649" i="5"/>
  <c r="P1382" i="5"/>
  <c r="P1372" i="5"/>
  <c r="P1390" i="5"/>
  <c r="P1363" i="5"/>
  <c r="P1355" i="5"/>
  <c r="P1347" i="5"/>
  <c r="I16" i="5"/>
  <c r="I17" i="5" s="1"/>
  <c r="I31" i="5"/>
  <c r="I35" i="5"/>
  <c r="I36" i="5" s="1"/>
  <c r="G506" i="5"/>
  <c r="G172" i="5"/>
  <c r="P1562" i="5"/>
  <c r="P1570" i="5"/>
  <c r="P1533" i="5"/>
  <c r="P1566" i="5"/>
  <c r="P676" i="5"/>
  <c r="K86" i="9"/>
  <c r="R683" i="5" s="1"/>
  <c r="P683" i="5"/>
  <c r="K8" i="9"/>
  <c r="P221" i="5"/>
  <c r="P628" i="5"/>
  <c r="P1403" i="5"/>
  <c r="P726" i="5"/>
  <c r="P291" i="5"/>
  <c r="P1051" i="5"/>
  <c r="P348" i="5"/>
  <c r="D353" i="5" s="1"/>
  <c r="P1038" i="5"/>
  <c r="P1034" i="5"/>
  <c r="P419" i="5"/>
  <c r="P416" i="5"/>
  <c r="P1193" i="5"/>
  <c r="P1284" i="5"/>
  <c r="P1278" i="5"/>
  <c r="P1007" i="5"/>
  <c r="P465" i="5"/>
  <c r="P543" i="5"/>
  <c r="D546" i="5" s="1"/>
  <c r="P979" i="5"/>
  <c r="P257" i="5"/>
  <c r="P696" i="5"/>
  <c r="P680" i="5"/>
  <c r="P522" i="5"/>
  <c r="P1020" i="5"/>
  <c r="P514" i="5"/>
  <c r="K516" i="5" s="1"/>
  <c r="P791" i="5"/>
  <c r="P89" i="5"/>
  <c r="P1317" i="5"/>
  <c r="P1136" i="5"/>
  <c r="P1311" i="5"/>
  <c r="P949" i="5"/>
  <c r="P632" i="5"/>
  <c r="P1139" i="5"/>
  <c r="P784" i="5"/>
  <c r="P719" i="5"/>
  <c r="P213" i="5"/>
  <c r="D217" i="5" s="1"/>
  <c r="D229" i="5" s="1"/>
  <c r="P388" i="5"/>
  <c r="P101" i="5"/>
  <c r="P803" i="5"/>
  <c r="P81" i="5"/>
  <c r="P73" i="5"/>
  <c r="P77" i="5"/>
  <c r="J2" i="9"/>
  <c r="P1558" i="5"/>
  <c r="P761" i="5"/>
  <c r="P651" i="5"/>
  <c r="P52" i="5"/>
  <c r="P1030" i="5"/>
  <c r="P1001" i="5"/>
  <c r="D1003" i="5" s="1"/>
  <c r="P1109" i="5"/>
  <c r="P267" i="5"/>
  <c r="P275" i="5"/>
  <c r="P392" i="5"/>
  <c r="D397" i="5" s="1"/>
  <c r="P249" i="5"/>
  <c r="K42" i="9"/>
  <c r="R731" i="5" s="1"/>
  <c r="P731" i="5"/>
  <c r="P1183" i="5"/>
  <c r="P755" i="5"/>
  <c r="P364" i="5"/>
  <c r="D369" i="5" s="1"/>
  <c r="P46" i="5"/>
  <c r="P933" i="5"/>
  <c r="K936" i="5" s="1"/>
  <c r="P868" i="5"/>
  <c r="P957" i="5"/>
  <c r="P965" i="5"/>
  <c r="P768" i="5"/>
  <c r="P478" i="5"/>
  <c r="P60" i="5"/>
  <c r="P183" i="5"/>
  <c r="P788" i="5"/>
  <c r="P662" i="5"/>
  <c r="D667" i="5" s="1"/>
  <c r="P625" i="5"/>
  <c r="P86" i="5"/>
  <c r="P1266" i="5"/>
  <c r="P1175" i="5"/>
  <c r="P1171" i="5"/>
  <c r="P1272" i="5"/>
  <c r="P1260" i="5"/>
  <c r="P1167" i="5"/>
  <c r="P1026" i="5"/>
  <c r="P1054" i="5"/>
  <c r="P848" i="5"/>
  <c r="P853" i="5"/>
  <c r="P161" i="5"/>
  <c r="P166" i="5"/>
  <c r="P858" i="5"/>
  <c r="P206" i="5"/>
  <c r="D210" i="5" s="1"/>
  <c r="P670" i="5"/>
  <c r="P1215" i="5"/>
  <c r="P1240" i="5"/>
  <c r="P1220" i="5"/>
  <c r="P1225" i="5"/>
  <c r="P1481" i="5"/>
  <c r="P774" i="5"/>
  <c r="P1208" i="5"/>
  <c r="P1235" i="5"/>
  <c r="P1230" i="5"/>
  <c r="P66" i="5"/>
  <c r="P799" i="5"/>
  <c r="P97" i="5"/>
  <c r="P372" i="5"/>
  <c r="D377" i="5" s="1"/>
  <c r="K375" i="5" s="1"/>
  <c r="K376" i="5" s="1"/>
  <c r="P1094" i="5"/>
  <c r="P941" i="5"/>
  <c r="P971" i="5"/>
  <c r="D975" i="5" s="1"/>
  <c r="P1304" i="5"/>
  <c r="P1468" i="5"/>
  <c r="D1474" i="5" s="1"/>
  <c r="D1472" i="5" s="1"/>
  <c r="D1473" i="5" s="1"/>
  <c r="D1475" i="5" s="1"/>
  <c r="P198" i="5"/>
  <c r="D202" i="5" s="1"/>
  <c r="K83" i="9"/>
  <c r="R1716" i="5" s="1"/>
  <c r="P1550" i="5"/>
  <c r="P1011" i="5"/>
  <c r="P1617" i="5"/>
  <c r="P1620" i="5"/>
  <c r="P1189" i="5"/>
  <c r="P1248" i="5"/>
  <c r="P1060" i="5"/>
  <c r="P253" i="5"/>
  <c r="P1515" i="5"/>
  <c r="D1524" i="5" s="1"/>
  <c r="D1523" i="5" s="1"/>
  <c r="P1503" i="5"/>
  <c r="P1527" i="5"/>
  <c r="D1531" i="5" s="1"/>
  <c r="D1535" i="5" s="1"/>
  <c r="P1511" i="5"/>
  <c r="P1521" i="5"/>
  <c r="P1507" i="5"/>
  <c r="P227" i="5"/>
  <c r="J17" i="9"/>
  <c r="Q693" i="5" s="1"/>
  <c r="P693" i="5"/>
  <c r="P880" i="5"/>
  <c r="D884" i="5" s="1"/>
  <c r="P555" i="5"/>
  <c r="M119" i="15"/>
  <c r="P987" i="5"/>
  <c r="P995" i="5"/>
  <c r="P271" i="5"/>
  <c r="P839" i="5"/>
  <c r="P145" i="5"/>
  <c r="P818" i="5"/>
  <c r="P595" i="5"/>
  <c r="P126" i="5"/>
  <c r="P832" i="5"/>
  <c r="P139" i="5"/>
  <c r="P825" i="5"/>
  <c r="P133" i="5"/>
  <c r="P1584" i="5"/>
  <c r="P1408" i="5"/>
  <c r="P282" i="5"/>
  <c r="P1307" i="5"/>
  <c r="P310" i="5"/>
  <c r="D315" i="5" s="1"/>
  <c r="P286" i="5"/>
  <c r="P764" i="5"/>
  <c r="P1452" i="5"/>
  <c r="P638" i="5"/>
  <c r="P55" i="5"/>
  <c r="P1014" i="5"/>
  <c r="P642" i="5"/>
  <c r="P1288" i="5"/>
  <c r="P505" i="5"/>
  <c r="D511" i="5" s="1"/>
  <c r="P279" i="5"/>
  <c r="P535" i="5"/>
  <c r="P739" i="5"/>
  <c r="P1201" i="5"/>
  <c r="P27" i="5"/>
  <c r="P21" i="5"/>
  <c r="P1254" i="5"/>
  <c r="D1258" i="5" s="1"/>
  <c r="P1179" i="5"/>
  <c r="P1580" i="5"/>
  <c r="D1582" i="5" s="1"/>
  <c r="D1583" i="5" s="1"/>
  <c r="P1574" i="5"/>
  <c r="P1142" i="5"/>
  <c r="P622" i="5"/>
  <c r="P608" i="5"/>
  <c r="P618" i="5"/>
  <c r="P611" i="5"/>
  <c r="P614" i="5"/>
  <c r="K13" i="9"/>
  <c r="P585" i="5"/>
  <c r="P590" i="5"/>
  <c r="P1130" i="5"/>
  <c r="P1123" i="5"/>
  <c r="P317" i="5"/>
  <c r="D322" i="5" s="1"/>
  <c r="P873" i="5"/>
  <c r="P450" i="5"/>
  <c r="P439" i="5"/>
  <c r="P1198" i="5"/>
  <c r="P400" i="5"/>
  <c r="P1133" i="5"/>
  <c r="P457" i="5"/>
  <c r="D462" i="5" s="1"/>
  <c r="K459" i="5" s="1"/>
  <c r="P735" i="5"/>
  <c r="P710" i="5"/>
  <c r="P498" i="5"/>
  <c r="P14" i="5"/>
  <c r="K69" i="9"/>
  <c r="P552" i="5"/>
  <c r="P549" i="5"/>
  <c r="P1537" i="5"/>
  <c r="P654" i="5"/>
  <c r="D659" i="5" s="1"/>
  <c r="K657" i="5" s="1"/>
  <c r="P566" i="5"/>
  <c r="P262" i="5"/>
  <c r="P1042" i="5"/>
  <c r="P891" i="5"/>
  <c r="D895" i="5" s="1"/>
  <c r="P1500" i="5"/>
  <c r="P690" i="5"/>
  <c r="P1610" i="5"/>
  <c r="P1493" i="5"/>
  <c r="D1498" i="5" s="1"/>
  <c r="P1604" i="5"/>
  <c r="P1487" i="5"/>
  <c r="P175" i="5"/>
  <c r="D179" i="5" s="1"/>
  <c r="P1544" i="5"/>
  <c r="P751" i="5"/>
  <c r="P471" i="5"/>
  <c r="P562" i="5"/>
  <c r="P43" i="5"/>
  <c r="P1083" i="5"/>
  <c r="P1147" i="5"/>
  <c r="P1074" i="5"/>
  <c r="K23" i="9"/>
  <c r="P1460" i="5"/>
  <c r="P245" i="5"/>
  <c r="P1299" i="5"/>
  <c r="P1324" i="5"/>
  <c r="P9" i="5"/>
  <c r="P488" i="5"/>
  <c r="D493" i="5" s="1"/>
  <c r="P1046" i="5"/>
  <c r="P925" i="5"/>
  <c r="P571" i="5"/>
  <c r="P231" i="5"/>
  <c r="P380" i="5"/>
  <c r="D385" i="5" s="1"/>
  <c r="D391" i="5" s="1"/>
  <c r="P863" i="5"/>
  <c r="P171" i="5"/>
  <c r="P1161" i="5"/>
  <c r="P806" i="5"/>
  <c r="P887" i="5"/>
  <c r="P602" i="5"/>
  <c r="P107" i="5"/>
  <c r="P104" i="5"/>
  <c r="P1336" i="5"/>
  <c r="P1332" i="5"/>
  <c r="P1067" i="5"/>
  <c r="P240" i="5"/>
  <c r="P1152" i="5"/>
  <c r="P1443" i="5"/>
  <c r="P809" i="5"/>
  <c r="P117" i="5"/>
  <c r="P1436" i="5"/>
  <c r="M43" i="15"/>
  <c r="K44" i="9"/>
  <c r="K101" i="9"/>
  <c r="K6" i="9"/>
  <c r="M100" i="15"/>
  <c r="M95" i="15"/>
  <c r="K30" i="9"/>
  <c r="M88" i="15"/>
  <c r="K5" i="9"/>
  <c r="K48" i="9"/>
  <c r="K72" i="9"/>
  <c r="J96" i="9"/>
  <c r="K57" i="9"/>
  <c r="J65" i="9"/>
  <c r="N168" i="15" s="1"/>
  <c r="K73" i="9"/>
  <c r="R1708" i="5" s="1"/>
  <c r="J81" i="9"/>
  <c r="J89" i="9"/>
  <c r="K10" i="9"/>
  <c r="K18" i="9"/>
  <c r="K58" i="9"/>
  <c r="K66" i="9"/>
  <c r="O258" i="15" s="1"/>
  <c r="K82" i="9"/>
  <c r="K90" i="9"/>
  <c r="K98" i="9"/>
  <c r="R907" i="5" s="1"/>
  <c r="D910" i="5" s="1"/>
  <c r="D911" i="5" s="1"/>
  <c r="J3" i="9"/>
  <c r="J19" i="9"/>
  <c r="J59" i="9"/>
  <c r="N147" i="15" s="1"/>
  <c r="G149" i="15" s="1"/>
  <c r="J67" i="9"/>
  <c r="N189" i="15" s="1"/>
  <c r="G191" i="15" s="1"/>
  <c r="K91" i="9"/>
  <c r="J99" i="9"/>
  <c r="K20" i="9"/>
  <c r="K92" i="9"/>
  <c r="R1747" i="5" s="1"/>
  <c r="K21" i="9"/>
  <c r="J22" i="9"/>
  <c r="Q1117" i="5" s="1"/>
  <c r="K102" i="9"/>
  <c r="R1090" i="5" s="1"/>
  <c r="J7" i="9"/>
  <c r="J15" i="9"/>
  <c r="K31" i="9"/>
  <c r="K47" i="9"/>
  <c r="R916" i="5" s="1"/>
  <c r="K55" i="9"/>
  <c r="O230" i="15" s="1"/>
  <c r="K87" i="9"/>
  <c r="K95" i="9"/>
  <c r="K93" i="9"/>
  <c r="J62" i="9"/>
  <c r="K16" i="9"/>
  <c r="R1658" i="5" s="1"/>
  <c r="K77" i="9"/>
  <c r="R1537" i="5" s="1"/>
  <c r="K46" i="9"/>
  <c r="R701" i="5" s="1"/>
  <c r="K61" i="9"/>
  <c r="K85" i="9"/>
  <c r="R1634" i="5" s="1"/>
  <c r="K52" i="9"/>
  <c r="P191" i="5"/>
  <c r="J49" i="9"/>
  <c r="K64" i="9"/>
  <c r="R745" i="5" s="1"/>
  <c r="J41" i="9"/>
  <c r="Q526" i="5" s="1"/>
  <c r="K76" i="9"/>
  <c r="K88" i="9"/>
  <c r="K80" i="9"/>
  <c r="P111" i="5"/>
  <c r="D116" i="5" s="1"/>
  <c r="K53" i="9"/>
  <c r="R430" i="5" s="1"/>
  <c r="K39" i="9"/>
  <c r="K56" i="9"/>
  <c r="K45" i="9"/>
  <c r="K62" i="9"/>
  <c r="J70" i="9"/>
  <c r="Q422" i="5" s="1"/>
  <c r="D425" i="5" s="1"/>
  <c r="K71" i="9"/>
  <c r="R408" i="5" s="1"/>
  <c r="J9" i="9"/>
  <c r="K37" i="9"/>
  <c r="K100" i="9"/>
  <c r="R1628" i="5" s="1"/>
  <c r="M70" i="15"/>
  <c r="K40" i="9"/>
  <c r="M17" i="15"/>
  <c r="K26" i="9"/>
  <c r="J51" i="9"/>
  <c r="Q1731" i="5" s="1"/>
  <c r="D1734" i="5" s="1"/>
  <c r="K63" i="9"/>
  <c r="K32" i="9"/>
  <c r="J33" i="9"/>
  <c r="Q340" i="5" s="1"/>
  <c r="K34" i="9"/>
  <c r="R324" i="5" s="1"/>
  <c r="D329" i="5"/>
  <c r="K50" i="9"/>
  <c r="J35" i="9"/>
  <c r="K36" i="9"/>
  <c r="R332" i="5" s="1"/>
  <c r="K29" i="9"/>
  <c r="K24" i="9"/>
  <c r="J25" i="9"/>
  <c r="Q296" i="5" s="1"/>
  <c r="J27" i="9"/>
  <c r="K28" i="9"/>
  <c r="K60" i="9"/>
  <c r="K14" i="9"/>
  <c r="J97" i="9"/>
  <c r="J94" i="9"/>
  <c r="Q1429" i="5" s="1"/>
  <c r="D1432" i="5" s="1"/>
  <c r="D1433" i="5" s="1"/>
  <c r="D1435" i="5" s="1"/>
  <c r="K78" i="9"/>
  <c r="R578" i="5" s="1"/>
  <c r="J78" i="9"/>
  <c r="Q578" i="5" s="1"/>
  <c r="J75" i="9"/>
  <c r="K74" i="9"/>
  <c r="J54" i="9"/>
  <c r="J11" i="9"/>
  <c r="Q1398" i="5" s="1"/>
  <c r="K4" i="9"/>
  <c r="P152" i="5"/>
  <c r="K99" i="9"/>
  <c r="J38" i="9"/>
  <c r="J63" i="9"/>
  <c r="K79" i="9"/>
  <c r="K103" i="9"/>
  <c r="BL17" i="8"/>
  <c r="AN10" i="8"/>
  <c r="AN17" i="8"/>
  <c r="AV52" i="8"/>
  <c r="BL68" i="8"/>
  <c r="AV17" i="8"/>
  <c r="AY17" i="8" s="1"/>
  <c r="BL25" i="8"/>
  <c r="R68" i="8"/>
  <c r="R63" i="8"/>
  <c r="AG59" i="8"/>
  <c r="AI59" i="8" s="1"/>
  <c r="AN68" i="8"/>
  <c r="Y25" i="8"/>
  <c r="AA25" i="8" s="1"/>
  <c r="AF52" i="8"/>
  <c r="AV95" i="8"/>
  <c r="AF68" i="8"/>
  <c r="AY7" i="8"/>
  <c r="T7" i="8"/>
  <c r="BG7" i="8"/>
  <c r="AN59" i="8"/>
  <c r="AV10" i="8"/>
  <c r="AY10" i="8" s="1"/>
  <c r="AV46" i="8"/>
  <c r="K68" i="8"/>
  <c r="M68" i="8" s="1"/>
  <c r="K54" i="9"/>
  <c r="J61" i="9"/>
  <c r="K35" i="9"/>
  <c r="R356" i="5" s="1"/>
  <c r="J46" i="9"/>
  <c r="Q701" i="5" s="1"/>
  <c r="J18" i="9"/>
  <c r="J16" i="9"/>
  <c r="Q1658" i="5" s="1"/>
  <c r="K51" i="9"/>
  <c r="R1731" i="5" s="1"/>
  <c r="J55" i="9"/>
  <c r="N230" i="15" s="1"/>
  <c r="G232" i="15" s="1"/>
  <c r="K38" i="9"/>
  <c r="K7" i="9"/>
  <c r="J14" i="9"/>
  <c r="J79" i="9"/>
  <c r="K94" i="9"/>
  <c r="K27" i="9"/>
  <c r="R304" i="5" s="1"/>
  <c r="K59" i="9"/>
  <c r="O147" i="15" s="1"/>
  <c r="K3" i="9"/>
  <c r="J8" i="9"/>
  <c r="K22" i="9"/>
  <c r="R1117" i="5" s="1"/>
  <c r="J39" i="9"/>
  <c r="K70" i="9"/>
  <c r="R422" i="5" s="1"/>
  <c r="J86" i="9"/>
  <c r="Q683" i="5" s="1"/>
  <c r="J91" i="9"/>
  <c r="J95" i="9"/>
  <c r="J30" i="9"/>
  <c r="J71" i="9"/>
  <c r="K96" i="9"/>
  <c r="J6" i="9"/>
  <c r="J10" i="9"/>
  <c r="K19" i="9"/>
  <c r="K67" i="9"/>
  <c r="O189" i="15" s="1"/>
  <c r="J83" i="9"/>
  <c r="Q1716" i="5" s="1"/>
  <c r="J87" i="9"/>
  <c r="J102" i="9"/>
  <c r="Q1090" i="5" s="1"/>
  <c r="I104" i="9"/>
  <c r="K15" i="9"/>
  <c r="J47" i="9"/>
  <c r="Q916" i="5" s="1"/>
  <c r="D919" i="5" s="1"/>
  <c r="J53" i="9"/>
  <c r="Q430" i="5" s="1"/>
  <c r="K75" i="9"/>
  <c r="K11" i="9"/>
  <c r="R1398" i="5" s="1"/>
  <c r="K43" i="9"/>
  <c r="J57" i="9"/>
  <c r="J73" i="9"/>
  <c r="Q1708" i="5" s="1"/>
  <c r="J4" i="9"/>
  <c r="K9" i="9"/>
  <c r="J12" i="9"/>
  <c r="K17" i="9"/>
  <c r="R693" i="5" s="1"/>
  <c r="J20" i="9"/>
  <c r="K25" i="9"/>
  <c r="R296" i="5" s="1"/>
  <c r="J28" i="9"/>
  <c r="K33" i="9"/>
  <c r="R340" i="5" s="1"/>
  <c r="J36" i="9"/>
  <c r="K41" i="9"/>
  <c r="R526" i="5" s="1"/>
  <c r="J44" i="9"/>
  <c r="K49" i="9"/>
  <c r="J52" i="9"/>
  <c r="J60" i="9"/>
  <c r="K65" i="9"/>
  <c r="O168" i="15" s="1"/>
  <c r="J68" i="9"/>
  <c r="J76" i="9"/>
  <c r="K81" i="9"/>
  <c r="J84" i="9"/>
  <c r="K89" i="9"/>
  <c r="J92" i="9"/>
  <c r="Q1747" i="5" s="1"/>
  <c r="K97" i="9"/>
  <c r="J100" i="9"/>
  <c r="Q1628" i="5" s="1"/>
  <c r="J23" i="9"/>
  <c r="J31" i="9"/>
  <c r="J103" i="9"/>
  <c r="J26" i="9"/>
  <c r="J34" i="9"/>
  <c r="J42" i="9"/>
  <c r="Q731" i="5" s="1"/>
  <c r="J50" i="9"/>
  <c r="J58" i="9"/>
  <c r="J66" i="9"/>
  <c r="N258" i="15" s="1"/>
  <c r="G260" i="15" s="1"/>
  <c r="J74" i="9"/>
  <c r="J82" i="9"/>
  <c r="J90" i="9"/>
  <c r="J98" i="9"/>
  <c r="Q907" i="5" s="1"/>
  <c r="K2" i="9"/>
  <c r="J5" i="9"/>
  <c r="J13" i="9"/>
  <c r="J21" i="9"/>
  <c r="J29" i="9"/>
  <c r="J37" i="9"/>
  <c r="J45" i="9"/>
  <c r="J69" i="9"/>
  <c r="J77" i="9"/>
  <c r="J85" i="9"/>
  <c r="Q1634" i="5" s="1"/>
  <c r="J93" i="9"/>
  <c r="J101" i="9"/>
  <c r="J24" i="9"/>
  <c r="J32" i="9"/>
  <c r="J40" i="9"/>
  <c r="J48" i="9"/>
  <c r="J56" i="9"/>
  <c r="J64" i="9"/>
  <c r="Q745" i="5" s="1"/>
  <c r="J72" i="9"/>
  <c r="J80" i="9"/>
  <c r="J88" i="9"/>
  <c r="BL46" i="8"/>
  <c r="AF10" i="8"/>
  <c r="AI10" i="8" s="1"/>
  <c r="AI7" i="8"/>
  <c r="AV26" i="8"/>
  <c r="Y52" i="8"/>
  <c r="Y59" i="8"/>
  <c r="Y17" i="8"/>
  <c r="BL59" i="8"/>
  <c r="AN50" i="8"/>
  <c r="Y95" i="8"/>
  <c r="R17" i="8"/>
  <c r="BD52" i="8"/>
  <c r="AN95" i="8"/>
  <c r="R46" i="8"/>
  <c r="R52" i="8"/>
  <c r="Y63" i="8"/>
  <c r="AV68" i="8"/>
  <c r="AQ7" i="8"/>
  <c r="AN25" i="8"/>
  <c r="Y46" i="8"/>
  <c r="AV59" i="8"/>
  <c r="Y68" i="8"/>
  <c r="AA68" i="8" s="1"/>
  <c r="M7" i="8"/>
  <c r="R8" i="8"/>
  <c r="BD25" i="8"/>
  <c r="AN46" i="8"/>
  <c r="AN52" i="8"/>
  <c r="R56" i="8"/>
  <c r="BD95" i="8"/>
  <c r="AA7" i="8"/>
  <c r="BD46" i="8"/>
  <c r="R59" i="8"/>
  <c r="BO7" i="8"/>
  <c r="R25" i="8"/>
  <c r="BL52" i="8"/>
  <c r="K63" i="8"/>
  <c r="M63" i="8" s="1"/>
  <c r="AF46" i="8"/>
  <c r="BD17" i="8"/>
  <c r="K25" i="8"/>
  <c r="K46" i="8"/>
  <c r="M46" i="8" s="1"/>
  <c r="AF17" i="8"/>
  <c r="AV25" i="8"/>
  <c r="BD59" i="8"/>
  <c r="BD68" i="8"/>
  <c r="R95" i="8"/>
  <c r="K17" i="8"/>
  <c r="M17" i="8" s="1"/>
  <c r="BL95" i="8"/>
  <c r="G261" i="15" l="1"/>
  <c r="G258" i="15" s="1"/>
  <c r="A269" i="15" s="1"/>
  <c r="D920" i="5"/>
  <c r="D924" i="5" s="1"/>
  <c r="D1735" i="5"/>
  <c r="D1732" i="5" s="1"/>
  <c r="G233" i="15"/>
  <c r="G230" i="15" s="1"/>
  <c r="A241" i="15" s="1"/>
  <c r="R899" i="5"/>
  <c r="R1724" i="5"/>
  <c r="Q899" i="5"/>
  <c r="Q1724" i="5"/>
  <c r="G150" i="15"/>
  <c r="G147" i="15" s="1"/>
  <c r="R1700" i="5"/>
  <c r="O210" i="15"/>
  <c r="G192" i="15"/>
  <c r="G189" i="15" s="1"/>
  <c r="G171" i="15"/>
  <c r="G168" i="15" s="1"/>
  <c r="Q1700" i="5"/>
  <c r="D1702" i="5" s="1"/>
  <c r="D1701" i="5" s="1"/>
  <c r="D1707" i="5" s="1"/>
  <c r="N210" i="15"/>
  <c r="G213" i="15" s="1"/>
  <c r="G210" i="15" s="1"/>
  <c r="D915" i="5"/>
  <c r="R673" i="5"/>
  <c r="R1429" i="5"/>
  <c r="D1009" i="5"/>
  <c r="D1010" i="5" s="1"/>
  <c r="D1019" i="5" s="1"/>
  <c r="D1006" i="5"/>
  <c r="D896" i="5"/>
  <c r="K646" i="5"/>
  <c r="D341" i="5"/>
  <c r="R1100" i="5"/>
  <c r="R1672" i="5"/>
  <c r="Q1100" i="5"/>
  <c r="Q1672" i="5"/>
  <c r="R1663" i="5"/>
  <c r="R1655" i="5"/>
  <c r="R1649" i="5"/>
  <c r="R1652" i="5"/>
  <c r="R1645" i="5"/>
  <c r="Q1663" i="5"/>
  <c r="Q1652" i="5"/>
  <c r="Q1645" i="5"/>
  <c r="Q1655" i="5"/>
  <c r="Q1649" i="5"/>
  <c r="Q1390" i="5"/>
  <c r="Q1363" i="5"/>
  <c r="Q1336" i="5"/>
  <c r="Q1355" i="5"/>
  <c r="Q1347" i="5"/>
  <c r="Q1382" i="5"/>
  <c r="Q1372" i="5"/>
  <c r="R1355" i="5"/>
  <c r="R1347" i="5"/>
  <c r="R1363" i="5"/>
  <c r="R1382" i="5"/>
  <c r="R1372" i="5"/>
  <c r="R1390" i="5"/>
  <c r="I19" i="5"/>
  <c r="I18" i="5"/>
  <c r="I24" i="5" s="1"/>
  <c r="I25" i="5" s="1"/>
  <c r="D724" i="5"/>
  <c r="D723" i="5"/>
  <c r="G173" i="5"/>
  <c r="G222" i="5"/>
  <c r="G137" i="5"/>
  <c r="G515" i="5"/>
  <c r="G528" i="5"/>
  <c r="G534" i="5" s="1"/>
  <c r="I37" i="5"/>
  <c r="I38" i="5" s="1"/>
  <c r="I39" i="5" s="1"/>
  <c r="I40" i="5" s="1"/>
  <c r="I41" i="5" s="1"/>
  <c r="I49" i="5"/>
  <c r="Q788" i="5"/>
  <c r="Q662" i="5"/>
  <c r="D666" i="5" s="1"/>
  <c r="D692" i="5" s="1"/>
  <c r="D690" i="5" s="1"/>
  <c r="Q183" i="5"/>
  <c r="Q625" i="5"/>
  <c r="Q86" i="5"/>
  <c r="Q818" i="5"/>
  <c r="Q595" i="5"/>
  <c r="Q126" i="5"/>
  <c r="Q832" i="5"/>
  <c r="Q139" i="5"/>
  <c r="Q825" i="5"/>
  <c r="Q839" i="5"/>
  <c r="Q145" i="5"/>
  <c r="Q133" i="5"/>
  <c r="Q1503" i="5"/>
  <c r="Q1527" i="5"/>
  <c r="D1529" i="5" s="1"/>
  <c r="Q1511" i="5"/>
  <c r="Q1507" i="5"/>
  <c r="Q1521" i="5"/>
  <c r="Q227" i="5"/>
  <c r="Q1515" i="5"/>
  <c r="D1518" i="5" s="1"/>
  <c r="R873" i="5"/>
  <c r="R317" i="5"/>
  <c r="R450" i="5"/>
  <c r="R439" i="5"/>
  <c r="Q979" i="5"/>
  <c r="Q257" i="5"/>
  <c r="R949" i="5"/>
  <c r="R1311" i="5"/>
  <c r="R632" i="5"/>
  <c r="Q408" i="5"/>
  <c r="D412" i="5" s="1"/>
  <c r="D409" i="5" s="1"/>
  <c r="Q221" i="5"/>
  <c r="Q628" i="5"/>
  <c r="R791" i="5"/>
  <c r="R89" i="5"/>
  <c r="R1544" i="5"/>
  <c r="R175" i="5"/>
  <c r="R1443" i="5"/>
  <c r="R809" i="5"/>
  <c r="R117" i="5"/>
  <c r="R1436" i="5"/>
  <c r="R1152" i="5"/>
  <c r="R543" i="5"/>
  <c r="Q1147" i="5"/>
  <c r="Q1074" i="5"/>
  <c r="D1078" i="5" s="1"/>
  <c r="Q1083" i="5"/>
  <c r="Q1060" i="5"/>
  <c r="Q253" i="5"/>
  <c r="R1266" i="5"/>
  <c r="R1175" i="5"/>
  <c r="Q1311" i="5"/>
  <c r="Q949" i="5"/>
  <c r="Q632" i="5"/>
  <c r="R1452" i="5"/>
  <c r="R764" i="5"/>
  <c r="R638" i="5"/>
  <c r="R55" i="5"/>
  <c r="R221" i="5"/>
  <c r="R628" i="5"/>
  <c r="Q543" i="5"/>
  <c r="Q1332" i="5"/>
  <c r="Q304" i="5"/>
  <c r="R1620" i="5"/>
  <c r="R1189" i="5"/>
  <c r="R1248" i="5"/>
  <c r="R1617" i="5"/>
  <c r="Q1042" i="5"/>
  <c r="Q891" i="5"/>
  <c r="D893" i="5" s="1"/>
  <c r="R1054" i="5"/>
  <c r="R1026" i="5"/>
  <c r="R806" i="5"/>
  <c r="R887" i="5"/>
  <c r="R602" i="5"/>
  <c r="R1161" i="5"/>
  <c r="R107" i="5"/>
  <c r="R104" i="5"/>
  <c r="Q880" i="5"/>
  <c r="D882" i="5" s="1"/>
  <c r="Q555" i="5"/>
  <c r="D559" i="5" s="1"/>
  <c r="R965" i="5"/>
  <c r="R768" i="5"/>
  <c r="R957" i="5"/>
  <c r="R478" i="5"/>
  <c r="R60" i="5"/>
  <c r="R1136" i="5"/>
  <c r="R1317" i="5"/>
  <c r="Q1007" i="5"/>
  <c r="Q465" i="5"/>
  <c r="Q1537" i="5"/>
  <c r="R1558" i="5"/>
  <c r="R761" i="5"/>
  <c r="R651" i="5"/>
  <c r="R52" i="5"/>
  <c r="Q1584" i="5"/>
  <c r="Q1408" i="5"/>
  <c r="Q282" i="5"/>
  <c r="Q1011" i="5"/>
  <c r="Q1550" i="5"/>
  <c r="Q1067" i="5"/>
  <c r="D1069" i="5" s="1"/>
  <c r="D1070" i="5" s="1"/>
  <c r="D1073" i="5" s="1"/>
  <c r="Q240" i="5"/>
  <c r="R799" i="5"/>
  <c r="R97" i="5"/>
  <c r="R372" i="5"/>
  <c r="Q380" i="5"/>
  <c r="D383" i="5" s="1"/>
  <c r="Q863" i="5"/>
  <c r="Q171" i="5"/>
  <c r="Q356" i="5"/>
  <c r="R751" i="5"/>
  <c r="R471" i="5"/>
  <c r="R562" i="5"/>
  <c r="R43" i="5"/>
  <c r="R696" i="5"/>
  <c r="R680" i="5"/>
  <c r="R522" i="5"/>
  <c r="Q971" i="5"/>
  <c r="D973" i="5" s="1"/>
  <c r="Q1304" i="5"/>
  <c r="R933" i="5"/>
  <c r="R868" i="5"/>
  <c r="R1460" i="5"/>
  <c r="R245" i="5"/>
  <c r="Q1324" i="5"/>
  <c r="Q1299" i="5"/>
  <c r="Q1562" i="5"/>
  <c r="Q1570" i="5"/>
  <c r="Q1566" i="5"/>
  <c r="Q1533" i="5"/>
  <c r="Q676" i="5"/>
  <c r="Q590" i="5"/>
  <c r="Q585" i="5"/>
  <c r="Q1307" i="5"/>
  <c r="Q310" i="5"/>
  <c r="D313" i="5" s="1"/>
  <c r="D314" i="5" s="1"/>
  <c r="Q286" i="5"/>
  <c r="Q1574" i="5"/>
  <c r="Q1142" i="5"/>
  <c r="Q1580" i="5"/>
  <c r="Q622" i="5"/>
  <c r="Q618" i="5"/>
  <c r="Q611" i="5"/>
  <c r="Q608" i="5"/>
  <c r="Q614" i="5"/>
  <c r="Q1288" i="5"/>
  <c r="Q505" i="5"/>
  <c r="D509" i="5" s="1"/>
  <c r="Q279" i="5"/>
  <c r="Q1544" i="5"/>
  <c r="Q175" i="5"/>
  <c r="D177" i="5" s="1"/>
  <c r="D178" i="5" s="1"/>
  <c r="R419" i="5"/>
  <c r="R416" i="5"/>
  <c r="Q1014" i="5"/>
  <c r="Q642" i="5"/>
  <c r="D647" i="5" s="1"/>
  <c r="R853" i="5"/>
  <c r="R161" i="5"/>
  <c r="R166" i="5"/>
  <c r="R848" i="5"/>
  <c r="R858" i="5"/>
  <c r="R206" i="5"/>
  <c r="R670" i="5"/>
  <c r="R941" i="5"/>
  <c r="R1094" i="5"/>
  <c r="Q1193" i="5"/>
  <c r="Q1284" i="5"/>
  <c r="Q1278" i="5"/>
  <c r="Q549" i="5"/>
  <c r="Q552" i="5"/>
  <c r="Q324" i="5"/>
  <c r="D327" i="5" s="1"/>
  <c r="D328" i="5" s="1"/>
  <c r="R1167" i="5"/>
  <c r="R1260" i="5"/>
  <c r="R880" i="5"/>
  <c r="R555" i="5"/>
  <c r="R1468" i="5"/>
  <c r="R198" i="5"/>
  <c r="R971" i="5"/>
  <c r="R1304" i="5"/>
  <c r="Q1620" i="5"/>
  <c r="Q1248" i="5"/>
  <c r="Q1617" i="5"/>
  <c r="Q1189" i="5"/>
  <c r="Q1403" i="5"/>
  <c r="Q726" i="5"/>
  <c r="Q791" i="5"/>
  <c r="Q89" i="5"/>
  <c r="R662" i="5"/>
  <c r="R788" i="5"/>
  <c r="R183" i="5"/>
  <c r="R625" i="5"/>
  <c r="R86" i="5"/>
  <c r="Q1139" i="5"/>
  <c r="Q784" i="5"/>
  <c r="Q719" i="5"/>
  <c r="D721" i="5" s="1"/>
  <c r="Q213" i="5"/>
  <c r="D215" i="5" s="1"/>
  <c r="D216" i="5" s="1"/>
  <c r="Q101" i="5"/>
  <c r="Q803" i="5"/>
  <c r="Q388" i="5"/>
  <c r="Q81" i="5"/>
  <c r="Q77" i="5"/>
  <c r="Q73" i="5"/>
  <c r="R863" i="5"/>
  <c r="R380" i="5"/>
  <c r="R171" i="5"/>
  <c r="R1067" i="5"/>
  <c r="R240" i="5"/>
  <c r="Q941" i="5"/>
  <c r="Q1094" i="5"/>
  <c r="R1109" i="5"/>
  <c r="R275" i="5"/>
  <c r="R267" i="5"/>
  <c r="R979" i="5"/>
  <c r="R257" i="5"/>
  <c r="R1570" i="5"/>
  <c r="R1533" i="5"/>
  <c r="R1566" i="5"/>
  <c r="R1562" i="5"/>
  <c r="R676" i="5"/>
  <c r="R549" i="5"/>
  <c r="R552" i="5"/>
  <c r="Q291" i="5"/>
  <c r="Q1051" i="5"/>
  <c r="Q332" i="5"/>
  <c r="D335" i="5" s="1"/>
  <c r="D336" i="5" s="1"/>
  <c r="Q9" i="5"/>
  <c r="Q488" i="5"/>
  <c r="D491" i="5" s="1"/>
  <c r="D492" i="5" s="1"/>
  <c r="Q1046" i="5"/>
  <c r="Q933" i="5"/>
  <c r="D935" i="5" s="1"/>
  <c r="Q868" i="5"/>
  <c r="Q1183" i="5"/>
  <c r="Q755" i="5"/>
  <c r="Q364" i="5"/>
  <c r="D368" i="5" s="1"/>
  <c r="D367" i="5" s="1"/>
  <c r="D365" i="5" s="1"/>
  <c r="Q46" i="5"/>
  <c r="Q419" i="5"/>
  <c r="Q416" i="5"/>
  <c r="Q1133" i="5"/>
  <c r="Q457" i="5"/>
  <c r="D460" i="5" s="1"/>
  <c r="D461" i="5" s="1"/>
  <c r="Q1171" i="5"/>
  <c r="Q1272" i="5"/>
  <c r="Q392" i="5"/>
  <c r="D395" i="5" s="1"/>
  <c r="D396" i="5" s="1"/>
  <c r="Q249" i="5"/>
  <c r="Q764" i="5"/>
  <c r="Q1452" i="5"/>
  <c r="Q638" i="5"/>
  <c r="Q55" i="5"/>
  <c r="R1225" i="5"/>
  <c r="R1481" i="5"/>
  <c r="R774" i="5"/>
  <c r="R1208" i="5"/>
  <c r="R1235" i="5"/>
  <c r="R1220" i="5"/>
  <c r="R1230" i="5"/>
  <c r="R1215" i="5"/>
  <c r="R1240" i="5"/>
  <c r="R66" i="5"/>
  <c r="D687" i="5"/>
  <c r="D688" i="5"/>
  <c r="Q1109" i="5"/>
  <c r="D1111" i="5" s="1"/>
  <c r="Q275" i="5"/>
  <c r="Q267" i="5"/>
  <c r="R1060" i="5"/>
  <c r="R253" i="5"/>
  <c r="R1527" i="5"/>
  <c r="R1511" i="5"/>
  <c r="R1521" i="5"/>
  <c r="R1507" i="5"/>
  <c r="R1515" i="5"/>
  <c r="R1503" i="5"/>
  <c r="R227" i="5"/>
  <c r="R1051" i="5"/>
  <c r="R291" i="5"/>
  <c r="R364" i="5"/>
  <c r="R755" i="5"/>
  <c r="R1183" i="5"/>
  <c r="R46" i="5"/>
  <c r="R1133" i="5"/>
  <c r="R457" i="5"/>
  <c r="R1020" i="5"/>
  <c r="R514" i="5"/>
  <c r="R1014" i="5"/>
  <c r="R642" i="5"/>
  <c r="R1403" i="5"/>
  <c r="R726" i="5"/>
  <c r="R1332" i="5"/>
  <c r="R1336" i="5"/>
  <c r="Q1240" i="5"/>
  <c r="Q1225" i="5"/>
  <c r="Q1481" i="5"/>
  <c r="Q774" i="5"/>
  <c r="Q1208" i="5"/>
  <c r="Q1235" i="5"/>
  <c r="Q1220" i="5"/>
  <c r="Q1230" i="5"/>
  <c r="Q1215" i="5"/>
  <c r="Q66" i="5"/>
  <c r="R1030" i="5"/>
  <c r="R1001" i="5"/>
  <c r="R1193" i="5"/>
  <c r="R1284" i="5"/>
  <c r="R1278" i="5"/>
  <c r="R590" i="5"/>
  <c r="R585" i="5"/>
  <c r="R1011" i="5"/>
  <c r="R1550" i="5"/>
  <c r="Q1317" i="5"/>
  <c r="Q1136" i="5"/>
  <c r="Q654" i="5"/>
  <c r="D656" i="5" s="1"/>
  <c r="Q566" i="5"/>
  <c r="Q262" i="5"/>
  <c r="R719" i="5"/>
  <c r="R213" i="5"/>
  <c r="R803" i="5"/>
  <c r="R388" i="5"/>
  <c r="R101" i="5"/>
  <c r="R1139" i="5"/>
  <c r="R784" i="5"/>
  <c r="R81" i="5"/>
  <c r="R73" i="5"/>
  <c r="R77" i="5"/>
  <c r="Q925" i="5"/>
  <c r="Q571" i="5"/>
  <c r="Q231" i="5"/>
  <c r="Q673" i="5"/>
  <c r="R1038" i="5"/>
  <c r="R1034" i="5"/>
  <c r="R348" i="5"/>
  <c r="Q348" i="5"/>
  <c r="D351" i="5" s="1"/>
  <c r="D352" i="5" s="1"/>
  <c r="Q1038" i="5"/>
  <c r="Q1034" i="5"/>
  <c r="Q1198" i="5"/>
  <c r="Q400" i="5"/>
  <c r="Q1266" i="5"/>
  <c r="Q1175" i="5"/>
  <c r="Q1152" i="5"/>
  <c r="Q1443" i="5"/>
  <c r="Q1436" i="5"/>
  <c r="Q809" i="5"/>
  <c r="D814" i="5" s="1"/>
  <c r="Q117" i="5"/>
  <c r="R1254" i="5"/>
  <c r="R1179" i="5"/>
  <c r="Q1030" i="5"/>
  <c r="Q1001" i="5"/>
  <c r="Q806" i="5"/>
  <c r="Q887" i="5"/>
  <c r="Q1161" i="5"/>
  <c r="Q602" i="5"/>
  <c r="Q107" i="5"/>
  <c r="Q104" i="5"/>
  <c r="Q1468" i="5"/>
  <c r="Q198" i="5"/>
  <c r="D200" i="5" s="1"/>
  <c r="D201" i="5" s="1"/>
  <c r="R1288" i="5"/>
  <c r="R505" i="5"/>
  <c r="R279" i="5"/>
  <c r="Q97" i="5"/>
  <c r="Q372" i="5"/>
  <c r="D375" i="5" s="1"/>
  <c r="D376" i="5" s="1"/>
  <c r="Q799" i="5"/>
  <c r="R1198" i="5"/>
  <c r="R400" i="5"/>
  <c r="R535" i="5"/>
  <c r="R739" i="5"/>
  <c r="R1201" i="5"/>
  <c r="R27" i="5"/>
  <c r="R21" i="5"/>
  <c r="Q751" i="5"/>
  <c r="Q471" i="5"/>
  <c r="Q562" i="5"/>
  <c r="Q43" i="5"/>
  <c r="R925" i="5"/>
  <c r="R571" i="5"/>
  <c r="R231" i="5"/>
  <c r="R1130" i="5"/>
  <c r="R1123" i="5"/>
  <c r="Q1054" i="5"/>
  <c r="Q1026" i="5"/>
  <c r="Q1167" i="5"/>
  <c r="Q1260" i="5"/>
  <c r="R690" i="5"/>
  <c r="R1604" i="5"/>
  <c r="R1610" i="5"/>
  <c r="R1493" i="5"/>
  <c r="R1487" i="5"/>
  <c r="R1500" i="5"/>
  <c r="Q1558" i="5"/>
  <c r="Q761" i="5"/>
  <c r="Q651" i="5"/>
  <c r="Q52" i="5"/>
  <c r="Q514" i="5"/>
  <c r="Q1020" i="5"/>
  <c r="R1007" i="5"/>
  <c r="R465" i="5"/>
  <c r="Q317" i="5"/>
  <c r="Q873" i="5"/>
  <c r="Q450" i="5"/>
  <c r="Q439" i="5"/>
  <c r="Q535" i="5"/>
  <c r="D538" i="5" s="1"/>
  <c r="Q1201" i="5"/>
  <c r="Q739" i="5"/>
  <c r="Q27" i="5"/>
  <c r="Q21" i="5"/>
  <c r="R1147" i="5"/>
  <c r="R1074" i="5"/>
  <c r="R1083" i="5"/>
  <c r="R832" i="5"/>
  <c r="R139" i="5"/>
  <c r="R825" i="5"/>
  <c r="R133" i="5"/>
  <c r="R839" i="5"/>
  <c r="R145" i="5"/>
  <c r="R818" i="5"/>
  <c r="R595" i="5"/>
  <c r="R126" i="5"/>
  <c r="R654" i="5"/>
  <c r="R566" i="5"/>
  <c r="R262" i="5"/>
  <c r="Q1254" i="5"/>
  <c r="D1256" i="5" s="1"/>
  <c r="D1257" i="5" s="1"/>
  <c r="D1259" i="5" s="1"/>
  <c r="D1271" i="5" s="1"/>
  <c r="Q1179" i="5"/>
  <c r="R1574" i="5"/>
  <c r="R1142" i="5"/>
  <c r="R1580" i="5"/>
  <c r="R622" i="5"/>
  <c r="R614" i="5"/>
  <c r="R611" i="5"/>
  <c r="R618" i="5"/>
  <c r="R608" i="5"/>
  <c r="Q696" i="5"/>
  <c r="Q680" i="5"/>
  <c r="Q522" i="5"/>
  <c r="Q690" i="5"/>
  <c r="Q1610" i="5"/>
  <c r="Q1493" i="5"/>
  <c r="Q1604" i="5"/>
  <c r="Q1487" i="5"/>
  <c r="Q1500" i="5"/>
  <c r="Q1130" i="5"/>
  <c r="Q1123" i="5"/>
  <c r="Q965" i="5"/>
  <c r="Q768" i="5"/>
  <c r="Q957" i="5"/>
  <c r="Q478" i="5"/>
  <c r="Q60" i="5"/>
  <c r="Q1460" i="5"/>
  <c r="Q245" i="5"/>
  <c r="N119" i="15"/>
  <c r="G121" i="15" s="1"/>
  <c r="Q995" i="5"/>
  <c r="Q987" i="5"/>
  <c r="Q271" i="5"/>
  <c r="Q735" i="5"/>
  <c r="Q710" i="5"/>
  <c r="D715" i="5" s="1"/>
  <c r="Q498" i="5"/>
  <c r="Q14" i="5"/>
  <c r="Q853" i="5"/>
  <c r="Q161" i="5"/>
  <c r="Q166" i="5"/>
  <c r="Q848" i="5"/>
  <c r="Q858" i="5"/>
  <c r="Q206" i="5"/>
  <c r="D208" i="5" s="1"/>
  <c r="D209" i="5" s="1"/>
  <c r="Q670" i="5"/>
  <c r="R1307" i="5"/>
  <c r="R310" i="5"/>
  <c r="R286" i="5"/>
  <c r="R392" i="5"/>
  <c r="R249" i="5"/>
  <c r="R9" i="5"/>
  <c r="R488" i="5"/>
  <c r="R1046" i="5"/>
  <c r="R735" i="5"/>
  <c r="R710" i="5"/>
  <c r="R498" i="5"/>
  <c r="R14" i="5"/>
  <c r="R891" i="5"/>
  <c r="R1042" i="5"/>
  <c r="R1299" i="5"/>
  <c r="R1324" i="5"/>
  <c r="R1584" i="5"/>
  <c r="R1408" i="5"/>
  <c r="R282" i="5"/>
  <c r="R1171" i="5"/>
  <c r="R1272" i="5"/>
  <c r="O119" i="15"/>
  <c r="R995" i="5"/>
  <c r="R987" i="5"/>
  <c r="R271" i="5"/>
  <c r="O43" i="15"/>
  <c r="N43" i="15"/>
  <c r="G46" i="15" s="1"/>
  <c r="G47" i="15" s="1"/>
  <c r="G43" i="15" s="1"/>
  <c r="N88" i="15"/>
  <c r="G90" i="15" s="1"/>
  <c r="N100" i="15"/>
  <c r="N95" i="15"/>
  <c r="L97" i="15"/>
  <c r="G102" i="15"/>
  <c r="L102" i="15" s="1"/>
  <c r="O88" i="15"/>
  <c r="O95" i="15"/>
  <c r="O100" i="15"/>
  <c r="A81" i="15"/>
  <c r="A84" i="15" s="1"/>
  <c r="D704" i="5"/>
  <c r="D705" i="5" s="1"/>
  <c r="N70" i="15"/>
  <c r="N17" i="15"/>
  <c r="G19" i="15" s="1"/>
  <c r="O70" i="15"/>
  <c r="O17" i="15"/>
  <c r="R191" i="5"/>
  <c r="Q191" i="5"/>
  <c r="Q111" i="5"/>
  <c r="D114" i="5" s="1"/>
  <c r="D115" i="5" s="1"/>
  <c r="R111" i="5"/>
  <c r="D299" i="5"/>
  <c r="Q152" i="5"/>
  <c r="R152" i="5"/>
  <c r="J104" i="9"/>
  <c r="K104" i="9"/>
  <c r="D360" i="5" l="1"/>
  <c r="D359" i="5" s="1"/>
  <c r="D357" i="5" s="1"/>
  <c r="D320" i="5"/>
  <c r="D321" i="5" s="1"/>
  <c r="D684" i="5"/>
  <c r="D883" i="5"/>
  <c r="D1079" i="5"/>
  <c r="D1082" i="5" s="1"/>
  <c r="D894" i="5"/>
  <c r="D974" i="5"/>
  <c r="D978" i="5" s="1"/>
  <c r="D936" i="5"/>
  <c r="D940" i="5" s="1"/>
  <c r="D403" i="5"/>
  <c r="D404" i="5" s="1"/>
  <c r="D644" i="5"/>
  <c r="D300" i="5"/>
  <c r="D296" i="5" s="1"/>
  <c r="D1112" i="5"/>
  <c r="D1116" i="5" s="1"/>
  <c r="G233" i="5"/>
  <c r="G241" i="5" s="1"/>
  <c r="D1063" i="5"/>
  <c r="D1062" i="5"/>
  <c r="D307" i="5"/>
  <c r="D722" i="5"/>
  <c r="D719" i="5" s="1"/>
  <c r="D112" i="5"/>
  <c r="D143" i="5"/>
  <c r="I50" i="5"/>
  <c r="I63" i="5"/>
  <c r="I64" i="5" s="1"/>
  <c r="G138" i="5"/>
  <c r="G143" i="5"/>
  <c r="D594" i="5"/>
  <c r="D591" i="5" s="1"/>
  <c r="D586" i="5" s="1"/>
  <c r="D579" i="5" s="1"/>
  <c r="D567" i="5" s="1"/>
  <c r="D556" i="5" s="1"/>
  <c r="D544" i="5" s="1"/>
  <c r="G223" i="5"/>
  <c r="G225" i="5" s="1"/>
  <c r="G523" i="5"/>
  <c r="D1497" i="5"/>
  <c r="D657" i="5"/>
  <c r="D384" i="5"/>
  <c r="D469" i="5"/>
  <c r="D466" i="5" s="1"/>
  <c r="D1530" i="5"/>
  <c r="G122" i="15"/>
  <c r="G119" i="15" s="1"/>
  <c r="A130" i="15" s="1"/>
  <c r="D815" i="5"/>
  <c r="D830" i="5" s="1"/>
  <c r="D829" i="5" s="1"/>
  <c r="D831" i="5" s="1"/>
  <c r="A103" i="15"/>
  <c r="G95" i="15"/>
  <c r="G100" i="15"/>
  <c r="G91" i="15"/>
  <c r="G88" i="15" s="1"/>
  <c r="D539" i="5"/>
  <c r="D426" i="5"/>
  <c r="G20" i="15"/>
  <c r="D518" i="5"/>
  <c r="D716" i="5"/>
  <c r="D711" i="5" s="1"/>
  <c r="D665" i="5"/>
  <c r="D640" i="5" s="1"/>
  <c r="D510" i="5"/>
  <c r="D506" i="5" s="1"/>
  <c r="D62" i="5"/>
  <c r="D64" i="5"/>
  <c r="D59" i="5"/>
  <c r="G59" i="5"/>
  <c r="G85" i="5" s="1"/>
  <c r="G53" i="5"/>
  <c r="G54" i="5" s="1"/>
  <c r="G65" i="5" s="1"/>
  <c r="G72" i="5" s="1"/>
  <c r="G76" i="5" s="1"/>
  <c r="G80" i="5" s="1"/>
  <c r="G88" i="5" s="1"/>
  <c r="G96" i="5" s="1"/>
  <c r="G100" i="5" s="1"/>
  <c r="G103" i="5" s="1"/>
  <c r="G106" i="5" s="1"/>
  <c r="D13" i="5"/>
  <c r="D1496" i="5" l="1"/>
  <c r="D1499" i="5" s="1"/>
  <c r="D1502" i="5" s="1"/>
  <c r="D1510" i="5" s="1"/>
  <c r="D663" i="5"/>
  <c r="D306" i="5"/>
  <c r="D304" i="5" s="1"/>
  <c r="E280" i="5"/>
  <c r="D1223" i="5"/>
  <c r="D1224" i="5" s="1"/>
  <c r="D1196" i="5"/>
  <c r="D1197" i="5" s="1"/>
  <c r="I759" i="5"/>
  <c r="I224" i="5" s="1"/>
  <c r="I247" i="5" s="1"/>
  <c r="I251" i="5" s="1"/>
  <c r="I255" i="5" s="1"/>
  <c r="D1066" i="5"/>
  <c r="G243" i="5"/>
  <c r="G250" i="5" s="1"/>
  <c r="G263" i="5"/>
  <c r="G242" i="5"/>
  <c r="G390" i="5" s="1"/>
  <c r="G503" i="5" s="1"/>
  <c r="G536" i="5"/>
  <c r="G283" i="5"/>
  <c r="G144" i="5"/>
  <c r="G149" i="5"/>
  <c r="D149" i="5"/>
  <c r="D160" i="5" s="1"/>
  <c r="D26" i="5"/>
  <c r="D536" i="5"/>
  <c r="D523" i="5" s="1"/>
  <c r="D515" i="5" s="1"/>
  <c r="D496" i="5" s="1"/>
  <c r="D489" i="5" s="1"/>
  <c r="D1520" i="5"/>
  <c r="G22" i="15"/>
  <c r="A11" i="15" s="1"/>
  <c r="A13" i="15" s="1"/>
  <c r="A28" i="15"/>
  <c r="D1099" i="5" l="1"/>
  <c r="D32" i="5"/>
  <c r="D51" i="5" s="1"/>
  <c r="D54" i="5" s="1"/>
  <c r="D45" i="5"/>
  <c r="G150" i="5"/>
  <c r="G157" i="5"/>
  <c r="G158" i="5" s="1"/>
  <c r="G159" i="5" s="1"/>
  <c r="G287" i="5"/>
  <c r="G288" i="5" s="1"/>
  <c r="G544" i="5"/>
  <c r="D1526" i="5"/>
  <c r="G17" i="15"/>
  <c r="G550" i="5" l="1"/>
  <c r="G553" i="5" s="1"/>
  <c r="G545" i="5"/>
  <c r="G236" i="5"/>
  <c r="G235" i="5"/>
  <c r="G160" i="5"/>
  <c r="G163" i="5"/>
  <c r="D1532" i="5"/>
  <c r="D1536" i="5" s="1"/>
  <c r="G260" i="5"/>
  <c r="G272" i="5" s="1"/>
  <c r="D65" i="5"/>
  <c r="G864" i="5" l="1"/>
  <c r="G1635" i="5" s="1"/>
  <c r="D76" i="5"/>
  <c r="G164" i="5"/>
  <c r="G165" i="5" s="1"/>
  <c r="G168" i="5"/>
  <c r="D458" i="5"/>
  <c r="D423" i="5" s="1"/>
  <c r="D401" i="5" s="1"/>
  <c r="D393" i="5" s="1"/>
  <c r="D389" i="5" s="1"/>
  <c r="D381" i="5" s="1"/>
  <c r="D373" i="5" s="1"/>
  <c r="G556" i="5" l="1"/>
  <c r="G169" i="5"/>
  <c r="G170" i="5" s="1"/>
  <c r="G174" i="5" s="1"/>
  <c r="G185" i="5"/>
  <c r="G186" i="5" s="1"/>
  <c r="G187" i="5" s="1"/>
  <c r="D80" i="5"/>
  <c r="D1214" i="5"/>
  <c r="D88" i="5" l="1"/>
  <c r="D96" i="5"/>
  <c r="G194" i="5"/>
  <c r="G195" i="5" s="1"/>
  <c r="G196" i="5" s="1"/>
  <c r="G567" i="5"/>
  <c r="G292" i="5"/>
  <c r="G200" i="5" l="1"/>
  <c r="G201" i="5" s="1"/>
  <c r="G202" i="5" s="1"/>
  <c r="D100" i="5"/>
  <c r="G579" i="5" l="1"/>
  <c r="G586" i="5" s="1"/>
  <c r="G208" i="5"/>
  <c r="G209" i="5" s="1"/>
  <c r="G210" i="5" s="1"/>
  <c r="D103" i="5"/>
  <c r="G591" i="5" l="1"/>
  <c r="G587" i="5"/>
  <c r="G588" i="5" s="1"/>
  <c r="G859" i="5" s="1"/>
  <c r="G1646" i="5" s="1"/>
  <c r="D106" i="5"/>
  <c r="G215" i="5"/>
  <c r="G216" i="5" s="1"/>
  <c r="G217" i="5" s="1"/>
  <c r="G596" i="5"/>
  <c r="G612" i="5"/>
  <c r="G229" i="5" l="1"/>
  <c r="G294" i="5"/>
  <c r="G295" i="5" s="1"/>
  <c r="G695" i="5" s="1"/>
  <c r="G615" i="5"/>
  <c r="D125" i="5"/>
  <c r="D132" i="5" s="1"/>
  <c r="D138" i="5"/>
  <c r="G619" i="5" l="1"/>
  <c r="G609" i="5"/>
  <c r="D144" i="5"/>
  <c r="D151" i="5" l="1"/>
  <c r="G626" i="5"/>
  <c r="D165" i="5" l="1"/>
  <c r="D170" i="5" l="1"/>
  <c r="D174" i="5" l="1"/>
  <c r="D182" i="5" l="1"/>
  <c r="D197" i="5" l="1"/>
  <c r="D205" i="5" l="1"/>
  <c r="D212" i="5" l="1"/>
  <c r="D220" i="5" l="1"/>
  <c r="D226" i="5" l="1"/>
  <c r="D230" i="5" l="1"/>
  <c r="D239" i="5" l="1"/>
  <c r="D244" i="5"/>
  <c r="D248" i="5" l="1"/>
  <c r="D252" i="5"/>
  <c r="D256" i="5" l="1"/>
  <c r="D261" i="5" l="1"/>
  <c r="D266" i="5" l="1"/>
  <c r="D270" i="5" l="1"/>
  <c r="D274" i="5" l="1"/>
  <c r="D278" i="5" l="1"/>
  <c r="D281" i="5" l="1"/>
  <c r="D285" i="5" l="1"/>
  <c r="D290" i="5" s="1"/>
  <c r="D760" i="5" s="1"/>
  <c r="D817" i="5" s="1"/>
  <c r="G1119" i="5"/>
  <c r="D885" i="5"/>
  <c r="D886" i="5" s="1"/>
  <c r="D702" i="5"/>
  <c r="D655" i="5" s="1"/>
  <c r="D897" i="5"/>
  <c r="D898" i="5" s="1"/>
  <c r="G1445" i="5" l="1"/>
  <c r="G1446" i="5" s="1"/>
  <c r="G1448" i="5" s="1"/>
  <c r="G1513" i="5"/>
  <c r="G1514" i="5" s="1"/>
  <c r="G610" i="5"/>
  <c r="G613" i="5"/>
  <c r="G617" i="5"/>
  <c r="G621" i="5"/>
  <c r="G623" i="5"/>
  <c r="G672" i="5"/>
  <c r="G733" i="5"/>
  <c r="G734" i="5" s="1"/>
  <c r="G736" i="5"/>
  <c r="G737" i="5" s="1"/>
  <c r="G738" i="5" s="1"/>
  <c r="G908" i="5"/>
  <c r="G909" i="5" s="1"/>
  <c r="G910" i="5" s="1"/>
  <c r="G911" i="5" s="1"/>
  <c r="G912" i="5" s="1"/>
  <c r="G913" i="5" s="1"/>
  <c r="G914" i="5" s="1"/>
  <c r="G915" i="5" s="1"/>
  <c r="G917" i="5"/>
  <c r="G918" i="5" s="1"/>
  <c r="G1013" i="5"/>
  <c r="G1015" i="5"/>
  <c r="G1016" i="5" s="1"/>
  <c r="G1017" i="5" s="1"/>
  <c r="G1018" i="5" s="1"/>
  <c r="G1023" i="5"/>
  <c r="G1024" i="5" s="1"/>
  <c r="G1025" i="5" s="1"/>
  <c r="G1027" i="5"/>
  <c r="G1028" i="5" s="1"/>
  <c r="G1029" i="5" s="1"/>
  <c r="G1031" i="5"/>
  <c r="G1032" i="5" s="1"/>
  <c r="G1033" i="5" s="1"/>
  <c r="G1035" i="5"/>
  <c r="G1036" i="5" s="1"/>
  <c r="G1037" i="5" s="1"/>
  <c r="G1039" i="5"/>
  <c r="G1040" i="5" s="1"/>
  <c r="G1041" i="5" s="1"/>
  <c r="G1043" i="5"/>
  <c r="G1044" i="5" s="1"/>
  <c r="G1045" i="5" s="1"/>
  <c r="G1075" i="5"/>
  <c r="G1076" i="5" s="1"/>
  <c r="G1077" i="5" s="1"/>
  <c r="G1134" i="5"/>
  <c r="G1135" i="5" s="1"/>
  <c r="G1153" i="5"/>
  <c r="G1154" i="5" s="1"/>
  <c r="G1155" i="5" s="1"/>
  <c r="G1156" i="5" s="1"/>
  <c r="G1157" i="5" s="1"/>
  <c r="G1158" i="5" s="1"/>
  <c r="G1159" i="5" s="1"/>
  <c r="G1160" i="5" s="1"/>
  <c r="G1184" i="5"/>
  <c r="G1185" i="5" s="1"/>
  <c r="G1186" i="5" s="1"/>
  <c r="G1187" i="5" s="1"/>
  <c r="G1188" i="5" s="1"/>
  <c r="G1194" i="5"/>
  <c r="G1195" i="5" s="1"/>
  <c r="G1196" i="5" s="1"/>
  <c r="G1197" i="5" s="1"/>
  <c r="G1199" i="5"/>
  <c r="G1200" i="5" s="1"/>
  <c r="G1305" i="5"/>
  <c r="G1306" i="5" s="1"/>
  <c r="G1146" i="5"/>
  <c r="G1253" i="5"/>
  <c r="G1259" i="5"/>
  <c r="G1276" i="5"/>
  <c r="G1279" i="5"/>
  <c r="G1280" i="5" s="1"/>
  <c r="G1285" i="5"/>
  <c r="G1286" i="5" s="1"/>
  <c r="G1287" i="5" s="1"/>
  <c r="G1484" i="5"/>
  <c r="G452" i="5"/>
  <c r="G453" i="5" s="1"/>
  <c r="G500" i="5"/>
  <c r="G524" i="5"/>
  <c r="G525" i="5" s="1"/>
  <c r="G568" i="5"/>
  <c r="G573" i="5"/>
  <c r="G574" i="5" s="1"/>
  <c r="G575" i="5" s="1"/>
  <c r="G576" i="5" s="1"/>
  <c r="G577" i="5" s="1"/>
  <c r="G634" i="5"/>
  <c r="G869" i="5"/>
  <c r="G870" i="5" s="1"/>
  <c r="G871" i="5" s="1"/>
  <c r="G872" i="5" s="1"/>
  <c r="G1047" i="5"/>
  <c r="G1048" i="5" s="1"/>
  <c r="G1049" i="5" s="1"/>
  <c r="G1050" i="5" s="1"/>
  <c r="G1308" i="5"/>
  <c r="G1309" i="5" s="1"/>
  <c r="G1312" i="5"/>
  <c r="G25" i="5"/>
  <c r="G26" i="5" s="1"/>
  <c r="G391" i="5"/>
  <c r="G580" i="5"/>
  <c r="G581" i="5" s="1"/>
  <c r="G597" i="5"/>
  <c r="G598" i="5" s="1"/>
  <c r="G599" i="5" s="1"/>
  <c r="G600" i="5" s="1"/>
  <c r="G601" i="5" s="1"/>
  <c r="G604" i="5"/>
  <c r="G605" i="5" s="1"/>
  <c r="G606" i="5" s="1"/>
  <c r="G607" i="5" s="1"/>
  <c r="G530" i="5"/>
  <c r="G211" i="5"/>
  <c r="G212" i="5" s="1"/>
  <c r="G293" i="5"/>
  <c r="G239" i="5"/>
  <c r="G244" i="5"/>
  <c r="G281" i="5"/>
  <c r="G922" i="5"/>
  <c r="G923" i="5"/>
  <c r="G924" i="5" s="1"/>
  <c r="G1121" i="5"/>
  <c r="G1122" i="5" s="1"/>
  <c r="G1238" i="5"/>
  <c r="G1239" i="5" s="1"/>
  <c r="G1560" i="5"/>
  <c r="G1561" i="5" s="1"/>
  <c r="G1316" i="5"/>
  <c r="G1486" i="5"/>
  <c r="G1502" i="5"/>
  <c r="G1150" i="5"/>
  <c r="G1151" i="5" s="1"/>
  <c r="G1165" i="5"/>
  <c r="G1166" i="5" s="1"/>
  <c r="G1576" i="5"/>
  <c r="G1650" i="5"/>
  <c r="G1651" i="5" s="1"/>
  <c r="G442" i="5"/>
  <c r="G443" i="5" s="1"/>
  <c r="G444" i="5" s="1"/>
  <c r="G445" i="5" s="1"/>
  <c r="G1103" i="5"/>
  <c r="G1143" i="5"/>
  <c r="G1144" i="5" s="1"/>
  <c r="G1314" i="5"/>
  <c r="G1488" i="5"/>
  <c r="G1489" i="5" s="1"/>
  <c r="G1490" i="5" s="1"/>
  <c r="G1491" i="5" s="1"/>
  <c r="G1492" i="5" s="1"/>
  <c r="G1538" i="5"/>
  <c r="G1447" i="5"/>
  <c r="G1477" i="5"/>
  <c r="G1478" i="5" s="1"/>
  <c r="G1479" i="5" s="1"/>
  <c r="G1480" i="5" s="1"/>
  <c r="G1482" i="5"/>
  <c r="G592" i="5"/>
  <c r="G593" i="5" s="1"/>
  <c r="G1405" i="5"/>
  <c r="G1406" i="5" s="1"/>
  <c r="G1407" i="5" s="1"/>
  <c r="G1438" i="5"/>
  <c r="G1437" i="5" s="1"/>
  <c r="G1439" i="5" s="1"/>
  <c r="G1440" i="5" s="1"/>
  <c r="G1441" i="5" s="1"/>
  <c r="G1442" i="5" s="1"/>
  <c r="G1444" i="5"/>
  <c r="G1494" i="5"/>
  <c r="G1504" i="5"/>
  <c r="G1505" i="5" s="1"/>
  <c r="G1506" i="5" s="1"/>
  <c r="G1508" i="5"/>
  <c r="G1509" i="5" s="1"/>
  <c r="G1510" i="5" s="1"/>
  <c r="G1522" i="5"/>
  <c r="G1523" i="5" s="1"/>
  <c r="G1524" i="5" s="1"/>
  <c r="G1525" i="5" s="1"/>
  <c r="G1526" i="5" s="1"/>
  <c r="G1567" i="5"/>
  <c r="G1568" i="5" s="1"/>
  <c r="G1569" i="5" s="1"/>
  <c r="G1594" i="5"/>
  <c r="G1595" i="5" s="1"/>
  <c r="G1233" i="5"/>
  <c r="G1234" i="5" s="1"/>
  <c r="G1622" i="5"/>
  <c r="G1623" i="5" s="1"/>
  <c r="G1578" i="5"/>
  <c r="G740" i="5"/>
  <c r="G741" i="5" s="1"/>
  <c r="G742" i="5" s="1"/>
  <c r="G743" i="5" s="1"/>
  <c r="G744" i="5" s="1"/>
  <c r="G769" i="5"/>
  <c r="G770" i="5" s="1"/>
  <c r="G771" i="5" s="1"/>
  <c r="G772" i="5" s="1"/>
  <c r="G773" i="5" s="1"/>
  <c r="G792" i="5"/>
  <c r="G793" i="5" s="1"/>
  <c r="G794" i="5" s="1"/>
  <c r="G795" i="5" s="1"/>
  <c r="G796" i="5" s="1"/>
  <c r="G797" i="5" s="1"/>
  <c r="G798" i="5" s="1"/>
  <c r="G800" i="5"/>
  <c r="G801" i="5" s="1"/>
  <c r="G802" i="5" s="1"/>
  <c r="G804" i="5"/>
  <c r="G805" i="5" s="1"/>
  <c r="G807" i="5"/>
  <c r="G808" i="5" s="1"/>
  <c r="G785" i="5"/>
  <c r="G786" i="5" s="1"/>
  <c r="G787" i="5" s="1"/>
  <c r="G224" i="5"/>
  <c r="G247" i="5"/>
  <c r="G248" i="5" s="1"/>
  <c r="G251" i="5"/>
  <c r="G252" i="5" s="1"/>
  <c r="G255" i="5"/>
  <c r="G256" i="5" s="1"/>
  <c r="G268" i="5"/>
  <c r="G269" i="5" s="1"/>
  <c r="G270" i="5" s="1"/>
  <c r="G273" i="5"/>
  <c r="G274" i="5" s="1"/>
  <c r="G504" i="5"/>
  <c r="G284" i="5"/>
  <c r="G285" i="5" s="1"/>
  <c r="G289" i="5"/>
  <c r="G290" i="5" s="1"/>
  <c r="G779" i="5"/>
  <c r="G811" i="5"/>
  <c r="G812" i="5" s="1"/>
  <c r="G819" i="5"/>
  <c r="G820" i="5" s="1"/>
  <c r="G821" i="5" s="1"/>
  <c r="G822" i="5" s="1"/>
  <c r="G823" i="5" s="1"/>
  <c r="G824" i="5" s="1"/>
  <c r="G827" i="5"/>
  <c r="G833" i="5"/>
  <c r="G834" i="5" s="1"/>
  <c r="G835" i="5" s="1"/>
  <c r="G836" i="5" s="1"/>
  <c r="G837" i="5" s="1"/>
  <c r="G838" i="5" s="1"/>
  <c r="G840" i="5"/>
  <c r="G841" i="5" s="1"/>
  <c r="G842" i="5" s="1"/>
  <c r="G843" i="5" s="1"/>
  <c r="G844" i="5" s="1"/>
  <c r="G845" i="5" s="1"/>
  <c r="G846" i="5" s="1"/>
  <c r="G847" i="5" s="1"/>
  <c r="G1292" i="5"/>
  <c r="G1295" i="5" s="1"/>
  <c r="G1293" i="5" s="1"/>
  <c r="G1296" i="5" s="1"/>
  <c r="G1294" i="5" s="1"/>
  <c r="G1297" i="5" s="1"/>
  <c r="G1298" i="5" s="1"/>
  <c r="G1318" i="5"/>
  <c r="G1319" i="5" s="1"/>
  <c r="G1320" i="5" s="1"/>
  <c r="G1321" i="5" s="1"/>
  <c r="G1322" i="5" s="1"/>
  <c r="G1323" i="5" s="1"/>
  <c r="G1162" i="5"/>
  <c r="G1163" i="5" s="1"/>
  <c r="G1115" i="5"/>
  <c r="G1116" i="5" s="1"/>
  <c r="G1228" i="5"/>
  <c r="G1229" i="5" s="1"/>
  <c r="G1401" i="5"/>
  <c r="G1402" i="5" s="1"/>
  <c r="G1430" i="5"/>
  <c r="G1431" i="5" s="1"/>
  <c r="G1432" i="5" s="1"/>
  <c r="G1433" i="5" s="1"/>
  <c r="G1434" i="5" s="1"/>
  <c r="G1435" i="5" s="1"/>
  <c r="G1313" i="5"/>
  <c r="G234" i="5"/>
  <c r="G264" i="5"/>
  <c r="G265" i="5" s="1"/>
  <c r="G266" i="5" s="1"/>
  <c r="G197" i="5"/>
  <c r="G226" i="5"/>
  <c r="G230" i="5"/>
  <c r="I1451" i="5"/>
  <c r="G177" i="5"/>
  <c r="G178" i="5" s="1"/>
  <c r="G179" i="5" s="1"/>
  <c r="G180" i="5" s="1"/>
  <c r="G181" i="5" s="1"/>
  <c r="G182" i="5" s="1"/>
  <c r="G765" i="5"/>
  <c r="G766" i="5" s="1"/>
  <c r="G767" i="5" s="1"/>
  <c r="G789" i="5"/>
  <c r="G790" i="5" s="1"/>
  <c r="G1654" i="5"/>
  <c r="G1114" i="5"/>
  <c r="G1223" i="5"/>
  <c r="G1224" i="5" s="1"/>
  <c r="G1605" i="5"/>
  <c r="G1606" i="5" s="1"/>
  <c r="G1607" i="5" s="1"/>
  <c r="G1608" i="5" s="1"/>
  <c r="G1609" i="5" s="1"/>
  <c r="G1611" i="5"/>
  <c r="G1612" i="5" s="1"/>
  <c r="G1613" i="5" s="1"/>
  <c r="G1614" i="5" s="1"/>
  <c r="G1615" i="5" s="1"/>
  <c r="G1616" i="5" s="1"/>
  <c r="G1097" i="5"/>
  <c r="G276" i="5"/>
  <c r="G277" i="5" s="1"/>
  <c r="G278" i="5" s="1"/>
  <c r="G297" i="5"/>
  <c r="G299" i="5" s="1"/>
  <c r="G301" i="5" s="1"/>
  <c r="G303" i="5" s="1"/>
  <c r="G432" i="5"/>
  <c r="G433" i="5" s="1"/>
  <c r="G434" i="5" s="1"/>
  <c r="G435" i="5" s="1"/>
  <c r="G436" i="5" s="1"/>
  <c r="G437" i="5" s="1"/>
  <c r="G438" i="5" s="1"/>
  <c r="G1300" i="5"/>
  <c r="G1301" i="5" s="1"/>
  <c r="G1302" i="5" s="1"/>
  <c r="G1303" i="5" s="1"/>
  <c r="G620" i="5"/>
  <c r="G810" i="5"/>
  <c r="G762" i="5"/>
  <c r="G763" i="5" s="1"/>
  <c r="G1415" i="5"/>
  <c r="G1416" i="5" s="1"/>
  <c r="G1417" i="5" s="1"/>
  <c r="G1418" i="5" s="1"/>
  <c r="G1419" i="5" s="1"/>
  <c r="G1636" i="5"/>
  <c r="G1637" i="5" s="1"/>
  <c r="G1638" i="5" s="1"/>
  <c r="G865" i="5"/>
  <c r="G866" i="5" s="1"/>
  <c r="G616" i="5"/>
  <c r="G448" i="5"/>
  <c r="G1140" i="5"/>
  <c r="G1141" i="5" s="1"/>
  <c r="G1424" i="5"/>
  <c r="G1425" i="5" s="1"/>
  <c r="G1426" i="5" s="1"/>
  <c r="G1427" i="5" s="1"/>
  <c r="G1428" i="5" s="1"/>
  <c r="G1218" i="5"/>
  <c r="G1219" i="5" s="1"/>
  <c r="G1631" i="5"/>
  <c r="G1632" i="5" s="1"/>
  <c r="G720" i="5"/>
  <c r="G721" i="5" s="1"/>
  <c r="G722" i="5" s="1"/>
  <c r="G723" i="5" s="1"/>
  <c r="G724" i="5" s="1"/>
  <c r="G725" i="5" s="1"/>
  <c r="G1275" i="5"/>
  <c r="G1274" i="5"/>
  <c r="G497" i="5"/>
  <c r="G1333" i="5"/>
  <c r="G447" i="5"/>
  <c r="G446" i="5"/>
  <c r="G1483" i="5"/>
  <c r="G1411" i="5"/>
  <c r="G1148" i="5"/>
  <c r="G1619" i="5"/>
  <c r="G1485" i="5"/>
  <c r="G1577" i="5"/>
  <c r="D1428" i="5"/>
  <c r="G1640" i="5"/>
  <c r="G1641" i="5" s="1"/>
  <c r="G1145" i="5"/>
  <c r="G1643" i="5"/>
  <c r="G1644" i="5" s="1"/>
  <c r="G1647" i="5"/>
  <c r="G1648" i="5" s="1"/>
  <c r="G1098" i="5"/>
  <c r="G1104" i="5" s="1"/>
  <c r="G1107" i="5"/>
  <c r="G1108" i="5" s="1"/>
  <c r="G1084" i="5"/>
  <c r="G1085" i="5" s="1"/>
  <c r="G1086" i="5" s="1"/>
  <c r="G1087" i="5" s="1"/>
  <c r="G1088" i="5" s="1"/>
  <c r="G1089" i="5" s="1"/>
  <c r="G1092" i="5"/>
  <c r="G1093" i="5" s="1"/>
  <c r="G919" i="5"/>
  <c r="G1232" i="5"/>
  <c r="G1113" i="5"/>
  <c r="G1112" i="5"/>
  <c r="G920" i="5"/>
  <c r="G813" i="5"/>
  <c r="G814" i="5" s="1"/>
  <c r="G815" i="5" s="1"/>
  <c r="G816" i="5" s="1"/>
  <c r="G817" i="5" s="1"/>
  <c r="G849" i="5"/>
  <c r="G850" i="5" s="1"/>
  <c r="G851" i="5" s="1"/>
  <c r="G852" i="5" s="1"/>
  <c r="G854" i="5"/>
  <c r="G855" i="5" s="1"/>
  <c r="G856" i="5" s="1"/>
  <c r="G857" i="5" s="1"/>
  <c r="G874" i="5"/>
  <c r="G875" i="5" s="1"/>
  <c r="G876" i="5" s="1"/>
  <c r="G877" i="5" s="1"/>
  <c r="G878" i="5" s="1"/>
  <c r="G879" i="5" s="1"/>
  <c r="G881" i="5"/>
  <c r="G882" i="5" s="1"/>
  <c r="G883" i="5" s="1"/>
  <c r="G884" i="5" s="1"/>
  <c r="G885" i="5" s="1"/>
  <c r="G886" i="5" s="1"/>
  <c r="G889" i="5"/>
  <c r="G890" i="5" s="1"/>
  <c r="G892" i="5"/>
  <c r="G893" i="5" s="1"/>
  <c r="G894" i="5" s="1"/>
  <c r="G895" i="5" s="1"/>
  <c r="G896" i="5" s="1"/>
  <c r="G900" i="5"/>
  <c r="G926" i="5"/>
  <c r="G927" i="5" s="1"/>
  <c r="G928" i="5" s="1"/>
  <c r="G929" i="5" s="1"/>
  <c r="G930" i="5" s="1"/>
  <c r="G931" i="5" s="1"/>
  <c r="G932" i="5" s="1"/>
  <c r="G934" i="5"/>
  <c r="G935" i="5" s="1"/>
  <c r="G936" i="5" s="1"/>
  <c r="G937" i="5" s="1"/>
  <c r="G938" i="5" s="1"/>
  <c r="G939" i="5" s="1"/>
  <c r="G940" i="5" s="1"/>
  <c r="G942" i="5"/>
  <c r="G943" i="5" s="1"/>
  <c r="G944" i="5" s="1"/>
  <c r="G945" i="5" s="1"/>
  <c r="G946" i="5" s="1"/>
  <c r="G947" i="5" s="1"/>
  <c r="G948" i="5" s="1"/>
  <c r="G950" i="5"/>
  <c r="G951" i="5" s="1"/>
  <c r="G952" i="5" s="1"/>
  <c r="G953" i="5" s="1"/>
  <c r="G954" i="5" s="1"/>
  <c r="G955" i="5" s="1"/>
  <c r="G956" i="5" s="1"/>
  <c r="G958" i="5"/>
  <c r="G959" i="5" s="1"/>
  <c r="G960" i="5" s="1"/>
  <c r="G961" i="5" s="1"/>
  <c r="G962" i="5" s="1"/>
  <c r="G963" i="5" s="1"/>
  <c r="G964" i="5" s="1"/>
  <c r="G966" i="5"/>
  <c r="G967" i="5" s="1"/>
  <c r="G968" i="5" s="1"/>
  <c r="G969" i="5" s="1"/>
  <c r="G970" i="5" s="1"/>
  <c r="G972" i="5"/>
  <c r="G973" i="5" s="1"/>
  <c r="G974" i="5" s="1"/>
  <c r="G975" i="5" s="1"/>
  <c r="G976" i="5" s="1"/>
  <c r="G977" i="5" s="1"/>
  <c r="G978" i="5" s="1"/>
  <c r="G980" i="5"/>
  <c r="G981" i="5" s="1"/>
  <c r="G982" i="5" s="1"/>
  <c r="G983" i="5" s="1"/>
  <c r="G984" i="5" s="1"/>
  <c r="G985" i="5" s="1"/>
  <c r="G986" i="5" s="1"/>
  <c r="G988" i="5"/>
  <c r="G989" i="5" s="1"/>
  <c r="G990" i="5" s="1"/>
  <c r="G991" i="5" s="1"/>
  <c r="G992" i="5" s="1"/>
  <c r="G993" i="5" s="1"/>
  <c r="G994" i="5" s="1"/>
  <c r="G996" i="5"/>
  <c r="G997" i="5" s="1"/>
  <c r="G998" i="5" s="1"/>
  <c r="G999" i="5" s="1"/>
  <c r="G1000" i="5" s="1"/>
  <c r="G1002" i="5"/>
  <c r="G1003" i="5" s="1"/>
  <c r="G1004" i="5" s="1"/>
  <c r="G1005" i="5" s="1"/>
  <c r="G1006" i="5" s="1"/>
  <c r="G1008" i="5"/>
  <c r="G1009" i="5" s="1"/>
  <c r="G1010" i="5" s="1"/>
  <c r="G1052" i="5"/>
  <c r="G1053" i="5" s="1"/>
  <c r="G1055" i="5"/>
  <c r="G1056" i="5" s="1"/>
  <c r="G1057" i="5" s="1"/>
  <c r="G1058" i="5" s="1"/>
  <c r="G1059" i="5" s="1"/>
  <c r="G1061" i="5"/>
  <c r="G1062" i="5" s="1"/>
  <c r="G1063" i="5" s="1"/>
  <c r="G1064" i="5" s="1"/>
  <c r="G1066" i="5" s="1"/>
  <c r="G1068" i="5"/>
  <c r="G1069" i="5" s="1"/>
  <c r="G1070" i="5" s="1"/>
  <c r="G1071" i="5" s="1"/>
  <c r="G1072" i="5" s="1"/>
  <c r="G1073" i="5" s="1"/>
  <c r="G1105" i="5"/>
  <c r="G1110" i="5"/>
  <c r="G1118" i="5"/>
  <c r="G1124" i="5"/>
  <c r="G1125" i="5" s="1"/>
  <c r="G1126" i="5" s="1"/>
  <c r="G1127" i="5" s="1"/>
  <c r="G1128" i="5" s="1"/>
  <c r="G1129" i="5" s="1"/>
  <c r="G1131" i="5"/>
  <c r="G1132" i="5" s="1"/>
  <c r="G1137" i="5"/>
  <c r="G1138" i="5" s="1"/>
  <c r="G1168" i="5"/>
  <c r="G1169" i="5" s="1"/>
  <c r="G1170" i="5" s="1"/>
  <c r="G1172" i="5"/>
  <c r="G1180" i="5"/>
  <c r="G1181" i="5" s="1"/>
  <c r="G1182" i="5" s="1"/>
  <c r="G1190" i="5"/>
  <c r="G1202" i="5"/>
  <c r="G1203" i="5" s="1"/>
  <c r="G1204" i="5" s="1"/>
  <c r="G1205" i="5" s="1"/>
  <c r="G1206" i="5" s="1"/>
  <c r="G1207" i="5" s="1"/>
  <c r="G1173" i="5"/>
  <c r="G1174" i="5" s="1"/>
  <c r="G1217" i="5"/>
  <c r="G1597" i="5"/>
  <c r="G1598" i="5" s="1"/>
  <c r="G1599" i="5" s="1"/>
  <c r="G1600" i="5" s="1"/>
  <c r="G1601" i="5" s="1"/>
  <c r="G1602" i="5" s="1"/>
  <c r="G1603" i="5" s="1"/>
  <c r="G1585" i="5"/>
  <c r="G1586" i="5" s="1"/>
  <c r="G1587" i="5" s="1"/>
  <c r="G1588" i="5" s="1"/>
  <c r="G1589" i="5" s="1"/>
  <c r="G1590" i="5" s="1"/>
  <c r="G1591" i="5" s="1"/>
  <c r="G1581" i="5"/>
  <c r="G1582" i="5" s="1"/>
  <c r="G1583" i="5" s="1"/>
  <c r="G1563" i="5"/>
  <c r="G1564" i="5" s="1"/>
  <c r="G1565" i="5" s="1"/>
  <c r="G1534" i="5"/>
  <c r="G1535" i="5" s="1"/>
  <c r="G1536" i="5" s="1"/>
  <c r="G1528" i="5"/>
  <c r="G1529" i="5" s="1"/>
  <c r="G1530" i="5" s="1"/>
  <c r="G1531" i="5" s="1"/>
  <c r="G1532" i="5" s="1"/>
  <c r="G1516" i="5"/>
  <c r="G1517" i="5" s="1"/>
  <c r="G1518" i="5" s="1"/>
  <c r="G1519" i="5" s="1"/>
  <c r="G1520" i="5" s="1"/>
  <c r="G1450" i="5"/>
  <c r="G1451" i="5" s="1"/>
  <c r="G1421" i="5"/>
  <c r="G1422" i="5" s="1"/>
  <c r="G1315" i="5"/>
  <c r="G752" i="5"/>
  <c r="G754" i="5" s="1"/>
  <c r="G1325" i="5"/>
  <c r="G1326" i="5" s="1"/>
  <c r="G1327" i="5" s="1"/>
  <c r="G1328" i="5" s="1"/>
  <c r="G1329" i="5" s="1"/>
  <c r="G1330" i="5" s="1"/>
  <c r="G1331" i="5" s="1"/>
  <c r="G1453" i="5"/>
  <c r="G1454" i="5" s="1"/>
  <c r="G1455" i="5" s="1"/>
  <c r="G1456" i="5" s="1"/>
  <c r="G1457" i="5" s="1"/>
  <c r="G1458" i="5" s="1"/>
  <c r="G1459" i="5" s="1"/>
  <c r="G1461" i="5"/>
  <c r="G1462" i="5" s="1"/>
  <c r="G1463" i="5" s="1"/>
  <c r="G1464" i="5" s="1"/>
  <c r="G1465" i="5" s="1"/>
  <c r="G1466" i="5" s="1"/>
  <c r="G1467" i="5" s="1"/>
  <c r="G1469" i="5"/>
  <c r="G1470" i="5" s="1"/>
  <c r="G1471" i="5" s="1"/>
  <c r="G1472" i="5" s="1"/>
  <c r="G1473" i="5" s="1"/>
  <c r="G1474" i="5" s="1"/>
  <c r="G1475" i="5" s="1"/>
  <c r="G1555" i="5"/>
  <c r="G1556" i="5" s="1"/>
  <c r="G1551" i="5" s="1"/>
  <c r="G1552" i="5" s="1"/>
  <c r="G1553" i="5" s="1"/>
  <c r="G1554" i="5" s="1"/>
  <c r="G1557" i="5" s="1"/>
  <c r="G188" i="5"/>
  <c r="G189" i="5" s="1"/>
  <c r="G190" i="5" s="1"/>
  <c r="G203" i="5"/>
  <c r="G204" i="5" s="1"/>
  <c r="G205" i="5" s="1"/>
  <c r="G218" i="5"/>
  <c r="G219" i="5" s="1"/>
  <c r="G220" i="5" s="1"/>
  <c r="G1210" i="5"/>
  <c r="G1209" i="5"/>
  <c r="G1216" i="5"/>
  <c r="G1226" i="5"/>
  <c r="G1231" i="5"/>
  <c r="G1236" i="5"/>
  <c r="G1241" i="5"/>
  <c r="G1242" i="5" s="1"/>
  <c r="G1243" i="5" s="1"/>
  <c r="G1244" i="5" s="1"/>
  <c r="G1245" i="5" s="1"/>
  <c r="G1246" i="5" s="1"/>
  <c r="G1247" i="5" s="1"/>
  <c r="G1249" i="5"/>
  <c r="G1255" i="5"/>
  <c r="G1261" i="5"/>
  <c r="G1262" i="5" s="1"/>
  <c r="G1263" i="5" s="1"/>
  <c r="G1264" i="5" s="1"/>
  <c r="G1265" i="5" s="1"/>
  <c r="G1267" i="5"/>
  <c r="G1268" i="5" s="1"/>
  <c r="G1269" i="5" s="1"/>
  <c r="G1270" i="5" s="1"/>
  <c r="G1271" i="5" s="1"/>
  <c r="G1273" i="5"/>
  <c r="G1289" i="5"/>
  <c r="G1290" i="5" s="1"/>
  <c r="G644" i="5"/>
  <c r="G652" i="5"/>
  <c r="G653" i="5" s="1"/>
  <c r="G655" i="5"/>
  <c r="G660" i="5" s="1"/>
  <c r="G663" i="5"/>
  <c r="G668" i="5" s="1"/>
  <c r="G665" i="5" s="1"/>
  <c r="G669" i="5" s="1"/>
  <c r="G666" i="5" s="1"/>
  <c r="G667" i="5" s="1"/>
  <c r="G664" i="5" s="1"/>
  <c r="G684" i="5"/>
  <c r="G685" i="5" s="1"/>
  <c r="G711" i="5"/>
  <c r="G712" i="5" s="1"/>
  <c r="G727" i="5"/>
  <c r="G728" i="5" s="1"/>
  <c r="G729" i="5" s="1"/>
  <c r="G730" i="5" s="1"/>
  <c r="G1571" i="5"/>
  <c r="G1572" i="5" s="1"/>
  <c r="G1573" i="5" s="1"/>
  <c r="D1090" i="5"/>
  <c r="D417" i="5"/>
  <c r="D420" i="5"/>
  <c r="D451" i="5"/>
  <c r="D527" i="5"/>
  <c r="D533" i="5"/>
  <c r="D563" i="5"/>
  <c r="D633" i="5"/>
  <c r="D671" i="5"/>
  <c r="D674" i="5"/>
  <c r="D732" i="5"/>
  <c r="D632" i="5"/>
  <c r="G507" i="5"/>
  <c r="G516" i="5"/>
  <c r="G517" i="5" s="1"/>
  <c r="G518" i="5" s="1"/>
  <c r="G519" i="5" s="1"/>
  <c r="G520" i="5" s="1"/>
  <c r="G521" i="5" s="1"/>
  <c r="G305" i="5"/>
  <c r="G307" i="5" s="1"/>
  <c r="G313" i="5"/>
  <c r="G314" i="5" s="1"/>
  <c r="G315" i="5" s="1"/>
  <c r="G316" i="5" s="1"/>
  <c r="G319" i="5"/>
  <c r="G320" i="5" s="1"/>
  <c r="G321" i="5" s="1"/>
  <c r="G322" i="5" s="1"/>
  <c r="G323" i="5" s="1"/>
  <c r="G326" i="5"/>
  <c r="G327" i="5" s="1"/>
  <c r="G328" i="5" s="1"/>
  <c r="G329" i="5" s="1"/>
  <c r="G330" i="5" s="1"/>
  <c r="G331" i="5" s="1"/>
  <c r="G334" i="5"/>
  <c r="G335" i="5" s="1"/>
  <c r="G336" i="5" s="1"/>
  <c r="G337" i="5" s="1"/>
  <c r="G338" i="5" s="1"/>
  <c r="G339" i="5" s="1"/>
  <c r="G342" i="5"/>
  <c r="G343" i="5" s="1"/>
  <c r="G344" i="5" s="1"/>
  <c r="G345" i="5" s="1"/>
  <c r="G346" i="5" s="1"/>
  <c r="G347" i="5" s="1"/>
  <c r="G350" i="5"/>
  <c r="G351" i="5" s="1"/>
  <c r="G352" i="5" s="1"/>
  <c r="G353" i="5" s="1"/>
  <c r="G354" i="5" s="1"/>
  <c r="G355" i="5" s="1"/>
  <c r="G358" i="5"/>
  <c r="G359" i="5" s="1"/>
  <c r="G360" i="5" s="1"/>
  <c r="G361" i="5" s="1"/>
  <c r="G362" i="5" s="1"/>
  <c r="G363" i="5" s="1"/>
  <c r="G366" i="5"/>
  <c r="G367" i="5" s="1"/>
  <c r="G368" i="5" s="1"/>
  <c r="G369" i="5" s="1"/>
  <c r="G370" i="5" s="1"/>
  <c r="G371" i="5" s="1"/>
  <c r="G374" i="5"/>
  <c r="G375" i="5" s="1"/>
  <c r="G376" i="5" s="1"/>
  <c r="G377" i="5" s="1"/>
  <c r="G378" i="5" s="1"/>
  <c r="G379" i="5" s="1"/>
  <c r="G382" i="5"/>
  <c r="G383" i="5" s="1"/>
  <c r="G384" i="5" s="1"/>
  <c r="G385" i="5" s="1"/>
  <c r="G386" i="5" s="1"/>
  <c r="G387" i="5" s="1"/>
  <c r="G394" i="5"/>
  <c r="G395" i="5" s="1"/>
  <c r="G396" i="5" s="1"/>
  <c r="G397" i="5" s="1"/>
  <c r="G398" i="5" s="1"/>
  <c r="G399" i="5" s="1"/>
  <c r="G402" i="5"/>
  <c r="G403" i="5" s="1"/>
  <c r="G404" i="5" s="1"/>
  <c r="G405" i="5" s="1"/>
  <c r="G406" i="5" s="1"/>
  <c r="G407" i="5" s="1"/>
  <c r="G410" i="5"/>
  <c r="G411" i="5" s="1"/>
  <c r="G412" i="5" s="1"/>
  <c r="G413" i="5" s="1"/>
  <c r="G414" i="5" s="1"/>
  <c r="G415" i="5" s="1"/>
  <c r="G418" i="5"/>
  <c r="G424" i="5"/>
  <c r="G425" i="5" s="1"/>
  <c r="G426" i="5" s="1"/>
  <c r="G427" i="5" s="1"/>
  <c r="G428" i="5" s="1"/>
  <c r="G429" i="5" s="1"/>
  <c r="G459" i="5"/>
  <c r="G460" i="5" s="1"/>
  <c r="G461" i="5" s="1"/>
  <c r="G462" i="5" s="1"/>
  <c r="G463" i="5" s="1"/>
  <c r="G464" i="5" s="1"/>
  <c r="G467" i="5"/>
  <c r="G468" i="5" s="1"/>
  <c r="G469" i="5" s="1"/>
  <c r="G470" i="5" s="1"/>
  <c r="G473" i="5"/>
  <c r="G474" i="5" s="1"/>
  <c r="G475" i="5" s="1"/>
  <c r="G476" i="5" s="1"/>
  <c r="G477" i="5" s="1"/>
  <c r="G490" i="5"/>
  <c r="G491" i="5" s="1"/>
  <c r="G492" i="5" s="1"/>
  <c r="G493" i="5" s="1"/>
  <c r="G494" i="5" s="1"/>
  <c r="G529" i="5"/>
  <c r="G537" i="5"/>
  <c r="G538" i="5" s="1"/>
  <c r="G539" i="5" s="1"/>
  <c r="G540" i="5" s="1"/>
  <c r="G541" i="5" s="1"/>
  <c r="G542" i="5" s="1"/>
  <c r="G546" i="5"/>
  <c r="G547" i="5" s="1"/>
  <c r="G548" i="5" s="1"/>
  <c r="G551" i="5"/>
  <c r="G554" i="5"/>
  <c r="G557" i="5"/>
  <c r="G565" i="5"/>
  <c r="G589" i="5"/>
  <c r="G627" i="5"/>
  <c r="G630" i="5"/>
  <c r="G631" i="5" s="1"/>
  <c r="G640" i="5"/>
  <c r="G641" i="5" s="1"/>
  <c r="G639" i="5" s="1"/>
  <c r="I1437" i="5"/>
  <c r="I1439" i="5" s="1"/>
  <c r="I1440" i="5" s="1"/>
  <c r="I1441" i="5" s="1"/>
  <c r="I1442" i="5" s="1"/>
  <c r="G1237" i="5"/>
  <c r="G1250" i="5"/>
  <c r="G860" i="5"/>
  <c r="G861" i="5" s="1"/>
  <c r="G862" i="5" s="1"/>
  <c r="G921" i="5"/>
  <c r="G1106" i="5"/>
  <c r="G1111" i="5"/>
  <c r="G1120" i="5"/>
  <c r="G1177" i="5"/>
  <c r="G1178" i="5" s="1"/>
  <c r="G1191" i="5"/>
  <c r="G1192" i="5" s="1"/>
  <c r="G1227" i="5"/>
  <c r="G1211" i="5"/>
  <c r="G1212" i="5" s="1"/>
  <c r="G1213" i="5" s="1"/>
  <c r="G1214" i="5" s="1"/>
  <c r="G1222" i="5"/>
  <c r="G692" i="5"/>
  <c r="G675" i="5"/>
  <c r="G1282" i="5" l="1"/>
  <c r="G1281" i="5"/>
  <c r="G1283" i="5" s="1"/>
  <c r="G569" i="5"/>
  <c r="G570" i="5" s="1"/>
  <c r="G1749" i="5"/>
  <c r="G1750" i="5" s="1"/>
  <c r="G1751" i="5" s="1"/>
  <c r="G1752" i="5" s="1"/>
  <c r="G1497" i="5"/>
  <c r="G1498" i="5" s="1"/>
  <c r="G1499" i="5" s="1"/>
  <c r="G1495" i="5"/>
  <c r="G713" i="5"/>
  <c r="G714" i="5" s="1"/>
  <c r="G715" i="5" s="1"/>
  <c r="G716" i="5" s="1"/>
  <c r="G717" i="5" s="1"/>
  <c r="G718" i="5" s="1"/>
  <c r="G1078" i="5"/>
  <c r="G558" i="5"/>
  <c r="G559" i="5" s="1"/>
  <c r="G560" i="5" s="1"/>
  <c r="G561" i="5" s="1"/>
  <c r="G509" i="5"/>
  <c r="G510" i="5" s="1"/>
  <c r="G511" i="5" s="1"/>
  <c r="G512" i="5" s="1"/>
  <c r="G513" i="5" s="1"/>
  <c r="G508" i="5"/>
  <c r="G829" i="5"/>
  <c r="G830" i="5" s="1"/>
  <c r="G831" i="5" s="1"/>
  <c r="G897" i="5"/>
  <c r="G898" i="5" s="1"/>
  <c r="G1539" i="5"/>
  <c r="G1541" i="5" s="1"/>
  <c r="G1540" i="5"/>
  <c r="G901" i="5"/>
  <c r="G455" i="5"/>
  <c r="G456" i="5" s="1"/>
  <c r="G454" i="5"/>
  <c r="G748" i="5"/>
  <c r="G749" i="5" s="1"/>
  <c r="G750" i="5" s="1"/>
  <c r="G747" i="5"/>
  <c r="G645" i="5"/>
  <c r="G646" i="5" s="1"/>
  <c r="G647" i="5" s="1"/>
  <c r="G648" i="5" s="1"/>
  <c r="G649" i="5" s="1"/>
  <c r="G650" i="5" s="1"/>
  <c r="G1334" i="5"/>
  <c r="G1335" i="5" s="1"/>
  <c r="G1019" i="5"/>
  <c r="G298" i="5"/>
  <c r="G300" i="5" s="1"/>
  <c r="G309" i="5"/>
  <c r="G306" i="5"/>
  <c r="G308" i="5" s="1"/>
  <c r="G688" i="5"/>
  <c r="G689" i="5" s="1"/>
  <c r="G686" i="5"/>
  <c r="G687" i="5" s="1"/>
  <c r="G661" i="5"/>
  <c r="G657" i="5" s="1"/>
  <c r="G656" i="5"/>
  <c r="G659" i="5" s="1"/>
  <c r="G658" i="5" s="1"/>
  <c r="G1412" i="5"/>
  <c r="G1413" i="5" s="1"/>
  <c r="G1310" i="5"/>
  <c r="G582" i="5"/>
  <c r="G583" i="5"/>
  <c r="G584" i="5" s="1"/>
  <c r="G902" i="5" l="1"/>
  <c r="G903" i="5"/>
  <c r="G904" i="5" s="1"/>
  <c r="G905" i="5" s="1"/>
  <c r="G906" i="5" s="1"/>
  <c r="G1079" i="5"/>
  <c r="G1542" i="5"/>
  <c r="G1543" i="5" s="1"/>
  <c r="G302" i="5"/>
  <c r="K280" i="5"/>
  <c r="G1081" i="5" l="1"/>
  <c r="G1082" i="5" s="1"/>
  <c r="G1080" i="5"/>
  <c r="D349" i="5"/>
  <c r="D333" i="5"/>
  <c r="D325" i="5"/>
  <c r="D318" i="5"/>
  <c r="D311" i="5"/>
  <c r="D108" i="5"/>
  <c r="D1293" i="5"/>
  <c r="D1298" i="5" s="1"/>
  <c r="D1589" i="5"/>
  <c r="D1591" i="5" s="1"/>
  <c r="L747" i="5"/>
  <c r="M747" i="5" s="1"/>
  <c r="D746" i="5" s="1"/>
  <c r="D75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LOPEZ Flor</author>
  </authors>
  <commentList>
    <comment ref="C267" authorId="0" shapeId="0" xr:uid="{DCE1A074-4FDE-49C7-BE26-BA1D62F02F80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C271" authorId="0" shapeId="0" xr:uid="{042BE71C-30E3-4164-93F0-997CDAE0BA2D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C275" authorId="0" shapeId="0" xr:uid="{1298AB99-9EDB-4992-805A-CB23DCA6DE1E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D529" authorId="0" shapeId="0" xr:uid="{F4F6FB12-A2DB-4408-9C90-36D01F6DAD77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>BASE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55" authorId="0" shapeId="0" xr:uid="{FEE3B6F8-0EBD-4F7A-B878-E9C819897486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dejar el comentario en referencia santamarta  porque esta mal en bogota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Tenjo Miranda Diana</author>
  </authors>
  <commentList>
    <comment ref="AU44" authorId="0" shapeId="0" xr:uid="{3051A71C-511E-4890-BB44-6E94DD97D59B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en julio envían la cuenta de cobro con incremento ipc</t>
        </r>
      </text>
    </comment>
    <comment ref="BR79" authorId="0" shapeId="0" xr:uid="{039F2EAF-E1F5-465B-9B24-1A6C60A4CF01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Saldo a favor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Tenjo Miranda Diana</author>
  </authors>
  <commentList>
    <comment ref="BS68" authorId="0" shapeId="0" xr:uid="{560C2584-53DC-45E0-9BDD-8BEC882C8BE4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nuevo canon $71.852.433</t>
        </r>
      </text>
    </comment>
    <comment ref="BA121" authorId="0" shapeId="0" xr:uid="{D7190AD5-6914-4517-AE83-89203D0D1D3B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en agosto incrementa IPC+2 $9,132,004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<sst xmlns="http://schemas.openxmlformats.org/spreadsheetml/2006/main" count="9530" uniqueCount="1808">
  <si>
    <t>ACREEDOR ADMON</t>
  </si>
  <si>
    <t>PROVEEDOR ADMINISTRACION</t>
  </si>
  <si>
    <t>CENTRO COMERCIAL SANDIEGO P,H,</t>
  </si>
  <si>
    <t>ZERDA Y CIA SAS</t>
  </si>
  <si>
    <t>CARLOS ENRIQUE STIEFKEN H</t>
  </si>
  <si>
    <t>DAVID ALFONSO CARVAJAL</t>
  </si>
  <si>
    <t>LINA MARIA CARVAJAL ENRIQUEZ</t>
  </si>
  <si>
    <t>CENTRAL CONTROL SAS/jardin plaza</t>
  </si>
  <si>
    <t xml:space="preserve">INVERSIONES RZ </t>
  </si>
  <si>
    <t>RAFAELA SARA MONTEJO DE ALBA</t>
  </si>
  <si>
    <t>MYRIAM RAMIREZ NIETO 1</t>
  </si>
  <si>
    <t>CENTROS COMERCIALES DEL SUR PASTO</t>
  </si>
  <si>
    <t>FRANQUICIAS DE MARCA S,A,</t>
  </si>
  <si>
    <t>CARMEN FARIDE HAZZI DE ACOSTA</t>
  </si>
  <si>
    <t>CARVAJAL ENRIQUEZ LINA MARIA</t>
  </si>
  <si>
    <t>INMOBILIARIA CECILIA DE DIAZ LTDA</t>
  </si>
  <si>
    <t>TEJARES SAS</t>
  </si>
  <si>
    <t>LABORATORIO FOTOCHROME SAS</t>
  </si>
  <si>
    <t>ZERDA Y CIA S A S</t>
  </si>
  <si>
    <t>CONSTRUCCIONES Y BIENES S.A.</t>
  </si>
  <si>
    <t>CAPITAL REAL ESTATE LTDA</t>
  </si>
  <si>
    <t>INVERSIONES LEE CARDENAS SAS</t>
  </si>
  <si>
    <t>TGESTIONA SAS</t>
  </si>
  <si>
    <t>SOCIEDAD COLOMBIANA DE INVERSIONES COMERCIALES S.A.</t>
  </si>
  <si>
    <t>ALVARO CORTES</t>
  </si>
  <si>
    <t>CARVAJAL ENRIQUEZ DAVID ALFONSO</t>
  </si>
  <si>
    <t>VANESSA CARVAJAL ENRIQUEZ</t>
  </si>
  <si>
    <t>XIMENA RINCON CORREA</t>
  </si>
  <si>
    <t>SCORPIO INVERSIONES SAS</t>
  </si>
  <si>
    <t>MARQUEZ TONO &amp; ASOCIADOS</t>
  </si>
  <si>
    <t>CENTROS COMERCIALES DEL SUR SAS</t>
  </si>
  <si>
    <t>830060858-1</t>
  </si>
  <si>
    <t>DIANA CAROLINA ORTIZ RODRIGUEZ</t>
  </si>
  <si>
    <t>63532730-0</t>
  </si>
  <si>
    <t>CONSTRUCTORA URBANA SAN RAFAEL S-A</t>
  </si>
  <si>
    <t>ANUAR MUSTAFA BASHIR</t>
  </si>
  <si>
    <t>900631450-3</t>
  </si>
  <si>
    <t>FELLINZI LIMITADA</t>
  </si>
  <si>
    <t>BOND CAPITAL SAS</t>
  </si>
  <si>
    <t>204553/205662/205663/205666</t>
  </si>
  <si>
    <t>205668/69</t>
  </si>
  <si>
    <t>CARLOS STIEFKEN</t>
  </si>
  <si>
    <t>MARIA CLEMENCIA PERDOMO SALAMA</t>
  </si>
  <si>
    <t>LUIS ALBERTO GARAY MORA</t>
  </si>
  <si>
    <t>CENTRAL CONTROL SAS</t>
  </si>
  <si>
    <t>FRANQUICIAS DE MARCA S.A.S.</t>
  </si>
  <si>
    <t>PATRIMONIOS AUTONOMOS FIDUCIARIA BANCOLOMBIA</t>
  </si>
  <si>
    <t>ESTRUCTURA FUTURO SAS</t>
  </si>
  <si>
    <t>INVERSIONES DAVIDI S.A.S.</t>
  </si>
  <si>
    <t>INMOBILIARIA MACLADER</t>
  </si>
  <si>
    <t>CORPORACION DE INVERSIONES DE COLOMBIA</t>
  </si>
  <si>
    <t>ADMINISTRADORA PARQUE ARAUCO SAS</t>
  </si>
  <si>
    <t>EJE CONSTRUCCIONES SAS</t>
  </si>
  <si>
    <t>SWISS WATCHMAKERS COL S.A.S.</t>
  </si>
  <si>
    <t>ORGANIZACION SANTAMARIA SAS</t>
  </si>
  <si>
    <t>INMOBILIARIA MACLADER S.A.S</t>
  </si>
  <si>
    <t>MARQUEZ TONO Y ASOCIADOS LTDA</t>
  </si>
  <si>
    <t>SWISS WATCHMAKERS COL SAS</t>
  </si>
  <si>
    <t>TEJARES Y CIA S, EN C,A</t>
  </si>
  <si>
    <t>INMUEBLES JAMO SAS</t>
  </si>
  <si>
    <t>INVERSIONES Y CONSTRUCIONES 79 SAS</t>
  </si>
  <si>
    <t>RC 2 SAS</t>
  </si>
  <si>
    <t>INVERSIONES DAVIDI SAS</t>
  </si>
  <si>
    <t>CENTRAL CONTROL SA</t>
  </si>
  <si>
    <t>INVERSIONES LEE CARDENAS  SAS</t>
  </si>
  <si>
    <t>SOCIEDAD DE INMUEBLES AERONATICOS S</t>
  </si>
  <si>
    <t>CENTRO COMERCIAL PALMETTO PLAZA</t>
  </si>
  <si>
    <t>CENTRO COMERCIAL UNICENTRO VILLAVIC</t>
  </si>
  <si>
    <t>CENTRO COMERCIAL VILLA COUNTRY</t>
  </si>
  <si>
    <t>SERVICIOS ESTRATEGICOS</t>
  </si>
  <si>
    <t>CASTAÑEDA Y ABELLO S EN C</t>
  </si>
  <si>
    <t>CENTRO COMERCIAL BUENAVISTA II</t>
  </si>
  <si>
    <t>CONSTRUCTORA URBANA SAN RAFAEL S.A.</t>
  </si>
  <si>
    <t>VENDOR</t>
  </si>
  <si>
    <t xml:space="preserve">RAZON SOCIAL </t>
  </si>
  <si>
    <t>CENTRO COMERCIAL PREMIUM PLAZA PH</t>
  </si>
  <si>
    <t>TOTAL</t>
  </si>
  <si>
    <t>INV TO BE REC LEASES</t>
  </si>
  <si>
    <t>GTO VTA SASEO-VIG</t>
  </si>
  <si>
    <t>GTO VTA -FONDO PROM</t>
  </si>
  <si>
    <t>V0</t>
  </si>
  <si>
    <t>TEXTO</t>
  </si>
  <si>
    <t>"11-2023"</t>
  </si>
  <si>
    <t>MES Y AÑO</t>
  </si>
  <si>
    <t>CENTRO COMERCIAL SAN NICOLAS PH</t>
  </si>
  <si>
    <t>GTO VTA -MANT AREAS</t>
  </si>
  <si>
    <t>CENTRO COMERCIAL UNICENTRO GIRARDOT</t>
  </si>
  <si>
    <t>INTERESES OTRA ENTIDAD</t>
  </si>
  <si>
    <t>CTRO CIAL FUNDADORES PROPIEDAD H</t>
  </si>
  <si>
    <t>EDIFICIO CTRO CIAL PORTAL DEL PRADO</t>
  </si>
  <si>
    <t>EDIFICIO C.C CABLE PLAZA PH</t>
  </si>
  <si>
    <t>GTO.VTA-SERV.ACUED</t>
  </si>
  <si>
    <t>EDIFICIO TORRE 123 P.H</t>
  </si>
  <si>
    <t>MANTO AREA COM</t>
  </si>
  <si>
    <t>HAYUELOS CTRO  EMPRESARIAL COMERCIA</t>
  </si>
  <si>
    <t>CTRO CIAL MOLINOS PRIMERA ETAPA PH</t>
  </si>
  <si>
    <t>IVA CF ENTRADA</t>
  </si>
  <si>
    <t>VQ</t>
  </si>
  <si>
    <t>VW</t>
  </si>
  <si>
    <t>PARQUE COMERCIAL EL TESORO</t>
  </si>
  <si>
    <t>Contratos REM</t>
  </si>
  <si>
    <t>8140 - GMO Colombia</t>
  </si>
  <si>
    <t>Company Code</t>
  </si>
  <si>
    <t>Contract</t>
  </si>
  <si>
    <t>Contract name</t>
  </si>
  <si>
    <t>End of Term</t>
  </si>
  <si>
    <t>Contract Currency</t>
  </si>
  <si>
    <t>Old contract</t>
  </si>
  <si>
    <t>Created on</t>
  </si>
  <si>
    <t>CeCo</t>
  </si>
  <si>
    <t>End of Term en Virtual Contract</t>
  </si>
  <si>
    <t>Status En Virtual Contract</t>
  </si>
  <si>
    <t>Status en REM</t>
  </si>
  <si>
    <t>RENT MIN RENT</t>
  </si>
  <si>
    <t>RENT ADDITONAL DECEMBER</t>
  </si>
  <si>
    <t>SELL MEDIA</t>
  </si>
  <si>
    <t>SELL CAM</t>
  </si>
  <si>
    <t>OBSERVACIONES</t>
  </si>
  <si>
    <t>AUTO LEASING BBVA COLOMBIA : 0401-1000-00002701700</t>
  </si>
  <si>
    <t>COP</t>
  </si>
  <si>
    <t>N/A</t>
  </si>
  <si>
    <t>VIGENTE</t>
  </si>
  <si>
    <t>CENTRO COMERCIAL EL TESORO CARRERA 25A N 1A SUR 45 LOCAL 1178 MEDELLIN</t>
  </si>
  <si>
    <t>OK</t>
  </si>
  <si>
    <t>CENTRO COMERCIAL CHIA I AV PRADILLA N 900 ESTE. LOCAL 1246 LA VICTORIA</t>
  </si>
  <si>
    <t>CENTRO COMERCIAL OVIEDO CARRERA 43A N°6 SUR 15- LOCAL. 111 MEDELLIN</t>
  </si>
  <si>
    <t>CENTRO COMERCIAL GRAN ESTACIÓN I AV LA ESPERANZA N 62-49 BOGOTA. D.C.</t>
  </si>
  <si>
    <t>CENTRO COMERCIAL SAN DIEGO CALLE 34 N° 43 -66 L. 114 (C-14) MEDELLIN</t>
  </si>
  <si>
    <t>TIENDA 12 AV 19 CON 138 AVENIDA 19 # 139-18 BOGOTA. D.C.</t>
  </si>
  <si>
    <t>TIENDA 14 PEREIRA CARRERA 7 N 20-24 PEREIRA</t>
  </si>
  <si>
    <t>CENTRO COMERCIAL CHIPICHAPE AV 6A NORTE 37AN-97 LOCALES 5-11 Y 5-44 CALI</t>
  </si>
  <si>
    <t>TIENDA 25 CARRERA 8 CARRERA 8 N 20-14/40 PEREIRA</t>
  </si>
  <si>
    <t>CENTRO COMERCIAL PALMETTO PLAZA CALLE 9 Nº 48-81 LOCAL 148 CALI</t>
  </si>
  <si>
    <t>CENTRO COMERCIAL LA FLORIDA CAÑAVERAL CARRERA 31 # 26 A - 27 LOCAL. 211 BUCARAMA</t>
  </si>
  <si>
    <t>6606</t>
  </si>
  <si>
    <t>CENTRO COMERCIAL BOULEVAR NIZA CARRERA 52 # 125 A - 59 LOCAL. 1-106 BOGOTA. D.C.</t>
  </si>
  <si>
    <t>CENTRO COMERCIAL PREMIUM PLAZA CALLE 29 NO.43G-10 LOCAL 1328 MEDELLIN</t>
  </si>
  <si>
    <t>CENTRO COMERCIAL MEGAMALL AV. QUEBRADA SECA NO.33A-100 LOCAL. 70 - 71 BUCARAMANG</t>
  </si>
  <si>
    <t>CENTRO COMERCIAL SALITRE PLAZA CARRERA 68B NO. 24-39 LOCAL 2-52 BOGOTA. D.C.</t>
  </si>
  <si>
    <t>CENTRO COMERCIAL HAYUELOS CALLE 29 NO. 80-25 LOCAL. 1-123 BOGOTA. D.C.</t>
  </si>
  <si>
    <t>CENTRO COMERCIAL SALITRE PLAZA CARREA 68B NO. 24-39 LOCAL 2-60 BOGOTA. D.C.</t>
  </si>
  <si>
    <t>TIENDA 51 ARMENIA 2 CARRERA 14 NO. 17 - 21 ARMENIA</t>
  </si>
  <si>
    <t>CENTRO COMERCIAL CABLE PLAZA CARRERA 21 NO. 20 -18 LOCAL. 114 MANIZALES</t>
  </si>
  <si>
    <t>T61 AV SAN MARTIN AV. SAN MARTIN. UBICADO EN CARRERA 2 NO. 10 - 44 CARTAGENA</t>
  </si>
  <si>
    <t>CENTRO COMERCIAL CARIBE PLAZA CALLE 29 NO 22 - 108 LOCAL. 1-14 CARTAGENA</t>
  </si>
  <si>
    <t>CENTRO COMERCIAL JARDIN PLAZA CARRERA 100 Y 98 Y AVENIDA SIMON BOLIVAR Y CALLE 1</t>
  </si>
  <si>
    <t>CENTRO COMERCIAL CARRERA 11 CARRERA 11 NO 84 - 09 LOCAL. 7 BOGOTA. D.C.</t>
  </si>
  <si>
    <t>CENTRO COMERCIAL SANTA FE II AV.EL POBLADO CARRERA 43A NO 7 SUR - 170 LOCAL 9148</t>
  </si>
  <si>
    <t>CENTRO COMERCIAL CENTRO MAYOR I CALLE 38 A SUR N° 34D - 50 AVENIDA CARRERA 27 NO</t>
  </si>
  <si>
    <t>CENTRO 93 CARRERA 15 NO 93 - 60 LOCAL. 117 BOGOTA. D.C.</t>
  </si>
  <si>
    <t>CENTRO COMERCIAL PORTAL DEL PRADO CALLE 53 NO 46 - 192 LOCAL. 1-60 BARRANQUILLA</t>
  </si>
  <si>
    <t>CENTRO COMERCIAL MULTICENTRO CARRERA 5 NO 66 - 123/ 61 - 41 LOCAL. 205 IBAGUE</t>
  </si>
  <si>
    <t>CENTRO COMERCIAL LOS FUNDADORES CALLE 33B NO 20 - 03 LOCAL. 249 MANIZALES</t>
  </si>
  <si>
    <t>6716</t>
  </si>
  <si>
    <t>CENTRO COMERCIAL CENTRO MAYOR II CALLE 38 A SUR NO 34D - 50 AVENIDA CARRERA 27</t>
  </si>
  <si>
    <t>CENTRO COMERCIAL LOS MOLINOS CALLE 30 A N° 82A - 26 LOCAL 1006 MEDELLIN</t>
  </si>
  <si>
    <t>CENTRO COMERCIAL COUNTRY CALLE 78 Nº 53-70 LOCAL. 1-29 BARRANQUILLA</t>
  </si>
  <si>
    <t>CENTRO COMERCIAL TITAN PLAZA AV CARRERA 72 # 80-94 LOCAL 2-014A BOGOTA. D.C.</t>
  </si>
  <si>
    <t>5-6763-1</t>
  </si>
  <si>
    <t>CENTRO COMERCIAL LA ESTACIÓN IBAGUE INTERSECCION ENTRE LA AVENIDA 60 Y LA AVENID</t>
  </si>
  <si>
    <t>CENTRO COMERCIAL SANTA FE III CALLE 185 N 45-03 LOCAL N1-188 BOGOTA. D.C.</t>
  </si>
  <si>
    <t>CENTRO COMERCIAL BUENAVISTA AVENIDA DEL LIBERTADOR CALLE 14 N° 34-01 LOCAL 11 SA</t>
  </si>
  <si>
    <t>CENTRO COMERCIAL GIRARDOT CARRERA 7A N°73-77 LOCALES 118-119 GIRARDOT</t>
  </si>
  <si>
    <t>CENTRO COMERCIAL GRAN PLAZA DEL SOL CARRERA 32 N. 30-15 LOCAL 2-06 / 2-07 BARRAN</t>
  </si>
  <si>
    <t>CENTRO COMERCIAL PARQUE CARACOLÍ CARRERA 27 N. 29 - 145 S.U.C. SLC109 BUCARAMANG</t>
  </si>
  <si>
    <t>CENTRO COMERCIAL UNICO PASTO CALLE 22 NO. 6 - 61 LOCAL. 60 PASTO</t>
  </si>
  <si>
    <t>CENTRO COMERCIAL VIVA VILLAVICENCIO CALLE 7 # 45-185 LOCAL # 134B VILLAVICENCIO</t>
  </si>
  <si>
    <t>CENTRO COMERCIAL OUTLET UNICO CALI CARRERA 3 # 52-82 BARRIO SALOMIA LOCAL COMERC</t>
  </si>
  <si>
    <t>CENTRO COMERCIAL ARRECIFE CARRERA 4 N°11A-119 LOCAL 113. SANTA MARTA PEREIRA</t>
  </si>
  <si>
    <t>CENTRO COMERCIAL UNICO OUTLET VILLAVICENCIO CARRERA 22 N° 8C-67 LOCAL 33 A BARRI</t>
  </si>
  <si>
    <t>CENTRO COMERCIAL BOCAGRANDE CARRERA 1 12-118 LOCAL 1-14 CARTAGENA CARTAGENA</t>
  </si>
  <si>
    <t>CENTRO COMERCIAL PARQUE DE LA COLINA CARRERA 58D N° 146-51. LOCAL 346 BOGOTA. D.</t>
  </si>
  <si>
    <t>CENTRO COMERCIAL UNICO YUMBO CALLE 15 N°-30 LOCAL 08 YUMBO</t>
  </si>
  <si>
    <t>CENTRO COMERCIAL UNICO NEIVA CALLE 64 N°1D140 LOCAL 16 NEIVA</t>
  </si>
  <si>
    <t>CENTRO COMERCIAL PUERTA DEL NORTE P.H. DIAGONAL 55 N°34-67 LOCALES 2-067 / 2-068</t>
  </si>
  <si>
    <t>CENTRO COMERCIAL MALL PLAZA EL CASTILLO AVENIDA PEDRO DE HEREDIA CARRERA 13 N° 3</t>
  </si>
  <si>
    <t>8976</t>
  </si>
  <si>
    <t>CENTRO COMERCIAL PASEO SAN RAFAEL CALLE 134 N°55-30 LOCALES 102-103 BOGOTA. D.C.</t>
  </si>
  <si>
    <t>SUNGLASS HUT CENTRO COMERCIAL ANDINO CARRERA 12 N°82-02 LOCAL 02-31 BOGOTA. D.C.</t>
  </si>
  <si>
    <t>CENTRO COMERCIAL UNICO OUTLET BARRANQUILLA CALLE 74 N°38D-103 LOCAL 75 BARRANQUI</t>
  </si>
  <si>
    <t>CENTRO COMERCIAL UNICENTRO VILLAVICENCIO AV. 40 N°26-C-10 LOCALES 133-134 VILLAV</t>
  </si>
  <si>
    <t>CENTRO COMERCIAL UNICENTRO II AV. 15 N°124-30 LOCAL 1-018 BOGOTA. D.C.</t>
  </si>
  <si>
    <t>CENTRO COMERCIAL UNICENTRO ARMENIA CARRERA 14 N°6-02 LOCAL L2-78 ARMENIA</t>
  </si>
  <si>
    <t>SUNGLASS HUT CENTRO COMERCIAL UNICENTRO CARRERA 15 N°124-30 LOCAL 2-185 BOGOTA.</t>
  </si>
  <si>
    <t>CENTRO COMERCIAL MULTIPLAZA LA FELICIDAD CALLE 19-A N°72-57. AV. BOYACÁ CON CALL</t>
  </si>
  <si>
    <t>RAY BAN CENTRO COMERCIAL UNICENTRO AV. 15 N°124-30 LOCAL 2-272 BOGOTA. D.C.</t>
  </si>
  <si>
    <t>CENTRO COMERCIAL AVENIDA DE CHILE CALLE 72 N°10-34 LOCAL 122 - 127 BOGOTA. D.C.</t>
  </si>
  <si>
    <t>RAY BAN PARQUE COLINA CARRERA N°58D N°146-51 LOCAL 118 BOGOTA. D.C.</t>
  </si>
  <si>
    <t>SUNGLASS HUT MULTIPLAZA CALLE 19A N°72-57 LOCAL A 132 BOGOTA. D.C.</t>
  </si>
  <si>
    <t>SUNGLASS HUT COLINA CARRERA N°58-D N°146-51 BOGOTA. D.C.</t>
  </si>
  <si>
    <t>SUNGLASS HUT PREMIUM OUTLET ARAUCO LOCAL 35A SOPO</t>
  </si>
  <si>
    <t>SUNGLASS HUT FONTANAR VÍA CHÍA KM 2.5 CAJICÁ CHIA</t>
  </si>
  <si>
    <t>RAY BAN CENTRO COMERCIAL ANDINO CARRERA 12 N° 82-02 LOCAL 1-46 - 1-48. BODEGA 43</t>
  </si>
  <si>
    <t>CIUDADELA COMERCIAL UNICENTRO AVENIDA CARRERA 15 # 124 - 30 LOCAL. 1-176 BOGOTA.</t>
  </si>
  <si>
    <t>CENTRO COMERCIAL TITAN PLAZA AV. CARRERA 72 # 80-94 LOCAL 2-014 BOGOTA. D.C.</t>
  </si>
  <si>
    <t>5-6763-2</t>
  </si>
  <si>
    <t>CENTRO COMERCIAL SANTA FE I CALLE 185 N °45-03 LOCAL 2-127 Y 2-126 BOGOTA. D.C.</t>
  </si>
  <si>
    <t>8140074-OFICINA ADMINISTRACIÓN GMO COLOMBIA</t>
  </si>
  <si>
    <t>6563-CENTRO COMERCIAL LOS MOLINOS I-T007</t>
  </si>
  <si>
    <t>C940_GMO FONTANAR</t>
  </si>
  <si>
    <t>5-C940</t>
  </si>
  <si>
    <t>C940</t>
  </si>
  <si>
    <t>9458_CENTRO COMERCIAL PALATINO_T131</t>
  </si>
  <si>
    <t>9575_GMO CENTRO COMERCIAL EL CACIQUE_ T134</t>
  </si>
  <si>
    <t>9596_RAY BAN BARRANQUILLA</t>
  </si>
  <si>
    <t>C965 RAY BAN SERREZUELA CARRERA 11 #  39-21 LOCAL 109</t>
  </si>
  <si>
    <t>5-C965</t>
  </si>
  <si>
    <t>C965</t>
  </si>
  <si>
    <t>GMO CENTRO COMERCIAL UNICENTRO CALLE 13 CON CARRERA 100 LOCAL 224 T019</t>
  </si>
  <si>
    <t>6652 GMO CENTRO COMERCIAL PORTAL DE LA 80 CALLE 80 NO. 110 - 52  LOCAL. 1-100</t>
  </si>
  <si>
    <t>6636 GMO CENTRO COMERCIAL MAYORCA  CALLE 51 SUR NO. 48 T49</t>
  </si>
  <si>
    <t>6660 GMO CENTRO COM.  BUENAVISTA CARRERA 53 CALLE 99 T055</t>
  </si>
  <si>
    <t>6687 GMO CENTRO COMERCIAL PLAZA IMPERIAL  T64</t>
  </si>
  <si>
    <t>6573 GMO CENTRO COMERCIAL GRAN ESTACIÓN II  T013</t>
  </si>
  <si>
    <t>6573</t>
  </si>
  <si>
    <t>6711 GMO CENTRO COMERCIAL SAN NICOLAS  T78</t>
  </si>
  <si>
    <t>9216 GMO GRAN ESTACIÓN III T133</t>
  </si>
  <si>
    <t>6629 GMO TIENDA 45 CEDRITOS 2 T045</t>
  </si>
  <si>
    <t>6621 GMO CENTRO COMERCIAL LA QUINTA T039</t>
  </si>
  <si>
    <t>9636 GMO Viva Envigado</t>
  </si>
  <si>
    <t>E924 GMO CENTRO COMERCIAL EL TESORO II ETAPA 4A</t>
  </si>
  <si>
    <t>5-E924</t>
  </si>
  <si>
    <t>E924</t>
  </si>
  <si>
    <t>A854 GMO CC PARQUE ARBOLEDA T138</t>
  </si>
  <si>
    <t>5-A854</t>
  </si>
  <si>
    <t>A854</t>
  </si>
  <si>
    <t>A997 SUNGLASS HUT AEROPUERTO EL DORADO 2</t>
  </si>
  <si>
    <t>5-A997</t>
  </si>
  <si>
    <t>A997</t>
  </si>
  <si>
    <t>8525 CENTRO DE DISTRIBUCIÓN</t>
  </si>
  <si>
    <t>CENTRO COMERCIAL PLAZA LAS AMERICAS CARRERA 71D NO. 6 - 94 SUR. LOCAL 1226 BOGOT</t>
  </si>
  <si>
    <t>6632-5000026</t>
  </si>
  <si>
    <t>AUTO LEASING BBVA COLOMBIA</t>
  </si>
  <si>
    <t>CESADO</t>
  </si>
  <si>
    <t>ARRIENDO BIOMETRICOS PROYECTO GEO VICTORIA</t>
  </si>
  <si>
    <t>USD</t>
  </si>
  <si>
    <t>TIENDA PRIME TOWER CALLE 100 N°19 -61 LOCAL. 102 BOGOTA. D.C.</t>
  </si>
  <si>
    <t>TIENDA 17 CHAPINERO CARRERA 13 N 58- 82/88 BOGOTA. D.C.</t>
  </si>
  <si>
    <t>TIENDA 18 LA ORIENTAL CARRERA 46 N° 49A-33 MEDELLIN</t>
  </si>
  <si>
    <t>CENTRO COMERCIAL UNICENTRO DE CALI CALLE 13 CON CARRERA 100 LOCAL: 259 CALI</t>
  </si>
  <si>
    <t>COSMOCENTRO CIUDADELA COMERCIAL CALLE 5 # 50-103 LOCAL. 29 CALI</t>
  </si>
  <si>
    <t>CENTRO BOGOTÁ CALLE 19 # 4 - 98 LOCAL: 102 BOGOTA. D.C.</t>
  </si>
  <si>
    <t>TIENDA 44 GALERIA CARRERA 23 NO. 53-10 BOGOTA. D.C.</t>
  </si>
  <si>
    <t>TIENDA 48 CENTRO AVIANCA CARRERA 7 NO. 16 - 74 BOGOTA. D.C.</t>
  </si>
  <si>
    <t>T53 AV CHILE 2 CALLE 72 NO. 9 - 29 BOGOTA. D.C.</t>
  </si>
  <si>
    <t>CENTRO COMERCIAL PREMIER EL LIMONAR CALLE 5 NO 69- 03 LOCAL. 274 CALI</t>
  </si>
  <si>
    <t>TIENDA 73 ENVIGADO CARRERA 43 NO 36 SUR -84 LOCAL. 4 ENVIGADO</t>
  </si>
  <si>
    <t>PASEO CENTRO BUCARAMANGA CALLE 35 NO 17 - 02 LOCAL 01 BUCARAMANGA</t>
  </si>
  <si>
    <t>CENTRO COMERCIAL CALIMA CALLE 19 Nº 28-80 LOCAL. A-13 BOGOTA. D.C.</t>
  </si>
  <si>
    <t>CENTRO COMERCIAL ATLANTIS PLAZA CALLE 81 # 13-05 LOCAL 004 BOGOTA. D.C.</t>
  </si>
  <si>
    <t>CENTRO COMERCIAL CENTENARIO AVENIDA 4N # 7N-46/64 LOCAL 111 CALI</t>
  </si>
  <si>
    <t>CENTRO COMERCIAL AVENTURA PH CARRERA 43A N° 18 SUR 135 CON NOMNECLATURA PROVISIO</t>
  </si>
  <si>
    <t>CENTRO COMERCIAL UNICENTRO PEREIRA AVENIDA 30 DE AGOSTO N° 75-51. LOCAL COMERCIA</t>
  </si>
  <si>
    <t>CENTRO COMERCIAL CIUDAD VICTORIA CARRERA 11 BIS N° 17-20 LOCAL 107 PEREIRA</t>
  </si>
  <si>
    <t>CENTRO COMERCIAL ANTARES CARRERA 4A # 31-40 LOCAL 2-261 SOACHA</t>
  </si>
  <si>
    <t>CENTRO COMERCIAL LOS GLOBOS CALLET 72 N°52-42 LOCAL 8 BARRANQUILLA</t>
  </si>
  <si>
    <t>EDIFICIO VIDA (ED.COLORES) CALLE 5D N°38A - 35 LOCAL 1 CALI</t>
  </si>
  <si>
    <t>CENTRO COMERCIAL LA FLORIDA CALLE 1 N°65-150 LOCAL 1-383 MEDELLIN</t>
  </si>
  <si>
    <t>CENTRO COMERCIAL SANTA FE IV CARRERA 43 A N°7 SUR - 170 LOCAL 1198 MEDELLIN</t>
  </si>
  <si>
    <t>SUNGLASS HUT SANTA FE CALLE 185 N°45-03 LOCAL N-1-071 BOGOTA. D.C.</t>
  </si>
  <si>
    <t>RAY BAN CENTRO COMERCIAL SANTA FE N°45-03 DE LA CALLE 185 LOCAL -36 BOGOTA. D.C.</t>
  </si>
  <si>
    <t>SUNGLASS HUT AEROPUERTO EL DORADO AEROPUERTO EL DORADO LOCAL GAA21040 BOGOTA. D.</t>
  </si>
  <si>
    <t>9595_GMO MANIZALES_T132</t>
  </si>
  <si>
    <t>6718 GMO  CARRERA 15 CON 85 T83</t>
  </si>
  <si>
    <t>6685 GMO CENTRO COMERCIAL PANORAMA T60</t>
  </si>
  <si>
    <t>CENTRO DE DISTRIBUCION</t>
  </si>
  <si>
    <t>TIENDA</t>
  </si>
  <si>
    <t>DESCRIPCION ADMINISTRACION</t>
  </si>
  <si>
    <t>C.c.</t>
  </si>
  <si>
    <t>NIT</t>
  </si>
  <si>
    <t>CANON MES</t>
  </si>
  <si>
    <t>DESCUENTO</t>
  </si>
  <si>
    <t>NOTA CREDITO</t>
  </si>
  <si>
    <t>%</t>
  </si>
  <si>
    <t>COMENTARIO</t>
  </si>
  <si>
    <t>FECHA ENVIO</t>
  </si>
  <si>
    <t>SAP</t>
  </si>
  <si>
    <t>AUMENTO</t>
  </si>
  <si>
    <t>FECHA ENV</t>
  </si>
  <si>
    <t>FECHA PAGO</t>
  </si>
  <si>
    <t>OFICINA</t>
  </si>
  <si>
    <t>NUEVA OFICINA</t>
  </si>
  <si>
    <t>NO/8140074</t>
  </si>
  <si>
    <t>901.295.881-6</t>
  </si>
  <si>
    <t>ENVIADO</t>
  </si>
  <si>
    <t>CDD</t>
  </si>
  <si>
    <t>PARQUE EMPRESARIAL EL DORADO</t>
  </si>
  <si>
    <t>CERRADA</t>
  </si>
  <si>
    <t>R001</t>
  </si>
  <si>
    <t>TIENDA R001- RAYBAN Local 2-272 UNICENTRO</t>
  </si>
  <si>
    <t>CIUDADELA COMERCIAL UNICENTRO</t>
  </si>
  <si>
    <t>860.043.896-7</t>
  </si>
  <si>
    <t>R002</t>
  </si>
  <si>
    <t>Ray Ban santa Fe</t>
  </si>
  <si>
    <t>SANTAFE CENTRO COMERCIAL</t>
  </si>
  <si>
    <t>900.083.038-1</t>
  </si>
  <si>
    <t>TIENDA CERRADA</t>
  </si>
  <si>
    <t>R003</t>
  </si>
  <si>
    <t>TIENDA R003 - RAYBAN</t>
  </si>
  <si>
    <t>R004</t>
  </si>
  <si>
    <t>TIENDA R004 - RAYBAN</t>
  </si>
  <si>
    <t>CENTRO COMERCIAL ANDINO PH</t>
  </si>
  <si>
    <t>800.199.501-5</t>
  </si>
  <si>
    <t>R005</t>
  </si>
  <si>
    <t>VIVA BARRANQUILLA R005</t>
  </si>
  <si>
    <t>R006</t>
  </si>
  <si>
    <t>LA SERREZUELA R006</t>
  </si>
  <si>
    <t>MTS ADMINISTRACION TOTAL S.A.S/plaza la serrezuela</t>
  </si>
  <si>
    <t>901.249.695-7</t>
  </si>
  <si>
    <t>SGH 601</t>
  </si>
  <si>
    <t>TIENDA 001 SGH CC ANDINO</t>
  </si>
  <si>
    <t>ADARVE - ANDINO</t>
  </si>
  <si>
    <t>860.053.845-4</t>
  </si>
  <si>
    <t>SGH 602</t>
  </si>
  <si>
    <t>TIENDA 602 UNICENTRO SGH LC 2-185</t>
  </si>
  <si>
    <t>CIUDADELA COMERCIAL UNICENTRO L 2-185</t>
  </si>
  <si>
    <t>SGH 603</t>
  </si>
  <si>
    <t>TIENDA SGH 603 CRA,9 A N°99 - 07 OF .802 LC1-071</t>
  </si>
  <si>
    <t>204600</t>
  </si>
  <si>
    <t>SGH 604</t>
  </si>
  <si>
    <t xml:space="preserve">TIENDA 604 SGH </t>
  </si>
  <si>
    <t>MULTI PLAZA PH</t>
  </si>
  <si>
    <t>SGH 605</t>
  </si>
  <si>
    <t>TIENDA 605 SGH</t>
  </si>
  <si>
    <t>INVERSIONES COLOMBIANAS ARAUCO SAS</t>
  </si>
  <si>
    <t>900.197.303-7</t>
  </si>
  <si>
    <t>SGH 606</t>
  </si>
  <si>
    <t>TIENDA 606 SGH LC222</t>
  </si>
  <si>
    <t>PARQUE ARAUCO COLOMBIA SAS</t>
  </si>
  <si>
    <t>900.252.139-0</t>
  </si>
  <si>
    <t>SGH 608</t>
  </si>
  <si>
    <t>TIENDA 608 SGH FONTANAR</t>
  </si>
  <si>
    <t>DESARROLLADORA CC FONTANAR SAS</t>
  </si>
  <si>
    <t>900.631.450-3</t>
  </si>
  <si>
    <t>T003</t>
  </si>
  <si>
    <t xml:space="preserve">TIENDA 3 SANTA FE LC126-127                       </t>
  </si>
  <si>
    <t>T004</t>
  </si>
  <si>
    <t xml:space="preserve">TIENDA 4 TESORO                                   </t>
  </si>
  <si>
    <t>811.021.621-6</t>
  </si>
  <si>
    <t>T005</t>
  </si>
  <si>
    <t xml:space="preserve">TIENDA 5 CHIA                                     </t>
  </si>
  <si>
    <t>COMPLEJO COMERCIAL CENTRO CHIA</t>
  </si>
  <si>
    <t>800.085.013-2</t>
  </si>
  <si>
    <t>T006</t>
  </si>
  <si>
    <t xml:space="preserve">TIENDA 6 OVIEDO                                   </t>
  </si>
  <si>
    <t>INVERSIONES RZ S.A.S.</t>
  </si>
  <si>
    <t>900.467.139-4</t>
  </si>
  <si>
    <t>T007</t>
  </si>
  <si>
    <t xml:space="preserve">TIENDA 7 MOLINOS                                  </t>
  </si>
  <si>
    <t>901.03.150-3</t>
  </si>
  <si>
    <t>T008</t>
  </si>
  <si>
    <t>TIENDA 8 GRAN ESTACION LC 2-106</t>
  </si>
  <si>
    <t xml:space="preserve">GRAN ESTACION CENTRO COMERCIAL </t>
  </si>
  <si>
    <t>900.146.950-4</t>
  </si>
  <si>
    <t>T010</t>
  </si>
  <si>
    <t xml:space="preserve">TIENDA 10 SANDIEGO                                </t>
  </si>
  <si>
    <t>890.911.709-1</t>
  </si>
  <si>
    <t>T100</t>
  </si>
  <si>
    <t xml:space="preserve">TIENDA 100 BUENAVISTA SANTA MARTA </t>
  </si>
  <si>
    <t>CENTRO COMERCIAL BUENAVISTA</t>
  </si>
  <si>
    <t>900.054.062-3</t>
  </si>
  <si>
    <t>T101</t>
  </si>
  <si>
    <t>TIENDA 101 GIRARDOT UNICENTRO</t>
  </si>
  <si>
    <t>900.793.017-1</t>
  </si>
  <si>
    <t>T102</t>
  </si>
  <si>
    <t>TIENDA 102 PLAZA DEL SOL GRAN</t>
  </si>
  <si>
    <t>FIDUCOLOMBIA P.A. CONCESION ASEO DC / GRAN PLAZA</t>
  </si>
  <si>
    <t>830.054.539-0</t>
  </si>
  <si>
    <t>T103</t>
  </si>
  <si>
    <t>TIENDA 103 TIENDA 103 CENTENARIO</t>
  </si>
  <si>
    <t>JM INMOBILIARIA SAS</t>
  </si>
  <si>
    <t>900.325.566-7</t>
  </si>
  <si>
    <t>T104</t>
  </si>
  <si>
    <t>TIENDA 104 CARACOLI</t>
  </si>
  <si>
    <t>INVERSIONES INMOBILIARIAS BUCARAMAN ARAUCO</t>
  </si>
  <si>
    <t>900.460.297-8</t>
  </si>
  <si>
    <t>T105</t>
  </si>
  <si>
    <t>TIENDA 105 PASTO - GMO UNIC</t>
  </si>
  <si>
    <t>900.454.187-1</t>
  </si>
  <si>
    <t>T106</t>
  </si>
  <si>
    <t>TIENDA 106 CL 7 No 45-185  LA ESPERANZA - GMO VIVA VILLA 134B</t>
  </si>
  <si>
    <t>LA SABANA CENTRO COMERCIAL/PATRIMONIOS AUTONOMOS FIDUCIARIA</t>
  </si>
  <si>
    <t>900.159.661-7</t>
  </si>
  <si>
    <t>T107</t>
  </si>
  <si>
    <t>TIENDA 107 CALI GMO UNICO</t>
  </si>
  <si>
    <t>SERVICIOS ESTRATEGICOS  COMPARTIDOS  CALI</t>
  </si>
  <si>
    <t>900.612.118-1</t>
  </si>
  <si>
    <t>T108</t>
  </si>
  <si>
    <t>TIENDA 108 GMO UNICO VILLABO</t>
  </si>
  <si>
    <t>SERVICIOS ESTRATEGICOS VILLAVICENCIO</t>
  </si>
  <si>
    <t>T011</t>
  </si>
  <si>
    <t xml:space="preserve">TIENDA 11 CLL 100  PRIME TOWE                               </t>
  </si>
  <si>
    <t>PRIMER TOWER / GESTION DE ACTIVOS TECNI</t>
  </si>
  <si>
    <t>900.300.055-7</t>
  </si>
  <si>
    <t>T110</t>
  </si>
  <si>
    <t>TIENDA 110 GMO C.C. ARRECI</t>
  </si>
  <si>
    <t>CENTRO COMERCIAL ARRECIFE</t>
  </si>
  <si>
    <t>900534142-4</t>
  </si>
  <si>
    <t>LLEGO  EN FEBRERO</t>
  </si>
  <si>
    <t>T111</t>
  </si>
  <si>
    <t>TIENDA 111 GMO C.C. BOCAGR</t>
  </si>
  <si>
    <t>PLAZA BOCAGRANDE CENTRO COMERCIAL</t>
  </si>
  <si>
    <t>900.785.012-1</t>
  </si>
  <si>
    <t>T113</t>
  </si>
  <si>
    <t>TIENDA 113 GMO C.C. UNICEN</t>
  </si>
  <si>
    <t>CENTRO COMERCIAL UNICENTRO PEREIRA</t>
  </si>
  <si>
    <t>900.279.801-6</t>
  </si>
  <si>
    <t>T114</t>
  </si>
  <si>
    <t>TIENDA 114 GMO CC. ANTARES</t>
  </si>
  <si>
    <t>T115</t>
  </si>
  <si>
    <t>TIENDA 115 GMO CC. PARQUE COLINA</t>
  </si>
  <si>
    <t>T116</t>
  </si>
  <si>
    <t>TIENDA 116 GMO CC MALL PLAZA CARTAGENA</t>
  </si>
  <si>
    <r>
      <rPr>
        <sz val="11"/>
        <rFont val="Calibri"/>
        <family val="2"/>
        <scheme val="minor"/>
      </rPr>
      <t>MALL PLAZA SERVICIOS</t>
    </r>
    <r>
      <rPr>
        <sz val="11"/>
        <color indexed="10"/>
        <rFont val="Calibri"/>
        <family val="2"/>
        <scheme val="minor"/>
      </rPr>
      <t xml:space="preserve"> /CENTRO COMERCIAL EL CASTILLO CARTAG</t>
    </r>
  </si>
  <si>
    <t>901.120.943-3</t>
  </si>
  <si>
    <t>T117</t>
  </si>
  <si>
    <t>TIENDA 117 GMO SAN RAFAEL</t>
  </si>
  <si>
    <t>900.032.476-4</t>
  </si>
  <si>
    <t>T119</t>
  </si>
  <si>
    <t>TIENDA 119 GMO UNICO YUMBO</t>
  </si>
  <si>
    <t>T120</t>
  </si>
  <si>
    <t>TIENDA 120 GMO UNICO NEIVA</t>
  </si>
  <si>
    <t>SERVICIOS ESTRATEGICOS NEIVA</t>
  </si>
  <si>
    <t>T122</t>
  </si>
  <si>
    <t>TIENDA 122 GMO UNICO BARRANQUILLA</t>
  </si>
  <si>
    <t>SEVICIOS ESTRATEGICOS BARRANQUILLA</t>
  </si>
  <si>
    <t>T123</t>
  </si>
  <si>
    <t>TIENDA 123 GMO FLORIDA MEDELLIN</t>
  </si>
  <si>
    <t>NICOLAS JARAMILLO</t>
  </si>
  <si>
    <t>T124</t>
  </si>
  <si>
    <t xml:space="preserve">TIENDA 002 SGH CC UNICENTRO </t>
  </si>
  <si>
    <t>210438</t>
  </si>
  <si>
    <t>ROYAL PROPIEDAD RAIZ SAS</t>
  </si>
  <si>
    <t>900.658.805-1</t>
  </si>
  <si>
    <t>T125</t>
  </si>
  <si>
    <t>TIENDA 125 GMO UNICENTRO VILLAVICENCIO</t>
  </si>
  <si>
    <t>T126</t>
  </si>
  <si>
    <t>TIENDA 126 GMO UNICENTRO II BOGOTA L 1-018</t>
  </si>
  <si>
    <t>204573</t>
  </si>
  <si>
    <t>CIUDADELA COMERCIAL UNICENTRO 1-018</t>
  </si>
  <si>
    <t>T127</t>
  </si>
  <si>
    <t>TIENDA 127 GMO MULTIPLAZA BOGOTA</t>
  </si>
  <si>
    <t>T128</t>
  </si>
  <si>
    <t>TIENDA 128 GMO UNICENTRO ARMENIA</t>
  </si>
  <si>
    <t>210958</t>
  </si>
  <si>
    <t>CENTRO COMERCIAL UNICENTRO ARMENIA</t>
  </si>
  <si>
    <t>900.547.704-1</t>
  </si>
  <si>
    <t>T129</t>
  </si>
  <si>
    <t>TIENDA 129 CENTRO COMERCIAL PUERTA DEL NORTE P.H NIVEL 2</t>
  </si>
  <si>
    <t>SANTA JUANA INMOBILIARIA S,A</t>
  </si>
  <si>
    <t>800.101.493-3</t>
  </si>
  <si>
    <t>T013</t>
  </si>
  <si>
    <t>T13 GRAN ESTACION CENTRO COMERCIAL 079</t>
  </si>
  <si>
    <t>T130</t>
  </si>
  <si>
    <t xml:space="preserve">TIENDA 130 </t>
  </si>
  <si>
    <t>217036</t>
  </si>
  <si>
    <t>CENTRO AVENIDA DE CHILE PH L 122</t>
  </si>
  <si>
    <t>860.509.249-3</t>
  </si>
  <si>
    <t>T131</t>
  </si>
  <si>
    <t xml:space="preserve">TIENDA 131 CENTRO COMERCIAL PALATINO </t>
  </si>
  <si>
    <t>AMBIENTTI CONSTRUCTORA INMOBILIARIA</t>
  </si>
  <si>
    <t>830.060.858-1</t>
  </si>
  <si>
    <t>T133</t>
  </si>
  <si>
    <t>TIENDA NUEVA T-133 LC 2206</t>
  </si>
  <si>
    <t>GRAN ESTACION CENTRO COMERCIAL</t>
  </si>
  <si>
    <t>T134</t>
  </si>
  <si>
    <t>TIENDA 134</t>
  </si>
  <si>
    <t>804.000.347-7</t>
  </si>
  <si>
    <t>T135</t>
  </si>
  <si>
    <t>TIENDA VIVA ENVIGADO T-135 PISO 1 LOCAL 169</t>
  </si>
  <si>
    <t>228274</t>
  </si>
  <si>
    <t>ITAU FIDUCIARIA P.A</t>
  </si>
  <si>
    <t>830.053.963-6</t>
  </si>
  <si>
    <t>T136</t>
  </si>
  <si>
    <t>TIENDA 136 FONTANAR</t>
  </si>
  <si>
    <t>T019</t>
  </si>
  <si>
    <t xml:space="preserve">TIENDA 19 UNICENTR LC 224 CALI                         </t>
  </si>
  <si>
    <t>CIUDADELA CIAL UNICENTRO CALI-PROP HOR</t>
  </si>
  <si>
    <t>890.321.156-7</t>
  </si>
  <si>
    <t>T022</t>
  </si>
  <si>
    <t xml:space="preserve">TIENDA 22 CHIPICHAPE 511-544                      </t>
  </si>
  <si>
    <t>CENTRO COMERCIAL CHIPICHAPE</t>
  </si>
  <si>
    <t>800.256.395-5</t>
  </si>
  <si>
    <t>T027</t>
  </si>
  <si>
    <t xml:space="preserve">TIENDA 27 CALLE 9 48-81 CC PALMETTO LC 148        </t>
  </si>
  <si>
    <t>900.004.566-1</t>
  </si>
  <si>
    <t>T-30</t>
  </si>
  <si>
    <t xml:space="preserve">TIENDA 30 CC UNICENTRO LC 1-176                 </t>
  </si>
  <si>
    <t xml:space="preserve">TIENDA 30 CC UNICENTRO LC 1-080                     </t>
  </si>
  <si>
    <t>T032</t>
  </si>
  <si>
    <t xml:space="preserve">TIENDA 32 CC LA FLORIDA                           </t>
  </si>
  <si>
    <t>CENTRO CIAL  LA FLORIDA CANAVERAL</t>
  </si>
  <si>
    <t>900.003.663-1</t>
  </si>
  <si>
    <t>T033</t>
  </si>
  <si>
    <t xml:space="preserve">TIENDA 33 COSMOCENTRO CIUDADELA COMERCIAL         </t>
  </si>
  <si>
    <t>COSMOCENTRO CIUDADELA COMERCIAL</t>
  </si>
  <si>
    <t>890.320.980-5</t>
  </si>
  <si>
    <t>T034</t>
  </si>
  <si>
    <t xml:space="preserve">TIENDA 34 AV 19 No, 4-98  CENTRO BTA                        </t>
  </si>
  <si>
    <t>EDIFICIO ANDES</t>
  </si>
  <si>
    <t>860.040.438-3</t>
  </si>
  <si>
    <t>T035</t>
  </si>
  <si>
    <t xml:space="preserve">TIENDA 35 C,C BULEVAR                            </t>
  </si>
  <si>
    <t>CENTRO COMERCIAL BULEVAR</t>
  </si>
  <si>
    <t>800.056.712-9</t>
  </si>
  <si>
    <t>T037</t>
  </si>
  <si>
    <t xml:space="preserve">TIENDA 37 PREMIUN PLAZA                           </t>
  </si>
  <si>
    <t>900.190.544-3</t>
  </si>
  <si>
    <t>T038</t>
  </si>
  <si>
    <t xml:space="preserve">TIENDA 38 MEGAMALL B/MANGA                        </t>
  </si>
  <si>
    <t>MEGAMALL CENTRO COMERCIAL</t>
  </si>
  <si>
    <t>T039</t>
  </si>
  <si>
    <t xml:space="preserve">TIENDA 39 CRA 36 49-45 LC 325 CCC LA QUINTA       </t>
  </si>
  <si>
    <t>23.255.390-6</t>
  </si>
  <si>
    <t>T040</t>
  </si>
  <si>
    <t xml:space="preserve">TIENDA 40 SALITRE PLAZA Local 2 -28                   </t>
  </si>
  <si>
    <t>SALITRE PLAZA CENTRO COMERCIAL</t>
  </si>
  <si>
    <t>830.021.423-3</t>
  </si>
  <si>
    <t>T041</t>
  </si>
  <si>
    <t xml:space="preserve">TIENDA 41 HAYUELOS                                </t>
  </si>
  <si>
    <t>900.225.764-1</t>
  </si>
  <si>
    <t>T043</t>
  </si>
  <si>
    <t xml:space="preserve">TIENDA 43 SALITRE 2   LC260                        </t>
  </si>
  <si>
    <t>T045</t>
  </si>
  <si>
    <t xml:space="preserve">TIENDA 45 CEDRITOS 2                              </t>
  </si>
  <si>
    <t>900.499.174-1</t>
  </si>
  <si>
    <t>T047</t>
  </si>
  <si>
    <t xml:space="preserve">TIENDA 47 PLAZA DE LAS AMERICAS                        </t>
  </si>
  <si>
    <t>CTRO CIAL PLAZA DE LAS AMERICAS P.H/ambientti</t>
  </si>
  <si>
    <t>T049</t>
  </si>
  <si>
    <t xml:space="preserve">TIENDA 49 MAYORCA 2                                    </t>
  </si>
  <si>
    <t>890.907.824-5</t>
  </si>
  <si>
    <t>T052</t>
  </si>
  <si>
    <t>TIENDA 52 MANIZALES - CABLE P</t>
  </si>
  <si>
    <t>810.006.362-7</t>
  </si>
  <si>
    <t>T054</t>
  </si>
  <si>
    <t xml:space="preserve">TIENDA 54 PORTAL 80                                     </t>
  </si>
  <si>
    <t>CENTRO COMERCIAL PORTAL DE LA 80 PH</t>
  </si>
  <si>
    <t>830.143.447-3</t>
  </si>
  <si>
    <t>T055</t>
  </si>
  <si>
    <t xml:space="preserve">TIENDA 55 BARRANQUILLA  C CIAL BUENAVISTA II LOCAL 202 </t>
  </si>
  <si>
    <t>900.280.551-1</t>
  </si>
  <si>
    <t>T064</t>
  </si>
  <si>
    <t>TIENDA 64 P IMP 64 KR 104 # 146 - 20 AV, CIUDAD DE CALI l, 1-17</t>
  </si>
  <si>
    <t>PLAZA IMPERIAL CTRO CIAL PROP HORI</t>
  </si>
  <si>
    <t>900.059.184-6</t>
  </si>
  <si>
    <t>T066</t>
  </si>
  <si>
    <t xml:space="preserve">TIENDA 66 CARIBE PLAZA CARTAGENA                        </t>
  </si>
  <si>
    <t>CARIBE PLAZA CENTRO COMERCIAL</t>
  </si>
  <si>
    <t>900.233.968-9</t>
  </si>
  <si>
    <t>T069</t>
  </si>
  <si>
    <t xml:space="preserve">TIENDA 69 C, C, JARDIN PLAZA LOCAL 111 CALI       </t>
  </si>
  <si>
    <t>805.030.587-1</t>
  </si>
  <si>
    <t>T070</t>
  </si>
  <si>
    <t xml:space="preserve">TIENDA 70 CRA 11 No, 84 - 09  local 7 ANDINO BTA  </t>
  </si>
  <si>
    <t>TORRE AMADEUS</t>
  </si>
  <si>
    <t>900.399.161-5</t>
  </si>
  <si>
    <t>T074</t>
  </si>
  <si>
    <t xml:space="preserve">TIENDA 74 CRA 43 7-SUR 130 LC 9148         </t>
  </si>
  <si>
    <t>CENTRO COMERCIAL SANTAFE MEDELLIN</t>
  </si>
  <si>
    <t>900.351.744-1</t>
  </si>
  <si>
    <t>T075</t>
  </si>
  <si>
    <t xml:space="preserve">TIENDA 75 CC CENTRO MAYOR CRA 27 No 38 A 61 SUR L,1079 </t>
  </si>
  <si>
    <t>CTRO MAYOR CTRO CIAL PROPIE HORIZ</t>
  </si>
  <si>
    <t>900.346.807-7</t>
  </si>
  <si>
    <t>T077</t>
  </si>
  <si>
    <t xml:space="preserve">TIENDA 77 CRA 15 CTRO 93 -60 LOCAL 117 BTA               </t>
  </si>
  <si>
    <t>900.094.025-1</t>
  </si>
  <si>
    <t>T078</t>
  </si>
  <si>
    <t>TIENDA 78 C,C S, NICOLAS L-2263 CL 43NO54-139 RIO NEGRO</t>
  </si>
  <si>
    <t>900.163.527-3</t>
  </si>
  <si>
    <t>T079</t>
  </si>
  <si>
    <t>TIENDA 79 CC PORTALDELPRADO  L-160 Cll53No46-192 Barran</t>
  </si>
  <si>
    <t>900.180.378-4</t>
  </si>
  <si>
    <t>T080</t>
  </si>
  <si>
    <t xml:space="preserve">TIENDA 80 CRA 5 No 66-123 CC MULTICENTRO IBAGUE L-205  </t>
  </si>
  <si>
    <t>CENTRO COMERCIAL MULTICENTRO</t>
  </si>
  <si>
    <t>900.018.771-4</t>
  </si>
  <si>
    <t>T081</t>
  </si>
  <si>
    <t>TIENDA 81 CRA 20 NO34-18 L 249 CC FUNDADORES PH M/ZALES</t>
  </si>
  <si>
    <t>900.393.259-0</t>
  </si>
  <si>
    <t>T082</t>
  </si>
  <si>
    <t>TIENDA 82 CC CENTRO MAYOR CRA 27 No 38 A 61- SUR LC2092</t>
  </si>
  <si>
    <t>T083</t>
  </si>
  <si>
    <t xml:space="preserve">TIENDA 83 CRA 15 85 36 BOGOTA                          </t>
  </si>
  <si>
    <t>EDIFICIO CENTRO COUNTRY</t>
  </si>
  <si>
    <t>860.353.908-7</t>
  </si>
  <si>
    <t>T087</t>
  </si>
  <si>
    <t xml:space="preserve">TIENDA 87Calle 30A No,82A-26 Local 1006 CC MOLINOS     </t>
  </si>
  <si>
    <t>900.088.977-3</t>
  </si>
  <si>
    <t>T088</t>
  </si>
  <si>
    <t>TIENDA 88 CENTRO COMERCIAL VILLA COUNTRY</t>
  </si>
  <si>
    <t>800.234.027-5</t>
  </si>
  <si>
    <t>T090</t>
  </si>
  <si>
    <t>TIENDA 90 C.C. ATLANTI</t>
  </si>
  <si>
    <t>MULTIPLIKA</t>
  </si>
  <si>
    <t>800256769-6</t>
  </si>
  <si>
    <t>T091</t>
  </si>
  <si>
    <t>TIENDA 91 C.C. TITAN PLAZA</t>
  </si>
  <si>
    <t>TITAN PLAZA CENTRO COMERCIAL Y EM</t>
  </si>
  <si>
    <t>900.534.711-5</t>
  </si>
  <si>
    <t>T092</t>
  </si>
  <si>
    <t>TIENDA 92 C.C AV 60 Y AV AMBALA CC LA ESTACION</t>
  </si>
  <si>
    <t>LA ESTACION CENTRO COMERCIAL</t>
  </si>
  <si>
    <t>900.680.029-4</t>
  </si>
  <si>
    <t>T096</t>
  </si>
  <si>
    <t>TIENDA 96 SANTAFE 2 LOCAL 1-188</t>
  </si>
  <si>
    <t>R007</t>
  </si>
  <si>
    <t>TESORO</t>
  </si>
  <si>
    <t>ALIANZA FIDUCIARIA SA FIDEICOMISOS</t>
  </si>
  <si>
    <t>T138</t>
  </si>
  <si>
    <t>PARQUE ARBOLEDA</t>
  </si>
  <si>
    <t>900.079.790-5</t>
  </si>
  <si>
    <t>NOMBRE TIENDA</t>
  </si>
  <si>
    <t>CIUDAD</t>
  </si>
  <si>
    <t>CECO</t>
  </si>
  <si>
    <t>ACREEDOR ARRIENDO</t>
  </si>
  <si>
    <t>PROVEEDOR ARRIENDO</t>
  </si>
  <si>
    <t>VALOR ACTUAL CANON</t>
  </si>
  <si>
    <t>IVA CANON</t>
  </si>
  <si>
    <t>IVA DEDUCIBLE VW</t>
  </si>
  <si>
    <t>IVA PRORRATEO VQ</t>
  </si>
  <si>
    <t>PORCENTAJE IVA VW</t>
  </si>
  <si>
    <t>PORCENTAJE IVA VQ</t>
  </si>
  <si>
    <t>Nueva Oficina</t>
  </si>
  <si>
    <t>Bogota</t>
  </si>
  <si>
    <t>PATRIMONIOS AUTONOMOS ADMINISTRADOS / DAVIVIENDA</t>
  </si>
  <si>
    <t>830053700-6</t>
  </si>
  <si>
    <t>Ray Ban Unicentro</t>
  </si>
  <si>
    <t>Ray Ban Colina</t>
  </si>
  <si>
    <t>ADMINISTRADORA PARQUE ARAUCO</t>
  </si>
  <si>
    <t>901394357-2</t>
  </si>
  <si>
    <t>Ray Ban Andino</t>
  </si>
  <si>
    <t>PAÑOS ATLAS S.A.</t>
  </si>
  <si>
    <t>Ray Ban B/quilla</t>
  </si>
  <si>
    <t>Barranquilla</t>
  </si>
  <si>
    <t>ITAU FIDUCIARIA P.A/patrimonios Autonomos</t>
  </si>
  <si>
    <t>Ray Ban Serrezuela</t>
  </si>
  <si>
    <t>Cartagena</t>
  </si>
  <si>
    <t>218358/238658</t>
  </si>
  <si>
    <t>PROMOTORA ACR SAS/PLAZA LA SERREZUELA/FIDECOMISOS</t>
  </si>
  <si>
    <t>901249695-7</t>
  </si>
  <si>
    <t>Tesoro</t>
  </si>
  <si>
    <t>Medellin</t>
  </si>
  <si>
    <t>LA MEMORIA S.A.S</t>
  </si>
  <si>
    <t>900425964-4</t>
  </si>
  <si>
    <t>SGH601</t>
  </si>
  <si>
    <t>CC. ANDINO</t>
  </si>
  <si>
    <t>ADARVE E HIJOS LTDA</t>
  </si>
  <si>
    <t>860053845-4</t>
  </si>
  <si>
    <t>SGH602</t>
  </si>
  <si>
    <t>CC. UNICENTRO BOGOTÁ</t>
  </si>
  <si>
    <t>79681254-2</t>
  </si>
  <si>
    <t>SGH604</t>
  </si>
  <si>
    <t>CC. MULTIPLAZA</t>
  </si>
  <si>
    <t>CORPORACION DE INVERSIONES DE COLOMBIA S</t>
  </si>
  <si>
    <t>SGH605</t>
  </si>
  <si>
    <t>CC.PREMIUM OUTLET ARAUCO</t>
  </si>
  <si>
    <t>SGH606</t>
  </si>
  <si>
    <t>CC. COLINA</t>
  </si>
  <si>
    <t>SGH607</t>
  </si>
  <si>
    <t>AEROPUERTO DORADO</t>
  </si>
  <si>
    <t>PATRIMONIOS AUTONOMOS FIDUCIARIA BA / OPAIN</t>
  </si>
  <si>
    <t>SGH608</t>
  </si>
  <si>
    <t>FONTANAR</t>
  </si>
  <si>
    <t>DESARROLLADORA CC FONTANAR SAS 1</t>
  </si>
  <si>
    <t>SGH632</t>
  </si>
  <si>
    <t>AEROPUERTO MEDELLIN</t>
  </si>
  <si>
    <t>A544</t>
  </si>
  <si>
    <t>AIRPLAN/OPERADORA DE AEROPUERTOS AUTONORTE</t>
  </si>
  <si>
    <t>900205407-1</t>
  </si>
  <si>
    <t>SGH635</t>
  </si>
  <si>
    <t>C.C. Santafé Local 2-127</t>
  </si>
  <si>
    <t>C.C. El Tesoro</t>
  </si>
  <si>
    <t>SANTA JUANA INMOBILIARIA S,A,</t>
  </si>
  <si>
    <t>800101493-3</t>
  </si>
  <si>
    <t>C.C. Centro Chía</t>
  </si>
  <si>
    <t>Chia</t>
  </si>
  <si>
    <t>INVERSIONES GERICO</t>
  </si>
  <si>
    <t>800129936-6</t>
  </si>
  <si>
    <t>C.C. Oviedo</t>
  </si>
  <si>
    <t>900467139-4</t>
  </si>
  <si>
    <t>C.C. Los Molinos</t>
  </si>
  <si>
    <t>901030150-3</t>
  </si>
  <si>
    <t xml:space="preserve">C.C. Gran Estación </t>
  </si>
  <si>
    <t>INVERSIONES GALMAPO</t>
  </si>
  <si>
    <t>900333654-0</t>
  </si>
  <si>
    <t>C.C. San Diego</t>
  </si>
  <si>
    <t>901026014-4</t>
  </si>
  <si>
    <t>T012</t>
  </si>
  <si>
    <t>Av. 19 Con 138</t>
  </si>
  <si>
    <t>C.C. Gran Estación</t>
  </si>
  <si>
    <t>19166102-5</t>
  </si>
  <si>
    <t>T014</t>
  </si>
  <si>
    <t>Carrera 7</t>
  </si>
  <si>
    <t>Pereira</t>
  </si>
  <si>
    <t>PEDRO JOSE LEMUS TRUJILLO / PROMOTORA LEMUS</t>
  </si>
  <si>
    <t>816007849-8</t>
  </si>
  <si>
    <t>C.C. Unicentro Cali I</t>
  </si>
  <si>
    <t>Cali</t>
  </si>
  <si>
    <t>31212864-1</t>
  </si>
  <si>
    <t>Chipichape</t>
  </si>
  <si>
    <t>CARMEN FARIDE HAZZI</t>
  </si>
  <si>
    <t>29064203-9</t>
  </si>
  <si>
    <t>T025</t>
  </si>
  <si>
    <t>Carrera 8</t>
  </si>
  <si>
    <t>GESTIONAR ANGEL Y CIA</t>
  </si>
  <si>
    <t>816003192-1</t>
  </si>
  <si>
    <t>C.C. Palmetto Plaza</t>
  </si>
  <si>
    <t>900404964-4</t>
  </si>
  <si>
    <t>T030</t>
  </si>
  <si>
    <t>CC. Unicentro Bogotá</t>
  </si>
  <si>
    <t xml:space="preserve">LYA S.A.S </t>
  </si>
  <si>
    <t>1026261501-3/1019012543-1</t>
  </si>
  <si>
    <t>C.C La Florida</t>
  </si>
  <si>
    <t>Bucaramanga</t>
  </si>
  <si>
    <t>Bulevar Niza</t>
  </si>
  <si>
    <t>CENTRO COMERCIAL BULEVAR NIZA</t>
  </si>
  <si>
    <t>800056712-9</t>
  </si>
  <si>
    <t>C.C. Premium Plaza</t>
  </si>
  <si>
    <t>C.C. Megamall</t>
  </si>
  <si>
    <t>INMOBILIARIA CECILIA DE DIAZ</t>
  </si>
  <si>
    <t>804000347-7</t>
  </si>
  <si>
    <t>Cc Cabecera La Quinta</t>
  </si>
  <si>
    <t>23255390-6</t>
  </si>
  <si>
    <t>Cc Salitre Plaza I</t>
  </si>
  <si>
    <t>HILDEBRANDO URDINOLA</t>
  </si>
  <si>
    <t xml:space="preserve">BEATRIZ DE CONTRERAS </t>
  </si>
  <si>
    <t>Cc Hayuelos</t>
  </si>
  <si>
    <t>INMOBILIARIA MAURICIO AMAYA O &amp; CIA LTDA</t>
  </si>
  <si>
    <t>800243589-0</t>
  </si>
  <si>
    <t>Cc Salitre Plaza Ii</t>
  </si>
  <si>
    <t>17074400-2</t>
  </si>
  <si>
    <t>Cedritos 2</t>
  </si>
  <si>
    <t>900499174-1</t>
  </si>
  <si>
    <t>Cc Plaza De Las Américas</t>
  </si>
  <si>
    <t>Cc Mayorca</t>
  </si>
  <si>
    <t>890907824-5</t>
  </si>
  <si>
    <t>T051</t>
  </si>
  <si>
    <t>Armenia Cra 14</t>
  </si>
  <si>
    <t>Armenia</t>
  </si>
  <si>
    <t>T GESTIONA S.A.S.</t>
  </si>
  <si>
    <t>900415305-8</t>
  </si>
  <si>
    <t>Cable Plaza</t>
  </si>
  <si>
    <t>Manizales</t>
  </si>
  <si>
    <t>30327779-2</t>
  </si>
  <si>
    <t>Portal 80</t>
  </si>
  <si>
    <t>860501029-3</t>
  </si>
  <si>
    <t>Buenavista</t>
  </si>
  <si>
    <t>INMOBILIARIA SALOMON SALES &amp; CIA S.A</t>
  </si>
  <si>
    <t>890102508-7</t>
  </si>
  <si>
    <t>T061</t>
  </si>
  <si>
    <t>Av. San Martin</t>
  </si>
  <si>
    <t xml:space="preserve">INVERSIONES LEQUERICA BORGE Y </t>
  </si>
  <si>
    <t>900007552-0</t>
  </si>
  <si>
    <t>Plaza Imperial 2</t>
  </si>
  <si>
    <t>860014223-7</t>
  </si>
  <si>
    <t>Plaza Caribe</t>
  </si>
  <si>
    <t>CARLOS DURAN SAS 1</t>
  </si>
  <si>
    <t>860069492-8</t>
  </si>
  <si>
    <t>Jardín Plaza</t>
  </si>
  <si>
    <t>Carrera 11</t>
  </si>
  <si>
    <t>F.A &amp; JOTAS LTDA</t>
  </si>
  <si>
    <t>900153240-2</t>
  </si>
  <si>
    <t>Sta. Fe Medellín</t>
  </si>
  <si>
    <t>CARLOS DURAN SAS 3</t>
  </si>
  <si>
    <t>Centro Mayor I</t>
  </si>
  <si>
    <t>CARLOS DURAN SAS 4</t>
  </si>
  <si>
    <t>Centro 93</t>
  </si>
  <si>
    <t>900094025-1</t>
  </si>
  <si>
    <t>San Nicolás</t>
  </si>
  <si>
    <t>Rionegro</t>
  </si>
  <si>
    <t>OBANDO GIRALDO S.A</t>
  </si>
  <si>
    <t>Portal Prado</t>
  </si>
  <si>
    <t>SOCINSA S.A</t>
  </si>
  <si>
    <t>802001157-1</t>
  </si>
  <si>
    <t>Multicentro</t>
  </si>
  <si>
    <t>Ibague</t>
  </si>
  <si>
    <t>65753439-7</t>
  </si>
  <si>
    <t>Fundadores</t>
  </si>
  <si>
    <t>810006984-8</t>
  </si>
  <si>
    <t>Centro Mayor Ii</t>
  </si>
  <si>
    <t>CARLOS DURAN SAS 5</t>
  </si>
  <si>
    <t>Molinos Ii</t>
  </si>
  <si>
    <t>CARLOS DURAN SAS 6</t>
  </si>
  <si>
    <t>Villa Country</t>
  </si>
  <si>
    <t>CARLOS DURAN SAS 7</t>
  </si>
  <si>
    <t>C.C. Atlantis</t>
  </si>
  <si>
    <t>C.C. Titán</t>
  </si>
  <si>
    <t>830508161-0</t>
  </si>
  <si>
    <t>PUNTO S. A</t>
  </si>
  <si>
    <t>800235419-3</t>
  </si>
  <si>
    <t>C.C. Estación</t>
  </si>
  <si>
    <t>CARLOS DURAN SAS 8</t>
  </si>
  <si>
    <t>C.C. Santafe</t>
  </si>
  <si>
    <t>CARLOS DURAN SAS</t>
  </si>
  <si>
    <t>C.C. Buenavista</t>
  </si>
  <si>
    <t>Santa Marta</t>
  </si>
  <si>
    <t>4491359-9</t>
  </si>
  <si>
    <t>inversiones glc</t>
  </si>
  <si>
    <t>900025381-4</t>
  </si>
  <si>
    <t>Girardot</t>
  </si>
  <si>
    <t>SCORPIO INVERSIONES S,A,</t>
  </si>
  <si>
    <t>830113477-6</t>
  </si>
  <si>
    <t>Gran Plaza Del Sol</t>
  </si>
  <si>
    <t>PATRIMONIOS AUTONOMOS FIDUCIARIA BANCOLOMBIA S.A.
GRAN PLAZA DEL SOL</t>
  </si>
  <si>
    <t>830054539-0</t>
  </si>
  <si>
    <t>Caracoli</t>
  </si>
  <si>
    <t>Cc Unico</t>
  </si>
  <si>
    <t>Pasto</t>
  </si>
  <si>
    <t>900454187-1</t>
  </si>
  <si>
    <t>Viva Villavicencio</t>
  </si>
  <si>
    <t>Villavicencio</t>
  </si>
  <si>
    <t>FIDUCOLOMBIA P.A. CONCESION ASEO DC/patrimonos autonomos fiduciaria</t>
  </si>
  <si>
    <t>Cc. Arrecife</t>
  </si>
  <si>
    <t>830030914-6</t>
  </si>
  <si>
    <t xml:space="preserve">MORALES PRIETO LILIANA </t>
  </si>
  <si>
    <t>52171996-2</t>
  </si>
  <si>
    <t>Cc. Bocagrande</t>
  </si>
  <si>
    <t>FURNI</t>
  </si>
  <si>
    <t>900528359-0</t>
  </si>
  <si>
    <t>Cc. Colina</t>
  </si>
  <si>
    <t>Cc. Mall Plaza</t>
  </si>
  <si>
    <t>MALLPLAZA SERVICIOS SAS</t>
  </si>
  <si>
    <t>Cc. San Rafael</t>
  </si>
  <si>
    <t>800140521-8</t>
  </si>
  <si>
    <t>Unico Yumbo</t>
  </si>
  <si>
    <t>Unico Neiva</t>
  </si>
  <si>
    <t>Neiva</t>
  </si>
  <si>
    <t>Unico Barranquilla</t>
  </si>
  <si>
    <t>Unicentro V/cencio</t>
  </si>
  <si>
    <t>SCORPIO INVERSIONES SA</t>
  </si>
  <si>
    <t>Unicentro Bogota</t>
  </si>
  <si>
    <t>A. MORA E HIJOS SAS</t>
  </si>
  <si>
    <t>900282141-4</t>
  </si>
  <si>
    <t>C,C MULTIPLAZA</t>
  </si>
  <si>
    <t>Unicentro Armenia</t>
  </si>
  <si>
    <t>CONSTRUCTORA E INMOBILIARIA</t>
  </si>
  <si>
    <t>Portal del Norte</t>
  </si>
  <si>
    <t>Av. Chile</t>
  </si>
  <si>
    <t>ORGANIZACION SANTAMARIA</t>
  </si>
  <si>
    <t>900161580-5</t>
  </si>
  <si>
    <t>Palatino</t>
  </si>
  <si>
    <t>AMBIENTTI CONSTRUCTORA INMOBILIARIA 1</t>
  </si>
  <si>
    <t>C.C. Gran Estación III</t>
  </si>
  <si>
    <t>Cacique</t>
  </si>
  <si>
    <t>CC. Viva Envigado</t>
  </si>
  <si>
    <t>Envigado</t>
  </si>
  <si>
    <t>ITAU FIDUCIARIA P.A /patrimonios Autonomos</t>
  </si>
  <si>
    <t>830053963-6</t>
  </si>
  <si>
    <t>Fontanar</t>
  </si>
  <si>
    <t>PEREIRA</t>
  </si>
  <si>
    <t>.</t>
  </si>
  <si>
    <t>ARRIENDOS</t>
  </si>
  <si>
    <t>ADMINISTRACION</t>
  </si>
  <si>
    <t>ENERGIA</t>
  </si>
  <si>
    <t>ACUEDUCTO</t>
  </si>
  <si>
    <t>A2</t>
  </si>
  <si>
    <t>RETE. FTE ARRIENDO</t>
  </si>
  <si>
    <t>RENTA VARIABLE</t>
  </si>
  <si>
    <t xml:space="preserve">CENTRO </t>
  </si>
  <si>
    <t>C.C.</t>
  </si>
  <si>
    <t>DES. AUT.</t>
  </si>
  <si>
    <t>DES. AUT</t>
  </si>
  <si>
    <t>SUMINISTROS PARTES Y COMPONENTES SAS</t>
  </si>
  <si>
    <t>NO</t>
  </si>
  <si>
    <t>ROBERTO ARBOLEDA ANGULO</t>
  </si>
  <si>
    <t>10531154-0</t>
  </si>
  <si>
    <t>ENRIQUE SALDARRIAGA MARTINEZ</t>
  </si>
  <si>
    <t>79380986-3</t>
  </si>
  <si>
    <t>JUANA MARIA SALDARRIAGA</t>
  </si>
  <si>
    <t>35469272-8</t>
  </si>
  <si>
    <t>ITAU FIDUCIARIA P.A / patrimonios Autonomos 1</t>
  </si>
  <si>
    <t>VARIABLE</t>
  </si>
  <si>
    <t>NO HAY VARIBLE</t>
  </si>
  <si>
    <t>NO LLEGO VARIABLE</t>
  </si>
  <si>
    <t>LUQUE OSPINA &amp; CIA SAS</t>
  </si>
  <si>
    <t>SGH603</t>
  </si>
  <si>
    <t>CC. SANTA FE BOGOTÁ</t>
  </si>
  <si>
    <t>860008313-7</t>
  </si>
  <si>
    <t>XIMENA CORREA RINCON</t>
  </si>
  <si>
    <t xml:space="preserve"> Cable Plaza</t>
  </si>
  <si>
    <t xml:space="preserve">SGH606 </t>
  </si>
  <si>
    <t xml:space="preserve">SGH608 </t>
  </si>
  <si>
    <t>RC 2 SAS - EXCEDENTE</t>
  </si>
  <si>
    <t xml:space="preserve"> C.C. Buenavista</t>
  </si>
  <si>
    <t xml:space="preserve"> Girardot</t>
  </si>
  <si>
    <t xml:space="preserve">FIDUCOLOMBIA P.A. CONCESION ASEO DC / GRAN PLAZA </t>
  </si>
  <si>
    <t xml:space="preserve"> Gran Plaza Del Sol</t>
  </si>
  <si>
    <t>Centenario</t>
  </si>
  <si>
    <t>900325566-7</t>
  </si>
  <si>
    <t>INVERSIONES INMOBILIARIAS BUCARAMANGA ARAUCO SAS</t>
  </si>
  <si>
    <t>900460297-8</t>
  </si>
  <si>
    <t>NO HAY VARIABLE</t>
  </si>
  <si>
    <t>CENTROS COMERCIALES DEL SUR SAS-variable</t>
  </si>
  <si>
    <t>FIDUCOLOMBIA P.A. CONCESION ASEO DC</t>
  </si>
  <si>
    <t>TECNOLOGIA INMOBILIARIA</t>
  </si>
  <si>
    <t>Prime Tower</t>
  </si>
  <si>
    <t>860031357-7</t>
  </si>
  <si>
    <t>206707</t>
  </si>
  <si>
    <t>SERGIO GRACIA GUTIERREZ</t>
  </si>
  <si>
    <t>Cc. Unicentro Pereira</t>
  </si>
  <si>
    <t>SERGIO GRACIA GUTIERREZ 1</t>
  </si>
  <si>
    <t>FIDUCOLOMBIA P.A. CONCESION ASEO DC / GRAN PLAZA 1</t>
  </si>
  <si>
    <t>Cc. Antares</t>
  </si>
  <si>
    <t>Nicolas jaramillo</t>
  </si>
  <si>
    <t>La florida Medellin</t>
  </si>
  <si>
    <t xml:space="preserve">CC. Santa fe 2 </t>
  </si>
  <si>
    <t>900658805-1</t>
  </si>
  <si>
    <t>JAIME GARCES SANTAMARIA</t>
  </si>
  <si>
    <t>79143264-9</t>
  </si>
  <si>
    <t>ITAU FIDUCIARIA P.A / patrimonios Autonomos</t>
  </si>
  <si>
    <t>DIANA ORTIZ</t>
  </si>
  <si>
    <t>INVERSORA PIPINTA S.A.S</t>
  </si>
  <si>
    <t>C.C Cosmocentro</t>
  </si>
  <si>
    <t>AMBIENTES INMOBILIARIOS S.A.S / INVER CASA IMPERIAL</t>
  </si>
  <si>
    <t>Centro De Bogotá</t>
  </si>
  <si>
    <t>800016107-1</t>
  </si>
  <si>
    <t>CRISTOBAL GUERRERO GUERRERO ALIX ASTRID GUERRERO 1</t>
  </si>
  <si>
    <t>T044</t>
  </si>
  <si>
    <t>Galerías</t>
  </si>
  <si>
    <t>51594265-9</t>
  </si>
  <si>
    <t>EDWIN A. GUERRERO ORTEGON 2</t>
  </si>
  <si>
    <t>SONIA JEANNETTE GUERRERO</t>
  </si>
  <si>
    <t>51594266-6</t>
  </si>
  <si>
    <t>LUNA VERDE LTDA</t>
  </si>
  <si>
    <t>T048</t>
  </si>
  <si>
    <t>Centro Avianca</t>
  </si>
  <si>
    <t>800107852-1</t>
  </si>
  <si>
    <t>LLEGA EN FEBRERO - SEMESTRAL</t>
  </si>
  <si>
    <t>FACTURA SEMESTRAL - LLEGO EN FEBRERO</t>
  </si>
  <si>
    <t xml:space="preserve"> Armenia Cra 14</t>
  </si>
  <si>
    <t xml:space="preserve"> Portal 80</t>
  </si>
  <si>
    <t xml:space="preserve"> Buenavista</t>
  </si>
  <si>
    <t xml:space="preserve"> Av. San Martin</t>
  </si>
  <si>
    <t xml:space="preserve"> Plaza Imperial 2</t>
  </si>
  <si>
    <t xml:space="preserve"> Jardín Plaza</t>
  </si>
  <si>
    <t xml:space="preserve"> Carrera 11</t>
  </si>
  <si>
    <t xml:space="preserve"> Sta. Fe Medellín</t>
  </si>
  <si>
    <t xml:space="preserve"> Centro Mayor I</t>
  </si>
  <si>
    <t xml:space="preserve"> Centro 93</t>
  </si>
  <si>
    <t xml:space="preserve"> San Nicolás</t>
  </si>
  <si>
    <t xml:space="preserve"> Portal Prado</t>
  </si>
  <si>
    <t xml:space="preserve"> Multicentro</t>
  </si>
  <si>
    <t xml:space="preserve"> Fundadores</t>
  </si>
  <si>
    <t xml:space="preserve"> Centro Mayor Ii</t>
  </si>
  <si>
    <t>NORA MARTIN DUARTE</t>
  </si>
  <si>
    <t>Cra 15 Con 85</t>
  </si>
  <si>
    <t xml:space="preserve"> Molinos Ii</t>
  </si>
  <si>
    <t xml:space="preserve"> Villa Country</t>
  </si>
  <si>
    <t xml:space="preserve"> C.C. Atlantis</t>
  </si>
  <si>
    <t xml:space="preserve"> C.C. Titán</t>
  </si>
  <si>
    <t xml:space="preserve"> C.C. Estación</t>
  </si>
  <si>
    <t>SGH612</t>
  </si>
  <si>
    <t>OFI PRINCIPAL</t>
  </si>
  <si>
    <t>r7</t>
  </si>
  <si>
    <t>CESADO 2023 - SIN NOTICE</t>
  </si>
  <si>
    <t>REEMPLAZO 5-129</t>
  </si>
  <si>
    <t>CATEGORIA</t>
  </si>
  <si>
    <t>CONTRATOS</t>
  </si>
  <si>
    <t>PRORRATEO</t>
  </si>
  <si>
    <t>OTRAS RETENCIONES</t>
  </si>
  <si>
    <t>RET.FTE.ARRIENDO</t>
  </si>
  <si>
    <t>01</t>
  </si>
  <si>
    <t>INVERSIONES GLC SAS</t>
  </si>
  <si>
    <t>14</t>
  </si>
  <si>
    <t>CENTRO COMERCIAL UNICENTRO</t>
  </si>
  <si>
    <t>UNICENTRO CALI</t>
  </si>
  <si>
    <t>CENTRO CHIA</t>
  </si>
  <si>
    <t>GRAN ESTACION CENTRO COMERCIAL PROPIEDAD HORIZONTAL</t>
  </si>
  <si>
    <t>LA ESTACION CENTRO COMERCIAL - PROPIEDAD</t>
  </si>
  <si>
    <t>CENTRO COMERCIAL SANTAFE PROPIEDAD HORIZONTAL</t>
  </si>
  <si>
    <t>GTO VTA -SERV ELECT</t>
  </si>
  <si>
    <t>GTO VTA -ASEO -VIG</t>
  </si>
  <si>
    <t>INTERES OTRA ENTIDAD</t>
  </si>
  <si>
    <t>SANTA JUANA INMOBILIARIA SAS</t>
  </si>
  <si>
    <t>PROMOTORA LEMUS ARBELAEZ S.A.S.</t>
  </si>
  <si>
    <t>LYA S A S</t>
  </si>
  <si>
    <t>PUNTO SAS</t>
  </si>
  <si>
    <t>EDIFICIO CENTRO COMERCIAL PORTAL DEL PRA</t>
  </si>
  <si>
    <t>CENTRO COMERCIAL LOS MOLINOS PH</t>
  </si>
  <si>
    <t>OTRAS RETENCIONES DE</t>
  </si>
  <si>
    <t>INMOBILIARIA CECILIA DIAZ</t>
  </si>
  <si>
    <t>CTO/GTO.X PAG. ARREN</t>
  </si>
  <si>
    <t>**</t>
  </si>
  <si>
    <t>SIN RETENCIONES</t>
  </si>
  <si>
    <t>AIRE ACONDICIONADO SIN RETENCIONES</t>
  </si>
  <si>
    <t>GTO.VTA.-S.ASEO-VIG</t>
  </si>
  <si>
    <t>CUENTA</t>
  </si>
  <si>
    <t>CT</t>
  </si>
  <si>
    <t>NOM CTA</t>
  </si>
  <si>
    <t>IMPORTE</t>
  </si>
  <si>
    <t>NOTA</t>
  </si>
  <si>
    <t xml:space="preserve">QUEDA AL VENDOR </t>
  </si>
  <si>
    <t>SE REGISTRA</t>
  </si>
  <si>
    <t xml:space="preserve">FORMULARIO </t>
  </si>
  <si>
    <t>SUBTOTAL</t>
  </si>
  <si>
    <t>IVA</t>
  </si>
  <si>
    <t>TOTAL FACTURA</t>
  </si>
  <si>
    <t>TOTAL ARRENDAMIENTO</t>
  </si>
  <si>
    <t>SUBTOTAL ARRENDAMIENTO</t>
  </si>
  <si>
    <t>IVA ARRENDAMIENTO</t>
  </si>
  <si>
    <t>CENTRO COMERCIAL CHIPICHAPE PROPIEDAD HORIZONTAL</t>
  </si>
  <si>
    <t>LA FLORIDA CENTRO CIAL</t>
  </si>
  <si>
    <t>EDIFICIO CENTRO COMERCIAL CABLE PLAZA PH</t>
  </si>
  <si>
    <t>PLAZA IMPERIAL CENTRO COMERCIAL PH</t>
  </si>
  <si>
    <t>TORRE AMADEUS - PROPIEDAD HORIZONTAL</t>
  </si>
  <si>
    <t>CTRO CIAL SAN NICOLAS PROPIEDAD HORIZONT</t>
  </si>
  <si>
    <t>TITAN PLAZA CENTRO COMERCIAL Y EMPRESARIAL - PROPIEDAD HORIZONTAL</t>
  </si>
  <si>
    <t>LA SABANA CENTRO COMERCIAL</t>
  </si>
  <si>
    <t>VERIFICAR</t>
  </si>
  <si>
    <t>CXP TRADE</t>
  </si>
  <si>
    <t>Compensación Pasivo</t>
  </si>
  <si>
    <t>GTO VTA - FONDO PROM</t>
  </si>
  <si>
    <t>GTO.VTA.- SERV.ACUED</t>
  </si>
  <si>
    <t>GTO VTA - MANT AREAS</t>
  </si>
  <si>
    <t>10-2023 RF T-101 6776</t>
  </si>
  <si>
    <t>GTO.VTA.- SERV ELECT</t>
  </si>
  <si>
    <t>GTO VTA - ARRIENDOS</t>
  </si>
  <si>
    <t>1,524,969-</t>
  </si>
  <si>
    <t>COMPARTIMIENTO ASIS INVEST</t>
  </si>
  <si>
    <t>INMOBIL SALOMON SALES &amp; COMPAÑIA SA</t>
  </si>
  <si>
    <t>11,654,819-</t>
  </si>
  <si>
    <t>EDIFICIO TORRE 123 PH</t>
  </si>
  <si>
    <t>FURNI INV SAS</t>
  </si>
  <si>
    <t>CENTRO AVENIDA DE CHILE P.H.</t>
  </si>
  <si>
    <t>PATRIMONIOS AUTONOMOS CREDICORP CAPITAL FIDUCIARIA S.A. .</t>
  </si>
  <si>
    <t>AIRPLAN</t>
  </si>
  <si>
    <t>CENTRO AVENIDA DE CHILE PH</t>
  </si>
  <si>
    <t>ACUEDUCTO Y ACANTARILLADO</t>
  </si>
  <si>
    <t>ENERGÍA</t>
  </si>
  <si>
    <t>TOTALES</t>
  </si>
  <si>
    <t>VAT INPUT</t>
  </si>
  <si>
    <t>ARRIENDO VARIABLE</t>
  </si>
  <si>
    <t>SOCIEDAD DE INMUEBLES AERONAUTICOS DE NEMOCON SAS</t>
  </si>
  <si>
    <t>OBANDO GIRALDO SAS</t>
  </si>
  <si>
    <t>SE COMPENZA AL VENDOR 204551</t>
  </si>
  <si>
    <t>SOCIEDAD OPERADORA</t>
  </si>
  <si>
    <t>6627</t>
  </si>
  <si>
    <t>HAZZI MAGLIONI CARMEN FARIDE</t>
  </si>
  <si>
    <t>633,325-</t>
  </si>
  <si>
    <t>948,497-</t>
  </si>
  <si>
    <t>T-GESTIONA</t>
  </si>
  <si>
    <t xml:space="preserve">T051 </t>
  </si>
  <si>
    <t>ADARVE E HIJOS</t>
  </si>
  <si>
    <t>A2 A1</t>
  </si>
  <si>
    <t xml:space="preserve">ARRIENDOS Y GC </t>
  </si>
  <si>
    <t>INVERSIONES NAUTICA/AMBIENTI</t>
  </si>
  <si>
    <t xml:space="preserve">ARRIENDOS </t>
  </si>
  <si>
    <t>RENTAL ANDINA</t>
  </si>
  <si>
    <t>ZILLIKON CONSULTING</t>
  </si>
  <si>
    <t>726,847-</t>
  </si>
  <si>
    <t>145,490-</t>
  </si>
  <si>
    <t>527,138-</t>
  </si>
  <si>
    <t>ANUAR MUSTAFA BASHI</t>
  </si>
  <si>
    <t>A2 19</t>
  </si>
  <si>
    <t>CENTRAL CONTROL</t>
  </si>
  <si>
    <t xml:space="preserve"> CENTRO COMERCIAL ARRECIFE</t>
  </si>
  <si>
    <t>CENTRO COMERCIAL PASEO SAN RAFAEL P</t>
  </si>
  <si>
    <t>A2 01</t>
  </si>
  <si>
    <t>CONSTRUCTORA E INMOBILIARIA LOS CAMBULOS</t>
  </si>
  <si>
    <t xml:space="preserve">A2 </t>
  </si>
  <si>
    <t>DESARROLLADORA CC FONTANAR SAS .</t>
  </si>
  <si>
    <t>ICA 24 YC</t>
  </si>
  <si>
    <t>PLAZA LA SERREZUELA SAS</t>
  </si>
  <si>
    <t>RC2 SAS</t>
  </si>
  <si>
    <t>INVERSIONES RZ</t>
  </si>
  <si>
    <t>ACUEDUCTO/ASEO</t>
  </si>
  <si>
    <t>CTRO CIAL Y DE NEGOCIOS ANDINO P.HORIZON</t>
  </si>
  <si>
    <t>ARRIENDOS/GC/FP</t>
  </si>
  <si>
    <t>SERVICIOS ESTRATEGICOS COMPARTIDOS S.A.S</t>
  </si>
  <si>
    <t>CONSTRUCCIONES Y BIENES S.A./ANTIOQUEÑA</t>
  </si>
  <si>
    <t>CASTAÑEDA Y ABELLO</t>
  </si>
  <si>
    <t>CENTRO COMERCIAL PALMETO</t>
  </si>
  <si>
    <t>CIUDADELA CIAL UNICEN CALI-PROP HOR</t>
  </si>
  <si>
    <t>F.A &amp; JOTAS SAS</t>
  </si>
  <si>
    <t>A2 10</t>
  </si>
  <si>
    <t>CENTRO COMERCIAL UNICENTRO V/CIO</t>
  </si>
  <si>
    <t>348827-204545</t>
  </si>
  <si>
    <t>TRANSPORTES GALE- GRUPO AMAYA A SAS</t>
  </si>
  <si>
    <t>INVERSIONES GALMAPO S.A.S</t>
  </si>
  <si>
    <t>SAFTA SAS</t>
  </si>
  <si>
    <t>PATRIMONIOS AUTONOMOS ADMON POR LA SOC F</t>
  </si>
  <si>
    <t>ARRIENDOS INMUEBLES</t>
  </si>
  <si>
    <t>FRANK LC SAS</t>
  </si>
  <si>
    <t>INVERSIONES GERICO S,A,S,</t>
  </si>
  <si>
    <t>NO TIENE</t>
  </si>
  <si>
    <t>checar arriendo fijo</t>
  </si>
  <si>
    <t>ITAU FIDUCIARIA PATRIMONIOS AUTONOM</t>
  </si>
  <si>
    <t>Auto</t>
  </si>
  <si>
    <t>Equipo</t>
  </si>
  <si>
    <t>Tienda cerrada</t>
  </si>
  <si>
    <t>Contrato variable</t>
  </si>
  <si>
    <t>VENCIDO</t>
  </si>
  <si>
    <t>Bodega cerrada</t>
  </si>
  <si>
    <t>CUENTA CONTABLE</t>
  </si>
  <si>
    <t>CODIGO IMPUESTO</t>
  </si>
  <si>
    <t>COPIA EN SAP</t>
  </si>
  <si>
    <t>ARRENDAMIENTO</t>
  </si>
  <si>
    <t xml:space="preserve">SE REGISTRA A </t>
  </si>
  <si>
    <t>↓</t>
  </si>
  <si>
    <t>SE COMPENZA ↑</t>
  </si>
  <si>
    <t>SE REGISTRA ↓</t>
  </si>
  <si>
    <t>QUEDA AL VENDOR ↓</t>
  </si>
  <si>
    <t>RETENCION FTE</t>
  </si>
  <si>
    <t>RETENCION ICA</t>
  </si>
  <si>
    <t>SUBTOTAL REAL</t>
  </si>
  <si>
    <t>GESTIONAR ANGEL</t>
  </si>
  <si>
    <t>SE COMPENZA</t>
  </si>
  <si>
    <t xml:space="preserve"> ↓</t>
  </si>
  <si>
    <t>SE REGISTRA A ↑</t>
  </si>
  <si>
    <t>CUENTAS DE MAYOR PARA ARRIENDOS</t>
  </si>
  <si>
    <t>ARRIENDOS FIJOS</t>
  </si>
  <si>
    <t>ADMINISTRACIÓN SELL CAM</t>
  </si>
  <si>
    <t>ADMINISTRACIÓN VARIABLE</t>
  </si>
  <si>
    <t>FONDO DE PROMOCIÓN SELL MEDIA</t>
  </si>
  <si>
    <t>FONDO DE PROMOCIÓN (QUE NO ESTÁ EN EL ARCHIVO)</t>
  </si>
  <si>
    <t xml:space="preserve">INTERESES MORA </t>
  </si>
  <si>
    <t>EL ARCHIVO DE CONTRATO CON CONDICIONES LO ENVÍA SUSAN MENSUALMENTE</t>
  </si>
  <si>
    <t>CUENTA DEL IVA</t>
  </si>
  <si>
    <t>Imprevistos</t>
  </si>
  <si>
    <t>Se van a la cuenta de Administración</t>
  </si>
  <si>
    <t>Expensas</t>
  </si>
  <si>
    <t>TOTAL EGRESO EN BANCO</t>
  </si>
  <si>
    <t xml:space="preserve">PALOMITA AL INGRESO </t>
  </si>
  <si>
    <t>CE REGISTRO</t>
  </si>
  <si>
    <t>CAJA MENOR</t>
  </si>
  <si>
    <t>PALOMITA</t>
  </si>
  <si>
    <t>JUANITO</t>
  </si>
  <si>
    <t>DEVOLUCION</t>
  </si>
  <si>
    <t>ESTE NO SE PALOMEA</t>
  </si>
  <si>
    <t xml:space="preserve">PANCHITO </t>
  </si>
  <si>
    <t>PORQUE LO ELIMINAN</t>
  </si>
  <si>
    <t>PERENGANITO</t>
  </si>
  <si>
    <t xml:space="preserve">AL DIA SIGUIENTE TE APARECE </t>
  </si>
  <si>
    <t xml:space="preserve">DEVOLUCION POSITIVA EN BANCO </t>
  </si>
  <si>
    <t>PALOMITA A LA DEV EN BANCO</t>
  </si>
  <si>
    <t xml:space="preserve">Y EL CE DE LOS 50 TE LO VAN A CANCELAR ASI QUE TU PALOMEARIAS SOLAMENTE </t>
  </si>
  <si>
    <t>ENERGIA/ACUEDUCTO</t>
  </si>
  <si>
    <t>MESA SEPULVEDA LUIS ARTURO</t>
  </si>
  <si>
    <t>07-2023 RF/GC T-115 8859</t>
  </si>
  <si>
    <t>9102</t>
  </si>
  <si>
    <t>6603</t>
  </si>
  <si>
    <t>CARLOS DURAN Y ASOCIADOS LTDA</t>
  </si>
  <si>
    <t>TR003</t>
  </si>
  <si>
    <t>T55</t>
  </si>
  <si>
    <t>TSGH601</t>
  </si>
  <si>
    <t xml:space="preserve">T47 </t>
  </si>
  <si>
    <t>T66</t>
  </si>
  <si>
    <t xml:space="preserve">T74 </t>
  </si>
  <si>
    <t xml:space="preserve">T75 </t>
  </si>
  <si>
    <t>T82</t>
  </si>
  <si>
    <t>T87</t>
  </si>
  <si>
    <t>T88</t>
  </si>
  <si>
    <t>T96</t>
  </si>
  <si>
    <t>TSGH602</t>
  </si>
  <si>
    <t>T69</t>
  </si>
  <si>
    <t>TR001</t>
  </si>
  <si>
    <t>T30</t>
  </si>
  <si>
    <t>T10</t>
  </si>
  <si>
    <t>TSGH608</t>
  </si>
  <si>
    <t>T52</t>
  </si>
  <si>
    <t>T49</t>
  </si>
  <si>
    <t>T04</t>
  </si>
  <si>
    <t>T19</t>
  </si>
  <si>
    <t>T70</t>
  </si>
  <si>
    <t>TSGH604</t>
  </si>
  <si>
    <t>TSGH632</t>
  </si>
  <si>
    <t>T41</t>
  </si>
  <si>
    <t>TSGH607</t>
  </si>
  <si>
    <t>TSGH635</t>
  </si>
  <si>
    <t>T64</t>
  </si>
  <si>
    <t xml:space="preserve">T106 </t>
  </si>
  <si>
    <t>T35</t>
  </si>
  <si>
    <t>6660</t>
  </si>
  <si>
    <t>P362  SGH Mall Plaza Buenavista</t>
  </si>
  <si>
    <t>CESADO 2024 - SIN NOTICE</t>
  </si>
  <si>
    <t>CESADO 2024 - SIN NOTICE // Tienda cerrada</t>
  </si>
  <si>
    <t>PARQUE ARAUCO COLOMBIA SA</t>
  </si>
  <si>
    <t>SIN RETENCIONES ACTUALMENTE</t>
  </si>
  <si>
    <t>por mil</t>
  </si>
  <si>
    <t>cambio de ica</t>
  </si>
  <si>
    <t>incentivo -</t>
  </si>
  <si>
    <t>EXPENSAS</t>
  </si>
  <si>
    <t>PUBLICIDAD</t>
  </si>
  <si>
    <t>VIGILANCIA</t>
  </si>
  <si>
    <t>IMPROVISTOS</t>
  </si>
  <si>
    <t>SGH638</t>
  </si>
  <si>
    <t>P336</t>
  </si>
  <si>
    <t>P362</t>
  </si>
  <si>
    <t>P757</t>
  </si>
  <si>
    <t>P757  Sunglass Hut Mall Plaza Cali</t>
  </si>
  <si>
    <t>5-P757</t>
  </si>
  <si>
    <t>"04-2024" RV T41 6626</t>
  </si>
  <si>
    <t>GTO.VTA.-OT.GASTOS</t>
  </si>
  <si>
    <t>P834</t>
  </si>
  <si>
    <t>COPROPIEDAD</t>
  </si>
  <si>
    <t>GTO VTA -SERV ELECTRICO</t>
  </si>
  <si>
    <t>RETRO PUBLICI</t>
  </si>
  <si>
    <t>MTTO</t>
  </si>
  <si>
    <t>RETRO MTTO</t>
  </si>
  <si>
    <t>RETRO EXPENSAS</t>
  </si>
  <si>
    <t>REGISTRO 290396 COMPENZA 206286</t>
  </si>
  <si>
    <t>REGISTRA 424899 COMPENSA A 204551</t>
  </si>
  <si>
    <t>8580 CENTRO COMERCIAL GRAN PLAZA DEL SOL CARRERA 32 N. 30-15 LOCAL 2-06 / 2-07</t>
  </si>
  <si>
    <t>6686 T61AV. SAN MARTIN. UBICADO EN CARRERA 2 NO. 10 - 44 CARTAGENA</t>
  </si>
  <si>
    <t>5-P362</t>
  </si>
  <si>
    <t>5-109</t>
  </si>
  <si>
    <t>5-055</t>
  </si>
  <si>
    <t>5-031</t>
  </si>
  <si>
    <t>NUEVO 2024</t>
  </si>
  <si>
    <t>TS642</t>
  </si>
  <si>
    <t>RETROACTIVO EXPENSAS</t>
  </si>
  <si>
    <t>RETROACTIVO PUBLICIDAD</t>
  </si>
  <si>
    <t>RETROACTIVO VIGILANCIA</t>
  </si>
  <si>
    <t>RETROACTIVO IMPROVISTOS</t>
  </si>
  <si>
    <t>RENTA FIJA</t>
  </si>
  <si>
    <t>SGH639</t>
  </si>
  <si>
    <t>D/A$S/H</t>
  </si>
  <si>
    <t>Imp$Amount</t>
  </si>
  <si>
    <t>Cod_Iva$Vat Code</t>
  </si>
  <si>
    <t>Conto$GL Account</t>
  </si>
  <si>
    <t>CdC$Cost Center</t>
  </si>
  <si>
    <t>ProfitCenter$Profit Center</t>
  </si>
  <si>
    <t>Text$Text</t>
  </si>
  <si>
    <t>Ordine$Internal Order</t>
  </si>
  <si>
    <t>Wbs$WBS</t>
  </si>
  <si>
    <t>LUCY 4</t>
  </si>
  <si>
    <t>SGH640</t>
  </si>
  <si>
    <t>SIN CELL CAM</t>
  </si>
  <si>
    <t>PROF. CENTER</t>
  </si>
  <si>
    <t>CTA</t>
  </si>
  <si>
    <t>COD IMPUESTO</t>
  </si>
  <si>
    <t>D/H</t>
  </si>
  <si>
    <t>TECTO</t>
  </si>
  <si>
    <t>6554</t>
  </si>
  <si>
    <t>5-0057</t>
  </si>
  <si>
    <t>P336 SGH Aeropuerto Barranquilla</t>
  </si>
  <si>
    <t>5-P336</t>
  </si>
  <si>
    <t>Attribuzione$Assignment</t>
  </si>
  <si>
    <t>Network$Network</t>
  </si>
  <si>
    <t>OpNetwork$OpNetwork</t>
  </si>
  <si>
    <t>MaterialNumber$Material Number</t>
  </si>
  <si>
    <t>Quantity$Quantity</t>
  </si>
  <si>
    <t>TransactionType$Transaction Type</t>
  </si>
  <si>
    <t>POR$POR#</t>
  </si>
  <si>
    <t>CompanyGL$CompanyGL</t>
  </si>
  <si>
    <t>Brand$Brand</t>
  </si>
  <si>
    <t>TradingPartner$Trading Partner</t>
  </si>
  <si>
    <t>PosOrd$Order Position</t>
  </si>
  <si>
    <t>OdaOdv$PO/SR</t>
  </si>
  <si>
    <t>SGH642</t>
  </si>
  <si>
    <t>ESTIMULO -</t>
  </si>
  <si>
    <t>J7</t>
  </si>
  <si>
    <t>TORRE 3 PROPIEDAD HORIZONTAL</t>
  </si>
  <si>
    <t>OFICINA T3</t>
  </si>
  <si>
    <t>9355</t>
  </si>
  <si>
    <t>REACTIVADO 2024</t>
  </si>
  <si>
    <t>5-0080</t>
  </si>
  <si>
    <t>6626-CENTRO COMERCIAL HAYUELOS - T041</t>
  </si>
  <si>
    <t>5-0022</t>
  </si>
  <si>
    <t>REEMPLAZO 5-140</t>
  </si>
  <si>
    <t>REEMPLAZO 5-134</t>
  </si>
  <si>
    <t>REEMPLAZO 5-133</t>
  </si>
  <si>
    <t>REEMPLAZO 5-137</t>
  </si>
  <si>
    <t>REEMPLAZO 5-135</t>
  </si>
  <si>
    <t>REEMPLAZO 5-139</t>
  </si>
  <si>
    <t>REEMPLAZO 5-136</t>
  </si>
  <si>
    <t>REEMPLAZO 5-132</t>
  </si>
  <si>
    <t>INTERESES</t>
  </si>
  <si>
    <t>5-00116</t>
  </si>
  <si>
    <t xml:space="preserve"> WATER &amp; SEWER</t>
  </si>
  <si>
    <t>"09-2024"  ACUEDUCTO OFICINA 81400742</t>
  </si>
  <si>
    <t>RETENCION SERVICIOS</t>
  </si>
  <si>
    <t>BASE DE RETENCIONES</t>
  </si>
  <si>
    <t>MULTIPLAZA P.H.</t>
  </si>
  <si>
    <t>SIN ICA</t>
  </si>
  <si>
    <t>P834-PLAZA LA SERREZUELA SAS</t>
  </si>
  <si>
    <t>5-P834</t>
  </si>
  <si>
    <t>5-077</t>
  </si>
  <si>
    <t>5-0104</t>
  </si>
  <si>
    <t>REEMPLAZO 5-143</t>
  </si>
  <si>
    <t>CESADO 2023 - SIN NOTICE // OF cerrada</t>
  </si>
  <si>
    <t>REEMPLAZO 5-144</t>
  </si>
  <si>
    <t>REEMPLAZO 5-141</t>
  </si>
  <si>
    <t>.  04</t>
  </si>
  <si>
    <t>MANTENIMIENTO DE TIENDAS</t>
  </si>
  <si>
    <t>CARLOS DURÁN Y ASOCIADOS</t>
  </si>
  <si>
    <t>Financ.pay.subs.co.</t>
  </si>
  <si>
    <t>OTHER WITHHOLDING TA</t>
  </si>
  <si>
    <t>REG 208208/COMPEN 207634</t>
  </si>
  <si>
    <t>CUOTA DE ADMINISTRACION</t>
  </si>
  <si>
    <t>FONDO DE IMPREVISTOS</t>
  </si>
  <si>
    <t>T139</t>
  </si>
  <si>
    <t>Q137</t>
  </si>
  <si>
    <t>REG 208208/COM 207634</t>
  </si>
  <si>
    <t>MORALES PRIETO LILIANA</t>
  </si>
  <si>
    <t>RENTAL ANDINA/207634CARLOS DURAN</t>
  </si>
  <si>
    <t>208208/207634</t>
  </si>
  <si>
    <t>ZILLIKON CONSULTING/207634 CARLOS DURAN</t>
  </si>
  <si>
    <t>208210/207634</t>
  </si>
  <si>
    <t>RAMIREZ NIETO MIRYAM</t>
  </si>
  <si>
    <t>G100771</t>
  </si>
  <si>
    <t>SE COMPENZA  ↓</t>
  </si>
  <si>
    <t>Retencion ica arrendamiento Safta 901638515 Santa Marta</t>
  </si>
  <si>
    <t>EXPENSAS COMUNES</t>
  </si>
  <si>
    <t>FONDO LEY 675</t>
  </si>
  <si>
    <t>PARTIDA REPARACIONES NECESARI</t>
  </si>
  <si>
    <t>FONDO RESERVA</t>
  </si>
  <si>
    <t>ENERGIA Y ACUEDUCTO SIN RETENCION</t>
  </si>
  <si>
    <t>CENTRO COMERCIAL ANDINO</t>
  </si>
  <si>
    <t>GTO.VTA.-S.ASEO-VIG /ACUED /AIRE ACONDICIONADO/ASEO FUMIGACION</t>
  </si>
  <si>
    <t>FONDO DE INVERSION COLECTIVA CERRADO INMOBILIARIO SKANDIA</t>
  </si>
  <si>
    <t>COMMON AREA MAINTENANCE</t>
  </si>
  <si>
    <t>GTO.VTA.-S.ASEO-VIG  /AIRE ACONDICIONADO/ASEO FUMIGACION</t>
  </si>
  <si>
    <t>8140074</t>
  </si>
  <si>
    <t>Invoice Prot. 8140250024460756</t>
  </si>
  <si>
    <t>FEA10454</t>
  </si>
  <si>
    <t>Invoice Prot. 8140250024460757</t>
  </si>
  <si>
    <t>Invoice Prot. 8140250024460812</t>
  </si>
  <si>
    <t>Invoice Prot. 8140250024460571</t>
  </si>
  <si>
    <t>FEA10453</t>
  </si>
  <si>
    <t>R208208/C207634</t>
  </si>
  <si>
    <t>6556</t>
  </si>
  <si>
    <t>6561</t>
  </si>
  <si>
    <t>6564</t>
  </si>
  <si>
    <t>6572</t>
  </si>
  <si>
    <t>6600</t>
  </si>
  <si>
    <t>6601</t>
  </si>
  <si>
    <t>6602</t>
  </si>
  <si>
    <t>6638</t>
  </si>
  <si>
    <t>6640</t>
  </si>
  <si>
    <t>6688</t>
  </si>
  <si>
    <t>6692</t>
  </si>
  <si>
    <t>6693</t>
  </si>
  <si>
    <t>6699</t>
  </si>
  <si>
    <t>6700</t>
  </si>
  <si>
    <t>6701</t>
  </si>
  <si>
    <t>6714</t>
  </si>
  <si>
    <t>6715</t>
  </si>
  <si>
    <t>6717</t>
  </si>
  <si>
    <t>6759</t>
  </si>
  <si>
    <t>6760</t>
  </si>
  <si>
    <t>6763</t>
  </si>
  <si>
    <t>6764</t>
  </si>
  <si>
    <t>6766</t>
  </si>
  <si>
    <t>6776</t>
  </si>
  <si>
    <t>8583</t>
  </si>
  <si>
    <t>8585</t>
  </si>
  <si>
    <t>8712</t>
  </si>
  <si>
    <t>8859</t>
  </si>
  <si>
    <t>8969</t>
  </si>
  <si>
    <t>9053</t>
  </si>
  <si>
    <t>9058</t>
  </si>
  <si>
    <t>9103</t>
  </si>
  <si>
    <t>9120</t>
  </si>
  <si>
    <t>9205</t>
  </si>
  <si>
    <t>9302</t>
  </si>
  <si>
    <t>9305</t>
  </si>
  <si>
    <t>6553</t>
  </si>
  <si>
    <t>6563</t>
  </si>
  <si>
    <t>6598</t>
  </si>
  <si>
    <t>6652</t>
  </si>
  <si>
    <t>6636</t>
  </si>
  <si>
    <t>6629</t>
  </si>
  <si>
    <t>9636</t>
  </si>
  <si>
    <t>8525</t>
  </si>
  <si>
    <t>6632</t>
  </si>
  <si>
    <t>8140074-NUEVA OFICINA ADMINISTRACIÓN COLOMBIA</t>
  </si>
  <si>
    <t>6767</t>
  </si>
  <si>
    <t>8751</t>
  </si>
  <si>
    <t>Q137 GMO Unico Bucaramanga</t>
  </si>
  <si>
    <t>6619</t>
  </si>
  <si>
    <t>8140015</t>
  </si>
  <si>
    <t>8140059</t>
  </si>
  <si>
    <t>6568</t>
  </si>
  <si>
    <t>6570</t>
  </si>
  <si>
    <t>6574</t>
  </si>
  <si>
    <t>6577</t>
  </si>
  <si>
    <t>6586</t>
  </si>
  <si>
    <t>6599</t>
  </si>
  <si>
    <t>6610</t>
  </si>
  <si>
    <t>6616</t>
  </si>
  <si>
    <t>6617</t>
  </si>
  <si>
    <t>6620</t>
  </si>
  <si>
    <t>6623</t>
  </si>
  <si>
    <t>6626</t>
  </si>
  <si>
    <t>6628</t>
  </si>
  <si>
    <t>6633</t>
  </si>
  <si>
    <t>6649</t>
  </si>
  <si>
    <t>6686</t>
  </si>
  <si>
    <t>6694</t>
  </si>
  <si>
    <t>6696</t>
  </si>
  <si>
    <t>6719</t>
  </si>
  <si>
    <t>6761</t>
  </si>
  <si>
    <t>6762</t>
  </si>
  <si>
    <t>8580</t>
  </si>
  <si>
    <t>8581</t>
  </si>
  <si>
    <t>8582</t>
  </si>
  <si>
    <t>8584</t>
  </si>
  <si>
    <t>8713</t>
  </si>
  <si>
    <t>8714</t>
  </si>
  <si>
    <t>8749</t>
  </si>
  <si>
    <t>8750</t>
  </si>
  <si>
    <t>8860</t>
  </si>
  <si>
    <t>8968</t>
  </si>
  <si>
    <t>8974</t>
  </si>
  <si>
    <t>8975</t>
  </si>
  <si>
    <t>9057</t>
  </si>
  <si>
    <t>9072</t>
  </si>
  <si>
    <t>9096</t>
  </si>
  <si>
    <t>9100</t>
  </si>
  <si>
    <t>9101</t>
  </si>
  <si>
    <t>9104</t>
  </si>
  <si>
    <t>9177</t>
  </si>
  <si>
    <t>9208</t>
  </si>
  <si>
    <t>9209</t>
  </si>
  <si>
    <t>9264</t>
  </si>
  <si>
    <t>9301</t>
  </si>
  <si>
    <t>9303</t>
  </si>
  <si>
    <t>9304</t>
  </si>
  <si>
    <t>9458</t>
  </si>
  <si>
    <t>9575</t>
  </si>
  <si>
    <t>9595</t>
  </si>
  <si>
    <t>9596</t>
  </si>
  <si>
    <t>6687</t>
  </si>
  <si>
    <t>6711</t>
  </si>
  <si>
    <t>9216</t>
  </si>
  <si>
    <t>6718</t>
  </si>
  <si>
    <t>6685</t>
  </si>
  <si>
    <t>6621</t>
  </si>
  <si>
    <t>5-0099</t>
  </si>
  <si>
    <t>5-0053</t>
  </si>
  <si>
    <t>5-0066</t>
  </si>
  <si>
    <t>5-0148</t>
  </si>
  <si>
    <t>5-0019</t>
  </si>
  <si>
    <t>REEMPLAZO 5-149</t>
  </si>
  <si>
    <t>REEMPLAZO 5-146</t>
  </si>
  <si>
    <t>REEMPLAZO 5-147</t>
  </si>
  <si>
    <t>Invoice Prot. 8140250025438311</t>
  </si>
  <si>
    <t>FEA10995</t>
  </si>
  <si>
    <t>FEA11272</t>
  </si>
  <si>
    <t>8140</t>
  </si>
  <si>
    <t>5000001</t>
  </si>
  <si>
    <t>5-6554</t>
  </si>
  <si>
    <t>5000002</t>
  </si>
  <si>
    <t>5-6556</t>
  </si>
  <si>
    <t>5000003</t>
  </si>
  <si>
    <t>5-6561</t>
  </si>
  <si>
    <t>5000004</t>
  </si>
  <si>
    <t>5-6564</t>
  </si>
  <si>
    <t>5000007</t>
  </si>
  <si>
    <t>5-6572</t>
  </si>
  <si>
    <t>5000012</t>
  </si>
  <si>
    <t>5-6600</t>
  </si>
  <si>
    <t>5000013</t>
  </si>
  <si>
    <t>5-6601</t>
  </si>
  <si>
    <t>5000014</t>
  </si>
  <si>
    <t>5-6602</t>
  </si>
  <si>
    <t>5000015</t>
  </si>
  <si>
    <t>5-6606</t>
  </si>
  <si>
    <t>5000018</t>
  </si>
  <si>
    <t>5-6617</t>
  </si>
  <si>
    <t>5000020</t>
  </si>
  <si>
    <t>5-6620</t>
  </si>
  <si>
    <t>5000028</t>
  </si>
  <si>
    <t>5-6638</t>
  </si>
  <si>
    <t>5000029</t>
  </si>
  <si>
    <t>5-6640</t>
  </si>
  <si>
    <t>5000032</t>
  </si>
  <si>
    <t>5-6688</t>
  </si>
  <si>
    <t>5000034</t>
  </si>
  <si>
    <t>5-6692</t>
  </si>
  <si>
    <t>5000035</t>
  </si>
  <si>
    <t>5-6693</t>
  </si>
  <si>
    <t>5000038</t>
  </si>
  <si>
    <t>5-6699</t>
  </si>
  <si>
    <t>5000039</t>
  </si>
  <si>
    <t>5-6700</t>
  </si>
  <si>
    <t>5000040</t>
  </si>
  <si>
    <t>5-6701</t>
  </si>
  <si>
    <t>5000041</t>
  </si>
  <si>
    <t>5-6714</t>
  </si>
  <si>
    <t>5000042</t>
  </si>
  <si>
    <t>5-6715</t>
  </si>
  <si>
    <t>5000043</t>
  </si>
  <si>
    <t>5-6716</t>
  </si>
  <si>
    <t>5000044</t>
  </si>
  <si>
    <t>5-6717</t>
  </si>
  <si>
    <t>5000046</t>
  </si>
  <si>
    <t>5-6759</t>
  </si>
  <si>
    <t>5000047</t>
  </si>
  <si>
    <t>5-6760</t>
  </si>
  <si>
    <t>5000050</t>
  </si>
  <si>
    <t>5000051</t>
  </si>
  <si>
    <t>5-6764</t>
  </si>
  <si>
    <t>5000052</t>
  </si>
  <si>
    <t>5-6766</t>
  </si>
  <si>
    <t>5000054</t>
  </si>
  <si>
    <t>5-6776</t>
  </si>
  <si>
    <t>5000058</t>
  </si>
  <si>
    <t>5-8583</t>
  </si>
  <si>
    <t>5000060</t>
  </si>
  <si>
    <t>5-8585</t>
  </si>
  <si>
    <t>5000061</t>
  </si>
  <si>
    <t>5-8712</t>
  </si>
  <si>
    <t>5000063</t>
  </si>
  <si>
    <t>5-8714</t>
  </si>
  <si>
    <t>5000067</t>
  </si>
  <si>
    <t>5-8859</t>
  </si>
  <si>
    <t>5000070</t>
  </si>
  <si>
    <t>5-8969</t>
  </si>
  <si>
    <t>5000076</t>
  </si>
  <si>
    <t>5-9058</t>
  </si>
  <si>
    <t>5000081</t>
  </si>
  <si>
    <t>5-9102</t>
  </si>
  <si>
    <t>5000082</t>
  </si>
  <si>
    <t>5-9103</t>
  </si>
  <si>
    <t>5000084</t>
  </si>
  <si>
    <t>5-9120</t>
  </si>
  <si>
    <t>5000086</t>
  </si>
  <si>
    <t>5-9205</t>
  </si>
  <si>
    <t>5000091</t>
  </si>
  <si>
    <t>5-9302</t>
  </si>
  <si>
    <t>5000094</t>
  </si>
  <si>
    <t>5-9305</t>
  </si>
  <si>
    <t>5000095</t>
  </si>
  <si>
    <t>5-9355</t>
  </si>
  <si>
    <t>5000096</t>
  </si>
  <si>
    <t>5-6603</t>
  </si>
  <si>
    <t>5000097</t>
  </si>
  <si>
    <t>5000098</t>
  </si>
  <si>
    <t>5-6553</t>
  </si>
  <si>
    <t>5000100</t>
  </si>
  <si>
    <t>5-6563</t>
  </si>
  <si>
    <t>5000110</t>
  </si>
  <si>
    <t>5-6598</t>
  </si>
  <si>
    <t>5000111</t>
  </si>
  <si>
    <t>5-6652</t>
  </si>
  <si>
    <t>5000112</t>
  </si>
  <si>
    <t>5-6636</t>
  </si>
  <si>
    <t>5000118</t>
  </si>
  <si>
    <t>5-6629</t>
  </si>
  <si>
    <t>5000125</t>
  </si>
  <si>
    <t>5000126</t>
  </si>
  <si>
    <t>5000127</t>
  </si>
  <si>
    <t>5-8525</t>
  </si>
  <si>
    <t>5000129</t>
  </si>
  <si>
    <t>5000130</t>
  </si>
  <si>
    <t>5000131</t>
  </si>
  <si>
    <t>5000132</t>
  </si>
  <si>
    <t>5000133</t>
  </si>
  <si>
    <t>5000134</t>
  </si>
  <si>
    <t>5000135</t>
  </si>
  <si>
    <t>5000137</t>
  </si>
  <si>
    <t>5000138</t>
  </si>
  <si>
    <t>5000139</t>
  </si>
  <si>
    <t>5000140</t>
  </si>
  <si>
    <t>5000141</t>
  </si>
  <si>
    <t>5000142</t>
  </si>
  <si>
    <t>5000143</t>
  </si>
  <si>
    <t>5000144</t>
  </si>
  <si>
    <t>5000145</t>
  </si>
  <si>
    <t>5000146</t>
  </si>
  <si>
    <t>5000147</t>
  </si>
  <si>
    <t>5000148</t>
  </si>
  <si>
    <t>5000149</t>
  </si>
  <si>
    <t>5000150</t>
  </si>
  <si>
    <t>5-0114</t>
  </si>
  <si>
    <t>1000001</t>
  </si>
  <si>
    <t/>
  </si>
  <si>
    <t>1000000</t>
  </si>
  <si>
    <t>3000000</t>
  </si>
  <si>
    <t>5000005</t>
  </si>
  <si>
    <t>5-6568</t>
  </si>
  <si>
    <t>5000006</t>
  </si>
  <si>
    <t>5-6570</t>
  </si>
  <si>
    <t>5000008</t>
  </si>
  <si>
    <t>5-6574</t>
  </si>
  <si>
    <t>5000009</t>
  </si>
  <si>
    <t>5-6577</t>
  </si>
  <si>
    <t>5000010</t>
  </si>
  <si>
    <t>5-6586</t>
  </si>
  <si>
    <t>5000011</t>
  </si>
  <si>
    <t>5-6599</t>
  </si>
  <si>
    <t>5000016</t>
  </si>
  <si>
    <t>5-6610</t>
  </si>
  <si>
    <t>5000017</t>
  </si>
  <si>
    <t>5-6616</t>
  </si>
  <si>
    <t>5000019</t>
  </si>
  <si>
    <t>5-6619</t>
  </si>
  <si>
    <t>5000021</t>
  </si>
  <si>
    <t>5-6623</t>
  </si>
  <si>
    <t>5000022</t>
  </si>
  <si>
    <t>5-6626</t>
  </si>
  <si>
    <t>5000023</t>
  </si>
  <si>
    <t>5-6627</t>
  </si>
  <si>
    <t>5000024</t>
  </si>
  <si>
    <t>5-6628</t>
  </si>
  <si>
    <t>5000026</t>
  </si>
  <si>
    <t>5-6632</t>
  </si>
  <si>
    <t>5000027</t>
  </si>
  <si>
    <t>5-6633</t>
  </si>
  <si>
    <t>5000030</t>
  </si>
  <si>
    <t>5-6649</t>
  </si>
  <si>
    <t>5000031</t>
  </si>
  <si>
    <t>5-6686</t>
  </si>
  <si>
    <t>5000036</t>
  </si>
  <si>
    <t>5-6694</t>
  </si>
  <si>
    <t>5000037</t>
  </si>
  <si>
    <t>5-6696</t>
  </si>
  <si>
    <t>5000045</t>
  </si>
  <si>
    <t>5-6719</t>
  </si>
  <si>
    <t>5000048</t>
  </si>
  <si>
    <t>5-6761</t>
  </si>
  <si>
    <t>5000049</t>
  </si>
  <si>
    <t>5-6762</t>
  </si>
  <si>
    <t>5000053</t>
  </si>
  <si>
    <t>5-6767</t>
  </si>
  <si>
    <t>5000055</t>
  </si>
  <si>
    <t>5-8580</t>
  </si>
  <si>
    <t>5000056</t>
  </si>
  <si>
    <t>5-8581</t>
  </si>
  <si>
    <t>5000057</t>
  </si>
  <si>
    <t>5-8582</t>
  </si>
  <si>
    <t>5000059</t>
  </si>
  <si>
    <t>5-8584</t>
  </si>
  <si>
    <t>5000062</t>
  </si>
  <si>
    <t>5-8713</t>
  </si>
  <si>
    <t>5000064</t>
  </si>
  <si>
    <t>5-8749</t>
  </si>
  <si>
    <t>5000065</t>
  </si>
  <si>
    <t>5-8750</t>
  </si>
  <si>
    <t>5000066</t>
  </si>
  <si>
    <t>5-8751</t>
  </si>
  <si>
    <t>5000068</t>
  </si>
  <si>
    <t>5-8860</t>
  </si>
  <si>
    <t>5000069</t>
  </si>
  <si>
    <t>5-8968</t>
  </si>
  <si>
    <t>5000071</t>
  </si>
  <si>
    <t>5-8974</t>
  </si>
  <si>
    <t>5000072</t>
  </si>
  <si>
    <t>5-8975</t>
  </si>
  <si>
    <t>5000073</t>
  </si>
  <si>
    <t>5-8976</t>
  </si>
  <si>
    <t>5000074</t>
  </si>
  <si>
    <t>5-9053</t>
  </si>
  <si>
    <t>5000075</t>
  </si>
  <si>
    <t>5-9057</t>
  </si>
  <si>
    <t>5000077</t>
  </si>
  <si>
    <t>5-9072</t>
  </si>
  <si>
    <t>5000078</t>
  </si>
  <si>
    <t>5-9096</t>
  </si>
  <si>
    <t>5000079</t>
  </si>
  <si>
    <t>5-9100</t>
  </si>
  <si>
    <t>5000080</t>
  </si>
  <si>
    <t>5-9101</t>
  </si>
  <si>
    <t>5000083</t>
  </si>
  <si>
    <t>5-9104</t>
  </si>
  <si>
    <t>5000085</t>
  </si>
  <si>
    <t>5-9177</t>
  </si>
  <si>
    <t>5000087</t>
  </si>
  <si>
    <t>5-9208</t>
  </si>
  <si>
    <t>5000088</t>
  </si>
  <si>
    <t>5-9209</t>
  </si>
  <si>
    <t>5000089</t>
  </si>
  <si>
    <t>5-9264</t>
  </si>
  <si>
    <t>5000090</t>
  </si>
  <si>
    <t>5-9301</t>
  </si>
  <si>
    <t>5000092</t>
  </si>
  <si>
    <t>5-9303</t>
  </si>
  <si>
    <t>5000093</t>
  </si>
  <si>
    <t>5-9304</t>
  </si>
  <si>
    <t>5000099</t>
  </si>
  <si>
    <t>5000102</t>
  </si>
  <si>
    <t>5000103</t>
  </si>
  <si>
    <t>5-9458</t>
  </si>
  <si>
    <t>5000104</t>
  </si>
  <si>
    <t>5-9575</t>
  </si>
  <si>
    <t>5000105</t>
  </si>
  <si>
    <t>5-9595</t>
  </si>
  <si>
    <t>5000106</t>
  </si>
  <si>
    <t>5-9596</t>
  </si>
  <si>
    <t>5000109</t>
  </si>
  <si>
    <t>5000113</t>
  </si>
  <si>
    <t>5-6660</t>
  </si>
  <si>
    <t>5000114</t>
  </si>
  <si>
    <t>5-6687</t>
  </si>
  <si>
    <t>REEMPLAZO 5-150</t>
  </si>
  <si>
    <t>5000115</t>
  </si>
  <si>
    <t>5-6573</t>
  </si>
  <si>
    <t>5000116</t>
  </si>
  <si>
    <t>5-6711</t>
  </si>
  <si>
    <t>5000117</t>
  </si>
  <si>
    <t>5-9216</t>
  </si>
  <si>
    <t>5000119</t>
  </si>
  <si>
    <t>5-6718</t>
  </si>
  <si>
    <t>5000120</t>
  </si>
  <si>
    <t>5-6685</t>
  </si>
  <si>
    <t>5000121</t>
  </si>
  <si>
    <t>5-6621</t>
  </si>
  <si>
    <t>5000122</t>
  </si>
  <si>
    <t>5-9636</t>
  </si>
  <si>
    <t>5000123</t>
  </si>
  <si>
    <t>5000124</t>
  </si>
  <si>
    <t>5000136</t>
  </si>
  <si>
    <t>ASENSOR</t>
  </si>
  <si>
    <t>MODULO</t>
  </si>
  <si>
    <t>INTERESES MORA con facturas de las tiendas (RENTA – GC)</t>
  </si>
  <si>
    <t xml:space="preserve"> - GASTOS DE VENTAS DIVERSOS PARQUEADEROS CECO 8140015</t>
  </si>
  <si>
    <t>INVERSIONES C&amp;R S A S</t>
  </si>
  <si>
    <t>K6</t>
  </si>
  <si>
    <t>REVISAR FECHAS</t>
  </si>
  <si>
    <t>Contract start date</t>
  </si>
  <si>
    <t>50=HABER (ABONO) 40=DEBE(CARGO)</t>
  </si>
  <si>
    <t>ICA DE CHIA 7 X MIL</t>
  </si>
  <si>
    <t xml:space="preserve"> GTO DE VTA PARQUEADEROS</t>
  </si>
  <si>
    <t>TORRE 3 P.H.</t>
  </si>
  <si>
    <t>PARQUEADERO</t>
  </si>
  <si>
    <t>Invoice Prot. 8140250026849644</t>
  </si>
  <si>
    <t>FEA11825</t>
  </si>
  <si>
    <t>ASEO FUMIGACION</t>
  </si>
  <si>
    <t xml:space="preserve">YA NO USAR ESTA </t>
  </si>
  <si>
    <t>Agua y drenaje ofc</t>
  </si>
  <si>
    <t>Agua y drenaje OFICINA</t>
  </si>
  <si>
    <t>REG. ZILLIKON CONSULTING /COMP. 207634CARLOS DURAN</t>
  </si>
  <si>
    <t>porcentaje del total incentivo</t>
  </si>
  <si>
    <t>subtotal</t>
  </si>
  <si>
    <t>&lt;</t>
  </si>
  <si>
    <t>FEA12102</t>
  </si>
  <si>
    <t>lo cambie de ibr a cg solo si es descuento</t>
  </si>
  <si>
    <t>ADMINISTRA</t>
  </si>
  <si>
    <t>INCENTIVO</t>
  </si>
  <si>
    <t>Invoice Prot. 8140250027803530</t>
  </si>
  <si>
    <t>FEA12366</t>
  </si>
  <si>
    <t>INCENTIVO 1</t>
  </si>
  <si>
    <t>INCENTIVO 2</t>
  </si>
  <si>
    <t>TOTAL INC</t>
  </si>
  <si>
    <t xml:space="preserve">TOTAL FACTURA </t>
  </si>
  <si>
    <t>5000151</t>
  </si>
  <si>
    <t>5-0081</t>
  </si>
  <si>
    <t>5000152</t>
  </si>
  <si>
    <t>5-0123</t>
  </si>
  <si>
    <t>REEMPLAZO 5-152</t>
  </si>
  <si>
    <t>APARTIR DEL 1 ENERO 2026</t>
  </si>
  <si>
    <t>GRANDES CONTRIBUYENTE EN EL IMPUESTO DE INDUSTRIA Y COMERCIO BOGOTA</t>
  </si>
  <si>
    <t>POR VENCER</t>
  </si>
  <si>
    <t>5000153</t>
  </si>
  <si>
    <t>5-0073</t>
  </si>
  <si>
    <t>REEMPLAZO 5-153</t>
  </si>
  <si>
    <t>5000154</t>
  </si>
  <si>
    <t>5-0113</t>
  </si>
  <si>
    <t>REEMPLAZO 5-0154</t>
  </si>
  <si>
    <t>YA NO APLICA ICA DIJO SHARON</t>
  </si>
  <si>
    <t>somos autorretenedores</t>
  </si>
  <si>
    <t>YA NO APLICA ICA</t>
  </si>
  <si>
    <t>CONCESION DE ESPACIO VARIABLE LOCALES</t>
  </si>
  <si>
    <t>SERV PARA USO Y APROVEC DEL INMUEB LOCALES</t>
  </si>
  <si>
    <t>FONDO DE PROMOCION LOCALES</t>
  </si>
  <si>
    <t>COMPARTIMENTO MADEIRA -</t>
  </si>
  <si>
    <t>INCENTIVO GTO VTA -FONDO PROM</t>
  </si>
  <si>
    <t>INCENTIVO INTERESES</t>
  </si>
  <si>
    <t>INCENTIVO GTO VTA SASEO-VIG</t>
  </si>
  <si>
    <t>SERVICIODE ACUEDUCTODE LOCALES</t>
  </si>
  <si>
    <t>CUOTA DE PUBLICIDAD</t>
  </si>
  <si>
    <t>FONDODE IMPREVISTOS</t>
  </si>
  <si>
    <t>GASTO VENTA - FONDO DE PROMOCIÓN</t>
  </si>
  <si>
    <t>GASTO VENTA - ARRIENDOS DE INMUEBLES</t>
  </si>
  <si>
    <t>GASTO VENTA - MANTENIMIENTO DE AREAS COMUNES/CENTR</t>
  </si>
  <si>
    <t>Invoice Prot. 8140260030086462</t>
  </si>
  <si>
    <t>FEI43762</t>
  </si>
  <si>
    <t>Invoice Prot. 8140260030086618</t>
  </si>
  <si>
    <t>FEI43894</t>
  </si>
  <si>
    <t>CUOTA DE ADMINISTRACION PPTO GASTOS (PG)</t>
  </si>
  <si>
    <t>CUOTA DE ADMINISTRACION PUBLICIDAD (P Y P)</t>
  </si>
  <si>
    <t>INTERESES MORA ADMON</t>
  </si>
  <si>
    <t>EXP.COMUNES DE ADMINISTRACIÓN</t>
  </si>
  <si>
    <t>EXP.COMUNES DE MERCADEO</t>
  </si>
  <si>
    <t>FONDO DE IMPREVISTOS 1 % LEY 675 2001</t>
  </si>
  <si>
    <t>EXP.COMUNES DE PLANTAS ELECTRICAS</t>
  </si>
  <si>
    <t>REINTEGRO CONSUMO DE AGUA</t>
  </si>
  <si>
    <t xml:space="preserve">RENT KEY MONEY </t>
  </si>
  <si>
    <t>AIRE ACOND</t>
  </si>
  <si>
    <t>ESPENSAS</t>
  </si>
  <si>
    <t>F IMPROVISTOS</t>
  </si>
  <si>
    <t>F SOLIDARIDAD</t>
  </si>
  <si>
    <t>Descuento por pronto pago sin indicacion en la factura de distribucion</t>
  </si>
  <si>
    <t>si la factura es de gasto aplicar incentivo a GC solamente</t>
  </si>
  <si>
    <t>hay facturas que cobran todos los conceptos, ahi aplicaria descontarlo de todas las cuentas del gasto que esten cobrando</t>
  </si>
  <si>
    <t>MODULO ASCENSOR</t>
  </si>
  <si>
    <t>RECUPERACION PRIMA POLIZA/EXPEDICION DE CARNET</t>
  </si>
  <si>
    <t>SEGUNDO CONTRATO VENCIDO</t>
  </si>
  <si>
    <t>MODULO C4</t>
  </si>
  <si>
    <t>FONDO PROYECTOS DE INFRAESTR</t>
  </si>
  <si>
    <t>INTERES</t>
  </si>
  <si>
    <t xml:space="preserve">50=HABER (ABONO) </t>
  </si>
  <si>
    <t>40=DEBE(CARGO)</t>
  </si>
  <si>
    <t>DR</t>
  </si>
  <si>
    <t>CR</t>
  </si>
  <si>
    <t>AIRE ACONDICIONADO NIVEL 1</t>
  </si>
  <si>
    <t>FONDO DE RESERVA</t>
  </si>
  <si>
    <t>03-2026 RF T82 6717</t>
  </si>
  <si>
    <t>03-2026 RF T82 6714</t>
  </si>
  <si>
    <t>"04-2026"</t>
  </si>
  <si>
    <t>Invoice Prot. 8140260031114288</t>
  </si>
  <si>
    <t>G110095</t>
  </si>
  <si>
    <t>Gastos reembolsables</t>
  </si>
  <si>
    <t>"04-2026"  RF TT100 6767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</si>
</sst>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6" formatCode="&quot;$&quot;#,##0;[Red]\-&quot;$&quot;#,##0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yyyy/mm/dd"/>
    <numFmt numFmtId="165" formatCode="_-&quot;$&quot;* #,##0_-;\-&quot;$&quot;* #,##0_-;_-&quot;$&quot;* &quot;-&quot;??_-;_-@_-"/>
    <numFmt numFmtId="166" formatCode="_ * #,##0_ ;_ * \-#,##0_ ;_ * &quot;-&quot;_ ;_ @_ "/>
    <numFmt numFmtId="167" formatCode="##,##0.00_);[Red]\(##,##0.00\)"/>
    <numFmt numFmtId="168" formatCode="0.0%"/>
    <numFmt numFmtId="169" formatCode="0.000"/>
    <numFmt numFmtId="170" formatCode="_-* #,##0_-;\-* #,##0_-;_-* &quot;-&quot;??_-;_-@_-"/>
    <numFmt numFmtId="171" formatCode="_-&quot;$&quot;\ * #,##0_-;\-&quot;$&quot;\ * #,##0_-;_-&quot;$&quot;\ * &quot;-&quot;??_-;_-@_-"/>
    <numFmt numFmtId="172" formatCode="dd/mm/yyyy;@"/>
    <numFmt numFmtId="173" formatCode="00"/>
    <numFmt numFmtId="174" formatCode="0.000%"/>
    <numFmt numFmtId="175" formatCode="0.0000%"/>
    <numFmt numFmtId="176" formatCode="_-&quot;$&quot;* #,##0.00000_-;\-&quot;$&quot;* #,##0.00000_-;_-&quot;$&quot;* &quot;-&quot;??_-;_-@_-"/>
    <numFmt numFmtId="177" formatCode="_-&quot;$&quot;* #,##0.0000_-;\-&quot;$&quot;* #,##0.0000_-;_-&quot;$&quot;* &quot;-&quot;??_-;_-@_-"/>
    <numFmt numFmtId="178" formatCode="_-* #,##0.000_-;\-* #,##0.000_-;_-* &quot;-&quot;??_-;_-@_-"/>
    <numFmt numFmtId="179" formatCode="_-* #,##0.0000_-;\-* #,##0.0000_-;_-* &quot;-&quot;??_-;_-@_-"/>
    <numFmt numFmtId="180" formatCode="0_ ;\-0\ "/>
    <numFmt numFmtId="181" formatCode="#,##0.000"/>
    <numFmt numFmtId="182" formatCode="_-* #,##0.00000_-;\-* #,##0.00000_-;_-* &quot;-&quot;??_-;_-@_-"/>
    <numFmt numFmtId="183" formatCode="_-* #,##0.0_-;\-* #,##0.0_-;_-* &quot;-&quot;??_-;_-@_-"/>
    <numFmt numFmtId="184" formatCode="#,##0.0000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Segoe UI"/>
      <family val="2"/>
    </font>
    <font>
      <sz val="8"/>
      <color theme="1"/>
      <name val="Segoe UI"/>
      <family val="2"/>
    </font>
    <font>
      <sz val="10"/>
      <name val="Arial"/>
      <family val="2"/>
    </font>
    <font>
      <b/>
      <sz val="8"/>
      <name val="Segoe UI"/>
      <family val="2"/>
    </font>
    <font>
      <sz val="8"/>
      <name val="Segoe UI"/>
      <family val="2"/>
    </font>
    <font>
      <sz val="8"/>
      <color rgb="FF333333"/>
      <name val="Segoe UI"/>
      <family val="2"/>
    </font>
    <font>
      <sz val="11"/>
      <color indexed="10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1"/>
      <name val="Segoe UI"/>
      <family val="2"/>
    </font>
    <font>
      <strike/>
      <sz val="8"/>
      <name val="Segoe UI"/>
      <family val="2"/>
    </font>
    <font>
      <b/>
      <sz val="12"/>
      <color theme="1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1"/>
      <name val="Segoe UI"/>
      <family val="2"/>
    </font>
    <font>
      <b/>
      <sz val="12"/>
      <name val="Segoe UI"/>
      <family val="2"/>
    </font>
    <font>
      <b/>
      <sz val="10"/>
      <color theme="1"/>
      <name val="Calibri"/>
      <family val="2"/>
      <scheme val="minor"/>
    </font>
    <font>
      <b/>
      <sz val="16"/>
      <name val="Segoe UI"/>
      <family val="2"/>
    </font>
    <font>
      <b/>
      <sz val="18"/>
      <name val="Segoe UI"/>
      <family val="2"/>
    </font>
    <font>
      <b/>
      <sz val="22"/>
      <color theme="1"/>
      <name val="Calibri"/>
      <family val="2"/>
      <scheme val="minor"/>
    </font>
    <font>
      <b/>
      <sz val="16"/>
      <color indexed="81"/>
      <name val="Tahoma"/>
      <family val="2"/>
    </font>
    <font>
      <sz val="7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8"/>
      <color rgb="FFFF0000"/>
      <name val="Segoe U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sz val="7"/>
      <color rgb="FF000000"/>
      <name val="Aptos"/>
      <family val="2"/>
    </font>
    <font>
      <sz val="7"/>
      <color theme="1"/>
      <name val="Segoe UI"/>
      <family val="2"/>
    </font>
    <font>
      <sz val="11"/>
      <color rgb="FF00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8"/>
      <color rgb="FF242424"/>
      <name val="Segoe UI"/>
      <family val="2"/>
    </font>
    <font>
      <sz val="6"/>
      <color rgb="FF4D4D4D"/>
      <name val="Roboto"/>
    </font>
    <font>
      <sz val="14"/>
      <color rgb="FFFF0000"/>
      <name val="Calibri"/>
      <family val="2"/>
      <scheme val="minor"/>
    </font>
    <font>
      <sz val="14"/>
      <color rgb="FF32363A"/>
      <name val="72"/>
      <family val="2"/>
    </font>
    <font>
      <sz val="14"/>
      <color theme="1"/>
      <name val="Calibri"/>
      <family val="2"/>
      <scheme val="minor"/>
    </font>
    <font>
      <sz val="12"/>
      <color rgb="FF4D4D4D"/>
      <name val="Roboto"/>
    </font>
    <font>
      <sz val="11"/>
      <color rgb="FF000000"/>
      <name val="Aptos Narrow"/>
      <family val="2"/>
    </font>
    <font>
      <b/>
      <sz val="20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rgb="FF000000"/>
      <name val="Aptos"/>
      <family val="2"/>
    </font>
    <font>
      <u/>
      <sz val="11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7030A0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auto="1"/>
      </left>
      <right style="thin">
        <color auto="1"/>
      </right>
      <top style="medium">
        <color rgb="FF00B050"/>
      </top>
      <bottom style="thin">
        <color auto="1"/>
      </bottom>
      <diagonal/>
    </border>
    <border>
      <left/>
      <right style="thin">
        <color indexed="64"/>
      </right>
      <top style="medium">
        <color rgb="FF00B050"/>
      </top>
      <bottom style="thin">
        <color indexed="64"/>
      </bottom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auto="1"/>
      </bottom>
      <diagonal/>
    </border>
    <border>
      <left style="medium">
        <color rgb="FF00B05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rgb="FF00B050"/>
      </right>
      <top style="thin">
        <color auto="1"/>
      </top>
      <bottom style="thin">
        <color auto="1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00B050"/>
      </top>
      <bottom style="thin">
        <color indexed="64"/>
      </bottom>
      <diagonal/>
    </border>
    <border>
      <left style="medium">
        <color rgb="FF00B05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rgb="FF00B050"/>
      </top>
      <bottom/>
      <diagonal/>
    </border>
    <border>
      <left style="thin">
        <color indexed="64"/>
      </left>
      <right/>
      <top style="medium">
        <color rgb="FF00B05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rgb="FFFFFFFF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2">
    <xf numFmtId="0" fontId="0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9" fillId="0" borderId="0"/>
    <xf numFmtId="16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4" fillId="0" borderId="0"/>
    <xf numFmtId="0" fontId="59" fillId="0" borderId="0" applyNumberFormat="0" applyFill="0" applyBorder="0" applyAlignment="0" applyProtection="0"/>
  </cellStyleXfs>
  <cellXfs count="629">
    <xf numFmtId="0" fontId="0" fillId="0" borderId="0" xfId="0"/>
    <xf numFmtId="0" fontId="2" fillId="2" borderId="1" xfId="0" applyFont="1" applyFill="1" applyBorder="1" applyAlignment="1" applyProtection="1">
      <alignment horizontal="center"/>
      <protection hidden="1"/>
    </xf>
    <xf numFmtId="1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left"/>
    </xf>
    <xf numFmtId="0" fontId="2" fillId="2" borderId="3" xfId="0" applyFont="1" applyFill="1" applyBorder="1" applyAlignment="1" applyProtection="1">
      <alignment horizont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0" xfId="0" applyFill="1"/>
    <xf numFmtId="0" fontId="1" fillId="0" borderId="0" xfId="0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/>
    <xf numFmtId="44" fontId="0" fillId="0" borderId="0" xfId="0" applyNumberFormat="1"/>
    <xf numFmtId="0" fontId="0" fillId="0" borderId="0" xfId="1" applyNumberFormat="1" applyFont="1"/>
    <xf numFmtId="1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left"/>
    </xf>
    <xf numFmtId="3" fontId="0" fillId="0" borderId="0" xfId="0" applyNumberFormat="1"/>
    <xf numFmtId="0" fontId="5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left"/>
    </xf>
    <xf numFmtId="165" fontId="0" fillId="0" borderId="0" xfId="1" applyNumberFormat="1" applyFont="1"/>
    <xf numFmtId="0" fontId="7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0" fontId="8" fillId="0" borderId="0" xfId="0" applyFont="1"/>
    <xf numFmtId="166" fontId="10" fillId="4" borderId="1" xfId="6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14" fontId="11" fillId="0" borderId="0" xfId="0" applyNumberFormat="1" applyFont="1" applyAlignment="1">
      <alignment horizontal="center" vertical="top"/>
    </xf>
    <xf numFmtId="41" fontId="2" fillId="2" borderId="1" xfId="3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Protection="1">
      <protection hidden="1"/>
    </xf>
    <xf numFmtId="14" fontId="2" fillId="2" borderId="1" xfId="0" applyNumberFormat="1" applyFont="1" applyFill="1" applyBorder="1" applyAlignment="1" applyProtection="1">
      <alignment horizontal="center"/>
      <protection hidden="1"/>
    </xf>
    <xf numFmtId="41" fontId="2" fillId="2" borderId="1" xfId="3" applyFont="1" applyFill="1" applyBorder="1" applyAlignment="1" applyProtection="1">
      <protection hidden="1"/>
    </xf>
    <xf numFmtId="41" fontId="2" fillId="2" borderId="2" xfId="3" applyFont="1" applyFill="1" applyBorder="1" applyAlignment="1" applyProtection="1">
      <alignment horizontal="center"/>
      <protection hidden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16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right"/>
    </xf>
    <xf numFmtId="41" fontId="0" fillId="0" borderId="1" xfId="3" applyFont="1" applyBorder="1"/>
    <xf numFmtId="41" fontId="0" fillId="0" borderId="1" xfId="3" applyFont="1" applyFill="1" applyBorder="1"/>
    <xf numFmtId="41" fontId="0" fillId="0" borderId="1" xfId="0" applyNumberFormat="1" applyBorder="1"/>
    <xf numFmtId="9" fontId="0" fillId="0" borderId="1" xfId="4" applyFont="1" applyFill="1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14" fontId="0" fillId="0" borderId="1" xfId="0" applyNumberFormat="1" applyBorder="1"/>
    <xf numFmtId="14" fontId="0" fillId="0" borderId="1" xfId="3" applyNumberFormat="1" applyFont="1" applyFill="1" applyBorder="1"/>
    <xf numFmtId="41" fontId="0" fillId="0" borderId="1" xfId="3" applyFont="1" applyFill="1" applyBorder="1" applyAlignment="1">
      <alignment horizontal="right"/>
    </xf>
    <xf numFmtId="168" fontId="0" fillId="0" borderId="1" xfId="4" applyNumberFormat="1" applyFont="1" applyFill="1" applyBorder="1"/>
    <xf numFmtId="0" fontId="3" fillId="0" borderId="1" xfId="0" applyFont="1" applyBorder="1"/>
    <xf numFmtId="1" fontId="3" fillId="0" borderId="1" xfId="0" applyNumberFormat="1" applyFont="1" applyBorder="1" applyAlignment="1">
      <alignment horizontal="right"/>
    </xf>
    <xf numFmtId="167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14" fontId="0" fillId="0" borderId="1" xfId="4" applyNumberFormat="1" applyFont="1" applyFill="1" applyBorder="1"/>
    <xf numFmtId="3" fontId="0" fillId="0" borderId="1" xfId="0" applyNumberFormat="1" applyBorder="1" applyAlignment="1">
      <alignment horizontal="right"/>
    </xf>
    <xf numFmtId="3" fontId="0" fillId="0" borderId="1" xfId="0" applyNumberFormat="1" applyBorder="1"/>
    <xf numFmtId="0" fontId="0" fillId="0" borderId="0" xfId="0" applyAlignment="1">
      <alignment horizontal="center"/>
    </xf>
    <xf numFmtId="49" fontId="3" fillId="0" borderId="1" xfId="5" applyNumberFormat="1" applyFont="1" applyBorder="1" applyAlignment="1">
      <alignment horizontal="center"/>
    </xf>
    <xf numFmtId="169" fontId="0" fillId="0" borderId="1" xfId="0" applyNumberFormat="1" applyBorder="1" applyAlignment="1">
      <alignment horizontal="right"/>
    </xf>
    <xf numFmtId="41" fontId="0" fillId="0" borderId="1" xfId="3" applyFont="1" applyFill="1" applyBorder="1" applyAlignment="1"/>
    <xf numFmtId="14" fontId="0" fillId="0" borderId="1" xfId="3" applyNumberFormat="1" applyFont="1" applyFill="1" applyBorder="1" applyAlignment="1"/>
    <xf numFmtId="1" fontId="6" fillId="0" borderId="1" xfId="0" applyNumberFormat="1" applyFont="1" applyBorder="1" applyAlignment="1">
      <alignment horizontal="left"/>
    </xf>
    <xf numFmtId="41" fontId="3" fillId="0" borderId="1" xfId="3" applyFont="1" applyFill="1" applyBorder="1" applyAlignment="1">
      <alignment horizontal="right"/>
    </xf>
    <xf numFmtId="0" fontId="0" fillId="0" borderId="1" xfId="9" applyFont="1" applyBorder="1" applyAlignment="1">
      <alignment horizontal="center"/>
    </xf>
    <xf numFmtId="0" fontId="0" fillId="0" borderId="1" xfId="10" applyFont="1" applyBorder="1" applyAlignment="1">
      <alignment horizontal="left"/>
    </xf>
    <xf numFmtId="0" fontId="0" fillId="0" borderId="1" xfId="10" applyFont="1" applyBorder="1" applyAlignment="1">
      <alignment horizontal="right"/>
    </xf>
    <xf numFmtId="41" fontId="3" fillId="0" borderId="1" xfId="0" applyNumberFormat="1" applyFont="1" applyBorder="1"/>
    <xf numFmtId="0" fontId="3" fillId="0" borderId="1" xfId="5" applyFont="1" applyBorder="1" applyAlignment="1">
      <alignment horizontal="center"/>
    </xf>
    <xf numFmtId="1" fontId="3" fillId="0" borderId="1" xfId="5" applyNumberFormat="1" applyFont="1" applyBorder="1" applyAlignment="1">
      <alignment horizontal="center"/>
    </xf>
    <xf numFmtId="9" fontId="0" fillId="0" borderId="1" xfId="4" applyFont="1" applyFill="1" applyBorder="1" applyAlignment="1"/>
    <xf numFmtId="1" fontId="3" fillId="0" borderId="1" xfId="9" applyNumberFormat="1" applyFont="1" applyBorder="1" applyAlignment="1">
      <alignment horizontal="center"/>
    </xf>
    <xf numFmtId="170" fontId="0" fillId="0" borderId="1" xfId="2" applyNumberFormat="1" applyFont="1" applyFill="1" applyBorder="1"/>
    <xf numFmtId="14" fontId="0" fillId="0" borderId="0" xfId="0" applyNumberFormat="1"/>
    <xf numFmtId="0" fontId="2" fillId="2" borderId="4" xfId="0" applyFont="1" applyFill="1" applyBorder="1" applyAlignment="1" applyProtection="1">
      <alignment horizontal="center"/>
      <protection hidden="1"/>
    </xf>
    <xf numFmtId="0" fontId="17" fillId="7" borderId="9" xfId="0" applyFont="1" applyFill="1" applyBorder="1" applyAlignment="1">
      <alignment horizontal="center" vertical="center" wrapText="1"/>
    </xf>
    <xf numFmtId="0" fontId="17" fillId="7" borderId="10" xfId="0" applyFont="1" applyFill="1" applyBorder="1" applyAlignment="1">
      <alignment horizontal="center" vertical="center" wrapText="1"/>
    </xf>
    <xf numFmtId="171" fontId="17" fillId="7" borderId="11" xfId="0" applyNumberFormat="1" applyFont="1" applyFill="1" applyBorder="1" applyAlignment="1">
      <alignment horizontal="center" vertical="center" wrapText="1"/>
    </xf>
    <xf numFmtId="171" fontId="17" fillId="7" borderId="8" xfId="0" applyNumberFormat="1" applyFont="1" applyFill="1" applyBorder="1" applyAlignment="1">
      <alignment horizontal="center" vertical="center" wrapText="1"/>
    </xf>
    <xf numFmtId="171" fontId="17" fillId="7" borderId="1" xfId="0" applyNumberFormat="1" applyFont="1" applyFill="1" applyBorder="1" applyAlignment="1">
      <alignment horizontal="center" vertical="center" wrapText="1"/>
    </xf>
    <xf numFmtId="168" fontId="17" fillId="7" borderId="1" xfId="4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6" borderId="1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left" vertical="center"/>
    </xf>
    <xf numFmtId="0" fontId="18" fillId="6" borderId="1" xfId="0" applyFont="1" applyFill="1" applyBorder="1" applyAlignment="1">
      <alignment horizontal="center" vertical="center"/>
    </xf>
    <xf numFmtId="171" fontId="18" fillId="6" borderId="5" xfId="0" applyNumberFormat="1" applyFont="1" applyFill="1" applyBorder="1" applyAlignment="1">
      <alignment horizontal="right" vertical="center"/>
    </xf>
    <xf numFmtId="171" fontId="18" fillId="6" borderId="4" xfId="0" applyNumberFormat="1" applyFont="1" applyFill="1" applyBorder="1" applyAlignment="1">
      <alignment horizontal="right" vertical="center"/>
    </xf>
    <xf numFmtId="171" fontId="18" fillId="6" borderId="1" xfId="0" applyNumberFormat="1" applyFont="1" applyFill="1" applyBorder="1" applyAlignment="1">
      <alignment horizontal="right" vertical="center"/>
    </xf>
    <xf numFmtId="168" fontId="18" fillId="6" borderId="1" xfId="4" applyNumberFormat="1" applyFont="1" applyFill="1" applyBorder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8" fillId="5" borderId="12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/>
    </xf>
    <xf numFmtId="0" fontId="18" fillId="5" borderId="1" xfId="0" applyFont="1" applyFill="1" applyBorder="1" applyAlignment="1">
      <alignment horizontal="center" vertical="center"/>
    </xf>
    <xf numFmtId="171" fontId="18" fillId="5" borderId="5" xfId="0" applyNumberFormat="1" applyFont="1" applyFill="1" applyBorder="1" applyAlignment="1">
      <alignment horizontal="right" vertical="center"/>
    </xf>
    <xf numFmtId="171" fontId="18" fillId="5" borderId="4" xfId="0" applyNumberFormat="1" applyFont="1" applyFill="1" applyBorder="1" applyAlignment="1">
      <alignment horizontal="right" vertical="center"/>
    </xf>
    <xf numFmtId="171" fontId="18" fillId="5" borderId="1" xfId="0" applyNumberFormat="1" applyFont="1" applyFill="1" applyBorder="1" applyAlignment="1">
      <alignment horizontal="right" vertical="center"/>
    </xf>
    <xf numFmtId="168" fontId="18" fillId="5" borderId="1" xfId="4" applyNumberFormat="1" applyFont="1" applyFill="1" applyBorder="1" applyAlignment="1">
      <alignment horizontal="right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left" vertical="center"/>
    </xf>
    <xf numFmtId="0" fontId="18" fillId="9" borderId="1" xfId="0" applyFont="1" applyFill="1" applyBorder="1" applyAlignment="1">
      <alignment horizontal="center" vertical="center"/>
    </xf>
    <xf numFmtId="171" fontId="18" fillId="9" borderId="5" xfId="0" applyNumberFormat="1" applyFont="1" applyFill="1" applyBorder="1" applyAlignment="1">
      <alignment horizontal="right" vertical="center"/>
    </xf>
    <xf numFmtId="171" fontId="18" fillId="9" borderId="4" xfId="0" applyNumberFormat="1" applyFont="1" applyFill="1" applyBorder="1" applyAlignment="1">
      <alignment horizontal="right" vertical="center"/>
    </xf>
    <xf numFmtId="171" fontId="18" fillId="9" borderId="1" xfId="0" applyNumberFormat="1" applyFont="1" applyFill="1" applyBorder="1" applyAlignment="1">
      <alignment horizontal="right" vertical="center"/>
    </xf>
    <xf numFmtId="168" fontId="18" fillId="9" borderId="1" xfId="4" applyNumberFormat="1" applyFont="1" applyFill="1" applyBorder="1" applyAlignment="1">
      <alignment horizontal="right" vertical="center"/>
    </xf>
    <xf numFmtId="0" fontId="18" fillId="10" borderId="12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171" fontId="18" fillId="0" borderId="5" xfId="0" applyNumberFormat="1" applyFont="1" applyBorder="1" applyAlignment="1">
      <alignment horizontal="right" vertical="center"/>
    </xf>
    <xf numFmtId="171" fontId="18" fillId="0" borderId="4" xfId="0" applyNumberFormat="1" applyFont="1" applyBorder="1" applyAlignment="1">
      <alignment horizontal="right" vertical="center"/>
    </xf>
    <xf numFmtId="171" fontId="18" fillId="0" borderId="1" xfId="0" applyNumberFormat="1" applyFont="1" applyBorder="1" applyAlignment="1">
      <alignment horizontal="right" vertical="center"/>
    </xf>
    <xf numFmtId="168" fontId="18" fillId="0" borderId="1" xfId="4" applyNumberFormat="1" applyFont="1" applyBorder="1" applyAlignment="1">
      <alignment horizontal="right" vertical="center"/>
    </xf>
    <xf numFmtId="0" fontId="18" fillId="9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left" vertical="center"/>
    </xf>
    <xf numFmtId="0" fontId="18" fillId="9" borderId="14" xfId="0" applyFont="1" applyFill="1" applyBorder="1" applyAlignment="1">
      <alignment horizontal="center" vertical="center"/>
    </xf>
    <xf numFmtId="171" fontId="18" fillId="9" borderId="14" xfId="0" applyNumberFormat="1" applyFont="1" applyFill="1" applyBorder="1" applyAlignment="1">
      <alignment horizontal="right" vertical="center"/>
    </xf>
    <xf numFmtId="168" fontId="18" fillId="9" borderId="0" xfId="4" applyNumberFormat="1" applyFont="1" applyFill="1" applyBorder="1" applyAlignment="1">
      <alignment horizontal="right" vertical="center"/>
    </xf>
    <xf numFmtId="168" fontId="18" fillId="9" borderId="14" xfId="4" applyNumberFormat="1" applyFont="1" applyFill="1" applyBorder="1" applyAlignment="1">
      <alignment horizontal="right" vertical="center"/>
    </xf>
    <xf numFmtId="168" fontId="0" fillId="9" borderId="1" xfId="0" applyNumberFormat="1" applyFill="1" applyBorder="1"/>
    <xf numFmtId="171" fontId="18" fillId="9" borderId="15" xfId="0" applyNumberFormat="1" applyFont="1" applyFill="1" applyBorder="1" applyAlignment="1">
      <alignment horizontal="right" vertical="center"/>
    </xf>
    <xf numFmtId="168" fontId="19" fillId="9" borderId="1" xfId="4" applyNumberFormat="1" applyFont="1" applyFill="1" applyBorder="1"/>
    <xf numFmtId="0" fontId="18" fillId="9" borderId="16" xfId="0" applyFont="1" applyFill="1" applyBorder="1" applyAlignment="1">
      <alignment horizontal="center" vertical="center"/>
    </xf>
    <xf numFmtId="0" fontId="18" fillId="9" borderId="17" xfId="0" applyFont="1" applyFill="1" applyBorder="1" applyAlignment="1">
      <alignment horizontal="left" vertical="center"/>
    </xf>
    <xf numFmtId="0" fontId="18" fillId="9" borderId="17" xfId="0" applyFont="1" applyFill="1" applyBorder="1" applyAlignment="1">
      <alignment horizontal="center" vertical="center"/>
    </xf>
    <xf numFmtId="171" fontId="18" fillId="9" borderId="18" xfId="0" applyNumberFormat="1" applyFont="1" applyFill="1" applyBorder="1" applyAlignment="1">
      <alignment horizontal="right" vertical="center"/>
    </xf>
    <xf numFmtId="0" fontId="18" fillId="9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left" vertical="center"/>
    </xf>
    <xf numFmtId="171" fontId="18" fillId="9" borderId="0" xfId="0" applyNumberFormat="1" applyFont="1" applyFill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171" fontId="18" fillId="0" borderId="0" xfId="0" applyNumberFormat="1" applyFont="1" applyAlignment="1">
      <alignment horizontal="right" vertical="center"/>
    </xf>
    <xf numFmtId="171" fontId="17" fillId="0" borderId="0" xfId="0" applyNumberFormat="1" applyFont="1" applyAlignment="1">
      <alignment horizontal="right" vertical="center"/>
    </xf>
    <xf numFmtId="168" fontId="18" fillId="0" borderId="0" xfId="4" applyNumberFormat="1" applyFont="1" applyAlignment="1">
      <alignment horizontal="right" vertical="center"/>
    </xf>
    <xf numFmtId="49" fontId="5" fillId="0" borderId="1" xfId="0" applyNumberFormat="1" applyFont="1" applyBorder="1" applyAlignment="1">
      <alignment horizontal="center"/>
    </xf>
    <xf numFmtId="0" fontId="21" fillId="11" borderId="0" xfId="0" applyFont="1" applyFill="1"/>
    <xf numFmtId="0" fontId="3" fillId="0" borderId="1" xfId="9" applyFont="1" applyBorder="1" applyAlignment="1">
      <alignment horizontal="center"/>
    </xf>
    <xf numFmtId="0" fontId="2" fillId="2" borderId="0" xfId="0" applyFont="1" applyFill="1" applyAlignment="1" applyProtection="1">
      <alignment horizontal="center"/>
      <protection hidden="1"/>
    </xf>
    <xf numFmtId="1" fontId="2" fillId="2" borderId="1" xfId="0" applyNumberFormat="1" applyFont="1" applyFill="1" applyBorder="1" applyAlignment="1" applyProtection="1">
      <alignment horizontal="center"/>
      <protection hidden="1"/>
    </xf>
    <xf numFmtId="16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9" fontId="2" fillId="2" borderId="1" xfId="4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right"/>
      <protection hidden="1"/>
    </xf>
    <xf numFmtId="9" fontId="0" fillId="0" borderId="1" xfId="4" applyFont="1" applyBorder="1"/>
    <xf numFmtId="1" fontId="0" fillId="0" borderId="1" xfId="0" applyNumberFormat="1" applyBorder="1" applyAlignment="1">
      <alignment horizontal="right"/>
    </xf>
    <xf numFmtId="14" fontId="0" fillId="0" borderId="1" xfId="4" applyNumberFormat="1" applyFont="1" applyBorder="1"/>
    <xf numFmtId="0" fontId="0" fillId="0" borderId="5" xfId="0" applyBorder="1"/>
    <xf numFmtId="9" fontId="0" fillId="0" borderId="1" xfId="0" applyNumberFormat="1" applyBorder="1"/>
    <xf numFmtId="1" fontId="0" fillId="0" borderId="1" xfId="3" applyNumberFormat="1" applyFont="1" applyFill="1" applyBorder="1" applyAlignment="1">
      <alignment horizontal="right"/>
    </xf>
    <xf numFmtId="10" fontId="0" fillId="0" borderId="1" xfId="0" applyNumberFormat="1" applyBorder="1"/>
    <xf numFmtId="168" fontId="0" fillId="0" borderId="1" xfId="4" applyNumberFormat="1" applyFont="1" applyBorder="1"/>
    <xf numFmtId="1" fontId="3" fillId="0" borderId="1" xfId="3" applyNumberFormat="1" applyFont="1" applyFill="1" applyBorder="1" applyAlignment="1">
      <alignment horizontal="right"/>
    </xf>
    <xf numFmtId="41" fontId="0" fillId="0" borderId="1" xfId="3" applyFont="1" applyBorder="1" applyAlignment="1">
      <alignment horizontal="right"/>
    </xf>
    <xf numFmtId="0" fontId="0" fillId="0" borderId="14" xfId="0" applyBorder="1" applyAlignment="1">
      <alignment horizontal="left"/>
    </xf>
    <xf numFmtId="0" fontId="3" fillId="0" borderId="14" xfId="0" applyFont="1" applyBorder="1" applyAlignment="1">
      <alignment horizontal="center"/>
    </xf>
    <xf numFmtId="0" fontId="0" fillId="0" borderId="14" xfId="0" applyBorder="1"/>
    <xf numFmtId="0" fontId="0" fillId="0" borderId="14" xfId="0" applyBorder="1" applyAlignment="1">
      <alignment horizontal="center"/>
    </xf>
    <xf numFmtId="1" fontId="0" fillId="0" borderId="14" xfId="3" applyNumberFormat="1" applyFont="1" applyFill="1" applyBorder="1" applyAlignment="1">
      <alignment horizontal="right"/>
    </xf>
    <xf numFmtId="41" fontId="0" fillId="0" borderId="14" xfId="3" applyFont="1" applyBorder="1"/>
    <xf numFmtId="9" fontId="0" fillId="0" borderId="14" xfId="4" applyFont="1" applyBorder="1"/>
    <xf numFmtId="41" fontId="0" fillId="0" borderId="14" xfId="0" applyNumberFormat="1" applyBorder="1"/>
    <xf numFmtId="0" fontId="0" fillId="0" borderId="14" xfId="0" applyBorder="1" applyAlignment="1">
      <alignment horizontal="right"/>
    </xf>
    <xf numFmtId="9" fontId="0" fillId="0" borderId="14" xfId="0" applyNumberFormat="1" applyBorder="1"/>
    <xf numFmtId="41" fontId="3" fillId="0" borderId="1" xfId="3" applyFont="1" applyBorder="1"/>
    <xf numFmtId="41" fontId="22" fillId="0" borderId="1" xfId="3" applyFont="1" applyBorder="1"/>
    <xf numFmtId="0" fontId="0" fillId="0" borderId="7" xfId="0" applyBorder="1"/>
    <xf numFmtId="10" fontId="0" fillId="0" borderId="1" xfId="4" applyNumberFormat="1" applyFont="1" applyBorder="1"/>
    <xf numFmtId="41" fontId="0" fillId="2" borderId="1" xfId="3" applyFont="1" applyFill="1" applyBorder="1"/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" fontId="0" fillId="3" borderId="1" xfId="3" applyNumberFormat="1" applyFont="1" applyFill="1" applyBorder="1" applyAlignment="1">
      <alignment horizontal="right"/>
    </xf>
    <xf numFmtId="41" fontId="0" fillId="3" borderId="1" xfId="3" applyFont="1" applyFill="1" applyBorder="1" applyAlignment="1"/>
    <xf numFmtId="9" fontId="0" fillId="3" borderId="1" xfId="4" applyFont="1" applyFill="1" applyBorder="1" applyAlignment="1"/>
    <xf numFmtId="14" fontId="0" fillId="3" borderId="1" xfId="0" applyNumberFormat="1" applyFill="1" applyBorder="1"/>
    <xf numFmtId="9" fontId="0" fillId="3" borderId="1" xfId="4" applyFont="1" applyFill="1" applyBorder="1"/>
    <xf numFmtId="41" fontId="0" fillId="3" borderId="1" xfId="3" applyFont="1" applyFill="1" applyBorder="1"/>
    <xf numFmtId="0" fontId="0" fillId="3" borderId="1" xfId="0" applyFill="1" applyBorder="1" applyAlignment="1">
      <alignment horizontal="right"/>
    </xf>
    <xf numFmtId="41" fontId="0" fillId="3" borderId="1" xfId="0" applyNumberFormat="1" applyFill="1" applyBorder="1"/>
    <xf numFmtId="14" fontId="0" fillId="3" borderId="1" xfId="4" applyNumberFormat="1" applyFont="1" applyFill="1" applyBorder="1"/>
    <xf numFmtId="0" fontId="0" fillId="3" borderId="5" xfId="0" applyFill="1" applyBorder="1"/>
    <xf numFmtId="14" fontId="0" fillId="0" borderId="14" xfId="0" applyNumberFormat="1" applyBorder="1"/>
    <xf numFmtId="41" fontId="0" fillId="0" borderId="0" xfId="3" applyFont="1"/>
    <xf numFmtId="170" fontId="0" fillId="0" borderId="1" xfId="2" applyNumberFormat="1" applyFont="1" applyBorder="1"/>
    <xf numFmtId="0" fontId="23" fillId="0" borderId="1" xfId="0" applyFont="1" applyBorder="1" applyAlignment="1">
      <alignment horizontal="center" vertical="center"/>
    </xf>
    <xf numFmtId="14" fontId="0" fillId="0" borderId="1" xfId="3" applyNumberFormat="1" applyFont="1" applyBorder="1"/>
    <xf numFmtId="41" fontId="0" fillId="0" borderId="5" xfId="3" applyFont="1" applyBorder="1"/>
    <xf numFmtId="41" fontId="0" fillId="0" borderId="2" xfId="3" applyFont="1" applyBorder="1"/>
    <xf numFmtId="41" fontId="0" fillId="0" borderId="2" xfId="3" applyFont="1" applyFill="1" applyBorder="1"/>
    <xf numFmtId="9" fontId="0" fillId="0" borderId="1" xfId="4" applyFont="1" applyBorder="1" applyAlignment="1">
      <alignment horizontal="right"/>
    </xf>
    <xf numFmtId="41" fontId="0" fillId="0" borderId="1" xfId="4" applyNumberFormat="1" applyFont="1" applyFill="1" applyBorder="1" applyAlignment="1"/>
    <xf numFmtId="41" fontId="0" fillId="0" borderId="1" xfId="4" applyNumberFormat="1" applyFont="1" applyBorder="1"/>
    <xf numFmtId="41" fontId="0" fillId="0" borderId="1" xfId="3" applyFont="1" applyBorder="1" applyAlignment="1"/>
    <xf numFmtId="1" fontId="0" fillId="0" borderId="0" xfId="0" applyNumberFormat="1" applyAlignment="1">
      <alignment horizontal="right"/>
    </xf>
    <xf numFmtId="41" fontId="0" fillId="0" borderId="0" xfId="3" applyFont="1" applyBorder="1"/>
    <xf numFmtId="9" fontId="0" fillId="0" borderId="0" xfId="4" applyFont="1" applyBorder="1"/>
    <xf numFmtId="9" fontId="0" fillId="0" borderId="0" xfId="4" applyFont="1" applyFill="1" applyBorder="1"/>
    <xf numFmtId="41" fontId="0" fillId="0" borderId="0" xfId="0" applyNumberFormat="1"/>
    <xf numFmtId="41" fontId="0" fillId="0" borderId="0" xfId="3" applyFont="1" applyBorder="1" applyAlignment="1">
      <alignment horizontal="center"/>
    </xf>
    <xf numFmtId="0" fontId="0" fillId="0" borderId="1" xfId="0" applyBorder="1" applyAlignment="1">
      <alignment horizontal="right" vertical="center" wrapText="1"/>
    </xf>
    <xf numFmtId="9" fontId="0" fillId="0" borderId="0" xfId="4" applyFont="1"/>
    <xf numFmtId="0" fontId="11" fillId="0" borderId="0" xfId="7" applyFont="1" applyAlignment="1">
      <alignment horizontal="center" vertical="center"/>
    </xf>
    <xf numFmtId="172" fontId="0" fillId="0" borderId="0" xfId="0" applyNumberFormat="1"/>
    <xf numFmtId="10" fontId="0" fillId="0" borderId="0" xfId="4" applyNumberFormat="1" applyFont="1"/>
    <xf numFmtId="165" fontId="0" fillId="0" borderId="0" xfId="0" applyNumberFormat="1"/>
    <xf numFmtId="0" fontId="6" fillId="0" borderId="0" xfId="0" applyFont="1"/>
    <xf numFmtId="1" fontId="5" fillId="3" borderId="1" xfId="0" applyNumberFormat="1" applyFont="1" applyFill="1" applyBorder="1" applyAlignment="1">
      <alignment horizontal="left"/>
    </xf>
    <xf numFmtId="0" fontId="0" fillId="0" borderId="0" xfId="0" applyAlignment="1">
      <alignment horizontal="right"/>
    </xf>
    <xf numFmtId="173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right"/>
    </xf>
    <xf numFmtId="168" fontId="0" fillId="0" borderId="0" xfId="4" applyNumberFormat="1" applyFont="1"/>
    <xf numFmtId="0" fontId="2" fillId="14" borderId="3" xfId="0" applyFont="1" applyFill="1" applyBorder="1" applyAlignment="1" applyProtection="1">
      <alignment horizontal="center"/>
      <protection hidden="1"/>
    </xf>
    <xf numFmtId="1" fontId="0" fillId="0" borderId="0" xfId="0" applyNumberFormat="1"/>
    <xf numFmtId="0" fontId="5" fillId="0" borderId="3" xfId="0" applyFont="1" applyBorder="1" applyAlignment="1" applyProtection="1">
      <alignment horizontal="center"/>
      <protection hidden="1"/>
    </xf>
    <xf numFmtId="2" fontId="0" fillId="0" borderId="0" xfId="0" applyNumberFormat="1"/>
    <xf numFmtId="44" fontId="0" fillId="0" borderId="0" xfId="1" applyFont="1" applyBorder="1"/>
    <xf numFmtId="10" fontId="0" fillId="0" borderId="0" xfId="4" applyNumberFormat="1" applyFont="1" applyBorder="1"/>
    <xf numFmtId="166" fontId="31" fillId="4" borderId="5" xfId="6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165" fontId="0" fillId="0" borderId="30" xfId="1" applyNumberFormat="1" applyFont="1" applyBorder="1"/>
    <xf numFmtId="0" fontId="0" fillId="0" borderId="31" xfId="0" applyBorder="1"/>
    <xf numFmtId="165" fontId="1" fillId="0" borderId="32" xfId="1" applyNumberFormat="1" applyFont="1" applyBorder="1"/>
    <xf numFmtId="0" fontId="0" fillId="0" borderId="32" xfId="0" applyBorder="1"/>
    <xf numFmtId="168" fontId="17" fillId="7" borderId="35" xfId="4" applyNumberFormat="1" applyFont="1" applyFill="1" applyBorder="1" applyAlignment="1">
      <alignment horizontal="center" vertical="center" wrapText="1"/>
    </xf>
    <xf numFmtId="0" fontId="5" fillId="0" borderId="36" xfId="0" applyFont="1" applyBorder="1" applyAlignment="1" applyProtection="1">
      <alignment horizontal="center"/>
      <protection hidden="1"/>
    </xf>
    <xf numFmtId="9" fontId="0" fillId="0" borderId="31" xfId="4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3" fontId="0" fillId="0" borderId="40" xfId="0" applyNumberFormat="1" applyBorder="1"/>
    <xf numFmtId="1" fontId="30" fillId="4" borderId="26" xfId="6" applyNumberFormat="1" applyFont="1" applyFill="1" applyBorder="1" applyAlignment="1">
      <alignment horizontal="center" vertical="center" wrapText="1"/>
    </xf>
    <xf numFmtId="0" fontId="0" fillId="15" borderId="0" xfId="0" applyFill="1"/>
    <xf numFmtId="166" fontId="10" fillId="4" borderId="21" xfId="6" applyFont="1" applyFill="1" applyBorder="1" applyAlignment="1">
      <alignment horizontal="center" vertical="center" wrapText="1"/>
    </xf>
    <xf numFmtId="166" fontId="10" fillId="4" borderId="41" xfId="6" applyFont="1" applyFill="1" applyBorder="1" applyAlignment="1">
      <alignment horizontal="center" vertical="center" wrapText="1"/>
    </xf>
    <xf numFmtId="166" fontId="10" fillId="4" borderId="34" xfId="6" applyFont="1" applyFill="1" applyBorder="1" applyAlignment="1">
      <alignment horizontal="center" vertical="center" wrapText="1"/>
    </xf>
    <xf numFmtId="165" fontId="0" fillId="0" borderId="42" xfId="1" applyNumberFormat="1" applyFont="1" applyBorder="1"/>
    <xf numFmtId="1" fontId="10" fillId="4" borderId="43" xfId="6" applyNumberFormat="1" applyFont="1" applyFill="1" applyBorder="1" applyAlignment="1">
      <alignment horizontal="center" vertical="center" wrapText="1"/>
    </xf>
    <xf numFmtId="1" fontId="10" fillId="4" borderId="34" xfId="6" applyNumberFormat="1" applyFont="1" applyFill="1" applyBorder="1" applyAlignment="1">
      <alignment horizontal="center" vertical="center" wrapText="1"/>
    </xf>
    <xf numFmtId="1" fontId="29" fillId="7" borderId="1" xfId="0" applyNumberFormat="1" applyFont="1" applyFill="1" applyBorder="1" applyAlignment="1">
      <alignment horizontal="center" vertical="center" wrapText="1"/>
    </xf>
    <xf numFmtId="9" fontId="29" fillId="7" borderId="1" xfId="4" applyFont="1" applyFill="1" applyBorder="1" applyAlignment="1">
      <alignment horizontal="center" vertical="center" wrapText="1"/>
    </xf>
    <xf numFmtId="44" fontId="27" fillId="4" borderId="34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68" fontId="0" fillId="0" borderId="0" xfId="4" applyNumberFormat="1" applyFont="1" applyBorder="1"/>
    <xf numFmtId="0" fontId="0" fillId="12" borderId="0" xfId="0" applyFill="1"/>
    <xf numFmtId="1" fontId="17" fillId="7" borderId="1" xfId="0" applyNumberFormat="1" applyFont="1" applyFill="1" applyBorder="1" applyAlignment="1">
      <alignment horizontal="center" vertical="center" wrapText="1"/>
    </xf>
    <xf numFmtId="0" fontId="0" fillId="16" borderId="32" xfId="0" applyFill="1" applyBorder="1"/>
    <xf numFmtId="0" fontId="0" fillId="16" borderId="0" xfId="0" applyFill="1"/>
    <xf numFmtId="0" fontId="0" fillId="16" borderId="31" xfId="0" applyFill="1" applyBorder="1"/>
    <xf numFmtId="9" fontId="5" fillId="16" borderId="1" xfId="0" applyNumberFormat="1" applyFont="1" applyFill="1" applyBorder="1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hidden="1"/>
    </xf>
    <xf numFmtId="0" fontId="26" fillId="0" borderId="28" xfId="0" applyFont="1" applyBorder="1"/>
    <xf numFmtId="0" fontId="2" fillId="13" borderId="3" xfId="0" applyFont="1" applyFill="1" applyBorder="1" applyAlignment="1" applyProtection="1">
      <alignment horizontal="center"/>
      <protection hidden="1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center"/>
    </xf>
    <xf numFmtId="49" fontId="4" fillId="0" borderId="0" xfId="1" applyNumberFormat="1" applyFont="1" applyAlignment="1">
      <alignment horizontal="center"/>
    </xf>
    <xf numFmtId="49" fontId="3" fillId="0" borderId="1" xfId="9" applyNumberFormat="1" applyFont="1" applyBorder="1" applyAlignment="1">
      <alignment horizontal="center"/>
    </xf>
    <xf numFmtId="0" fontId="21" fillId="12" borderId="0" xfId="0" applyFont="1" applyFill="1"/>
    <xf numFmtId="49" fontId="0" fillId="12" borderId="0" xfId="0" applyNumberFormat="1" applyFill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17" borderId="0" xfId="0" applyFill="1"/>
    <xf numFmtId="170" fontId="18" fillId="0" borderId="0" xfId="2" applyNumberFormat="1" applyFont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2" fillId="11" borderId="3" xfId="0" applyFont="1" applyFill="1" applyBorder="1" applyAlignment="1" applyProtection="1">
      <alignment horizontal="center"/>
      <protection hidden="1"/>
    </xf>
    <xf numFmtId="0" fontId="21" fillId="11" borderId="1" xfId="0" applyFont="1" applyFill="1" applyBorder="1" applyAlignment="1">
      <alignment horizontal="center"/>
    </xf>
    <xf numFmtId="170" fontId="1" fillId="0" borderId="0" xfId="2" applyNumberFormat="1" applyFont="1" applyAlignment="1">
      <alignment horizontal="right"/>
    </xf>
    <xf numFmtId="170" fontId="0" fillId="0" borderId="0" xfId="2" applyNumberFormat="1" applyFont="1" applyAlignment="1">
      <alignment horizontal="center"/>
    </xf>
    <xf numFmtId="43" fontId="0" fillId="0" borderId="0" xfId="2" applyFont="1"/>
    <xf numFmtId="170" fontId="0" fillId="0" borderId="0" xfId="2" applyNumberFormat="1" applyFont="1" applyAlignment="1">
      <alignment horizontal="right"/>
    </xf>
    <xf numFmtId="173" fontId="0" fillId="0" borderId="0" xfId="0" applyNumberFormat="1" applyAlignment="1">
      <alignment horizontal="right"/>
    </xf>
    <xf numFmtId="170" fontId="0" fillId="0" borderId="0" xfId="2" applyNumberFormat="1" applyFont="1"/>
    <xf numFmtId="0" fontId="2" fillId="2" borderId="3" xfId="0" applyFont="1" applyFill="1" applyBorder="1" applyAlignment="1" applyProtection="1">
      <alignment horizontal="left"/>
      <protection hidden="1"/>
    </xf>
    <xf numFmtId="0" fontId="2" fillId="14" borderId="3" xfId="0" applyFont="1" applyFill="1" applyBorder="1" applyAlignment="1" applyProtection="1">
      <alignment horizontal="left"/>
      <protection hidden="1"/>
    </xf>
    <xf numFmtId="0" fontId="0" fillId="12" borderId="0" xfId="0" applyFill="1" applyAlignment="1">
      <alignment horizontal="left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2" xfId="0" applyBorder="1" applyAlignment="1">
      <alignment horizontal="center"/>
    </xf>
    <xf numFmtId="0" fontId="35" fillId="0" borderId="28" xfId="0" applyFont="1" applyBorder="1"/>
    <xf numFmtId="0" fontId="36" fillId="0" borderId="0" xfId="0" applyFont="1"/>
    <xf numFmtId="0" fontId="36" fillId="0" borderId="0" xfId="0" applyFont="1" applyAlignment="1">
      <alignment horizontal="right"/>
    </xf>
    <xf numFmtId="0" fontId="20" fillId="0" borderId="32" xfId="0" applyFont="1" applyBorder="1"/>
    <xf numFmtId="166" fontId="37" fillId="0" borderId="41" xfId="6" applyFont="1" applyFill="1" applyBorder="1" applyAlignment="1">
      <alignment horizontal="center" vertical="center" wrapText="1"/>
    </xf>
    <xf numFmtId="166" fontId="37" fillId="0" borderId="34" xfId="6" applyFont="1" applyFill="1" applyBorder="1" applyAlignment="1">
      <alignment horizontal="center" vertical="center" wrapText="1"/>
    </xf>
    <xf numFmtId="165" fontId="0" fillId="0" borderId="32" xfId="1" applyNumberFormat="1" applyFont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36" fillId="0" borderId="32" xfId="0" applyFont="1" applyBorder="1"/>
    <xf numFmtId="10" fontId="5" fillId="16" borderId="1" xfId="0" applyNumberFormat="1" applyFont="1" applyFill="1" applyBorder="1" applyAlignment="1">
      <alignment horizontal="center"/>
    </xf>
    <xf numFmtId="0" fontId="1" fillId="12" borderId="1" xfId="0" applyFont="1" applyFill="1" applyBorder="1" applyAlignment="1">
      <alignment horizontal="left"/>
    </xf>
    <xf numFmtId="0" fontId="38" fillId="0" borderId="0" xfId="0" applyFont="1"/>
    <xf numFmtId="0" fontId="1" fillId="12" borderId="0" xfId="0" applyFont="1" applyFill="1" applyAlignment="1">
      <alignment horizontal="left"/>
    </xf>
    <xf numFmtId="44" fontId="0" fillId="12" borderId="0" xfId="1" applyFont="1" applyFill="1"/>
    <xf numFmtId="172" fontId="0" fillId="12" borderId="0" xfId="0" applyNumberFormat="1" applyFill="1"/>
    <xf numFmtId="165" fontId="0" fillId="12" borderId="0" xfId="1" applyNumberFormat="1" applyFont="1" applyFill="1"/>
    <xf numFmtId="0" fontId="2" fillId="11" borderId="3" xfId="0" applyFont="1" applyFill="1" applyBorder="1" applyAlignment="1" applyProtection="1">
      <alignment horizontal="left"/>
      <protection hidden="1"/>
    </xf>
    <xf numFmtId="0" fontId="26" fillId="0" borderId="0" xfId="0" applyFont="1" applyAlignment="1">
      <alignment horizontal="center"/>
    </xf>
    <xf numFmtId="170" fontId="0" fillId="0" borderId="0" xfId="2" applyNumberFormat="1" applyFont="1" applyBorder="1" applyAlignment="1">
      <alignment horizontal="right"/>
    </xf>
    <xf numFmtId="170" fontId="0" fillId="0" borderId="19" xfId="2" applyNumberFormat="1" applyFont="1" applyBorder="1" applyAlignment="1">
      <alignment horizontal="right"/>
    </xf>
    <xf numFmtId="165" fontId="0" fillId="0" borderId="6" xfId="1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left"/>
    </xf>
    <xf numFmtId="165" fontId="0" fillId="0" borderId="32" xfId="0" applyNumberFormat="1" applyBorder="1"/>
    <xf numFmtId="177" fontId="0" fillId="0" borderId="0" xfId="0" applyNumberFormat="1"/>
    <xf numFmtId="170" fontId="0" fillId="0" borderId="6" xfId="2" applyNumberFormat="1" applyFont="1" applyBorder="1" applyAlignment="1">
      <alignment horizontal="right"/>
    </xf>
    <xf numFmtId="173" fontId="17" fillId="7" borderId="1" xfId="0" applyNumberFormat="1" applyFont="1" applyFill="1" applyBorder="1" applyAlignment="1">
      <alignment horizontal="center" vertical="center" wrapText="1"/>
    </xf>
    <xf numFmtId="176" fontId="0" fillId="0" borderId="0" xfId="0" applyNumberFormat="1"/>
    <xf numFmtId="9" fontId="0" fillId="0" borderId="32" xfId="0" applyNumberFormat="1" applyBorder="1"/>
    <xf numFmtId="44" fontId="27" fillId="4" borderId="32" xfId="1" applyFont="1" applyFill="1" applyBorder="1" applyAlignment="1">
      <alignment horizontal="center" vertical="center" wrapText="1"/>
    </xf>
    <xf numFmtId="9" fontId="29" fillId="7" borderId="0" xfId="4" applyFont="1" applyFill="1" applyBorder="1" applyAlignment="1">
      <alignment horizontal="center" vertical="center" wrapText="1"/>
    </xf>
    <xf numFmtId="165" fontId="27" fillId="4" borderId="34" xfId="1" applyNumberFormat="1" applyFont="1" applyFill="1" applyBorder="1" applyAlignment="1">
      <alignment horizontal="center" vertical="center" wrapText="1"/>
    </xf>
    <xf numFmtId="1" fontId="5" fillId="0" borderId="36" xfId="0" applyNumberFormat="1" applyFont="1" applyBorder="1" applyAlignment="1" applyProtection="1">
      <alignment horizontal="center"/>
      <protection hidden="1"/>
    </xf>
    <xf numFmtId="49" fontId="0" fillId="0" borderId="0" xfId="0" applyNumberForma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9" applyFont="1" applyBorder="1" applyAlignment="1">
      <alignment horizontal="left"/>
    </xf>
    <xf numFmtId="49" fontId="1" fillId="0" borderId="0" xfId="0" applyNumberFormat="1" applyFont="1" applyAlignment="1">
      <alignment horizontal="left"/>
    </xf>
    <xf numFmtId="44" fontId="0" fillId="0" borderId="0" xfId="1" applyFont="1" applyAlignment="1">
      <alignment horizontal="left"/>
    </xf>
    <xf numFmtId="0" fontId="20" fillId="0" borderId="0" xfId="0" applyFont="1" applyAlignment="1">
      <alignment horizontal="left"/>
    </xf>
    <xf numFmtId="44" fontId="0" fillId="0" borderId="0" xfId="0" applyNumberFormat="1" applyAlignment="1">
      <alignment horizontal="left"/>
    </xf>
    <xf numFmtId="173" fontId="1" fillId="0" borderId="0" xfId="2" applyNumberFormat="1" applyFont="1" applyAlignment="1">
      <alignment horizontal="left"/>
    </xf>
    <xf numFmtId="1" fontId="1" fillId="0" borderId="0" xfId="2" applyNumberFormat="1" applyFont="1" applyAlignment="1">
      <alignment horizontal="left"/>
    </xf>
    <xf numFmtId="170" fontId="1" fillId="0" borderId="0" xfId="2" applyNumberFormat="1" applyFont="1" applyAlignment="1">
      <alignment horizontal="left"/>
    </xf>
    <xf numFmtId="170" fontId="1" fillId="0" borderId="19" xfId="2" applyNumberFormat="1" applyFont="1" applyBorder="1" applyAlignment="1">
      <alignment horizontal="right"/>
    </xf>
    <xf numFmtId="170" fontId="0" fillId="0" borderId="4" xfId="2" applyNumberFormat="1" applyFont="1" applyBorder="1" applyAlignment="1">
      <alignment horizontal="right"/>
    </xf>
    <xf numFmtId="170" fontId="0" fillId="0" borderId="0" xfId="2" applyNumberFormat="1" applyFont="1" applyFill="1" applyBorder="1" applyAlignment="1">
      <alignment horizontal="right"/>
    </xf>
    <xf numFmtId="170" fontId="0" fillId="0" borderId="4" xfId="2" applyNumberFormat="1" applyFont="1" applyFill="1" applyBorder="1" applyAlignment="1">
      <alignment horizontal="right"/>
    </xf>
    <xf numFmtId="170" fontId="0" fillId="0" borderId="19" xfId="2" applyNumberFormat="1" applyFont="1" applyFill="1" applyBorder="1" applyAlignment="1">
      <alignment horizontal="right"/>
    </xf>
    <xf numFmtId="170" fontId="0" fillId="12" borderId="0" xfId="2" applyNumberFormat="1" applyFont="1" applyFill="1" applyAlignment="1">
      <alignment horizontal="right"/>
    </xf>
    <xf numFmtId="170" fontId="0" fillId="0" borderId="46" xfId="2" applyNumberFormat="1" applyFont="1" applyBorder="1" applyAlignment="1">
      <alignment horizontal="right"/>
    </xf>
    <xf numFmtId="170" fontId="5" fillId="0" borderId="1" xfId="2" applyNumberFormat="1" applyFont="1" applyBorder="1" applyAlignment="1">
      <alignment horizontal="right"/>
    </xf>
    <xf numFmtId="170" fontId="1" fillId="0" borderId="1" xfId="2" applyNumberFormat="1" applyFont="1" applyBorder="1" applyAlignment="1">
      <alignment horizontal="right"/>
    </xf>
    <xf numFmtId="170" fontId="0" fillId="0" borderId="7" xfId="2" applyNumberFormat="1" applyFont="1" applyBorder="1" applyAlignment="1">
      <alignment horizontal="right"/>
    </xf>
    <xf numFmtId="170" fontId="1" fillId="0" borderId="0" xfId="2" applyNumberFormat="1" applyFont="1" applyBorder="1" applyAlignment="1">
      <alignment horizontal="right"/>
    </xf>
    <xf numFmtId="170" fontId="0" fillId="0" borderId="1" xfId="2" applyNumberFormat="1" applyFont="1" applyBorder="1" applyAlignment="1">
      <alignment horizontal="right"/>
    </xf>
    <xf numFmtId="170" fontId="1" fillId="12" borderId="0" xfId="2" applyNumberFormat="1" applyFont="1" applyFill="1" applyBorder="1" applyAlignment="1">
      <alignment horizontal="right"/>
    </xf>
    <xf numFmtId="172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0" xfId="4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0" fontId="2" fillId="2" borderId="3" xfId="0" applyFont="1" applyFill="1" applyBorder="1" applyProtection="1">
      <protection hidden="1"/>
    </xf>
    <xf numFmtId="0" fontId="34" fillId="0" borderId="0" xfId="0" applyFont="1"/>
    <xf numFmtId="0" fontId="26" fillId="0" borderId="0" xfId="0" applyFont="1" applyAlignment="1">
      <alignment horizontal="left"/>
    </xf>
    <xf numFmtId="0" fontId="2" fillId="2" borderId="1" xfId="0" applyFont="1" applyFill="1" applyBorder="1" applyAlignment="1" applyProtection="1">
      <alignment horizontal="left"/>
      <protection hidden="1"/>
    </xf>
    <xf numFmtId="0" fontId="0" fillId="0" borderId="12" xfId="0" applyBorder="1" applyAlignment="1">
      <alignment horizontal="left"/>
    </xf>
    <xf numFmtId="0" fontId="1" fillId="0" borderId="12" xfId="0" applyFont="1" applyBorder="1" applyAlignment="1">
      <alignment horizontal="left"/>
    </xf>
    <xf numFmtId="44" fontId="0" fillId="0" borderId="0" xfId="1" applyFont="1" applyBorder="1" applyAlignment="1">
      <alignment horizontal="left"/>
    </xf>
    <xf numFmtId="44" fontId="1" fillId="0" borderId="0" xfId="0" applyNumberFormat="1" applyFont="1" applyAlignment="1">
      <alignment horizontal="left"/>
    </xf>
    <xf numFmtId="172" fontId="0" fillId="0" borderId="0" xfId="0" applyNumberFormat="1" applyAlignment="1">
      <alignment horizontal="left"/>
    </xf>
    <xf numFmtId="168" fontId="0" fillId="0" borderId="0" xfId="4" applyNumberFormat="1" applyFont="1" applyAlignment="1">
      <alignment horizontal="left"/>
    </xf>
    <xf numFmtId="10" fontId="0" fillId="0" borderId="0" xfId="4" applyNumberFormat="1" applyFont="1" applyAlignment="1">
      <alignment horizontal="left"/>
    </xf>
    <xf numFmtId="3" fontId="0" fillId="0" borderId="0" xfId="0" applyNumberFormat="1" applyAlignment="1">
      <alignment horizontal="left"/>
    </xf>
    <xf numFmtId="175" fontId="0" fillId="0" borderId="0" xfId="4" applyNumberFormat="1" applyFont="1" applyAlignment="1">
      <alignment horizontal="left"/>
    </xf>
    <xf numFmtId="174" fontId="0" fillId="0" borderId="0" xfId="4" applyNumberFormat="1" applyFont="1" applyAlignment="1">
      <alignment horizontal="left"/>
    </xf>
    <xf numFmtId="168" fontId="1" fillId="0" borderId="0" xfId="4" applyNumberFormat="1" applyFont="1" applyAlignment="1">
      <alignment horizontal="left"/>
    </xf>
    <xf numFmtId="9" fontId="0" fillId="0" borderId="0" xfId="4" applyFont="1" applyAlignment="1">
      <alignment horizontal="left"/>
    </xf>
    <xf numFmtId="0" fontId="1" fillId="0" borderId="3" xfId="0" applyFont="1" applyBorder="1" applyAlignment="1">
      <alignment horizontal="center"/>
    </xf>
    <xf numFmtId="1" fontId="1" fillId="0" borderId="0" xfId="0" applyNumberFormat="1" applyFont="1"/>
    <xf numFmtId="167" fontId="0" fillId="0" borderId="1" xfId="0" applyNumberFormat="1" applyBorder="1" applyAlignment="1">
      <alignment horizontal="left"/>
    </xf>
    <xf numFmtId="0" fontId="18" fillId="0" borderId="12" xfId="0" applyFont="1" applyBorder="1" applyAlignment="1">
      <alignment horizontal="left" vertical="center"/>
    </xf>
    <xf numFmtId="170" fontId="0" fillId="0" borderId="0" xfId="2" applyNumberFormat="1" applyFont="1" applyFill="1" applyAlignment="1">
      <alignment horizontal="right"/>
    </xf>
    <xf numFmtId="170" fontId="1" fillId="0" borderId="0" xfId="2" applyNumberFormat="1" applyFont="1" applyFill="1" applyAlignment="1">
      <alignment horizontal="right"/>
    </xf>
    <xf numFmtId="0" fontId="5" fillId="0" borderId="1" xfId="0" applyFont="1" applyBorder="1" applyAlignment="1">
      <alignment horizontal="left"/>
    </xf>
    <xf numFmtId="3" fontId="0" fillId="0" borderId="4" xfId="0" applyNumberFormat="1" applyBorder="1" applyAlignment="1">
      <alignment horizontal="right"/>
    </xf>
    <xf numFmtId="165" fontId="10" fillId="4" borderId="1" xfId="1" applyNumberFormat="1" applyFont="1" applyFill="1" applyBorder="1" applyAlignment="1">
      <alignment horizontal="center" vertical="center" wrapText="1"/>
    </xf>
    <xf numFmtId="165" fontId="1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left"/>
    </xf>
    <xf numFmtId="165" fontId="17" fillId="7" borderId="11" xfId="1" applyNumberFormat="1" applyFont="1" applyFill="1" applyBorder="1" applyAlignment="1">
      <alignment horizontal="center" vertical="center" wrapText="1"/>
    </xf>
    <xf numFmtId="165" fontId="17" fillId="7" borderId="8" xfId="1" applyNumberFormat="1" applyFont="1" applyFill="1" applyBorder="1" applyAlignment="1">
      <alignment horizontal="center" vertical="center" wrapText="1"/>
    </xf>
    <xf numFmtId="165" fontId="17" fillId="7" borderId="1" xfId="1" applyNumberFormat="1" applyFont="1" applyFill="1" applyBorder="1" applyAlignment="1">
      <alignment horizontal="center" vertical="center" wrapText="1"/>
    </xf>
    <xf numFmtId="10" fontId="17" fillId="7" borderId="1" xfId="4" applyNumberFormat="1" applyFont="1" applyFill="1" applyBorder="1" applyAlignment="1">
      <alignment horizontal="center" vertical="center" wrapText="1"/>
    </xf>
    <xf numFmtId="10" fontId="0" fillId="12" borderId="0" xfId="4" applyNumberFormat="1" applyFont="1" applyFill="1"/>
    <xf numFmtId="170" fontId="0" fillId="0" borderId="0" xfId="0" applyNumberFormat="1" applyAlignment="1">
      <alignment horizontal="left"/>
    </xf>
    <xf numFmtId="170" fontId="0" fillId="0" borderId="0" xfId="2" applyNumberFormat="1" applyFont="1" applyAlignment="1">
      <alignment horizontal="left"/>
    </xf>
    <xf numFmtId="0" fontId="6" fillId="0" borderId="0" xfId="0" applyFont="1" applyAlignment="1">
      <alignment horizontal="left"/>
    </xf>
    <xf numFmtId="43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165" fontId="20" fillId="0" borderId="0" xfId="1" applyNumberFormat="1" applyFont="1" applyAlignment="1">
      <alignment horizontal="center"/>
    </xf>
    <xf numFmtId="0" fontId="39" fillId="0" borderId="12" xfId="0" applyFont="1" applyBorder="1"/>
    <xf numFmtId="0" fontId="40" fillId="0" borderId="0" xfId="0" applyFont="1"/>
    <xf numFmtId="0" fontId="41" fillId="0" borderId="0" xfId="0" applyFont="1" applyAlignment="1">
      <alignment vertical="center"/>
    </xf>
    <xf numFmtId="0" fontId="2" fillId="14" borderId="0" xfId="0" applyFont="1" applyFill="1" applyAlignment="1" applyProtection="1">
      <alignment horizontal="center"/>
      <protection hidden="1"/>
    </xf>
    <xf numFmtId="44" fontId="0" fillId="0" borderId="0" xfId="1" applyFont="1" applyBorder="1" applyAlignment="1">
      <alignment horizontal="center"/>
    </xf>
    <xf numFmtId="1" fontId="1" fillId="0" borderId="0" xfId="2" applyNumberFormat="1" applyFont="1" applyBorder="1" applyAlignment="1">
      <alignment horizontal="left"/>
    </xf>
    <xf numFmtId="0" fontId="1" fillId="0" borderId="3" xfId="0" applyFont="1" applyBorder="1" applyAlignment="1">
      <alignment horizontal="left"/>
    </xf>
    <xf numFmtId="172" fontId="1" fillId="0" borderId="0" xfId="0" applyNumberFormat="1" applyFont="1" applyAlignment="1">
      <alignment horizontal="left"/>
    </xf>
    <xf numFmtId="1" fontId="5" fillId="0" borderId="3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/>
    </xf>
    <xf numFmtId="0" fontId="2" fillId="8" borderId="3" xfId="0" applyFont="1" applyFill="1" applyBorder="1" applyAlignment="1" applyProtection="1">
      <alignment horizontal="center"/>
      <protection hidden="1"/>
    </xf>
    <xf numFmtId="0" fontId="42" fillId="18" borderId="0" xfId="0" applyFont="1" applyFill="1" applyAlignment="1">
      <alignment horizontal="center"/>
    </xf>
    <xf numFmtId="168" fontId="0" fillId="0" borderId="0" xfId="4" applyNumberFormat="1" applyFont="1" applyAlignment="1">
      <alignment horizontal="center"/>
    </xf>
    <xf numFmtId="178" fontId="0" fillId="0" borderId="0" xfId="2" applyNumberFormat="1" applyFont="1" applyAlignment="1">
      <alignment horizontal="left"/>
    </xf>
    <xf numFmtId="170" fontId="0" fillId="8" borderId="0" xfId="2" applyNumberFormat="1" applyFont="1" applyFill="1" applyAlignment="1">
      <alignment horizontal="right"/>
    </xf>
    <xf numFmtId="170" fontId="0" fillId="3" borderId="0" xfId="2" applyNumberFormat="1" applyFont="1" applyFill="1" applyAlignment="1">
      <alignment horizontal="right"/>
    </xf>
    <xf numFmtId="170" fontId="0" fillId="0" borderId="0" xfId="0" applyNumberFormat="1"/>
    <xf numFmtId="0" fontId="21" fillId="19" borderId="1" xfId="0" applyFont="1" applyFill="1" applyBorder="1" applyAlignment="1">
      <alignment horizontal="left"/>
    </xf>
    <xf numFmtId="49" fontId="21" fillId="19" borderId="1" xfId="9" applyNumberFormat="1" applyFont="1" applyFill="1" applyBorder="1" applyAlignment="1">
      <alignment horizontal="center"/>
    </xf>
    <xf numFmtId="0" fontId="21" fillId="19" borderId="12" xfId="0" applyFont="1" applyFill="1" applyBorder="1" applyAlignment="1">
      <alignment horizontal="left"/>
    </xf>
    <xf numFmtId="0" fontId="21" fillId="19" borderId="1" xfId="0" applyFont="1" applyFill="1" applyBorder="1" applyAlignment="1">
      <alignment horizontal="center"/>
    </xf>
    <xf numFmtId="0" fontId="21" fillId="19" borderId="1" xfId="9" applyFont="1" applyFill="1" applyBorder="1" applyAlignment="1">
      <alignment horizontal="center"/>
    </xf>
    <xf numFmtId="0" fontId="21" fillId="19" borderId="0" xfId="0" applyFont="1" applyFill="1" applyAlignment="1">
      <alignment horizontal="center"/>
    </xf>
    <xf numFmtId="0" fontId="43" fillId="19" borderId="12" xfId="0" applyFont="1" applyFill="1" applyBorder="1" applyAlignment="1">
      <alignment horizontal="left" vertical="center"/>
    </xf>
    <xf numFmtId="0" fontId="2" fillId="19" borderId="12" xfId="0" applyFont="1" applyFill="1" applyBorder="1" applyAlignment="1">
      <alignment horizontal="left"/>
    </xf>
    <xf numFmtId="0" fontId="2" fillId="19" borderId="1" xfId="0" applyFont="1" applyFill="1" applyBorder="1" applyAlignment="1">
      <alignment horizontal="center"/>
    </xf>
    <xf numFmtId="0" fontId="39" fillId="0" borderId="47" xfId="0" applyFont="1" applyBorder="1"/>
    <xf numFmtId="173" fontId="1" fillId="0" borderId="0" xfId="0" applyNumberFormat="1" applyFont="1" applyAlignment="1">
      <alignment horizontal="center"/>
    </xf>
    <xf numFmtId="0" fontId="2" fillId="11" borderId="0" xfId="0" applyFont="1" applyFill="1" applyAlignment="1" applyProtection="1">
      <alignment horizontal="center"/>
      <protection hidden="1"/>
    </xf>
    <xf numFmtId="170" fontId="1" fillId="0" borderId="0" xfId="2" applyNumberFormat="1" applyFont="1" applyBorder="1" applyAlignment="1">
      <alignment horizontal="left"/>
    </xf>
    <xf numFmtId="173" fontId="1" fillId="0" borderId="0" xfId="2" applyNumberFormat="1" applyFont="1" applyBorder="1" applyAlignment="1">
      <alignment horizontal="left"/>
    </xf>
    <xf numFmtId="165" fontId="0" fillId="0" borderId="0" xfId="1" applyNumberFormat="1" applyFont="1" applyBorder="1" applyAlignment="1">
      <alignment horizontal="center"/>
    </xf>
    <xf numFmtId="0" fontId="39" fillId="0" borderId="1" xfId="0" applyFont="1" applyBorder="1" applyAlignment="1">
      <alignment horizontal="right"/>
    </xf>
    <xf numFmtId="179" fontId="0" fillId="0" borderId="0" xfId="2" applyNumberFormat="1" applyFont="1" applyAlignment="1">
      <alignment horizontal="center"/>
    </xf>
    <xf numFmtId="170" fontId="4" fillId="0" borderId="0" xfId="2" applyNumberFormat="1" applyFont="1" applyBorder="1" applyAlignment="1">
      <alignment horizontal="right"/>
    </xf>
    <xf numFmtId="180" fontId="0" fillId="0" borderId="0" xfId="0" applyNumberFormat="1"/>
    <xf numFmtId="170" fontId="4" fillId="0" borderId="0" xfId="2" applyNumberFormat="1" applyFont="1" applyAlignment="1">
      <alignment horizontal="right"/>
    </xf>
    <xf numFmtId="0" fontId="21" fillId="11" borderId="2" xfId="0" applyFont="1" applyFill="1" applyBorder="1" applyAlignment="1">
      <alignment horizontal="center"/>
    </xf>
    <xf numFmtId="0" fontId="26" fillId="0" borderId="0" xfId="0" applyFont="1"/>
    <xf numFmtId="170" fontId="0" fillId="0" borderId="48" xfId="2" applyNumberFormat="1" applyFont="1" applyBorder="1" applyAlignment="1">
      <alignment horizontal="right"/>
    </xf>
    <xf numFmtId="0" fontId="39" fillId="0" borderId="12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81" fontId="0" fillId="0" borderId="0" xfId="0" applyNumberFormat="1"/>
    <xf numFmtId="10" fontId="4" fillId="0" borderId="0" xfId="4" applyNumberFormat="1" applyFont="1" applyAlignment="1">
      <alignment horizontal="center"/>
    </xf>
    <xf numFmtId="0" fontId="42" fillId="0" borderId="12" xfId="0" applyFont="1" applyBorder="1"/>
    <xf numFmtId="0" fontId="42" fillId="0" borderId="1" xfId="0" applyFont="1" applyBorder="1"/>
    <xf numFmtId="49" fontId="0" fillId="0" borderId="0" xfId="0" applyNumberFormat="1"/>
    <xf numFmtId="166" fontId="10" fillId="3" borderId="1" xfId="6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45" fillId="20" borderId="49" xfId="0" applyFont="1" applyFill="1" applyBorder="1" applyAlignment="1">
      <alignment horizontal="center" vertical="center"/>
    </xf>
    <xf numFmtId="0" fontId="38" fillId="12" borderId="0" xfId="0" applyFont="1" applyFill="1"/>
    <xf numFmtId="170" fontId="1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3" fontId="0" fillId="3" borderId="0" xfId="0" applyNumberFormat="1" applyFill="1"/>
    <xf numFmtId="0" fontId="42" fillId="0" borderId="1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170" fontId="1" fillId="0" borderId="5" xfId="2" applyNumberFormat="1" applyFont="1" applyBorder="1" applyAlignment="1">
      <alignment horizontal="right"/>
    </xf>
    <xf numFmtId="0" fontId="20" fillId="0" borderId="0" xfId="0" applyFont="1"/>
    <xf numFmtId="0" fontId="20" fillId="14" borderId="3" xfId="0" applyFont="1" applyFill="1" applyBorder="1" applyAlignment="1" applyProtection="1">
      <alignment horizontal="left"/>
      <protection hidden="1"/>
    </xf>
    <xf numFmtId="182" fontId="0" fillId="0" borderId="0" xfId="0" applyNumberFormat="1" applyAlignment="1">
      <alignment horizontal="left"/>
    </xf>
    <xf numFmtId="166" fontId="7" fillId="0" borderId="27" xfId="6" applyFont="1" applyFill="1" applyBorder="1" applyAlignment="1">
      <alignment vertical="center" wrapText="1"/>
    </xf>
    <xf numFmtId="43" fontId="0" fillId="0" borderId="0" xfId="2" applyFont="1" applyAlignment="1">
      <alignment horizontal="center"/>
    </xf>
    <xf numFmtId="170" fontId="0" fillId="0" borderId="19" xfId="2" applyNumberFormat="1" applyFont="1" applyBorder="1" applyAlignment="1">
      <alignment horizontal="left"/>
    </xf>
    <xf numFmtId="0" fontId="42" fillId="0" borderId="13" xfId="0" applyFont="1" applyBorder="1"/>
    <xf numFmtId="0" fontId="42" fillId="0" borderId="46" xfId="0" applyFont="1" applyBorder="1"/>
    <xf numFmtId="174" fontId="0" fillId="0" borderId="0" xfId="4" applyNumberFormat="1" applyFont="1" applyAlignment="1">
      <alignment horizontal="center"/>
    </xf>
    <xf numFmtId="175" fontId="0" fillId="0" borderId="0" xfId="4" applyNumberFormat="1" applyFont="1" applyAlignment="1">
      <alignment horizontal="center"/>
    </xf>
    <xf numFmtId="0" fontId="42" fillId="0" borderId="50" xfId="0" applyFont="1" applyBorder="1"/>
    <xf numFmtId="0" fontId="46" fillId="0" borderId="0" xfId="0" applyFont="1"/>
    <xf numFmtId="10" fontId="6" fillId="0" borderId="0" xfId="4" applyNumberFormat="1" applyFont="1" applyAlignment="1">
      <alignment horizontal="left"/>
    </xf>
    <xf numFmtId="165" fontId="0" fillId="0" borderId="0" xfId="1" applyNumberFormat="1" applyFont="1" applyFill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left"/>
    </xf>
    <xf numFmtId="183" fontId="0" fillId="0" borderId="0" xfId="2" applyNumberFormat="1" applyFont="1" applyAlignment="1">
      <alignment horizontal="center"/>
    </xf>
    <xf numFmtId="170" fontId="0" fillId="0" borderId="42" xfId="2" applyNumberFormat="1" applyFont="1" applyBorder="1"/>
    <xf numFmtId="170" fontId="0" fillId="0" borderId="30" xfId="2" applyNumberFormat="1" applyFont="1" applyBorder="1"/>
    <xf numFmtId="170" fontId="1" fillId="0" borderId="32" xfId="2" applyNumberFormat="1" applyFont="1" applyBorder="1"/>
    <xf numFmtId="170" fontId="0" fillId="0" borderId="32" xfId="2" applyNumberFormat="1" applyFont="1" applyBorder="1"/>
    <xf numFmtId="4" fontId="49" fillId="0" borderId="0" xfId="0" applyNumberFormat="1" applyFont="1"/>
    <xf numFmtId="0" fontId="51" fillId="0" borderId="0" xfId="0" applyFont="1"/>
    <xf numFmtId="173" fontId="0" fillId="0" borderId="0" xfId="0" applyNumberFormat="1" applyAlignment="1">
      <alignment horizontal="left"/>
    </xf>
    <xf numFmtId="49" fontId="10" fillId="4" borderId="1" xfId="6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center"/>
    </xf>
    <xf numFmtId="0" fontId="11" fillId="21" borderId="0" xfId="8" applyFont="1" applyFill="1" applyAlignment="1">
      <alignment horizontal="center" vertical="top"/>
    </xf>
    <xf numFmtId="49" fontId="8" fillId="0" borderId="0" xfId="0" applyNumberFormat="1" applyFont="1" applyAlignment="1">
      <alignment horizontal="center" vertical="top"/>
    </xf>
    <xf numFmtId="14" fontId="8" fillId="0" borderId="0" xfId="0" applyNumberFormat="1" applyFont="1" applyAlignment="1">
      <alignment horizontal="center" vertical="top"/>
    </xf>
    <xf numFmtId="41" fontId="10" fillId="22" borderId="0" xfId="3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11" fillId="10" borderId="0" xfId="0" applyFont="1" applyFill="1" applyAlignment="1">
      <alignment horizontal="center" vertical="top"/>
    </xf>
    <xf numFmtId="0" fontId="11" fillId="0" borderId="0" xfId="7" applyFont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0" xfId="7" applyFont="1" applyFill="1" applyAlignment="1">
      <alignment vertical="center"/>
    </xf>
    <xf numFmtId="49" fontId="11" fillId="0" borderId="0" xfId="0" applyNumberFormat="1" applyFont="1" applyAlignment="1">
      <alignment horizontal="center" vertical="top"/>
    </xf>
    <xf numFmtId="14" fontId="8" fillId="0" borderId="0" xfId="0" applyNumberFormat="1" applyFont="1" applyAlignment="1">
      <alignment horizontal="center"/>
    </xf>
    <xf numFmtId="0" fontId="8" fillId="0" borderId="0" xfId="0" quotePrefix="1" applyFont="1" applyAlignment="1">
      <alignment horizontal="center" vertical="top"/>
    </xf>
    <xf numFmtId="49" fontId="8" fillId="10" borderId="0" xfId="0" applyNumberFormat="1" applyFont="1" applyFill="1" applyAlignment="1">
      <alignment horizontal="center" vertical="top"/>
    </xf>
    <xf numFmtId="41" fontId="10" fillId="0" borderId="0" xfId="3" applyFont="1" applyFill="1" applyAlignment="1">
      <alignment horizontal="center" vertical="center"/>
    </xf>
    <xf numFmtId="0" fontId="10" fillId="23" borderId="0" xfId="0" applyFont="1" applyFill="1" applyAlignment="1">
      <alignment horizontal="center" vertical="top"/>
    </xf>
    <xf numFmtId="41" fontId="24" fillId="22" borderId="0" xfId="3" applyFont="1" applyFill="1" applyAlignment="1">
      <alignment horizontal="right" vertical="top"/>
    </xf>
    <xf numFmtId="0" fontId="8" fillId="0" borderId="0" xfId="0" applyFont="1" applyAlignment="1">
      <alignment horizontal="left" vertical="center"/>
    </xf>
    <xf numFmtId="0" fontId="10" fillId="23" borderId="0" xfId="7" applyFont="1" applyFill="1" applyAlignment="1">
      <alignment horizontal="center" vertical="center"/>
    </xf>
    <xf numFmtId="49" fontId="8" fillId="0" borderId="0" xfId="0" applyNumberFormat="1" applyFont="1" applyAlignment="1">
      <alignment horizontal="center"/>
    </xf>
    <xf numFmtId="0" fontId="52" fillId="0" borderId="51" xfId="0" applyFont="1" applyBorder="1"/>
    <xf numFmtId="0" fontId="52" fillId="0" borderId="51" xfId="0" applyFont="1" applyBorder="1" applyAlignment="1">
      <alignment wrapText="1"/>
    </xf>
    <xf numFmtId="0" fontId="52" fillId="0" borderId="52" xfId="0" applyFont="1" applyBorder="1"/>
    <xf numFmtId="179" fontId="0" fillId="0" borderId="0" xfId="0" applyNumberFormat="1" applyAlignment="1">
      <alignment horizontal="center"/>
    </xf>
    <xf numFmtId="0" fontId="8" fillId="3" borderId="0" xfId="0" applyFont="1" applyFill="1" applyAlignment="1">
      <alignment horizontal="center" vertical="top"/>
    </xf>
    <xf numFmtId="172" fontId="0" fillId="3" borderId="0" xfId="0" applyNumberFormat="1" applyFill="1" applyAlignment="1">
      <alignment horizontal="center"/>
    </xf>
    <xf numFmtId="0" fontId="0" fillId="0" borderId="53" xfId="0" applyBorder="1" applyAlignment="1">
      <alignment horizontal="center" vertical="center"/>
    </xf>
    <xf numFmtId="0" fontId="0" fillId="0" borderId="53" xfId="0" applyBorder="1"/>
    <xf numFmtId="0" fontId="53" fillId="0" borderId="0" xfId="0" applyFont="1"/>
    <xf numFmtId="0" fontId="54" fillId="0" borderId="0" xfId="0" applyFont="1"/>
    <xf numFmtId="0" fontId="0" fillId="0" borderId="19" xfId="0" applyBorder="1" applyAlignment="1">
      <alignment horizontal="center"/>
    </xf>
    <xf numFmtId="44" fontId="6" fillId="0" borderId="0" xfId="1" applyFont="1" applyAlignment="1">
      <alignment horizontal="left"/>
    </xf>
    <xf numFmtId="44" fontId="6" fillId="0" borderId="0" xfId="0" applyNumberFormat="1" applyFont="1" applyAlignment="1">
      <alignment horizontal="left"/>
    </xf>
    <xf numFmtId="6" fontId="0" fillId="0" borderId="0" xfId="0" applyNumberFormat="1"/>
    <xf numFmtId="6" fontId="55" fillId="0" borderId="0" xfId="0" applyNumberFormat="1" applyFont="1"/>
    <xf numFmtId="168" fontId="0" fillId="0" borderId="0" xfId="4" applyNumberFormat="1" applyFont="1" applyFill="1" applyAlignment="1">
      <alignment horizontal="left"/>
    </xf>
    <xf numFmtId="9" fontId="0" fillId="0" borderId="0" xfId="4" applyFont="1" applyAlignment="1">
      <alignment horizontal="center"/>
    </xf>
    <xf numFmtId="170" fontId="0" fillId="0" borderId="4" xfId="2" applyNumberFormat="1" applyFont="1" applyBorder="1" applyAlignment="1">
      <alignment horizontal="center"/>
    </xf>
    <xf numFmtId="184" fontId="0" fillId="0" borderId="0" xfId="0" applyNumberFormat="1"/>
    <xf numFmtId="170" fontId="0" fillId="0" borderId="19" xfId="2" applyNumberFormat="1" applyFont="1" applyBorder="1" applyAlignment="1">
      <alignment horizontal="center"/>
    </xf>
    <xf numFmtId="43" fontId="6" fillId="0" borderId="0" xfId="0" applyNumberFormat="1" applyFont="1" applyAlignment="1">
      <alignment horizontal="left"/>
    </xf>
    <xf numFmtId="49" fontId="11" fillId="0" borderId="0" xfId="0" quotePrefix="1" applyNumberFormat="1" applyFont="1" applyAlignment="1">
      <alignment horizontal="center" vertical="top"/>
    </xf>
    <xf numFmtId="49" fontId="12" fillId="0" borderId="0" xfId="7" quotePrefix="1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1" fontId="10" fillId="0" borderId="0" xfId="3" applyFont="1" applyFill="1" applyBorder="1" applyAlignment="1">
      <alignment horizontal="center" vertical="center"/>
    </xf>
    <xf numFmtId="0" fontId="11" fillId="0" borderId="0" xfId="7" applyFont="1" applyAlignment="1">
      <alignment vertical="center"/>
    </xf>
    <xf numFmtId="41" fontId="24" fillId="0" borderId="0" xfId="3" applyFont="1" applyFill="1" applyBorder="1" applyAlignment="1">
      <alignment horizontal="right" vertical="top"/>
    </xf>
    <xf numFmtId="170" fontId="50" fillId="0" borderId="0" xfId="2" applyNumberFormat="1" applyFont="1" applyAlignment="1">
      <alignment horizontal="left" wrapText="1"/>
    </xf>
    <xf numFmtId="0" fontId="0" fillId="0" borderId="0" xfId="0" applyAlignment="1">
      <alignment horizontal="left" wrapText="1"/>
    </xf>
    <xf numFmtId="172" fontId="0" fillId="0" borderId="0" xfId="0" applyNumberFormat="1" applyAlignment="1">
      <alignment horizontal="left" wrapText="1"/>
    </xf>
    <xf numFmtId="3" fontId="0" fillId="0" borderId="0" xfId="0" applyNumberFormat="1" applyAlignment="1">
      <alignment horizontal="left" wrapText="1"/>
    </xf>
    <xf numFmtId="10" fontId="0" fillId="0" borderId="0" xfId="4" applyNumberFormat="1" applyFont="1" applyAlignment="1">
      <alignment horizontal="left" wrapText="1"/>
    </xf>
    <xf numFmtId="14" fontId="8" fillId="0" borderId="0" xfId="0" applyNumberFormat="1" applyFont="1"/>
    <xf numFmtId="0" fontId="0" fillId="0" borderId="0" xfId="0" applyAlignment="1">
      <alignment horizontal="left" vertical="top"/>
    </xf>
    <xf numFmtId="0" fontId="8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/>
    </xf>
    <xf numFmtId="43" fontId="0" fillId="0" borderId="0" xfId="0" applyNumberFormat="1" applyAlignment="1">
      <alignment horizontal="center"/>
    </xf>
    <xf numFmtId="49" fontId="6" fillId="0" borderId="0" xfId="0" applyNumberFormat="1" applyFont="1" applyAlignment="1">
      <alignment horizontal="left"/>
    </xf>
    <xf numFmtId="49" fontId="8" fillId="0" borderId="0" xfId="0" quotePrefix="1" applyNumberFormat="1" applyFont="1" applyAlignment="1">
      <alignment horizontal="center" vertical="center"/>
    </xf>
    <xf numFmtId="0" fontId="20" fillId="2" borderId="3" xfId="0" applyFont="1" applyFill="1" applyBorder="1" applyAlignment="1" applyProtection="1">
      <alignment horizontal="center"/>
      <protection hidden="1"/>
    </xf>
    <xf numFmtId="170" fontId="6" fillId="0" borderId="0" xfId="2" applyNumberFormat="1" applyFont="1" applyAlignment="1">
      <alignment horizontal="right"/>
    </xf>
    <xf numFmtId="0" fontId="6" fillId="0" borderId="0" xfId="0" applyFont="1" applyAlignment="1">
      <alignment horizontal="center"/>
    </xf>
    <xf numFmtId="173" fontId="20" fillId="0" borderId="0" xfId="0" applyNumberFormat="1" applyFont="1" applyAlignment="1">
      <alignment horizontal="left"/>
    </xf>
    <xf numFmtId="0" fontId="56" fillId="24" borderId="0" xfId="0" applyFont="1" applyFill="1"/>
    <xf numFmtId="0" fontId="57" fillId="24" borderId="3" xfId="0" applyFont="1" applyFill="1" applyBorder="1" applyAlignment="1" applyProtection="1">
      <alignment horizontal="center"/>
      <protection hidden="1"/>
    </xf>
    <xf numFmtId="0" fontId="56" fillId="24" borderId="0" xfId="0" applyFont="1" applyFill="1" applyAlignment="1">
      <alignment horizontal="left"/>
    </xf>
    <xf numFmtId="170" fontId="56" fillId="24" borderId="0" xfId="2" applyNumberFormat="1" applyFont="1" applyFill="1" applyAlignment="1">
      <alignment horizontal="right"/>
    </xf>
    <xf numFmtId="49" fontId="56" fillId="24" borderId="0" xfId="0" applyNumberFormat="1" applyFont="1" applyFill="1" applyAlignment="1">
      <alignment horizontal="center"/>
    </xf>
    <xf numFmtId="170" fontId="57" fillId="24" borderId="0" xfId="2" applyNumberFormat="1" applyFont="1" applyFill="1" applyAlignment="1">
      <alignment horizontal="left" vertical="center"/>
    </xf>
    <xf numFmtId="10" fontId="56" fillId="24" borderId="0" xfId="4" applyNumberFormat="1" applyFont="1" applyFill="1" applyAlignment="1">
      <alignment horizontal="left"/>
    </xf>
    <xf numFmtId="165" fontId="56" fillId="24" borderId="0" xfId="1" applyNumberFormat="1" applyFont="1" applyFill="1" applyAlignment="1">
      <alignment horizontal="center"/>
    </xf>
    <xf numFmtId="44" fontId="56" fillId="24" borderId="0" xfId="1" applyFont="1" applyFill="1" applyAlignment="1">
      <alignment horizontal="center"/>
    </xf>
    <xf numFmtId="10" fontId="56" fillId="24" borderId="0" xfId="4" applyNumberFormat="1" applyFont="1" applyFill="1" applyAlignment="1">
      <alignment horizontal="center"/>
    </xf>
    <xf numFmtId="0" fontId="0" fillId="24" borderId="0" xfId="0" applyFill="1"/>
    <xf numFmtId="170" fontId="0" fillId="0" borderId="1" xfId="2" applyNumberFormat="1" applyFont="1" applyBorder="1" applyAlignment="1">
      <alignment horizontal="left"/>
    </xf>
    <xf numFmtId="0" fontId="52" fillId="0" borderId="1" xfId="0" applyFont="1" applyBorder="1" applyAlignment="1">
      <alignment horizontal="center" vertical="center"/>
    </xf>
    <xf numFmtId="165" fontId="0" fillId="0" borderId="19" xfId="1" applyNumberFormat="1" applyFont="1" applyBorder="1" applyAlignment="1">
      <alignment horizontal="center"/>
    </xf>
    <xf numFmtId="0" fontId="5" fillId="2" borderId="1" xfId="0" applyFont="1" applyFill="1" applyBorder="1" applyAlignment="1" applyProtection="1">
      <alignment horizontal="center"/>
      <protection hidden="1"/>
    </xf>
    <xf numFmtId="44" fontId="0" fillId="0" borderId="37" xfId="0" applyNumberFormat="1" applyBorder="1"/>
    <xf numFmtId="170" fontId="0" fillId="0" borderId="0" xfId="2" applyNumberFormat="1" applyFont="1" applyBorder="1" applyAlignment="1">
      <alignment horizontal="center"/>
    </xf>
    <xf numFmtId="6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3" fontId="0" fillId="0" borderId="0" xfId="0" applyNumberFormat="1"/>
    <xf numFmtId="175" fontId="0" fillId="0" borderId="0" xfId="4" applyNumberFormat="1" applyFont="1" applyBorder="1"/>
    <xf numFmtId="0" fontId="11" fillId="0" borderId="0" xfId="0" quotePrefix="1" applyFont="1" applyAlignment="1">
      <alignment horizontal="center" vertical="top"/>
    </xf>
    <xf numFmtId="2" fontId="0" fillId="0" borderId="0" xfId="0" applyNumberFormat="1" applyAlignment="1">
      <alignment horizontal="center"/>
    </xf>
    <xf numFmtId="170" fontId="3" fillId="0" borderId="0" xfId="2" applyNumberFormat="1" applyFont="1" applyAlignment="1">
      <alignment horizontal="right"/>
    </xf>
    <xf numFmtId="0" fontId="3" fillId="0" borderId="0" xfId="0" applyFont="1" applyAlignment="1">
      <alignment horizontal="left"/>
    </xf>
    <xf numFmtId="9" fontId="0" fillId="0" borderId="0" xfId="4" applyFont="1" applyAlignment="1">
      <alignment horizontal="right"/>
    </xf>
    <xf numFmtId="172" fontId="6" fillId="0" borderId="0" xfId="0" applyNumberFormat="1" applyFont="1" applyAlignment="1">
      <alignment horizontal="left"/>
    </xf>
    <xf numFmtId="0" fontId="58" fillId="0" borderId="0" xfId="0" applyFont="1"/>
    <xf numFmtId="0" fontId="12" fillId="0" borderId="0" xfId="7" quotePrefix="1" applyFont="1" applyAlignment="1" applyProtection="1">
      <alignment horizontal="center" vertical="center"/>
      <protection locked="0"/>
    </xf>
    <xf numFmtId="170" fontId="59" fillId="0" borderId="0" xfId="11" applyNumberFormat="1" applyAlignment="1">
      <alignment horizontal="left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171" fontId="25" fillId="7" borderId="11" xfId="0" applyNumberFormat="1" applyFont="1" applyFill="1" applyBorder="1" applyAlignment="1">
      <alignment horizontal="center" vertical="center" wrapText="1"/>
    </xf>
    <xf numFmtId="171" fontId="25" fillId="7" borderId="20" xfId="0" applyNumberFormat="1" applyFont="1" applyFill="1" applyBorder="1" applyAlignment="1">
      <alignment horizontal="center" vertical="center" wrapText="1"/>
    </xf>
    <xf numFmtId="170" fontId="2" fillId="2" borderId="15" xfId="2" applyNumberFormat="1" applyFont="1" applyFill="1" applyBorder="1" applyAlignment="1" applyProtection="1">
      <alignment horizontal="center"/>
      <protection hidden="1"/>
    </xf>
    <xf numFmtId="0" fontId="2" fillId="2" borderId="45" xfId="0" applyFont="1" applyFill="1" applyBorder="1" applyAlignment="1" applyProtection="1">
      <alignment horizontal="center"/>
      <protection hidden="1"/>
    </xf>
    <xf numFmtId="0" fontId="2" fillId="2" borderId="40" xfId="0" applyFont="1" applyFill="1" applyBorder="1" applyAlignment="1" applyProtection="1">
      <alignment horizontal="center"/>
      <protection hidden="1"/>
    </xf>
    <xf numFmtId="166" fontId="10" fillId="4" borderId="1" xfId="6" applyFont="1" applyFill="1" applyBorder="1" applyAlignment="1">
      <alignment horizontal="center" vertical="center" wrapText="1"/>
    </xf>
    <xf numFmtId="166" fontId="28" fillId="4" borderId="33" xfId="6" applyFont="1" applyFill="1" applyBorder="1" applyAlignment="1">
      <alignment horizontal="center" vertical="center" wrapText="1"/>
    </xf>
    <xf numFmtId="166" fontId="28" fillId="4" borderId="22" xfId="6" applyFont="1" applyFill="1" applyBorder="1" applyAlignment="1">
      <alignment horizontal="center" vertical="center" wrapText="1"/>
    </xf>
    <xf numFmtId="166" fontId="28" fillId="4" borderId="23" xfId="6" applyFont="1" applyFill="1" applyBorder="1" applyAlignment="1">
      <alignment horizontal="center" vertical="center" wrapText="1"/>
    </xf>
    <xf numFmtId="171" fontId="17" fillId="7" borderId="8" xfId="0" applyNumberFormat="1" applyFont="1" applyFill="1" applyBorder="1" applyAlignment="1">
      <alignment horizontal="center" vertical="center" wrapText="1"/>
    </xf>
    <xf numFmtId="171" fontId="17" fillId="7" borderId="0" xfId="0" applyNumberFormat="1" applyFont="1" applyFill="1" applyAlignment="1">
      <alignment horizontal="center" vertical="center" wrapText="1"/>
    </xf>
    <xf numFmtId="171" fontId="17" fillId="7" borderId="31" xfId="0" applyNumberFormat="1" applyFont="1" applyFill="1" applyBorder="1" applyAlignment="1">
      <alignment horizontal="center" vertical="center" wrapText="1"/>
    </xf>
    <xf numFmtId="166" fontId="7" fillId="4" borderId="44" xfId="6" applyFont="1" applyFill="1" applyBorder="1" applyAlignment="1">
      <alignment horizontal="center" vertical="center" wrapText="1"/>
    </xf>
    <xf numFmtId="166" fontId="7" fillId="4" borderId="27" xfId="6" applyFont="1" applyFill="1" applyBorder="1" applyAlignment="1">
      <alignment horizontal="center" vertical="center" wrapText="1"/>
    </xf>
    <xf numFmtId="166" fontId="10" fillId="4" borderId="5" xfId="6" applyFont="1" applyFill="1" applyBorder="1" applyAlignment="1">
      <alignment horizontal="center" vertical="center" wrapText="1"/>
    </xf>
    <xf numFmtId="166" fontId="10" fillId="4" borderId="7" xfId="6" applyFont="1" applyFill="1" applyBorder="1" applyAlignment="1">
      <alignment horizontal="center" vertical="center" wrapText="1"/>
    </xf>
    <xf numFmtId="0" fontId="32" fillId="0" borderId="24" xfId="0" applyFont="1" applyBorder="1" applyAlignment="1">
      <alignment horizontal="center"/>
    </xf>
    <xf numFmtId="0" fontId="32" fillId="0" borderId="25" xfId="0" applyFont="1" applyBorder="1" applyAlignment="1">
      <alignment horizontal="center"/>
    </xf>
    <xf numFmtId="41" fontId="0" fillId="0" borderId="5" xfId="3" applyFont="1" applyFill="1" applyBorder="1" applyAlignment="1">
      <alignment horizontal="center"/>
    </xf>
    <xf numFmtId="41" fontId="0" fillId="0" borderId="6" xfId="3" applyFont="1" applyFill="1" applyBorder="1" applyAlignment="1">
      <alignment horizontal="center"/>
    </xf>
    <xf numFmtId="41" fontId="0" fillId="0" borderId="7" xfId="3" applyFont="1" applyFill="1" applyBorder="1" applyAlignment="1">
      <alignment horizontal="center"/>
    </xf>
    <xf numFmtId="41" fontId="0" fillId="0" borderId="5" xfId="3" applyFont="1" applyFill="1" applyBorder="1" applyAlignment="1">
      <alignment horizontal="left"/>
    </xf>
    <xf numFmtId="41" fontId="0" fillId="0" borderId="6" xfId="3" applyFont="1" applyFill="1" applyBorder="1" applyAlignment="1">
      <alignment horizontal="left"/>
    </xf>
    <xf numFmtId="41" fontId="0" fillId="0" borderId="7" xfId="3" applyFont="1" applyFill="1" applyBorder="1" applyAlignment="1">
      <alignment horizontal="left"/>
    </xf>
    <xf numFmtId="41" fontId="0" fillId="8" borderId="5" xfId="3" applyFont="1" applyFill="1" applyBorder="1" applyAlignment="1">
      <alignment horizontal="center"/>
    </xf>
    <xf numFmtId="41" fontId="0" fillId="8" borderId="6" xfId="3" applyFont="1" applyFill="1" applyBorder="1" applyAlignment="1">
      <alignment horizontal="center"/>
    </xf>
    <xf numFmtId="41" fontId="0" fillId="8" borderId="7" xfId="3" applyFont="1" applyFill="1" applyBorder="1" applyAlignment="1">
      <alignment horizontal="center"/>
    </xf>
    <xf numFmtId="41" fontId="0" fillId="0" borderId="5" xfId="3" applyFont="1" applyBorder="1" applyAlignment="1">
      <alignment horizontal="center"/>
    </xf>
    <xf numFmtId="41" fontId="0" fillId="0" borderId="7" xfId="3" applyFont="1" applyBorder="1" applyAlignment="1">
      <alignment horizontal="center"/>
    </xf>
    <xf numFmtId="9" fontId="0" fillId="12" borderId="5" xfId="4" applyFont="1" applyFill="1" applyBorder="1" applyAlignment="1">
      <alignment horizontal="center"/>
    </xf>
    <xf numFmtId="9" fontId="0" fillId="12" borderId="6" xfId="4" applyFont="1" applyFill="1" applyBorder="1" applyAlignment="1">
      <alignment horizontal="center"/>
    </xf>
    <xf numFmtId="9" fontId="0" fillId="12" borderId="7" xfId="4" applyFont="1" applyFill="1" applyBorder="1" applyAlignment="1">
      <alignment horizontal="center"/>
    </xf>
    <xf numFmtId="9" fontId="0" fillId="0" borderId="5" xfId="4" applyFont="1" applyBorder="1" applyAlignment="1">
      <alignment horizontal="center"/>
    </xf>
    <xf numFmtId="9" fontId="0" fillId="0" borderId="6" xfId="4" applyFont="1" applyBorder="1" applyAlignment="1">
      <alignment horizontal="center"/>
    </xf>
    <xf numFmtId="9" fontId="0" fillId="0" borderId="7" xfId="4" applyFont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9" fontId="0" fillId="8" borderId="5" xfId="4" applyFont="1" applyFill="1" applyBorder="1" applyAlignment="1">
      <alignment horizontal="center"/>
    </xf>
    <xf numFmtId="9" fontId="0" fillId="8" borderId="6" xfId="4" applyFont="1" applyFill="1" applyBorder="1" applyAlignment="1">
      <alignment horizontal="center"/>
    </xf>
    <xf numFmtId="9" fontId="0" fillId="8" borderId="7" xfId="4" applyFont="1" applyFill="1" applyBorder="1" applyAlignment="1">
      <alignment horizontal="center"/>
    </xf>
    <xf numFmtId="9" fontId="0" fillId="0" borderId="5" xfId="4" applyFont="1" applyFill="1" applyBorder="1" applyAlignment="1">
      <alignment horizontal="center"/>
    </xf>
    <xf numFmtId="9" fontId="0" fillId="0" borderId="6" xfId="4" applyFont="1" applyFill="1" applyBorder="1" applyAlignment="1">
      <alignment horizontal="center"/>
    </xf>
    <xf numFmtId="9" fontId="0" fillId="0" borderId="7" xfId="4" applyFont="1" applyFill="1" applyBorder="1" applyAlignment="1">
      <alignment horizontal="center"/>
    </xf>
    <xf numFmtId="41" fontId="0" fillId="12" borderId="5" xfId="3" applyFont="1" applyFill="1" applyBorder="1" applyAlignment="1">
      <alignment horizontal="center"/>
    </xf>
    <xf numFmtId="41" fontId="0" fillId="12" borderId="6" xfId="3" applyFont="1" applyFill="1" applyBorder="1" applyAlignment="1">
      <alignment horizontal="center"/>
    </xf>
    <xf numFmtId="41" fontId="0" fillId="12" borderId="7" xfId="3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41" fontId="0" fillId="3" borderId="5" xfId="3" applyFont="1" applyFill="1" applyBorder="1" applyAlignment="1">
      <alignment horizontal="center"/>
    </xf>
    <xf numFmtId="41" fontId="0" fillId="3" borderId="7" xfId="3" applyFont="1" applyFill="1" applyBorder="1" applyAlignment="1">
      <alignment horizontal="center"/>
    </xf>
    <xf numFmtId="41" fontId="0" fillId="3" borderId="6" xfId="3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9" fontId="0" fillId="3" borderId="5" xfId="4" applyFont="1" applyFill="1" applyBorder="1" applyAlignment="1">
      <alignment horizontal="center"/>
    </xf>
    <xf numFmtId="9" fontId="0" fillId="3" borderId="6" xfId="4" applyFont="1" applyFill="1" applyBorder="1" applyAlignment="1">
      <alignment horizontal="center"/>
    </xf>
    <xf numFmtId="9" fontId="0" fillId="3" borderId="7" xfId="4" applyFont="1" applyFill="1" applyBorder="1" applyAlignment="1">
      <alignment horizontal="center"/>
    </xf>
    <xf numFmtId="41" fontId="0" fillId="0" borderId="5" xfId="3" applyFont="1" applyBorder="1" applyAlignment="1">
      <alignment horizontal="left"/>
    </xf>
    <xf numFmtId="41" fontId="0" fillId="0" borderId="7" xfId="3" applyFont="1" applyBorder="1" applyAlignment="1">
      <alignment horizontal="left"/>
    </xf>
    <xf numFmtId="9" fontId="0" fillId="8" borderId="5" xfId="0" applyNumberFormat="1" applyFill="1" applyBorder="1" applyAlignment="1">
      <alignment horizontal="center"/>
    </xf>
    <xf numFmtId="9" fontId="0" fillId="8" borderId="6" xfId="0" applyNumberFormat="1" applyFill="1" applyBorder="1" applyAlignment="1">
      <alignment horizontal="center"/>
    </xf>
    <xf numFmtId="9" fontId="0" fillId="8" borderId="7" xfId="0" applyNumberForma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</cellXfs>
  <cellStyles count="12">
    <cellStyle name="Hipervínculo" xfId="11" builtinId="8"/>
    <cellStyle name="Millares" xfId="2" builtinId="3"/>
    <cellStyle name="Millares [0]" xfId="3" builtinId="6"/>
    <cellStyle name="Millares [0] 2 2" xfId="6" xr:uid="{E86B33E2-F68C-42DF-A77A-4891008DD35E}"/>
    <cellStyle name="Moneda" xfId="1" builtinId="4"/>
    <cellStyle name="Normal" xfId="0" builtinId="0"/>
    <cellStyle name="Normal 17 2" xfId="8" xr:uid="{2392DC0D-9B9A-42C6-95B2-C3E0C8487C33}"/>
    <cellStyle name="Normal 2 2" xfId="9" xr:uid="{D17FA04E-ADA0-4B8F-ADB7-E268A63D036B}"/>
    <cellStyle name="Normal 2 3" xfId="5" xr:uid="{7FA360C0-0C27-41A4-96A2-4B027CF74872}"/>
    <cellStyle name="Normal 7" xfId="7" xr:uid="{0D77423C-3AAA-4F7C-8D5D-1ECE9F3040DB}"/>
    <cellStyle name="Normal_Hoja3" xfId="10" xr:uid="{DB891302-F6CD-4E4A-AD39-303EDED93C3F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84817</xdr:colOff>
      <xdr:row>15</xdr:row>
      <xdr:rowOff>112033</xdr:rowOff>
    </xdr:from>
    <xdr:to>
      <xdr:col>2</xdr:col>
      <xdr:colOff>676274</xdr:colOff>
      <xdr:row>19</xdr:row>
      <xdr:rowOff>41730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4817" y="2833462"/>
          <a:ext cx="2346778" cy="637268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241753</xdr:colOff>
      <xdr:row>53</xdr:row>
      <xdr:rowOff>40821</xdr:rowOff>
    </xdr:from>
    <xdr:to>
      <xdr:col>2</xdr:col>
      <xdr:colOff>826860</xdr:colOff>
      <xdr:row>56</xdr:row>
      <xdr:rowOff>153761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1753" y="9552214"/>
          <a:ext cx="2340428" cy="643618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1012976</xdr:colOff>
      <xdr:row>53</xdr:row>
      <xdr:rowOff>21015</xdr:rowOff>
    </xdr:from>
    <xdr:to>
      <xdr:col>5</xdr:col>
      <xdr:colOff>547158</xdr:colOff>
      <xdr:row>56</xdr:row>
      <xdr:rowOff>145142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1393" y="9662432"/>
          <a:ext cx="2296432" cy="663877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234950</xdr:colOff>
          <xdr:row>16</xdr:row>
          <xdr:rowOff>44450</xdr:rowOff>
        </xdr:from>
        <xdr:to>
          <xdr:col>2</xdr:col>
          <xdr:colOff>571500</xdr:colOff>
          <xdr:row>18</xdr:row>
          <xdr:rowOff>165100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53</xdr:row>
          <xdr:rowOff>146050</xdr:rowOff>
        </xdr:from>
        <xdr:to>
          <xdr:col>2</xdr:col>
          <xdr:colOff>762000</xdr:colOff>
          <xdr:row>56</xdr:row>
          <xdr:rowOff>107950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53</xdr:row>
          <xdr:rowOff>152400</xdr:rowOff>
        </xdr:from>
        <xdr:to>
          <xdr:col>5</xdr:col>
          <xdr:colOff>476250</xdr:colOff>
          <xdr:row>56</xdr:row>
          <xdr:rowOff>57150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2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Lucy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400047</xdr:colOff>
      <xdr:row>0</xdr:row>
      <xdr:rowOff>84667</xdr:rowOff>
    </xdr:from>
    <xdr:to>
      <xdr:col>2</xdr:col>
      <xdr:colOff>1096961</xdr:colOff>
      <xdr:row>5</xdr:row>
      <xdr:rowOff>77221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400047" y="825500"/>
          <a:ext cx="3603803" cy="10236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1</xdr:row>
          <xdr:rowOff>12700</xdr:rowOff>
        </xdr:from>
        <xdr:to>
          <xdr:col>2</xdr:col>
          <xdr:colOff>542925</xdr:colOff>
          <xdr:row>4</xdr:row>
          <xdr:rowOff>123825</xdr:rowOff>
        </xdr:to>
        <xdr:sp macro="" textlink="">
          <xdr:nvSpPr>
            <xdr:cNvPr id="18438" name="TextBox1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5</xdr:row>
      <xdr:rowOff>74084</xdr:rowOff>
    </xdr:from>
    <xdr:to>
      <xdr:col>11</xdr:col>
      <xdr:colOff>542925</xdr:colOff>
      <xdr:row>14</xdr:row>
      <xdr:rowOff>178859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3201811" y="144286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6</xdr:row>
      <xdr:rowOff>76200</xdr:rowOff>
    </xdr:from>
    <xdr:to>
      <xdr:col>12</xdr:col>
      <xdr:colOff>571500</xdr:colOff>
      <xdr:row>14</xdr:row>
      <xdr:rowOff>247650</xdr:rowOff>
    </xdr:to>
    <xdr:cxnSp macro="">
      <xdr:nvCxnSpPr>
        <xdr:cNvPr id="5" name="Conector: angul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057525" y="1419225"/>
          <a:ext cx="9496425" cy="89535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60</xdr:row>
      <xdr:rowOff>95250</xdr:rowOff>
    </xdr:from>
    <xdr:to>
      <xdr:col>11</xdr:col>
      <xdr:colOff>539750</xdr:colOff>
      <xdr:row>67</xdr:row>
      <xdr:rowOff>196850</xdr:rowOff>
    </xdr:to>
    <xdr:cxnSp macro="">
      <xdr:nvCxnSpPr>
        <xdr:cNvPr id="16" name="Conector: angula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000375" y="6162675"/>
          <a:ext cx="8435975" cy="190182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61</xdr:row>
      <xdr:rowOff>76200</xdr:rowOff>
    </xdr:from>
    <xdr:to>
      <xdr:col>12</xdr:col>
      <xdr:colOff>571500</xdr:colOff>
      <xdr:row>67</xdr:row>
      <xdr:rowOff>247650</xdr:rowOff>
    </xdr:to>
    <xdr:cxnSp macro="">
      <xdr:nvCxnSpPr>
        <xdr:cNvPr id="17" name="Conector: angul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>
        <a:xfrm>
          <a:off x="2987675" y="1628775"/>
          <a:ext cx="9499600" cy="89535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59</xdr:row>
      <xdr:rowOff>133350</xdr:rowOff>
    </xdr:from>
    <xdr:to>
      <xdr:col>10</xdr:col>
      <xdr:colOff>501650</xdr:colOff>
      <xdr:row>67</xdr:row>
      <xdr:rowOff>133350</xdr:rowOff>
    </xdr:to>
    <xdr:cxnSp macro="">
      <xdr:nvCxnSpPr>
        <xdr:cNvPr id="19" name="Conector: angula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305675" y="5886450"/>
          <a:ext cx="3311525" cy="2114550"/>
        </a:xfrm>
        <a:prstGeom prst="bentConnector3">
          <a:avLst>
            <a:gd name="adj1" fmla="val 99952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</xdr:row>
      <xdr:rowOff>196850</xdr:rowOff>
    </xdr:from>
    <xdr:to>
      <xdr:col>10</xdr:col>
      <xdr:colOff>409575</xdr:colOff>
      <xdr:row>14</xdr:row>
      <xdr:rowOff>228600</xdr:rowOff>
    </xdr:to>
    <xdr:cxnSp macro="">
      <xdr:nvCxnSpPr>
        <xdr:cNvPr id="24" name="Conector: angula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7200900" y="1130300"/>
          <a:ext cx="3324225" cy="137477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30</xdr:row>
      <xdr:rowOff>95250</xdr:rowOff>
    </xdr:from>
    <xdr:to>
      <xdr:col>11</xdr:col>
      <xdr:colOff>542925</xdr:colOff>
      <xdr:row>40</xdr:row>
      <xdr:rowOff>200025</xdr:rowOff>
    </xdr:to>
    <xdr:cxnSp macro="">
      <xdr:nvCxnSpPr>
        <xdr:cNvPr id="29" name="Conector: angula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/>
      </xdr:nvCxnSpPr>
      <xdr:spPr>
        <a:xfrm>
          <a:off x="3196771" y="1465036"/>
          <a:ext cx="8449583" cy="1737632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32</xdr:row>
      <xdr:rowOff>76200</xdr:rowOff>
    </xdr:from>
    <xdr:to>
      <xdr:col>12</xdr:col>
      <xdr:colOff>571500</xdr:colOff>
      <xdr:row>40</xdr:row>
      <xdr:rowOff>247650</xdr:rowOff>
    </xdr:to>
    <xdr:cxnSp macro="">
      <xdr:nvCxnSpPr>
        <xdr:cNvPr id="30" name="Conector: angular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/>
      </xdr:nvCxnSpPr>
      <xdr:spPr>
        <a:xfrm>
          <a:off x="3187246" y="1627414"/>
          <a:ext cx="9558111" cy="1622879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29</xdr:row>
      <xdr:rowOff>196850</xdr:rowOff>
    </xdr:from>
    <xdr:to>
      <xdr:col>10</xdr:col>
      <xdr:colOff>409575</xdr:colOff>
      <xdr:row>40</xdr:row>
      <xdr:rowOff>228600</xdr:rowOff>
    </xdr:to>
    <xdr:cxnSp macro="">
      <xdr:nvCxnSpPr>
        <xdr:cNvPr id="31" name="Conector: angular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CxnSpPr/>
      </xdr:nvCxnSpPr>
      <xdr:spPr>
        <a:xfrm>
          <a:off x="7048500" y="1131207"/>
          <a:ext cx="3684361" cy="2100036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78</xdr:row>
      <xdr:rowOff>74083</xdr:rowOff>
    </xdr:from>
    <xdr:to>
      <xdr:col>11</xdr:col>
      <xdr:colOff>539750</xdr:colOff>
      <xdr:row>85</xdr:row>
      <xdr:rowOff>175683</xdr:rowOff>
    </xdr:to>
    <xdr:cxnSp macro="">
      <xdr:nvCxnSpPr>
        <xdr:cNvPr id="32" name="Conector: angula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>
          <a:off x="3201811" y="17134416"/>
          <a:ext cx="8619772" cy="193604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79</xdr:row>
      <xdr:rowOff>76200</xdr:rowOff>
    </xdr:from>
    <xdr:to>
      <xdr:col>12</xdr:col>
      <xdr:colOff>571500</xdr:colOff>
      <xdr:row>85</xdr:row>
      <xdr:rowOff>247650</xdr:rowOff>
    </xdr:to>
    <xdr:cxnSp macro="">
      <xdr:nvCxnSpPr>
        <xdr:cNvPr id="33" name="Conector: angula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CxnSpPr/>
      </xdr:nvCxnSpPr>
      <xdr:spPr>
        <a:xfrm>
          <a:off x="3187246" y="12993914"/>
          <a:ext cx="9558111" cy="167640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77</xdr:row>
      <xdr:rowOff>133350</xdr:rowOff>
    </xdr:from>
    <xdr:to>
      <xdr:col>10</xdr:col>
      <xdr:colOff>501650</xdr:colOff>
      <xdr:row>85</xdr:row>
      <xdr:rowOff>133350</xdr:rowOff>
    </xdr:to>
    <xdr:cxnSp macro="">
      <xdr:nvCxnSpPr>
        <xdr:cNvPr id="34" name="Conector: angula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>
          <a:off x="7153275" y="12416064"/>
          <a:ext cx="3671661" cy="2159000"/>
        </a:xfrm>
        <a:prstGeom prst="bentConnector3">
          <a:avLst>
            <a:gd name="adj1" fmla="val 99952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107</xdr:row>
      <xdr:rowOff>95250</xdr:rowOff>
    </xdr:from>
    <xdr:to>
      <xdr:col>11</xdr:col>
      <xdr:colOff>542925</xdr:colOff>
      <xdr:row>116</xdr:row>
      <xdr:rowOff>200025</xdr:rowOff>
    </xdr:to>
    <xdr:cxnSp macro="">
      <xdr:nvCxnSpPr>
        <xdr:cNvPr id="7" name="Conector: angular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3195638" y="6619875"/>
          <a:ext cx="8631237" cy="1887538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108</xdr:row>
      <xdr:rowOff>76200</xdr:rowOff>
    </xdr:from>
    <xdr:to>
      <xdr:col>12</xdr:col>
      <xdr:colOff>571500</xdr:colOff>
      <xdr:row>116</xdr:row>
      <xdr:rowOff>247650</xdr:rowOff>
    </xdr:to>
    <xdr:cxnSp macro="">
      <xdr:nvCxnSpPr>
        <xdr:cNvPr id="8" name="Conector: angular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3182938" y="6958013"/>
          <a:ext cx="9747250" cy="160020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106</xdr:row>
      <xdr:rowOff>196850</xdr:rowOff>
    </xdr:from>
    <xdr:to>
      <xdr:col>10</xdr:col>
      <xdr:colOff>409575</xdr:colOff>
      <xdr:row>116</xdr:row>
      <xdr:rowOff>228600</xdr:rowOff>
    </xdr:to>
    <xdr:cxnSp macro="">
      <xdr:nvCxnSpPr>
        <xdr:cNvPr id="9" name="Conector: angular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7048500" y="6284119"/>
          <a:ext cx="3859213" cy="225504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135</xdr:row>
      <xdr:rowOff>95250</xdr:rowOff>
    </xdr:from>
    <xdr:to>
      <xdr:col>11</xdr:col>
      <xdr:colOff>542925</xdr:colOff>
      <xdr:row>144</xdr:row>
      <xdr:rowOff>200025</xdr:rowOff>
    </xdr:to>
    <xdr:cxnSp macro="">
      <xdr:nvCxnSpPr>
        <xdr:cNvPr id="2" name="Conector: angular 1">
          <a:extLst>
            <a:ext uri="{FF2B5EF4-FFF2-40B4-BE49-F238E27FC236}">
              <a16:creationId xmlns:a16="http://schemas.microsoft.com/office/drawing/2014/main" id="{8AF737A9-90F7-4265-89F7-4913D02384D2}"/>
            </a:ext>
          </a:extLst>
        </xdr:cNvPr>
        <xdr:cNvCxnSpPr/>
      </xdr:nvCxnSpPr>
      <xdr:spPr>
        <a:xfrm>
          <a:off x="3201811" y="23703139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136</xdr:row>
      <xdr:rowOff>76200</xdr:rowOff>
    </xdr:from>
    <xdr:to>
      <xdr:col>12</xdr:col>
      <xdr:colOff>571500</xdr:colOff>
      <xdr:row>144</xdr:row>
      <xdr:rowOff>247650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149F0DD3-BB0E-4454-8733-5E9AFB030B5C}"/>
            </a:ext>
          </a:extLst>
        </xdr:cNvPr>
        <xdr:cNvCxnSpPr/>
      </xdr:nvCxnSpPr>
      <xdr:spPr>
        <a:xfrm>
          <a:off x="3192286" y="23867533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134</xdr:row>
      <xdr:rowOff>196850</xdr:rowOff>
    </xdr:from>
    <xdr:to>
      <xdr:col>10</xdr:col>
      <xdr:colOff>409575</xdr:colOff>
      <xdr:row>144</xdr:row>
      <xdr:rowOff>228600</xdr:rowOff>
    </xdr:to>
    <xdr:cxnSp macro="">
      <xdr:nvCxnSpPr>
        <xdr:cNvPr id="6" name="Conector: angular 5">
          <a:extLst>
            <a:ext uri="{FF2B5EF4-FFF2-40B4-BE49-F238E27FC236}">
              <a16:creationId xmlns:a16="http://schemas.microsoft.com/office/drawing/2014/main" id="{C8D594B9-FD6E-49A0-9EF2-6695E470F785}"/>
            </a:ext>
          </a:extLst>
        </xdr:cNvPr>
        <xdr:cNvCxnSpPr/>
      </xdr:nvCxnSpPr>
      <xdr:spPr>
        <a:xfrm>
          <a:off x="7048500" y="23367294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156</xdr:row>
      <xdr:rowOff>95250</xdr:rowOff>
    </xdr:from>
    <xdr:to>
      <xdr:col>11</xdr:col>
      <xdr:colOff>542925</xdr:colOff>
      <xdr:row>165</xdr:row>
      <xdr:rowOff>200025</xdr:rowOff>
    </xdr:to>
    <xdr:cxnSp macro="">
      <xdr:nvCxnSpPr>
        <xdr:cNvPr id="10" name="Conector: angular 9">
          <a:extLst>
            <a:ext uri="{FF2B5EF4-FFF2-40B4-BE49-F238E27FC236}">
              <a16:creationId xmlns:a16="http://schemas.microsoft.com/office/drawing/2014/main" id="{C6DBD7D8-9584-4F3B-835B-6FAA2892BABC}"/>
            </a:ext>
          </a:extLst>
        </xdr:cNvPr>
        <xdr:cNvCxnSpPr/>
      </xdr:nvCxnSpPr>
      <xdr:spPr>
        <a:xfrm>
          <a:off x="3201811" y="29523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157</xdr:row>
      <xdr:rowOff>76200</xdr:rowOff>
    </xdr:from>
    <xdr:to>
      <xdr:col>12</xdr:col>
      <xdr:colOff>571500</xdr:colOff>
      <xdr:row>165</xdr:row>
      <xdr:rowOff>247650</xdr:rowOff>
    </xdr:to>
    <xdr:cxnSp macro="">
      <xdr:nvCxnSpPr>
        <xdr:cNvPr id="11" name="Conector: angular 10">
          <a:extLst>
            <a:ext uri="{FF2B5EF4-FFF2-40B4-BE49-F238E27FC236}">
              <a16:creationId xmlns:a16="http://schemas.microsoft.com/office/drawing/2014/main" id="{92965E52-2B3E-4D42-9DA0-F2C5C7D66D5C}"/>
            </a:ext>
          </a:extLst>
        </xdr:cNvPr>
        <xdr:cNvCxnSpPr/>
      </xdr:nvCxnSpPr>
      <xdr:spPr>
        <a:xfrm>
          <a:off x="3192286" y="29688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155</xdr:row>
      <xdr:rowOff>196850</xdr:rowOff>
    </xdr:from>
    <xdr:to>
      <xdr:col>10</xdr:col>
      <xdr:colOff>409575</xdr:colOff>
      <xdr:row>165</xdr:row>
      <xdr:rowOff>228600</xdr:rowOff>
    </xdr:to>
    <xdr:cxnSp macro="">
      <xdr:nvCxnSpPr>
        <xdr:cNvPr id="12" name="Conector: angular 11">
          <a:extLst>
            <a:ext uri="{FF2B5EF4-FFF2-40B4-BE49-F238E27FC236}">
              <a16:creationId xmlns:a16="http://schemas.microsoft.com/office/drawing/2014/main" id="{DED5AB35-1812-4E18-AF83-8E286D8413B3}"/>
            </a:ext>
          </a:extLst>
        </xdr:cNvPr>
        <xdr:cNvCxnSpPr/>
      </xdr:nvCxnSpPr>
      <xdr:spPr>
        <a:xfrm>
          <a:off x="7048500" y="29188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177</xdr:row>
      <xdr:rowOff>95250</xdr:rowOff>
    </xdr:from>
    <xdr:to>
      <xdr:col>11</xdr:col>
      <xdr:colOff>542925</xdr:colOff>
      <xdr:row>186</xdr:row>
      <xdr:rowOff>200025</xdr:rowOff>
    </xdr:to>
    <xdr:cxnSp macro="">
      <xdr:nvCxnSpPr>
        <xdr:cNvPr id="13" name="Conector: angular 12">
          <a:extLst>
            <a:ext uri="{FF2B5EF4-FFF2-40B4-BE49-F238E27FC236}">
              <a16:creationId xmlns:a16="http://schemas.microsoft.com/office/drawing/2014/main" id="{AE7826CD-6C75-4058-A0E6-0EA7275F3A06}"/>
            </a:ext>
          </a:extLst>
        </xdr:cNvPr>
        <xdr:cNvCxnSpPr/>
      </xdr:nvCxnSpPr>
      <xdr:spPr>
        <a:xfrm>
          <a:off x="3201811" y="33968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178</xdr:row>
      <xdr:rowOff>76200</xdr:rowOff>
    </xdr:from>
    <xdr:to>
      <xdr:col>12</xdr:col>
      <xdr:colOff>571500</xdr:colOff>
      <xdr:row>186</xdr:row>
      <xdr:rowOff>247650</xdr:rowOff>
    </xdr:to>
    <xdr:cxnSp macro="">
      <xdr:nvCxnSpPr>
        <xdr:cNvPr id="14" name="Conector: angular 13">
          <a:extLst>
            <a:ext uri="{FF2B5EF4-FFF2-40B4-BE49-F238E27FC236}">
              <a16:creationId xmlns:a16="http://schemas.microsoft.com/office/drawing/2014/main" id="{4FE16F93-F429-45B2-B619-123BEDAF879D}"/>
            </a:ext>
          </a:extLst>
        </xdr:cNvPr>
        <xdr:cNvCxnSpPr/>
      </xdr:nvCxnSpPr>
      <xdr:spPr>
        <a:xfrm>
          <a:off x="3192286" y="34133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176</xdr:row>
      <xdr:rowOff>196850</xdr:rowOff>
    </xdr:from>
    <xdr:to>
      <xdr:col>10</xdr:col>
      <xdr:colOff>409575</xdr:colOff>
      <xdr:row>186</xdr:row>
      <xdr:rowOff>228600</xdr:rowOff>
    </xdr:to>
    <xdr:cxnSp macro="">
      <xdr:nvCxnSpPr>
        <xdr:cNvPr id="15" name="Conector: angular 14">
          <a:extLst>
            <a:ext uri="{FF2B5EF4-FFF2-40B4-BE49-F238E27FC236}">
              <a16:creationId xmlns:a16="http://schemas.microsoft.com/office/drawing/2014/main" id="{BBAD778B-8680-43AC-B92A-81AD630A4A57}"/>
            </a:ext>
          </a:extLst>
        </xdr:cNvPr>
        <xdr:cNvCxnSpPr/>
      </xdr:nvCxnSpPr>
      <xdr:spPr>
        <a:xfrm>
          <a:off x="7048500" y="33633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198</xdr:row>
      <xdr:rowOff>95250</xdr:rowOff>
    </xdr:from>
    <xdr:to>
      <xdr:col>11</xdr:col>
      <xdr:colOff>542925</xdr:colOff>
      <xdr:row>207</xdr:row>
      <xdr:rowOff>200025</xdr:rowOff>
    </xdr:to>
    <xdr:cxnSp macro="">
      <xdr:nvCxnSpPr>
        <xdr:cNvPr id="18" name="Conector: angular 17">
          <a:extLst>
            <a:ext uri="{FF2B5EF4-FFF2-40B4-BE49-F238E27FC236}">
              <a16:creationId xmlns:a16="http://schemas.microsoft.com/office/drawing/2014/main" id="{DCA0422B-99BD-4AB9-BE7D-BD42F3149E9C}"/>
            </a:ext>
          </a:extLst>
        </xdr:cNvPr>
        <xdr:cNvCxnSpPr/>
      </xdr:nvCxnSpPr>
      <xdr:spPr>
        <a:xfrm>
          <a:off x="3201811" y="38413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199</xdr:row>
      <xdr:rowOff>76200</xdr:rowOff>
    </xdr:from>
    <xdr:to>
      <xdr:col>12</xdr:col>
      <xdr:colOff>571500</xdr:colOff>
      <xdr:row>207</xdr:row>
      <xdr:rowOff>247650</xdr:rowOff>
    </xdr:to>
    <xdr:cxnSp macro="">
      <xdr:nvCxnSpPr>
        <xdr:cNvPr id="20" name="Conector: angular 19">
          <a:extLst>
            <a:ext uri="{FF2B5EF4-FFF2-40B4-BE49-F238E27FC236}">
              <a16:creationId xmlns:a16="http://schemas.microsoft.com/office/drawing/2014/main" id="{1ECFE46B-B9CF-4ED5-87A1-A852AF6DD6BD}"/>
            </a:ext>
          </a:extLst>
        </xdr:cNvPr>
        <xdr:cNvCxnSpPr/>
      </xdr:nvCxnSpPr>
      <xdr:spPr>
        <a:xfrm>
          <a:off x="3192286" y="38578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197</xdr:row>
      <xdr:rowOff>196850</xdr:rowOff>
    </xdr:from>
    <xdr:to>
      <xdr:col>10</xdr:col>
      <xdr:colOff>409575</xdr:colOff>
      <xdr:row>207</xdr:row>
      <xdr:rowOff>228600</xdr:rowOff>
    </xdr:to>
    <xdr:cxnSp macro="">
      <xdr:nvCxnSpPr>
        <xdr:cNvPr id="21" name="Conector: angular 20">
          <a:extLst>
            <a:ext uri="{FF2B5EF4-FFF2-40B4-BE49-F238E27FC236}">
              <a16:creationId xmlns:a16="http://schemas.microsoft.com/office/drawing/2014/main" id="{7CBCE5DF-9546-4A3C-8760-EAA3D38BCBCD}"/>
            </a:ext>
          </a:extLst>
        </xdr:cNvPr>
        <xdr:cNvCxnSpPr/>
      </xdr:nvCxnSpPr>
      <xdr:spPr>
        <a:xfrm>
          <a:off x="7048500" y="38078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218</xdr:row>
      <xdr:rowOff>95250</xdr:rowOff>
    </xdr:from>
    <xdr:to>
      <xdr:col>11</xdr:col>
      <xdr:colOff>542925</xdr:colOff>
      <xdr:row>227</xdr:row>
      <xdr:rowOff>200025</xdr:rowOff>
    </xdr:to>
    <xdr:cxnSp macro="">
      <xdr:nvCxnSpPr>
        <xdr:cNvPr id="22" name="Conector: angular 21">
          <a:extLst>
            <a:ext uri="{FF2B5EF4-FFF2-40B4-BE49-F238E27FC236}">
              <a16:creationId xmlns:a16="http://schemas.microsoft.com/office/drawing/2014/main" id="{E8E8A0ED-3B33-46E4-81E5-A6BD31CF2118}"/>
            </a:ext>
          </a:extLst>
        </xdr:cNvPr>
        <xdr:cNvCxnSpPr/>
      </xdr:nvCxnSpPr>
      <xdr:spPr>
        <a:xfrm>
          <a:off x="3201811" y="23703139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219</xdr:row>
      <xdr:rowOff>76200</xdr:rowOff>
    </xdr:from>
    <xdr:to>
      <xdr:col>12</xdr:col>
      <xdr:colOff>571500</xdr:colOff>
      <xdr:row>227</xdr:row>
      <xdr:rowOff>247650</xdr:rowOff>
    </xdr:to>
    <xdr:cxnSp macro="">
      <xdr:nvCxnSpPr>
        <xdr:cNvPr id="23" name="Conector: angular 22">
          <a:extLst>
            <a:ext uri="{FF2B5EF4-FFF2-40B4-BE49-F238E27FC236}">
              <a16:creationId xmlns:a16="http://schemas.microsoft.com/office/drawing/2014/main" id="{C8A52C5D-2831-4188-BC65-EC9492C42264}"/>
            </a:ext>
          </a:extLst>
        </xdr:cNvPr>
        <xdr:cNvCxnSpPr/>
      </xdr:nvCxnSpPr>
      <xdr:spPr>
        <a:xfrm>
          <a:off x="3192286" y="23867533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217</xdr:row>
      <xdr:rowOff>196850</xdr:rowOff>
    </xdr:from>
    <xdr:to>
      <xdr:col>10</xdr:col>
      <xdr:colOff>409575</xdr:colOff>
      <xdr:row>227</xdr:row>
      <xdr:rowOff>228600</xdr:rowOff>
    </xdr:to>
    <xdr:cxnSp macro="">
      <xdr:nvCxnSpPr>
        <xdr:cNvPr id="25" name="Conector: angular 24">
          <a:extLst>
            <a:ext uri="{FF2B5EF4-FFF2-40B4-BE49-F238E27FC236}">
              <a16:creationId xmlns:a16="http://schemas.microsoft.com/office/drawing/2014/main" id="{A566DF50-9A81-44A1-998E-06B8DE0071FC}"/>
            </a:ext>
          </a:extLst>
        </xdr:cNvPr>
        <xdr:cNvCxnSpPr/>
      </xdr:nvCxnSpPr>
      <xdr:spPr>
        <a:xfrm>
          <a:off x="7048500" y="23367294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246</xdr:row>
      <xdr:rowOff>95250</xdr:rowOff>
    </xdr:from>
    <xdr:to>
      <xdr:col>11</xdr:col>
      <xdr:colOff>542925</xdr:colOff>
      <xdr:row>255</xdr:row>
      <xdr:rowOff>200025</xdr:rowOff>
    </xdr:to>
    <xdr:cxnSp macro="">
      <xdr:nvCxnSpPr>
        <xdr:cNvPr id="26" name="Conector: angular 25">
          <a:extLst>
            <a:ext uri="{FF2B5EF4-FFF2-40B4-BE49-F238E27FC236}">
              <a16:creationId xmlns:a16="http://schemas.microsoft.com/office/drawing/2014/main" id="{6103FAE4-A9F1-42C2-8E67-BAB6413489BB}"/>
            </a:ext>
          </a:extLst>
        </xdr:cNvPr>
        <xdr:cNvCxnSpPr/>
      </xdr:nvCxnSpPr>
      <xdr:spPr>
        <a:xfrm>
          <a:off x="3201811" y="23674917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247</xdr:row>
      <xdr:rowOff>76200</xdr:rowOff>
    </xdr:from>
    <xdr:to>
      <xdr:col>12</xdr:col>
      <xdr:colOff>571500</xdr:colOff>
      <xdr:row>255</xdr:row>
      <xdr:rowOff>247650</xdr:rowOff>
    </xdr:to>
    <xdr:cxnSp macro="">
      <xdr:nvCxnSpPr>
        <xdr:cNvPr id="27" name="Conector: angular 26">
          <a:extLst>
            <a:ext uri="{FF2B5EF4-FFF2-40B4-BE49-F238E27FC236}">
              <a16:creationId xmlns:a16="http://schemas.microsoft.com/office/drawing/2014/main" id="{A5585C9B-D6AA-4B01-BF1A-766512BDA8A8}"/>
            </a:ext>
          </a:extLst>
        </xdr:cNvPr>
        <xdr:cNvCxnSpPr/>
      </xdr:nvCxnSpPr>
      <xdr:spPr>
        <a:xfrm>
          <a:off x="3192286" y="23839311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245</xdr:row>
      <xdr:rowOff>196850</xdr:rowOff>
    </xdr:from>
    <xdr:to>
      <xdr:col>10</xdr:col>
      <xdr:colOff>409575</xdr:colOff>
      <xdr:row>255</xdr:row>
      <xdr:rowOff>228600</xdr:rowOff>
    </xdr:to>
    <xdr:cxnSp macro="">
      <xdr:nvCxnSpPr>
        <xdr:cNvPr id="28" name="Conector: angular 27">
          <a:extLst>
            <a:ext uri="{FF2B5EF4-FFF2-40B4-BE49-F238E27FC236}">
              <a16:creationId xmlns:a16="http://schemas.microsoft.com/office/drawing/2014/main" id="{FDD1FCD8-34FC-4185-9E27-4D155F7B7317}"/>
            </a:ext>
          </a:extLst>
        </xdr:cNvPr>
        <xdr:cNvCxnSpPr/>
      </xdr:nvCxnSpPr>
      <xdr:spPr>
        <a:xfrm>
          <a:off x="7048500" y="23339072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FB779-20B3-4A08-B40E-45999D1B4BE5}">
  <sheetPr codeName="Hoja1"/>
  <dimension ref="A1:U52"/>
  <sheetViews>
    <sheetView workbookViewId="0">
      <selection activeCell="J14" sqref="J14"/>
    </sheetView>
  </sheetViews>
  <sheetFormatPr baseColWidth="10" defaultRowHeight="14.5" x14ac:dyDescent="0.35"/>
  <sheetData>
    <row r="1" spans="1:21" x14ac:dyDescent="0.35">
      <c r="A1" t="s">
        <v>1218</v>
      </c>
      <c r="B1" t="s">
        <v>1219</v>
      </c>
      <c r="C1" t="s">
        <v>1220</v>
      </c>
      <c r="D1" t="s">
        <v>1221</v>
      </c>
      <c r="E1" t="s">
        <v>1222</v>
      </c>
      <c r="F1" t="s">
        <v>1223</v>
      </c>
      <c r="G1" t="s">
        <v>1224</v>
      </c>
      <c r="H1" t="s">
        <v>1225</v>
      </c>
      <c r="I1" t="s">
        <v>1226</v>
      </c>
      <c r="J1" t="s">
        <v>1239</v>
      </c>
      <c r="K1" t="s">
        <v>1240</v>
      </c>
      <c r="L1" t="s">
        <v>1241</v>
      </c>
      <c r="M1" t="s">
        <v>1242</v>
      </c>
      <c r="N1" t="s">
        <v>1243</v>
      </c>
      <c r="O1" t="s">
        <v>1244</v>
      </c>
      <c r="P1" t="s">
        <v>1245</v>
      </c>
      <c r="Q1" t="s">
        <v>1246</v>
      </c>
      <c r="R1" t="s">
        <v>1247</v>
      </c>
      <c r="S1" t="s">
        <v>1248</v>
      </c>
      <c r="T1" t="s">
        <v>1249</v>
      </c>
      <c r="U1" t="s">
        <v>1250</v>
      </c>
    </row>
    <row r="2" spans="1:21" x14ac:dyDescent="0.35">
      <c r="A2">
        <f>+MACHOTE!A39</f>
        <v>40</v>
      </c>
      <c r="B2" s="210">
        <f>+MACHOTE!B39</f>
        <v>4000000</v>
      </c>
      <c r="C2" t="str">
        <f>+MACHOTE!C39</f>
        <v>VQ</v>
      </c>
      <c r="D2">
        <f>+MACHOTE!D39</f>
        <v>1245150017</v>
      </c>
      <c r="F2">
        <f>+MACHOTE!F39</f>
        <v>6767</v>
      </c>
      <c r="G2" t="str">
        <f>+MACHOTE!G39</f>
        <v>"04-2026"  RF TT100 6767</v>
      </c>
    </row>
    <row r="3" spans="1:21" x14ac:dyDescent="0.35">
      <c r="A3">
        <f>+MACHOTE!A40</f>
        <v>40</v>
      </c>
      <c r="B3" s="210">
        <f>+MACHOTE!B40</f>
        <v>65144.361020000004</v>
      </c>
      <c r="C3" t="str">
        <f>+MACHOTE!C40</f>
        <v>VW</v>
      </c>
      <c r="D3">
        <f>+MACHOTE!D40</f>
        <v>1149120011</v>
      </c>
      <c r="F3">
        <f>+MACHOTE!F40</f>
        <v>6767</v>
      </c>
      <c r="G3" t="str">
        <f>+MACHOTE!G40</f>
        <v>"04-2026"  RF TT100 6767</v>
      </c>
    </row>
    <row r="4" spans="1:21" x14ac:dyDescent="0.35">
      <c r="A4">
        <f>+MACHOTE!A41</f>
        <v>50</v>
      </c>
      <c r="B4" s="210">
        <f>+MACHOTE!B41</f>
        <v>-65144.361020000004</v>
      </c>
      <c r="C4" t="str">
        <f>+MACHOTE!C41</f>
        <v>VQ</v>
      </c>
      <c r="D4">
        <f>+MACHOTE!D41</f>
        <v>1149120011</v>
      </c>
      <c r="F4">
        <f>+MACHOTE!F41</f>
        <v>6767</v>
      </c>
      <c r="G4" t="str">
        <f>+MACHOTE!G41</f>
        <v>"04-2026"  RF TT100 6767</v>
      </c>
    </row>
    <row r="5" spans="1:21" x14ac:dyDescent="0.35">
      <c r="A5">
        <f>+MACHOTE!A42</f>
        <v>0</v>
      </c>
      <c r="B5" s="210">
        <f>+MACHOTE!B42</f>
        <v>0</v>
      </c>
      <c r="C5">
        <f>+MACHOTE!C42</f>
        <v>0</v>
      </c>
      <c r="D5">
        <f>+MACHOTE!D42</f>
        <v>0</v>
      </c>
      <c r="F5">
        <f>+MACHOTE!F42</f>
        <v>0</v>
      </c>
      <c r="G5">
        <f>+MACHOTE!G42</f>
        <v>0</v>
      </c>
    </row>
    <row r="6" spans="1:21" x14ac:dyDescent="0.35">
      <c r="A6">
        <f>+MACHOTE!A43</f>
        <v>0</v>
      </c>
      <c r="B6" s="210">
        <f>+MACHOTE!B43</f>
        <v>0</v>
      </c>
      <c r="C6">
        <f>+MACHOTE!C43</f>
        <v>0</v>
      </c>
      <c r="D6">
        <f>+MACHOTE!D43</f>
        <v>0</v>
      </c>
      <c r="F6">
        <f>+MACHOTE!F43</f>
        <v>0</v>
      </c>
      <c r="G6">
        <f>+MACHOTE!G43</f>
        <v>0</v>
      </c>
    </row>
    <row r="7" spans="1:21" x14ac:dyDescent="0.35">
      <c r="A7">
        <f>+MACHOTE!A44</f>
        <v>0</v>
      </c>
      <c r="B7" s="210">
        <f>+MACHOTE!B44</f>
        <v>0</v>
      </c>
      <c r="C7">
        <f>+MACHOTE!C44</f>
        <v>0</v>
      </c>
      <c r="D7">
        <f>+MACHOTE!D44</f>
        <v>0</v>
      </c>
      <c r="F7">
        <f>+MACHOTE!F44</f>
        <v>0</v>
      </c>
      <c r="G7">
        <f>+MACHOTE!G44</f>
        <v>0</v>
      </c>
    </row>
    <row r="8" spans="1:21" x14ac:dyDescent="0.35">
      <c r="A8">
        <f>+MACHOTE!A45</f>
        <v>0</v>
      </c>
      <c r="B8" s="210">
        <f>+MACHOTE!B45</f>
        <v>0</v>
      </c>
      <c r="C8">
        <f>+MACHOTE!C45</f>
        <v>0</v>
      </c>
      <c r="D8">
        <f>+MACHOTE!D45</f>
        <v>0</v>
      </c>
      <c r="F8">
        <f>+MACHOTE!F45</f>
        <v>0</v>
      </c>
      <c r="G8">
        <f>+MACHOTE!G45</f>
        <v>0</v>
      </c>
    </row>
    <row r="9" spans="1:21" x14ac:dyDescent="0.35">
      <c r="A9">
        <f>+MACHOTE!A46</f>
        <v>0</v>
      </c>
      <c r="B9" s="210">
        <f>+MACHOTE!B46</f>
        <v>0</v>
      </c>
      <c r="C9">
        <f>+MACHOTE!C46</f>
        <v>0</v>
      </c>
      <c r="D9">
        <f>+MACHOTE!D46</f>
        <v>0</v>
      </c>
      <c r="F9">
        <f>+MACHOTE!F46</f>
        <v>0</v>
      </c>
      <c r="G9">
        <f>+MACHOTE!G46</f>
        <v>0</v>
      </c>
    </row>
    <row r="10" spans="1:21" x14ac:dyDescent="0.35">
      <c r="A10">
        <f>+MACHOTE!A47</f>
        <v>0</v>
      </c>
      <c r="B10" s="210">
        <f>+MACHOTE!B47</f>
        <v>0</v>
      </c>
      <c r="C10">
        <f>+MACHOTE!C47</f>
        <v>0</v>
      </c>
      <c r="D10">
        <f>+MACHOTE!D47</f>
        <v>0</v>
      </c>
      <c r="F10">
        <f>+MACHOTE!F47</f>
        <v>0</v>
      </c>
      <c r="G10">
        <f>+MACHOTE!G47</f>
        <v>0</v>
      </c>
    </row>
    <row r="11" spans="1:21" x14ac:dyDescent="0.35">
      <c r="A11">
        <f>+MACHOTE!A48</f>
        <v>0</v>
      </c>
      <c r="B11" s="210">
        <f>+MACHOTE!B48</f>
        <v>0</v>
      </c>
      <c r="C11">
        <f>+MACHOTE!C48</f>
        <v>0</v>
      </c>
      <c r="D11">
        <f>+MACHOTE!D48</f>
        <v>0</v>
      </c>
      <c r="F11">
        <f>+MACHOTE!F48</f>
        <v>0</v>
      </c>
      <c r="G11">
        <f>+MACHOTE!G48</f>
        <v>0</v>
      </c>
    </row>
    <row r="12" spans="1:21" x14ac:dyDescent="0.35">
      <c r="A12">
        <f>+MACHOTE!A49</f>
        <v>0</v>
      </c>
      <c r="B12" s="210">
        <f>+MACHOTE!B49</f>
        <v>0</v>
      </c>
      <c r="C12">
        <f>+MACHOTE!C49</f>
        <v>0</v>
      </c>
      <c r="D12">
        <f>+MACHOTE!D49</f>
        <v>0</v>
      </c>
      <c r="F12">
        <f>+MACHOTE!F49</f>
        <v>0</v>
      </c>
      <c r="G12">
        <f>+MACHOTE!G49</f>
        <v>0</v>
      </c>
    </row>
    <row r="13" spans="1:21" x14ac:dyDescent="0.35">
      <c r="A13">
        <f>+MACHOTE!A50</f>
        <v>0</v>
      </c>
      <c r="B13" s="210">
        <f>+MACHOTE!B50</f>
        <v>0</v>
      </c>
      <c r="C13">
        <f>+MACHOTE!C50</f>
        <v>0</v>
      </c>
      <c r="D13">
        <f>+MACHOTE!D50</f>
        <v>0</v>
      </c>
      <c r="F13">
        <f>+MACHOTE!F50</f>
        <v>0</v>
      </c>
      <c r="G13">
        <f>+MACHOTE!G50</f>
        <v>0</v>
      </c>
    </row>
    <row r="14" spans="1:21" x14ac:dyDescent="0.35">
      <c r="A14">
        <f>+MACHOTE!A51</f>
        <v>0</v>
      </c>
      <c r="B14" s="210">
        <f>+MACHOTE!B51</f>
        <v>0</v>
      </c>
      <c r="C14">
        <f>+MACHOTE!C51</f>
        <v>0</v>
      </c>
      <c r="D14">
        <f>+MACHOTE!D51</f>
        <v>0</v>
      </c>
      <c r="F14">
        <f>+MACHOTE!F51</f>
        <v>0</v>
      </c>
      <c r="G14">
        <f>+MACHOTE!G51</f>
        <v>0</v>
      </c>
    </row>
    <row r="15" spans="1:21" x14ac:dyDescent="0.35">
      <c r="A15">
        <f>+MACHOTE!A52</f>
        <v>0</v>
      </c>
      <c r="B15" s="210">
        <f>+MACHOTE!B52</f>
        <v>0</v>
      </c>
      <c r="C15">
        <f>+MACHOTE!C52</f>
        <v>0</v>
      </c>
      <c r="D15">
        <f>+MACHOTE!D52</f>
        <v>0</v>
      </c>
      <c r="F15">
        <f>+MACHOTE!F52</f>
        <v>0</v>
      </c>
      <c r="G15">
        <f>+MACHOTE!G52</f>
        <v>0</v>
      </c>
    </row>
    <row r="16" spans="1:21" x14ac:dyDescent="0.35">
      <c r="A16">
        <f>+MACHOTE!A53</f>
        <v>0</v>
      </c>
      <c r="B16" s="210">
        <f>+MACHOTE!B53</f>
        <v>0</v>
      </c>
      <c r="C16">
        <f>+MACHOTE!C53</f>
        <v>0</v>
      </c>
      <c r="D16">
        <f>+MACHOTE!D53</f>
        <v>0</v>
      </c>
      <c r="F16">
        <f>+MACHOTE!F53</f>
        <v>0</v>
      </c>
      <c r="G16">
        <f>+MACHOTE!G53</f>
        <v>0</v>
      </c>
    </row>
    <row r="17" spans="1:7" x14ac:dyDescent="0.35">
      <c r="A17">
        <f>+MACHOTE!A54</f>
        <v>0</v>
      </c>
      <c r="B17" s="210">
        <f>+MACHOTE!B54</f>
        <v>0</v>
      </c>
      <c r="C17">
        <f>+MACHOTE!C54</f>
        <v>0</v>
      </c>
      <c r="D17">
        <f>+MACHOTE!D54</f>
        <v>0</v>
      </c>
      <c r="F17">
        <f>+MACHOTE!F54</f>
        <v>0</v>
      </c>
      <c r="G17">
        <f>+MACHOTE!G54</f>
        <v>0</v>
      </c>
    </row>
    <row r="18" spans="1:7" x14ac:dyDescent="0.35">
      <c r="A18">
        <f>+MACHOTE!A55</f>
        <v>0</v>
      </c>
      <c r="B18" s="210">
        <f>+MACHOTE!B55</f>
        <v>0</v>
      </c>
      <c r="C18">
        <f>+MACHOTE!C55</f>
        <v>0</v>
      </c>
      <c r="D18">
        <f>+MACHOTE!D55</f>
        <v>0</v>
      </c>
      <c r="F18">
        <f>+MACHOTE!F55</f>
        <v>0</v>
      </c>
      <c r="G18">
        <f>+MACHOTE!G55</f>
        <v>0</v>
      </c>
    </row>
    <row r="19" spans="1:7" x14ac:dyDescent="0.35">
      <c r="A19">
        <f>+MACHOTE!A56</f>
        <v>0</v>
      </c>
      <c r="B19" s="210">
        <f>+MACHOTE!B56</f>
        <v>0</v>
      </c>
      <c r="C19">
        <f>+MACHOTE!C56</f>
        <v>0</v>
      </c>
      <c r="D19">
        <f>+MACHOTE!D56</f>
        <v>0</v>
      </c>
      <c r="F19">
        <f>+MACHOTE!F56</f>
        <v>0</v>
      </c>
      <c r="G19">
        <f>+MACHOTE!G56</f>
        <v>0</v>
      </c>
    </row>
    <row r="20" spans="1:7" x14ac:dyDescent="0.35">
      <c r="A20">
        <f>+MACHOTE!A57</f>
        <v>0</v>
      </c>
      <c r="B20" s="210">
        <f>+MACHOTE!B57</f>
        <v>0</v>
      </c>
      <c r="C20">
        <f>+MACHOTE!C57</f>
        <v>0</v>
      </c>
      <c r="D20">
        <f>+MACHOTE!D57</f>
        <v>0</v>
      </c>
      <c r="F20">
        <f>+MACHOTE!F57</f>
        <v>0</v>
      </c>
      <c r="G20">
        <f>+MACHOTE!G57</f>
        <v>0</v>
      </c>
    </row>
    <row r="21" spans="1:7" x14ac:dyDescent="0.35">
      <c r="B21" s="210"/>
    </row>
    <row r="22" spans="1:7" x14ac:dyDescent="0.35">
      <c r="B22" s="210"/>
    </row>
    <row r="23" spans="1:7" x14ac:dyDescent="0.35">
      <c r="B23" s="210"/>
    </row>
    <row r="24" spans="1:7" x14ac:dyDescent="0.35">
      <c r="B24" s="210"/>
    </row>
    <row r="25" spans="1:7" x14ac:dyDescent="0.35">
      <c r="B25" s="210"/>
    </row>
    <row r="26" spans="1:7" x14ac:dyDescent="0.35">
      <c r="B26" s="210"/>
    </row>
    <row r="27" spans="1:7" x14ac:dyDescent="0.35">
      <c r="B27" s="210"/>
    </row>
    <row r="28" spans="1:7" x14ac:dyDescent="0.35">
      <c r="B28" s="210"/>
    </row>
    <row r="29" spans="1:7" x14ac:dyDescent="0.35">
      <c r="B29" s="210"/>
    </row>
    <row r="30" spans="1:7" x14ac:dyDescent="0.35">
      <c r="B30" s="210"/>
    </row>
    <row r="31" spans="1:7" x14ac:dyDescent="0.35">
      <c r="B31" s="210"/>
    </row>
    <row r="32" spans="1:7" x14ac:dyDescent="0.35">
      <c r="B32" s="210"/>
    </row>
    <row r="33" spans="2:2" x14ac:dyDescent="0.35">
      <c r="B33" s="210"/>
    </row>
    <row r="34" spans="2:2" x14ac:dyDescent="0.35">
      <c r="B34" s="210"/>
    </row>
    <row r="35" spans="2:2" x14ac:dyDescent="0.35">
      <c r="B35" s="210"/>
    </row>
    <row r="36" spans="2:2" x14ac:dyDescent="0.35">
      <c r="B36" s="210"/>
    </row>
    <row r="37" spans="2:2" x14ac:dyDescent="0.35">
      <c r="B37" s="210"/>
    </row>
    <row r="38" spans="2:2" x14ac:dyDescent="0.35">
      <c r="B38" s="210"/>
    </row>
    <row r="39" spans="2:2" x14ac:dyDescent="0.35">
      <c r="B39" s="210"/>
    </row>
    <row r="40" spans="2:2" x14ac:dyDescent="0.35">
      <c r="B40" s="210"/>
    </row>
    <row r="41" spans="2:2" x14ac:dyDescent="0.35">
      <c r="B41" s="210"/>
    </row>
    <row r="42" spans="2:2" x14ac:dyDescent="0.35">
      <c r="B42" s="210"/>
    </row>
    <row r="43" spans="2:2" x14ac:dyDescent="0.35">
      <c r="B43" s="210"/>
    </row>
    <row r="44" spans="2:2" x14ac:dyDescent="0.35">
      <c r="B44" s="210"/>
    </row>
    <row r="45" spans="2:2" x14ac:dyDescent="0.35">
      <c r="B45" s="210"/>
    </row>
    <row r="46" spans="2:2" x14ac:dyDescent="0.35">
      <c r="B46" s="210"/>
    </row>
    <row r="47" spans="2:2" x14ac:dyDescent="0.35">
      <c r="B47" s="210"/>
    </row>
    <row r="48" spans="2:2" x14ac:dyDescent="0.35">
      <c r="B48" s="210"/>
    </row>
    <row r="49" spans="2:2" x14ac:dyDescent="0.35">
      <c r="B49" s="210"/>
    </row>
    <row r="50" spans="2:2" x14ac:dyDescent="0.35">
      <c r="B50" s="210"/>
    </row>
    <row r="51" spans="2:2" x14ac:dyDescent="0.35">
      <c r="B51" s="210"/>
    </row>
    <row r="52" spans="2:2" x14ac:dyDescent="0.35">
      <c r="B52" s="2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DC487-579C-435D-BA01-C21AF23FBFC6}">
  <sheetPr codeName="Hoja2">
    <tabColor rgb="FFC00000"/>
  </sheetPr>
  <dimension ref="A7:H54"/>
  <sheetViews>
    <sheetView topLeftCell="A14" workbookViewId="0">
      <selection activeCell="B24" sqref="B23:B24"/>
    </sheetView>
  </sheetViews>
  <sheetFormatPr baseColWidth="10" defaultRowHeight="14.5" x14ac:dyDescent="0.35"/>
  <cols>
    <col min="1" max="1" width="12.26953125" customWidth="1"/>
    <col min="2" max="2" width="26.26953125" customWidth="1"/>
    <col min="3" max="3" width="17.08984375" customWidth="1"/>
    <col min="4" max="4" width="13.26953125" customWidth="1"/>
  </cols>
  <sheetData>
    <row r="7" spans="2:8" x14ac:dyDescent="0.35">
      <c r="B7" t="s">
        <v>1111</v>
      </c>
    </row>
    <row r="9" spans="2:8" ht="26" x14ac:dyDescent="0.6">
      <c r="B9" s="291">
        <v>1245150017</v>
      </c>
      <c r="C9" t="s">
        <v>1112</v>
      </c>
    </row>
    <row r="10" spans="2:8" ht="26" x14ac:dyDescent="0.6">
      <c r="B10" s="291">
        <v>1537210004</v>
      </c>
      <c r="C10" t="s">
        <v>1033</v>
      </c>
      <c r="E10" s="203" t="s">
        <v>1786</v>
      </c>
    </row>
    <row r="11" spans="2:8" ht="26" x14ac:dyDescent="0.6">
      <c r="B11" s="291">
        <v>1537210004</v>
      </c>
      <c r="C11" t="s">
        <v>1708</v>
      </c>
    </row>
    <row r="12" spans="2:8" ht="26" x14ac:dyDescent="0.6">
      <c r="B12" s="291">
        <v>1532002509</v>
      </c>
      <c r="C12" s="7" t="s">
        <v>1790</v>
      </c>
    </row>
    <row r="13" spans="2:8" ht="26" x14ac:dyDescent="0.6">
      <c r="B13" s="291"/>
    </row>
    <row r="14" spans="2:8" ht="26" x14ac:dyDescent="0.6">
      <c r="B14" s="291">
        <v>1245150017</v>
      </c>
      <c r="C14" t="s">
        <v>1113</v>
      </c>
    </row>
    <row r="15" spans="2:8" ht="26" x14ac:dyDescent="0.6">
      <c r="B15" s="291">
        <v>1537210002</v>
      </c>
      <c r="C15" t="s">
        <v>1114</v>
      </c>
    </row>
    <row r="16" spans="2:8" ht="26" x14ac:dyDescent="0.6">
      <c r="B16" s="291"/>
      <c r="H16">
        <v>1537210002</v>
      </c>
    </row>
    <row r="17" spans="2:8" ht="26" x14ac:dyDescent="0.6">
      <c r="B17" s="291">
        <v>1245150017</v>
      </c>
      <c r="C17" t="s">
        <v>1115</v>
      </c>
      <c r="H17">
        <v>1537210002</v>
      </c>
    </row>
    <row r="18" spans="2:8" ht="26" x14ac:dyDescent="0.6">
      <c r="B18" s="291">
        <v>1537210003</v>
      </c>
      <c r="C18" t="s">
        <v>1116</v>
      </c>
      <c r="H18">
        <v>1537210002</v>
      </c>
    </row>
    <row r="19" spans="2:8" ht="26" x14ac:dyDescent="0.6">
      <c r="B19" s="431">
        <v>1532002509</v>
      </c>
      <c r="C19" s="242" t="s">
        <v>1194</v>
      </c>
      <c r="H19" t="s">
        <v>1195</v>
      </c>
    </row>
    <row r="20" spans="2:8" ht="26" x14ac:dyDescent="0.6">
      <c r="B20" s="291">
        <v>1537210004</v>
      </c>
      <c r="C20" t="s">
        <v>1117</v>
      </c>
    </row>
    <row r="21" spans="2:8" ht="26" x14ac:dyDescent="0.6">
      <c r="B21" s="493">
        <v>1719140002</v>
      </c>
      <c r="C21" s="494" t="s">
        <v>1117</v>
      </c>
      <c r="D21" s="203" t="s">
        <v>1722</v>
      </c>
    </row>
    <row r="22" spans="2:8" ht="26" x14ac:dyDescent="0.6">
      <c r="B22" s="291"/>
    </row>
    <row r="23" spans="2:8" ht="26" x14ac:dyDescent="0.6">
      <c r="B23" s="291">
        <v>1532001600</v>
      </c>
      <c r="C23" t="s">
        <v>1314</v>
      </c>
    </row>
    <row r="24" spans="2:8" ht="26" x14ac:dyDescent="0.6">
      <c r="B24" s="291"/>
    </row>
    <row r="26" spans="2:8" x14ac:dyDescent="0.35">
      <c r="B26" t="s">
        <v>1118</v>
      </c>
    </row>
    <row r="29" spans="2:8" ht="26" x14ac:dyDescent="0.6">
      <c r="B29" s="291">
        <v>1149120011</v>
      </c>
      <c r="C29" t="s">
        <v>1119</v>
      </c>
      <c r="H29" s="16"/>
    </row>
    <row r="31" spans="2:8" ht="26" x14ac:dyDescent="0.6">
      <c r="B31" s="291">
        <v>1532001605</v>
      </c>
      <c r="C31" t="s">
        <v>1030</v>
      </c>
    </row>
    <row r="32" spans="2:8" ht="26" x14ac:dyDescent="0.6">
      <c r="B32" s="291">
        <v>1534001605</v>
      </c>
      <c r="C32" s="203" t="s">
        <v>1724</v>
      </c>
    </row>
    <row r="33" spans="1:6" ht="26" x14ac:dyDescent="0.6">
      <c r="B33" s="291">
        <v>1532001604</v>
      </c>
      <c r="C33" t="s">
        <v>1029</v>
      </c>
      <c r="E33" t="s">
        <v>1806</v>
      </c>
    </row>
    <row r="34" spans="1:6" ht="26" x14ac:dyDescent="0.6">
      <c r="B34" s="291">
        <v>1537180003</v>
      </c>
      <c r="C34" t="s">
        <v>1271</v>
      </c>
      <c r="F34" s="430" t="s">
        <v>1272</v>
      </c>
    </row>
    <row r="35" spans="1:6" ht="26" x14ac:dyDescent="0.6">
      <c r="B35" s="291">
        <v>1532001800</v>
      </c>
      <c r="C35" t="s">
        <v>1286</v>
      </c>
    </row>
    <row r="36" spans="1:6" ht="26" x14ac:dyDescent="0.6">
      <c r="B36" s="291">
        <v>1532002507</v>
      </c>
      <c r="C36" t="s">
        <v>1709</v>
      </c>
    </row>
    <row r="39" spans="1:6" x14ac:dyDescent="0.35">
      <c r="B39" t="s">
        <v>1120</v>
      </c>
      <c r="D39" t="s">
        <v>1121</v>
      </c>
    </row>
    <row r="40" spans="1:6" x14ac:dyDescent="0.35">
      <c r="B40" t="s">
        <v>1122</v>
      </c>
    </row>
    <row r="44" spans="1:6" x14ac:dyDescent="0.35">
      <c r="B44" t="s">
        <v>1123</v>
      </c>
      <c r="C44" s="11">
        <v>1500000</v>
      </c>
      <c r="D44" t="s">
        <v>1124</v>
      </c>
    </row>
    <row r="46" spans="1:6" x14ac:dyDescent="0.35">
      <c r="A46" t="s">
        <v>1125</v>
      </c>
      <c r="B46" t="s">
        <v>1126</v>
      </c>
      <c r="C46" s="11">
        <v>700000</v>
      </c>
      <c r="D46" t="s">
        <v>1127</v>
      </c>
    </row>
    <row r="47" spans="1:6" x14ac:dyDescent="0.35">
      <c r="A47" t="s">
        <v>1125</v>
      </c>
      <c r="B47" t="s">
        <v>1128</v>
      </c>
      <c r="C47" s="11">
        <v>50000</v>
      </c>
      <c r="D47" s="203" t="s">
        <v>1129</v>
      </c>
      <c r="E47" t="s">
        <v>1130</v>
      </c>
    </row>
    <row r="48" spans="1:6" x14ac:dyDescent="0.35">
      <c r="A48" t="s">
        <v>1125</v>
      </c>
      <c r="B48" t="s">
        <v>1131</v>
      </c>
      <c r="C48" s="11">
        <v>16000</v>
      </c>
      <c r="D48" t="s">
        <v>1127</v>
      </c>
      <c r="E48" t="s">
        <v>1132</v>
      </c>
    </row>
    <row r="49" spans="1:4" x14ac:dyDescent="0.35">
      <c r="A49" t="s">
        <v>1125</v>
      </c>
      <c r="B49" t="s">
        <v>1133</v>
      </c>
      <c r="C49" s="11">
        <v>734000</v>
      </c>
      <c r="D49" t="s">
        <v>1127</v>
      </c>
    </row>
    <row r="51" spans="1:4" x14ac:dyDescent="0.35">
      <c r="A51" t="s">
        <v>1134</v>
      </c>
    </row>
    <row r="52" spans="1:4" x14ac:dyDescent="0.35">
      <c r="A52" t="s">
        <v>1135</v>
      </c>
      <c r="C52" s="11">
        <v>50000</v>
      </c>
      <c r="D52" t="s">
        <v>1136</v>
      </c>
    </row>
    <row r="54" spans="1:4" x14ac:dyDescent="0.35">
      <c r="A54" t="s">
        <v>1137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20A23-568B-47EC-BCD0-25E6366C0E5A}">
  <sheetPr codeName="Hoja5">
    <tabColor rgb="FFFF0000"/>
  </sheetPr>
  <dimension ref="A1:X80"/>
  <sheetViews>
    <sheetView topLeftCell="A34" zoomScale="60" zoomScaleNormal="60" workbookViewId="0">
      <selection activeCell="K68" sqref="K68"/>
    </sheetView>
  </sheetViews>
  <sheetFormatPr baseColWidth="10" defaultRowHeight="14.5" x14ac:dyDescent="0.35"/>
  <cols>
    <col min="1" max="1" width="17.08984375" customWidth="1"/>
    <col min="2" max="2" width="13.6328125" customWidth="1"/>
    <col min="3" max="3" width="15.453125" customWidth="1"/>
    <col min="4" max="4" width="13.1796875" customWidth="1"/>
    <col min="11" max="14" width="7.36328125" customWidth="1"/>
    <col min="15" max="15" width="10.90625" style="205"/>
    <col min="16" max="23" width="5.08984375" customWidth="1"/>
    <col min="24" max="24" width="14" customWidth="1"/>
  </cols>
  <sheetData>
    <row r="1" spans="1:24" ht="18.5" x14ac:dyDescent="0.45">
      <c r="A1" s="419" t="s">
        <v>1097</v>
      </c>
    </row>
    <row r="2" spans="1:24" x14ac:dyDescent="0.35">
      <c r="A2" s="264" t="s">
        <v>1095</v>
      </c>
      <c r="B2" s="264">
        <v>2</v>
      </c>
      <c r="C2" s="264">
        <v>3</v>
      </c>
      <c r="D2" s="264" t="s">
        <v>991</v>
      </c>
      <c r="E2" s="264">
        <v>5</v>
      </c>
      <c r="F2" s="264" t="s">
        <v>1096</v>
      </c>
      <c r="G2" s="264">
        <v>7</v>
      </c>
      <c r="H2" s="264">
        <v>8</v>
      </c>
      <c r="I2" s="264">
        <v>9</v>
      </c>
      <c r="J2" s="264" t="s">
        <v>81</v>
      </c>
      <c r="K2" s="264">
        <v>11</v>
      </c>
      <c r="L2" s="264">
        <v>12</v>
      </c>
      <c r="M2" s="264">
        <v>13</v>
      </c>
      <c r="N2" s="264">
        <v>14</v>
      </c>
      <c r="O2" s="264" t="s">
        <v>615</v>
      </c>
      <c r="P2" s="418">
        <v>15</v>
      </c>
      <c r="Q2" s="418">
        <v>16</v>
      </c>
      <c r="R2" s="418">
        <v>17</v>
      </c>
      <c r="S2" s="418">
        <v>18</v>
      </c>
      <c r="T2" s="418">
        <v>19</v>
      </c>
      <c r="U2" s="418">
        <v>20</v>
      </c>
      <c r="V2" s="418">
        <v>21</v>
      </c>
      <c r="W2" s="418">
        <v>22</v>
      </c>
      <c r="X2" s="418" t="s">
        <v>1230</v>
      </c>
    </row>
    <row r="3" spans="1:24" x14ac:dyDescent="0.35">
      <c r="A3">
        <f>+A22</f>
        <v>1149120011</v>
      </c>
      <c r="D3" s="16">
        <f>+C22</f>
        <v>159414</v>
      </c>
      <c r="F3" t="str">
        <f>+D22</f>
        <v>VQ</v>
      </c>
      <c r="J3" s="12" t="str">
        <f>F22</f>
        <v>03-2026 RF T82 6717</v>
      </c>
      <c r="O3" s="269">
        <f>+K22</f>
        <v>6717</v>
      </c>
      <c r="W3" s="269"/>
      <c r="X3" s="269">
        <f t="shared" ref="X3:X5" si="0">+K22</f>
        <v>6717</v>
      </c>
    </row>
    <row r="4" spans="1:24" x14ac:dyDescent="0.35">
      <c r="A4">
        <f t="shared" ref="A4:A13" si="1">+A23</f>
        <v>1149120011</v>
      </c>
      <c r="D4" s="16">
        <f t="shared" ref="D4:D13" si="2">+C23</f>
        <v>159414</v>
      </c>
      <c r="F4" t="str">
        <f t="shared" ref="F4:F13" si="3">+D23</f>
        <v>VW</v>
      </c>
      <c r="J4" s="12" t="str">
        <f t="shared" ref="J4:J13" si="4">F23</f>
        <v>03-2026 RF T82 6717</v>
      </c>
      <c r="O4" s="269">
        <f t="shared" ref="O4:O13" si="5">+K23</f>
        <v>6717</v>
      </c>
      <c r="X4" s="269">
        <f t="shared" si="0"/>
        <v>6717</v>
      </c>
    </row>
    <row r="5" spans="1:24" x14ac:dyDescent="0.35">
      <c r="A5">
        <f t="shared" si="1"/>
        <v>1245150017</v>
      </c>
      <c r="D5" s="16">
        <f t="shared" si="2"/>
        <v>11203043</v>
      </c>
      <c r="F5" t="str">
        <f t="shared" si="3"/>
        <v>VQ</v>
      </c>
      <c r="J5" s="12" t="str">
        <f t="shared" si="4"/>
        <v>03-2026 RF T82 6717</v>
      </c>
      <c r="O5" s="269">
        <f t="shared" si="5"/>
        <v>6717</v>
      </c>
      <c r="X5" s="269">
        <f t="shared" si="0"/>
        <v>6717</v>
      </c>
    </row>
    <row r="6" spans="1:24" x14ac:dyDescent="0.35">
      <c r="A6">
        <f t="shared" si="1"/>
        <v>1149120011</v>
      </c>
      <c r="D6" s="16">
        <f t="shared" si="2"/>
        <v>159414</v>
      </c>
      <c r="F6" t="str">
        <f t="shared" si="3"/>
        <v>VQ</v>
      </c>
      <c r="J6" s="12" t="str">
        <f t="shared" si="4"/>
        <v>03-2026 RF T82 6714</v>
      </c>
      <c r="O6" s="269">
        <f t="shared" si="5"/>
        <v>6714</v>
      </c>
      <c r="X6" s="269">
        <f t="shared" ref="X6:X12" si="6">+K25</f>
        <v>6714</v>
      </c>
    </row>
    <row r="7" spans="1:24" x14ac:dyDescent="0.35">
      <c r="A7">
        <f t="shared" si="1"/>
        <v>1149120011</v>
      </c>
      <c r="D7" s="16">
        <f t="shared" si="2"/>
        <v>159414</v>
      </c>
      <c r="F7" t="str">
        <f t="shared" si="3"/>
        <v>VW</v>
      </c>
      <c r="J7" s="12" t="str">
        <f t="shared" si="4"/>
        <v>03-2026 RF T82 6714</v>
      </c>
      <c r="O7" s="269">
        <f t="shared" si="5"/>
        <v>6714</v>
      </c>
      <c r="X7" s="269">
        <f t="shared" si="6"/>
        <v>6714</v>
      </c>
    </row>
    <row r="8" spans="1:24" x14ac:dyDescent="0.35">
      <c r="A8">
        <f t="shared" si="1"/>
        <v>1245150017</v>
      </c>
      <c r="D8" s="16">
        <f t="shared" si="2"/>
        <v>11203043</v>
      </c>
      <c r="F8" t="str">
        <f t="shared" si="3"/>
        <v>VQ</v>
      </c>
      <c r="J8" s="12" t="str">
        <f t="shared" si="4"/>
        <v>03-2026 RF T82 6714</v>
      </c>
      <c r="O8" s="269">
        <f t="shared" si="5"/>
        <v>6714</v>
      </c>
      <c r="X8" s="269">
        <f t="shared" si="6"/>
        <v>6714</v>
      </c>
    </row>
    <row r="9" spans="1:24" x14ac:dyDescent="0.35">
      <c r="A9">
        <f t="shared" si="1"/>
        <v>0</v>
      </c>
      <c r="D9" s="16">
        <f t="shared" si="2"/>
        <v>0</v>
      </c>
      <c r="F9">
        <f t="shared" si="3"/>
        <v>0</v>
      </c>
      <c r="J9" s="12">
        <f t="shared" si="4"/>
        <v>0</v>
      </c>
      <c r="O9" s="269">
        <f t="shared" si="5"/>
        <v>0</v>
      </c>
      <c r="X9" s="269">
        <f t="shared" si="6"/>
        <v>0</v>
      </c>
    </row>
    <row r="10" spans="1:24" x14ac:dyDescent="0.35">
      <c r="A10">
        <f t="shared" si="1"/>
        <v>0</v>
      </c>
      <c r="D10" s="16">
        <f t="shared" si="2"/>
        <v>0</v>
      </c>
      <c r="F10">
        <f t="shared" si="3"/>
        <v>0</v>
      </c>
      <c r="J10" s="12">
        <f t="shared" si="4"/>
        <v>0</v>
      </c>
      <c r="O10" s="269">
        <f t="shared" si="5"/>
        <v>0</v>
      </c>
      <c r="X10" s="269">
        <f t="shared" si="6"/>
        <v>0</v>
      </c>
    </row>
    <row r="11" spans="1:24" x14ac:dyDescent="0.35">
      <c r="A11">
        <f t="shared" si="1"/>
        <v>0</v>
      </c>
      <c r="D11" s="16">
        <f t="shared" si="2"/>
        <v>0</v>
      </c>
      <c r="F11">
        <f t="shared" si="3"/>
        <v>0</v>
      </c>
      <c r="J11" s="12">
        <f t="shared" si="4"/>
        <v>0</v>
      </c>
      <c r="O11" s="269">
        <f t="shared" si="5"/>
        <v>0</v>
      </c>
      <c r="X11" s="269">
        <f t="shared" si="6"/>
        <v>0</v>
      </c>
    </row>
    <row r="12" spans="1:24" x14ac:dyDescent="0.35">
      <c r="A12">
        <f t="shared" si="1"/>
        <v>0</v>
      </c>
      <c r="D12" s="16">
        <f t="shared" si="2"/>
        <v>0</v>
      </c>
      <c r="F12">
        <f t="shared" si="3"/>
        <v>0</v>
      </c>
      <c r="J12" s="12">
        <f t="shared" si="4"/>
        <v>0</v>
      </c>
      <c r="O12" s="269">
        <f t="shared" si="5"/>
        <v>0</v>
      </c>
      <c r="X12" s="269">
        <f t="shared" si="6"/>
        <v>0</v>
      </c>
    </row>
    <row r="13" spans="1:24" x14ac:dyDescent="0.35">
      <c r="A13">
        <f t="shared" si="1"/>
        <v>0</v>
      </c>
      <c r="D13" s="16">
        <f t="shared" si="2"/>
        <v>0</v>
      </c>
      <c r="F13">
        <f t="shared" si="3"/>
        <v>0</v>
      </c>
      <c r="J13" s="12">
        <f t="shared" si="4"/>
        <v>0</v>
      </c>
      <c r="O13" s="269">
        <f t="shared" si="5"/>
        <v>0</v>
      </c>
      <c r="X13" s="269">
        <f>+K35</f>
        <v>0</v>
      </c>
    </row>
    <row r="14" spans="1:24" x14ac:dyDescent="0.35">
      <c r="A14" s="267"/>
    </row>
    <row r="21" spans="1:15" x14ac:dyDescent="0.35">
      <c r="A21" s="4" t="s">
        <v>1231</v>
      </c>
      <c r="B21" s="4" t="s">
        <v>1231</v>
      </c>
      <c r="C21" s="4" t="s">
        <v>991</v>
      </c>
      <c r="D21" s="4" t="s">
        <v>1232</v>
      </c>
      <c r="E21" s="4" t="s">
        <v>1233</v>
      </c>
      <c r="F21" s="4" t="s">
        <v>1234</v>
      </c>
      <c r="G21" s="4"/>
      <c r="H21" s="4" t="s">
        <v>268</v>
      </c>
    </row>
    <row r="22" spans="1:15" x14ac:dyDescent="0.35">
      <c r="A22" s="556">
        <v>1149120011</v>
      </c>
      <c r="B22" t="s">
        <v>1032</v>
      </c>
      <c r="C22" s="16">
        <v>159414</v>
      </c>
      <c r="D22" t="s">
        <v>97</v>
      </c>
      <c r="E22">
        <v>50</v>
      </c>
      <c r="F22" t="s">
        <v>1801</v>
      </c>
      <c r="H22">
        <v>6717</v>
      </c>
      <c r="I22" s="269">
        <f t="shared" ref="I22:I23" si="7">+H22</f>
        <v>6717</v>
      </c>
      <c r="K22" s="269">
        <f t="shared" ref="K22:K23" si="8">+I22</f>
        <v>6717</v>
      </c>
    </row>
    <row r="23" spans="1:15" x14ac:dyDescent="0.35">
      <c r="A23">
        <v>1149120011</v>
      </c>
      <c r="B23" t="s">
        <v>1032</v>
      </c>
      <c r="C23" s="16">
        <v>159414</v>
      </c>
      <c r="D23" t="s">
        <v>98</v>
      </c>
      <c r="E23">
        <v>40</v>
      </c>
      <c r="F23" t="s">
        <v>1801</v>
      </c>
      <c r="H23">
        <v>6717</v>
      </c>
      <c r="I23" s="269">
        <f t="shared" si="7"/>
        <v>6717</v>
      </c>
      <c r="K23" s="269">
        <f t="shared" si="8"/>
        <v>6717</v>
      </c>
      <c r="O23" s="205">
        <v>6.8000000000000005E-2</v>
      </c>
    </row>
    <row r="24" spans="1:15" x14ac:dyDescent="0.35">
      <c r="A24">
        <v>1245150017</v>
      </c>
      <c r="B24" t="s">
        <v>1288</v>
      </c>
      <c r="C24" s="16">
        <v>11203043</v>
      </c>
      <c r="D24" t="s">
        <v>97</v>
      </c>
      <c r="E24">
        <v>40</v>
      </c>
      <c r="F24" t="s">
        <v>1801</v>
      </c>
      <c r="H24">
        <v>6717</v>
      </c>
      <c r="I24" s="269">
        <f t="shared" ref="I24:I31" si="9">+H24</f>
        <v>6717</v>
      </c>
      <c r="K24" s="269">
        <f t="shared" ref="K24:K31" si="10">+I24</f>
        <v>6717</v>
      </c>
    </row>
    <row r="25" spans="1:15" x14ac:dyDescent="0.35">
      <c r="A25" s="556">
        <v>1149120011</v>
      </c>
      <c r="B25" t="s">
        <v>1032</v>
      </c>
      <c r="C25" s="16">
        <v>159414</v>
      </c>
      <c r="D25" t="s">
        <v>97</v>
      </c>
      <c r="E25">
        <v>50</v>
      </c>
      <c r="F25" t="s">
        <v>1802</v>
      </c>
      <c r="H25">
        <v>6714</v>
      </c>
      <c r="I25" s="269">
        <f t="shared" si="9"/>
        <v>6714</v>
      </c>
      <c r="K25" s="269">
        <f t="shared" si="10"/>
        <v>6714</v>
      </c>
    </row>
    <row r="26" spans="1:15" x14ac:dyDescent="0.35">
      <c r="A26">
        <v>1149120011</v>
      </c>
      <c r="B26" t="s">
        <v>1032</v>
      </c>
      <c r="C26" s="16">
        <v>159414</v>
      </c>
      <c r="D26" t="s">
        <v>98</v>
      </c>
      <c r="E26">
        <v>40</v>
      </c>
      <c r="F26" t="s">
        <v>1802</v>
      </c>
      <c r="H26">
        <v>6714</v>
      </c>
      <c r="I26" s="269">
        <f t="shared" ref="I26:I27" si="11">+H26</f>
        <v>6714</v>
      </c>
      <c r="K26" s="269">
        <f t="shared" si="10"/>
        <v>6714</v>
      </c>
    </row>
    <row r="27" spans="1:15" x14ac:dyDescent="0.35">
      <c r="A27">
        <v>1245150017</v>
      </c>
      <c r="B27" t="s">
        <v>1288</v>
      </c>
      <c r="C27" s="16">
        <v>11203043</v>
      </c>
      <c r="D27" t="s">
        <v>97</v>
      </c>
      <c r="E27">
        <v>40</v>
      </c>
      <c r="F27" t="s">
        <v>1802</v>
      </c>
      <c r="H27">
        <v>6714</v>
      </c>
      <c r="I27" s="269">
        <f t="shared" si="11"/>
        <v>6714</v>
      </c>
      <c r="K27" s="269">
        <f t="shared" si="10"/>
        <v>6714</v>
      </c>
    </row>
    <row r="28" spans="1:15" x14ac:dyDescent="0.35">
      <c r="C28" s="16"/>
      <c r="I28" s="269">
        <f t="shared" si="9"/>
        <v>0</v>
      </c>
      <c r="K28" s="269">
        <f t="shared" si="10"/>
        <v>0</v>
      </c>
    </row>
    <row r="29" spans="1:15" x14ac:dyDescent="0.35">
      <c r="C29" s="16"/>
      <c r="I29" s="269">
        <f t="shared" si="9"/>
        <v>0</v>
      </c>
      <c r="K29" s="269">
        <f t="shared" si="10"/>
        <v>0</v>
      </c>
    </row>
    <row r="30" spans="1:15" x14ac:dyDescent="0.35">
      <c r="C30" s="16"/>
      <c r="I30" s="269">
        <f t="shared" si="9"/>
        <v>0</v>
      </c>
      <c r="K30" s="269">
        <f t="shared" si="10"/>
        <v>0</v>
      </c>
    </row>
    <row r="31" spans="1:15" x14ac:dyDescent="0.35">
      <c r="C31" s="16"/>
      <c r="I31" s="269">
        <f t="shared" si="9"/>
        <v>0</v>
      </c>
      <c r="K31" s="269">
        <f t="shared" si="10"/>
        <v>0</v>
      </c>
    </row>
    <row r="32" spans="1:15" x14ac:dyDescent="0.35">
      <c r="C32" s="16"/>
      <c r="I32" s="269"/>
      <c r="K32" s="269"/>
    </row>
    <row r="33" spans="1:11" x14ac:dyDescent="0.35">
      <c r="C33" s="16"/>
      <c r="I33" s="269"/>
      <c r="K33" s="269"/>
    </row>
    <row r="34" spans="1:11" x14ac:dyDescent="0.35">
      <c r="C34" s="16"/>
      <c r="I34" s="269"/>
      <c r="K34" s="269"/>
    </row>
    <row r="35" spans="1:11" x14ac:dyDescent="0.35">
      <c r="C35" s="16"/>
      <c r="K35" s="205"/>
    </row>
    <row r="36" spans="1:11" ht="18.5" x14ac:dyDescent="0.45">
      <c r="A36" s="419" t="s">
        <v>1227</v>
      </c>
    </row>
    <row r="38" spans="1:11" x14ac:dyDescent="0.35">
      <c r="A38" s="264" t="s">
        <v>1218</v>
      </c>
      <c r="B38" s="264" t="s">
        <v>1219</v>
      </c>
      <c r="C38" s="264" t="s">
        <v>1220</v>
      </c>
      <c r="D38" s="264" t="s">
        <v>1221</v>
      </c>
      <c r="E38" s="264" t="s">
        <v>1222</v>
      </c>
      <c r="F38" s="264" t="s">
        <v>1223</v>
      </c>
      <c r="G38" s="264" t="s">
        <v>1224</v>
      </c>
      <c r="H38" s="264" t="s">
        <v>1225</v>
      </c>
      <c r="I38" s="264" t="s">
        <v>1226</v>
      </c>
    </row>
    <row r="39" spans="1:11" x14ac:dyDescent="0.35">
      <c r="A39">
        <f>+E59</f>
        <v>40</v>
      </c>
      <c r="B39" s="416">
        <f t="shared" ref="B39:C39" si="12">+C59</f>
        <v>4000000</v>
      </c>
      <c r="C39" t="str">
        <f t="shared" si="12"/>
        <v>VQ</v>
      </c>
      <c r="D39">
        <f>+A59</f>
        <v>1245150017</v>
      </c>
      <c r="F39">
        <f t="shared" ref="F39:F48" si="13">+H59</f>
        <v>6767</v>
      </c>
      <c r="G39" s="12" t="str">
        <f>+F59</f>
        <v>"04-2026"  RF TT100 6767</v>
      </c>
    </row>
    <row r="40" spans="1:11" x14ac:dyDescent="0.35">
      <c r="A40">
        <f t="shared" ref="A40:A48" si="14">+E60</f>
        <v>40</v>
      </c>
      <c r="B40" s="416">
        <f t="shared" ref="B40:B49" si="15">+C60</f>
        <v>65144.361020000004</v>
      </c>
      <c r="C40" t="str">
        <f t="shared" ref="C40:C49" si="16">+D60</f>
        <v>VW</v>
      </c>
      <c r="D40">
        <f t="shared" ref="D40:D48" si="17">+A60</f>
        <v>1149120011</v>
      </c>
      <c r="F40">
        <f t="shared" si="13"/>
        <v>6767</v>
      </c>
      <c r="G40" s="12" t="str">
        <f t="shared" ref="G40:G51" si="18">+F60</f>
        <v>"04-2026"  RF TT100 6767</v>
      </c>
    </row>
    <row r="41" spans="1:11" x14ac:dyDescent="0.35">
      <c r="A41">
        <f t="shared" si="14"/>
        <v>50</v>
      </c>
      <c r="B41" s="416">
        <f t="shared" si="15"/>
        <v>-65144.361020000004</v>
      </c>
      <c r="C41" t="str">
        <f t="shared" si="16"/>
        <v>VQ</v>
      </c>
      <c r="D41">
        <f t="shared" si="17"/>
        <v>1149120011</v>
      </c>
      <c r="F41">
        <f t="shared" si="13"/>
        <v>6767</v>
      </c>
      <c r="G41" s="12" t="str">
        <f t="shared" si="18"/>
        <v>"04-2026"  RF TT100 6767</v>
      </c>
    </row>
    <row r="42" spans="1:11" x14ac:dyDescent="0.35">
      <c r="A42">
        <f t="shared" si="14"/>
        <v>0</v>
      </c>
      <c r="B42" s="416">
        <f t="shared" si="15"/>
        <v>0</v>
      </c>
      <c r="C42">
        <f t="shared" si="16"/>
        <v>0</v>
      </c>
      <c r="D42">
        <f t="shared" si="17"/>
        <v>0</v>
      </c>
      <c r="F42">
        <f t="shared" si="13"/>
        <v>0</v>
      </c>
      <c r="G42" s="12">
        <f t="shared" si="18"/>
        <v>0</v>
      </c>
    </row>
    <row r="43" spans="1:11" x14ac:dyDescent="0.35">
      <c r="A43">
        <f t="shared" si="14"/>
        <v>0</v>
      </c>
      <c r="B43" s="416">
        <f t="shared" si="15"/>
        <v>0</v>
      </c>
      <c r="C43">
        <f t="shared" si="16"/>
        <v>0</v>
      </c>
      <c r="D43">
        <f t="shared" si="17"/>
        <v>0</v>
      </c>
      <c r="F43">
        <f t="shared" si="13"/>
        <v>0</v>
      </c>
      <c r="G43" s="12">
        <f t="shared" si="18"/>
        <v>0</v>
      </c>
    </row>
    <row r="44" spans="1:11" x14ac:dyDescent="0.35">
      <c r="A44">
        <f t="shared" si="14"/>
        <v>0</v>
      </c>
      <c r="B44" s="416">
        <f t="shared" si="15"/>
        <v>0</v>
      </c>
      <c r="C44">
        <f t="shared" si="16"/>
        <v>0</v>
      </c>
      <c r="D44">
        <f t="shared" si="17"/>
        <v>0</v>
      </c>
      <c r="F44">
        <f t="shared" si="13"/>
        <v>0</v>
      </c>
      <c r="G44" s="12">
        <f t="shared" si="18"/>
        <v>0</v>
      </c>
    </row>
    <row r="45" spans="1:11" x14ac:dyDescent="0.35">
      <c r="A45">
        <f t="shared" si="14"/>
        <v>0</v>
      </c>
      <c r="B45" s="416">
        <f t="shared" si="15"/>
        <v>0</v>
      </c>
      <c r="C45">
        <f t="shared" si="16"/>
        <v>0</v>
      </c>
      <c r="D45">
        <f t="shared" si="17"/>
        <v>0</v>
      </c>
      <c r="F45">
        <f t="shared" si="13"/>
        <v>0</v>
      </c>
      <c r="G45" s="12">
        <f t="shared" si="18"/>
        <v>0</v>
      </c>
    </row>
    <row r="46" spans="1:11" x14ac:dyDescent="0.35">
      <c r="A46">
        <f t="shared" si="14"/>
        <v>0</v>
      </c>
      <c r="B46" s="416">
        <f t="shared" si="15"/>
        <v>0</v>
      </c>
      <c r="C46">
        <f t="shared" si="16"/>
        <v>0</v>
      </c>
      <c r="D46">
        <f t="shared" si="17"/>
        <v>0</v>
      </c>
      <c r="F46">
        <f t="shared" si="13"/>
        <v>0</v>
      </c>
      <c r="G46" s="12">
        <f t="shared" si="18"/>
        <v>0</v>
      </c>
    </row>
    <row r="47" spans="1:11" x14ac:dyDescent="0.35">
      <c r="A47">
        <f t="shared" si="14"/>
        <v>0</v>
      </c>
      <c r="B47" s="416">
        <f t="shared" si="15"/>
        <v>0</v>
      </c>
      <c r="C47">
        <f t="shared" si="16"/>
        <v>0</v>
      </c>
      <c r="D47">
        <f t="shared" si="17"/>
        <v>0</v>
      </c>
      <c r="F47">
        <f t="shared" si="13"/>
        <v>0</v>
      </c>
      <c r="G47" s="12">
        <f t="shared" si="18"/>
        <v>0</v>
      </c>
    </row>
    <row r="48" spans="1:11" x14ac:dyDescent="0.35">
      <c r="A48">
        <f t="shared" si="14"/>
        <v>0</v>
      </c>
      <c r="B48" s="416">
        <f t="shared" si="15"/>
        <v>0</v>
      </c>
      <c r="C48">
        <f t="shared" si="16"/>
        <v>0</v>
      </c>
      <c r="D48">
        <f t="shared" si="17"/>
        <v>0</v>
      </c>
      <c r="F48">
        <f t="shared" si="13"/>
        <v>0</v>
      </c>
      <c r="G48" s="12">
        <f t="shared" si="18"/>
        <v>0</v>
      </c>
    </row>
    <row r="49" spans="1:8" x14ac:dyDescent="0.35">
      <c r="A49">
        <f>+E69</f>
        <v>0</v>
      </c>
      <c r="B49" s="416">
        <f t="shared" si="15"/>
        <v>0</v>
      </c>
      <c r="C49">
        <f t="shared" si="16"/>
        <v>0</v>
      </c>
      <c r="D49">
        <f>+A69</f>
        <v>0</v>
      </c>
      <c r="F49">
        <f>+H69</f>
        <v>0</v>
      </c>
      <c r="G49" s="12">
        <f>+F69</f>
        <v>0</v>
      </c>
    </row>
    <row r="50" spans="1:8" x14ac:dyDescent="0.35">
      <c r="A50">
        <f t="shared" ref="A50:A51" si="19">+E70</f>
        <v>0</v>
      </c>
      <c r="B50" s="416">
        <f t="shared" ref="B50:B51" si="20">+C70</f>
        <v>0</v>
      </c>
      <c r="C50">
        <f t="shared" ref="C50:C51" si="21">+D70</f>
        <v>0</v>
      </c>
      <c r="D50">
        <f t="shared" ref="D50:D51" si="22">+A70</f>
        <v>0</v>
      </c>
      <c r="F50">
        <f t="shared" ref="F50:F51" si="23">+H70</f>
        <v>0</v>
      </c>
      <c r="G50" s="12">
        <f t="shared" si="18"/>
        <v>0</v>
      </c>
    </row>
    <row r="51" spans="1:8" x14ac:dyDescent="0.35">
      <c r="A51">
        <f t="shared" si="19"/>
        <v>0</v>
      </c>
      <c r="B51" s="416">
        <f t="shared" si="20"/>
        <v>0</v>
      </c>
      <c r="C51">
        <f t="shared" si="21"/>
        <v>0</v>
      </c>
      <c r="D51">
        <f t="shared" si="22"/>
        <v>0</v>
      </c>
      <c r="F51">
        <f t="shared" si="23"/>
        <v>0</v>
      </c>
      <c r="G51" s="12">
        <f t="shared" si="18"/>
        <v>0</v>
      </c>
    </row>
    <row r="58" spans="1:8" x14ac:dyDescent="0.35">
      <c r="A58" s="4" t="s">
        <v>1231</v>
      </c>
      <c r="B58" s="4" t="s">
        <v>1231</v>
      </c>
      <c r="C58" s="4" t="s">
        <v>991</v>
      </c>
      <c r="D58" s="4" t="s">
        <v>1232</v>
      </c>
      <c r="E58" s="4" t="s">
        <v>1233</v>
      </c>
      <c r="F58" s="4" t="s">
        <v>1234</v>
      </c>
      <c r="G58" s="4"/>
      <c r="H58" s="4" t="s">
        <v>268</v>
      </c>
    </row>
    <row r="59" spans="1:8" x14ac:dyDescent="0.35">
      <c r="A59">
        <v>1245150017</v>
      </c>
      <c r="B59" t="s">
        <v>77</v>
      </c>
      <c r="C59">
        <v>4000000</v>
      </c>
      <c r="D59" t="s">
        <v>97</v>
      </c>
      <c r="E59">
        <v>40</v>
      </c>
      <c r="F59" t="s">
        <v>1807</v>
      </c>
      <c r="H59">
        <v>6767</v>
      </c>
    </row>
    <row r="60" spans="1:8" x14ac:dyDescent="0.35">
      <c r="A60">
        <v>1149120011</v>
      </c>
      <c r="B60" t="s">
        <v>96</v>
      </c>
      <c r="C60">
        <v>65144.361020000004</v>
      </c>
      <c r="D60" t="s">
        <v>98</v>
      </c>
      <c r="E60">
        <v>40</v>
      </c>
      <c r="F60" t="s">
        <v>1807</v>
      </c>
      <c r="H60">
        <v>6767</v>
      </c>
    </row>
    <row r="61" spans="1:8" x14ac:dyDescent="0.35">
      <c r="A61">
        <v>1149120011</v>
      </c>
      <c r="B61" t="s">
        <v>96</v>
      </c>
      <c r="C61">
        <v>-65144.361020000004</v>
      </c>
      <c r="D61" t="s">
        <v>97</v>
      </c>
      <c r="E61">
        <v>50</v>
      </c>
      <c r="F61" t="s">
        <v>1807</v>
      </c>
      <c r="H61">
        <v>6767</v>
      </c>
    </row>
    <row r="62" spans="1:8" ht="13.5" customHeight="1" x14ac:dyDescent="0.35"/>
    <row r="75" spans="3:3" x14ac:dyDescent="0.35">
      <c r="C75" s="16"/>
    </row>
    <row r="76" spans="3:3" x14ac:dyDescent="0.35">
      <c r="C76" s="16"/>
    </row>
    <row r="77" spans="3:3" x14ac:dyDescent="0.35">
      <c r="C77" s="16"/>
    </row>
    <row r="80" spans="3:3" x14ac:dyDescent="0.35">
      <c r="C80" s="27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234950</xdr:colOff>
                    <xdr:row>16</xdr:row>
                    <xdr:rowOff>44450</xdr:rowOff>
                  </from>
                  <to>
                    <xdr:col>2</xdr:col>
                    <xdr:colOff>571500</xdr:colOff>
                    <xdr:row>18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Macro3">
                <anchor moveWithCells="1" sizeWithCells="1">
                  <from>
                    <xdr:col>0</xdr:col>
                    <xdr:colOff>292100</xdr:colOff>
                    <xdr:row>53</xdr:row>
                    <xdr:rowOff>146050</xdr:rowOff>
                  </from>
                  <to>
                    <xdr:col>2</xdr:col>
                    <xdr:colOff>762000</xdr:colOff>
                    <xdr:row>56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6" name="Button 6">
              <controlPr defaultSize="0" print="0" autoFill="0" autoPict="0" macro="[0]!CopiarMachoteACSV_LimpiarYCopiar">
                <anchor moveWithCells="1" sizeWithCells="1">
                  <from>
                    <xdr:col>3</xdr:col>
                    <xdr:colOff>76200</xdr:colOff>
                    <xdr:row>53</xdr:row>
                    <xdr:rowOff>152400</xdr:rowOff>
                  </from>
                  <to>
                    <xdr:col>5</xdr:col>
                    <xdr:colOff>476250</xdr:colOff>
                    <xdr:row>56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66E35-934E-4B1B-9ACC-146F98A98BEF}">
  <sheetPr codeName="Hoja6" filterMode="1">
    <tabColor rgb="FFFFFF00"/>
  </sheetPr>
  <dimension ref="A1:Y1764"/>
  <sheetViews>
    <sheetView tabSelected="1" zoomScale="150" zoomScaleNormal="150" zoomScaleSheetLayoutView="40" workbookViewId="0">
      <pane ySplit="8" topLeftCell="A9" activePane="bottomLeft" state="frozen"/>
      <selection activeCell="A3" sqref="A3:O5"/>
      <selection pane="bottomLeft" activeCell="D13" sqref="D13"/>
    </sheetView>
  </sheetViews>
  <sheetFormatPr baseColWidth="10" defaultRowHeight="14.5" x14ac:dyDescent="0.35"/>
  <cols>
    <col min="1" max="1" width="15.26953125" customWidth="1"/>
    <col min="2" max="2" width="26.36328125" style="54" customWidth="1"/>
    <col min="3" max="3" width="22.1796875" style="10" customWidth="1"/>
    <col min="4" max="4" width="16.7265625" style="268" customWidth="1"/>
    <col min="5" max="5" width="4.6328125" style="10" customWidth="1"/>
    <col min="6" max="6" width="4.1796875" customWidth="1"/>
    <col min="7" max="7" width="17" style="10" customWidth="1"/>
    <col min="8" max="8" width="15.08984375" style="54" customWidth="1"/>
    <col min="9" max="9" width="18.7265625" style="10" customWidth="1"/>
    <col min="10" max="10" width="11.26953125" style="514" customWidth="1"/>
    <col min="11" max="11" width="15.54296875" style="54" customWidth="1"/>
    <col min="12" max="12" width="17.81640625" style="341" bestFit="1" customWidth="1"/>
    <col min="13" max="13" width="14.7265625" style="341" customWidth="1"/>
    <col min="14" max="14" width="26.6328125" style="54" customWidth="1"/>
    <col min="15" max="15" width="20" style="341" bestFit="1" customWidth="1"/>
    <col min="16" max="16" width="16.7265625" style="341" bestFit="1" customWidth="1"/>
    <col min="17" max="17" width="14.08984375" style="341" customWidth="1"/>
    <col min="18" max="18" width="16.81640625" style="341" bestFit="1" customWidth="1"/>
    <col min="19" max="19" width="13.26953125" style="339" bestFit="1" customWidth="1"/>
    <col min="20" max="20" width="10.90625" style="339"/>
    <col min="21" max="21" width="13.08984375" customWidth="1"/>
  </cols>
  <sheetData>
    <row r="1" spans="1:20" ht="19.5" customHeight="1" x14ac:dyDescent="0.35">
      <c r="D1" s="558"/>
      <c r="E1" s="268"/>
      <c r="F1" s="268"/>
      <c r="H1" s="268"/>
      <c r="I1" s="251" t="s">
        <v>1795</v>
      </c>
      <c r="J1" s="251" t="s">
        <v>1798</v>
      </c>
      <c r="K1" s="10"/>
      <c r="L1" s="10"/>
      <c r="N1" s="341"/>
    </row>
    <row r="2" spans="1:20" x14ac:dyDescent="0.35">
      <c r="A2" s="8"/>
      <c r="G2" s="554"/>
      <c r="H2" s="10"/>
      <c r="I2" s="251" t="s">
        <v>1796</v>
      </c>
      <c r="J2" s="251" t="s">
        <v>1797</v>
      </c>
      <c r="K2" s="10"/>
      <c r="L2" s="10"/>
      <c r="N2" s="341"/>
    </row>
    <row r="3" spans="1:20" x14ac:dyDescent="0.35">
      <c r="D3" t="s">
        <v>1787</v>
      </c>
      <c r="G3" s="268"/>
      <c r="H3" s="10"/>
      <c r="J3" s="10"/>
      <c r="K3" s="10"/>
      <c r="L3" s="10"/>
      <c r="N3" s="341"/>
    </row>
    <row r="4" spans="1:20" x14ac:dyDescent="0.35">
      <c r="D4" t="s">
        <v>1788</v>
      </c>
      <c r="G4" s="268"/>
      <c r="H4" s="10"/>
      <c r="J4" s="10"/>
      <c r="K4" s="10"/>
      <c r="L4" s="10"/>
      <c r="N4" s="341"/>
      <c r="S4" s="10"/>
      <c r="T4" s="10"/>
    </row>
    <row r="5" spans="1:20" ht="18.5" x14ac:dyDescent="0.45">
      <c r="H5" t="s">
        <v>1744</v>
      </c>
      <c r="I5" s="459"/>
      <c r="J5" s="513"/>
      <c r="K5" s="266"/>
      <c r="L5" s="10"/>
      <c r="N5" s="341"/>
    </row>
    <row r="6" spans="1:20" ht="15" thickBot="1" x14ac:dyDescent="0.4">
      <c r="H6" t="s">
        <v>1745</v>
      </c>
      <c r="K6" s="442"/>
    </row>
    <row r="7" spans="1:20" ht="19" thickBot="1" x14ac:dyDescent="0.5">
      <c r="B7" s="297" t="s">
        <v>1714</v>
      </c>
      <c r="D7" s="564" t="s">
        <v>83</v>
      </c>
      <c r="E7" s="565"/>
      <c r="F7" s="566"/>
      <c r="G7" s="344" t="s">
        <v>1803</v>
      </c>
      <c r="H7" s="54" t="s">
        <v>1754</v>
      </c>
      <c r="J7" s="559" t="s">
        <v>959</v>
      </c>
      <c r="K7" s="560"/>
      <c r="L7" s="560"/>
      <c r="M7" s="560"/>
      <c r="N7" s="561"/>
      <c r="O7" s="562" t="s">
        <v>960</v>
      </c>
      <c r="P7" s="563"/>
      <c r="Q7" s="563"/>
      <c r="R7" s="563"/>
      <c r="S7" s="563"/>
      <c r="T7" s="563"/>
    </row>
    <row r="8" spans="1:20" ht="26.5" thickBot="1" x14ac:dyDescent="0.4">
      <c r="A8" s="342" t="s">
        <v>958</v>
      </c>
      <c r="B8" s="4" t="s">
        <v>73</v>
      </c>
      <c r="C8" s="4" t="s">
        <v>74</v>
      </c>
      <c r="G8" s="345" t="s">
        <v>266</v>
      </c>
      <c r="H8" s="1" t="s">
        <v>268</v>
      </c>
      <c r="I8" s="345" t="s">
        <v>268</v>
      </c>
      <c r="J8" s="23" t="s">
        <v>105</v>
      </c>
      <c r="K8" s="24" t="s">
        <v>112</v>
      </c>
      <c r="L8" s="366" t="s">
        <v>113</v>
      </c>
      <c r="M8" s="366" t="s">
        <v>115</v>
      </c>
      <c r="N8" s="24" t="s">
        <v>116</v>
      </c>
      <c r="O8" s="369" t="s">
        <v>618</v>
      </c>
      <c r="P8" s="370" t="s">
        <v>619</v>
      </c>
      <c r="Q8" s="371" t="s">
        <v>620</v>
      </c>
      <c r="R8" s="371" t="s">
        <v>621</v>
      </c>
      <c r="S8" s="372" t="s">
        <v>622</v>
      </c>
      <c r="T8" s="372" t="s">
        <v>623</v>
      </c>
    </row>
    <row r="9" spans="1:20" x14ac:dyDescent="0.35">
      <c r="A9" s="130" t="s">
        <v>854</v>
      </c>
      <c r="B9" s="14">
        <v>204694</v>
      </c>
      <c r="C9" s="15" t="s">
        <v>75</v>
      </c>
      <c r="D9" s="265"/>
      <c r="G9" s="10" t="str">
        <f>VLOOKUP(B9,ADMON!A:P,5,0)</f>
        <v>T037</v>
      </c>
      <c r="H9" s="54">
        <f>VLOOKUP(B9,ADMON!A:P,7,0)</f>
        <v>6619</v>
      </c>
      <c r="J9" s="350">
        <f>+VLOOKUP(H9,contratos!A:R,5,0)</f>
        <v>45627</v>
      </c>
      <c r="K9" s="266" t="str">
        <f>+VLOOKUP(H9,contratos!A:R,12,0)</f>
        <v>OK</v>
      </c>
      <c r="L9" s="341" t="str">
        <f>+VLOOKUP(H9,contratos!A:R,13,0)</f>
        <v>VIGENTE</v>
      </c>
      <c r="M9" s="341">
        <f>+VLOOKUP(H9,contratos!A:R,15,0)</f>
        <v>0</v>
      </c>
      <c r="N9" s="336">
        <f>+VLOOKUP(H9,contratos!A:R,16,0)</f>
        <v>0</v>
      </c>
      <c r="O9" s="341">
        <f>+VLOOKUP(H9,PRORRATEO!F:M,3,0)</f>
        <v>11540440</v>
      </c>
      <c r="P9" s="341">
        <f>+VLOOKUP(H9,PRORRATEO!F:M,4,0)</f>
        <v>2192683.6</v>
      </c>
      <c r="Q9" s="341">
        <f>+VLOOKUP(H9,PRORRATEO!F:M,5,0)</f>
        <v>120597.59800000001</v>
      </c>
      <c r="R9" s="341">
        <f>+VLOOKUP(H9,PRORRATEO!F:M,6,0)</f>
        <v>2072086.0020000001</v>
      </c>
      <c r="S9" s="339">
        <f>+VLOOKUP(H9,PRORRATEO!F:M,7,0)</f>
        <v>5.5E-2</v>
      </c>
      <c r="T9" s="339">
        <f>+VLOOKUP(H9,PRORRATEO!F:M,8,0)</f>
        <v>0.94499999999999995</v>
      </c>
    </row>
    <row r="10" spans="1:20" x14ac:dyDescent="0.35">
      <c r="B10" s="4">
        <v>1537210003</v>
      </c>
      <c r="C10" s="8" t="s">
        <v>79</v>
      </c>
      <c r="D10" s="298">
        <f>+K11</f>
        <v>683226</v>
      </c>
      <c r="E10" s="10" t="s">
        <v>80</v>
      </c>
      <c r="F10" s="13">
        <v>40</v>
      </c>
      <c r="G10" s="348" t="str">
        <f>+CONCATENATE($G$7," FP ",G9,"  ",H9)</f>
        <v>"04-2026" FP T037  6619</v>
      </c>
      <c r="I10" s="10">
        <f>+H9</f>
        <v>6619</v>
      </c>
      <c r="J10" s="10" t="s">
        <v>1183</v>
      </c>
      <c r="K10" s="54">
        <v>2392410</v>
      </c>
    </row>
    <row r="11" spans="1:20" x14ac:dyDescent="0.35">
      <c r="B11" s="4">
        <v>1532001600</v>
      </c>
      <c r="C11" s="8" t="s">
        <v>78</v>
      </c>
      <c r="D11" s="268">
        <f>+K12</f>
        <v>193801</v>
      </c>
      <c r="E11" s="10" t="s">
        <v>80</v>
      </c>
      <c r="F11" s="13">
        <v>40</v>
      </c>
      <c r="G11" s="348" t="str">
        <f>+CONCATENATE($G$7," AIRE ACOND ",G9,"  ",H9)</f>
        <v>"04-2026" AIRE ACOND T037  6619</v>
      </c>
      <c r="I11" s="10">
        <f>+I10</f>
        <v>6619</v>
      </c>
      <c r="J11" s="10" t="s">
        <v>1184</v>
      </c>
      <c r="K11" s="54">
        <v>683226</v>
      </c>
    </row>
    <row r="12" spans="1:20" x14ac:dyDescent="0.35">
      <c r="B12" s="4">
        <v>1245150017</v>
      </c>
      <c r="C12" s="8" t="s">
        <v>77</v>
      </c>
      <c r="D12" s="323">
        <f>+K10</f>
        <v>2392410</v>
      </c>
      <c r="E12" s="10" t="s">
        <v>80</v>
      </c>
      <c r="F12" s="13">
        <v>40</v>
      </c>
      <c r="G12" s="316" t="str">
        <f>+CONCATENATE($G$7," GC ",G9,"  ",H9)</f>
        <v>"04-2026" GC T037  6619</v>
      </c>
      <c r="I12" s="10">
        <f>+I11</f>
        <v>6619</v>
      </c>
      <c r="J12" s="10" t="s">
        <v>1782</v>
      </c>
      <c r="K12" s="54">
        <v>193801</v>
      </c>
    </row>
    <row r="13" spans="1:20" x14ac:dyDescent="0.35">
      <c r="C13" s="251" t="s">
        <v>76</v>
      </c>
      <c r="D13" s="265">
        <f>SUM(D10:D12)</f>
        <v>3269437</v>
      </c>
      <c r="G13" s="316" t="str">
        <f>+CONCATENATE($G$7," GC/FP/AIRE ACOND ",G9,"  ",H9)</f>
        <v>"04-2026" GC/FP/AIRE ACOND T037  6619</v>
      </c>
      <c r="J13" s="10"/>
    </row>
    <row r="14" spans="1:20" x14ac:dyDescent="0.35">
      <c r="A14" s="130" t="s">
        <v>854</v>
      </c>
      <c r="B14" s="14">
        <v>204608</v>
      </c>
      <c r="C14" s="15" t="s">
        <v>84</v>
      </c>
      <c r="D14" s="265"/>
      <c r="G14" s="10" t="str">
        <f>VLOOKUP(B14,ADMON!A:P,5,0)</f>
        <v>T078</v>
      </c>
      <c r="H14" s="54">
        <f>VLOOKUP(B14,ADMON!A:P,7,0)</f>
        <v>6711</v>
      </c>
      <c r="J14" s="350">
        <f>+VLOOKUP(H14,contratos!A:R,5,0)</f>
        <v>45505</v>
      </c>
      <c r="K14" s="266" t="str">
        <f>+VLOOKUP(H14,contratos!A:R,12,0)</f>
        <v>OK</v>
      </c>
      <c r="L14" s="341" t="str">
        <f>+VLOOKUP(H14,contratos!A:R,13,0)</f>
        <v>VIGENTE</v>
      </c>
      <c r="M14" s="341">
        <f>+VLOOKUP(H14,contratos!A:R,15,0)</f>
        <v>0</v>
      </c>
      <c r="N14" s="336">
        <f>+VLOOKUP(H14,contratos!A:R,16,0)</f>
        <v>0</v>
      </c>
      <c r="O14" s="341">
        <f>+VLOOKUP(H14,PRORRATEO!F:M,3,0)</f>
        <v>12101549</v>
      </c>
      <c r="P14" s="341">
        <f>+VLOOKUP(H14,PRORRATEO!F:M,4,0)</f>
        <v>2299294.31</v>
      </c>
      <c r="Q14" s="341">
        <f>+VLOOKUP(H14,PRORRATEO!F:M,5,0)</f>
        <v>158651.30739000003</v>
      </c>
      <c r="R14" s="341">
        <f>+VLOOKUP(H14,PRORRATEO!F:M,6,0)</f>
        <v>2140643.0026100003</v>
      </c>
      <c r="S14" s="339">
        <f>+VLOOKUP(H14,PRORRATEO!F:M,7,0)</f>
        <v>6.9000000000000006E-2</v>
      </c>
      <c r="T14" s="339">
        <f>+VLOOKUP(H14,PRORRATEO!F:M,8,0)</f>
        <v>0.93100000000000005</v>
      </c>
    </row>
    <row r="15" spans="1:20" x14ac:dyDescent="0.35">
      <c r="B15" s="209">
        <v>1537210003</v>
      </c>
      <c r="C15" s="8" t="s">
        <v>79</v>
      </c>
      <c r="D15" s="298">
        <v>427034</v>
      </c>
      <c r="E15" s="10" t="s">
        <v>80</v>
      </c>
      <c r="F15" s="209">
        <v>40</v>
      </c>
      <c r="G15" s="316" t="str">
        <f>+CONCATENATE($G$7," PUBLICIDAD T078 6711")</f>
        <v>"04-2026" PUBLICIDAD T078 6711</v>
      </c>
      <c r="I15" s="10">
        <f>+H14</f>
        <v>6711</v>
      </c>
      <c r="J15" s="10"/>
      <c r="K15" s="522"/>
      <c r="L15" s="407" t="s">
        <v>521</v>
      </c>
    </row>
    <row r="16" spans="1:20" x14ac:dyDescent="0.35">
      <c r="B16" s="209">
        <v>1537210002</v>
      </c>
      <c r="C16" s="8" t="s">
        <v>85</v>
      </c>
      <c r="D16" s="268">
        <v>3063894</v>
      </c>
      <c r="E16" s="10" t="s">
        <v>80</v>
      </c>
      <c r="F16" s="209">
        <v>40</v>
      </c>
      <c r="G16" s="316" t="str">
        <f>+CONCATENATE($G$7," ADMON T078 6711")</f>
        <v>"04-2026" ADMON T078 6711</v>
      </c>
      <c r="I16" s="10">
        <f>+I15</f>
        <v>6711</v>
      </c>
      <c r="J16" s="10"/>
      <c r="K16" s="522"/>
    </row>
    <row r="17" spans="1:20" x14ac:dyDescent="0.35">
      <c r="A17" t="s">
        <v>1252</v>
      </c>
      <c r="B17" s="209">
        <v>1537210002</v>
      </c>
      <c r="C17" s="8" t="s">
        <v>85</v>
      </c>
      <c r="D17" s="298"/>
      <c r="E17" s="10" t="s">
        <v>80</v>
      </c>
      <c r="F17" s="209">
        <v>50</v>
      </c>
      <c r="G17" s="316" t="str">
        <f>+CONCATENATE($G$7," GC T078 6711")</f>
        <v>"04-2026" GC T078 6711</v>
      </c>
      <c r="I17" s="10">
        <f>+I16</f>
        <v>6711</v>
      </c>
      <c r="J17" s="10"/>
    </row>
    <row r="18" spans="1:20" x14ac:dyDescent="0.35">
      <c r="B18" s="263">
        <v>1537210004</v>
      </c>
      <c r="C18" s="8" t="s">
        <v>87</v>
      </c>
      <c r="E18" s="10" t="s">
        <v>80</v>
      </c>
      <c r="F18" s="209">
        <v>40</v>
      </c>
      <c r="G18" s="316" t="str">
        <f>+CONCATENATE($G$7," INTERES T078 6711")</f>
        <v>"04-2026" INTERES T078 6711</v>
      </c>
      <c r="I18" s="10">
        <f>+I17</f>
        <v>6711</v>
      </c>
      <c r="J18" s="10"/>
    </row>
    <row r="19" spans="1:20" x14ac:dyDescent="0.35">
      <c r="B19" s="209">
        <v>1532001600</v>
      </c>
      <c r="C19" s="8" t="s">
        <v>78</v>
      </c>
      <c r="D19" s="323">
        <v>45621</v>
      </c>
      <c r="E19" s="10" t="s">
        <v>80</v>
      </c>
      <c r="F19" s="209">
        <v>40</v>
      </c>
      <c r="G19" s="316" t="str">
        <f>+CONCATENATE($G$7," AIRE ACONDICIONADO T078 6711")</f>
        <v>"04-2026" AIRE ACONDICIONADO T078 6711</v>
      </c>
      <c r="I19" s="10">
        <f>+I17</f>
        <v>6711</v>
      </c>
      <c r="J19" s="10"/>
    </row>
    <row r="20" spans="1:20" x14ac:dyDescent="0.35">
      <c r="C20" s="251" t="s">
        <v>76</v>
      </c>
      <c r="D20" s="265">
        <f>+D16-D17+D19+D15+D18</f>
        <v>3536549</v>
      </c>
      <c r="G20" s="316" t="str">
        <f>+CONCATENATE($G$7," PUBLICIDAD/ADMON/GC T078 6711")</f>
        <v>"04-2026" PUBLICIDAD/ADMON/GC T078 6711</v>
      </c>
      <c r="J20" s="10"/>
    </row>
    <row r="21" spans="1:20" x14ac:dyDescent="0.35">
      <c r="A21" s="130" t="s">
        <v>854</v>
      </c>
      <c r="B21" s="14">
        <v>204984</v>
      </c>
      <c r="C21" s="15" t="s">
        <v>86</v>
      </c>
      <c r="G21" s="10" t="s">
        <v>475</v>
      </c>
      <c r="H21" s="54">
        <v>6598</v>
      </c>
      <c r="J21" s="350">
        <f>+VLOOKUP(H21,contratos!A:R,5,0)</f>
        <v>43466</v>
      </c>
      <c r="K21" s="266" t="str">
        <f>+VLOOKUP(H21,contratos!A:R,12,0)</f>
        <v>VENCIDO</v>
      </c>
      <c r="L21" s="341" t="str">
        <f>+VLOOKUP(H21,contratos!A:R,13,0)</f>
        <v>CESADO</v>
      </c>
      <c r="M21" s="341">
        <f>+VLOOKUP(H21,contratos!A:R,15,0)</f>
        <v>0</v>
      </c>
      <c r="N21" s="336">
        <f>+VLOOKUP(H21,contratos!A:R,16,0)</f>
        <v>0</v>
      </c>
      <c r="O21" s="341">
        <f>+VLOOKUP(H21,PRORRATEO!F:M,3,0)</f>
        <v>19543600</v>
      </c>
      <c r="P21" s="341">
        <f>+VLOOKUP(H21,PRORRATEO!F:M,4,0)</f>
        <v>3713284</v>
      </c>
      <c r="Q21" s="341">
        <f>+VLOOKUP(H21,PRORRATEO!F:M,5,0)</f>
        <v>497580.05600000004</v>
      </c>
      <c r="R21" s="341">
        <f>+VLOOKUP(H21,PRORRATEO!F:M,6,0)</f>
        <v>3215703.9440000001</v>
      </c>
      <c r="S21" s="339">
        <f>+VLOOKUP(H21,PRORRATEO!F:M,7,0)</f>
        <v>0.13400000000000001</v>
      </c>
      <c r="T21" s="339">
        <f>+VLOOKUP(H21,PRORRATEO!F:M,8,0)</f>
        <v>0.86599999999999999</v>
      </c>
    </row>
    <row r="22" spans="1:20" x14ac:dyDescent="0.35">
      <c r="B22" s="4">
        <v>1537210002</v>
      </c>
      <c r="C22" s="251" t="s">
        <v>85</v>
      </c>
      <c r="E22" s="10" t="s">
        <v>80</v>
      </c>
      <c r="F22" s="13">
        <v>40</v>
      </c>
      <c r="G22" s="348" t="str">
        <f>+CONCATENATE($G$7," GC ",G21," ",H21)</f>
        <v>"04-2026" GC T019 6598</v>
      </c>
      <c r="J22" s="10" t="s">
        <v>1773</v>
      </c>
      <c r="L22" s="298">
        <v>2699575</v>
      </c>
      <c r="N22" s="336"/>
    </row>
    <row r="23" spans="1:20" x14ac:dyDescent="0.35">
      <c r="B23" s="250">
        <v>1537210003</v>
      </c>
      <c r="C23" s="251" t="s">
        <v>79</v>
      </c>
      <c r="D23" s="268">
        <f>+L23</f>
        <v>417217</v>
      </c>
      <c r="E23" s="10" t="s">
        <v>80</v>
      </c>
      <c r="F23" s="250">
        <v>40</v>
      </c>
      <c r="G23" s="316" t="str">
        <f>+G22</f>
        <v>"04-2026" GC T019 6598</v>
      </c>
      <c r="I23" s="10">
        <f>+H21</f>
        <v>6598</v>
      </c>
      <c r="J23" s="10" t="s">
        <v>1774</v>
      </c>
      <c r="L23" s="298">
        <v>417217</v>
      </c>
    </row>
    <row r="24" spans="1:20" x14ac:dyDescent="0.35">
      <c r="B24" s="263">
        <v>1537210004</v>
      </c>
      <c r="C24" s="251" t="s">
        <v>87</v>
      </c>
      <c r="D24" s="268">
        <f>+L25</f>
        <v>2727</v>
      </c>
      <c r="E24" s="10" t="s">
        <v>80</v>
      </c>
      <c r="F24" s="250">
        <v>40</v>
      </c>
      <c r="G24" s="316" t="str">
        <f>+G23</f>
        <v>"04-2026" GC T019 6598</v>
      </c>
      <c r="I24" s="10">
        <f>+I23</f>
        <v>6598</v>
      </c>
      <c r="J24" s="10" t="s">
        <v>1292</v>
      </c>
      <c r="L24" s="545">
        <v>29961</v>
      </c>
    </row>
    <row r="25" spans="1:20" x14ac:dyDescent="0.35">
      <c r="B25" s="250">
        <v>1245150017</v>
      </c>
      <c r="C25" s="251" t="s">
        <v>77</v>
      </c>
      <c r="D25" s="323">
        <f>+L22+L24</f>
        <v>2729536</v>
      </c>
      <c r="E25" s="10" t="s">
        <v>80</v>
      </c>
      <c r="F25" s="250">
        <v>40</v>
      </c>
      <c r="G25" s="316" t="str">
        <f>+G24</f>
        <v>"04-2026" GC T019 6598</v>
      </c>
      <c r="I25" s="10">
        <f>+I24</f>
        <v>6598</v>
      </c>
      <c r="J25" s="10" t="s">
        <v>1775</v>
      </c>
      <c r="L25" s="298">
        <v>2727</v>
      </c>
    </row>
    <row r="26" spans="1:20" x14ac:dyDescent="0.35">
      <c r="C26" s="251" t="s">
        <v>76</v>
      </c>
      <c r="D26" s="332">
        <f>SUM(D22:D25)</f>
        <v>3149480</v>
      </c>
      <c r="G26" s="316" t="str">
        <f>+G25</f>
        <v>"04-2026" GC T019 6598</v>
      </c>
      <c r="J26" s="10"/>
    </row>
    <row r="27" spans="1:20" x14ac:dyDescent="0.35">
      <c r="A27" s="130" t="s">
        <v>854</v>
      </c>
      <c r="B27" s="14">
        <v>204984</v>
      </c>
      <c r="C27" s="15" t="s">
        <v>86</v>
      </c>
      <c r="G27" s="10" t="str">
        <f>VLOOKUP(B27,ADMON!A:P,5,0)</f>
        <v>T101</v>
      </c>
      <c r="H27" s="54">
        <f>VLOOKUP(B27,ADMON!A:P,7,0)</f>
        <v>6776</v>
      </c>
      <c r="J27" s="350">
        <f>+VLOOKUP(H27,contratos!A:R,5,0)</f>
        <v>42321</v>
      </c>
      <c r="K27" s="266" t="str">
        <f>+VLOOKUP(H27,contratos!A:R,12,0)</f>
        <v>OK</v>
      </c>
      <c r="L27" s="341" t="str">
        <f>+VLOOKUP(H27,contratos!A:R,13,0)</f>
        <v>VIGENTE</v>
      </c>
      <c r="M27" s="341">
        <f>+VLOOKUP(H27,contratos!A:R,15,0)</f>
        <v>0</v>
      </c>
      <c r="N27" s="336">
        <f>+VLOOKUP(H27,contratos!A:R,16,0)</f>
        <v>0</v>
      </c>
      <c r="O27" s="341">
        <f>+VLOOKUP(H27,PRORRATEO!F:M,3,0)</f>
        <v>14343037</v>
      </c>
      <c r="P27" s="341">
        <f>+VLOOKUP(H27,PRORRATEO!F:M,4,0)</f>
        <v>2725177.0300000003</v>
      </c>
      <c r="Q27" s="341">
        <f>+VLOOKUP(H27,PRORRATEO!F:M,5,0)</f>
        <v>196212.74616000001</v>
      </c>
      <c r="R27" s="341">
        <f>+VLOOKUP(H27,PRORRATEO!F:M,6,0)</f>
        <v>2528964.2838400002</v>
      </c>
      <c r="S27" s="339">
        <f>+VLOOKUP(H27,PRORRATEO!F:M,7,0)</f>
        <v>7.1999999999999995E-2</v>
      </c>
      <c r="T27" s="339">
        <f>+VLOOKUP(H27,PRORRATEO!F:M,8,0)</f>
        <v>0.92800000000000005</v>
      </c>
    </row>
    <row r="28" spans="1:20" x14ac:dyDescent="0.35">
      <c r="B28" s="4">
        <v>1537210002</v>
      </c>
      <c r="C28" s="251" t="s">
        <v>85</v>
      </c>
      <c r="E28" s="10" t="s">
        <v>80</v>
      </c>
      <c r="F28" s="13">
        <v>40</v>
      </c>
      <c r="G28" s="316" t="str">
        <f>+CONCATENATE($G$7," GC T101 6776")</f>
        <v>"04-2026" GC T101 6776</v>
      </c>
      <c r="J28" s="350"/>
      <c r="N28" s="336"/>
    </row>
    <row r="29" spans="1:20" x14ac:dyDescent="0.35">
      <c r="B29" s="250">
        <v>1537210003</v>
      </c>
      <c r="C29" s="251" t="s">
        <v>79</v>
      </c>
      <c r="D29" s="298">
        <v>237763</v>
      </c>
      <c r="E29" s="10" t="s">
        <v>80</v>
      </c>
      <c r="F29" s="250">
        <v>40</v>
      </c>
      <c r="G29" s="348" t="str">
        <f>+CONCATENATE($G$7," GC T101 6776")</f>
        <v>"04-2026" GC T101 6776</v>
      </c>
      <c r="I29" s="10">
        <f>+H27</f>
        <v>6776</v>
      </c>
      <c r="J29" s="10"/>
    </row>
    <row r="30" spans="1:20" x14ac:dyDescent="0.35">
      <c r="B30" s="263">
        <v>1537210004</v>
      </c>
      <c r="C30" s="251" t="s">
        <v>87</v>
      </c>
      <c r="D30" s="268">
        <v>21848</v>
      </c>
      <c r="E30" s="10" t="s">
        <v>80</v>
      </c>
      <c r="F30" s="250">
        <v>40</v>
      </c>
      <c r="G30" s="316" t="str">
        <f>+CONCATENATE($G$7," GC T101 6776")</f>
        <v>"04-2026" GC T101 6776</v>
      </c>
      <c r="I30" s="10">
        <f>+I29</f>
        <v>6776</v>
      </c>
      <c r="J30" s="10"/>
    </row>
    <row r="31" spans="1:20" x14ac:dyDescent="0.35">
      <c r="B31" s="250">
        <v>1245150017</v>
      </c>
      <c r="C31" s="251" t="s">
        <v>77</v>
      </c>
      <c r="D31" s="323">
        <v>895496</v>
      </c>
      <c r="E31" s="10" t="s">
        <v>80</v>
      </c>
      <c r="F31" s="250">
        <v>40</v>
      </c>
      <c r="G31" s="316" t="str">
        <f>+CONCATENATE($G$7," GC T101 6776")</f>
        <v>"04-2026" GC T101 6776</v>
      </c>
      <c r="I31" s="10">
        <f>+I30</f>
        <v>6776</v>
      </c>
      <c r="J31" s="10"/>
    </row>
    <row r="32" spans="1:20" x14ac:dyDescent="0.35">
      <c r="C32" s="251" t="s">
        <v>76</v>
      </c>
      <c r="D32" s="265">
        <f>SUM(D28:D31)</f>
        <v>1155107</v>
      </c>
      <c r="G32" s="316" t="str">
        <f>+CONCATENATE($G$7," GC T101 6776")</f>
        <v>"04-2026" GC T101 6776</v>
      </c>
      <c r="J32" s="10"/>
    </row>
    <row r="33" spans="1:20" x14ac:dyDescent="0.35">
      <c r="A33" s="130" t="s">
        <v>854</v>
      </c>
      <c r="B33" s="14">
        <v>204629</v>
      </c>
      <c r="C33" s="15" t="s">
        <v>88</v>
      </c>
      <c r="G33" s="10" t="str">
        <f>VLOOKUP(B33,ADMON!A:P,5,0)</f>
        <v>T081</v>
      </c>
      <c r="H33" s="54" t="str">
        <f>VLOOKUP(B33,ADMON!A:P,7,0)</f>
        <v>6716</v>
      </c>
      <c r="J33" s="350" t="e">
        <f>+VLOOKUP(H33,contratos!A:R,5,0)</f>
        <v>#N/A</v>
      </c>
      <c r="K33" s="266" t="e">
        <f>+VLOOKUP(H33,contratos!A:R,12,0)</f>
        <v>#N/A</v>
      </c>
      <c r="L33" s="341" t="e">
        <f>+VLOOKUP(H33,contratos!A:R,13,0)</f>
        <v>#N/A</v>
      </c>
      <c r="M33" s="341" t="e">
        <f>+VLOOKUP(H33,contratos!A:R,15,0)</f>
        <v>#N/A</v>
      </c>
      <c r="N33" s="336" t="e">
        <f>+VLOOKUP(H33,contratos!A:R,16,0)</f>
        <v>#N/A</v>
      </c>
      <c r="O33" s="341">
        <f>+VLOOKUP(H33,ADMON!G:P,2,0)</f>
        <v>2614301</v>
      </c>
      <c r="P33" s="341" t="e">
        <f>+VLOOKUP(H33,PRORRATEO!F:M,4,0)</f>
        <v>#N/A</v>
      </c>
      <c r="Q33" s="341" t="e">
        <f>+VLOOKUP(H33,PRORRATEO!F:M,5,0)</f>
        <v>#N/A</v>
      </c>
      <c r="R33" s="341" t="e">
        <f>+VLOOKUP(H33,PRORRATEO!F:M,6,0)</f>
        <v>#N/A</v>
      </c>
      <c r="S33" s="339" t="e">
        <f>+VLOOKUP(H33,PRORRATEO!F:M,7,0)</f>
        <v>#N/A</v>
      </c>
      <c r="T33" s="339" t="e">
        <f>+VLOOKUP(H33,PRORRATEO!F:M,8,0)</f>
        <v>#N/A</v>
      </c>
    </row>
    <row r="34" spans="1:20" x14ac:dyDescent="0.35">
      <c r="B34" s="263">
        <v>1537210003</v>
      </c>
      <c r="C34" s="8" t="s">
        <v>79</v>
      </c>
      <c r="D34" s="298">
        <v>533603</v>
      </c>
      <c r="E34" s="10" t="s">
        <v>80</v>
      </c>
      <c r="F34" s="263">
        <v>40</v>
      </c>
      <c r="G34" s="348" t="str">
        <f>+CONCATENATE($G$7," GC T81 6716")</f>
        <v>"04-2026" GC T81 6716</v>
      </c>
      <c r="I34" s="10" t="str">
        <f>+H33</f>
        <v>6716</v>
      </c>
      <c r="J34" s="352">
        <f>+D34/$M$35</f>
        <v>0.12359657526377621</v>
      </c>
      <c r="K34" s="341">
        <f>+$K$39*J34</f>
        <v>51467.838678191161</v>
      </c>
    </row>
    <row r="35" spans="1:20" x14ac:dyDescent="0.35">
      <c r="B35" s="263">
        <v>1537210004</v>
      </c>
      <c r="C35" s="8" t="s">
        <v>87</v>
      </c>
      <c r="D35" s="298">
        <v>16169</v>
      </c>
      <c r="E35" s="10" t="s">
        <v>80</v>
      </c>
      <c r="F35" s="263">
        <v>40</v>
      </c>
      <c r="G35" s="348" t="str">
        <f>+CONCATENATE($G$7," GC T81 6716")</f>
        <v>"04-2026" GC T81 6716</v>
      </c>
      <c r="I35" s="10" t="str">
        <f t="shared" ref="I35:I41" si="0">+I34</f>
        <v>6716</v>
      </c>
      <c r="J35" s="352">
        <f>+D35/$M$35</f>
        <v>3.7451682719924695E-3</v>
      </c>
      <c r="K35" s="341">
        <f>+$K$39*J35</f>
        <v>1559.5554814865602</v>
      </c>
      <c r="L35" s="367" t="s">
        <v>1727</v>
      </c>
      <c r="M35" s="367">
        <f>SUBTOTAL(9,D34:D37)</f>
        <v>4317296</v>
      </c>
    </row>
    <row r="36" spans="1:20" x14ac:dyDescent="0.35">
      <c r="B36" s="263">
        <v>1532001600</v>
      </c>
      <c r="C36" s="8" t="s">
        <v>78</v>
      </c>
      <c r="D36" s="298">
        <v>57398</v>
      </c>
      <c r="E36" s="10" t="s">
        <v>80</v>
      </c>
      <c r="F36" s="263">
        <v>40</v>
      </c>
      <c r="G36" s="316" t="str">
        <f>+CONCATENATE($G$7," GC T81 6716")</f>
        <v>"04-2026" GC T81 6716</v>
      </c>
      <c r="I36" s="10" t="str">
        <f t="shared" si="0"/>
        <v>6716</v>
      </c>
      <c r="J36" s="352">
        <f>+D36/$M$35</f>
        <v>1.3294895693971411E-2</v>
      </c>
      <c r="K36" s="341">
        <f>+$K$39*J36</f>
        <v>5536.2338750921872</v>
      </c>
    </row>
    <row r="37" spans="1:20" x14ac:dyDescent="0.35">
      <c r="B37" s="263">
        <v>1245150017</v>
      </c>
      <c r="C37" s="8" t="s">
        <v>77</v>
      </c>
      <c r="D37" s="298">
        <v>3710126</v>
      </c>
      <c r="E37" s="10" t="s">
        <v>80</v>
      </c>
      <c r="F37" s="263">
        <v>40</v>
      </c>
      <c r="G37" s="316" t="str">
        <f>+CONCATENATE($G$7," GC T81 6716")</f>
        <v>"04-2026" GC T81 6716</v>
      </c>
      <c r="I37" s="10" t="str">
        <f t="shared" si="0"/>
        <v>6716</v>
      </c>
      <c r="J37" s="352">
        <f>+D37/$M$35</f>
        <v>0.85936336077025988</v>
      </c>
      <c r="K37" s="542">
        <f>+$K$39*J37</f>
        <v>357854.37196523009</v>
      </c>
    </row>
    <row r="38" spans="1:20" x14ac:dyDescent="0.35">
      <c r="B38" s="263">
        <v>1537210003</v>
      </c>
      <c r="C38" s="8" t="s">
        <v>1760</v>
      </c>
      <c r="D38" s="298">
        <f>+K34</f>
        <v>51467.838678191161</v>
      </c>
      <c r="E38" s="10" t="s">
        <v>80</v>
      </c>
      <c r="F38" s="263">
        <v>50</v>
      </c>
      <c r="G38" s="348" t="str">
        <f>+CONCATENATE($G$7," INCENTIVO T81 6716")</f>
        <v>"04-2026" INCENTIVO T81 6716</v>
      </c>
      <c r="I38" s="10" t="str">
        <f t="shared" si="0"/>
        <v>6716</v>
      </c>
      <c r="J38" s="240" t="s">
        <v>1732</v>
      </c>
      <c r="K38" s="367">
        <f>SUBTOTAL(9,K34:K37)</f>
        <v>416418</v>
      </c>
    </row>
    <row r="39" spans="1:20" x14ac:dyDescent="0.35">
      <c r="B39" s="263">
        <v>1537210004</v>
      </c>
      <c r="C39" s="8" t="s">
        <v>1761</v>
      </c>
      <c r="D39" s="298">
        <f t="shared" ref="D39:D41" si="1">+K35</f>
        <v>1559.5554814865602</v>
      </c>
      <c r="E39" s="10" t="s">
        <v>80</v>
      </c>
      <c r="F39" s="263">
        <v>50</v>
      </c>
      <c r="G39" s="348" t="str">
        <f t="shared" ref="G39:G41" si="2">+CONCATENATE($G$7," INCENTIVO T81 6716")</f>
        <v>"04-2026" INCENTIVO T81 6716</v>
      </c>
      <c r="I39" s="10" t="str">
        <f t="shared" si="0"/>
        <v>6716</v>
      </c>
      <c r="J39" s="54" t="s">
        <v>1732</v>
      </c>
      <c r="K39" s="341">
        <v>416418</v>
      </c>
    </row>
    <row r="40" spans="1:20" x14ac:dyDescent="0.35">
      <c r="B40" s="263">
        <v>1532001600</v>
      </c>
      <c r="C40" s="8" t="s">
        <v>1762</v>
      </c>
      <c r="D40" s="298">
        <f t="shared" si="1"/>
        <v>5536.2338750921872</v>
      </c>
      <c r="E40" s="10" t="s">
        <v>80</v>
      </c>
      <c r="F40" s="263">
        <v>50</v>
      </c>
      <c r="G40" s="348" t="str">
        <f t="shared" si="2"/>
        <v>"04-2026" INCENTIVO T81 6716</v>
      </c>
      <c r="I40" s="10" t="str">
        <f t="shared" si="0"/>
        <v>6716</v>
      </c>
      <c r="J40" s="352"/>
    </row>
    <row r="41" spans="1:20" x14ac:dyDescent="0.35">
      <c r="B41" s="263">
        <v>1537210002</v>
      </c>
      <c r="C41" s="8" t="s">
        <v>1114</v>
      </c>
      <c r="D41" s="299">
        <f t="shared" si="1"/>
        <v>357854.37196523009</v>
      </c>
      <c r="E41" s="10" t="s">
        <v>80</v>
      </c>
      <c r="F41" s="263">
        <v>50</v>
      </c>
      <c r="G41" s="348" t="str">
        <f t="shared" si="2"/>
        <v>"04-2026" INCENTIVO T81 6716</v>
      </c>
      <c r="I41" s="10" t="str">
        <f t="shared" si="0"/>
        <v>6716</v>
      </c>
      <c r="J41" s="352"/>
    </row>
    <row r="42" spans="1:20" x14ac:dyDescent="0.35">
      <c r="D42" s="268">
        <f>SUM(D34:D37)-SUM(D38:D41)</f>
        <v>3900878</v>
      </c>
      <c r="G42" s="316" t="str">
        <f>+CONCATENATE($G$7," GC T81 6716")</f>
        <v>"04-2026" GC T81 6716</v>
      </c>
      <c r="J42" s="10"/>
    </row>
    <row r="43" spans="1:20" x14ac:dyDescent="0.35">
      <c r="A43" s="130" t="s">
        <v>854</v>
      </c>
      <c r="B43" s="14">
        <v>204611</v>
      </c>
      <c r="C43" s="15" t="s">
        <v>89</v>
      </c>
      <c r="G43" s="10" t="str">
        <f>VLOOKUP(B43,ADMON!A:P,5,0)</f>
        <v>T079</v>
      </c>
      <c r="H43" s="54">
        <f>VLOOKUP(B43,ADMON!A:P,7,0)</f>
        <v>6714</v>
      </c>
      <c r="J43" s="350">
        <f>+VLOOKUP(H43,contratos!A:R,5,0)</f>
        <v>42917</v>
      </c>
      <c r="K43" s="266" t="str">
        <f>+VLOOKUP(H43,contratos!A:R,12,0)</f>
        <v>OK</v>
      </c>
      <c r="L43" s="341" t="str">
        <f>+VLOOKUP(H43,contratos!A:R,13,0)</f>
        <v>VIGENTE</v>
      </c>
      <c r="M43" s="341">
        <f>+VLOOKUP(H43,contratos!A:R,15,0)</f>
        <v>0</v>
      </c>
      <c r="N43" s="336">
        <f>+VLOOKUP(H43,contratos!A:R,16,0)</f>
        <v>0</v>
      </c>
      <c r="O43" s="341">
        <f>+VLOOKUP(H43,PRORRATEO!F:M,3,0)</f>
        <v>11203043</v>
      </c>
      <c r="P43" s="341">
        <f>+VLOOKUP(H43,PRORRATEO!F:M,4,0)</f>
        <v>2128578.17</v>
      </c>
      <c r="Q43" s="341">
        <f>+VLOOKUP(H43,PRORRATEO!F:M,5,0)</f>
        <v>170286.2536</v>
      </c>
      <c r="R43" s="341">
        <f>+VLOOKUP(H43,PRORRATEO!F:M,6,0)</f>
        <v>1958291.9164</v>
      </c>
      <c r="S43" s="339">
        <f>+VLOOKUP(H43,PRORRATEO!F:M,7,0)</f>
        <v>0.08</v>
      </c>
      <c r="T43" s="339">
        <f>+VLOOKUP(H43,PRORRATEO!F:M,8,0)</f>
        <v>0.92</v>
      </c>
    </row>
    <row r="44" spans="1:20" x14ac:dyDescent="0.35">
      <c r="B44" s="4">
        <v>1245150017</v>
      </c>
      <c r="C44" s="8" t="s">
        <v>77</v>
      </c>
      <c r="D44" s="323">
        <v>1249936</v>
      </c>
      <c r="E44" s="10" t="s">
        <v>80</v>
      </c>
      <c r="F44" s="13">
        <v>40</v>
      </c>
      <c r="G44" s="316" t="str">
        <f>+CONCATENATE($G$7," GC ",G43," ",H43)</f>
        <v>"04-2026" GC T079 6714</v>
      </c>
      <c r="I44" s="10">
        <f>+H43</f>
        <v>6714</v>
      </c>
      <c r="J44" s="10"/>
    </row>
    <row r="45" spans="1:20" x14ac:dyDescent="0.35">
      <c r="C45" s="251" t="s">
        <v>76</v>
      </c>
      <c r="D45" s="265">
        <f>SUM(D44)</f>
        <v>1249936</v>
      </c>
      <c r="G45" s="348" t="str">
        <f>+G44</f>
        <v>"04-2026" GC T079 6714</v>
      </c>
      <c r="J45" s="10"/>
    </row>
    <row r="46" spans="1:20" x14ac:dyDescent="0.35">
      <c r="A46" s="130" t="s">
        <v>1067</v>
      </c>
      <c r="B46" s="14">
        <v>204549</v>
      </c>
      <c r="C46" s="15" t="s">
        <v>90</v>
      </c>
      <c r="D46" s="362"/>
      <c r="G46" s="10" t="str">
        <f>VLOOKUP(B46,ADMON!A:P,5,0)</f>
        <v>T052</v>
      </c>
      <c r="H46" s="54">
        <f>VLOOKUP(B46,ADMON!A:P,7,0)</f>
        <v>6640</v>
      </c>
      <c r="J46" s="350">
        <f>+VLOOKUP(H46,contratos!A:R,5,0)</f>
        <v>42309</v>
      </c>
      <c r="K46" s="266" t="str">
        <f>+VLOOKUP(H46,contratos!A:R,12,0)</f>
        <v>OK</v>
      </c>
      <c r="L46" s="341" t="str">
        <f>+VLOOKUP(H46,contratos!A:R,13,0)</f>
        <v>VIGENTE</v>
      </c>
      <c r="M46" s="341">
        <f>+VLOOKUP(H46,contratos!A:R,15,0)</f>
        <v>0</v>
      </c>
      <c r="N46" s="336">
        <f>+VLOOKUP(H46,contratos!A:R,16,0)</f>
        <v>0</v>
      </c>
      <c r="O46" s="341">
        <f>+VLOOKUP(H46,PRORRATEO!F:M,3,0)</f>
        <v>5649396</v>
      </c>
      <c r="P46" s="341">
        <f>+VLOOKUP(H46,PRORRATEO!F:M,4,0)</f>
        <v>1073385.24</v>
      </c>
      <c r="Q46" s="341">
        <f>+VLOOKUP(H46,PRORRATEO!F:M,5,0)</f>
        <v>94890.773637943901</v>
      </c>
      <c r="R46" s="341">
        <f>+VLOOKUP(H46,PRORRATEO!F:M,6,0)</f>
        <v>978494.46636205621</v>
      </c>
      <c r="S46" s="339">
        <f>+VLOOKUP(H46,PRORRATEO!F:M,7,0)</f>
        <v>8.8403277874348166E-2</v>
      </c>
      <c r="T46" s="339">
        <f>+VLOOKUP(H46,PRORRATEO!F:M,8,0)</f>
        <v>0.9115967221256519</v>
      </c>
    </row>
    <row r="47" spans="1:20" x14ac:dyDescent="0.35">
      <c r="B47" s="263">
        <v>1537210002</v>
      </c>
      <c r="C47" s="8" t="s">
        <v>85</v>
      </c>
      <c r="D47" s="268">
        <v>1091059</v>
      </c>
      <c r="E47" s="10" t="s">
        <v>80</v>
      </c>
      <c r="F47" s="296">
        <v>40</v>
      </c>
      <c r="G47" s="348" t="str">
        <f>+CONCATENATE($G$7," GC/ASEO/ACUEDUCTO T52 6640")</f>
        <v>"04-2026" GC/ASEO/ACUEDUCTO T52 6640</v>
      </c>
      <c r="I47" s="10">
        <f>+H46</f>
        <v>6640</v>
      </c>
      <c r="J47" s="10"/>
    </row>
    <row r="48" spans="1:20" x14ac:dyDescent="0.35">
      <c r="B48" s="263">
        <v>1532001604</v>
      </c>
      <c r="C48" s="8" t="s">
        <v>91</v>
      </c>
      <c r="D48" s="268">
        <v>28728</v>
      </c>
      <c r="E48" s="10" t="s">
        <v>80</v>
      </c>
      <c r="F48" s="296">
        <v>40</v>
      </c>
      <c r="G48" s="316" t="str">
        <f>+G47</f>
        <v>"04-2026" GC/ASEO/ACUEDUCTO T52 6640</v>
      </c>
      <c r="I48" s="10">
        <f>+I47</f>
        <v>6640</v>
      </c>
      <c r="J48" s="10"/>
    </row>
    <row r="49" spans="1:20" x14ac:dyDescent="0.35">
      <c r="B49" s="263">
        <v>1532001600</v>
      </c>
      <c r="C49" s="8" t="s">
        <v>78</v>
      </c>
      <c r="D49" s="268">
        <v>11408</v>
      </c>
      <c r="E49" s="10" t="s">
        <v>80</v>
      </c>
      <c r="F49" s="296">
        <v>40</v>
      </c>
      <c r="G49" s="316" t="str">
        <f>+G48</f>
        <v>"04-2026" GC/ASEO/ACUEDUCTO T52 6640</v>
      </c>
      <c r="I49" s="10">
        <f>+I48</f>
        <v>6640</v>
      </c>
      <c r="J49" s="10"/>
    </row>
    <row r="50" spans="1:20" x14ac:dyDescent="0.35">
      <c r="B50" s="263">
        <v>1537210004</v>
      </c>
      <c r="C50" s="8" t="s">
        <v>87</v>
      </c>
      <c r="D50" s="323">
        <v>101193</v>
      </c>
      <c r="E50" s="10" t="s">
        <v>80</v>
      </c>
      <c r="F50" s="296">
        <v>40</v>
      </c>
      <c r="G50" s="316" t="str">
        <f>+G49</f>
        <v>"04-2026" GC/ASEO/ACUEDUCTO T52 6640</v>
      </c>
      <c r="I50" s="10">
        <f>+I49</f>
        <v>6640</v>
      </c>
      <c r="J50" s="10"/>
    </row>
    <row r="51" spans="1:20" x14ac:dyDescent="0.35">
      <c r="C51" s="251" t="s">
        <v>76</v>
      </c>
      <c r="D51" s="265">
        <f>SUM(D47:D50)</f>
        <v>1232388</v>
      </c>
      <c r="G51" s="316" t="str">
        <f>+G50</f>
        <v>"04-2026" GC/ASEO/ACUEDUCTO T52 6640</v>
      </c>
      <c r="J51" s="10"/>
    </row>
    <row r="52" spans="1:20" x14ac:dyDescent="0.35">
      <c r="A52" s="130" t="s">
        <v>854</v>
      </c>
      <c r="B52" s="17">
        <v>238176</v>
      </c>
      <c r="C52" s="18" t="s">
        <v>92</v>
      </c>
      <c r="D52" s="362"/>
      <c r="G52" s="10" t="str">
        <f>VLOOKUP(B52,ADMON!A:P,5,0)</f>
        <v>OFICINA</v>
      </c>
      <c r="H52" s="54">
        <v>8140074</v>
      </c>
      <c r="J52" s="350">
        <f>+VLOOKUP(H52,contratos!A:R,5,0)</f>
        <v>45600</v>
      </c>
      <c r="K52" s="266" t="str">
        <f>+VLOOKUP(H52,contratos!A:R,12,0)</f>
        <v>REVISAR FECHAS</v>
      </c>
      <c r="L52" s="341" t="str">
        <f>+VLOOKUP(H52,contratos!A:R,13,0)</f>
        <v>VIGENTE</v>
      </c>
      <c r="M52" s="341">
        <f>+VLOOKUP(H52,contratos!A:R,15,0)</f>
        <v>0</v>
      </c>
      <c r="N52" s="336">
        <f>+VLOOKUP(H52,contratos!A:R,16,0)</f>
        <v>0</v>
      </c>
      <c r="O52" s="341">
        <f>+VLOOKUP(H52,PRORRATEO!F:M,3,0)</f>
        <v>70594906</v>
      </c>
      <c r="P52" s="341">
        <f>+VLOOKUP(H52,PRORRATEO!F:M,4,0)</f>
        <v>13413032.140000001</v>
      </c>
      <c r="Q52" s="341">
        <f>+VLOOKUP(H52,PRORRATEO!F:M,5,0)</f>
        <v>0</v>
      </c>
      <c r="R52" s="341">
        <f>+VLOOKUP(H52,PRORRATEO!F:M,6,0)</f>
        <v>13413032.140000001</v>
      </c>
      <c r="S52" s="339">
        <f>+VLOOKUP(H52,PRORRATEO!F:M,7,0)</f>
        <v>0</v>
      </c>
      <c r="T52" s="339">
        <f>+VLOOKUP(H52,PRORRATEO!F:M,8,0)</f>
        <v>1</v>
      </c>
    </row>
    <row r="53" spans="1:20" x14ac:dyDescent="0.35">
      <c r="B53" s="4">
        <v>1535100020</v>
      </c>
      <c r="C53" s="8" t="s">
        <v>93</v>
      </c>
      <c r="D53" s="323">
        <v>22139044</v>
      </c>
      <c r="E53" s="16" t="s">
        <v>80</v>
      </c>
      <c r="F53" s="209">
        <v>40</v>
      </c>
      <c r="G53" s="348" t="str">
        <f>+CONCATENATE($G$7," CG OFICINA 8140074")</f>
        <v>"04-2026" CG OFICINA 8140074</v>
      </c>
      <c r="I53" s="10">
        <f>+H52</f>
        <v>8140074</v>
      </c>
      <c r="J53" s="10"/>
    </row>
    <row r="54" spans="1:20" x14ac:dyDescent="0.35">
      <c r="C54" s="251" t="s">
        <v>76</v>
      </c>
      <c r="D54" s="332">
        <f>SUM(D53)</f>
        <v>22139044</v>
      </c>
      <c r="G54" s="318" t="str">
        <f>+G53</f>
        <v>"04-2026" CG OFICINA 8140074</v>
      </c>
      <c r="J54" s="10"/>
    </row>
    <row r="55" spans="1:20" x14ac:dyDescent="0.35">
      <c r="A55" s="130" t="s">
        <v>854</v>
      </c>
      <c r="B55" s="14">
        <v>204613</v>
      </c>
      <c r="C55" s="15" t="s">
        <v>94</v>
      </c>
      <c r="D55" s="362"/>
      <c r="G55" s="10" t="str">
        <f>VLOOKUP(B55,ADMON!A:P,5,0)</f>
        <v>T041</v>
      </c>
      <c r="H55" s="54">
        <f>VLOOKUP(B55,ADMON!A:P,7,0)</f>
        <v>6626</v>
      </c>
      <c r="J55" s="350">
        <f>+VLOOKUP(H55,contratos!A:R,5,0)</f>
        <v>45444</v>
      </c>
      <c r="K55" s="266" t="str">
        <f>+VLOOKUP(H55,contratos!A:R,12,0)</f>
        <v>OK</v>
      </c>
      <c r="L55" s="341" t="str">
        <f>+VLOOKUP(H55,contratos!A:R,13,0)</f>
        <v>VIGENTE</v>
      </c>
      <c r="M55" s="341">
        <f>+VLOOKUP(H55,contratos!A:R,15,0)</f>
        <v>0</v>
      </c>
      <c r="N55" s="336">
        <f>+VLOOKUP(H55,contratos!A:R,16,0)</f>
        <v>0</v>
      </c>
      <c r="O55" s="341">
        <f>+VLOOKUP(H55,PRORRATEO!F:M,3,0)</f>
        <v>15101403</v>
      </c>
      <c r="P55" s="341">
        <f>+VLOOKUP(H55,PRORRATEO!F:M,4,0)</f>
        <v>2869266.57</v>
      </c>
      <c r="Q55" s="341">
        <f>+VLOOKUP(H55,PRORRATEO!F:M,5,0)</f>
        <v>229541.32559999998</v>
      </c>
      <c r="R55" s="341">
        <f>+VLOOKUP(H55,PRORRATEO!F:M,6,0)</f>
        <v>2639725.2443999997</v>
      </c>
      <c r="S55" s="339">
        <f>+VLOOKUP(H55,PRORRATEO!F:M,7,0)</f>
        <v>0.08</v>
      </c>
      <c r="T55" s="339">
        <f>+VLOOKUP(H55,PRORRATEO!F:M,8,0)</f>
        <v>0.92</v>
      </c>
    </row>
    <row r="56" spans="1:20" x14ac:dyDescent="0.35">
      <c r="B56" s="4">
        <v>1245150017</v>
      </c>
      <c r="C56" s="8" t="s">
        <v>77</v>
      </c>
      <c r="E56" s="10" t="s">
        <v>80</v>
      </c>
      <c r="F56" s="13">
        <v>40</v>
      </c>
      <c r="G56" s="348" t="str">
        <f>+CONCATENATE($G$7," CG T041 6626")</f>
        <v>"04-2026" CG T041 6626</v>
      </c>
      <c r="I56" s="10">
        <f>+H55</f>
        <v>6626</v>
      </c>
      <c r="J56" s="10"/>
    </row>
    <row r="57" spans="1:20" x14ac:dyDescent="0.35">
      <c r="B57" s="4">
        <v>1537210002</v>
      </c>
      <c r="C57" s="8" t="s">
        <v>1114</v>
      </c>
      <c r="D57" s="268">
        <f>2646583+92928</f>
        <v>2739511</v>
      </c>
      <c r="E57" s="10" t="s">
        <v>80</v>
      </c>
      <c r="F57" s="13">
        <v>40</v>
      </c>
      <c r="G57" s="348" t="str">
        <f>+CONCATENATE($G$7," CG T041 6626")</f>
        <v>"04-2026" CG T041 6626</v>
      </c>
      <c r="I57" s="10">
        <f>+I56</f>
        <v>6626</v>
      </c>
      <c r="J57" s="10"/>
    </row>
    <row r="58" spans="1:20" x14ac:dyDescent="0.35">
      <c r="B58" s="4">
        <v>1537210002</v>
      </c>
      <c r="C58" s="8" t="s">
        <v>85</v>
      </c>
      <c r="D58" s="323"/>
      <c r="E58" s="10" t="s">
        <v>80</v>
      </c>
      <c r="F58">
        <v>50</v>
      </c>
      <c r="G58" s="496" t="str">
        <f>+CONCATENATE($G$7," CG T041 6626")</f>
        <v>"04-2026" CG T041 6626</v>
      </c>
      <c r="I58" s="10">
        <f>+I56</f>
        <v>6626</v>
      </c>
      <c r="J58" s="376" t="s">
        <v>1730</v>
      </c>
    </row>
    <row r="59" spans="1:20" x14ac:dyDescent="0.35">
      <c r="D59" s="332">
        <f>SUM(D56:D58)</f>
        <v>2739511</v>
      </c>
      <c r="G59" s="318" t="str">
        <f>+G58</f>
        <v>"04-2026" CG T041 6626</v>
      </c>
      <c r="J59" s="10"/>
    </row>
    <row r="60" spans="1:20" x14ac:dyDescent="0.35">
      <c r="A60" s="130" t="s">
        <v>854</v>
      </c>
      <c r="B60" s="14">
        <v>204601</v>
      </c>
      <c r="C60" s="15" t="s">
        <v>95</v>
      </c>
      <c r="D60" s="362"/>
      <c r="G60" s="10" t="str">
        <f>VLOOKUP(B60,ADMON!A:P,5,0)</f>
        <v>T087</v>
      </c>
      <c r="H60" s="54">
        <f>VLOOKUP(B60,ADMON!A:P,7,0)</f>
        <v>6759</v>
      </c>
      <c r="J60" s="350">
        <f>+VLOOKUP(H60,contratos!A:R,5,0)</f>
        <v>40026</v>
      </c>
      <c r="K60" s="266" t="str">
        <f>+VLOOKUP(H60,contratos!A:R,12,0)</f>
        <v>OK</v>
      </c>
      <c r="L60" s="341" t="str">
        <f>+VLOOKUP(H60,contratos!A:R,13,0)</f>
        <v>VIGENTE</v>
      </c>
      <c r="M60" s="341">
        <f>+VLOOKUP(H60,contratos!A:R,15,0)</f>
        <v>0</v>
      </c>
      <c r="N60" s="336">
        <f>+VLOOKUP(H60,contratos!A:R,16,0)</f>
        <v>0</v>
      </c>
      <c r="O60" s="341">
        <f>+VLOOKUP(H60,PRORRATEO!F:M,3,0)</f>
        <v>16280378</v>
      </c>
      <c r="P60" s="341">
        <f>+VLOOKUP(H60,PRORRATEO!F:M,4,0)</f>
        <v>3093271.82</v>
      </c>
      <c r="Q60" s="341">
        <f>+VLOOKUP(H60,PRORRATEO!F:M,5,0)</f>
        <v>191782.85283999998</v>
      </c>
      <c r="R60" s="341">
        <f>+VLOOKUP(H60,PRORRATEO!F:M,6,0)</f>
        <v>2901488.9671599995</v>
      </c>
      <c r="S60" s="339">
        <f>+VLOOKUP(H60,PRORRATEO!F:M,7,0)</f>
        <v>6.2E-2</v>
      </c>
      <c r="T60" s="339">
        <f>+VLOOKUP(H60,PRORRATEO!F:M,8,0)</f>
        <v>0.93799999999999994</v>
      </c>
    </row>
    <row r="61" spans="1:20" x14ac:dyDescent="0.35">
      <c r="B61" s="4">
        <v>1537210003</v>
      </c>
      <c r="C61" s="8" t="s">
        <v>79</v>
      </c>
      <c r="D61" s="268">
        <v>444181</v>
      </c>
      <c r="E61" s="10" t="s">
        <v>80</v>
      </c>
      <c r="F61" s="13">
        <v>40</v>
      </c>
      <c r="G61" s="316" t="str">
        <f>+CONCATENATE($G$7," GC T87 6759")</f>
        <v>"04-2026" GC T87 6759</v>
      </c>
      <c r="I61" s="10">
        <f>+H60</f>
        <v>6759</v>
      </c>
      <c r="J61" s="10"/>
    </row>
    <row r="62" spans="1:20" x14ac:dyDescent="0.35">
      <c r="B62" s="4">
        <v>1537210002</v>
      </c>
      <c r="C62" s="8" t="s">
        <v>85</v>
      </c>
      <c r="D62" s="268">
        <f>-470316.65-88184.21</f>
        <v>-558500.86</v>
      </c>
      <c r="E62" s="10" t="s">
        <v>80</v>
      </c>
      <c r="F62" s="13">
        <v>50</v>
      </c>
      <c r="G62" s="348" t="str">
        <f>+CONCATENATE($G$7," GC T87 6759")</f>
        <v>"04-2026" GC T87 6759</v>
      </c>
      <c r="I62" s="10">
        <f>+I61</f>
        <v>6759</v>
      </c>
      <c r="J62" s="10"/>
    </row>
    <row r="63" spans="1:20" x14ac:dyDescent="0.35">
      <c r="B63" s="4">
        <v>1532001600</v>
      </c>
      <c r="C63" s="8" t="s">
        <v>78</v>
      </c>
      <c r="D63" s="268">
        <v>44432</v>
      </c>
      <c r="E63" s="10" t="s">
        <v>80</v>
      </c>
      <c r="F63" s="13">
        <v>40</v>
      </c>
      <c r="G63" s="316" t="str">
        <f>+CONCATENATE($G$7," GC T87 6759")</f>
        <v>"04-2026" GC T87 6759</v>
      </c>
      <c r="I63" s="10">
        <f>+I62</f>
        <v>6759</v>
      </c>
      <c r="J63" s="10"/>
    </row>
    <row r="64" spans="1:20" x14ac:dyDescent="0.35">
      <c r="B64" s="4">
        <v>1245150017</v>
      </c>
      <c r="C64" s="8" t="s">
        <v>77</v>
      </c>
      <c r="D64" s="323">
        <f>2939474+29395</f>
        <v>2968869</v>
      </c>
      <c r="E64" s="10" t="s">
        <v>80</v>
      </c>
      <c r="F64" s="13">
        <v>40</v>
      </c>
      <c r="G64" s="316" t="str">
        <f>+CONCATENATE($G$7," GC T87 6759")</f>
        <v>"04-2026" GC T87 6759</v>
      </c>
      <c r="I64" s="10">
        <f>+I63</f>
        <v>6759</v>
      </c>
      <c r="J64" s="10"/>
    </row>
    <row r="65" spans="1:21" x14ac:dyDescent="0.35">
      <c r="C65" s="251" t="s">
        <v>76</v>
      </c>
      <c r="D65" s="265">
        <f>SUM(D61:D64)</f>
        <v>2898981.14</v>
      </c>
      <c r="G65" s="318" t="str">
        <f>+G64</f>
        <v>"04-2026" GC T87 6759</v>
      </c>
      <c r="J65" s="10"/>
    </row>
    <row r="66" spans="1:21" x14ac:dyDescent="0.35">
      <c r="A66" s="130" t="s">
        <v>854</v>
      </c>
      <c r="B66" s="14">
        <v>204526</v>
      </c>
      <c r="C66" s="15" t="s">
        <v>99</v>
      </c>
      <c r="D66" s="362"/>
      <c r="G66" s="10" t="str">
        <f>VLOOKUP(B66,ADMON!A:P,5,0)</f>
        <v>T004</v>
      </c>
      <c r="H66" s="54">
        <f>VLOOKUP(B66,ADMON!A:P,7,0)</f>
        <v>6554</v>
      </c>
      <c r="J66" s="350">
        <f>+VLOOKUP(H66,contratos!A:R,5,0)</f>
        <v>42309</v>
      </c>
      <c r="K66" s="266" t="str">
        <f>+VLOOKUP(H66,contratos!A:R,12,0)</f>
        <v>VENCIDO</v>
      </c>
      <c r="L66" s="341" t="str">
        <f>+VLOOKUP(H66,contratos!A:R,13,0)</f>
        <v>CESADO</v>
      </c>
      <c r="M66" s="341">
        <f>+VLOOKUP(H66,contratos!A:R,15,0)</f>
        <v>0</v>
      </c>
      <c r="N66" s="336">
        <f>+VLOOKUP(H66,contratos!A:R,16,0)</f>
        <v>0</v>
      </c>
      <c r="O66" s="341">
        <f>+VLOOKUP(H66,PRORRATEO!F:M,3,0)</f>
        <v>24000000</v>
      </c>
      <c r="P66" s="341">
        <f>+VLOOKUP(H66,PRORRATEO!F:M,4,0)</f>
        <v>4560000</v>
      </c>
      <c r="Q66" s="341">
        <f>+VLOOKUP(H66,PRORRATEO!F:M,5,0)</f>
        <v>173280</v>
      </c>
      <c r="R66" s="341">
        <f>+VLOOKUP(H66,PRORRATEO!F:M,6,0)</f>
        <v>4386720</v>
      </c>
      <c r="S66" s="339">
        <f>+VLOOKUP(H66,PRORRATEO!F:M,7,0)</f>
        <v>3.7999999999999999E-2</v>
      </c>
      <c r="T66" s="339">
        <f>+VLOOKUP(H66,PRORRATEO!F:M,8,0)</f>
        <v>0.96199999999999997</v>
      </c>
    </row>
    <row r="67" spans="1:21" x14ac:dyDescent="0.35">
      <c r="A67" s="268"/>
      <c r="B67" s="4">
        <v>1537210003</v>
      </c>
      <c r="C67" s="8" t="s">
        <v>79</v>
      </c>
      <c r="D67" s="268">
        <f>+L68</f>
        <v>448896</v>
      </c>
      <c r="E67" s="11" t="s">
        <v>80</v>
      </c>
      <c r="F67" s="10">
        <v>40</v>
      </c>
      <c r="G67" s="348" t="str">
        <f>+CONCATENATE($G$7," GC T004 6554")</f>
        <v>"04-2026" GC T004 6554</v>
      </c>
      <c r="H67" s="384"/>
      <c r="I67" s="10">
        <f>+H66</f>
        <v>6554</v>
      </c>
      <c r="J67" s="10"/>
      <c r="K67" s="10" t="s">
        <v>1305</v>
      </c>
      <c r="L67" s="451">
        <v>2294957</v>
      </c>
    </row>
    <row r="68" spans="1:21" x14ac:dyDescent="0.35">
      <c r="A68" s="268"/>
      <c r="B68" s="4">
        <v>1537210002</v>
      </c>
      <c r="C68" s="8" t="s">
        <v>85</v>
      </c>
      <c r="E68" s="11" t="s">
        <v>80</v>
      </c>
      <c r="F68" s="10">
        <v>40</v>
      </c>
      <c r="G68" s="316" t="str">
        <f>+CONCATENATE($G$7," GC T004 6554")</f>
        <v>"04-2026" GC T004 6554</v>
      </c>
      <c r="I68" s="10">
        <f>+I67</f>
        <v>6554</v>
      </c>
      <c r="J68" s="10"/>
      <c r="K68" s="10" t="s">
        <v>1184</v>
      </c>
      <c r="L68" s="451">
        <v>448896</v>
      </c>
    </row>
    <row r="69" spans="1:21" x14ac:dyDescent="0.35">
      <c r="B69" s="4">
        <v>1532001600</v>
      </c>
      <c r="C69" s="10" t="s">
        <v>987</v>
      </c>
      <c r="D69" s="268">
        <f>+L69</f>
        <v>216232</v>
      </c>
      <c r="E69" s="11" t="s">
        <v>80</v>
      </c>
      <c r="F69" s="10">
        <v>40</v>
      </c>
      <c r="G69" s="348" t="str">
        <f>+CONCATENATE($G$7," GC T004 6554")</f>
        <v>"04-2026" GC T004 6554</v>
      </c>
      <c r="H69" s="384"/>
      <c r="I69" s="10">
        <f>+I67</f>
        <v>6554</v>
      </c>
      <c r="J69" s="10"/>
      <c r="K69" s="10" t="s">
        <v>1789</v>
      </c>
      <c r="L69" s="451">
        <f>45899+20743+105302+44288</f>
        <v>216232</v>
      </c>
      <c r="M69" s="341">
        <f>SUBTOTAL(9,L70:L72)+L67</f>
        <v>2350036</v>
      </c>
    </row>
    <row r="70" spans="1:21" x14ac:dyDescent="0.35">
      <c r="B70" s="4">
        <v>1537210002</v>
      </c>
      <c r="C70" s="8" t="s">
        <v>85</v>
      </c>
      <c r="E70" s="11" t="s">
        <v>80</v>
      </c>
      <c r="F70" s="10">
        <v>50</v>
      </c>
      <c r="G70" s="316" t="str">
        <f>+CONCATENATE($G$7," GC T004 6554")</f>
        <v>"04-2026" GC T004 6554</v>
      </c>
      <c r="I70" s="10">
        <f>+I67</f>
        <v>6554</v>
      </c>
      <c r="J70" s="10"/>
      <c r="K70" s="10" t="s">
        <v>1306</v>
      </c>
      <c r="L70" s="451">
        <v>36719</v>
      </c>
    </row>
    <row r="71" spans="1:21" x14ac:dyDescent="0.35">
      <c r="B71" s="4">
        <v>1537210002</v>
      </c>
      <c r="C71" s="8" t="s">
        <v>85</v>
      </c>
      <c r="D71" s="299">
        <f>+M69</f>
        <v>2350036</v>
      </c>
      <c r="E71" s="11" t="s">
        <v>80</v>
      </c>
      <c r="F71" s="10">
        <v>40</v>
      </c>
      <c r="G71" s="348" t="str">
        <f>+CONCATENATE($G$7," GC T004 6554")</f>
        <v>"04-2026" GC T004 6554</v>
      </c>
      <c r="I71" s="10">
        <f>+I70</f>
        <v>6554</v>
      </c>
      <c r="J71" s="10"/>
      <c r="K71" s="10" t="s">
        <v>1307</v>
      </c>
      <c r="L71" s="451"/>
    </row>
    <row r="72" spans="1:21" x14ac:dyDescent="0.35">
      <c r="C72" s="251" t="s">
        <v>76</v>
      </c>
      <c r="D72" s="265">
        <f>+D71-D70+D69+D68+D67</f>
        <v>3015164</v>
      </c>
      <c r="G72" s="318" t="str">
        <f>+G71</f>
        <v>"04-2026" GC T004 6554</v>
      </c>
      <c r="J72" s="316"/>
      <c r="K72" s="316" t="s">
        <v>1308</v>
      </c>
      <c r="L72" s="341">
        <v>18360</v>
      </c>
      <c r="N72" s="336"/>
      <c r="U72" s="11">
        <v>297634</v>
      </c>
    </row>
    <row r="73" spans="1:21" x14ac:dyDescent="0.35">
      <c r="A73" s="130" t="s">
        <v>854</v>
      </c>
      <c r="B73" s="129" t="s">
        <v>455</v>
      </c>
      <c r="C73" s="18" t="s">
        <v>456</v>
      </c>
      <c r="D73" s="362"/>
      <c r="G73" s="10" t="str">
        <f>VLOOKUP(B73,ADMON!A:P,5,0)</f>
        <v>T130</v>
      </c>
      <c r="H73" s="54">
        <f>VLOOKUP(B73,ADMON!A:P,7,0)</f>
        <v>9209</v>
      </c>
      <c r="J73" s="350">
        <f>+VLOOKUP(H73,contratos!A:R,5,0)</f>
        <v>43040</v>
      </c>
      <c r="K73" s="266" t="str">
        <f>+VLOOKUP(H73,contratos!A:R,12,0)</f>
        <v>CESADO</v>
      </c>
      <c r="L73" s="341" t="str">
        <f>+VLOOKUP(H73,contratos!A:R,13,0)</f>
        <v>CERRADA</v>
      </c>
      <c r="M73" s="341">
        <f>+VLOOKUP(H73,contratos!A:R,15,0)</f>
        <v>0</v>
      </c>
      <c r="N73" s="336">
        <f>+VLOOKUP(H73,contratos!A:R,16,0)</f>
        <v>0</v>
      </c>
      <c r="O73" s="341">
        <f>+VLOOKUP(H73,PRORRATEO!F:M,3,0)</f>
        <v>101940</v>
      </c>
      <c r="P73" s="341">
        <f>+VLOOKUP(H73,PRORRATEO!F:M,4,0)</f>
        <v>19368.599999999999</v>
      </c>
      <c r="Q73" s="341">
        <f>+VLOOKUP(H73,PRORRATEO!F:M,5,0)</f>
        <v>1549.4879999999998</v>
      </c>
      <c r="R73" s="341">
        <f>+VLOOKUP(H73,PRORRATEO!F:M,6,0)</f>
        <v>17819.112000000001</v>
      </c>
      <c r="S73" s="339">
        <f>+VLOOKUP(H73,PRORRATEO!F:M,7,0)</f>
        <v>0.08</v>
      </c>
      <c r="T73" s="339">
        <f>+VLOOKUP(H73,PRORRATEO!F:M,8,0)</f>
        <v>0.92</v>
      </c>
      <c r="U73" s="11">
        <v>87863</v>
      </c>
    </row>
    <row r="74" spans="1:21" x14ac:dyDescent="0.35">
      <c r="B74" s="4">
        <v>1537210003</v>
      </c>
      <c r="C74" s="251" t="s">
        <v>79</v>
      </c>
      <c r="D74" s="268">
        <v>104316</v>
      </c>
      <c r="E74" s="10">
        <v>40</v>
      </c>
      <c r="F74" s="11" t="s">
        <v>80</v>
      </c>
      <c r="G74" s="316" t="str">
        <f>+CONCATENATE($G$7," GC T130 9209")</f>
        <v>"04-2026" GC T130 9209</v>
      </c>
      <c r="I74" s="10">
        <f>+H73</f>
        <v>9209</v>
      </c>
      <c r="J74" s="318">
        <f>+U72+U74+U75</f>
        <v>865531</v>
      </c>
      <c r="K74" s="336"/>
      <c r="N74" s="336"/>
      <c r="U74" s="11">
        <v>555427</v>
      </c>
    </row>
    <row r="75" spans="1:21" x14ac:dyDescent="0.35">
      <c r="B75" s="4">
        <v>1537210002</v>
      </c>
      <c r="C75" s="251" t="s">
        <v>85</v>
      </c>
      <c r="D75" s="323">
        <f>353074+642942</f>
        <v>996016</v>
      </c>
      <c r="E75" s="10">
        <v>40</v>
      </c>
      <c r="F75" s="11" t="s">
        <v>80</v>
      </c>
      <c r="G75" s="316" t="str">
        <f>+CONCATENATE($G$7," GC T130 9209")</f>
        <v>"04-2026" GC T130 9209</v>
      </c>
      <c r="I75" s="10">
        <f>+I74</f>
        <v>9209</v>
      </c>
      <c r="J75" s="316"/>
      <c r="K75" s="336"/>
      <c r="N75" s="336"/>
      <c r="U75" s="11">
        <v>12470</v>
      </c>
    </row>
    <row r="76" spans="1:21" x14ac:dyDescent="0.35">
      <c r="C76" s="251" t="s">
        <v>76</v>
      </c>
      <c r="D76" s="332">
        <f>SUM(D74:D75)</f>
        <v>1100332</v>
      </c>
      <c r="G76" s="318" t="str">
        <f>+G75</f>
        <v>"04-2026" GC T130 9209</v>
      </c>
      <c r="J76" s="318"/>
      <c r="K76" s="337"/>
      <c r="N76" s="337"/>
      <c r="U76" s="12">
        <f>SUM(U72:U75)</f>
        <v>953394</v>
      </c>
    </row>
    <row r="77" spans="1:21" x14ac:dyDescent="0.35">
      <c r="A77" s="130" t="s">
        <v>854</v>
      </c>
      <c r="B77" s="129" t="s">
        <v>455</v>
      </c>
      <c r="C77" s="18" t="s">
        <v>456</v>
      </c>
      <c r="D77" s="362"/>
      <c r="G77" s="10" t="str">
        <f>VLOOKUP(B77,ADMON!A:P,5,0)</f>
        <v>T130</v>
      </c>
      <c r="H77" s="54">
        <f>VLOOKUP(B77,ADMON!A:P,7,0)</f>
        <v>9209</v>
      </c>
      <c r="J77" s="350">
        <f>+VLOOKUP(H77,contratos!A:R,5,0)</f>
        <v>43040</v>
      </c>
      <c r="K77" s="266" t="str">
        <f>+VLOOKUP(H77,contratos!A:R,12,0)</f>
        <v>CESADO</v>
      </c>
      <c r="L77" s="341" t="str">
        <f>+VLOOKUP(H77,contratos!A:R,13,0)</f>
        <v>CERRADA</v>
      </c>
      <c r="M77" s="341">
        <f>+VLOOKUP(H77,contratos!A:R,15,0)</f>
        <v>0</v>
      </c>
      <c r="N77" s="336">
        <f>+VLOOKUP(H77,contratos!A:R,16,0)</f>
        <v>0</v>
      </c>
      <c r="O77" s="341">
        <f>+VLOOKUP(H77,PRORRATEO!F:M,3,0)</f>
        <v>101940</v>
      </c>
      <c r="P77" s="341">
        <f>+VLOOKUP(H77,PRORRATEO!F:M,4,0)</f>
        <v>19368.599999999999</v>
      </c>
      <c r="Q77" s="341">
        <f>+VLOOKUP(H77,PRORRATEO!F:M,5,0)</f>
        <v>1549.4879999999998</v>
      </c>
      <c r="R77" s="341">
        <f>+VLOOKUP(H77,PRORRATEO!F:M,6,0)</f>
        <v>17819.112000000001</v>
      </c>
      <c r="S77" s="339">
        <f>+VLOOKUP(H77,PRORRATEO!F:M,7,0)</f>
        <v>0.08</v>
      </c>
      <c r="T77" s="339">
        <f>+VLOOKUP(H77,PRORRATEO!F:M,8,0)</f>
        <v>0.92</v>
      </c>
    </row>
    <row r="78" spans="1:21" x14ac:dyDescent="0.35">
      <c r="B78" s="4">
        <v>1532001600</v>
      </c>
      <c r="C78" s="251" t="s">
        <v>78</v>
      </c>
      <c r="D78" s="268">
        <v>113120</v>
      </c>
      <c r="E78" s="10">
        <v>40</v>
      </c>
      <c r="F78" s="11" t="s">
        <v>97</v>
      </c>
      <c r="G78" s="348" t="str">
        <f>+CONCATENATE($G$7," GC T130 9209")</f>
        <v>"04-2026" GC T130 9209</v>
      </c>
      <c r="I78" s="10">
        <f>+H77</f>
        <v>9209</v>
      </c>
      <c r="J78" s="10"/>
    </row>
    <row r="79" spans="1:21" x14ac:dyDescent="0.35">
      <c r="B79" s="4">
        <v>1149120011</v>
      </c>
      <c r="C79" s="251" t="s">
        <v>96</v>
      </c>
      <c r="D79" s="323">
        <v>21493</v>
      </c>
      <c r="E79" s="10">
        <v>40</v>
      </c>
      <c r="F79" s="213" t="s">
        <v>97</v>
      </c>
      <c r="G79" s="316" t="str">
        <f>+CONCATENATE($G$7," GC T130 9209")</f>
        <v>"04-2026" GC T130 9209</v>
      </c>
      <c r="I79" s="10">
        <f>+I78</f>
        <v>9209</v>
      </c>
      <c r="J79" s="10"/>
    </row>
    <row r="80" spans="1:21" x14ac:dyDescent="0.35">
      <c r="C80" s="251" t="s">
        <v>76</v>
      </c>
      <c r="D80" s="265">
        <f>SUM(D78:D79)</f>
        <v>134613</v>
      </c>
      <c r="G80" s="318" t="str">
        <f>+G79</f>
        <v>"04-2026" GC T130 9209</v>
      </c>
      <c r="J80" s="10"/>
    </row>
    <row r="81" spans="1:20" x14ac:dyDescent="0.35">
      <c r="A81" s="130" t="s">
        <v>854</v>
      </c>
      <c r="B81" s="129" t="s">
        <v>455</v>
      </c>
      <c r="C81" s="18" t="s">
        <v>456</v>
      </c>
      <c r="D81" s="362"/>
      <c r="G81" s="10" t="str">
        <f>VLOOKUP(B81,ADMON!A:P,5,0)</f>
        <v>T130</v>
      </c>
      <c r="H81" s="54">
        <f>VLOOKUP(B81,ADMON!A:P,7,0)</f>
        <v>9209</v>
      </c>
      <c r="J81" s="350">
        <f>+VLOOKUP(H81,contratos!A:R,5,0)</f>
        <v>43040</v>
      </c>
      <c r="K81" s="266" t="str">
        <f>+VLOOKUP(H81,contratos!A:R,12,0)</f>
        <v>CESADO</v>
      </c>
      <c r="L81" s="341" t="str">
        <f>+VLOOKUP(H81,contratos!A:R,13,0)</f>
        <v>CERRADA</v>
      </c>
      <c r="M81" s="341">
        <f>+VLOOKUP(H81,contratos!A:R,15,0)</f>
        <v>0</v>
      </c>
      <c r="N81" s="336">
        <f>+VLOOKUP(H81,contratos!A:R,16,0)</f>
        <v>0</v>
      </c>
      <c r="O81" s="341">
        <f>+VLOOKUP(H81,PRORRATEO!F:M,3,0)</f>
        <v>101940</v>
      </c>
      <c r="P81" s="341">
        <f>+VLOOKUP(H81,PRORRATEO!F:M,4,0)</f>
        <v>19368.599999999999</v>
      </c>
      <c r="Q81" s="341">
        <f>+VLOOKUP(H81,PRORRATEO!F:M,5,0)</f>
        <v>1549.4879999999998</v>
      </c>
      <c r="R81" s="341">
        <f>+VLOOKUP(H81,PRORRATEO!F:M,6,0)</f>
        <v>17819.112000000001</v>
      </c>
      <c r="S81" s="339">
        <f>+VLOOKUP(H81,PRORRATEO!F:M,7,0)</f>
        <v>0.08</v>
      </c>
      <c r="T81" s="339">
        <f>+VLOOKUP(H81,PRORRATEO!F:M,8,0)</f>
        <v>0.92</v>
      </c>
    </row>
    <row r="82" spans="1:20" x14ac:dyDescent="0.35">
      <c r="B82" s="4">
        <v>217036</v>
      </c>
      <c r="C82" s="251" t="s">
        <v>1028</v>
      </c>
      <c r="D82" s="322">
        <f>SUM(D83:D84)</f>
        <v>940924</v>
      </c>
      <c r="E82">
        <v>31</v>
      </c>
      <c r="F82" s="10" t="s">
        <v>80</v>
      </c>
      <c r="G82" s="316" t="str">
        <f>+CONCATENATE($G$7," GC T130 9209")</f>
        <v>"04-2026" GC T130 9209</v>
      </c>
      <c r="I82" s="10">
        <f>+H81</f>
        <v>9209</v>
      </c>
      <c r="J82" s="10"/>
    </row>
    <row r="83" spans="1:20" x14ac:dyDescent="0.35">
      <c r="B83" s="250">
        <v>1537210003</v>
      </c>
      <c r="C83" s="251" t="s">
        <v>1013</v>
      </c>
      <c r="D83" s="268">
        <v>87863</v>
      </c>
      <c r="E83">
        <v>40</v>
      </c>
      <c r="F83" s="10" t="s">
        <v>80</v>
      </c>
      <c r="G83" s="348" t="str">
        <f>+CONCATENATE($G$7," GC T130 9209")</f>
        <v>"04-2026" GC T130 9209</v>
      </c>
      <c r="I83" s="10">
        <f>+H81</f>
        <v>9209</v>
      </c>
      <c r="J83" s="10"/>
    </row>
    <row r="84" spans="1:20" x14ac:dyDescent="0.35">
      <c r="B84" s="250">
        <v>1537210002</v>
      </c>
      <c r="C84" s="251" t="s">
        <v>1015</v>
      </c>
      <c r="D84" s="298">
        <f>555427+297634</f>
        <v>853061</v>
      </c>
      <c r="E84">
        <v>40</v>
      </c>
      <c r="F84" s="10" t="s">
        <v>80</v>
      </c>
      <c r="G84" s="348" t="str">
        <f>+CONCATENATE($G$7," GC T130 9209")</f>
        <v>"04-2026" GC T130 9209</v>
      </c>
      <c r="I84" s="10">
        <f>+H81</f>
        <v>9209</v>
      </c>
      <c r="J84" s="10"/>
    </row>
    <row r="85" spans="1:20" x14ac:dyDescent="0.35">
      <c r="C85" s="251"/>
      <c r="D85" s="265"/>
      <c r="G85" s="318" t="str">
        <f>+G84</f>
        <v>"04-2026" GC T130 9209</v>
      </c>
      <c r="J85" s="10"/>
    </row>
    <row r="86" spans="1:20" ht="14" customHeight="1" x14ac:dyDescent="0.35">
      <c r="A86" s="130" t="s">
        <v>854</v>
      </c>
      <c r="B86" s="14">
        <v>204887</v>
      </c>
      <c r="C86" s="15" t="s">
        <v>359</v>
      </c>
      <c r="D86" s="324"/>
      <c r="G86" s="10" t="str">
        <f>VLOOKUP(B86,ADMON!A:P,5,0)</f>
        <v>T100</v>
      </c>
      <c r="H86" s="54">
        <f>VLOOKUP(B86,ADMON!A:P,7,0)</f>
        <v>6767</v>
      </c>
      <c r="J86" s="350">
        <f>+VLOOKUP(H86,contratos!A:R,5,0)</f>
        <v>45582</v>
      </c>
      <c r="K86" s="266" t="str">
        <f>+VLOOKUP(H86,contratos!A:R,12,0)</f>
        <v>OK</v>
      </c>
      <c r="L86" s="341" t="str">
        <f>+VLOOKUP(H86,contratos!A:R,13,0)</f>
        <v>VIGENTE</v>
      </c>
      <c r="M86" s="341">
        <f>+VLOOKUP(H86,contratos!A:R,15,0)</f>
        <v>0</v>
      </c>
      <c r="N86" s="336">
        <f>+VLOOKUP(H86,contratos!A:R,16,0)</f>
        <v>0</v>
      </c>
      <c r="O86" s="341">
        <f>+VLOOKUP(H86,PRORRATEO!F:M,3,0)</f>
        <v>3986803</v>
      </c>
      <c r="P86" s="341">
        <f>+VLOOKUP(H86,PRORRATEO!F:M,4,0)</f>
        <v>757492.57000000007</v>
      </c>
      <c r="Q86" s="341">
        <f>+VLOOKUP(H86,PRORRATEO!F:M,5,0)</f>
        <v>65144.361020000004</v>
      </c>
      <c r="R86" s="341">
        <f>+VLOOKUP(H86,PRORRATEO!F:M,6,0)</f>
        <v>692348.20898000011</v>
      </c>
      <c r="S86" s="339">
        <f>+VLOOKUP(H86,PRORRATEO!F:M,7,0)</f>
        <v>8.5999999999999993E-2</v>
      </c>
      <c r="T86" s="339">
        <f>+VLOOKUP(H86,PRORRATEO!F:M,8,0)</f>
        <v>0.91400000000000003</v>
      </c>
    </row>
    <row r="87" spans="1:20" x14ac:dyDescent="0.35">
      <c r="B87" s="4">
        <v>1245150017</v>
      </c>
      <c r="C87" s="251" t="s">
        <v>77</v>
      </c>
      <c r="D87" s="298">
        <v>1631716</v>
      </c>
      <c r="E87" s="10" t="s">
        <v>80</v>
      </c>
      <c r="F87" s="10">
        <v>40</v>
      </c>
      <c r="G87" s="348" t="str">
        <f>+CONCATENATE($G$7," GC T100 6767")</f>
        <v>"04-2026" GC T100 6767</v>
      </c>
      <c r="I87" s="10">
        <f>+H86</f>
        <v>6767</v>
      </c>
      <c r="J87" s="10"/>
    </row>
    <row r="88" spans="1:20" x14ac:dyDescent="0.35">
      <c r="C88" s="251" t="s">
        <v>76</v>
      </c>
      <c r="D88" s="265">
        <f>SUM(D87)</f>
        <v>1631716</v>
      </c>
      <c r="G88" s="318" t="str">
        <f>+G87</f>
        <v>"04-2026" GC T100 6767</v>
      </c>
      <c r="J88" s="10"/>
    </row>
    <row r="89" spans="1:20" x14ac:dyDescent="0.35">
      <c r="A89" s="130" t="s">
        <v>854</v>
      </c>
      <c r="B89" s="14">
        <v>204531</v>
      </c>
      <c r="C89" s="15" t="s">
        <v>503</v>
      </c>
      <c r="D89" s="362"/>
      <c r="G89" s="313" t="s">
        <v>501</v>
      </c>
      <c r="H89" s="254">
        <v>6617</v>
      </c>
      <c r="J89" s="350">
        <f>+VLOOKUP(H89,contratos!A:R,5,0)</f>
        <v>40057</v>
      </c>
      <c r="K89" s="266" t="str">
        <f>+VLOOKUP(H89,contratos!A:R,12,0)</f>
        <v>VENCIDO</v>
      </c>
      <c r="L89" s="341" t="str">
        <f>+VLOOKUP(H89,contratos!A:R,13,0)</f>
        <v>CESADO</v>
      </c>
      <c r="M89" s="341">
        <f>+VLOOKUP(H89,contratos!A:R,15,0)</f>
        <v>0</v>
      </c>
      <c r="N89" s="336">
        <f>+VLOOKUP(H89,contratos!A:R,16,0)</f>
        <v>0</v>
      </c>
      <c r="O89" s="341">
        <f>+VLOOKUP(H89,PRORRATEO!F:M,3,0)</f>
        <v>9086819</v>
      </c>
      <c r="P89" s="341">
        <f>+VLOOKUP(H89,PRORRATEO!F:M,4,0)</f>
        <v>1726495.61</v>
      </c>
      <c r="Q89" s="341">
        <f>+VLOOKUP(H89,PRORRATEO!F:M,5,0)</f>
        <v>86324.780500000008</v>
      </c>
      <c r="R89" s="341">
        <f>+VLOOKUP(H89,PRORRATEO!F:M,6,0)</f>
        <v>1640170.8295</v>
      </c>
      <c r="S89" s="339">
        <f>+VLOOKUP(H89,PRORRATEO!F:M,7,0)</f>
        <v>0.05</v>
      </c>
      <c r="T89" s="339">
        <f>+VLOOKUP(H89,PRORRATEO!F:M,8,0)</f>
        <v>0.95</v>
      </c>
    </row>
    <row r="90" spans="1:20" x14ac:dyDescent="0.35">
      <c r="B90" s="250">
        <v>1537210002</v>
      </c>
      <c r="C90" s="251" t="s">
        <v>85</v>
      </c>
      <c r="D90" s="268">
        <f>1521255</f>
        <v>1521255</v>
      </c>
      <c r="E90" s="10" t="s">
        <v>80</v>
      </c>
      <c r="F90" s="250">
        <v>40</v>
      </c>
      <c r="G90" s="316" t="str">
        <f>+CONCATENATE($G$7," RF/GC ",G89," ",H89)</f>
        <v>"04-2026" RF/GC T035 6617</v>
      </c>
      <c r="I90" s="312">
        <f>+H89</f>
        <v>6617</v>
      </c>
      <c r="J90" s="10"/>
    </row>
    <row r="91" spans="1:20" x14ac:dyDescent="0.35">
      <c r="B91" s="250">
        <v>1532001604</v>
      </c>
      <c r="C91" s="251" t="s">
        <v>91</v>
      </c>
      <c r="D91" s="268">
        <v>257142</v>
      </c>
      <c r="E91" s="10" t="s">
        <v>80</v>
      </c>
      <c r="F91" s="250">
        <v>40</v>
      </c>
      <c r="G91" s="318" t="str">
        <f t="shared" ref="G91:G96" si="3">+G90</f>
        <v>"04-2026" RF/GC T035 6617</v>
      </c>
      <c r="I91" s="312">
        <f>+I90</f>
        <v>6617</v>
      </c>
      <c r="J91" s="10"/>
    </row>
    <row r="92" spans="1:20" x14ac:dyDescent="0.35">
      <c r="B92" s="250">
        <v>1245150017</v>
      </c>
      <c r="C92" s="251" t="s">
        <v>77</v>
      </c>
      <c r="D92" s="268">
        <f>+O89</f>
        <v>9086819</v>
      </c>
      <c r="E92" s="10" t="s">
        <v>97</v>
      </c>
      <c r="F92" s="250">
        <v>40</v>
      </c>
      <c r="G92" s="318" t="str">
        <f t="shared" si="3"/>
        <v>"04-2026" RF/GC T035 6617</v>
      </c>
      <c r="I92" s="312">
        <f>+I91</f>
        <v>6617</v>
      </c>
      <c r="J92" s="10"/>
      <c r="K92" s="336"/>
      <c r="N92" s="336"/>
    </row>
    <row r="93" spans="1:20" x14ac:dyDescent="0.35">
      <c r="B93" s="250">
        <v>1149120011</v>
      </c>
      <c r="C93" s="251" t="s">
        <v>96</v>
      </c>
      <c r="E93" s="10" t="s">
        <v>98</v>
      </c>
      <c r="F93" s="250">
        <v>40</v>
      </c>
      <c r="G93" s="318" t="str">
        <f t="shared" si="3"/>
        <v>"04-2026" RF/GC T035 6617</v>
      </c>
      <c r="I93" s="312">
        <f>+I92</f>
        <v>6617</v>
      </c>
      <c r="J93" s="10"/>
      <c r="K93" s="336"/>
      <c r="N93" s="336"/>
    </row>
    <row r="94" spans="1:20" x14ac:dyDescent="0.35">
      <c r="B94" s="250">
        <v>1149120011</v>
      </c>
      <c r="C94" s="251" t="s">
        <v>96</v>
      </c>
      <c r="E94" s="10" t="s">
        <v>97</v>
      </c>
      <c r="F94" s="250">
        <v>50</v>
      </c>
      <c r="G94" s="318" t="str">
        <f t="shared" si="3"/>
        <v>"04-2026" RF/GC T035 6617</v>
      </c>
      <c r="I94" s="312">
        <f>+I93</f>
        <v>6617</v>
      </c>
      <c r="J94" s="10"/>
      <c r="K94" s="336"/>
      <c r="N94" s="336"/>
    </row>
    <row r="95" spans="1:20" x14ac:dyDescent="0.35">
      <c r="B95" s="4">
        <v>1149120011</v>
      </c>
      <c r="C95" s="251" t="s">
        <v>96</v>
      </c>
      <c r="D95" s="323">
        <f>+(+D90+D92)*0.19</f>
        <v>2015534.06</v>
      </c>
      <c r="E95" s="10" t="s">
        <v>97</v>
      </c>
      <c r="F95" s="10">
        <v>40</v>
      </c>
      <c r="G95" s="318" t="str">
        <f t="shared" si="3"/>
        <v>"04-2026" RF/GC T035 6617</v>
      </c>
      <c r="J95" s="10"/>
      <c r="K95" s="337"/>
      <c r="N95" s="337"/>
    </row>
    <row r="96" spans="1:20" x14ac:dyDescent="0.35">
      <c r="C96" s="251" t="s">
        <v>76</v>
      </c>
      <c r="D96" s="332">
        <f>+D90+D91+D92+D93-D94+D95</f>
        <v>12880750.060000001</v>
      </c>
      <c r="G96" s="318" t="str">
        <f t="shared" si="3"/>
        <v>"04-2026" RF/GC T035 6617</v>
      </c>
      <c r="J96" s="10"/>
    </row>
    <row r="97" spans="1:20" x14ac:dyDescent="0.35">
      <c r="A97" s="130" t="s">
        <v>854</v>
      </c>
      <c r="B97" s="14">
        <v>204565</v>
      </c>
      <c r="C97" s="15" t="s">
        <v>537</v>
      </c>
      <c r="D97" s="362"/>
      <c r="G97" s="398" t="s">
        <v>535</v>
      </c>
      <c r="H97" s="399">
        <v>6652</v>
      </c>
      <c r="J97" s="350">
        <f>+VLOOKUP(H97,contratos!A:R,5,0)</f>
        <v>43480</v>
      </c>
      <c r="K97" s="266" t="str">
        <f>+VLOOKUP(H97,contratos!A:R,12,0)</f>
        <v>VENCIDO</v>
      </c>
      <c r="L97" s="341" t="str">
        <f>+VLOOKUP(H97,contratos!A:R,13,0)</f>
        <v>CESADO</v>
      </c>
      <c r="M97" s="341">
        <f>+VLOOKUP(H97,contratos!A:R,15,0)</f>
        <v>0</v>
      </c>
      <c r="N97" s="336">
        <f>+VLOOKUP(H97,contratos!A:R,16,0)</f>
        <v>0</v>
      </c>
      <c r="O97" s="341">
        <f>+VLOOKUP(H97,PRORRATEO!F:M,3,0)</f>
        <v>15871587</v>
      </c>
      <c r="P97" s="341">
        <f>+VLOOKUP(H97,PRORRATEO!F:M,4,0)</f>
        <v>3015601.5300000003</v>
      </c>
      <c r="Q97" s="341">
        <f>+VLOOKUP(H97,PRORRATEO!F:M,5,0)</f>
        <v>160005.1278447978</v>
      </c>
      <c r="R97" s="341">
        <f>+VLOOKUP(H97,PRORRATEO!F:M,6,0)</f>
        <v>2855596.4021552023</v>
      </c>
      <c r="S97" s="339">
        <f>+VLOOKUP(H97,PRORRATEO!F:M,7,0)</f>
        <v>5.3059108192188037E-2</v>
      </c>
      <c r="T97" s="339">
        <f>+VLOOKUP(H97,PRORRATEO!F:M,8,0)</f>
        <v>0.94694089180781194</v>
      </c>
    </row>
    <row r="98" spans="1:20" x14ac:dyDescent="0.35">
      <c r="B98" s="250">
        <v>1537210002</v>
      </c>
      <c r="C98" s="251" t="s">
        <v>85</v>
      </c>
      <c r="D98" s="324">
        <v>1665983</v>
      </c>
      <c r="E98" s="11" t="s">
        <v>80</v>
      </c>
      <c r="F98" s="250">
        <v>40</v>
      </c>
      <c r="G98" s="348" t="str">
        <f>+CONCATENATE($G$7," GC ",G97," ",H97)</f>
        <v>"04-2026" GC T054 6652</v>
      </c>
      <c r="I98" s="312">
        <f>+H97</f>
        <v>6652</v>
      </c>
      <c r="J98" s="10"/>
    </row>
    <row r="99" spans="1:20" x14ac:dyDescent="0.35">
      <c r="B99" s="4">
        <v>1532001600</v>
      </c>
      <c r="C99" s="251" t="s">
        <v>78</v>
      </c>
      <c r="D99" s="325"/>
      <c r="E99" s="213" t="s">
        <v>80</v>
      </c>
      <c r="F99" s="10">
        <v>40</v>
      </c>
      <c r="G99" s="318" t="str">
        <f>+G98</f>
        <v>"04-2026" GC T054 6652</v>
      </c>
      <c r="I99" s="312">
        <f>+I98</f>
        <v>6652</v>
      </c>
      <c r="J99" s="10"/>
    </row>
    <row r="100" spans="1:20" x14ac:dyDescent="0.35">
      <c r="C100" s="251" t="s">
        <v>76</v>
      </c>
      <c r="D100" s="265">
        <f>SUM(D98:D99)</f>
        <v>1665983</v>
      </c>
      <c r="G100" s="318" t="str">
        <f>+G99</f>
        <v>"04-2026" GC T054 6652</v>
      </c>
      <c r="J100" s="10"/>
    </row>
    <row r="101" spans="1:20" x14ac:dyDescent="0.35">
      <c r="A101" s="130" t="s">
        <v>855</v>
      </c>
      <c r="B101" s="17">
        <v>217036</v>
      </c>
      <c r="C101" s="18" t="s">
        <v>456</v>
      </c>
      <c r="D101" s="362"/>
      <c r="G101" s="360" t="s">
        <v>453</v>
      </c>
      <c r="H101" s="34">
        <v>9209</v>
      </c>
      <c r="I101" s="313" t="s">
        <v>82</v>
      </c>
      <c r="J101" s="350">
        <f>+VLOOKUP(H101,contratos!A:R,5,0)</f>
        <v>43040</v>
      </c>
      <c r="K101" s="266" t="str">
        <f>+VLOOKUP(H101,contratos!A:R,12,0)</f>
        <v>CESADO</v>
      </c>
      <c r="L101" s="341" t="str">
        <f>+VLOOKUP(H101,contratos!A:R,13,0)</f>
        <v>CERRADA</v>
      </c>
      <c r="M101" s="341">
        <f>+VLOOKUP(H101,contratos!A:R,15,0)</f>
        <v>0</v>
      </c>
      <c r="N101" s="336">
        <f>+VLOOKUP(H101,contratos!A:R,16,0)</f>
        <v>0</v>
      </c>
      <c r="O101" s="341">
        <f>+VLOOKUP(H101,PRORRATEO!F:M,3,0)</f>
        <v>101940</v>
      </c>
      <c r="P101" s="341">
        <f>+VLOOKUP(H101,PRORRATEO!F:M,4,0)</f>
        <v>19368.599999999999</v>
      </c>
      <c r="Q101" s="341">
        <f>+VLOOKUP(H101,PRORRATEO!F:M,5,0)</f>
        <v>1549.4879999999998</v>
      </c>
      <c r="R101" s="341">
        <f>+VLOOKUP(H101,PRORRATEO!F:M,6,0)</f>
        <v>17819.112000000001</v>
      </c>
      <c r="S101" s="339">
        <f>+VLOOKUP(H101,PRORRATEO!F:M,7,0)</f>
        <v>0.08</v>
      </c>
      <c r="T101" s="339">
        <f>+VLOOKUP(H101,PRORRATEO!F:M,8,0)</f>
        <v>0.92</v>
      </c>
    </row>
    <row r="102" spans="1:20" x14ac:dyDescent="0.35">
      <c r="B102" s="4">
        <v>1532001605</v>
      </c>
      <c r="C102" s="251" t="s">
        <v>855</v>
      </c>
      <c r="D102" s="323">
        <v>135271</v>
      </c>
      <c r="E102" s="11" t="s">
        <v>80</v>
      </c>
      <c r="F102" s="10">
        <v>40</v>
      </c>
      <c r="G102" s="316" t="str">
        <f>+CONCATENATE($G$7," ",C102," ",G101," 9209")</f>
        <v>"04-2026" ENERGIA T130 9209</v>
      </c>
      <c r="I102" s="10">
        <f>+H101</f>
        <v>9209</v>
      </c>
      <c r="J102" s="10"/>
    </row>
    <row r="103" spans="1:20" x14ac:dyDescent="0.35">
      <c r="C103" s="251" t="s">
        <v>76</v>
      </c>
      <c r="D103" s="265">
        <f>SUM(D102)</f>
        <v>135271</v>
      </c>
      <c r="G103" s="318" t="str">
        <f>+G102</f>
        <v>"04-2026" ENERGIA T130 9209</v>
      </c>
      <c r="J103" s="10"/>
    </row>
    <row r="104" spans="1:20" x14ac:dyDescent="0.35">
      <c r="A104" s="130" t="s">
        <v>855</v>
      </c>
      <c r="B104" s="14">
        <v>206169</v>
      </c>
      <c r="C104" s="15" t="s">
        <v>11</v>
      </c>
      <c r="D104" s="362"/>
      <c r="G104" s="10" t="str">
        <f>VLOOKUP(B104,ADMON!A:P,5,0)</f>
        <v>T105</v>
      </c>
      <c r="H104" s="54">
        <f>+VLOOKUP(G104,ADMON!E:G,3,0)</f>
        <v>8583</v>
      </c>
      <c r="J104" s="515">
        <f>+VLOOKUP(H104,contratos!A:R,5,0)</f>
        <v>42370</v>
      </c>
      <c r="K104" s="266" t="str">
        <f>+VLOOKUP(H104,contratos!A:R,12,0)</f>
        <v>VENCIDO</v>
      </c>
      <c r="L104" s="341" t="str">
        <f>+VLOOKUP(H104,contratos!A:R,13,0)</f>
        <v>CESADO</v>
      </c>
      <c r="M104" s="341">
        <f>+VLOOKUP(H104,contratos!A:R,15,0)</f>
        <v>0</v>
      </c>
      <c r="N104" s="336">
        <f>+VLOOKUP(H104,contratos!A:R,16,0)</f>
        <v>0</v>
      </c>
      <c r="O104" s="341">
        <f>+VLOOKUP(H104,PRORRATEO!F:M,3,0)</f>
        <v>9715141</v>
      </c>
      <c r="P104" s="341">
        <f>+VLOOKUP(H104,PRORRATEO!F:M,4,0)</f>
        <v>1845876.79</v>
      </c>
      <c r="Q104" s="341">
        <f>+VLOOKUP(H104,PRORRATEO!F:M,5,0)</f>
        <v>177204.17184</v>
      </c>
      <c r="R104" s="341">
        <f>+VLOOKUP(H104,PRORRATEO!F:M,6,0)</f>
        <v>1668672.6181600001</v>
      </c>
      <c r="S104" s="339">
        <f>+VLOOKUP(H104,PRORRATEO!F:M,7,0)</f>
        <v>9.6000000000000002E-2</v>
      </c>
      <c r="T104" s="339">
        <f>+VLOOKUP(H104,PRORRATEO!F:M,8,0)</f>
        <v>0.90400000000000003</v>
      </c>
    </row>
    <row r="105" spans="1:20" x14ac:dyDescent="0.35">
      <c r="B105" s="4">
        <v>1532001604</v>
      </c>
      <c r="C105" s="251" t="s">
        <v>856</v>
      </c>
      <c r="D105" s="323">
        <v>9944</v>
      </c>
      <c r="E105" s="11" t="s">
        <v>80</v>
      </c>
      <c r="F105" s="10">
        <v>40</v>
      </c>
      <c r="G105" s="316" t="str">
        <f>+CONCATENATE($G$7," ",C105," ",G104," ",H104)</f>
        <v>"04-2026" ACUEDUCTO T105 8583</v>
      </c>
      <c r="I105" s="10">
        <f>+H104</f>
        <v>8583</v>
      </c>
    </row>
    <row r="106" spans="1:20" x14ac:dyDescent="0.35">
      <c r="C106" s="251" t="s">
        <v>76</v>
      </c>
      <c r="D106" s="265">
        <f>SUM(D105)</f>
        <v>9944</v>
      </c>
      <c r="G106" s="318" t="str">
        <f>+G105</f>
        <v>"04-2026" ACUEDUCTO T105 8583</v>
      </c>
    </row>
    <row r="107" spans="1:20" x14ac:dyDescent="0.35">
      <c r="A107" s="130" t="s">
        <v>854</v>
      </c>
      <c r="B107" s="14">
        <v>206169</v>
      </c>
      <c r="C107" s="15" t="s">
        <v>30</v>
      </c>
      <c r="D107" s="362"/>
      <c r="G107" s="10" t="str">
        <f>VLOOKUP(B107,ADMON!A:P,5,0)</f>
        <v>T105</v>
      </c>
      <c r="H107" s="54">
        <f>+VLOOKUP(G107,ADMON!E:G,3,0)</f>
        <v>8583</v>
      </c>
      <c r="J107" s="515">
        <f>+VLOOKUP(H107,contratos!A:R,5,0)</f>
        <v>42370</v>
      </c>
      <c r="K107" s="266" t="str">
        <f>+VLOOKUP(H107,contratos!A:R,12,0)</f>
        <v>VENCIDO</v>
      </c>
      <c r="L107" s="341" t="str">
        <f>+VLOOKUP(H107,contratos!A:R,13,0)</f>
        <v>CESADO</v>
      </c>
      <c r="M107" s="341">
        <f>+VLOOKUP(H107,contratos!A:R,15,0)</f>
        <v>0</v>
      </c>
      <c r="N107" s="336">
        <f>+VLOOKUP(H107,contratos!A:R,16,0)</f>
        <v>0</v>
      </c>
      <c r="O107" s="341">
        <f>+VLOOKUP(H107,PRORRATEO!F:M,3,0)</f>
        <v>9715141</v>
      </c>
      <c r="P107" s="341">
        <f>+VLOOKUP(H107,PRORRATEO!F:M,4,0)</f>
        <v>1845876.79</v>
      </c>
      <c r="Q107" s="341">
        <f>+VLOOKUP(H107,PRORRATEO!F:M,5,0)</f>
        <v>177204.17184</v>
      </c>
      <c r="R107" s="341">
        <f>+VLOOKUP(H107,PRORRATEO!F:M,6,0)</f>
        <v>1668672.6181600001</v>
      </c>
      <c r="S107" s="339">
        <f>+VLOOKUP(H107,PRORRATEO!F:M,7,0)</f>
        <v>9.6000000000000002E-2</v>
      </c>
      <c r="T107" s="339">
        <f>+VLOOKUP(H107,PRORRATEO!F:M,8,0)</f>
        <v>0.90400000000000003</v>
      </c>
    </row>
    <row r="108" spans="1:20" x14ac:dyDescent="0.35">
      <c r="B108" s="4">
        <v>1242100042</v>
      </c>
      <c r="C108" s="251" t="s">
        <v>983</v>
      </c>
      <c r="D108" s="268">
        <f>+D109+D110</f>
        <v>1742971.58</v>
      </c>
      <c r="E108" t="s">
        <v>97</v>
      </c>
      <c r="F108">
        <v>31</v>
      </c>
      <c r="G108" s="316" t="str">
        <f>+CONCATENATE($G$7," GC ",G107," ",H107)</f>
        <v>"04-2026" GC T105 8583</v>
      </c>
      <c r="I108" s="10">
        <f>+H107</f>
        <v>8583</v>
      </c>
    </row>
    <row r="109" spans="1:20" x14ac:dyDescent="0.35">
      <c r="B109" s="250">
        <v>1537210002</v>
      </c>
      <c r="C109" s="251" t="s">
        <v>1114</v>
      </c>
      <c r="D109" s="268">
        <v>1464682</v>
      </c>
      <c r="E109" t="s">
        <v>97</v>
      </c>
      <c r="F109" s="250">
        <v>40</v>
      </c>
      <c r="G109" s="318" t="str">
        <f>+G108</f>
        <v>"04-2026" GC T105 8583</v>
      </c>
      <c r="I109" s="10">
        <f>+H107</f>
        <v>8583</v>
      </c>
    </row>
    <row r="110" spans="1:20" x14ac:dyDescent="0.35">
      <c r="B110" s="4">
        <v>1149120011</v>
      </c>
      <c r="C110" s="251" t="s">
        <v>96</v>
      </c>
      <c r="D110" s="268">
        <f>+D109*0.19</f>
        <v>278289.58</v>
      </c>
      <c r="E110" t="s">
        <v>97</v>
      </c>
      <c r="F110">
        <v>40</v>
      </c>
      <c r="G110" s="318" t="str">
        <f>+G109</f>
        <v>"04-2026" GC T105 8583</v>
      </c>
      <c r="I110" s="10">
        <f>+I109</f>
        <v>8583</v>
      </c>
    </row>
    <row r="111" spans="1:20" x14ac:dyDescent="0.35">
      <c r="A111" s="130" t="s">
        <v>853</v>
      </c>
      <c r="B111" s="14">
        <v>206169</v>
      </c>
      <c r="C111" s="15" t="s">
        <v>30</v>
      </c>
      <c r="D111" s="363"/>
      <c r="G111" s="9" t="str">
        <f>+VLOOKUP(B111,arriendo1!A:R,3,0)</f>
        <v>T105</v>
      </c>
      <c r="H111" s="54">
        <f>+VLOOKUP(G111,ADMON!E:G,3,0)</f>
        <v>8583</v>
      </c>
      <c r="J111" s="515">
        <f>+VLOOKUP(H111,contratos!A:R,5,0)</f>
        <v>42370</v>
      </c>
      <c r="K111" s="266" t="str">
        <f>+VLOOKUP(H111,contratos!A:R,12,0)</f>
        <v>VENCIDO</v>
      </c>
      <c r="L111" s="341" t="str">
        <f>+VLOOKUP(H111,contratos!A:R,13,0)</f>
        <v>CESADO</v>
      </c>
      <c r="M111" s="341">
        <f>+VLOOKUP(H111,contratos!A:R,15,0)</f>
        <v>0</v>
      </c>
      <c r="N111" s="336">
        <f>+VLOOKUP(H111,contratos!A:R,16,0)</f>
        <v>0</v>
      </c>
      <c r="O111" s="341">
        <f>+VLOOKUP(B111,PRORRATEO!A:M,8,0)</f>
        <v>9715141</v>
      </c>
      <c r="P111" s="341">
        <f>+VLOOKUP(B111,PRORRATEO!A:M,9,0)</f>
        <v>1845876.79</v>
      </c>
      <c r="Q111" s="341">
        <f>+VLOOKUP(B111,PRORRATEO!A:M,10,0)</f>
        <v>177204.17184</v>
      </c>
      <c r="R111" s="341">
        <f>+VLOOKUP(B111,PRORRATEO!A:M,11,0)</f>
        <v>1668672.6181600001</v>
      </c>
      <c r="S111" s="339">
        <f>+VLOOKUP(B111,PRORRATEO!A:M,12,0)</f>
        <v>9.6000000000000002E-2</v>
      </c>
      <c r="T111" s="339">
        <f>+VLOOKUP(B111,PRORRATEO!A:M,13,0)</f>
        <v>0.90400000000000003</v>
      </c>
    </row>
    <row r="112" spans="1:20" x14ac:dyDescent="0.35">
      <c r="B112" s="4">
        <v>1242100042</v>
      </c>
      <c r="C112" s="251" t="s">
        <v>983</v>
      </c>
      <c r="D112" s="268">
        <f>SUBTOTAL(9,D113:D116)</f>
        <v>11561017.789999999</v>
      </c>
      <c r="E112" t="s">
        <v>984</v>
      </c>
      <c r="F112">
        <v>31</v>
      </c>
      <c r="G112" s="316" t="str">
        <f>+CONCATENATE($G$7,"  RV ",G111,"  ",H111)</f>
        <v>"04-2026"  RV T105  8583</v>
      </c>
      <c r="I112" s="10">
        <f>+H111</f>
        <v>8583</v>
      </c>
    </row>
    <row r="113" spans="1:20" x14ac:dyDescent="0.35">
      <c r="B113" s="250">
        <v>1537210004</v>
      </c>
      <c r="C113" s="251" t="s">
        <v>77</v>
      </c>
      <c r="D113" s="298">
        <f>+O111</f>
        <v>9715141</v>
      </c>
      <c r="E113" t="s">
        <v>97</v>
      </c>
      <c r="F113" s="250">
        <v>40</v>
      </c>
      <c r="G113" s="318" t="str">
        <f>+G112</f>
        <v>"04-2026"  RV T105  8583</v>
      </c>
      <c r="I113" s="10">
        <f>+H111</f>
        <v>8583</v>
      </c>
    </row>
    <row r="114" spans="1:20" x14ac:dyDescent="0.35">
      <c r="B114" s="250">
        <v>1149120011</v>
      </c>
      <c r="C114" s="251" t="s">
        <v>96</v>
      </c>
      <c r="D114" s="298">
        <f>+Q111</f>
        <v>177204.17184</v>
      </c>
      <c r="E114" t="s">
        <v>98</v>
      </c>
      <c r="F114" s="250">
        <v>40</v>
      </c>
      <c r="G114" s="318" t="str">
        <f>+G113</f>
        <v>"04-2026"  RV T105  8583</v>
      </c>
      <c r="I114" s="10">
        <f>+I113</f>
        <v>8583</v>
      </c>
    </row>
    <row r="115" spans="1:20" x14ac:dyDescent="0.35">
      <c r="B115" s="250">
        <v>1149120011</v>
      </c>
      <c r="C115" s="251" t="s">
        <v>96</v>
      </c>
      <c r="D115" s="268">
        <f>-D114</f>
        <v>-177204.17184</v>
      </c>
      <c r="E115" t="s">
        <v>97</v>
      </c>
      <c r="F115" s="250">
        <v>50</v>
      </c>
      <c r="G115" s="318" t="str">
        <f>+G114</f>
        <v>"04-2026"  RV T105  8583</v>
      </c>
      <c r="I115" s="10">
        <f>+I114</f>
        <v>8583</v>
      </c>
      <c r="N115" s="338"/>
    </row>
    <row r="116" spans="1:20" x14ac:dyDescent="0.35">
      <c r="B116" s="4">
        <v>1149120011</v>
      </c>
      <c r="C116" s="251" t="s">
        <v>96</v>
      </c>
      <c r="D116" s="268">
        <f>+P111</f>
        <v>1845876.79</v>
      </c>
      <c r="E116" t="s">
        <v>97</v>
      </c>
      <c r="F116">
        <v>40</v>
      </c>
      <c r="G116" s="316" t="str">
        <f>+G115</f>
        <v>"04-2026"  RV T105  8583</v>
      </c>
      <c r="I116" s="10">
        <f>+I115</f>
        <v>8583</v>
      </c>
      <c r="N116" s="338"/>
    </row>
    <row r="117" spans="1:20" x14ac:dyDescent="0.35">
      <c r="A117" s="130" t="s">
        <v>853</v>
      </c>
      <c r="B117" s="14">
        <v>348824</v>
      </c>
      <c r="C117" s="15" t="s">
        <v>52</v>
      </c>
      <c r="D117" s="362"/>
      <c r="G117" s="9" t="str">
        <f>+VLOOKUP(B117,arriendo1!A:R,3,0)</f>
        <v>T138</v>
      </c>
      <c r="H117" s="131" t="s">
        <v>225</v>
      </c>
      <c r="J117" s="350">
        <f>+VLOOKUP(H117,contratos!A:R,5,0)</f>
        <v>44492</v>
      </c>
      <c r="K117" s="266" t="str">
        <f>+VLOOKUP(H117,contratos!A:R,12,0)</f>
        <v>OK</v>
      </c>
      <c r="L117" s="341" t="str">
        <f>+VLOOKUP(H117,contratos!A:R,13,0)</f>
        <v>VIGENTE</v>
      </c>
      <c r="M117" s="341">
        <f>+VLOOKUP(H117,contratos!A:R,15,0)</f>
        <v>0</v>
      </c>
      <c r="N117" s="336">
        <f>+VLOOKUP(H117,contratos!A:R,16,0)</f>
        <v>935593</v>
      </c>
      <c r="O117" s="341">
        <f>+VLOOKUP(B117,PRORRATEO!A:M,8,0)</f>
        <v>9355925</v>
      </c>
      <c r="P117" s="341">
        <f>+VLOOKUP(B117,PRORRATEO!A:M,9,0)</f>
        <v>1777625.75</v>
      </c>
      <c r="Q117" s="341">
        <f>+VLOOKUP(B117,PRORRATEO!A:M,10,0)</f>
        <v>179540.20075000002</v>
      </c>
      <c r="R117" s="341">
        <f>+VLOOKUP(B117,PRORRATEO!A:M,11,0)</f>
        <v>1598085.5492499999</v>
      </c>
      <c r="S117" s="339">
        <f>+VLOOKUP(B117,PRORRATEO!A:M,12,0)</f>
        <v>0.10100000000000001</v>
      </c>
      <c r="T117" s="339">
        <f>+VLOOKUP(B117,PRORRATEO!A:M,13,0)</f>
        <v>0.89900000000000002</v>
      </c>
    </row>
    <row r="118" spans="1:20" x14ac:dyDescent="0.35">
      <c r="B118" s="263">
        <v>1537210002</v>
      </c>
      <c r="C118" s="251" t="s">
        <v>1114</v>
      </c>
      <c r="D118" s="268">
        <v>2049334</v>
      </c>
      <c r="E118" s="263" t="s">
        <v>97</v>
      </c>
      <c r="F118">
        <v>40</v>
      </c>
      <c r="G118" s="316" t="str">
        <f t="shared" ref="G118:G125" si="4">+CONCATENATE($G$7," GC T138 A854")</f>
        <v>"04-2026" GC T138 A854</v>
      </c>
      <c r="I118" s="10" t="str">
        <f>+H117</f>
        <v>A854</v>
      </c>
      <c r="J118" s="10"/>
    </row>
    <row r="119" spans="1:20" x14ac:dyDescent="0.35">
      <c r="B119" s="263">
        <v>1537210002</v>
      </c>
      <c r="C119" s="251" t="s">
        <v>85</v>
      </c>
      <c r="D119" s="268">
        <v>2741803</v>
      </c>
      <c r="E119" s="263" t="s">
        <v>97</v>
      </c>
      <c r="F119">
        <v>40</v>
      </c>
      <c r="G119" s="316" t="str">
        <f t="shared" si="4"/>
        <v>"04-2026" GC T138 A854</v>
      </c>
      <c r="I119" s="10" t="str">
        <f t="shared" ref="I119:I124" si="5">+I118</f>
        <v>A854</v>
      </c>
      <c r="J119" s="268"/>
    </row>
    <row r="120" spans="1:20" x14ac:dyDescent="0.35">
      <c r="B120" s="263">
        <v>1245150017</v>
      </c>
      <c r="C120" s="251" t="s">
        <v>1113</v>
      </c>
      <c r="D120" s="268">
        <v>8901927</v>
      </c>
      <c r="E120" s="263" t="s">
        <v>97</v>
      </c>
      <c r="F120">
        <v>40</v>
      </c>
      <c r="G120" s="348" t="str">
        <f t="shared" si="4"/>
        <v>"04-2026" GC T138 A854</v>
      </c>
      <c r="I120" s="10" t="str">
        <f t="shared" si="5"/>
        <v>A854</v>
      </c>
      <c r="J120" s="268"/>
    </row>
    <row r="121" spans="1:20" x14ac:dyDescent="0.35">
      <c r="B121" s="263">
        <v>1245150017</v>
      </c>
      <c r="C121" s="251" t="s">
        <v>1113</v>
      </c>
      <c r="D121" s="268">
        <v>890193</v>
      </c>
      <c r="E121" s="263" t="s">
        <v>97</v>
      </c>
      <c r="F121">
        <v>40</v>
      </c>
      <c r="G121" s="316" t="str">
        <f t="shared" si="4"/>
        <v>"04-2026" GC T138 A854</v>
      </c>
      <c r="I121" s="10" t="str">
        <f t="shared" si="5"/>
        <v>A854</v>
      </c>
      <c r="J121" s="268"/>
    </row>
    <row r="122" spans="1:20" x14ac:dyDescent="0.35">
      <c r="B122" s="263">
        <v>1149120011</v>
      </c>
      <c r="C122" s="251" t="s">
        <v>96</v>
      </c>
      <c r="D122" s="268">
        <f>+D124*S117</f>
        <v>279852.70183000003</v>
      </c>
      <c r="E122" s="263" t="s">
        <v>98</v>
      </c>
      <c r="F122">
        <v>40</v>
      </c>
      <c r="G122" s="316" t="str">
        <f t="shared" si="4"/>
        <v>"04-2026" GC T138 A854</v>
      </c>
      <c r="I122" s="10" t="str">
        <f t="shared" si="5"/>
        <v>A854</v>
      </c>
      <c r="J122" s="10"/>
    </row>
    <row r="123" spans="1:20" x14ac:dyDescent="0.35">
      <c r="B123" s="263">
        <v>1149120011</v>
      </c>
      <c r="C123" s="251" t="s">
        <v>96</v>
      </c>
      <c r="D123" s="268">
        <f>-D122</f>
        <v>-279852.70183000003</v>
      </c>
      <c r="E123" s="263" t="s">
        <v>97</v>
      </c>
      <c r="F123">
        <v>50</v>
      </c>
      <c r="G123" s="316" t="str">
        <f t="shared" si="4"/>
        <v>"04-2026" GC T138 A854</v>
      </c>
      <c r="I123" s="10" t="str">
        <f t="shared" si="5"/>
        <v>A854</v>
      </c>
      <c r="J123" s="10"/>
    </row>
    <row r="124" spans="1:20" x14ac:dyDescent="0.35">
      <c r="B124" s="4">
        <v>1149120011</v>
      </c>
      <c r="C124" s="251" t="s">
        <v>96</v>
      </c>
      <c r="D124" s="323">
        <f>+SUM(D118:D121)*0.19</f>
        <v>2770818.83</v>
      </c>
      <c r="E124" s="10" t="s">
        <v>97</v>
      </c>
      <c r="F124">
        <v>40</v>
      </c>
      <c r="G124" s="316" t="str">
        <f t="shared" si="4"/>
        <v>"04-2026" GC T138 A854</v>
      </c>
      <c r="I124" s="10" t="str">
        <f t="shared" si="5"/>
        <v>A854</v>
      </c>
      <c r="J124" s="10"/>
    </row>
    <row r="125" spans="1:20" x14ac:dyDescent="0.35">
      <c r="C125" s="251" t="s">
        <v>76</v>
      </c>
      <c r="D125" s="265">
        <f>SUM(D118:D124)</f>
        <v>17354075.829999998</v>
      </c>
      <c r="G125" s="316" t="str">
        <f t="shared" si="4"/>
        <v>"04-2026" GC T138 A854</v>
      </c>
      <c r="J125" s="10"/>
    </row>
    <row r="126" spans="1:20" x14ac:dyDescent="0.35">
      <c r="A126" s="130" t="s">
        <v>853</v>
      </c>
      <c r="B126" s="14">
        <v>289666</v>
      </c>
      <c r="C126" s="15" t="s">
        <v>630</v>
      </c>
      <c r="D126" s="362"/>
      <c r="G126" s="9" t="s">
        <v>409</v>
      </c>
      <c r="H126" s="131">
        <v>8859</v>
      </c>
      <c r="J126" s="350">
        <f>+VLOOKUP(H126,contratos!A:R,5,0)</f>
        <v>42690</v>
      </c>
      <c r="K126" s="266" t="str">
        <f>+VLOOKUP(H126,contratos!A:R,12,0)</f>
        <v>OK</v>
      </c>
      <c r="L126" s="341" t="str">
        <f>+VLOOKUP(H126,contratos!A:R,13,0)</f>
        <v>VIGENTE</v>
      </c>
      <c r="M126" s="341">
        <f>+VLOOKUP(H126,contratos!A:R,15,0)</f>
        <v>0</v>
      </c>
      <c r="N126" s="336">
        <f>+VLOOKUP(H126,contratos!A:R,16,0)</f>
        <v>0</v>
      </c>
      <c r="O126" s="341">
        <f>+VLOOKUP(B126,PRORRATEO!A:M,8,0)</f>
        <v>16580922</v>
      </c>
      <c r="P126" s="341">
        <f>+VLOOKUP(B126,PRORRATEO!A:M,9,0)</f>
        <v>3150375.18</v>
      </c>
      <c r="Q126" s="341">
        <f>+VLOOKUP(B126,PRORRATEO!A:M,10,0)</f>
        <v>3150375.18</v>
      </c>
      <c r="R126" s="341">
        <f>+VLOOKUP(B126,PRORRATEO!A:M,11,0)</f>
        <v>0</v>
      </c>
      <c r="S126" s="339">
        <f>+VLOOKUP(B126,PRORRATEO!A:M,12,0)</f>
        <v>1</v>
      </c>
      <c r="T126" s="339">
        <f>+VLOOKUP(B126,PRORRATEO!A:M,13,0)</f>
        <v>0</v>
      </c>
    </row>
    <row r="127" spans="1:20" x14ac:dyDescent="0.35">
      <c r="B127" s="263">
        <v>1537210002</v>
      </c>
      <c r="C127" s="251" t="s">
        <v>85</v>
      </c>
      <c r="D127" s="324"/>
      <c r="E127" s="263" t="s">
        <v>97</v>
      </c>
      <c r="F127">
        <v>40</v>
      </c>
      <c r="G127" s="348" t="str">
        <f>+CONCATENATE($G$7," RF/GC T115 8859")</f>
        <v>"04-2026" RF/GC T115 8859</v>
      </c>
      <c r="I127" s="10">
        <f>+H126</f>
        <v>8859</v>
      </c>
      <c r="J127" s="10"/>
    </row>
    <row r="128" spans="1:20" x14ac:dyDescent="0.35">
      <c r="B128" s="263">
        <v>1245150017</v>
      </c>
      <c r="C128" s="251" t="s">
        <v>77</v>
      </c>
      <c r="D128" s="268">
        <v>26109047</v>
      </c>
      <c r="E128" s="263" t="s">
        <v>97</v>
      </c>
      <c r="F128">
        <v>40</v>
      </c>
      <c r="G128" s="316" t="str">
        <f>+G127</f>
        <v>"04-2026" RF/GC T115 8859</v>
      </c>
      <c r="I128" s="10">
        <f>+I127</f>
        <v>8859</v>
      </c>
      <c r="J128" s="10"/>
    </row>
    <row r="129" spans="1:20" x14ac:dyDescent="0.35">
      <c r="B129" s="263">
        <v>1245150017</v>
      </c>
      <c r="C129" s="251" t="s">
        <v>77</v>
      </c>
      <c r="D129" s="324">
        <v>4518239</v>
      </c>
      <c r="E129" s="263" t="s">
        <v>97</v>
      </c>
      <c r="F129">
        <v>40</v>
      </c>
      <c r="G129" s="348" t="str">
        <f>+G128</f>
        <v>"04-2026" RF/GC T115 8859</v>
      </c>
      <c r="I129" s="10">
        <f>+I128</f>
        <v>8859</v>
      </c>
      <c r="J129" s="10"/>
    </row>
    <row r="130" spans="1:20" x14ac:dyDescent="0.35">
      <c r="B130" s="263">
        <v>1537210003</v>
      </c>
      <c r="C130" s="251" t="s">
        <v>79</v>
      </c>
      <c r="D130" s="324">
        <v>2610905</v>
      </c>
      <c r="E130" s="263" t="s">
        <v>97</v>
      </c>
      <c r="F130">
        <v>40</v>
      </c>
      <c r="G130" s="348" t="str">
        <f>+G129</f>
        <v>"04-2026" RF/GC T115 8859</v>
      </c>
      <c r="I130" s="10">
        <f>+I129</f>
        <v>8859</v>
      </c>
      <c r="J130" s="10"/>
    </row>
    <row r="131" spans="1:20" x14ac:dyDescent="0.35">
      <c r="B131" s="4">
        <v>1149120011</v>
      </c>
      <c r="C131" s="251" t="s">
        <v>96</v>
      </c>
      <c r="D131" s="325">
        <f>+(D129+D130+D128+D127)*0.19</f>
        <v>6315256.29</v>
      </c>
      <c r="E131" s="10" t="s">
        <v>97</v>
      </c>
      <c r="F131">
        <v>40</v>
      </c>
      <c r="G131" s="348" t="str">
        <f t="shared" ref="G131:G132" si="6">+G130</f>
        <v>"04-2026" RF/GC T115 8859</v>
      </c>
      <c r="I131" s="10">
        <f>+I130</f>
        <v>8859</v>
      </c>
      <c r="J131" s="10"/>
    </row>
    <row r="132" spans="1:20" x14ac:dyDescent="0.35">
      <c r="C132" s="251" t="s">
        <v>76</v>
      </c>
      <c r="D132" s="265">
        <f>SUM(D127:D131)</f>
        <v>39553447.289999999</v>
      </c>
      <c r="G132" s="348" t="str">
        <f t="shared" si="6"/>
        <v>"04-2026" RF/GC T115 8859</v>
      </c>
      <c r="I132" s="10">
        <f>+I131</f>
        <v>8859</v>
      </c>
      <c r="J132" s="10"/>
    </row>
    <row r="133" spans="1:20" x14ac:dyDescent="0.35">
      <c r="A133" s="130" t="s">
        <v>853</v>
      </c>
      <c r="B133" s="14">
        <v>289666</v>
      </c>
      <c r="C133" s="15" t="s">
        <v>630</v>
      </c>
      <c r="D133" s="362"/>
      <c r="G133" s="9" t="s">
        <v>1144</v>
      </c>
      <c r="H133" s="131">
        <v>9264</v>
      </c>
      <c r="J133" s="350">
        <f>+VLOOKUP(H133,contratos!A:R,5,0)</f>
        <v>43146</v>
      </c>
      <c r="K133" s="266" t="str">
        <f>+VLOOKUP(H133,contratos!A:R,12,0)</f>
        <v>VENCIDO</v>
      </c>
      <c r="L133" s="341" t="str">
        <f>+VLOOKUP(H133,contratos!A:R,13,0)</f>
        <v>CESADO</v>
      </c>
      <c r="M133" s="341">
        <f>+VLOOKUP(H133,contratos!A:R,15,0)</f>
        <v>0</v>
      </c>
      <c r="N133" s="336">
        <f>+VLOOKUP(H133,contratos!A:R,16,0)</f>
        <v>0</v>
      </c>
      <c r="O133" s="341">
        <f>+VLOOKUP(B133,PRORRATEO!A:M,8,0)</f>
        <v>16580922</v>
      </c>
      <c r="P133" s="341">
        <f>+VLOOKUP(B133,PRORRATEO!A:M,9,0)</f>
        <v>3150375.18</v>
      </c>
      <c r="Q133" s="341">
        <f>+VLOOKUP(B133,PRORRATEO!A:M,10,0)</f>
        <v>3150375.18</v>
      </c>
      <c r="R133" s="341">
        <f>+VLOOKUP(B133,PRORRATEO!A:M,11,0)</f>
        <v>0</v>
      </c>
      <c r="S133" s="339">
        <f>+VLOOKUP(B133,PRORRATEO!A:M,12,0)</f>
        <v>1</v>
      </c>
      <c r="T133" s="339">
        <f>+VLOOKUP(B133,PRORRATEO!A:M,13,0)</f>
        <v>0</v>
      </c>
    </row>
    <row r="134" spans="1:20" x14ac:dyDescent="0.35">
      <c r="B134" s="250">
        <v>1245150017</v>
      </c>
      <c r="C134" s="251" t="s">
        <v>77</v>
      </c>
      <c r="D134" s="324">
        <v>3316184</v>
      </c>
      <c r="E134" s="250" t="s">
        <v>97</v>
      </c>
      <c r="F134">
        <v>40</v>
      </c>
      <c r="G134" s="316" t="str">
        <f>+CONCATENATE($G$7," RF/GC TR003 9264")</f>
        <v>"04-2026" RF/GC TR003 9264</v>
      </c>
      <c r="I134" s="10">
        <f>+H133</f>
        <v>9264</v>
      </c>
      <c r="J134" s="10"/>
    </row>
    <row r="135" spans="1:20" x14ac:dyDescent="0.35">
      <c r="B135" s="250">
        <v>1245150017</v>
      </c>
      <c r="C135" s="251" t="s">
        <v>77</v>
      </c>
      <c r="D135" s="324">
        <v>33161844</v>
      </c>
      <c r="E135" s="250" t="s">
        <v>97</v>
      </c>
      <c r="F135">
        <v>40</v>
      </c>
      <c r="G135" s="348" t="str">
        <f>+G134</f>
        <v>"04-2026" RF/GC TR003 9264</v>
      </c>
      <c r="I135" s="10">
        <f>+I134</f>
        <v>9264</v>
      </c>
      <c r="J135" s="317" t="s">
        <v>985</v>
      </c>
    </row>
    <row r="136" spans="1:20" x14ac:dyDescent="0.35">
      <c r="B136" s="250">
        <v>1537210002</v>
      </c>
      <c r="C136" s="251" t="s">
        <v>85</v>
      </c>
      <c r="D136" s="324">
        <v>2332584</v>
      </c>
      <c r="E136" s="250" t="s">
        <v>97</v>
      </c>
      <c r="F136">
        <v>40</v>
      </c>
      <c r="G136" s="316" t="str">
        <f>+G135</f>
        <v>"04-2026" RF/GC TR003 9264</v>
      </c>
      <c r="I136" s="10">
        <f>+I135</f>
        <v>9264</v>
      </c>
      <c r="J136" s="10"/>
    </row>
    <row r="137" spans="1:20" x14ac:dyDescent="0.35">
      <c r="B137" s="4">
        <v>1149120011</v>
      </c>
      <c r="C137" s="251" t="s">
        <v>96</v>
      </c>
      <c r="D137" s="324">
        <v>7374016</v>
      </c>
      <c r="E137" s="10" t="s">
        <v>97</v>
      </c>
      <c r="F137">
        <v>40</v>
      </c>
      <c r="G137" s="316" t="str">
        <f>+G136</f>
        <v>"04-2026" RF/GC TR003 9264</v>
      </c>
      <c r="J137" s="10"/>
    </row>
    <row r="138" spans="1:20" x14ac:dyDescent="0.35">
      <c r="C138" s="251" t="s">
        <v>76</v>
      </c>
      <c r="D138" s="265">
        <f>SUM(D134:D137)</f>
        <v>46184628</v>
      </c>
      <c r="G138" s="348" t="str">
        <f>+G137</f>
        <v>"04-2026" RF/GC TR003 9264</v>
      </c>
      <c r="J138" s="10"/>
    </row>
    <row r="139" spans="1:20" x14ac:dyDescent="0.35">
      <c r="A139" s="130" t="s">
        <v>853</v>
      </c>
      <c r="B139" s="14">
        <v>289666</v>
      </c>
      <c r="C139" s="15" t="s">
        <v>630</v>
      </c>
      <c r="D139" s="362"/>
      <c r="G139" s="9" t="s">
        <v>658</v>
      </c>
      <c r="H139" s="131">
        <v>9303</v>
      </c>
      <c r="J139" s="350">
        <f>+VLOOKUP(H139,contratos!A:R,5,0)</f>
        <v>43153</v>
      </c>
      <c r="K139" s="266" t="str">
        <f>+VLOOKUP(H139,contratos!A:R,12,0)</f>
        <v>VENCIDO</v>
      </c>
      <c r="L139" s="341" t="str">
        <f>+VLOOKUP(H139,contratos!A:R,13,0)</f>
        <v>CESADO</v>
      </c>
      <c r="M139" s="341">
        <f>+VLOOKUP(H139,contratos!A:R,15,0)</f>
        <v>0</v>
      </c>
      <c r="N139" s="336">
        <f>+VLOOKUP(H139,contratos!A:R,16,0)</f>
        <v>0</v>
      </c>
      <c r="O139" s="341">
        <f>+VLOOKUP(B139,PRORRATEO!A:M,8,0)</f>
        <v>16580922</v>
      </c>
      <c r="P139" s="341">
        <f>+VLOOKUP(B139,PRORRATEO!A:M,9,0)</f>
        <v>3150375.18</v>
      </c>
      <c r="Q139" s="341">
        <f>+VLOOKUP(B139,PRORRATEO!A:M,10,0)</f>
        <v>3150375.18</v>
      </c>
      <c r="R139" s="341">
        <f>+VLOOKUP(B139,PRORRATEO!A:M,11,0)</f>
        <v>0</v>
      </c>
      <c r="S139" s="339">
        <f>+VLOOKUP(B139,PRORRATEO!A:M,12,0)</f>
        <v>1</v>
      </c>
      <c r="T139" s="339">
        <f>+VLOOKUP(B139,PRORRATEO!A:M,13,0)</f>
        <v>0</v>
      </c>
    </row>
    <row r="140" spans="1:20" x14ac:dyDescent="0.35">
      <c r="B140" s="250">
        <v>1537210003</v>
      </c>
      <c r="C140" s="251" t="s">
        <v>1116</v>
      </c>
      <c r="D140" s="324">
        <v>1192793</v>
      </c>
      <c r="E140" s="250" t="s">
        <v>97</v>
      </c>
      <c r="F140">
        <v>40</v>
      </c>
      <c r="G140" s="348" t="str">
        <f>+CONCATENATE($G$7," RF/GC TSGH606 9303")</f>
        <v>"04-2026" RF/GC TSGH606 9303</v>
      </c>
      <c r="I140" s="10">
        <f>+H139</f>
        <v>9303</v>
      </c>
      <c r="J140" s="10"/>
    </row>
    <row r="141" spans="1:20" x14ac:dyDescent="0.35">
      <c r="B141" s="250">
        <v>1245150017</v>
      </c>
      <c r="C141" s="251" t="s">
        <v>77</v>
      </c>
      <c r="D141" s="324">
        <v>11927934</v>
      </c>
      <c r="E141" s="250" t="s">
        <v>97</v>
      </c>
      <c r="F141">
        <v>40</v>
      </c>
      <c r="G141" s="316" t="str">
        <f>+G140</f>
        <v>"04-2026" RF/GC TSGH606 9303</v>
      </c>
      <c r="I141" s="10">
        <f>+I140</f>
        <v>9303</v>
      </c>
      <c r="J141" s="317" t="s">
        <v>985</v>
      </c>
    </row>
    <row r="142" spans="1:20" x14ac:dyDescent="0.35">
      <c r="B142" s="250">
        <v>1245150017</v>
      </c>
      <c r="C142" s="251" t="s">
        <v>77</v>
      </c>
      <c r="D142" s="324">
        <v>2033239</v>
      </c>
      <c r="E142" s="250" t="s">
        <v>97</v>
      </c>
      <c r="F142">
        <v>40</v>
      </c>
      <c r="G142" s="316" t="str">
        <f>+G141</f>
        <v>"04-2026" RF/GC TSGH606 9303</v>
      </c>
      <c r="I142" s="10">
        <f>+I141</f>
        <v>9303</v>
      </c>
      <c r="J142" s="10"/>
    </row>
    <row r="143" spans="1:20" x14ac:dyDescent="0.35">
      <c r="B143" s="4">
        <v>1149120011</v>
      </c>
      <c r="C143" s="251" t="s">
        <v>96</v>
      </c>
      <c r="D143" s="324">
        <f>(SUBTOTAL(9,D140:D142))*0.19</f>
        <v>2879253.54</v>
      </c>
      <c r="E143" s="10" t="s">
        <v>97</v>
      </c>
      <c r="F143">
        <v>40</v>
      </c>
      <c r="G143" s="316" t="str">
        <f>+G142</f>
        <v>"04-2026" RF/GC TSGH606 9303</v>
      </c>
      <c r="I143" s="10">
        <f>+I142</f>
        <v>9303</v>
      </c>
      <c r="J143" s="10"/>
    </row>
    <row r="144" spans="1:20" x14ac:dyDescent="0.35">
      <c r="C144" s="251" t="s">
        <v>76</v>
      </c>
      <c r="D144" s="265">
        <f>SUM(D140:D143)</f>
        <v>18033219.539999999</v>
      </c>
      <c r="G144" s="318" t="str">
        <f>+G143</f>
        <v>"04-2026" RF/GC TSGH606 9303</v>
      </c>
      <c r="I144" s="10">
        <f>+I143</f>
        <v>9303</v>
      </c>
      <c r="J144" s="10"/>
    </row>
    <row r="145" spans="1:20" x14ac:dyDescent="0.35">
      <c r="A145" s="130" t="s">
        <v>853</v>
      </c>
      <c r="B145" s="14">
        <v>289666</v>
      </c>
      <c r="C145" s="15" t="s">
        <v>630</v>
      </c>
      <c r="D145" s="362"/>
      <c r="G145" s="9" t="s">
        <v>658</v>
      </c>
      <c r="H145" s="131">
        <v>9304</v>
      </c>
      <c r="J145" s="350">
        <f>+VLOOKUP(H145,contratos!A:R,5,0)</f>
        <v>43059</v>
      </c>
      <c r="K145" s="266" t="str">
        <f>+VLOOKUP(H145,contratos!A:R,12,0)</f>
        <v>VENCIDO</v>
      </c>
      <c r="L145" s="341" t="str">
        <f>+VLOOKUP(H145,contratos!A:R,13,0)</f>
        <v>CESADO</v>
      </c>
      <c r="M145" s="341">
        <f>+VLOOKUP(H145,contratos!A:R,15,0)</f>
        <v>0</v>
      </c>
      <c r="N145" s="336">
        <f>+VLOOKUP(H145,contratos!A:R,16,0)</f>
        <v>0</v>
      </c>
      <c r="O145" s="341">
        <f>+VLOOKUP(B145,PRORRATEO!A:M,8,0)</f>
        <v>16580922</v>
      </c>
      <c r="P145" s="341">
        <f>+VLOOKUP(B145,PRORRATEO!A:M,9,0)</f>
        <v>3150375.18</v>
      </c>
      <c r="Q145" s="341">
        <f>+VLOOKUP(B145,PRORRATEO!A:M,10,0)</f>
        <v>3150375.18</v>
      </c>
      <c r="R145" s="341">
        <f>+VLOOKUP(B145,PRORRATEO!A:M,11,0)</f>
        <v>0</v>
      </c>
      <c r="S145" s="339">
        <f>+VLOOKUP(B145,PRORRATEO!A:M,12,0)</f>
        <v>1</v>
      </c>
      <c r="T145" s="339">
        <f>+VLOOKUP(B145,PRORRATEO!A:M,13,0)</f>
        <v>0</v>
      </c>
    </row>
    <row r="146" spans="1:20" x14ac:dyDescent="0.35">
      <c r="B146" s="250">
        <v>1537210003</v>
      </c>
      <c r="C146" s="251" t="s">
        <v>1766</v>
      </c>
      <c r="D146" s="324">
        <v>633200</v>
      </c>
      <c r="E146" s="250" t="s">
        <v>97</v>
      </c>
      <c r="F146">
        <v>40</v>
      </c>
      <c r="G146" s="348" t="str">
        <f>+CONCATENATE($G$7," FP TSGH606 9304")</f>
        <v>"04-2026" FP TSGH606 9304</v>
      </c>
      <c r="I146" s="10">
        <f>+H145</f>
        <v>9304</v>
      </c>
      <c r="J146" s="10"/>
    </row>
    <row r="147" spans="1:20" x14ac:dyDescent="0.35">
      <c r="B147" s="250">
        <v>1537210004</v>
      </c>
      <c r="C147" s="251" t="s">
        <v>1767</v>
      </c>
      <c r="D147" s="324">
        <v>6332002</v>
      </c>
      <c r="E147" s="250" t="s">
        <v>97</v>
      </c>
      <c r="F147">
        <v>40</v>
      </c>
      <c r="G147" s="348" t="str">
        <f>+CONCATENATE($G$7," RV TSGH606 9304")</f>
        <v>"04-2026" RV TSGH606 9304</v>
      </c>
      <c r="I147" s="10">
        <f>+I146</f>
        <v>9304</v>
      </c>
      <c r="J147" s="317"/>
    </row>
    <row r="148" spans="1:20" x14ac:dyDescent="0.35">
      <c r="B148" s="250">
        <v>1537210002</v>
      </c>
      <c r="C148" s="251" t="s">
        <v>1768</v>
      </c>
      <c r="D148" s="324">
        <v>1393154</v>
      </c>
      <c r="E148" s="250" t="s">
        <v>97</v>
      </c>
      <c r="F148">
        <v>40</v>
      </c>
      <c r="G148" s="316" t="str">
        <f>+CONCATENATE($G$7," GC TSGH606 9304")</f>
        <v>"04-2026" GC TSGH606 9304</v>
      </c>
      <c r="I148" s="10">
        <f>+I147</f>
        <v>9304</v>
      </c>
      <c r="J148" s="10">
        <f>SUBTOTAL(9,D146:D148)</f>
        <v>8358356</v>
      </c>
    </row>
    <row r="149" spans="1:20" x14ac:dyDescent="0.35">
      <c r="B149" s="4">
        <v>1149120011</v>
      </c>
      <c r="C149" s="251" t="s">
        <v>96</v>
      </c>
      <c r="D149" s="324">
        <f>+(D148+D147+D146)*0.19</f>
        <v>1588087.6400000001</v>
      </c>
      <c r="E149" s="10" t="s">
        <v>97</v>
      </c>
      <c r="F149">
        <v>40</v>
      </c>
      <c r="G149" s="316" t="str">
        <f>+G148</f>
        <v>"04-2026" GC TSGH606 9304</v>
      </c>
      <c r="I149" s="10">
        <f>+I148</f>
        <v>9304</v>
      </c>
      <c r="J149" s="10"/>
    </row>
    <row r="150" spans="1:20" x14ac:dyDescent="0.35">
      <c r="B150" s="132">
        <v>1246125027</v>
      </c>
      <c r="C150" s="251" t="s">
        <v>858</v>
      </c>
      <c r="D150" s="299">
        <f>+(D146+D147+D148)*J150</f>
        <v>334334.24</v>
      </c>
      <c r="F150">
        <v>50</v>
      </c>
      <c r="G150" s="318" t="str">
        <f>+G149</f>
        <v>"04-2026" GC TSGH606 9304</v>
      </c>
      <c r="I150" s="251" t="s">
        <v>857</v>
      </c>
      <c r="J150" s="351">
        <v>0.04</v>
      </c>
    </row>
    <row r="151" spans="1:20" x14ac:dyDescent="0.35">
      <c r="C151" s="251" t="s">
        <v>76</v>
      </c>
      <c r="D151" s="265">
        <f>SUM(D146:D149)-D150</f>
        <v>9612109.4000000004</v>
      </c>
      <c r="G151" s="318" t="str">
        <f>+CONCATENATE($G$7," FP/RV/GC TSGH606 9304")</f>
        <v>"04-2026" FP/RV/GC TSGH606 9304</v>
      </c>
      <c r="J151" s="10"/>
    </row>
    <row r="152" spans="1:20" ht="14.5" customHeight="1" x14ac:dyDescent="0.35">
      <c r="A152" s="130" t="s">
        <v>853</v>
      </c>
      <c r="B152" s="14">
        <v>289666</v>
      </c>
      <c r="C152" s="204" t="s">
        <v>630</v>
      </c>
      <c r="G152" s="6" t="s">
        <v>372</v>
      </c>
      <c r="H152" s="402">
        <v>8582</v>
      </c>
      <c r="J152" s="350">
        <f>+VLOOKUP(H152,contratos!A:R,5,0)</f>
        <v>42389</v>
      </c>
      <c r="K152" s="266" t="str">
        <f>+VLOOKUP(H152,contratos!A:R,12,0)</f>
        <v>CESADO</v>
      </c>
      <c r="L152" s="341" t="str">
        <f>+VLOOKUP(H152,contratos!A:R,13,0)</f>
        <v>REEMPLAZO 5-137</v>
      </c>
      <c r="M152" s="341">
        <f>+VLOOKUP(H152,contratos!A:R,15,0)</f>
        <v>0</v>
      </c>
      <c r="N152" s="336">
        <f>+VLOOKUP(H152,contratos!A:R,16,0)</f>
        <v>0</v>
      </c>
      <c r="O152" s="19">
        <f>+VLOOKUP(B152,PRORRATEO!A:M,8,0)</f>
        <v>16580922</v>
      </c>
      <c r="P152" s="19">
        <f>+VLOOKUP(B152,PRORRATEO!A:M,9,0)</f>
        <v>3150375.18</v>
      </c>
      <c r="Q152" s="19">
        <f>+VLOOKUP(B152,PRORRATEO!A:M,10,0)</f>
        <v>3150375.18</v>
      </c>
      <c r="R152" s="19">
        <f>+VLOOKUP(B152,PRORRATEO!A:M,11,0)</f>
        <v>0</v>
      </c>
      <c r="S152" s="201">
        <f>+VLOOKUP(B152,PRORRATEO!A:M,12,0)</f>
        <v>1</v>
      </c>
      <c r="T152" s="201">
        <f>+VLOOKUP(B152,PRORRATEO!A:M,13,0)</f>
        <v>0</v>
      </c>
    </row>
    <row r="153" spans="1:20" x14ac:dyDescent="0.35">
      <c r="B153" s="263">
        <v>1537210002</v>
      </c>
      <c r="C153" s="251" t="s">
        <v>77</v>
      </c>
      <c r="D153" s="324">
        <v>1425540</v>
      </c>
      <c r="E153" s="263" t="s">
        <v>97</v>
      </c>
      <c r="F153">
        <v>40</v>
      </c>
      <c r="G153" s="316" t="str">
        <f>+CONCATENATE($G$7," GC T104 8582")</f>
        <v>"04-2026" GC T104 8582</v>
      </c>
      <c r="I153" s="10">
        <f>+H152</f>
        <v>8582</v>
      </c>
      <c r="J153" s="10"/>
    </row>
    <row r="154" spans="1:20" x14ac:dyDescent="0.35">
      <c r="B154" s="263">
        <v>1537210003</v>
      </c>
      <c r="C154" s="251" t="s">
        <v>85</v>
      </c>
      <c r="D154" s="324">
        <v>859497</v>
      </c>
      <c r="E154" s="263" t="s">
        <v>97</v>
      </c>
      <c r="F154">
        <v>40</v>
      </c>
      <c r="G154" s="316" t="str">
        <f t="shared" ref="G154:G160" si="7">+G153</f>
        <v>"04-2026" GC T104 8582</v>
      </c>
      <c r="I154" s="10">
        <f t="shared" ref="I154:I160" si="8">+I153</f>
        <v>8582</v>
      </c>
      <c r="J154" s="10"/>
    </row>
    <row r="155" spans="1:20" x14ac:dyDescent="0.35">
      <c r="B155" s="263">
        <v>1245150017</v>
      </c>
      <c r="C155" s="251" t="s">
        <v>77</v>
      </c>
      <c r="D155" s="324">
        <v>8594968</v>
      </c>
      <c r="E155" s="263" t="s">
        <v>98</v>
      </c>
      <c r="F155">
        <v>40</v>
      </c>
      <c r="G155" s="316" t="str">
        <f t="shared" si="7"/>
        <v>"04-2026" GC T104 8582</v>
      </c>
      <c r="I155" s="10">
        <f t="shared" si="8"/>
        <v>8582</v>
      </c>
      <c r="J155" s="10"/>
    </row>
    <row r="156" spans="1:20" x14ac:dyDescent="0.35">
      <c r="B156" s="263">
        <v>1537210002</v>
      </c>
      <c r="C156" s="251" t="s">
        <v>77</v>
      </c>
      <c r="D156" s="324">
        <v>2271693</v>
      </c>
      <c r="E156" s="263" t="s">
        <v>97</v>
      </c>
      <c r="F156">
        <v>40</v>
      </c>
      <c r="G156" s="316" t="str">
        <f t="shared" si="7"/>
        <v>"04-2026" GC T104 8582</v>
      </c>
      <c r="I156" s="10">
        <f t="shared" si="8"/>
        <v>8582</v>
      </c>
      <c r="J156" s="10"/>
    </row>
    <row r="157" spans="1:20" x14ac:dyDescent="0.35">
      <c r="B157" s="263">
        <v>1149120011</v>
      </c>
      <c r="C157" s="251" t="s">
        <v>96</v>
      </c>
      <c r="D157" s="324">
        <v>139209</v>
      </c>
      <c r="E157" s="263" t="s">
        <v>98</v>
      </c>
      <c r="F157">
        <v>40</v>
      </c>
      <c r="G157" s="316" t="str">
        <f t="shared" si="7"/>
        <v>"04-2026" GC T104 8582</v>
      </c>
      <c r="I157" s="10">
        <f t="shared" si="8"/>
        <v>8582</v>
      </c>
      <c r="J157" s="10"/>
    </row>
    <row r="158" spans="1:20" x14ac:dyDescent="0.35">
      <c r="B158" s="263">
        <v>1149120011</v>
      </c>
      <c r="C158" s="251" t="s">
        <v>96</v>
      </c>
      <c r="D158" s="324">
        <v>-139209</v>
      </c>
      <c r="E158" s="263" t="s">
        <v>97</v>
      </c>
      <c r="F158">
        <v>50</v>
      </c>
      <c r="G158" s="348" t="str">
        <f t="shared" si="7"/>
        <v>"04-2026" GC T104 8582</v>
      </c>
      <c r="I158" s="10">
        <f t="shared" si="8"/>
        <v>8582</v>
      </c>
      <c r="J158" s="10"/>
    </row>
    <row r="159" spans="1:20" x14ac:dyDescent="0.35">
      <c r="B159" s="4">
        <v>1149120011</v>
      </c>
      <c r="C159" s="251" t="s">
        <v>96</v>
      </c>
      <c r="D159" s="325">
        <f>(SUBTOTAL(9,D153:D156))*0.19</f>
        <v>2498822.62</v>
      </c>
      <c r="E159" s="10" t="s">
        <v>97</v>
      </c>
      <c r="F159">
        <v>40</v>
      </c>
      <c r="G159" s="316" t="str">
        <f t="shared" si="7"/>
        <v>"04-2026" GC T104 8582</v>
      </c>
      <c r="I159" s="10">
        <f t="shared" si="8"/>
        <v>8582</v>
      </c>
      <c r="J159" s="10"/>
    </row>
    <row r="160" spans="1:20" x14ac:dyDescent="0.35">
      <c r="C160" s="251" t="s">
        <v>76</v>
      </c>
      <c r="D160" s="265">
        <f>+D153+D154+D155+D156+D159+D157+D158</f>
        <v>15650520.620000001</v>
      </c>
      <c r="G160" s="318" t="str">
        <f t="shared" si="7"/>
        <v>"04-2026" GC T104 8582</v>
      </c>
      <c r="H160" s="403"/>
      <c r="I160" s="10">
        <f t="shared" si="8"/>
        <v>8582</v>
      </c>
      <c r="J160" s="10"/>
    </row>
    <row r="161" spans="1:20" x14ac:dyDescent="0.35">
      <c r="A161" s="130" t="s">
        <v>853</v>
      </c>
      <c r="B161" s="14">
        <v>211510</v>
      </c>
      <c r="C161" s="15" t="s">
        <v>50</v>
      </c>
      <c r="D161" s="362"/>
      <c r="G161" s="9" t="str">
        <f>+VLOOKUP(B161,arriendo1!A:R,3,0)</f>
        <v>SGH604</v>
      </c>
      <c r="H161" s="131">
        <f>+VLOOKUP(B161,arriendo1!A:R,6,0)</f>
        <v>9302</v>
      </c>
      <c r="J161" s="350">
        <f>+VLOOKUP(H161,contratos!A:R,5,0)</f>
        <v>43081</v>
      </c>
      <c r="K161" s="266" t="str">
        <f>+VLOOKUP(H161,contratos!A:R,12,0)</f>
        <v>VENCIDO</v>
      </c>
      <c r="L161" s="341" t="str">
        <f>+VLOOKUP(H161,contratos!A:R,13,0)</f>
        <v>CESADO</v>
      </c>
      <c r="M161" s="341">
        <f>+VLOOKUP(H161,contratos!A:R,15,0)</f>
        <v>0</v>
      </c>
      <c r="N161" s="336">
        <f>+VLOOKUP(H161,contratos!A:R,16,0)</f>
        <v>0</v>
      </c>
      <c r="O161" s="341">
        <f>+VLOOKUP(B161,PRORRATEO!A:M,8,0)</f>
        <v>7483348</v>
      </c>
      <c r="P161" s="341">
        <f>+VLOOKUP(B161,PRORRATEO!A:M,9,0)</f>
        <v>1421836.12</v>
      </c>
      <c r="Q161" s="341">
        <f>+VLOOKUP(B161,PRORRATEO!A:M,10,0)</f>
        <v>1421836.12</v>
      </c>
      <c r="R161" s="341">
        <f>+VLOOKUP(B161,PRORRATEO!A:M,11,0)</f>
        <v>0</v>
      </c>
      <c r="S161" s="339">
        <f>+VLOOKUP(B161,PRORRATEO!A:M,12,0)</f>
        <v>1</v>
      </c>
      <c r="T161" s="339">
        <f>+VLOOKUP(B161,PRORRATEO!A:M,13,0)</f>
        <v>0</v>
      </c>
    </row>
    <row r="162" spans="1:20" x14ac:dyDescent="0.35">
      <c r="B162" s="263">
        <v>1245150017</v>
      </c>
      <c r="C162" s="251" t="s">
        <v>77</v>
      </c>
      <c r="D162" s="324">
        <v>18029161</v>
      </c>
      <c r="E162" s="263" t="s">
        <v>98</v>
      </c>
      <c r="F162">
        <v>40</v>
      </c>
      <c r="G162" s="316" t="str">
        <f>+CONCATENATE($G$7,"  RF T",G161," ",H161)</f>
        <v>"04-2026"  RF TSGH604 9302</v>
      </c>
      <c r="I162" s="10">
        <f>+H161</f>
        <v>9302</v>
      </c>
      <c r="J162" s="10"/>
    </row>
    <row r="163" spans="1:20" x14ac:dyDescent="0.35">
      <c r="B163" s="263">
        <v>1149120011</v>
      </c>
      <c r="C163" s="251" t="s">
        <v>96</v>
      </c>
      <c r="D163" s="268">
        <f>+D162*0.19</f>
        <v>3425540.59</v>
      </c>
      <c r="E163" s="263" t="s">
        <v>98</v>
      </c>
      <c r="F163">
        <v>40</v>
      </c>
      <c r="G163" s="318" t="str">
        <f>+G162</f>
        <v>"04-2026"  RF TSGH604 9302</v>
      </c>
      <c r="I163" s="10">
        <f>+I162</f>
        <v>9302</v>
      </c>
      <c r="J163" s="10"/>
    </row>
    <row r="164" spans="1:20" x14ac:dyDescent="0.35">
      <c r="B164" s="132">
        <v>1246125027</v>
      </c>
      <c r="C164" s="251" t="s">
        <v>858</v>
      </c>
      <c r="D164" s="299">
        <f>-D162*J164</f>
        <v>-631020.63500000001</v>
      </c>
      <c r="F164">
        <v>50</v>
      </c>
      <c r="G164" s="318" t="str">
        <f>+G163</f>
        <v>"04-2026"  RF TSGH604 9302</v>
      </c>
      <c r="I164" s="251" t="s">
        <v>857</v>
      </c>
      <c r="J164" s="356">
        <v>3.5000000000000003E-2</v>
      </c>
      <c r="K164" s="240"/>
      <c r="L164" s="367"/>
      <c r="M164" s="367"/>
      <c r="N164" s="240"/>
    </row>
    <row r="165" spans="1:20" x14ac:dyDescent="0.35">
      <c r="C165" s="251" t="s">
        <v>76</v>
      </c>
      <c r="D165" s="265">
        <f>SUM(D162:D164)</f>
        <v>20823680.954999998</v>
      </c>
      <c r="G165" s="318" t="str">
        <f>+G164</f>
        <v>"04-2026"  RF TSGH604 9302</v>
      </c>
      <c r="J165" s="10"/>
    </row>
    <row r="166" spans="1:20" x14ac:dyDescent="0.35">
      <c r="A166" s="130" t="s">
        <v>853</v>
      </c>
      <c r="B166" s="14">
        <v>211510</v>
      </c>
      <c r="C166" s="15" t="s">
        <v>655</v>
      </c>
      <c r="D166" s="362"/>
      <c r="G166" s="9" t="str">
        <f>+VLOOKUP(B166,arriendo1!A:R,3,0)</f>
        <v>SGH604</v>
      </c>
      <c r="H166" s="131">
        <f>+VLOOKUP(B166,arriendo1!A:R,6,0)</f>
        <v>9302</v>
      </c>
      <c r="J166" s="350">
        <f>+VLOOKUP(H166,contratos!A:R,5,0)</f>
        <v>43081</v>
      </c>
      <c r="K166" s="266" t="str">
        <f>+VLOOKUP(H166,contratos!A:R,12,0)</f>
        <v>VENCIDO</v>
      </c>
      <c r="L166" s="341" t="str">
        <f>+VLOOKUP(H166,contratos!A:R,13,0)</f>
        <v>CESADO</v>
      </c>
      <c r="M166" s="341">
        <f>+VLOOKUP(H166,contratos!A:R,15,0)</f>
        <v>0</v>
      </c>
      <c r="N166" s="336">
        <f>+VLOOKUP(H166,contratos!A:R,16,0)</f>
        <v>0</v>
      </c>
      <c r="O166" s="341">
        <f>+VLOOKUP(B166,PRORRATEO!A:M,8,0)</f>
        <v>7483348</v>
      </c>
      <c r="P166" s="341">
        <f>+VLOOKUP(B166,PRORRATEO!A:M,9,0)</f>
        <v>1421836.12</v>
      </c>
      <c r="Q166" s="341">
        <f>+VLOOKUP(B166,PRORRATEO!A:M,10,0)</f>
        <v>1421836.12</v>
      </c>
      <c r="R166" s="341">
        <f>+VLOOKUP(B166,PRORRATEO!A:M,11,0)</f>
        <v>0</v>
      </c>
      <c r="S166" s="339">
        <f>+VLOOKUP(B166,PRORRATEO!A:M,12,0)</f>
        <v>1</v>
      </c>
      <c r="T166" s="339">
        <f>+VLOOKUP(B166,PRORRATEO!A:M,13,0)</f>
        <v>0</v>
      </c>
    </row>
    <row r="167" spans="1:20" x14ac:dyDescent="0.35">
      <c r="B167" s="4">
        <v>1537210004</v>
      </c>
      <c r="C167" s="251" t="s">
        <v>859</v>
      </c>
      <c r="D167" s="324">
        <v>912904</v>
      </c>
      <c r="E167" s="10" t="s">
        <v>98</v>
      </c>
      <c r="F167">
        <v>40</v>
      </c>
      <c r="G167" s="316" t="str">
        <f>+CONCATENATE($G$7,"  RF T",G166," ",H166)</f>
        <v>"04-2026"  RF TSGH604 9302</v>
      </c>
      <c r="I167" s="10">
        <f>+H166</f>
        <v>9302</v>
      </c>
      <c r="J167" s="10"/>
    </row>
    <row r="168" spans="1:20" x14ac:dyDescent="0.35">
      <c r="B168" s="4">
        <v>1149120011</v>
      </c>
      <c r="C168" s="251" t="s">
        <v>96</v>
      </c>
      <c r="D168" s="324">
        <v>173451.8</v>
      </c>
      <c r="E168" s="10" t="s">
        <v>98</v>
      </c>
      <c r="F168">
        <v>40</v>
      </c>
      <c r="G168" s="318" t="str">
        <f>+G167</f>
        <v>"04-2026"  RF TSGH604 9302</v>
      </c>
      <c r="I168" s="10">
        <f>+I167</f>
        <v>9302</v>
      </c>
      <c r="J168" s="10"/>
    </row>
    <row r="169" spans="1:20" x14ac:dyDescent="0.35">
      <c r="B169" s="4">
        <v>1246125027</v>
      </c>
      <c r="C169" s="251" t="s">
        <v>858</v>
      </c>
      <c r="D169" s="326">
        <f>+D167*J169</f>
        <v>31951.640000000003</v>
      </c>
      <c r="F169">
        <v>50</v>
      </c>
      <c r="G169" s="318" t="str">
        <f>+G168</f>
        <v>"04-2026"  RF TSGH604 9302</v>
      </c>
      <c r="I169" s="251" t="s">
        <v>857</v>
      </c>
      <c r="J169" s="356">
        <v>3.5000000000000003E-2</v>
      </c>
      <c r="N169" s="336"/>
    </row>
    <row r="170" spans="1:20" x14ac:dyDescent="0.35">
      <c r="C170" s="251" t="s">
        <v>76</v>
      </c>
      <c r="D170" s="265">
        <f>SUM(D167:D169)</f>
        <v>1118307.44</v>
      </c>
      <c r="G170" s="318" t="str">
        <f>+G169</f>
        <v>"04-2026"  RF TSGH604 9302</v>
      </c>
      <c r="J170" s="10"/>
    </row>
    <row r="171" spans="1:20" x14ac:dyDescent="0.35">
      <c r="A171" s="130" t="s">
        <v>854</v>
      </c>
      <c r="B171" s="14">
        <v>204633</v>
      </c>
      <c r="C171" s="15" t="s">
        <v>576</v>
      </c>
      <c r="D171" s="362"/>
      <c r="G171" s="10" t="str">
        <f>VLOOKUP(B171,ADMON!A:P,5,0)</f>
        <v>T080</v>
      </c>
      <c r="H171" s="54">
        <f>VLOOKUP(B171,ADMON!A:P,7,0)</f>
        <v>6715</v>
      </c>
      <c r="J171" s="350">
        <f>+VLOOKUP(H171,contratos!A:R,5,0)</f>
        <v>41883</v>
      </c>
      <c r="K171" s="266" t="str">
        <f>+VLOOKUP(H171,contratos!A:R,12,0)</f>
        <v>VENCIDO</v>
      </c>
      <c r="L171" s="341" t="str">
        <f>+VLOOKUP(H171,contratos!A:R,13,0)</f>
        <v>CESADO</v>
      </c>
      <c r="M171" s="341">
        <f>+VLOOKUP(H171,contratos!A:R,15,0)</f>
        <v>0</v>
      </c>
      <c r="N171" s="336">
        <f>+VLOOKUP(H171,contratos!A:R,16,0)</f>
        <v>0</v>
      </c>
      <c r="O171" s="341">
        <f>+VLOOKUP(H171,PRORRATEO!F:M,3,0)</f>
        <v>17158194</v>
      </c>
      <c r="P171" s="341">
        <f>+VLOOKUP(H171,PRORRATEO!F:M,4,0)</f>
        <v>3260056.86</v>
      </c>
      <c r="Q171" s="341">
        <f>+VLOOKUP(H171,PRORRATEO!F:M,5,0)</f>
        <v>166262.89985999998</v>
      </c>
      <c r="R171" s="341">
        <f>+VLOOKUP(H171,PRORRATEO!F:M,6,0)</f>
        <v>3093793.9601399996</v>
      </c>
      <c r="S171" s="339">
        <f>+VLOOKUP(H171,PRORRATEO!F:M,7,0)</f>
        <v>5.0999999999999997E-2</v>
      </c>
      <c r="T171" s="339">
        <f>+VLOOKUP(H171,PRORRATEO!F:M,8,0)</f>
        <v>0.94899999999999995</v>
      </c>
    </row>
    <row r="172" spans="1:20" x14ac:dyDescent="0.35">
      <c r="B172" s="4">
        <v>1537210003</v>
      </c>
      <c r="C172" s="251" t="s">
        <v>79</v>
      </c>
      <c r="D172" s="324">
        <v>717789</v>
      </c>
      <c r="E172" s="10" t="s">
        <v>80</v>
      </c>
      <c r="F172">
        <v>40</v>
      </c>
      <c r="G172" s="316" t="str">
        <f>+CONCATENATE($G$7,"  GC ",G171," ",H171)</f>
        <v>"04-2026"  GC T080 6715</v>
      </c>
      <c r="I172" s="10">
        <f>+H171</f>
        <v>6715</v>
      </c>
      <c r="J172" s="10"/>
    </row>
    <row r="173" spans="1:20" x14ac:dyDescent="0.35">
      <c r="B173" s="4">
        <v>1537210002</v>
      </c>
      <c r="C173" s="251" t="s">
        <v>85</v>
      </c>
      <c r="D173" s="324">
        <v>1439970</v>
      </c>
      <c r="E173" s="10" t="s">
        <v>80</v>
      </c>
      <c r="F173">
        <v>40</v>
      </c>
      <c r="G173" s="318" t="str">
        <f>+G172</f>
        <v>"04-2026"  GC T080 6715</v>
      </c>
      <c r="I173" s="10">
        <f>+I172</f>
        <v>6715</v>
      </c>
      <c r="J173" s="10"/>
    </row>
    <row r="174" spans="1:20" x14ac:dyDescent="0.35">
      <c r="C174" s="251" t="s">
        <v>76</v>
      </c>
      <c r="D174" s="265">
        <f>SUM(D172:D173)</f>
        <v>2157759</v>
      </c>
      <c r="G174" s="318" t="str">
        <f>+G173</f>
        <v>"04-2026"  GC T080 6715</v>
      </c>
      <c r="J174" s="10"/>
    </row>
    <row r="175" spans="1:20" x14ac:dyDescent="0.35">
      <c r="A175" s="130" t="s">
        <v>853</v>
      </c>
      <c r="B175" s="14">
        <v>204570</v>
      </c>
      <c r="C175" s="15" t="s">
        <v>17</v>
      </c>
      <c r="D175" s="362"/>
      <c r="G175" s="9" t="str">
        <f>+VLOOKUP(B175,arriendo1!A:R,3,0)</f>
        <v>T064</v>
      </c>
      <c r="H175" s="131">
        <f>+VLOOKUP(B175,arriendo1!A:R,6,0)</f>
        <v>6687</v>
      </c>
      <c r="J175" s="350">
        <f>+VLOOKUP(H175,contratos!A:R,5,0)</f>
        <v>45383</v>
      </c>
      <c r="K175" s="266" t="str">
        <f>+VLOOKUP(H175,contratos!A:R,12,0)</f>
        <v>OK</v>
      </c>
      <c r="L175" s="341" t="str">
        <f>+VLOOKUP(H175,contratos!A:R,13,0)</f>
        <v>VIGENTE</v>
      </c>
      <c r="M175" s="341">
        <f>+VLOOKUP(H175,contratos!A:R,15,0)</f>
        <v>0</v>
      </c>
      <c r="N175" s="336">
        <f>+VLOOKUP(H175,contratos!A:R,16,0)</f>
        <v>0</v>
      </c>
      <c r="O175" s="341">
        <f>+VLOOKUP(B175,PRORRATEO!A:M,8,0)</f>
        <v>18492205</v>
      </c>
      <c r="P175" s="341">
        <f>+VLOOKUP(B175,PRORRATEO!A:M,9,0)</f>
        <v>3513518.95</v>
      </c>
      <c r="Q175" s="341">
        <f>+VLOOKUP(B175,PRORRATEO!A:M,10,0)</f>
        <v>337838.36057692312</v>
      </c>
      <c r="R175" s="341">
        <f>+VLOOKUP(B175,PRORRATEO!A:M,11,0)</f>
        <v>3175680.5894230772</v>
      </c>
      <c r="S175" s="339">
        <f>+VLOOKUP(B175,PRORRATEO!A:M,12,0)</f>
        <v>9.6153846153846159E-2</v>
      </c>
      <c r="T175" s="339">
        <f>+VLOOKUP(B175,PRORRATEO!A:M,13,0)</f>
        <v>0.90384615384615385</v>
      </c>
    </row>
    <row r="176" spans="1:20" x14ac:dyDescent="0.35">
      <c r="B176" s="439">
        <v>1245150017</v>
      </c>
      <c r="C176" s="240" t="s">
        <v>77</v>
      </c>
      <c r="D176" s="268">
        <f>+O175</f>
        <v>18492205</v>
      </c>
      <c r="E176" s="10" t="s">
        <v>97</v>
      </c>
      <c r="F176" s="209">
        <v>40</v>
      </c>
      <c r="G176" s="316" t="str">
        <f>+CONCATENATE($G$7,"  RF ",G175," ",H175)</f>
        <v>"04-2026"  RF T064 6687</v>
      </c>
      <c r="I176" s="314">
        <f>+H175</f>
        <v>6687</v>
      </c>
      <c r="J176" s="10"/>
    </row>
    <row r="177" spans="1:20" x14ac:dyDescent="0.35">
      <c r="B177" s="272">
        <v>1149120011</v>
      </c>
      <c r="C177" s="240" t="s">
        <v>96</v>
      </c>
      <c r="D177" s="268">
        <f>+Q175</f>
        <v>337838.36057692312</v>
      </c>
      <c r="E177" s="10" t="s">
        <v>98</v>
      </c>
      <c r="F177" s="209">
        <v>40</v>
      </c>
      <c r="G177" s="318" t="str">
        <f t="shared" ref="G177:G182" si="9">+G176</f>
        <v>"04-2026"  RF T064 6687</v>
      </c>
      <c r="I177" s="314">
        <f>+I176</f>
        <v>6687</v>
      </c>
      <c r="J177" s="10"/>
    </row>
    <row r="178" spans="1:20" x14ac:dyDescent="0.35">
      <c r="B178" s="272">
        <v>1149120011</v>
      </c>
      <c r="C178" s="240" t="s">
        <v>96</v>
      </c>
      <c r="D178" s="268">
        <f>+D177</f>
        <v>337838.36057692312</v>
      </c>
      <c r="E178" s="10" t="s">
        <v>97</v>
      </c>
      <c r="F178" s="209">
        <v>50</v>
      </c>
      <c r="G178" s="318" t="str">
        <f t="shared" si="9"/>
        <v>"04-2026"  RF T064 6687</v>
      </c>
      <c r="I178" s="314">
        <f>+I177</f>
        <v>6687</v>
      </c>
      <c r="J178" s="10"/>
    </row>
    <row r="179" spans="1:20" x14ac:dyDescent="0.35">
      <c r="B179" s="271">
        <v>1149120011</v>
      </c>
      <c r="C179" s="240" t="s">
        <v>96</v>
      </c>
      <c r="D179" s="268">
        <f>+P175</f>
        <v>3513518.95</v>
      </c>
      <c r="E179" s="10" t="s">
        <v>97</v>
      </c>
      <c r="F179">
        <v>40</v>
      </c>
      <c r="G179" s="318" t="str">
        <f t="shared" si="9"/>
        <v>"04-2026"  RF T064 6687</v>
      </c>
      <c r="I179" s="314">
        <f>+I178</f>
        <v>6687</v>
      </c>
      <c r="J179" s="10"/>
    </row>
    <row r="180" spans="1:20" x14ac:dyDescent="0.35">
      <c r="B180" s="271">
        <v>1249100024</v>
      </c>
      <c r="C180" s="240" t="s">
        <v>961</v>
      </c>
      <c r="D180" s="268">
        <f>+D176*J180</f>
        <v>178745.65352999998</v>
      </c>
      <c r="F180">
        <v>50</v>
      </c>
      <c r="G180" s="318" t="str">
        <f t="shared" si="9"/>
        <v>"04-2026"  RF T064 6687</v>
      </c>
      <c r="I180" s="251" t="s">
        <v>857</v>
      </c>
      <c r="J180" s="352">
        <v>9.6659999999999992E-3</v>
      </c>
    </row>
    <row r="181" spans="1:20" x14ac:dyDescent="0.35">
      <c r="B181" s="271">
        <v>1246125027</v>
      </c>
      <c r="C181" s="240" t="s">
        <v>962</v>
      </c>
      <c r="D181" s="323">
        <f>+D176*J181</f>
        <v>647227.17500000005</v>
      </c>
      <c r="F181">
        <v>50</v>
      </c>
      <c r="G181" s="318" t="str">
        <f t="shared" si="9"/>
        <v>"04-2026"  RF T064 6687</v>
      </c>
      <c r="I181" s="315" t="s">
        <v>963</v>
      </c>
      <c r="J181" s="352">
        <v>3.5000000000000003E-2</v>
      </c>
    </row>
    <row r="182" spans="1:20" x14ac:dyDescent="0.35">
      <c r="C182" s="251" t="s">
        <v>76</v>
      </c>
      <c r="D182" s="265">
        <f>+D176+D177-D178+D179-D180-D181</f>
        <v>21179751.121469997</v>
      </c>
      <c r="G182" s="318" t="str">
        <f t="shared" si="9"/>
        <v>"04-2026"  RF T064 6687</v>
      </c>
      <c r="J182" s="10"/>
    </row>
    <row r="183" spans="1:20" x14ac:dyDescent="0.35">
      <c r="A183" s="130" t="s">
        <v>853</v>
      </c>
      <c r="B183" s="14">
        <v>204883</v>
      </c>
      <c r="C183" s="15" t="s">
        <v>43</v>
      </c>
      <c r="D183" s="362"/>
      <c r="G183" s="9" t="str">
        <f>+VLOOKUP(B183,arriendo1!A:R,3,0)</f>
        <v>T100</v>
      </c>
      <c r="H183" s="131">
        <f>+VLOOKUP(B183,arriendo1!A:R,6,0)</f>
        <v>6767</v>
      </c>
      <c r="J183" s="350">
        <f>+VLOOKUP(H183,contratos!A:R,5,0)</f>
        <v>45582</v>
      </c>
      <c r="K183" s="266" t="str">
        <f>+VLOOKUP(H183,contratos!A:R,12,0)</f>
        <v>OK</v>
      </c>
      <c r="L183" s="341" t="str">
        <f>+VLOOKUP(H183,contratos!A:R,13,0)</f>
        <v>VIGENTE</v>
      </c>
      <c r="M183" s="341">
        <f>+VLOOKUP(H183,contratos!A:R,15,0)</f>
        <v>0</v>
      </c>
      <c r="N183" s="336">
        <f>+VLOOKUP(H183,contratos!A:R,16,0)</f>
        <v>0</v>
      </c>
      <c r="O183" s="341">
        <f>+VLOOKUP(B183,PRORRATEO!A:M,8,0)</f>
        <v>3986803</v>
      </c>
      <c r="P183" s="341">
        <f>+VLOOKUP(B183,PRORRATEO!A:M,9,0)</f>
        <v>757492.57000000007</v>
      </c>
      <c r="Q183" s="341">
        <f>+VLOOKUP(B183,PRORRATEO!A:M,10,0)</f>
        <v>65144.361020000004</v>
      </c>
      <c r="R183" s="341">
        <f>+VLOOKUP(B183,PRORRATEO!A:M,11,0)</f>
        <v>692348.20898000011</v>
      </c>
      <c r="S183" s="339">
        <f>+VLOOKUP(B183,PRORRATEO!A:M,12,0)</f>
        <v>8.5999999999999993E-2</v>
      </c>
      <c r="T183" s="339">
        <f>+VLOOKUP(B183,PRORRATEO!A:M,13,0)</f>
        <v>0.91400000000000003</v>
      </c>
    </row>
    <row r="184" spans="1:20" x14ac:dyDescent="0.35">
      <c r="B184" s="263">
        <v>1245150017</v>
      </c>
      <c r="C184" s="251" t="s">
        <v>77</v>
      </c>
      <c r="D184" s="268">
        <v>4000000</v>
      </c>
      <c r="E184" s="263" t="s">
        <v>97</v>
      </c>
      <c r="F184">
        <v>40</v>
      </c>
      <c r="G184" s="348" t="str">
        <f>+CONCATENATE($G$7,"  RF T",G183," ",H183)</f>
        <v>"04-2026"  RF TT100 6767</v>
      </c>
      <c r="I184" s="10">
        <f>+H183</f>
        <v>6767</v>
      </c>
      <c r="J184" s="10"/>
    </row>
    <row r="185" spans="1:20" x14ac:dyDescent="0.35">
      <c r="B185" s="263">
        <v>1149120011</v>
      </c>
      <c r="C185" s="251" t="s">
        <v>96</v>
      </c>
      <c r="D185" s="268">
        <f>+D187*S183</f>
        <v>65359.999999999993</v>
      </c>
      <c r="E185" s="263" t="s">
        <v>98</v>
      </c>
      <c r="F185">
        <v>40</v>
      </c>
      <c r="G185" s="318" t="str">
        <f>+G184</f>
        <v>"04-2026"  RF TT100 6767</v>
      </c>
      <c r="I185" s="10">
        <f>+I184</f>
        <v>6767</v>
      </c>
      <c r="J185" s="10"/>
    </row>
    <row r="186" spans="1:20" x14ac:dyDescent="0.35">
      <c r="B186" s="263">
        <v>1149120011</v>
      </c>
      <c r="C186" s="251" t="s">
        <v>96</v>
      </c>
      <c r="D186" s="268">
        <f>-D185</f>
        <v>-65359.999999999993</v>
      </c>
      <c r="E186" s="263" t="s">
        <v>97</v>
      </c>
      <c r="F186">
        <v>50</v>
      </c>
      <c r="G186" s="318" t="str">
        <f t="shared" ref="G186:G190" si="10">+G185</f>
        <v>"04-2026"  RF TT100 6767</v>
      </c>
      <c r="I186" s="10">
        <f>+I185</f>
        <v>6767</v>
      </c>
      <c r="J186" s="10"/>
    </row>
    <row r="187" spans="1:20" x14ac:dyDescent="0.35">
      <c r="B187" s="4">
        <v>1149120011</v>
      </c>
      <c r="C187" s="251" t="s">
        <v>96</v>
      </c>
      <c r="D187" s="268">
        <f>+D184*0.19</f>
        <v>760000</v>
      </c>
      <c r="E187" s="10" t="s">
        <v>97</v>
      </c>
      <c r="F187">
        <v>40</v>
      </c>
      <c r="G187" s="318" t="str">
        <f t="shared" si="10"/>
        <v>"04-2026"  RF TT100 6767</v>
      </c>
      <c r="I187" s="10">
        <f>+I186</f>
        <v>6767</v>
      </c>
      <c r="J187" s="10"/>
    </row>
    <row r="188" spans="1:20" x14ac:dyDescent="0.35">
      <c r="B188" s="4">
        <v>1249100024</v>
      </c>
      <c r="C188" s="251" t="s">
        <v>961</v>
      </c>
      <c r="D188" s="268">
        <f>-D184*J188</f>
        <v>-40000.524040678036</v>
      </c>
      <c r="F188">
        <v>50</v>
      </c>
      <c r="G188" s="318" t="str">
        <f t="shared" si="10"/>
        <v>"04-2026"  RF TT100 6767</v>
      </c>
      <c r="I188" s="251" t="s">
        <v>857</v>
      </c>
      <c r="J188" s="339">
        <v>1.0000131010169508E-2</v>
      </c>
    </row>
    <row r="189" spans="1:20" x14ac:dyDescent="0.35">
      <c r="B189" s="4">
        <v>1246125027</v>
      </c>
      <c r="C189" s="251" t="s">
        <v>962</v>
      </c>
      <c r="D189" s="323">
        <f>-D184*J189</f>
        <v>-139999.96256852298</v>
      </c>
      <c r="F189">
        <v>50</v>
      </c>
      <c r="G189" s="318" t="str">
        <f t="shared" si="10"/>
        <v>"04-2026"  RF TT100 6767</v>
      </c>
      <c r="I189" s="315" t="s">
        <v>965</v>
      </c>
      <c r="J189" s="339">
        <v>3.4999990642130746E-2</v>
      </c>
    </row>
    <row r="190" spans="1:20" x14ac:dyDescent="0.35">
      <c r="C190" s="251" t="s">
        <v>76</v>
      </c>
      <c r="D190" s="265">
        <f>SUM(D184:D189)</f>
        <v>4579999.5133907991</v>
      </c>
      <c r="G190" s="318" t="str">
        <f t="shared" si="10"/>
        <v>"04-2026"  RF TT100 6767</v>
      </c>
      <c r="J190" s="10"/>
    </row>
    <row r="191" spans="1:20" x14ac:dyDescent="0.35">
      <c r="A191" s="130" t="s">
        <v>853</v>
      </c>
      <c r="B191" s="14">
        <v>289666</v>
      </c>
      <c r="C191" s="204" t="s">
        <v>630</v>
      </c>
      <c r="G191" s="6" t="s">
        <v>372</v>
      </c>
      <c r="H191" s="131">
        <v>8582</v>
      </c>
      <c r="J191" s="200">
        <f>+VLOOKUP(H191,contratos!A:P,6,0)</f>
        <v>45310</v>
      </c>
      <c r="K191" t="str">
        <f>+VLOOKUP(H191,contratos!A:S,13,0)</f>
        <v>REEMPLAZO 5-137</v>
      </c>
      <c r="L191" s="19">
        <f>+VLOOKUP(H191,contratos!A:R,15,0)</f>
        <v>0</v>
      </c>
      <c r="M191" s="19">
        <f>+VLOOKUP(H191,contratos!A:R,17,0)</f>
        <v>0</v>
      </c>
      <c r="N191" s="11">
        <f>+VLOOKUP(H191,contratos!A:R,18,0)</f>
        <v>0</v>
      </c>
      <c r="O191" s="19">
        <f>+VLOOKUP(B191,PRORRATEO!A:M,8,0)</f>
        <v>16580922</v>
      </c>
      <c r="P191" s="19">
        <f>+VLOOKUP(B191,PRORRATEO!A:M,9,0)</f>
        <v>3150375.18</v>
      </c>
      <c r="Q191" s="19">
        <f>+VLOOKUP(B191,PRORRATEO!A:M,10,0)</f>
        <v>3150375.18</v>
      </c>
      <c r="R191" s="19">
        <f>+VLOOKUP(B191,PRORRATEO!A:M,11,0)</f>
        <v>0</v>
      </c>
      <c r="S191" s="201">
        <f>+VLOOKUP(B191,PRORRATEO!A:M,12,0)</f>
        <v>1</v>
      </c>
      <c r="T191" s="201">
        <f>+VLOOKUP(B191,PRORRATEO!A:M,13,0)</f>
        <v>0</v>
      </c>
    </row>
    <row r="192" spans="1:20" x14ac:dyDescent="0.35">
      <c r="B192" s="263">
        <v>1537210004</v>
      </c>
      <c r="C192" s="251" t="s">
        <v>859</v>
      </c>
      <c r="D192" s="324">
        <f>12892452+2271693</f>
        <v>15164145</v>
      </c>
      <c r="E192" s="263" t="s">
        <v>97</v>
      </c>
      <c r="F192">
        <v>40</v>
      </c>
      <c r="G192" s="316" t="str">
        <f>+CONCATENATE($G$7,"  RV ",G191," ",H191)</f>
        <v>"04-2026"  RV T104 8582</v>
      </c>
      <c r="I192" s="10">
        <f>+H191</f>
        <v>8582</v>
      </c>
      <c r="J192" s="10"/>
    </row>
    <row r="193" spans="1:20" x14ac:dyDescent="0.35">
      <c r="B193" s="263">
        <v>1537210003</v>
      </c>
      <c r="C193" s="251" t="s">
        <v>1116</v>
      </c>
      <c r="D193" s="324">
        <v>1289245</v>
      </c>
      <c r="E193" s="263" t="s">
        <v>97</v>
      </c>
      <c r="F193">
        <v>40</v>
      </c>
      <c r="G193" s="316" t="str">
        <f>+G192</f>
        <v>"04-2026"  RV T104 8582</v>
      </c>
      <c r="I193" s="10">
        <f>+I192</f>
        <v>8582</v>
      </c>
      <c r="J193" s="10"/>
    </row>
    <row r="194" spans="1:20" x14ac:dyDescent="0.35">
      <c r="B194" s="263">
        <v>1149120011</v>
      </c>
      <c r="C194" s="251" t="s">
        <v>96</v>
      </c>
      <c r="D194" s="324">
        <f>-D195</f>
        <v>306362.12180000002</v>
      </c>
      <c r="E194" s="263" t="s">
        <v>98</v>
      </c>
      <c r="F194">
        <v>40</v>
      </c>
      <c r="G194" s="316" t="str">
        <f>+G193</f>
        <v>"04-2026"  RV T104 8582</v>
      </c>
      <c r="I194" s="10">
        <f>+I193</f>
        <v>8582</v>
      </c>
      <c r="J194" s="352">
        <v>9.8000000000000004E-2</v>
      </c>
    </row>
    <row r="195" spans="1:20" x14ac:dyDescent="0.35">
      <c r="B195" s="263">
        <v>1149120011</v>
      </c>
      <c r="C195" s="251" t="s">
        <v>96</v>
      </c>
      <c r="D195" s="324">
        <f>-J195</f>
        <v>-306362.12180000002</v>
      </c>
      <c r="E195" s="263" t="s">
        <v>97</v>
      </c>
      <c r="F195">
        <v>50</v>
      </c>
      <c r="G195" s="316" t="str">
        <f>+G194</f>
        <v>"04-2026"  RV T104 8582</v>
      </c>
      <c r="I195" s="10">
        <f>+I194</f>
        <v>8582</v>
      </c>
      <c r="J195" s="316">
        <f>+D196*J194</f>
        <v>306362.12180000002</v>
      </c>
    </row>
    <row r="196" spans="1:20" x14ac:dyDescent="0.35">
      <c r="B196" s="4">
        <v>1149120011</v>
      </c>
      <c r="C196" s="251" t="s">
        <v>96</v>
      </c>
      <c r="D196" s="325">
        <f>+(D192+D193)*0.19</f>
        <v>3126144.1</v>
      </c>
      <c r="E196" s="10" t="s">
        <v>97</v>
      </c>
      <c r="F196">
        <v>40</v>
      </c>
      <c r="G196" s="316" t="str">
        <f>+G195</f>
        <v>"04-2026"  RV T104 8582</v>
      </c>
      <c r="I196" s="10">
        <f>+I195</f>
        <v>8582</v>
      </c>
      <c r="J196" s="10"/>
    </row>
    <row r="197" spans="1:20" x14ac:dyDescent="0.35">
      <c r="C197" s="251" t="s">
        <v>76</v>
      </c>
      <c r="D197" s="265">
        <f>SUM(D192:D196)</f>
        <v>19579534.100000001</v>
      </c>
      <c r="G197" s="316" t="str">
        <f>+G196</f>
        <v>"04-2026"  RV T104 8582</v>
      </c>
      <c r="J197" s="10"/>
    </row>
    <row r="198" spans="1:20" x14ac:dyDescent="0.35">
      <c r="A198" s="130" t="s">
        <v>853</v>
      </c>
      <c r="B198" s="14">
        <v>206033</v>
      </c>
      <c r="C198" s="15" t="s">
        <v>964</v>
      </c>
      <c r="D198" s="362"/>
      <c r="G198" s="9" t="str">
        <f>+VLOOKUP(B198,arriendo1!A:R,3,0)</f>
        <v>T100</v>
      </c>
      <c r="H198" s="131">
        <f>+VLOOKUP(B198,arriendo1!A:R,6,0)</f>
        <v>6767</v>
      </c>
      <c r="J198" s="350">
        <f>+VLOOKUP(H198,contratos!A:R,5,0)</f>
        <v>45582</v>
      </c>
      <c r="K198" s="266" t="str">
        <f>+VLOOKUP(H198,contratos!A:R,12,0)</f>
        <v>OK</v>
      </c>
      <c r="L198" s="341" t="str">
        <f>+VLOOKUP(H198,contratos!A:R,13,0)</f>
        <v>VIGENTE</v>
      </c>
      <c r="M198" s="341">
        <f>+VLOOKUP(H198,contratos!A:R,15,0)</f>
        <v>0</v>
      </c>
      <c r="N198" s="336">
        <f>+VLOOKUP(H198,contratos!A:R,16,0)</f>
        <v>0</v>
      </c>
      <c r="O198" s="341">
        <f>+VLOOKUP(B198,PRORRATEO!A:M,8,0)</f>
        <v>8516410</v>
      </c>
      <c r="P198" s="341">
        <f>+VLOOKUP(B198,PRORRATEO!A:M,9,0)</f>
        <v>1618117.9</v>
      </c>
      <c r="Q198" s="341">
        <f>+VLOOKUP(B198,PRORRATEO!A:M,10,0)</f>
        <v>139158.13939999999</v>
      </c>
      <c r="R198" s="341">
        <f>+VLOOKUP(B198,PRORRATEO!A:M,11,0)</f>
        <v>1478959.7605999999</v>
      </c>
      <c r="S198" s="339">
        <f>+VLOOKUP(B198,PRORRATEO!A:M,12,0)</f>
        <v>8.5999999999999993E-2</v>
      </c>
      <c r="T198" s="339">
        <f>+VLOOKUP(B198,PRORRATEO!A:M,13,0)</f>
        <v>0.91400000000000003</v>
      </c>
    </row>
    <row r="199" spans="1:20" x14ac:dyDescent="0.35">
      <c r="B199" s="263">
        <v>1245150017</v>
      </c>
      <c r="C199" s="251" t="s">
        <v>77</v>
      </c>
      <c r="D199" s="268">
        <f>+O198</f>
        <v>8516410</v>
      </c>
      <c r="E199" s="263" t="s">
        <v>97</v>
      </c>
      <c r="F199">
        <v>40</v>
      </c>
      <c r="G199" s="316" t="str">
        <f>+CONCATENATE($G$7,"  RF T",G198," ",H198)</f>
        <v>"04-2026"  RF TT100 6767</v>
      </c>
      <c r="I199" s="10">
        <f>+H198</f>
        <v>6767</v>
      </c>
      <c r="J199" s="10"/>
    </row>
    <row r="200" spans="1:20" x14ac:dyDescent="0.35">
      <c r="B200" s="263">
        <v>1149120011</v>
      </c>
      <c r="C200" s="251" t="s">
        <v>96</v>
      </c>
      <c r="D200" s="268">
        <f>+Q198</f>
        <v>139158.13939999999</v>
      </c>
      <c r="E200" s="263" t="s">
        <v>98</v>
      </c>
      <c r="F200">
        <v>40</v>
      </c>
      <c r="G200" s="318" t="str">
        <f t="shared" ref="G200:G205" si="11">+G199</f>
        <v>"04-2026"  RF TT100 6767</v>
      </c>
      <c r="I200" s="10">
        <f>+I199</f>
        <v>6767</v>
      </c>
      <c r="J200" s="10"/>
    </row>
    <row r="201" spans="1:20" x14ac:dyDescent="0.35">
      <c r="B201" s="263">
        <v>1149120011</v>
      </c>
      <c r="C201" s="251" t="s">
        <v>96</v>
      </c>
      <c r="D201" s="268">
        <f>-D200</f>
        <v>-139158.13939999999</v>
      </c>
      <c r="E201" s="263" t="s">
        <v>97</v>
      </c>
      <c r="F201">
        <v>50</v>
      </c>
      <c r="G201" s="318" t="str">
        <f t="shared" si="11"/>
        <v>"04-2026"  RF TT100 6767</v>
      </c>
      <c r="I201" s="10">
        <f>+I200</f>
        <v>6767</v>
      </c>
      <c r="J201" s="10"/>
    </row>
    <row r="202" spans="1:20" x14ac:dyDescent="0.35">
      <c r="B202" s="4">
        <v>1149120011</v>
      </c>
      <c r="C202" s="251" t="s">
        <v>96</v>
      </c>
      <c r="D202" s="298">
        <f>+P198</f>
        <v>1618117.9</v>
      </c>
      <c r="E202" s="10" t="s">
        <v>97</v>
      </c>
      <c r="F202">
        <v>40</v>
      </c>
      <c r="G202" s="318" t="str">
        <f t="shared" si="11"/>
        <v>"04-2026"  RF TT100 6767</v>
      </c>
      <c r="I202" s="10">
        <f>+I201</f>
        <v>6767</v>
      </c>
      <c r="J202" s="10"/>
    </row>
    <row r="203" spans="1:20" x14ac:dyDescent="0.35">
      <c r="B203" s="4">
        <v>1249100024</v>
      </c>
      <c r="C203" s="251" t="s">
        <v>961</v>
      </c>
      <c r="D203" s="268">
        <f>-D199*H203</f>
        <v>-82268.496010263741</v>
      </c>
      <c r="F203">
        <v>50</v>
      </c>
      <c r="G203" s="318" t="str">
        <f t="shared" si="11"/>
        <v>"04-2026"  RF TT100 6767</v>
      </c>
      <c r="H203" s="339">
        <v>9.659997112664109E-3</v>
      </c>
      <c r="I203" s="251" t="s">
        <v>857</v>
      </c>
      <c r="J203" s="10"/>
    </row>
    <row r="204" spans="1:20" x14ac:dyDescent="0.35">
      <c r="B204" s="4">
        <v>1246125027</v>
      </c>
      <c r="C204" s="251" t="s">
        <v>962</v>
      </c>
      <c r="D204" s="323">
        <f>-D199*H204</f>
        <v>-298074.60847468756</v>
      </c>
      <c r="F204">
        <v>50</v>
      </c>
      <c r="G204" s="318" t="str">
        <f t="shared" si="11"/>
        <v>"04-2026"  RF TT100 6767</v>
      </c>
      <c r="H204" s="339">
        <v>3.5000030350193043E-2</v>
      </c>
      <c r="I204" s="315" t="s">
        <v>963</v>
      </c>
      <c r="J204" s="10"/>
    </row>
    <row r="205" spans="1:20" x14ac:dyDescent="0.35">
      <c r="C205" s="251" t="s">
        <v>76</v>
      </c>
      <c r="D205" s="265">
        <f>SUM(D199:D204)</f>
        <v>9754184.7955150492</v>
      </c>
      <c r="G205" s="318" t="str">
        <f t="shared" si="11"/>
        <v>"04-2026"  RF TT100 6767</v>
      </c>
      <c r="J205" s="10"/>
    </row>
    <row r="206" spans="1:20" x14ac:dyDescent="0.35">
      <c r="A206" s="130" t="s">
        <v>853</v>
      </c>
      <c r="B206" s="14">
        <v>211510</v>
      </c>
      <c r="C206" s="15" t="s">
        <v>50</v>
      </c>
      <c r="D206" s="362"/>
      <c r="G206" s="9" t="s">
        <v>440</v>
      </c>
      <c r="H206" s="131">
        <v>9120</v>
      </c>
      <c r="J206" s="350">
        <f>+VLOOKUP(H206,contratos!A:R,5,0)</f>
        <v>43003</v>
      </c>
      <c r="K206" s="266" t="str">
        <f>+VLOOKUP(H206,contratos!A:R,12,0)</f>
        <v>VENCIDO</v>
      </c>
      <c r="L206" s="341" t="str">
        <f>+VLOOKUP(H206,contratos!A:R,13,0)</f>
        <v>CESADO</v>
      </c>
      <c r="M206" s="341">
        <f>+VLOOKUP(H206,contratos!A:R,15,0)</f>
        <v>0</v>
      </c>
      <c r="N206" s="336">
        <f>+VLOOKUP(H206,contratos!A:R,16,0)</f>
        <v>0</v>
      </c>
      <c r="O206" s="341">
        <f>+VLOOKUP(B206,PRORRATEO!A:M,8,0)</f>
        <v>7483348</v>
      </c>
      <c r="P206" s="341">
        <f>+VLOOKUP(B206,PRORRATEO!A:M,9,0)</f>
        <v>1421836.12</v>
      </c>
      <c r="Q206" s="341">
        <f>+VLOOKUP(B206,PRORRATEO!A:M,10,0)</f>
        <v>1421836.12</v>
      </c>
      <c r="R206" s="341">
        <f>+VLOOKUP(B206,PRORRATEO!A:M,11,0)</f>
        <v>0</v>
      </c>
      <c r="S206" s="339">
        <f>+VLOOKUP(B206,PRORRATEO!A:M,12,0)</f>
        <v>1</v>
      </c>
      <c r="T206" s="339">
        <f>+VLOOKUP(B206,PRORRATEO!A:M,13,0)</f>
        <v>0</v>
      </c>
    </row>
    <row r="207" spans="1:20" x14ac:dyDescent="0.35">
      <c r="B207" s="4">
        <v>1245150017</v>
      </c>
      <c r="C207" s="251" t="s">
        <v>77</v>
      </c>
      <c r="D207" s="268">
        <f>+O206</f>
        <v>7483348</v>
      </c>
      <c r="E207" s="10" t="s">
        <v>97</v>
      </c>
      <c r="F207">
        <v>40</v>
      </c>
      <c r="G207" s="348" t="str">
        <f>+CONCATENATE($G$7,"  RF T",G206," ",H206)</f>
        <v>"04-2026"  RF TT127 9120</v>
      </c>
      <c r="I207" s="10">
        <f>+H206</f>
        <v>9120</v>
      </c>
      <c r="J207" s="10"/>
    </row>
    <row r="208" spans="1:20" x14ac:dyDescent="0.35">
      <c r="B208" s="4">
        <v>1149120011</v>
      </c>
      <c r="C208" s="251" t="s">
        <v>96</v>
      </c>
      <c r="D208" s="268">
        <f>+Q206</f>
        <v>1421836.12</v>
      </c>
      <c r="E208" s="10" t="s">
        <v>98</v>
      </c>
      <c r="F208">
        <v>40</v>
      </c>
      <c r="G208" s="318" t="str">
        <f>+G207</f>
        <v>"04-2026"  RF TT127 9120</v>
      </c>
      <c r="I208" s="10">
        <f>+I207</f>
        <v>9120</v>
      </c>
      <c r="J208" s="10"/>
    </row>
    <row r="209" spans="1:20" x14ac:dyDescent="0.35">
      <c r="B209" s="4">
        <v>1149120011</v>
      </c>
      <c r="C209" s="251" t="s">
        <v>96</v>
      </c>
      <c r="D209" s="268">
        <f>-D208</f>
        <v>-1421836.12</v>
      </c>
      <c r="E209" s="10" t="s">
        <v>97</v>
      </c>
      <c r="F209">
        <v>50</v>
      </c>
      <c r="G209" s="318" t="str">
        <f>+G208</f>
        <v>"04-2026"  RF TT127 9120</v>
      </c>
      <c r="I209" s="10">
        <f>+I208</f>
        <v>9120</v>
      </c>
      <c r="J209" s="10"/>
    </row>
    <row r="210" spans="1:20" x14ac:dyDescent="0.35">
      <c r="B210" s="4">
        <v>1149120011</v>
      </c>
      <c r="C210" s="251" t="s">
        <v>96</v>
      </c>
      <c r="D210" s="268">
        <f>+P206</f>
        <v>1421836.12</v>
      </c>
      <c r="E210" s="10" t="s">
        <v>97</v>
      </c>
      <c r="F210">
        <v>40</v>
      </c>
      <c r="G210" s="316" t="str">
        <f>+CONCATENATE($G$7,"  RF T",G209," ",H209)</f>
        <v xml:space="preserve">"04-2026"  RF T"04-2026"  RF TT127 9120 </v>
      </c>
      <c r="I210" s="10">
        <f>+I209</f>
        <v>9120</v>
      </c>
      <c r="J210" s="10"/>
    </row>
    <row r="211" spans="1:20" x14ac:dyDescent="0.35">
      <c r="B211" s="4">
        <v>1246125027</v>
      </c>
      <c r="C211" s="251" t="s">
        <v>962</v>
      </c>
      <c r="D211" s="323">
        <f>-D207*J211</f>
        <v>-261917.4071210564</v>
      </c>
      <c r="G211" s="316" t="str">
        <f>+CONCATENATE($G$7,"  RF T",G210," ",H210)</f>
        <v xml:space="preserve">"04-2026"  RF T"04-2026"  RF T"04-2026"  RF TT127 9120  </v>
      </c>
      <c r="I211" s="251" t="s">
        <v>857</v>
      </c>
      <c r="J211" s="352">
        <v>3.5000030350193043E-2</v>
      </c>
    </row>
    <row r="212" spans="1:20" x14ac:dyDescent="0.35">
      <c r="C212" s="251" t="s">
        <v>76</v>
      </c>
      <c r="D212" s="265">
        <f>SUM(D207:D211)</f>
        <v>8643266.7128789444</v>
      </c>
      <c r="G212" s="318" t="str">
        <f>+G211</f>
        <v xml:space="preserve">"04-2026"  RF T"04-2026"  RF T"04-2026"  RF TT127 9120  </v>
      </c>
      <c r="J212" s="10"/>
    </row>
    <row r="213" spans="1:20" x14ac:dyDescent="0.35">
      <c r="A213" s="130" t="s">
        <v>853</v>
      </c>
      <c r="B213" s="14">
        <v>409015</v>
      </c>
      <c r="C213" s="15" t="s">
        <v>54</v>
      </c>
      <c r="D213" s="324"/>
      <c r="G213" s="9" t="s">
        <v>453</v>
      </c>
      <c r="H213" s="131">
        <v>9209</v>
      </c>
      <c r="J213" s="350">
        <f>+VLOOKUP(H213,contratos!A:R,5,0)</f>
        <v>43040</v>
      </c>
      <c r="K213" s="266" t="str">
        <f>+VLOOKUP(H213,contratos!A:R,12,0)</f>
        <v>CESADO</v>
      </c>
      <c r="L213" s="341" t="str">
        <f>+VLOOKUP(H213,contratos!A:R,13,0)</f>
        <v>CERRADA</v>
      </c>
      <c r="M213" s="341">
        <f>+VLOOKUP(H213,contratos!A:R,15,0)</f>
        <v>0</v>
      </c>
      <c r="N213" s="336">
        <f>+VLOOKUP(H213,contratos!A:R,16,0)</f>
        <v>0</v>
      </c>
      <c r="O213" s="341">
        <f>+VLOOKUP(H213,PRORRATEO!F:M,3,0)</f>
        <v>101940</v>
      </c>
      <c r="P213" s="341">
        <f>+VLOOKUP(H213,PRORRATEO!F:M,4,0)</f>
        <v>19368.599999999999</v>
      </c>
      <c r="Q213" s="341">
        <f>+VLOOKUP(H213,PRORRATEO!F:M,5,0)</f>
        <v>1549.4879999999998</v>
      </c>
      <c r="R213" s="341">
        <f>+VLOOKUP(H213,PRORRATEO!F:M,6,0)</f>
        <v>17819.112000000001</v>
      </c>
      <c r="S213" s="339">
        <f>+VLOOKUP(H213,PRORRATEO!F:M,7,0)</f>
        <v>0.08</v>
      </c>
      <c r="T213" s="339">
        <f>+VLOOKUP(H213,PRORRATEO!F:M,8,0)</f>
        <v>0.92</v>
      </c>
    </row>
    <row r="214" spans="1:20" x14ac:dyDescent="0.35">
      <c r="B214" s="209">
        <v>1245150017</v>
      </c>
      <c r="C214" s="251" t="s">
        <v>77</v>
      </c>
      <c r="D214" s="268">
        <f>+O213</f>
        <v>101940</v>
      </c>
      <c r="E214" s="10" t="s">
        <v>97</v>
      </c>
      <c r="F214" s="209">
        <v>40</v>
      </c>
      <c r="G214" s="316" t="str">
        <f>+CONCATENATE($G$7,"  RF T",G213," ",H213)</f>
        <v>"04-2026"  RF TT130 9209</v>
      </c>
      <c r="I214" s="314">
        <f>+H213</f>
        <v>9209</v>
      </c>
      <c r="J214" s="10"/>
    </row>
    <row r="215" spans="1:20" x14ac:dyDescent="0.35">
      <c r="B215" s="209">
        <v>1149120011</v>
      </c>
      <c r="C215" s="251" t="s">
        <v>96</v>
      </c>
      <c r="D215" s="268">
        <f>+Q213</f>
        <v>1549.4879999999998</v>
      </c>
      <c r="E215" s="10" t="s">
        <v>98</v>
      </c>
      <c r="F215" s="209">
        <v>40</v>
      </c>
      <c r="G215" s="318" t="str">
        <f>+G214</f>
        <v>"04-2026"  RF TT130 9209</v>
      </c>
      <c r="I215" s="314">
        <f>+I214</f>
        <v>9209</v>
      </c>
      <c r="J215" s="10"/>
    </row>
    <row r="216" spans="1:20" x14ac:dyDescent="0.35">
      <c r="B216" s="209">
        <v>1149120011</v>
      </c>
      <c r="C216" s="251" t="s">
        <v>96</v>
      </c>
      <c r="D216" s="268">
        <f>+D215</f>
        <v>1549.4879999999998</v>
      </c>
      <c r="E216" s="10" t="s">
        <v>97</v>
      </c>
      <c r="F216" s="209">
        <v>50</v>
      </c>
      <c r="G216" s="318" t="str">
        <f>+G215</f>
        <v>"04-2026"  RF TT130 9209</v>
      </c>
      <c r="I216" s="314">
        <f>+I215</f>
        <v>9209</v>
      </c>
      <c r="J216" s="10"/>
    </row>
    <row r="217" spans="1:20" x14ac:dyDescent="0.35">
      <c r="B217" s="4">
        <v>1149120011</v>
      </c>
      <c r="C217" s="251" t="s">
        <v>96</v>
      </c>
      <c r="D217" s="268">
        <f>+P213</f>
        <v>19368.599999999999</v>
      </c>
      <c r="E217" s="10" t="s">
        <v>97</v>
      </c>
      <c r="F217">
        <v>40</v>
      </c>
      <c r="G217" s="316" t="str">
        <f>+CONCATENATE($G$7,"  RF T",G216," ",H216)</f>
        <v xml:space="preserve">"04-2026"  RF T"04-2026"  RF TT130 9209 </v>
      </c>
      <c r="I217" s="314">
        <f>+I216</f>
        <v>9209</v>
      </c>
      <c r="J217" s="10"/>
    </row>
    <row r="218" spans="1:20" x14ac:dyDescent="0.35">
      <c r="B218" s="4">
        <v>1249100024</v>
      </c>
      <c r="C218" s="251" t="s">
        <v>961</v>
      </c>
      <c r="D218" s="268">
        <f>D214*J218</f>
        <v>984.7401056649793</v>
      </c>
      <c r="F218">
        <v>50</v>
      </c>
      <c r="G218" s="318" t="str">
        <f>+G217</f>
        <v xml:space="preserve">"04-2026"  RF T"04-2026"  RF TT130 9209 </v>
      </c>
      <c r="I218" s="251" t="s">
        <v>857</v>
      </c>
      <c r="J218" s="352">
        <v>9.659997112664109E-3</v>
      </c>
    </row>
    <row r="219" spans="1:20" x14ac:dyDescent="0.35">
      <c r="B219" s="4">
        <v>1246125027</v>
      </c>
      <c r="C219" s="251" t="s">
        <v>962</v>
      </c>
      <c r="D219" s="323">
        <f>D214*J219</f>
        <v>3567.9030938986789</v>
      </c>
      <c r="F219">
        <v>50</v>
      </c>
      <c r="G219" s="318" t="str">
        <f>+G218</f>
        <v xml:space="preserve">"04-2026"  RF T"04-2026"  RF TT130 9209 </v>
      </c>
      <c r="I219" s="315" t="s">
        <v>963</v>
      </c>
      <c r="J219" s="352">
        <v>3.5000030350193043E-2</v>
      </c>
    </row>
    <row r="220" spans="1:20" x14ac:dyDescent="0.35">
      <c r="C220" s="251" t="s">
        <v>76</v>
      </c>
      <c r="D220" s="265">
        <f>+D214+D215-D216+D217-D218-D219</f>
        <v>116755.95680043634</v>
      </c>
      <c r="G220" s="318" t="str">
        <f>+G219</f>
        <v xml:space="preserve">"04-2026"  RF T"04-2026"  RF TT130 9209 </v>
      </c>
      <c r="J220" s="10"/>
    </row>
    <row r="221" spans="1:20" x14ac:dyDescent="0.35">
      <c r="A221" s="130" t="s">
        <v>854</v>
      </c>
      <c r="B221" s="14">
        <v>204526</v>
      </c>
      <c r="C221" s="15" t="s">
        <v>99</v>
      </c>
      <c r="D221" s="363"/>
      <c r="G221" s="364" t="s">
        <v>607</v>
      </c>
      <c r="H221" s="262" t="s">
        <v>222</v>
      </c>
      <c r="J221" s="350">
        <f>+VLOOKUP(H221,contratos!A:R,5,0)</f>
        <v>45786</v>
      </c>
      <c r="K221" s="266" t="str">
        <f>+VLOOKUP(H221,contratos!A:R,12,0)</f>
        <v>OK</v>
      </c>
      <c r="L221" s="341" t="str">
        <f>+VLOOKUP(H221,contratos!A:R,13,0)</f>
        <v>VIGENTE</v>
      </c>
      <c r="M221" s="341">
        <f>+VLOOKUP(H221,contratos!A:R,15,0)</f>
        <v>0</v>
      </c>
      <c r="N221" s="336">
        <f>+VLOOKUP(H221,contratos!A:R,16,0)</f>
        <v>0</v>
      </c>
      <c r="O221" s="341">
        <f>+VLOOKUP(H221,PRORRATEO!F:M,3,0)</f>
        <v>16500000</v>
      </c>
      <c r="P221" s="341">
        <f>+VLOOKUP(H221,PRORRATEO!F:M,4,0)</f>
        <v>3135000</v>
      </c>
      <c r="Q221" s="341">
        <f>+VLOOKUP(H221,PRORRATEO!F:M,5,0)</f>
        <v>3135000</v>
      </c>
      <c r="R221" s="341">
        <f>+VLOOKUP(H221,PRORRATEO!F:M,6,0)</f>
        <v>0</v>
      </c>
      <c r="S221" s="339">
        <f>+VLOOKUP(H221,PRORRATEO!F:M,7,0)</f>
        <v>1</v>
      </c>
      <c r="T221" s="339">
        <f>+VLOOKUP(H221,PRORRATEO!F:M,8,0)</f>
        <v>0</v>
      </c>
    </row>
    <row r="222" spans="1:20" x14ac:dyDescent="0.35">
      <c r="B222" s="263">
        <v>1537210003</v>
      </c>
      <c r="C222" s="251" t="s">
        <v>79</v>
      </c>
      <c r="D222" s="298">
        <f>+K225</f>
        <v>448896</v>
      </c>
      <c r="E222" s="263" t="s">
        <v>80</v>
      </c>
      <c r="F222">
        <v>40</v>
      </c>
      <c r="G222" s="348" t="str">
        <f>+CONCATENATE($G$7,"  GC T",G221," ",H221)</f>
        <v>"04-2026"  GC TR007 E924</v>
      </c>
      <c r="I222" s="10" t="str">
        <f>+H221</f>
        <v>E924</v>
      </c>
      <c r="J222" s="10" t="s">
        <v>1305</v>
      </c>
      <c r="K222" s="341">
        <v>2294957</v>
      </c>
      <c r="L222" s="368" t="s">
        <v>1792</v>
      </c>
      <c r="M222" s="341">
        <v>44288</v>
      </c>
    </row>
    <row r="223" spans="1:20" x14ac:dyDescent="0.35">
      <c r="B223" s="263">
        <v>1537210002</v>
      </c>
      <c r="C223" s="251" t="s">
        <v>85</v>
      </c>
      <c r="D223" s="268">
        <f>+K222+K224+M222+M223+M224+M225+K223</f>
        <v>2566268</v>
      </c>
      <c r="E223" s="263" t="s">
        <v>80</v>
      </c>
      <c r="F223">
        <v>40</v>
      </c>
      <c r="G223" s="318" t="str">
        <f>+G222</f>
        <v>"04-2026"  GC TR007 E924</v>
      </c>
      <c r="I223" s="10" t="str">
        <f>+I222</f>
        <v>E924</v>
      </c>
      <c r="J223" s="10" t="s">
        <v>1706</v>
      </c>
      <c r="K223" s="341">
        <v>20743</v>
      </c>
      <c r="L223" s="368" t="s">
        <v>1306</v>
      </c>
      <c r="M223" s="341">
        <v>36719</v>
      </c>
    </row>
    <row r="224" spans="1:20" x14ac:dyDescent="0.35">
      <c r="B224" s="263">
        <v>1537210004</v>
      </c>
      <c r="C224" s="251" t="s">
        <v>974</v>
      </c>
      <c r="D224" s="268">
        <f>+K226</f>
        <v>0</v>
      </c>
      <c r="E224" s="263" t="s">
        <v>80</v>
      </c>
      <c r="F224">
        <v>40</v>
      </c>
      <c r="G224" s="318" t="str">
        <f>+G223</f>
        <v>"04-2026"  GC TR007 E924</v>
      </c>
      <c r="I224" s="10" t="str">
        <f>+I223</f>
        <v>E924</v>
      </c>
      <c r="J224" s="10" t="s">
        <v>1707</v>
      </c>
      <c r="K224" s="341">
        <f>105302</f>
        <v>105302</v>
      </c>
      <c r="L224" s="368" t="s">
        <v>1793</v>
      </c>
      <c r="M224" s="341">
        <v>45899</v>
      </c>
    </row>
    <row r="225" spans="1:20" x14ac:dyDescent="0.35">
      <c r="B225" s="4">
        <v>1537210002</v>
      </c>
      <c r="C225" s="251" t="s">
        <v>85</v>
      </c>
      <c r="D225" s="323"/>
      <c r="E225" s="10" t="s">
        <v>80</v>
      </c>
      <c r="F225">
        <v>50</v>
      </c>
      <c r="G225" s="318" t="str">
        <f>+G223</f>
        <v>"04-2026"  GC TR007 E924</v>
      </c>
      <c r="I225" s="10" t="str">
        <f>+I223</f>
        <v>E924</v>
      </c>
      <c r="J225" s="10" t="s">
        <v>1184</v>
      </c>
      <c r="K225" s="341">
        <v>448896</v>
      </c>
      <c r="L225" s="368" t="s">
        <v>1308</v>
      </c>
      <c r="M225" s="341">
        <v>18360</v>
      </c>
    </row>
    <row r="226" spans="1:20" x14ac:dyDescent="0.35">
      <c r="C226" s="251" t="s">
        <v>76</v>
      </c>
      <c r="D226" s="332">
        <f>+D222+D223-D225+D224</f>
        <v>3015164</v>
      </c>
      <c r="G226" s="318" t="str">
        <f>+G225</f>
        <v>"04-2026"  GC TR007 E924</v>
      </c>
      <c r="J226" s="10" t="s">
        <v>1794</v>
      </c>
      <c r="K226" s="341"/>
    </row>
    <row r="227" spans="1:20" x14ac:dyDescent="0.35">
      <c r="A227" s="130" t="s">
        <v>853</v>
      </c>
      <c r="B227" s="14">
        <v>205547</v>
      </c>
      <c r="C227" s="15" t="s">
        <v>46</v>
      </c>
      <c r="D227" s="362"/>
      <c r="G227" s="404" t="s">
        <v>379</v>
      </c>
      <c r="H227" s="401">
        <v>8584</v>
      </c>
      <c r="J227" s="350">
        <f>+VLOOKUP(H227,contratos!A:R,5,0)</f>
        <v>42436</v>
      </c>
      <c r="K227" s="266" t="str">
        <f>+VLOOKUP(H227,contratos!A:R,12,0)</f>
        <v>CESADO</v>
      </c>
      <c r="L227" s="341" t="str">
        <f>+VLOOKUP(H227,contratos!A:R,13,0)</f>
        <v>REEMPLAZO 5-135</v>
      </c>
      <c r="M227" s="341">
        <f>+VLOOKUP(H227,contratos!A:R,15,0)</f>
        <v>0</v>
      </c>
      <c r="N227" s="336">
        <f>+VLOOKUP(H227,contratos!A:R,16,0)</f>
        <v>0</v>
      </c>
      <c r="O227" s="341">
        <f>+VLOOKUP(B227,PRORRATEO!A:M,8,0)</f>
        <v>22377460</v>
      </c>
      <c r="P227" s="341">
        <f>+VLOOKUP(B227,PRORRATEO!A:M,9,0)</f>
        <v>4251717.4000000004</v>
      </c>
      <c r="Q227" s="341">
        <f>+VLOOKUP(B227,PRORRATEO!A:M,10,0)</f>
        <v>4251717.4000000004</v>
      </c>
      <c r="R227" s="341">
        <f>+VLOOKUP(B227,PRORRATEO!A:M,11,0)</f>
        <v>0</v>
      </c>
      <c r="S227" s="339">
        <f>+VLOOKUP(B227,PRORRATEO!A:M,12,0)</f>
        <v>1</v>
      </c>
      <c r="T227" s="339">
        <f>+VLOOKUP(B227,PRORRATEO!A:M,13,0)</f>
        <v>0</v>
      </c>
    </row>
    <row r="228" spans="1:20" x14ac:dyDescent="0.35">
      <c r="B228" s="4">
        <v>1537210004</v>
      </c>
      <c r="C228" s="251" t="s">
        <v>859</v>
      </c>
      <c r="D228" s="324">
        <v>4116917</v>
      </c>
      <c r="E228" s="10" t="s">
        <v>97</v>
      </c>
      <c r="F228">
        <v>40</v>
      </c>
      <c r="G228" s="316" t="str">
        <f>+CONCATENATE($G$7,"  RV",G227," ",H227)</f>
        <v>"04-2026"  RVT106 8584</v>
      </c>
      <c r="I228" s="10">
        <f>+H227</f>
        <v>8584</v>
      </c>
      <c r="J228" s="10"/>
    </row>
    <row r="229" spans="1:20" x14ac:dyDescent="0.35">
      <c r="B229" s="4">
        <v>1149120011</v>
      </c>
      <c r="C229" s="251" t="s">
        <v>96</v>
      </c>
      <c r="D229" s="325">
        <f>+D228*0.19</f>
        <v>782214.23</v>
      </c>
      <c r="G229" s="318" t="str">
        <f>+G228</f>
        <v>"04-2026"  RVT106 8584</v>
      </c>
      <c r="I229" s="10">
        <f>+I228</f>
        <v>8584</v>
      </c>
      <c r="J229" s="10"/>
    </row>
    <row r="230" spans="1:20" x14ac:dyDescent="0.35">
      <c r="C230" s="251" t="s">
        <v>76</v>
      </c>
      <c r="D230" s="265">
        <f>SUM(D228:D229)</f>
        <v>4899131.2300000004</v>
      </c>
      <c r="G230" s="318" t="str">
        <f>+G229</f>
        <v>"04-2026"  RVT106 8584</v>
      </c>
      <c r="I230" s="10">
        <f>+I229</f>
        <v>8584</v>
      </c>
      <c r="J230" s="10"/>
    </row>
    <row r="231" spans="1:20" x14ac:dyDescent="0.35">
      <c r="A231" s="130" t="s">
        <v>854</v>
      </c>
      <c r="B231" s="14">
        <v>204614</v>
      </c>
      <c r="C231" s="15" t="s">
        <v>548</v>
      </c>
      <c r="D231" s="362"/>
      <c r="G231" s="10" t="str">
        <f>VLOOKUP(B231,ADMON!A:P,5,0)</f>
        <v>T066</v>
      </c>
      <c r="H231" s="54">
        <f>VLOOKUP(B231,ADMON!A:P,7,0)</f>
        <v>6688</v>
      </c>
      <c r="J231" s="350">
        <f>+VLOOKUP(H231,contratos!A:R,5,0)</f>
        <v>42736</v>
      </c>
      <c r="K231" s="266" t="str">
        <f>+VLOOKUP(H231,contratos!A:R,12,0)</f>
        <v>VENCIDO</v>
      </c>
      <c r="L231" s="341" t="str">
        <f>+VLOOKUP(H231,contratos!A:R,13,0)</f>
        <v>CESADO</v>
      </c>
      <c r="M231" s="341">
        <f>+VLOOKUP(H231,contratos!A:R,15,0)</f>
        <v>0</v>
      </c>
      <c r="N231" s="336">
        <f>+VLOOKUP(H231,contratos!A:R,16,0)</f>
        <v>0</v>
      </c>
      <c r="O231" s="341">
        <f>+VLOOKUP(H231,PRORRATEO!F:M,3,0)</f>
        <v>21214110</v>
      </c>
      <c r="P231" s="341">
        <f>+VLOOKUP(H231,PRORRATEO!F:M,4,0)</f>
        <v>4030680.9</v>
      </c>
      <c r="Q231" s="341">
        <f>+VLOOKUP(H231,PRORRATEO!F:M,5,0)</f>
        <v>460797.17418111756</v>
      </c>
      <c r="R231" s="341">
        <f>+VLOOKUP(H231,PRORRATEO!F:M,6,0)</f>
        <v>3569883.7258188822</v>
      </c>
      <c r="S231" s="339">
        <f>+VLOOKUP(H231,PRORRATEO!F:M,7,0)</f>
        <v>0.11432241490044959</v>
      </c>
      <c r="T231" s="339">
        <f>+VLOOKUP(H231,PRORRATEO!F:M,8,0)</f>
        <v>0.88567758509955041</v>
      </c>
    </row>
    <row r="232" spans="1:20" x14ac:dyDescent="0.35">
      <c r="B232" s="4">
        <v>1537210003</v>
      </c>
      <c r="C232" s="251" t="s">
        <v>79</v>
      </c>
      <c r="D232" s="268">
        <f t="shared" ref="D232:D238" si="12">+L232</f>
        <v>377557</v>
      </c>
      <c r="E232" s="10" t="s">
        <v>80</v>
      </c>
      <c r="F232">
        <v>40</v>
      </c>
      <c r="G232" s="316" t="str">
        <f>+CONCATENATE($G$7,"  GC ",J232," ",G231," ",H231)</f>
        <v>"04-2026"  GC PUBLICIDAD T066 6688</v>
      </c>
      <c r="I232" s="10">
        <f>+H231</f>
        <v>6688</v>
      </c>
      <c r="J232" s="10" t="s">
        <v>1184</v>
      </c>
      <c r="L232" s="341">
        <v>377557</v>
      </c>
    </row>
    <row r="233" spans="1:20" x14ac:dyDescent="0.35">
      <c r="B233" s="4">
        <v>1537210003</v>
      </c>
      <c r="C233" s="251" t="s">
        <v>79</v>
      </c>
      <c r="D233" s="268">
        <f t="shared" si="12"/>
        <v>0</v>
      </c>
      <c r="E233" s="10" t="s">
        <v>80</v>
      </c>
      <c r="F233">
        <v>40</v>
      </c>
      <c r="G233" s="316" t="str">
        <f>+CONCATENATE($G$7,"  GC ",J233," T",G231," ",H231)</f>
        <v>"04-2026"  GC RETRO PUBLICI TT066 6688</v>
      </c>
      <c r="I233" s="10">
        <f>+I232</f>
        <v>6688</v>
      </c>
      <c r="J233" s="10" t="s">
        <v>1198</v>
      </c>
    </row>
    <row r="234" spans="1:20" x14ac:dyDescent="0.35">
      <c r="B234" s="4">
        <v>1532001605</v>
      </c>
      <c r="C234" s="251" t="s">
        <v>1197</v>
      </c>
      <c r="D234" s="268">
        <f t="shared" si="12"/>
        <v>182451.87</v>
      </c>
      <c r="E234" s="10" t="s">
        <v>80</v>
      </c>
      <c r="F234">
        <v>40</v>
      </c>
      <c r="G234" s="318" t="str">
        <f>+CONCATENATE($G$7,"  GC ",J234," T",G231," ",H231)</f>
        <v>"04-2026"  GC ENERGIA TT066 6688</v>
      </c>
      <c r="I234" s="10">
        <f>+I232</f>
        <v>6688</v>
      </c>
      <c r="J234" s="10" t="s">
        <v>855</v>
      </c>
      <c r="L234" s="341">
        <v>182451.87</v>
      </c>
    </row>
    <row r="235" spans="1:20" x14ac:dyDescent="0.35">
      <c r="B235" s="4">
        <v>1532001600</v>
      </c>
      <c r="C235" s="251" t="s">
        <v>973</v>
      </c>
      <c r="D235" s="268">
        <f t="shared" si="12"/>
        <v>52255</v>
      </c>
      <c r="E235" s="10" t="s">
        <v>80</v>
      </c>
      <c r="F235">
        <v>40</v>
      </c>
      <c r="G235" s="318" t="str">
        <f>+CONCATENATE($G$7,"  GC ",J235," T",G231," ",H231)</f>
        <v>"04-2026"  GC MTTO TT066 6688</v>
      </c>
      <c r="I235" s="10">
        <f>+I234</f>
        <v>6688</v>
      </c>
      <c r="J235" s="10" t="s">
        <v>1199</v>
      </c>
      <c r="L235" s="341">
        <v>52255</v>
      </c>
    </row>
    <row r="236" spans="1:20" x14ac:dyDescent="0.35">
      <c r="B236" s="4">
        <v>1532001600</v>
      </c>
      <c r="C236" s="251" t="s">
        <v>973</v>
      </c>
      <c r="D236" s="298">
        <f t="shared" si="12"/>
        <v>0</v>
      </c>
      <c r="E236" s="10" t="s">
        <v>80</v>
      </c>
      <c r="F236">
        <v>40</v>
      </c>
      <c r="G236" s="316" t="str">
        <f>+CONCATENATE($G$7,"  GC ",J236," T",G231," ",H231)</f>
        <v>"04-2026"  GC RETRO MTTO TT066 6688</v>
      </c>
      <c r="I236" s="10">
        <f>+I235</f>
        <v>6688</v>
      </c>
      <c r="J236" s="10" t="s">
        <v>1200</v>
      </c>
    </row>
    <row r="237" spans="1:20" x14ac:dyDescent="0.35">
      <c r="B237" s="4">
        <v>1245150017</v>
      </c>
      <c r="C237" s="251" t="s">
        <v>77</v>
      </c>
      <c r="D237" s="268">
        <f t="shared" si="12"/>
        <v>0</v>
      </c>
      <c r="E237" s="10" t="s">
        <v>80</v>
      </c>
      <c r="F237">
        <v>40</v>
      </c>
      <c r="G237" s="318" t="str">
        <f>+CONCATENATE($G$7,"  GC ",J237," T",G231," ",H231)</f>
        <v>"04-2026"  GC RETRO EXPENSAS TT066 6688</v>
      </c>
      <c r="I237" s="10">
        <f>+I234</f>
        <v>6688</v>
      </c>
      <c r="J237" s="10" t="s">
        <v>1201</v>
      </c>
    </row>
    <row r="238" spans="1:20" x14ac:dyDescent="0.35">
      <c r="B238" s="4">
        <v>1245150017</v>
      </c>
      <c r="C238" s="251" t="s">
        <v>77</v>
      </c>
      <c r="D238" s="299">
        <f t="shared" si="12"/>
        <v>1863741</v>
      </c>
      <c r="E238" s="10" t="s">
        <v>80</v>
      </c>
      <c r="F238">
        <v>40</v>
      </c>
      <c r="G238" s="318" t="str">
        <f>+CONCATENATE($G$7,"  GC ",J238," T",G231," ",H231)</f>
        <v>"04-2026"  GC EXPENSAS TT066 6688</v>
      </c>
      <c r="I238" s="10">
        <f>+I235</f>
        <v>6688</v>
      </c>
      <c r="J238" s="10" t="s">
        <v>1183</v>
      </c>
      <c r="L238" s="341">
        <v>1863741</v>
      </c>
    </row>
    <row r="239" spans="1:20" x14ac:dyDescent="0.35">
      <c r="C239" s="251" t="s">
        <v>76</v>
      </c>
      <c r="D239" s="265">
        <f>SUM(D232:D238)</f>
        <v>2476004.87</v>
      </c>
      <c r="G239" s="318" t="str">
        <f>+CONCATENATE($G$7,"  GC  T",G231," ",H231)</f>
        <v>"04-2026"  GC  TT066 6688</v>
      </c>
      <c r="I239" s="10">
        <f>+I238</f>
        <v>6688</v>
      </c>
      <c r="J239" s="10"/>
    </row>
    <row r="240" spans="1:20" x14ac:dyDescent="0.35">
      <c r="A240" s="130" t="s">
        <v>854</v>
      </c>
      <c r="B240" s="14">
        <v>210958</v>
      </c>
      <c r="C240" s="15" t="s">
        <v>966</v>
      </c>
      <c r="G240" s="361" t="s">
        <v>442</v>
      </c>
      <c r="H240" s="54">
        <f>+VLOOKUP(G240,ADMON!E:G,3,0)</f>
        <v>9103</v>
      </c>
      <c r="J240" s="350">
        <f>+VLOOKUP(H240,contratos!A:R,5,0)</f>
        <v>42948</v>
      </c>
      <c r="K240" s="266" t="str">
        <f>+VLOOKUP(H240,contratos!A:R,12,0)</f>
        <v>OK</v>
      </c>
      <c r="L240" s="341" t="str">
        <f>+VLOOKUP(H240,contratos!A:R,13,0)</f>
        <v>VIGENTE</v>
      </c>
      <c r="M240" s="341">
        <f>+VLOOKUP(H240,contratos!A:R,15,0)</f>
        <v>0</v>
      </c>
      <c r="N240" s="336">
        <f>+VLOOKUP(H240,contratos!A:R,16,0)</f>
        <v>0</v>
      </c>
      <c r="O240" s="341">
        <f>+VLOOKUP(H240,PRORRATEO!F:M,3,0)</f>
        <v>11637519</v>
      </c>
      <c r="P240" s="341">
        <f>+VLOOKUP(H240,PRORRATEO!F:M,4,0)</f>
        <v>2211128.61</v>
      </c>
      <c r="Q240" s="341">
        <f>+VLOOKUP(H240,PRORRATEO!F:M,5,0)</f>
        <v>179101.41740999999</v>
      </c>
      <c r="R240" s="341">
        <f>+VLOOKUP(H240,PRORRATEO!F:M,6,0)</f>
        <v>2032027.1925899999</v>
      </c>
      <c r="S240" s="339">
        <f>+VLOOKUP(H240,PRORRATEO!F:M,7,0)</f>
        <v>8.1000000000000003E-2</v>
      </c>
      <c r="T240" s="339">
        <f>+VLOOKUP(H240,PRORRATEO!F:M,8,0)</f>
        <v>0.91900000000000004</v>
      </c>
    </row>
    <row r="241" spans="1:20" x14ac:dyDescent="0.35">
      <c r="B241" s="4">
        <v>1537210003</v>
      </c>
      <c r="C241" s="251" t="s">
        <v>79</v>
      </c>
      <c r="D241" s="268">
        <v>306324</v>
      </c>
      <c r="E241" t="s">
        <v>80</v>
      </c>
      <c r="F241">
        <v>40</v>
      </c>
      <c r="G241" s="316" t="str">
        <f>+CONCATENATE($G$7,"  GC ",G240," ",H240)</f>
        <v>"04-2026"  GC T128 9103</v>
      </c>
      <c r="I241" s="10">
        <f>+H240</f>
        <v>9103</v>
      </c>
      <c r="J241" s="10"/>
    </row>
    <row r="242" spans="1:20" x14ac:dyDescent="0.35">
      <c r="B242" s="4">
        <v>1532001600</v>
      </c>
      <c r="C242" s="10" t="s">
        <v>987</v>
      </c>
      <c r="E242" t="s">
        <v>97</v>
      </c>
      <c r="G242" s="316" t="str">
        <f>+G241</f>
        <v>"04-2026"  GC T128 9103</v>
      </c>
      <c r="I242" s="10">
        <f>+I241</f>
        <v>9103</v>
      </c>
      <c r="J242" s="10"/>
    </row>
    <row r="243" spans="1:20" x14ac:dyDescent="0.35">
      <c r="B243" s="4">
        <v>1537210002</v>
      </c>
      <c r="C243" s="251" t="s">
        <v>85</v>
      </c>
      <c r="D243" s="323">
        <v>1390099</v>
      </c>
      <c r="E243" t="s">
        <v>80</v>
      </c>
      <c r="F243">
        <v>40</v>
      </c>
      <c r="G243" s="318" t="str">
        <f>+G241</f>
        <v>"04-2026"  GC T128 9103</v>
      </c>
      <c r="I243" s="10">
        <f>+I241</f>
        <v>9103</v>
      </c>
      <c r="J243" s="377"/>
    </row>
    <row r="244" spans="1:20" x14ac:dyDescent="0.35">
      <c r="C244" s="251" t="s">
        <v>76</v>
      </c>
      <c r="D244" s="265">
        <f>SUM(D241:D243)</f>
        <v>1696423</v>
      </c>
      <c r="G244" s="318" t="str">
        <f>+G243</f>
        <v>"04-2026"  GC T128 9103</v>
      </c>
      <c r="J244" s="10"/>
    </row>
    <row r="245" spans="1:20" x14ac:dyDescent="0.35">
      <c r="A245" s="130" t="s">
        <v>854</v>
      </c>
      <c r="B245" s="14">
        <v>204606</v>
      </c>
      <c r="C245" s="15" t="s">
        <v>969</v>
      </c>
      <c r="G245" s="361" t="s">
        <v>350</v>
      </c>
      <c r="H245" s="54">
        <f>+VLOOKUP(G245,ADMON!E:G,3,0)</f>
        <v>6564</v>
      </c>
      <c r="J245" s="350">
        <f>+VLOOKUP(H245,contratos!A:R,5,0)</f>
        <v>43040</v>
      </c>
      <c r="K245" s="266" t="str">
        <f>+VLOOKUP(H245,contratos!A:R,12,0)</f>
        <v>OK</v>
      </c>
      <c r="L245" s="341" t="str">
        <f>+VLOOKUP(H245,contratos!A:R,13,0)</f>
        <v>VIGENTE</v>
      </c>
      <c r="M245" s="341">
        <f>+VLOOKUP(H245,contratos!A:R,15,0)</f>
        <v>0</v>
      </c>
      <c r="N245" s="336">
        <f>+VLOOKUP(H245,contratos!A:R,16,0)</f>
        <v>0</v>
      </c>
      <c r="O245" s="341">
        <f>+VLOOKUP(H245,PRORRATEO!F:M,3,0)</f>
        <v>17875017</v>
      </c>
      <c r="P245" s="341">
        <f>+VLOOKUP(H245,PRORRATEO!F:M,4,0)</f>
        <v>3396253.23</v>
      </c>
      <c r="Q245" s="341">
        <f>+VLOOKUP(H245,PRORRATEO!F:M,5,0)</f>
        <v>353210.33591999998</v>
      </c>
      <c r="R245" s="341">
        <f>+VLOOKUP(H245,PRORRATEO!F:M,6,0)</f>
        <v>3043042.89408</v>
      </c>
      <c r="S245" s="339">
        <f>+VLOOKUP(H245,PRORRATEO!F:M,7,0)</f>
        <v>0.104</v>
      </c>
      <c r="T245" s="339">
        <f>+VLOOKUP(H245,PRORRATEO!F:M,8,0)</f>
        <v>0.89600000000000002</v>
      </c>
    </row>
    <row r="246" spans="1:20" x14ac:dyDescent="0.35">
      <c r="B246" s="383">
        <v>1245150017</v>
      </c>
      <c r="C246" s="251" t="s">
        <v>77</v>
      </c>
      <c r="D246" s="298">
        <v>1987407</v>
      </c>
      <c r="E246" s="10" t="s">
        <v>80</v>
      </c>
      <c r="F246" s="209">
        <v>40</v>
      </c>
      <c r="G246" s="316" t="str">
        <f>+CONCATENATE($G$7,"  GC ",G245," ",H245)</f>
        <v>"04-2026"  GC T008 6564</v>
      </c>
      <c r="I246" s="10">
        <f>+H245</f>
        <v>6564</v>
      </c>
      <c r="J246" s="317" t="s">
        <v>985</v>
      </c>
    </row>
    <row r="247" spans="1:20" x14ac:dyDescent="0.35">
      <c r="B247" s="263">
        <v>1537210004</v>
      </c>
      <c r="C247" s="251" t="s">
        <v>974</v>
      </c>
      <c r="D247" s="299"/>
      <c r="E247" s="10" t="s">
        <v>80</v>
      </c>
      <c r="F247" s="209">
        <v>40</v>
      </c>
      <c r="G247" s="348" t="str">
        <f>+G246</f>
        <v>"04-2026"  GC T008 6564</v>
      </c>
      <c r="I247" s="10">
        <f>+I246</f>
        <v>6564</v>
      </c>
      <c r="J247" s="10"/>
    </row>
    <row r="248" spans="1:20" x14ac:dyDescent="0.35">
      <c r="C248" s="251" t="s">
        <v>76</v>
      </c>
      <c r="D248" s="265">
        <f>SUM(D245:D247)</f>
        <v>1987407</v>
      </c>
      <c r="G248" s="316" t="str">
        <f>+G247</f>
        <v>"04-2026"  GC T008 6564</v>
      </c>
      <c r="J248" s="10"/>
    </row>
    <row r="249" spans="1:20" x14ac:dyDescent="0.35">
      <c r="A249" s="130" t="s">
        <v>854</v>
      </c>
      <c r="B249" s="14">
        <v>204606</v>
      </c>
      <c r="C249" s="15" t="s">
        <v>969</v>
      </c>
      <c r="G249" s="361" t="s">
        <v>451</v>
      </c>
      <c r="H249" s="54">
        <f>+VLOOKUP(G249,ADMON!E:G,3,0)</f>
        <v>6573</v>
      </c>
      <c r="J249" s="350">
        <f>+VLOOKUP(H249,contratos!A:R,5,0)</f>
        <v>43466</v>
      </c>
      <c r="K249" s="266" t="str">
        <f>+VLOOKUP(H249,contratos!A:R,12,0)</f>
        <v>CESADO</v>
      </c>
      <c r="L249" s="341" t="str">
        <f>+VLOOKUP(H249,contratos!A:R,13,0)</f>
        <v>CERRADA</v>
      </c>
      <c r="M249" s="341">
        <f>+VLOOKUP(H249,contratos!A:R,15,0)</f>
        <v>0</v>
      </c>
      <c r="N249" s="336">
        <f>+VLOOKUP(H249,contratos!A:R,16,0)</f>
        <v>0</v>
      </c>
      <c r="O249" s="341">
        <f>+VLOOKUP(H249,PRORRATEO!F:M,3,0)</f>
        <v>15500009</v>
      </c>
      <c r="P249" s="341">
        <f>+VLOOKUP(H249,PRORRATEO!F:M,4,0)</f>
        <v>2945001.71</v>
      </c>
      <c r="Q249" s="341">
        <f>+VLOOKUP(H249,PRORRATEO!F:M,5,0)</f>
        <v>203205.11799000003</v>
      </c>
      <c r="R249" s="341">
        <f>+VLOOKUP(H249,PRORRATEO!F:M,6,0)</f>
        <v>2741796.5920100003</v>
      </c>
      <c r="S249" s="339">
        <f>+VLOOKUP(H249,PRORRATEO!F:M,7,0)</f>
        <v>6.9000000000000006E-2</v>
      </c>
      <c r="T249" s="339">
        <f>+VLOOKUP(H249,PRORRATEO!F:M,8,0)</f>
        <v>0.93100000000000005</v>
      </c>
    </row>
    <row r="250" spans="1:20" x14ac:dyDescent="0.35">
      <c r="B250" s="209">
        <v>1537210002</v>
      </c>
      <c r="C250" s="251" t="s">
        <v>85</v>
      </c>
      <c r="D250" s="268">
        <f>1078676+405348</f>
        <v>1484024</v>
      </c>
      <c r="E250" s="10" t="s">
        <v>80</v>
      </c>
      <c r="F250" s="209">
        <v>40</v>
      </c>
      <c r="G250" s="348" t="str">
        <f>+CONCATENATE($G$7,"  GC T",G249," ",H249)</f>
        <v>"04-2026"  GC TT013 6573</v>
      </c>
      <c r="I250" s="10">
        <f>+H249</f>
        <v>6573</v>
      </c>
      <c r="J250" s="10"/>
    </row>
    <row r="251" spans="1:20" x14ac:dyDescent="0.35">
      <c r="B251" s="263">
        <v>1537210004</v>
      </c>
      <c r="C251" s="251" t="s">
        <v>974</v>
      </c>
      <c r="D251" s="299">
        <v>22864</v>
      </c>
      <c r="E251" s="10" t="s">
        <v>80</v>
      </c>
      <c r="F251" s="209">
        <v>40</v>
      </c>
      <c r="G251" s="348" t="str">
        <f>+G250</f>
        <v>"04-2026"  GC TT013 6573</v>
      </c>
      <c r="I251" s="10">
        <f>+I250</f>
        <v>6573</v>
      </c>
      <c r="J251" s="10"/>
    </row>
    <row r="252" spans="1:20" x14ac:dyDescent="0.35">
      <c r="C252" s="251" t="s">
        <v>76</v>
      </c>
      <c r="D252" s="265">
        <f>SUM(D250:D251)</f>
        <v>1506888</v>
      </c>
      <c r="G252" s="316" t="str">
        <f>+G251</f>
        <v>"04-2026"  GC TT013 6573</v>
      </c>
      <c r="J252" s="10"/>
    </row>
    <row r="253" spans="1:20" x14ac:dyDescent="0.35">
      <c r="A253" s="130" t="s">
        <v>854</v>
      </c>
      <c r="B253" s="14">
        <v>204606</v>
      </c>
      <c r="C253" s="15" t="s">
        <v>969</v>
      </c>
      <c r="G253" s="361" t="s">
        <v>462</v>
      </c>
      <c r="H253" s="54">
        <f>+VLOOKUP(G253,ADMON!E:G,3,0)</f>
        <v>9216</v>
      </c>
      <c r="J253" s="350">
        <f>+VLOOKUP(H253,contratos!A:R,5,0)</f>
        <v>43466</v>
      </c>
      <c r="K253" s="266" t="str">
        <f>+VLOOKUP(H253,contratos!A:R,12,0)</f>
        <v>VENCIDO</v>
      </c>
      <c r="L253" s="341" t="str">
        <f>+VLOOKUP(H253,contratos!A:R,13,0)</f>
        <v>CESADO</v>
      </c>
      <c r="M253" s="341">
        <f>+VLOOKUP(H253,contratos!A:R,15,0)</f>
        <v>0</v>
      </c>
      <c r="N253" s="336">
        <f>+VLOOKUP(H253,contratos!A:R,16,0)</f>
        <v>0</v>
      </c>
      <c r="O253" s="341">
        <f>+VLOOKUP(H253,PRORRATEO!F:M,3,0)</f>
        <v>44092975</v>
      </c>
      <c r="P253" s="341">
        <f>+VLOOKUP(H253,PRORRATEO!F:M,4,0)</f>
        <v>8377665.25</v>
      </c>
      <c r="Q253" s="341">
        <f>+VLOOKUP(H253,PRORRATEO!F:M,5,0)</f>
        <v>494282.24974999996</v>
      </c>
      <c r="R253" s="341">
        <f>+VLOOKUP(H253,PRORRATEO!F:M,6,0)</f>
        <v>7883383.0002499996</v>
      </c>
      <c r="S253" s="339">
        <f>+VLOOKUP(H253,PRORRATEO!F:M,7,0)</f>
        <v>5.8999999999999997E-2</v>
      </c>
      <c r="T253" s="339">
        <f>+VLOOKUP(H253,PRORRATEO!F:M,8,0)</f>
        <v>0.94099999999999995</v>
      </c>
    </row>
    <row r="254" spans="1:20" x14ac:dyDescent="0.35">
      <c r="B254" s="209">
        <v>1537210002</v>
      </c>
      <c r="C254" s="251" t="s">
        <v>85</v>
      </c>
      <c r="D254" s="268">
        <v>3138818</v>
      </c>
      <c r="E254" s="10" t="s">
        <v>80</v>
      </c>
      <c r="F254" s="209">
        <v>40</v>
      </c>
      <c r="G254" s="316" t="str">
        <f>+CONCATENATE($G$7,"  GC T",G253," ",H253)</f>
        <v>"04-2026"  GC TT133 9216</v>
      </c>
      <c r="I254" s="10">
        <f>+H253</f>
        <v>9216</v>
      </c>
      <c r="J254" s="317" t="s">
        <v>985</v>
      </c>
    </row>
    <row r="255" spans="1:20" x14ac:dyDescent="0.35">
      <c r="B255" s="263">
        <v>1537210004</v>
      </c>
      <c r="C255" s="251" t="s">
        <v>974</v>
      </c>
      <c r="D255" s="299"/>
      <c r="E255" s="10" t="s">
        <v>80</v>
      </c>
      <c r="F255" s="209">
        <v>40</v>
      </c>
      <c r="G255" s="316" t="str">
        <f>+G254</f>
        <v>"04-2026"  GC TT133 9216</v>
      </c>
      <c r="I255" s="10">
        <f>+I254</f>
        <v>9216</v>
      </c>
      <c r="J255" s="317"/>
    </row>
    <row r="256" spans="1:20" x14ac:dyDescent="0.35">
      <c r="B256" s="14"/>
      <c r="C256" s="15" t="s">
        <v>76</v>
      </c>
      <c r="D256" s="265">
        <f>SUM(D254:D255)</f>
        <v>3138818</v>
      </c>
      <c r="G256" s="316" t="str">
        <f>+G255</f>
        <v>"04-2026"  GC TT133 9216</v>
      </c>
      <c r="J256" s="10"/>
    </row>
    <row r="257" spans="1:20" x14ac:dyDescent="0.35">
      <c r="A257" s="130" t="s">
        <v>854</v>
      </c>
      <c r="B257" s="14">
        <v>205843</v>
      </c>
      <c r="C257" s="15" t="s">
        <v>970</v>
      </c>
      <c r="G257" s="361" t="s">
        <v>601</v>
      </c>
      <c r="H257" s="54">
        <f>+VLOOKUP(G257,ADMON!E:G,3,0)</f>
        <v>6764</v>
      </c>
      <c r="J257" s="350">
        <f>+VLOOKUP(H257,contratos!A:R,5,0)</f>
        <v>42736</v>
      </c>
      <c r="K257" s="266" t="str">
        <f>+VLOOKUP(H257,contratos!A:R,12,0)</f>
        <v>OK</v>
      </c>
      <c r="L257" s="341" t="str">
        <f>+VLOOKUP(H257,contratos!A:R,13,0)</f>
        <v>VIGENTE</v>
      </c>
      <c r="M257" s="341">
        <f>+VLOOKUP(H257,contratos!A:R,15,0)</f>
        <v>0</v>
      </c>
      <c r="N257" s="336">
        <f>+VLOOKUP(H257,contratos!A:R,16,0)</f>
        <v>0</v>
      </c>
      <c r="O257" s="341">
        <f>+VLOOKUP(H257,PRORRATEO!F:M,3,0)</f>
        <v>14395286</v>
      </c>
      <c r="P257" s="341">
        <f>+VLOOKUP(H257,PRORRATEO!F:M,4,0)</f>
        <v>2735104.34</v>
      </c>
      <c r="Q257" s="341">
        <f>+VLOOKUP(H257,PRORRATEO!F:M,5,0)</f>
        <v>235218.97323999996</v>
      </c>
      <c r="R257" s="341">
        <f>+VLOOKUP(H257,PRORRATEO!F:M,6,0)</f>
        <v>2499885.3667600001</v>
      </c>
      <c r="S257" s="339">
        <f>+VLOOKUP(H257,PRORRATEO!F:M,7,0)</f>
        <v>8.5999999999999993E-2</v>
      </c>
      <c r="T257" s="339">
        <f>+VLOOKUP(H257,PRORRATEO!F:M,8,0)</f>
        <v>0.91400000000000003</v>
      </c>
    </row>
    <row r="258" spans="1:20" x14ac:dyDescent="0.35">
      <c r="B258" s="4">
        <v>1537210002</v>
      </c>
      <c r="C258" s="251" t="s">
        <v>85</v>
      </c>
      <c r="E258" s="10" t="s">
        <v>80</v>
      </c>
      <c r="F258">
        <v>40</v>
      </c>
      <c r="G258" s="316" t="str">
        <f>+CONCATENATE($G$7,"  GC T",G257," ",H257)</f>
        <v>"04-2026"  GC TT092 6764</v>
      </c>
      <c r="I258" s="10">
        <f>+H257</f>
        <v>6764</v>
      </c>
      <c r="J258" s="10"/>
    </row>
    <row r="259" spans="1:20" x14ac:dyDescent="0.35">
      <c r="B259" s="132">
        <v>1537210004</v>
      </c>
      <c r="C259" s="251" t="s">
        <v>1117</v>
      </c>
      <c r="D259" s="268">
        <v>3391</v>
      </c>
      <c r="E259" s="10" t="s">
        <v>80</v>
      </c>
      <c r="F259">
        <v>40</v>
      </c>
      <c r="G259" s="316" t="str">
        <f>+CONCATENATE($G$7,"  INTERES T",G257," ",H257)</f>
        <v>"04-2026"  INTERES TT092 6764</v>
      </c>
      <c r="I259" s="10">
        <f>+I258</f>
        <v>6764</v>
      </c>
      <c r="J259" s="10"/>
    </row>
    <row r="260" spans="1:20" x14ac:dyDescent="0.35">
      <c r="B260" s="132">
        <v>1245150017</v>
      </c>
      <c r="C260" s="251" t="s">
        <v>77</v>
      </c>
      <c r="D260" s="299">
        <v>2505692</v>
      </c>
      <c r="E260" s="10" t="s">
        <v>80</v>
      </c>
      <c r="F260">
        <v>40</v>
      </c>
      <c r="G260" s="318" t="str">
        <f>+G258</f>
        <v>"04-2026"  GC TT092 6764</v>
      </c>
      <c r="I260" s="10">
        <f>+I258</f>
        <v>6764</v>
      </c>
      <c r="J260" s="10"/>
    </row>
    <row r="261" spans="1:20" x14ac:dyDescent="0.35">
      <c r="C261" s="251" t="s">
        <v>76</v>
      </c>
      <c r="D261" s="332">
        <f>SUM(D258:D260)</f>
        <v>2509083</v>
      </c>
      <c r="G261" s="318" t="str">
        <f>+CONCATENATE($G$7,"  GC/INTERES T",G257," ",H257)</f>
        <v>"04-2026"  GC/INTERES TT092 6764</v>
      </c>
      <c r="J261" s="350"/>
      <c r="N261" s="336"/>
    </row>
    <row r="262" spans="1:20" x14ac:dyDescent="0.35">
      <c r="A262" s="130" t="s">
        <v>854</v>
      </c>
      <c r="B262" s="14">
        <v>206868</v>
      </c>
      <c r="C262" s="15" t="s">
        <v>401</v>
      </c>
      <c r="G262" s="10" t="str">
        <f>VLOOKUP(B262,ADMON!A:P,5,0)</f>
        <v>T111</v>
      </c>
      <c r="H262" s="54">
        <f>+VLOOKUP(G262,ADMON!E:G,3,0)</f>
        <v>8751</v>
      </c>
      <c r="J262" s="350">
        <f>+VLOOKUP(H262,contratos!A:R,5,0)</f>
        <v>45566</v>
      </c>
      <c r="K262" s="266" t="str">
        <f>+VLOOKUP(H262,contratos!A:R,12,0)</f>
        <v>OK</v>
      </c>
      <c r="L262" s="341" t="str">
        <f>+VLOOKUP(H262,contratos!A:R,13,0)</f>
        <v>VIGENTE</v>
      </c>
      <c r="M262" s="341">
        <f>+VLOOKUP(H262,contratos!A:R,15,0)</f>
        <v>0</v>
      </c>
      <c r="N262" s="336">
        <f>+VLOOKUP(H262,contratos!A:R,16,0)</f>
        <v>0</v>
      </c>
      <c r="O262" s="341">
        <f>+VLOOKUP(H262,PRORRATEO!F:M,3,0)</f>
        <v>13676000</v>
      </c>
      <c r="P262" s="341">
        <f>+VLOOKUP(H262,PRORRATEO!F:M,4,0)</f>
        <v>2598440</v>
      </c>
      <c r="Q262" s="341">
        <f>+VLOOKUP(H262,PRORRATEO!F:M,5,0)</f>
        <v>142914.20000000001</v>
      </c>
      <c r="R262" s="341">
        <f>+VLOOKUP(H262,PRORRATEO!F:M,6,0)</f>
        <v>2455525.7999999998</v>
      </c>
      <c r="S262" s="339">
        <f>+VLOOKUP(H262,PRORRATEO!F:M,7,0)</f>
        <v>5.5E-2</v>
      </c>
      <c r="T262" s="339">
        <f>+VLOOKUP(H262,PRORRATEO!F:M,8,0)</f>
        <v>0.94499999999999995</v>
      </c>
    </row>
    <row r="263" spans="1:20" x14ac:dyDescent="0.35">
      <c r="B263" s="4">
        <v>1537210003</v>
      </c>
      <c r="C263" s="251" t="s">
        <v>79</v>
      </c>
      <c r="D263" s="268">
        <v>467381</v>
      </c>
      <c r="E263" s="10" t="s">
        <v>80</v>
      </c>
      <c r="F263">
        <v>40</v>
      </c>
      <c r="G263" s="348" t="str">
        <f>+CONCATENATE($G$7,"  GC T",G262," ",H262)</f>
        <v>"04-2026"  GC TT111 8751</v>
      </c>
      <c r="I263" s="10">
        <f>+H262</f>
        <v>8751</v>
      </c>
      <c r="J263" s="10"/>
    </row>
    <row r="264" spans="1:20" x14ac:dyDescent="0.35">
      <c r="B264" s="4">
        <v>1532001605</v>
      </c>
      <c r="C264" s="251" t="s">
        <v>1030</v>
      </c>
      <c r="D264" s="268">
        <v>544126</v>
      </c>
      <c r="E264" s="10" t="s">
        <v>80</v>
      </c>
      <c r="F264">
        <v>40</v>
      </c>
      <c r="G264" s="318" t="str">
        <f>+G263</f>
        <v>"04-2026"  GC TT111 8751</v>
      </c>
      <c r="I264" s="10">
        <f>+I263</f>
        <v>8751</v>
      </c>
      <c r="J264" s="10"/>
    </row>
    <row r="265" spans="1:20" x14ac:dyDescent="0.35">
      <c r="B265" s="4">
        <v>1537210002</v>
      </c>
      <c r="C265" s="251" t="s">
        <v>85</v>
      </c>
      <c r="D265" s="323">
        <v>3771393</v>
      </c>
      <c r="E265" s="10" t="s">
        <v>80</v>
      </c>
      <c r="F265">
        <v>40</v>
      </c>
      <c r="G265" s="318" t="str">
        <f>+G264</f>
        <v>"04-2026"  GC TT111 8751</v>
      </c>
      <c r="I265" s="10">
        <f>+I264</f>
        <v>8751</v>
      </c>
      <c r="J265" s="10"/>
    </row>
    <row r="266" spans="1:20" x14ac:dyDescent="0.35">
      <c r="C266" s="251" t="s">
        <v>76</v>
      </c>
      <c r="D266" s="265">
        <f>SUM(D263:D265)</f>
        <v>4782900</v>
      </c>
      <c r="G266" s="318" t="str">
        <f>+G265</f>
        <v>"04-2026"  GC TT111 8751</v>
      </c>
      <c r="I266" s="10">
        <f>+I265</f>
        <v>8751</v>
      </c>
      <c r="J266" s="10"/>
    </row>
    <row r="267" spans="1:20" x14ac:dyDescent="0.35">
      <c r="A267" s="130" t="s">
        <v>854</v>
      </c>
      <c r="B267" s="14">
        <v>204600</v>
      </c>
      <c r="C267" s="15" t="s">
        <v>971</v>
      </c>
      <c r="G267" s="361" t="s">
        <v>334</v>
      </c>
      <c r="H267" s="54">
        <f>+VLOOKUP(G267,ADMON!E:G,3,0)</f>
        <v>6553</v>
      </c>
      <c r="J267" s="350">
        <f>+VLOOKUP(H267,contratos!A:R,5,0)</f>
        <v>42370</v>
      </c>
      <c r="K267" s="266" t="str">
        <f>+VLOOKUP(H267,contratos!A:R,12,0)</f>
        <v>OK</v>
      </c>
      <c r="L267" s="341" t="str">
        <f>+VLOOKUP(H267,contratos!A:R,13,0)</f>
        <v>VIGENTE</v>
      </c>
      <c r="M267" s="341">
        <f>+VLOOKUP(H267,contratos!A:R,15,0)</f>
        <v>0</v>
      </c>
      <c r="N267" s="336">
        <f>+VLOOKUP(H267,contratos!A:R,16,0)</f>
        <v>0</v>
      </c>
      <c r="O267" s="341">
        <f>+VLOOKUP(H267,PRORRATEO!F:M,3,0)</f>
        <v>33513583</v>
      </c>
      <c r="P267" s="341">
        <f>+VLOOKUP(H267,PRORRATEO!F:M,4,0)</f>
        <v>6367580.7700000005</v>
      </c>
      <c r="Q267" s="341">
        <f>+VLOOKUP(H267,PRORRATEO!F:M,5,0)</f>
        <v>432995.49236000009</v>
      </c>
      <c r="R267" s="341">
        <f>+VLOOKUP(H267,PRORRATEO!F:M,6,0)</f>
        <v>5934585.2776400009</v>
      </c>
      <c r="S267" s="339">
        <f>+VLOOKUP(H267,PRORRATEO!F:M,7,0)</f>
        <v>6.8000000000000005E-2</v>
      </c>
      <c r="T267" s="339">
        <f>+VLOOKUP(H267,PRORRATEO!F:M,8,0)</f>
        <v>0.93200000000000005</v>
      </c>
    </row>
    <row r="268" spans="1:20" x14ac:dyDescent="0.35">
      <c r="B268" s="263">
        <v>1537210004</v>
      </c>
      <c r="C268" s="251" t="s">
        <v>974</v>
      </c>
      <c r="D268" s="324">
        <v>3248</v>
      </c>
      <c r="E268" s="10" t="s">
        <v>80</v>
      </c>
      <c r="F268">
        <v>40</v>
      </c>
      <c r="G268" s="316" t="str">
        <f>+CONCATENATE($G$7,"  GC ",G267," ",H267)</f>
        <v>"04-2026"  GC T003 6553</v>
      </c>
      <c r="I268" s="10">
        <f>+H267</f>
        <v>6553</v>
      </c>
      <c r="J268" s="10"/>
    </row>
    <row r="269" spans="1:20" x14ac:dyDescent="0.35">
      <c r="B269" s="263">
        <v>1537210002</v>
      </c>
      <c r="C269" s="251" t="s">
        <v>85</v>
      </c>
      <c r="D269" s="326">
        <v>2317585</v>
      </c>
      <c r="E269" s="10" t="s">
        <v>80</v>
      </c>
      <c r="F269">
        <v>40</v>
      </c>
      <c r="G269" s="318" t="str">
        <f>+G268</f>
        <v>"04-2026"  GC T003 6553</v>
      </c>
      <c r="I269" s="10">
        <f>+I268</f>
        <v>6553</v>
      </c>
      <c r="J269" s="10"/>
    </row>
    <row r="270" spans="1:20" x14ac:dyDescent="0.35">
      <c r="C270" s="251" t="s">
        <v>76</v>
      </c>
      <c r="D270" s="265">
        <f>SUM(D268:D269)</f>
        <v>2320833</v>
      </c>
      <c r="G270" s="318" t="str">
        <f>+G269</f>
        <v>"04-2026"  GC T003 6553</v>
      </c>
      <c r="J270" s="10"/>
    </row>
    <row r="271" spans="1:20" x14ac:dyDescent="0.35">
      <c r="A271" s="130" t="s">
        <v>854</v>
      </c>
      <c r="B271" s="14">
        <v>204600</v>
      </c>
      <c r="C271" s="15" t="s">
        <v>971</v>
      </c>
      <c r="G271" s="361" t="s">
        <v>605</v>
      </c>
      <c r="H271" s="54">
        <f>+VLOOKUP(G271,ADMON!E:G,3,0)</f>
        <v>6766</v>
      </c>
      <c r="J271" s="350">
        <f>+VLOOKUP(H271,contratos!A:R,5,0)</f>
        <v>41913</v>
      </c>
      <c r="K271" s="266" t="str">
        <f>+VLOOKUP(H271,contratos!A:R,12,0)</f>
        <v>VENCIDO</v>
      </c>
      <c r="L271" s="341" t="str">
        <f>+VLOOKUP(H271,contratos!A:R,13,0)</f>
        <v>CERRADA</v>
      </c>
      <c r="M271" s="341">
        <f>+VLOOKUP(H271,contratos!A:R,15,0)</f>
        <v>0</v>
      </c>
      <c r="N271" s="336">
        <f>+VLOOKUP(H271,contratos!A:R,16,0)</f>
        <v>0</v>
      </c>
      <c r="O271" s="341">
        <f>+VLOOKUP(H271,PRORRATEO!F:M,3,0)</f>
        <v>28412800</v>
      </c>
      <c r="P271" s="341">
        <f>+VLOOKUP(H271,PRORRATEO!F:M,4,0)</f>
        <v>5398432</v>
      </c>
      <c r="Q271" s="341">
        <f>+VLOOKUP(H271,PRORRATEO!F:M,5,0)</f>
        <v>685600.86400000006</v>
      </c>
      <c r="R271" s="341">
        <f>+VLOOKUP(H271,PRORRATEO!F:M,6,0)</f>
        <v>4712831.1359999999</v>
      </c>
      <c r="S271" s="339">
        <f>+VLOOKUP(H271,PRORRATEO!F:M,7,0)</f>
        <v>0.127</v>
      </c>
      <c r="T271" s="339">
        <f>+VLOOKUP(H271,PRORRATEO!F:M,8,0)</f>
        <v>0.873</v>
      </c>
    </row>
    <row r="272" spans="1:20" x14ac:dyDescent="0.35">
      <c r="B272" s="250">
        <v>1245150017</v>
      </c>
      <c r="C272" s="251" t="s">
        <v>77</v>
      </c>
      <c r="D272" s="324">
        <v>1649513</v>
      </c>
      <c r="E272" s="10" t="s">
        <v>80</v>
      </c>
      <c r="F272" s="250">
        <v>40</v>
      </c>
      <c r="G272" s="316" t="str">
        <f>+CONCATENATE($G$7,"  GC ",G271," ",H271)</f>
        <v>"04-2026"  GC T096 6766</v>
      </c>
      <c r="I272" s="10">
        <f>+H271</f>
        <v>6766</v>
      </c>
      <c r="J272" s="10"/>
    </row>
    <row r="273" spans="1:25" x14ac:dyDescent="0.35">
      <c r="B273" s="263">
        <v>1537210004</v>
      </c>
      <c r="C273" s="251" t="s">
        <v>974</v>
      </c>
      <c r="D273" s="326"/>
      <c r="E273" s="10" t="s">
        <v>80</v>
      </c>
      <c r="F273" s="250">
        <v>40</v>
      </c>
      <c r="G273" s="318" t="str">
        <f>+G272</f>
        <v>"04-2026"  GC T096 6766</v>
      </c>
      <c r="I273" s="10">
        <f>+I272</f>
        <v>6766</v>
      </c>
      <c r="J273" s="10"/>
    </row>
    <row r="274" spans="1:25" x14ac:dyDescent="0.35">
      <c r="C274" s="251" t="s">
        <v>76</v>
      </c>
      <c r="D274" s="265">
        <f>SUM(D272:D273)</f>
        <v>1649513</v>
      </c>
      <c r="G274" s="318" t="str">
        <f>+G273</f>
        <v>"04-2026"  GC T096 6766</v>
      </c>
      <c r="I274" s="10">
        <f>+I273</f>
        <v>6766</v>
      </c>
      <c r="J274" s="10"/>
    </row>
    <row r="275" spans="1:25" x14ac:dyDescent="0.35">
      <c r="A275" s="130" t="s">
        <v>854</v>
      </c>
      <c r="B275" s="14">
        <v>204600</v>
      </c>
      <c r="C275" s="15" t="s">
        <v>971</v>
      </c>
      <c r="G275" s="361" t="s">
        <v>334</v>
      </c>
      <c r="H275" s="54">
        <f>+VLOOKUP(G275,ADMON!E:G,3,0)</f>
        <v>6553</v>
      </c>
      <c r="J275" s="350">
        <f>+VLOOKUP(H275,contratos!A:R,5,0)</f>
        <v>42370</v>
      </c>
      <c r="K275" s="266" t="str">
        <f>+VLOOKUP(H275,contratos!A:R,12,0)</f>
        <v>OK</v>
      </c>
      <c r="L275" s="341" t="str">
        <f>+VLOOKUP(H275,contratos!A:R,13,0)</f>
        <v>VIGENTE</v>
      </c>
      <c r="M275" s="341">
        <f>+VLOOKUP(H275,contratos!A:R,15,0)</f>
        <v>0</v>
      </c>
      <c r="N275" s="336">
        <f>+VLOOKUP(H275,contratos!A:R,16,0)</f>
        <v>0</v>
      </c>
      <c r="O275" s="341">
        <f>+VLOOKUP(H275,PRORRATEO!F:M,3,0)</f>
        <v>33513583</v>
      </c>
      <c r="P275" s="341">
        <f>+VLOOKUP(H275,PRORRATEO!F:M,4,0)</f>
        <v>6367580.7700000005</v>
      </c>
      <c r="Q275" s="341">
        <f>+VLOOKUP(H275,PRORRATEO!F:M,5,0)</f>
        <v>432995.49236000009</v>
      </c>
      <c r="R275" s="341">
        <f>+VLOOKUP(H275,PRORRATEO!F:M,6,0)</f>
        <v>5934585.2776400009</v>
      </c>
      <c r="S275" s="339">
        <f>+VLOOKUP(H275,PRORRATEO!F:M,7,0)</f>
        <v>6.8000000000000005E-2</v>
      </c>
      <c r="T275" s="339">
        <f>+VLOOKUP(H275,PRORRATEO!F:M,8,0)</f>
        <v>0.93200000000000005</v>
      </c>
    </row>
    <row r="276" spans="1:25" x14ac:dyDescent="0.35">
      <c r="B276" s="263">
        <v>1537210004</v>
      </c>
      <c r="C276" s="251" t="s">
        <v>974</v>
      </c>
      <c r="D276" s="324">
        <v>6375</v>
      </c>
      <c r="E276" s="10" t="s">
        <v>80</v>
      </c>
      <c r="F276">
        <v>40</v>
      </c>
      <c r="G276" s="348" t="str">
        <f>+CONCATENATE($G$7,"  GC ",G275," ",H275)</f>
        <v>"04-2026"  GC T003 6553</v>
      </c>
      <c r="I276" s="10">
        <f>+H275</f>
        <v>6553</v>
      </c>
      <c r="J276" s="10"/>
    </row>
    <row r="277" spans="1:25" x14ac:dyDescent="0.35">
      <c r="B277" s="263">
        <v>1537210002</v>
      </c>
      <c r="C277" s="251" t="s">
        <v>85</v>
      </c>
      <c r="D277" s="326">
        <v>1884216</v>
      </c>
      <c r="E277" s="10" t="s">
        <v>80</v>
      </c>
      <c r="F277">
        <v>40</v>
      </c>
      <c r="G277" s="318" t="str">
        <f>+G276</f>
        <v>"04-2026"  GC T003 6553</v>
      </c>
      <c r="I277" s="10">
        <f>+I276</f>
        <v>6553</v>
      </c>
      <c r="J277" s="10"/>
    </row>
    <row r="278" spans="1:25" x14ac:dyDescent="0.35">
      <c r="C278" s="251" t="s">
        <v>76</v>
      </c>
      <c r="D278" s="265">
        <f>SUM(D276:D277)</f>
        <v>1890591</v>
      </c>
      <c r="G278" s="318" t="str">
        <f>+G277</f>
        <v>"04-2026"  GC T003 6553</v>
      </c>
      <c r="J278" s="10"/>
    </row>
    <row r="279" spans="1:25" x14ac:dyDescent="0.35">
      <c r="A279" s="130" t="s">
        <v>854</v>
      </c>
      <c r="B279" s="14">
        <v>204603</v>
      </c>
      <c r="C279" s="15" t="s">
        <v>20</v>
      </c>
      <c r="G279" s="10" t="str">
        <f>VLOOKUP(B279,ADMON!A:P,5,0)</f>
        <v>T077</v>
      </c>
      <c r="H279" s="54">
        <f>+VLOOKUP(G279,ADMON!E:G,3,0)</f>
        <v>6701</v>
      </c>
      <c r="J279" s="350">
        <f>+VLOOKUP(H279,contratos!A:R,5,0)</f>
        <v>41760</v>
      </c>
      <c r="K279" s="266" t="str">
        <f>+VLOOKUP(H279,contratos!A:R,12,0)</f>
        <v>OK</v>
      </c>
      <c r="L279" s="341" t="str">
        <f>+VLOOKUP(H279,contratos!A:R,13,0)</f>
        <v>POR VENCER</v>
      </c>
      <c r="M279" s="341">
        <f>+VLOOKUP(H279,contratos!A:R,15,0)</f>
        <v>0</v>
      </c>
      <c r="N279" s="336">
        <f>+VLOOKUP(H279,contratos!A:R,16,0)</f>
        <v>0</v>
      </c>
      <c r="O279" s="341">
        <f>+VLOOKUP(H279,PRORRATEO!F:M,3,0)</f>
        <v>14889000</v>
      </c>
      <c r="P279" s="341">
        <f>+VLOOKUP(H279,PRORRATEO!F:M,4,0)</f>
        <v>2828910</v>
      </c>
      <c r="Q279" s="341">
        <f>+VLOOKUP(H279,PRORRATEO!F:M,5,0)</f>
        <v>115985.31</v>
      </c>
      <c r="R279" s="341">
        <f>+VLOOKUP(H279,PRORRATEO!F:M,6,0)</f>
        <v>2712924.69</v>
      </c>
      <c r="S279" s="339">
        <f>+VLOOKUP(H279,PRORRATEO!F:M,7,0)</f>
        <v>4.1000000000000002E-2</v>
      </c>
      <c r="T279" s="339">
        <f>+VLOOKUP(H279,PRORRATEO!F:M,8,0)</f>
        <v>0.95899999999999996</v>
      </c>
    </row>
    <row r="280" spans="1:25" x14ac:dyDescent="0.35">
      <c r="B280">
        <f>+B300</f>
        <v>1149120011</v>
      </c>
      <c r="C280"/>
      <c r="D280"/>
      <c r="E280" s="16">
        <f>+D300</f>
        <v>121928.75092000001</v>
      </c>
      <c r="G280" t="str">
        <f>+E300</f>
        <v>VQ</v>
      </c>
      <c r="H280"/>
      <c r="I280"/>
      <c r="J280"/>
      <c r="K280" s="12" t="str">
        <f>G300</f>
        <v>"04-2026"  RF TT012 6572</v>
      </c>
      <c r="L280"/>
      <c r="M280"/>
      <c r="N280"/>
      <c r="O280"/>
      <c r="P280" s="269">
        <f>+L300</f>
        <v>0</v>
      </c>
      <c r="Q280"/>
      <c r="R280"/>
      <c r="S280"/>
      <c r="T280"/>
      <c r="X280" s="269"/>
      <c r="Y280" s="269">
        <f t="shared" ref="Y280" si="13">+L300</f>
        <v>0</v>
      </c>
    </row>
    <row r="281" spans="1:25" x14ac:dyDescent="0.35">
      <c r="C281" s="251" t="s">
        <v>76</v>
      </c>
      <c r="D281" s="265">
        <f>SUM(D279:D280)</f>
        <v>0</v>
      </c>
      <c r="G281" s="318" t="str">
        <f>+G280</f>
        <v>VQ</v>
      </c>
      <c r="I281" s="10">
        <f>+I280</f>
        <v>0</v>
      </c>
      <c r="J281" s="10"/>
    </row>
    <row r="282" spans="1:25" x14ac:dyDescent="0.35">
      <c r="A282" s="130" t="s">
        <v>854</v>
      </c>
      <c r="B282" s="14">
        <v>204648</v>
      </c>
      <c r="C282" s="15" t="s">
        <v>968</v>
      </c>
      <c r="G282" s="10" t="str">
        <f>VLOOKUP(B282,ADMON!A:P,5,0)</f>
        <v>T005</v>
      </c>
      <c r="H282" s="54">
        <f>+VLOOKUP(G282,ADMON!E:G,3,0)</f>
        <v>6556</v>
      </c>
      <c r="J282" s="350">
        <f>+VLOOKUP(H282,contratos!A:R,5,0)</f>
        <v>42345</v>
      </c>
      <c r="K282" s="266" t="str">
        <f>+VLOOKUP(H282,contratos!A:R,12,0)</f>
        <v>OK</v>
      </c>
      <c r="L282" s="341" t="str">
        <f>+VLOOKUP(H282,contratos!A:R,13,0)</f>
        <v>VIGENTE</v>
      </c>
      <c r="M282" s="341">
        <f>+VLOOKUP(H282,contratos!A:R,15,0)</f>
        <v>0</v>
      </c>
      <c r="N282" s="336">
        <f>+VLOOKUP(H282,contratos!A:R,16,0)</f>
        <v>0</v>
      </c>
      <c r="O282" s="341">
        <f>+VLOOKUP(H282,PRORRATEO!F:M,3,0)</f>
        <v>8427956</v>
      </c>
      <c r="P282" s="341">
        <f>+VLOOKUP(H282,PRORRATEO!F:M,4,0)</f>
        <v>1601311.6400000001</v>
      </c>
      <c r="Q282" s="341">
        <f>+VLOOKUP(H282,PRORRATEO!F:M,5,0)</f>
        <v>147320.67088000002</v>
      </c>
      <c r="R282" s="341">
        <f>+VLOOKUP(H282,PRORRATEO!F:M,6,0)</f>
        <v>1453990.9691200003</v>
      </c>
      <c r="S282" s="339">
        <f>+VLOOKUP(H282,PRORRATEO!F:M,7,0)</f>
        <v>9.1999999999999998E-2</v>
      </c>
      <c r="T282" s="339">
        <f>+VLOOKUP(H282,PRORRATEO!F:M,8,0)</f>
        <v>0.90800000000000003</v>
      </c>
    </row>
    <row r="283" spans="1:25" x14ac:dyDescent="0.35">
      <c r="B283" s="4">
        <v>1537210003</v>
      </c>
      <c r="C283" s="251" t="s">
        <v>79</v>
      </c>
      <c r="D283" s="298">
        <v>562505</v>
      </c>
      <c r="E283" s="10" t="s">
        <v>80</v>
      </c>
      <c r="F283">
        <v>40</v>
      </c>
      <c r="G283" s="348" t="str">
        <f>+CONCATENATE($G$7,"  GC T",G282," ",H282)</f>
        <v>"04-2026"  GC TT005 6556</v>
      </c>
      <c r="I283" s="10">
        <f>+H282</f>
        <v>6556</v>
      </c>
      <c r="J283" s="10"/>
    </row>
    <row r="284" spans="1:25" x14ac:dyDescent="0.35">
      <c r="B284" s="4">
        <v>1537210002</v>
      </c>
      <c r="C284" s="251" t="s">
        <v>85</v>
      </c>
      <c r="D284" s="323">
        <f>858916+28420</f>
        <v>887336</v>
      </c>
      <c r="E284" s="10" t="s">
        <v>80</v>
      </c>
      <c r="F284">
        <v>40</v>
      </c>
      <c r="G284" s="318" t="str">
        <f>+G283</f>
        <v>"04-2026"  GC TT005 6556</v>
      </c>
      <c r="I284" s="10">
        <f>+I283</f>
        <v>6556</v>
      </c>
      <c r="J284" s="10"/>
    </row>
    <row r="285" spans="1:25" x14ac:dyDescent="0.35">
      <c r="C285" s="251" t="s">
        <v>76</v>
      </c>
      <c r="D285" s="265">
        <f>SUM(D283:D284)</f>
        <v>1449841</v>
      </c>
      <c r="G285" s="318" t="str">
        <f>+G284</f>
        <v>"04-2026"  GC TT005 6556</v>
      </c>
      <c r="I285" s="10">
        <f>+I284</f>
        <v>6556</v>
      </c>
      <c r="J285" s="10"/>
    </row>
    <row r="286" spans="1:25" x14ac:dyDescent="0.35">
      <c r="A286" s="130" t="s">
        <v>854</v>
      </c>
      <c r="B286" s="14">
        <v>204741</v>
      </c>
      <c r="C286" s="15" t="s">
        <v>967</v>
      </c>
      <c r="G286" s="10" t="str">
        <f>VLOOKUP(B286,ADMON!A:P,5,0)</f>
        <v>T019</v>
      </c>
      <c r="H286" s="54">
        <f>+VLOOKUP(G286,ADMON!E:G,3,0)</f>
        <v>6598</v>
      </c>
      <c r="J286" s="350">
        <f>+VLOOKUP(H286,contratos!A:R,5,0)</f>
        <v>43466</v>
      </c>
      <c r="K286" s="266" t="str">
        <f>+VLOOKUP(H286,contratos!A:R,12,0)</f>
        <v>VENCIDO</v>
      </c>
      <c r="L286" s="341" t="str">
        <f>+VLOOKUP(H286,contratos!A:R,13,0)</f>
        <v>CESADO</v>
      </c>
      <c r="M286" s="341">
        <f>+VLOOKUP(H286,contratos!A:R,15,0)</f>
        <v>0</v>
      </c>
      <c r="N286" s="336">
        <f>+VLOOKUP(H286,contratos!A:R,16,0)</f>
        <v>0</v>
      </c>
      <c r="O286" s="341">
        <f>+VLOOKUP(H286,PRORRATEO!F:M,3,0)</f>
        <v>19543600</v>
      </c>
      <c r="P286" s="341">
        <f>+VLOOKUP(H286,PRORRATEO!F:M,4,0)</f>
        <v>3713284</v>
      </c>
      <c r="Q286" s="341">
        <f>+VLOOKUP(H286,PRORRATEO!F:M,5,0)</f>
        <v>497580.05600000004</v>
      </c>
      <c r="R286" s="341">
        <f>+VLOOKUP(H286,PRORRATEO!F:M,6,0)</f>
        <v>3215703.9440000001</v>
      </c>
      <c r="S286" s="339">
        <f>+VLOOKUP(H286,PRORRATEO!F:M,7,0)</f>
        <v>0.13400000000000001</v>
      </c>
      <c r="T286" s="339">
        <f>+VLOOKUP(H286,PRORRATEO!F:M,8,0)</f>
        <v>0.86599999999999999</v>
      </c>
    </row>
    <row r="287" spans="1:25" x14ac:dyDescent="0.35">
      <c r="B287" s="4">
        <v>1537210003</v>
      </c>
      <c r="C287" s="251" t="s">
        <v>79</v>
      </c>
      <c r="D287" s="268">
        <v>395036</v>
      </c>
      <c r="E287" s="10" t="s">
        <v>80</v>
      </c>
      <c r="F287">
        <v>40</v>
      </c>
      <c r="G287" s="316" t="str">
        <f>+CONCATENATE($G$7,"  GC T",G286," ",H286)</f>
        <v>"04-2026"  GC TT019 6598</v>
      </c>
      <c r="I287" s="10">
        <f>+H286</f>
        <v>6598</v>
      </c>
      <c r="J287" s="10"/>
    </row>
    <row r="288" spans="1:25" x14ac:dyDescent="0.35">
      <c r="B288" s="263">
        <v>1537210004</v>
      </c>
      <c r="C288" s="251" t="s">
        <v>1117</v>
      </c>
      <c r="E288" s="10" t="s">
        <v>80</v>
      </c>
      <c r="F288">
        <v>40</v>
      </c>
      <c r="G288" s="316" t="str">
        <f>+G287</f>
        <v>"04-2026"  GC TT019 6598</v>
      </c>
      <c r="I288" s="10">
        <f>+I287</f>
        <v>6598</v>
      </c>
      <c r="J288" s="10"/>
    </row>
    <row r="289" spans="1:20" x14ac:dyDescent="0.35">
      <c r="B289" s="4">
        <v>1537210002</v>
      </c>
      <c r="C289" s="251" t="s">
        <v>85</v>
      </c>
      <c r="D289" s="323">
        <f>1704434+28368</f>
        <v>1732802</v>
      </c>
      <c r="E289" s="10" t="s">
        <v>80</v>
      </c>
      <c r="F289">
        <v>40</v>
      </c>
      <c r="G289" s="318" t="str">
        <f>+G287</f>
        <v>"04-2026"  GC TT019 6598</v>
      </c>
      <c r="I289" s="10">
        <f>+I287</f>
        <v>6598</v>
      </c>
      <c r="J289" s="10"/>
      <c r="N289" s="340"/>
    </row>
    <row r="290" spans="1:20" x14ac:dyDescent="0.35">
      <c r="B290" s="14"/>
      <c r="C290" s="15" t="s">
        <v>76</v>
      </c>
      <c r="D290" s="265">
        <f>SUM(D287:D289)</f>
        <v>2127838</v>
      </c>
      <c r="G290" s="318" t="str">
        <f>+G289</f>
        <v>"04-2026"  GC TT019 6598</v>
      </c>
      <c r="J290" s="10"/>
      <c r="N290" s="340"/>
    </row>
    <row r="291" spans="1:20" x14ac:dyDescent="0.35">
      <c r="A291" s="130" t="s">
        <v>853</v>
      </c>
      <c r="B291" s="14">
        <v>209683</v>
      </c>
      <c r="C291" s="15" t="s">
        <v>49</v>
      </c>
      <c r="G291" s="9" t="str">
        <f>+VLOOKUP(B291,arriendo1!A:R,3,0)</f>
        <v>T010</v>
      </c>
      <c r="H291" s="131">
        <f>+VLOOKUP(B291,arriendo1!A:R,6,0)</f>
        <v>6568</v>
      </c>
      <c r="J291" s="350">
        <f>+VLOOKUP(H291,contratos!A:R,5,0)</f>
        <v>41609</v>
      </c>
      <c r="K291" s="266" t="str">
        <f>+VLOOKUP(H291,contratos!A:R,12,0)</f>
        <v>VENCIDO</v>
      </c>
      <c r="L291" s="341" t="str">
        <f>+VLOOKUP(H291,contratos!A:R,13,0)</f>
        <v>CERRADA</v>
      </c>
      <c r="M291" s="341">
        <f>+VLOOKUP(H291,contratos!A:R,15,0)</f>
        <v>0</v>
      </c>
      <c r="N291" s="336">
        <f>+VLOOKUP(H291,contratos!A:R,16,0)</f>
        <v>0</v>
      </c>
      <c r="O291" s="341">
        <f>+VLOOKUP(B291,PRORRATEO!A:M,8,0)</f>
        <v>20790000</v>
      </c>
      <c r="P291" s="341">
        <f>+VLOOKUP(B291,PRORRATEO!A:M,9,0)</f>
        <v>3950100</v>
      </c>
      <c r="Q291" s="341">
        <f>+VLOOKUP(B291,PRORRATEO!A:M,10,0)</f>
        <v>0</v>
      </c>
      <c r="R291" s="341">
        <f>+VLOOKUP(B291,PRORRATEO!A:M,11,0)</f>
        <v>0</v>
      </c>
      <c r="S291" s="339">
        <f>+VLOOKUP(B291,PRORRATEO!A:M,12,0)</f>
        <v>0</v>
      </c>
      <c r="T291" s="339">
        <f>+VLOOKUP(B291,PRORRATEO!A:M,13,0)</f>
        <v>0</v>
      </c>
    </row>
    <row r="292" spans="1:20" x14ac:dyDescent="0.35">
      <c r="B292" s="263">
        <v>1245150017</v>
      </c>
      <c r="C292" s="251" t="s">
        <v>77</v>
      </c>
      <c r="D292" s="298" t="str">
        <f>+L291</f>
        <v>CERRADA</v>
      </c>
      <c r="E292" s="10" t="s">
        <v>97</v>
      </c>
      <c r="F292" s="263">
        <v>40</v>
      </c>
      <c r="G292" s="316" t="str">
        <f>+CONCATENATE($G$7,"  RF T",G291," ",H291)</f>
        <v>"04-2026"  RF TT010 6568</v>
      </c>
      <c r="I292" s="10">
        <f>+H291</f>
        <v>6568</v>
      </c>
      <c r="J292" s="10"/>
      <c r="N292" s="340"/>
    </row>
    <row r="293" spans="1:20" x14ac:dyDescent="0.35">
      <c r="B293" s="4">
        <v>1246125027</v>
      </c>
      <c r="C293" s="251" t="s">
        <v>962</v>
      </c>
      <c r="D293" s="268" t="e">
        <f>+D292*J293</f>
        <v>#VALUE!</v>
      </c>
      <c r="F293">
        <v>50</v>
      </c>
      <c r="G293" s="318" t="str">
        <f>+G294</f>
        <v>"04-2026"  RF TT010 6568</v>
      </c>
      <c r="I293" s="251" t="s">
        <v>857</v>
      </c>
      <c r="J293" s="352">
        <v>3.5000000000000003E-2</v>
      </c>
      <c r="N293" s="340"/>
    </row>
    <row r="294" spans="1:20" x14ac:dyDescent="0.35">
      <c r="B294" s="4">
        <v>1149120011</v>
      </c>
      <c r="C294" s="251" t="s">
        <v>96</v>
      </c>
      <c r="D294" s="323" t="e">
        <f>+D292*0.19</f>
        <v>#VALUE!</v>
      </c>
      <c r="E294" s="10" t="s">
        <v>97</v>
      </c>
      <c r="F294">
        <v>40</v>
      </c>
      <c r="G294" s="318" t="str">
        <f>+G292</f>
        <v>"04-2026"  RF TT010 6568</v>
      </c>
      <c r="I294" s="10">
        <f>+I292</f>
        <v>6568</v>
      </c>
      <c r="J294" s="10"/>
      <c r="N294" s="340"/>
    </row>
    <row r="295" spans="1:20" x14ac:dyDescent="0.35">
      <c r="D295" s="268" t="e">
        <f>+D292+D294-D293</f>
        <v>#VALUE!</v>
      </c>
      <c r="G295" s="318" t="str">
        <f>+G294</f>
        <v>"04-2026"  RF TT010 6568</v>
      </c>
      <c r="I295" s="10">
        <f>+I294</f>
        <v>6568</v>
      </c>
      <c r="J295" s="10"/>
      <c r="N295" s="340"/>
    </row>
    <row r="296" spans="1:20" x14ac:dyDescent="0.35">
      <c r="A296" s="130" t="s">
        <v>853</v>
      </c>
      <c r="B296" s="14">
        <v>204609</v>
      </c>
      <c r="C296" s="15" t="s">
        <v>21</v>
      </c>
      <c r="D296" s="323">
        <f>+D298+D301+D299-D300+D302+D303+D297</f>
        <v>16368408.330228306</v>
      </c>
      <c r="G296" s="9" t="str">
        <f>+VLOOKUP(B296,arriendo1!A:R,3,0)</f>
        <v>T012</v>
      </c>
      <c r="H296" s="131">
        <f>+VLOOKUP(B296,arriendo1!A:R,6,0)</f>
        <v>6572</v>
      </c>
      <c r="J296" s="350">
        <f>+VLOOKUP(H296,contratos!A:R,5,0)</f>
        <v>42705</v>
      </c>
      <c r="K296" s="266" t="str">
        <f>+VLOOKUP(H296,contratos!A:R,12,0)</f>
        <v>OK</v>
      </c>
      <c r="L296" s="341" t="str">
        <f>+VLOOKUP(H296,contratos!A:R,13,0)</f>
        <v>VIGENTE</v>
      </c>
      <c r="M296" s="341">
        <f>+VLOOKUP(H296,contratos!A:R,15,0)</f>
        <v>0</v>
      </c>
      <c r="N296" s="336">
        <f>+VLOOKUP(H296,contratos!A:R,16,0)</f>
        <v>0</v>
      </c>
      <c r="O296" s="341">
        <f>+VLOOKUP(B296,PRORRATEO!A:M,8,0)</f>
        <v>13950658</v>
      </c>
      <c r="P296" s="341">
        <f>+VLOOKUP(B296,PRORRATEO!A:M,9,0)</f>
        <v>2650625.02</v>
      </c>
      <c r="Q296" s="341">
        <f>+VLOOKUP(B296,PRORRATEO!A:M,10,0)</f>
        <v>121928.75092000001</v>
      </c>
      <c r="R296" s="341">
        <f>+VLOOKUP(B296,PRORRATEO!A:M,11,0)</f>
        <v>2528696.26908</v>
      </c>
      <c r="S296" s="339">
        <f>+VLOOKUP(B296,PRORRATEO!A:M,12,0)</f>
        <v>4.5999999999999999E-2</v>
      </c>
      <c r="T296" s="339">
        <f>+VLOOKUP(B296,PRORRATEO!A:M,13,0)</f>
        <v>0.95399999999999996</v>
      </c>
    </row>
    <row r="297" spans="1:20" x14ac:dyDescent="0.35">
      <c r="B297" s="263">
        <v>1537210004</v>
      </c>
      <c r="C297" s="251" t="s">
        <v>974</v>
      </c>
      <c r="D297" s="268">
        <v>390162</v>
      </c>
      <c r="E297" s="10" t="s">
        <v>80</v>
      </c>
      <c r="F297" s="209">
        <v>40</v>
      </c>
      <c r="G297" s="316" t="str">
        <f>+CONCATENATE($G$7,"  RF T",G296," ",H296)</f>
        <v>"04-2026"  RF TT012 6572</v>
      </c>
      <c r="I297" s="314">
        <f>+H296</f>
        <v>6572</v>
      </c>
      <c r="J297" s="10"/>
    </row>
    <row r="298" spans="1:20" x14ac:dyDescent="0.35">
      <c r="B298" s="209">
        <v>1245150017</v>
      </c>
      <c r="C298" s="251" t="s">
        <v>77</v>
      </c>
      <c r="D298" s="268">
        <f>+O296</f>
        <v>13950658</v>
      </c>
      <c r="E298" s="10" t="s">
        <v>97</v>
      </c>
      <c r="F298" s="209">
        <v>40</v>
      </c>
      <c r="G298" s="318" t="str">
        <f>+G299</f>
        <v>"04-2026"  RF TT012 6572</v>
      </c>
      <c r="I298" s="314">
        <f>+H296</f>
        <v>6572</v>
      </c>
      <c r="J298" s="10"/>
    </row>
    <row r="299" spans="1:20" x14ac:dyDescent="0.35">
      <c r="B299" s="209">
        <v>1149120011</v>
      </c>
      <c r="C299" s="251" t="s">
        <v>96</v>
      </c>
      <c r="D299" s="268">
        <f>+Q296</f>
        <v>121928.75092000001</v>
      </c>
      <c r="E299" s="10" t="s">
        <v>98</v>
      </c>
      <c r="F299" s="209">
        <v>40</v>
      </c>
      <c r="G299" s="318" t="str">
        <f>+G297</f>
        <v>"04-2026"  RF TT012 6572</v>
      </c>
      <c r="H299" s="338"/>
      <c r="I299" s="314">
        <f>+I298</f>
        <v>6572</v>
      </c>
      <c r="J299" s="10"/>
    </row>
    <row r="300" spans="1:20" x14ac:dyDescent="0.35">
      <c r="B300" s="209">
        <v>1149120011</v>
      </c>
      <c r="C300" s="251" t="s">
        <v>96</v>
      </c>
      <c r="D300" s="268">
        <f>+D299</f>
        <v>121928.75092000001</v>
      </c>
      <c r="E300" s="10" t="s">
        <v>97</v>
      </c>
      <c r="F300" s="209">
        <v>50</v>
      </c>
      <c r="G300" s="318" t="str">
        <f>+G298</f>
        <v>"04-2026"  RF TT012 6572</v>
      </c>
      <c r="H300" s="338"/>
      <c r="I300" s="314">
        <f>+I299</f>
        <v>6572</v>
      </c>
      <c r="J300" s="10"/>
    </row>
    <row r="301" spans="1:20" x14ac:dyDescent="0.35">
      <c r="B301" s="4">
        <v>1149120011</v>
      </c>
      <c r="C301" s="251" t="s">
        <v>96</v>
      </c>
      <c r="D301" s="268">
        <f>+D298*0.19</f>
        <v>2650625.02</v>
      </c>
      <c r="E301" s="10" t="s">
        <v>97</v>
      </c>
      <c r="F301">
        <v>40</v>
      </c>
      <c r="G301" s="318" t="str">
        <f>+G299</f>
        <v>"04-2026"  RF TT012 6572</v>
      </c>
      <c r="I301" s="10">
        <f>+I300</f>
        <v>6572</v>
      </c>
      <c r="J301" s="10"/>
    </row>
    <row r="302" spans="1:20" x14ac:dyDescent="0.35">
      <c r="B302" s="4">
        <v>1249100024</v>
      </c>
      <c r="C302" s="251" t="s">
        <v>981</v>
      </c>
      <c r="D302" s="268">
        <f>-D298*J302</f>
        <v>-134763.65977169375</v>
      </c>
      <c r="F302">
        <v>50</v>
      </c>
      <c r="G302" s="318" t="str">
        <f>+G300</f>
        <v>"04-2026"  RF TT012 6572</v>
      </c>
      <c r="I302" s="206">
        <v>1</v>
      </c>
      <c r="J302" s="352">
        <v>9.6600217546508379E-3</v>
      </c>
    </row>
    <row r="303" spans="1:20" x14ac:dyDescent="0.35">
      <c r="B303" s="4">
        <v>1246125027</v>
      </c>
      <c r="C303" s="251" t="s">
        <v>962</v>
      </c>
      <c r="D303" s="268">
        <f>+D298*J303</f>
        <v>-488273.03</v>
      </c>
      <c r="F303">
        <v>50</v>
      </c>
      <c r="G303" s="318" t="str">
        <f>+G301</f>
        <v>"04-2026"  RF TT012 6572</v>
      </c>
      <c r="I303" s="251" t="s">
        <v>857</v>
      </c>
      <c r="J303" s="352">
        <v>-3.5000000000000003E-2</v>
      </c>
    </row>
    <row r="304" spans="1:20" x14ac:dyDescent="0.35">
      <c r="A304" s="130" t="s">
        <v>853</v>
      </c>
      <c r="B304" s="14">
        <v>219814</v>
      </c>
      <c r="C304" s="15" t="s">
        <v>976</v>
      </c>
      <c r="D304" s="268">
        <f>+D305-D306+D307+D308+D309</f>
        <v>11959267.32</v>
      </c>
      <c r="G304" s="9" t="str">
        <f>+VLOOKUP(B304,arriendo1!A:R,3,0)</f>
        <v>T014</v>
      </c>
      <c r="H304" s="131">
        <f>+VLOOKUP(B304,arriendo1!A:R,6,0)</f>
        <v>6574</v>
      </c>
      <c r="J304" s="350">
        <f>+VLOOKUP(H304,contratos!A:R,5,0)</f>
        <v>42785</v>
      </c>
      <c r="K304" s="266" t="str">
        <f>+VLOOKUP(H304,contratos!A:R,12,0)</f>
        <v>VENCIDO</v>
      </c>
      <c r="L304" s="341" t="str">
        <f>+VLOOKUP(H304,contratos!A:R,13,0)</f>
        <v>CERRADA</v>
      </c>
      <c r="M304" s="341">
        <f>+VLOOKUP(H304,contratos!A:R,15,0)</f>
        <v>0</v>
      </c>
      <c r="N304" s="336">
        <f>+VLOOKUP(H304,contratos!A:R,16,0)</f>
        <v>0</v>
      </c>
      <c r="O304" s="341">
        <f>+VLOOKUP(B304,PRORRATEO!A:M,8,0)</f>
        <v>10354344</v>
      </c>
      <c r="P304" s="341">
        <f>+VLOOKUP(B304,PRORRATEO!A:M,9,0)</f>
        <v>1967325.36</v>
      </c>
      <c r="Q304" s="341">
        <f>+VLOOKUP(B304,PRORRATEO!A:M,10,0)</f>
        <v>96398.942640000008</v>
      </c>
      <c r="R304" s="341">
        <f>+VLOOKUP(B304,PRORRATEO!A:M,11,0)</f>
        <v>1870926.4173600001</v>
      </c>
      <c r="S304" s="339">
        <f>+VLOOKUP(B304,PRORRATEO!A:M,12,0)</f>
        <v>4.9000000000000002E-2</v>
      </c>
      <c r="T304" s="339">
        <f>+VLOOKUP(B304,PRORRATEO!A:M,13,0)</f>
        <v>0.95099999999999996</v>
      </c>
    </row>
    <row r="305" spans="1:20" x14ac:dyDescent="0.35">
      <c r="B305" s="209">
        <v>1245150017</v>
      </c>
      <c r="C305" s="251" t="s">
        <v>77</v>
      </c>
      <c r="D305" s="268">
        <f>+O304</f>
        <v>10354344</v>
      </c>
      <c r="E305" s="10" t="s">
        <v>97</v>
      </c>
      <c r="F305" s="209">
        <v>40</v>
      </c>
      <c r="G305" s="316" t="str">
        <f>+CONCATENATE($G$7," RF T",G304," ",H304)</f>
        <v>"04-2026" RF TT014 6574</v>
      </c>
      <c r="I305" s="314">
        <f>+H304</f>
        <v>6574</v>
      </c>
      <c r="J305" s="10"/>
      <c r="O305" s="266">
        <v>5177172.2699999996</v>
      </c>
      <c r="P305" s="266">
        <f>+O305*0.19</f>
        <v>983662.73129999987</v>
      </c>
      <c r="Q305" s="266">
        <f>+P305*S304</f>
        <v>48199.473833699994</v>
      </c>
    </row>
    <row r="306" spans="1:20" x14ac:dyDescent="0.35">
      <c r="B306" s="209">
        <v>1149120011</v>
      </c>
      <c r="C306" s="251" t="s">
        <v>96</v>
      </c>
      <c r="D306" s="268">
        <f>D307</f>
        <v>96398.942640000008</v>
      </c>
      <c r="E306" s="10" t="s">
        <v>97</v>
      </c>
      <c r="F306" s="209">
        <v>50</v>
      </c>
      <c r="G306" s="318" t="str">
        <f>+G307</f>
        <v>"04-2026" RF TT014 6574</v>
      </c>
      <c r="I306" s="314">
        <f>+I305</f>
        <v>6574</v>
      </c>
      <c r="J306" s="10"/>
    </row>
    <row r="307" spans="1:20" x14ac:dyDescent="0.35">
      <c r="B307" s="209">
        <v>1149120011</v>
      </c>
      <c r="C307" s="251" t="s">
        <v>96</v>
      </c>
      <c r="D307" s="268">
        <f>+Q304</f>
        <v>96398.942640000008</v>
      </c>
      <c r="E307" s="10" t="s">
        <v>98</v>
      </c>
      <c r="F307" s="209">
        <v>40</v>
      </c>
      <c r="G307" s="318" t="str">
        <f>+G305</f>
        <v>"04-2026" RF TT014 6574</v>
      </c>
      <c r="I307" s="314">
        <f>+I306</f>
        <v>6574</v>
      </c>
      <c r="J307" s="10"/>
    </row>
    <row r="308" spans="1:20" x14ac:dyDescent="0.35">
      <c r="B308" s="4">
        <v>1149120011</v>
      </c>
      <c r="C308" s="251" t="s">
        <v>96</v>
      </c>
      <c r="D308" s="268">
        <f>+P304</f>
        <v>1967325.36</v>
      </c>
      <c r="E308" s="10" t="s">
        <v>97</v>
      </c>
      <c r="F308">
        <v>40</v>
      </c>
      <c r="G308" s="318" t="str">
        <f>+G306</f>
        <v>"04-2026" RF TT014 6574</v>
      </c>
      <c r="J308" s="10"/>
    </row>
    <row r="309" spans="1:20" x14ac:dyDescent="0.35">
      <c r="B309" s="4">
        <v>1246125027</v>
      </c>
      <c r="C309" s="251" t="s">
        <v>962</v>
      </c>
      <c r="D309" s="268">
        <f>+D305*J309</f>
        <v>-362402.04000000004</v>
      </c>
      <c r="F309">
        <v>50</v>
      </c>
      <c r="G309" s="318" t="str">
        <f>+G307</f>
        <v>"04-2026" RF TT014 6574</v>
      </c>
      <c r="I309" s="251" t="s">
        <v>857</v>
      </c>
      <c r="J309" s="351">
        <v>-3.5000000000000003E-2</v>
      </c>
    </row>
    <row r="310" spans="1:20" x14ac:dyDescent="0.35">
      <c r="A310" s="130" t="s">
        <v>853</v>
      </c>
      <c r="B310" s="14">
        <v>204518</v>
      </c>
      <c r="C310" s="15" t="s">
        <v>1301</v>
      </c>
      <c r="G310" s="9" t="str">
        <f>+VLOOKUP(B310,arriendo1!A:R,3,0)</f>
        <v>T019</v>
      </c>
      <c r="H310" s="131">
        <f>+VLOOKUP(B310,arriendo1!A:R,6,0)</f>
        <v>6598</v>
      </c>
      <c r="J310" s="350">
        <f>+VLOOKUP(H310,contratos!A:R,5,0)</f>
        <v>43466</v>
      </c>
      <c r="K310" s="266" t="str">
        <f>+VLOOKUP(H310,contratos!A:R,12,0)</f>
        <v>VENCIDO</v>
      </c>
      <c r="L310" s="341" t="str">
        <f>+VLOOKUP(H310,contratos!A:R,13,0)</f>
        <v>CESADO</v>
      </c>
      <c r="M310" s="341">
        <f>+VLOOKUP(H310,contratos!A:R,15,0)</f>
        <v>0</v>
      </c>
      <c r="N310" s="336">
        <f>+VLOOKUP(H310,contratos!A:R,16,0)</f>
        <v>0</v>
      </c>
      <c r="O310" s="341">
        <f>+VLOOKUP(B310,PRORRATEO!A:M,8,0)</f>
        <v>19543600</v>
      </c>
      <c r="P310" s="341">
        <f>+VLOOKUP(B310,PRORRATEO!A:M,9,0)</f>
        <v>3713284</v>
      </c>
      <c r="Q310" s="341">
        <f>+VLOOKUP(B310,PRORRATEO!A:M,10,0)</f>
        <v>497580.05600000004</v>
      </c>
      <c r="R310" s="341">
        <f>+VLOOKUP(B310,PRORRATEO!A:M,11,0)</f>
        <v>3215703.9440000001</v>
      </c>
      <c r="S310" s="339">
        <f>+VLOOKUP(B310,PRORRATEO!A:M,12,0)</f>
        <v>0.13400000000000001</v>
      </c>
      <c r="T310" s="339">
        <f>+VLOOKUP(B310,PRORRATEO!A:M,13,0)</f>
        <v>0.86599999999999999</v>
      </c>
    </row>
    <row r="311" spans="1:20" x14ac:dyDescent="0.35">
      <c r="B311" s="4">
        <v>1242100042</v>
      </c>
      <c r="C311" s="251" t="s">
        <v>983</v>
      </c>
      <c r="D311" s="299">
        <f>+D312+D313-D314+D315+D316+D317</f>
        <v>22572858</v>
      </c>
      <c r="E311" s="10" t="s">
        <v>984</v>
      </c>
      <c r="F311">
        <v>31</v>
      </c>
      <c r="G311" s="316" t="str">
        <f>+CONCATENATE($G$7," RF T",G310," ",H310)</f>
        <v>"04-2026" RF TT019 6598</v>
      </c>
      <c r="J311" s="10"/>
    </row>
    <row r="312" spans="1:20" x14ac:dyDescent="0.35">
      <c r="B312" s="209">
        <v>1245150017</v>
      </c>
      <c r="C312" s="251" t="s">
        <v>77</v>
      </c>
      <c r="D312" s="268">
        <f>+O310</f>
        <v>19543600</v>
      </c>
      <c r="E312" s="10" t="s">
        <v>97</v>
      </c>
      <c r="F312" s="209">
        <v>40</v>
      </c>
      <c r="G312" s="318" t="str">
        <f>+G311</f>
        <v>"04-2026" RF TT019 6598</v>
      </c>
      <c r="I312" s="314">
        <f>+H310</f>
        <v>6598</v>
      </c>
      <c r="J312" s="10"/>
    </row>
    <row r="313" spans="1:20" x14ac:dyDescent="0.35">
      <c r="B313" s="209">
        <v>1149120011</v>
      </c>
      <c r="C313" s="251" t="s">
        <v>96</v>
      </c>
      <c r="D313" s="268">
        <f>+Q310</f>
        <v>497580.05600000004</v>
      </c>
      <c r="E313" s="10" t="s">
        <v>98</v>
      </c>
      <c r="F313" s="209">
        <v>40</v>
      </c>
      <c r="G313" s="318" t="str">
        <f>+G312</f>
        <v>"04-2026" RF TT019 6598</v>
      </c>
      <c r="I313" s="314">
        <f>+I312</f>
        <v>6598</v>
      </c>
      <c r="J313" s="10"/>
    </row>
    <row r="314" spans="1:20" x14ac:dyDescent="0.35">
      <c r="B314" s="209">
        <v>1149120011</v>
      </c>
      <c r="C314" s="251" t="s">
        <v>96</v>
      </c>
      <c r="D314" s="268">
        <f>+D313</f>
        <v>497580.05600000004</v>
      </c>
      <c r="E314" s="10" t="s">
        <v>97</v>
      </c>
      <c r="F314" s="209">
        <v>50</v>
      </c>
      <c r="G314" s="318" t="str">
        <f>+G313</f>
        <v>"04-2026" RF TT019 6598</v>
      </c>
      <c r="I314" s="314">
        <f>+I313</f>
        <v>6598</v>
      </c>
      <c r="J314" s="10"/>
    </row>
    <row r="315" spans="1:20" x14ac:dyDescent="0.35">
      <c r="B315" s="4">
        <v>1149120011</v>
      </c>
      <c r="C315" s="251" t="s">
        <v>96</v>
      </c>
      <c r="D315" s="268">
        <f>+P310</f>
        <v>3713284</v>
      </c>
      <c r="E315" s="10" t="s">
        <v>97</v>
      </c>
      <c r="F315">
        <v>40</v>
      </c>
      <c r="G315" s="318" t="str">
        <f>+G314</f>
        <v>"04-2026" RF TT019 6598</v>
      </c>
      <c r="J315" s="10"/>
    </row>
    <row r="316" spans="1:20" x14ac:dyDescent="0.35">
      <c r="B316" s="4">
        <v>1246125027</v>
      </c>
      <c r="C316" s="251" t="s">
        <v>962</v>
      </c>
      <c r="D316" s="298">
        <f>+D312*J316</f>
        <v>-684026.00000000012</v>
      </c>
      <c r="F316">
        <v>50</v>
      </c>
      <c r="G316" s="318" t="str">
        <f>+G315</f>
        <v>"04-2026" RF TT019 6598</v>
      </c>
      <c r="I316" s="251" t="s">
        <v>857</v>
      </c>
      <c r="J316" s="351">
        <v>-3.5000000000000003E-2</v>
      </c>
    </row>
    <row r="317" spans="1:20" x14ac:dyDescent="0.35">
      <c r="A317" s="130" t="s">
        <v>853</v>
      </c>
      <c r="B317" s="14">
        <v>204517</v>
      </c>
      <c r="C317" s="15" t="s">
        <v>13</v>
      </c>
      <c r="G317" s="9" t="str">
        <f>+VLOOKUP(B317,arriendo1!A:R,3,0)</f>
        <v>T022</v>
      </c>
      <c r="H317" s="131">
        <f>+VLOOKUP(B317,arriendo1!A:R,6,0)</f>
        <v>6600</v>
      </c>
      <c r="J317" s="350">
        <f>+VLOOKUP(H317,contratos!A:R,5,0)</f>
        <v>42795</v>
      </c>
      <c r="K317" s="266" t="str">
        <f>+VLOOKUP(H317,contratos!A:R,12,0)</f>
        <v>OK</v>
      </c>
      <c r="L317" s="341" t="str">
        <f>+VLOOKUP(H317,contratos!A:R,13,0)</f>
        <v>VIGENTE</v>
      </c>
      <c r="M317" s="341">
        <f>+VLOOKUP(H317,contratos!A:R,15,0)</f>
        <v>0</v>
      </c>
      <c r="N317" s="336">
        <f>+VLOOKUP(H317,contratos!A:R,16,0)</f>
        <v>0</v>
      </c>
      <c r="O317" s="341">
        <f>+VLOOKUP(B317,PRORRATEO!A:M,8,0)</f>
        <v>33369425</v>
      </c>
      <c r="P317" s="341">
        <f>+VLOOKUP(B317,PRORRATEO!A:M,9,0)</f>
        <v>6340190.75</v>
      </c>
      <c r="Q317" s="341">
        <f>+VLOOKUP(B317,PRORRATEO!A:M,10,0)</f>
        <v>779843.46224999998</v>
      </c>
      <c r="R317" s="341">
        <f>+VLOOKUP(B317,PRORRATEO!A:M,11,0)</f>
        <v>5560347.2877500001</v>
      </c>
      <c r="S317" s="339">
        <f>+VLOOKUP(B317,PRORRATEO!A:M,12,0)</f>
        <v>0.123</v>
      </c>
      <c r="T317" s="339">
        <f>+VLOOKUP(B317,PRORRATEO!A:M,13,0)</f>
        <v>0.877</v>
      </c>
    </row>
    <row r="318" spans="1:20" x14ac:dyDescent="0.35">
      <c r="B318" s="4">
        <v>1242100042</v>
      </c>
      <c r="C318" s="251" t="s">
        <v>983</v>
      </c>
      <c r="D318" s="299">
        <f>+D319+D320-D321+D322+D323+D324</f>
        <v>38541685.875</v>
      </c>
      <c r="E318" s="10" t="s">
        <v>984</v>
      </c>
      <c r="F318">
        <v>31</v>
      </c>
      <c r="G318" s="316" t="str">
        <f>+CONCATENATE($G$7," RF T",G317," ",H317)</f>
        <v>"04-2026" RF TT022 6600</v>
      </c>
      <c r="J318" s="10"/>
    </row>
    <row r="319" spans="1:20" x14ac:dyDescent="0.35">
      <c r="B319" s="209">
        <v>1245150017</v>
      </c>
      <c r="C319" s="251" t="s">
        <v>77</v>
      </c>
      <c r="D319" s="268">
        <f>+O317</f>
        <v>33369425</v>
      </c>
      <c r="E319" s="10" t="s">
        <v>97</v>
      </c>
      <c r="F319" s="209">
        <v>40</v>
      </c>
      <c r="G319" s="318" t="str">
        <f>+G318</f>
        <v>"04-2026" RF TT022 6600</v>
      </c>
      <c r="I319" s="314">
        <f>+H317</f>
        <v>6600</v>
      </c>
      <c r="J319" s="10"/>
    </row>
    <row r="320" spans="1:20" x14ac:dyDescent="0.35">
      <c r="B320" s="209">
        <v>1149120011</v>
      </c>
      <c r="C320" s="251" t="s">
        <v>96</v>
      </c>
      <c r="D320" s="552">
        <f>+Q317</f>
        <v>779843.46224999998</v>
      </c>
      <c r="E320" s="553" t="s">
        <v>97</v>
      </c>
      <c r="F320" s="209">
        <v>50</v>
      </c>
      <c r="G320" s="318" t="str">
        <f>+G319</f>
        <v>"04-2026" RF TT022 6600</v>
      </c>
      <c r="I320" s="314">
        <f>+I319</f>
        <v>6600</v>
      </c>
      <c r="J320" s="10"/>
    </row>
    <row r="321" spans="1:20" x14ac:dyDescent="0.35">
      <c r="B321" s="209">
        <v>1149120011</v>
      </c>
      <c r="C321" s="251" t="s">
        <v>96</v>
      </c>
      <c r="D321" s="552">
        <f>+D320</f>
        <v>779843.46224999998</v>
      </c>
      <c r="E321" s="553" t="s">
        <v>98</v>
      </c>
      <c r="F321" s="209">
        <v>40</v>
      </c>
      <c r="G321" s="318" t="str">
        <f>+G320</f>
        <v>"04-2026" RF TT022 6600</v>
      </c>
      <c r="I321" s="314">
        <f>+I320</f>
        <v>6600</v>
      </c>
      <c r="J321" s="10"/>
    </row>
    <row r="322" spans="1:20" x14ac:dyDescent="0.35">
      <c r="B322" s="4">
        <v>1149120011</v>
      </c>
      <c r="C322" s="251" t="s">
        <v>96</v>
      </c>
      <c r="D322" s="552">
        <f>+P317</f>
        <v>6340190.75</v>
      </c>
      <c r="E322" s="553" t="s">
        <v>97</v>
      </c>
      <c r="F322">
        <v>40</v>
      </c>
      <c r="G322" s="318" t="str">
        <f>+G321</f>
        <v>"04-2026" RF TT022 6600</v>
      </c>
      <c r="J322" s="10"/>
    </row>
    <row r="323" spans="1:20" x14ac:dyDescent="0.35">
      <c r="B323" s="4">
        <v>1246125027</v>
      </c>
      <c r="C323" s="251" t="s">
        <v>962</v>
      </c>
      <c r="D323" s="268">
        <f>+D319*J323</f>
        <v>-1167929.875</v>
      </c>
      <c r="F323">
        <v>50</v>
      </c>
      <c r="G323" s="318" t="str">
        <f>+G322</f>
        <v>"04-2026" RF TT022 6600</v>
      </c>
      <c r="I323" s="251" t="s">
        <v>857</v>
      </c>
      <c r="J323" s="351">
        <v>-3.5000000000000003E-2</v>
      </c>
    </row>
    <row r="324" spans="1:20" x14ac:dyDescent="0.35">
      <c r="A324" s="130" t="s">
        <v>853</v>
      </c>
      <c r="B324" s="14">
        <v>204522</v>
      </c>
      <c r="C324" s="15" t="s">
        <v>14</v>
      </c>
      <c r="G324" s="9" t="str">
        <f>+VLOOKUP(B324,arriendo1!A:R,3,0)</f>
        <v>T030</v>
      </c>
      <c r="H324" s="131">
        <f>+VLOOKUP(B324,arriendo1!A:R,6,0)</f>
        <v>6603</v>
      </c>
      <c r="J324" s="350">
        <f>+VLOOKUP(H324,contratos!A:R,5,0)</f>
        <v>42926</v>
      </c>
      <c r="K324" s="266" t="str">
        <f>+VLOOKUP(H324,contratos!A:R,12,0)</f>
        <v>OK</v>
      </c>
      <c r="L324" s="341" t="str">
        <f>+VLOOKUP(H324,contratos!A:R,13,0)</f>
        <v>VIGENTE</v>
      </c>
      <c r="M324" s="341">
        <f>+VLOOKUP(H324,contratos!A:R,15,0)</f>
        <v>0</v>
      </c>
      <c r="N324" s="336">
        <f>+VLOOKUP(H324,contratos!A:R,16,0)</f>
        <v>0</v>
      </c>
      <c r="O324" s="341">
        <f>+VLOOKUP(B324,PRORRATEO!A:M,8,0)</f>
        <v>20626238</v>
      </c>
      <c r="P324" s="341">
        <f>+VLOOKUP(B324,PRORRATEO!A:M,9,0)</f>
        <v>3918985.22</v>
      </c>
      <c r="Q324" s="341">
        <f>+VLOOKUP(B324,PRORRATEO!A:M,10,0)</f>
        <v>258653.02452000004</v>
      </c>
      <c r="R324" s="341">
        <f>+VLOOKUP(B324,PRORRATEO!A:M,11,0)</f>
        <v>3660332.1954800002</v>
      </c>
      <c r="S324" s="339">
        <f>+VLOOKUP(B324,PRORRATEO!A:M,12,0)</f>
        <v>6.6000000000000003E-2</v>
      </c>
      <c r="T324" s="339">
        <f>+VLOOKUP(B324,PRORRATEO!A:M,13,0)</f>
        <v>0.93400000000000005</v>
      </c>
    </row>
    <row r="325" spans="1:20" x14ac:dyDescent="0.35">
      <c r="B325" s="4">
        <v>1242100042</v>
      </c>
      <c r="C325" s="251" t="s">
        <v>983</v>
      </c>
      <c r="D325" s="299">
        <f>+D326+D327-D328+D329+D330+D331</f>
        <v>23624054.651473828</v>
      </c>
      <c r="E325" s="10" t="s">
        <v>984</v>
      </c>
      <c r="F325">
        <v>31</v>
      </c>
      <c r="G325" s="348" t="str">
        <f>+CONCATENATE($G$7," RF T",G324," ",H324)</f>
        <v>"04-2026" RF TT030 6603</v>
      </c>
      <c r="J325" s="10"/>
    </row>
    <row r="326" spans="1:20" x14ac:dyDescent="0.35">
      <c r="B326" s="209">
        <v>1245150017</v>
      </c>
      <c r="C326" s="251" t="s">
        <v>77</v>
      </c>
      <c r="D326" s="268">
        <f>+O324</f>
        <v>20626238</v>
      </c>
      <c r="E326" s="10" t="s">
        <v>97</v>
      </c>
      <c r="F326" s="209">
        <v>40</v>
      </c>
      <c r="G326" s="318" t="str">
        <f t="shared" ref="G326:G331" si="14">+G325</f>
        <v>"04-2026" RF TT030 6603</v>
      </c>
      <c r="I326" s="314">
        <f>+H324</f>
        <v>6603</v>
      </c>
      <c r="J326" s="10"/>
    </row>
    <row r="327" spans="1:20" x14ac:dyDescent="0.35">
      <c r="B327" s="209">
        <v>1149120011</v>
      </c>
      <c r="C327" s="251" t="s">
        <v>96</v>
      </c>
      <c r="D327" s="268">
        <f>+Q324</f>
        <v>258653.02452000004</v>
      </c>
      <c r="E327" s="10" t="s">
        <v>98</v>
      </c>
      <c r="F327" s="209">
        <v>40</v>
      </c>
      <c r="G327" s="318" t="str">
        <f t="shared" si="14"/>
        <v>"04-2026" RF TT030 6603</v>
      </c>
      <c r="I327" s="314">
        <f>+I326</f>
        <v>6603</v>
      </c>
      <c r="J327" s="10"/>
    </row>
    <row r="328" spans="1:20" x14ac:dyDescent="0.35">
      <c r="B328" s="209">
        <v>1149120011</v>
      </c>
      <c r="C328" s="251" t="s">
        <v>96</v>
      </c>
      <c r="D328" s="268">
        <f>+D327</f>
        <v>258653.02452000004</v>
      </c>
      <c r="E328" s="10" t="s">
        <v>97</v>
      </c>
      <c r="F328" s="209">
        <v>50</v>
      </c>
      <c r="G328" s="318" t="str">
        <f t="shared" si="14"/>
        <v>"04-2026" RF TT030 6603</v>
      </c>
      <c r="I328" s="314">
        <f>+I327</f>
        <v>6603</v>
      </c>
      <c r="J328" s="10"/>
    </row>
    <row r="329" spans="1:20" x14ac:dyDescent="0.35">
      <c r="B329" s="4">
        <v>1149120011</v>
      </c>
      <c r="C329" s="251" t="s">
        <v>96</v>
      </c>
      <c r="D329" s="268">
        <f>+P324</f>
        <v>3918985.22</v>
      </c>
      <c r="E329" s="10" t="s">
        <v>97</v>
      </c>
      <c r="F329">
        <v>40</v>
      </c>
      <c r="G329" s="318" t="str">
        <f t="shared" si="14"/>
        <v>"04-2026" RF TT030 6603</v>
      </c>
      <c r="J329" s="10"/>
    </row>
    <row r="330" spans="1:20" x14ac:dyDescent="0.35">
      <c r="B330" s="4">
        <v>1249100024</v>
      </c>
      <c r="C330" s="251" t="s">
        <v>981</v>
      </c>
      <c r="D330" s="268">
        <f>-D326*J331</f>
        <v>-199249.6637133605</v>
      </c>
      <c r="F330">
        <v>50</v>
      </c>
      <c r="G330" s="318" t="str">
        <f t="shared" si="14"/>
        <v>"04-2026" RF TT030 6603</v>
      </c>
      <c r="I330" s="251" t="s">
        <v>857</v>
      </c>
      <c r="J330" s="352">
        <v>3.5000027868039262E-2</v>
      </c>
    </row>
    <row r="331" spans="1:20" x14ac:dyDescent="0.35">
      <c r="B331" s="4">
        <v>1246125027</v>
      </c>
      <c r="C331" s="251" t="s">
        <v>962</v>
      </c>
      <c r="D331" s="298">
        <f>-D326*J330</f>
        <v>-721918.90481281036</v>
      </c>
      <c r="F331">
        <v>50</v>
      </c>
      <c r="G331" s="318" t="str">
        <f t="shared" si="14"/>
        <v>"04-2026" RF TT030 6603</v>
      </c>
      <c r="I331" s="206">
        <v>1</v>
      </c>
      <c r="J331" s="352">
        <v>9.6600099210219764E-3</v>
      </c>
    </row>
    <row r="332" spans="1:20" x14ac:dyDescent="0.35">
      <c r="A332" s="130" t="s">
        <v>853</v>
      </c>
      <c r="B332" s="14">
        <v>204617</v>
      </c>
      <c r="C332" s="15" t="s">
        <v>977</v>
      </c>
      <c r="G332" s="9" t="str">
        <f>+VLOOKUP(B332,arriendo1!A:R,3,0)</f>
        <v>T030</v>
      </c>
      <c r="H332" s="131">
        <f>+VLOOKUP(B332,arriendo1!A:R,6,0)</f>
        <v>6603</v>
      </c>
      <c r="J332" s="350">
        <f>+VLOOKUP(H332,contratos!A:R,5,0)</f>
        <v>42926</v>
      </c>
      <c r="K332" s="266" t="str">
        <f>+VLOOKUP(H332,contratos!A:R,12,0)</f>
        <v>OK</v>
      </c>
      <c r="L332" s="341" t="str">
        <f>+VLOOKUP(H332,contratos!A:R,13,0)</f>
        <v>VIGENTE</v>
      </c>
      <c r="M332" s="341">
        <f>+VLOOKUP(H332,contratos!A:R,15,0)</f>
        <v>0</v>
      </c>
      <c r="N332" s="336">
        <f>+VLOOKUP(H332,contratos!A:R,16,0)</f>
        <v>0</v>
      </c>
      <c r="O332" s="341">
        <f>+VLOOKUP(B332,PRORRATEO!A:M,8,0)</f>
        <v>41252476</v>
      </c>
      <c r="P332" s="341">
        <f>+VLOOKUP(B332,PRORRATEO!A:M,9,0)</f>
        <v>7837970.4400000004</v>
      </c>
      <c r="Q332" s="341">
        <f>+VLOOKUP(B332,PRORRATEO!A:M,10,0)</f>
        <v>517306.04904000007</v>
      </c>
      <c r="R332" s="341">
        <f>+VLOOKUP(B332,PRORRATEO!A:M,11,0)</f>
        <v>7320664.3909600005</v>
      </c>
      <c r="S332" s="339">
        <f>+VLOOKUP(B332,PRORRATEO!A:M,12,0)</f>
        <v>6.6000000000000003E-2</v>
      </c>
      <c r="T332" s="339">
        <f>+VLOOKUP(B332,PRORRATEO!A:M,13,0)</f>
        <v>0.93400000000000005</v>
      </c>
    </row>
    <row r="333" spans="1:20" x14ac:dyDescent="0.35">
      <c r="B333" s="4">
        <v>1242100042</v>
      </c>
      <c r="C333" s="251" t="s">
        <v>983</v>
      </c>
      <c r="D333" s="299">
        <f>+D334+D335-D336+D337+D338+D339</f>
        <v>47248109.302947655</v>
      </c>
      <c r="E333" s="10" t="s">
        <v>984</v>
      </c>
      <c r="F333">
        <v>31</v>
      </c>
      <c r="G333" s="316" t="str">
        <f>+CONCATENATE($G$7," RF T",G332," ",H332)</f>
        <v>"04-2026" RF TT030 6603</v>
      </c>
      <c r="J333" s="10"/>
    </row>
    <row r="334" spans="1:20" x14ac:dyDescent="0.35">
      <c r="B334" s="209">
        <v>1245150017</v>
      </c>
      <c r="C334" s="251" t="s">
        <v>77</v>
      </c>
      <c r="D334" s="268">
        <f>+O332</f>
        <v>41252476</v>
      </c>
      <c r="E334" s="10" t="s">
        <v>97</v>
      </c>
      <c r="F334" s="209">
        <v>40</v>
      </c>
      <c r="G334" s="318" t="str">
        <f t="shared" ref="G334:G339" si="15">+G333</f>
        <v>"04-2026" RF TT030 6603</v>
      </c>
      <c r="I334" s="314">
        <f>+H332</f>
        <v>6603</v>
      </c>
      <c r="J334" s="10"/>
    </row>
    <row r="335" spans="1:20" x14ac:dyDescent="0.35">
      <c r="B335" s="209">
        <v>1149120011</v>
      </c>
      <c r="C335" s="251" t="s">
        <v>96</v>
      </c>
      <c r="D335" s="268">
        <f>+Q332</f>
        <v>517306.04904000007</v>
      </c>
      <c r="E335" s="10" t="s">
        <v>97</v>
      </c>
      <c r="F335" s="209">
        <v>50</v>
      </c>
      <c r="G335" s="318" t="str">
        <f t="shared" si="15"/>
        <v>"04-2026" RF TT030 6603</v>
      </c>
      <c r="I335" s="314">
        <f>+I334</f>
        <v>6603</v>
      </c>
      <c r="J335" s="10"/>
    </row>
    <row r="336" spans="1:20" x14ac:dyDescent="0.35">
      <c r="B336" s="209">
        <v>1149120011</v>
      </c>
      <c r="C336" s="251" t="s">
        <v>96</v>
      </c>
      <c r="D336" s="268">
        <f>+D335</f>
        <v>517306.04904000007</v>
      </c>
      <c r="E336" s="10" t="s">
        <v>98</v>
      </c>
      <c r="F336" s="209">
        <v>40</v>
      </c>
      <c r="G336" s="318" t="str">
        <f t="shared" si="15"/>
        <v>"04-2026" RF TT030 6603</v>
      </c>
      <c r="I336" s="314">
        <f>+I335</f>
        <v>6603</v>
      </c>
      <c r="J336" s="10"/>
    </row>
    <row r="337" spans="1:20" x14ac:dyDescent="0.35">
      <c r="B337" s="4">
        <v>1149120011</v>
      </c>
      <c r="C337" s="251" t="s">
        <v>96</v>
      </c>
      <c r="D337" s="268">
        <f>+P332</f>
        <v>7837970.4400000004</v>
      </c>
      <c r="E337" s="10" t="s">
        <v>97</v>
      </c>
      <c r="F337">
        <v>40</v>
      </c>
      <c r="G337" s="318" t="str">
        <f t="shared" si="15"/>
        <v>"04-2026" RF TT030 6603</v>
      </c>
      <c r="J337" s="10"/>
    </row>
    <row r="338" spans="1:20" x14ac:dyDescent="0.35">
      <c r="B338" s="4">
        <v>1249100024</v>
      </c>
      <c r="C338" s="251" t="s">
        <v>981</v>
      </c>
      <c r="D338" s="298">
        <f>-D334*J338</f>
        <v>-398499.32742672099</v>
      </c>
      <c r="F338">
        <v>50</v>
      </c>
      <c r="G338" s="318" t="str">
        <f t="shared" si="15"/>
        <v>"04-2026" RF TT030 6603</v>
      </c>
      <c r="I338" s="206">
        <v>1</v>
      </c>
      <c r="J338" s="352">
        <v>9.6600099210219764E-3</v>
      </c>
    </row>
    <row r="339" spans="1:20" x14ac:dyDescent="0.35">
      <c r="B339" s="4">
        <v>1246125027</v>
      </c>
      <c r="C339" s="251" t="s">
        <v>962</v>
      </c>
      <c r="D339" s="268">
        <f>-D334*J339</f>
        <v>-1443837.8096256207</v>
      </c>
      <c r="F339">
        <v>50</v>
      </c>
      <c r="G339" s="318" t="str">
        <f t="shared" si="15"/>
        <v>"04-2026" RF TT030 6603</v>
      </c>
      <c r="I339" s="251" t="s">
        <v>857</v>
      </c>
      <c r="J339" s="352">
        <v>3.5000027868039262E-2</v>
      </c>
    </row>
    <row r="340" spans="1:20" x14ac:dyDescent="0.35">
      <c r="A340" s="130" t="s">
        <v>853</v>
      </c>
      <c r="B340" s="14">
        <v>204815</v>
      </c>
      <c r="C340" s="15" t="s">
        <v>25</v>
      </c>
      <c r="G340" s="9" t="str">
        <f>+VLOOKUP(B340,arriendo1!A:R,3,0)</f>
        <v>T030</v>
      </c>
      <c r="H340" s="131">
        <f>+VLOOKUP(B340,arriendo1!A:R,6,0)</f>
        <v>6603</v>
      </c>
      <c r="J340" s="350">
        <f>+VLOOKUP(H340,contratos!A:R,5,0)</f>
        <v>42926</v>
      </c>
      <c r="K340" s="266" t="str">
        <f>+VLOOKUP(H340,contratos!A:R,12,0)</f>
        <v>OK</v>
      </c>
      <c r="L340" s="341" t="str">
        <f>+VLOOKUP(H340,contratos!A:R,13,0)</f>
        <v>VIGENTE</v>
      </c>
      <c r="M340" s="341">
        <f>+VLOOKUP(H340,contratos!A:R,15,0)</f>
        <v>0</v>
      </c>
      <c r="N340" s="336">
        <f>+VLOOKUP(H340,contratos!A:R,16,0)</f>
        <v>0</v>
      </c>
      <c r="O340" s="341">
        <f>+VLOOKUP(B340,PRORRATEO!A:M,8,0)</f>
        <v>13354740</v>
      </c>
      <c r="P340" s="341">
        <f>+VLOOKUP(B340,PRORRATEO!A:M,9,0)</f>
        <v>2537400.6</v>
      </c>
      <c r="Q340" s="341">
        <f>+VLOOKUP(B340,PRORRATEO!A:M,10,0)</f>
        <v>167468.43960000001</v>
      </c>
      <c r="R340" s="341">
        <f>+VLOOKUP(B340,PRORRATEO!A:M,11,0)</f>
        <v>2369932.1604000004</v>
      </c>
      <c r="S340" s="339">
        <f>+VLOOKUP(B340,PRORRATEO!A:M,12,0)</f>
        <v>6.6000000000000003E-2</v>
      </c>
      <c r="T340" s="339">
        <f>+VLOOKUP(B340,PRORRATEO!A:M,13,0)</f>
        <v>0.93400000000000005</v>
      </c>
    </row>
    <row r="341" spans="1:20" x14ac:dyDescent="0.35">
      <c r="B341" s="4">
        <v>1242100042</v>
      </c>
      <c r="C341" s="251" t="s">
        <v>983</v>
      </c>
      <c r="D341" s="299">
        <f>+D342+D343-D344+D345-D346-D347</f>
        <v>15295717.406936912</v>
      </c>
      <c r="E341" s="10" t="s">
        <v>97</v>
      </c>
      <c r="F341">
        <v>31</v>
      </c>
      <c r="G341" s="316" t="str">
        <f>+CONCATENATE($G$7," RF T",G340," ",H340)</f>
        <v>"04-2026" RF TT030 6603</v>
      </c>
      <c r="J341" s="10"/>
    </row>
    <row r="342" spans="1:20" x14ac:dyDescent="0.35">
      <c r="B342" s="209">
        <v>1245150017</v>
      </c>
      <c r="C342" s="251" t="s">
        <v>77</v>
      </c>
      <c r="D342" s="268">
        <f>+O340</f>
        <v>13354740</v>
      </c>
      <c r="E342" s="10" t="s">
        <v>97</v>
      </c>
      <c r="F342" s="209">
        <v>40</v>
      </c>
      <c r="G342" s="318" t="str">
        <f t="shared" ref="G342:G347" si="16">+G341</f>
        <v>"04-2026" RF TT030 6603</v>
      </c>
      <c r="I342" s="314">
        <f>+H340</f>
        <v>6603</v>
      </c>
      <c r="J342" s="10"/>
      <c r="K342" s="433"/>
    </row>
    <row r="343" spans="1:20" x14ac:dyDescent="0.35">
      <c r="B343" s="209">
        <v>1149120011</v>
      </c>
      <c r="C343" s="251" t="s">
        <v>96</v>
      </c>
      <c r="D343" s="268">
        <f>+D345*S340</f>
        <v>167468.43960000001</v>
      </c>
      <c r="E343" s="10" t="s">
        <v>97</v>
      </c>
      <c r="F343" s="209">
        <v>50</v>
      </c>
      <c r="G343" s="318" t="str">
        <f t="shared" si="16"/>
        <v>"04-2026" RF TT030 6603</v>
      </c>
      <c r="I343" s="314">
        <f>+I342</f>
        <v>6603</v>
      </c>
      <c r="J343" s="10"/>
    </row>
    <row r="344" spans="1:20" x14ac:dyDescent="0.35">
      <c r="B344" s="209">
        <v>1149120011</v>
      </c>
      <c r="C344" s="251" t="s">
        <v>96</v>
      </c>
      <c r="D344" s="268">
        <f>+D343</f>
        <v>167468.43960000001</v>
      </c>
      <c r="E344" s="10" t="s">
        <v>98</v>
      </c>
      <c r="F344" s="209">
        <v>40</v>
      </c>
      <c r="G344" s="318" t="str">
        <f t="shared" si="16"/>
        <v>"04-2026" RF TT030 6603</v>
      </c>
      <c r="I344" s="314">
        <f>+I343</f>
        <v>6603</v>
      </c>
      <c r="J344" s="10"/>
    </row>
    <row r="345" spans="1:20" x14ac:dyDescent="0.35">
      <c r="B345" s="4">
        <v>1149120011</v>
      </c>
      <c r="C345" s="251" t="s">
        <v>96</v>
      </c>
      <c r="D345" s="268">
        <f>+P340</f>
        <v>2537400.6</v>
      </c>
      <c r="E345" s="10" t="s">
        <v>97</v>
      </c>
      <c r="F345">
        <v>40</v>
      </c>
      <c r="G345" s="318" t="str">
        <f t="shared" si="16"/>
        <v>"04-2026" RF TT030 6603</v>
      </c>
      <c r="J345" s="10"/>
    </row>
    <row r="346" spans="1:20" x14ac:dyDescent="0.35">
      <c r="B346" s="4">
        <v>1249100024</v>
      </c>
      <c r="C346" s="251" t="s">
        <v>981</v>
      </c>
      <c r="D346" s="268">
        <f>+D342*J346</f>
        <v>129006.92089266903</v>
      </c>
      <c r="F346">
        <v>50</v>
      </c>
      <c r="G346" s="318" t="str">
        <f t="shared" si="16"/>
        <v>"04-2026" RF TT030 6603</v>
      </c>
      <c r="I346" s="206">
        <v>1</v>
      </c>
      <c r="J346" s="352">
        <v>9.6600099210219764E-3</v>
      </c>
    </row>
    <row r="347" spans="1:20" x14ac:dyDescent="0.35">
      <c r="B347" s="4">
        <v>1246125027</v>
      </c>
      <c r="C347" s="251" t="s">
        <v>962</v>
      </c>
      <c r="D347" s="268">
        <f>+D342*J347</f>
        <v>467416.27217041864</v>
      </c>
      <c r="F347">
        <v>50</v>
      </c>
      <c r="G347" s="318" t="str">
        <f t="shared" si="16"/>
        <v>"04-2026" RF TT030 6603</v>
      </c>
      <c r="I347" s="251" t="s">
        <v>857</v>
      </c>
      <c r="J347" s="352">
        <v>3.5000027868039262E-2</v>
      </c>
    </row>
    <row r="348" spans="1:20" x14ac:dyDescent="0.35">
      <c r="A348" s="130" t="s">
        <v>853</v>
      </c>
      <c r="B348" s="14">
        <v>204816</v>
      </c>
      <c r="C348" s="15" t="s">
        <v>26</v>
      </c>
      <c r="G348" s="9" t="str">
        <f>+VLOOKUP(B348,arriendo1!A:R,3,0)</f>
        <v>T030</v>
      </c>
      <c r="H348" s="131">
        <f>+VLOOKUP(B348,arriendo1!A:R,6,0)</f>
        <v>6603</v>
      </c>
      <c r="J348" s="350">
        <f>+VLOOKUP(H348,contratos!A:R,5,0)</f>
        <v>42926</v>
      </c>
      <c r="K348" s="266" t="str">
        <f>+VLOOKUP(H348,contratos!A:R,12,0)</f>
        <v>OK</v>
      </c>
      <c r="L348" s="341" t="str">
        <f>+VLOOKUP(H348,contratos!A:R,13,0)</f>
        <v>VIGENTE</v>
      </c>
      <c r="M348" s="341">
        <f>+VLOOKUP(H348,contratos!A:R,15,0)</f>
        <v>0</v>
      </c>
      <c r="N348" s="336">
        <f>+VLOOKUP(H348,contratos!A:R,16,0)</f>
        <v>0</v>
      </c>
      <c r="O348" s="341">
        <f>+VLOOKUP(B348,PRORRATEO!A:M,8,0)</f>
        <v>13354740</v>
      </c>
      <c r="P348" s="341">
        <f>+VLOOKUP(B348,PRORRATEO!A:M,9,0)</f>
        <v>2537400.6</v>
      </c>
      <c r="Q348" s="341">
        <f>+VLOOKUP(B348,PRORRATEO!A:M,10,0)</f>
        <v>167468.43960000001</v>
      </c>
      <c r="R348" s="341">
        <f>+VLOOKUP(B348,PRORRATEO!A:M,11,0)</f>
        <v>2369932.1604000004</v>
      </c>
      <c r="S348" s="339">
        <f>+VLOOKUP(B348,PRORRATEO!A:M,12,0)</f>
        <v>6.6000000000000003E-2</v>
      </c>
      <c r="T348" s="339">
        <f>+VLOOKUP(B348,PRORRATEO!A:M,13,0)</f>
        <v>0.93400000000000005</v>
      </c>
    </row>
    <row r="349" spans="1:20" x14ac:dyDescent="0.35">
      <c r="B349" s="4">
        <v>1242100042</v>
      </c>
      <c r="C349" s="251" t="s">
        <v>983</v>
      </c>
      <c r="D349" s="299">
        <f>+D350+D351-D352+D353+D354+D355</f>
        <v>15295717.406936912</v>
      </c>
      <c r="E349" s="10" t="s">
        <v>984</v>
      </c>
      <c r="F349">
        <v>31</v>
      </c>
      <c r="G349" s="348" t="str">
        <f>+CONCATENATE($G$7," RF T",G348," ",H348)</f>
        <v>"04-2026" RF TT030 6603</v>
      </c>
      <c r="J349" s="10"/>
    </row>
    <row r="350" spans="1:20" x14ac:dyDescent="0.35">
      <c r="B350" s="209">
        <v>1245150017</v>
      </c>
      <c r="C350" s="251" t="s">
        <v>77</v>
      </c>
      <c r="D350" s="268">
        <f>+O348</f>
        <v>13354740</v>
      </c>
      <c r="E350" s="10" t="s">
        <v>97</v>
      </c>
      <c r="F350" s="209">
        <v>40</v>
      </c>
      <c r="G350" s="318" t="str">
        <f t="shared" ref="G350:G355" si="17">+G349</f>
        <v>"04-2026" RF TT030 6603</v>
      </c>
      <c r="I350" s="314">
        <f>+H348</f>
        <v>6603</v>
      </c>
      <c r="J350" s="10"/>
    </row>
    <row r="351" spans="1:20" x14ac:dyDescent="0.35">
      <c r="B351" s="209">
        <v>1149120011</v>
      </c>
      <c r="C351" s="251" t="s">
        <v>96</v>
      </c>
      <c r="D351" s="268">
        <f>+Q348</f>
        <v>167468.43960000001</v>
      </c>
      <c r="E351" s="10" t="s">
        <v>97</v>
      </c>
      <c r="F351" s="209">
        <v>50</v>
      </c>
      <c r="G351" s="318" t="str">
        <f t="shared" si="17"/>
        <v>"04-2026" RF TT030 6603</v>
      </c>
      <c r="I351" s="314">
        <f>+I350</f>
        <v>6603</v>
      </c>
      <c r="J351" s="10"/>
    </row>
    <row r="352" spans="1:20" x14ac:dyDescent="0.35">
      <c r="B352" s="209">
        <v>1149120011</v>
      </c>
      <c r="C352" s="251" t="s">
        <v>96</v>
      </c>
      <c r="D352" s="268">
        <f>+D351</f>
        <v>167468.43960000001</v>
      </c>
      <c r="E352" s="10" t="s">
        <v>98</v>
      </c>
      <c r="F352" s="209">
        <v>40</v>
      </c>
      <c r="G352" s="318" t="str">
        <f t="shared" si="17"/>
        <v>"04-2026" RF TT030 6603</v>
      </c>
      <c r="I352" s="314">
        <f>+I351</f>
        <v>6603</v>
      </c>
      <c r="J352" s="10"/>
    </row>
    <row r="353" spans="1:20" x14ac:dyDescent="0.35">
      <c r="B353" s="4">
        <v>1149120011</v>
      </c>
      <c r="C353" s="251" t="s">
        <v>96</v>
      </c>
      <c r="D353" s="268">
        <f>+P348</f>
        <v>2537400.6</v>
      </c>
      <c r="E353" s="10" t="s">
        <v>97</v>
      </c>
      <c r="F353">
        <v>40</v>
      </c>
      <c r="G353" s="318" t="str">
        <f t="shared" si="17"/>
        <v>"04-2026" RF TT030 6603</v>
      </c>
      <c r="J353" s="352"/>
    </row>
    <row r="354" spans="1:20" x14ac:dyDescent="0.35">
      <c r="B354" s="4">
        <v>1249100024</v>
      </c>
      <c r="C354" s="251" t="s">
        <v>981</v>
      </c>
      <c r="D354" s="298">
        <f>-D350*J354</f>
        <v>-129006.92089266903</v>
      </c>
      <c r="F354">
        <v>50</v>
      </c>
      <c r="G354" s="318" t="str">
        <f t="shared" si="17"/>
        <v>"04-2026" RF TT030 6603</v>
      </c>
      <c r="I354" s="206">
        <v>1</v>
      </c>
      <c r="J354" s="352">
        <v>9.6600099210219764E-3</v>
      </c>
    </row>
    <row r="355" spans="1:20" x14ac:dyDescent="0.35">
      <c r="B355" s="4">
        <v>1246125027</v>
      </c>
      <c r="C355" s="251" t="s">
        <v>962</v>
      </c>
      <c r="D355" s="268">
        <f>-D350*J355</f>
        <v>-467416.27217041864</v>
      </c>
      <c r="F355">
        <v>50</v>
      </c>
      <c r="G355" s="318" t="str">
        <f t="shared" si="17"/>
        <v>"04-2026" RF TT030 6603</v>
      </c>
      <c r="I355" s="251" t="s">
        <v>857</v>
      </c>
      <c r="J355" s="352">
        <v>3.5000027868039262E-2</v>
      </c>
    </row>
    <row r="356" spans="1:20" x14ac:dyDescent="0.35">
      <c r="A356" s="130" t="s">
        <v>853</v>
      </c>
      <c r="B356" s="14">
        <v>366703</v>
      </c>
      <c r="C356" s="15" t="s">
        <v>53</v>
      </c>
      <c r="G356" s="9" t="str">
        <f>+VLOOKUP(B356,arriendo1!A:R,3,0)</f>
        <v>T030</v>
      </c>
      <c r="H356" s="131">
        <f>+VLOOKUP(B356,arriendo1!A:R,6,0)</f>
        <v>6603</v>
      </c>
      <c r="J356" s="350">
        <f>+VLOOKUP(H356,contratos!A:R,5,0)</f>
        <v>42926</v>
      </c>
      <c r="K356" s="266" t="str">
        <f>+VLOOKUP(H356,contratos!A:R,12,0)</f>
        <v>OK</v>
      </c>
      <c r="L356" s="341" t="str">
        <f>+VLOOKUP(H356,contratos!A:R,13,0)</f>
        <v>VIGENTE</v>
      </c>
      <c r="M356" s="341">
        <f>+VLOOKUP(H356,contratos!A:R,15,0)</f>
        <v>0</v>
      </c>
      <c r="N356" s="336">
        <f>+VLOOKUP(H356,contratos!A:R,16,0)</f>
        <v>0</v>
      </c>
      <c r="O356" s="341">
        <f>+VLOOKUP(B356,PRORRATEO!A:M,8,0)</f>
        <v>20626238</v>
      </c>
      <c r="P356" s="341">
        <f>+VLOOKUP(B356,PRORRATEO!A:M,9,0)</f>
        <v>3918985.22</v>
      </c>
      <c r="Q356" s="341">
        <f>+VLOOKUP(B356,PRORRATEO!A:M,10,0)</f>
        <v>258653.02452000004</v>
      </c>
      <c r="R356" s="341">
        <f>+VLOOKUP(B356,PRORRATEO!A:M,11,0)</f>
        <v>3660332.1954800002</v>
      </c>
      <c r="S356" s="339">
        <f>+VLOOKUP(B356,PRORRATEO!A:M,12,0)</f>
        <v>6.6000000000000003E-2</v>
      </c>
      <c r="T356" s="339">
        <f>+VLOOKUP(B356,PRORRATEO!A:M,13,0)</f>
        <v>0.93400000000000005</v>
      </c>
    </row>
    <row r="357" spans="1:20" x14ac:dyDescent="0.35">
      <c r="B357" s="4">
        <v>1242100042</v>
      </c>
      <c r="C357" s="251" t="s">
        <v>983</v>
      </c>
      <c r="D357" s="299">
        <f>+D358+D359-D360+D361+D362+D363</f>
        <v>23624054.651473828</v>
      </c>
      <c r="E357" s="10" t="s">
        <v>984</v>
      </c>
      <c r="F357">
        <v>31</v>
      </c>
      <c r="G357" s="316" t="str">
        <f>+CONCATENATE($G$7," RF T",G356," ",H356)</f>
        <v>"04-2026" RF TT030 6603</v>
      </c>
      <c r="J357" s="10"/>
    </row>
    <row r="358" spans="1:20" x14ac:dyDescent="0.35">
      <c r="B358" s="209">
        <v>1245150017</v>
      </c>
      <c r="C358" s="251" t="s">
        <v>77</v>
      </c>
      <c r="D358" s="268">
        <f>+O356</f>
        <v>20626238</v>
      </c>
      <c r="E358" s="10" t="s">
        <v>97</v>
      </c>
      <c r="F358" s="209">
        <v>40</v>
      </c>
      <c r="G358" s="318" t="str">
        <f t="shared" ref="G358:G363" si="18">+G357</f>
        <v>"04-2026" RF TT030 6603</v>
      </c>
      <c r="I358" s="314">
        <f>+H356</f>
        <v>6603</v>
      </c>
      <c r="J358" s="10"/>
    </row>
    <row r="359" spans="1:20" x14ac:dyDescent="0.35">
      <c r="B359" s="209">
        <v>1149120011</v>
      </c>
      <c r="C359" s="251" t="s">
        <v>96</v>
      </c>
      <c r="D359" s="268">
        <f>+D360</f>
        <v>258653.02452000004</v>
      </c>
      <c r="E359" s="10" t="s">
        <v>98</v>
      </c>
      <c r="F359" s="209">
        <v>40</v>
      </c>
      <c r="G359" s="318" t="str">
        <f t="shared" si="18"/>
        <v>"04-2026" RF TT030 6603</v>
      </c>
      <c r="I359" s="314">
        <f>+I358</f>
        <v>6603</v>
      </c>
      <c r="J359" s="10"/>
    </row>
    <row r="360" spans="1:20" x14ac:dyDescent="0.35">
      <c r="B360" s="209">
        <v>1149120011</v>
      </c>
      <c r="C360" s="251" t="s">
        <v>96</v>
      </c>
      <c r="D360" s="268">
        <f>+Q356</f>
        <v>258653.02452000004</v>
      </c>
      <c r="E360" s="10" t="s">
        <v>97</v>
      </c>
      <c r="F360" s="209">
        <v>50</v>
      </c>
      <c r="G360" s="318" t="str">
        <f t="shared" si="18"/>
        <v>"04-2026" RF TT030 6603</v>
      </c>
      <c r="I360" s="314">
        <f>+I359</f>
        <v>6603</v>
      </c>
      <c r="J360" s="10"/>
    </row>
    <row r="361" spans="1:20" x14ac:dyDescent="0.35">
      <c r="B361" s="4">
        <v>1149120011</v>
      </c>
      <c r="C361" s="251" t="s">
        <v>96</v>
      </c>
      <c r="D361" s="298">
        <f>+D358*0.19</f>
        <v>3918985.22</v>
      </c>
      <c r="E361" s="10" t="s">
        <v>97</v>
      </c>
      <c r="F361">
        <v>40</v>
      </c>
      <c r="G361" s="318" t="str">
        <f t="shared" si="18"/>
        <v>"04-2026" RF TT030 6603</v>
      </c>
      <c r="J361" s="10"/>
    </row>
    <row r="362" spans="1:20" x14ac:dyDescent="0.35">
      <c r="B362" s="4">
        <v>1249100024</v>
      </c>
      <c r="C362" s="251" t="s">
        <v>981</v>
      </c>
      <c r="D362" s="268">
        <f>-D358*J362</f>
        <v>-199249.6637133605</v>
      </c>
      <c r="F362">
        <v>50</v>
      </c>
      <c r="G362" s="318" t="str">
        <f t="shared" si="18"/>
        <v>"04-2026" RF TT030 6603</v>
      </c>
      <c r="I362" s="206">
        <v>1</v>
      </c>
      <c r="J362" s="352">
        <v>9.6600099210219764E-3</v>
      </c>
    </row>
    <row r="363" spans="1:20" x14ac:dyDescent="0.35">
      <c r="B363" s="4">
        <v>1246125027</v>
      </c>
      <c r="C363" s="251" t="s">
        <v>962</v>
      </c>
      <c r="D363" s="268">
        <f>-D358*J363</f>
        <v>-721918.90481281036</v>
      </c>
      <c r="F363">
        <v>50</v>
      </c>
      <c r="G363" s="318" t="str">
        <f t="shared" si="18"/>
        <v>"04-2026" RF TT030 6603</v>
      </c>
      <c r="I363" s="251" t="s">
        <v>857</v>
      </c>
      <c r="J363" s="352">
        <v>3.5000027868039262E-2</v>
      </c>
    </row>
    <row r="364" spans="1:20" x14ac:dyDescent="0.35">
      <c r="A364" s="130" t="s">
        <v>853</v>
      </c>
      <c r="B364" s="14">
        <v>204900</v>
      </c>
      <c r="C364" s="15" t="s">
        <v>27</v>
      </c>
      <c r="G364" s="9" t="str">
        <f>+VLOOKUP(B364,arriendo1!A:R,3,0)</f>
        <v>T052</v>
      </c>
      <c r="H364" s="131">
        <f>+VLOOKUP(B364,arriendo1!A:R,6,0)</f>
        <v>6640</v>
      </c>
      <c r="J364" s="350">
        <f>+VLOOKUP(H364,contratos!A:R,5,0)</f>
        <v>42309</v>
      </c>
      <c r="K364" s="266" t="str">
        <f>+VLOOKUP(H364,contratos!A:R,12,0)</f>
        <v>OK</v>
      </c>
      <c r="L364" s="341" t="str">
        <f>+VLOOKUP(H364,contratos!A:R,13,0)</f>
        <v>VIGENTE</v>
      </c>
      <c r="M364" s="341">
        <f>+VLOOKUP(H364,contratos!A:R,15,0)</f>
        <v>0</v>
      </c>
      <c r="N364" s="336">
        <f>+VLOOKUP(H364,contratos!A:R,16,0)</f>
        <v>0</v>
      </c>
      <c r="O364" s="341">
        <f>+VLOOKUP(B364,PRORRATEO!A:M,8,0)</f>
        <v>5649396</v>
      </c>
      <c r="P364" s="341">
        <f>+VLOOKUP(B364,PRORRATEO!A:M,9,0)</f>
        <v>1073385.24</v>
      </c>
      <c r="Q364" s="341">
        <f>+VLOOKUP(B364,PRORRATEO!A:M,10,0)</f>
        <v>94890.773637943901</v>
      </c>
      <c r="R364" s="341">
        <f>+VLOOKUP(B364,PRORRATEO!A:M,11,0)</f>
        <v>978494.46636205621</v>
      </c>
      <c r="S364" s="339">
        <f>+VLOOKUP(B364,PRORRATEO!A:M,12,0)</f>
        <v>8.8403277874348166E-2</v>
      </c>
      <c r="T364" s="339">
        <f>+VLOOKUP(B364,PRORRATEO!A:M,13,0)</f>
        <v>0.9115967221256519</v>
      </c>
    </row>
    <row r="365" spans="1:20" x14ac:dyDescent="0.35">
      <c r="B365" s="4">
        <v>1242100042</v>
      </c>
      <c r="C365" s="251" t="s">
        <v>983</v>
      </c>
      <c r="D365" s="299">
        <f>+D366+D367-D368+D369+D370+D371</f>
        <v>6504149.957587556</v>
      </c>
      <c r="E365" s="10" t="s">
        <v>984</v>
      </c>
      <c r="F365">
        <v>31</v>
      </c>
      <c r="G365" s="348" t="str">
        <f>+CONCATENATE($G$7," RF ",G364," ",H364)</f>
        <v>"04-2026" RF T052 6640</v>
      </c>
      <c r="J365" s="10"/>
    </row>
    <row r="366" spans="1:20" x14ac:dyDescent="0.35">
      <c r="B366" s="209">
        <v>1245150017</v>
      </c>
      <c r="C366" s="251" t="s">
        <v>77</v>
      </c>
      <c r="D366" s="298">
        <f>+O364</f>
        <v>5649396</v>
      </c>
      <c r="E366" s="10" t="s">
        <v>97</v>
      </c>
      <c r="F366" s="209">
        <v>40</v>
      </c>
      <c r="G366" s="318" t="str">
        <f t="shared" ref="G366:G371" si="19">+G365</f>
        <v>"04-2026" RF T052 6640</v>
      </c>
      <c r="I366" s="314">
        <f>+H364</f>
        <v>6640</v>
      </c>
      <c r="J366" s="10"/>
    </row>
    <row r="367" spans="1:20" x14ac:dyDescent="0.35">
      <c r="B367" s="209">
        <v>1149120011</v>
      </c>
      <c r="C367" s="251" t="s">
        <v>96</v>
      </c>
      <c r="D367" s="268">
        <f>+D368</f>
        <v>94890.773637943901</v>
      </c>
      <c r="E367" s="10" t="s">
        <v>98</v>
      </c>
      <c r="F367" s="209">
        <v>40</v>
      </c>
      <c r="G367" s="318" t="str">
        <f t="shared" si="19"/>
        <v>"04-2026" RF T052 6640</v>
      </c>
      <c r="I367" s="314">
        <f>+I366</f>
        <v>6640</v>
      </c>
      <c r="J367" s="10"/>
    </row>
    <row r="368" spans="1:20" x14ac:dyDescent="0.35">
      <c r="B368" s="209">
        <v>1149120011</v>
      </c>
      <c r="C368" s="251" t="s">
        <v>96</v>
      </c>
      <c r="D368" s="268">
        <f>Q364</f>
        <v>94890.773637943901</v>
      </c>
      <c r="E368" s="10" t="s">
        <v>97</v>
      </c>
      <c r="F368" s="209">
        <v>50</v>
      </c>
      <c r="G368" s="318" t="str">
        <f t="shared" si="19"/>
        <v>"04-2026" RF T052 6640</v>
      </c>
      <c r="I368" s="314">
        <f>+I367</f>
        <v>6640</v>
      </c>
      <c r="J368" s="10"/>
    </row>
    <row r="369" spans="1:20" x14ac:dyDescent="0.35">
      <c r="B369" s="4">
        <v>1149120011</v>
      </c>
      <c r="C369" s="251" t="s">
        <v>96</v>
      </c>
      <c r="D369" s="268">
        <f>+P364</f>
        <v>1073385.24</v>
      </c>
      <c r="E369" s="10" t="s">
        <v>97</v>
      </c>
      <c r="F369">
        <v>40</v>
      </c>
      <c r="G369" s="318" t="str">
        <f t="shared" si="19"/>
        <v>"04-2026" RF T052 6640</v>
      </c>
      <c r="J369" s="10"/>
    </row>
    <row r="370" spans="1:20" x14ac:dyDescent="0.35">
      <c r="B370" s="4">
        <v>1249100024</v>
      </c>
      <c r="C370" s="251" t="s">
        <v>981</v>
      </c>
      <c r="D370" s="268">
        <f>-D366*J370</f>
        <v>-20902.264974855301</v>
      </c>
      <c r="F370">
        <v>50</v>
      </c>
      <c r="G370" s="318" t="str">
        <f t="shared" si="19"/>
        <v>"04-2026" RF T052 6640</v>
      </c>
      <c r="I370" s="206">
        <v>13</v>
      </c>
      <c r="J370" s="352">
        <v>3.699911455110476E-3</v>
      </c>
    </row>
    <row r="371" spans="1:20" x14ac:dyDescent="0.35">
      <c r="B371" s="4">
        <v>1246125027</v>
      </c>
      <c r="C371" s="251" t="s">
        <v>962</v>
      </c>
      <c r="D371" s="268">
        <f>-D366*J371</f>
        <v>-197729.01743758953</v>
      </c>
      <c r="F371">
        <v>50</v>
      </c>
      <c r="G371" s="318" t="str">
        <f t="shared" si="19"/>
        <v>"04-2026" RF T052 6640</v>
      </c>
      <c r="I371" s="251" t="s">
        <v>857</v>
      </c>
      <c r="J371" s="352">
        <v>3.5000027868039262E-2</v>
      </c>
    </row>
    <row r="372" spans="1:20" x14ac:dyDescent="0.35">
      <c r="A372" s="130" t="s">
        <v>853</v>
      </c>
      <c r="B372" s="14">
        <v>204578</v>
      </c>
      <c r="C372" s="15" t="s">
        <v>18</v>
      </c>
      <c r="G372" s="9" t="str">
        <f>+VLOOKUP(B372,arriendo1!A:R,3,0)</f>
        <v>T054</v>
      </c>
      <c r="H372" s="131">
        <f>+VLOOKUP(B372,arriendo1!A:R,6,0)</f>
        <v>6652</v>
      </c>
      <c r="J372" s="350">
        <f>+VLOOKUP(H372,contratos!A:R,5,0)</f>
        <v>43480</v>
      </c>
      <c r="K372" s="266" t="str">
        <f>+VLOOKUP(H372,contratos!A:R,12,0)</f>
        <v>VENCIDO</v>
      </c>
      <c r="L372" s="341" t="str">
        <f>+VLOOKUP(H372,contratos!A:R,13,0)</f>
        <v>CESADO</v>
      </c>
      <c r="M372" s="341">
        <f>+VLOOKUP(H372,contratos!A:R,15,0)</f>
        <v>0</v>
      </c>
      <c r="N372" s="336">
        <f>+VLOOKUP(H372,contratos!A:R,16,0)</f>
        <v>0</v>
      </c>
      <c r="O372" s="341">
        <f>+VLOOKUP(B372,PRORRATEO!A:M,8,0)</f>
        <v>15871587</v>
      </c>
      <c r="P372" s="341">
        <f>+VLOOKUP(B372,PRORRATEO!A:M,9,0)</f>
        <v>3015601.5300000003</v>
      </c>
      <c r="Q372" s="341">
        <f>+VLOOKUP(B372,PRORRATEO!A:M,10,0)</f>
        <v>160005.1278447978</v>
      </c>
      <c r="R372" s="341">
        <f>+VLOOKUP(B372,PRORRATEO!A:M,11,0)</f>
        <v>2855596.4021552023</v>
      </c>
      <c r="S372" s="339">
        <f>+VLOOKUP(B372,PRORRATEO!A:M,12,0)</f>
        <v>5.3059108192188037E-2</v>
      </c>
      <c r="T372" s="339">
        <f>+VLOOKUP(B372,PRORRATEO!A:M,13,0)</f>
        <v>0.94694089180781194</v>
      </c>
    </row>
    <row r="373" spans="1:20" x14ac:dyDescent="0.35">
      <c r="B373" s="4">
        <v>1242100042</v>
      </c>
      <c r="C373" s="251" t="s">
        <v>983</v>
      </c>
      <c r="D373" s="299">
        <f>+D374+D375-D376+D377+D378+D379</f>
        <v>18178362.854807626</v>
      </c>
      <c r="E373" s="10" t="s">
        <v>984</v>
      </c>
      <c r="F373">
        <v>31</v>
      </c>
      <c r="G373" s="316" t="str">
        <f>+CONCATENATE($G$7," RF ",G372," ",H372)</f>
        <v>"04-2026" RF T054 6652</v>
      </c>
      <c r="J373" s="10"/>
    </row>
    <row r="374" spans="1:20" x14ac:dyDescent="0.35">
      <c r="B374" s="209">
        <v>1245150017</v>
      </c>
      <c r="C374" s="251" t="s">
        <v>77</v>
      </c>
      <c r="D374" s="268">
        <f>+O372</f>
        <v>15871587</v>
      </c>
      <c r="E374" s="10" t="s">
        <v>97</v>
      </c>
      <c r="F374" s="209">
        <v>40</v>
      </c>
      <c r="G374" s="318" t="str">
        <f t="shared" ref="G374:G379" si="20">+G373</f>
        <v>"04-2026" RF T054 6652</v>
      </c>
      <c r="I374" s="314">
        <f>+H372</f>
        <v>6652</v>
      </c>
      <c r="J374" s="10"/>
    </row>
    <row r="375" spans="1:20" x14ac:dyDescent="0.35">
      <c r="B375" s="209">
        <v>1149120011</v>
      </c>
      <c r="C375" s="251" t="s">
        <v>96</v>
      </c>
      <c r="D375" s="268">
        <f>+Q372</f>
        <v>160005.1278447978</v>
      </c>
      <c r="E375" s="10" t="s">
        <v>98</v>
      </c>
      <c r="F375" s="209">
        <v>40</v>
      </c>
      <c r="G375" s="318" t="str">
        <f t="shared" si="20"/>
        <v>"04-2026" RF T054 6652</v>
      </c>
      <c r="I375" s="314">
        <f>+I374</f>
        <v>6652</v>
      </c>
      <c r="J375" s="10"/>
      <c r="K375" s="433">
        <f>+D374+D377</f>
        <v>18887188.530000001</v>
      </c>
    </row>
    <row r="376" spans="1:20" x14ac:dyDescent="0.35">
      <c r="B376" s="209">
        <v>1149120011</v>
      </c>
      <c r="C376" s="251" t="s">
        <v>96</v>
      </c>
      <c r="D376" s="268">
        <f>+D375</f>
        <v>160005.1278447978</v>
      </c>
      <c r="E376" s="10" t="s">
        <v>97</v>
      </c>
      <c r="F376" s="209">
        <v>50</v>
      </c>
      <c r="G376" s="318" t="str">
        <f t="shared" si="20"/>
        <v>"04-2026" RF T054 6652</v>
      </c>
      <c r="I376" s="314">
        <f>+I375</f>
        <v>6652</v>
      </c>
      <c r="J376" s="10"/>
      <c r="K376" s="433">
        <f>+K375+D378+D379</f>
        <v>18178362.854807626</v>
      </c>
    </row>
    <row r="377" spans="1:20" x14ac:dyDescent="0.35">
      <c r="B377" s="4">
        <v>1149120011</v>
      </c>
      <c r="C377" s="251" t="s">
        <v>96</v>
      </c>
      <c r="D377" s="268">
        <f>+P372</f>
        <v>3015601.5300000003</v>
      </c>
      <c r="E377" s="10" t="s">
        <v>97</v>
      </c>
      <c r="F377">
        <v>40</v>
      </c>
      <c r="G377" s="318" t="str">
        <f t="shared" si="20"/>
        <v>"04-2026" RF T054 6652</v>
      </c>
      <c r="J377" s="10"/>
    </row>
    <row r="378" spans="1:20" x14ac:dyDescent="0.35">
      <c r="B378" s="4">
        <v>1249100024</v>
      </c>
      <c r="C378" s="251" t="s">
        <v>981</v>
      </c>
      <c r="D378" s="268">
        <f>-D374*J378</f>
        <v>-153319.68788236342</v>
      </c>
      <c r="F378">
        <v>50</v>
      </c>
      <c r="G378" s="318" t="str">
        <f t="shared" si="20"/>
        <v>"04-2026" RF T054 6652</v>
      </c>
      <c r="I378" s="206">
        <v>1</v>
      </c>
      <c r="J378" s="352">
        <v>9.6600099210219764E-3</v>
      </c>
    </row>
    <row r="379" spans="1:20" x14ac:dyDescent="0.35">
      <c r="B379" s="4">
        <v>1246125027</v>
      </c>
      <c r="C379" s="251" t="s">
        <v>962</v>
      </c>
      <c r="D379" s="298">
        <f>-D374*J379</f>
        <v>-555505.98731000966</v>
      </c>
      <c r="F379">
        <v>50</v>
      </c>
      <c r="G379" s="318" t="str">
        <f t="shared" si="20"/>
        <v>"04-2026" RF T054 6652</v>
      </c>
      <c r="I379" s="251" t="s">
        <v>857</v>
      </c>
      <c r="J379" s="352">
        <v>3.5000027868039262E-2</v>
      </c>
    </row>
    <row r="380" spans="1:20" x14ac:dyDescent="0.35">
      <c r="A380" s="130" t="s">
        <v>853</v>
      </c>
      <c r="B380" s="14">
        <v>204523</v>
      </c>
      <c r="C380" s="15" t="s">
        <v>42</v>
      </c>
      <c r="G380" s="9" t="str">
        <f>+VLOOKUP(B380,arriendo1!A:R,3,0)</f>
        <v>T080</v>
      </c>
      <c r="H380" s="131">
        <f>+VLOOKUP(B380,arriendo1!A:R,6,0)</f>
        <v>6715</v>
      </c>
      <c r="J380" s="350">
        <f>+VLOOKUP(H380,contratos!A:R,5,0)</f>
        <v>41883</v>
      </c>
      <c r="K380" s="266" t="str">
        <f>+VLOOKUP(H380,contratos!A:R,12,0)</f>
        <v>VENCIDO</v>
      </c>
      <c r="L380" s="341" t="str">
        <f>+VLOOKUP(H380,contratos!A:R,13,0)</f>
        <v>CESADO</v>
      </c>
      <c r="M380" s="341">
        <f>+VLOOKUP(H380,contratos!A:R,15,0)</f>
        <v>0</v>
      </c>
      <c r="N380" s="336">
        <f>+VLOOKUP(H380,contratos!A:R,16,0)</f>
        <v>0</v>
      </c>
      <c r="O380" s="341">
        <f>+VLOOKUP(B380,PRORRATEO!A:M,8,0)</f>
        <v>17158194</v>
      </c>
      <c r="P380" s="341">
        <f>+VLOOKUP(B380,PRORRATEO!A:M,9,0)</f>
        <v>3260056.86</v>
      </c>
      <c r="Q380" s="341">
        <f>+VLOOKUP(B380,PRORRATEO!A:M,10,0)</f>
        <v>166262.89985999998</v>
      </c>
      <c r="R380" s="341">
        <f>+VLOOKUP(B380,PRORRATEO!A:M,11,0)</f>
        <v>3093793.9601399996</v>
      </c>
      <c r="S380" s="339">
        <f>+VLOOKUP(B380,PRORRATEO!A:M,12,0)</f>
        <v>5.0999999999999997E-2</v>
      </c>
      <c r="T380" s="339">
        <f>+VLOOKUP(B380,PRORRATEO!A:M,13,0)</f>
        <v>0.94899999999999995</v>
      </c>
    </row>
    <row r="381" spans="1:20" x14ac:dyDescent="0.35">
      <c r="B381" s="4">
        <v>1242100042</v>
      </c>
      <c r="C381" s="251" t="s">
        <v>983</v>
      </c>
      <c r="D381" s="299">
        <f>+D382+D383-D384+D385+D386+D387</f>
        <v>19646131.370679196</v>
      </c>
      <c r="E381" s="10" t="s">
        <v>984</v>
      </c>
      <c r="F381">
        <v>31</v>
      </c>
      <c r="G381" s="316" t="str">
        <f>+CONCATENATE($G$7," RF T",G380," ",H380)</f>
        <v>"04-2026" RF TT080 6715</v>
      </c>
      <c r="J381" s="10"/>
    </row>
    <row r="382" spans="1:20" x14ac:dyDescent="0.35">
      <c r="B382" s="209">
        <v>1245150017</v>
      </c>
      <c r="C382" s="251" t="s">
        <v>77</v>
      </c>
      <c r="D382" s="268">
        <f>+O380</f>
        <v>17158194</v>
      </c>
      <c r="E382" s="10" t="s">
        <v>97</v>
      </c>
      <c r="F382" s="209">
        <v>40</v>
      </c>
      <c r="G382" s="318" t="str">
        <f t="shared" ref="G382:G387" si="21">+G381</f>
        <v>"04-2026" RF TT080 6715</v>
      </c>
      <c r="I382" s="314">
        <v>6715</v>
      </c>
      <c r="J382" s="10"/>
    </row>
    <row r="383" spans="1:20" x14ac:dyDescent="0.35">
      <c r="B383" s="209">
        <v>1149120011</v>
      </c>
      <c r="C383" s="251" t="s">
        <v>96</v>
      </c>
      <c r="D383" s="268">
        <f>+Q380</f>
        <v>166262.89985999998</v>
      </c>
      <c r="E383" s="10" t="s">
        <v>98</v>
      </c>
      <c r="F383" s="209">
        <v>40</v>
      </c>
      <c r="G383" s="318" t="str">
        <f t="shared" si="21"/>
        <v>"04-2026" RF TT080 6715</v>
      </c>
      <c r="I383" s="314">
        <v>6715</v>
      </c>
      <c r="J383" s="10"/>
    </row>
    <row r="384" spans="1:20" x14ac:dyDescent="0.35">
      <c r="B384" s="209">
        <v>1149120011</v>
      </c>
      <c r="C384" s="251" t="s">
        <v>96</v>
      </c>
      <c r="D384" s="268">
        <f>+D383</f>
        <v>166262.89985999998</v>
      </c>
      <c r="E384" s="10" t="s">
        <v>97</v>
      </c>
      <c r="F384" s="209">
        <v>50</v>
      </c>
      <c r="G384" s="318" t="str">
        <f t="shared" si="21"/>
        <v>"04-2026" RF TT080 6715</v>
      </c>
      <c r="I384" s="314">
        <v>6715</v>
      </c>
      <c r="J384" s="10"/>
    </row>
    <row r="385" spans="1:20" x14ac:dyDescent="0.35">
      <c r="B385" s="4">
        <v>1149120011</v>
      </c>
      <c r="C385" s="251" t="s">
        <v>96</v>
      </c>
      <c r="D385" s="268">
        <f>+P380</f>
        <v>3260056.86</v>
      </c>
      <c r="E385" s="10" t="s">
        <v>97</v>
      </c>
      <c r="F385">
        <v>40</v>
      </c>
      <c r="G385" s="318" t="str">
        <f t="shared" si="21"/>
        <v>"04-2026" RF TT080 6715</v>
      </c>
      <c r="J385" s="10"/>
    </row>
    <row r="386" spans="1:20" x14ac:dyDescent="0.35">
      <c r="B386" s="4">
        <v>1249100024</v>
      </c>
      <c r="C386" s="251" t="s">
        <v>981</v>
      </c>
      <c r="D386" s="268">
        <f>-D382*J386</f>
        <v>-171582.22115557932</v>
      </c>
      <c r="F386">
        <v>50</v>
      </c>
      <c r="G386" s="318" t="str">
        <f t="shared" si="21"/>
        <v>"04-2026" RF TT080 6715</v>
      </c>
      <c r="I386" s="206">
        <v>14</v>
      </c>
      <c r="J386" s="352">
        <f>146466/14646576</f>
        <v>1.0000016386082318E-2</v>
      </c>
    </row>
    <row r="387" spans="1:20" x14ac:dyDescent="0.35">
      <c r="B387" s="4">
        <v>1246125027</v>
      </c>
      <c r="C387" s="251" t="s">
        <v>962</v>
      </c>
      <c r="D387" s="268">
        <f>-D382*J387</f>
        <v>-600537.268165224</v>
      </c>
      <c r="F387">
        <v>50</v>
      </c>
      <c r="G387" s="318" t="str">
        <f t="shared" si="21"/>
        <v>"04-2026" RF TT080 6715</v>
      </c>
      <c r="I387" s="251" t="s">
        <v>857</v>
      </c>
      <c r="J387" s="352">
        <v>3.5000027868039262E-2</v>
      </c>
    </row>
    <row r="388" spans="1:20" x14ac:dyDescent="0.35">
      <c r="A388" s="130" t="s">
        <v>853</v>
      </c>
      <c r="B388" s="14">
        <v>217036</v>
      </c>
      <c r="C388" s="15" t="s">
        <v>456</v>
      </c>
      <c r="G388" s="9" t="s">
        <v>453</v>
      </c>
      <c r="H388" s="131">
        <v>9209</v>
      </c>
      <c r="J388" s="350">
        <f>+VLOOKUP(H388,contratos!A:R,5,0)</f>
        <v>43040</v>
      </c>
      <c r="K388" s="266" t="str">
        <f>+VLOOKUP(H388,contratos!A:R,12,0)</f>
        <v>CESADO</v>
      </c>
      <c r="L388" s="341" t="str">
        <f>+VLOOKUP(H388,contratos!A:R,13,0)</f>
        <v>CERRADA</v>
      </c>
      <c r="M388" s="341">
        <f>+VLOOKUP(H388,contratos!A:R,15,0)</f>
        <v>0</v>
      </c>
      <c r="N388" s="336">
        <f>+VLOOKUP(H388,contratos!A:R,16,0)</f>
        <v>0</v>
      </c>
      <c r="O388" s="341">
        <f>+VLOOKUP(H388,PRORRATEO!F:M,3,0)</f>
        <v>101940</v>
      </c>
      <c r="P388" s="341">
        <f>+VLOOKUP(H388,PRORRATEO!F:M,4,0)</f>
        <v>19368.599999999999</v>
      </c>
      <c r="Q388" s="341">
        <f>+VLOOKUP(H388,PRORRATEO!F:M,5,0)</f>
        <v>1549.4879999999998</v>
      </c>
      <c r="R388" s="341">
        <f>+VLOOKUP(H388,PRORRATEO!F:M,6,0)</f>
        <v>17819.112000000001</v>
      </c>
      <c r="S388" s="339">
        <f>+VLOOKUP(H388,PRORRATEO!F:M,7,0)</f>
        <v>0.08</v>
      </c>
      <c r="T388" s="339">
        <f>+VLOOKUP(H388,PRORRATEO!F:M,8,0)</f>
        <v>0.92</v>
      </c>
    </row>
    <row r="389" spans="1:20" x14ac:dyDescent="0.35">
      <c r="B389" s="4">
        <v>1242100042</v>
      </c>
      <c r="C389" s="251" t="s">
        <v>983</v>
      </c>
      <c r="D389" s="298">
        <f>SUM(D390:D391)</f>
        <v>134612.79999999999</v>
      </c>
      <c r="E389" s="10" t="s">
        <v>97</v>
      </c>
      <c r="F389">
        <v>31</v>
      </c>
      <c r="G389" s="316" t="str">
        <f>+CONCATENATE($G$7," ",LEFT(I389,15)," T",G388," ",H388)</f>
        <v>"04-2026" AIRE ACONDICION TT130 9209</v>
      </c>
      <c r="I389" s="317" t="s">
        <v>986</v>
      </c>
      <c r="J389" s="10"/>
    </row>
    <row r="390" spans="1:20" x14ac:dyDescent="0.35">
      <c r="B390" s="209">
        <v>1532001600</v>
      </c>
      <c r="C390" s="251" t="s">
        <v>987</v>
      </c>
      <c r="D390" s="268">
        <v>113120</v>
      </c>
      <c r="E390" s="10" t="s">
        <v>97</v>
      </c>
      <c r="F390" s="209">
        <v>40</v>
      </c>
      <c r="G390" s="318" t="str">
        <f>+G389</f>
        <v>"04-2026" AIRE ACONDICION TT130 9209</v>
      </c>
      <c r="I390" s="10">
        <v>9209</v>
      </c>
      <c r="J390" s="10"/>
    </row>
    <row r="391" spans="1:20" x14ac:dyDescent="0.35">
      <c r="B391" s="4">
        <v>1149120011</v>
      </c>
      <c r="C391" s="251" t="s">
        <v>96</v>
      </c>
      <c r="D391" s="268">
        <f>+D390*0.19</f>
        <v>21492.799999999999</v>
      </c>
      <c r="E391" s="10" t="s">
        <v>97</v>
      </c>
      <c r="F391">
        <v>40</v>
      </c>
      <c r="G391" s="318" t="str">
        <f>+G390</f>
        <v>"04-2026" AIRE ACONDICION TT130 9209</v>
      </c>
      <c r="J391" s="10"/>
    </row>
    <row r="392" spans="1:20" x14ac:dyDescent="0.35">
      <c r="A392" s="130" t="s">
        <v>853</v>
      </c>
      <c r="B392" s="14">
        <v>204635</v>
      </c>
      <c r="C392" s="15" t="s">
        <v>24</v>
      </c>
      <c r="G392" s="9" t="str">
        <f>+VLOOKUP(B392,arriendo1!A:R,3,0)</f>
        <v>T013</v>
      </c>
      <c r="H392" s="131">
        <f>+VLOOKUP(B392,arriendo1!A:R,6,0)</f>
        <v>6573</v>
      </c>
      <c r="J392" s="350">
        <f>+VLOOKUP(H392,contratos!A:R,5,0)</f>
        <v>43466</v>
      </c>
      <c r="K392" s="266" t="str">
        <f>+VLOOKUP(H392,contratos!A:R,12,0)</f>
        <v>CESADO</v>
      </c>
      <c r="L392" s="341" t="str">
        <f>+VLOOKUP(H392,contratos!A:R,13,0)</f>
        <v>CERRADA</v>
      </c>
      <c r="M392" s="341">
        <f>+VLOOKUP(H392,contratos!A:R,15,0)</f>
        <v>0</v>
      </c>
      <c r="N392" s="336">
        <f>+VLOOKUP(H392,contratos!A:R,16,0)</f>
        <v>0</v>
      </c>
      <c r="O392" s="341">
        <f>+VLOOKUP(B392,PRORRATEO!A:M,8,0)</f>
        <v>15500009</v>
      </c>
      <c r="P392" s="341">
        <f>+VLOOKUP(B392,PRORRATEO!A:M,9,0)</f>
        <v>2945001.71</v>
      </c>
      <c r="Q392" s="341">
        <f>+VLOOKUP(B392,PRORRATEO!A:M,10,0)</f>
        <v>203205.11799000003</v>
      </c>
      <c r="R392" s="341">
        <f>+VLOOKUP(B392,PRORRATEO!A:M,11,0)</f>
        <v>2741796.5920100003</v>
      </c>
      <c r="S392" s="339">
        <f>+VLOOKUP(B392,PRORRATEO!A:M,12,0)</f>
        <v>6.9000000000000006E-2</v>
      </c>
      <c r="T392" s="339">
        <f>+VLOOKUP(B392,PRORRATEO!A:M,13,0)</f>
        <v>0.93100000000000005</v>
      </c>
    </row>
    <row r="393" spans="1:20" x14ac:dyDescent="0.35">
      <c r="B393" s="4">
        <v>1242100042</v>
      </c>
      <c r="C393" s="251" t="s">
        <v>983</v>
      </c>
      <c r="D393" s="299">
        <f>+D394+D395-D396+D397+D398+D399</f>
        <v>17752779.722329214</v>
      </c>
      <c r="E393" s="10" t="s">
        <v>984</v>
      </c>
      <c r="F393">
        <v>31</v>
      </c>
      <c r="G393" s="348" t="str">
        <f>+CONCATENATE($G$7," RF T",G392," ",H392)</f>
        <v>"04-2026" RF TT013 6573</v>
      </c>
      <c r="J393" s="10"/>
    </row>
    <row r="394" spans="1:20" x14ac:dyDescent="0.35">
      <c r="B394" s="209">
        <v>1245150017</v>
      </c>
      <c r="C394" s="251" t="s">
        <v>77</v>
      </c>
      <c r="D394" s="268">
        <f>+O392</f>
        <v>15500009</v>
      </c>
      <c r="E394" s="10" t="s">
        <v>97</v>
      </c>
      <c r="F394" s="209">
        <v>40</v>
      </c>
      <c r="G394" s="318" t="str">
        <f t="shared" ref="G394:G399" si="22">+G393</f>
        <v>"04-2026" RF TT013 6573</v>
      </c>
      <c r="I394" s="314">
        <v>6573</v>
      </c>
      <c r="J394" s="10"/>
    </row>
    <row r="395" spans="1:20" x14ac:dyDescent="0.35">
      <c r="B395" s="209">
        <v>1149120011</v>
      </c>
      <c r="C395" s="251" t="s">
        <v>96</v>
      </c>
      <c r="D395" s="268">
        <f>+Q392</f>
        <v>203205.11799000003</v>
      </c>
      <c r="E395" s="10" t="s">
        <v>98</v>
      </c>
      <c r="F395" s="209">
        <v>40</v>
      </c>
      <c r="G395" s="318" t="str">
        <f t="shared" si="22"/>
        <v>"04-2026" RF TT013 6573</v>
      </c>
      <c r="I395" s="314">
        <v>6573</v>
      </c>
      <c r="J395" s="10"/>
    </row>
    <row r="396" spans="1:20" x14ac:dyDescent="0.35">
      <c r="B396" s="209">
        <v>1149120011</v>
      </c>
      <c r="C396" s="251" t="s">
        <v>96</v>
      </c>
      <c r="D396" s="268">
        <f>+D395</f>
        <v>203205.11799000003</v>
      </c>
      <c r="E396" s="10" t="s">
        <v>97</v>
      </c>
      <c r="F396" s="209">
        <v>50</v>
      </c>
      <c r="G396" s="318" t="str">
        <f t="shared" si="22"/>
        <v>"04-2026" RF TT013 6573</v>
      </c>
      <c r="I396" s="314">
        <v>6573</v>
      </c>
      <c r="J396" s="10"/>
    </row>
    <row r="397" spans="1:20" x14ac:dyDescent="0.35">
      <c r="B397" s="4">
        <v>1149120011</v>
      </c>
      <c r="C397" s="251" t="s">
        <v>96</v>
      </c>
      <c r="D397" s="268">
        <f>+P392</f>
        <v>2945001.71</v>
      </c>
      <c r="E397" s="10" t="s">
        <v>97</v>
      </c>
      <c r="F397">
        <v>40</v>
      </c>
      <c r="G397" s="318" t="str">
        <f t="shared" si="22"/>
        <v>"04-2026" RF TT013 6573</v>
      </c>
      <c r="J397" s="10"/>
    </row>
    <row r="398" spans="1:20" x14ac:dyDescent="0.35">
      <c r="B398" s="4">
        <v>1249100024</v>
      </c>
      <c r="C398" s="251" t="s">
        <v>981</v>
      </c>
      <c r="D398" s="268">
        <f>-D394*J398</f>
        <v>-149730.24071592992</v>
      </c>
      <c r="F398">
        <v>50</v>
      </c>
      <c r="G398" s="318" t="str">
        <f t="shared" si="22"/>
        <v>"04-2026" RF TT013 6573</v>
      </c>
      <c r="I398" s="206">
        <v>1</v>
      </c>
      <c r="J398" s="352">
        <v>9.6600099210219764E-3</v>
      </c>
    </row>
    <row r="399" spans="1:20" x14ac:dyDescent="0.35">
      <c r="B399" s="4">
        <v>1246125027</v>
      </c>
      <c r="C399" s="251" t="s">
        <v>962</v>
      </c>
      <c r="D399" s="298">
        <f>-D394*J399</f>
        <v>-542500.74695485935</v>
      </c>
      <c r="F399">
        <v>50</v>
      </c>
      <c r="G399" s="318" t="str">
        <f t="shared" si="22"/>
        <v>"04-2026" RF TT013 6573</v>
      </c>
      <c r="I399" s="251" t="s">
        <v>857</v>
      </c>
      <c r="J399" s="352">
        <v>3.5000027868039262E-2</v>
      </c>
    </row>
    <row r="400" spans="1:20" x14ac:dyDescent="0.35">
      <c r="A400" s="130" t="s">
        <v>853</v>
      </c>
      <c r="B400" s="14">
        <v>208141</v>
      </c>
      <c r="C400" s="15" t="s">
        <v>32</v>
      </c>
      <c r="G400" s="9" t="str">
        <f>+VLOOKUP(B400,arriendo1!A:R,3,0)</f>
        <v>T032</v>
      </c>
      <c r="H400" s="131" t="str">
        <f>+VLOOKUP(G400,ADMON!E:G,3,0)</f>
        <v>6606</v>
      </c>
      <c r="J400" s="350" t="e">
        <f>+VLOOKUP(H400,contratos!A:R,5,0)</f>
        <v>#N/A</v>
      </c>
      <c r="K400" s="266" t="e">
        <f>+VLOOKUP(H400,contratos!A:R,12,0)</f>
        <v>#N/A</v>
      </c>
      <c r="L400" s="341" t="e">
        <f>+VLOOKUP(H400,contratos!A:R,13,0)</f>
        <v>#N/A</v>
      </c>
      <c r="M400" s="341" t="e">
        <f>+VLOOKUP(H400,contratos!A:R,15,0)</f>
        <v>#N/A</v>
      </c>
      <c r="N400" s="336" t="e">
        <f>+VLOOKUP(H400,contratos!A:R,16,0)</f>
        <v>#N/A</v>
      </c>
      <c r="O400" s="341">
        <f>+VLOOKUP(B400,PRORRATEO!A:M,8,0)</f>
        <v>17205112</v>
      </c>
      <c r="P400" s="341">
        <f>+VLOOKUP(B400,PRORRATEO!A:M,9,0)</f>
        <v>3268971.2800000003</v>
      </c>
      <c r="Q400" s="341">
        <f>+VLOOKUP(B400,PRORRATEO!A:M,10,0)</f>
        <v>209214.16192000001</v>
      </c>
      <c r="R400" s="341">
        <f>+VLOOKUP(B400,PRORRATEO!A:M,11,0)</f>
        <v>3059757.1180800004</v>
      </c>
      <c r="S400" s="339">
        <f>+VLOOKUP(B400,PRORRATEO!A:M,12,0)</f>
        <v>6.4000000000000001E-2</v>
      </c>
      <c r="T400" s="339">
        <f>+VLOOKUP(B400,PRORRATEO!A:M,13,0)</f>
        <v>0.93600000000000005</v>
      </c>
    </row>
    <row r="401" spans="1:20" x14ac:dyDescent="0.35">
      <c r="B401" s="4">
        <v>1242100042</v>
      </c>
      <c r="C401" s="251" t="s">
        <v>983</v>
      </c>
      <c r="D401" s="299">
        <f>+D402+D403-D404+D405+D406+D407</f>
        <v>19748027.324163631</v>
      </c>
      <c r="E401" s="10" t="s">
        <v>984</v>
      </c>
      <c r="F401">
        <v>31</v>
      </c>
      <c r="G401" s="348" t="str">
        <f>+CONCATENATE($G$7," RF ",G400," ",H400)</f>
        <v>"04-2026" RF T032 6606</v>
      </c>
      <c r="J401" s="10"/>
    </row>
    <row r="402" spans="1:20" x14ac:dyDescent="0.35">
      <c r="B402" s="209">
        <v>1245150017</v>
      </c>
      <c r="C402" s="251" t="s">
        <v>77</v>
      </c>
      <c r="D402" s="298">
        <f>+O400</f>
        <v>17205112</v>
      </c>
      <c r="E402" s="10" t="s">
        <v>97</v>
      </c>
      <c r="F402" s="209">
        <v>40</v>
      </c>
      <c r="G402" s="318" t="str">
        <f t="shared" ref="G402:G407" si="23">+G401</f>
        <v>"04-2026" RF T032 6606</v>
      </c>
      <c r="I402" s="314" t="str">
        <f>+H400</f>
        <v>6606</v>
      </c>
      <c r="J402" s="10"/>
    </row>
    <row r="403" spans="1:20" x14ac:dyDescent="0.35">
      <c r="B403" s="209">
        <v>1149120011</v>
      </c>
      <c r="C403" s="251" t="s">
        <v>96</v>
      </c>
      <c r="D403" s="268">
        <f>+Q400</f>
        <v>209214.16192000001</v>
      </c>
      <c r="E403" s="10" t="s">
        <v>98</v>
      </c>
      <c r="F403" s="209">
        <v>40</v>
      </c>
      <c r="G403" s="318" t="str">
        <f t="shared" si="23"/>
        <v>"04-2026" RF T032 6606</v>
      </c>
      <c r="I403" s="314" t="str">
        <f>+I402</f>
        <v>6606</v>
      </c>
      <c r="J403" s="10"/>
    </row>
    <row r="404" spans="1:20" x14ac:dyDescent="0.35">
      <c r="B404" s="209">
        <v>1149120011</v>
      </c>
      <c r="C404" s="251" t="s">
        <v>96</v>
      </c>
      <c r="D404" s="268">
        <f>+D403</f>
        <v>209214.16192000001</v>
      </c>
      <c r="E404" s="10" t="s">
        <v>97</v>
      </c>
      <c r="F404" s="209">
        <v>50</v>
      </c>
      <c r="G404" s="318" t="str">
        <f t="shared" si="23"/>
        <v>"04-2026" RF T032 6606</v>
      </c>
      <c r="I404" s="314" t="str">
        <f>+I403</f>
        <v>6606</v>
      </c>
      <c r="J404" s="10"/>
    </row>
    <row r="405" spans="1:20" x14ac:dyDescent="0.35">
      <c r="B405" s="4">
        <v>1149120011</v>
      </c>
      <c r="C405" s="251" t="s">
        <v>96</v>
      </c>
      <c r="D405" s="268">
        <f>+D402*0.19</f>
        <v>3268971.2800000003</v>
      </c>
      <c r="E405" s="10" t="s">
        <v>97</v>
      </c>
      <c r="F405">
        <v>40</v>
      </c>
      <c r="G405" s="318" t="str">
        <f t="shared" si="23"/>
        <v>"04-2026" RF T032 6606</v>
      </c>
      <c r="J405" s="10"/>
    </row>
    <row r="406" spans="1:20" x14ac:dyDescent="0.35">
      <c r="B406" s="4">
        <v>1249100024</v>
      </c>
      <c r="C406" s="251" t="s">
        <v>981</v>
      </c>
      <c r="D406" s="298">
        <f>-D402*J406</f>
        <v>-123876.55636363536</v>
      </c>
      <c r="F406">
        <v>50</v>
      </c>
      <c r="G406" s="318" t="str">
        <f t="shared" si="23"/>
        <v>"04-2026" RF T032 6606</v>
      </c>
      <c r="I406" s="206">
        <v>7</v>
      </c>
      <c r="J406" s="352">
        <f>103843/14422668</f>
        <v>7.1999854673213031E-3</v>
      </c>
    </row>
    <row r="407" spans="1:20" x14ac:dyDescent="0.35">
      <c r="B407" s="4">
        <v>1246125027</v>
      </c>
      <c r="C407" s="251" t="s">
        <v>962</v>
      </c>
      <c r="D407" s="268">
        <f>-D402*J407</f>
        <v>-602179.39947273675</v>
      </c>
      <c r="F407">
        <v>50</v>
      </c>
      <c r="G407" s="318" t="str">
        <f t="shared" si="23"/>
        <v>"04-2026" RF T032 6606</v>
      </c>
      <c r="I407" s="251" t="s">
        <v>857</v>
      </c>
      <c r="J407" s="352">
        <v>3.5000027868039262E-2</v>
      </c>
    </row>
    <row r="408" spans="1:20" x14ac:dyDescent="0.35">
      <c r="A408" s="130" t="s">
        <v>853</v>
      </c>
      <c r="B408" s="14">
        <v>205764</v>
      </c>
      <c r="C408" s="15" t="s">
        <v>29</v>
      </c>
      <c r="G408" s="9" t="str">
        <f>+VLOOKUP(B408,arriendo1!A:R,3,0)</f>
        <v>T091</v>
      </c>
      <c r="H408" s="131">
        <f>+VLOOKUP(B408,arriendo1!A:R,6,0)</f>
        <v>6763</v>
      </c>
      <c r="J408" s="350">
        <f>+VLOOKUP(H408,contratos!A:R,5,0)</f>
        <v>41548</v>
      </c>
      <c r="K408" s="266" t="str">
        <f>+VLOOKUP(H408,contratos!A:R,12,0)</f>
        <v>VENCIDO</v>
      </c>
      <c r="L408" s="341" t="str">
        <f>+VLOOKUP(H408,contratos!A:R,13,0)</f>
        <v>CESADO</v>
      </c>
      <c r="M408" s="341">
        <f>+VLOOKUP(H408,contratos!A:R,15,0)</f>
        <v>0</v>
      </c>
      <c r="N408" s="336">
        <f>+VLOOKUP(H408,contratos!A:R,16,0)</f>
        <v>0</v>
      </c>
      <c r="O408" s="341">
        <f>+VLOOKUP(B408,PRORRATEO!A:M,8,0)</f>
        <v>6551428</v>
      </c>
      <c r="P408" s="341">
        <f>+VLOOKUP(B408,PRORRATEO!A:M,9,0)</f>
        <v>1244771.32</v>
      </c>
      <c r="Q408" s="341">
        <f>+VLOOKUP(B408,PRORRATEO!A:M,10,0)</f>
        <v>102071.24824000002</v>
      </c>
      <c r="R408" s="341">
        <f>+VLOOKUP(B408,PRORRATEO!A:M,11,0)</f>
        <v>1142700.0717600002</v>
      </c>
      <c r="S408" s="339">
        <f>+VLOOKUP(B408,PRORRATEO!A:M,12,0)</f>
        <v>8.2000000000000003E-2</v>
      </c>
      <c r="T408" s="339">
        <f>+VLOOKUP(B408,PRORRATEO!A:M,13,0)</f>
        <v>0.91800000000000004</v>
      </c>
    </row>
    <row r="409" spans="1:20" x14ac:dyDescent="0.35">
      <c r="B409" s="4">
        <v>1242100042</v>
      </c>
      <c r="C409" s="251" t="s">
        <v>983</v>
      </c>
      <c r="D409" s="299">
        <f>+D410+D413+D411-D412-D414-D415</f>
        <v>9757936.8412890639</v>
      </c>
      <c r="E409" s="10" t="s">
        <v>984</v>
      </c>
      <c r="F409">
        <v>31</v>
      </c>
      <c r="G409" s="316" t="str">
        <f>+CONCATENATE($G$7," RF T",G408," ",H408)</f>
        <v>"04-2026" RF TT091 6763</v>
      </c>
      <c r="J409" s="10"/>
    </row>
    <row r="410" spans="1:20" x14ac:dyDescent="0.35">
      <c r="B410" s="209">
        <v>1245150017</v>
      </c>
      <c r="C410" s="251" t="s">
        <v>77</v>
      </c>
      <c r="D410" s="268">
        <v>8519686</v>
      </c>
      <c r="E410" s="10" t="s">
        <v>97</v>
      </c>
      <c r="F410" s="209">
        <v>40</v>
      </c>
      <c r="G410" s="318" t="str">
        <f t="shared" ref="G410:G415" si="24">+G409</f>
        <v>"04-2026" RF TT091 6763</v>
      </c>
      <c r="I410" s="10">
        <f>+H408</f>
        <v>6763</v>
      </c>
      <c r="J410" s="10"/>
    </row>
    <row r="411" spans="1:20" x14ac:dyDescent="0.35">
      <c r="B411" s="209">
        <v>1149120011</v>
      </c>
      <c r="C411" s="251" t="s">
        <v>96</v>
      </c>
      <c r="D411" s="268">
        <f>+S408*D413</f>
        <v>132736.70788</v>
      </c>
      <c r="E411" s="10" t="s">
        <v>98</v>
      </c>
      <c r="F411" s="209">
        <v>40</v>
      </c>
      <c r="G411" s="318" t="str">
        <f t="shared" si="24"/>
        <v>"04-2026" RF TT091 6763</v>
      </c>
      <c r="I411" s="10">
        <f>+I410</f>
        <v>6763</v>
      </c>
      <c r="J411" s="10"/>
    </row>
    <row r="412" spans="1:20" x14ac:dyDescent="0.35">
      <c r="B412" s="209">
        <v>1149120011</v>
      </c>
      <c r="C412" s="251" t="s">
        <v>96</v>
      </c>
      <c r="D412" s="268">
        <f>+D411</f>
        <v>132736.70788</v>
      </c>
      <c r="E412" s="10" t="s">
        <v>97</v>
      </c>
      <c r="F412" s="209">
        <v>50</v>
      </c>
      <c r="G412" s="318" t="str">
        <f t="shared" si="24"/>
        <v>"04-2026" RF TT091 6763</v>
      </c>
      <c r="I412" s="10">
        <f>+I411</f>
        <v>6763</v>
      </c>
      <c r="J412" s="10"/>
    </row>
    <row r="413" spans="1:20" x14ac:dyDescent="0.35">
      <c r="B413" s="4">
        <v>1149120011</v>
      </c>
      <c r="C413" s="251" t="s">
        <v>96</v>
      </c>
      <c r="D413" s="298">
        <f>+D410*0.19</f>
        <v>1618740.34</v>
      </c>
      <c r="E413" s="10" t="s">
        <v>97</v>
      </c>
      <c r="F413">
        <v>40</v>
      </c>
      <c r="G413" s="318" t="str">
        <f t="shared" si="24"/>
        <v>"04-2026" RF TT091 6763</v>
      </c>
      <c r="J413" s="10"/>
    </row>
    <row r="414" spans="1:20" x14ac:dyDescent="0.35">
      <c r="B414" s="4">
        <v>1249100024</v>
      </c>
      <c r="C414" s="251" t="s">
        <v>981</v>
      </c>
      <c r="D414" s="268">
        <f>+J414*D410</f>
        <v>82300.251283992038</v>
      </c>
      <c r="F414">
        <v>50</v>
      </c>
      <c r="G414" s="318" t="str">
        <f t="shared" si="24"/>
        <v>"04-2026" RF TT091 6763</v>
      </c>
      <c r="I414" s="206">
        <v>1</v>
      </c>
      <c r="J414" s="352">
        <v>9.6600099210219764E-3</v>
      </c>
    </row>
    <row r="415" spans="1:20" x14ac:dyDescent="0.35">
      <c r="B415" s="4">
        <v>1246125027</v>
      </c>
      <c r="C415" s="251" t="s">
        <v>962</v>
      </c>
      <c r="D415" s="268">
        <f>+J415*D410</f>
        <v>298189.24742694397</v>
      </c>
      <c r="F415">
        <v>50</v>
      </c>
      <c r="G415" s="318" t="str">
        <f t="shared" si="24"/>
        <v>"04-2026" RF TT091 6763</v>
      </c>
      <c r="I415" s="251" t="s">
        <v>857</v>
      </c>
      <c r="J415" s="352">
        <v>3.5000027868039262E-2</v>
      </c>
    </row>
    <row r="416" spans="1:20" x14ac:dyDescent="0.35">
      <c r="A416" s="130" t="s">
        <v>854</v>
      </c>
      <c r="B416" s="14">
        <v>204616</v>
      </c>
      <c r="C416" s="15" t="s">
        <v>510</v>
      </c>
      <c r="G416" s="10" t="str">
        <f>VLOOKUP(B416,ADMON!A:P,5,0)</f>
        <v>T038</v>
      </c>
      <c r="H416" s="54">
        <f>+VLOOKUP(G416,ADMON!E:G,3,0)</f>
        <v>6620</v>
      </c>
      <c r="J416" s="350">
        <f>+VLOOKUP(H416,contratos!A:R,5,0)</f>
        <v>43070</v>
      </c>
      <c r="K416" s="266" t="str">
        <f>+VLOOKUP(H416,contratos!A:R,12,0)</f>
        <v>OK</v>
      </c>
      <c r="L416" s="341" t="str">
        <f>+VLOOKUP(H416,contratos!A:R,13,0)</f>
        <v>VIGENTE</v>
      </c>
      <c r="M416" s="341">
        <f>+VLOOKUP(H416,contratos!A:R,15,0)</f>
        <v>0</v>
      </c>
      <c r="N416" s="336">
        <f>+VLOOKUP(H416,contratos!A:R,16,0)</f>
        <v>0</v>
      </c>
      <c r="O416" s="341">
        <f>+VLOOKUP(H416,PRORRATEO!F:M,3,0)</f>
        <v>11894700</v>
      </c>
      <c r="P416" s="341">
        <f>+VLOOKUP(H416,PRORRATEO!F:M,4,0)</f>
        <v>2259993</v>
      </c>
      <c r="Q416" s="341">
        <f>+VLOOKUP(H416,PRORRATEO!F:M,5,0)</f>
        <v>171759.46799999999</v>
      </c>
      <c r="R416" s="341">
        <f>+VLOOKUP(H416,PRORRATEO!F:M,6,0)</f>
        <v>2088233.5320000001</v>
      </c>
      <c r="S416" s="339">
        <f>+VLOOKUP(H416,PRORRATEO!F:M,7,0)</f>
        <v>7.5999999999999998E-2</v>
      </c>
      <c r="T416" s="339">
        <f>+VLOOKUP(H416,PRORRATEO!F:M,8,0)</f>
        <v>0.92400000000000004</v>
      </c>
    </row>
    <row r="417" spans="1:20" x14ac:dyDescent="0.35">
      <c r="B417" s="4">
        <v>1242100001</v>
      </c>
      <c r="C417" s="251" t="s">
        <v>1011</v>
      </c>
      <c r="D417" s="268">
        <f>-D418</f>
        <v>-970251</v>
      </c>
      <c r="E417" s="10" t="s">
        <v>80</v>
      </c>
      <c r="F417">
        <v>31</v>
      </c>
      <c r="G417" s="316" t="str">
        <f>+CONCATENATE($G$7," GC ",G416," ",H416)</f>
        <v>"04-2026" GC T038 6620</v>
      </c>
      <c r="J417" s="10"/>
    </row>
    <row r="418" spans="1:20" x14ac:dyDescent="0.35">
      <c r="B418" s="209">
        <v>1245150017</v>
      </c>
      <c r="C418" s="251" t="s">
        <v>77</v>
      </c>
      <c r="D418" s="268">
        <v>970251</v>
      </c>
      <c r="E418" s="10" t="s">
        <v>80</v>
      </c>
      <c r="F418" s="209">
        <v>40</v>
      </c>
      <c r="G418" s="318" t="str">
        <f>+G417</f>
        <v>"04-2026" GC T038 6620</v>
      </c>
      <c r="I418" s="10">
        <f>+H416</f>
        <v>6620</v>
      </c>
      <c r="J418" s="10"/>
    </row>
    <row r="419" spans="1:20" x14ac:dyDescent="0.35">
      <c r="A419" s="130" t="s">
        <v>854</v>
      </c>
      <c r="B419" s="14">
        <v>204616</v>
      </c>
      <c r="C419" s="15" t="s">
        <v>510</v>
      </c>
      <c r="D419" s="298"/>
      <c r="G419" s="10" t="str">
        <f>VLOOKUP(B419,ADMON!A:P,5,0)</f>
        <v>T038</v>
      </c>
      <c r="H419" s="54">
        <f>+VLOOKUP(G419,ADMON!E:G,3,0)</f>
        <v>6620</v>
      </c>
      <c r="J419" s="350">
        <f>+VLOOKUP(H419,contratos!A:R,5,0)</f>
        <v>43070</v>
      </c>
      <c r="K419" s="266" t="str">
        <f>+VLOOKUP(H419,contratos!A:R,12,0)</f>
        <v>OK</v>
      </c>
      <c r="L419" s="341" t="str">
        <f>+VLOOKUP(H419,contratos!A:R,13,0)</f>
        <v>VIGENTE</v>
      </c>
      <c r="M419" s="341">
        <f>+VLOOKUP(H419,contratos!A:R,15,0)</f>
        <v>0</v>
      </c>
      <c r="N419" s="336">
        <f>+VLOOKUP(H419,contratos!A:R,16,0)</f>
        <v>0</v>
      </c>
      <c r="O419" s="341">
        <f>+VLOOKUP(H419,PRORRATEO!F:M,3,0)</f>
        <v>11894700</v>
      </c>
      <c r="P419" s="341">
        <f>+VLOOKUP(H419,PRORRATEO!F:M,4,0)</f>
        <v>2259993</v>
      </c>
      <c r="Q419" s="341">
        <f>+VLOOKUP(H419,PRORRATEO!F:M,5,0)</f>
        <v>171759.46799999999</v>
      </c>
      <c r="R419" s="341">
        <f>+VLOOKUP(H419,PRORRATEO!F:M,6,0)</f>
        <v>2088233.5320000001</v>
      </c>
      <c r="S419" s="339">
        <f>+VLOOKUP(H419,PRORRATEO!F:M,7,0)</f>
        <v>7.5999999999999998E-2</v>
      </c>
      <c r="T419" s="339">
        <f>+VLOOKUP(H419,PRORRATEO!F:M,8,0)</f>
        <v>0.92400000000000004</v>
      </c>
    </row>
    <row r="420" spans="1:20" x14ac:dyDescent="0.35">
      <c r="B420" s="4">
        <v>1242100001</v>
      </c>
      <c r="C420" s="251" t="s">
        <v>1011</v>
      </c>
      <c r="D420" s="268">
        <f>-D421</f>
        <v>-1011493</v>
      </c>
      <c r="E420" s="10" t="s">
        <v>80</v>
      </c>
      <c r="F420">
        <v>31</v>
      </c>
      <c r="G420" s="316" t="str">
        <f>+CONCATENATE($G$7," GC ",G419," ",H419)</f>
        <v>"04-2026" GC T038 6620</v>
      </c>
      <c r="J420" s="10"/>
    </row>
    <row r="421" spans="1:20" x14ac:dyDescent="0.35">
      <c r="B421" s="209">
        <v>1245150017</v>
      </c>
      <c r="C421" s="251" t="s">
        <v>77</v>
      </c>
      <c r="D421" s="268">
        <v>1011493</v>
      </c>
      <c r="E421" s="10" t="s">
        <v>80</v>
      </c>
      <c r="F421" s="209">
        <v>40</v>
      </c>
      <c r="G421" s="318" t="str">
        <f>+G420</f>
        <v>"04-2026" GC T038 6620</v>
      </c>
      <c r="I421" s="10">
        <f>+H419</f>
        <v>6620</v>
      </c>
      <c r="J421" s="350"/>
      <c r="N421" s="336"/>
    </row>
    <row r="422" spans="1:20" x14ac:dyDescent="0.35">
      <c r="A422" s="130" t="s">
        <v>853</v>
      </c>
      <c r="B422" s="14">
        <v>205762</v>
      </c>
      <c r="C422" s="15" t="s">
        <v>978</v>
      </c>
      <c r="G422" s="9" t="s">
        <v>597</v>
      </c>
      <c r="H422" s="131">
        <v>6763</v>
      </c>
      <c r="J422" s="350">
        <f>+VLOOKUP(H422,contratos!A:R,5,0)</f>
        <v>41548</v>
      </c>
      <c r="K422" s="266" t="str">
        <f>+VLOOKUP(H422,contratos!A:R,12,0)</f>
        <v>VENCIDO</v>
      </c>
      <c r="L422" s="341" t="str">
        <f>+VLOOKUP(H422,contratos!A:R,13,0)</f>
        <v>CESADO</v>
      </c>
      <c r="M422" s="341">
        <f>+VLOOKUP(H422,contratos!A:R,15,0)</f>
        <v>0</v>
      </c>
      <c r="N422" s="336">
        <f>+VLOOKUP(H422,contratos!A:R,16,0)</f>
        <v>0</v>
      </c>
      <c r="O422" s="341">
        <f>+VLOOKUP(B422,PRORRATEO!A:M,8,0)</f>
        <v>15206566</v>
      </c>
      <c r="P422" s="341">
        <f>+VLOOKUP(B422,PRORRATEO!A:M,9,0)</f>
        <v>2889247.54</v>
      </c>
      <c r="Q422" s="341">
        <f>+VLOOKUP(B422,PRORRATEO!A:M,10,0)</f>
        <v>236918.29828000002</v>
      </c>
      <c r="R422" s="341">
        <f>+VLOOKUP(B422,PRORRATEO!A:M,11,0)</f>
        <v>2652329.2417200003</v>
      </c>
      <c r="S422" s="339">
        <f>+VLOOKUP(B422,PRORRATEO!A:M,12,0)</f>
        <v>8.2000000000000003E-2</v>
      </c>
      <c r="T422" s="339">
        <f>+VLOOKUP(B422,PRORRATEO!A:M,13,0)</f>
        <v>0.91800000000000004</v>
      </c>
    </row>
    <row r="423" spans="1:20" x14ac:dyDescent="0.35">
      <c r="B423" s="4">
        <v>1242100042</v>
      </c>
      <c r="C423" s="251" t="s">
        <v>983</v>
      </c>
      <c r="D423" s="299">
        <f>SUM(D424:D429)</f>
        <v>17416687.727798145</v>
      </c>
      <c r="E423" s="10" t="s">
        <v>984</v>
      </c>
      <c r="F423">
        <v>31</v>
      </c>
      <c r="G423" s="316" t="str">
        <f>+CONCATENATE($G$7," RF T",G422," ",H422)</f>
        <v>"04-2026" RF TT091 6763</v>
      </c>
      <c r="J423" s="10"/>
    </row>
    <row r="424" spans="1:20" x14ac:dyDescent="0.35">
      <c r="B424" s="209">
        <v>1245150017</v>
      </c>
      <c r="C424" s="251" t="s">
        <v>77</v>
      </c>
      <c r="D424" s="268">
        <f>+O422</f>
        <v>15206566</v>
      </c>
      <c r="E424" s="10" t="s">
        <v>97</v>
      </c>
      <c r="F424" s="209">
        <v>40</v>
      </c>
      <c r="G424" s="318" t="str">
        <f t="shared" ref="G424:G429" si="25">+G423</f>
        <v>"04-2026" RF TT091 6763</v>
      </c>
      <c r="I424" s="10">
        <f>+H422</f>
        <v>6763</v>
      </c>
      <c r="J424" s="10"/>
    </row>
    <row r="425" spans="1:20" x14ac:dyDescent="0.35">
      <c r="B425" s="209">
        <v>1149120011</v>
      </c>
      <c r="C425" s="251" t="s">
        <v>96</v>
      </c>
      <c r="D425" s="268">
        <f>+Q422</f>
        <v>236918.29828000002</v>
      </c>
      <c r="E425" s="10" t="s">
        <v>98</v>
      </c>
      <c r="F425" s="209">
        <v>40</v>
      </c>
      <c r="G425" s="318" t="str">
        <f t="shared" si="25"/>
        <v>"04-2026" RF TT091 6763</v>
      </c>
      <c r="I425" s="10">
        <f>+I424</f>
        <v>6763</v>
      </c>
      <c r="J425" s="10"/>
      <c r="K425" s="338"/>
      <c r="N425" s="338"/>
    </row>
    <row r="426" spans="1:20" x14ac:dyDescent="0.35">
      <c r="B426" s="209">
        <v>1149120011</v>
      </c>
      <c r="C426" s="251" t="s">
        <v>96</v>
      </c>
      <c r="D426" s="268">
        <f>-D425</f>
        <v>-236918.29828000002</v>
      </c>
      <c r="E426" s="10" t="s">
        <v>97</v>
      </c>
      <c r="F426" s="209">
        <v>50</v>
      </c>
      <c r="G426" s="318" t="str">
        <f t="shared" si="25"/>
        <v>"04-2026" RF TT091 6763</v>
      </c>
      <c r="I426" s="10">
        <f>+I425</f>
        <v>6763</v>
      </c>
      <c r="J426" s="10"/>
    </row>
    <row r="427" spans="1:20" x14ac:dyDescent="0.35">
      <c r="B427" s="4">
        <v>1149120011</v>
      </c>
      <c r="C427" s="251" t="s">
        <v>96</v>
      </c>
      <c r="D427" s="268">
        <f>+P422</f>
        <v>2889247.54</v>
      </c>
      <c r="E427" s="10" t="s">
        <v>97</v>
      </c>
      <c r="F427">
        <v>40</v>
      </c>
      <c r="G427" s="318" t="str">
        <f t="shared" si="25"/>
        <v>"04-2026" RF TT091 6763</v>
      </c>
      <c r="J427" s="10"/>
    </row>
    <row r="428" spans="1:20" x14ac:dyDescent="0.35">
      <c r="B428" s="4">
        <v>1249100024</v>
      </c>
      <c r="C428" s="251" t="s">
        <v>981</v>
      </c>
      <c r="D428" s="298">
        <f>-D424*J428</f>
        <v>-146895.57842467548</v>
      </c>
      <c r="F428">
        <v>50</v>
      </c>
      <c r="G428" s="318" t="str">
        <f t="shared" si="25"/>
        <v>"04-2026" RF TT091 6763</v>
      </c>
      <c r="I428" s="206">
        <v>1</v>
      </c>
      <c r="J428" s="352">
        <v>9.6600099210219764E-3</v>
      </c>
    </row>
    <row r="429" spans="1:20" x14ac:dyDescent="0.35">
      <c r="B429" s="4">
        <v>1246125027</v>
      </c>
      <c r="C429" s="251" t="s">
        <v>962</v>
      </c>
      <c r="D429" s="268">
        <f>-D424*J429</f>
        <v>-532230.23377717834</v>
      </c>
      <c r="F429">
        <v>50</v>
      </c>
      <c r="G429" s="318" t="str">
        <f t="shared" si="25"/>
        <v>"04-2026" RF TT091 6763</v>
      </c>
      <c r="I429" s="251" t="s">
        <v>857</v>
      </c>
      <c r="J429" s="352">
        <v>3.5000027868039262E-2</v>
      </c>
    </row>
    <row r="430" spans="1:20" x14ac:dyDescent="0.35">
      <c r="A430" s="130" t="s">
        <v>853</v>
      </c>
      <c r="B430" s="14">
        <v>424900</v>
      </c>
      <c r="C430" s="15" t="s">
        <v>38</v>
      </c>
      <c r="G430" s="9" t="s">
        <v>751</v>
      </c>
      <c r="H430" s="131">
        <v>6686</v>
      </c>
      <c r="J430" s="350">
        <f>+VLOOKUP(H430,contratos!A:R,5,0)</f>
        <v>42795</v>
      </c>
      <c r="K430" s="266" t="str">
        <f>+VLOOKUP(H430,contratos!A:R,12,0)</f>
        <v>CESADO</v>
      </c>
      <c r="L430" s="341" t="str">
        <f>+VLOOKUP(H430,contratos!A:R,13,0)</f>
        <v>REEMPLAZO 5-134</v>
      </c>
      <c r="M430" s="341">
        <f>+VLOOKUP(H430,contratos!A:R,15,0)</f>
        <v>0</v>
      </c>
      <c r="N430" s="336">
        <f>+VLOOKUP(H430,contratos!A:R,16,0)</f>
        <v>0</v>
      </c>
      <c r="O430" s="341">
        <f>+VLOOKUP(H430,PRORRATEO!F:M,3,0)</f>
        <v>10645227</v>
      </c>
      <c r="P430" s="341">
        <f>+VLOOKUP(H430,PRORRATEO!F:M,4,0)</f>
        <v>2022593.1300000001</v>
      </c>
      <c r="Q430" s="341">
        <f>+VLOOKUP(H430,PRORRATEO!F:M,5,0)</f>
        <v>139963.44459600002</v>
      </c>
      <c r="R430" s="341">
        <f>+VLOOKUP(H430,PRORRATEO!F:M,6,0)</f>
        <v>1882629.6854040003</v>
      </c>
      <c r="S430" s="339">
        <f>+VLOOKUP(H430,PRORRATEO!F:M,7,0)</f>
        <v>6.9199999999999998E-2</v>
      </c>
      <c r="T430" s="339">
        <f>+VLOOKUP(H430,PRORRATEO!F:M,8,0)</f>
        <v>0.93080000000000007</v>
      </c>
    </row>
    <row r="431" spans="1:20" x14ac:dyDescent="0.35">
      <c r="B431" s="4">
        <v>1240130028</v>
      </c>
      <c r="C431" s="251" t="s">
        <v>1012</v>
      </c>
      <c r="D431" s="299">
        <f>+D432+D433+D434-D435+D436+D437+D438</f>
        <v>12186229.658246864</v>
      </c>
      <c r="E431" s="10" t="s">
        <v>984</v>
      </c>
      <c r="F431">
        <v>31</v>
      </c>
      <c r="G431" s="316" t="str">
        <f>+CONCATENATE($G$7," RF T",G430," ",H430)</f>
        <v>"04-2026" RF TT061 6686</v>
      </c>
      <c r="J431" s="10"/>
    </row>
    <row r="432" spans="1:20" x14ac:dyDescent="0.35">
      <c r="B432" s="263">
        <v>1537210004</v>
      </c>
      <c r="C432" s="251" t="s">
        <v>974</v>
      </c>
      <c r="E432" s="10" t="s">
        <v>80</v>
      </c>
      <c r="F432" s="209">
        <v>40</v>
      </c>
      <c r="G432" s="318" t="str">
        <f t="shared" ref="G432:G438" si="26">+G431</f>
        <v>"04-2026" RF TT061 6686</v>
      </c>
      <c r="I432" s="10">
        <f>+H430</f>
        <v>6686</v>
      </c>
      <c r="J432" s="10"/>
    </row>
    <row r="433" spans="1:20" x14ac:dyDescent="0.35">
      <c r="B433" s="209">
        <v>1245150017</v>
      </c>
      <c r="C433" s="251" t="s">
        <v>77</v>
      </c>
      <c r="D433" s="268">
        <f>+O430</f>
        <v>10645227</v>
      </c>
      <c r="E433" s="10" t="s">
        <v>97</v>
      </c>
      <c r="F433" s="209">
        <v>40</v>
      </c>
      <c r="G433" s="318" t="str">
        <f t="shared" si="26"/>
        <v>"04-2026" RF TT061 6686</v>
      </c>
      <c r="I433" s="10">
        <f>+I432</f>
        <v>6686</v>
      </c>
      <c r="J433" s="375"/>
    </row>
    <row r="434" spans="1:20" x14ac:dyDescent="0.35">
      <c r="B434" s="209">
        <v>1149120011</v>
      </c>
      <c r="C434" s="251" t="s">
        <v>96</v>
      </c>
      <c r="D434" s="268">
        <f>+D436*S430</f>
        <v>139536.18776512801</v>
      </c>
      <c r="E434" s="10" t="s">
        <v>98</v>
      </c>
      <c r="F434" s="209">
        <v>40</v>
      </c>
      <c r="G434" s="318" t="str">
        <f t="shared" si="26"/>
        <v>"04-2026" RF TT061 6686</v>
      </c>
      <c r="I434" s="10">
        <f>+I433</f>
        <v>6686</v>
      </c>
      <c r="J434" s="268"/>
      <c r="K434" s="338"/>
    </row>
    <row r="435" spans="1:20" x14ac:dyDescent="0.35">
      <c r="B435" s="209">
        <v>1149120011</v>
      </c>
      <c r="C435" s="251" t="s">
        <v>96</v>
      </c>
      <c r="D435" s="268">
        <f>+D434</f>
        <v>139536.18776512801</v>
      </c>
      <c r="E435" s="10" t="s">
        <v>97</v>
      </c>
      <c r="F435" s="209">
        <v>50</v>
      </c>
      <c r="G435" s="318" t="str">
        <f t="shared" si="26"/>
        <v>"04-2026" RF TT061 6686</v>
      </c>
      <c r="I435" s="10">
        <f>+I434</f>
        <v>6686</v>
      </c>
      <c r="J435" s="375"/>
    </row>
    <row r="436" spans="1:20" x14ac:dyDescent="0.35">
      <c r="B436" s="4">
        <v>1149120011</v>
      </c>
      <c r="C436" s="251" t="s">
        <v>96</v>
      </c>
      <c r="D436" s="268">
        <f>+D433*0.18942</f>
        <v>2016418.8983400001</v>
      </c>
      <c r="E436" s="10" t="s">
        <v>97</v>
      </c>
      <c r="F436">
        <v>40</v>
      </c>
      <c r="G436" s="318" t="str">
        <f t="shared" si="26"/>
        <v>"04-2026" RF TT061 6686</v>
      </c>
      <c r="J436" s="10"/>
    </row>
    <row r="437" spans="1:20" x14ac:dyDescent="0.35">
      <c r="B437" s="4">
        <v>1249100024</v>
      </c>
      <c r="C437" s="251" t="s">
        <v>981</v>
      </c>
      <c r="D437" s="268">
        <f>-D433*J437</f>
        <v>-102832.99843153101</v>
      </c>
      <c r="F437">
        <v>50</v>
      </c>
      <c r="G437" s="318" t="str">
        <f t="shared" si="26"/>
        <v>"04-2026" RF TT061 6686</v>
      </c>
      <c r="I437" s="206">
        <v>1</v>
      </c>
      <c r="J437" s="352">
        <v>9.6600099210219764E-3</v>
      </c>
    </row>
    <row r="438" spans="1:20" x14ac:dyDescent="0.35">
      <c r="B438" s="4">
        <v>1246125027</v>
      </c>
      <c r="C438" s="251" t="s">
        <v>962</v>
      </c>
      <c r="D438" s="268">
        <f>-D433*J438</f>
        <v>-372583.24166160397</v>
      </c>
      <c r="F438">
        <v>50</v>
      </c>
      <c r="G438" s="318" t="str">
        <f t="shared" si="26"/>
        <v>"04-2026" RF TT061 6686</v>
      </c>
      <c r="I438" s="251" t="s">
        <v>857</v>
      </c>
      <c r="J438" s="352">
        <v>3.5000027868039262E-2</v>
      </c>
    </row>
    <row r="439" spans="1:20" x14ac:dyDescent="0.35">
      <c r="A439" s="130" t="s">
        <v>854</v>
      </c>
      <c r="B439" s="14">
        <v>204546</v>
      </c>
      <c r="C439" s="15" t="s">
        <v>1002</v>
      </c>
      <c r="G439" s="10" t="str">
        <f>VLOOKUP(B439,ADMON!A:P,5,0)</f>
        <v>T022</v>
      </c>
      <c r="H439" s="54">
        <f>+VLOOKUP(G439,ADMON!E:G,3,0)</f>
        <v>6600</v>
      </c>
      <c r="J439" s="350">
        <f>+VLOOKUP(H439,contratos!A:R,5,0)</f>
        <v>42795</v>
      </c>
      <c r="K439" s="266" t="str">
        <f>+VLOOKUP(H439,contratos!A:R,12,0)</f>
        <v>OK</v>
      </c>
      <c r="L439" s="341" t="str">
        <f>+VLOOKUP(H439,contratos!A:R,13,0)</f>
        <v>VIGENTE</v>
      </c>
      <c r="M439" s="341">
        <f>+VLOOKUP(H439,contratos!A:R,15,0)</f>
        <v>0</v>
      </c>
      <c r="N439" s="336">
        <f>+VLOOKUP(H439,contratos!A:R,16,0)</f>
        <v>0</v>
      </c>
      <c r="O439" s="341">
        <f>+VLOOKUP(H439,PRORRATEO!F:M,3,0)</f>
        <v>33369425</v>
      </c>
      <c r="P439" s="341">
        <f>+VLOOKUP(H439,PRORRATEO!F:M,4,0)</f>
        <v>6340190.75</v>
      </c>
      <c r="Q439" s="341">
        <f>+VLOOKUP(H439,PRORRATEO!F:M,5,0)</f>
        <v>779843.46224999998</v>
      </c>
      <c r="R439" s="341">
        <f>+VLOOKUP(H439,PRORRATEO!F:M,6,0)</f>
        <v>5560347.2877500001</v>
      </c>
      <c r="S439" s="339">
        <f>+VLOOKUP(H439,PRORRATEO!F:M,7,0)</f>
        <v>0.123</v>
      </c>
      <c r="T439" s="339">
        <f>+VLOOKUP(H439,PRORRATEO!F:M,8,0)</f>
        <v>0.877</v>
      </c>
    </row>
    <row r="440" spans="1:20" x14ac:dyDescent="0.35">
      <c r="B440" s="4">
        <v>1242100001</v>
      </c>
      <c r="C440" s="251" t="s">
        <v>1011</v>
      </c>
      <c r="D440" s="299">
        <f>SUM(D441:D449)</f>
        <v>1495643</v>
      </c>
      <c r="E440" s="10" t="s">
        <v>80</v>
      </c>
      <c r="F440">
        <v>31</v>
      </c>
      <c r="G440" s="316" t="str">
        <f>+CONCATENATE($G$7," GC T",G439," ",H439)</f>
        <v>"04-2026" GC TT022 6600</v>
      </c>
      <c r="H440" s="336"/>
      <c r="J440" s="10"/>
    </row>
    <row r="441" spans="1:20" x14ac:dyDescent="0.35">
      <c r="B441" s="209">
        <v>1537210003</v>
      </c>
      <c r="C441" s="251" t="s">
        <v>1013</v>
      </c>
      <c r="D441" s="268">
        <f>+L442</f>
        <v>394563</v>
      </c>
      <c r="E441" s="10" t="s">
        <v>80</v>
      </c>
      <c r="F441" s="209">
        <v>40</v>
      </c>
      <c r="G441" s="318" t="str">
        <f>+G440</f>
        <v>"04-2026" GC TT022 6600</v>
      </c>
      <c r="I441" s="10">
        <f>+H439</f>
        <v>6600</v>
      </c>
      <c r="J441" s="10" t="s">
        <v>1183</v>
      </c>
      <c r="L441" s="341">
        <v>597072</v>
      </c>
    </row>
    <row r="442" spans="1:20" x14ac:dyDescent="0.35">
      <c r="B442" s="209">
        <v>1532001604</v>
      </c>
      <c r="C442" s="251" t="s">
        <v>1014</v>
      </c>
      <c r="D442" s="268">
        <f>+L445</f>
        <v>0</v>
      </c>
      <c r="E442" s="10" t="s">
        <v>80</v>
      </c>
      <c r="F442" s="209">
        <v>40</v>
      </c>
      <c r="G442" s="318" t="str">
        <f>+G441</f>
        <v>"04-2026" GC TT022 6600</v>
      </c>
      <c r="I442" s="10">
        <f>+I441</f>
        <v>6600</v>
      </c>
      <c r="J442" s="10" t="s">
        <v>1184</v>
      </c>
      <c r="L442" s="341">
        <v>394563</v>
      </c>
    </row>
    <row r="443" spans="1:20" x14ac:dyDescent="0.35">
      <c r="B443" s="263">
        <v>1537210004</v>
      </c>
      <c r="C443" s="251" t="s">
        <v>1117</v>
      </c>
      <c r="E443" s="10" t="s">
        <v>80</v>
      </c>
      <c r="F443" s="209">
        <v>40</v>
      </c>
      <c r="G443" s="318" t="str">
        <f>+G442</f>
        <v>"04-2026" GC TT022 6600</v>
      </c>
      <c r="I443" s="10">
        <f>+I442</f>
        <v>6600</v>
      </c>
      <c r="J443" s="10" t="s">
        <v>1185</v>
      </c>
      <c r="L443" s="341">
        <v>489200</v>
      </c>
    </row>
    <row r="444" spans="1:20" x14ac:dyDescent="0.35">
      <c r="B444" s="209">
        <v>1532001600</v>
      </c>
      <c r="C444" s="251" t="s">
        <v>1185</v>
      </c>
      <c r="D444" s="268">
        <f>+L443</f>
        <v>489200</v>
      </c>
      <c r="E444" s="10" t="s">
        <v>80</v>
      </c>
      <c r="F444" s="209">
        <v>40</v>
      </c>
      <c r="G444" s="318" t="str">
        <f>+G443</f>
        <v>"04-2026" GC TT022 6600</v>
      </c>
      <c r="I444" s="10">
        <f>+I443</f>
        <v>6600</v>
      </c>
      <c r="J444" s="10" t="s">
        <v>1186</v>
      </c>
      <c r="L444" s="341">
        <v>14808</v>
      </c>
    </row>
    <row r="445" spans="1:20" x14ac:dyDescent="0.35">
      <c r="B445" s="209">
        <v>1245150017</v>
      </c>
      <c r="C445" s="251" t="s">
        <v>77</v>
      </c>
      <c r="D445" s="268">
        <f>+L441+L444</f>
        <v>611880</v>
      </c>
      <c r="E445" s="10" t="s">
        <v>80</v>
      </c>
      <c r="F445" s="209">
        <v>40</v>
      </c>
      <c r="G445" s="318" t="str">
        <f>+G444</f>
        <v>"04-2026" GC TT022 6600</v>
      </c>
      <c r="I445" s="10">
        <f>+I444</f>
        <v>6600</v>
      </c>
      <c r="J445" s="10" t="s">
        <v>856</v>
      </c>
    </row>
    <row r="446" spans="1:20" x14ac:dyDescent="0.35">
      <c r="B446" s="209">
        <v>1537210003</v>
      </c>
      <c r="C446" s="251" t="s">
        <v>1013</v>
      </c>
      <c r="D446" s="268">
        <f>+L446</f>
        <v>0</v>
      </c>
      <c r="E446" s="10" t="s">
        <v>80</v>
      </c>
      <c r="F446" s="383">
        <v>40</v>
      </c>
      <c r="G446" s="318" t="str">
        <f>+CONCATENATE(G7," RETROACTIVO EXPENSAS ",G439," ",H439)</f>
        <v>"04-2026" RETROACTIVO EXPENSAS T022 6600</v>
      </c>
      <c r="I446" s="10">
        <v>6600</v>
      </c>
      <c r="J446" s="10" t="s">
        <v>1212</v>
      </c>
    </row>
    <row r="447" spans="1:20" x14ac:dyDescent="0.35">
      <c r="B447" s="209">
        <v>1537210003</v>
      </c>
      <c r="C447" s="251" t="s">
        <v>1013</v>
      </c>
      <c r="D447" s="268">
        <f>+L447</f>
        <v>0</v>
      </c>
      <c r="E447" s="10" t="s">
        <v>80</v>
      </c>
      <c r="F447" s="383">
        <v>40</v>
      </c>
      <c r="G447" s="318" t="str">
        <f>+CONCATENATE(G7," RETROACTIVO PUBLICIDAD ",G439," ",H439)</f>
        <v>"04-2026" RETROACTIVO PUBLICIDAD T022 6600</v>
      </c>
      <c r="I447" s="10">
        <v>6600</v>
      </c>
      <c r="J447" s="10" t="s">
        <v>1213</v>
      </c>
    </row>
    <row r="448" spans="1:20" x14ac:dyDescent="0.35">
      <c r="B448" s="209">
        <v>1532001600</v>
      </c>
      <c r="C448" s="251" t="s">
        <v>987</v>
      </c>
      <c r="D448" s="268">
        <f>+L448</f>
        <v>0</v>
      </c>
      <c r="E448" s="10" t="s">
        <v>80</v>
      </c>
      <c r="F448" s="209">
        <v>40</v>
      </c>
      <c r="G448" s="318" t="str">
        <f>+CONCATENATE(G7," RETROACTIVO VIGILANCIA ",G439," ",H439)</f>
        <v>"04-2026" RETROACTIVO VIGILANCIA T022 6600</v>
      </c>
      <c r="I448" s="10">
        <f>+I447</f>
        <v>6600</v>
      </c>
      <c r="J448" s="10" t="s">
        <v>1214</v>
      </c>
    </row>
    <row r="449" spans="1:20" x14ac:dyDescent="0.35">
      <c r="B449" s="209">
        <v>1537210003</v>
      </c>
      <c r="C449" s="251" t="s">
        <v>1013</v>
      </c>
      <c r="D449" s="268">
        <f>+L449</f>
        <v>0</v>
      </c>
      <c r="E449" s="10" t="s">
        <v>80</v>
      </c>
      <c r="F449" s="209">
        <v>40</v>
      </c>
      <c r="G449" s="318" t="str">
        <f>+CONCATENATE(G7," RETROACTIVO FONDO DE IMPROVISTOS ",G439," ",H439)</f>
        <v>"04-2026" RETROACTIVO FONDO DE IMPROVISTOS T022 6600</v>
      </c>
      <c r="I449" s="10">
        <f>+I448</f>
        <v>6600</v>
      </c>
      <c r="J449" s="10" t="s">
        <v>1215</v>
      </c>
    </row>
    <row r="450" spans="1:20" x14ac:dyDescent="0.35">
      <c r="A450" s="130" t="s">
        <v>854</v>
      </c>
      <c r="B450" s="14">
        <v>204546</v>
      </c>
      <c r="C450" s="15" t="s">
        <v>1002</v>
      </c>
      <c r="G450" s="10" t="str">
        <f>VLOOKUP(B450,ADMON!A:P,5,0)</f>
        <v>T022</v>
      </c>
      <c r="H450" s="54">
        <f>+VLOOKUP(G450,ADMON!E:G,3,0)</f>
        <v>6600</v>
      </c>
      <c r="J450" s="350">
        <f>+VLOOKUP(H450,contratos!A:R,5,0)</f>
        <v>42795</v>
      </c>
      <c r="K450" s="266" t="str">
        <f>+VLOOKUP(H450,contratos!A:R,12,0)</f>
        <v>OK</v>
      </c>
      <c r="L450" s="341" t="str">
        <f>+VLOOKUP(H450,contratos!A:R,13,0)</f>
        <v>VIGENTE</v>
      </c>
      <c r="M450" s="341">
        <f>+VLOOKUP(H450,contratos!A:R,15,0)</f>
        <v>0</v>
      </c>
      <c r="N450" s="336">
        <f>+VLOOKUP(H450,contratos!A:R,16,0)</f>
        <v>0</v>
      </c>
      <c r="O450" s="341">
        <f>+VLOOKUP(H450,PRORRATEO!F:M,3,0)</f>
        <v>33369425</v>
      </c>
      <c r="P450" s="341">
        <f>+VLOOKUP(H450,PRORRATEO!F:M,4,0)</f>
        <v>6340190.75</v>
      </c>
      <c r="Q450" s="341">
        <f>+VLOOKUP(H450,PRORRATEO!F:M,5,0)</f>
        <v>779843.46224999998</v>
      </c>
      <c r="R450" s="341">
        <f>+VLOOKUP(H450,PRORRATEO!F:M,6,0)</f>
        <v>5560347.2877500001</v>
      </c>
      <c r="S450" s="339">
        <f>+VLOOKUP(H450,PRORRATEO!F:M,7,0)</f>
        <v>0.123</v>
      </c>
      <c r="T450" s="339">
        <f>+VLOOKUP(H450,PRORRATEO!F:M,8,0)</f>
        <v>0.877</v>
      </c>
    </row>
    <row r="451" spans="1:20" x14ac:dyDescent="0.35">
      <c r="B451" s="4">
        <v>1242100001</v>
      </c>
      <c r="C451" s="251" t="s">
        <v>1011</v>
      </c>
      <c r="D451" s="299">
        <f>SUM(D452:D456)</f>
        <v>1492959</v>
      </c>
      <c r="E451" s="10" t="s">
        <v>80</v>
      </c>
      <c r="F451">
        <v>31</v>
      </c>
      <c r="G451" s="316" t="str">
        <f>+CONCATENATE($G$7," GC T",G450," ",H450)</f>
        <v>"04-2026" GC TT022 6600</v>
      </c>
      <c r="J451" s="10" t="s">
        <v>1186</v>
      </c>
      <c r="L451" s="341">
        <v>14808</v>
      </c>
    </row>
    <row r="452" spans="1:20" x14ac:dyDescent="0.35">
      <c r="B452" s="209">
        <v>1537210003</v>
      </c>
      <c r="C452" s="251" t="s">
        <v>1013</v>
      </c>
      <c r="D452" s="268">
        <f>+L455+L451</f>
        <v>399167</v>
      </c>
      <c r="E452" s="10" t="s">
        <v>80</v>
      </c>
      <c r="F452">
        <v>40</v>
      </c>
      <c r="G452" s="318" t="str">
        <f>+G451</f>
        <v>"04-2026" GC TT022 6600</v>
      </c>
      <c r="I452" s="10">
        <f>+H450</f>
        <v>6600</v>
      </c>
      <c r="J452" s="10" t="s">
        <v>1183</v>
      </c>
      <c r="L452" s="341">
        <v>578606</v>
      </c>
    </row>
    <row r="453" spans="1:20" x14ac:dyDescent="0.35">
      <c r="B453" s="263">
        <v>1537210004</v>
      </c>
      <c r="C453" s="251" t="s">
        <v>1117</v>
      </c>
      <c r="D453" s="268">
        <f>+L454</f>
        <v>4549</v>
      </c>
      <c r="E453" s="10" t="s">
        <v>80</v>
      </c>
      <c r="F453">
        <v>40</v>
      </c>
      <c r="G453" s="318" t="str">
        <f>+G452</f>
        <v>"04-2026" GC TT022 6600</v>
      </c>
      <c r="I453" s="10">
        <f>+I452</f>
        <v>6600</v>
      </c>
      <c r="J453" s="10" t="s">
        <v>856</v>
      </c>
      <c r="L453" s="341">
        <v>36113</v>
      </c>
    </row>
    <row r="454" spans="1:20" x14ac:dyDescent="0.35">
      <c r="B454" s="209">
        <v>1532001604</v>
      </c>
      <c r="C454" s="251" t="s">
        <v>1029</v>
      </c>
      <c r="D454" s="268">
        <f>+L453</f>
        <v>36113</v>
      </c>
      <c r="E454" s="10" t="s">
        <v>80</v>
      </c>
      <c r="F454">
        <v>40</v>
      </c>
      <c r="G454" s="318" t="str">
        <f>+G453</f>
        <v>"04-2026" GC TT022 6600</v>
      </c>
      <c r="I454" s="10">
        <f>+I453</f>
        <v>6600</v>
      </c>
      <c r="J454" s="10" t="s">
        <v>1269</v>
      </c>
      <c r="L454" s="341">
        <v>4549</v>
      </c>
    </row>
    <row r="455" spans="1:20" x14ac:dyDescent="0.35">
      <c r="B455" s="209">
        <v>1532001600</v>
      </c>
      <c r="C455" s="251" t="s">
        <v>987</v>
      </c>
      <c r="D455" s="268">
        <f>+L456</f>
        <v>474524</v>
      </c>
      <c r="E455" s="10" t="s">
        <v>80</v>
      </c>
      <c r="F455">
        <v>40</v>
      </c>
      <c r="G455" s="318" t="str">
        <f>+G452</f>
        <v>"04-2026" GC TT022 6600</v>
      </c>
      <c r="I455" s="10">
        <f>+I452</f>
        <v>6600</v>
      </c>
      <c r="J455" s="10" t="s">
        <v>1184</v>
      </c>
      <c r="L455" s="341">
        <v>384359</v>
      </c>
    </row>
    <row r="456" spans="1:20" x14ac:dyDescent="0.35">
      <c r="B456" s="209">
        <v>1245150017</v>
      </c>
      <c r="C456" s="251" t="s">
        <v>77</v>
      </c>
      <c r="D456" s="268">
        <f>+L452</f>
        <v>578606</v>
      </c>
      <c r="E456" s="10" t="s">
        <v>80</v>
      </c>
      <c r="F456">
        <v>40</v>
      </c>
      <c r="G456" s="318" t="str">
        <f>+G455</f>
        <v>"04-2026" GC TT022 6600</v>
      </c>
      <c r="I456" s="10">
        <f>+I455</f>
        <v>6600</v>
      </c>
      <c r="J456" s="10" t="s">
        <v>1185</v>
      </c>
      <c r="L456" s="341">
        <v>474524</v>
      </c>
    </row>
    <row r="457" spans="1:20" x14ac:dyDescent="0.35">
      <c r="A457" s="130" t="s">
        <v>853</v>
      </c>
      <c r="B457" s="14">
        <v>204515</v>
      </c>
      <c r="C457" s="15" t="s">
        <v>41</v>
      </c>
      <c r="G457" s="9" t="s">
        <v>521</v>
      </c>
      <c r="H457" s="131">
        <v>6627</v>
      </c>
      <c r="J457" s="350">
        <f>+VLOOKUP(H457,contratos!A:R,5,0)</f>
        <v>42154</v>
      </c>
      <c r="K457" s="266" t="str">
        <f>+VLOOKUP(H457,contratos!A:R,12,0)</f>
        <v>OK</v>
      </c>
      <c r="L457" s="341" t="str">
        <f>+VLOOKUP(H457,contratos!A:R,13,0)</f>
        <v>VIGENTE</v>
      </c>
      <c r="M457" s="341">
        <f>+VLOOKUP(H457,contratos!A:R,15,0)</f>
        <v>0</v>
      </c>
      <c r="N457" s="336">
        <f>+VLOOKUP(H457,contratos!A:R,16,0)</f>
        <v>0</v>
      </c>
      <c r="O457" s="341">
        <f>+VLOOKUP(B457,PRORRATEO!A:M,8,0)</f>
        <v>14489143</v>
      </c>
      <c r="P457" s="341">
        <f>+VLOOKUP(B457,PRORRATEO!A:M,9,0)</f>
        <v>2752937.17</v>
      </c>
      <c r="Q457" s="341">
        <f>+VLOOKUP(B457,PRORRATEO!A:M,10,0)</f>
        <v>352375.95776000002</v>
      </c>
      <c r="R457" s="341">
        <f>+VLOOKUP(B457,PRORRATEO!A:M,11,0)</f>
        <v>2400561.2122399998</v>
      </c>
      <c r="S457" s="339">
        <f>+VLOOKUP(B457,PRORRATEO!A:M,12,0)</f>
        <v>0.128</v>
      </c>
      <c r="T457" s="339">
        <f>+VLOOKUP(B457,PRORRATEO!A:M,13,0)</f>
        <v>0.872</v>
      </c>
    </row>
    <row r="458" spans="1:20" x14ac:dyDescent="0.35">
      <c r="B458" s="4">
        <v>1242100042</v>
      </c>
      <c r="C458" s="251" t="s">
        <v>983</v>
      </c>
      <c r="D458" s="322">
        <f>+D459+D460-D461+D462-D463-D464</f>
        <v>16594994.496088888</v>
      </c>
      <c r="E458" s="10" t="s">
        <v>984</v>
      </c>
      <c r="F458">
        <v>31</v>
      </c>
      <c r="G458" s="316" t="str">
        <f>+CONCATENATE($G$7," RF T",G457," ",H457)</f>
        <v>"04-2026" RF TT043 6627</v>
      </c>
      <c r="J458" s="10"/>
    </row>
    <row r="459" spans="1:20" x14ac:dyDescent="0.35">
      <c r="B459" s="209">
        <v>1245150017</v>
      </c>
      <c r="C459" s="251" t="s">
        <v>77</v>
      </c>
      <c r="D459" s="268">
        <f>+O457</f>
        <v>14489143</v>
      </c>
      <c r="E459" s="10" t="s">
        <v>97</v>
      </c>
      <c r="F459" s="209">
        <v>40</v>
      </c>
      <c r="G459" s="318" t="str">
        <f t="shared" ref="G459:G464" si="27">+G458</f>
        <v>"04-2026" RF TT043 6627</v>
      </c>
      <c r="I459" s="10">
        <f>+H457</f>
        <v>6627</v>
      </c>
      <c r="J459" s="10"/>
      <c r="K459" s="433">
        <f>+D459+D462-D463</f>
        <v>17102114.904872894</v>
      </c>
      <c r="N459" s="338"/>
    </row>
    <row r="460" spans="1:20" x14ac:dyDescent="0.35">
      <c r="B460" s="209">
        <v>1149120011</v>
      </c>
      <c r="C460" s="251" t="s">
        <v>96</v>
      </c>
      <c r="D460" s="268">
        <f>+Q457</f>
        <v>352375.95776000002</v>
      </c>
      <c r="E460" s="10" t="s">
        <v>98</v>
      </c>
      <c r="F460" s="209">
        <v>40</v>
      </c>
      <c r="G460" s="318" t="str">
        <f t="shared" si="27"/>
        <v>"04-2026" RF TT043 6627</v>
      </c>
      <c r="I460" s="10">
        <f>+I459</f>
        <v>6627</v>
      </c>
      <c r="J460" s="10"/>
      <c r="N460" s="338"/>
    </row>
    <row r="461" spans="1:20" x14ac:dyDescent="0.35">
      <c r="B461" s="209">
        <v>1149120011</v>
      </c>
      <c r="C461" s="251" t="s">
        <v>96</v>
      </c>
      <c r="D461" s="298">
        <f>+D460</f>
        <v>352375.95776000002</v>
      </c>
      <c r="E461" s="10" t="s">
        <v>97</v>
      </c>
      <c r="F461" s="209">
        <v>50</v>
      </c>
      <c r="G461" s="318" t="str">
        <f t="shared" si="27"/>
        <v>"04-2026" RF TT043 6627</v>
      </c>
      <c r="I461" s="10">
        <f>+I460</f>
        <v>6627</v>
      </c>
      <c r="J461" s="10"/>
      <c r="N461" s="338"/>
    </row>
    <row r="462" spans="1:20" x14ac:dyDescent="0.35">
      <c r="B462" s="4">
        <v>1149120011</v>
      </c>
      <c r="C462" s="251" t="s">
        <v>96</v>
      </c>
      <c r="D462" s="268">
        <f>+P457</f>
        <v>2752937.17</v>
      </c>
      <c r="E462" s="10" t="s">
        <v>97</v>
      </c>
      <c r="F462">
        <v>40</v>
      </c>
      <c r="G462" s="318" t="str">
        <f t="shared" si="27"/>
        <v>"04-2026" RF TT043 6627</v>
      </c>
      <c r="J462" s="10"/>
      <c r="N462" s="338"/>
    </row>
    <row r="463" spans="1:20" x14ac:dyDescent="0.35">
      <c r="B463" s="4">
        <v>1249100024</v>
      </c>
      <c r="C463" s="251" t="s">
        <v>981</v>
      </c>
      <c r="D463" s="268">
        <f>D459*J463</f>
        <v>139965.26512710613</v>
      </c>
      <c r="F463">
        <v>50</v>
      </c>
      <c r="G463" s="318" t="str">
        <f t="shared" si="27"/>
        <v>"04-2026" RF TT043 6627</v>
      </c>
      <c r="I463" s="206">
        <v>1</v>
      </c>
      <c r="J463" s="352">
        <v>9.6600099210219764E-3</v>
      </c>
      <c r="N463" s="338"/>
    </row>
    <row r="464" spans="1:20" x14ac:dyDescent="0.35">
      <c r="B464" s="4">
        <v>1246125027</v>
      </c>
      <c r="C464" s="251" t="s">
        <v>962</v>
      </c>
      <c r="D464" s="268">
        <f>D459*J464</f>
        <v>507120.40878400597</v>
      </c>
      <c r="F464">
        <v>50</v>
      </c>
      <c r="G464" s="318" t="str">
        <f t="shared" si="27"/>
        <v>"04-2026" RF TT043 6627</v>
      </c>
      <c r="I464" s="251" t="s">
        <v>857</v>
      </c>
      <c r="J464" s="352">
        <v>3.5000027868039262E-2</v>
      </c>
    </row>
    <row r="465" spans="1:20" x14ac:dyDescent="0.35">
      <c r="A465" s="130" t="s">
        <v>854</v>
      </c>
      <c r="B465" s="14">
        <v>204942</v>
      </c>
      <c r="C465" s="15" t="s">
        <v>44</v>
      </c>
      <c r="G465" s="10" t="str">
        <f>VLOOKUP(B465,ADMON!A:P,5,0)</f>
        <v>T069</v>
      </c>
      <c r="H465" s="54">
        <f>+VLOOKUP(G465,ADMON!E:G,3,0)</f>
        <v>6692</v>
      </c>
      <c r="J465" s="350">
        <f>+VLOOKUP(H465,contratos!A:R,5,0)</f>
        <v>43069</v>
      </c>
      <c r="K465" s="266" t="str">
        <f>+VLOOKUP(H465,contratos!A:R,12,0)</f>
        <v>VENCIDO</v>
      </c>
      <c r="L465" s="341" t="str">
        <f>+VLOOKUP(H465,contratos!A:R,13,0)</f>
        <v>CESADO</v>
      </c>
      <c r="M465" s="341">
        <f>+VLOOKUP(H465,contratos!A:R,15,0)</f>
        <v>0</v>
      </c>
      <c r="N465" s="336">
        <f>+VLOOKUP(H465,contratos!A:R,16,0)</f>
        <v>0</v>
      </c>
      <c r="O465" s="341">
        <f>+VLOOKUP(H465,PRORRATEO!F:M,3,0)</f>
        <v>15240965</v>
      </c>
      <c r="P465" s="341">
        <f>+VLOOKUP(H465,PRORRATEO!F:M,4,0)</f>
        <v>2895783.35</v>
      </c>
      <c r="Q465" s="341">
        <f>+VLOOKUP(H465,PRORRATEO!F:M,5,0)</f>
        <v>266659.5561540777</v>
      </c>
      <c r="R465" s="341">
        <f>+VLOOKUP(H465,PRORRATEO!F:M,6,0)</f>
        <v>2629123.7938459227</v>
      </c>
      <c r="S465" s="339">
        <f>+VLOOKUP(H465,PRORRATEO!F:M,7,0)</f>
        <v>9.2085464941318099E-2</v>
      </c>
      <c r="T465" s="339">
        <f>+VLOOKUP(H465,PRORRATEO!F:M,8,0)</f>
        <v>0.90791453505868203</v>
      </c>
    </row>
    <row r="466" spans="1:20" x14ac:dyDescent="0.35">
      <c r="B466" s="4">
        <v>1242100001</v>
      </c>
      <c r="C466" s="251" t="s">
        <v>1011</v>
      </c>
      <c r="D466" s="299">
        <f>+D467+D468-D469+D470</f>
        <v>20349424.829999998</v>
      </c>
      <c r="E466" s="10" t="s">
        <v>984</v>
      </c>
      <c r="F466">
        <v>31</v>
      </c>
      <c r="G466" s="316" t="str">
        <f>+CONCATENATE($G$7," RF ",G465," ",H465)</f>
        <v>"04-2026" RF T069 6692</v>
      </c>
      <c r="J466" s="10"/>
      <c r="S466" s="454"/>
    </row>
    <row r="467" spans="1:20" x14ac:dyDescent="0.35">
      <c r="B467" s="209">
        <v>1245150017</v>
      </c>
      <c r="C467" s="251" t="s">
        <v>77</v>
      </c>
      <c r="D467" s="268">
        <v>17100357</v>
      </c>
      <c r="E467" s="10" t="s">
        <v>97</v>
      </c>
      <c r="F467" s="209">
        <v>40</v>
      </c>
      <c r="G467" s="318" t="str">
        <f>+G466</f>
        <v>"04-2026" RF T069 6692</v>
      </c>
      <c r="I467" s="10">
        <f>+H465</f>
        <v>6692</v>
      </c>
      <c r="J467" s="10"/>
      <c r="K467" s="338"/>
    </row>
    <row r="468" spans="1:20" x14ac:dyDescent="0.35">
      <c r="B468" s="209">
        <v>1149120011</v>
      </c>
      <c r="C468" s="251" t="s">
        <v>96</v>
      </c>
      <c r="D468" s="268">
        <f>+D470*S465</f>
        <v>299191.9217514295</v>
      </c>
      <c r="E468" s="10" t="s">
        <v>98</v>
      </c>
      <c r="F468" s="209">
        <v>40</v>
      </c>
      <c r="G468" s="318" t="str">
        <f>+G467</f>
        <v>"04-2026" RF T069 6692</v>
      </c>
      <c r="I468" s="10">
        <f>+I467</f>
        <v>6692</v>
      </c>
      <c r="J468" s="10"/>
      <c r="K468" s="338"/>
    </row>
    <row r="469" spans="1:20" x14ac:dyDescent="0.35">
      <c r="B469" s="209">
        <v>1149120011</v>
      </c>
      <c r="C469" s="251" t="s">
        <v>96</v>
      </c>
      <c r="D469" s="298">
        <f>+D468</f>
        <v>299191.9217514295</v>
      </c>
      <c r="E469" s="10" t="s">
        <v>97</v>
      </c>
      <c r="F469" s="209">
        <v>50</v>
      </c>
      <c r="G469" s="318" t="str">
        <f>+G468</f>
        <v>"04-2026" RF T069 6692</v>
      </c>
      <c r="I469" s="10">
        <f>+I468</f>
        <v>6692</v>
      </c>
      <c r="J469" s="10"/>
    </row>
    <row r="470" spans="1:20" x14ac:dyDescent="0.35">
      <c r="B470" s="4">
        <v>1149120011</v>
      </c>
      <c r="C470" s="251" t="s">
        <v>96</v>
      </c>
      <c r="D470" s="268">
        <f>+D467*0.19</f>
        <v>3249067.83</v>
      </c>
      <c r="E470" s="10" t="s">
        <v>97</v>
      </c>
      <c r="F470">
        <v>40</v>
      </c>
      <c r="G470" s="318" t="str">
        <f>+G469</f>
        <v>"04-2026" RF T069 6692</v>
      </c>
      <c r="J470" s="10"/>
      <c r="K470" s="338"/>
    </row>
    <row r="471" spans="1:20" x14ac:dyDescent="0.35">
      <c r="A471" s="130" t="s">
        <v>853</v>
      </c>
      <c r="B471" s="14">
        <v>204634</v>
      </c>
      <c r="C471" s="15" t="s">
        <v>23</v>
      </c>
      <c r="G471" s="9" t="str">
        <f>+VLOOKUP(B471,arriendo1!A:R,3,0)</f>
        <v>T079</v>
      </c>
      <c r="H471" s="131">
        <f>+VLOOKUP(B471,arriendo1!A:R,6,0)</f>
        <v>6714</v>
      </c>
      <c r="J471" s="350">
        <f>+VLOOKUP(H471,contratos!A:R,5,0)</f>
        <v>42917</v>
      </c>
      <c r="K471" s="266" t="str">
        <f>+VLOOKUP(H471,contratos!A:R,12,0)</f>
        <v>OK</v>
      </c>
      <c r="L471" s="341" t="str">
        <f>+VLOOKUP(H471,contratos!A:R,13,0)</f>
        <v>VIGENTE</v>
      </c>
      <c r="M471" s="341">
        <f>+VLOOKUP(H471,contratos!A:R,15,0)</f>
        <v>0</v>
      </c>
      <c r="N471" s="336">
        <f>+VLOOKUP(H471,contratos!A:R,16,0)</f>
        <v>0</v>
      </c>
      <c r="O471" s="341">
        <f>+VLOOKUP(B471,PRORRATEO!A:M,8,0)</f>
        <v>11203043</v>
      </c>
      <c r="P471" s="341">
        <f>+VLOOKUP(B471,PRORRATEO!A:M,9,0)</f>
        <v>2128578.17</v>
      </c>
      <c r="Q471" s="341">
        <f>+VLOOKUP(B471,PRORRATEO!A:M,10,0)</f>
        <v>170286.2536</v>
      </c>
      <c r="R471" s="341">
        <f>+VLOOKUP(B471,PRORRATEO!A:M,11,0)</f>
        <v>1958291.9164</v>
      </c>
      <c r="S471" s="339">
        <f>+VLOOKUP(B471,PRORRATEO!A:M,12,0)</f>
        <v>0.08</v>
      </c>
      <c r="T471" s="339">
        <f>+VLOOKUP(B471,PRORRATEO!A:M,13,0)</f>
        <v>0.92</v>
      </c>
    </row>
    <row r="472" spans="1:20" x14ac:dyDescent="0.35">
      <c r="B472" s="4">
        <v>1242100042</v>
      </c>
      <c r="C472" s="251" t="s">
        <v>983</v>
      </c>
      <c r="D472" s="299">
        <f>+D473+D474-D475+D476+D477</f>
        <v>12939514.352793157</v>
      </c>
      <c r="E472" s="10" t="s">
        <v>984</v>
      </c>
      <c r="F472">
        <v>31</v>
      </c>
      <c r="G472" s="316" t="str">
        <f>+CONCATENATE($G$7," RF T",G471," ",H471)</f>
        <v>"04-2026" RF TT079 6714</v>
      </c>
      <c r="J472" s="10"/>
    </row>
    <row r="473" spans="1:20" x14ac:dyDescent="0.35">
      <c r="B473" s="209">
        <v>1245150017</v>
      </c>
      <c r="C473" s="251" t="s">
        <v>77</v>
      </c>
      <c r="D473" s="268">
        <f>+O471</f>
        <v>11203043</v>
      </c>
      <c r="E473" s="10" t="s">
        <v>97</v>
      </c>
      <c r="F473" s="209">
        <v>40</v>
      </c>
      <c r="G473" s="318" t="str">
        <f>+G472</f>
        <v>"04-2026" RF TT079 6714</v>
      </c>
      <c r="I473" s="10">
        <f>+H471</f>
        <v>6714</v>
      </c>
      <c r="J473" s="10"/>
    </row>
    <row r="474" spans="1:20" x14ac:dyDescent="0.35">
      <c r="B474" s="209">
        <v>1149120011</v>
      </c>
      <c r="C474" s="251" t="s">
        <v>96</v>
      </c>
      <c r="D474" s="268">
        <f>+D476*S471</f>
        <v>170286.2536</v>
      </c>
      <c r="E474" s="10" t="s">
        <v>97</v>
      </c>
      <c r="F474" s="209">
        <v>50</v>
      </c>
      <c r="G474" s="318" t="str">
        <f>+G473</f>
        <v>"04-2026" RF TT079 6714</v>
      </c>
      <c r="I474" s="10">
        <f>+I473</f>
        <v>6714</v>
      </c>
      <c r="J474" s="10"/>
    </row>
    <row r="475" spans="1:20" x14ac:dyDescent="0.35">
      <c r="B475" s="209">
        <v>1149120011</v>
      </c>
      <c r="C475" s="251" t="s">
        <v>96</v>
      </c>
      <c r="D475" s="268">
        <f>D474</f>
        <v>170286.2536</v>
      </c>
      <c r="E475" s="10" t="s">
        <v>98</v>
      </c>
      <c r="F475" s="209">
        <v>40</v>
      </c>
      <c r="G475" s="318" t="str">
        <f>+G474</f>
        <v>"04-2026" RF TT079 6714</v>
      </c>
      <c r="I475" s="10">
        <f>+I474</f>
        <v>6714</v>
      </c>
      <c r="J475" s="10"/>
    </row>
    <row r="476" spans="1:20" x14ac:dyDescent="0.35">
      <c r="B476" s="4">
        <v>1149120011</v>
      </c>
      <c r="C476" s="251" t="s">
        <v>96</v>
      </c>
      <c r="D476" s="268">
        <f>+D473*0.19</f>
        <v>2128578.17</v>
      </c>
      <c r="E476" s="10" t="s">
        <v>97</v>
      </c>
      <c r="F476">
        <v>40</v>
      </c>
      <c r="G476" s="318" t="str">
        <f>+G475</f>
        <v>"04-2026" RF TT079 6714</v>
      </c>
      <c r="J476" s="10"/>
    </row>
    <row r="477" spans="1:20" x14ac:dyDescent="0.35">
      <c r="B477" s="4">
        <v>1246125027</v>
      </c>
      <c r="C477" s="251" t="s">
        <v>962</v>
      </c>
      <c r="D477" s="298">
        <f>-D473*J477</f>
        <v>-392106.81720684218</v>
      </c>
      <c r="F477">
        <v>50</v>
      </c>
      <c r="G477" s="318" t="str">
        <f>+G476</f>
        <v>"04-2026" RF TT079 6714</v>
      </c>
      <c r="I477" s="251" t="s">
        <v>857</v>
      </c>
      <c r="J477" s="352">
        <v>3.5000027868039262E-2</v>
      </c>
      <c r="K477" s="338"/>
      <c r="N477" s="338"/>
    </row>
    <row r="478" spans="1:20" x14ac:dyDescent="0.35">
      <c r="A478" s="130" t="s">
        <v>854</v>
      </c>
      <c r="B478" s="14">
        <v>204601</v>
      </c>
      <c r="C478" s="15" t="s">
        <v>980</v>
      </c>
      <c r="D478" s="298"/>
      <c r="G478" s="10" t="str">
        <f>VLOOKUP(B478,ADMON!A:P,5,0)</f>
        <v>T087</v>
      </c>
      <c r="H478" s="54">
        <f>+VLOOKUP(G478,ADMON!E:G,3,0)</f>
        <v>6759</v>
      </c>
      <c r="J478" s="350">
        <f>+VLOOKUP(H478,contratos!A:R,5,0)</f>
        <v>40026</v>
      </c>
      <c r="K478" s="266" t="str">
        <f>+VLOOKUP(H478,contratos!A:R,12,0)</f>
        <v>OK</v>
      </c>
      <c r="L478" s="341" t="str">
        <f>+VLOOKUP(H478,contratos!A:R,13,0)</f>
        <v>VIGENTE</v>
      </c>
      <c r="M478" s="341">
        <f>+VLOOKUP(H478,contratos!A:R,15,0)</f>
        <v>0</v>
      </c>
      <c r="N478" s="336">
        <f>+VLOOKUP(H478,contratos!A:R,16,0)</f>
        <v>0</v>
      </c>
      <c r="O478" s="341">
        <f>+VLOOKUP(H478,PRORRATEO!F:M,3,0)</f>
        <v>16280378</v>
      </c>
      <c r="P478" s="341">
        <f>+VLOOKUP(H478,PRORRATEO!F:M,4,0)</f>
        <v>3093271.82</v>
      </c>
      <c r="Q478" s="341">
        <f>+VLOOKUP(H478,PRORRATEO!F:M,5,0)</f>
        <v>191782.85283999998</v>
      </c>
      <c r="R478" s="341">
        <f>+VLOOKUP(H478,PRORRATEO!F:M,6,0)</f>
        <v>2901488.9671599995</v>
      </c>
      <c r="S478" s="339">
        <f>+VLOOKUP(H478,PRORRATEO!F:M,7,0)</f>
        <v>6.2E-2</v>
      </c>
      <c r="T478" s="339">
        <f>+VLOOKUP(H478,PRORRATEO!F:M,8,0)</f>
        <v>0.93799999999999994</v>
      </c>
    </row>
    <row r="479" spans="1:20" x14ac:dyDescent="0.35">
      <c r="B479" s="4">
        <v>1242100001</v>
      </c>
      <c r="C479" s="251" t="s">
        <v>1011</v>
      </c>
      <c r="D479" s="299">
        <f>SUBTOTAL(9,D484:D487)-SUM(D480:D483)</f>
        <v>3620228.98</v>
      </c>
      <c r="E479" s="10" t="s">
        <v>80</v>
      </c>
      <c r="F479">
        <v>31</v>
      </c>
      <c r="G479" s="348" t="str">
        <f>+CONCATENATE($G$7," INCENTIVO GC T",G478," ",H478)</f>
        <v>"04-2026" INCENTIVO GC TT087 6759</v>
      </c>
      <c r="I479" s="10">
        <f>+H478</f>
        <v>6759</v>
      </c>
      <c r="J479" s="10" t="s">
        <v>1735</v>
      </c>
      <c r="K479" s="298">
        <v>587323.81000000006</v>
      </c>
    </row>
    <row r="480" spans="1:20" x14ac:dyDescent="0.35">
      <c r="B480" s="209">
        <v>1537210003</v>
      </c>
      <c r="C480" s="251" t="s">
        <v>1013</v>
      </c>
      <c r="D480" s="268">
        <f>+K483</f>
        <v>89603.306657590787</v>
      </c>
      <c r="E480" s="10" t="s">
        <v>80</v>
      </c>
      <c r="F480" s="209">
        <v>50</v>
      </c>
      <c r="G480" s="318" t="str">
        <f t="shared" ref="G480" si="28">+G479</f>
        <v>"04-2026" INCENTIVO GC TT087 6759</v>
      </c>
      <c r="I480" s="10">
        <f>+H478</f>
        <v>6759</v>
      </c>
      <c r="J480" s="10" t="s">
        <v>1736</v>
      </c>
      <c r="K480" s="299">
        <v>110123.21</v>
      </c>
    </row>
    <row r="481" spans="1:20" x14ac:dyDescent="0.35">
      <c r="B481" s="209">
        <v>1537210002</v>
      </c>
      <c r="C481" s="251" t="s">
        <v>1015</v>
      </c>
      <c r="D481" s="268">
        <f>+K484</f>
        <v>8963.1413394057363</v>
      </c>
      <c r="E481" s="10" t="s">
        <v>80</v>
      </c>
      <c r="F481" s="209">
        <v>50</v>
      </c>
      <c r="G481" s="318" t="str">
        <f>+G480</f>
        <v>"04-2026" INCENTIVO GC TT087 6759</v>
      </c>
      <c r="I481" s="10">
        <f>+I480</f>
        <v>6759</v>
      </c>
      <c r="J481" s="352" t="s">
        <v>1737</v>
      </c>
      <c r="K481" s="266">
        <f>SUBTOTAL(9,K479:K480)</f>
        <v>697447.02</v>
      </c>
      <c r="L481" s="352"/>
    </row>
    <row r="482" spans="1:20" x14ac:dyDescent="0.35">
      <c r="B482" s="209">
        <v>1532001600</v>
      </c>
      <c r="C482" s="251" t="s">
        <v>987</v>
      </c>
      <c r="D482" s="268">
        <f>+K485</f>
        <v>5929.5521966354117</v>
      </c>
      <c r="E482" s="10" t="s">
        <v>80</v>
      </c>
      <c r="F482" s="209">
        <v>50</v>
      </c>
      <c r="G482" s="318" t="str">
        <f>+G481</f>
        <v>"04-2026" INCENTIVO GC TT087 6759</v>
      </c>
      <c r="I482" s="10">
        <f>+I481</f>
        <v>6759</v>
      </c>
      <c r="J482" s="341" t="s">
        <v>1738</v>
      </c>
      <c r="K482" s="505">
        <f>+D484+D485+D487+D486</f>
        <v>4317676</v>
      </c>
    </row>
    <row r="483" spans="1:20" x14ac:dyDescent="0.35">
      <c r="B483" s="209">
        <v>1537210002</v>
      </c>
      <c r="C483" s="251" t="s">
        <v>85</v>
      </c>
      <c r="D483" s="268">
        <f>+K486</f>
        <v>592951.01980636804</v>
      </c>
      <c r="E483" s="10" t="s">
        <v>80</v>
      </c>
      <c r="F483" s="209">
        <v>50</v>
      </c>
      <c r="G483" s="497" t="str">
        <f>+G480</f>
        <v>"04-2026" INCENTIVO GC TT087 6759</v>
      </c>
      <c r="I483" s="10">
        <f>+I480</f>
        <v>6759</v>
      </c>
      <c r="J483" s="352">
        <f>+D484/K482</f>
        <v>0.12847328053332394</v>
      </c>
      <c r="K483" s="266">
        <f>+K481*J483</f>
        <v>89603.306657590787</v>
      </c>
      <c r="L483">
        <v>3365026</v>
      </c>
    </row>
    <row r="484" spans="1:20" x14ac:dyDescent="0.35">
      <c r="B484" s="209">
        <v>1537210003</v>
      </c>
      <c r="C484" s="251" t="s">
        <v>1013</v>
      </c>
      <c r="D484" s="268">
        <v>554706</v>
      </c>
      <c r="E484" s="10" t="s">
        <v>80</v>
      </c>
      <c r="F484" s="209">
        <v>40</v>
      </c>
      <c r="G484" s="318" t="str">
        <f>+CONCATENATE($G$7," GC T",G478," ",H478)</f>
        <v>"04-2026" GC TT087 6759</v>
      </c>
      <c r="I484" s="10">
        <f>+H478</f>
        <v>6759</v>
      </c>
      <c r="J484" s="352">
        <f>+D485/K482</f>
        <v>1.2851357999071724E-2</v>
      </c>
      <c r="K484" s="266">
        <f>+K481*J484</f>
        <v>8963.1413394057363</v>
      </c>
      <c r="L484" s="341">
        <f>+L483-D487</f>
        <v>-305748</v>
      </c>
      <c r="N484" s="338"/>
    </row>
    <row r="485" spans="1:20" x14ac:dyDescent="0.35">
      <c r="B485" s="209">
        <v>1537210002</v>
      </c>
      <c r="C485" s="251" t="s">
        <v>1015</v>
      </c>
      <c r="D485" s="268">
        <v>55488</v>
      </c>
      <c r="E485" s="10" t="s">
        <v>80</v>
      </c>
      <c r="F485" s="209">
        <v>40</v>
      </c>
      <c r="G485" s="318" t="str">
        <f>+CONCATENATE($G$7," GC T",G478," ",H478)</f>
        <v>"04-2026" GC TT087 6759</v>
      </c>
      <c r="I485" s="10">
        <f>+I484</f>
        <v>6759</v>
      </c>
      <c r="J485" s="352">
        <f>+D486/K482</f>
        <v>8.5017958735208472E-3</v>
      </c>
      <c r="K485" s="266">
        <f>+K481*J485</f>
        <v>5929.5521966354117</v>
      </c>
    </row>
    <row r="486" spans="1:20" x14ac:dyDescent="0.35">
      <c r="B486" s="209">
        <v>1532001600</v>
      </c>
      <c r="C486" s="251" t="s">
        <v>987</v>
      </c>
      <c r="D486" s="268">
        <v>36708</v>
      </c>
      <c r="E486" s="10" t="s">
        <v>80</v>
      </c>
      <c r="F486" s="209">
        <v>40</v>
      </c>
      <c r="G486" s="318" t="str">
        <f>+CONCATENATE($G$7," GC T",G478," ",H478)</f>
        <v>"04-2026" GC TT087 6759</v>
      </c>
      <c r="I486" s="10">
        <f>+I485</f>
        <v>6759</v>
      </c>
      <c r="J486" s="352">
        <f>+D487/K482</f>
        <v>0.85017356559408352</v>
      </c>
      <c r="K486" s="504">
        <f>+K481*J486</f>
        <v>592951.01980636804</v>
      </c>
      <c r="L486" s="341">
        <f>+D486+D485+D484-D483-D482-D481-D480</f>
        <v>-50545.019999999982</v>
      </c>
    </row>
    <row r="487" spans="1:20" x14ac:dyDescent="0.35">
      <c r="B487" s="209">
        <v>1245150017</v>
      </c>
      <c r="C487" s="251" t="s">
        <v>77</v>
      </c>
      <c r="D487" s="268">
        <v>3670774</v>
      </c>
      <c r="E487" s="10" t="s">
        <v>80</v>
      </c>
      <c r="F487" s="209">
        <v>40</v>
      </c>
      <c r="G487" s="318" t="str">
        <f>+CONCATENATE($G$7," GC T",G478," ",H478)</f>
        <v>"04-2026" GC TT087 6759</v>
      </c>
      <c r="I487" s="10">
        <f>+I486</f>
        <v>6759</v>
      </c>
      <c r="J487" s="10"/>
      <c r="K487" s="266">
        <f>SUBTOTAL(9,K483:K486)</f>
        <v>697447.02</v>
      </c>
    </row>
    <row r="488" spans="1:20" x14ac:dyDescent="0.35">
      <c r="A488" s="130" t="s">
        <v>853</v>
      </c>
      <c r="B488" s="14">
        <v>205529</v>
      </c>
      <c r="C488" s="15" t="s">
        <v>45</v>
      </c>
      <c r="G488" s="9" t="str">
        <f>+VLOOKUP(B488,arriendo1!A:R,3,0)</f>
        <v>T037</v>
      </c>
      <c r="H488" s="131">
        <f>+VLOOKUP(B488,arriendo1!A:R,6,0)</f>
        <v>6619</v>
      </c>
      <c r="J488" s="350">
        <f>+VLOOKUP(H488,contratos!A:R,5,0)</f>
        <v>45627</v>
      </c>
      <c r="K488" s="266" t="str">
        <f>+VLOOKUP(H488,contratos!A:R,12,0)</f>
        <v>OK</v>
      </c>
      <c r="L488" s="341" t="str">
        <f>+VLOOKUP(H488,contratos!A:R,13,0)</f>
        <v>VIGENTE</v>
      </c>
      <c r="M488" s="341">
        <f>+VLOOKUP(H488,contratos!A:R,15,0)</f>
        <v>0</v>
      </c>
      <c r="N488" s="336">
        <f>+VLOOKUP(H488,contratos!A:R,16,0)</f>
        <v>0</v>
      </c>
      <c r="O488" s="341">
        <f>+VLOOKUP(B488,PRORRATEO!A:M,8,0)</f>
        <v>11540440</v>
      </c>
      <c r="P488" s="341">
        <f>+VLOOKUP(B488,PRORRATEO!A:M,9,0)</f>
        <v>2192683.6</v>
      </c>
      <c r="Q488" s="341">
        <f>+VLOOKUP(B488,PRORRATEO!A:M,10,0)</f>
        <v>120597.59800000001</v>
      </c>
      <c r="R488" s="341">
        <f>+VLOOKUP(B488,PRORRATEO!A:M,11,0)</f>
        <v>2072086.0020000001</v>
      </c>
      <c r="S488" s="339">
        <f>+VLOOKUP(B488,PRORRATEO!A:M,12,0)</f>
        <v>5.5E-2</v>
      </c>
      <c r="T488" s="339">
        <f>+VLOOKUP(B488,PRORRATEO!A:M,13,0)</f>
        <v>0.94499999999999995</v>
      </c>
    </row>
    <row r="489" spans="1:20" x14ac:dyDescent="0.35">
      <c r="B489" s="4">
        <v>1242100042</v>
      </c>
      <c r="C489" s="251" t="s">
        <v>983</v>
      </c>
      <c r="D489" s="299">
        <f>+D490+D491-D492+D493-D494</f>
        <v>13329207.878390566</v>
      </c>
      <c r="E489" s="10" t="s">
        <v>984</v>
      </c>
      <c r="F489">
        <v>31</v>
      </c>
      <c r="G489" s="348" t="str">
        <f>+CONCATENATE($G$7," RF ",G488," ",H488)</f>
        <v>"04-2026" RF T037 6619</v>
      </c>
      <c r="J489" s="10"/>
    </row>
    <row r="490" spans="1:20" x14ac:dyDescent="0.35">
      <c r="B490" s="209">
        <v>1245150017</v>
      </c>
      <c r="C490" s="251" t="s">
        <v>77</v>
      </c>
      <c r="D490" s="268">
        <f>+O488</f>
        <v>11540440</v>
      </c>
      <c r="E490" s="10" t="s">
        <v>97</v>
      </c>
      <c r="F490" s="209">
        <v>40</v>
      </c>
      <c r="G490" s="318" t="str">
        <f>+G489</f>
        <v>"04-2026" RF T037 6619</v>
      </c>
      <c r="I490" s="10">
        <f>+H488</f>
        <v>6619</v>
      </c>
      <c r="J490" s="10"/>
    </row>
    <row r="491" spans="1:20" x14ac:dyDescent="0.35">
      <c r="B491" s="209">
        <v>1149120011</v>
      </c>
      <c r="C491" s="251" t="s">
        <v>96</v>
      </c>
      <c r="D491" s="268">
        <f>+Q488</f>
        <v>120597.59800000001</v>
      </c>
      <c r="E491" s="10" t="s">
        <v>97</v>
      </c>
      <c r="F491" s="209">
        <v>50</v>
      </c>
      <c r="G491" s="318" t="str">
        <f>+G490</f>
        <v>"04-2026" RF T037 6619</v>
      </c>
      <c r="I491" s="10">
        <f>+I490</f>
        <v>6619</v>
      </c>
      <c r="J491" s="10"/>
    </row>
    <row r="492" spans="1:20" x14ac:dyDescent="0.35">
      <c r="B492" s="209">
        <v>1149120011</v>
      </c>
      <c r="C492" s="251" t="s">
        <v>96</v>
      </c>
      <c r="D492" s="268">
        <f>+D491</f>
        <v>120597.59800000001</v>
      </c>
      <c r="E492" s="10" t="s">
        <v>98</v>
      </c>
      <c r="F492" s="209">
        <v>40</v>
      </c>
      <c r="G492" s="318" t="str">
        <f>+G491</f>
        <v>"04-2026" RF T037 6619</v>
      </c>
      <c r="I492" s="10">
        <f>+I491</f>
        <v>6619</v>
      </c>
      <c r="J492" s="10"/>
    </row>
    <row r="493" spans="1:20" x14ac:dyDescent="0.35">
      <c r="B493" s="4">
        <v>1149120011</v>
      </c>
      <c r="C493" s="251" t="s">
        <v>96</v>
      </c>
      <c r="D493" s="298">
        <f>+P488</f>
        <v>2192683.6</v>
      </c>
      <c r="E493" s="10" t="s">
        <v>97</v>
      </c>
      <c r="F493">
        <v>40</v>
      </c>
      <c r="G493" s="318" t="str">
        <f>+G492</f>
        <v>"04-2026" RF T037 6619</v>
      </c>
      <c r="J493" s="10"/>
    </row>
    <row r="494" spans="1:20" x14ac:dyDescent="0.35">
      <c r="B494" s="4">
        <v>1246125027</v>
      </c>
      <c r="C494" s="251" t="s">
        <v>962</v>
      </c>
      <c r="D494" s="268">
        <f>D490*J494</f>
        <v>403915.72160943504</v>
      </c>
      <c r="F494">
        <v>50</v>
      </c>
      <c r="G494" s="318" t="str">
        <f>+G493</f>
        <v>"04-2026" RF T037 6619</v>
      </c>
      <c r="I494" s="251" t="s">
        <v>857</v>
      </c>
      <c r="J494" s="352">
        <v>3.5000027868039262E-2</v>
      </c>
    </row>
    <row r="495" spans="1:20" x14ac:dyDescent="0.35">
      <c r="A495" s="130" t="s">
        <v>854</v>
      </c>
      <c r="B495" s="14">
        <v>204591</v>
      </c>
      <c r="C495" s="15" t="s">
        <v>1003</v>
      </c>
      <c r="D495" s="298"/>
      <c r="G495" s="10" t="str">
        <f>VLOOKUP(B495,ADMON!A:P,5,0)</f>
        <v>T032</v>
      </c>
      <c r="H495" s="54" t="str">
        <f>+VLOOKUP(G495,ADMON!E:G,3,0)</f>
        <v>6606</v>
      </c>
      <c r="J495" s="350" t="e">
        <f>+VLOOKUP(H495,contratos!A:R,5,0)</f>
        <v>#N/A</v>
      </c>
      <c r="K495" s="266" t="e">
        <f>+VLOOKUP(H495,contratos!A:R,12,0)</f>
        <v>#N/A</v>
      </c>
      <c r="L495" s="341" t="e">
        <f>+VLOOKUP(H495,contratos!A:R,13,0)</f>
        <v>#N/A</v>
      </c>
      <c r="M495" s="341" t="e">
        <f>+VLOOKUP(H495,contratos!A:R,15,0)</f>
        <v>#N/A</v>
      </c>
      <c r="N495" s="336" t="e">
        <f>+VLOOKUP(H495,contratos!A:R,16,0)</f>
        <v>#N/A</v>
      </c>
      <c r="O495" s="341" t="e">
        <f>+VLOOKUP(H495,PRORRATEO!F:M,3,0)</f>
        <v>#N/A</v>
      </c>
      <c r="P495" s="341" t="e">
        <f>+VLOOKUP(H495,PRORRATEO!F:M,4,0)</f>
        <v>#N/A</v>
      </c>
      <c r="Q495" s="341" t="e">
        <f>+VLOOKUP(H495,PRORRATEO!F:M,5,0)</f>
        <v>#N/A</v>
      </c>
      <c r="R495" s="341" t="e">
        <f>+VLOOKUP(H495,PRORRATEO!F:M,6,0)</f>
        <v>#N/A</v>
      </c>
      <c r="S495" s="339" t="e">
        <f>+VLOOKUP(H495,PRORRATEO!F:M,7,0)</f>
        <v>#N/A</v>
      </c>
      <c r="T495" s="339" t="e">
        <f>+VLOOKUP(H495,PRORRATEO!F:M,8,0)</f>
        <v>#N/A</v>
      </c>
    </row>
    <row r="496" spans="1:20" x14ac:dyDescent="0.35">
      <c r="B496" s="4">
        <v>1242100042</v>
      </c>
      <c r="C496" s="251" t="s">
        <v>983</v>
      </c>
      <c r="D496" s="299">
        <f>+D497</f>
        <v>926016</v>
      </c>
      <c r="E496" s="10" t="s">
        <v>80</v>
      </c>
      <c r="F496">
        <v>31</v>
      </c>
      <c r="G496" s="348" t="str">
        <f>+CONCATENATE($G$7," GC T",G495," ",H495)</f>
        <v>"04-2026" GC TT032 6606</v>
      </c>
      <c r="J496" s="10"/>
    </row>
    <row r="497" spans="1:20" x14ac:dyDescent="0.35">
      <c r="B497" s="209">
        <v>1537210002</v>
      </c>
      <c r="C497" s="251" t="s">
        <v>1015</v>
      </c>
      <c r="D497" s="268">
        <f>912267+13749</f>
        <v>926016</v>
      </c>
      <c r="E497" s="10" t="s">
        <v>80</v>
      </c>
      <c r="F497" s="209">
        <v>40</v>
      </c>
      <c r="G497" s="318" t="str">
        <f>+G496</f>
        <v>"04-2026" GC TT032 6606</v>
      </c>
      <c r="I497" s="10" t="str">
        <f>+H495</f>
        <v>6606</v>
      </c>
      <c r="J497" s="10"/>
    </row>
    <row r="498" spans="1:20" x14ac:dyDescent="0.35">
      <c r="A498" s="130" t="s">
        <v>854</v>
      </c>
      <c r="B498" s="14">
        <v>204608</v>
      </c>
      <c r="C498" s="15" t="s">
        <v>1007</v>
      </c>
      <c r="G498" s="10" t="str">
        <f>VLOOKUP(B498,ADMON!A:P,5,0)</f>
        <v>T078</v>
      </c>
      <c r="H498" s="54">
        <f>+VLOOKUP(G498,ADMON!E:G,3,0)</f>
        <v>6711</v>
      </c>
      <c r="J498" s="350">
        <f>+VLOOKUP(H498,contratos!A:R,5,0)</f>
        <v>45505</v>
      </c>
      <c r="K498" s="266" t="str">
        <f>+VLOOKUP(H498,contratos!A:R,12,0)</f>
        <v>OK</v>
      </c>
      <c r="L498" s="341" t="str">
        <f>+VLOOKUP(H498,contratos!A:R,13,0)</f>
        <v>VIGENTE</v>
      </c>
      <c r="M498" s="341">
        <f>+VLOOKUP(H498,contratos!A:R,15,0)</f>
        <v>0</v>
      </c>
      <c r="N498" s="336">
        <f>+VLOOKUP(H498,contratos!A:R,16,0)</f>
        <v>0</v>
      </c>
      <c r="O498" s="341">
        <f>+VLOOKUP(H498,PRORRATEO!F:M,3,0)</f>
        <v>12101549</v>
      </c>
      <c r="P498" s="341">
        <f>+VLOOKUP(H498,PRORRATEO!F:M,4,0)</f>
        <v>2299294.31</v>
      </c>
      <c r="Q498" s="341">
        <f>+VLOOKUP(H498,PRORRATEO!F:M,5,0)</f>
        <v>158651.30739000003</v>
      </c>
      <c r="R498" s="341">
        <f>+VLOOKUP(H498,PRORRATEO!F:M,6,0)</f>
        <v>2140643.0026100003</v>
      </c>
      <c r="S498" s="339">
        <f>+VLOOKUP(H498,PRORRATEO!F:M,7,0)</f>
        <v>6.9000000000000006E-2</v>
      </c>
      <c r="T498" s="339">
        <f>+VLOOKUP(H498,PRORRATEO!F:M,8,0)</f>
        <v>0.93100000000000005</v>
      </c>
    </row>
    <row r="499" spans="1:20" x14ac:dyDescent="0.35">
      <c r="B499" s="4">
        <v>1242100001</v>
      </c>
      <c r="C499" s="251" t="s">
        <v>1011</v>
      </c>
      <c r="D499" s="299">
        <f>+D500+D501+D503+D504-D502</f>
        <v>3830260</v>
      </c>
      <c r="E499" s="10" t="s">
        <v>80</v>
      </c>
      <c r="F499">
        <v>31</v>
      </c>
      <c r="G499" s="316" t="str">
        <f>+CONCATENATE($G$7," GC T",G498," ",H498)</f>
        <v>"04-2026" GC TT078 6711</v>
      </c>
      <c r="J499" s="10"/>
    </row>
    <row r="500" spans="1:20" x14ac:dyDescent="0.35">
      <c r="B500" s="209">
        <v>1537210003</v>
      </c>
      <c r="C500" s="251" t="s">
        <v>1013</v>
      </c>
      <c r="D500" s="268">
        <v>525252</v>
      </c>
      <c r="E500" s="10" t="s">
        <v>80</v>
      </c>
      <c r="F500" s="209">
        <v>40</v>
      </c>
      <c r="G500" s="318" t="str">
        <f>+CONCATENATE($G$7," PUBLICIDAD T",G498," ",H498)</f>
        <v>"04-2026" PUBLICIDAD TT078 6711</v>
      </c>
      <c r="I500" s="10">
        <f>+H498</f>
        <v>6711</v>
      </c>
      <c r="J500" s="10"/>
    </row>
    <row r="501" spans="1:20" x14ac:dyDescent="0.35">
      <c r="B501" s="209">
        <v>1537210002</v>
      </c>
      <c r="C501" s="251" t="s">
        <v>1015</v>
      </c>
      <c r="D501" s="268">
        <v>3768589</v>
      </c>
      <c r="E501" s="10" t="s">
        <v>80</v>
      </c>
      <c r="F501" s="209">
        <v>40</v>
      </c>
      <c r="G501" s="318" t="str">
        <f>+CONCATENATE($G$7," GC T",G498," ",H498)</f>
        <v>"04-2026" GC TT078 6711</v>
      </c>
      <c r="I501" s="10">
        <f>+I500</f>
        <v>6711</v>
      </c>
      <c r="J501" s="10"/>
      <c r="N501" s="338"/>
    </row>
    <row r="502" spans="1:20" x14ac:dyDescent="0.35">
      <c r="B502" s="209">
        <v>1537210002</v>
      </c>
      <c r="C502" s="251" t="s">
        <v>1015</v>
      </c>
      <c r="D502" s="268">
        <v>619933</v>
      </c>
      <c r="E502" s="10" t="s">
        <v>80</v>
      </c>
      <c r="F502" s="209">
        <v>50</v>
      </c>
      <c r="G502" s="318" t="str">
        <f>+CONCATENATE($G$7," GC T",G498," ",H498)</f>
        <v>"04-2026" GC TT078 6711</v>
      </c>
      <c r="I502" s="10">
        <f>+I501</f>
        <v>6711</v>
      </c>
      <c r="J502" s="10"/>
    </row>
    <row r="503" spans="1:20" x14ac:dyDescent="0.35">
      <c r="B503" s="209">
        <v>1532001600</v>
      </c>
      <c r="C503" s="251" t="s">
        <v>987</v>
      </c>
      <c r="D503" s="268">
        <v>56114</v>
      </c>
      <c r="E503" s="10" t="s">
        <v>80</v>
      </c>
      <c r="F503" s="209">
        <v>40</v>
      </c>
      <c r="G503" s="318" t="str">
        <f>+CONCATENATE($G$7," AIRE ACONDICIONADO T",G498," ",H498)</f>
        <v>"04-2026" AIRE ACONDICIONADO TT078 6711</v>
      </c>
      <c r="I503" s="10">
        <f>+I502</f>
        <v>6711</v>
      </c>
      <c r="J503" s="10"/>
    </row>
    <row r="504" spans="1:20" x14ac:dyDescent="0.35">
      <c r="B504" s="263">
        <v>1537210004</v>
      </c>
      <c r="C504" s="251" t="s">
        <v>974</v>
      </c>
      <c r="D504" s="298">
        <v>100238</v>
      </c>
      <c r="E504" s="10" t="s">
        <v>80</v>
      </c>
      <c r="F504" s="209">
        <v>40</v>
      </c>
      <c r="G504" s="318" t="str">
        <f>+CONCATENATE($G$7," GC T",G498," ",H498)</f>
        <v>"04-2026" GC TT078 6711</v>
      </c>
      <c r="I504" s="10">
        <f>+I503</f>
        <v>6711</v>
      </c>
      <c r="J504" s="10"/>
    </row>
    <row r="505" spans="1:20" x14ac:dyDescent="0.35">
      <c r="A505" s="130" t="s">
        <v>853</v>
      </c>
      <c r="B505" s="14">
        <v>204603</v>
      </c>
      <c r="C505" s="15" t="s">
        <v>20</v>
      </c>
      <c r="G505" s="10" t="str">
        <f>VLOOKUP(B505,ADMON!A:P,5,0)</f>
        <v>T077</v>
      </c>
      <c r="H505" s="54">
        <f>+VLOOKUP(G505,ADMON!E:G,3,0)</f>
        <v>6701</v>
      </c>
      <c r="J505" s="350">
        <f>+VLOOKUP(H505,contratos!A:R,5,0)</f>
        <v>41760</v>
      </c>
      <c r="K505" s="266" t="str">
        <f>+VLOOKUP(H505,contratos!A:R,12,0)</f>
        <v>OK</v>
      </c>
      <c r="L505" s="341" t="str">
        <f>+VLOOKUP(H505,contratos!A:R,13,0)</f>
        <v>POR VENCER</v>
      </c>
      <c r="M505" s="341">
        <f>+VLOOKUP(H505,contratos!A:R,15,0)</f>
        <v>0</v>
      </c>
      <c r="N505" s="336">
        <f>+VLOOKUP(H505,contratos!A:R,16,0)</f>
        <v>0</v>
      </c>
      <c r="O505" s="341">
        <f>+VLOOKUP(B505,PRORRATEO!A:M,8,0)</f>
        <v>14889000</v>
      </c>
      <c r="P505" s="341">
        <f>+VLOOKUP(B505,PRORRATEO!A:M,9,0)</f>
        <v>2828910</v>
      </c>
      <c r="Q505" s="341">
        <f>+VLOOKUP(B505,PRORRATEO!A:M,10,0)</f>
        <v>115985.31</v>
      </c>
      <c r="R505" s="341">
        <f>+VLOOKUP(B505,PRORRATEO!A:M,11,0)</f>
        <v>2712924.69</v>
      </c>
      <c r="S505" s="339">
        <f>+VLOOKUP(B505,PRORRATEO!A:M,12,0)</f>
        <v>4.1000000000000002E-2</v>
      </c>
      <c r="T505" s="339">
        <f>+VLOOKUP(B505,PRORRATEO!A:M,13,0)</f>
        <v>0.95899999999999996</v>
      </c>
    </row>
    <row r="506" spans="1:20" x14ac:dyDescent="0.35">
      <c r="B506" s="4">
        <v>1242100042</v>
      </c>
      <c r="C506" s="251" t="s">
        <v>983</v>
      </c>
      <c r="D506" s="299">
        <f>+D507+D509-D510+D511-D512-D513+D508</f>
        <v>17052966.697358668</v>
      </c>
      <c r="E506" s="10" t="s">
        <v>984</v>
      </c>
      <c r="F506">
        <v>31</v>
      </c>
      <c r="G506" s="316" t="str">
        <f>+CONCATENATE($G$7," RF ",G505," ",H505)</f>
        <v>"04-2026" RF T077 6701</v>
      </c>
      <c r="J506" s="10"/>
    </row>
    <row r="507" spans="1:20" x14ac:dyDescent="0.35">
      <c r="B507" s="209">
        <v>1245150017</v>
      </c>
      <c r="C507" s="251" t="s">
        <v>77</v>
      </c>
      <c r="D507" s="268">
        <f>+O505</f>
        <v>14889000</v>
      </c>
      <c r="E507" s="10" t="s">
        <v>97</v>
      </c>
      <c r="F507" s="209">
        <v>40</v>
      </c>
      <c r="G507" s="318" t="str">
        <f t="shared" ref="G507:G513" si="29">+G506</f>
        <v>"04-2026" RF T077 6701</v>
      </c>
      <c r="I507" s="10">
        <f>+H505</f>
        <v>6701</v>
      </c>
      <c r="J507" s="10"/>
    </row>
    <row r="508" spans="1:20" x14ac:dyDescent="0.35">
      <c r="B508" s="209">
        <v>1245150017</v>
      </c>
      <c r="C508" s="251" t="s">
        <v>1113</v>
      </c>
      <c r="E508" s="10" t="s">
        <v>97</v>
      </c>
      <c r="F508" s="209">
        <v>40</v>
      </c>
      <c r="G508" s="318" t="str">
        <f t="shared" si="29"/>
        <v>"04-2026" RF T077 6701</v>
      </c>
      <c r="I508" s="10">
        <f>+I507</f>
        <v>6701</v>
      </c>
      <c r="J508" s="10"/>
    </row>
    <row r="509" spans="1:20" x14ac:dyDescent="0.35">
      <c r="B509" s="209">
        <v>1149120011</v>
      </c>
      <c r="C509" s="251" t="s">
        <v>96</v>
      </c>
      <c r="D509" s="268">
        <f>+Q505</f>
        <v>115985.31</v>
      </c>
      <c r="E509" s="10" t="s">
        <v>98</v>
      </c>
      <c r="F509" s="209">
        <v>40</v>
      </c>
      <c r="G509" s="318" t="str">
        <f>+G507</f>
        <v>"04-2026" RF T077 6701</v>
      </c>
      <c r="I509" s="10">
        <f>+I507</f>
        <v>6701</v>
      </c>
      <c r="J509" s="10"/>
      <c r="N509" s="338"/>
    </row>
    <row r="510" spans="1:20" x14ac:dyDescent="0.35">
      <c r="B510" s="209">
        <v>1149120011</v>
      </c>
      <c r="C510" s="251" t="s">
        <v>96</v>
      </c>
      <c r="D510" s="268">
        <f>+D509</f>
        <v>115985.31</v>
      </c>
      <c r="E510" s="10" t="s">
        <v>97</v>
      </c>
      <c r="F510" s="209">
        <v>50</v>
      </c>
      <c r="G510" s="318" t="str">
        <f t="shared" si="29"/>
        <v>"04-2026" RF T077 6701</v>
      </c>
      <c r="I510" s="10">
        <f>+I509</f>
        <v>6701</v>
      </c>
      <c r="J510" s="10"/>
      <c r="N510" s="338"/>
    </row>
    <row r="511" spans="1:20" x14ac:dyDescent="0.35">
      <c r="B511" s="4">
        <v>1149120011</v>
      </c>
      <c r="C511" s="251" t="s">
        <v>96</v>
      </c>
      <c r="D511" s="268">
        <f>+P505</f>
        <v>2828910</v>
      </c>
      <c r="E511" s="10" t="s">
        <v>97</v>
      </c>
      <c r="F511">
        <v>40</v>
      </c>
      <c r="G511" s="318" t="str">
        <f t="shared" si="29"/>
        <v>"04-2026" RF T077 6701</v>
      </c>
      <c r="J511" s="10"/>
    </row>
    <row r="512" spans="1:20" x14ac:dyDescent="0.35">
      <c r="B512" s="4">
        <v>1249100024</v>
      </c>
      <c r="C512" s="251" t="s">
        <v>981</v>
      </c>
      <c r="D512" s="268">
        <f>D507*J512</f>
        <v>143827.8877140962</v>
      </c>
      <c r="F512">
        <v>50</v>
      </c>
      <c r="G512" s="318" t="str">
        <f t="shared" si="29"/>
        <v>"04-2026" RF T077 6701</v>
      </c>
      <c r="I512" s="206">
        <v>1</v>
      </c>
      <c r="J512" s="352">
        <v>9.6600099210219764E-3</v>
      </c>
      <c r="N512" s="338"/>
    </row>
    <row r="513" spans="1:20" x14ac:dyDescent="0.35">
      <c r="B513" s="4">
        <v>1246125027</v>
      </c>
      <c r="C513" s="251" t="s">
        <v>962</v>
      </c>
      <c r="D513" s="298">
        <f>D507*J513</f>
        <v>521115.41492723656</v>
      </c>
      <c r="F513">
        <v>50</v>
      </c>
      <c r="G513" s="318" t="str">
        <f t="shared" si="29"/>
        <v>"04-2026" RF T077 6701</v>
      </c>
      <c r="I513" s="251" t="s">
        <v>857</v>
      </c>
      <c r="J513" s="352">
        <v>3.5000027868039262E-2</v>
      </c>
      <c r="N513" s="338"/>
    </row>
    <row r="514" spans="1:20" x14ac:dyDescent="0.35">
      <c r="A514" s="130" t="s">
        <v>853</v>
      </c>
      <c r="B514" s="14">
        <v>210056</v>
      </c>
      <c r="C514" s="15" t="s">
        <v>34</v>
      </c>
      <c r="G514" s="9" t="str">
        <f>+VLOOKUP(B514,arriendo1!A:R,3,0)</f>
        <v>T117</v>
      </c>
      <c r="H514" s="131">
        <f>+VLOOKUP(B514,arriendo1!A:R,6,0)</f>
        <v>9053</v>
      </c>
      <c r="J514" s="350">
        <f>+VLOOKUP(H514,contratos!A:R,5,0)</f>
        <v>42915</v>
      </c>
      <c r="K514" s="266" t="str">
        <f>+VLOOKUP(H514,contratos!A:R,12,0)</f>
        <v>VENCIDO</v>
      </c>
      <c r="L514" s="341" t="str">
        <f>+VLOOKUP(H514,contratos!A:R,13,0)</f>
        <v>CESADO</v>
      </c>
      <c r="M514" s="341">
        <f>+VLOOKUP(H514,contratos!A:R,15,0)</f>
        <v>0</v>
      </c>
      <c r="N514" s="336">
        <f>+VLOOKUP(H514,contratos!A:R,16,0)</f>
        <v>0</v>
      </c>
      <c r="O514" s="341">
        <f>+VLOOKUP(B514,PRORRATEO!A:M,8,0)</f>
        <v>15558951.35</v>
      </c>
      <c r="P514" s="341">
        <f>+VLOOKUP(B514,PRORRATEO!A:M,9,0)</f>
        <v>2956200.7565000001</v>
      </c>
      <c r="Q514" s="341">
        <f>+VLOOKUP(B514,PRORRATEO!A:M,10,0)</f>
        <v>130072.83328599999</v>
      </c>
      <c r="R514" s="341">
        <f>+VLOOKUP(B514,PRORRATEO!A:M,11,0)</f>
        <v>2826127.9232140002</v>
      </c>
      <c r="S514" s="339">
        <f>+VLOOKUP(B514,PRORRATEO!A:M,12,0)</f>
        <v>4.3999999999999997E-2</v>
      </c>
      <c r="T514" s="339">
        <f>+VLOOKUP(B514,PRORRATEO!A:M,13,0)</f>
        <v>0.95599999999999996</v>
      </c>
    </row>
    <row r="515" spans="1:20" x14ac:dyDescent="0.35">
      <c r="B515" s="4">
        <v>1242100042</v>
      </c>
      <c r="C515" s="251" t="s">
        <v>983</v>
      </c>
      <c r="D515" s="299">
        <f>SUM(D516:D521)</f>
        <v>17820288.751250833</v>
      </c>
      <c r="E515" s="10" t="s">
        <v>984</v>
      </c>
      <c r="F515">
        <v>31</v>
      </c>
      <c r="G515" s="316" t="str">
        <f>+CONCATENATE($G$7," RF ",G514," ",H514)</f>
        <v>"04-2026" RF T117 9053</v>
      </c>
      <c r="J515" s="10"/>
    </row>
    <row r="516" spans="1:20" x14ac:dyDescent="0.35">
      <c r="B516" s="209">
        <v>1245150017</v>
      </c>
      <c r="C516" s="251" t="s">
        <v>77</v>
      </c>
      <c r="D516" s="268">
        <f>+O514</f>
        <v>15558951.35</v>
      </c>
      <c r="E516" s="10" t="s">
        <v>97</v>
      </c>
      <c r="F516" s="209">
        <v>40</v>
      </c>
      <c r="G516" s="318" t="str">
        <f t="shared" ref="G516:G521" si="30">+G515</f>
        <v>"04-2026" RF T117 9053</v>
      </c>
      <c r="I516" s="10">
        <f>+I518</f>
        <v>9053</v>
      </c>
      <c r="J516" s="10"/>
      <c r="K516" s="433">
        <f>+D516+D519</f>
        <v>18515152.1065</v>
      </c>
    </row>
    <row r="517" spans="1:20" x14ac:dyDescent="0.35">
      <c r="B517" s="209">
        <v>1149120011</v>
      </c>
      <c r="C517" s="251" t="s">
        <v>96</v>
      </c>
      <c r="D517" s="268">
        <f>-D519*S514</f>
        <v>-130072.83328599999</v>
      </c>
      <c r="E517" s="10" t="s">
        <v>97</v>
      </c>
      <c r="F517" s="209">
        <v>50</v>
      </c>
      <c r="G517" s="318" t="str">
        <f t="shared" si="30"/>
        <v>"04-2026" RF T117 9053</v>
      </c>
      <c r="I517" s="10">
        <f>+H514</f>
        <v>9053</v>
      </c>
      <c r="J517" s="10"/>
    </row>
    <row r="518" spans="1:20" x14ac:dyDescent="0.35">
      <c r="B518" s="209">
        <v>1149120011</v>
      </c>
      <c r="C518" s="251" t="s">
        <v>96</v>
      </c>
      <c r="D518" s="268">
        <f>-D517</f>
        <v>130072.83328599999</v>
      </c>
      <c r="E518" s="10" t="s">
        <v>98</v>
      </c>
      <c r="F518" s="209">
        <v>40</v>
      </c>
      <c r="G518" s="318" t="str">
        <f t="shared" si="30"/>
        <v>"04-2026" RF T117 9053</v>
      </c>
      <c r="I518" s="10">
        <f>+I517</f>
        <v>9053</v>
      </c>
      <c r="J518" s="10"/>
      <c r="N518" s="338"/>
    </row>
    <row r="519" spans="1:20" x14ac:dyDescent="0.35">
      <c r="B519" s="4">
        <v>1149120011</v>
      </c>
      <c r="C519" s="251" t="s">
        <v>96</v>
      </c>
      <c r="D519" s="268">
        <f>+D516*0.19</f>
        <v>2956200.7565000001</v>
      </c>
      <c r="E519" s="10" t="s">
        <v>97</v>
      </c>
      <c r="F519">
        <v>40</v>
      </c>
      <c r="G519" s="318" t="str">
        <f t="shared" si="30"/>
        <v>"04-2026" RF T117 9053</v>
      </c>
      <c r="J519" s="10"/>
      <c r="N519" s="338"/>
    </row>
    <row r="520" spans="1:20" x14ac:dyDescent="0.35">
      <c r="B520" s="4">
        <v>1249100024</v>
      </c>
      <c r="C520" s="251" t="s">
        <v>981</v>
      </c>
      <c r="D520" s="298">
        <f>-D516*J520</f>
        <v>-150299.62440169827</v>
      </c>
      <c r="F520">
        <v>50</v>
      </c>
      <c r="G520" s="318" t="str">
        <f t="shared" si="30"/>
        <v>"04-2026" RF T117 9053</v>
      </c>
      <c r="I520" s="206">
        <v>1</v>
      </c>
      <c r="J520" s="352">
        <v>9.6600099210219764E-3</v>
      </c>
    </row>
    <row r="521" spans="1:20" x14ac:dyDescent="0.35">
      <c r="B521" s="4">
        <v>1246125027</v>
      </c>
      <c r="C521" s="251" t="s">
        <v>962</v>
      </c>
      <c r="D521" s="268">
        <f>-D516*J521</f>
        <v>-544563.73084746709</v>
      </c>
      <c r="F521">
        <v>50</v>
      </c>
      <c r="G521" s="318" t="str">
        <f t="shared" si="30"/>
        <v>"04-2026" RF T117 9053</v>
      </c>
      <c r="I521" s="251" t="s">
        <v>857</v>
      </c>
      <c r="J521" s="352">
        <v>3.5000027868039262E-2</v>
      </c>
      <c r="N521" s="338"/>
    </row>
    <row r="522" spans="1:20" x14ac:dyDescent="0.35">
      <c r="A522" s="130" t="s">
        <v>854</v>
      </c>
      <c r="B522" s="14">
        <v>206207</v>
      </c>
      <c r="C522" s="15" t="s">
        <v>1009</v>
      </c>
      <c r="E522"/>
      <c r="G522" s="10" t="str">
        <f>VLOOKUP(B522,ADMON!A:P,5,0)</f>
        <v>T106</v>
      </c>
      <c r="H522" s="54">
        <f>+VLOOKUP(G522,ADMON!E:G,3,0)</f>
        <v>8584</v>
      </c>
      <c r="J522" s="350">
        <f>+VLOOKUP(H522,contratos!A:R,5,0)</f>
        <v>42436</v>
      </c>
      <c r="K522" s="266" t="str">
        <f>+VLOOKUP(H522,contratos!A:R,12,0)</f>
        <v>CESADO</v>
      </c>
      <c r="L522" s="341" t="str">
        <f>+VLOOKUP(H522,contratos!A:R,13,0)</f>
        <v>REEMPLAZO 5-135</v>
      </c>
      <c r="M522" s="341">
        <f>+VLOOKUP(H522,contratos!A:R,15,0)</f>
        <v>0</v>
      </c>
      <c r="N522" s="336">
        <f>+VLOOKUP(H522,contratos!A:R,16,0)</f>
        <v>0</v>
      </c>
      <c r="O522" s="341">
        <f>+VLOOKUP(H522,PRORRATEO!F:M,3,0)</f>
        <v>9592714</v>
      </c>
      <c r="P522" s="341">
        <f>+VLOOKUP(H522,PRORRATEO!F:M,4,0)</f>
        <v>1822615.66</v>
      </c>
      <c r="Q522" s="341">
        <f>+VLOOKUP(H522,PRORRATEO!F:M,5,0)</f>
        <v>176793.71901999999</v>
      </c>
      <c r="R522" s="341">
        <f>+VLOOKUP(H522,PRORRATEO!F:M,6,0)</f>
        <v>1645821.94098</v>
      </c>
      <c r="S522" s="339">
        <f>+VLOOKUP(H522,PRORRATEO!F:M,7,0)</f>
        <v>9.7000000000000003E-2</v>
      </c>
      <c r="T522" s="339">
        <f>+VLOOKUP(H522,PRORRATEO!F:M,8,0)</f>
        <v>0.90300000000000002</v>
      </c>
    </row>
    <row r="523" spans="1:20" x14ac:dyDescent="0.35">
      <c r="B523" s="4">
        <v>1242100042</v>
      </c>
      <c r="C523" s="251" t="s">
        <v>983</v>
      </c>
      <c r="D523" s="299">
        <f>SUM(D524:D525)</f>
        <v>2017350</v>
      </c>
      <c r="E523" s="10" t="s">
        <v>80</v>
      </c>
      <c r="F523">
        <v>31</v>
      </c>
      <c r="G523" s="348" t="str">
        <f>+CONCATENATE($G$7," GC ",G522," ",H522)</f>
        <v>"04-2026" GC T106 8584</v>
      </c>
      <c r="J523" s="10"/>
      <c r="N523" s="338"/>
    </row>
    <row r="524" spans="1:20" x14ac:dyDescent="0.35">
      <c r="B524" s="209">
        <v>1537210003</v>
      </c>
      <c r="C524" s="251" t="s">
        <v>1013</v>
      </c>
      <c r="D524" s="268">
        <v>500713</v>
      </c>
      <c r="E524" s="10" t="s">
        <v>80</v>
      </c>
      <c r="F524" s="209">
        <v>40</v>
      </c>
      <c r="G524" s="318" t="str">
        <f>+G523</f>
        <v>"04-2026" GC T106 8584</v>
      </c>
      <c r="I524" s="10">
        <f>+H522</f>
        <v>8584</v>
      </c>
      <c r="J524" s="10"/>
      <c r="N524" s="338"/>
    </row>
    <row r="525" spans="1:20" ht="14" customHeight="1" x14ac:dyDescent="0.35">
      <c r="B525" s="209">
        <v>1537210002</v>
      </c>
      <c r="C525" s="251" t="s">
        <v>1015</v>
      </c>
      <c r="D525" s="268">
        <v>1516637</v>
      </c>
      <c r="E525" s="10" t="s">
        <v>80</v>
      </c>
      <c r="F525" s="209">
        <v>40</v>
      </c>
      <c r="G525" s="318" t="str">
        <f>+G524</f>
        <v>"04-2026" GC T106 8584</v>
      </c>
      <c r="I525" s="10">
        <f>+I524</f>
        <v>8584</v>
      </c>
      <c r="J525" s="10"/>
    </row>
    <row r="526" spans="1:20" x14ac:dyDescent="0.35">
      <c r="A526" s="130" t="s">
        <v>853</v>
      </c>
      <c r="B526" s="14">
        <v>206218</v>
      </c>
      <c r="C526" s="15" t="s">
        <v>9</v>
      </c>
      <c r="G526" s="9" t="str">
        <f>+VLOOKUP(B526,arriendo1!A:R,3,0)</f>
        <v>T039</v>
      </c>
      <c r="H526" s="131">
        <f>+VLOOKUP(B526,arriendo1!A:R,6,0)</f>
        <v>6621</v>
      </c>
      <c r="J526" s="350">
        <f>+VLOOKUP(H526,contratos!A:R,5,0)</f>
        <v>43497</v>
      </c>
      <c r="K526" s="266" t="str">
        <f>+VLOOKUP(H526,contratos!A:R,12,0)</f>
        <v>VENCIDO</v>
      </c>
      <c r="L526" s="341" t="str">
        <f>+VLOOKUP(H526,contratos!A:R,13,0)</f>
        <v>CESADO</v>
      </c>
      <c r="M526" s="341">
        <f>+VLOOKUP(H526,contratos!A:R,15,0)</f>
        <v>0</v>
      </c>
      <c r="N526" s="336">
        <f>+VLOOKUP(H526,contratos!A:R,16,0)</f>
        <v>0</v>
      </c>
      <c r="O526" s="341">
        <f>+VLOOKUP(B526,PRORRATEO!A:M,8,0)</f>
        <v>8412379</v>
      </c>
      <c r="P526" s="341">
        <f>+VLOOKUP(B526,PRORRATEO!A:M,9,0)</f>
        <v>1598352.01</v>
      </c>
      <c r="Q526" s="341">
        <f>+VLOOKUP(B526,PRORRATEO!A:M,10,0)</f>
        <v>121474.75276</v>
      </c>
      <c r="R526" s="341">
        <f>+VLOOKUP(B526,PRORRATEO!A:M,11,0)</f>
        <v>1476877.2572400002</v>
      </c>
      <c r="S526" s="339">
        <f>+VLOOKUP(B526,PRORRATEO!A:M,12,0)</f>
        <v>7.5999999999999998E-2</v>
      </c>
      <c r="T526" s="339">
        <f>+VLOOKUP(B526,PRORRATEO!A:M,13,0)</f>
        <v>0.92400000000000004</v>
      </c>
    </row>
    <row r="527" spans="1:20" x14ac:dyDescent="0.35">
      <c r="B527" s="4">
        <v>1242100001</v>
      </c>
      <c r="C527" s="251" t="s">
        <v>1011</v>
      </c>
      <c r="D527" s="299">
        <f>SUM(D528:D531)</f>
        <v>9201683.8620173503</v>
      </c>
      <c r="E527" s="10" t="s">
        <v>80</v>
      </c>
      <c r="F527">
        <v>31</v>
      </c>
      <c r="G527" s="316" t="str">
        <f>+CONCATENATE($G$7," RF/GC ",G526," ",H526)</f>
        <v>"04-2026" RF/GC T039 6621</v>
      </c>
      <c r="J527" s="10"/>
    </row>
    <row r="528" spans="1:20" x14ac:dyDescent="0.35">
      <c r="B528" s="209">
        <v>1537210002</v>
      </c>
      <c r="C528" s="251" t="s">
        <v>1015</v>
      </c>
      <c r="D528" s="268">
        <v>1125800</v>
      </c>
      <c r="E528" s="10" t="s">
        <v>80</v>
      </c>
      <c r="F528" s="209">
        <v>40</v>
      </c>
      <c r="G528" s="318" t="str">
        <f>+CONCATENATE($G$7," GC ",G526," ",H526)</f>
        <v>"04-2026" GC T039 6621</v>
      </c>
      <c r="I528" s="10">
        <f>+H526</f>
        <v>6621</v>
      </c>
      <c r="J528" s="10"/>
    </row>
    <row r="529" spans="1:20" x14ac:dyDescent="0.35">
      <c r="B529" s="209">
        <v>1245150017</v>
      </c>
      <c r="C529" s="251" t="s">
        <v>77</v>
      </c>
      <c r="D529" s="268">
        <f>+O526</f>
        <v>8412379</v>
      </c>
      <c r="E529" s="10" t="s">
        <v>80</v>
      </c>
      <c r="F529" s="209">
        <v>40</v>
      </c>
      <c r="G529" s="318" t="str">
        <f>+CONCATENATE($G$7," RF ",G526," ",H526)</f>
        <v>"04-2026" RF T039 6621</v>
      </c>
      <c r="I529" s="10">
        <f>+I528</f>
        <v>6621</v>
      </c>
      <c r="J529" s="10"/>
    </row>
    <row r="530" spans="1:20" x14ac:dyDescent="0.35">
      <c r="B530" s="4">
        <v>1249100024</v>
      </c>
      <c r="C530" s="251" t="s">
        <v>981</v>
      </c>
      <c r="D530" s="268">
        <f>-D529*J530</f>
        <v>-42061.638546141017</v>
      </c>
      <c r="F530">
        <v>50</v>
      </c>
      <c r="G530" s="348" t="str">
        <f>+CONCATENATE($G$7," RF/GC ",G526," ",H526)</f>
        <v>"04-2026" RF/GC T039 6621</v>
      </c>
      <c r="I530" s="392" t="s">
        <v>1285</v>
      </c>
      <c r="J530" s="352">
        <v>4.9999695147045818E-3</v>
      </c>
      <c r="N530" s="338"/>
    </row>
    <row r="531" spans="1:20" x14ac:dyDescent="0.35">
      <c r="B531" s="4">
        <v>1246125027</v>
      </c>
      <c r="C531" s="251" t="s">
        <v>962</v>
      </c>
      <c r="D531" s="268">
        <f>-D529*J531</f>
        <v>-294433.49943650828</v>
      </c>
      <c r="F531">
        <v>50</v>
      </c>
      <c r="G531" s="316" t="str">
        <f>+CONCATENATE($G$7," RF/GC ",G526," ",H526)</f>
        <v>"04-2026" RF/GC T039 6621</v>
      </c>
      <c r="I531" s="251" t="s">
        <v>857</v>
      </c>
      <c r="J531" s="352">
        <v>3.5000027868039262E-2</v>
      </c>
      <c r="N531" s="338"/>
    </row>
    <row r="532" spans="1:20" x14ac:dyDescent="0.35">
      <c r="A532" s="130" t="s">
        <v>854</v>
      </c>
      <c r="B532" s="14">
        <v>204556</v>
      </c>
      <c r="C532" s="15" t="s">
        <v>516</v>
      </c>
      <c r="G532" s="10" t="s">
        <v>521</v>
      </c>
      <c r="H532" s="54" t="str">
        <f>+VLOOKUP(G532,ADMON!E:G,3,0)</f>
        <v>6627</v>
      </c>
      <c r="J532" s="350" t="e">
        <f>+VLOOKUP(H532,contratos!A:R,5,0)</f>
        <v>#N/A</v>
      </c>
      <c r="K532" s="266" t="e">
        <f>+VLOOKUP(H532,contratos!A:R,12,0)</f>
        <v>#N/A</v>
      </c>
      <c r="L532" s="341" t="e">
        <f>+VLOOKUP(H532,contratos!A:R,13,0)</f>
        <v>#N/A</v>
      </c>
      <c r="M532" s="341" t="e">
        <f>+VLOOKUP(H532,contratos!A:R,15,0)</f>
        <v>#N/A</v>
      </c>
      <c r="N532" s="336" t="e">
        <f>+VLOOKUP(H532,contratos!A:R,16,0)</f>
        <v>#N/A</v>
      </c>
      <c r="O532" s="341" t="e">
        <f>+VLOOKUP(H532,PRORRATEO!F:M,3,0)</f>
        <v>#N/A</v>
      </c>
      <c r="P532" s="341" t="e">
        <f>+VLOOKUP(H532,PRORRATEO!F:M,4,0)</f>
        <v>#N/A</v>
      </c>
      <c r="Q532" s="341" t="e">
        <f>+VLOOKUP(H532,PRORRATEO!F:M,5,0)</f>
        <v>#N/A</v>
      </c>
      <c r="R532" s="341" t="e">
        <f>+VLOOKUP(H532,PRORRATEO!F:M,6,0)</f>
        <v>#N/A</v>
      </c>
      <c r="S532" s="339" t="e">
        <f>+VLOOKUP(H532,PRORRATEO!F:M,7,0)</f>
        <v>#N/A</v>
      </c>
      <c r="T532" s="339" t="e">
        <f>+VLOOKUP(H532,PRORRATEO!F:M,8,0)</f>
        <v>#N/A</v>
      </c>
    </row>
    <row r="533" spans="1:20" x14ac:dyDescent="0.35">
      <c r="B533" s="4">
        <v>1242100001</v>
      </c>
      <c r="C533" s="251" t="s">
        <v>1011</v>
      </c>
      <c r="D533" s="322">
        <f>+D534</f>
        <v>1383605</v>
      </c>
      <c r="E533" s="10" t="s">
        <v>80</v>
      </c>
      <c r="F533">
        <v>31</v>
      </c>
      <c r="G533" s="348" t="str">
        <f>+CONCATENATE($G$7," GC ",G532," ",H532)</f>
        <v>"04-2026" GC T043 6627</v>
      </c>
      <c r="J533" s="10"/>
      <c r="N533" s="338"/>
    </row>
    <row r="534" spans="1:20" x14ac:dyDescent="0.35">
      <c r="B534" s="209">
        <v>1537210002</v>
      </c>
      <c r="C534" s="251" t="s">
        <v>1015</v>
      </c>
      <c r="D534" s="268">
        <v>1383605</v>
      </c>
      <c r="E534" s="10" t="s">
        <v>80</v>
      </c>
      <c r="F534" s="209">
        <v>40</v>
      </c>
      <c r="G534" s="318" t="str">
        <f>+G533</f>
        <v>"04-2026" GC T043 6627</v>
      </c>
      <c r="I534" s="10" t="str">
        <f>+H532</f>
        <v>6627</v>
      </c>
      <c r="J534" s="10"/>
      <c r="N534" s="338"/>
    </row>
    <row r="535" spans="1:20" x14ac:dyDescent="0.35">
      <c r="A535" s="130" t="s">
        <v>853</v>
      </c>
      <c r="B535" s="14">
        <v>204970</v>
      </c>
      <c r="C535" s="15" t="s">
        <v>28</v>
      </c>
      <c r="G535" s="9" t="str">
        <f>+VLOOKUP(B535,arriendo1!A:R,3,0)</f>
        <v>T101</v>
      </c>
      <c r="H535" s="131">
        <f>+VLOOKUP(B535,arriendo1!A:R,6,0)</f>
        <v>6776</v>
      </c>
      <c r="J535" s="350">
        <f>+VLOOKUP(H535,contratos!A:R,5,0)</f>
        <v>42321</v>
      </c>
      <c r="K535" s="266" t="str">
        <f>+VLOOKUP(H535,contratos!A:R,12,0)</f>
        <v>OK</v>
      </c>
      <c r="L535" s="341" t="str">
        <f>+VLOOKUP(H535,contratos!A:R,13,0)</f>
        <v>VIGENTE</v>
      </c>
      <c r="M535" s="341">
        <f>+VLOOKUP(H535,contratos!A:R,15,0)</f>
        <v>0</v>
      </c>
      <c r="N535" s="336">
        <f>+VLOOKUP(H535,contratos!A:R,16,0)</f>
        <v>0</v>
      </c>
      <c r="O535" s="341">
        <f>+VLOOKUP(B535,PRORRATEO!A:M,8,0)</f>
        <v>14343037</v>
      </c>
      <c r="P535" s="341">
        <f>+VLOOKUP(B535,PRORRATEO!A:M,9,0)</f>
        <v>2725177.0300000003</v>
      </c>
      <c r="Q535" s="341">
        <f>+VLOOKUP(B535,PRORRATEO!A:M,10,0)</f>
        <v>196212.74616000001</v>
      </c>
      <c r="R535" s="341">
        <f>+VLOOKUP(B535,PRORRATEO!A:M,11,0)</f>
        <v>2528964.2838400002</v>
      </c>
      <c r="S535" s="339">
        <f>+VLOOKUP(B535,PRORRATEO!A:M,12,0)</f>
        <v>7.1999999999999995E-2</v>
      </c>
      <c r="T535" s="339">
        <f>+VLOOKUP(B535,PRORRATEO!A:M,13,0)</f>
        <v>0.92800000000000005</v>
      </c>
    </row>
    <row r="536" spans="1:20" x14ac:dyDescent="0.35">
      <c r="B536" s="4">
        <v>1242100042</v>
      </c>
      <c r="C536" s="251" t="s">
        <v>983</v>
      </c>
      <c r="D536" s="299">
        <f>SUM(D537:D542)</f>
        <v>16480149.255544201</v>
      </c>
      <c r="F536">
        <v>31</v>
      </c>
      <c r="G536" s="316" t="str">
        <f>+CONCATENATE($G$7," RF ",G535," ",H535)</f>
        <v>"04-2026" RF T101 6776</v>
      </c>
      <c r="J536" s="10"/>
    </row>
    <row r="537" spans="1:20" x14ac:dyDescent="0.35">
      <c r="B537" s="209">
        <v>1245150017</v>
      </c>
      <c r="C537" s="251" t="s">
        <v>77</v>
      </c>
      <c r="D537" s="268">
        <f>+O535</f>
        <v>14343037</v>
      </c>
      <c r="E537" s="10" t="s">
        <v>97</v>
      </c>
      <c r="F537" s="209">
        <v>40</v>
      </c>
      <c r="G537" s="318" t="str">
        <f t="shared" ref="G537:G542" si="31">+G536</f>
        <v>"04-2026" RF T101 6776</v>
      </c>
      <c r="I537" s="10">
        <f>+H535</f>
        <v>6776</v>
      </c>
      <c r="J537" s="10"/>
    </row>
    <row r="538" spans="1:20" x14ac:dyDescent="0.35">
      <c r="B538" s="209">
        <v>1149120011</v>
      </c>
      <c r="C538" s="251" t="s">
        <v>96</v>
      </c>
      <c r="D538" s="268">
        <f>+Q535</f>
        <v>196212.74616000001</v>
      </c>
      <c r="E538" s="10" t="s">
        <v>98</v>
      </c>
      <c r="F538" s="209">
        <v>40</v>
      </c>
      <c r="G538" s="318" t="str">
        <f t="shared" si="31"/>
        <v>"04-2026" RF T101 6776</v>
      </c>
      <c r="I538" s="10">
        <f>+I537</f>
        <v>6776</v>
      </c>
      <c r="J538" s="10"/>
    </row>
    <row r="539" spans="1:20" x14ac:dyDescent="0.35">
      <c r="B539" s="209">
        <v>1149120011</v>
      </c>
      <c r="C539" s="251" t="s">
        <v>96</v>
      </c>
      <c r="D539" s="268">
        <f>-D538</f>
        <v>-196212.74616000001</v>
      </c>
      <c r="E539" s="10" t="s">
        <v>97</v>
      </c>
      <c r="F539" s="209">
        <v>50</v>
      </c>
      <c r="G539" s="318" t="str">
        <f t="shared" si="31"/>
        <v>"04-2026" RF T101 6776</v>
      </c>
      <c r="I539" s="10">
        <f>+I538</f>
        <v>6776</v>
      </c>
      <c r="J539" s="10"/>
    </row>
    <row r="540" spans="1:20" x14ac:dyDescent="0.35">
      <c r="B540" s="4">
        <v>1149120011</v>
      </c>
      <c r="C540" s="251" t="s">
        <v>96</v>
      </c>
      <c r="D540" s="268">
        <f>+D537*0.19</f>
        <v>2725177.0300000003</v>
      </c>
      <c r="F540">
        <v>40</v>
      </c>
      <c r="G540" s="318" t="str">
        <f t="shared" si="31"/>
        <v>"04-2026" RF T101 6776</v>
      </c>
      <c r="J540" s="10"/>
    </row>
    <row r="541" spans="1:20" x14ac:dyDescent="0.35">
      <c r="B541" s="4">
        <v>1249100024</v>
      </c>
      <c r="C541" s="251" t="s">
        <v>981</v>
      </c>
      <c r="D541" s="298">
        <f>-D537*J541</f>
        <v>-86058.079743483366</v>
      </c>
      <c r="F541">
        <v>50</v>
      </c>
      <c r="G541" s="318" t="str">
        <f t="shared" si="31"/>
        <v>"04-2026" RF T101 6776</v>
      </c>
      <c r="I541" s="206">
        <v>20</v>
      </c>
      <c r="J541" s="352">
        <v>5.9999900818413394E-3</v>
      </c>
    </row>
    <row r="542" spans="1:20" x14ac:dyDescent="0.35">
      <c r="B542" s="4">
        <v>1246125027</v>
      </c>
      <c r="C542" s="251" t="s">
        <v>962</v>
      </c>
      <c r="D542" s="268">
        <f>-D537*J542</f>
        <v>-502006.69471231825</v>
      </c>
      <c r="F542">
        <v>50</v>
      </c>
      <c r="G542" s="318" t="str">
        <f t="shared" si="31"/>
        <v>"04-2026" RF T101 6776</v>
      </c>
      <c r="I542" s="251" t="s">
        <v>857</v>
      </c>
      <c r="J542" s="352">
        <v>3.5000027868039262E-2</v>
      </c>
      <c r="T542" s="339" t="s">
        <v>1016</v>
      </c>
    </row>
    <row r="543" spans="1:20" x14ac:dyDescent="0.35">
      <c r="A543" s="130" t="s">
        <v>853</v>
      </c>
      <c r="B543" s="14">
        <v>204550</v>
      </c>
      <c r="C543" s="15" t="s">
        <v>16</v>
      </c>
      <c r="D543" s="298"/>
      <c r="G543" s="9" t="str">
        <f>+VLOOKUP(B543,arriendo1!A:R,3,0)</f>
        <v>T081</v>
      </c>
      <c r="H543" s="131">
        <f>+VLOOKUP(B543,arriendo1!A:R,6,0)</f>
        <v>6716</v>
      </c>
      <c r="J543" s="350">
        <f>+VLOOKUP(H543,contratos!A:R,5,0)</f>
        <v>43040</v>
      </c>
      <c r="K543" s="266" t="str">
        <f>+VLOOKUP(H543,contratos!A:R,12,0)</f>
        <v>OK</v>
      </c>
      <c r="L543" s="341" t="str">
        <f>+VLOOKUP(H543,contratos!A:R,13,0)</f>
        <v>VIGENTE</v>
      </c>
      <c r="M543" s="341">
        <f>+VLOOKUP(H543,contratos!A:R,15,0)</f>
        <v>0</v>
      </c>
      <c r="N543" s="336">
        <f>+VLOOKUP(H543,contratos!A:R,16,0)</f>
        <v>0</v>
      </c>
      <c r="O543" s="341">
        <f>+VLOOKUP(B543,PRORRATEO!A:M,8,0)</f>
        <v>12654187</v>
      </c>
      <c r="P543" s="341">
        <f>+VLOOKUP(B543,PRORRATEO!A:M,9,0)</f>
        <v>2404295.5300000003</v>
      </c>
      <c r="Q543" s="341">
        <f>+VLOOKUP(B543,PRORRATEO!A:M,10,0)</f>
        <v>0</v>
      </c>
      <c r="R543" s="341">
        <f>+VLOOKUP(B543,PRORRATEO!A:M,11,0)</f>
        <v>0</v>
      </c>
      <c r="S543" s="339">
        <f>+VLOOKUP(B543,PRORRATEO!A:M,12,0)</f>
        <v>0</v>
      </c>
      <c r="T543" s="339">
        <f>+VLOOKUP(B543,PRORRATEO!A:M,13,0)</f>
        <v>0</v>
      </c>
    </row>
    <row r="544" spans="1:20" x14ac:dyDescent="0.35">
      <c r="B544" s="4">
        <v>1242100042</v>
      </c>
      <c r="C544" s="251" t="s">
        <v>983</v>
      </c>
      <c r="D544" s="299">
        <f>+D545+D546-D547-D548</f>
        <v>14568764.652721381</v>
      </c>
      <c r="E544" s="10" t="s">
        <v>97</v>
      </c>
      <c r="F544">
        <v>31</v>
      </c>
      <c r="G544" s="316" t="str">
        <f>+CONCATENATE($G$7," RF ",G543," ",H543)</f>
        <v>"04-2026" RF T081 6716</v>
      </c>
      <c r="J544" s="10"/>
      <c r="N544" s="338"/>
    </row>
    <row r="545" spans="1:20" x14ac:dyDescent="0.35">
      <c r="B545" s="209">
        <v>1245150017</v>
      </c>
      <c r="C545" s="251" t="s">
        <v>77</v>
      </c>
      <c r="D545" s="268">
        <f>+O543</f>
        <v>12654187</v>
      </c>
      <c r="E545" s="10" t="s">
        <v>97</v>
      </c>
      <c r="F545" s="209">
        <v>40</v>
      </c>
      <c r="G545" s="318" t="str">
        <f>+G544</f>
        <v>"04-2026" RF T081 6716</v>
      </c>
      <c r="I545" s="10">
        <f>+H543</f>
        <v>6716</v>
      </c>
      <c r="J545" s="10"/>
    </row>
    <row r="546" spans="1:20" x14ac:dyDescent="0.35">
      <c r="B546" s="4">
        <v>1149120011</v>
      </c>
      <c r="C546" s="251" t="s">
        <v>96</v>
      </c>
      <c r="D546" s="268">
        <f>+P543</f>
        <v>2404295.5300000003</v>
      </c>
      <c r="E546" s="10" t="s">
        <v>97</v>
      </c>
      <c r="F546">
        <v>40</v>
      </c>
      <c r="G546" s="318" t="str">
        <f>+G545</f>
        <v>"04-2026" RF T081 6716</v>
      </c>
      <c r="J546" s="10"/>
      <c r="N546" s="338"/>
    </row>
    <row r="547" spans="1:20" x14ac:dyDescent="0.35">
      <c r="B547" s="525">
        <v>1249100024</v>
      </c>
      <c r="C547" s="317" t="s">
        <v>981</v>
      </c>
      <c r="D547" s="526">
        <f>D545*J547</f>
        <v>46820.979631239155</v>
      </c>
      <c r="E547" s="376"/>
      <c r="F547" s="203">
        <v>50</v>
      </c>
      <c r="G547" s="497" t="str">
        <f>+G546</f>
        <v>"04-2026" RF T081 6716</v>
      </c>
      <c r="H547" s="527"/>
      <c r="I547" s="528">
        <v>13</v>
      </c>
      <c r="J547" s="450">
        <v>3.7000385430718827E-3</v>
      </c>
      <c r="K547" s="10" t="s">
        <v>1753</v>
      </c>
    </row>
    <row r="548" spans="1:20" x14ac:dyDescent="0.35">
      <c r="B548" s="4">
        <v>1246125027</v>
      </c>
      <c r="C548" s="251" t="s">
        <v>962</v>
      </c>
      <c r="D548" s="268">
        <f>D545*J548</f>
        <v>442896.89764738013</v>
      </c>
      <c r="F548">
        <v>50</v>
      </c>
      <c r="G548" s="318" t="str">
        <f>+G547</f>
        <v>"04-2026" RF T081 6716</v>
      </c>
      <c r="I548" s="251" t="s">
        <v>857</v>
      </c>
      <c r="J548" s="352">
        <v>3.5000027868039262E-2</v>
      </c>
    </row>
    <row r="549" spans="1:20" x14ac:dyDescent="0.35">
      <c r="A549" s="130" t="s">
        <v>854</v>
      </c>
      <c r="B549" s="14">
        <v>205766</v>
      </c>
      <c r="C549" s="15" t="s">
        <v>1008</v>
      </c>
      <c r="D549" s="298"/>
      <c r="G549" s="10" t="str">
        <f>VLOOKUP(B549,ADMON!A:P,5,0)</f>
        <v>T091</v>
      </c>
      <c r="H549" s="54">
        <f>+VLOOKUP(G549,ADMON!E:G,3,0)</f>
        <v>6763</v>
      </c>
      <c r="J549" s="350">
        <f>+VLOOKUP(H549,contratos!A:R,5,0)</f>
        <v>41548</v>
      </c>
      <c r="K549" s="266" t="str">
        <f>+VLOOKUP(H549,contratos!A:R,12,0)</f>
        <v>VENCIDO</v>
      </c>
      <c r="L549" s="341" t="str">
        <f>+VLOOKUP(H549,contratos!A:R,13,0)</f>
        <v>CESADO</v>
      </c>
      <c r="M549" s="341">
        <f>+VLOOKUP(H549,contratos!A:R,15,0)</f>
        <v>0</v>
      </c>
      <c r="N549" s="336">
        <f>+VLOOKUP(H549,contratos!A:R,16,0)</f>
        <v>0</v>
      </c>
      <c r="O549" s="341">
        <f>+VLOOKUP(H549,PRORRATEO!F:M,3,0)</f>
        <v>6551428</v>
      </c>
      <c r="P549" s="341">
        <f>+VLOOKUP(H549,PRORRATEO!F:M,4,0)</f>
        <v>1244771.32</v>
      </c>
      <c r="Q549" s="341">
        <f>+VLOOKUP(H549,PRORRATEO!F:M,5,0)</f>
        <v>102071.24824000002</v>
      </c>
      <c r="R549" s="341">
        <f>+VLOOKUP(H549,PRORRATEO!F:M,6,0)</f>
        <v>1142700.0717600002</v>
      </c>
      <c r="S549" s="339">
        <f>+VLOOKUP(H549,PRORRATEO!F:M,7,0)</f>
        <v>8.2000000000000003E-2</v>
      </c>
      <c r="T549" s="339">
        <f>+VLOOKUP(H549,PRORRATEO!F:M,8,0)</f>
        <v>0.91800000000000004</v>
      </c>
    </row>
    <row r="550" spans="1:20" x14ac:dyDescent="0.35">
      <c r="B550" s="4">
        <v>1242100042</v>
      </c>
      <c r="C550" s="251" t="s">
        <v>983</v>
      </c>
      <c r="D550" s="299">
        <f>+D551</f>
        <v>1125340</v>
      </c>
      <c r="E550" s="10" t="s">
        <v>80</v>
      </c>
      <c r="F550">
        <v>31</v>
      </c>
      <c r="G550" s="316" t="str">
        <f>+CONCATENATE($G$7,"  GC ",G549," ",H549)</f>
        <v>"04-2026"  GC T091 6763</v>
      </c>
      <c r="J550" s="317" t="s">
        <v>985</v>
      </c>
    </row>
    <row r="551" spans="1:20" x14ac:dyDescent="0.35">
      <c r="B551" s="209">
        <v>1245150017</v>
      </c>
      <c r="C551" s="251" t="s">
        <v>77</v>
      </c>
      <c r="D551" s="268">
        <v>1125340</v>
      </c>
      <c r="E551" s="10" t="s">
        <v>80</v>
      </c>
      <c r="F551" s="209">
        <v>40</v>
      </c>
      <c r="G551" s="316" t="str">
        <f>+G550</f>
        <v>"04-2026"  GC T091 6763</v>
      </c>
      <c r="I551" s="10">
        <f>+H549</f>
        <v>6763</v>
      </c>
      <c r="J551" s="317"/>
    </row>
    <row r="552" spans="1:20" x14ac:dyDescent="0.35">
      <c r="A552" s="130" t="s">
        <v>854</v>
      </c>
      <c r="B552" s="14">
        <v>205766</v>
      </c>
      <c r="C552" s="15" t="s">
        <v>1008</v>
      </c>
      <c r="G552" s="10" t="str">
        <f>VLOOKUP(B552,ADMON!A:P,5,0)</f>
        <v>T091</v>
      </c>
      <c r="H552" s="54">
        <f>+VLOOKUP(G552,ADMON!E:G,3,0)</f>
        <v>6763</v>
      </c>
      <c r="J552" s="350">
        <f>+VLOOKUP(H552,contratos!A:R,5,0)</f>
        <v>41548</v>
      </c>
      <c r="K552" s="266" t="str">
        <f>+VLOOKUP(H552,contratos!A:R,12,0)</f>
        <v>VENCIDO</v>
      </c>
      <c r="L552" s="341" t="str">
        <f>+VLOOKUP(H552,contratos!A:R,13,0)</f>
        <v>CESADO</v>
      </c>
      <c r="M552" s="341">
        <f>+VLOOKUP(H552,contratos!A:R,15,0)</f>
        <v>0</v>
      </c>
      <c r="N552" s="336">
        <f>+VLOOKUP(H552,contratos!A:R,16,0)</f>
        <v>0</v>
      </c>
      <c r="O552" s="341">
        <f>+VLOOKUP(H552,PRORRATEO!F:M,3,0)</f>
        <v>6551428</v>
      </c>
      <c r="P552" s="341">
        <f>+VLOOKUP(H552,PRORRATEO!F:M,4,0)</f>
        <v>1244771.32</v>
      </c>
      <c r="Q552" s="341">
        <f>+VLOOKUP(H552,PRORRATEO!F:M,5,0)</f>
        <v>102071.24824000002</v>
      </c>
      <c r="R552" s="341">
        <f>+VLOOKUP(H552,PRORRATEO!F:M,6,0)</f>
        <v>1142700.0717600002</v>
      </c>
      <c r="S552" s="339">
        <f>+VLOOKUP(H552,PRORRATEO!F:M,7,0)</f>
        <v>8.2000000000000003E-2</v>
      </c>
      <c r="T552" s="339">
        <f>+VLOOKUP(H552,PRORRATEO!F:M,8,0)</f>
        <v>0.91800000000000004</v>
      </c>
    </row>
    <row r="553" spans="1:20" x14ac:dyDescent="0.35">
      <c r="B553" s="4">
        <v>1242100042</v>
      </c>
      <c r="C553" s="251" t="s">
        <v>983</v>
      </c>
      <c r="D553" s="299">
        <v>1038175</v>
      </c>
      <c r="E553" s="10" t="s">
        <v>80</v>
      </c>
      <c r="F553">
        <v>31</v>
      </c>
      <c r="G553" s="348" t="str">
        <f>+CONCATENATE($G$7,"  GC ",G552," ",H552)</f>
        <v>"04-2026"  GC T091 6763</v>
      </c>
      <c r="I553" s="374"/>
      <c r="J553" s="317" t="s">
        <v>985</v>
      </c>
    </row>
    <row r="554" spans="1:20" x14ac:dyDescent="0.35">
      <c r="B554" s="209">
        <v>1245150017</v>
      </c>
      <c r="C554" s="251" t="s">
        <v>77</v>
      </c>
      <c r="D554" s="268">
        <v>1038175</v>
      </c>
      <c r="E554" s="10" t="s">
        <v>80</v>
      </c>
      <c r="F554" s="209">
        <v>40</v>
      </c>
      <c r="G554" s="316" t="str">
        <f>+G553</f>
        <v>"04-2026"  GC T091 6763</v>
      </c>
      <c r="I554" s="10">
        <f>+H552</f>
        <v>6763</v>
      </c>
      <c r="J554" s="317"/>
    </row>
    <row r="555" spans="1:20" x14ac:dyDescent="0.35">
      <c r="A555" s="130" t="s">
        <v>853</v>
      </c>
      <c r="B555" s="14">
        <v>204631</v>
      </c>
      <c r="C555" s="15" t="s">
        <v>22</v>
      </c>
      <c r="D555" s="298"/>
      <c r="G555" s="9" t="str">
        <f>+VLOOKUP(B555,arriendo1!A:R,3,0)</f>
        <v>T051</v>
      </c>
      <c r="H555" s="131">
        <f>+VLOOKUP(B555,arriendo1!A:R,6,0)</f>
        <v>6638</v>
      </c>
      <c r="J555" s="350">
        <f>+VLOOKUP(H555,contratos!A:R,5,0)</f>
        <v>43029</v>
      </c>
      <c r="K555" s="266" t="str">
        <f>+VLOOKUP(H555,contratos!A:R,12,0)</f>
        <v>VENCIDO</v>
      </c>
      <c r="L555" s="341" t="str">
        <f>+VLOOKUP(H555,contratos!A:R,13,0)</f>
        <v>CESADO</v>
      </c>
      <c r="M555" s="341">
        <f>+VLOOKUP(H555,contratos!A:R,15,0)</f>
        <v>0</v>
      </c>
      <c r="N555" s="336">
        <f>+VLOOKUP(H555,contratos!A:R,16,0)</f>
        <v>0</v>
      </c>
      <c r="O555" s="341">
        <f>+VLOOKUP(B555,PRORRATEO!A:M,8,0)</f>
        <v>17000000</v>
      </c>
      <c r="P555" s="341">
        <f>+VLOOKUP(B555,PRORRATEO!A:M,9,0)</f>
        <v>3230000</v>
      </c>
      <c r="Q555" s="341">
        <f>+VLOOKUP(B555,PRORRATEO!A:M,10,0)</f>
        <v>131793.4306569343</v>
      </c>
      <c r="R555" s="341">
        <f>+VLOOKUP(B555,PRORRATEO!A:M,11,0)</f>
        <v>3098206.5693430658</v>
      </c>
      <c r="S555" s="339">
        <f>+VLOOKUP(B555,PRORRATEO!A:M,12,0)</f>
        <v>4.0802919708029198E-2</v>
      </c>
      <c r="T555" s="339">
        <f>+VLOOKUP(B555,PRORRATEO!A:M,13,0)</f>
        <v>0.95919708029197082</v>
      </c>
    </row>
    <row r="556" spans="1:20" x14ac:dyDescent="0.35">
      <c r="B556" s="4">
        <v>1242100042</v>
      </c>
      <c r="C556" s="251" t="s">
        <v>983</v>
      </c>
      <c r="D556" s="299">
        <f>+D557+D558-D559+D560-D561</f>
        <v>16175225.776821353</v>
      </c>
      <c r="F556">
        <v>31</v>
      </c>
      <c r="G556" s="316" t="str">
        <f>+CONCATENATE($G$7," RF ",G555," ",H555)</f>
        <v>"04-2026" RF T051 6638</v>
      </c>
      <c r="J556" s="10"/>
    </row>
    <row r="557" spans="1:20" x14ac:dyDescent="0.35">
      <c r="B557" s="209">
        <v>1245150017</v>
      </c>
      <c r="C557" s="251" t="s">
        <v>77</v>
      </c>
      <c r="D557" s="268">
        <v>14004524.82</v>
      </c>
      <c r="E557" s="10" t="s">
        <v>97</v>
      </c>
      <c r="F557" s="209">
        <v>40</v>
      </c>
      <c r="G557" s="318" t="str">
        <f>+G556</f>
        <v>"04-2026" RF T051 6638</v>
      </c>
      <c r="I557" s="10">
        <f>+H555</f>
        <v>6638</v>
      </c>
      <c r="J557" s="10"/>
    </row>
    <row r="558" spans="1:20" x14ac:dyDescent="0.35">
      <c r="B558" s="209">
        <v>1149120011</v>
      </c>
      <c r="C558" s="251" t="s">
        <v>96</v>
      </c>
      <c r="D558" s="268">
        <f>+D560*S555</f>
        <v>108570.84533811679</v>
      </c>
      <c r="E558" s="10" t="s">
        <v>98</v>
      </c>
      <c r="F558" s="209">
        <v>40</v>
      </c>
      <c r="G558" s="318" t="str">
        <f>+G557</f>
        <v>"04-2026" RF T051 6638</v>
      </c>
      <c r="I558" s="10">
        <f>+I557</f>
        <v>6638</v>
      </c>
      <c r="J558" s="10"/>
    </row>
    <row r="559" spans="1:20" x14ac:dyDescent="0.35">
      <c r="B559" s="209">
        <v>1149120011</v>
      </c>
      <c r="C559" s="251" t="s">
        <v>96</v>
      </c>
      <c r="D559" s="268">
        <f>+D558</f>
        <v>108570.84533811679</v>
      </c>
      <c r="E559" s="10" t="s">
        <v>97</v>
      </c>
      <c r="F559" s="209">
        <v>50</v>
      </c>
      <c r="G559" s="318" t="str">
        <f>+G558</f>
        <v>"04-2026" RF T051 6638</v>
      </c>
      <c r="I559" s="10">
        <f>+I558</f>
        <v>6638</v>
      </c>
      <c r="J559" s="10"/>
    </row>
    <row r="560" spans="1:20" x14ac:dyDescent="0.35">
      <c r="B560" s="4">
        <v>1149120011</v>
      </c>
      <c r="C560" s="251" t="s">
        <v>96</v>
      </c>
      <c r="D560" s="268">
        <f>+D557*0.19</f>
        <v>2660859.7157999999</v>
      </c>
      <c r="F560">
        <v>40</v>
      </c>
      <c r="G560" s="318" t="str">
        <f>+G559</f>
        <v>"04-2026" RF T051 6638</v>
      </c>
      <c r="J560" s="10"/>
    </row>
    <row r="561" spans="1:20" x14ac:dyDescent="0.35">
      <c r="B561" s="4">
        <v>1246125027</v>
      </c>
      <c r="C561" s="251" t="s">
        <v>962</v>
      </c>
      <c r="D561" s="268">
        <f>+D557*J561</f>
        <v>490158.75897864753</v>
      </c>
      <c r="F561">
        <v>50</v>
      </c>
      <c r="G561" s="318" t="str">
        <f>+G560</f>
        <v>"04-2026" RF T051 6638</v>
      </c>
      <c r="I561" s="251" t="s">
        <v>857</v>
      </c>
      <c r="J561" s="352">
        <v>3.5000027868039262E-2</v>
      </c>
    </row>
    <row r="562" spans="1:20" x14ac:dyDescent="0.35">
      <c r="A562" s="130" t="s">
        <v>853</v>
      </c>
      <c r="B562" s="14">
        <v>204611</v>
      </c>
      <c r="C562" s="15" t="s">
        <v>979</v>
      </c>
      <c r="G562" s="10" t="str">
        <f>VLOOKUP(B562,ADMON!A:P,5,0)</f>
        <v>T079</v>
      </c>
      <c r="H562" s="54">
        <f>+VLOOKUP(G562,ADMON!E:G,3,0)</f>
        <v>6714</v>
      </c>
      <c r="J562" s="350">
        <f>+VLOOKUP(H562,contratos!A:R,5,0)</f>
        <v>42917</v>
      </c>
      <c r="K562" s="266" t="str">
        <f>+VLOOKUP(H562,contratos!A:R,12,0)</f>
        <v>OK</v>
      </c>
      <c r="L562" s="341" t="str">
        <f>+VLOOKUP(H562,contratos!A:R,13,0)</f>
        <v>VIGENTE</v>
      </c>
      <c r="M562" s="341">
        <f>+VLOOKUP(H562,contratos!A:R,15,0)</f>
        <v>0</v>
      </c>
      <c r="N562" s="336">
        <f>+VLOOKUP(H562,contratos!A:R,16,0)</f>
        <v>0</v>
      </c>
      <c r="O562" s="341">
        <f>+VLOOKUP(H562,PRORRATEO!F:M,3,0)</f>
        <v>11203043</v>
      </c>
      <c r="P562" s="341">
        <f>+VLOOKUP(H562,PRORRATEO!F:M,4,0)</f>
        <v>2128578.17</v>
      </c>
      <c r="Q562" s="341">
        <f>+VLOOKUP(H562,PRORRATEO!F:M,5,0)</f>
        <v>170286.2536</v>
      </c>
      <c r="R562" s="341">
        <f>+VLOOKUP(H562,PRORRATEO!F:M,6,0)</f>
        <v>1958291.9164</v>
      </c>
      <c r="S562" s="339">
        <f>+VLOOKUP(H562,PRORRATEO!F:M,7,0)</f>
        <v>0.08</v>
      </c>
      <c r="T562" s="339">
        <f>+VLOOKUP(H562,PRORRATEO!F:M,8,0)</f>
        <v>0.92</v>
      </c>
    </row>
    <row r="563" spans="1:20" x14ac:dyDescent="0.35">
      <c r="B563" s="4">
        <v>1242100001</v>
      </c>
      <c r="C563" s="251" t="s">
        <v>1011</v>
      </c>
      <c r="D563" s="299">
        <f>SUM(D564:D565)</f>
        <v>1049372.94</v>
      </c>
      <c r="E563" s="10" t="s">
        <v>97</v>
      </c>
      <c r="F563">
        <v>37</v>
      </c>
      <c r="G563" s="316" t="str">
        <f>+CONCATENATE($G$7,"  GC T",G562," ",H562)</f>
        <v>"04-2026"  GC TT079 6714</v>
      </c>
      <c r="J563" s="317" t="s">
        <v>985</v>
      </c>
    </row>
    <row r="564" spans="1:20" x14ac:dyDescent="0.35">
      <c r="B564" s="209">
        <v>1532001600</v>
      </c>
      <c r="C564" s="251" t="s">
        <v>987</v>
      </c>
      <c r="D564" s="268">
        <f>+D565*0.19</f>
        <v>167546.94</v>
      </c>
      <c r="E564" s="10" t="s">
        <v>97</v>
      </c>
      <c r="F564" s="209">
        <v>40</v>
      </c>
      <c r="G564" s="348" t="str">
        <f>+G563</f>
        <v>"04-2026"  GC TT079 6714</v>
      </c>
      <c r="I564" s="10">
        <f>+H562</f>
        <v>6714</v>
      </c>
      <c r="J564" s="10"/>
    </row>
    <row r="565" spans="1:20" x14ac:dyDescent="0.35">
      <c r="B565" s="209">
        <v>1245150017</v>
      </c>
      <c r="C565" s="251" t="s">
        <v>77</v>
      </c>
      <c r="D565" s="268">
        <v>881826</v>
      </c>
      <c r="E565" s="10" t="s">
        <v>97</v>
      </c>
      <c r="F565" s="209">
        <v>40</v>
      </c>
      <c r="G565" s="316" t="str">
        <f>+G564</f>
        <v>"04-2026"  GC TT079 6714</v>
      </c>
      <c r="I565" s="10">
        <f>+I564</f>
        <v>6714</v>
      </c>
      <c r="J565" s="10"/>
    </row>
    <row r="566" spans="1:20" x14ac:dyDescent="0.35">
      <c r="A566" s="130" t="s">
        <v>854</v>
      </c>
      <c r="B566" s="14">
        <v>206868</v>
      </c>
      <c r="C566" s="15" t="s">
        <v>401</v>
      </c>
      <c r="G566" s="10" t="str">
        <f>VLOOKUP(B566,ADMON!A:P,5,0)</f>
        <v>T111</v>
      </c>
      <c r="H566" s="54">
        <f>+VLOOKUP(G566,ADMON!E:G,3,0)</f>
        <v>8751</v>
      </c>
      <c r="J566" s="350">
        <f>+VLOOKUP(H566,contratos!A:R,5,0)</f>
        <v>45566</v>
      </c>
      <c r="K566" s="266" t="str">
        <f>+VLOOKUP(H566,contratos!A:R,12,0)</f>
        <v>OK</v>
      </c>
      <c r="L566" s="341" t="str">
        <f>+VLOOKUP(H566,contratos!A:R,13,0)</f>
        <v>VIGENTE</v>
      </c>
      <c r="M566" s="341">
        <f>+VLOOKUP(H566,contratos!A:R,15,0)</f>
        <v>0</v>
      </c>
      <c r="N566" s="336">
        <f>+VLOOKUP(H566,contratos!A:R,16,0)</f>
        <v>0</v>
      </c>
      <c r="O566" s="341">
        <f>+VLOOKUP(H566,PRORRATEO!F:M,3,0)</f>
        <v>13676000</v>
      </c>
      <c r="P566" s="341">
        <f>+VLOOKUP(H566,PRORRATEO!F:M,4,0)</f>
        <v>2598440</v>
      </c>
      <c r="Q566" s="341">
        <f>+VLOOKUP(H566,PRORRATEO!F:M,5,0)</f>
        <v>142914.20000000001</v>
      </c>
      <c r="R566" s="341">
        <f>+VLOOKUP(H566,PRORRATEO!F:M,6,0)</f>
        <v>2455525.7999999998</v>
      </c>
      <c r="S566" s="339">
        <f>+VLOOKUP(H566,PRORRATEO!F:M,7,0)</f>
        <v>5.5E-2</v>
      </c>
      <c r="T566" s="339">
        <f>+VLOOKUP(H566,PRORRATEO!F:M,8,0)</f>
        <v>0.94499999999999995</v>
      </c>
    </row>
    <row r="567" spans="1:20" x14ac:dyDescent="0.35">
      <c r="B567" s="4">
        <v>1242100042</v>
      </c>
      <c r="C567" s="251" t="s">
        <v>983</v>
      </c>
      <c r="D567" s="299">
        <f>SUM(D568:D570)</f>
        <v>4387868</v>
      </c>
      <c r="E567" s="10" t="s">
        <v>80</v>
      </c>
      <c r="F567">
        <v>31</v>
      </c>
      <c r="G567" s="348" t="str">
        <f>+CONCATENATE($G$7,"  GC T",G566," ",H566)</f>
        <v>"04-2026"  GC TT111 8751</v>
      </c>
      <c r="J567" s="317" t="s">
        <v>985</v>
      </c>
    </row>
    <row r="568" spans="1:20" x14ac:dyDescent="0.35">
      <c r="B568" s="209">
        <v>1537210003</v>
      </c>
      <c r="C568" s="251" t="s">
        <v>1013</v>
      </c>
      <c r="D568" s="268">
        <v>444335</v>
      </c>
      <c r="E568" s="10" t="s">
        <v>80</v>
      </c>
      <c r="F568" s="209">
        <v>40</v>
      </c>
      <c r="G568" s="318" t="str">
        <f>+G567</f>
        <v>"04-2026"  GC TT111 8751</v>
      </c>
      <c r="I568" s="10">
        <f>+H566</f>
        <v>8751</v>
      </c>
      <c r="J568" s="10"/>
    </row>
    <row r="569" spans="1:20" x14ac:dyDescent="0.35">
      <c r="B569" s="209">
        <v>1532001605</v>
      </c>
      <c r="C569" s="251" t="s">
        <v>1030</v>
      </c>
      <c r="D569" s="298">
        <v>500953</v>
      </c>
      <c r="E569" s="10" t="s">
        <v>80</v>
      </c>
      <c r="F569" s="209">
        <v>40</v>
      </c>
      <c r="G569" s="318" t="str">
        <f>+G568</f>
        <v>"04-2026"  GC TT111 8751</v>
      </c>
      <c r="I569" s="10">
        <f>+I568</f>
        <v>8751</v>
      </c>
      <c r="J569" s="10"/>
    </row>
    <row r="570" spans="1:20" x14ac:dyDescent="0.35">
      <c r="A570" s="343"/>
      <c r="B570" s="209">
        <v>1537210002</v>
      </c>
      <c r="C570" s="251" t="s">
        <v>972</v>
      </c>
      <c r="D570" s="268">
        <v>3442580</v>
      </c>
      <c r="E570" s="10" t="s">
        <v>80</v>
      </c>
      <c r="F570" s="209">
        <v>40</v>
      </c>
      <c r="G570" s="318" t="str">
        <f>+G569</f>
        <v>"04-2026"  GC TT111 8751</v>
      </c>
      <c r="I570" s="10">
        <f>+I569</f>
        <v>8751</v>
      </c>
      <c r="J570" s="10"/>
    </row>
    <row r="571" spans="1:20" x14ac:dyDescent="0.35">
      <c r="A571" s="130" t="s">
        <v>854</v>
      </c>
      <c r="B571" s="14">
        <v>204614</v>
      </c>
      <c r="C571" s="15" t="s">
        <v>548</v>
      </c>
      <c r="G571" s="10" t="str">
        <f>VLOOKUP(B571,ADMON!A:P,5,0)</f>
        <v>T066</v>
      </c>
      <c r="H571" s="54">
        <f>+VLOOKUP(G571,ADMON!E:G,3,0)</f>
        <v>6688</v>
      </c>
      <c r="I571" s="10">
        <v>74</v>
      </c>
      <c r="J571" s="350">
        <f>+VLOOKUP(H571,contratos!A:R,5,0)</f>
        <v>42736</v>
      </c>
      <c r="K571" s="266" t="str">
        <f>+VLOOKUP(H571,contratos!A:R,12,0)</f>
        <v>VENCIDO</v>
      </c>
      <c r="L571" s="341" t="str">
        <f>+VLOOKUP(H571,contratos!A:R,13,0)</f>
        <v>CESADO</v>
      </c>
      <c r="M571" s="341">
        <f>+VLOOKUP(H571,contratos!A:R,15,0)</f>
        <v>0</v>
      </c>
      <c r="N571" s="336">
        <f>+VLOOKUP(H571,contratos!A:R,16,0)</f>
        <v>0</v>
      </c>
      <c r="O571" s="341">
        <f>+VLOOKUP(H571,PRORRATEO!F:M,3,0)</f>
        <v>21214110</v>
      </c>
      <c r="P571" s="341">
        <f>+VLOOKUP(H571,PRORRATEO!F:M,4,0)</f>
        <v>4030680.9</v>
      </c>
      <c r="Q571" s="341">
        <f>+VLOOKUP(H571,PRORRATEO!F:M,5,0)</f>
        <v>460797.17418111756</v>
      </c>
      <c r="R571" s="341">
        <f>+VLOOKUP(H571,PRORRATEO!F:M,6,0)</f>
        <v>3569883.7258188822</v>
      </c>
      <c r="S571" s="339">
        <f>+VLOOKUP(H571,PRORRATEO!F:M,7,0)</f>
        <v>0.11432241490044959</v>
      </c>
      <c r="T571" s="339">
        <f>+VLOOKUP(H571,PRORRATEO!F:M,8,0)</f>
        <v>0.88567758509955041</v>
      </c>
    </row>
    <row r="572" spans="1:20" x14ac:dyDescent="0.35">
      <c r="B572" s="4">
        <v>1242100042</v>
      </c>
      <c r="C572" s="251" t="s">
        <v>983</v>
      </c>
      <c r="D572" s="268">
        <f>+D573+D574+D575+D576+D577</f>
        <v>2475975</v>
      </c>
      <c r="E572" t="s">
        <v>80</v>
      </c>
      <c r="F572">
        <v>31</v>
      </c>
      <c r="G572" s="316" t="str">
        <f>+CONCATENATE($G$7,"  GC ",G571," ",H571)</f>
        <v>"04-2026"  GC T066 6688</v>
      </c>
      <c r="J572" s="10"/>
    </row>
    <row r="573" spans="1:20" x14ac:dyDescent="0.35">
      <c r="B573" s="209">
        <v>1537210003</v>
      </c>
      <c r="C573" s="251" t="s">
        <v>1013</v>
      </c>
      <c r="D573" s="268">
        <v>377557</v>
      </c>
      <c r="E573" t="s">
        <v>80</v>
      </c>
      <c r="F573" s="209">
        <v>40</v>
      </c>
      <c r="G573" s="318" t="str">
        <f>+G572</f>
        <v>"04-2026"  GC T066 6688</v>
      </c>
      <c r="I573" s="10">
        <f>+H571</f>
        <v>6688</v>
      </c>
      <c r="J573" s="10"/>
    </row>
    <row r="574" spans="1:20" x14ac:dyDescent="0.35">
      <c r="B574" s="209">
        <v>1532001605</v>
      </c>
      <c r="C574" s="251" t="s">
        <v>1017</v>
      </c>
      <c r="D574" s="268">
        <v>182452</v>
      </c>
      <c r="E574" t="s">
        <v>80</v>
      </c>
      <c r="F574" s="209">
        <v>40</v>
      </c>
      <c r="G574" s="318" t="str">
        <f>+G573</f>
        <v>"04-2026"  GC T066 6688</v>
      </c>
      <c r="I574" s="10">
        <f>+I573</f>
        <v>6688</v>
      </c>
      <c r="J574" s="10"/>
    </row>
    <row r="575" spans="1:20" x14ac:dyDescent="0.35">
      <c r="B575" s="209">
        <v>1532001600</v>
      </c>
      <c r="C575" s="251" t="s">
        <v>987</v>
      </c>
      <c r="D575" s="268">
        <v>52225</v>
      </c>
      <c r="E575" t="s">
        <v>80</v>
      </c>
      <c r="F575" s="209">
        <v>40</v>
      </c>
      <c r="G575" s="318" t="str">
        <f>+G574</f>
        <v>"04-2026"  GC T066 6688</v>
      </c>
      <c r="I575" s="10">
        <f>+I574</f>
        <v>6688</v>
      </c>
      <c r="J575" s="10"/>
    </row>
    <row r="576" spans="1:20" x14ac:dyDescent="0.35">
      <c r="B576" s="263">
        <v>1537210004</v>
      </c>
      <c r="C576" s="251" t="s">
        <v>974</v>
      </c>
      <c r="E576" t="s">
        <v>80</v>
      </c>
      <c r="F576" s="209">
        <v>40</v>
      </c>
      <c r="G576" s="318" t="str">
        <f>+G575</f>
        <v>"04-2026"  GC T066 6688</v>
      </c>
      <c r="I576" s="10">
        <f t="shared" ref="I576:I577" si="32">+I575</f>
        <v>6688</v>
      </c>
      <c r="J576" s="10"/>
    </row>
    <row r="577" spans="1:20" x14ac:dyDescent="0.35">
      <c r="B577" s="209">
        <v>1245150017</v>
      </c>
      <c r="C577" s="251" t="s">
        <v>77</v>
      </c>
      <c r="D577" s="268">
        <v>1863741</v>
      </c>
      <c r="E577" t="s">
        <v>80</v>
      </c>
      <c r="F577" s="209">
        <v>40</v>
      </c>
      <c r="G577" s="318" t="str">
        <f>+G576</f>
        <v>"04-2026"  GC T066 6688</v>
      </c>
      <c r="I577" s="10">
        <f t="shared" si="32"/>
        <v>6688</v>
      </c>
      <c r="J577" s="10"/>
    </row>
    <row r="578" spans="1:20" x14ac:dyDescent="0.35">
      <c r="A578" s="130" t="s">
        <v>854</v>
      </c>
      <c r="B578" s="14">
        <v>289666</v>
      </c>
      <c r="C578" s="15" t="s">
        <v>51</v>
      </c>
      <c r="G578" s="10" t="s">
        <v>372</v>
      </c>
      <c r="H578" s="403">
        <f>+VLOOKUP(G578,ADMON!E:G,3,0)</f>
        <v>8582</v>
      </c>
      <c r="J578" s="350">
        <f>+VLOOKUP(H578,contratos!A:R,5,0)</f>
        <v>42389</v>
      </c>
      <c r="K578" s="266" t="str">
        <f>+VLOOKUP(H578,contratos!A:R,12,0)</f>
        <v>CESADO</v>
      </c>
      <c r="L578" s="341" t="str">
        <f>+VLOOKUP(H578,contratos!A:R,13,0)</f>
        <v>REEMPLAZO 5-137</v>
      </c>
      <c r="M578" s="341">
        <f>+VLOOKUP(H578,contratos!A:R,15,0)</f>
        <v>0</v>
      </c>
      <c r="N578" s="336">
        <f>+VLOOKUP(H578,contratos!A:R,16,0)</f>
        <v>0</v>
      </c>
      <c r="O578" s="341">
        <f>+VLOOKUP(H578,PRORRATEO!F:M,3,0)</f>
        <v>16580922</v>
      </c>
      <c r="P578" s="341">
        <f>+VLOOKUP(H578,PRORRATEO!F:M,4,0)</f>
        <v>3150375.18</v>
      </c>
      <c r="Q578" s="341">
        <f>+VLOOKUP(H578,PRORRATEO!F:M,5,0)</f>
        <v>308736.76764000003</v>
      </c>
      <c r="R578" s="341">
        <f>+VLOOKUP(H578,PRORRATEO!F:M,6,0)</f>
        <v>2841638.4123600004</v>
      </c>
      <c r="S578" s="339">
        <f>+VLOOKUP(H578,PRORRATEO!F:M,7,0)</f>
        <v>9.8000000000000004E-2</v>
      </c>
      <c r="T578" s="339">
        <f>+VLOOKUP(H578,PRORRATEO!F:M,8,0)</f>
        <v>0.90200000000000002</v>
      </c>
    </row>
    <row r="579" spans="1:20" x14ac:dyDescent="0.35">
      <c r="B579" s="4">
        <v>1242100042</v>
      </c>
      <c r="C579" s="251" t="s">
        <v>983</v>
      </c>
      <c r="D579" s="268">
        <f>+D580+D581+D583+D584</f>
        <v>17495775</v>
      </c>
      <c r="E579" t="s">
        <v>984</v>
      </c>
      <c r="F579">
        <v>31</v>
      </c>
      <c r="G579" s="316" t="str">
        <f>+CONCATENATE($G$7,"  RF/GC ",G578," ",H578)</f>
        <v>"04-2026"  RF/GC T104 8582</v>
      </c>
      <c r="J579" s="350"/>
      <c r="N579" s="336"/>
    </row>
    <row r="580" spans="1:20" x14ac:dyDescent="0.35">
      <c r="B580" s="4">
        <v>1149120011</v>
      </c>
      <c r="C580" s="251" t="s">
        <v>96</v>
      </c>
      <c r="D580" s="268">
        <v>2972498</v>
      </c>
      <c r="E580" t="s">
        <v>97</v>
      </c>
      <c r="F580">
        <v>40</v>
      </c>
      <c r="G580" s="318" t="str">
        <f>+G579</f>
        <v>"04-2026"  RF/GC T104 8582</v>
      </c>
      <c r="J580" s="10"/>
    </row>
    <row r="581" spans="1:20" x14ac:dyDescent="0.35">
      <c r="B581" s="209">
        <v>1245150017</v>
      </c>
      <c r="C581" s="251" t="s">
        <v>77</v>
      </c>
      <c r="D581" s="268">
        <f>11214479</f>
        <v>11214479</v>
      </c>
      <c r="E581" s="10" t="s">
        <v>97</v>
      </c>
      <c r="F581" s="209">
        <v>40</v>
      </c>
      <c r="G581" s="318" t="str">
        <f>+G580</f>
        <v>"04-2026"  RF/GC T104 8582</v>
      </c>
      <c r="I581" s="10">
        <f>+H578</f>
        <v>8582</v>
      </c>
      <c r="J581" s="10"/>
    </row>
    <row r="582" spans="1:20" x14ac:dyDescent="0.35">
      <c r="B582" s="209">
        <v>1537210002</v>
      </c>
      <c r="C582" s="251" t="s">
        <v>1015</v>
      </c>
      <c r="D582" s="268">
        <v>1121448</v>
      </c>
      <c r="E582" s="10" t="s">
        <v>97</v>
      </c>
      <c r="F582" s="209">
        <v>40</v>
      </c>
      <c r="G582" s="318" t="str">
        <f>+G581</f>
        <v>"04-2026"  RF/GC T104 8582</v>
      </c>
      <c r="I582" s="10">
        <f>+I581</f>
        <v>8582</v>
      </c>
      <c r="J582" s="10"/>
    </row>
    <row r="583" spans="1:20" x14ac:dyDescent="0.35">
      <c r="B583" s="209">
        <v>1537210002</v>
      </c>
      <c r="C583" s="251" t="s">
        <v>1015</v>
      </c>
      <c r="D583" s="268">
        <v>1332769</v>
      </c>
      <c r="E583" s="10" t="s">
        <v>97</v>
      </c>
      <c r="F583" s="209">
        <v>40</v>
      </c>
      <c r="G583" s="318" t="str">
        <f>+G581</f>
        <v>"04-2026"  RF/GC T104 8582</v>
      </c>
      <c r="I583" s="10">
        <f>+I581</f>
        <v>8582</v>
      </c>
      <c r="J583" s="10"/>
    </row>
    <row r="584" spans="1:20" x14ac:dyDescent="0.35">
      <c r="B584" s="209">
        <v>1537210002</v>
      </c>
      <c r="C584" s="251" t="s">
        <v>1015</v>
      </c>
      <c r="D584" s="268">
        <v>1976029</v>
      </c>
      <c r="E584" s="10" t="s">
        <v>97</v>
      </c>
      <c r="F584" s="209">
        <v>40</v>
      </c>
      <c r="G584" s="318" t="str">
        <f>+G583</f>
        <v>"04-2026"  RF/GC T104 8582</v>
      </c>
      <c r="I584" s="10">
        <f>+I583</f>
        <v>8582</v>
      </c>
      <c r="J584" s="10"/>
    </row>
    <row r="585" spans="1:20" x14ac:dyDescent="0.35">
      <c r="A585" s="130" t="s">
        <v>854</v>
      </c>
      <c r="B585" s="14">
        <v>289666</v>
      </c>
      <c r="C585" s="15" t="s">
        <v>51</v>
      </c>
      <c r="G585" s="346" t="s">
        <v>658</v>
      </c>
      <c r="H585" s="6">
        <v>9303</v>
      </c>
      <c r="J585" s="350">
        <f>+VLOOKUP(H585,contratos!A:R,5,0)</f>
        <v>43153</v>
      </c>
      <c r="K585" s="266" t="str">
        <f>+VLOOKUP(H585,contratos!A:R,12,0)</f>
        <v>VENCIDO</v>
      </c>
      <c r="L585" s="341" t="str">
        <f>+VLOOKUP(H585,contratos!A:R,13,0)</f>
        <v>CESADO</v>
      </c>
      <c r="M585" s="341">
        <f>+VLOOKUP(H585,contratos!A:R,15,0)</f>
        <v>0</v>
      </c>
      <c r="N585" s="336">
        <f>+VLOOKUP(H585,contratos!A:R,16,0)</f>
        <v>0</v>
      </c>
      <c r="O585" s="341">
        <f>+VLOOKUP(H585,PRORRATEO!F:M,3,0)</f>
        <v>16580922</v>
      </c>
      <c r="P585" s="341">
        <f>+VLOOKUP(H585,PRORRATEO!F:M,4,0)</f>
        <v>3150375.18</v>
      </c>
      <c r="Q585" s="341">
        <f>+VLOOKUP(H585,PRORRATEO!F:M,5,0)</f>
        <v>3150375.18</v>
      </c>
      <c r="R585" s="341">
        <f>+VLOOKUP(H585,PRORRATEO!F:M,6,0)</f>
        <v>0</v>
      </c>
      <c r="S585" s="339">
        <f>+VLOOKUP(H585,PRORRATEO!F:M,7,0)</f>
        <v>1</v>
      </c>
      <c r="T585" s="339">
        <f>+VLOOKUP(H585,PRORRATEO!F:M,8,0)</f>
        <v>0</v>
      </c>
    </row>
    <row r="586" spans="1:20" x14ac:dyDescent="0.35">
      <c r="B586" s="4">
        <v>1242100042</v>
      </c>
      <c r="C586" s="251" t="s">
        <v>983</v>
      </c>
      <c r="D586" s="265">
        <f>SUM(D587:D589)</f>
        <v>672279</v>
      </c>
      <c r="E586" t="s">
        <v>97</v>
      </c>
      <c r="F586">
        <v>31</v>
      </c>
      <c r="G586" s="348" t="str">
        <f>+CONCATENATE($G$7,"  GC T",G585," ",H585)</f>
        <v>"04-2026"  GC TSGH606 9303</v>
      </c>
      <c r="J586" s="10"/>
    </row>
    <row r="587" spans="1:20" x14ac:dyDescent="0.35">
      <c r="B587" s="4">
        <v>1149120011</v>
      </c>
      <c r="C587" s="251" t="s">
        <v>1032</v>
      </c>
      <c r="D587" s="268">
        <v>107339</v>
      </c>
      <c r="E587" t="s">
        <v>97</v>
      </c>
      <c r="F587">
        <v>40</v>
      </c>
      <c r="G587" s="318" t="str">
        <f>+G586</f>
        <v>"04-2026"  GC TSGH606 9303</v>
      </c>
      <c r="J587" s="10"/>
      <c r="L587" s="412"/>
    </row>
    <row r="588" spans="1:20" x14ac:dyDescent="0.35">
      <c r="B588" s="250">
        <v>1537210004</v>
      </c>
      <c r="C588" s="251" t="s">
        <v>859</v>
      </c>
      <c r="D588" s="268">
        <v>513582</v>
      </c>
      <c r="E588" s="10" t="s">
        <v>97</v>
      </c>
      <c r="F588" s="250">
        <v>40</v>
      </c>
      <c r="G588" s="318" t="str">
        <f>+G587</f>
        <v>"04-2026"  GC TSGH606 9303</v>
      </c>
      <c r="I588" s="10">
        <f>+H585</f>
        <v>9303</v>
      </c>
      <c r="J588" s="10"/>
    </row>
    <row r="589" spans="1:20" x14ac:dyDescent="0.35">
      <c r="B589" s="250">
        <v>1245150017</v>
      </c>
      <c r="C589" s="251" t="s">
        <v>77</v>
      </c>
      <c r="D589" s="268">
        <v>51358</v>
      </c>
      <c r="E589" s="10" t="s">
        <v>97</v>
      </c>
      <c r="F589" s="250">
        <v>40</v>
      </c>
      <c r="G589" s="318" t="str">
        <f>+G588</f>
        <v>"04-2026"  GC TSGH606 9303</v>
      </c>
      <c r="I589" s="10">
        <f>+I588</f>
        <v>9303</v>
      </c>
      <c r="J589" s="10"/>
    </row>
    <row r="590" spans="1:20" x14ac:dyDescent="0.35">
      <c r="A590" s="130" t="s">
        <v>854</v>
      </c>
      <c r="B590" s="14">
        <v>289666</v>
      </c>
      <c r="C590" s="15" t="s">
        <v>51</v>
      </c>
      <c r="G590" s="346" t="s">
        <v>658</v>
      </c>
      <c r="H590" s="6">
        <v>9303</v>
      </c>
      <c r="J590" s="350">
        <f>+VLOOKUP(H590,contratos!A:R,5,0)</f>
        <v>43153</v>
      </c>
      <c r="K590" s="266" t="str">
        <f>+VLOOKUP(H590,contratos!A:R,12,0)</f>
        <v>VENCIDO</v>
      </c>
      <c r="L590" s="341" t="str">
        <f>+VLOOKUP(H590,contratos!A:R,13,0)</f>
        <v>CESADO</v>
      </c>
      <c r="M590" s="341">
        <f>+VLOOKUP(H590,contratos!A:R,15,0)</f>
        <v>0</v>
      </c>
      <c r="N590" s="336">
        <f>+VLOOKUP(H590,contratos!A:R,16,0)</f>
        <v>0</v>
      </c>
      <c r="O590" s="341">
        <f>+VLOOKUP(H590,PRORRATEO!F:M,3,0)</f>
        <v>16580922</v>
      </c>
      <c r="P590" s="341">
        <f>+VLOOKUP(H590,PRORRATEO!F:M,4,0)</f>
        <v>3150375.18</v>
      </c>
      <c r="Q590" s="341">
        <f>+VLOOKUP(H590,PRORRATEO!F:M,5,0)</f>
        <v>3150375.18</v>
      </c>
      <c r="R590" s="341">
        <f>+VLOOKUP(H590,PRORRATEO!F:M,6,0)</f>
        <v>0</v>
      </c>
      <c r="S590" s="339">
        <f>+VLOOKUP(H590,PRORRATEO!F:M,7,0)</f>
        <v>1</v>
      </c>
      <c r="T590" s="339">
        <f>+VLOOKUP(H590,PRORRATEO!F:M,8,0)</f>
        <v>0</v>
      </c>
    </row>
    <row r="591" spans="1:20" x14ac:dyDescent="0.35">
      <c r="B591" s="4">
        <v>289666</v>
      </c>
      <c r="C591" s="251" t="s">
        <v>983</v>
      </c>
      <c r="D591" s="268">
        <f>SUM(D592:D594)</f>
        <v>2983100.33</v>
      </c>
      <c r="E591" t="s">
        <v>984</v>
      </c>
      <c r="F591">
        <v>31</v>
      </c>
      <c r="G591" s="348" t="str">
        <f>+CONCATENATE($G$7,"  GC T",G590," ",H590)</f>
        <v>"04-2026"  GC TSGH606 9303</v>
      </c>
      <c r="J591" s="10"/>
    </row>
    <row r="592" spans="1:20" x14ac:dyDescent="0.35">
      <c r="B592" s="250">
        <v>1537210004</v>
      </c>
      <c r="C592" s="251" t="s">
        <v>1018</v>
      </c>
      <c r="D592" s="268">
        <v>2278915</v>
      </c>
      <c r="E592" s="10" t="s">
        <v>97</v>
      </c>
      <c r="F592" s="250">
        <v>40</v>
      </c>
      <c r="G592" s="318" t="str">
        <f>+G591</f>
        <v>"04-2026"  GC TSGH606 9303</v>
      </c>
      <c r="I592" s="10">
        <f>+H590</f>
        <v>9303</v>
      </c>
      <c r="J592" s="10"/>
    </row>
    <row r="593" spans="1:20" x14ac:dyDescent="0.35">
      <c r="B593" s="250">
        <v>1537210003</v>
      </c>
      <c r="C593" s="251" t="s">
        <v>1013</v>
      </c>
      <c r="D593" s="268">
        <v>227892</v>
      </c>
      <c r="E593" s="10" t="s">
        <v>97</v>
      </c>
      <c r="F593" s="250">
        <v>40</v>
      </c>
      <c r="G593" s="318" t="str">
        <f>+G592</f>
        <v>"04-2026"  GC TSGH606 9303</v>
      </c>
      <c r="I593" s="10">
        <f>+I592</f>
        <v>9303</v>
      </c>
      <c r="J593" s="10"/>
    </row>
    <row r="594" spans="1:20" hidden="1" x14ac:dyDescent="0.35">
      <c r="B594" s="4">
        <v>1149120011</v>
      </c>
      <c r="C594" s="251" t="s">
        <v>96</v>
      </c>
      <c r="D594" s="268">
        <f>+(D592+D593)*0.19</f>
        <v>476293.33</v>
      </c>
      <c r="E594" s="10" t="s">
        <v>97</v>
      </c>
      <c r="F594">
        <v>40</v>
      </c>
      <c r="G594" s="12" t="e">
        <f>+#REF!</f>
        <v>#REF!</v>
      </c>
      <c r="I594" s="10">
        <f>+I593</f>
        <v>9303</v>
      </c>
      <c r="J594"/>
      <c r="K594"/>
      <c r="L594" s="19"/>
      <c r="M594" s="19"/>
      <c r="N594"/>
      <c r="O594" s="19"/>
      <c r="P594" s="19"/>
      <c r="Q594" s="19"/>
      <c r="R594" s="19"/>
      <c r="S594" s="201"/>
      <c r="T594" s="201"/>
    </row>
    <row r="595" spans="1:20" x14ac:dyDescent="0.35">
      <c r="A595" s="130" t="s">
        <v>853</v>
      </c>
      <c r="B595" s="14">
        <v>289666</v>
      </c>
      <c r="C595" s="15" t="s">
        <v>51</v>
      </c>
      <c r="G595" s="9" t="s">
        <v>409</v>
      </c>
      <c r="H595" s="54">
        <f>+VLOOKUP(G595,ADMON!E:G,3,0)</f>
        <v>8859</v>
      </c>
      <c r="J595" s="350">
        <f>+VLOOKUP(H595,contratos!A:R,5,0)</f>
        <v>42690</v>
      </c>
      <c r="K595" s="266" t="str">
        <f>+VLOOKUP(H595,contratos!A:R,12,0)</f>
        <v>OK</v>
      </c>
      <c r="L595" s="341" t="str">
        <f>+VLOOKUP(H595,contratos!A:R,13,0)</f>
        <v>VIGENTE</v>
      </c>
      <c r="M595" s="341">
        <f>+VLOOKUP(H595,contratos!A:R,15,0)</f>
        <v>0</v>
      </c>
      <c r="N595" s="336">
        <f>+VLOOKUP(H595,contratos!A:R,16,0)</f>
        <v>0</v>
      </c>
      <c r="O595" s="341">
        <f>+VLOOKUP(B595,PRORRATEO!A:M,8,0)</f>
        <v>16580922</v>
      </c>
      <c r="P595" s="341">
        <f>+VLOOKUP(B595,PRORRATEO!A:M,9,0)</f>
        <v>3150375.18</v>
      </c>
      <c r="Q595" s="341">
        <f>+VLOOKUP(B595,PRORRATEO!A:M,10,0)</f>
        <v>3150375.18</v>
      </c>
      <c r="R595" s="341">
        <f>+VLOOKUP(B595,PRORRATEO!A:M,11,0)</f>
        <v>0</v>
      </c>
      <c r="S595" s="339">
        <f>+VLOOKUP(B595,PRORRATEO!A:M,12,0)</f>
        <v>1</v>
      </c>
      <c r="T595" s="339">
        <f>+VLOOKUP(B595,PRORRATEO!A:M,13,0)</f>
        <v>0</v>
      </c>
    </row>
    <row r="596" spans="1:20" x14ac:dyDescent="0.35">
      <c r="B596" s="4">
        <v>1242100042</v>
      </c>
      <c r="C596" s="251" t="s">
        <v>983</v>
      </c>
      <c r="D596" s="268">
        <f>+D597+D598+D599+D600+D601</f>
        <v>53148767.700000003</v>
      </c>
      <c r="E596" t="s">
        <v>984</v>
      </c>
      <c r="F596">
        <v>31</v>
      </c>
      <c r="G596" s="316" t="str">
        <f>+CONCATENATE($G$7,"  RF/GC T",G595," ",H595)</f>
        <v>"04-2026"  RF/GC TT115 8859</v>
      </c>
      <c r="J596" s="10"/>
    </row>
    <row r="597" spans="1:20" x14ac:dyDescent="0.35">
      <c r="B597" s="4">
        <v>1149120011</v>
      </c>
      <c r="C597" s="251" t="s">
        <v>96</v>
      </c>
      <c r="D597" s="268">
        <f>+(D598+D599+D600)*0.19</f>
        <v>8485937.6999999993</v>
      </c>
      <c r="E597" t="s">
        <v>97</v>
      </c>
      <c r="F597">
        <v>40</v>
      </c>
      <c r="G597" s="318" t="str">
        <f>+G596</f>
        <v>"04-2026"  RF/GC TT115 8859</v>
      </c>
      <c r="J597" s="10"/>
    </row>
    <row r="598" spans="1:20" x14ac:dyDescent="0.35">
      <c r="B598" s="209">
        <v>1245150017</v>
      </c>
      <c r="C598" s="251" t="s">
        <v>77</v>
      </c>
      <c r="D598" s="268">
        <v>37263150</v>
      </c>
      <c r="E598" s="10" t="s">
        <v>97</v>
      </c>
      <c r="F598" s="209">
        <v>40</v>
      </c>
      <c r="G598" s="318" t="str">
        <f>+G597</f>
        <v>"04-2026"  RF/GC TT115 8859</v>
      </c>
      <c r="I598" s="10">
        <f>+H595</f>
        <v>8859</v>
      </c>
      <c r="J598" s="10"/>
    </row>
    <row r="599" spans="1:20" x14ac:dyDescent="0.35">
      <c r="B599" s="209">
        <v>1245150017</v>
      </c>
      <c r="C599" s="251" t="s">
        <v>77</v>
      </c>
      <c r="D599" s="268">
        <v>3673365</v>
      </c>
      <c r="E599" s="10" t="s">
        <v>97</v>
      </c>
      <c r="F599" s="209">
        <v>40</v>
      </c>
      <c r="G599" s="318" t="str">
        <f>+G598</f>
        <v>"04-2026"  RF/GC TT115 8859</v>
      </c>
      <c r="I599" s="10">
        <f>+I598</f>
        <v>8859</v>
      </c>
      <c r="J599" s="353"/>
    </row>
    <row r="600" spans="1:20" x14ac:dyDescent="0.35">
      <c r="B600" s="209">
        <v>1537210002</v>
      </c>
      <c r="C600" s="251" t="s">
        <v>1015</v>
      </c>
      <c r="D600" s="268">
        <v>3726315</v>
      </c>
      <c r="E600" s="10" t="s">
        <v>97</v>
      </c>
      <c r="F600" s="209">
        <v>40</v>
      </c>
      <c r="G600" s="318" t="str">
        <f>+G599</f>
        <v>"04-2026"  RF/GC TT115 8859</v>
      </c>
      <c r="I600" s="10">
        <f>+I599</f>
        <v>8859</v>
      </c>
      <c r="J600" s="10"/>
    </row>
    <row r="601" spans="1:20" x14ac:dyDescent="0.35">
      <c r="B601" s="209">
        <v>1245150017</v>
      </c>
      <c r="C601" s="251" t="s">
        <v>77</v>
      </c>
      <c r="E601" s="10" t="s">
        <v>97</v>
      </c>
      <c r="F601" s="209">
        <v>40</v>
      </c>
      <c r="G601" s="318" t="str">
        <f>+G600</f>
        <v>"04-2026"  RF/GC TT115 8859</v>
      </c>
      <c r="I601" s="10">
        <f>+I600</f>
        <v>8859</v>
      </c>
      <c r="J601" s="353"/>
    </row>
    <row r="602" spans="1:20" x14ac:dyDescent="0.35">
      <c r="A602" s="130" t="s">
        <v>853</v>
      </c>
      <c r="B602" s="14">
        <v>206169</v>
      </c>
      <c r="C602" s="15" t="s">
        <v>30</v>
      </c>
      <c r="G602" s="9" t="str">
        <f>+VLOOKUP(B602,arriendo1!A:R,3,0)</f>
        <v>T105</v>
      </c>
      <c r="H602" s="131">
        <v>8583</v>
      </c>
      <c r="J602" s="515">
        <f>+VLOOKUP(H602,contratos!A:R,5,0)</f>
        <v>42370</v>
      </c>
      <c r="K602" s="266" t="str">
        <f>+VLOOKUP(H602,contratos!A:R,12,0)</f>
        <v>VENCIDO</v>
      </c>
      <c r="L602" s="341" t="str">
        <f>+VLOOKUP(H602,contratos!A:R,13,0)</f>
        <v>CESADO</v>
      </c>
      <c r="M602" s="341">
        <f>+VLOOKUP(H602,contratos!A:R,15,0)</f>
        <v>0</v>
      </c>
      <c r="N602" s="336">
        <f>+VLOOKUP(H602,contratos!A:R,16,0)</f>
        <v>0</v>
      </c>
      <c r="O602" s="341">
        <f>+VLOOKUP(B602,PRORRATEO!A:M,8,0)</f>
        <v>9715141</v>
      </c>
      <c r="P602" s="341">
        <f>+VLOOKUP(B602,PRORRATEO!A:M,9,0)</f>
        <v>1845876.79</v>
      </c>
      <c r="Q602" s="341">
        <f>+VLOOKUP(B602,PRORRATEO!A:M,10,0)</f>
        <v>177204.17184</v>
      </c>
      <c r="R602" s="341">
        <f>+VLOOKUP(B602,PRORRATEO!A:M,11,0)</f>
        <v>1668672.6181600001</v>
      </c>
      <c r="S602" s="339">
        <f>+VLOOKUP(B602,PRORRATEO!A:M,12,0)</f>
        <v>9.6000000000000002E-2</v>
      </c>
      <c r="T602" s="339">
        <f>+VLOOKUP(B602,PRORRATEO!A:M,13,0)</f>
        <v>0.90400000000000003</v>
      </c>
    </row>
    <row r="603" spans="1:20" x14ac:dyDescent="0.35">
      <c r="B603" s="14">
        <v>1242100042</v>
      </c>
      <c r="C603" s="10" t="s">
        <v>983</v>
      </c>
      <c r="D603" s="299">
        <f>+D604+D606+D607-D605</f>
        <v>2350923.5399999996</v>
      </c>
      <c r="E603" t="s">
        <v>984</v>
      </c>
      <c r="F603">
        <v>31</v>
      </c>
      <c r="G603" s="316" t="str">
        <f>+CONCATENATE($G$7," RV ",G602," ",H602)</f>
        <v>"04-2026" RV T105 8583</v>
      </c>
      <c r="J603" s="516"/>
    </row>
    <row r="604" spans="1:20" x14ac:dyDescent="0.35">
      <c r="B604" s="4">
        <v>1149120011</v>
      </c>
      <c r="C604" s="251" t="s">
        <v>96</v>
      </c>
      <c r="D604" s="268">
        <f>+D607*0.19</f>
        <v>375357.54</v>
      </c>
      <c r="E604" t="s">
        <v>97</v>
      </c>
      <c r="F604">
        <v>40</v>
      </c>
      <c r="G604" s="318" t="str">
        <f>+G603</f>
        <v>"04-2026" RV T105 8583</v>
      </c>
      <c r="J604" s="516"/>
    </row>
    <row r="605" spans="1:20" x14ac:dyDescent="0.35">
      <c r="B605" s="209">
        <v>1149120011</v>
      </c>
      <c r="C605" s="251" t="s">
        <v>96</v>
      </c>
      <c r="D605" s="268">
        <f>+D604*S602</f>
        <v>36034.323839999997</v>
      </c>
      <c r="E605" s="10" t="s">
        <v>97</v>
      </c>
      <c r="F605" s="209">
        <v>50</v>
      </c>
      <c r="G605" s="318" t="str">
        <f>+G604</f>
        <v>"04-2026" RV T105 8583</v>
      </c>
      <c r="I605" s="10">
        <f>+H602</f>
        <v>8583</v>
      </c>
      <c r="J605" s="516"/>
    </row>
    <row r="606" spans="1:20" x14ac:dyDescent="0.35">
      <c r="B606" s="209">
        <v>1149120011</v>
      </c>
      <c r="C606" s="251" t="s">
        <v>96</v>
      </c>
      <c r="D606" s="268">
        <f>+D605</f>
        <v>36034.323839999997</v>
      </c>
      <c r="E606" s="10" t="s">
        <v>98</v>
      </c>
      <c r="F606" s="209">
        <v>40</v>
      </c>
      <c r="G606" s="318" t="str">
        <f>+G605</f>
        <v>"04-2026" RV T105 8583</v>
      </c>
      <c r="I606" s="10">
        <f>+I605</f>
        <v>8583</v>
      </c>
      <c r="J606" s="517"/>
    </row>
    <row r="607" spans="1:20" x14ac:dyDescent="0.35">
      <c r="B607" s="209">
        <v>1245150017</v>
      </c>
      <c r="C607" s="251" t="s">
        <v>1018</v>
      </c>
      <c r="D607" s="268">
        <v>1975566</v>
      </c>
      <c r="E607" s="10" t="s">
        <v>97</v>
      </c>
      <c r="F607" s="209">
        <v>40</v>
      </c>
      <c r="G607" s="318" t="str">
        <f>+G606</f>
        <v>"04-2026" RV T105 8583</v>
      </c>
      <c r="I607" s="10">
        <f>+I606</f>
        <v>8583</v>
      </c>
    </row>
    <row r="608" spans="1:20" x14ac:dyDescent="0.35">
      <c r="A608" s="130" t="s">
        <v>854</v>
      </c>
      <c r="B608" s="14">
        <v>209888</v>
      </c>
      <c r="C608" s="15" t="s">
        <v>301</v>
      </c>
      <c r="G608" s="10" t="str">
        <f>VLOOKUP(B611,ADMON!A:P,5,0)</f>
        <v>R004</v>
      </c>
      <c r="H608" s="54">
        <f>+VLOOKUP(G608,ADMON!E:G,3,0)</f>
        <v>9355</v>
      </c>
      <c r="J608" s="350">
        <f>+VLOOKUP(H608,contratos!A:R,5,0)</f>
        <v>43115</v>
      </c>
      <c r="K608" s="266" t="str">
        <f>+VLOOKUP(H608,contratos!A:R,12,0)</f>
        <v>VENCIDO</v>
      </c>
      <c r="L608" s="341" t="str">
        <f>+VLOOKUP(H608,contratos!A:R,13,0)</f>
        <v>CESADO</v>
      </c>
      <c r="M608" s="341">
        <f>+VLOOKUP(H608,contratos!A:R,15,0)</f>
        <v>0</v>
      </c>
      <c r="N608" s="336">
        <f>+VLOOKUP(H608,contratos!A:R,16,0)</f>
        <v>0</v>
      </c>
      <c r="O608" s="341">
        <f>+VLOOKUP(H608,PRORRATEO!F:M,3,0)</f>
        <v>49094705</v>
      </c>
      <c r="P608" s="341">
        <f>+VLOOKUP(H608,PRORRATEO!F:M,4,0)</f>
        <v>9327993.9499999993</v>
      </c>
      <c r="Q608" s="341">
        <f>+VLOOKUP(H608,PRORRATEO!F:M,5,0)</f>
        <v>9327993.9499999993</v>
      </c>
      <c r="R608" s="341">
        <f>+VLOOKUP(H608,PRORRATEO!F:M,6,0)</f>
        <v>0</v>
      </c>
      <c r="S608" s="339">
        <f>+VLOOKUP(H608,PRORRATEO!F:M,7,0)</f>
        <v>1</v>
      </c>
      <c r="T608" s="339">
        <f>+VLOOKUP(H608,PRORRATEO!F:M,8,0)</f>
        <v>0</v>
      </c>
    </row>
    <row r="609" spans="1:20" x14ac:dyDescent="0.35">
      <c r="B609" s="4">
        <v>1242100042</v>
      </c>
      <c r="C609" s="251" t="s">
        <v>983</v>
      </c>
      <c r="D609" s="268">
        <f>-D610</f>
        <v>-39097</v>
      </c>
      <c r="E609" t="s">
        <v>80</v>
      </c>
      <c r="F609">
        <v>31</v>
      </c>
      <c r="G609" s="348" t="str">
        <f>+CONCATENATE($G$7,"  GC T",G608," ",H608)</f>
        <v>"04-2026"  GC TR004 9355</v>
      </c>
      <c r="J609" s="317" t="s">
        <v>985</v>
      </c>
    </row>
    <row r="610" spans="1:20" x14ac:dyDescent="0.35">
      <c r="B610" s="209">
        <v>1537210002</v>
      </c>
      <c r="C610" s="251" t="s">
        <v>1015</v>
      </c>
      <c r="D610" s="268">
        <v>39097</v>
      </c>
      <c r="E610" s="10" t="s">
        <v>80</v>
      </c>
      <c r="F610" s="209">
        <v>40</v>
      </c>
      <c r="G610" s="318" t="str">
        <f>+G609</f>
        <v>"04-2026"  GC TR004 9355</v>
      </c>
      <c r="I610" s="10">
        <f>+H608</f>
        <v>9355</v>
      </c>
      <c r="J610" s="10"/>
    </row>
    <row r="611" spans="1:20" x14ac:dyDescent="0.35">
      <c r="A611" s="130" t="s">
        <v>854</v>
      </c>
      <c r="B611" s="14">
        <v>209888</v>
      </c>
      <c r="C611" s="15" t="s">
        <v>301</v>
      </c>
      <c r="G611" s="10" t="str">
        <f>VLOOKUP(B611,ADMON!A:P,5,0)</f>
        <v>R004</v>
      </c>
      <c r="H611" s="54">
        <f>+VLOOKUP(G611,ADMON!E:G,3,0)</f>
        <v>9355</v>
      </c>
      <c r="J611" s="350">
        <f>+VLOOKUP(H611,contratos!A:R,5,0)</f>
        <v>43115</v>
      </c>
      <c r="K611" s="266" t="str">
        <f>+VLOOKUP(H611,contratos!A:R,12,0)</f>
        <v>VENCIDO</v>
      </c>
      <c r="L611" s="341" t="str">
        <f>+VLOOKUP(H611,contratos!A:R,13,0)</f>
        <v>CESADO</v>
      </c>
      <c r="M611" s="341">
        <f>+VLOOKUP(H611,contratos!A:R,15,0)</f>
        <v>0</v>
      </c>
      <c r="N611" s="336">
        <f>+VLOOKUP(H611,contratos!A:R,16,0)</f>
        <v>0</v>
      </c>
      <c r="O611" s="341">
        <f>+VLOOKUP(H611,PRORRATEO!F:M,3,0)</f>
        <v>49094705</v>
      </c>
      <c r="P611" s="341">
        <f>+VLOOKUP(H611,PRORRATEO!F:M,4,0)</f>
        <v>9327993.9499999993</v>
      </c>
      <c r="Q611" s="341">
        <f>+VLOOKUP(H611,PRORRATEO!F:M,5,0)</f>
        <v>9327993.9499999993</v>
      </c>
      <c r="R611" s="341">
        <f>+VLOOKUP(H611,PRORRATEO!F:M,6,0)</f>
        <v>0</v>
      </c>
      <c r="S611" s="339">
        <f>+VLOOKUP(H611,PRORRATEO!F:M,7,0)</f>
        <v>1</v>
      </c>
      <c r="T611" s="339">
        <f>+VLOOKUP(H611,PRORRATEO!F:M,8,0)</f>
        <v>0</v>
      </c>
    </row>
    <row r="612" spans="1:20" x14ac:dyDescent="0.35">
      <c r="B612" s="4">
        <v>1242100042</v>
      </c>
      <c r="C612" s="251" t="s">
        <v>983</v>
      </c>
      <c r="D612" s="268">
        <f>-D613</f>
        <v>-307</v>
      </c>
      <c r="E612" t="s">
        <v>80</v>
      </c>
      <c r="F612">
        <v>31</v>
      </c>
      <c r="G612" s="316" t="str">
        <f>+CONCATENATE($G$7,"  GC T",G608," ",H608)</f>
        <v>"04-2026"  GC TR004 9355</v>
      </c>
      <c r="J612" s="317" t="s">
        <v>985</v>
      </c>
    </row>
    <row r="613" spans="1:20" x14ac:dyDescent="0.35">
      <c r="B613" s="209">
        <v>1537210002</v>
      </c>
      <c r="C613" s="251" t="s">
        <v>1015</v>
      </c>
      <c r="D613" s="268">
        <v>307</v>
      </c>
      <c r="E613" s="16" t="s">
        <v>80</v>
      </c>
      <c r="F613" s="209">
        <v>40</v>
      </c>
      <c r="G613" s="318" t="str">
        <f>+G612</f>
        <v>"04-2026"  GC TR004 9355</v>
      </c>
      <c r="I613" s="10">
        <f>+H611</f>
        <v>9355</v>
      </c>
      <c r="J613" s="10"/>
    </row>
    <row r="614" spans="1:20" x14ac:dyDescent="0.35">
      <c r="A614" s="130" t="s">
        <v>854</v>
      </c>
      <c r="B614" s="14">
        <v>209888</v>
      </c>
      <c r="C614" s="15" t="s">
        <v>301</v>
      </c>
      <c r="G614" s="10" t="str">
        <f>VLOOKUP(B614,ADMON!A:P,5,0)</f>
        <v>R004</v>
      </c>
      <c r="H614" s="54">
        <f>+VLOOKUP(G614,ADMON!E:G,3,0)</f>
        <v>9355</v>
      </c>
      <c r="J614" s="350">
        <f>+VLOOKUP(H614,contratos!A:R,5,0)</f>
        <v>43115</v>
      </c>
      <c r="K614" s="266" t="str">
        <f>+VLOOKUP(H614,contratos!A:R,12,0)</f>
        <v>VENCIDO</v>
      </c>
      <c r="L614" s="341" t="str">
        <f>+VLOOKUP(H614,contratos!A:R,13,0)</f>
        <v>CESADO</v>
      </c>
      <c r="M614" s="341">
        <f>+VLOOKUP(H614,contratos!A:R,15,0)</f>
        <v>0</v>
      </c>
      <c r="N614" s="336">
        <f>+VLOOKUP(H614,contratos!A:R,16,0)</f>
        <v>0</v>
      </c>
      <c r="O614" s="341">
        <f>+VLOOKUP(H614,PRORRATEO!F:M,3,0)</f>
        <v>49094705</v>
      </c>
      <c r="P614" s="341">
        <f>+VLOOKUP(H614,PRORRATEO!F:M,4,0)</f>
        <v>9327993.9499999993</v>
      </c>
      <c r="Q614" s="341">
        <f>+VLOOKUP(H614,PRORRATEO!F:M,5,0)</f>
        <v>9327993.9499999993</v>
      </c>
      <c r="R614" s="341">
        <f>+VLOOKUP(H614,PRORRATEO!F:M,6,0)</f>
        <v>0</v>
      </c>
      <c r="S614" s="339">
        <f>+VLOOKUP(H614,PRORRATEO!F:M,7,0)</f>
        <v>1</v>
      </c>
      <c r="T614" s="339">
        <f>+VLOOKUP(H614,PRORRATEO!F:M,8,0)</f>
        <v>0</v>
      </c>
    </row>
    <row r="615" spans="1:20" x14ac:dyDescent="0.35">
      <c r="B615" s="4">
        <v>1242100042</v>
      </c>
      <c r="C615" s="251" t="s">
        <v>983</v>
      </c>
      <c r="D615" s="268">
        <f>-D616+D617</f>
        <v>-1236122</v>
      </c>
      <c r="E615" t="s">
        <v>80</v>
      </c>
      <c r="F615">
        <v>31</v>
      </c>
      <c r="G615" s="348" t="str">
        <f>+CONCATENATE($G$7,"  GC T",G614," ",H614)</f>
        <v>"04-2026"  GC TR004 9355</v>
      </c>
      <c r="J615" s="317" t="s">
        <v>985</v>
      </c>
    </row>
    <row r="616" spans="1:20" x14ac:dyDescent="0.35">
      <c r="B616" s="209">
        <v>1537210002</v>
      </c>
      <c r="C616" s="251" t="s">
        <v>1114</v>
      </c>
      <c r="D616" s="268">
        <v>1545153</v>
      </c>
      <c r="E616" s="16" t="s">
        <v>80</v>
      </c>
      <c r="F616" s="209">
        <v>40</v>
      </c>
      <c r="G616" s="318" t="str">
        <f>+G615</f>
        <v>"04-2026"  GC TR004 9355</v>
      </c>
      <c r="I616" s="10">
        <f>+H614</f>
        <v>9355</v>
      </c>
      <c r="J616" s="317"/>
    </row>
    <row r="617" spans="1:20" x14ac:dyDescent="0.35">
      <c r="B617" s="209">
        <v>1537210002</v>
      </c>
      <c r="C617" s="251" t="s">
        <v>1114</v>
      </c>
      <c r="D617" s="268">
        <v>309031</v>
      </c>
      <c r="E617" s="434" t="s">
        <v>80</v>
      </c>
      <c r="F617" s="209">
        <v>50</v>
      </c>
      <c r="G617" s="318" t="str">
        <f>+G615</f>
        <v>"04-2026"  GC TR004 9355</v>
      </c>
      <c r="I617" s="10">
        <f>+I616</f>
        <v>9355</v>
      </c>
      <c r="J617" s="10"/>
      <c r="K617" s="338"/>
    </row>
    <row r="618" spans="1:20" x14ac:dyDescent="0.35">
      <c r="A618" s="130" t="s">
        <v>854</v>
      </c>
      <c r="B618" s="14">
        <v>209888</v>
      </c>
      <c r="C618" s="15" t="s">
        <v>301</v>
      </c>
      <c r="G618" s="10" t="str">
        <f>VLOOKUP(B618,ADMON!A:P,5,0)</f>
        <v>R004</v>
      </c>
      <c r="H618" s="54">
        <f>+VLOOKUP(G618,ADMON!E:G,3,0)</f>
        <v>9355</v>
      </c>
      <c r="J618" s="350">
        <f>+VLOOKUP(H618,contratos!A:R,5,0)</f>
        <v>43115</v>
      </c>
      <c r="K618" s="266" t="str">
        <f>+VLOOKUP(H618,contratos!A:R,12,0)</f>
        <v>VENCIDO</v>
      </c>
      <c r="L618" s="341" t="str">
        <f>+VLOOKUP(H618,contratos!A:R,13,0)</f>
        <v>CESADO</v>
      </c>
      <c r="M618" s="341">
        <f>+VLOOKUP(H618,contratos!A:R,15,0)</f>
        <v>0</v>
      </c>
      <c r="N618" s="336">
        <f>+VLOOKUP(H618,contratos!A:R,16,0)</f>
        <v>0</v>
      </c>
      <c r="O618" s="341">
        <f>+VLOOKUP(H618,PRORRATEO!F:M,3,0)</f>
        <v>49094705</v>
      </c>
      <c r="P618" s="341">
        <f>+VLOOKUP(H618,PRORRATEO!F:M,4,0)</f>
        <v>9327993.9499999993</v>
      </c>
      <c r="Q618" s="341">
        <f>+VLOOKUP(H618,PRORRATEO!F:M,5,0)</f>
        <v>9327993.9499999993</v>
      </c>
      <c r="R618" s="341">
        <f>+VLOOKUP(H618,PRORRATEO!F:M,6,0)</f>
        <v>0</v>
      </c>
      <c r="S618" s="339">
        <f>+VLOOKUP(H618,PRORRATEO!F:M,7,0)</f>
        <v>1</v>
      </c>
      <c r="T618" s="339">
        <f>+VLOOKUP(H618,PRORRATEO!F:M,8,0)</f>
        <v>0</v>
      </c>
    </row>
    <row r="619" spans="1:20" x14ac:dyDescent="0.35">
      <c r="B619" s="4">
        <v>1242100042</v>
      </c>
      <c r="C619" s="251" t="s">
        <v>983</v>
      </c>
      <c r="D619" s="268">
        <f>-D620+D621</f>
        <v>-1300401</v>
      </c>
      <c r="E619" t="s">
        <v>80</v>
      </c>
      <c r="F619">
        <v>31</v>
      </c>
      <c r="G619" s="316" t="str">
        <f>+CONCATENATE($G$7,"  GC T",G618," ",H618)</f>
        <v>"04-2026"  GC TR004 9355</v>
      </c>
      <c r="J619" s="317" t="s">
        <v>985</v>
      </c>
    </row>
    <row r="620" spans="1:20" x14ac:dyDescent="0.35">
      <c r="B620" s="209">
        <v>1537210002</v>
      </c>
      <c r="C620" s="251" t="s">
        <v>1114</v>
      </c>
      <c r="D620" s="268">
        <v>1625501</v>
      </c>
      <c r="E620" s="16" t="s">
        <v>80</v>
      </c>
      <c r="F620" s="209">
        <v>40</v>
      </c>
      <c r="G620" s="318" t="str">
        <f>+G619</f>
        <v>"04-2026"  GC TR004 9355</v>
      </c>
      <c r="I620" s="10">
        <f>+H618</f>
        <v>9355</v>
      </c>
      <c r="J620" s="317"/>
    </row>
    <row r="621" spans="1:20" x14ac:dyDescent="0.35">
      <c r="B621" s="209">
        <v>1537210002</v>
      </c>
      <c r="C621" s="251" t="s">
        <v>1114</v>
      </c>
      <c r="D621" s="298">
        <v>325100</v>
      </c>
      <c r="E621" s="16" t="s">
        <v>80</v>
      </c>
      <c r="F621" s="209">
        <v>50</v>
      </c>
      <c r="G621" s="318" t="str">
        <f>+G619</f>
        <v>"04-2026"  GC TR004 9355</v>
      </c>
      <c r="I621" s="10">
        <f>+I620</f>
        <v>9355</v>
      </c>
      <c r="J621" s="10"/>
    </row>
    <row r="622" spans="1:20" x14ac:dyDescent="0.35">
      <c r="A622" s="130" t="s">
        <v>853</v>
      </c>
      <c r="B622" s="14">
        <v>209888</v>
      </c>
      <c r="C622" s="301" t="s">
        <v>301</v>
      </c>
      <c r="D622" s="299">
        <f>SUM(D623:D624)</f>
        <v>883636</v>
      </c>
      <c r="G622" s="10" t="str">
        <f>VLOOKUP(B622,ADMON!A:P,5,0)</f>
        <v>R004</v>
      </c>
      <c r="H622" s="54">
        <f>+VLOOKUP(G622,ADMON!E:G,3,0)</f>
        <v>9355</v>
      </c>
      <c r="J622" s="350">
        <f>+VLOOKUP(H622,contratos!A:R,5,0)</f>
        <v>43115</v>
      </c>
      <c r="K622" s="266" t="str">
        <f>+VLOOKUP(H622,contratos!A:R,12,0)</f>
        <v>VENCIDO</v>
      </c>
      <c r="L622" s="341" t="str">
        <f>+VLOOKUP(H622,contratos!A:R,13,0)</f>
        <v>CESADO</v>
      </c>
      <c r="M622" s="341">
        <f>+VLOOKUP(H622,contratos!A:R,15,0)</f>
        <v>0</v>
      </c>
      <c r="N622" s="336">
        <f>+VLOOKUP(H622,contratos!A:R,16,0)</f>
        <v>0</v>
      </c>
      <c r="O622" s="341">
        <f>+VLOOKUP(H622,PRORRATEO!F:M,3,0)</f>
        <v>49094705</v>
      </c>
      <c r="P622" s="341">
        <f>+VLOOKUP(H622,PRORRATEO!F:M,4,0)</f>
        <v>9327993.9499999993</v>
      </c>
      <c r="Q622" s="341">
        <f>+VLOOKUP(H622,PRORRATEO!F:M,5,0)</f>
        <v>9327993.9499999993</v>
      </c>
      <c r="R622" s="341">
        <f>+VLOOKUP(H622,PRORRATEO!F:M,6,0)</f>
        <v>0</v>
      </c>
      <c r="S622" s="339">
        <f>+VLOOKUP(H622,PRORRATEO!F:M,7,0)</f>
        <v>1</v>
      </c>
      <c r="T622" s="339">
        <f>+VLOOKUP(H622,PRORRATEO!F:M,8,0)</f>
        <v>0</v>
      </c>
    </row>
    <row r="623" spans="1:20" x14ac:dyDescent="0.35">
      <c r="B623" s="209">
        <v>1537210002</v>
      </c>
      <c r="C623" s="251" t="s">
        <v>1114</v>
      </c>
      <c r="D623" s="268">
        <v>12380</v>
      </c>
      <c r="E623" s="16" t="s">
        <v>80</v>
      </c>
      <c r="F623" s="209">
        <v>40</v>
      </c>
      <c r="G623" s="348" t="str">
        <f>+CONCATENATE($G$7,"  GC T",G622," ",H622)</f>
        <v>"04-2026"  GC TR004 9355</v>
      </c>
      <c r="I623" s="10">
        <f>+H622</f>
        <v>9355</v>
      </c>
      <c r="J623" s="10"/>
    </row>
    <row r="624" spans="1:20" x14ac:dyDescent="0.35">
      <c r="B624" s="209">
        <v>1532001605</v>
      </c>
      <c r="C624" s="251" t="s">
        <v>1030</v>
      </c>
      <c r="D624" s="298">
        <v>871256</v>
      </c>
      <c r="E624" s="16" t="s">
        <v>80</v>
      </c>
      <c r="F624" s="209">
        <v>40</v>
      </c>
      <c r="G624" s="316" t="str">
        <f>+CONCATENATE($G$7,"  ENERGIA T",G622," ",H622)</f>
        <v>"04-2026"  ENERGIA TR004 9355</v>
      </c>
      <c r="I624" s="10">
        <f>+I623</f>
        <v>9355</v>
      </c>
      <c r="J624" s="10"/>
    </row>
    <row r="625" spans="1:20" x14ac:dyDescent="0.35">
      <c r="A625" s="130" t="s">
        <v>854</v>
      </c>
      <c r="B625" s="14">
        <v>204887</v>
      </c>
      <c r="C625" s="15" t="s">
        <v>359</v>
      </c>
      <c r="G625" s="10" t="str">
        <f>VLOOKUP(B625,ADMON!A:P,5,0)</f>
        <v>T100</v>
      </c>
      <c r="H625" s="54">
        <f>+VLOOKUP(G625,ADMON!E:G,3,0)</f>
        <v>6767</v>
      </c>
      <c r="J625" s="350">
        <f>+VLOOKUP(H625,contratos!A:R,5,0)</f>
        <v>45582</v>
      </c>
      <c r="K625" s="266" t="str">
        <f>+VLOOKUP(H625,contratos!A:R,12,0)</f>
        <v>OK</v>
      </c>
      <c r="L625" s="341" t="str">
        <f>+VLOOKUP(H625,contratos!A:R,13,0)</f>
        <v>VIGENTE</v>
      </c>
      <c r="M625" s="341">
        <f>+VLOOKUP(H625,contratos!A:R,15,0)</f>
        <v>0</v>
      </c>
      <c r="N625" s="336">
        <f>+VLOOKUP(H625,contratos!A:R,16,0)</f>
        <v>0</v>
      </c>
      <c r="O625" s="341">
        <f>+VLOOKUP(H625,PRORRATEO!F:M,3,0)</f>
        <v>3986803</v>
      </c>
      <c r="P625" s="341">
        <f>+VLOOKUP(H625,PRORRATEO!F:M,4,0)</f>
        <v>757492.57000000007</v>
      </c>
      <c r="Q625" s="341">
        <f>+VLOOKUP(H625,PRORRATEO!F:M,5,0)</f>
        <v>65144.361020000004</v>
      </c>
      <c r="R625" s="341">
        <f>+VLOOKUP(H625,PRORRATEO!F:M,6,0)</f>
        <v>692348.20898000011</v>
      </c>
      <c r="S625" s="339">
        <f>+VLOOKUP(H625,PRORRATEO!F:M,7,0)</f>
        <v>8.5999999999999993E-2</v>
      </c>
      <c r="T625" s="339">
        <f>+VLOOKUP(H625,PRORRATEO!F:M,8,0)</f>
        <v>0.91400000000000003</v>
      </c>
    </row>
    <row r="626" spans="1:20" x14ac:dyDescent="0.35">
      <c r="B626" s="4">
        <v>1242100042</v>
      </c>
      <c r="C626" s="251" t="s">
        <v>983</v>
      </c>
      <c r="E626" t="s">
        <v>80</v>
      </c>
      <c r="F626">
        <v>31</v>
      </c>
      <c r="G626" s="316" t="str">
        <f>+CONCATENATE($G$7,"  GC ",G625," ",H625)</f>
        <v>"04-2026"  GC T100 6767</v>
      </c>
      <c r="J626" s="317" t="s">
        <v>985</v>
      </c>
    </row>
    <row r="627" spans="1:20" x14ac:dyDescent="0.35">
      <c r="B627" s="209">
        <v>1245150017</v>
      </c>
      <c r="C627" s="251" t="s">
        <v>77</v>
      </c>
      <c r="D627" s="268" t="s">
        <v>1019</v>
      </c>
      <c r="E627" s="16" t="s">
        <v>80</v>
      </c>
      <c r="F627" s="209">
        <v>40</v>
      </c>
      <c r="G627" s="318" t="str">
        <f>+G626</f>
        <v>"04-2026"  GC T100 6767</v>
      </c>
      <c r="J627" s="10"/>
    </row>
    <row r="628" spans="1:20" x14ac:dyDescent="0.35">
      <c r="A628" s="130" t="s">
        <v>853</v>
      </c>
      <c r="B628" s="14">
        <v>427410</v>
      </c>
      <c r="C628" s="251" t="s">
        <v>1020</v>
      </c>
      <c r="D628" s="268">
        <v>1524969</v>
      </c>
      <c r="E628"/>
      <c r="G628" s="10" t="s">
        <v>607</v>
      </c>
      <c r="H628" s="54" t="str">
        <f>+VLOOKUP(G628,ADMON!E:G,3,0)</f>
        <v>E924</v>
      </c>
      <c r="J628" s="350">
        <f>+VLOOKUP(H628,contratos!A:R,5,0)</f>
        <v>45786</v>
      </c>
      <c r="K628" s="266" t="str">
        <f>+VLOOKUP(H628,contratos!A:R,12,0)</f>
        <v>OK</v>
      </c>
      <c r="L628" s="341" t="str">
        <f>+VLOOKUP(H628,contratos!A:R,13,0)</f>
        <v>VIGENTE</v>
      </c>
      <c r="M628" s="341">
        <f>+VLOOKUP(H628,contratos!A:R,15,0)</f>
        <v>0</v>
      </c>
      <c r="N628" s="336">
        <f>+VLOOKUP(H628,contratos!A:R,16,0)</f>
        <v>0</v>
      </c>
      <c r="O628" s="341">
        <f>+VLOOKUP(H628,PRORRATEO!F:M,3,0)</f>
        <v>16500000</v>
      </c>
      <c r="P628" s="341">
        <f>+VLOOKUP(H628,PRORRATEO!F:M,4,0)</f>
        <v>3135000</v>
      </c>
      <c r="Q628" s="341">
        <f>+VLOOKUP(H628,PRORRATEO!F:M,5,0)</f>
        <v>3135000</v>
      </c>
      <c r="R628" s="341">
        <f>+VLOOKUP(H628,PRORRATEO!F:M,6,0)</f>
        <v>0</v>
      </c>
      <c r="S628" s="339">
        <f>+VLOOKUP(H628,PRORRATEO!F:M,7,0)</f>
        <v>1</v>
      </c>
      <c r="T628" s="339">
        <f>+VLOOKUP(H628,PRORRATEO!F:M,8,0)</f>
        <v>0</v>
      </c>
    </row>
    <row r="629" spans="1:20" x14ac:dyDescent="0.35">
      <c r="B629" s="4">
        <v>1242100001</v>
      </c>
      <c r="C629" s="251" t="s">
        <v>1011</v>
      </c>
      <c r="D629" s="299">
        <f>SUBTOTAL(9,D630:D631)</f>
        <v>19635000</v>
      </c>
      <c r="F629">
        <v>31</v>
      </c>
      <c r="G629" s="316" t="str">
        <f>+CONCATENATE($G$7," RF ",G628," ",H628)</f>
        <v>"04-2026" RF R007 E924</v>
      </c>
      <c r="J629" s="317" t="s">
        <v>985</v>
      </c>
      <c r="K629" s="338"/>
    </row>
    <row r="630" spans="1:20" x14ac:dyDescent="0.35">
      <c r="B630" s="209">
        <v>1245150017</v>
      </c>
      <c r="C630" s="251" t="s">
        <v>77</v>
      </c>
      <c r="D630" s="298">
        <f>+O628</f>
        <v>16500000</v>
      </c>
      <c r="E630" s="16" t="s">
        <v>98</v>
      </c>
      <c r="F630" s="209">
        <v>40</v>
      </c>
      <c r="G630" s="318" t="str">
        <f>+G629</f>
        <v>"04-2026" RF R007 E924</v>
      </c>
      <c r="I630" s="10" t="str">
        <f>+H628</f>
        <v>E924</v>
      </c>
      <c r="J630" s="10"/>
    </row>
    <row r="631" spans="1:20" x14ac:dyDescent="0.35">
      <c r="B631" s="4">
        <v>1149120011</v>
      </c>
      <c r="C631" s="251" t="s">
        <v>96</v>
      </c>
      <c r="D631" s="268">
        <f>+D630*0.19</f>
        <v>3135000</v>
      </c>
      <c r="E631" s="16" t="s">
        <v>97</v>
      </c>
      <c r="F631">
        <v>40</v>
      </c>
      <c r="G631" s="318" t="str">
        <f>+G630</f>
        <v>"04-2026" RF R007 E924</v>
      </c>
      <c r="J631" s="10"/>
    </row>
    <row r="632" spans="1:20" x14ac:dyDescent="0.35">
      <c r="A632" s="130" t="s">
        <v>854</v>
      </c>
      <c r="B632" s="14">
        <v>204625</v>
      </c>
      <c r="C632" s="251" t="s">
        <v>563</v>
      </c>
      <c r="D632" s="268">
        <f>+D631*0.19</f>
        <v>595650</v>
      </c>
      <c r="G632" s="10" t="s">
        <v>581</v>
      </c>
      <c r="H632" s="54">
        <f>+VLOOKUP(G632,ADMON!E:G,3,0)</f>
        <v>6717</v>
      </c>
      <c r="J632" s="350">
        <f>+VLOOKUP(H632,contratos!A:R,5,0)</f>
        <v>42736</v>
      </c>
      <c r="K632" s="266" t="str">
        <f>+VLOOKUP(H632,contratos!A:R,12,0)</f>
        <v>OK</v>
      </c>
      <c r="L632" s="341" t="str">
        <f>+VLOOKUP(H632,contratos!A:R,13,0)</f>
        <v>VIGENTE</v>
      </c>
      <c r="M632" s="341">
        <f>+VLOOKUP(H632,contratos!A:R,15,0)</f>
        <v>0</v>
      </c>
      <c r="N632" s="336">
        <f>+VLOOKUP(H632,contratos!A:R,16,0)</f>
        <v>0</v>
      </c>
      <c r="O632" s="341">
        <f>+VLOOKUP(H632,PRORRATEO!F:M,3,0)</f>
        <v>18577600</v>
      </c>
      <c r="P632" s="341">
        <f>+VLOOKUP(H632,PRORRATEO!F:M,4,0)</f>
        <v>3529744</v>
      </c>
      <c r="Q632" s="341">
        <f>+VLOOKUP(H632,PRORRATEO!F:M,5,0)</f>
        <v>363563.63199999998</v>
      </c>
      <c r="R632" s="341">
        <f>+VLOOKUP(H632,PRORRATEO!F:M,6,0)</f>
        <v>3166180.3680000002</v>
      </c>
      <c r="S632" s="339">
        <f>+VLOOKUP(H632,PRORRATEO!F:M,7,0)</f>
        <v>0.10299999999999999</v>
      </c>
      <c r="T632" s="339">
        <f>+VLOOKUP(H632,PRORRATEO!F:M,8,0)</f>
        <v>0.89700000000000002</v>
      </c>
    </row>
    <row r="633" spans="1:20" x14ac:dyDescent="0.35">
      <c r="B633" s="4">
        <v>1242100001</v>
      </c>
      <c r="C633" s="251" t="s">
        <v>1011</v>
      </c>
      <c r="D633" s="299">
        <f>SUBTOTAL(9,D634:D637)</f>
        <v>1675335</v>
      </c>
      <c r="E633" t="s">
        <v>80</v>
      </c>
      <c r="F633">
        <v>31</v>
      </c>
      <c r="G633" s="316" t="str">
        <f>+CONCATENATE($G$7,"  GC ",G632," ",H632)</f>
        <v>"04-2026"  GC T082 6717</v>
      </c>
      <c r="J633" s="10" t="s">
        <v>1776</v>
      </c>
      <c r="K633" s="514"/>
      <c r="L633" s="266">
        <v>1171389</v>
      </c>
    </row>
    <row r="634" spans="1:20" x14ac:dyDescent="0.35">
      <c r="B634" s="209">
        <v>1537210003</v>
      </c>
      <c r="C634" s="251" t="s">
        <v>1013</v>
      </c>
      <c r="D634" s="268">
        <f>+L634</f>
        <v>447649</v>
      </c>
      <c r="E634" s="16" t="s">
        <v>80</v>
      </c>
      <c r="F634" s="209">
        <v>40</v>
      </c>
      <c r="G634" s="318" t="str">
        <f>+G633</f>
        <v>"04-2026"  GC T082 6717</v>
      </c>
      <c r="I634" s="10">
        <f>+H632</f>
        <v>6717</v>
      </c>
      <c r="J634" s="10" t="s">
        <v>1777</v>
      </c>
      <c r="K634" s="514"/>
      <c r="L634" s="266">
        <v>447649</v>
      </c>
    </row>
    <row r="635" spans="1:20" x14ac:dyDescent="0.35">
      <c r="B635" s="209">
        <v>1532001605</v>
      </c>
      <c r="C635" s="251" t="s">
        <v>1017</v>
      </c>
      <c r="D635" s="268">
        <f>+L636</f>
        <v>15046</v>
      </c>
      <c r="E635" s="16" t="s">
        <v>80</v>
      </c>
      <c r="F635" s="209">
        <v>40</v>
      </c>
      <c r="G635" s="318" t="str">
        <f>+CONCATENATE($G$7,"  ELEC ",G632," ",H632)</f>
        <v>"04-2026"  ELEC T082 6717</v>
      </c>
      <c r="I635" s="10">
        <f>+I634</f>
        <v>6717</v>
      </c>
      <c r="J635" s="10" t="s">
        <v>1778</v>
      </c>
      <c r="K635" s="514"/>
      <c r="L635" s="266">
        <v>33590</v>
      </c>
    </row>
    <row r="636" spans="1:20" x14ac:dyDescent="0.35">
      <c r="B636" s="209">
        <v>1532001604</v>
      </c>
      <c r="C636" s="251" t="s">
        <v>1014</v>
      </c>
      <c r="D636" s="268">
        <f>+L637</f>
        <v>7661</v>
      </c>
      <c r="E636" s="16" t="s">
        <v>80</v>
      </c>
      <c r="F636" s="209">
        <v>40</v>
      </c>
      <c r="G636" s="318" t="str">
        <f>+CONCATENATE($G$7,"  ACUE ",G632," ",H632)</f>
        <v>"04-2026"  ACUE T082 6717</v>
      </c>
      <c r="I636" s="10">
        <f>+I635</f>
        <v>6717</v>
      </c>
      <c r="J636" s="10" t="s">
        <v>1779</v>
      </c>
      <c r="K636" s="514"/>
      <c r="L636" s="266">
        <v>15046</v>
      </c>
    </row>
    <row r="637" spans="1:20" x14ac:dyDescent="0.35">
      <c r="B637" s="209">
        <v>1245150017</v>
      </c>
      <c r="C637" s="251" t="s">
        <v>77</v>
      </c>
      <c r="D637" s="268">
        <f>+L633+L635</f>
        <v>1204979</v>
      </c>
      <c r="E637" s="16" t="s">
        <v>80</v>
      </c>
      <c r="F637" s="209">
        <v>40</v>
      </c>
      <c r="G637" s="318" t="str">
        <f>+CONCATENATE($G$7,"  GC/ELEC/ACUE ",G632," ",H632)</f>
        <v>"04-2026"  GC/ELEC/ACUE T082 6717</v>
      </c>
      <c r="I637" s="10">
        <f>+I636</f>
        <v>6717</v>
      </c>
      <c r="J637" s="10" t="s">
        <v>1780</v>
      </c>
      <c r="K637" s="514"/>
      <c r="L637" s="266">
        <v>7661</v>
      </c>
      <c r="N637" s="338"/>
    </row>
    <row r="638" spans="1:20" x14ac:dyDescent="0.35">
      <c r="A638" s="130" t="s">
        <v>854</v>
      </c>
      <c r="B638" s="14">
        <v>204613</v>
      </c>
      <c r="C638" s="251" t="s">
        <v>94</v>
      </c>
      <c r="D638" s="268">
        <f>920899.45+19486.32</f>
        <v>940385.7699999999</v>
      </c>
      <c r="G638" s="10" t="str">
        <f>VLOOKUP(B638,ADMON!A:P,5,0)</f>
        <v>T041</v>
      </c>
      <c r="H638" s="54">
        <f>+VLOOKUP(G638,ADMON!E:G,3,0)</f>
        <v>6626</v>
      </c>
      <c r="J638" s="350">
        <f>+VLOOKUP(H638,contratos!A:R,5,0)</f>
        <v>45444</v>
      </c>
      <c r="K638" s="266" t="str">
        <f>+VLOOKUP(H638,contratos!A:R,12,0)</f>
        <v>OK</v>
      </c>
      <c r="L638" s="341" t="str">
        <f>+VLOOKUP(H638,contratos!A:R,13,0)</f>
        <v>VIGENTE</v>
      </c>
      <c r="M638" s="341">
        <f>+VLOOKUP(H638,contratos!A:R,15,0)</f>
        <v>0</v>
      </c>
      <c r="N638" s="336">
        <f>+VLOOKUP(H638,contratos!A:R,16,0)</f>
        <v>0</v>
      </c>
      <c r="O638" s="341">
        <f>+VLOOKUP(H638,PRORRATEO!F:M,3,0)</f>
        <v>15101403</v>
      </c>
      <c r="P638" s="341">
        <f>+VLOOKUP(H638,PRORRATEO!F:M,4,0)</f>
        <v>2869266.57</v>
      </c>
      <c r="Q638" s="341">
        <f>+VLOOKUP(H638,PRORRATEO!F:M,5,0)</f>
        <v>229541.32559999998</v>
      </c>
      <c r="R638" s="341">
        <f>+VLOOKUP(H638,PRORRATEO!F:M,6,0)</f>
        <v>2639725.2443999997</v>
      </c>
      <c r="S638" s="339">
        <f>+VLOOKUP(H638,PRORRATEO!F:M,7,0)</f>
        <v>0.08</v>
      </c>
      <c r="T638" s="339">
        <f>+VLOOKUP(H638,PRORRATEO!F:M,8,0)</f>
        <v>0.92</v>
      </c>
    </row>
    <row r="639" spans="1:20" x14ac:dyDescent="0.35">
      <c r="B639" s="4">
        <v>1242100042</v>
      </c>
      <c r="C639" s="251" t="s">
        <v>983</v>
      </c>
      <c r="E639" t="s">
        <v>80</v>
      </c>
      <c r="F639">
        <v>31</v>
      </c>
      <c r="G639" s="318" t="str">
        <f>+G641</f>
        <v>"04-2026"  GC T041 6626</v>
      </c>
      <c r="J639" s="353"/>
      <c r="N639" s="338"/>
    </row>
    <row r="640" spans="1:20" x14ac:dyDescent="0.35">
      <c r="B640" s="209">
        <v>1245150017</v>
      </c>
      <c r="C640" s="251" t="s">
        <v>77</v>
      </c>
      <c r="D640" s="322">
        <f>+D641-D642</f>
        <v>1782123</v>
      </c>
      <c r="E640" s="16" t="s">
        <v>80</v>
      </c>
      <c r="F640" s="209">
        <v>40</v>
      </c>
      <c r="G640" s="348" t="str">
        <f>+CONCATENATE($G$7,"  GC ",G638," ",H638)</f>
        <v>"04-2026"  GC T041 6626</v>
      </c>
      <c r="J640" s="353"/>
      <c r="N640" s="338"/>
    </row>
    <row r="641" spans="1:20" x14ac:dyDescent="0.35">
      <c r="B641" s="209">
        <v>1537210002</v>
      </c>
      <c r="C641" s="251" t="s">
        <v>85</v>
      </c>
      <c r="D641" s="268">
        <v>1975484</v>
      </c>
      <c r="E641" s="16" t="s">
        <v>80</v>
      </c>
      <c r="F641" s="209">
        <v>50</v>
      </c>
      <c r="G641" s="497" t="str">
        <f>+G640</f>
        <v>"04-2026"  GC T041 6626</v>
      </c>
      <c r="J641" s="376" t="s">
        <v>1730</v>
      </c>
      <c r="N641" s="338"/>
    </row>
    <row r="642" spans="1:20" x14ac:dyDescent="0.35">
      <c r="A642" s="130" t="s">
        <v>853</v>
      </c>
      <c r="B642" s="14">
        <v>204583</v>
      </c>
      <c r="C642" s="251" t="s">
        <v>1021</v>
      </c>
      <c r="D642" s="268">
        <v>193361</v>
      </c>
      <c r="G642" s="9" t="s">
        <v>1145</v>
      </c>
      <c r="H642" s="54">
        <v>6660</v>
      </c>
      <c r="J642" s="350">
        <f>+VLOOKUP(H642,contratos!A:R,5,0)</f>
        <v>0</v>
      </c>
      <c r="K642" s="266" t="str">
        <f>+VLOOKUP(H642,contratos!A:R,12,0)</f>
        <v>OK</v>
      </c>
      <c r="L642" s="341" t="str">
        <f>+VLOOKUP(H642,contratos!A:R,13,0)</f>
        <v>VIGENTE</v>
      </c>
      <c r="M642" s="341">
        <f>+VLOOKUP(H642,contratos!A:R,15,0)</f>
        <v>0</v>
      </c>
      <c r="N642" s="336">
        <f>+VLOOKUP(H642,contratos!A:R,16,0)</f>
        <v>0</v>
      </c>
      <c r="O642" s="341">
        <f>+VLOOKUP(B642,PRORRATEO!A:M,8,0)</f>
        <v>11518362</v>
      </c>
      <c r="P642" s="341">
        <f>+VLOOKUP(B642,PRORRATEO!A:M,9,0)</f>
        <v>2188488.7799999998</v>
      </c>
      <c r="Q642" s="341">
        <f>+VLOOKUP(B642,PRORRATEO!A:M,10,0)</f>
        <v>204784.43739406776</v>
      </c>
      <c r="R642" s="341">
        <f>+VLOOKUP(B642,PRORRATEO!A:M,11,0)</f>
        <v>1983704.3426059322</v>
      </c>
      <c r="S642" s="339">
        <f>+VLOOKUP(B642,PRORRATEO!A:M,12,0)</f>
        <v>9.3573446327683607E-2</v>
      </c>
      <c r="T642" s="339">
        <f>+VLOOKUP(B642,PRORRATEO!A:M,13,0)</f>
        <v>0.90642655367231639</v>
      </c>
    </row>
    <row r="643" spans="1:20" hidden="1" x14ac:dyDescent="0.35">
      <c r="B643" s="4">
        <v>1242100042</v>
      </c>
      <c r="C643" s="251" t="s">
        <v>983</v>
      </c>
      <c r="E643" t="s">
        <v>984</v>
      </c>
      <c r="J643" s="10"/>
    </row>
    <row r="644" spans="1:20" x14ac:dyDescent="0.35">
      <c r="B644" s="4">
        <v>1245150017</v>
      </c>
      <c r="C644" s="251" t="s">
        <v>77</v>
      </c>
      <c r="D644" s="268">
        <f>+D645+D648-D649-D650-D647+D646</f>
        <v>455695.19849336013</v>
      </c>
      <c r="E644" s="16" t="s">
        <v>97</v>
      </c>
      <c r="F644">
        <v>31</v>
      </c>
      <c r="G644" s="316" t="str">
        <f>+CONCATENATE($G$7," RF ",G642," ",H642)</f>
        <v>"04-2026" RF T55 6660</v>
      </c>
      <c r="J644" s="353"/>
      <c r="N644" s="338"/>
    </row>
    <row r="645" spans="1:20" x14ac:dyDescent="0.35">
      <c r="B645" s="209">
        <v>1537210004</v>
      </c>
      <c r="C645" s="251" t="s">
        <v>1033</v>
      </c>
      <c r="D645" s="268">
        <v>398544</v>
      </c>
      <c r="E645" s="16" t="s">
        <v>97</v>
      </c>
      <c r="F645" s="209">
        <v>40</v>
      </c>
      <c r="G645" s="318" t="str">
        <f>+G644</f>
        <v>"04-2026" RF T55 6660</v>
      </c>
      <c r="I645" s="10">
        <f>+H642</f>
        <v>6660</v>
      </c>
      <c r="J645" s="10"/>
    </row>
    <row r="646" spans="1:20" x14ac:dyDescent="0.35">
      <c r="B646" s="209">
        <v>1149120011</v>
      </c>
      <c r="C646" s="251" t="s">
        <v>96</v>
      </c>
      <c r="D646" s="268">
        <f>+D648*S642</f>
        <v>7085.6957627118636</v>
      </c>
      <c r="E646" s="16" t="s">
        <v>98</v>
      </c>
      <c r="F646" s="209">
        <v>40</v>
      </c>
      <c r="G646" s="318" t="str">
        <f>+G645</f>
        <v>"04-2026" RF T55 6660</v>
      </c>
      <c r="I646" s="10">
        <f>+I645</f>
        <v>6660</v>
      </c>
      <c r="J646" s="10"/>
      <c r="K646" s="433">
        <f>+D645+D648</f>
        <v>474267.36</v>
      </c>
    </row>
    <row r="647" spans="1:20" x14ac:dyDescent="0.35">
      <c r="B647" s="209">
        <v>1149120011</v>
      </c>
      <c r="C647" s="251" t="s">
        <v>96</v>
      </c>
      <c r="D647" s="268">
        <f>+D646</f>
        <v>7085.6957627118636</v>
      </c>
      <c r="E647" s="16" t="s">
        <v>97</v>
      </c>
      <c r="F647" s="209">
        <v>50</v>
      </c>
      <c r="G647" s="318" t="str">
        <f>+G646</f>
        <v>"04-2026" RF T55 6660</v>
      </c>
      <c r="I647" s="10">
        <f>+I646</f>
        <v>6660</v>
      </c>
      <c r="J647" s="352"/>
      <c r="L647" s="379"/>
    </row>
    <row r="648" spans="1:20" x14ac:dyDescent="0.35">
      <c r="B648" s="4">
        <v>1149120011</v>
      </c>
      <c r="C648" s="251" t="s">
        <v>96</v>
      </c>
      <c r="D648" s="268">
        <f>+D645*0.19</f>
        <v>75723.360000000001</v>
      </c>
      <c r="E648" s="16" t="s">
        <v>97</v>
      </c>
      <c r="F648">
        <v>40</v>
      </c>
      <c r="G648" s="318" t="str">
        <f>+G647</f>
        <v>"04-2026" RF T55 6660</v>
      </c>
      <c r="I648" s="10">
        <f>+I647</f>
        <v>6660</v>
      </c>
      <c r="J648" s="352"/>
      <c r="K648" s="378" t="s">
        <v>1181</v>
      </c>
      <c r="L648" s="379"/>
    </row>
    <row r="649" spans="1:20" x14ac:dyDescent="0.35">
      <c r="B649" s="4">
        <v>1249100024</v>
      </c>
      <c r="C649" s="251" t="s">
        <v>981</v>
      </c>
      <c r="D649" s="268">
        <f>+D645*J649</f>
        <v>4623.1103999999996</v>
      </c>
      <c r="E649"/>
      <c r="F649">
        <v>50</v>
      </c>
      <c r="G649" s="318" t="str">
        <f>+G648</f>
        <v>"04-2026" RF T55 6660</v>
      </c>
      <c r="I649" s="206">
        <v>23</v>
      </c>
      <c r="J649" s="352">
        <v>1.1599999999999999E-2</v>
      </c>
      <c r="K649" s="378">
        <v>11.6</v>
      </c>
      <c r="L649" s="379" t="s">
        <v>1180</v>
      </c>
    </row>
    <row r="650" spans="1:20" x14ac:dyDescent="0.35">
      <c r="B650" s="4">
        <v>1246125027</v>
      </c>
      <c r="C650" s="251" t="s">
        <v>962</v>
      </c>
      <c r="D650" s="298">
        <f>+D645*J650</f>
        <v>13949.051106639839</v>
      </c>
      <c r="E650"/>
      <c r="F650">
        <v>50</v>
      </c>
      <c r="G650" s="318" t="str">
        <f t="shared" ref="G650" si="33">+G649</f>
        <v>"04-2026" RF T55 6660</v>
      </c>
      <c r="I650" s="251" t="s">
        <v>857</v>
      </c>
      <c r="J650" s="352">
        <v>3.5000027868039262E-2</v>
      </c>
      <c r="K650" s="378"/>
      <c r="L650" s="379"/>
    </row>
    <row r="651" spans="1:20" x14ac:dyDescent="0.35">
      <c r="A651" s="130" t="s">
        <v>854</v>
      </c>
      <c r="B651" s="14">
        <v>238176</v>
      </c>
      <c r="C651" s="251" t="s">
        <v>1023</v>
      </c>
      <c r="D651" s="268">
        <f>+D645*J650</f>
        <v>13949.051106639839</v>
      </c>
      <c r="G651" s="10" t="str">
        <f>VLOOKUP(B651,ADMON!A:P,5,0)</f>
        <v>OFICINA</v>
      </c>
      <c r="H651" s="54">
        <v>8140074</v>
      </c>
      <c r="J651" s="350">
        <f>+VLOOKUP(H651,contratos!A:R,5,0)</f>
        <v>45600</v>
      </c>
      <c r="K651" s="266" t="str">
        <f>+VLOOKUP(H651,contratos!A:R,12,0)</f>
        <v>REVISAR FECHAS</v>
      </c>
      <c r="L651" s="341" t="str">
        <f>+VLOOKUP(H651,contratos!A:R,13,0)</f>
        <v>VIGENTE</v>
      </c>
      <c r="M651" s="341">
        <f>+VLOOKUP(H651,contratos!A:R,15,0)</f>
        <v>0</v>
      </c>
      <c r="N651" s="336">
        <f>+VLOOKUP(H651,contratos!A:R,16,0)</f>
        <v>0</v>
      </c>
      <c r="O651" s="341">
        <f>+VLOOKUP(H651,PRORRATEO!F:M,3,0)</f>
        <v>70594906</v>
      </c>
      <c r="P651" s="341">
        <f>+VLOOKUP(H651,PRORRATEO!F:M,4,0)</f>
        <v>13413032.140000001</v>
      </c>
      <c r="Q651" s="341">
        <f>+VLOOKUP(H651,PRORRATEO!F:M,5,0)</f>
        <v>0</v>
      </c>
      <c r="R651" s="341">
        <f>+VLOOKUP(H651,PRORRATEO!F:M,6,0)</f>
        <v>13413032.140000001</v>
      </c>
      <c r="S651" s="339">
        <f>+VLOOKUP(H651,PRORRATEO!F:M,7,0)</f>
        <v>0</v>
      </c>
      <c r="T651" s="339">
        <f>+VLOOKUP(H651,PRORRATEO!F:M,8,0)</f>
        <v>1</v>
      </c>
    </row>
    <row r="652" spans="1:20" x14ac:dyDescent="0.35">
      <c r="B652" s="4">
        <v>1242100042</v>
      </c>
      <c r="C652" s="251" t="s">
        <v>983</v>
      </c>
      <c r="E652" t="s">
        <v>80</v>
      </c>
      <c r="F652">
        <v>31</v>
      </c>
      <c r="G652" s="316" t="str">
        <f>+CONCATENATE($G$7,"  GC ",G651," ",H651)</f>
        <v>"04-2026"  GC OFICINA 8140074</v>
      </c>
      <c r="I652" s="10">
        <f>+H651</f>
        <v>8140074</v>
      </c>
      <c r="J652" s="10"/>
    </row>
    <row r="653" spans="1:20" x14ac:dyDescent="0.35">
      <c r="B653" s="263">
        <v>1535100020</v>
      </c>
      <c r="C653" s="251" t="s">
        <v>93</v>
      </c>
      <c r="D653" s="298" t="s">
        <v>1022</v>
      </c>
      <c r="E653" s="16" t="s">
        <v>80</v>
      </c>
      <c r="F653" s="209">
        <v>40</v>
      </c>
      <c r="G653" s="316" t="str">
        <f>+G652</f>
        <v>"04-2026"  GC OFICINA 8140074</v>
      </c>
      <c r="I653" s="10">
        <f>+I652</f>
        <v>8140074</v>
      </c>
      <c r="J653" s="10"/>
    </row>
    <row r="654" spans="1:20" x14ac:dyDescent="0.35">
      <c r="A654" s="130" t="s">
        <v>853</v>
      </c>
      <c r="B654" s="14">
        <v>285926</v>
      </c>
      <c r="C654" s="251" t="s">
        <v>1024</v>
      </c>
      <c r="G654" s="9" t="str">
        <f>+VLOOKUP(B654,arriendo1!A:R,3,0)</f>
        <v>T111</v>
      </c>
      <c r="H654" s="131">
        <v>8751</v>
      </c>
      <c r="J654" s="350">
        <f>+VLOOKUP(H654,contratos!A:R,5,0)</f>
        <v>45566</v>
      </c>
      <c r="K654" s="266" t="str">
        <f>+VLOOKUP(H654,contratos!A:R,12,0)</f>
        <v>OK</v>
      </c>
      <c r="L654" s="341" t="str">
        <f>+VLOOKUP(H654,contratos!A:R,13,0)</f>
        <v>VIGENTE</v>
      </c>
      <c r="M654" s="341">
        <f>+VLOOKUP(H654,contratos!A:R,15,0)</f>
        <v>0</v>
      </c>
      <c r="N654" s="336">
        <f>+VLOOKUP(H654,contratos!A:R,16,0)</f>
        <v>0</v>
      </c>
      <c r="O654" s="341">
        <f>+VLOOKUP(B654,PRORRATEO!A:M,8,0)</f>
        <v>13676000</v>
      </c>
      <c r="P654" s="341">
        <f>+VLOOKUP(B654,PRORRATEO!A:M,9,0)</f>
        <v>2598440</v>
      </c>
      <c r="Q654" s="341">
        <f>+VLOOKUP(B654,PRORRATEO!A:M,10,0)</f>
        <v>142914.20000000001</v>
      </c>
      <c r="R654" s="341">
        <f>+VLOOKUP(B654,PRORRATEO!A:M,11,0)</f>
        <v>2455525.7999999998</v>
      </c>
      <c r="S654" s="339">
        <f>+VLOOKUP(B654,PRORRATEO!A:M,12,0)</f>
        <v>5.5E-2</v>
      </c>
      <c r="T654" s="339">
        <f>+VLOOKUP(B654,PRORRATEO!A:M,13,0)</f>
        <v>0.94499999999999995</v>
      </c>
    </row>
    <row r="655" spans="1:20" x14ac:dyDescent="0.35">
      <c r="B655" s="4">
        <v>1242100042</v>
      </c>
      <c r="C655" s="251" t="s">
        <v>983</v>
      </c>
      <c r="D655" s="299">
        <f>SUBTOTAL(9,D656:D661)</f>
        <v>15644796.578876697</v>
      </c>
      <c r="E655" t="s">
        <v>984</v>
      </c>
      <c r="F655">
        <v>31</v>
      </c>
      <c r="G655" s="348" t="str">
        <f>+CONCATENATE($G$7," RF ",G654," ",H654)</f>
        <v>"04-2026" RF T111 8751</v>
      </c>
      <c r="J655" s="353"/>
      <c r="N655" s="338"/>
    </row>
    <row r="656" spans="1:20" x14ac:dyDescent="0.35">
      <c r="B656" s="209">
        <v>1149120011</v>
      </c>
      <c r="C656" s="251" t="s">
        <v>96</v>
      </c>
      <c r="D656" s="268">
        <f>+Q654</f>
        <v>142914.20000000001</v>
      </c>
      <c r="E656" s="16" t="s">
        <v>98</v>
      </c>
      <c r="F656" s="209">
        <v>40</v>
      </c>
      <c r="G656" s="318" t="str">
        <f>+G660</f>
        <v>"04-2026" RF T111 8751</v>
      </c>
      <c r="I656" s="10">
        <f>+H654</f>
        <v>8751</v>
      </c>
      <c r="J656" s="10"/>
    </row>
    <row r="657" spans="1:20" x14ac:dyDescent="0.35">
      <c r="B657" s="209">
        <v>1149120011</v>
      </c>
      <c r="C657" s="251" t="s">
        <v>96</v>
      </c>
      <c r="D657" s="268">
        <f>-D656</f>
        <v>-142914.20000000001</v>
      </c>
      <c r="E657" t="s">
        <v>97</v>
      </c>
      <c r="F657" s="209">
        <v>50</v>
      </c>
      <c r="G657" s="318" t="str">
        <f>+G661</f>
        <v>"04-2026" RF T111 8751</v>
      </c>
      <c r="I657" s="10">
        <f>+I656</f>
        <v>8751</v>
      </c>
      <c r="J657" s="10"/>
      <c r="K657" s="433">
        <f>+D658+D659</f>
        <v>16274440</v>
      </c>
    </row>
    <row r="658" spans="1:20" x14ac:dyDescent="0.35">
      <c r="B658" s="209">
        <v>1245150017</v>
      </c>
      <c r="C658" s="251" t="s">
        <v>77</v>
      </c>
      <c r="D658" s="268">
        <f>+O654</f>
        <v>13676000</v>
      </c>
      <c r="E658" s="16" t="s">
        <v>97</v>
      </c>
      <c r="F658" s="209">
        <v>40</v>
      </c>
      <c r="G658" s="318" t="str">
        <f>+G659</f>
        <v>"04-2026" RF T111 8751</v>
      </c>
      <c r="I658" s="10">
        <f>+I656</f>
        <v>8751</v>
      </c>
      <c r="J658" s="10"/>
    </row>
    <row r="659" spans="1:20" x14ac:dyDescent="0.35">
      <c r="B659" s="4">
        <v>1149120011</v>
      </c>
      <c r="C659" s="251" t="s">
        <v>96</v>
      </c>
      <c r="D659" s="268">
        <f>+P654</f>
        <v>2598440</v>
      </c>
      <c r="E659" t="s">
        <v>97</v>
      </c>
      <c r="F659">
        <v>40</v>
      </c>
      <c r="G659" s="318" t="str">
        <f>+G656</f>
        <v>"04-2026" RF T111 8751</v>
      </c>
      <c r="I659" s="10">
        <f>+I658</f>
        <v>8751</v>
      </c>
      <c r="J659" s="10"/>
    </row>
    <row r="660" spans="1:20" x14ac:dyDescent="0.35">
      <c r="B660" s="4">
        <v>1246125027</v>
      </c>
      <c r="C660" s="251" t="s">
        <v>962</v>
      </c>
      <c r="D660" s="268">
        <f>-D658*J660</f>
        <v>-478660.38112330495</v>
      </c>
      <c r="E660"/>
      <c r="F660">
        <v>50</v>
      </c>
      <c r="G660" s="318" t="str">
        <f>+G655</f>
        <v>"04-2026" RF T111 8751</v>
      </c>
      <c r="I660" s="251" t="s">
        <v>857</v>
      </c>
      <c r="J660" s="352">
        <v>3.5000027868039262E-2</v>
      </c>
    </row>
    <row r="661" spans="1:20" x14ac:dyDescent="0.35">
      <c r="B661" s="4">
        <v>1249100024</v>
      </c>
      <c r="C661" s="251" t="s">
        <v>981</v>
      </c>
      <c r="D661" s="268">
        <f>-D658*J661</f>
        <v>-150983.03999999998</v>
      </c>
      <c r="E661"/>
      <c r="F661">
        <v>50</v>
      </c>
      <c r="G661" s="318" t="str">
        <f>+G660</f>
        <v>"04-2026" RF T111 8751</v>
      </c>
      <c r="I661" s="206">
        <v>19</v>
      </c>
      <c r="J661" s="352">
        <v>1.1039999999999999E-2</v>
      </c>
    </row>
    <row r="662" spans="1:20" x14ac:dyDescent="0.35">
      <c r="A662" s="130" t="s">
        <v>853</v>
      </c>
      <c r="B662" s="14">
        <v>204883</v>
      </c>
      <c r="C662" s="251" t="s">
        <v>43</v>
      </c>
      <c r="D662" s="298"/>
      <c r="G662" s="9" t="str">
        <f>+VLOOKUP(B662,arriendo1!A:R,3,0)</f>
        <v>T100</v>
      </c>
      <c r="H662" s="131">
        <v>6767</v>
      </c>
      <c r="J662" s="350">
        <f>+VLOOKUP(H662,contratos!A:R,5,0)</f>
        <v>45582</v>
      </c>
      <c r="K662" s="266" t="str">
        <f>+VLOOKUP(H662,contratos!A:R,12,0)</f>
        <v>OK</v>
      </c>
      <c r="L662" s="341" t="str">
        <f>+VLOOKUP(H662,contratos!A:R,13,0)</f>
        <v>VIGENTE</v>
      </c>
      <c r="M662" s="341">
        <f>+VLOOKUP(H662,contratos!A:R,15,0)</f>
        <v>0</v>
      </c>
      <c r="N662" s="336">
        <f>+VLOOKUP(H662,contratos!A:R,16,0)</f>
        <v>0</v>
      </c>
      <c r="O662" s="341">
        <f>+VLOOKUP(B662,PRORRATEO!A:M,8,0)</f>
        <v>3986803</v>
      </c>
      <c r="P662" s="341">
        <f>+VLOOKUP(B662,PRORRATEO!A:M,9,0)</f>
        <v>757492.57000000007</v>
      </c>
      <c r="Q662" s="341">
        <f>+VLOOKUP(B662,PRORRATEO!A:M,10,0)</f>
        <v>65144.361020000004</v>
      </c>
      <c r="R662" s="341">
        <f>+VLOOKUP(B662,PRORRATEO!A:M,11,0)</f>
        <v>692348.20898000011</v>
      </c>
      <c r="S662" s="339">
        <f>+VLOOKUP(B662,PRORRATEO!A:M,12,0)</f>
        <v>8.5999999999999993E-2</v>
      </c>
      <c r="T662" s="339">
        <f>+VLOOKUP(B662,PRORRATEO!A:M,13,0)</f>
        <v>0.91400000000000003</v>
      </c>
    </row>
    <row r="663" spans="1:20" x14ac:dyDescent="0.35">
      <c r="B663" s="4">
        <v>1242100042</v>
      </c>
      <c r="C663" s="251" t="s">
        <v>983</v>
      </c>
      <c r="D663" s="268">
        <f>+D664+D667+D666-D665-D669-D668</f>
        <v>4564889.3238956174</v>
      </c>
      <c r="E663" t="s">
        <v>984</v>
      </c>
      <c r="F663">
        <v>31</v>
      </c>
      <c r="G663" s="348" t="str">
        <f>+CONCATENATE($G$7," RF ",G662," ",H662)</f>
        <v>"04-2026" RF T100 6767</v>
      </c>
      <c r="I663" s="10">
        <f>+H662</f>
        <v>6767</v>
      </c>
      <c r="J663" s="10"/>
    </row>
    <row r="664" spans="1:20" x14ac:dyDescent="0.35">
      <c r="B664" s="209">
        <v>1245150017</v>
      </c>
      <c r="C664" s="251" t="s">
        <v>77</v>
      </c>
      <c r="D664" s="268">
        <f>+O662</f>
        <v>3986803</v>
      </c>
      <c r="E664" s="16" t="s">
        <v>97</v>
      </c>
      <c r="F664" s="209">
        <v>40</v>
      </c>
      <c r="G664" s="318" t="str">
        <f>+G667</f>
        <v>"04-2026" RF T100 6767</v>
      </c>
      <c r="I664" s="10">
        <f>+I663</f>
        <v>6767</v>
      </c>
      <c r="J664" s="10"/>
      <c r="N664" s="338"/>
    </row>
    <row r="665" spans="1:20" x14ac:dyDescent="0.35">
      <c r="B665" s="209">
        <v>1149120011</v>
      </c>
      <c r="C665" s="251" t="s">
        <v>96</v>
      </c>
      <c r="D665" s="268">
        <f>+D666</f>
        <v>65144.361020000004</v>
      </c>
      <c r="E665" s="16" t="s">
        <v>97</v>
      </c>
      <c r="F665" s="209">
        <v>50</v>
      </c>
      <c r="G665" s="318" t="str">
        <f>+G668</f>
        <v>"04-2026" RF T100 6767</v>
      </c>
      <c r="I665" s="10">
        <f>+I664</f>
        <v>6767</v>
      </c>
      <c r="J665" s="10"/>
      <c r="N665" s="338"/>
    </row>
    <row r="666" spans="1:20" x14ac:dyDescent="0.35">
      <c r="B666" s="209">
        <v>1149120011</v>
      </c>
      <c r="C666" s="251" t="s">
        <v>96</v>
      </c>
      <c r="D666" s="268">
        <f>+Q662</f>
        <v>65144.361020000004</v>
      </c>
      <c r="E666" s="16" t="s">
        <v>98</v>
      </c>
      <c r="F666" s="209">
        <v>40</v>
      </c>
      <c r="G666" s="318" t="str">
        <f>+G669</f>
        <v>"04-2026" RF T100 6767</v>
      </c>
      <c r="I666" s="10">
        <f>+I665</f>
        <v>6767</v>
      </c>
      <c r="J666" s="10"/>
      <c r="N666" s="338"/>
    </row>
    <row r="667" spans="1:20" x14ac:dyDescent="0.35">
      <c r="B667" s="4">
        <v>1149120011</v>
      </c>
      <c r="C667" s="251" t="s">
        <v>96</v>
      </c>
      <c r="D667" s="298">
        <f>+P662</f>
        <v>757492.57000000007</v>
      </c>
      <c r="E667" t="s">
        <v>97</v>
      </c>
      <c r="F667">
        <v>40</v>
      </c>
      <c r="G667" s="318" t="str">
        <f>+G666</f>
        <v>"04-2026" RF T100 6767</v>
      </c>
      <c r="I667" s="10">
        <f>+I666</f>
        <v>6767</v>
      </c>
      <c r="J667" s="10"/>
      <c r="N667" s="338"/>
    </row>
    <row r="668" spans="1:20" x14ac:dyDescent="0.35">
      <c r="B668" s="4">
        <v>1246125027</v>
      </c>
      <c r="C668" s="251" t="s">
        <v>962</v>
      </c>
      <c r="D668" s="268">
        <f>+D664*J668</f>
        <v>139538.21610438253</v>
      </c>
      <c r="E668"/>
      <c r="F668">
        <v>50</v>
      </c>
      <c r="G668" s="318" t="str">
        <f>+G663</f>
        <v>"04-2026" RF T100 6767</v>
      </c>
      <c r="I668" s="251" t="s">
        <v>857</v>
      </c>
      <c r="J668" s="352">
        <v>3.5000027868039262E-2</v>
      </c>
      <c r="N668" s="338"/>
    </row>
    <row r="669" spans="1:20" x14ac:dyDescent="0.35">
      <c r="B669" s="4">
        <v>1249100024</v>
      </c>
      <c r="C669" s="251" t="s">
        <v>981</v>
      </c>
      <c r="D669" s="268">
        <f>+D664*J669</f>
        <v>39868.03</v>
      </c>
      <c r="E669"/>
      <c r="F669">
        <v>50</v>
      </c>
      <c r="G669" s="318" t="str">
        <f>+G665</f>
        <v>"04-2026" RF T100 6767</v>
      </c>
      <c r="I669" s="251">
        <v>14</v>
      </c>
      <c r="J669" s="352">
        <f>30085/3008500</f>
        <v>0.01</v>
      </c>
    </row>
    <row r="670" spans="1:20" x14ac:dyDescent="0.35">
      <c r="A670" s="130" t="s">
        <v>854</v>
      </c>
      <c r="B670" s="14">
        <v>212833</v>
      </c>
      <c r="C670" s="251" t="s">
        <v>321</v>
      </c>
      <c r="G670" s="10" t="str">
        <f>VLOOKUP(B670,ADMON!A:P,5,0)</f>
        <v>SGH 604</v>
      </c>
      <c r="H670" s="54">
        <f>+VLOOKUP(G670,ADMON!E:G,3,0)</f>
        <v>9302</v>
      </c>
      <c r="I670" s="251" t="s">
        <v>857</v>
      </c>
      <c r="J670" s="350">
        <f>+VLOOKUP(H670,contratos!A:R,5,0)</f>
        <v>43081</v>
      </c>
      <c r="K670" s="266" t="str">
        <f>+VLOOKUP(H670,contratos!A:R,12,0)</f>
        <v>VENCIDO</v>
      </c>
      <c r="L670" s="341" t="str">
        <f>+VLOOKUP(H670,contratos!A:R,13,0)</f>
        <v>CESADO</v>
      </c>
      <c r="M670" s="341">
        <f>+VLOOKUP(H670,contratos!A:R,15,0)</f>
        <v>0</v>
      </c>
      <c r="N670" s="336">
        <f>+VLOOKUP(H670,contratos!A:R,16,0)</f>
        <v>0</v>
      </c>
      <c r="O670" s="341">
        <f>+VLOOKUP(H670,PRORRATEO!F:M,3,0)</f>
        <v>7483348</v>
      </c>
      <c r="P670" s="341">
        <f>+VLOOKUP(H670,PRORRATEO!F:M,4,0)</f>
        <v>1421836.12</v>
      </c>
      <c r="Q670" s="341">
        <f>+VLOOKUP(H670,PRORRATEO!F:M,5,0)</f>
        <v>1421836.12</v>
      </c>
      <c r="R670" s="341">
        <f>+VLOOKUP(H670,PRORRATEO!F:M,6,0)</f>
        <v>0</v>
      </c>
      <c r="S670" s="339">
        <f>+VLOOKUP(H670,PRORRATEO!F:M,7,0)</f>
        <v>1</v>
      </c>
      <c r="T670" s="339">
        <f>+VLOOKUP(H670,PRORRATEO!F:M,8,0)</f>
        <v>0</v>
      </c>
    </row>
    <row r="671" spans="1:20" x14ac:dyDescent="0.35">
      <c r="B671" s="4">
        <v>1242100001</v>
      </c>
      <c r="C671" s="251" t="s">
        <v>1011</v>
      </c>
      <c r="D671" s="268">
        <f>-D672</f>
        <v>-1666351</v>
      </c>
      <c r="E671" t="s">
        <v>80</v>
      </c>
      <c r="F671">
        <v>31</v>
      </c>
      <c r="G671" s="348" t="str">
        <f>+CONCATENATE($G$7,"  GC ",G670," ",H670)</f>
        <v>"04-2026"  GC SGH 604 9302</v>
      </c>
      <c r="J671" s="317" t="s">
        <v>985</v>
      </c>
    </row>
    <row r="672" spans="1:20" x14ac:dyDescent="0.35">
      <c r="B672" s="209">
        <v>1537210002</v>
      </c>
      <c r="C672" s="251" t="s">
        <v>1015</v>
      </c>
      <c r="D672" s="268">
        <v>1666351</v>
      </c>
      <c r="E672" s="16" t="s">
        <v>80</v>
      </c>
      <c r="F672" s="209">
        <v>40</v>
      </c>
      <c r="G672" s="348" t="str">
        <f>+G671</f>
        <v>"04-2026"  GC SGH 604 9302</v>
      </c>
      <c r="I672" s="10">
        <f>+H670</f>
        <v>9302</v>
      </c>
      <c r="J672" s="10"/>
    </row>
    <row r="673" spans="1:20" x14ac:dyDescent="0.35">
      <c r="A673" s="130" t="s">
        <v>854</v>
      </c>
      <c r="B673" s="14">
        <v>212833</v>
      </c>
      <c r="C673" s="251" t="s">
        <v>321</v>
      </c>
      <c r="G673" s="10" t="s">
        <v>440</v>
      </c>
      <c r="H673" s="54">
        <f>+VLOOKUP(G673,ADMON!E:G,3,0)</f>
        <v>9120</v>
      </c>
      <c r="I673" s="251" t="s">
        <v>857</v>
      </c>
      <c r="J673" s="350">
        <f>+VLOOKUP(H673,contratos!A:R,5,0)</f>
        <v>43003</v>
      </c>
      <c r="K673" s="266" t="str">
        <f>+VLOOKUP(H673,contratos!A:R,12,0)</f>
        <v>VENCIDO</v>
      </c>
      <c r="L673" s="341" t="str">
        <f>+VLOOKUP(H673,contratos!A:R,13,0)</f>
        <v>CESADO</v>
      </c>
      <c r="M673" s="341">
        <f>+VLOOKUP(H673,contratos!A:R,15,0)</f>
        <v>0</v>
      </c>
      <c r="N673" s="336">
        <f>+VLOOKUP(H673,contratos!A:R,16,0)</f>
        <v>0</v>
      </c>
      <c r="O673" s="341">
        <f>+VLOOKUP(H673,PRORRATEO!F:M,3,0)</f>
        <v>28006112</v>
      </c>
      <c r="P673" s="341">
        <f>+VLOOKUP(H673,PRORRATEO!F:M,4,0)</f>
        <v>5321161.28</v>
      </c>
      <c r="Q673" s="341">
        <f>+VLOOKUP(H673,PRORRATEO!F:M,5,0)</f>
        <v>271379.22528000001</v>
      </c>
      <c r="R673" s="341">
        <f>+VLOOKUP(H673,PRORRATEO!F:M,6,0)</f>
        <v>5049782.0547200004</v>
      </c>
      <c r="S673" s="339">
        <f>+VLOOKUP(H673,PRORRATEO!F:M,7,0)</f>
        <v>5.0999999999999997E-2</v>
      </c>
      <c r="T673" s="339">
        <f>+VLOOKUP(H673,PRORRATEO!F:M,8,0)</f>
        <v>0.94899999999999995</v>
      </c>
    </row>
    <row r="674" spans="1:20" x14ac:dyDescent="0.35">
      <c r="B674" s="4">
        <v>1242100001</v>
      </c>
      <c r="C674" s="251" t="s">
        <v>1011</v>
      </c>
      <c r="D674" s="268">
        <f>-D675</f>
        <v>-4461528</v>
      </c>
      <c r="E674" t="s">
        <v>80</v>
      </c>
      <c r="F674">
        <v>31</v>
      </c>
      <c r="G674" s="348" t="str">
        <f>+CONCATENATE($G$7,"  GC ",G673," ",H673)</f>
        <v>"04-2026"  GC T127 9120</v>
      </c>
      <c r="J674" s="10"/>
    </row>
    <row r="675" spans="1:20" x14ac:dyDescent="0.35">
      <c r="B675" s="209">
        <v>1245150017</v>
      </c>
      <c r="C675" s="251" t="s">
        <v>77</v>
      </c>
      <c r="D675" s="268">
        <v>4461528</v>
      </c>
      <c r="E675" s="16" t="s">
        <v>80</v>
      </c>
      <c r="F675" s="209">
        <v>40</v>
      </c>
      <c r="G675" s="316" t="str">
        <f>+G674</f>
        <v>"04-2026"  GC T127 9120</v>
      </c>
      <c r="I675" s="10">
        <f>+H673</f>
        <v>9120</v>
      </c>
      <c r="J675" s="10"/>
      <c r="N675" s="338"/>
    </row>
    <row r="676" spans="1:20" x14ac:dyDescent="0.35">
      <c r="A676" s="130" t="s">
        <v>855</v>
      </c>
      <c r="B676" s="14">
        <v>230440</v>
      </c>
      <c r="C676" s="251" t="s">
        <v>636</v>
      </c>
      <c r="D676" s="298"/>
      <c r="G676" s="10" t="str">
        <f>VLOOKUP(B676,ADMON!A:P,5,0)</f>
        <v>R005</v>
      </c>
      <c r="H676" s="54">
        <f>+VLOOKUP(G676,ADMON!E:G,3,0)</f>
        <v>9596</v>
      </c>
      <c r="J676" s="350">
        <f>+VLOOKUP(H676,contratos!A:R,5,0)</f>
        <v>43466</v>
      </c>
      <c r="K676" s="266" t="str">
        <f>+VLOOKUP(H676,contratos!A:R,12,0)</f>
        <v>VENCIDO</v>
      </c>
      <c r="L676" s="341" t="str">
        <f>+VLOOKUP(H676,contratos!A:R,13,0)</f>
        <v>CESADO</v>
      </c>
      <c r="M676" s="341">
        <f>+VLOOKUP(H676,contratos!A:R,15,0)</f>
        <v>0</v>
      </c>
      <c r="N676" s="336">
        <f>+VLOOKUP(H676,contratos!A:R,16,0)</f>
        <v>0</v>
      </c>
      <c r="O676" s="341">
        <f>+VLOOKUP(H676,PRORRATEO!F:M,3,0)</f>
        <v>12509050</v>
      </c>
      <c r="P676" s="341">
        <f>+VLOOKUP(H676,PRORRATEO!F:M,4,0)</f>
        <v>2376719.5</v>
      </c>
      <c r="Q676" s="341">
        <f>+VLOOKUP(H676,PRORRATEO!F:M,5,0)</f>
        <v>2376719.5</v>
      </c>
      <c r="R676" s="341">
        <f>+VLOOKUP(H676,PRORRATEO!F:M,6,0)</f>
        <v>0</v>
      </c>
      <c r="S676" s="339">
        <f>+VLOOKUP(H676,PRORRATEO!F:M,7,0)</f>
        <v>1</v>
      </c>
      <c r="T676" s="339">
        <f>+VLOOKUP(H676,PRORRATEO!F:M,8,0)</f>
        <v>0</v>
      </c>
    </row>
    <row r="677" spans="1:20" x14ac:dyDescent="0.35">
      <c r="B677" s="209">
        <v>1532001604</v>
      </c>
      <c r="C677" s="251" t="s">
        <v>1029</v>
      </c>
      <c r="D677" s="268">
        <v>5179</v>
      </c>
      <c r="E677" t="s">
        <v>80</v>
      </c>
      <c r="F677" s="209">
        <v>40</v>
      </c>
      <c r="G677" s="348" t="str">
        <f>+CONCATENATE($G$7,"  ACUEDUCTO ",G676," ",H676)</f>
        <v>"04-2026"  ACUEDUCTO R005 9596</v>
      </c>
      <c r="I677" s="10">
        <f>+H676</f>
        <v>9596</v>
      </c>
      <c r="J677" s="10"/>
      <c r="N677" s="338"/>
    </row>
    <row r="678" spans="1:20" x14ac:dyDescent="0.35">
      <c r="B678" s="209">
        <v>1532001605</v>
      </c>
      <c r="C678" s="251" t="s">
        <v>1030</v>
      </c>
      <c r="D678" s="299">
        <v>2034668</v>
      </c>
      <c r="E678" s="16" t="s">
        <v>80</v>
      </c>
      <c r="F678" s="209">
        <v>40</v>
      </c>
      <c r="G678" s="316" t="str">
        <f>+CONCATENATE($G$7,"  ENERGÍA ",G676," ",H676)</f>
        <v>"04-2026"  ENERGÍA R005 9596</v>
      </c>
      <c r="I678" s="10">
        <f>+I677</f>
        <v>9596</v>
      </c>
      <c r="J678" s="10"/>
    </row>
    <row r="679" spans="1:20" x14ac:dyDescent="0.35">
      <c r="C679" s="251" t="s">
        <v>1031</v>
      </c>
      <c r="D679" s="268">
        <f>SUBTOTAL(9,D677:D678)</f>
        <v>2039847</v>
      </c>
      <c r="G679" s="316" t="str">
        <f>+CONCATENATE($G$7,"  ENERGÍA/ACUEDUCTO ",G676," ",H676)</f>
        <v>"04-2026"  ENERGÍA/ACUEDUCTO R005 9596</v>
      </c>
      <c r="J679" s="10"/>
      <c r="N679" s="338"/>
    </row>
    <row r="680" spans="1:20" x14ac:dyDescent="0.35">
      <c r="A680" s="130" t="s">
        <v>855</v>
      </c>
      <c r="B680" s="14">
        <v>205547</v>
      </c>
      <c r="C680" s="251" t="s">
        <v>813</v>
      </c>
      <c r="D680" s="265">
        <f>SUM(D677:D678)</f>
        <v>2039847</v>
      </c>
      <c r="G680" s="400" t="s">
        <v>379</v>
      </c>
      <c r="H680" s="403">
        <f>+VLOOKUP(G680,ADMON!E:G,3,0)</f>
        <v>8584</v>
      </c>
      <c r="J680" s="350">
        <f>+VLOOKUP(H680,contratos!A:R,5,0)</f>
        <v>42436</v>
      </c>
      <c r="K680" s="266" t="str">
        <f>+VLOOKUP(H680,contratos!A:R,12,0)</f>
        <v>CESADO</v>
      </c>
      <c r="L680" s="341" t="str">
        <f>+VLOOKUP(H680,contratos!A:R,13,0)</f>
        <v>REEMPLAZO 5-135</v>
      </c>
      <c r="M680" s="341">
        <f>+VLOOKUP(H680,contratos!A:R,15,0)</f>
        <v>0</v>
      </c>
      <c r="N680" s="336">
        <f>+VLOOKUP(H680,contratos!A:R,16,0)</f>
        <v>0</v>
      </c>
      <c r="O680" s="341">
        <f>+VLOOKUP(H680,PRORRATEO!F:M,3,0)</f>
        <v>9592714</v>
      </c>
      <c r="P680" s="341">
        <f>+VLOOKUP(H680,PRORRATEO!F:M,4,0)</f>
        <v>1822615.66</v>
      </c>
      <c r="Q680" s="341">
        <f>+VLOOKUP(H680,PRORRATEO!F:M,5,0)</f>
        <v>176793.71901999999</v>
      </c>
      <c r="R680" s="341">
        <f>+VLOOKUP(H680,PRORRATEO!F:M,6,0)</f>
        <v>1645821.94098</v>
      </c>
      <c r="S680" s="339">
        <f>+VLOOKUP(H680,PRORRATEO!F:M,7,0)</f>
        <v>9.7000000000000003E-2</v>
      </c>
      <c r="T680" s="339">
        <f>+VLOOKUP(H680,PRORRATEO!F:M,8,0)</f>
        <v>0.90300000000000002</v>
      </c>
    </row>
    <row r="681" spans="1:20" x14ac:dyDescent="0.35">
      <c r="B681" s="209">
        <v>1532001605</v>
      </c>
      <c r="C681" s="251" t="s">
        <v>1030</v>
      </c>
      <c r="D681" s="299">
        <v>1166310</v>
      </c>
      <c r="E681" s="16" t="s">
        <v>80</v>
      </c>
      <c r="F681" s="209">
        <v>40</v>
      </c>
      <c r="G681" s="348" t="str">
        <f>+CONCATENATE($G$7,"  ENERGÍA ",G680," ",H680)</f>
        <v>"04-2026"  ENERGÍA T106 8584</v>
      </c>
      <c r="J681" s="10"/>
    </row>
    <row r="682" spans="1:20" x14ac:dyDescent="0.35">
      <c r="C682" s="251" t="s">
        <v>1031</v>
      </c>
      <c r="G682" s="318" t="str">
        <f>+G681</f>
        <v>"04-2026"  ENERGÍA T106 8584</v>
      </c>
      <c r="J682" s="10"/>
    </row>
    <row r="683" spans="1:20" x14ac:dyDescent="0.35">
      <c r="A683" s="130" t="s">
        <v>854</v>
      </c>
      <c r="B683" s="14">
        <v>289666</v>
      </c>
      <c r="C683" s="251" t="s">
        <v>51</v>
      </c>
      <c r="D683" s="265">
        <f>SUM(D681:D681)</f>
        <v>1166310</v>
      </c>
      <c r="G683" s="346" t="s">
        <v>409</v>
      </c>
      <c r="H683" s="54">
        <f>+VLOOKUP(G683,ADMON!E:G,3,0)</f>
        <v>8859</v>
      </c>
      <c r="J683" s="350">
        <f>+VLOOKUP(H683,contratos!A:R,5,0)</f>
        <v>42690</v>
      </c>
      <c r="K683" s="266" t="str">
        <f>+VLOOKUP(H683,contratos!A:R,12,0)</f>
        <v>OK</v>
      </c>
      <c r="L683" s="341" t="str">
        <f>+VLOOKUP(H683,contratos!A:R,13,0)</f>
        <v>VIGENTE</v>
      </c>
      <c r="M683" s="341">
        <f>+VLOOKUP(H683,contratos!A:R,15,0)</f>
        <v>0</v>
      </c>
      <c r="N683" s="336">
        <f>+VLOOKUP(H683,contratos!A:R,16,0)</f>
        <v>0</v>
      </c>
      <c r="O683" s="341">
        <f>+VLOOKUP(H683,PRORRATEO!F:M,3,0)</f>
        <v>21608861</v>
      </c>
      <c r="P683" s="341">
        <f>+VLOOKUP(H683,PRORRATEO!F:M,4,0)</f>
        <v>4105683.59</v>
      </c>
      <c r="Q683" s="341">
        <f>+VLOOKUP(H683,PRORRATEO!F:M,5,0)</f>
        <v>229918.28104</v>
      </c>
      <c r="R683" s="341">
        <f>+VLOOKUP(H683,PRORRATEO!F:M,6,0)</f>
        <v>3875765.3089599996</v>
      </c>
      <c r="S683" s="339">
        <f>+VLOOKUP(H683,PRORRATEO!F:M,7,0)</f>
        <v>5.6000000000000001E-2</v>
      </c>
      <c r="T683" s="339">
        <f>+VLOOKUP(H683,PRORRATEO!F:M,8,0)</f>
        <v>0.94399999999999995</v>
      </c>
    </row>
    <row r="684" spans="1:20" x14ac:dyDescent="0.35">
      <c r="B684" s="4">
        <v>289666</v>
      </c>
      <c r="C684" s="251" t="s">
        <v>983</v>
      </c>
      <c r="D684" s="322">
        <f>SUM(D685:D694)</f>
        <v>16710288.88208</v>
      </c>
      <c r="E684" t="s">
        <v>984</v>
      </c>
      <c r="F684">
        <v>31</v>
      </c>
      <c r="G684" s="316" t="str">
        <f>+CONCATENATE($G$7," RV/GC ",G683," ",H683)</f>
        <v>"04-2026" RV/GC T115 8859</v>
      </c>
      <c r="J684" s="10"/>
    </row>
    <row r="685" spans="1:20" x14ac:dyDescent="0.35">
      <c r="B685" s="209">
        <v>1537210004</v>
      </c>
      <c r="C685" s="251" t="s">
        <v>1033</v>
      </c>
      <c r="E685" s="16" t="s">
        <v>97</v>
      </c>
      <c r="F685" s="209">
        <v>40</v>
      </c>
      <c r="G685" s="316" t="str">
        <f>+G684</f>
        <v>"04-2026" RV/GC T115 8859</v>
      </c>
      <c r="I685" s="10">
        <f>+H683</f>
        <v>8859</v>
      </c>
      <c r="J685" s="10"/>
    </row>
    <row r="686" spans="1:20" x14ac:dyDescent="0.35">
      <c r="B686" s="209">
        <v>1537210002</v>
      </c>
      <c r="C686" s="251" t="s">
        <v>85</v>
      </c>
      <c r="D686" s="268">
        <f>2004064+200406</f>
        <v>2204470</v>
      </c>
      <c r="E686" s="16" t="s">
        <v>97</v>
      </c>
      <c r="F686" s="209">
        <v>50</v>
      </c>
      <c r="G686" s="496" t="str">
        <f>+G685</f>
        <v>"04-2026" RV/GC T115 8859</v>
      </c>
      <c r="J686" s="376" t="s">
        <v>1730</v>
      </c>
    </row>
    <row r="687" spans="1:20" x14ac:dyDescent="0.35">
      <c r="B687" s="209">
        <v>1149120011</v>
      </c>
      <c r="C687" s="251" t="s">
        <v>77</v>
      </c>
      <c r="D687" s="268">
        <f>+Q683</f>
        <v>229918.28104</v>
      </c>
      <c r="E687" s="16" t="s">
        <v>98</v>
      </c>
      <c r="F687" s="209">
        <v>40</v>
      </c>
      <c r="G687" s="316" t="str">
        <f>+G686</f>
        <v>"04-2026" RV/GC T115 8859</v>
      </c>
      <c r="J687" s="10"/>
    </row>
    <row r="688" spans="1:20" x14ac:dyDescent="0.35">
      <c r="B688" s="209">
        <v>1149120011</v>
      </c>
      <c r="C688" s="251" t="s">
        <v>77</v>
      </c>
      <c r="D688" s="268">
        <f>+Q683</f>
        <v>229918.28104</v>
      </c>
      <c r="E688" s="16" t="s">
        <v>97</v>
      </c>
      <c r="F688" s="209">
        <v>40</v>
      </c>
      <c r="G688" s="348" t="str">
        <f>+G685</f>
        <v>"04-2026" RV/GC T115 8859</v>
      </c>
      <c r="I688" s="10">
        <f>+I685</f>
        <v>8859</v>
      </c>
      <c r="J688" s="10"/>
    </row>
    <row r="689" spans="1:20" x14ac:dyDescent="0.35">
      <c r="B689" s="4">
        <v>1149120011</v>
      </c>
      <c r="C689" s="251" t="s">
        <v>1032</v>
      </c>
      <c r="E689" t="s">
        <v>97</v>
      </c>
      <c r="F689">
        <v>40</v>
      </c>
      <c r="G689" s="316" t="str">
        <f>+G688</f>
        <v>"04-2026" RV/GC T115 8859</v>
      </c>
      <c r="J689" s="10"/>
    </row>
    <row r="690" spans="1:20" x14ac:dyDescent="0.35">
      <c r="A690" s="130" t="s">
        <v>854</v>
      </c>
      <c r="B690" s="14">
        <v>228274</v>
      </c>
      <c r="C690" s="251" t="s">
        <v>1026</v>
      </c>
      <c r="D690" s="298">
        <f>SUM(D691:D692)</f>
        <v>6716971.6600000001</v>
      </c>
      <c r="E690"/>
      <c r="G690" s="346" t="s">
        <v>468</v>
      </c>
      <c r="H690" s="6">
        <v>9636</v>
      </c>
      <c r="J690" s="350">
        <f>+VLOOKUP(H690,contratos!A:R,5,0)</f>
        <v>43466</v>
      </c>
      <c r="K690" s="266" t="str">
        <f>+VLOOKUP(H690,contratos!A:R,12,0)</f>
        <v>VENCIDO</v>
      </c>
      <c r="L690" s="341" t="str">
        <f>+VLOOKUP(H690,contratos!A:R,13,0)</f>
        <v>CESADO</v>
      </c>
      <c r="M690" s="341">
        <f>+VLOOKUP(H690,contratos!A:R,15,0)</f>
        <v>0</v>
      </c>
      <c r="N690" s="336">
        <f>+VLOOKUP(H690,contratos!A:R,16,0)</f>
        <v>0</v>
      </c>
      <c r="O690" s="341">
        <f>+VLOOKUP(H690,PRORRATEO!F:M,3,0)</f>
        <v>15892835</v>
      </c>
      <c r="P690" s="341">
        <f>+VLOOKUP(H690,PRORRATEO!F:M,4,0)</f>
        <v>3019638.65</v>
      </c>
      <c r="Q690" s="341">
        <f>+VLOOKUP(H690,PRORRATEO!F:M,5,0)</f>
        <v>217413.98279999997</v>
      </c>
      <c r="R690" s="341">
        <f>+VLOOKUP(H690,PRORRATEO!F:M,6,0)</f>
        <v>2802224.6672</v>
      </c>
      <c r="S690" s="339">
        <f>+VLOOKUP(H690,PRORRATEO!F:M,7,0)</f>
        <v>7.1999999999999995E-2</v>
      </c>
      <c r="T690" s="339">
        <f>+VLOOKUP(H690,PRORRATEO!F:M,8,0)</f>
        <v>0.92800000000000005</v>
      </c>
    </row>
    <row r="691" spans="1:20" x14ac:dyDescent="0.35">
      <c r="B691" s="209">
        <v>1537210004</v>
      </c>
      <c r="C691" s="251" t="s">
        <v>1015</v>
      </c>
      <c r="D691" s="268">
        <v>5644514</v>
      </c>
      <c r="E691" s="16" t="s">
        <v>97</v>
      </c>
      <c r="F691" s="209">
        <v>40</v>
      </c>
      <c r="G691" s="316" t="str">
        <f>+CONCATENATE($G$7,"  RV ",G690," ",H690)</f>
        <v>"04-2026"  RV T135 9636</v>
      </c>
      <c r="I691" s="10">
        <f>+H690</f>
        <v>9636</v>
      </c>
      <c r="J691" s="10"/>
    </row>
    <row r="692" spans="1:20" x14ac:dyDescent="0.35">
      <c r="B692" s="4">
        <v>1149120011</v>
      </c>
      <c r="C692" s="251" t="s">
        <v>96</v>
      </c>
      <c r="D692" s="299">
        <f>+D691*0.19</f>
        <v>1072457.6599999999</v>
      </c>
      <c r="E692" t="s">
        <v>97</v>
      </c>
      <c r="F692">
        <v>40</v>
      </c>
      <c r="G692" s="316" t="str">
        <f>+G691</f>
        <v>"04-2026"  RV T135 9636</v>
      </c>
      <c r="J692" s="10"/>
    </row>
    <row r="693" spans="1:20" ht="14.5" customHeight="1" x14ac:dyDescent="0.35">
      <c r="A693" s="382">
        <v>1537210004</v>
      </c>
      <c r="B693" s="14">
        <v>205547</v>
      </c>
      <c r="C693" s="251" t="s">
        <v>46</v>
      </c>
      <c r="G693" s="346" t="s">
        <v>671</v>
      </c>
      <c r="H693" s="6" t="s">
        <v>228</v>
      </c>
      <c r="J693" s="350">
        <f>+VLOOKUP(H693,contratos!A:R,5,0)</f>
        <v>44505</v>
      </c>
      <c r="K693" s="266" t="str">
        <f>+VLOOKUP(H693,contratos!A:R,12,0)</f>
        <v>OK</v>
      </c>
      <c r="L693" s="341" t="str">
        <f>+VLOOKUP(H693,contratos!A:R,13,0)</f>
        <v>VIGENTE</v>
      </c>
      <c r="M693" s="341">
        <f>+VLOOKUP(H693,contratos!A:R,15,0)</f>
        <v>0</v>
      </c>
      <c r="N693" s="336">
        <f>+VLOOKUP(H693,contratos!A:R,16,0)</f>
        <v>0</v>
      </c>
      <c r="O693" s="341">
        <f>+VLOOKUP(H693,PRORRATEO!F:M,3,0)</f>
        <v>28000000</v>
      </c>
      <c r="P693" s="341">
        <f>+VLOOKUP(H693,PRORRATEO!F:M,4,0)</f>
        <v>5320000</v>
      </c>
      <c r="Q693" s="341">
        <f>+VLOOKUP(H693,PRORRATEO!F:M,5,0)</f>
        <v>5320000</v>
      </c>
      <c r="R693" s="341">
        <f>+VLOOKUP(H693,PRORRATEO!F:M,6,0)</f>
        <v>0</v>
      </c>
      <c r="S693" s="339">
        <f>+VLOOKUP(H693,PRORRATEO!F:M,7,0)</f>
        <v>1</v>
      </c>
      <c r="T693" s="339">
        <f>+VLOOKUP(H693,PRORRATEO!F:M,8,0)</f>
        <v>0</v>
      </c>
    </row>
    <row r="694" spans="1:20" x14ac:dyDescent="0.35">
      <c r="B694" s="209">
        <v>1532001605</v>
      </c>
      <c r="C694" s="251" t="s">
        <v>1030</v>
      </c>
      <c r="D694" s="298">
        <v>612039</v>
      </c>
      <c r="E694" s="16" t="s">
        <v>80</v>
      </c>
      <c r="F694" s="209">
        <v>40</v>
      </c>
      <c r="G694" s="316" t="str">
        <f>+CONCATENATE($G$7,"  ENERGIA ",G693," ",H693)</f>
        <v>"04-2026"  ENERGIA SGH635 A997</v>
      </c>
      <c r="I694" s="10" t="str">
        <f>+H693</f>
        <v>A997</v>
      </c>
      <c r="J694" s="10"/>
    </row>
    <row r="695" spans="1:20" x14ac:dyDescent="0.35">
      <c r="G695" s="316" t="str">
        <f>+G694</f>
        <v>"04-2026"  ENERGIA SGH635 A997</v>
      </c>
      <c r="J695" s="10"/>
    </row>
    <row r="696" spans="1:20" x14ac:dyDescent="0.35">
      <c r="A696" s="130" t="s">
        <v>1138</v>
      </c>
      <c r="B696" s="14">
        <v>205547</v>
      </c>
      <c r="C696" s="251" t="s">
        <v>46</v>
      </c>
      <c r="G696" s="400" t="s">
        <v>379</v>
      </c>
      <c r="H696" s="401">
        <v>8584</v>
      </c>
      <c r="J696" s="350">
        <f>+VLOOKUP(H696,contratos!A:R,5,0)</f>
        <v>42436</v>
      </c>
      <c r="K696" s="266" t="str">
        <f>+VLOOKUP(H696,contratos!A:R,12,0)</f>
        <v>CESADO</v>
      </c>
      <c r="L696" s="341" t="str">
        <f>+VLOOKUP(H696,contratos!A:R,13,0)</f>
        <v>REEMPLAZO 5-135</v>
      </c>
      <c r="M696" s="341">
        <f>+VLOOKUP(H696,contratos!A:R,15,0)</f>
        <v>0</v>
      </c>
      <c r="N696" s="336">
        <f>+VLOOKUP(H696,contratos!A:R,16,0)</f>
        <v>0</v>
      </c>
      <c r="O696" s="341">
        <f>+VLOOKUP(H696,PRORRATEO!F:M,3,0)</f>
        <v>9592714</v>
      </c>
      <c r="P696" s="341">
        <f>+VLOOKUP(H696,PRORRATEO!F:M,4,0)</f>
        <v>1822615.66</v>
      </c>
      <c r="Q696" s="341">
        <f>+VLOOKUP(H696,PRORRATEO!F:M,5,0)</f>
        <v>176793.71901999999</v>
      </c>
      <c r="R696" s="341">
        <f>+VLOOKUP(H696,PRORRATEO!F:M,6,0)</f>
        <v>1645821.94098</v>
      </c>
      <c r="S696" s="339">
        <f>+VLOOKUP(H696,PRORRATEO!F:M,7,0)</f>
        <v>9.7000000000000003E-2</v>
      </c>
      <c r="T696" s="339">
        <f>+VLOOKUP(H696,PRORRATEO!F:M,8,0)</f>
        <v>0.90300000000000002</v>
      </c>
    </row>
    <row r="697" spans="1:20" x14ac:dyDescent="0.35">
      <c r="B697" s="209">
        <v>1532001605</v>
      </c>
      <c r="C697" s="251" t="s">
        <v>1030</v>
      </c>
      <c r="D697" s="268">
        <v>1465820</v>
      </c>
      <c r="E697" s="16" t="s">
        <v>80</v>
      </c>
      <c r="F697" s="209">
        <v>40</v>
      </c>
      <c r="G697" s="316" t="str">
        <f>+CONCATENATE($G$7,"ENERGÍA"," ",G696," ",H696)</f>
        <v>"04-2026"ENERGÍA T106 8584</v>
      </c>
      <c r="I697" s="10">
        <f>+H696</f>
        <v>8584</v>
      </c>
      <c r="J697" s="10"/>
    </row>
    <row r="698" spans="1:20" x14ac:dyDescent="0.35">
      <c r="B698" s="209">
        <v>1532001604</v>
      </c>
      <c r="C698" s="251" t="s">
        <v>1029</v>
      </c>
      <c r="D698" s="299">
        <v>132</v>
      </c>
      <c r="E698" s="16" t="s">
        <v>80</v>
      </c>
      <c r="F698" s="209">
        <v>40</v>
      </c>
      <c r="G698" s="316" t="str">
        <f>+CONCATENATE($G$7,"ACUEDUCTO"," ",G696," ",H696)</f>
        <v>"04-2026"ACUEDUCTO T106 8584</v>
      </c>
      <c r="I698" s="10">
        <f>+I697</f>
        <v>8584</v>
      </c>
      <c r="J698" s="10"/>
    </row>
    <row r="699" spans="1:20" x14ac:dyDescent="0.35">
      <c r="C699" s="251" t="s">
        <v>1031</v>
      </c>
      <c r="D699" s="298">
        <f>SUBTOTAL(9,D697:D698)</f>
        <v>1465952</v>
      </c>
      <c r="G699" s="318" t="str">
        <f>+CONCATENATE($G$7,A696," ",G696," ",H696)</f>
        <v>"04-2026"ENERGIA/ACUEDUCTO T106 8584</v>
      </c>
      <c r="H699" s="54">
        <v>5</v>
      </c>
      <c r="J699" s="10"/>
    </row>
    <row r="700" spans="1:20" hidden="1" x14ac:dyDescent="0.35">
      <c r="B700"/>
      <c r="G700" s="7"/>
      <c r="H700"/>
      <c r="J700"/>
      <c r="K700"/>
      <c r="L700" s="19"/>
      <c r="M700" s="19"/>
      <c r="N700"/>
      <c r="O700" s="19"/>
      <c r="P700" s="19"/>
      <c r="Q700" s="19"/>
      <c r="R700" s="19"/>
      <c r="S700" s="201"/>
      <c r="T700" s="201"/>
    </row>
    <row r="701" spans="1:20" x14ac:dyDescent="0.35">
      <c r="A701" s="130" t="s">
        <v>853</v>
      </c>
      <c r="B701" s="14">
        <v>206755</v>
      </c>
      <c r="C701" s="251" t="s">
        <v>1034</v>
      </c>
      <c r="G701" s="9" t="str">
        <f>+VLOOKUP(B701,arriendo1!A:R,3,0)</f>
        <v>T045</v>
      </c>
      <c r="H701" s="131">
        <f>+VLOOKUP(B701,arriendo1!A:R,6,0)</f>
        <v>6629</v>
      </c>
      <c r="J701" s="350">
        <f>+VLOOKUP(H701,contratos!A:R,5,0)</f>
        <v>43466</v>
      </c>
      <c r="K701" s="266" t="str">
        <f>+VLOOKUP(H701,contratos!A:R,12,0)</f>
        <v>OK</v>
      </c>
      <c r="L701" s="341" t="str">
        <f>+VLOOKUP(H701,contratos!A:R,13,0)</f>
        <v>VIGENTE</v>
      </c>
      <c r="M701" s="341">
        <f>+VLOOKUP(H701,contratos!A:R,15,0)</f>
        <v>0</v>
      </c>
      <c r="N701" s="336">
        <f>+VLOOKUP(H701,contratos!A:R,16,0)</f>
        <v>0</v>
      </c>
      <c r="O701" s="341">
        <f>+VLOOKUP(B701,PRORRATEO!A:M,8,0)</f>
        <v>8141716</v>
      </c>
      <c r="P701" s="341">
        <f>+VLOOKUP(B701,PRORRATEO!A:M,9,0)</f>
        <v>1546926.04</v>
      </c>
      <c r="Q701" s="341">
        <f>+VLOOKUP(B701,PRORRATEO!A:M,10,0)</f>
        <v>67460.517265300994</v>
      </c>
      <c r="R701" s="341">
        <f>+VLOOKUP(B701,PRORRATEO!A:M,11,0)</f>
        <v>1479465.5227346993</v>
      </c>
      <c r="S701" s="339">
        <f>+VLOOKUP(B701,PRORRATEO!A:M,12,0)</f>
        <v>4.3609400527837128E-2</v>
      </c>
      <c r="T701" s="339">
        <f>+VLOOKUP(B701,PRORRATEO!A:M,13,0)</f>
        <v>0.95639059947216298</v>
      </c>
    </row>
    <row r="702" spans="1:20" x14ac:dyDescent="0.35">
      <c r="B702" s="4">
        <v>206755</v>
      </c>
      <c r="C702" s="251" t="s">
        <v>983</v>
      </c>
      <c r="D702" s="332">
        <f>+D703+D704-D705+D706+D707-D708-D709</f>
        <v>9753927.6469870992</v>
      </c>
      <c r="E702" t="s">
        <v>984</v>
      </c>
      <c r="F702">
        <v>31</v>
      </c>
      <c r="G702" s="316" t="str">
        <f>+CONCATENATE($G$7," RF/GC ",G701," ",H701)</f>
        <v>"04-2026" RF/GC T045 6629</v>
      </c>
      <c r="J702" s="10"/>
    </row>
    <row r="703" spans="1:20" x14ac:dyDescent="0.35">
      <c r="B703" s="209">
        <v>1245150017</v>
      </c>
      <c r="C703" s="251" t="s">
        <v>77</v>
      </c>
      <c r="D703" s="268">
        <f>+O701</f>
        <v>8141716</v>
      </c>
      <c r="E703" s="16" t="s">
        <v>97</v>
      </c>
      <c r="F703" s="209">
        <v>40</v>
      </c>
      <c r="G703" s="316" t="str">
        <f>+CONCATENATE($G$7," RF ",G701," ",H701)</f>
        <v>"04-2026" RF T045 6629</v>
      </c>
      <c r="I703" s="10">
        <f>+H701</f>
        <v>6629</v>
      </c>
      <c r="J703" s="10"/>
    </row>
    <row r="704" spans="1:20" x14ac:dyDescent="0.35">
      <c r="B704" s="209">
        <v>1149120011</v>
      </c>
      <c r="C704" s="251" t="s">
        <v>1032</v>
      </c>
      <c r="D704" s="268">
        <f>+Q701</f>
        <v>67460.517265300994</v>
      </c>
      <c r="E704" s="16" t="s">
        <v>98</v>
      </c>
      <c r="F704" s="209">
        <v>40</v>
      </c>
      <c r="G704" s="316" t="str">
        <f>+CONCATENATE($G$7," RF/GC ",G701," ",H701)</f>
        <v>"04-2026" RF/GC T045 6629</v>
      </c>
      <c r="I704" s="10">
        <f>+I703</f>
        <v>6629</v>
      </c>
      <c r="J704" s="10"/>
    </row>
    <row r="705" spans="1:20" x14ac:dyDescent="0.35">
      <c r="B705" s="209">
        <v>1149120011</v>
      </c>
      <c r="C705" s="251" t="s">
        <v>1032</v>
      </c>
      <c r="D705" s="268">
        <f>+D704</f>
        <v>67460.517265300994</v>
      </c>
      <c r="E705" s="16" t="s">
        <v>97</v>
      </c>
      <c r="F705" s="209">
        <v>50</v>
      </c>
      <c r="G705" s="316" t="str">
        <f>+CONCATENATE($G$7," RF/GC ",G701," ",H701)</f>
        <v>"04-2026" RF/GC T045 6629</v>
      </c>
      <c r="I705" s="10">
        <f>+I704</f>
        <v>6629</v>
      </c>
      <c r="J705" s="10"/>
    </row>
    <row r="706" spans="1:20" x14ac:dyDescent="0.35">
      <c r="B706" s="209">
        <v>1537210002</v>
      </c>
      <c r="C706" s="251" t="s">
        <v>1015</v>
      </c>
      <c r="D706" s="268">
        <v>428895</v>
      </c>
      <c r="E706" s="16" t="s">
        <v>80</v>
      </c>
      <c r="F706" s="209">
        <v>40</v>
      </c>
      <c r="G706" s="316" t="str">
        <f>+CONCATENATE($G$7," GC ",G701," ",H701)</f>
        <v>"04-2026" GC T045 6629</v>
      </c>
      <c r="I706" s="10">
        <f>+I705</f>
        <v>6629</v>
      </c>
      <c r="J706" s="10"/>
    </row>
    <row r="707" spans="1:20" x14ac:dyDescent="0.35">
      <c r="B707" s="4">
        <v>1149120011</v>
      </c>
      <c r="C707" s="251" t="s">
        <v>1032</v>
      </c>
      <c r="D707" s="298">
        <f>+P701</f>
        <v>1546926.04</v>
      </c>
      <c r="E707" t="s">
        <v>97</v>
      </c>
      <c r="F707">
        <v>40</v>
      </c>
      <c r="G707" s="316" t="str">
        <f>+CONCATENATE($G$7," RF/GC ",G701," ",H701)</f>
        <v>"04-2026" RF/GC T045 6629</v>
      </c>
      <c r="I707" s="251" t="s">
        <v>857</v>
      </c>
      <c r="J707" s="352">
        <v>3.5000000000000003E-2</v>
      </c>
    </row>
    <row r="708" spans="1:20" x14ac:dyDescent="0.35">
      <c r="B708" s="4">
        <v>1246125027</v>
      </c>
      <c r="C708" s="251" t="s">
        <v>962</v>
      </c>
      <c r="D708" s="298">
        <f>+D703*J707</f>
        <v>284960.06000000006</v>
      </c>
      <c r="E708"/>
      <c r="F708">
        <v>50</v>
      </c>
      <c r="G708" s="316" t="str">
        <f>+CONCATENATE($G$7," RF/GC ",G701," ",H701)</f>
        <v>"04-2026" RF/GC T045 6629</v>
      </c>
      <c r="I708" s="206">
        <v>1</v>
      </c>
      <c r="J708" s="352">
        <v>9.6600437810529394E-3</v>
      </c>
    </row>
    <row r="709" spans="1:20" x14ac:dyDescent="0.35">
      <c r="B709" s="4">
        <v>1249100024</v>
      </c>
      <c r="C709" s="251" t="s">
        <v>981</v>
      </c>
      <c r="D709" s="298">
        <f>+D703*J708</f>
        <v>78649.333012899209</v>
      </c>
      <c r="E709"/>
      <c r="F709">
        <v>50</v>
      </c>
      <c r="G709" s="316" t="str">
        <f>+CONCATENATE($G$7," RF/GC ",G701," ",H701)</f>
        <v>"04-2026" RF/GC T045 6629</v>
      </c>
      <c r="J709" s="10"/>
    </row>
    <row r="710" spans="1:20" x14ac:dyDescent="0.35">
      <c r="A710" s="130" t="s">
        <v>853</v>
      </c>
      <c r="B710" s="14" t="s">
        <v>1203</v>
      </c>
      <c r="C710" s="251" t="s">
        <v>1035</v>
      </c>
      <c r="G710" s="9" t="str">
        <f>+VLOOKUP(204551,arriendo1!A:R,3,0)</f>
        <v>T078</v>
      </c>
      <c r="H710" s="131">
        <f>+VLOOKUP(204551,arriendo1!A:R,6,0)</f>
        <v>6711</v>
      </c>
      <c r="J710" s="350">
        <f>+VLOOKUP(H710,contratos!A:R,5,0)</f>
        <v>45505</v>
      </c>
      <c r="K710" s="266" t="str">
        <f>+VLOOKUP(H710,contratos!A:R,12,0)</f>
        <v>OK</v>
      </c>
      <c r="L710" s="341" t="str">
        <f>+VLOOKUP(H710,contratos!A:R,13,0)</f>
        <v>VIGENTE</v>
      </c>
      <c r="M710" s="341">
        <f>+VLOOKUP(H710,contratos!A:R,15,0)</f>
        <v>0</v>
      </c>
      <c r="N710" s="336">
        <f>+VLOOKUP(H710,contratos!A:R,16,0)</f>
        <v>0</v>
      </c>
      <c r="O710" s="341">
        <f>+VLOOKUP(H710,PRORRATEO!F:M,3,0)</f>
        <v>12101549</v>
      </c>
      <c r="P710" s="341">
        <f>+VLOOKUP(H710,PRORRATEO!F:M,4,0)</f>
        <v>2299294.31</v>
      </c>
      <c r="Q710" s="341">
        <f>+VLOOKUP(H710,PRORRATEO!F:M,5,0)</f>
        <v>158651.30739000003</v>
      </c>
      <c r="R710" s="341">
        <f>+VLOOKUP(H710,PRORRATEO!F:M,6,0)</f>
        <v>2140643.0026100003</v>
      </c>
      <c r="S710" s="339">
        <f>+VLOOKUP(H710,PRORRATEO!F:M,7,0)</f>
        <v>6.9000000000000006E-2</v>
      </c>
      <c r="T710" s="339">
        <f>+VLOOKUP(H710,PRORRATEO!F:M,8,0)</f>
        <v>0.93100000000000005</v>
      </c>
    </row>
    <row r="711" spans="1:20" x14ac:dyDescent="0.35">
      <c r="B711" s="4">
        <v>205645</v>
      </c>
      <c r="C711" s="251" t="s">
        <v>983</v>
      </c>
      <c r="D711" s="298">
        <f>+D712+D713+D714+D715-D716+D717-D718</f>
        <v>13977289.206069492</v>
      </c>
      <c r="E711" t="s">
        <v>984</v>
      </c>
      <c r="F711">
        <v>31</v>
      </c>
      <c r="G711" s="316" t="str">
        <f>+CONCATENATE($G$7," RF ",G710," ",H710)</f>
        <v>"04-2026" RF T078 6711</v>
      </c>
      <c r="J711" s="10"/>
    </row>
    <row r="712" spans="1:20" x14ac:dyDescent="0.35">
      <c r="B712" s="209">
        <v>1245150017</v>
      </c>
      <c r="C712" s="251" t="s">
        <v>77</v>
      </c>
      <c r="D712" s="268">
        <f>+O710</f>
        <v>12101549</v>
      </c>
      <c r="E712" s="16" t="s">
        <v>97</v>
      </c>
      <c r="F712" s="209">
        <v>40</v>
      </c>
      <c r="G712" s="316" t="str">
        <f t="shared" ref="G712:G718" si="34">+G711</f>
        <v>"04-2026" RF T078 6711</v>
      </c>
      <c r="I712" s="10">
        <v>6711</v>
      </c>
      <c r="J712" s="317" t="s">
        <v>1036</v>
      </c>
    </row>
    <row r="713" spans="1:20" x14ac:dyDescent="0.35">
      <c r="B713" s="263">
        <v>1537210004</v>
      </c>
      <c r="C713" s="251" t="s">
        <v>974</v>
      </c>
      <c r="E713" s="16" t="s">
        <v>80</v>
      </c>
      <c r="F713" s="209">
        <v>40</v>
      </c>
      <c r="G713" s="348" t="str">
        <f t="shared" si="34"/>
        <v>"04-2026" RF T078 6711</v>
      </c>
      <c r="I713" s="10">
        <v>6711</v>
      </c>
      <c r="J713" s="10"/>
    </row>
    <row r="714" spans="1:20" x14ac:dyDescent="0.35">
      <c r="B714" s="263">
        <v>1537210004</v>
      </c>
      <c r="C714" s="251" t="s">
        <v>974</v>
      </c>
      <c r="E714" s="16" t="s">
        <v>97</v>
      </c>
      <c r="F714" s="209">
        <v>40</v>
      </c>
      <c r="G714" s="316" t="str">
        <f t="shared" si="34"/>
        <v>"04-2026" RF T078 6711</v>
      </c>
      <c r="I714" s="10">
        <v>6711</v>
      </c>
      <c r="J714" s="10"/>
      <c r="K714" s="433"/>
    </row>
    <row r="715" spans="1:20" x14ac:dyDescent="0.35">
      <c r="B715" s="209">
        <v>1149120011</v>
      </c>
      <c r="C715" s="251" t="s">
        <v>1032</v>
      </c>
      <c r="D715" s="268">
        <f>+Q710</f>
        <v>158651.30739000003</v>
      </c>
      <c r="E715" s="16" t="s">
        <v>98</v>
      </c>
      <c r="F715" s="209">
        <v>40</v>
      </c>
      <c r="G715" s="316" t="str">
        <f t="shared" si="34"/>
        <v>"04-2026" RF T078 6711</v>
      </c>
      <c r="I715" s="10">
        <v>6711</v>
      </c>
      <c r="J715" s="10"/>
    </row>
    <row r="716" spans="1:20" x14ac:dyDescent="0.35">
      <c r="B716" s="209">
        <v>1149120011</v>
      </c>
      <c r="C716" s="251" t="s">
        <v>1032</v>
      </c>
      <c r="D716" s="268">
        <f>+D715</f>
        <v>158651.30739000003</v>
      </c>
      <c r="E716" s="16" t="s">
        <v>97</v>
      </c>
      <c r="F716" s="209">
        <v>50</v>
      </c>
      <c r="G716" s="316" t="str">
        <f t="shared" si="34"/>
        <v>"04-2026" RF T078 6711</v>
      </c>
      <c r="H716" s="338"/>
      <c r="I716" s="10">
        <v>6711</v>
      </c>
      <c r="J716" s="10"/>
    </row>
    <row r="717" spans="1:20" x14ac:dyDescent="0.35">
      <c r="B717" s="4">
        <v>1149120011</v>
      </c>
      <c r="C717" s="251" t="s">
        <v>1032</v>
      </c>
      <c r="D717" s="298">
        <f>+(D712+A713)*0.19</f>
        <v>2299294.31</v>
      </c>
      <c r="E717" t="s">
        <v>97</v>
      </c>
      <c r="F717">
        <v>40</v>
      </c>
      <c r="G717" s="316" t="str">
        <f t="shared" si="34"/>
        <v>"04-2026" RF T078 6711</v>
      </c>
      <c r="H717" s="338"/>
      <c r="J717" s="10"/>
    </row>
    <row r="718" spans="1:20" x14ac:dyDescent="0.35">
      <c r="B718" s="391">
        <v>1246125027</v>
      </c>
      <c r="C718" s="251" t="s">
        <v>962</v>
      </c>
      <c r="D718" s="298">
        <f>+D712*J718</f>
        <v>423554.10393050947</v>
      </c>
      <c r="E718"/>
      <c r="F718">
        <v>50</v>
      </c>
      <c r="G718" s="316" t="str">
        <f t="shared" si="34"/>
        <v>"04-2026" RF T078 6711</v>
      </c>
      <c r="I718" s="251" t="s">
        <v>857</v>
      </c>
      <c r="J718" s="352">
        <v>3.4999990821878213E-2</v>
      </c>
    </row>
    <row r="719" spans="1:20" x14ac:dyDescent="0.35">
      <c r="A719" s="130" t="s">
        <v>853</v>
      </c>
      <c r="B719" s="14">
        <v>409015</v>
      </c>
      <c r="C719" s="251" t="s">
        <v>54</v>
      </c>
      <c r="D719" s="299">
        <f>+D720+D721-D722+D723-D724-D725</f>
        <v>116755.9560725772</v>
      </c>
      <c r="E719" s="16"/>
      <c r="F719" s="16"/>
      <c r="G719" s="9" t="s">
        <v>453</v>
      </c>
      <c r="H719" s="6">
        <v>9209</v>
      </c>
      <c r="J719" s="350">
        <f>+VLOOKUP(H719,contratos!A:R,5,0)</f>
        <v>43040</v>
      </c>
      <c r="K719" s="266" t="str">
        <f>+VLOOKUP(H719,contratos!A:R,12,0)</f>
        <v>CESADO</v>
      </c>
      <c r="L719" s="341" t="str">
        <f>+VLOOKUP(H719,contratos!A:R,13,0)</f>
        <v>CERRADA</v>
      </c>
      <c r="M719" s="341">
        <f>+VLOOKUP(H719,contratos!A:R,15,0)</f>
        <v>0</v>
      </c>
      <c r="N719" s="336">
        <f>+VLOOKUP(H719,contratos!A:R,16,0)</f>
        <v>0</v>
      </c>
      <c r="O719" s="341">
        <f>+VLOOKUP(H719,PRORRATEO!F:M,3,0)</f>
        <v>101940</v>
      </c>
      <c r="P719" s="341">
        <f>+VLOOKUP(H719,PRORRATEO!F:M,4,0)</f>
        <v>19368.599999999999</v>
      </c>
      <c r="Q719" s="341">
        <f>+VLOOKUP(H719,PRORRATEO!F:M,5,0)</f>
        <v>1549.4879999999998</v>
      </c>
      <c r="R719" s="341">
        <f>+VLOOKUP(H719,PRORRATEO!F:M,6,0)</f>
        <v>17819.112000000001</v>
      </c>
      <c r="S719" s="339">
        <f>+VLOOKUP(H719,PRORRATEO!F:M,7,0)</f>
        <v>0.08</v>
      </c>
      <c r="T719" s="339">
        <f>+VLOOKUP(H719,PRORRATEO!F:M,8,0)</f>
        <v>0.92</v>
      </c>
    </row>
    <row r="720" spans="1:20" x14ac:dyDescent="0.35">
      <c r="B720" s="209">
        <v>1537210004</v>
      </c>
      <c r="C720" s="251" t="s">
        <v>1033</v>
      </c>
      <c r="D720" s="268">
        <v>101940</v>
      </c>
      <c r="E720" s="16" t="s">
        <v>97</v>
      </c>
      <c r="F720" s="209">
        <v>40</v>
      </c>
      <c r="G720" s="316" t="str">
        <f>+CONCATENATE($G$7," RV ",G719," ",H719)</f>
        <v>"04-2026" RV T130 9209</v>
      </c>
      <c r="I720" s="10">
        <f>+H719</f>
        <v>9209</v>
      </c>
      <c r="J720" s="10"/>
    </row>
    <row r="721" spans="1:21" x14ac:dyDescent="0.35">
      <c r="B721" s="209">
        <v>1149120011</v>
      </c>
      <c r="C721" s="251" t="s">
        <v>1032</v>
      </c>
      <c r="D721" s="268">
        <f>+Q719</f>
        <v>1549.4879999999998</v>
      </c>
      <c r="E721" s="16" t="s">
        <v>98</v>
      </c>
      <c r="F721" s="209">
        <v>40</v>
      </c>
      <c r="G721" s="318" t="str">
        <f>+G720</f>
        <v>"04-2026" RV T130 9209</v>
      </c>
      <c r="I721" s="10">
        <f>+I720</f>
        <v>9209</v>
      </c>
      <c r="J721" s="10"/>
    </row>
    <row r="722" spans="1:21" x14ac:dyDescent="0.35">
      <c r="B722" s="209">
        <v>1149120011</v>
      </c>
      <c r="C722" s="251" t="s">
        <v>1032</v>
      </c>
      <c r="D722" s="268">
        <f>+D721</f>
        <v>1549.4879999999998</v>
      </c>
      <c r="E722" s="16" t="s">
        <v>97</v>
      </c>
      <c r="F722" s="209">
        <v>50</v>
      </c>
      <c r="G722" s="316" t="str">
        <f>+G721</f>
        <v>"04-2026" RV T130 9209</v>
      </c>
      <c r="I722" s="10">
        <f>+I721</f>
        <v>9209</v>
      </c>
      <c r="J722" s="10"/>
    </row>
    <row r="723" spans="1:21" x14ac:dyDescent="0.35">
      <c r="B723" s="4">
        <v>1149120011</v>
      </c>
      <c r="C723" s="251" t="s">
        <v>1032</v>
      </c>
      <c r="D723" s="298">
        <f>+D720*0.19</f>
        <v>19368.599999999999</v>
      </c>
      <c r="E723" t="s">
        <v>97</v>
      </c>
      <c r="F723">
        <v>40</v>
      </c>
      <c r="G723" s="316" t="str">
        <f>+G722</f>
        <v>"04-2026" RV T130 9209</v>
      </c>
      <c r="J723" s="10"/>
    </row>
    <row r="724" spans="1:21" x14ac:dyDescent="0.35">
      <c r="B724" s="4">
        <v>1149120011</v>
      </c>
      <c r="C724" s="251" t="s">
        <v>1032</v>
      </c>
      <c r="D724" s="298">
        <f>+D720*J724</f>
        <v>3567.8990643822649</v>
      </c>
      <c r="E724" t="s">
        <v>97</v>
      </c>
      <c r="F724">
        <v>40</v>
      </c>
      <c r="G724" s="316" t="str">
        <f>+G723</f>
        <v>"04-2026" RV T130 9209</v>
      </c>
      <c r="I724" s="251" t="s">
        <v>857</v>
      </c>
      <c r="J724" s="352">
        <v>3.4999990821878213E-2</v>
      </c>
    </row>
    <row r="725" spans="1:21" x14ac:dyDescent="0.35">
      <c r="B725" s="4">
        <v>1246125027</v>
      </c>
      <c r="C725" s="251" t="s">
        <v>962</v>
      </c>
      <c r="D725" s="298">
        <f>+D720*J725</f>
        <v>984.74486304053664</v>
      </c>
      <c r="E725"/>
      <c r="F725">
        <v>50</v>
      </c>
      <c r="G725" s="316" t="str">
        <f>+G724</f>
        <v>"04-2026" RV T130 9209</v>
      </c>
      <c r="I725" s="206">
        <v>1</v>
      </c>
      <c r="J725" s="352">
        <v>9.6600437810529394E-3</v>
      </c>
    </row>
    <row r="726" spans="1:21" x14ac:dyDescent="0.35">
      <c r="A726" s="130" t="s">
        <v>853</v>
      </c>
      <c r="B726" s="14">
        <v>243073</v>
      </c>
      <c r="C726" s="251" t="s">
        <v>1037</v>
      </c>
      <c r="D726" s="298"/>
      <c r="G726" s="314" t="s">
        <v>666</v>
      </c>
      <c r="H726" s="6" t="s">
        <v>668</v>
      </c>
      <c r="J726" s="350" t="e">
        <f>+VLOOKUP(H726,contratos!A:R,5,0)</f>
        <v>#N/A</v>
      </c>
      <c r="K726" s="266" t="e">
        <f>+VLOOKUP(H726,contratos!A:R,12,0)</f>
        <v>#N/A</v>
      </c>
      <c r="L726" s="341" t="e">
        <f>+VLOOKUP(H726,contratos!A:R,13,0)</f>
        <v>#N/A</v>
      </c>
      <c r="M726" s="341" t="e">
        <f>+VLOOKUP(H726,contratos!A:R,15,0)</f>
        <v>#N/A</v>
      </c>
      <c r="N726" s="336" t="e">
        <f>+VLOOKUP(H726,contratos!A:R,16,0)</f>
        <v>#N/A</v>
      </c>
      <c r="O726" s="341">
        <f>+VLOOKUP(B726,PRORRATEO!A:M,8,0)</f>
        <v>30575345</v>
      </c>
      <c r="P726" s="341">
        <f>+VLOOKUP(B726,PRORRATEO!A:M,9,0)</f>
        <v>5809315.5499999998</v>
      </c>
      <c r="Q726" s="341">
        <f>+VLOOKUP(B726,PRORRATEO!A:M,10,0)</f>
        <v>5809315.5499999998</v>
      </c>
      <c r="R726" s="341">
        <f>+VLOOKUP(B726,PRORRATEO!A:M,11,0)</f>
        <v>0</v>
      </c>
      <c r="S726" s="339">
        <f>+VLOOKUP(B726,PRORRATEO!A:M,12,0)</f>
        <v>1</v>
      </c>
      <c r="T726" s="339">
        <f>+VLOOKUP(B726,PRORRATEO!A:M,13,0)</f>
        <v>0</v>
      </c>
    </row>
    <row r="727" spans="1:21" x14ac:dyDescent="0.35">
      <c r="B727" s="4">
        <v>243073</v>
      </c>
      <c r="C727" s="251" t="s">
        <v>983</v>
      </c>
      <c r="D727" s="298">
        <f>SUBTOTAL(9,D728:D730)</f>
        <v>35310455.331628375</v>
      </c>
      <c r="E727" t="s">
        <v>98</v>
      </c>
      <c r="F727">
        <v>31</v>
      </c>
      <c r="G727" s="316" t="str">
        <f>+CONCATENATE($G$7," RV ",G726," ",H726)</f>
        <v>"04-2026" RV SGH632 A544</v>
      </c>
      <c r="J727" s="10"/>
    </row>
    <row r="728" spans="1:21" ht="18.5" x14ac:dyDescent="0.45">
      <c r="B728" s="209">
        <v>1537210004</v>
      </c>
      <c r="C728" s="251" t="s">
        <v>1018</v>
      </c>
      <c r="D728" s="268">
        <f>+O726</f>
        <v>30575345</v>
      </c>
      <c r="E728" s="16" t="s">
        <v>98</v>
      </c>
      <c r="F728" s="209">
        <v>40</v>
      </c>
      <c r="G728" s="348" t="str">
        <f>+G727</f>
        <v>"04-2026" RV SGH632 A544</v>
      </c>
      <c r="I728" s="10" t="str">
        <f>+H726</f>
        <v>A544</v>
      </c>
      <c r="J728" s="453" t="s">
        <v>1309</v>
      </c>
    </row>
    <row r="729" spans="1:21" x14ac:dyDescent="0.35">
      <c r="B729" s="4">
        <v>1149120011</v>
      </c>
      <c r="C729" s="251" t="s">
        <v>1032</v>
      </c>
      <c r="D729" s="298">
        <f>+D728*0.19</f>
        <v>5809315.5499999998</v>
      </c>
      <c r="E729" t="s">
        <v>98</v>
      </c>
      <c r="F729">
        <v>40</v>
      </c>
      <c r="G729" s="348" t="str">
        <f t="shared" ref="G729:G730" si="35">+G728</f>
        <v>"04-2026" RV SGH632 A544</v>
      </c>
      <c r="I729" s="352"/>
      <c r="J729" s="10"/>
    </row>
    <row r="730" spans="1:21" x14ac:dyDescent="0.35">
      <c r="B730" s="4">
        <v>1246125027</v>
      </c>
      <c r="C730" s="251" t="s">
        <v>962</v>
      </c>
      <c r="D730" s="298">
        <f>-D728*J730</f>
        <v>-1074205.2183716255</v>
      </c>
      <c r="E730"/>
      <c r="F730">
        <v>50</v>
      </c>
      <c r="G730" s="348" t="str">
        <f t="shared" si="35"/>
        <v>"04-2026" RV SGH632 A544</v>
      </c>
      <c r="I730" s="251" t="s">
        <v>857</v>
      </c>
      <c r="J730" s="352">
        <v>3.5133053065194375E-2</v>
      </c>
    </row>
    <row r="731" spans="1:21" x14ac:dyDescent="0.35">
      <c r="A731" s="130" t="s">
        <v>854</v>
      </c>
      <c r="B731" s="14">
        <v>204556</v>
      </c>
      <c r="C731" s="251" t="s">
        <v>516</v>
      </c>
      <c r="E731"/>
      <c r="G731" s="10" t="str">
        <f>VLOOKUP(B731,ADMON!A:P,5,0)</f>
        <v>T040</v>
      </c>
      <c r="H731" s="54">
        <f>+VLOOKUP(G731,ADMON!E:G,3,0)</f>
        <v>6623</v>
      </c>
      <c r="J731" s="350">
        <f>+VLOOKUP(H731,contratos!A:R,5,0)</f>
        <v>39539</v>
      </c>
      <c r="K731" s="266" t="str">
        <f>+VLOOKUP(H731,contratos!A:R,12,0)</f>
        <v>CESADO</v>
      </c>
      <c r="L731" s="341" t="str">
        <f>+VLOOKUP(H731,contratos!A:R,13,0)</f>
        <v>CERRADA</v>
      </c>
      <c r="M731" s="341">
        <f>+VLOOKUP(H731,contratos!A:R,15,0)</f>
        <v>0</v>
      </c>
      <c r="N731" s="336">
        <f>+VLOOKUP(H731,contratos!A:R,16,0)</f>
        <v>0</v>
      </c>
      <c r="O731" s="341">
        <f>+VLOOKUP(H731,PRORRATEO!F:M,3,0)</f>
        <v>6337200</v>
      </c>
      <c r="P731" s="341">
        <f>+VLOOKUP(H731,PRORRATEO!F:M,4,0)</f>
        <v>1204068</v>
      </c>
      <c r="Q731" s="341">
        <f>+VLOOKUP(H731,PRORRATEO!F:M,5,0)</f>
        <v>101141.712</v>
      </c>
      <c r="R731" s="341">
        <f>+VLOOKUP(H731,PRORRATEO!F:M,6,0)</f>
        <v>1102926.2879999999</v>
      </c>
      <c r="S731" s="339">
        <f>+VLOOKUP(H731,PRORRATEO!F:M,7,0)</f>
        <v>8.4000000000000005E-2</v>
      </c>
      <c r="T731" s="339">
        <f>+VLOOKUP(H731,PRORRATEO!F:M,8,0)</f>
        <v>0.91600000000000004</v>
      </c>
    </row>
    <row r="732" spans="1:21" x14ac:dyDescent="0.35">
      <c r="B732" s="4">
        <v>204556</v>
      </c>
      <c r="C732" s="251" t="s">
        <v>1011</v>
      </c>
      <c r="D732" s="332">
        <f>+D733-D734</f>
        <v>1196660</v>
      </c>
      <c r="E732" t="s">
        <v>80</v>
      </c>
      <c r="F732">
        <v>31</v>
      </c>
      <c r="G732" s="316" t="str">
        <f>+CONCATENATE($G$7," GC ",G731," ",H731)</f>
        <v>"04-2026" GC T040 6623</v>
      </c>
      <c r="J732" s="10"/>
    </row>
    <row r="733" spans="1:21" x14ac:dyDescent="0.35">
      <c r="B733" s="209">
        <v>1537210002</v>
      </c>
      <c r="C733" s="251" t="s">
        <v>1015</v>
      </c>
      <c r="D733" s="268">
        <v>1239843</v>
      </c>
      <c r="E733" s="16" t="s">
        <v>80</v>
      </c>
      <c r="F733" s="209">
        <v>40</v>
      </c>
      <c r="G733" s="348" t="str">
        <f>+G732</f>
        <v>"04-2026" GC T040 6623</v>
      </c>
      <c r="I733" s="10">
        <f>+H731</f>
        <v>6623</v>
      </c>
      <c r="J733" s="10"/>
    </row>
    <row r="734" spans="1:21" x14ac:dyDescent="0.35">
      <c r="B734" s="209">
        <v>1537210002</v>
      </c>
      <c r="C734" s="251" t="s">
        <v>1015</v>
      </c>
      <c r="D734" s="268">
        <v>43183</v>
      </c>
      <c r="E734" s="16" t="s">
        <v>80</v>
      </c>
      <c r="F734" s="209">
        <v>50</v>
      </c>
      <c r="G734" s="348" t="str">
        <f>+G733</f>
        <v>"04-2026" GC T040 6623</v>
      </c>
      <c r="I734" s="10">
        <f>+I733</f>
        <v>6623</v>
      </c>
      <c r="J734" s="10"/>
    </row>
    <row r="735" spans="1:21" x14ac:dyDescent="0.35">
      <c r="A735" s="130" t="s">
        <v>854</v>
      </c>
      <c r="B735" s="14">
        <v>204608</v>
      </c>
      <c r="C735" s="15" t="s">
        <v>84</v>
      </c>
      <c r="D735" s="265"/>
      <c r="E735"/>
      <c r="G735" s="10" t="s">
        <v>568</v>
      </c>
      <c r="H735" s="252">
        <v>6711</v>
      </c>
      <c r="J735" s="350">
        <f>+VLOOKUP(H735,contratos!A:R,5,0)</f>
        <v>45505</v>
      </c>
      <c r="K735" s="266" t="str">
        <f>+VLOOKUP(H735,contratos!A:R,12,0)</f>
        <v>OK</v>
      </c>
      <c r="L735" s="341" t="str">
        <f>+VLOOKUP(H735,contratos!A:R,13,0)</f>
        <v>VIGENTE</v>
      </c>
      <c r="M735" s="341">
        <f>+VLOOKUP(H735,contratos!A:R,15,0)</f>
        <v>0</v>
      </c>
      <c r="N735" s="336">
        <f>+VLOOKUP(H735,contratos!A:R,16,0)</f>
        <v>0</v>
      </c>
      <c r="O735" s="341">
        <f>+VLOOKUP(H735,PRORRATEO!F:M,3,0)</f>
        <v>12101549</v>
      </c>
      <c r="P735" s="341">
        <f>+VLOOKUP(H735,PRORRATEO!F:M,4,0)</f>
        <v>2299294.31</v>
      </c>
      <c r="Q735" s="341">
        <f>+VLOOKUP(H735,PRORRATEO!F:M,5,0)</f>
        <v>158651.30739000003</v>
      </c>
      <c r="R735" s="341">
        <f>+VLOOKUP(H735,PRORRATEO!F:M,6,0)</f>
        <v>2140643.0026100003</v>
      </c>
      <c r="S735" s="339">
        <f>+VLOOKUP(H735,PRORRATEO!F:M,7,0)</f>
        <v>6.9000000000000006E-2</v>
      </c>
      <c r="T735" s="339">
        <f>+VLOOKUP(H735,PRORRATEO!F:M,8,0)</f>
        <v>0.93100000000000005</v>
      </c>
      <c r="U735" t="s">
        <v>772</v>
      </c>
    </row>
    <row r="736" spans="1:21" x14ac:dyDescent="0.35">
      <c r="B736" s="263">
        <v>1537210002</v>
      </c>
      <c r="C736" s="8" t="s">
        <v>1015</v>
      </c>
      <c r="D736" s="268">
        <f>1554210+25059</f>
        <v>1579269</v>
      </c>
      <c r="E736" s="213" t="s">
        <v>80</v>
      </c>
      <c r="F736" s="296">
        <v>40</v>
      </c>
      <c r="G736" s="316" t="str">
        <f>+CONCATENATE($G$7," GC ",G735," ",H735)</f>
        <v>"04-2026" GC T078 6711</v>
      </c>
      <c r="H736" s="252"/>
      <c r="I736" s="312">
        <f>+H735</f>
        <v>6711</v>
      </c>
      <c r="J736" s="350"/>
    </row>
    <row r="737" spans="1:21" x14ac:dyDescent="0.35">
      <c r="B737" s="263">
        <v>1537210003</v>
      </c>
      <c r="C737" s="8" t="s">
        <v>1013</v>
      </c>
      <c r="D737" s="268">
        <v>348961</v>
      </c>
      <c r="E737" s="213" t="s">
        <v>80</v>
      </c>
      <c r="F737" s="296">
        <v>40</v>
      </c>
      <c r="G737" s="316" t="str">
        <f>+G736</f>
        <v>"04-2026" GC T078 6711</v>
      </c>
      <c r="H737" s="252"/>
      <c r="I737" s="312">
        <f>+I736</f>
        <v>6711</v>
      </c>
      <c r="J737" s="350"/>
    </row>
    <row r="738" spans="1:21" x14ac:dyDescent="0.35">
      <c r="C738" s="251" t="s">
        <v>76</v>
      </c>
      <c r="D738" s="265">
        <v>2775706</v>
      </c>
      <c r="E738"/>
      <c r="G738" s="348" t="str">
        <f>+G737</f>
        <v>"04-2026" GC T078 6711</v>
      </c>
      <c r="H738" s="252"/>
      <c r="J738" s="350"/>
    </row>
    <row r="739" spans="1:21" x14ac:dyDescent="0.35">
      <c r="A739" s="130" t="s">
        <v>854</v>
      </c>
      <c r="B739" s="14">
        <v>204984</v>
      </c>
      <c r="C739" s="15" t="s">
        <v>86</v>
      </c>
      <c r="D739" s="298"/>
      <c r="E739"/>
      <c r="G739" s="10" t="s">
        <v>361</v>
      </c>
      <c r="H739" s="252">
        <v>6776</v>
      </c>
      <c r="J739" s="350">
        <f>+VLOOKUP(H739,contratos!A:R,5,0)</f>
        <v>42321</v>
      </c>
      <c r="K739" s="266" t="str">
        <f>+VLOOKUP(H739,contratos!A:R,12,0)</f>
        <v>OK</v>
      </c>
      <c r="L739" s="341" t="str">
        <f>+VLOOKUP(H739,contratos!A:R,13,0)</f>
        <v>VIGENTE</v>
      </c>
      <c r="M739" s="341">
        <f>+VLOOKUP(H739,contratos!A:R,15,0)</f>
        <v>0</v>
      </c>
      <c r="N739" s="336">
        <f>+VLOOKUP(H739,contratos!A:R,16,0)</f>
        <v>0</v>
      </c>
      <c r="O739" s="341">
        <f>+VLOOKUP(H739,PRORRATEO!F:M,3,0)</f>
        <v>14343037</v>
      </c>
      <c r="P739" s="341">
        <f>+VLOOKUP(H739,PRORRATEO!F:M,4,0)</f>
        <v>2725177.0300000003</v>
      </c>
      <c r="Q739" s="341">
        <f>+VLOOKUP(H739,PRORRATEO!F:M,5,0)</f>
        <v>196212.74616000001</v>
      </c>
      <c r="R739" s="341">
        <f>+VLOOKUP(H739,PRORRATEO!F:M,6,0)</f>
        <v>2528964.2838400002</v>
      </c>
      <c r="S739" s="339">
        <f>+VLOOKUP(H739,PRORRATEO!F:M,7,0)</f>
        <v>7.1999999999999995E-2</v>
      </c>
      <c r="T739" s="339">
        <f>+VLOOKUP(H739,PRORRATEO!F:M,8,0)</f>
        <v>0.92800000000000005</v>
      </c>
      <c r="U739" t="s">
        <v>802</v>
      </c>
    </row>
    <row r="740" spans="1:21" x14ac:dyDescent="0.35">
      <c r="B740" s="4">
        <v>1537210003</v>
      </c>
      <c r="C740" s="240" t="s">
        <v>79</v>
      </c>
      <c r="D740" s="268">
        <v>340899</v>
      </c>
      <c r="E740" s="11" t="s">
        <v>80</v>
      </c>
      <c r="F740" s="13">
        <v>40</v>
      </c>
      <c r="G740" s="316" t="str">
        <f>+CONCATENATE($G$7," GC ",G739," ",H739)</f>
        <v>"04-2026" GC T101 6776</v>
      </c>
      <c r="H740" s="252"/>
      <c r="I740" s="312">
        <f>+H739</f>
        <v>6776</v>
      </c>
      <c r="J740" s="350"/>
    </row>
    <row r="741" spans="1:21" x14ac:dyDescent="0.35">
      <c r="B741" s="4">
        <v>1245150017</v>
      </c>
      <c r="C741" s="240" t="s">
        <v>1113</v>
      </c>
      <c r="D741" s="268">
        <v>30549</v>
      </c>
      <c r="E741" s="11" t="s">
        <v>80</v>
      </c>
      <c r="F741" s="13">
        <v>40</v>
      </c>
      <c r="G741" s="316" t="str">
        <f>+G740</f>
        <v>"04-2026" GC T101 6776</v>
      </c>
      <c r="H741" s="252"/>
      <c r="I741" s="312">
        <f>+I740</f>
        <v>6776</v>
      </c>
      <c r="J741" s="350"/>
    </row>
    <row r="742" spans="1:21" x14ac:dyDescent="0.35">
      <c r="B742" s="263">
        <v>1537210004</v>
      </c>
      <c r="C742" s="240" t="s">
        <v>87</v>
      </c>
      <c r="E742" s="11" t="s">
        <v>80</v>
      </c>
      <c r="F742" s="13">
        <v>40</v>
      </c>
      <c r="G742" s="348" t="str">
        <f>+G741</f>
        <v>"04-2026" GC T101 6776</v>
      </c>
      <c r="H742" s="252"/>
      <c r="I742" s="312">
        <f>+I741</f>
        <v>6776</v>
      </c>
      <c r="J742" s="350"/>
    </row>
    <row r="743" spans="1:21" x14ac:dyDescent="0.35">
      <c r="B743" s="4">
        <v>1245150017</v>
      </c>
      <c r="C743" s="240" t="s">
        <v>77</v>
      </c>
      <c r="D743" s="323">
        <v>1284117</v>
      </c>
      <c r="E743" s="11" t="s">
        <v>80</v>
      </c>
      <c r="F743" s="13">
        <v>40</v>
      </c>
      <c r="G743" s="348" t="str">
        <f>+G742</f>
        <v>"04-2026" GC T101 6776</v>
      </c>
      <c r="H743" s="252"/>
      <c r="I743" s="312">
        <f>+I742</f>
        <v>6776</v>
      </c>
      <c r="J743" s="350"/>
    </row>
    <row r="744" spans="1:21" x14ac:dyDescent="0.35">
      <c r="C744" s="251" t="s">
        <v>76</v>
      </c>
      <c r="D744" s="265">
        <f>SUBTOTAL(9,D740:D743)</f>
        <v>1655565</v>
      </c>
      <c r="E744"/>
      <c r="G744" s="316" t="str">
        <f>+G743</f>
        <v>"04-2026" GC T101 6776</v>
      </c>
      <c r="H744" s="252"/>
      <c r="J744" s="350"/>
    </row>
    <row r="745" spans="1:21" x14ac:dyDescent="0.35">
      <c r="A745" s="130" t="s">
        <v>854</v>
      </c>
      <c r="B745" s="14">
        <v>204629</v>
      </c>
      <c r="C745" s="15" t="s">
        <v>88</v>
      </c>
      <c r="E745"/>
      <c r="G745" s="10" t="s">
        <v>578</v>
      </c>
      <c r="H745" s="54">
        <v>6716</v>
      </c>
      <c r="J745" s="350">
        <f>+VLOOKUP(H745,contratos!A:R,5,0)</f>
        <v>43040</v>
      </c>
      <c r="K745" s="266" t="str">
        <f>+VLOOKUP(H745,contratos!A:R,12,0)</f>
        <v>OK</v>
      </c>
      <c r="L745" s="341" t="str">
        <f>+VLOOKUP(H745,contratos!A:R,13,0)</f>
        <v>VIGENTE</v>
      </c>
      <c r="M745" s="341">
        <f>+VLOOKUP(H745,contratos!A:R,15,0)</f>
        <v>0</v>
      </c>
      <c r="N745" s="336">
        <f>+VLOOKUP(H745,contratos!A:R,16,0)</f>
        <v>0</v>
      </c>
      <c r="O745" s="341">
        <f>+VLOOKUP(H745,PRORRATEO!F:M,3,0)</f>
        <v>12654187</v>
      </c>
      <c r="P745" s="341">
        <f>+VLOOKUP(H745,PRORRATEO!F:M,4,0)</f>
        <v>2404295.5300000003</v>
      </c>
      <c r="Q745" s="341">
        <f>+VLOOKUP(H745,PRORRATEO!F:M,5,0)</f>
        <v>0</v>
      </c>
      <c r="R745" s="341">
        <f>+VLOOKUP(H745,PRORRATEO!F:M,6,0)</f>
        <v>0</v>
      </c>
      <c r="S745" s="339">
        <f>+VLOOKUP(H745,PRORRATEO!F:M,7,0)</f>
        <v>0</v>
      </c>
      <c r="T745" s="339">
        <f>+VLOOKUP(H745,PRORRATEO!F:M,8,0)</f>
        <v>0</v>
      </c>
    </row>
    <row r="746" spans="1:21" x14ac:dyDescent="0.35">
      <c r="B746" s="209">
        <v>1537210003</v>
      </c>
      <c r="C746" s="240" t="s">
        <v>79</v>
      </c>
      <c r="D746" s="268">
        <f>+K747-M747</f>
        <v>427409.56837463862</v>
      </c>
      <c r="E746" s="11" t="s">
        <v>80</v>
      </c>
      <c r="F746" s="209">
        <v>40</v>
      </c>
      <c r="G746" s="348" t="str">
        <f>+CONCATENATE($G$7," GC ",G745," ",H745)</f>
        <v>"04-2026" GC T081 6716</v>
      </c>
      <c r="H746" s="252"/>
      <c r="I746" s="312">
        <f>+H745</f>
        <v>6716</v>
      </c>
      <c r="J746" s="209" t="s">
        <v>1731</v>
      </c>
      <c r="K746" s="266">
        <v>3897109</v>
      </c>
      <c r="L746" s="501">
        <f>+K746/K748</f>
        <v>0.87976855307066082</v>
      </c>
      <c r="M746" s="266">
        <f>+K749*L746</f>
        <v>769628.56837463868</v>
      </c>
    </row>
    <row r="747" spans="1:21" x14ac:dyDescent="0.35">
      <c r="B747" s="263">
        <v>1537210004</v>
      </c>
      <c r="C747" s="240" t="s">
        <v>1117</v>
      </c>
      <c r="E747" s="11" t="s">
        <v>80</v>
      </c>
      <c r="F747" s="209">
        <v>40</v>
      </c>
      <c r="G747" s="348" t="str">
        <f>+G746</f>
        <v>"04-2026" GC T081 6716</v>
      </c>
      <c r="H747" s="252"/>
      <c r="I747" s="312" t="s">
        <v>153</v>
      </c>
      <c r="J747" s="209" t="s">
        <v>1184</v>
      </c>
      <c r="K747" s="502">
        <v>532589</v>
      </c>
      <c r="L747" s="501">
        <f>+K747/K748</f>
        <v>0.12023144692933919</v>
      </c>
      <c r="M747" s="266">
        <f>+K749*L747</f>
        <v>105179.43162536137</v>
      </c>
    </row>
    <row r="748" spans="1:21" x14ac:dyDescent="0.35">
      <c r="B748" s="209">
        <v>1532001600</v>
      </c>
      <c r="C748" s="240" t="s">
        <v>78</v>
      </c>
      <c r="D748" s="268">
        <v>56788</v>
      </c>
      <c r="E748" s="11" t="s">
        <v>80</v>
      </c>
      <c r="F748" s="209">
        <v>40</v>
      </c>
      <c r="G748" s="316" t="str">
        <f>+G746</f>
        <v>"04-2026" GC T081 6716</v>
      </c>
      <c r="H748" s="252"/>
      <c r="I748" s="312">
        <f>+I746</f>
        <v>6716</v>
      </c>
      <c r="J748" s="4" t="s">
        <v>76</v>
      </c>
      <c r="K748" s="266">
        <f>+K746+K747</f>
        <v>4429698</v>
      </c>
    </row>
    <row r="749" spans="1:21" x14ac:dyDescent="0.35">
      <c r="B749" s="209">
        <v>1245150017</v>
      </c>
      <c r="C749" s="240" t="s">
        <v>77</v>
      </c>
      <c r="D749" s="323">
        <f>+K746-M746</f>
        <v>3127480.4316253616</v>
      </c>
      <c r="E749" s="11" t="s">
        <v>80</v>
      </c>
      <c r="F749" s="209">
        <v>40</v>
      </c>
      <c r="G749" s="316" t="str">
        <f>+G748</f>
        <v>"04-2026" GC T081 6716</v>
      </c>
      <c r="H749" s="252"/>
      <c r="I749" s="312">
        <f>+I748</f>
        <v>6716</v>
      </c>
      <c r="J749" s="209" t="s">
        <v>1732</v>
      </c>
      <c r="K749" s="266">
        <v>874808</v>
      </c>
    </row>
    <row r="750" spans="1:21" x14ac:dyDescent="0.35">
      <c r="D750" s="298">
        <f>SUBTOTAL(9,D746:D749)</f>
        <v>3611678</v>
      </c>
      <c r="E750"/>
      <c r="G750" s="316" t="str">
        <f>+G749</f>
        <v>"04-2026" GC T081 6716</v>
      </c>
      <c r="H750" s="252"/>
      <c r="J750" s="350"/>
      <c r="K750" s="433"/>
    </row>
    <row r="751" spans="1:21" x14ac:dyDescent="0.35">
      <c r="A751" s="130" t="s">
        <v>854</v>
      </c>
      <c r="B751" s="14">
        <v>204611</v>
      </c>
      <c r="C751" s="15" t="s">
        <v>89</v>
      </c>
      <c r="E751"/>
      <c r="G751" s="10" t="s">
        <v>571</v>
      </c>
      <c r="H751" s="252">
        <v>6714</v>
      </c>
      <c r="J751" s="350">
        <f>+VLOOKUP(H751,contratos!A:R,5,0)</f>
        <v>42917</v>
      </c>
      <c r="K751" s="266" t="str">
        <f>+VLOOKUP(H751,contratos!A:R,12,0)</f>
        <v>OK</v>
      </c>
      <c r="L751" s="341" t="str">
        <f>+VLOOKUP(H751,contratos!A:R,13,0)</f>
        <v>VIGENTE</v>
      </c>
      <c r="M751" s="341">
        <f>+VLOOKUP(H751,contratos!A:R,15,0)</f>
        <v>0</v>
      </c>
      <c r="N751" s="336">
        <f>+VLOOKUP(H751,contratos!A:R,16,0)</f>
        <v>0</v>
      </c>
      <c r="O751" s="341">
        <f>+VLOOKUP(H751,PRORRATEO!F:M,3,0)</f>
        <v>11203043</v>
      </c>
      <c r="P751" s="341">
        <f>+VLOOKUP(H751,PRORRATEO!F:M,4,0)</f>
        <v>2128578.17</v>
      </c>
      <c r="Q751" s="341">
        <f>+VLOOKUP(H751,PRORRATEO!F:M,5,0)</f>
        <v>170286.2536</v>
      </c>
      <c r="R751" s="341">
        <f>+VLOOKUP(H751,PRORRATEO!F:M,6,0)</f>
        <v>1958291.9164</v>
      </c>
      <c r="S751" s="339">
        <f>+VLOOKUP(H751,PRORRATEO!F:M,7,0)</f>
        <v>0.08</v>
      </c>
      <c r="T751" s="339">
        <f>+VLOOKUP(H751,PRORRATEO!F:M,8,0)</f>
        <v>0.92</v>
      </c>
      <c r="U751" t="s">
        <v>774</v>
      </c>
    </row>
    <row r="752" spans="1:21" x14ac:dyDescent="0.35">
      <c r="B752" s="271">
        <v>1245150017</v>
      </c>
      <c r="C752" s="240" t="s">
        <v>77</v>
      </c>
      <c r="D752" s="298">
        <v>1410865</v>
      </c>
      <c r="E752" s="11" t="s">
        <v>80</v>
      </c>
      <c r="F752" s="13">
        <v>40</v>
      </c>
      <c r="G752" s="316" t="str">
        <f>+CONCATENATE($G$7," GC ",G751," ",H751)</f>
        <v>"04-2026" GC T079 6714</v>
      </c>
      <c r="H752" s="252"/>
      <c r="I752" s="312">
        <f>+H751</f>
        <v>6714</v>
      </c>
      <c r="J752" s="350"/>
    </row>
    <row r="753" spans="1:21" ht="17.5" customHeight="1" x14ac:dyDescent="0.35">
      <c r="B753" s="271">
        <v>1532001600</v>
      </c>
      <c r="C753" s="240" t="s">
        <v>987</v>
      </c>
      <c r="D753" s="299">
        <v>139230</v>
      </c>
      <c r="E753" t="s">
        <v>80</v>
      </c>
      <c r="F753">
        <v>40</v>
      </c>
      <c r="G753" s="316" t="str">
        <f>+CONCATENATE($G$7," FUMIGACION ",G751," ",H751)</f>
        <v>"04-2026" FUMIGACION T079 6714</v>
      </c>
      <c r="H753" s="252"/>
      <c r="I753" s="312">
        <f>+I752</f>
        <v>6714</v>
      </c>
      <c r="J753" s="350"/>
    </row>
    <row r="754" spans="1:21" x14ac:dyDescent="0.35">
      <c r="C754" s="251" t="s">
        <v>76</v>
      </c>
      <c r="D754" s="265">
        <f>SUBTOTAL(9,D752:D753)</f>
        <v>1550095</v>
      </c>
      <c r="E754"/>
      <c r="G754" s="316" t="str">
        <f>+CONCATENATE($G$7," GC ",G752," ",H752)</f>
        <v xml:space="preserve">"04-2026" GC "04-2026" GC T079 6714 </v>
      </c>
      <c r="H754" s="252"/>
      <c r="J754" s="350"/>
    </row>
    <row r="755" spans="1:21" x14ac:dyDescent="0.35">
      <c r="A755" s="130" t="s">
        <v>854</v>
      </c>
      <c r="B755" s="14">
        <v>204549</v>
      </c>
      <c r="C755" s="15" t="s">
        <v>90</v>
      </c>
      <c r="E755"/>
      <c r="G755" s="10" t="s">
        <v>532</v>
      </c>
      <c r="H755" s="252">
        <v>6640</v>
      </c>
      <c r="J755" s="350">
        <f>+VLOOKUP(H755,contratos!A:R,5,0)</f>
        <v>42309</v>
      </c>
      <c r="K755" s="266" t="str">
        <f>+VLOOKUP(H755,contratos!A:R,12,0)</f>
        <v>OK</v>
      </c>
      <c r="L755" s="341" t="str">
        <f>+VLOOKUP(H755,contratos!A:R,13,0)</f>
        <v>VIGENTE</v>
      </c>
      <c r="M755" s="341">
        <f>+VLOOKUP(H755,contratos!A:R,15,0)</f>
        <v>0</v>
      </c>
      <c r="N755" s="336">
        <f>+VLOOKUP(H755,contratos!A:R,16,0)</f>
        <v>0</v>
      </c>
      <c r="O755" s="341">
        <f>+VLOOKUP(H755,PRORRATEO!F:M,3,0)</f>
        <v>5649396</v>
      </c>
      <c r="P755" s="341">
        <f>+VLOOKUP(H755,PRORRATEO!F:M,4,0)</f>
        <v>1073385.24</v>
      </c>
      <c r="Q755" s="341">
        <f>+VLOOKUP(H755,PRORRATEO!F:M,5,0)</f>
        <v>94890.773637943901</v>
      </c>
      <c r="R755" s="341">
        <f>+VLOOKUP(H755,PRORRATEO!F:M,6,0)</f>
        <v>978494.46636205621</v>
      </c>
      <c r="S755" s="339">
        <f>+VLOOKUP(H755,PRORRATEO!F:M,7,0)</f>
        <v>8.8403277874348166E-2</v>
      </c>
      <c r="T755" s="339">
        <f>+VLOOKUP(H755,PRORRATEO!F:M,8,0)</f>
        <v>0.9115967221256519</v>
      </c>
      <c r="U755" t="s">
        <v>27</v>
      </c>
    </row>
    <row r="756" spans="1:21" x14ac:dyDescent="0.35">
      <c r="B756" s="271">
        <v>1537210002</v>
      </c>
      <c r="C756" s="240" t="s">
        <v>85</v>
      </c>
      <c r="D756" s="298">
        <v>1091059</v>
      </c>
      <c r="E756" s="213" t="s">
        <v>80</v>
      </c>
      <c r="F756" s="13">
        <v>40</v>
      </c>
      <c r="G756" s="348" t="str">
        <f>+CONCATENATE($G$7," GC ",G755," ",H755)</f>
        <v>"04-2026" GC T052 6640</v>
      </c>
      <c r="H756" s="252"/>
      <c r="I756" s="312">
        <f>+H755</f>
        <v>6640</v>
      </c>
      <c r="J756" s="350"/>
    </row>
    <row r="757" spans="1:21" x14ac:dyDescent="0.35">
      <c r="B757" s="271">
        <v>1532001604</v>
      </c>
      <c r="C757" s="240" t="s">
        <v>91</v>
      </c>
      <c r="D757" s="268">
        <v>4524</v>
      </c>
      <c r="E757" s="11" t="s">
        <v>80</v>
      </c>
      <c r="F757" s="13">
        <v>40</v>
      </c>
      <c r="G757" s="316" t="str">
        <f>+CONCATENATE($G$7," ACUEDUCTO",G755," ",H755)</f>
        <v>"04-2026" ACUEDUCTOT052 6640</v>
      </c>
      <c r="H757" s="252"/>
      <c r="I757" s="312">
        <f>+I756</f>
        <v>6640</v>
      </c>
      <c r="J757" s="350"/>
    </row>
    <row r="758" spans="1:21" x14ac:dyDescent="0.35">
      <c r="B758" s="271">
        <v>1532001600</v>
      </c>
      <c r="C758" s="240" t="s">
        <v>78</v>
      </c>
      <c r="E758" s="11" t="s">
        <v>80</v>
      </c>
      <c r="F758" s="13">
        <v>40</v>
      </c>
      <c r="G758" s="348" t="str">
        <f>+G756</f>
        <v>"04-2026" GC T052 6640</v>
      </c>
      <c r="H758" s="252"/>
      <c r="I758" s="312">
        <f>+I757</f>
        <v>6640</v>
      </c>
      <c r="J758" s="350"/>
    </row>
    <row r="759" spans="1:21" x14ac:dyDescent="0.35">
      <c r="B759" s="263">
        <v>1537210004</v>
      </c>
      <c r="C759" s="240" t="s">
        <v>87</v>
      </c>
      <c r="D759" s="323">
        <v>20495</v>
      </c>
      <c r="E759" s="11" t="s">
        <v>80</v>
      </c>
      <c r="F759" s="13">
        <v>40</v>
      </c>
      <c r="G759" s="316" t="str">
        <f>+G758</f>
        <v>"04-2026" GC T052 6640</v>
      </c>
      <c r="H759" s="252"/>
      <c r="I759" s="312">
        <f>+I758</f>
        <v>6640</v>
      </c>
      <c r="J759" s="350"/>
    </row>
    <row r="760" spans="1:21" x14ac:dyDescent="0.35">
      <c r="C760" s="251" t="s">
        <v>76</v>
      </c>
      <c r="D760" s="265">
        <f>SUBTOTAL(9,D756:D759)</f>
        <v>1116078</v>
      </c>
      <c r="E760"/>
      <c r="G760" s="316" t="str">
        <f>+CONCATENATE($G$7," GC/ACUEDUCTO",G755," ",H755)</f>
        <v>"04-2026" GC/ACUEDUCTOT052 6640</v>
      </c>
      <c r="H760" s="252"/>
      <c r="J760" s="350"/>
    </row>
    <row r="761" spans="1:21" x14ac:dyDescent="0.35">
      <c r="A761" s="130" t="s">
        <v>854</v>
      </c>
      <c r="B761" s="17">
        <v>238176</v>
      </c>
      <c r="C761" s="18" t="s">
        <v>92</v>
      </c>
      <c r="E761"/>
      <c r="G761" s="10" t="s">
        <v>280</v>
      </c>
      <c r="H761" s="54">
        <v>8140074</v>
      </c>
      <c r="J761" s="350">
        <f>+VLOOKUP(H761,contratos!A:R,5,0)</f>
        <v>45600</v>
      </c>
      <c r="K761" s="266" t="str">
        <f>+VLOOKUP(H761,contratos!A:R,12,0)</f>
        <v>REVISAR FECHAS</v>
      </c>
      <c r="L761" s="341" t="str">
        <f>+VLOOKUP(H761,contratos!A:R,13,0)</f>
        <v>VIGENTE</v>
      </c>
      <c r="M761" s="341">
        <f>+VLOOKUP(H761,contratos!A:R,15,0)</f>
        <v>0</v>
      </c>
      <c r="N761" s="336">
        <f>+VLOOKUP(H761,contratos!A:R,16,0)</f>
        <v>0</v>
      </c>
      <c r="O761" s="341">
        <f>+VLOOKUP(H761,PRORRATEO!F:M,3,0)</f>
        <v>70594906</v>
      </c>
      <c r="P761" s="341">
        <f>+VLOOKUP(H761,PRORRATEO!F:M,4,0)</f>
        <v>13413032.140000001</v>
      </c>
      <c r="Q761" s="341">
        <f>+VLOOKUP(H761,PRORRATEO!F:M,5,0)</f>
        <v>0</v>
      </c>
      <c r="R761" s="341">
        <f>+VLOOKUP(H761,PRORRATEO!F:M,6,0)</f>
        <v>13413032.140000001</v>
      </c>
      <c r="S761" s="339">
        <f>+VLOOKUP(H761,PRORRATEO!F:M,7,0)</f>
        <v>0</v>
      </c>
      <c r="T761" s="339">
        <f>+VLOOKUP(H761,PRORRATEO!F:M,8,0)</f>
        <v>1</v>
      </c>
    </row>
    <row r="762" spans="1:21" x14ac:dyDescent="0.35">
      <c r="B762" s="4">
        <v>1535100020</v>
      </c>
      <c r="C762" s="240" t="s">
        <v>93</v>
      </c>
      <c r="D762" s="323">
        <v>13061556</v>
      </c>
      <c r="E762"/>
      <c r="G762" s="316" t="str">
        <f>+CONCATENATE($G$7," GC ",G761," ",H761)</f>
        <v>"04-2026" GC OFICINA 8140074</v>
      </c>
      <c r="H762" s="252"/>
      <c r="I762" s="312">
        <f>+H761</f>
        <v>8140074</v>
      </c>
      <c r="J762" s="350"/>
    </row>
    <row r="763" spans="1:21" x14ac:dyDescent="0.35">
      <c r="C763" s="251" t="s">
        <v>76</v>
      </c>
      <c r="D763" s="265">
        <v>11654819</v>
      </c>
      <c r="E763"/>
      <c r="G763" s="316" t="str">
        <f>+G762</f>
        <v>"04-2026" GC OFICINA 8140074</v>
      </c>
      <c r="H763" s="252"/>
      <c r="I763" s="312">
        <f>+I762</f>
        <v>8140074</v>
      </c>
      <c r="J763" s="350"/>
    </row>
    <row r="764" spans="1:21" x14ac:dyDescent="0.35">
      <c r="A764" s="130" t="s">
        <v>854</v>
      </c>
      <c r="B764" s="14">
        <v>204613</v>
      </c>
      <c r="C764" s="15" t="s">
        <v>94</v>
      </c>
      <c r="E764"/>
      <c r="G764" s="10" t="s">
        <v>518</v>
      </c>
      <c r="H764" s="252">
        <v>6626</v>
      </c>
      <c r="J764" s="350">
        <f>+VLOOKUP(H764,contratos!A:R,5,0)</f>
        <v>45444</v>
      </c>
      <c r="K764" s="266" t="str">
        <f>+VLOOKUP(H764,contratos!A:R,12,0)</f>
        <v>OK</v>
      </c>
      <c r="L764" s="341" t="str">
        <f>+VLOOKUP(H764,contratos!A:R,13,0)</f>
        <v>VIGENTE</v>
      </c>
      <c r="M764" s="341">
        <f>+VLOOKUP(H764,contratos!A:R,15,0)</f>
        <v>0</v>
      </c>
      <c r="N764" s="336">
        <f>+VLOOKUP(H764,contratos!A:R,16,0)</f>
        <v>0</v>
      </c>
      <c r="O764" s="341">
        <f>+VLOOKUP(H764,PRORRATEO!F:M,3,0)</f>
        <v>15101403</v>
      </c>
      <c r="P764" s="341">
        <f>+VLOOKUP(H764,PRORRATEO!F:M,4,0)</f>
        <v>2869266.57</v>
      </c>
      <c r="Q764" s="341">
        <f>+VLOOKUP(H764,PRORRATEO!F:M,5,0)</f>
        <v>229541.32559999998</v>
      </c>
      <c r="R764" s="341">
        <f>+VLOOKUP(H764,PRORRATEO!F:M,6,0)</f>
        <v>2639725.2443999997</v>
      </c>
      <c r="S764" s="339">
        <f>+VLOOKUP(H764,PRORRATEO!F:M,7,0)</f>
        <v>0.08</v>
      </c>
      <c r="T764" s="339">
        <f>+VLOOKUP(H764,PRORRATEO!F:M,8,0)</f>
        <v>0.92</v>
      </c>
      <c r="U764" t="s">
        <v>729</v>
      </c>
    </row>
    <row r="765" spans="1:21" x14ac:dyDescent="0.35">
      <c r="B765" s="209">
        <v>1245150017</v>
      </c>
      <c r="C765" s="240" t="s">
        <v>77</v>
      </c>
      <c r="D765" s="298">
        <v>1975484</v>
      </c>
      <c r="E765" s="11" t="s">
        <v>80</v>
      </c>
      <c r="F765" s="13">
        <v>40</v>
      </c>
      <c r="G765" s="348" t="str">
        <f>+CONCATENATE($G$7," GC ",G764," ",H764)</f>
        <v>"04-2026" GC T041 6626</v>
      </c>
      <c r="H765" s="252"/>
      <c r="I765" s="312">
        <f>+H764</f>
        <v>6626</v>
      </c>
      <c r="J765" s="350"/>
    </row>
    <row r="766" spans="1:21" x14ac:dyDescent="0.35">
      <c r="B766" s="4">
        <v>1537210002</v>
      </c>
      <c r="C766" s="240" t="s">
        <v>85</v>
      </c>
      <c r="D766" s="323">
        <v>-193361</v>
      </c>
      <c r="E766" s="11" t="s">
        <v>80</v>
      </c>
      <c r="F766">
        <v>50</v>
      </c>
      <c r="G766" s="496" t="str">
        <f>+G765</f>
        <v>"04-2026" GC T041 6626</v>
      </c>
      <c r="H766" s="252"/>
      <c r="I766" s="312">
        <f>+I765</f>
        <v>6626</v>
      </c>
      <c r="J766" s="376" t="s">
        <v>1730</v>
      </c>
    </row>
    <row r="767" spans="1:21" x14ac:dyDescent="0.35">
      <c r="D767" s="265">
        <v>1782123</v>
      </c>
      <c r="E767"/>
      <c r="G767" s="318" t="str">
        <f>+G766</f>
        <v>"04-2026" GC T041 6626</v>
      </c>
      <c r="H767" s="252"/>
      <c r="J767" s="350"/>
    </row>
    <row r="768" spans="1:21" x14ac:dyDescent="0.35">
      <c r="A768" s="130" t="s">
        <v>854</v>
      </c>
      <c r="B768" s="14">
        <v>204601</v>
      </c>
      <c r="C768" s="15" t="s">
        <v>95</v>
      </c>
      <c r="E768"/>
      <c r="G768" s="10" t="s">
        <v>587</v>
      </c>
      <c r="H768" s="252">
        <v>6759</v>
      </c>
      <c r="J768" s="350">
        <f>+VLOOKUP(H768,contratos!A:R,5,0)</f>
        <v>40026</v>
      </c>
      <c r="K768" s="266" t="str">
        <f>+VLOOKUP(H768,contratos!A:R,12,0)</f>
        <v>OK</v>
      </c>
      <c r="L768" s="341" t="str">
        <f>+VLOOKUP(H768,contratos!A:R,13,0)</f>
        <v>VIGENTE</v>
      </c>
      <c r="M768" s="341">
        <f>+VLOOKUP(H768,contratos!A:R,15,0)</f>
        <v>0</v>
      </c>
      <c r="N768" s="336">
        <f>+VLOOKUP(H768,contratos!A:R,16,0)</f>
        <v>0</v>
      </c>
      <c r="O768" s="341">
        <f>+VLOOKUP(H768,PRORRATEO!F:M,3,0)</f>
        <v>16280378</v>
      </c>
      <c r="P768" s="341">
        <f>+VLOOKUP(H768,PRORRATEO!F:M,4,0)</f>
        <v>3093271.82</v>
      </c>
      <c r="Q768" s="341">
        <f>+VLOOKUP(H768,PRORRATEO!F:M,5,0)</f>
        <v>191782.85283999998</v>
      </c>
      <c r="R768" s="341">
        <f>+VLOOKUP(H768,PRORRATEO!F:M,6,0)</f>
        <v>2901488.9671599995</v>
      </c>
      <c r="S768" s="339">
        <f>+VLOOKUP(H768,PRORRATEO!F:M,7,0)</f>
        <v>6.2E-2</v>
      </c>
      <c r="T768" s="339">
        <f>+VLOOKUP(H768,PRORRATEO!F:M,8,0)</f>
        <v>0.93799999999999994</v>
      </c>
      <c r="U768" t="s">
        <v>784</v>
      </c>
    </row>
    <row r="769" spans="1:21" x14ac:dyDescent="0.35">
      <c r="B769" s="240" t="s">
        <v>79</v>
      </c>
      <c r="C769" s="271">
        <v>1537210003</v>
      </c>
      <c r="D769" s="268">
        <v>444181</v>
      </c>
      <c r="E769" s="213" t="s">
        <v>80</v>
      </c>
      <c r="F769" s="13">
        <v>40</v>
      </c>
      <c r="G769" s="316" t="str">
        <f>+CONCATENATE($G$7," GC ",G768," ",H768)</f>
        <v>"04-2026" GC T087 6759</v>
      </c>
      <c r="H769" s="252"/>
      <c r="I769" s="312">
        <f>+H768</f>
        <v>6759</v>
      </c>
      <c r="J769" s="350"/>
    </row>
    <row r="770" spans="1:21" x14ac:dyDescent="0.35">
      <c r="B770" s="240" t="s">
        <v>85</v>
      </c>
      <c r="C770" s="271">
        <v>1537210002</v>
      </c>
      <c r="D770" s="268">
        <v>-558500.86</v>
      </c>
      <c r="E770" s="213" t="s">
        <v>80</v>
      </c>
      <c r="F770" s="13">
        <v>50</v>
      </c>
      <c r="G770" s="316" t="str">
        <f>+G769</f>
        <v>"04-2026" GC T087 6759</v>
      </c>
      <c r="H770" s="252"/>
      <c r="I770" s="312">
        <f>+I769</f>
        <v>6759</v>
      </c>
      <c r="J770" s="350"/>
    </row>
    <row r="771" spans="1:21" x14ac:dyDescent="0.35">
      <c r="B771" s="240" t="s">
        <v>78</v>
      </c>
      <c r="C771" s="271">
        <v>1532001600</v>
      </c>
      <c r="D771" s="268">
        <v>44432</v>
      </c>
      <c r="E771" s="11" t="s">
        <v>80</v>
      </c>
      <c r="F771" s="13">
        <v>40</v>
      </c>
      <c r="G771" s="348" t="str">
        <f>+G770</f>
        <v>"04-2026" GC T087 6759</v>
      </c>
      <c r="H771" s="252"/>
      <c r="I771" s="312">
        <f>+I770</f>
        <v>6759</v>
      </c>
      <c r="J771" s="350"/>
    </row>
    <row r="772" spans="1:21" x14ac:dyDescent="0.35">
      <c r="B772" s="240" t="s">
        <v>77</v>
      </c>
      <c r="C772" s="271">
        <v>1245150017</v>
      </c>
      <c r="D772" s="323">
        <v>2968869</v>
      </c>
      <c r="E772" s="11" t="s">
        <v>80</v>
      </c>
      <c r="F772" s="13">
        <v>40</v>
      </c>
      <c r="G772" s="316" t="str">
        <f>+G771</f>
        <v>"04-2026" GC T087 6759</v>
      </c>
      <c r="H772" s="252"/>
      <c r="I772" s="312">
        <f>+I771</f>
        <v>6759</v>
      </c>
      <c r="J772" s="350"/>
    </row>
    <row r="773" spans="1:21" x14ac:dyDescent="0.35">
      <c r="C773" s="251" t="s">
        <v>76</v>
      </c>
      <c r="D773" s="265">
        <v>2898981.14</v>
      </c>
      <c r="E773"/>
      <c r="G773" s="318" t="str">
        <f>+G772</f>
        <v>"04-2026" GC T087 6759</v>
      </c>
      <c r="H773" s="252"/>
      <c r="J773" s="350"/>
    </row>
    <row r="774" spans="1:21" x14ac:dyDescent="0.35">
      <c r="A774" s="130" t="s">
        <v>854</v>
      </c>
      <c r="B774" s="14">
        <v>204526</v>
      </c>
      <c r="C774" s="15" t="s">
        <v>99</v>
      </c>
      <c r="D774" s="298"/>
      <c r="E774"/>
      <c r="G774" s="10" t="s">
        <v>336</v>
      </c>
      <c r="H774" s="252">
        <v>6554</v>
      </c>
      <c r="J774" s="350">
        <f>+VLOOKUP(H774,contratos!A:R,5,0)</f>
        <v>42309</v>
      </c>
      <c r="K774" s="266" t="str">
        <f>+VLOOKUP(H774,contratos!A:R,12,0)</f>
        <v>VENCIDO</v>
      </c>
      <c r="L774" s="341" t="str">
        <f>+VLOOKUP(H774,contratos!A:R,13,0)</f>
        <v>CESADO</v>
      </c>
      <c r="M774" s="341">
        <f>+VLOOKUP(H774,contratos!A:R,15,0)</f>
        <v>0</v>
      </c>
      <c r="N774" s="336">
        <f>+VLOOKUP(H774,contratos!A:R,16,0)</f>
        <v>0</v>
      </c>
      <c r="O774" s="341">
        <f>+VLOOKUP(H774,PRORRATEO!F:M,3,0)</f>
        <v>24000000</v>
      </c>
      <c r="P774" s="341">
        <f>+VLOOKUP(H774,PRORRATEO!F:M,4,0)</f>
        <v>4560000</v>
      </c>
      <c r="Q774" s="341">
        <f>+VLOOKUP(H774,PRORRATEO!F:M,5,0)</f>
        <v>173280</v>
      </c>
      <c r="R774" s="341">
        <f>+VLOOKUP(H774,PRORRATEO!F:M,6,0)</f>
        <v>4386720</v>
      </c>
      <c r="S774" s="339">
        <f>+VLOOKUP(H774,PRORRATEO!F:M,7,0)</f>
        <v>3.7999999999999999E-2</v>
      </c>
      <c r="T774" s="339">
        <f>+VLOOKUP(H774,PRORRATEO!F:M,8,0)</f>
        <v>0.96199999999999997</v>
      </c>
      <c r="U774" t="s">
        <v>674</v>
      </c>
    </row>
    <row r="775" spans="1:21" x14ac:dyDescent="0.35">
      <c r="B775" s="263">
        <v>1537210003</v>
      </c>
      <c r="C775" s="240" t="s">
        <v>79</v>
      </c>
      <c r="D775" s="268">
        <f>+L776</f>
        <v>674167</v>
      </c>
      <c r="E775" s="263" t="s">
        <v>80</v>
      </c>
      <c r="F775">
        <v>40</v>
      </c>
      <c r="G775" s="316" t="str">
        <f>+CONCATENATE($G$7," GC ",G774," ",H774)</f>
        <v>"04-2026" GC T004 6554</v>
      </c>
      <c r="H775" s="253"/>
      <c r="I775" s="312">
        <f>+H774</f>
        <v>6554</v>
      </c>
      <c r="J775" s="357"/>
      <c r="K775" s="10" t="s">
        <v>1305</v>
      </c>
      <c r="L775" s="341">
        <v>3443341</v>
      </c>
      <c r="M775" s="341">
        <f>+L775*20%</f>
        <v>688668.20000000007</v>
      </c>
      <c r="N775" s="240" t="s">
        <v>1732</v>
      </c>
    </row>
    <row r="776" spans="1:21" x14ac:dyDescent="0.35">
      <c r="B776" s="263">
        <v>1537210003</v>
      </c>
      <c r="C776" s="240" t="s">
        <v>79</v>
      </c>
      <c r="D776" s="268">
        <f>+M776</f>
        <v>134833.4</v>
      </c>
      <c r="E776" s="263" t="s">
        <v>80</v>
      </c>
      <c r="F776">
        <v>50</v>
      </c>
      <c r="G776" s="316" t="str">
        <f>+CONCATENATE($G$7," INCENTIVO GC ",G774," ",H774)</f>
        <v>"04-2026" INCENTIVO GC T004 6554</v>
      </c>
      <c r="H776" s="253"/>
      <c r="I776" s="312" t="s">
        <v>1235</v>
      </c>
      <c r="J776" s="357"/>
      <c r="K776" s="10" t="s">
        <v>1184</v>
      </c>
      <c r="L776" s="341">
        <v>674167</v>
      </c>
      <c r="M776" s="341">
        <f t="shared" ref="M776:M777" si="36">+L776*20%</f>
        <v>134833.4</v>
      </c>
      <c r="N776" s="240">
        <v>860677</v>
      </c>
    </row>
    <row r="777" spans="1:21" x14ac:dyDescent="0.35">
      <c r="B777" s="263">
        <v>1537210002</v>
      </c>
      <c r="C777" s="240" t="s">
        <v>85</v>
      </c>
      <c r="D777" s="268">
        <f>+M775+M777</f>
        <v>725843.8</v>
      </c>
      <c r="E777" s="263" t="s">
        <v>80</v>
      </c>
      <c r="F777">
        <v>50</v>
      </c>
      <c r="G777" s="316" t="str">
        <f>+CONCATENATE($G$7," INCENTIVO GC ",G774," ",H774)</f>
        <v>"04-2026" INCENTIVO GC T004 6554</v>
      </c>
      <c r="H777" s="252"/>
      <c r="I777" s="312">
        <f>+I775</f>
        <v>6554</v>
      </c>
      <c r="J777" s="357"/>
      <c r="K777" s="10" t="s">
        <v>1799</v>
      </c>
      <c r="L777" s="341">
        <v>185878</v>
      </c>
      <c r="M777" s="341">
        <f t="shared" si="36"/>
        <v>37175.599999999999</v>
      </c>
      <c r="P777" s="501"/>
    </row>
    <row r="778" spans="1:21" x14ac:dyDescent="0.35">
      <c r="B778" s="263">
        <v>1537210002</v>
      </c>
      <c r="C778" s="240" t="s">
        <v>85</v>
      </c>
      <c r="D778" s="323">
        <f>+L777+L778+L779+L775+J779</f>
        <v>3750424</v>
      </c>
      <c r="E778" s="263" t="s">
        <v>80</v>
      </c>
      <c r="F778">
        <v>40</v>
      </c>
      <c r="G778" s="348" t="str">
        <f>+CONCATENATE($G$7," GC ",G774," ",H774)</f>
        <v>"04-2026" GC T004 6554</v>
      </c>
      <c r="H778" s="252"/>
      <c r="I778" s="312">
        <f>+I777</f>
        <v>6554</v>
      </c>
      <c r="J778" s="357"/>
      <c r="K778" s="10" t="s">
        <v>1306</v>
      </c>
      <c r="L778" s="341">
        <v>44075</v>
      </c>
      <c r="N778" s="340"/>
    </row>
    <row r="779" spans="1:21" x14ac:dyDescent="0.35">
      <c r="C779" s="251" t="s">
        <v>76</v>
      </c>
      <c r="D779" s="265">
        <f>+D778+D775-D776-D777</f>
        <v>3563913.8</v>
      </c>
      <c r="E779"/>
      <c r="G779" s="318" t="str">
        <f>+G778</f>
        <v>"04-2026" GC T004 6554</v>
      </c>
      <c r="H779" s="252"/>
      <c r="I779" s="368" t="s">
        <v>1800</v>
      </c>
      <c r="J779" s="341">
        <v>22037</v>
      </c>
      <c r="K779" s="316" t="s">
        <v>1793</v>
      </c>
      <c r="L779" s="341">
        <v>55093</v>
      </c>
    </row>
    <row r="780" spans="1:21" ht="14.5" hidden="1" customHeight="1" x14ac:dyDescent="0.35">
      <c r="A780" s="130" t="s">
        <v>854</v>
      </c>
      <c r="B780" s="129">
        <v>217036</v>
      </c>
      <c r="C780" s="18" t="s">
        <v>456</v>
      </c>
      <c r="E780"/>
      <c r="G780" s="54" t="e">
        <v>#N/A</v>
      </c>
      <c r="H780" s="252" t="e">
        <v>#N/A</v>
      </c>
      <c r="I780" s="316">
        <v>87863</v>
      </c>
      <c r="J780" s="200" t="e">
        <f>+VLOOKUP(H780,contratos!A:P,6,0)</f>
        <v>#N/A</v>
      </c>
      <c r="K780" t="s">
        <v>1308</v>
      </c>
      <c r="L780" s="19" t="e">
        <f>+VLOOKUP(H780,contratos!A:R,15,0)</f>
        <v>#N/A</v>
      </c>
      <c r="M780" s="19" t="e">
        <f>+VLOOKUP(H780,contratos!A:R,17,0)</f>
        <v>#N/A</v>
      </c>
      <c r="N780" s="11" t="e">
        <f>+VLOOKUP(H780,contratos!A:R,18,0)</f>
        <v>#N/A</v>
      </c>
      <c r="O780" s="19" t="e">
        <f>+VLOOKUP(B780,PRORRATEO!A:M,8,0)</f>
        <v>#N/A</v>
      </c>
      <c r="P780" s="19" t="e">
        <f>+VLOOKUP(B780,PRORRATEO!A:M,9,0)</f>
        <v>#N/A</v>
      </c>
      <c r="Q780" s="19" t="e">
        <f>+VLOOKUP(B780,PRORRATEO!A:M,10,0)</f>
        <v>#N/A</v>
      </c>
      <c r="R780" s="19" t="e">
        <f>+VLOOKUP(B780,PRORRATEO!A:M,11,0)</f>
        <v>#N/A</v>
      </c>
      <c r="S780" s="201" t="e">
        <f>+VLOOKUP(B780,PRORRATEO!A:M,12,0)</f>
        <v>#N/A</v>
      </c>
      <c r="T780" s="201" t="e">
        <f>+VLOOKUP(B780,PRORRATEO!A:M,13,0)</f>
        <v>#N/A</v>
      </c>
    </row>
    <row r="781" spans="1:21" hidden="1" x14ac:dyDescent="0.35">
      <c r="B781" s="8" t="s">
        <v>79</v>
      </c>
      <c r="C781" s="271">
        <v>1537210003</v>
      </c>
      <c r="D781" s="268">
        <v>104316</v>
      </c>
      <c r="E781" s="11" t="s">
        <v>80</v>
      </c>
      <c r="F781">
        <v>40</v>
      </c>
      <c r="G781" s="11" t="e">
        <f>+CONCATENATE($G$7," GC ",G780," ",H780)</f>
        <v>#N/A</v>
      </c>
      <c r="H781" s="252"/>
      <c r="J781" s="200"/>
      <c r="K781" s="11"/>
      <c r="L781" s="368">
        <v>555427</v>
      </c>
      <c r="M781" s="19"/>
      <c r="N781" s="11"/>
      <c r="O781" s="19"/>
      <c r="P781" s="19"/>
      <c r="Q781" s="19"/>
      <c r="R781" s="19"/>
      <c r="S781" s="201"/>
      <c r="T781" s="201"/>
    </row>
    <row r="782" spans="1:21" hidden="1" x14ac:dyDescent="0.35">
      <c r="B782" s="8" t="s">
        <v>85</v>
      </c>
      <c r="C782" s="271">
        <v>1537210002</v>
      </c>
      <c r="D782" s="323">
        <v>1010824</v>
      </c>
      <c r="E782" s="11" t="s">
        <v>80</v>
      </c>
      <c r="F782">
        <v>40</v>
      </c>
      <c r="G782" s="11" t="e">
        <f>+G781</f>
        <v>#N/A</v>
      </c>
      <c r="H782" s="252"/>
      <c r="J782" s="200"/>
      <c r="K782" s="11"/>
      <c r="L782" s="368">
        <v>12470</v>
      </c>
      <c r="M782" s="19"/>
      <c r="N782" s="11"/>
      <c r="O782" s="19"/>
      <c r="P782" s="19"/>
      <c r="Q782" s="19"/>
      <c r="R782" s="19"/>
      <c r="S782" s="201"/>
      <c r="T782" s="201"/>
    </row>
    <row r="783" spans="1:21" hidden="1" x14ac:dyDescent="0.35">
      <c r="B783"/>
      <c r="C783" s="251" t="s">
        <v>76</v>
      </c>
      <c r="D783" s="265">
        <v>1115140</v>
      </c>
      <c r="E783"/>
      <c r="G783" s="11" t="e">
        <f>+G782</f>
        <v>#N/A</v>
      </c>
      <c r="H783" s="252"/>
      <c r="I783" s="318">
        <v>953394</v>
      </c>
      <c r="J783" s="200"/>
      <c r="K783" s="12"/>
      <c r="L783" s="19"/>
      <c r="M783" s="19"/>
      <c r="N783" s="12"/>
      <c r="O783" s="19"/>
      <c r="P783" s="19"/>
      <c r="Q783" s="19"/>
      <c r="R783" s="19"/>
      <c r="S783" s="201"/>
      <c r="T783" s="201"/>
    </row>
    <row r="784" spans="1:21" x14ac:dyDescent="0.35">
      <c r="A784" s="130" t="s">
        <v>854</v>
      </c>
      <c r="B784" s="129">
        <v>217036</v>
      </c>
      <c r="C784" s="18" t="s">
        <v>456</v>
      </c>
      <c r="E784"/>
      <c r="G784" s="10" t="s">
        <v>453</v>
      </c>
      <c r="H784" s="54">
        <v>9209</v>
      </c>
      <c r="J784" s="350">
        <f>+VLOOKUP(H784,contratos!A:R,5,0)</f>
        <v>43040</v>
      </c>
      <c r="K784" s="266" t="str">
        <f>+VLOOKUP(H784,contratos!A:R,12,0)</f>
        <v>CESADO</v>
      </c>
      <c r="L784" s="341" t="str">
        <f>+VLOOKUP(H784,contratos!A:R,13,0)</f>
        <v>CERRADA</v>
      </c>
      <c r="M784" s="341">
        <f>+VLOOKUP(H784,contratos!A:R,15,0)</f>
        <v>0</v>
      </c>
      <c r="N784" s="336">
        <f>+VLOOKUP(H784,contratos!A:R,16,0)</f>
        <v>0</v>
      </c>
      <c r="O784" s="341">
        <f>+VLOOKUP(H784,PRORRATEO!F:M,3,0)</f>
        <v>101940</v>
      </c>
      <c r="P784" s="341">
        <f>+VLOOKUP(H784,PRORRATEO!F:M,4,0)</f>
        <v>19368.599999999999</v>
      </c>
      <c r="Q784" s="341">
        <f>+VLOOKUP(H784,PRORRATEO!F:M,5,0)</f>
        <v>1549.4879999999998</v>
      </c>
      <c r="R784" s="341">
        <f>+VLOOKUP(H784,PRORRATEO!F:M,6,0)</f>
        <v>17819.112000000001</v>
      </c>
      <c r="S784" s="339">
        <f>+VLOOKUP(H784,PRORRATEO!F:M,7,0)</f>
        <v>0.08</v>
      </c>
      <c r="T784" s="339">
        <f>+VLOOKUP(H784,PRORRATEO!F:M,8,0)</f>
        <v>0.92</v>
      </c>
    </row>
    <row r="785" spans="1:21" x14ac:dyDescent="0.35">
      <c r="B785" s="240" t="s">
        <v>78</v>
      </c>
      <c r="C785" s="271">
        <v>1532001600</v>
      </c>
      <c r="D785" s="268">
        <v>113120</v>
      </c>
      <c r="E785" s="11" t="s">
        <v>97</v>
      </c>
      <c r="F785">
        <v>40</v>
      </c>
      <c r="G785" s="316" t="str">
        <f>+CONCATENATE($G$7," GC ",G784," ",H784)</f>
        <v>"04-2026" GC T130 9209</v>
      </c>
      <c r="H785" s="252"/>
      <c r="I785" s="312">
        <f>+H784</f>
        <v>9209</v>
      </c>
      <c r="J785" s="350"/>
    </row>
    <row r="786" spans="1:21" x14ac:dyDescent="0.35">
      <c r="B786" s="240" t="s">
        <v>96</v>
      </c>
      <c r="C786" s="271">
        <v>1149120011</v>
      </c>
      <c r="D786" s="323">
        <v>21493</v>
      </c>
      <c r="E786" s="11" t="s">
        <v>97</v>
      </c>
      <c r="F786">
        <v>40</v>
      </c>
      <c r="G786" s="316" t="str">
        <f>+G785</f>
        <v>"04-2026" GC T130 9209</v>
      </c>
      <c r="H786" s="252"/>
      <c r="I786" s="312">
        <f>+I785</f>
        <v>9209</v>
      </c>
      <c r="J786" s="350"/>
    </row>
    <row r="787" spans="1:21" x14ac:dyDescent="0.35">
      <c r="C787" s="251" t="s">
        <v>76</v>
      </c>
      <c r="D787" s="265">
        <v>134613</v>
      </c>
      <c r="G787" s="316" t="str">
        <f>+G786</f>
        <v>"04-2026" GC T130 9209</v>
      </c>
      <c r="H787" s="252"/>
      <c r="I787" s="312">
        <f>+I786</f>
        <v>9209</v>
      </c>
      <c r="J787" s="350"/>
    </row>
    <row r="788" spans="1:21" x14ac:dyDescent="0.35">
      <c r="A788" s="130" t="s">
        <v>854</v>
      </c>
      <c r="B788" s="14">
        <v>204887</v>
      </c>
      <c r="C788" s="15" t="s">
        <v>359</v>
      </c>
      <c r="G788" s="10" t="s">
        <v>357</v>
      </c>
      <c r="H788" s="252">
        <v>6767</v>
      </c>
      <c r="J788" s="350">
        <f>+VLOOKUP(H788,contratos!A:R,5,0)</f>
        <v>45582</v>
      </c>
      <c r="K788" s="266" t="str">
        <f>+VLOOKUP(H788,contratos!A:R,12,0)</f>
        <v>OK</v>
      </c>
      <c r="L788" s="341" t="str">
        <f>+VLOOKUP(H788,contratos!A:R,13,0)</f>
        <v>VIGENTE</v>
      </c>
      <c r="M788" s="341">
        <f>+VLOOKUP(H788,contratos!A:R,15,0)</f>
        <v>0</v>
      </c>
      <c r="N788" s="336">
        <f>+VLOOKUP(H788,contratos!A:R,16,0)</f>
        <v>0</v>
      </c>
      <c r="O788" s="341">
        <f>+VLOOKUP(H788,PRORRATEO!F:M,3,0)</f>
        <v>3986803</v>
      </c>
      <c r="P788" s="341">
        <f>+VLOOKUP(H788,PRORRATEO!F:M,4,0)</f>
        <v>757492.57000000007</v>
      </c>
      <c r="Q788" s="341">
        <f>+VLOOKUP(H788,PRORRATEO!F:M,5,0)</f>
        <v>65144.361020000004</v>
      </c>
      <c r="R788" s="341">
        <f>+VLOOKUP(H788,PRORRATEO!F:M,6,0)</f>
        <v>692348.20898000011</v>
      </c>
      <c r="S788" s="339">
        <f>+VLOOKUP(H788,PRORRATEO!F:M,7,0)</f>
        <v>8.5999999999999993E-2</v>
      </c>
      <c r="T788" s="339">
        <f>+VLOOKUP(H788,PRORRATEO!F:M,8,0)</f>
        <v>0.91400000000000003</v>
      </c>
      <c r="U788" t="s">
        <v>43</v>
      </c>
    </row>
    <row r="789" spans="1:21" x14ac:dyDescent="0.35">
      <c r="B789" s="240" t="s">
        <v>77</v>
      </c>
      <c r="C789" s="271">
        <v>1245150017</v>
      </c>
      <c r="D789" s="268">
        <v>1524969</v>
      </c>
      <c r="E789" s="11" t="s">
        <v>80</v>
      </c>
      <c r="F789">
        <v>40</v>
      </c>
      <c r="G789" s="316" t="str">
        <f>+CONCATENATE($G$7," GC ",G788," ",H788)</f>
        <v>"04-2026" GC T100 6767</v>
      </c>
      <c r="H789" s="252"/>
      <c r="J789" s="350"/>
    </row>
    <row r="790" spans="1:21" x14ac:dyDescent="0.35">
      <c r="C790" s="251" t="s">
        <v>76</v>
      </c>
      <c r="D790" s="265">
        <v>1524969</v>
      </c>
      <c r="E790"/>
      <c r="G790" s="316" t="str">
        <f>+G789</f>
        <v>"04-2026" GC T100 6767</v>
      </c>
      <c r="H790" s="252"/>
      <c r="J790" s="350"/>
    </row>
    <row r="791" spans="1:21" x14ac:dyDescent="0.35">
      <c r="A791" s="130" t="s">
        <v>854</v>
      </c>
      <c r="B791" s="14">
        <v>204531</v>
      </c>
      <c r="C791" s="15" t="s">
        <v>503</v>
      </c>
      <c r="E791"/>
      <c r="G791" s="313" t="s">
        <v>501</v>
      </c>
      <c r="H791" s="254">
        <v>6617</v>
      </c>
      <c r="J791" s="350">
        <f>+VLOOKUP(H791,contratos!A:R,5,0)</f>
        <v>40057</v>
      </c>
      <c r="K791" s="266" t="str">
        <f>+VLOOKUP(H791,contratos!A:R,12,0)</f>
        <v>VENCIDO</v>
      </c>
      <c r="L791" s="341" t="str">
        <f>+VLOOKUP(H791,contratos!A:R,13,0)</f>
        <v>CESADO</v>
      </c>
      <c r="M791" s="341">
        <f>+VLOOKUP(H791,contratos!A:R,15,0)</f>
        <v>0</v>
      </c>
      <c r="N791" s="336">
        <f>+VLOOKUP(H791,contratos!A:R,16,0)</f>
        <v>0</v>
      </c>
      <c r="O791" s="341">
        <f>+VLOOKUP(H791,PRORRATEO!F:M,3,0)</f>
        <v>9086819</v>
      </c>
      <c r="P791" s="341">
        <f>+VLOOKUP(H791,PRORRATEO!F:M,4,0)</f>
        <v>1726495.61</v>
      </c>
      <c r="Q791" s="341">
        <f>+VLOOKUP(H791,PRORRATEO!F:M,5,0)</f>
        <v>86324.780500000008</v>
      </c>
      <c r="R791" s="341">
        <f>+VLOOKUP(H791,PRORRATEO!F:M,6,0)</f>
        <v>1640170.8295</v>
      </c>
      <c r="S791" s="339">
        <f>+VLOOKUP(H791,PRORRATEO!F:M,7,0)</f>
        <v>0.05</v>
      </c>
      <c r="T791" s="339">
        <f>+VLOOKUP(H791,PRORRATEO!F:M,8,0)</f>
        <v>0.95</v>
      </c>
      <c r="U791" t="s">
        <v>717</v>
      </c>
    </row>
    <row r="792" spans="1:21" x14ac:dyDescent="0.35">
      <c r="B792" s="263">
        <v>1537210002</v>
      </c>
      <c r="C792" s="240" t="s">
        <v>85</v>
      </c>
      <c r="D792" s="268">
        <v>1521255</v>
      </c>
      <c r="E792" s="263" t="s">
        <v>80</v>
      </c>
      <c r="F792">
        <v>40</v>
      </c>
      <c r="G792" s="316" t="str">
        <f>+CONCATENATE($G$7," RF/GC ",G791," ",H791)</f>
        <v>"04-2026" RF/GC T035 6617</v>
      </c>
      <c r="H792" s="252"/>
      <c r="I792" s="312">
        <f>+H791</f>
        <v>6617</v>
      </c>
      <c r="J792" s="350"/>
    </row>
    <row r="793" spans="1:21" x14ac:dyDescent="0.35">
      <c r="B793" s="263">
        <v>1532001604</v>
      </c>
      <c r="C793" s="240" t="s">
        <v>91</v>
      </c>
      <c r="D793" s="268">
        <v>282564</v>
      </c>
      <c r="E793" s="263" t="s">
        <v>80</v>
      </c>
      <c r="F793">
        <v>40</v>
      </c>
      <c r="G793" s="318" t="str">
        <f t="shared" ref="G793:G798" si="37">+G792</f>
        <v>"04-2026" RF/GC T035 6617</v>
      </c>
      <c r="H793" s="252"/>
      <c r="I793" s="312">
        <f t="shared" ref="I793:I798" si="38">+I792</f>
        <v>6617</v>
      </c>
      <c r="J793" s="350"/>
    </row>
    <row r="794" spans="1:21" x14ac:dyDescent="0.35">
      <c r="B794" s="263">
        <v>1245150017</v>
      </c>
      <c r="C794" s="240" t="s">
        <v>77</v>
      </c>
      <c r="D794" s="268">
        <v>8737326</v>
      </c>
      <c r="E794" s="263" t="s">
        <v>97</v>
      </c>
      <c r="F794">
        <v>40</v>
      </c>
      <c r="G794" s="318" t="str">
        <f t="shared" si="37"/>
        <v>"04-2026" RF/GC T035 6617</v>
      </c>
      <c r="H794" s="252"/>
      <c r="I794" s="312">
        <f t="shared" si="38"/>
        <v>6617</v>
      </c>
      <c r="J794" s="316"/>
      <c r="K794" s="336"/>
      <c r="N794" s="336"/>
    </row>
    <row r="795" spans="1:21" x14ac:dyDescent="0.35">
      <c r="B795" s="263">
        <v>1149120011</v>
      </c>
      <c r="C795" s="240" t="s">
        <v>96</v>
      </c>
      <c r="D795" s="268">
        <f>+D797*S791</f>
        <v>97456.519500000009</v>
      </c>
      <c r="E795" s="263" t="s">
        <v>98</v>
      </c>
      <c r="F795">
        <v>40</v>
      </c>
      <c r="G795" s="318" t="str">
        <f t="shared" si="37"/>
        <v>"04-2026" RF/GC T035 6617</v>
      </c>
      <c r="H795" s="252"/>
      <c r="I795" s="312">
        <f t="shared" si="38"/>
        <v>6617</v>
      </c>
      <c r="J795" s="316"/>
      <c r="K795" s="336"/>
      <c r="N795" s="336"/>
    </row>
    <row r="796" spans="1:21" x14ac:dyDescent="0.35">
      <c r="B796" s="263">
        <v>1149120011</v>
      </c>
      <c r="C796" s="240" t="s">
        <v>96</v>
      </c>
      <c r="D796" s="268">
        <f>+D795</f>
        <v>97456.519500000009</v>
      </c>
      <c r="E796" s="263" t="s">
        <v>97</v>
      </c>
      <c r="F796">
        <v>50</v>
      </c>
      <c r="G796" s="318" t="str">
        <f t="shared" si="37"/>
        <v>"04-2026" RF/GC T035 6617</v>
      </c>
      <c r="H796" s="252"/>
      <c r="I796" s="312">
        <f t="shared" si="38"/>
        <v>6617</v>
      </c>
      <c r="J796" s="316"/>
      <c r="K796" s="336"/>
      <c r="N796" s="336"/>
    </row>
    <row r="797" spans="1:21" x14ac:dyDescent="0.35">
      <c r="B797" s="4">
        <v>1149120011</v>
      </c>
      <c r="C797" s="240" t="s">
        <v>96</v>
      </c>
      <c r="D797" s="323">
        <f>+(D794+D792)*0.19</f>
        <v>1949130.3900000001</v>
      </c>
      <c r="E797" s="11" t="s">
        <v>97</v>
      </c>
      <c r="F797">
        <v>40</v>
      </c>
      <c r="G797" s="318" t="str">
        <f t="shared" si="37"/>
        <v>"04-2026" RF/GC T035 6617</v>
      </c>
      <c r="H797" s="252"/>
      <c r="I797" s="312">
        <f t="shared" si="38"/>
        <v>6617</v>
      </c>
      <c r="J797" s="318"/>
      <c r="K797" s="337"/>
      <c r="N797" s="337"/>
    </row>
    <row r="798" spans="1:21" x14ac:dyDescent="0.35">
      <c r="C798" s="251" t="s">
        <v>76</v>
      </c>
      <c r="D798" s="265">
        <f>+D797+D794+D795-D796+D793+D792</f>
        <v>12490275.390000001</v>
      </c>
      <c r="E798"/>
      <c r="G798" s="318" t="str">
        <f t="shared" si="37"/>
        <v>"04-2026" RF/GC T035 6617</v>
      </c>
      <c r="H798" s="252"/>
      <c r="I798" s="312">
        <f t="shared" si="38"/>
        <v>6617</v>
      </c>
      <c r="J798" s="350"/>
    </row>
    <row r="799" spans="1:21" x14ac:dyDescent="0.35">
      <c r="A799" s="130" t="s">
        <v>854</v>
      </c>
      <c r="B799" s="14">
        <v>204565</v>
      </c>
      <c r="C799" s="15" t="s">
        <v>537</v>
      </c>
      <c r="E799"/>
      <c r="G799" s="398" t="s">
        <v>535</v>
      </c>
      <c r="H799" s="399">
        <v>6652</v>
      </c>
      <c r="J799" s="350">
        <f>+VLOOKUP(H799,contratos!A:R,5,0)</f>
        <v>43480</v>
      </c>
      <c r="K799" s="266" t="str">
        <f>+VLOOKUP(H799,contratos!A:R,12,0)</f>
        <v>VENCIDO</v>
      </c>
      <c r="L799" s="341" t="str">
        <f>+VLOOKUP(H799,contratos!A:R,13,0)</f>
        <v>CESADO</v>
      </c>
      <c r="M799" s="341">
        <f>+VLOOKUP(H799,contratos!A:R,15,0)</f>
        <v>0</v>
      </c>
      <c r="N799" s="336">
        <f>+VLOOKUP(H799,contratos!A:R,16,0)</f>
        <v>0</v>
      </c>
      <c r="O799" s="341">
        <f>+VLOOKUP(H799,PRORRATEO!F:M,3,0)</f>
        <v>15871587</v>
      </c>
      <c r="P799" s="341">
        <f>+VLOOKUP(H799,PRORRATEO!F:M,4,0)</f>
        <v>3015601.5300000003</v>
      </c>
      <c r="Q799" s="341">
        <f>+VLOOKUP(H799,PRORRATEO!F:M,5,0)</f>
        <v>160005.1278447978</v>
      </c>
      <c r="R799" s="341">
        <f>+VLOOKUP(H799,PRORRATEO!F:M,6,0)</f>
        <v>2855596.4021552023</v>
      </c>
      <c r="S799" s="339">
        <f>+VLOOKUP(H799,PRORRATEO!F:M,7,0)</f>
        <v>5.3059108192188037E-2</v>
      </c>
      <c r="T799" s="339">
        <f>+VLOOKUP(H799,PRORRATEO!F:M,8,0)</f>
        <v>0.94694089180781194</v>
      </c>
      <c r="U799" t="s">
        <v>3</v>
      </c>
    </row>
    <row r="800" spans="1:21" x14ac:dyDescent="0.35">
      <c r="B800" s="271">
        <v>1537210002</v>
      </c>
      <c r="C800" s="240" t="s">
        <v>85</v>
      </c>
      <c r="D800" s="324">
        <v>1959980</v>
      </c>
      <c r="E800" s="11" t="s">
        <v>80</v>
      </c>
      <c r="F800">
        <v>40</v>
      </c>
      <c r="G800" s="316" t="str">
        <f>+CONCATENATE($G$7," GC ",G799," ",H799)</f>
        <v>"04-2026" GC T054 6652</v>
      </c>
      <c r="H800" s="252"/>
      <c r="I800" s="312">
        <f>+H799</f>
        <v>6652</v>
      </c>
      <c r="J800" s="350"/>
    </row>
    <row r="801" spans="1:21" x14ac:dyDescent="0.35">
      <c r="B801" s="271">
        <v>1532001600</v>
      </c>
      <c r="C801" s="240" t="s">
        <v>78</v>
      </c>
      <c r="D801" s="325">
        <v>19075</v>
      </c>
      <c r="E801" s="11" t="s">
        <v>80</v>
      </c>
      <c r="F801">
        <v>40</v>
      </c>
      <c r="G801" s="316" t="str">
        <f>+G800</f>
        <v>"04-2026" GC T054 6652</v>
      </c>
      <c r="H801" s="252"/>
      <c r="I801" s="312">
        <f>+I800</f>
        <v>6652</v>
      </c>
      <c r="J801" s="350"/>
    </row>
    <row r="802" spans="1:21" x14ac:dyDescent="0.35">
      <c r="C802" s="251" t="s">
        <v>76</v>
      </c>
      <c r="D802" s="265">
        <v>1570578</v>
      </c>
      <c r="E802"/>
      <c r="G802" s="316" t="str">
        <f>+G801</f>
        <v>"04-2026" GC T054 6652</v>
      </c>
      <c r="H802" s="252"/>
      <c r="I802" s="312">
        <f>+I801</f>
        <v>6652</v>
      </c>
      <c r="J802" s="350"/>
    </row>
    <row r="803" spans="1:21" x14ac:dyDescent="0.35">
      <c r="A803" s="130" t="s">
        <v>855</v>
      </c>
      <c r="B803" s="17">
        <v>217036</v>
      </c>
      <c r="C803" s="18" t="s">
        <v>456</v>
      </c>
      <c r="E803"/>
      <c r="G803" s="360" t="s">
        <v>453</v>
      </c>
      <c r="H803" s="50">
        <v>9209</v>
      </c>
      <c r="I803" s="313" t="s">
        <v>82</v>
      </c>
      <c r="J803" s="350">
        <f>+VLOOKUP(H803,contratos!A:R,5,0)</f>
        <v>43040</v>
      </c>
      <c r="K803" s="266" t="str">
        <f>+VLOOKUP(H803,contratos!A:R,12,0)</f>
        <v>CESADO</v>
      </c>
      <c r="L803" s="341" t="str">
        <f>+VLOOKUP(H803,contratos!A:R,13,0)</f>
        <v>CERRADA</v>
      </c>
      <c r="M803" s="341">
        <f>+VLOOKUP(H803,contratos!A:R,15,0)</f>
        <v>0</v>
      </c>
      <c r="N803" s="336">
        <f>+VLOOKUP(H803,contratos!A:R,16,0)</f>
        <v>0</v>
      </c>
      <c r="O803" s="341">
        <f>+VLOOKUP(H803,PRORRATEO!F:M,3,0)</f>
        <v>101940</v>
      </c>
      <c r="P803" s="341">
        <f>+VLOOKUP(H803,PRORRATEO!F:M,4,0)</f>
        <v>19368.599999999999</v>
      </c>
      <c r="Q803" s="341">
        <f>+VLOOKUP(H803,PRORRATEO!F:M,5,0)</f>
        <v>1549.4879999999998</v>
      </c>
      <c r="R803" s="341">
        <f>+VLOOKUP(H803,PRORRATEO!F:M,6,0)</f>
        <v>17819.112000000001</v>
      </c>
      <c r="S803" s="339">
        <f>+VLOOKUP(H803,PRORRATEO!F:M,7,0)</f>
        <v>0.08</v>
      </c>
      <c r="T803" s="339">
        <f>+VLOOKUP(H803,PRORRATEO!F:M,8,0)</f>
        <v>0.92</v>
      </c>
      <c r="U803" t="s">
        <v>840</v>
      </c>
    </row>
    <row r="804" spans="1:21" x14ac:dyDescent="0.35">
      <c r="B804" s="240" t="s">
        <v>855</v>
      </c>
      <c r="C804" s="271">
        <v>1532001605</v>
      </c>
      <c r="D804" s="323">
        <v>135271</v>
      </c>
      <c r="E804" s="11" t="s">
        <v>80</v>
      </c>
      <c r="F804">
        <v>40</v>
      </c>
      <c r="G804" s="348" t="str">
        <f>+CONCATENATE($G$7," GC ",G803," ",H803)</f>
        <v>"04-2026" GC T130 9209</v>
      </c>
      <c r="H804" s="252"/>
      <c r="I804" s="312">
        <f>+H803</f>
        <v>9209</v>
      </c>
      <c r="J804" s="350"/>
    </row>
    <row r="805" spans="1:21" x14ac:dyDescent="0.35">
      <c r="C805" s="251" t="s">
        <v>76</v>
      </c>
      <c r="D805" s="332">
        <v>135271</v>
      </c>
      <c r="E805"/>
      <c r="G805" s="316" t="str">
        <f>+G804</f>
        <v>"04-2026" GC T130 9209</v>
      </c>
      <c r="H805" s="252"/>
      <c r="I805" s="312">
        <f>+I804</f>
        <v>9209</v>
      </c>
      <c r="J805" s="350"/>
    </row>
    <row r="806" spans="1:21" x14ac:dyDescent="0.35">
      <c r="A806" s="130" t="s">
        <v>855</v>
      </c>
      <c r="B806" s="14">
        <v>206169</v>
      </c>
      <c r="C806" s="15" t="s">
        <v>11</v>
      </c>
      <c r="E806"/>
      <c r="G806" s="313" t="s">
        <v>376</v>
      </c>
      <c r="H806" s="50">
        <v>8583</v>
      </c>
      <c r="J806" s="515">
        <f>+VLOOKUP(H806,contratos!A:R,5,0)</f>
        <v>42370</v>
      </c>
      <c r="K806" s="266" t="str">
        <f>+VLOOKUP(H806,contratos!A:R,12,0)</f>
        <v>VENCIDO</v>
      </c>
      <c r="L806" s="341" t="str">
        <f>+VLOOKUP(H806,contratos!A:R,13,0)</f>
        <v>CESADO</v>
      </c>
      <c r="M806" s="341">
        <f>+VLOOKUP(H806,contratos!A:R,15,0)</f>
        <v>0</v>
      </c>
      <c r="N806" s="336">
        <f>+VLOOKUP(H806,contratos!A:R,16,0)</f>
        <v>0</v>
      </c>
      <c r="O806" s="341">
        <f>+VLOOKUP(H806,PRORRATEO!F:M,3,0)</f>
        <v>9715141</v>
      </c>
      <c r="P806" s="341">
        <f>+VLOOKUP(H806,PRORRATEO!F:M,4,0)</f>
        <v>1845876.79</v>
      </c>
      <c r="Q806" s="341">
        <f>+VLOOKUP(H806,PRORRATEO!F:M,5,0)</f>
        <v>177204.17184</v>
      </c>
      <c r="R806" s="341">
        <f>+VLOOKUP(H806,PRORRATEO!F:M,6,0)</f>
        <v>1668672.6181600001</v>
      </c>
      <c r="S806" s="339">
        <f>+VLOOKUP(H806,PRORRATEO!F:M,7,0)</f>
        <v>9.6000000000000002E-2</v>
      </c>
      <c r="T806" s="339">
        <f>+VLOOKUP(H806,PRORRATEO!F:M,8,0)</f>
        <v>0.90400000000000003</v>
      </c>
      <c r="U806" t="s">
        <v>30</v>
      </c>
    </row>
    <row r="807" spans="1:21" x14ac:dyDescent="0.35">
      <c r="B807" s="240" t="s">
        <v>856</v>
      </c>
      <c r="C807" s="271">
        <v>1532001604</v>
      </c>
      <c r="D807" s="323">
        <v>8839</v>
      </c>
      <c r="E807" s="11" t="s">
        <v>80</v>
      </c>
      <c r="F807">
        <v>40</v>
      </c>
      <c r="G807" s="316" t="str">
        <f>+CONCATENATE($G$7," GC ",G806," ",H806)</f>
        <v>"04-2026" GC T105 8583</v>
      </c>
      <c r="H807" s="252"/>
      <c r="I807" s="312">
        <f>+H806</f>
        <v>8583</v>
      </c>
      <c r="J807" s="515"/>
    </row>
    <row r="808" spans="1:21" x14ac:dyDescent="0.35">
      <c r="C808" s="251" t="s">
        <v>76</v>
      </c>
      <c r="D808" s="265">
        <v>8839</v>
      </c>
      <c r="G808" s="316" t="str">
        <f>+G807</f>
        <v>"04-2026" GC T105 8583</v>
      </c>
      <c r="H808" s="252"/>
      <c r="I808" s="312">
        <f>+I807</f>
        <v>8583</v>
      </c>
      <c r="J808" s="515"/>
    </row>
    <row r="809" spans="1:21" x14ac:dyDescent="0.35">
      <c r="A809" s="130" t="s">
        <v>853</v>
      </c>
      <c r="B809" s="14">
        <v>348824</v>
      </c>
      <c r="C809" s="15" t="s">
        <v>52</v>
      </c>
      <c r="E809"/>
      <c r="G809" s="9" t="s">
        <v>610</v>
      </c>
      <c r="H809" s="254" t="s">
        <v>225</v>
      </c>
      <c r="J809" s="350">
        <f>+VLOOKUP(H809,contratos!A:R,5,0)</f>
        <v>44492</v>
      </c>
      <c r="K809" s="266" t="str">
        <f>+VLOOKUP(H809,contratos!A:R,12,0)</f>
        <v>OK</v>
      </c>
      <c r="L809" s="341" t="str">
        <f>+VLOOKUP(H809,contratos!A:R,13,0)</f>
        <v>VIGENTE</v>
      </c>
      <c r="M809" s="341">
        <f>+VLOOKUP(H809,contratos!A:R,15,0)</f>
        <v>0</v>
      </c>
      <c r="N809" s="336">
        <f>+VLOOKUP(H809,contratos!A:R,16,0)</f>
        <v>935593</v>
      </c>
      <c r="O809" s="341">
        <f>+VLOOKUP(B809,PRORRATEO!A:M,8,0)</f>
        <v>9355925</v>
      </c>
      <c r="P809" s="341">
        <f>+VLOOKUP(B809,PRORRATEO!A:M,9,0)</f>
        <v>1777625.75</v>
      </c>
      <c r="Q809" s="341">
        <f>+VLOOKUP(B809,PRORRATEO!A:M,10,0)</f>
        <v>179540.20075000002</v>
      </c>
      <c r="R809" s="341">
        <f>+VLOOKUP(B809,PRORRATEO!A:M,11,0)</f>
        <v>1598085.5492499999</v>
      </c>
      <c r="S809" s="339">
        <f>+VLOOKUP(B809,PRORRATEO!A:M,12,0)</f>
        <v>0.10100000000000001</v>
      </c>
      <c r="T809" s="339">
        <f>+VLOOKUP(B809,PRORRATEO!A:M,13,0)</f>
        <v>0.89900000000000002</v>
      </c>
    </row>
    <row r="810" spans="1:21" x14ac:dyDescent="0.35">
      <c r="B810" s="263">
        <v>1537210002</v>
      </c>
      <c r="C810" s="8" t="s">
        <v>85</v>
      </c>
      <c r="D810" s="298"/>
      <c r="E810" s="263" t="s">
        <v>97</v>
      </c>
      <c r="F810">
        <v>40</v>
      </c>
      <c r="G810" s="348" t="str">
        <f>+CONCATENATE($G$7," GC ",G809," ",H809)</f>
        <v>"04-2026" GC T138 A854</v>
      </c>
      <c r="H810" s="252"/>
      <c r="I810" s="312" t="str">
        <f>+H809</f>
        <v>A854</v>
      </c>
      <c r="J810" s="350"/>
    </row>
    <row r="811" spans="1:21" x14ac:dyDescent="0.35">
      <c r="B811" s="263">
        <v>1537210002</v>
      </c>
      <c r="C811" s="8" t="s">
        <v>85</v>
      </c>
      <c r="D811" s="268">
        <v>3372418</v>
      </c>
      <c r="E811" s="263" t="s">
        <v>97</v>
      </c>
      <c r="F811">
        <v>40</v>
      </c>
      <c r="G811" s="316" t="str">
        <f>+CONCATENATE($G$7," RF ",G809," ",H809)</f>
        <v>"04-2026" RF T138 A854</v>
      </c>
      <c r="H811" s="252"/>
      <c r="I811" s="312" t="str">
        <f t="shared" ref="I811:I817" si="39">+I810</f>
        <v>A854</v>
      </c>
      <c r="J811" s="350"/>
    </row>
    <row r="812" spans="1:21" x14ac:dyDescent="0.35">
      <c r="B812" s="263">
        <v>1245150017</v>
      </c>
      <c r="C812" s="8" t="s">
        <v>77</v>
      </c>
      <c r="D812" s="268">
        <f>+O809</f>
        <v>9355925</v>
      </c>
      <c r="E812" s="263" t="s">
        <v>97</v>
      </c>
      <c r="F812">
        <v>40</v>
      </c>
      <c r="G812" s="348" t="str">
        <f>+G811</f>
        <v>"04-2026" RF T138 A854</v>
      </c>
      <c r="H812" s="252"/>
      <c r="I812" s="312" t="str">
        <f t="shared" si="39"/>
        <v>A854</v>
      </c>
      <c r="J812" s="350"/>
    </row>
    <row r="813" spans="1:21" x14ac:dyDescent="0.35">
      <c r="B813" s="263">
        <v>1245150017</v>
      </c>
      <c r="C813" s="8" t="s">
        <v>77</v>
      </c>
      <c r="D813" s="268">
        <v>935593</v>
      </c>
      <c r="E813" s="263" t="s">
        <v>97</v>
      </c>
      <c r="F813">
        <v>40</v>
      </c>
      <c r="G813" s="316" t="str">
        <f>+CONCATENATE($G$7," RF/GC ",G809," ",H809)</f>
        <v>"04-2026" RF/GC T138 A854</v>
      </c>
      <c r="H813" s="252"/>
      <c r="I813" s="312" t="str">
        <f t="shared" si="39"/>
        <v>A854</v>
      </c>
      <c r="J813" s="350"/>
      <c r="K813" s="433">
        <f>+D812+D811+D816</f>
        <v>15324490.84</v>
      </c>
    </row>
    <row r="814" spans="1:21" x14ac:dyDescent="0.35">
      <c r="B814" s="263">
        <v>1149120011</v>
      </c>
      <c r="C814" s="8" t="s">
        <v>96</v>
      </c>
      <c r="D814" s="268">
        <f>+Q809</f>
        <v>179540.20075000002</v>
      </c>
      <c r="E814" s="263" t="s">
        <v>98</v>
      </c>
      <c r="F814">
        <v>40</v>
      </c>
      <c r="G814" s="316" t="str">
        <f>+G813</f>
        <v>"04-2026" RF/GC T138 A854</v>
      </c>
      <c r="H814" s="252"/>
      <c r="I814" s="312" t="str">
        <f t="shared" si="39"/>
        <v>A854</v>
      </c>
      <c r="J814" s="350"/>
    </row>
    <row r="815" spans="1:21" x14ac:dyDescent="0.35">
      <c r="B815" s="263">
        <v>1149120011</v>
      </c>
      <c r="C815" s="8" t="s">
        <v>96</v>
      </c>
      <c r="D815" s="268">
        <f>-D814</f>
        <v>-179540.20075000002</v>
      </c>
      <c r="E815" s="263" t="s">
        <v>97</v>
      </c>
      <c r="F815">
        <v>50</v>
      </c>
      <c r="G815" s="316" t="str">
        <f>+G814</f>
        <v>"04-2026" RF/GC T138 A854</v>
      </c>
      <c r="H815" s="252"/>
      <c r="I815" s="312" t="str">
        <f t="shared" si="39"/>
        <v>A854</v>
      </c>
      <c r="J815" s="350"/>
    </row>
    <row r="816" spans="1:21" x14ac:dyDescent="0.35">
      <c r="B816" s="4">
        <v>1149120011</v>
      </c>
      <c r="C816" s="8" t="s">
        <v>96</v>
      </c>
      <c r="D816" s="323">
        <f>+SUM(D810:D813)*0.19</f>
        <v>2596147.84</v>
      </c>
      <c r="E816" t="s">
        <v>97</v>
      </c>
      <c r="F816">
        <v>40</v>
      </c>
      <c r="G816" s="316" t="str">
        <f>+G815</f>
        <v>"04-2026" RF/GC T138 A854</v>
      </c>
      <c r="H816" s="252"/>
      <c r="I816" s="312" t="str">
        <f t="shared" si="39"/>
        <v>A854</v>
      </c>
      <c r="J816" s="350"/>
    </row>
    <row r="817" spans="1:21" x14ac:dyDescent="0.35">
      <c r="C817" s="251" t="s">
        <v>76</v>
      </c>
      <c r="D817" s="265">
        <f>SUM(D810:D816)</f>
        <v>16260083.84</v>
      </c>
      <c r="E817"/>
      <c r="G817" s="318" t="str">
        <f>+G816</f>
        <v>"04-2026" RF/GC T138 A854</v>
      </c>
      <c r="H817" s="252"/>
      <c r="I817" s="312" t="str">
        <f t="shared" si="39"/>
        <v>A854</v>
      </c>
      <c r="J817" s="350"/>
    </row>
    <row r="818" spans="1:21" x14ac:dyDescent="0.35">
      <c r="A818" s="130" t="s">
        <v>853</v>
      </c>
      <c r="B818" s="14">
        <v>289666</v>
      </c>
      <c r="C818" s="15" t="s">
        <v>630</v>
      </c>
      <c r="E818"/>
      <c r="G818" s="9" t="s">
        <v>297</v>
      </c>
      <c r="H818" s="254">
        <v>9264</v>
      </c>
      <c r="J818" s="350">
        <f>+VLOOKUP(H818,contratos!A:R,5,0)</f>
        <v>43146</v>
      </c>
      <c r="K818" s="266" t="str">
        <f>+VLOOKUP(H818,contratos!A:R,12,0)</f>
        <v>VENCIDO</v>
      </c>
      <c r="L818" s="341" t="str">
        <f>+VLOOKUP(H818,contratos!A:R,13,0)</f>
        <v>CESADO</v>
      </c>
      <c r="M818" s="341">
        <f>+VLOOKUP(H818,contratos!A:R,15,0)</f>
        <v>0</v>
      </c>
      <c r="N818" s="336">
        <f>+VLOOKUP(H818,contratos!A:R,16,0)</f>
        <v>0</v>
      </c>
      <c r="O818" s="341">
        <f>+VLOOKUP(B818,PRORRATEO!A:M,8,0)</f>
        <v>16580922</v>
      </c>
      <c r="P818" s="341">
        <f>+VLOOKUP(B818,PRORRATEO!A:M,9,0)</f>
        <v>3150375.18</v>
      </c>
      <c r="Q818" s="341">
        <f>+VLOOKUP(B818,PRORRATEO!A:M,10,0)</f>
        <v>3150375.18</v>
      </c>
      <c r="R818" s="341">
        <f>+VLOOKUP(B818,PRORRATEO!A:M,11,0)</f>
        <v>0</v>
      </c>
      <c r="S818" s="339">
        <f>+VLOOKUP(B818,PRORRATEO!A:M,12,0)</f>
        <v>1</v>
      </c>
      <c r="T818" s="339">
        <f>+VLOOKUP(B818,PRORRATEO!A:M,13,0)</f>
        <v>0</v>
      </c>
      <c r="U818" t="s">
        <v>630</v>
      </c>
    </row>
    <row r="819" spans="1:21" x14ac:dyDescent="0.35">
      <c r="B819" s="4">
        <v>1537210002</v>
      </c>
      <c r="C819" s="8" t="s">
        <v>85</v>
      </c>
      <c r="D819" s="324">
        <v>20430</v>
      </c>
      <c r="E819" t="s">
        <v>97</v>
      </c>
      <c r="F819">
        <v>40</v>
      </c>
      <c r="G819" s="348" t="str">
        <f>+CONCATENATE($G$7," RF/GC ",G818," ",H818)</f>
        <v>"04-2026" RF/GC R003 9264</v>
      </c>
      <c r="H819" s="252"/>
      <c r="I819" s="312">
        <f>+H818</f>
        <v>9264</v>
      </c>
      <c r="J819" s="350"/>
    </row>
    <row r="820" spans="1:21" x14ac:dyDescent="0.35">
      <c r="B820" s="4">
        <v>1537210002</v>
      </c>
      <c r="C820" s="8" t="s">
        <v>85</v>
      </c>
      <c r="D820" s="324">
        <v>2993371</v>
      </c>
      <c r="E820" t="s">
        <v>97</v>
      </c>
      <c r="F820">
        <v>40</v>
      </c>
      <c r="G820" s="316" t="str">
        <f>+G819</f>
        <v>"04-2026" RF/GC R003 9264</v>
      </c>
      <c r="H820" s="252"/>
      <c r="I820" s="312">
        <f>+I819</f>
        <v>9264</v>
      </c>
      <c r="J820" s="350"/>
    </row>
    <row r="821" spans="1:21" x14ac:dyDescent="0.35">
      <c r="B821" s="4">
        <v>1245150017</v>
      </c>
      <c r="C821" s="8" t="s">
        <v>77</v>
      </c>
      <c r="D821" s="324">
        <v>21608861</v>
      </c>
      <c r="E821" t="s">
        <v>97</v>
      </c>
      <c r="F821">
        <v>40</v>
      </c>
      <c r="G821" s="316" t="str">
        <f>+G820</f>
        <v>"04-2026" RF/GC R003 9264</v>
      </c>
      <c r="H821" s="252"/>
      <c r="I821" s="312">
        <f>+I820</f>
        <v>9264</v>
      </c>
      <c r="J821" s="350"/>
    </row>
    <row r="822" spans="1:21" x14ac:dyDescent="0.35">
      <c r="B822" s="4">
        <v>1245150017</v>
      </c>
      <c r="C822" s="8" t="s">
        <v>77</v>
      </c>
      <c r="D822" s="324">
        <v>2160886</v>
      </c>
      <c r="E822" t="s">
        <v>97</v>
      </c>
      <c r="F822">
        <v>40</v>
      </c>
      <c r="G822" s="316" t="str">
        <f>+G821</f>
        <v>"04-2026" RF/GC R003 9264</v>
      </c>
      <c r="H822" s="252"/>
      <c r="I822" s="312">
        <f>+I821</f>
        <v>9264</v>
      </c>
      <c r="J822" s="350"/>
    </row>
    <row r="823" spans="1:21" x14ac:dyDescent="0.35">
      <c r="B823" s="4">
        <v>1149120011</v>
      </c>
      <c r="C823" s="8" t="s">
        <v>96</v>
      </c>
      <c r="D823" s="325">
        <v>5088874</v>
      </c>
      <c r="E823" t="s">
        <v>97</v>
      </c>
      <c r="F823">
        <v>40</v>
      </c>
      <c r="G823" s="316" t="str">
        <f>+G822</f>
        <v>"04-2026" RF/GC R003 9264</v>
      </c>
      <c r="H823" s="252"/>
      <c r="I823" s="312">
        <f>+I822</f>
        <v>9264</v>
      </c>
      <c r="J823" s="350"/>
    </row>
    <row r="824" spans="1:21" x14ac:dyDescent="0.35">
      <c r="C824" s="251" t="s">
        <v>76</v>
      </c>
      <c r="D824" s="265">
        <v>31872422</v>
      </c>
      <c r="E824"/>
      <c r="G824" s="318" t="str">
        <f>+G823</f>
        <v>"04-2026" RF/GC R003 9264</v>
      </c>
      <c r="H824" s="252"/>
      <c r="I824" s="312">
        <f>+I823</f>
        <v>9264</v>
      </c>
      <c r="J824" s="350"/>
    </row>
    <row r="825" spans="1:21" x14ac:dyDescent="0.35">
      <c r="A825" s="130" t="s">
        <v>853</v>
      </c>
      <c r="B825" s="14">
        <v>289666</v>
      </c>
      <c r="C825" s="15" t="s">
        <v>630</v>
      </c>
      <c r="D825" s="298"/>
      <c r="E825"/>
      <c r="G825" s="9" t="s">
        <v>297</v>
      </c>
      <c r="H825" s="254">
        <v>9264</v>
      </c>
      <c r="J825" s="350">
        <f>+VLOOKUP(H825,contratos!A:R,5,0)</f>
        <v>43146</v>
      </c>
      <c r="K825" s="266" t="str">
        <f>+VLOOKUP(H825,contratos!A:R,12,0)</f>
        <v>VENCIDO</v>
      </c>
      <c r="L825" s="341" t="str">
        <f>+VLOOKUP(H825,contratos!A:R,13,0)</f>
        <v>CESADO</v>
      </c>
      <c r="M825" s="341">
        <f>+VLOOKUP(H825,contratos!A:R,15,0)</f>
        <v>0</v>
      </c>
      <c r="N825" s="336">
        <f>+VLOOKUP(H825,contratos!A:R,16,0)</f>
        <v>0</v>
      </c>
      <c r="O825" s="341">
        <f>+VLOOKUP(B825,PRORRATEO!A:M,8,0)</f>
        <v>16580922</v>
      </c>
      <c r="P825" s="341">
        <f>+VLOOKUP(B825,PRORRATEO!A:M,9,0)</f>
        <v>3150375.18</v>
      </c>
      <c r="Q825" s="341">
        <f>+VLOOKUP(B825,PRORRATEO!A:M,10,0)</f>
        <v>3150375.18</v>
      </c>
      <c r="R825" s="341">
        <f>+VLOOKUP(B825,PRORRATEO!A:M,11,0)</f>
        <v>0</v>
      </c>
      <c r="S825" s="339">
        <f>+VLOOKUP(B825,PRORRATEO!A:M,12,0)</f>
        <v>1</v>
      </c>
      <c r="T825" s="339">
        <f>+VLOOKUP(B825,PRORRATEO!A:M,13,0)</f>
        <v>0</v>
      </c>
      <c r="U825" t="s">
        <v>630</v>
      </c>
    </row>
    <row r="826" spans="1:21" x14ac:dyDescent="0.35">
      <c r="B826" s="263">
        <v>1537210002</v>
      </c>
      <c r="C826" s="8" t="s">
        <v>85</v>
      </c>
      <c r="D826" s="324">
        <v>2862469</v>
      </c>
      <c r="E826" s="296" t="s">
        <v>97</v>
      </c>
      <c r="F826">
        <v>40</v>
      </c>
      <c r="G826" s="316" t="str">
        <f>+CONCATENATE($G$7," RF/GC ",G825," ",H825)</f>
        <v>"04-2026" RF/GC R003 9264</v>
      </c>
      <c r="H826" s="252"/>
      <c r="I826" s="312">
        <f>+H825</f>
        <v>9264</v>
      </c>
      <c r="J826" s="350"/>
    </row>
    <row r="827" spans="1:21" x14ac:dyDescent="0.35">
      <c r="B827" s="263">
        <v>1245150017</v>
      </c>
      <c r="C827" s="8" t="s">
        <v>77</v>
      </c>
      <c r="D827" s="324">
        <v>19061853</v>
      </c>
      <c r="E827" s="296" t="s">
        <v>98</v>
      </c>
      <c r="F827">
        <v>40</v>
      </c>
      <c r="G827" s="348" t="str">
        <f>+G826</f>
        <v>"04-2026" RF/GC R003 9264</v>
      </c>
      <c r="H827" s="252"/>
      <c r="I827" s="312">
        <f>+I826</f>
        <v>9264</v>
      </c>
      <c r="J827" s="350"/>
    </row>
    <row r="828" spans="1:21" x14ac:dyDescent="0.35">
      <c r="B828" s="263">
        <v>1537210003</v>
      </c>
      <c r="C828" s="8" t="s">
        <v>1116</v>
      </c>
      <c r="D828" s="324">
        <v>1906185</v>
      </c>
      <c r="E828" s="296" t="s">
        <v>97</v>
      </c>
      <c r="F828">
        <v>40</v>
      </c>
      <c r="G828" s="316" t="str">
        <f>+CONCATENATE($G$7," PROM ",G825," ",H825)</f>
        <v>"04-2026" PROM R003 9264</v>
      </c>
      <c r="H828" s="252"/>
      <c r="I828" s="312">
        <f>+I827</f>
        <v>9264</v>
      </c>
      <c r="J828" s="350"/>
    </row>
    <row r="829" spans="1:21" x14ac:dyDescent="0.35">
      <c r="B829" s="4">
        <v>1149120011</v>
      </c>
      <c r="C829" s="8" t="s">
        <v>96</v>
      </c>
      <c r="D829" s="324">
        <f>+(D827+D826+D828)*0.19-D830</f>
        <v>3621752.0700000003</v>
      </c>
      <c r="E829" t="s">
        <v>98</v>
      </c>
      <c r="F829">
        <v>40</v>
      </c>
      <c r="G829" s="316" t="str">
        <f>+G827</f>
        <v>"04-2026" RF/GC R003 9264</v>
      </c>
      <c r="H829" s="252"/>
      <c r="I829" s="312">
        <f>+I828</f>
        <v>9264</v>
      </c>
      <c r="J829" s="350"/>
    </row>
    <row r="830" spans="1:21" x14ac:dyDescent="0.35">
      <c r="B830" s="4">
        <v>1149120011</v>
      </c>
      <c r="C830" s="8" t="s">
        <v>96</v>
      </c>
      <c r="D830" s="325">
        <f>+(D826+D828)*0.19</f>
        <v>906044.26</v>
      </c>
      <c r="E830" t="s">
        <v>97</v>
      </c>
      <c r="F830">
        <v>40</v>
      </c>
      <c r="G830" s="316" t="str">
        <f>+G829</f>
        <v>"04-2026" RF/GC R003 9264</v>
      </c>
      <c r="H830" s="252"/>
      <c r="I830" s="312">
        <f>+I829</f>
        <v>9264</v>
      </c>
      <c r="J830" s="350"/>
    </row>
    <row r="831" spans="1:21" x14ac:dyDescent="0.35">
      <c r="C831" s="251" t="s">
        <v>76</v>
      </c>
      <c r="D831" s="265">
        <f>SUM(D826:D830)</f>
        <v>28358303.330000002</v>
      </c>
      <c r="E831"/>
      <c r="G831" s="316" t="str">
        <f>+G830</f>
        <v>"04-2026" RF/GC R003 9264</v>
      </c>
      <c r="H831" s="252"/>
      <c r="I831" s="312">
        <f>+I830</f>
        <v>9264</v>
      </c>
      <c r="J831" s="350"/>
    </row>
    <row r="832" spans="1:21" x14ac:dyDescent="0.35">
      <c r="A832" s="130" t="s">
        <v>853</v>
      </c>
      <c r="B832" s="14">
        <v>289666</v>
      </c>
      <c r="C832" s="15" t="s">
        <v>630</v>
      </c>
      <c r="E832"/>
      <c r="G832" s="9" t="s">
        <v>297</v>
      </c>
      <c r="H832" s="254">
        <v>9264</v>
      </c>
      <c r="I832" s="312"/>
      <c r="J832" s="350">
        <f>+VLOOKUP(H832,contratos!A:R,5,0)</f>
        <v>43146</v>
      </c>
      <c r="K832" s="266" t="str">
        <f>+VLOOKUP(H832,contratos!A:R,12,0)</f>
        <v>VENCIDO</v>
      </c>
      <c r="L832" s="341" t="str">
        <f>+VLOOKUP(H832,contratos!A:R,13,0)</f>
        <v>CESADO</v>
      </c>
      <c r="M832" s="341">
        <f>+VLOOKUP(H832,contratos!A:R,15,0)</f>
        <v>0</v>
      </c>
      <c r="N832" s="336">
        <f>+VLOOKUP(H832,contratos!A:R,16,0)</f>
        <v>0</v>
      </c>
      <c r="O832" s="341">
        <f>+VLOOKUP(B832,PRORRATEO!A:M,8,0)</f>
        <v>16580922</v>
      </c>
      <c r="P832" s="341">
        <f>+VLOOKUP(B832,PRORRATEO!A:M,9,0)</f>
        <v>3150375.18</v>
      </c>
      <c r="Q832" s="341">
        <f>+VLOOKUP(B832,PRORRATEO!A:M,10,0)</f>
        <v>3150375.18</v>
      </c>
      <c r="R832" s="341">
        <f>+VLOOKUP(B832,PRORRATEO!A:M,11,0)</f>
        <v>0</v>
      </c>
      <c r="S832" s="339">
        <f>+VLOOKUP(B832,PRORRATEO!A:M,12,0)</f>
        <v>1</v>
      </c>
      <c r="T832" s="339">
        <f>+VLOOKUP(B832,PRORRATEO!A:M,13,0)</f>
        <v>0</v>
      </c>
      <c r="U832" t="s">
        <v>630</v>
      </c>
    </row>
    <row r="833" spans="1:21" x14ac:dyDescent="0.35">
      <c r="B833" s="4">
        <v>1537210002</v>
      </c>
      <c r="C833" s="8" t="s">
        <v>85</v>
      </c>
      <c r="D833" s="324">
        <v>1856840</v>
      </c>
      <c r="E833" t="s">
        <v>97</v>
      </c>
      <c r="F833">
        <v>40</v>
      </c>
      <c r="G833" s="316" t="str">
        <f>+CONCATENATE($G$7," RF/GC ",G832," ",H832)</f>
        <v>"04-2026" RF/GC R003 9264</v>
      </c>
      <c r="H833" s="252"/>
      <c r="I833" s="312">
        <f>+H832</f>
        <v>9264</v>
      </c>
      <c r="J833" s="350"/>
    </row>
    <row r="834" spans="1:21" x14ac:dyDescent="0.35">
      <c r="B834" s="4">
        <v>1245150017</v>
      </c>
      <c r="C834" s="8" t="s">
        <v>77</v>
      </c>
      <c r="D834" s="324">
        <v>11338341</v>
      </c>
      <c r="E834" t="s">
        <v>98</v>
      </c>
      <c r="F834">
        <v>40</v>
      </c>
      <c r="G834" s="316" t="str">
        <f>+G833</f>
        <v>"04-2026" RF/GC R003 9264</v>
      </c>
      <c r="H834" s="252"/>
      <c r="I834" s="312">
        <f>+I833</f>
        <v>9264</v>
      </c>
      <c r="J834" s="350"/>
    </row>
    <row r="835" spans="1:21" x14ac:dyDescent="0.35">
      <c r="B835" s="4">
        <v>1245150017</v>
      </c>
      <c r="C835" s="8" t="s">
        <v>77</v>
      </c>
      <c r="D835" s="324">
        <v>1133834</v>
      </c>
      <c r="E835" t="s">
        <v>97</v>
      </c>
      <c r="F835">
        <v>40</v>
      </c>
      <c r="G835" s="316" t="str">
        <f>+G834</f>
        <v>"04-2026" RF/GC R003 9264</v>
      </c>
      <c r="H835" s="252"/>
      <c r="I835" s="312">
        <f>+I834</f>
        <v>9264</v>
      </c>
      <c r="J835" s="350"/>
    </row>
    <row r="836" spans="1:21" x14ac:dyDescent="0.35">
      <c r="B836" s="4">
        <v>1149120011</v>
      </c>
      <c r="C836" s="8" t="s">
        <v>96</v>
      </c>
      <c r="D836" s="324">
        <v>2154285</v>
      </c>
      <c r="E836" t="s">
        <v>98</v>
      </c>
      <c r="F836">
        <v>40</v>
      </c>
      <c r="G836" s="316" t="str">
        <f>+G835</f>
        <v>"04-2026" RF/GC R003 9264</v>
      </c>
      <c r="H836" s="252"/>
      <c r="I836" s="312">
        <f>+I835</f>
        <v>9264</v>
      </c>
      <c r="J836" s="350"/>
    </row>
    <row r="837" spans="1:21" x14ac:dyDescent="0.35">
      <c r="B837" s="4">
        <v>1149120011</v>
      </c>
      <c r="C837" s="8" t="s">
        <v>96</v>
      </c>
      <c r="D837" s="325">
        <v>568228</v>
      </c>
      <c r="E837" t="s">
        <v>97</v>
      </c>
      <c r="F837">
        <v>40</v>
      </c>
      <c r="G837" s="316" t="str">
        <f>+G836</f>
        <v>"04-2026" RF/GC R003 9264</v>
      </c>
      <c r="H837" s="252"/>
      <c r="I837" s="312">
        <f>+I836</f>
        <v>9264</v>
      </c>
      <c r="J837" s="350"/>
    </row>
    <row r="838" spans="1:21" x14ac:dyDescent="0.35">
      <c r="C838" s="251" t="s">
        <v>76</v>
      </c>
      <c r="D838" s="265">
        <f>SUBTOTAL(9,D833:D837)</f>
        <v>17051528</v>
      </c>
      <c r="E838"/>
      <c r="G838" s="316" t="str">
        <f>+G837</f>
        <v>"04-2026" RF/GC R003 9264</v>
      </c>
      <c r="H838" s="252"/>
      <c r="J838" s="350"/>
    </row>
    <row r="839" spans="1:21" x14ac:dyDescent="0.35">
      <c r="A839" s="130" t="s">
        <v>853</v>
      </c>
      <c r="B839" s="14">
        <v>289666</v>
      </c>
      <c r="C839" s="15" t="s">
        <v>630</v>
      </c>
      <c r="E839"/>
      <c r="G839" s="9" t="s">
        <v>297</v>
      </c>
      <c r="H839" s="254">
        <v>9264</v>
      </c>
      <c r="J839" s="350">
        <f>+VLOOKUP(H839,contratos!A:R,5,0)</f>
        <v>43146</v>
      </c>
      <c r="K839" s="266" t="str">
        <f>+VLOOKUP(H839,contratos!A:R,12,0)</f>
        <v>VENCIDO</v>
      </c>
      <c r="L839" s="341" t="str">
        <f>+VLOOKUP(H839,contratos!A:R,13,0)</f>
        <v>CESADO</v>
      </c>
      <c r="M839" s="341">
        <f>+VLOOKUP(H839,contratos!A:R,15,0)</f>
        <v>0</v>
      </c>
      <c r="N839" s="336">
        <f>+VLOOKUP(H839,contratos!A:R,16,0)</f>
        <v>0</v>
      </c>
      <c r="O839" s="341">
        <f>+VLOOKUP(B839,PRORRATEO!A:M,8,0)</f>
        <v>16580922</v>
      </c>
      <c r="P839" s="341">
        <f>+VLOOKUP(B839,PRORRATEO!A:M,9,0)</f>
        <v>3150375.18</v>
      </c>
      <c r="Q839" s="341">
        <f>+VLOOKUP(B839,PRORRATEO!A:M,10,0)</f>
        <v>3150375.18</v>
      </c>
      <c r="R839" s="341">
        <f>+VLOOKUP(B839,PRORRATEO!A:M,11,0)</f>
        <v>0</v>
      </c>
      <c r="S839" s="339">
        <f>+VLOOKUP(B839,PRORRATEO!A:M,12,0)</f>
        <v>1</v>
      </c>
      <c r="T839" s="339">
        <f>+VLOOKUP(B839,PRORRATEO!A:M,13,0)</f>
        <v>0</v>
      </c>
      <c r="U839" t="s">
        <v>630</v>
      </c>
    </row>
    <row r="840" spans="1:21" x14ac:dyDescent="0.35">
      <c r="B840" s="4">
        <v>1537210002</v>
      </c>
      <c r="C840" s="8" t="s">
        <v>85</v>
      </c>
      <c r="D840" s="324">
        <v>1423951</v>
      </c>
      <c r="E840" t="s">
        <v>97</v>
      </c>
      <c r="F840">
        <v>40</v>
      </c>
      <c r="G840" s="348" t="str">
        <f>+CONCATENATE($G$7," GC ",G839," ",H839)</f>
        <v>"04-2026" GC R003 9264</v>
      </c>
      <c r="H840" s="252"/>
      <c r="I840" s="312">
        <f>+H839</f>
        <v>9264</v>
      </c>
      <c r="J840" s="350"/>
    </row>
    <row r="841" spans="1:21" x14ac:dyDescent="0.35">
      <c r="B841" s="4">
        <v>1537210002</v>
      </c>
      <c r="C841" s="8" t="s">
        <v>85</v>
      </c>
      <c r="D841" s="324">
        <v>1976029</v>
      </c>
      <c r="E841" t="s">
        <v>97</v>
      </c>
      <c r="F841">
        <v>40</v>
      </c>
      <c r="G841" s="316" t="str">
        <f t="shared" ref="G841:G847" si="40">+G840</f>
        <v>"04-2026" GC R003 9264</v>
      </c>
      <c r="H841" s="252"/>
      <c r="I841" s="312">
        <f t="shared" ref="I841:I847" si="41">+I840</f>
        <v>9264</v>
      </c>
      <c r="J841" s="350"/>
    </row>
    <row r="842" spans="1:21" x14ac:dyDescent="0.35">
      <c r="B842" s="4">
        <v>1245150017</v>
      </c>
      <c r="C842" s="8" t="s">
        <v>77</v>
      </c>
      <c r="D842" s="324">
        <v>7476319</v>
      </c>
      <c r="E842" t="s">
        <v>98</v>
      </c>
      <c r="F842">
        <v>40</v>
      </c>
      <c r="G842" s="348" t="str">
        <f t="shared" si="40"/>
        <v>"04-2026" GC R003 9264</v>
      </c>
      <c r="H842" s="252"/>
      <c r="I842" s="312">
        <f t="shared" si="41"/>
        <v>9264</v>
      </c>
      <c r="J842" s="350"/>
    </row>
    <row r="843" spans="1:21" x14ac:dyDescent="0.35">
      <c r="B843" s="4">
        <v>1245150017</v>
      </c>
      <c r="C843" s="8" t="s">
        <v>77</v>
      </c>
      <c r="D843" s="324">
        <v>747632</v>
      </c>
      <c r="E843" t="s">
        <v>97</v>
      </c>
      <c r="F843">
        <v>40</v>
      </c>
      <c r="G843" s="316" t="str">
        <f t="shared" si="40"/>
        <v>"04-2026" GC R003 9264</v>
      </c>
      <c r="H843" s="252"/>
      <c r="I843" s="312">
        <f t="shared" si="41"/>
        <v>9264</v>
      </c>
      <c r="J843" s="350"/>
    </row>
    <row r="844" spans="1:21" x14ac:dyDescent="0.35">
      <c r="B844" s="4">
        <v>1149120011</v>
      </c>
      <c r="C844" s="8" t="s">
        <v>96</v>
      </c>
      <c r="D844" s="324">
        <v>139209</v>
      </c>
      <c r="E844" t="s">
        <v>98</v>
      </c>
      <c r="F844">
        <v>40</v>
      </c>
      <c r="G844" s="316" t="str">
        <f t="shared" si="40"/>
        <v>"04-2026" GC R003 9264</v>
      </c>
      <c r="H844" s="252"/>
      <c r="I844" s="312">
        <f t="shared" si="41"/>
        <v>9264</v>
      </c>
      <c r="J844" s="350"/>
    </row>
    <row r="845" spans="1:21" x14ac:dyDescent="0.35">
      <c r="B845" s="4">
        <v>1149120011</v>
      </c>
      <c r="C845" s="8" t="s">
        <v>96</v>
      </c>
      <c r="D845" s="324">
        <v>-139209</v>
      </c>
      <c r="E845" t="s">
        <v>97</v>
      </c>
      <c r="F845">
        <v>50</v>
      </c>
      <c r="G845" s="348" t="str">
        <f t="shared" si="40"/>
        <v>"04-2026" GC R003 9264</v>
      </c>
      <c r="H845" s="252"/>
      <c r="I845" s="312">
        <f t="shared" si="41"/>
        <v>9264</v>
      </c>
      <c r="J845" s="350"/>
    </row>
    <row r="846" spans="1:21" x14ac:dyDescent="0.35">
      <c r="B846" s="4">
        <v>1149120011</v>
      </c>
      <c r="C846" s="8" t="s">
        <v>96</v>
      </c>
      <c r="D846" s="325">
        <v>2208548</v>
      </c>
      <c r="E846" t="s">
        <v>97</v>
      </c>
      <c r="F846">
        <v>40</v>
      </c>
      <c r="G846" s="316" t="str">
        <f t="shared" si="40"/>
        <v>"04-2026" GC R003 9264</v>
      </c>
      <c r="H846" s="252"/>
      <c r="I846" s="312">
        <f t="shared" si="41"/>
        <v>9264</v>
      </c>
      <c r="J846" s="350"/>
    </row>
    <row r="847" spans="1:21" x14ac:dyDescent="0.35">
      <c r="C847" s="251" t="s">
        <v>76</v>
      </c>
      <c r="D847" s="265">
        <v>13832479</v>
      </c>
      <c r="E847"/>
      <c r="G847" s="316" t="str">
        <f t="shared" si="40"/>
        <v>"04-2026" GC R003 9264</v>
      </c>
      <c r="H847" s="252"/>
      <c r="I847" s="312">
        <f t="shared" si="41"/>
        <v>9264</v>
      </c>
      <c r="J847" s="350"/>
    </row>
    <row r="848" spans="1:21" x14ac:dyDescent="0.35">
      <c r="A848" s="130" t="s">
        <v>853</v>
      </c>
      <c r="B848" s="14">
        <v>211510</v>
      </c>
      <c r="C848" s="15" t="s">
        <v>655</v>
      </c>
      <c r="D848" s="298"/>
      <c r="E848"/>
      <c r="G848" s="9" t="s">
        <v>653</v>
      </c>
      <c r="H848" s="254">
        <v>9302</v>
      </c>
      <c r="J848" s="350">
        <f>+VLOOKUP(H848,contratos!A:R,5,0)</f>
        <v>43081</v>
      </c>
      <c r="K848" s="266" t="str">
        <f>+VLOOKUP(H848,contratos!A:R,12,0)</f>
        <v>VENCIDO</v>
      </c>
      <c r="L848" s="341" t="str">
        <f>+VLOOKUP(H848,contratos!A:R,13,0)</f>
        <v>CESADO</v>
      </c>
      <c r="M848" s="341">
        <f>+VLOOKUP(H848,contratos!A:R,15,0)</f>
        <v>0</v>
      </c>
      <c r="N848" s="336">
        <f>+VLOOKUP(H848,contratos!A:R,16,0)</f>
        <v>0</v>
      </c>
      <c r="O848" s="341">
        <f>+VLOOKUP(B848,PRORRATEO!A:M,8,0)</f>
        <v>7483348</v>
      </c>
      <c r="P848" s="341">
        <f>+VLOOKUP(B848,PRORRATEO!A:M,9,0)</f>
        <v>1421836.12</v>
      </c>
      <c r="Q848" s="341">
        <f>+VLOOKUP(B848,PRORRATEO!A:M,10,0)</f>
        <v>1421836.12</v>
      </c>
      <c r="R848" s="341">
        <f>+VLOOKUP(B848,PRORRATEO!A:M,11,0)</f>
        <v>0</v>
      </c>
      <c r="S848" s="339">
        <f>+VLOOKUP(B848,PRORRATEO!A:M,12,0)</f>
        <v>1</v>
      </c>
      <c r="T848" s="339">
        <f>+VLOOKUP(B848,PRORRATEO!A:M,13,0)</f>
        <v>0</v>
      </c>
      <c r="U848" t="s">
        <v>655</v>
      </c>
    </row>
    <row r="849" spans="1:21" x14ac:dyDescent="0.35">
      <c r="B849" s="4">
        <v>1245150017</v>
      </c>
      <c r="C849" s="8" t="s">
        <v>77</v>
      </c>
      <c r="D849" s="324">
        <v>7483348</v>
      </c>
      <c r="E849" t="s">
        <v>98</v>
      </c>
      <c r="F849">
        <v>40</v>
      </c>
      <c r="G849" s="316" t="str">
        <f>+CONCATENATE($G$7," RF ",G848," ",H848)</f>
        <v>"04-2026" RF SGH604 9302</v>
      </c>
      <c r="H849" s="252"/>
      <c r="I849" s="312">
        <f>+H848</f>
        <v>9302</v>
      </c>
      <c r="J849" s="350"/>
    </row>
    <row r="850" spans="1:21" x14ac:dyDescent="0.35">
      <c r="B850" s="4">
        <v>1149120011</v>
      </c>
      <c r="C850" s="8" t="s">
        <v>96</v>
      </c>
      <c r="D850" s="268">
        <v>1421836</v>
      </c>
      <c r="E850" t="s">
        <v>98</v>
      </c>
      <c r="F850">
        <v>40</v>
      </c>
      <c r="G850" s="316" t="str">
        <f>+G849</f>
        <v>"04-2026" RF SGH604 9302</v>
      </c>
      <c r="H850" s="252"/>
      <c r="I850" s="312">
        <f>+I849</f>
        <v>9302</v>
      </c>
      <c r="J850" s="350"/>
    </row>
    <row r="851" spans="1:21" x14ac:dyDescent="0.35">
      <c r="B851" s="132">
        <v>1246125027</v>
      </c>
      <c r="C851" s="8" t="s">
        <v>858</v>
      </c>
      <c r="D851" s="299">
        <v>-261917</v>
      </c>
      <c r="E851"/>
      <c r="F851">
        <v>50</v>
      </c>
      <c r="G851" s="316" t="str">
        <f>+G850</f>
        <v>"04-2026" RF SGH604 9302</v>
      </c>
      <c r="H851" s="252"/>
      <c r="I851" s="251" t="s">
        <v>857</v>
      </c>
      <c r="J851" s="350"/>
      <c r="K851" s="240"/>
      <c r="L851" s="367"/>
      <c r="M851" s="367"/>
      <c r="N851" s="240"/>
    </row>
    <row r="852" spans="1:21" x14ac:dyDescent="0.35">
      <c r="C852" s="251" t="s">
        <v>76</v>
      </c>
      <c r="D852" s="265">
        <v>8643267</v>
      </c>
      <c r="E852"/>
      <c r="G852" s="316" t="str">
        <f>+G851</f>
        <v>"04-2026" RF SGH604 9302</v>
      </c>
      <c r="H852" s="252"/>
      <c r="J852" s="350"/>
    </row>
    <row r="853" spans="1:21" x14ac:dyDescent="0.35">
      <c r="A853" s="130" t="s">
        <v>853</v>
      </c>
      <c r="B853" s="14">
        <v>211510</v>
      </c>
      <c r="C853" s="15" t="s">
        <v>655</v>
      </c>
      <c r="E853"/>
      <c r="G853" s="9" t="s">
        <v>653</v>
      </c>
      <c r="H853" s="254">
        <v>9302</v>
      </c>
      <c r="J853" s="350">
        <f>+VLOOKUP(H853,contratos!A:R,5,0)</f>
        <v>43081</v>
      </c>
      <c r="K853" s="266" t="str">
        <f>+VLOOKUP(H853,contratos!A:R,12,0)</f>
        <v>VENCIDO</v>
      </c>
      <c r="L853" s="341" t="str">
        <f>+VLOOKUP(H853,contratos!A:R,13,0)</f>
        <v>CESADO</v>
      </c>
      <c r="M853" s="341">
        <f>+VLOOKUP(H853,contratos!A:R,15,0)</f>
        <v>0</v>
      </c>
      <c r="N853" s="336">
        <f>+VLOOKUP(H853,contratos!A:R,16,0)</f>
        <v>0</v>
      </c>
      <c r="O853" s="341">
        <f>+VLOOKUP(B853,PRORRATEO!A:M,8,0)</f>
        <v>7483348</v>
      </c>
      <c r="P853" s="341">
        <f>+VLOOKUP(B853,PRORRATEO!A:M,9,0)</f>
        <v>1421836.12</v>
      </c>
      <c r="Q853" s="341">
        <f>+VLOOKUP(B853,PRORRATEO!A:M,10,0)</f>
        <v>1421836.12</v>
      </c>
      <c r="R853" s="341">
        <f>+VLOOKUP(B853,PRORRATEO!A:M,11,0)</f>
        <v>0</v>
      </c>
      <c r="S853" s="339">
        <f>+VLOOKUP(B853,PRORRATEO!A:M,12,0)</f>
        <v>1</v>
      </c>
      <c r="T853" s="339">
        <f>+VLOOKUP(B853,PRORRATEO!A:M,13,0)</f>
        <v>0</v>
      </c>
      <c r="U853" t="s">
        <v>655</v>
      </c>
    </row>
    <row r="854" spans="1:21" x14ac:dyDescent="0.35">
      <c r="B854" s="4">
        <v>1245150017</v>
      </c>
      <c r="C854" s="8" t="s">
        <v>77</v>
      </c>
      <c r="D854" s="324">
        <v>7483348</v>
      </c>
      <c r="E854" t="s">
        <v>98</v>
      </c>
      <c r="F854">
        <v>40</v>
      </c>
      <c r="G854" s="316" t="str">
        <f>+CONCATENATE($G$7," RF ",G853," ",H853)</f>
        <v>"04-2026" RF SGH604 9302</v>
      </c>
      <c r="H854" s="252"/>
      <c r="I854" s="312">
        <f>+H853</f>
        <v>9302</v>
      </c>
      <c r="J854" s="350"/>
    </row>
    <row r="855" spans="1:21" x14ac:dyDescent="0.35">
      <c r="B855" s="4">
        <v>1149120011</v>
      </c>
      <c r="C855" s="8" t="s">
        <v>96</v>
      </c>
      <c r="D855" s="268">
        <v>1421836</v>
      </c>
      <c r="E855" t="s">
        <v>98</v>
      </c>
      <c r="F855">
        <v>40</v>
      </c>
      <c r="G855" s="348" t="str">
        <f>+G854</f>
        <v>"04-2026" RF SGH604 9302</v>
      </c>
      <c r="H855" s="252"/>
      <c r="I855" s="312">
        <f>+I854</f>
        <v>9302</v>
      </c>
      <c r="J855" s="350"/>
    </row>
    <row r="856" spans="1:21" x14ac:dyDescent="0.35">
      <c r="B856" s="132">
        <v>1246125027</v>
      </c>
      <c r="C856" s="8" t="s">
        <v>858</v>
      </c>
      <c r="D856" s="299">
        <v>-261917</v>
      </c>
      <c r="E856"/>
      <c r="F856">
        <v>50</v>
      </c>
      <c r="G856" s="348" t="str">
        <f>+G855</f>
        <v>"04-2026" RF SGH604 9302</v>
      </c>
      <c r="H856" s="252"/>
      <c r="I856" s="251" t="s">
        <v>857</v>
      </c>
      <c r="J856" s="350"/>
      <c r="K856" s="240"/>
      <c r="L856" s="367"/>
      <c r="M856" s="367"/>
      <c r="N856" s="240"/>
    </row>
    <row r="857" spans="1:21" x14ac:dyDescent="0.35">
      <c r="C857" s="251" t="s">
        <v>76</v>
      </c>
      <c r="D857" s="265">
        <v>8643267</v>
      </c>
      <c r="E857"/>
      <c r="G857" s="316" t="str">
        <f>+G856</f>
        <v>"04-2026" RF SGH604 9302</v>
      </c>
      <c r="H857" s="252"/>
      <c r="J857" s="350"/>
    </row>
    <row r="858" spans="1:21" x14ac:dyDescent="0.35">
      <c r="A858" s="130" t="s">
        <v>853</v>
      </c>
      <c r="B858" s="14">
        <v>211510</v>
      </c>
      <c r="C858" s="15" t="s">
        <v>655</v>
      </c>
      <c r="E858"/>
      <c r="G858" s="9" t="s">
        <v>653</v>
      </c>
      <c r="H858" s="254">
        <v>9302</v>
      </c>
      <c r="J858" s="350">
        <f>+VLOOKUP(H858,contratos!A:R,5,0)</f>
        <v>43081</v>
      </c>
      <c r="K858" s="266" t="str">
        <f>+VLOOKUP(H858,contratos!A:R,12,0)</f>
        <v>VENCIDO</v>
      </c>
      <c r="L858" s="341" t="str">
        <f>+VLOOKUP(H858,contratos!A:R,13,0)</f>
        <v>CESADO</v>
      </c>
      <c r="M858" s="341">
        <f>+VLOOKUP(H858,contratos!A:R,15,0)</f>
        <v>0</v>
      </c>
      <c r="N858" s="336">
        <f>+VLOOKUP(H858,contratos!A:R,16,0)</f>
        <v>0</v>
      </c>
      <c r="O858" s="341">
        <f>+VLOOKUP(B858,PRORRATEO!A:M,8,0)</f>
        <v>7483348</v>
      </c>
      <c r="P858" s="341">
        <f>+VLOOKUP(B858,PRORRATEO!A:M,9,0)</f>
        <v>1421836.12</v>
      </c>
      <c r="Q858" s="341">
        <f>+VLOOKUP(B858,PRORRATEO!A:M,10,0)</f>
        <v>1421836.12</v>
      </c>
      <c r="R858" s="341">
        <f>+VLOOKUP(B858,PRORRATEO!A:M,11,0)</f>
        <v>0</v>
      </c>
      <c r="S858" s="339">
        <f>+VLOOKUP(B858,PRORRATEO!A:M,12,0)</f>
        <v>1</v>
      </c>
      <c r="T858" s="339">
        <f>+VLOOKUP(B858,PRORRATEO!A:M,13,0)</f>
        <v>0</v>
      </c>
      <c r="U858" t="s">
        <v>655</v>
      </c>
    </row>
    <row r="859" spans="1:21" x14ac:dyDescent="0.35">
      <c r="B859" s="263">
        <v>1537210004</v>
      </c>
      <c r="C859" s="8" t="s">
        <v>859</v>
      </c>
      <c r="D859" s="324">
        <v>1953477</v>
      </c>
      <c r="E859" s="263" t="s">
        <v>98</v>
      </c>
      <c r="F859">
        <v>40</v>
      </c>
      <c r="G859" s="316" t="str">
        <f>+CONCATENATE($G$7," RF ",G858," ",H858)</f>
        <v>"04-2026" RF SGH604 9302</v>
      </c>
      <c r="H859" s="252"/>
      <c r="I859" s="312">
        <f>+H858</f>
        <v>9302</v>
      </c>
      <c r="J859" s="350"/>
    </row>
    <row r="860" spans="1:21" x14ac:dyDescent="0.35">
      <c r="B860" s="4">
        <v>1149120011</v>
      </c>
      <c r="C860" s="8" t="s">
        <v>96</v>
      </c>
      <c r="D860" s="324">
        <f>+D859*0.19</f>
        <v>371160.63</v>
      </c>
      <c r="E860" t="s">
        <v>98</v>
      </c>
      <c r="F860">
        <v>40</v>
      </c>
      <c r="G860" s="316" t="str">
        <f>+G859</f>
        <v>"04-2026" RF SGH604 9302</v>
      </c>
      <c r="H860" s="252"/>
      <c r="I860" s="312">
        <f>+I859</f>
        <v>9302</v>
      </c>
      <c r="J860" s="350"/>
    </row>
    <row r="861" spans="1:21" x14ac:dyDescent="0.35">
      <c r="B861" s="132">
        <v>1246125027</v>
      </c>
      <c r="C861" s="8" t="s">
        <v>858</v>
      </c>
      <c r="D861" s="326">
        <f>+D859*J861</f>
        <v>68371.74943957373</v>
      </c>
      <c r="E861"/>
      <c r="F861">
        <v>50</v>
      </c>
      <c r="G861" s="316" t="str">
        <f>+G860</f>
        <v>"04-2026" RF SGH604 9302</v>
      </c>
      <c r="H861" s="252"/>
      <c r="I861" s="251" t="s">
        <v>857</v>
      </c>
      <c r="J861" s="352">
        <v>3.5000027868039262E-2</v>
      </c>
      <c r="N861" s="336"/>
    </row>
    <row r="862" spans="1:21" x14ac:dyDescent="0.35">
      <c r="C862" s="251" t="s">
        <v>76</v>
      </c>
      <c r="D862" s="332">
        <f>+D859+D860-D861</f>
        <v>2256265.880560426</v>
      </c>
      <c r="E862"/>
      <c r="G862" s="316" t="str">
        <f>+G861</f>
        <v>"04-2026" RF SGH604 9302</v>
      </c>
      <c r="H862" s="252"/>
      <c r="J862" s="350"/>
    </row>
    <row r="863" spans="1:21" x14ac:dyDescent="0.35">
      <c r="A863" s="130" t="s">
        <v>854</v>
      </c>
      <c r="B863" s="14">
        <v>204633</v>
      </c>
      <c r="C863" s="15" t="s">
        <v>576</v>
      </c>
      <c r="E863"/>
      <c r="G863" s="10" t="s">
        <v>574</v>
      </c>
      <c r="H863" s="252">
        <v>6715</v>
      </c>
      <c r="J863" s="350">
        <f>+VLOOKUP(H863,contratos!A:R,5,0)</f>
        <v>41883</v>
      </c>
      <c r="K863" s="266" t="str">
        <f>+VLOOKUP(H863,contratos!A:R,12,0)</f>
        <v>VENCIDO</v>
      </c>
      <c r="L863" s="341" t="str">
        <f>+VLOOKUP(H863,contratos!A:R,13,0)</f>
        <v>CESADO</v>
      </c>
      <c r="M863" s="341">
        <f>+VLOOKUP(H863,contratos!A:R,15,0)</f>
        <v>0</v>
      </c>
      <c r="N863" s="336">
        <f>+VLOOKUP(H863,contratos!A:R,16,0)</f>
        <v>0</v>
      </c>
      <c r="O863" s="341">
        <f>+VLOOKUP(H863,PRORRATEO!F:M,3,0)</f>
        <v>17158194</v>
      </c>
      <c r="P863" s="341">
        <f>+VLOOKUP(H863,PRORRATEO!F:M,4,0)</f>
        <v>3260056.86</v>
      </c>
      <c r="Q863" s="341">
        <f>+VLOOKUP(H863,PRORRATEO!F:M,5,0)</f>
        <v>166262.89985999998</v>
      </c>
      <c r="R863" s="341">
        <f>+VLOOKUP(H863,PRORRATEO!F:M,6,0)</f>
        <v>3093793.9601399996</v>
      </c>
      <c r="S863" s="339">
        <f>+VLOOKUP(H863,PRORRATEO!F:M,7,0)</f>
        <v>5.0999999999999997E-2</v>
      </c>
      <c r="T863" s="339">
        <f>+VLOOKUP(H863,PRORRATEO!F:M,8,0)</f>
        <v>0.94899999999999995</v>
      </c>
      <c r="U863" t="s">
        <v>42</v>
      </c>
    </row>
    <row r="864" spans="1:21" x14ac:dyDescent="0.35">
      <c r="B864" s="4">
        <v>1537210003</v>
      </c>
      <c r="C864" s="8" t="s">
        <v>79</v>
      </c>
      <c r="D864" s="324">
        <v>717789</v>
      </c>
      <c r="E864" t="s">
        <v>80</v>
      </c>
      <c r="F864">
        <v>40</v>
      </c>
      <c r="G864" s="348" t="str">
        <f>+CONCATENATE($G$7," GC ",G863," ",H863)</f>
        <v>"04-2026" GC T080 6715</v>
      </c>
      <c r="H864" s="252"/>
      <c r="I864" s="312">
        <f>+H863</f>
        <v>6715</v>
      </c>
      <c r="J864" s="350"/>
    </row>
    <row r="865" spans="1:21" x14ac:dyDescent="0.35">
      <c r="B865" s="4">
        <v>1537210002</v>
      </c>
      <c r="C865" s="8" t="s">
        <v>85</v>
      </c>
      <c r="D865" s="324">
        <v>1439970</v>
      </c>
      <c r="E865" t="s">
        <v>80</v>
      </c>
      <c r="F865">
        <v>40</v>
      </c>
      <c r="G865" s="316" t="str">
        <f>+G864</f>
        <v>"04-2026" GC T080 6715</v>
      </c>
      <c r="H865" s="252"/>
      <c r="I865" s="312">
        <f>+I864</f>
        <v>6715</v>
      </c>
      <c r="J865" s="350"/>
    </row>
    <row r="866" spans="1:21" x14ac:dyDescent="0.35">
      <c r="C866" s="251" t="s">
        <v>76</v>
      </c>
      <c r="D866" s="265">
        <f>+D864+D865</f>
        <v>2157759</v>
      </c>
      <c r="E866"/>
      <c r="G866" s="316" t="str">
        <f>+G865</f>
        <v>"04-2026" GC T080 6715</v>
      </c>
      <c r="H866" s="252"/>
      <c r="I866" s="312">
        <f>+I865</f>
        <v>6715</v>
      </c>
      <c r="J866" s="350"/>
    </row>
    <row r="867" spans="1:21" s="242" customFormat="1" hidden="1" x14ac:dyDescent="0.35">
      <c r="A867" s="255"/>
      <c r="C867" s="273"/>
      <c r="D867" s="327"/>
      <c r="H867" s="256"/>
      <c r="I867" s="273"/>
      <c r="L867" s="295"/>
      <c r="M867" s="295"/>
      <c r="O867" s="295"/>
      <c r="P867" s="295"/>
      <c r="Q867" s="295"/>
      <c r="R867" s="295"/>
      <c r="S867" s="373"/>
      <c r="T867" s="373"/>
    </row>
    <row r="868" spans="1:21" x14ac:dyDescent="0.35">
      <c r="A868" s="130" t="s">
        <v>854</v>
      </c>
      <c r="B868" s="14">
        <v>204626</v>
      </c>
      <c r="C868" s="15" t="s">
        <v>559</v>
      </c>
      <c r="E868"/>
      <c r="G868" s="9" t="s">
        <v>557</v>
      </c>
      <c r="H868" s="257">
        <v>6699</v>
      </c>
      <c r="J868" s="350">
        <f>+VLOOKUP(H868,contratos!A:R,5,0)</f>
        <v>40210</v>
      </c>
      <c r="K868" s="266" t="str">
        <f>+VLOOKUP(H868,contratos!A:R,12,0)</f>
        <v>OK</v>
      </c>
      <c r="L868" s="341" t="str">
        <f>+VLOOKUP(H868,contratos!A:R,13,0)</f>
        <v>VIGENTE</v>
      </c>
      <c r="M868" s="341">
        <f>+VLOOKUP(H868,contratos!A:R,15,0)</f>
        <v>0</v>
      </c>
      <c r="N868" s="336">
        <f>+VLOOKUP(H868,contratos!A:R,16,0)</f>
        <v>0</v>
      </c>
      <c r="O868" s="341">
        <f>+VLOOKUP(H868,PRORRATEO!F:M,3,0)</f>
        <v>29641526</v>
      </c>
      <c r="P868" s="341">
        <f>+VLOOKUP(H868,PRORRATEO!F:M,4,0)</f>
        <v>5631889.9400000004</v>
      </c>
      <c r="Q868" s="341">
        <f>+VLOOKUP(H868,PRORRATEO!F:M,5,0)</f>
        <v>309753.94670000003</v>
      </c>
      <c r="R868" s="341">
        <f>+VLOOKUP(H868,PRORRATEO!F:M,6,0)</f>
        <v>5322135.9933000002</v>
      </c>
      <c r="S868" s="339">
        <f>+VLOOKUP(H868,PRORRATEO!F:M,7,0)</f>
        <v>5.5E-2</v>
      </c>
      <c r="T868" s="339">
        <f>+VLOOKUP(H868,PRORRATEO!F:M,8,0)</f>
        <v>0.94499999999999995</v>
      </c>
      <c r="U868" t="s">
        <v>765</v>
      </c>
    </row>
    <row r="869" spans="1:21" x14ac:dyDescent="0.35">
      <c r="B869" s="263">
        <v>1537210003</v>
      </c>
      <c r="C869" s="8" t="s">
        <v>1013</v>
      </c>
      <c r="D869" s="324">
        <f>+K870</f>
        <v>700272</v>
      </c>
      <c r="E869" t="s">
        <v>80</v>
      </c>
      <c r="F869" s="296">
        <v>40</v>
      </c>
      <c r="G869" s="318" t="str">
        <f>+CONCATENATE($G$7," GC ",G868," ",H868)</f>
        <v>"04-2026" GC T074 6699</v>
      </c>
      <c r="H869" s="252"/>
      <c r="I869" s="312">
        <f>+H868</f>
        <v>6699</v>
      </c>
      <c r="J869" s="350" t="s">
        <v>1183</v>
      </c>
      <c r="K869" s="54">
        <v>2043777</v>
      </c>
    </row>
    <row r="870" spans="1:21" x14ac:dyDescent="0.35">
      <c r="B870" s="263">
        <v>1537210004</v>
      </c>
      <c r="C870" s="8" t="s">
        <v>974</v>
      </c>
      <c r="D870" s="324">
        <v>22030</v>
      </c>
      <c r="E870" t="s">
        <v>80</v>
      </c>
      <c r="F870" s="296">
        <v>40</v>
      </c>
      <c r="G870" s="318" t="str">
        <f>+G869</f>
        <v>"04-2026" GC T074 6699</v>
      </c>
      <c r="H870" s="252"/>
      <c r="I870" s="312">
        <f>+I869</f>
        <v>6699</v>
      </c>
      <c r="J870" s="350" t="s">
        <v>1783</v>
      </c>
      <c r="K870" s="54">
        <v>700272</v>
      </c>
    </row>
    <row r="871" spans="1:21" x14ac:dyDescent="0.35">
      <c r="B871" s="263">
        <v>1245150017</v>
      </c>
      <c r="C871" s="8" t="s">
        <v>77</v>
      </c>
      <c r="D871" s="324">
        <f>+K872+K871+K869</f>
        <v>2076700</v>
      </c>
      <c r="E871" t="s">
        <v>80</v>
      </c>
      <c r="F871" s="296">
        <v>40</v>
      </c>
      <c r="G871" s="318" t="str">
        <f>+G870</f>
        <v>"04-2026" GC T074 6699</v>
      </c>
      <c r="H871" s="252"/>
      <c r="I871" s="312">
        <f>+I870</f>
        <v>6699</v>
      </c>
      <c r="J871" s="350" t="s">
        <v>1784</v>
      </c>
      <c r="K871" s="54">
        <v>27440</v>
      </c>
    </row>
    <row r="872" spans="1:21" x14ac:dyDescent="0.35">
      <c r="C872" s="251" t="s">
        <v>76</v>
      </c>
      <c r="D872" s="265">
        <f>SUBTOTAL(9,D869:D871)</f>
        <v>2799002</v>
      </c>
      <c r="E872"/>
      <c r="G872" s="318" t="str">
        <f>+G871</f>
        <v>"04-2026" GC T074 6699</v>
      </c>
      <c r="H872" s="252"/>
      <c r="J872" s="350" t="s">
        <v>1785</v>
      </c>
      <c r="K872" s="54">
        <v>5483</v>
      </c>
    </row>
    <row r="873" spans="1:21" x14ac:dyDescent="0.35">
      <c r="A873" s="130" t="s">
        <v>853</v>
      </c>
      <c r="B873" s="14">
        <v>204517</v>
      </c>
      <c r="C873" s="15" t="s">
        <v>1039</v>
      </c>
      <c r="E873"/>
      <c r="G873" s="251" t="s">
        <v>479</v>
      </c>
      <c r="H873" s="252">
        <v>6600</v>
      </c>
      <c r="J873" s="350">
        <f>+VLOOKUP(H873,contratos!A:R,5,0)</f>
        <v>42795</v>
      </c>
      <c r="K873" s="266" t="str">
        <f>+VLOOKUP(H873,contratos!A:R,12,0)</f>
        <v>OK</v>
      </c>
      <c r="L873" s="341" t="str">
        <f>+VLOOKUP(H873,contratos!A:R,13,0)</f>
        <v>VIGENTE</v>
      </c>
      <c r="M873" s="341">
        <f>+VLOOKUP(H873,contratos!A:R,15,0)</f>
        <v>0</v>
      </c>
      <c r="N873" s="336">
        <f>+VLOOKUP(H873,contratos!A:R,16,0)</f>
        <v>0</v>
      </c>
      <c r="O873" s="341">
        <f>+VLOOKUP(B873,PRORRATEO!A:M,8,0)</f>
        <v>33369425</v>
      </c>
      <c r="P873" s="341">
        <f>+VLOOKUP(B873,PRORRATEO!A:M,9,0)</f>
        <v>6340190.75</v>
      </c>
      <c r="Q873" s="341">
        <f>+VLOOKUP(B873,PRORRATEO!A:M,10,0)</f>
        <v>779843.46224999998</v>
      </c>
      <c r="R873" s="341">
        <f>+VLOOKUP(B873,PRORRATEO!A:M,11,0)</f>
        <v>5560347.2877500001</v>
      </c>
      <c r="S873" s="339">
        <f>+VLOOKUP(B873,PRORRATEO!A:M,12,0)</f>
        <v>0.123</v>
      </c>
      <c r="T873" s="339">
        <f>+VLOOKUP(B873,PRORRATEO!A:M,13,0)</f>
        <v>0.877</v>
      </c>
    </row>
    <row r="874" spans="1:21" x14ac:dyDescent="0.35">
      <c r="B874" s="263">
        <v>1245150017</v>
      </c>
      <c r="C874" t="s">
        <v>77</v>
      </c>
      <c r="D874" s="324">
        <v>27099928</v>
      </c>
      <c r="E874" t="s">
        <v>97</v>
      </c>
      <c r="F874" s="296">
        <v>40</v>
      </c>
      <c r="G874" s="318" t="str">
        <f>+CONCATENATE($G$7,"  ",G873," ",H873)</f>
        <v>"04-2026"  T022 6600</v>
      </c>
      <c r="H874" s="252"/>
      <c r="I874" s="312">
        <f>+H873</f>
        <v>6600</v>
      </c>
      <c r="J874" s="350"/>
    </row>
    <row r="875" spans="1:21" x14ac:dyDescent="0.35">
      <c r="B875" s="263">
        <v>1149120011</v>
      </c>
      <c r="C875" t="s">
        <v>96</v>
      </c>
      <c r="D875" s="299" t="s">
        <v>1040</v>
      </c>
      <c r="E875" t="s">
        <v>97</v>
      </c>
      <c r="F875" s="296">
        <v>50</v>
      </c>
      <c r="G875" s="318" t="str">
        <f>+G874</f>
        <v>"04-2026"  T022 6600</v>
      </c>
      <c r="H875" s="252"/>
      <c r="I875" s="312">
        <f>+I874</f>
        <v>6600</v>
      </c>
      <c r="J875" s="350"/>
    </row>
    <row r="876" spans="1:21" x14ac:dyDescent="0.35">
      <c r="B876" s="263">
        <v>1149120011</v>
      </c>
      <c r="C876" t="s">
        <v>96</v>
      </c>
      <c r="D876" s="324">
        <v>633325</v>
      </c>
      <c r="E876" t="s">
        <v>98</v>
      </c>
      <c r="F876" s="296">
        <v>40</v>
      </c>
      <c r="G876" s="318" t="str">
        <f>+G875</f>
        <v>"04-2026"  T022 6600</v>
      </c>
      <c r="H876" s="252"/>
      <c r="I876" s="312">
        <f>+I875</f>
        <v>6600</v>
      </c>
      <c r="J876" s="350"/>
    </row>
    <row r="877" spans="1:21" x14ac:dyDescent="0.35">
      <c r="B877" s="4">
        <v>1149120011</v>
      </c>
      <c r="C877" t="s">
        <v>96</v>
      </c>
      <c r="D877" s="324">
        <v>5148986</v>
      </c>
      <c r="E877" t="s">
        <v>97</v>
      </c>
      <c r="G877" s="318" t="str">
        <f>+G876</f>
        <v>"04-2026"  T022 6600</v>
      </c>
      <c r="H877" s="252"/>
      <c r="I877" s="312">
        <f>+I876</f>
        <v>6600</v>
      </c>
      <c r="J877" s="350"/>
    </row>
    <row r="878" spans="1:21" x14ac:dyDescent="0.35">
      <c r="B878" s="4">
        <v>1246125027</v>
      </c>
      <c r="C878" t="s">
        <v>962</v>
      </c>
      <c r="D878" s="324" t="s">
        <v>1041</v>
      </c>
      <c r="E878"/>
      <c r="G878" s="318" t="str">
        <f>+G877</f>
        <v>"04-2026"  T022 6600</v>
      </c>
      <c r="H878" s="252"/>
      <c r="I878" s="312">
        <f>+I877</f>
        <v>6600</v>
      </c>
      <c r="J878" s="350"/>
    </row>
    <row r="879" spans="1:21" x14ac:dyDescent="0.35">
      <c r="C879" s="251" t="s">
        <v>76</v>
      </c>
      <c r="D879" s="265">
        <v>32882239</v>
      </c>
      <c r="E879"/>
      <c r="G879" s="318" t="str">
        <f>+G878</f>
        <v>"04-2026"  T022 6600</v>
      </c>
      <c r="H879" s="252"/>
      <c r="J879" s="350"/>
    </row>
    <row r="880" spans="1:21" x14ac:dyDescent="0.35">
      <c r="A880" s="130" t="s">
        <v>853</v>
      </c>
      <c r="B880" s="14">
        <v>204631</v>
      </c>
      <c r="C880" s="15" t="s">
        <v>1042</v>
      </c>
      <c r="E880"/>
      <c r="G880" s="251" t="s">
        <v>1043</v>
      </c>
      <c r="H880" s="252">
        <v>6638</v>
      </c>
      <c r="J880" s="350">
        <f>+VLOOKUP(H880,contratos!A:R,5,0)</f>
        <v>43029</v>
      </c>
      <c r="K880" s="266" t="str">
        <f>+VLOOKUP(H880,contratos!A:R,12,0)</f>
        <v>VENCIDO</v>
      </c>
      <c r="L880" s="341" t="str">
        <f>+VLOOKUP(H880,contratos!A:R,13,0)</f>
        <v>CESADO</v>
      </c>
      <c r="M880" s="341">
        <f>+VLOOKUP(H880,contratos!A:R,15,0)</f>
        <v>0</v>
      </c>
      <c r="N880" s="336">
        <f>+VLOOKUP(H880,contratos!A:R,16,0)</f>
        <v>0</v>
      </c>
      <c r="O880" s="341">
        <f>+VLOOKUP(B880,PRORRATEO!A:M,8,0)</f>
        <v>17000000</v>
      </c>
      <c r="P880" s="341">
        <f>+VLOOKUP(B880,PRORRATEO!A:M,9,0)</f>
        <v>3230000</v>
      </c>
      <c r="Q880" s="341">
        <f>+VLOOKUP(B880,PRORRATEO!A:M,10,0)</f>
        <v>131793.4306569343</v>
      </c>
      <c r="R880" s="341">
        <f>+VLOOKUP(B880,PRORRATEO!A:M,11,0)</f>
        <v>3098206.5693430658</v>
      </c>
      <c r="S880" s="339">
        <f>+VLOOKUP(B880,PRORRATEO!A:M,12,0)</f>
        <v>4.0802919708029198E-2</v>
      </c>
      <c r="T880" s="339">
        <f>+VLOOKUP(B880,PRORRATEO!A:M,13,0)</f>
        <v>0.95919708029197082</v>
      </c>
      <c r="U880" t="s">
        <v>741</v>
      </c>
    </row>
    <row r="881" spans="1:21" x14ac:dyDescent="0.35">
      <c r="B881" s="263">
        <v>1245150017</v>
      </c>
      <c r="C881" t="s">
        <v>77</v>
      </c>
      <c r="D881" s="324">
        <f>+O880</f>
        <v>17000000</v>
      </c>
      <c r="E881" t="s">
        <v>97</v>
      </c>
      <c r="F881" s="296">
        <v>40</v>
      </c>
      <c r="G881" s="318" t="str">
        <f>+CONCATENATE($G$7," RF ",G880," ",H880)</f>
        <v>"04-2026" RF T051  6638</v>
      </c>
      <c r="H881" s="252"/>
      <c r="I881" s="312">
        <f>+H880</f>
        <v>6638</v>
      </c>
      <c r="J881" s="350"/>
      <c r="K881" s="335"/>
      <c r="N881" s="336"/>
    </row>
    <row r="882" spans="1:21" x14ac:dyDescent="0.35">
      <c r="B882" s="263">
        <v>1149120011</v>
      </c>
      <c r="C882" t="s">
        <v>96</v>
      </c>
      <c r="D882" s="324">
        <f>-Q880</f>
        <v>-131793.4306569343</v>
      </c>
      <c r="E882" t="s">
        <v>97</v>
      </c>
      <c r="F882" s="296">
        <v>50</v>
      </c>
      <c r="G882" s="318" t="str">
        <f>+G881</f>
        <v>"04-2026" RF T051  6638</v>
      </c>
      <c r="H882" s="252"/>
      <c r="I882" s="312">
        <f>+I881</f>
        <v>6638</v>
      </c>
      <c r="J882" s="350"/>
    </row>
    <row r="883" spans="1:21" x14ac:dyDescent="0.35">
      <c r="B883" s="263">
        <v>1149120011</v>
      </c>
      <c r="C883" t="s">
        <v>96</v>
      </c>
      <c r="D883" s="324">
        <f>-D882</f>
        <v>131793.4306569343</v>
      </c>
      <c r="E883" t="s">
        <v>98</v>
      </c>
      <c r="F883" s="296">
        <v>40</v>
      </c>
      <c r="G883" s="318" t="str">
        <f>+G882</f>
        <v>"04-2026" RF T051  6638</v>
      </c>
      <c r="H883" s="252"/>
      <c r="I883" s="312">
        <f>+I882</f>
        <v>6638</v>
      </c>
      <c r="J883" s="350"/>
    </row>
    <row r="884" spans="1:21" x14ac:dyDescent="0.35">
      <c r="B884" s="4">
        <v>1149120011</v>
      </c>
      <c r="C884" t="s">
        <v>96</v>
      </c>
      <c r="D884" s="324">
        <f>+P880</f>
        <v>3230000</v>
      </c>
      <c r="E884" t="s">
        <v>97</v>
      </c>
      <c r="G884" s="318" t="str">
        <f>+G883</f>
        <v>"04-2026" RF T051  6638</v>
      </c>
      <c r="H884" s="252"/>
      <c r="J884" s="350"/>
    </row>
    <row r="885" spans="1:21" x14ac:dyDescent="0.35">
      <c r="B885" s="4">
        <v>1246125027</v>
      </c>
      <c r="C885" t="s">
        <v>962</v>
      </c>
      <c r="D885" s="332">
        <f>-D881*J885</f>
        <v>-594999.84397192963</v>
      </c>
      <c r="E885"/>
      <c r="G885" s="318" t="str">
        <f>+G884</f>
        <v>"04-2026" RF T051  6638</v>
      </c>
      <c r="H885" s="252"/>
      <c r="I885" s="206" t="s">
        <v>857</v>
      </c>
      <c r="J885" s="352">
        <v>3.4999990821878213E-2</v>
      </c>
    </row>
    <row r="886" spans="1:21" x14ac:dyDescent="0.35">
      <c r="C886" s="251" t="s">
        <v>76</v>
      </c>
      <c r="D886" s="265">
        <f>SUBTOTAL(9,D881:D885)</f>
        <v>19635000.15602807</v>
      </c>
      <c r="E886"/>
      <c r="G886" s="318" t="str">
        <f>+G885</f>
        <v>"04-2026" RF T051  6638</v>
      </c>
      <c r="H886" s="252"/>
      <c r="J886" s="350"/>
    </row>
    <row r="887" spans="1:21" x14ac:dyDescent="0.35">
      <c r="A887" s="130" t="s">
        <v>853</v>
      </c>
      <c r="B887" s="14">
        <v>206169</v>
      </c>
      <c r="C887" s="15" t="s">
        <v>30</v>
      </c>
      <c r="E887"/>
      <c r="G887" s="276" t="s">
        <v>376</v>
      </c>
      <c r="H887" s="257">
        <v>8583</v>
      </c>
      <c r="J887" s="515">
        <f>+VLOOKUP(H887,contratos!A:R,5,0)</f>
        <v>42370</v>
      </c>
      <c r="K887" s="266" t="str">
        <f>+VLOOKUP(H887,contratos!A:R,12,0)</f>
        <v>VENCIDO</v>
      </c>
      <c r="L887" s="341" t="str">
        <f>+VLOOKUP(H887,contratos!A:R,13,0)</f>
        <v>CESADO</v>
      </c>
      <c r="M887" s="341">
        <f>+VLOOKUP(H887,contratos!A:R,15,0)</f>
        <v>0</v>
      </c>
      <c r="N887" s="336">
        <f>+VLOOKUP(H887,contratos!A:R,16,0)</f>
        <v>0</v>
      </c>
      <c r="O887" s="341">
        <f>+VLOOKUP(B887,PRORRATEO!A:M,8,0)</f>
        <v>9715141</v>
      </c>
      <c r="P887" s="341">
        <f>+VLOOKUP(B887,PRORRATEO!A:M,9,0)</f>
        <v>1845876.79</v>
      </c>
      <c r="Q887" s="341">
        <f>+VLOOKUP(B887,PRORRATEO!A:M,10,0)</f>
        <v>177204.17184</v>
      </c>
      <c r="R887" s="341">
        <f>+VLOOKUP(B887,PRORRATEO!A:M,11,0)</f>
        <v>1668672.6181600001</v>
      </c>
      <c r="S887" s="339">
        <f>+VLOOKUP(B887,PRORRATEO!A:M,12,0)</f>
        <v>9.6000000000000002E-2</v>
      </c>
      <c r="T887" s="339">
        <f>+VLOOKUP(B887,PRORRATEO!A:M,13,0)</f>
        <v>0.90400000000000003</v>
      </c>
      <c r="U887" t="s">
        <v>30</v>
      </c>
    </row>
    <row r="888" spans="1:21" x14ac:dyDescent="0.35">
      <c r="B888" s="250">
        <v>1245150017</v>
      </c>
      <c r="C888" s="274" t="s">
        <v>77</v>
      </c>
      <c r="D888" s="268">
        <v>5381364</v>
      </c>
      <c r="E888" s="263" t="s">
        <v>97</v>
      </c>
      <c r="G888" s="318" t="str">
        <f>+CONCATENATE($G$7," RF ",G887," ",H887)</f>
        <v>"04-2026" RF T105 8583</v>
      </c>
      <c r="H888" s="252"/>
      <c r="I888" s="312">
        <f>+H887</f>
        <v>8583</v>
      </c>
      <c r="J888" s="515"/>
      <c r="K888" s="335"/>
      <c r="N888" s="336"/>
    </row>
    <row r="889" spans="1:21" x14ac:dyDescent="0.35">
      <c r="B889" s="263">
        <v>1149120011</v>
      </c>
      <c r="C889" s="274" t="s">
        <v>96</v>
      </c>
      <c r="D889" s="328">
        <f>+D888*0.19</f>
        <v>1022459.16</v>
      </c>
      <c r="E889" s="263" t="s">
        <v>98</v>
      </c>
      <c r="G889" s="318" t="str">
        <f>+G888</f>
        <v>"04-2026" RF T105 8583</v>
      </c>
      <c r="H889" s="252"/>
      <c r="I889" s="312">
        <f>+I888</f>
        <v>8583</v>
      </c>
      <c r="J889" s="515"/>
    </row>
    <row r="890" spans="1:21" x14ac:dyDescent="0.35">
      <c r="C890" s="251" t="s">
        <v>76</v>
      </c>
      <c r="D890" s="332">
        <f>SUM(D888:D889)</f>
        <v>6403823.1600000001</v>
      </c>
      <c r="E890"/>
      <c r="G890" s="318" t="str">
        <f>+G889</f>
        <v>"04-2026" RF T105 8583</v>
      </c>
      <c r="H890" s="252"/>
      <c r="J890" s="515"/>
    </row>
    <row r="891" spans="1:21" x14ac:dyDescent="0.35">
      <c r="A891" s="130" t="s">
        <v>853</v>
      </c>
      <c r="B891" s="14">
        <v>209672</v>
      </c>
      <c r="C891" s="15" t="s">
        <v>833</v>
      </c>
      <c r="D891" s="265"/>
      <c r="E891"/>
      <c r="G891" s="276" t="s">
        <v>436</v>
      </c>
      <c r="H891" s="257">
        <v>9102</v>
      </c>
      <c r="J891" s="350">
        <f>+VLOOKUP(H891,contratos!A:R,5,0)</f>
        <v>45870</v>
      </c>
      <c r="K891" s="266" t="str">
        <f>+VLOOKUP(H891,contratos!A:R,12,0)</f>
        <v>OK</v>
      </c>
      <c r="L891" s="341" t="str">
        <f>+VLOOKUP(H891,contratos!A:R,13,0)</f>
        <v>VIGENTE</v>
      </c>
      <c r="M891" s="341">
        <f>+VLOOKUP(H891,contratos!A:R,15,0)</f>
        <v>0</v>
      </c>
      <c r="N891" s="336">
        <f>+VLOOKUP(H891,contratos!A:R,16,0)</f>
        <v>0</v>
      </c>
      <c r="O891" s="341">
        <f>+VLOOKUP(B891,PRORRATEO!A:M,8,0)</f>
        <v>93440962</v>
      </c>
      <c r="P891" s="341">
        <f>+VLOOKUP(B891,PRORRATEO!A:M,9,0)</f>
        <v>17753782.780000001</v>
      </c>
      <c r="Q891" s="341">
        <f>+VLOOKUP(B891,PRORRATEO!A:M,10,0)</f>
        <v>1136242.0979200001</v>
      </c>
      <c r="R891" s="341">
        <f>+VLOOKUP(B891,PRORRATEO!A:M,11,0)</f>
        <v>16617540.682080003</v>
      </c>
      <c r="S891" s="339">
        <f>+VLOOKUP(B891,PRORRATEO!A:M,12,0)</f>
        <v>6.4000000000000001E-2</v>
      </c>
      <c r="T891" s="339">
        <f>+VLOOKUP(B891,PRORRATEO!A:M,13,0)</f>
        <v>0.93600000000000005</v>
      </c>
      <c r="U891" t="s">
        <v>833</v>
      </c>
    </row>
    <row r="892" spans="1:21" x14ac:dyDescent="0.35">
      <c r="B892" s="263">
        <v>1245150017</v>
      </c>
      <c r="C892" s="274" t="s">
        <v>77</v>
      </c>
      <c r="D892" s="268">
        <f>+O891</f>
        <v>93440962</v>
      </c>
      <c r="E892" s="263" t="s">
        <v>97</v>
      </c>
      <c r="F892">
        <v>40</v>
      </c>
      <c r="G892" s="318" t="str">
        <f>+CONCATENATE($G$7," RF ",G891," ",H891)</f>
        <v>"04-2026" RF T126 9102</v>
      </c>
      <c r="H892" s="252"/>
      <c r="I892" s="312">
        <f>+H891</f>
        <v>9102</v>
      </c>
      <c r="J892" s="350"/>
    </row>
    <row r="893" spans="1:21" x14ac:dyDescent="0.35">
      <c r="B893" s="263">
        <v>1149120011</v>
      </c>
      <c r="C893" s="274" t="s">
        <v>96</v>
      </c>
      <c r="D893" s="298">
        <f>-Q891</f>
        <v>-1136242.0979200001</v>
      </c>
      <c r="E893" s="263" t="s">
        <v>97</v>
      </c>
      <c r="F893">
        <v>50</v>
      </c>
      <c r="G893" s="318" t="str">
        <f t="shared" ref="G893:G898" si="42">+G892</f>
        <v>"04-2026" RF T126 9102</v>
      </c>
      <c r="H893" s="252"/>
      <c r="I893" s="312">
        <f>+I892</f>
        <v>9102</v>
      </c>
      <c r="J893" s="350"/>
    </row>
    <row r="894" spans="1:21" x14ac:dyDescent="0.35">
      <c r="B894" s="263">
        <v>1149120011</v>
      </c>
      <c r="C894" s="274" t="s">
        <v>96</v>
      </c>
      <c r="D894" s="268">
        <f>-D893</f>
        <v>1136242.0979200001</v>
      </c>
      <c r="E894" s="263" t="s">
        <v>98</v>
      </c>
      <c r="F894">
        <v>40</v>
      </c>
      <c r="G894" s="318" t="str">
        <f t="shared" si="42"/>
        <v>"04-2026" RF T126 9102</v>
      </c>
      <c r="H894" s="252"/>
      <c r="I894" s="312">
        <f>+I893</f>
        <v>9102</v>
      </c>
      <c r="J894" s="350"/>
    </row>
    <row r="895" spans="1:21" x14ac:dyDescent="0.35">
      <c r="B895" s="4">
        <v>1149120011</v>
      </c>
      <c r="C895" s="274" t="s">
        <v>96</v>
      </c>
      <c r="D895" s="268">
        <f>+P891</f>
        <v>17753782.780000001</v>
      </c>
      <c r="E895" t="s">
        <v>97</v>
      </c>
      <c r="F895">
        <v>40</v>
      </c>
      <c r="G895" s="318" t="str">
        <f t="shared" si="42"/>
        <v>"04-2026" RF T126 9102</v>
      </c>
      <c r="H895" s="252"/>
      <c r="I895" s="312">
        <f>+I894</f>
        <v>9102</v>
      </c>
      <c r="J895" s="10"/>
    </row>
    <row r="896" spans="1:21" x14ac:dyDescent="0.35">
      <c r="B896" s="4">
        <v>1249100024</v>
      </c>
      <c r="C896" s="274" t="s">
        <v>981</v>
      </c>
      <c r="D896" s="268">
        <f>-D892*J896</f>
        <v>-902643.78386370407</v>
      </c>
      <c r="E896"/>
      <c r="F896">
        <v>50</v>
      </c>
      <c r="G896" s="318" t="str">
        <f t="shared" si="42"/>
        <v>"04-2026" RF T126 9102</v>
      </c>
      <c r="H896" s="252"/>
      <c r="I896" s="206">
        <v>1</v>
      </c>
      <c r="J896" s="352">
        <v>9.6600437810529394E-3</v>
      </c>
    </row>
    <row r="897" spans="1:21" x14ac:dyDescent="0.35">
      <c r="B897" s="4">
        <v>1246125027</v>
      </c>
      <c r="C897" s="274" t="s">
        <v>962</v>
      </c>
      <c r="D897" s="268">
        <f>-D892*J897</f>
        <v>-3270432.8123874711</v>
      </c>
      <c r="E897"/>
      <c r="F897">
        <v>50</v>
      </c>
      <c r="G897" s="318" t="str">
        <f t="shared" si="42"/>
        <v>"04-2026" RF T126 9102</v>
      </c>
      <c r="H897" s="252"/>
      <c r="I897" s="206" t="s">
        <v>857</v>
      </c>
      <c r="J897" s="352">
        <v>3.4999990821878213E-2</v>
      </c>
    </row>
    <row r="898" spans="1:21" x14ac:dyDescent="0.35">
      <c r="C898" s="275" t="s">
        <v>76</v>
      </c>
      <c r="D898" s="265">
        <f>SUBTOTAL(9,D892:D897)</f>
        <v>107021668.18374883</v>
      </c>
      <c r="E898"/>
      <c r="G898" s="318" t="str">
        <f t="shared" si="42"/>
        <v>"04-2026" RF T126 9102</v>
      </c>
      <c r="H898" s="252"/>
      <c r="J898" s="350"/>
    </row>
    <row r="899" spans="1:21" x14ac:dyDescent="0.35">
      <c r="A899" s="130" t="s">
        <v>853</v>
      </c>
      <c r="B899" s="14">
        <v>2110010</v>
      </c>
      <c r="C899" s="15" t="s">
        <v>1044</v>
      </c>
      <c r="E899"/>
      <c r="G899" s="276" t="s">
        <v>1146</v>
      </c>
      <c r="H899" s="257">
        <v>9058</v>
      </c>
      <c r="I899" s="10" t="s">
        <v>1045</v>
      </c>
      <c r="J899" s="350">
        <f>+VLOOKUP(H899,contratos!A:R,5,0)</f>
        <v>42887</v>
      </c>
      <c r="K899" s="266" t="str">
        <f>+VLOOKUP(H899,contratos!A:R,12,0)</f>
        <v>OK</v>
      </c>
      <c r="L899" s="341" t="str">
        <f>+VLOOKUP(H899,contratos!A:R,13,0)</f>
        <v>VIGENTE</v>
      </c>
      <c r="M899" s="341">
        <f>+VLOOKUP(H899,contratos!A:R,15,0)</f>
        <v>0</v>
      </c>
      <c r="N899" s="336">
        <f>+VLOOKUP(H899,contratos!A:R,16,0)</f>
        <v>0</v>
      </c>
      <c r="O899" s="341">
        <f>+VLOOKUP(H899,PRORRATEO!F:M,3,0)</f>
        <v>33947300</v>
      </c>
      <c r="P899" s="341">
        <f>+VLOOKUP(H899,PRORRATEO!F:M,4,0)</f>
        <v>6449987</v>
      </c>
      <c r="Q899" s="341">
        <f>+VLOOKUP(H899,PRORRATEO!F:M,5,0)</f>
        <v>6449987</v>
      </c>
      <c r="R899" s="341">
        <f>+VLOOKUP(H899,PRORRATEO!F:M,6,0)</f>
        <v>0</v>
      </c>
      <c r="S899" s="339">
        <f>+VLOOKUP(H899,PRORRATEO!F:M,7,0)</f>
        <v>1</v>
      </c>
      <c r="T899" s="339">
        <f>+VLOOKUP(H899,PRORRATEO!F:M,8,0)</f>
        <v>0</v>
      </c>
      <c r="U899" t="s">
        <v>648</v>
      </c>
    </row>
    <row r="900" spans="1:21" x14ac:dyDescent="0.35">
      <c r="B900" s="263">
        <v>1245150017</v>
      </c>
      <c r="C900" s="10" t="s">
        <v>77</v>
      </c>
      <c r="D900" s="268">
        <v>1085289</v>
      </c>
      <c r="E900" t="s">
        <v>97</v>
      </c>
      <c r="F900" s="263">
        <v>40</v>
      </c>
      <c r="G900" s="318" t="str">
        <f>+CONCATENATE($G$7," RF ",G899," ",H899)</f>
        <v>"04-2026" RF TSGH601 9058</v>
      </c>
      <c r="H900" s="252"/>
      <c r="I900" s="312">
        <f>+H899</f>
        <v>9058</v>
      </c>
      <c r="J900" s="350"/>
    </row>
    <row r="901" spans="1:21" x14ac:dyDescent="0.35">
      <c r="B901" s="263">
        <v>1245150017</v>
      </c>
      <c r="C901" s="10" t="s">
        <v>77</v>
      </c>
      <c r="D901" s="268">
        <v>33947300</v>
      </c>
      <c r="E901" t="s">
        <v>98</v>
      </c>
      <c r="F901" s="263">
        <v>40</v>
      </c>
      <c r="G901" s="318" t="str">
        <f>+G900</f>
        <v>"04-2026" RF TSGH601 9058</v>
      </c>
      <c r="H901" s="252"/>
      <c r="I901" s="312">
        <f>+I900</f>
        <v>9058</v>
      </c>
      <c r="J901" s="350"/>
      <c r="K901" s="240" t="s">
        <v>1274</v>
      </c>
    </row>
    <row r="902" spans="1:21" x14ac:dyDescent="0.35">
      <c r="B902" s="263">
        <v>1532002509</v>
      </c>
      <c r="C902" s="10" t="s">
        <v>1194</v>
      </c>
      <c r="D902" s="268">
        <v>3900</v>
      </c>
      <c r="E902" t="s">
        <v>97</v>
      </c>
      <c r="F902" s="263">
        <v>40</v>
      </c>
      <c r="G902" s="318" t="str">
        <f>+G901</f>
        <v>"04-2026" RF TSGH601 9058</v>
      </c>
      <c r="H902" s="252"/>
      <c r="I902" s="312">
        <f>+I901</f>
        <v>9058</v>
      </c>
      <c r="J902" s="350"/>
      <c r="K902" s="432">
        <f>+D901+D900</f>
        <v>35032589</v>
      </c>
    </row>
    <row r="903" spans="1:21" x14ac:dyDescent="0.35">
      <c r="B903" s="4">
        <v>1149120011</v>
      </c>
      <c r="C903" s="10" t="s">
        <v>96</v>
      </c>
      <c r="D903" s="268">
        <f>+D901*0.19</f>
        <v>6449987</v>
      </c>
      <c r="E903" s="16" t="s">
        <v>98</v>
      </c>
      <c r="F903">
        <v>40</v>
      </c>
      <c r="G903" s="318" t="str">
        <f>+G901</f>
        <v>"04-2026" RF TSGH601 9058</v>
      </c>
      <c r="H903" s="252"/>
      <c r="I903" s="312">
        <f>+I901</f>
        <v>9058</v>
      </c>
      <c r="J903" s="350"/>
    </row>
    <row r="904" spans="1:21" x14ac:dyDescent="0.35">
      <c r="B904" s="4">
        <v>1249100024</v>
      </c>
      <c r="C904" s="10" t="s">
        <v>981</v>
      </c>
      <c r="D904" s="298">
        <f>-J904*(D901+D900)</f>
        <v>-338415.2567763892</v>
      </c>
      <c r="E904"/>
      <c r="F904">
        <v>50</v>
      </c>
      <c r="G904" s="318" t="str">
        <f>+G903</f>
        <v>"04-2026" RF TSGH601 9058</v>
      </c>
      <c r="H904" s="252"/>
      <c r="I904" s="312" t="s">
        <v>963</v>
      </c>
      <c r="J904" s="352">
        <v>9.6600127605866986E-3</v>
      </c>
      <c r="K904" s="312"/>
    </row>
    <row r="905" spans="1:21" x14ac:dyDescent="0.35">
      <c r="B905" s="4">
        <v>1246125027</v>
      </c>
      <c r="C905" s="10" t="s">
        <v>962</v>
      </c>
      <c r="D905" s="298">
        <f>-J905*(D901+D900)</f>
        <v>-1226140.5729220267</v>
      </c>
      <c r="E905" s="16"/>
      <c r="F905">
        <v>50</v>
      </c>
      <c r="G905" s="318" t="str">
        <f>+G904</f>
        <v>"04-2026" RF TSGH601 9058</v>
      </c>
      <c r="H905" s="252"/>
      <c r="I905" s="350" t="s">
        <v>857</v>
      </c>
      <c r="J905" s="352">
        <v>3.4999998798890562E-2</v>
      </c>
      <c r="K905" s="350"/>
    </row>
    <row r="906" spans="1:21" x14ac:dyDescent="0.35">
      <c r="C906" s="251" t="s">
        <v>76</v>
      </c>
      <c r="D906" s="265">
        <f>SUBTOTAL(9,D900:D905)</f>
        <v>39921920.170301579</v>
      </c>
      <c r="E906"/>
      <c r="F906" s="16"/>
      <c r="G906" s="318" t="str">
        <f>+G905</f>
        <v>"04-2026" RF TSGH601 9058</v>
      </c>
      <c r="H906" s="252"/>
      <c r="J906" s="377">
        <f>1188156/D901</f>
        <v>3.5000014728711858E-2</v>
      </c>
    </row>
    <row r="907" spans="1:21" x14ac:dyDescent="0.35">
      <c r="A907" s="130" t="s">
        <v>1046</v>
      </c>
      <c r="B907" s="14" t="s">
        <v>1202</v>
      </c>
      <c r="C907" s="15" t="s">
        <v>1047</v>
      </c>
      <c r="E907"/>
      <c r="G907" s="276" t="s">
        <v>458</v>
      </c>
      <c r="H907" s="257">
        <v>9458</v>
      </c>
      <c r="J907" s="350">
        <f>+VLOOKUP(H907,contratos!A:R,5,0)</f>
        <v>45429</v>
      </c>
      <c r="K907" s="266" t="str">
        <f>+VLOOKUP(H907,contratos!A:R,12,0)</f>
        <v>OK</v>
      </c>
      <c r="L907" s="341" t="str">
        <f>+VLOOKUP(H907,contratos!A:R,13,0)</f>
        <v>VIGENTE</v>
      </c>
      <c r="M907" s="341">
        <f>+VLOOKUP(H907,contratos!A:R,15,0)</f>
        <v>0</v>
      </c>
      <c r="N907" s="336">
        <f>+VLOOKUP(H907,contratos!A:R,16,0)</f>
        <v>0</v>
      </c>
      <c r="O907" s="341">
        <f>+VLOOKUP(H907,PRORRATEO!F:M,3,0)</f>
        <v>16289886</v>
      </c>
      <c r="P907" s="341">
        <f>+VLOOKUP(H907,PRORRATEO!F:M,4,0)</f>
        <v>3095078.34</v>
      </c>
      <c r="Q907" s="341">
        <f>+VLOOKUP(H907,PRORRATEO!F:M,5,0)</f>
        <v>207370.24877999999</v>
      </c>
      <c r="R907" s="341">
        <f>+VLOOKUP(H907,PRORRATEO!F:M,6,0)</f>
        <v>2887708.0912199998</v>
      </c>
      <c r="S907" s="339">
        <f>+VLOOKUP(H907,PRORRATEO!F:M,7,0)</f>
        <v>6.7000000000000004E-2</v>
      </c>
      <c r="T907" s="339">
        <f>+VLOOKUP(H907,PRORRATEO!F:M,8,0)</f>
        <v>0.93300000000000005</v>
      </c>
      <c r="U907" t="s">
        <v>843</v>
      </c>
    </row>
    <row r="908" spans="1:21" x14ac:dyDescent="0.35">
      <c r="B908" s="263">
        <v>1537210002</v>
      </c>
      <c r="C908" s="10" t="s">
        <v>1015</v>
      </c>
      <c r="D908" s="268">
        <v>1836767</v>
      </c>
      <c r="E908" s="263" t="s">
        <v>80</v>
      </c>
      <c r="F908">
        <v>40</v>
      </c>
      <c r="G908" s="318" t="str">
        <f>+CONCATENATE($G$7," GC ",G907," ",H907)</f>
        <v>"04-2026" GC T131 9458</v>
      </c>
      <c r="H908" s="252"/>
      <c r="I908" s="312">
        <f>+H907</f>
        <v>9458</v>
      </c>
      <c r="J908" s="350"/>
    </row>
    <row r="909" spans="1:21" x14ac:dyDescent="0.35">
      <c r="B909" s="263">
        <v>1245150017</v>
      </c>
      <c r="C909" s="10" t="s">
        <v>77</v>
      </c>
      <c r="D909" s="268">
        <f>+O907</f>
        <v>16289886</v>
      </c>
      <c r="E909" s="263" t="s">
        <v>97</v>
      </c>
      <c r="F909">
        <v>40</v>
      </c>
      <c r="G909" s="318" t="str">
        <f t="shared" ref="G909:G915" si="43">+G908</f>
        <v>"04-2026" GC T131 9458</v>
      </c>
      <c r="H909" s="252"/>
      <c r="I909" s="312">
        <f t="shared" ref="I909:I914" si="44">+I908</f>
        <v>9458</v>
      </c>
      <c r="J909" s="350"/>
    </row>
    <row r="910" spans="1:21" x14ac:dyDescent="0.35">
      <c r="B910" s="263">
        <v>1149120011</v>
      </c>
      <c r="C910" s="10" t="s">
        <v>96</v>
      </c>
      <c r="D910" s="268">
        <f>+R907</f>
        <v>2887708.0912199998</v>
      </c>
      <c r="E910" s="263" t="s">
        <v>98</v>
      </c>
      <c r="F910">
        <v>40</v>
      </c>
      <c r="G910" s="318" t="str">
        <f t="shared" si="43"/>
        <v>"04-2026" GC T131 9458</v>
      </c>
      <c r="H910" s="252"/>
      <c r="I910" s="312">
        <f t="shared" si="44"/>
        <v>9458</v>
      </c>
      <c r="J910" s="350"/>
    </row>
    <row r="911" spans="1:21" x14ac:dyDescent="0.35">
      <c r="B911" s="263">
        <v>1149120011</v>
      </c>
      <c r="C911" s="10" t="s">
        <v>96</v>
      </c>
      <c r="D911" s="268">
        <f>+D910</f>
        <v>2887708.0912199998</v>
      </c>
      <c r="E911" s="263" t="s">
        <v>97</v>
      </c>
      <c r="F911">
        <v>50</v>
      </c>
      <c r="G911" s="318" t="str">
        <f t="shared" si="43"/>
        <v>"04-2026" GC T131 9458</v>
      </c>
      <c r="H911" s="252"/>
      <c r="I911" s="312">
        <f t="shared" si="44"/>
        <v>9458</v>
      </c>
      <c r="J911" s="350"/>
    </row>
    <row r="912" spans="1:21" x14ac:dyDescent="0.35">
      <c r="B912" s="4">
        <v>1149120011</v>
      </c>
      <c r="C912" s="10" t="s">
        <v>96</v>
      </c>
      <c r="D912" s="298">
        <f>+P907</f>
        <v>3095078.34</v>
      </c>
      <c r="E912" t="s">
        <v>97</v>
      </c>
      <c r="F912">
        <v>40</v>
      </c>
      <c r="G912" s="318" t="str">
        <f t="shared" si="43"/>
        <v>"04-2026" GC T131 9458</v>
      </c>
      <c r="H912" s="252"/>
      <c r="I912" s="312">
        <f t="shared" si="44"/>
        <v>9458</v>
      </c>
      <c r="J912" s="350"/>
    </row>
    <row r="913" spans="1:21" x14ac:dyDescent="0.35">
      <c r="B913" s="4">
        <v>1249100024</v>
      </c>
      <c r="C913" s="10" t="s">
        <v>981</v>
      </c>
      <c r="D913" s="268">
        <f>-D909*K913</f>
        <v>-157360.29876000001</v>
      </c>
      <c r="E913"/>
      <c r="F913">
        <v>50</v>
      </c>
      <c r="G913" s="318" t="str">
        <f t="shared" si="43"/>
        <v>"04-2026" GC T131 9458</v>
      </c>
      <c r="H913" s="252"/>
      <c r="I913" s="312">
        <f t="shared" si="44"/>
        <v>9458</v>
      </c>
      <c r="J913" s="319">
        <v>1</v>
      </c>
      <c r="K913" s="447">
        <v>9.6600000000000002E-3</v>
      </c>
    </row>
    <row r="914" spans="1:21" x14ac:dyDescent="0.35">
      <c r="B914" s="4">
        <v>1246125027</v>
      </c>
      <c r="C914" s="10" t="s">
        <v>962</v>
      </c>
      <c r="D914" s="268">
        <f>-D909*K914</f>
        <v>-570146.01</v>
      </c>
      <c r="E914"/>
      <c r="F914">
        <v>50</v>
      </c>
      <c r="G914" s="318" t="str">
        <f t="shared" si="43"/>
        <v>"04-2026" GC T131 9458</v>
      </c>
      <c r="H914" s="252"/>
      <c r="I914" s="312">
        <f t="shared" si="44"/>
        <v>9458</v>
      </c>
      <c r="J914" s="387" t="s">
        <v>857</v>
      </c>
      <c r="K914" s="339">
        <v>3.5000000000000003E-2</v>
      </c>
    </row>
    <row r="915" spans="1:21" x14ac:dyDescent="0.35">
      <c r="C915" s="251" t="s">
        <v>76</v>
      </c>
      <c r="D915" s="265">
        <f>+D908+D909+D912+D910-D911+D913+D914</f>
        <v>20494225.031239998</v>
      </c>
      <c r="E915"/>
      <c r="G915" s="318" t="str">
        <f t="shared" si="43"/>
        <v>"04-2026" GC T131 9458</v>
      </c>
      <c r="H915" s="252"/>
      <c r="J915" s="350"/>
    </row>
    <row r="916" spans="1:21" x14ac:dyDescent="0.35">
      <c r="A916" s="130" t="s">
        <v>1046</v>
      </c>
      <c r="B916" s="14" t="s">
        <v>1202</v>
      </c>
      <c r="C916" s="15" t="s">
        <v>1047</v>
      </c>
      <c r="E916"/>
      <c r="G916" s="276" t="s">
        <v>1147</v>
      </c>
      <c r="H916" s="257">
        <v>6632</v>
      </c>
      <c r="J916" s="350">
        <f>+VLOOKUP(H916,contratos!A:R,5,0)</f>
        <v>42622</v>
      </c>
      <c r="K916" s="266" t="str">
        <f>+VLOOKUP(H916,contratos!A:R,12,0)</f>
        <v>N/A</v>
      </c>
      <c r="L916" s="341" t="str">
        <f>+VLOOKUP(H916,contratos!A:R,13,0)</f>
        <v>REEMPLAZO 5-129</v>
      </c>
      <c r="M916" s="341">
        <f>+VLOOKUP(H916,contratos!A:R,15,0)</f>
        <v>0</v>
      </c>
      <c r="N916" s="336">
        <f>+VLOOKUP(H916,contratos!A:R,16,0)</f>
        <v>0</v>
      </c>
      <c r="O916" s="341">
        <f>+VLOOKUP(H916,PRORRATEO!F:M,3,0)</f>
        <v>25832541</v>
      </c>
      <c r="P916" s="341">
        <f>+VLOOKUP(H916,PRORRATEO!F:M,4,0)</f>
        <v>4908182.79</v>
      </c>
      <c r="Q916" s="341">
        <f>+VLOOKUP(H916,PRORRATEO!F:M,5,0)</f>
        <v>389888.62090827333</v>
      </c>
      <c r="R916" s="341">
        <f>+VLOOKUP(H916,PRORRATEO!F:M,6,0)</f>
        <v>4518294.1690917267</v>
      </c>
      <c r="S916" s="339">
        <f>+VLOOKUP(H916,PRORRATEO!F:M,7,0)</f>
        <v>7.9436450839328529E-2</v>
      </c>
      <c r="T916" s="339">
        <f>+VLOOKUP(H916,PRORRATEO!F:M,8,0)</f>
        <v>0.9205635491606714</v>
      </c>
      <c r="U916" t="s">
        <v>460</v>
      </c>
    </row>
    <row r="917" spans="1:21" x14ac:dyDescent="0.35">
      <c r="B917" s="263">
        <v>1537210002</v>
      </c>
      <c r="C917" s="10" t="s">
        <v>1015</v>
      </c>
      <c r="D917" s="268">
        <v>1185287</v>
      </c>
      <c r="E917" s="263" t="s">
        <v>80</v>
      </c>
      <c r="F917">
        <v>40</v>
      </c>
      <c r="G917" s="318" t="str">
        <f>+CONCATENATE($G$7," GC ",G916," ",H916)</f>
        <v>"04-2026" GC T47  6632</v>
      </c>
      <c r="H917" s="252"/>
      <c r="I917" s="312">
        <f>+H916</f>
        <v>6632</v>
      </c>
      <c r="J917" s="350"/>
    </row>
    <row r="918" spans="1:21" x14ac:dyDescent="0.35">
      <c r="B918" s="263">
        <v>1245150017</v>
      </c>
      <c r="C918" s="10" t="s">
        <v>77</v>
      </c>
      <c r="D918" s="268">
        <f>+O916</f>
        <v>25832541</v>
      </c>
      <c r="E918" s="263" t="s">
        <v>97</v>
      </c>
      <c r="F918">
        <v>40</v>
      </c>
      <c r="G918" s="318" t="str">
        <f>+G917</f>
        <v>"04-2026" GC T47  6632</v>
      </c>
      <c r="H918" s="252"/>
      <c r="I918" s="312">
        <f t="shared" ref="I918:I924" si="45">+I917</f>
        <v>6632</v>
      </c>
      <c r="J918" s="350"/>
    </row>
    <row r="919" spans="1:21" x14ac:dyDescent="0.35">
      <c r="B919" s="263">
        <v>1149120011</v>
      </c>
      <c r="C919" s="10" t="s">
        <v>96</v>
      </c>
      <c r="D919" s="268">
        <f>+Q916</f>
        <v>389888.62090827333</v>
      </c>
      <c r="E919" s="263" t="s">
        <v>98</v>
      </c>
      <c r="F919">
        <v>40</v>
      </c>
      <c r="G919" s="318" t="str">
        <f>+CONCATENATE($G$7," RF/GC ",G916," ",H916)</f>
        <v>"04-2026" RF/GC T47  6632</v>
      </c>
      <c r="H919" s="252"/>
      <c r="I919" s="312">
        <f t="shared" si="45"/>
        <v>6632</v>
      </c>
      <c r="J919" s="350"/>
    </row>
    <row r="920" spans="1:21" x14ac:dyDescent="0.35">
      <c r="B920" s="263">
        <v>1149120011</v>
      </c>
      <c r="C920" s="10" t="s">
        <v>96</v>
      </c>
      <c r="D920" s="268">
        <f>+D919</f>
        <v>389888.62090827333</v>
      </c>
      <c r="E920" s="263" t="s">
        <v>97</v>
      </c>
      <c r="F920">
        <v>50</v>
      </c>
      <c r="G920" s="318" t="str">
        <f>+CONCATENATE($G$7," RF/GC ",G916," ",H916)</f>
        <v>"04-2026" RF/GC T47  6632</v>
      </c>
      <c r="H920" s="252"/>
      <c r="I920" s="312">
        <f t="shared" si="45"/>
        <v>6632</v>
      </c>
      <c r="J920" s="350"/>
    </row>
    <row r="921" spans="1:21" x14ac:dyDescent="0.35">
      <c r="B921" s="4">
        <v>1149120011</v>
      </c>
      <c r="C921" s="10" t="s">
        <v>96</v>
      </c>
      <c r="D921" s="268">
        <f>+D918*0.19</f>
        <v>4908182.79</v>
      </c>
      <c r="E921" t="s">
        <v>97</v>
      </c>
      <c r="F921">
        <v>40</v>
      </c>
      <c r="G921" s="318" t="str">
        <f>+CONCATENATE($G$7," RF/GC ",G916," ",H916)</f>
        <v>"04-2026" RF/GC T47  6632</v>
      </c>
      <c r="H921" s="252"/>
      <c r="I921" s="312">
        <f t="shared" si="45"/>
        <v>6632</v>
      </c>
      <c r="J921" s="350"/>
    </row>
    <row r="922" spans="1:21" x14ac:dyDescent="0.35">
      <c r="B922" s="4">
        <v>1249100024</v>
      </c>
      <c r="C922" s="10" t="s">
        <v>981</v>
      </c>
      <c r="D922" s="268">
        <f>-D918*K922</f>
        <v>-249541.99034001378</v>
      </c>
      <c r="E922"/>
      <c r="F922">
        <v>50</v>
      </c>
      <c r="G922" s="318" t="str">
        <f>+CONCATENATE($G$7," RF/GC ",G916," ",H916)</f>
        <v>"04-2026" RF/GC T47  6632</v>
      </c>
      <c r="H922" s="252"/>
      <c r="I922" s="312">
        <f t="shared" si="45"/>
        <v>6632</v>
      </c>
      <c r="J922" s="206">
        <v>1</v>
      </c>
      <c r="K922" s="339">
        <v>9.6599862297717352E-3</v>
      </c>
    </row>
    <row r="923" spans="1:21" x14ac:dyDescent="0.35">
      <c r="B923" s="4">
        <v>1246125027</v>
      </c>
      <c r="C923" s="10" t="s">
        <v>962</v>
      </c>
      <c r="D923" s="268">
        <f>-D918*K923</f>
        <v>-904138.93500000006</v>
      </c>
      <c r="E923"/>
      <c r="F923">
        <v>50</v>
      </c>
      <c r="G923" s="318" t="str">
        <f>+CONCATENATE($G$7," RF/GC ",G916," ",H916)</f>
        <v>"04-2026" RF/GC T47  6632</v>
      </c>
      <c r="H923" s="252"/>
      <c r="I923" s="312">
        <f t="shared" si="45"/>
        <v>6632</v>
      </c>
      <c r="J923" s="387" t="s">
        <v>857</v>
      </c>
      <c r="K923" s="339">
        <v>3.5000000000000003E-2</v>
      </c>
    </row>
    <row r="924" spans="1:21" x14ac:dyDescent="0.35">
      <c r="C924" s="251" t="s">
        <v>76</v>
      </c>
      <c r="D924" s="265">
        <f>+D918+D917+D919-D920+D921+D922+D923</f>
        <v>30772329.864659987</v>
      </c>
      <c r="E924"/>
      <c r="G924" s="318" t="str">
        <f>+G923</f>
        <v>"04-2026" RF/GC T47  6632</v>
      </c>
      <c r="H924" s="252"/>
      <c r="I924" s="312">
        <f t="shared" si="45"/>
        <v>6632</v>
      </c>
      <c r="J924" s="350"/>
    </row>
    <row r="925" spans="1:21" x14ac:dyDescent="0.35">
      <c r="A925" s="130" t="s">
        <v>853</v>
      </c>
      <c r="B925" s="14" t="s">
        <v>1322</v>
      </c>
      <c r="C925" s="15" t="s">
        <v>1297</v>
      </c>
      <c r="E925"/>
      <c r="G925" s="276" t="s">
        <v>1148</v>
      </c>
      <c r="H925" s="257">
        <v>6688</v>
      </c>
      <c r="J925" s="350">
        <f>+VLOOKUP(H925,contratos!A:R,5,0)</f>
        <v>42736</v>
      </c>
      <c r="K925" s="266" t="str">
        <f>+VLOOKUP(H925,contratos!A:R,12,0)</f>
        <v>VENCIDO</v>
      </c>
      <c r="L925" s="341" t="str">
        <f>+VLOOKUP(H925,contratos!A:R,13,0)</f>
        <v>CESADO</v>
      </c>
      <c r="M925" s="341">
        <f>+VLOOKUP(H925,contratos!A:R,15,0)</f>
        <v>0</v>
      </c>
      <c r="N925" s="336">
        <f>+VLOOKUP(H925,contratos!A:R,16,0)</f>
        <v>0</v>
      </c>
      <c r="O925" s="341">
        <f>+VLOOKUP(H925,PRORRATEO!F:M,3,0)</f>
        <v>21214110</v>
      </c>
      <c r="P925" s="341">
        <f>+VLOOKUP(H925,PRORRATEO!F:M,4,0)</f>
        <v>4030680.9</v>
      </c>
      <c r="Q925" s="341">
        <f>+VLOOKUP(H925,PRORRATEO!F:M,5,0)</f>
        <v>460797.17418111756</v>
      </c>
      <c r="R925" s="341">
        <f>+VLOOKUP(H925,PRORRATEO!F:M,6,0)</f>
        <v>3569883.7258188822</v>
      </c>
      <c r="S925" s="339">
        <f>+VLOOKUP(H925,PRORRATEO!F:M,7,0)</f>
        <v>0.11432241490044959</v>
      </c>
      <c r="T925" s="339">
        <f>+VLOOKUP(H925,PRORRATEO!F:M,8,0)</f>
        <v>0.88567758509955041</v>
      </c>
      <c r="U925" t="s">
        <v>758</v>
      </c>
    </row>
    <row r="926" spans="1:21" x14ac:dyDescent="0.35">
      <c r="B926" s="263">
        <v>1245150017</v>
      </c>
      <c r="C926" s="10" t="s">
        <v>77</v>
      </c>
      <c r="D926" s="268">
        <v>24388284</v>
      </c>
      <c r="E926" s="263" t="s">
        <v>97</v>
      </c>
      <c r="F926">
        <v>40</v>
      </c>
      <c r="G926" s="318" t="str">
        <f>+CONCATENATE($G$7," GC ",G925," ",H925)</f>
        <v>"04-2026" GC T66 6688</v>
      </c>
      <c r="H926" s="252"/>
      <c r="I926" s="312">
        <f>+H925</f>
        <v>6688</v>
      </c>
      <c r="J926" s="350"/>
    </row>
    <row r="927" spans="1:21" x14ac:dyDescent="0.35">
      <c r="B927" s="263">
        <v>1149120011</v>
      </c>
      <c r="C927" s="10" t="s">
        <v>96</v>
      </c>
      <c r="D927" s="268">
        <f>+D929*S925</f>
        <v>529744.22921001923</v>
      </c>
      <c r="E927" s="263" t="s">
        <v>98</v>
      </c>
      <c r="F927">
        <v>40</v>
      </c>
      <c r="G927" s="318" t="str">
        <f t="shared" ref="G927:G932" si="46">+G926</f>
        <v>"04-2026" GC T66 6688</v>
      </c>
      <c r="H927" s="252"/>
      <c r="I927" s="312">
        <f t="shared" ref="I927:I932" si="47">+I926</f>
        <v>6688</v>
      </c>
      <c r="J927" s="350"/>
      <c r="K927" s="433">
        <f>+D926+D929</f>
        <v>29022057.960000001</v>
      </c>
    </row>
    <row r="928" spans="1:21" x14ac:dyDescent="0.35">
      <c r="B928" s="263">
        <v>1149120011</v>
      </c>
      <c r="C928" s="10" t="s">
        <v>96</v>
      </c>
      <c r="D928" s="268">
        <f>-D927</f>
        <v>-529744.22921001923</v>
      </c>
      <c r="E928" s="263" t="s">
        <v>97</v>
      </c>
      <c r="F928">
        <v>50</v>
      </c>
      <c r="G928" s="318" t="str">
        <f t="shared" si="46"/>
        <v>"04-2026" GC T66 6688</v>
      </c>
      <c r="H928" s="252"/>
      <c r="I928" s="312">
        <f t="shared" si="47"/>
        <v>6688</v>
      </c>
      <c r="J928" s="350"/>
    </row>
    <row r="929" spans="1:21" x14ac:dyDescent="0.35">
      <c r="B929" s="4">
        <v>1149120011</v>
      </c>
      <c r="C929" s="10" t="s">
        <v>96</v>
      </c>
      <c r="D929" s="268">
        <f>+D926*0.19</f>
        <v>4633773.96</v>
      </c>
      <c r="E929" t="s">
        <v>97</v>
      </c>
      <c r="F929">
        <v>40</v>
      </c>
      <c r="G929" s="318" t="str">
        <f t="shared" si="46"/>
        <v>"04-2026" GC T66 6688</v>
      </c>
      <c r="H929" s="252"/>
      <c r="I929" s="312">
        <f t="shared" si="47"/>
        <v>6688</v>
      </c>
      <c r="J929" s="350"/>
    </row>
    <row r="930" spans="1:21" x14ac:dyDescent="0.35">
      <c r="B930" s="4">
        <v>1249100024</v>
      </c>
      <c r="C930" s="10" t="s">
        <v>981</v>
      </c>
      <c r="D930" s="268">
        <f>-D926*K930</f>
        <v>-235590</v>
      </c>
      <c r="E930"/>
      <c r="F930">
        <v>50</v>
      </c>
      <c r="G930" s="318" t="str">
        <f t="shared" si="46"/>
        <v>"04-2026" GC T66 6688</v>
      </c>
      <c r="H930" s="252"/>
      <c r="I930" s="312">
        <f t="shared" si="47"/>
        <v>6688</v>
      </c>
      <c r="J930" s="461">
        <v>1</v>
      </c>
      <c r="K930" s="352">
        <v>9.6599662362468804E-3</v>
      </c>
    </row>
    <row r="931" spans="1:21" x14ac:dyDescent="0.35">
      <c r="B931" s="4">
        <v>1246125027</v>
      </c>
      <c r="C931" s="10" t="s">
        <v>962</v>
      </c>
      <c r="D931" s="268">
        <f>-D926*K931</f>
        <v>-853590.00000000012</v>
      </c>
      <c r="E931"/>
      <c r="F931">
        <v>50</v>
      </c>
      <c r="G931" s="318" t="str">
        <f t="shared" si="46"/>
        <v>"04-2026" GC T66 6688</v>
      </c>
      <c r="H931" s="252"/>
      <c r="I931" s="312">
        <f t="shared" si="47"/>
        <v>6688</v>
      </c>
      <c r="J931" s="350" t="s">
        <v>857</v>
      </c>
      <c r="K931" s="352">
        <v>3.5000002460197695E-2</v>
      </c>
    </row>
    <row r="932" spans="1:21" x14ac:dyDescent="0.35">
      <c r="C932" s="251" t="s">
        <v>76</v>
      </c>
      <c r="D932" s="332">
        <f>SUBTOTAL(9,D926:D931)</f>
        <v>27932877.960000001</v>
      </c>
      <c r="E932"/>
      <c r="G932" s="318" t="str">
        <f t="shared" si="46"/>
        <v>"04-2026" GC T66 6688</v>
      </c>
      <c r="H932" s="252"/>
      <c r="I932" s="312">
        <f t="shared" si="47"/>
        <v>6688</v>
      </c>
      <c r="J932" s="350"/>
    </row>
    <row r="933" spans="1:21" x14ac:dyDescent="0.35">
      <c r="A933" s="130" t="s">
        <v>853</v>
      </c>
      <c r="B933" s="14">
        <v>208210</v>
      </c>
      <c r="C933" s="15" t="s">
        <v>1725</v>
      </c>
      <c r="E933"/>
      <c r="G933" s="276" t="s">
        <v>1149</v>
      </c>
      <c r="H933" s="257">
        <v>6699</v>
      </c>
      <c r="J933" s="350">
        <f>+VLOOKUP(H933,contratos!A:R,5,0)</f>
        <v>40210</v>
      </c>
      <c r="K933" s="266" t="str">
        <f>+VLOOKUP(H933,contratos!A:R,12,0)</f>
        <v>OK</v>
      </c>
      <c r="L933" s="341" t="str">
        <f>+VLOOKUP(H933,contratos!A:R,13,0)</f>
        <v>VIGENTE</v>
      </c>
      <c r="M933" s="341">
        <f>+VLOOKUP(H933,contratos!A:R,15,0)</f>
        <v>0</v>
      </c>
      <c r="N933" s="336">
        <f>+VLOOKUP(H933,contratos!A:R,16,0)</f>
        <v>0</v>
      </c>
      <c r="O933" s="341">
        <f>+VLOOKUP(H933,PRORRATEO!F:M,3,0)</f>
        <v>29641526</v>
      </c>
      <c r="P933" s="341">
        <f>+VLOOKUP(H933,PRORRATEO!F:M,4,0)</f>
        <v>5631889.9400000004</v>
      </c>
      <c r="Q933" s="341">
        <f>+VLOOKUP(H933,PRORRATEO!F:M,5,0)</f>
        <v>309753.94670000003</v>
      </c>
      <c r="R933" s="341">
        <f>+VLOOKUP(H933,PRORRATEO!F:M,6,0)</f>
        <v>5322135.9933000002</v>
      </c>
      <c r="S933" s="339">
        <f>+VLOOKUP(H933,PRORRATEO!F:M,7,0)</f>
        <v>5.5E-2</v>
      </c>
      <c r="T933" s="339">
        <f>+VLOOKUP(H933,PRORRATEO!F:M,8,0)</f>
        <v>0.94499999999999995</v>
      </c>
      <c r="U933" t="s">
        <v>765</v>
      </c>
    </row>
    <row r="934" spans="1:21" x14ac:dyDescent="0.35">
      <c r="B934" s="263">
        <v>1245150017</v>
      </c>
      <c r="C934" s="10" t="s">
        <v>77</v>
      </c>
      <c r="D934" s="268">
        <f>+O933</f>
        <v>29641526</v>
      </c>
      <c r="E934" s="263" t="s">
        <v>97</v>
      </c>
      <c r="F934">
        <v>40</v>
      </c>
      <c r="G934" s="318" t="str">
        <f>+CONCATENATE($G$7," RF ",G933," ",H933)</f>
        <v>"04-2026" RF T74  6699</v>
      </c>
      <c r="H934" s="252"/>
      <c r="I934" s="312">
        <f>+H933</f>
        <v>6699</v>
      </c>
      <c r="J934" s="350"/>
    </row>
    <row r="935" spans="1:21" x14ac:dyDescent="0.35">
      <c r="B935" s="263">
        <v>1149120011</v>
      </c>
      <c r="C935" s="10" t="s">
        <v>96</v>
      </c>
      <c r="D935" s="268">
        <f>+Q933</f>
        <v>309753.94670000003</v>
      </c>
      <c r="E935" s="263" t="s">
        <v>98</v>
      </c>
      <c r="F935">
        <v>40</v>
      </c>
      <c r="G935" s="318" t="str">
        <f t="shared" ref="G935:G940" si="48">+G934</f>
        <v>"04-2026" RF T74  6699</v>
      </c>
      <c r="H935" s="252"/>
      <c r="I935" s="312">
        <f t="shared" ref="I935:I940" si="49">+I934</f>
        <v>6699</v>
      </c>
      <c r="J935" s="350"/>
    </row>
    <row r="936" spans="1:21" x14ac:dyDescent="0.35">
      <c r="B936" s="263">
        <v>1149120011</v>
      </c>
      <c r="C936" s="10" t="s">
        <v>96</v>
      </c>
      <c r="D936" s="268">
        <f>-D935</f>
        <v>-309753.94670000003</v>
      </c>
      <c r="E936" s="263" t="s">
        <v>97</v>
      </c>
      <c r="F936">
        <v>50</v>
      </c>
      <c r="G936" s="318" t="str">
        <f t="shared" si="48"/>
        <v>"04-2026" RF T74  6699</v>
      </c>
      <c r="H936" s="252"/>
      <c r="I936" s="312">
        <f t="shared" si="49"/>
        <v>6699</v>
      </c>
      <c r="J936" s="350"/>
      <c r="K936" s="433">
        <f>+D934+D937</f>
        <v>35273415.939999998</v>
      </c>
    </row>
    <row r="937" spans="1:21" x14ac:dyDescent="0.35">
      <c r="B937" s="4">
        <v>1149120011</v>
      </c>
      <c r="C937" s="10" t="s">
        <v>96</v>
      </c>
      <c r="D937" s="268">
        <f>+D934*0.19</f>
        <v>5631889.9400000004</v>
      </c>
      <c r="E937" t="s">
        <v>80</v>
      </c>
      <c r="F937">
        <v>40</v>
      </c>
      <c r="G937" s="318" t="str">
        <f t="shared" si="48"/>
        <v>"04-2026" RF T74  6699</v>
      </c>
      <c r="H937" s="252"/>
      <c r="I937" s="312">
        <f t="shared" si="49"/>
        <v>6699</v>
      </c>
      <c r="J937" s="350"/>
    </row>
    <row r="938" spans="1:21" x14ac:dyDescent="0.35">
      <c r="B938" s="4">
        <v>1249100024</v>
      </c>
      <c r="C938" s="10" t="s">
        <v>981</v>
      </c>
      <c r="D938" s="298">
        <f>-D934*K939</f>
        <v>-286336.88137132791</v>
      </c>
      <c r="E938"/>
      <c r="F938">
        <v>50</v>
      </c>
      <c r="G938" s="318" t="str">
        <f t="shared" si="48"/>
        <v>"04-2026" RF T74  6699</v>
      </c>
      <c r="H938" s="252"/>
      <c r="I938" s="312">
        <f t="shared" si="49"/>
        <v>6699</v>
      </c>
      <c r="J938" s="350"/>
    </row>
    <row r="939" spans="1:21" x14ac:dyDescent="0.35">
      <c r="B939" s="4">
        <v>1246125027</v>
      </c>
      <c r="C939" s="10" t="s">
        <v>962</v>
      </c>
      <c r="D939" s="268">
        <f>-D934*K940</f>
        <v>-1037453.4100000001</v>
      </c>
      <c r="E939"/>
      <c r="F939">
        <v>50</v>
      </c>
      <c r="G939" s="318" t="str">
        <f t="shared" si="48"/>
        <v>"04-2026" RF T74  6699</v>
      </c>
      <c r="H939" s="252"/>
      <c r="I939" s="312">
        <f t="shared" si="49"/>
        <v>6699</v>
      </c>
      <c r="J939" s="206">
        <v>1</v>
      </c>
      <c r="K939" s="446">
        <f>95053/9839864</f>
        <v>9.6599912356512239E-3</v>
      </c>
    </row>
    <row r="940" spans="1:21" x14ac:dyDescent="0.35">
      <c r="C940" s="251" t="s">
        <v>76</v>
      </c>
      <c r="D940" s="265">
        <f>+D934+D935+D936+D937+D938+D939</f>
        <v>33949625.648628667</v>
      </c>
      <c r="E940"/>
      <c r="G940" s="318" t="str">
        <f t="shared" si="48"/>
        <v>"04-2026" RF T74  6699</v>
      </c>
      <c r="H940" s="252"/>
      <c r="I940" s="312">
        <f t="shared" si="49"/>
        <v>6699</v>
      </c>
      <c r="J940" s="387" t="s">
        <v>857</v>
      </c>
      <c r="K940" s="339">
        <v>3.5000000000000003E-2</v>
      </c>
    </row>
    <row r="941" spans="1:21" x14ac:dyDescent="0.35">
      <c r="A941" s="130" t="s">
        <v>1048</v>
      </c>
      <c r="B941" s="14">
        <v>208208</v>
      </c>
      <c r="C941" s="15" t="s">
        <v>1049</v>
      </c>
      <c r="D941" s="329"/>
      <c r="E941"/>
      <c r="G941" s="276" t="s">
        <v>1150</v>
      </c>
      <c r="H941" s="257">
        <v>6700</v>
      </c>
      <c r="J941" s="350">
        <f>+VLOOKUP(H941,contratos!A:R,5,0)</f>
        <v>42736</v>
      </c>
      <c r="K941" s="266" t="str">
        <f>+VLOOKUP(H941,contratos!A:R,12,0)</f>
        <v>OK</v>
      </c>
      <c r="L941" s="341" t="str">
        <f>+VLOOKUP(H941,contratos!A:R,13,0)</f>
        <v>VIGENTE</v>
      </c>
      <c r="M941" s="341">
        <f>+VLOOKUP(H941,contratos!A:R,15,0)</f>
        <v>0</v>
      </c>
      <c r="N941" s="336">
        <f>+VLOOKUP(H941,contratos!A:R,16,0)</f>
        <v>0</v>
      </c>
      <c r="O941" s="341">
        <f>+VLOOKUP(H941,PRORRATEO!F:M,3,0)</f>
        <v>24244695</v>
      </c>
      <c r="P941" s="341">
        <f>+VLOOKUP(H941,PRORRATEO!F:M,4,0)</f>
        <v>4606492.05</v>
      </c>
      <c r="Q941" s="341">
        <f>+VLOOKUP(H941,PRORRATEO!F:M,5,0)</f>
        <v>488288.15729999996</v>
      </c>
      <c r="R941" s="341">
        <f>+VLOOKUP(H941,PRORRATEO!F:M,6,0)</f>
        <v>4118203.8926999997</v>
      </c>
      <c r="S941" s="339">
        <f>+VLOOKUP(H941,PRORRATEO!F:M,7,0)</f>
        <v>0.106</v>
      </c>
      <c r="T941" s="339">
        <f>+VLOOKUP(H941,PRORRATEO!F:M,8,0)</f>
        <v>0.89400000000000002</v>
      </c>
      <c r="U941" t="s">
        <v>767</v>
      </c>
    </row>
    <row r="942" spans="1:21" x14ac:dyDescent="0.35">
      <c r="B942" s="4">
        <v>1245150017</v>
      </c>
      <c r="C942" s="10" t="s">
        <v>77</v>
      </c>
      <c r="D942" s="268">
        <v>22000000</v>
      </c>
      <c r="E942" t="s">
        <v>97</v>
      </c>
      <c r="F942">
        <v>40</v>
      </c>
      <c r="G942" s="318" t="str">
        <f>+CONCATENATE($G$7," RF ",G941," ",H941)</f>
        <v>"04-2026" RF T75  6700</v>
      </c>
      <c r="H942" s="252"/>
      <c r="I942" s="312">
        <f>+H941</f>
        <v>6700</v>
      </c>
      <c r="J942" s="350"/>
    </row>
    <row r="943" spans="1:21" x14ac:dyDescent="0.35">
      <c r="B943" s="4">
        <v>1149120011</v>
      </c>
      <c r="C943" s="10" t="s">
        <v>96</v>
      </c>
      <c r="D943" s="268">
        <v>443080</v>
      </c>
      <c r="E943" t="s">
        <v>98</v>
      </c>
      <c r="F943">
        <v>40</v>
      </c>
      <c r="G943" s="318" t="str">
        <f t="shared" ref="G943:G948" si="50">+G942</f>
        <v>"04-2026" RF T75  6700</v>
      </c>
      <c r="H943" s="252"/>
      <c r="I943" s="312">
        <f t="shared" ref="I943:I948" si="51">+I942</f>
        <v>6700</v>
      </c>
      <c r="J943" s="350"/>
    </row>
    <row r="944" spans="1:21" x14ac:dyDescent="0.35">
      <c r="B944" s="4">
        <v>1149120011</v>
      </c>
      <c r="C944" s="10" t="s">
        <v>96</v>
      </c>
      <c r="D944" s="268">
        <v>-443080</v>
      </c>
      <c r="E944" t="s">
        <v>97</v>
      </c>
      <c r="F944">
        <v>50</v>
      </c>
      <c r="G944" s="318" t="str">
        <f t="shared" si="50"/>
        <v>"04-2026" RF T75  6700</v>
      </c>
      <c r="H944" s="252"/>
      <c r="I944" s="312">
        <f t="shared" si="51"/>
        <v>6700</v>
      </c>
      <c r="J944" s="350"/>
    </row>
    <row r="945" spans="1:21" x14ac:dyDescent="0.35">
      <c r="B945" s="4">
        <v>1149120011</v>
      </c>
      <c r="C945" s="10" t="s">
        <v>96</v>
      </c>
      <c r="D945" s="268">
        <v>4180000</v>
      </c>
      <c r="E945" t="s">
        <v>97</v>
      </c>
      <c r="F945">
        <v>40</v>
      </c>
      <c r="G945" s="318" t="str">
        <f t="shared" si="50"/>
        <v>"04-2026" RF T75  6700</v>
      </c>
      <c r="H945" s="252"/>
      <c r="I945" s="312">
        <f t="shared" si="51"/>
        <v>6700</v>
      </c>
      <c r="J945" s="350"/>
    </row>
    <row r="946" spans="1:21" x14ac:dyDescent="0.35">
      <c r="B946" s="4">
        <v>1249100024</v>
      </c>
      <c r="C946" s="10" t="s">
        <v>981</v>
      </c>
      <c r="D946" s="268">
        <v>-212520</v>
      </c>
      <c r="E946"/>
      <c r="F946">
        <v>50</v>
      </c>
      <c r="G946" s="318" t="str">
        <f t="shared" si="50"/>
        <v>"04-2026" RF T75  6700</v>
      </c>
      <c r="H946" s="252"/>
      <c r="I946" s="312">
        <f t="shared" si="51"/>
        <v>6700</v>
      </c>
      <c r="J946" s="350"/>
    </row>
    <row r="947" spans="1:21" x14ac:dyDescent="0.35">
      <c r="B947" s="4">
        <v>1246125027</v>
      </c>
      <c r="C947" s="10" t="s">
        <v>962</v>
      </c>
      <c r="D947" s="268">
        <v>-770000</v>
      </c>
      <c r="E947"/>
      <c r="F947">
        <v>50</v>
      </c>
      <c r="G947" s="318" t="str">
        <f t="shared" si="50"/>
        <v>"04-2026" RF T75  6700</v>
      </c>
      <c r="H947" s="252"/>
      <c r="I947" s="312">
        <f t="shared" si="51"/>
        <v>6700</v>
      </c>
      <c r="J947" s="350"/>
    </row>
    <row r="948" spans="1:21" x14ac:dyDescent="0.35">
      <c r="C948" s="10" t="s">
        <v>76</v>
      </c>
      <c r="D948" s="265">
        <v>25197480</v>
      </c>
      <c r="E948"/>
      <c r="G948" s="318" t="str">
        <f t="shared" si="50"/>
        <v>"04-2026" RF T75  6700</v>
      </c>
      <c r="H948" s="252"/>
      <c r="I948" s="312">
        <f t="shared" si="51"/>
        <v>6700</v>
      </c>
      <c r="J948" s="350"/>
    </row>
    <row r="949" spans="1:21" x14ac:dyDescent="0.35">
      <c r="A949" s="130" t="s">
        <v>1048</v>
      </c>
      <c r="B949" s="14" t="s">
        <v>1298</v>
      </c>
      <c r="C949" s="15" t="s">
        <v>1297</v>
      </c>
      <c r="D949" s="298"/>
      <c r="E949"/>
      <c r="G949" s="346" t="s">
        <v>1151</v>
      </c>
      <c r="H949" s="257">
        <v>6717</v>
      </c>
      <c r="J949" s="350">
        <f>+VLOOKUP(H949,contratos!A:R,5,0)</f>
        <v>42736</v>
      </c>
      <c r="K949" s="266" t="str">
        <f>+VLOOKUP(H949,contratos!A:R,12,0)</f>
        <v>OK</v>
      </c>
      <c r="L949" s="341" t="str">
        <f>+VLOOKUP(H949,contratos!A:R,13,0)</f>
        <v>VIGENTE</v>
      </c>
      <c r="M949" s="341">
        <f>+VLOOKUP(H949,contratos!A:R,15,0)</f>
        <v>0</v>
      </c>
      <c r="N949" s="336">
        <f>+VLOOKUP(H949,contratos!A:R,16,0)</f>
        <v>0</v>
      </c>
      <c r="O949" s="341">
        <f>+VLOOKUP(H949,PRORRATEO!F:M,3,0)</f>
        <v>18577600</v>
      </c>
      <c r="P949" s="341">
        <f>+VLOOKUP(H949,PRORRATEO!F:M,4,0)</f>
        <v>3529744</v>
      </c>
      <c r="Q949" s="341">
        <f>+VLOOKUP(H949,PRORRATEO!F:M,5,0)</f>
        <v>363563.63199999998</v>
      </c>
      <c r="R949" s="341">
        <f>+VLOOKUP(H949,PRORRATEO!F:M,6,0)</f>
        <v>3166180.3680000002</v>
      </c>
      <c r="S949" s="339">
        <f>+VLOOKUP(H949,PRORRATEO!F:M,7,0)</f>
        <v>0.10299999999999999</v>
      </c>
      <c r="T949" s="339">
        <f>+VLOOKUP(H949,PRORRATEO!F:M,8,0)</f>
        <v>0.89700000000000002</v>
      </c>
      <c r="U949" t="s">
        <v>782</v>
      </c>
    </row>
    <row r="950" spans="1:21" x14ac:dyDescent="0.35">
      <c r="A950">
        <v>40</v>
      </c>
      <c r="B950" s="263">
        <v>1245150017</v>
      </c>
      <c r="C950" s="10" t="s">
        <v>77</v>
      </c>
      <c r="D950" s="268">
        <f>+O949</f>
        <v>18577600</v>
      </c>
      <c r="E950" s="263" t="s">
        <v>97</v>
      </c>
      <c r="F950">
        <v>40</v>
      </c>
      <c r="G950" s="318" t="str">
        <f>+CONCATENATE($G$7," RF ",G949," ",H949)</f>
        <v>"04-2026" RF T82 6717</v>
      </c>
      <c r="H950" s="252"/>
      <c r="I950" s="312">
        <f>+H949</f>
        <v>6717</v>
      </c>
      <c r="J950" s="350"/>
    </row>
    <row r="951" spans="1:21" x14ac:dyDescent="0.35">
      <c r="A951">
        <v>40</v>
      </c>
      <c r="B951" s="263">
        <v>1149120011</v>
      </c>
      <c r="C951" s="10" t="s">
        <v>96</v>
      </c>
      <c r="D951" s="268">
        <f>+D953*S949</f>
        <v>363563.63199999998</v>
      </c>
      <c r="E951" s="263" t="s">
        <v>98</v>
      </c>
      <c r="F951">
        <v>40</v>
      </c>
      <c r="G951" s="318" t="str">
        <f t="shared" ref="G951:G956" si="52">+G950</f>
        <v>"04-2026" RF T82 6717</v>
      </c>
      <c r="H951" s="252"/>
      <c r="I951" s="312">
        <f t="shared" ref="I951:I956" si="53">+I950</f>
        <v>6717</v>
      </c>
      <c r="J951" s="350"/>
      <c r="S951" s="266">
        <v>2128578</v>
      </c>
    </row>
    <row r="952" spans="1:21" x14ac:dyDescent="0.35">
      <c r="A952">
        <v>50</v>
      </c>
      <c r="B952" s="263">
        <v>1149120011</v>
      </c>
      <c r="C952" s="10" t="s">
        <v>96</v>
      </c>
      <c r="D952" s="268">
        <f>-D951</f>
        <v>-363563.63199999998</v>
      </c>
      <c r="E952" s="263" t="s">
        <v>97</v>
      </c>
      <c r="F952">
        <v>50</v>
      </c>
      <c r="G952" s="318" t="str">
        <f t="shared" si="52"/>
        <v>"04-2026" RF T82 6717</v>
      </c>
      <c r="H952" s="252"/>
      <c r="I952" s="312">
        <f t="shared" si="53"/>
        <v>6717</v>
      </c>
      <c r="J952" s="350"/>
      <c r="S952" s="266">
        <f>+S951*S949</f>
        <v>219243.53399999999</v>
      </c>
    </row>
    <row r="953" spans="1:21" x14ac:dyDescent="0.35">
      <c r="A953">
        <v>40</v>
      </c>
      <c r="B953" s="4">
        <v>1149120011</v>
      </c>
      <c r="C953" s="10" t="s">
        <v>96</v>
      </c>
      <c r="D953" s="268">
        <v>3529744</v>
      </c>
      <c r="E953" t="s">
        <v>97</v>
      </c>
      <c r="F953">
        <v>40</v>
      </c>
      <c r="G953" s="318" t="str">
        <f t="shared" si="52"/>
        <v>"04-2026" RF T82 6717</v>
      </c>
      <c r="H953" s="252"/>
      <c r="I953" s="312">
        <f t="shared" si="53"/>
        <v>6717</v>
      </c>
      <c r="J953" s="350"/>
      <c r="K953" s="339"/>
    </row>
    <row r="954" spans="1:21" x14ac:dyDescent="0.35">
      <c r="A954">
        <v>50</v>
      </c>
      <c r="B954" s="4">
        <v>1249100024</v>
      </c>
      <c r="C954" s="10" t="s">
        <v>981</v>
      </c>
      <c r="D954" s="298">
        <f>-D950*K954</f>
        <v>-179460</v>
      </c>
      <c r="E954"/>
      <c r="F954">
        <v>50</v>
      </c>
      <c r="G954" s="318" t="str">
        <f t="shared" si="52"/>
        <v>"04-2026" RF T82 6717</v>
      </c>
      <c r="H954" s="252"/>
      <c r="I954" s="312">
        <f t="shared" si="53"/>
        <v>6717</v>
      </c>
      <c r="J954" s="206">
        <v>1</v>
      </c>
      <c r="K954" s="339">
        <f>179460/18577600</f>
        <v>9.6600206700542587E-3</v>
      </c>
    </row>
    <row r="955" spans="1:21" x14ac:dyDescent="0.35">
      <c r="A955">
        <v>50</v>
      </c>
      <c r="B955" s="4">
        <v>1246125027</v>
      </c>
      <c r="C955" s="10" t="s">
        <v>962</v>
      </c>
      <c r="D955" s="298">
        <f>-D950*K955</f>
        <v>-650216.00000000012</v>
      </c>
      <c r="E955"/>
      <c r="F955">
        <v>50</v>
      </c>
      <c r="G955" s="318" t="str">
        <f t="shared" si="52"/>
        <v>"04-2026" RF T82 6717</v>
      </c>
      <c r="H955" s="252"/>
      <c r="I955" s="312">
        <f t="shared" si="53"/>
        <v>6717</v>
      </c>
      <c r="J955" s="387" t="s">
        <v>857</v>
      </c>
      <c r="K955" s="339">
        <v>3.5000000000000003E-2</v>
      </c>
    </row>
    <row r="956" spans="1:21" x14ac:dyDescent="0.35">
      <c r="C956" s="10" t="s">
        <v>76</v>
      </c>
      <c r="D956" s="265">
        <f>+D950+D951+D952+D953+D954+D955</f>
        <v>21277668</v>
      </c>
      <c r="E956"/>
      <c r="G956" s="318" t="str">
        <f t="shared" si="52"/>
        <v>"04-2026" RF T82 6717</v>
      </c>
      <c r="H956" s="252"/>
      <c r="I956" s="312">
        <f t="shared" si="53"/>
        <v>6717</v>
      </c>
      <c r="J956" s="350"/>
    </row>
    <row r="957" spans="1:21" x14ac:dyDescent="0.35">
      <c r="A957" s="130" t="s">
        <v>1048</v>
      </c>
      <c r="B957" s="14">
        <v>208208</v>
      </c>
      <c r="C957" s="15" t="s">
        <v>1049</v>
      </c>
      <c r="E957"/>
      <c r="G957" s="346" t="s">
        <v>587</v>
      </c>
      <c r="H957" s="257">
        <v>6759</v>
      </c>
      <c r="J957" s="350">
        <f>+VLOOKUP(H957,contratos!A:R,5,0)</f>
        <v>40026</v>
      </c>
      <c r="K957" s="266" t="str">
        <f>+VLOOKUP(H957,contratos!A:R,12,0)</f>
        <v>OK</v>
      </c>
      <c r="L957" s="341" t="str">
        <f>+VLOOKUP(H957,contratos!A:R,13,0)</f>
        <v>VIGENTE</v>
      </c>
      <c r="M957" s="341">
        <f>+VLOOKUP(H957,contratos!A:R,15,0)</f>
        <v>0</v>
      </c>
      <c r="N957" s="336">
        <f>+VLOOKUP(H957,contratos!A:R,16,0)</f>
        <v>0</v>
      </c>
      <c r="O957" s="341">
        <f>+VLOOKUP(H957,PRORRATEO!F:M,3,0)</f>
        <v>16280378</v>
      </c>
      <c r="P957" s="341">
        <f>+VLOOKUP(H957,PRORRATEO!F:M,4,0)</f>
        <v>3093271.82</v>
      </c>
      <c r="Q957" s="341">
        <f>+VLOOKUP(H957,PRORRATEO!F:M,5,0)</f>
        <v>191782.85283999998</v>
      </c>
      <c r="R957" s="341">
        <f>+VLOOKUP(H957,PRORRATEO!F:M,6,0)</f>
        <v>2901488.9671599995</v>
      </c>
      <c r="S957" s="339">
        <f>+VLOOKUP(H957,PRORRATEO!F:M,7,0)</f>
        <v>6.2E-2</v>
      </c>
      <c r="T957" s="339">
        <f>+VLOOKUP(H957,PRORRATEO!F:M,8,0)</f>
        <v>0.93799999999999994</v>
      </c>
      <c r="U957" t="s">
        <v>784</v>
      </c>
    </row>
    <row r="958" spans="1:21" x14ac:dyDescent="0.35">
      <c r="A958">
        <v>40</v>
      </c>
      <c r="B958" s="4">
        <v>1245150017</v>
      </c>
      <c r="C958" s="10" t="s">
        <v>77</v>
      </c>
      <c r="D958" s="268">
        <v>9208182</v>
      </c>
      <c r="E958" t="s">
        <v>97</v>
      </c>
      <c r="F958">
        <v>40</v>
      </c>
      <c r="G958" s="318" t="str">
        <f>+CONCATENATE($G$7," RF ",G957," ",H957)</f>
        <v>"04-2026" RF T087 6759</v>
      </c>
      <c r="H958" s="252"/>
      <c r="I958" s="312">
        <f>+H957</f>
        <v>6759</v>
      </c>
      <c r="J958" s="350"/>
    </row>
    <row r="959" spans="1:21" x14ac:dyDescent="0.35">
      <c r="A959">
        <v>40</v>
      </c>
      <c r="B959" s="4">
        <v>1149120011</v>
      </c>
      <c r="C959" s="10" t="s">
        <v>96</v>
      </c>
      <c r="D959" s="268">
        <v>216945</v>
      </c>
      <c r="E959" t="s">
        <v>98</v>
      </c>
      <c r="F959">
        <v>40</v>
      </c>
      <c r="G959" s="318" t="str">
        <f t="shared" ref="G959:G964" si="54">+G958</f>
        <v>"04-2026" RF T087 6759</v>
      </c>
      <c r="H959" s="252"/>
      <c r="I959" s="312">
        <f t="shared" ref="I959:I964" si="55">+I958</f>
        <v>6759</v>
      </c>
      <c r="J959" s="350"/>
    </row>
    <row r="960" spans="1:21" x14ac:dyDescent="0.35">
      <c r="A960">
        <v>50</v>
      </c>
      <c r="B960" s="4">
        <v>1149120011</v>
      </c>
      <c r="C960" s="10" t="s">
        <v>96</v>
      </c>
      <c r="D960" s="268">
        <v>-216945</v>
      </c>
      <c r="E960" t="s">
        <v>97</v>
      </c>
      <c r="F960">
        <v>50</v>
      </c>
      <c r="G960" s="318" t="str">
        <f t="shared" si="54"/>
        <v>"04-2026" RF T087 6759</v>
      </c>
      <c r="H960" s="252"/>
      <c r="I960" s="312">
        <f t="shared" si="55"/>
        <v>6759</v>
      </c>
      <c r="J960" s="350"/>
    </row>
    <row r="961" spans="1:21" x14ac:dyDescent="0.35">
      <c r="A961">
        <v>40</v>
      </c>
      <c r="B961" s="4">
        <v>1149120011</v>
      </c>
      <c r="C961" s="10" t="s">
        <v>96</v>
      </c>
      <c r="D961" s="268">
        <v>1749555</v>
      </c>
      <c r="E961" t="s">
        <v>97</v>
      </c>
      <c r="F961">
        <v>40</v>
      </c>
      <c r="G961" s="318" t="str">
        <f t="shared" si="54"/>
        <v>"04-2026" RF T087 6759</v>
      </c>
      <c r="H961" s="252"/>
      <c r="I961" s="312">
        <f t="shared" si="55"/>
        <v>6759</v>
      </c>
      <c r="J961" s="350"/>
    </row>
    <row r="962" spans="1:21" x14ac:dyDescent="0.35">
      <c r="A962">
        <v>50</v>
      </c>
      <c r="B962" s="4">
        <v>1249100024</v>
      </c>
      <c r="C962" s="10" t="s">
        <v>981</v>
      </c>
      <c r="D962" s="268">
        <v>-88951</v>
      </c>
      <c r="E962"/>
      <c r="F962">
        <v>50</v>
      </c>
      <c r="G962" s="318" t="str">
        <f t="shared" si="54"/>
        <v>"04-2026" RF T087 6759</v>
      </c>
      <c r="H962" s="252"/>
      <c r="I962" s="312">
        <f t="shared" si="55"/>
        <v>6759</v>
      </c>
      <c r="J962" s="350"/>
    </row>
    <row r="963" spans="1:21" x14ac:dyDescent="0.35">
      <c r="A963">
        <v>50</v>
      </c>
      <c r="B963" s="4">
        <v>1246125027</v>
      </c>
      <c r="C963" s="10" t="s">
        <v>962</v>
      </c>
      <c r="D963" s="268">
        <v>-322286</v>
      </c>
      <c r="E963"/>
      <c r="F963">
        <v>50</v>
      </c>
      <c r="G963" s="318" t="str">
        <f t="shared" si="54"/>
        <v>"04-2026" RF T087 6759</v>
      </c>
      <c r="H963" s="252"/>
      <c r="I963" s="312">
        <f t="shared" si="55"/>
        <v>6759</v>
      </c>
      <c r="J963" s="350"/>
    </row>
    <row r="964" spans="1:21" x14ac:dyDescent="0.35">
      <c r="D964" s="332">
        <v>10546500</v>
      </c>
      <c r="E964"/>
      <c r="G964" s="318" t="str">
        <f t="shared" si="54"/>
        <v>"04-2026" RF T087 6759</v>
      </c>
      <c r="H964" s="252"/>
      <c r="I964" s="312">
        <f t="shared" si="55"/>
        <v>6759</v>
      </c>
      <c r="J964" s="350"/>
    </row>
    <row r="965" spans="1:21" x14ac:dyDescent="0.35">
      <c r="A965" s="130" t="s">
        <v>1048</v>
      </c>
      <c r="B965" s="14">
        <v>208210</v>
      </c>
      <c r="C965" s="15" t="s">
        <v>1299</v>
      </c>
      <c r="E965"/>
      <c r="G965" s="346" t="s">
        <v>1152</v>
      </c>
      <c r="H965" s="257">
        <v>6759</v>
      </c>
      <c r="J965" s="350">
        <f>+VLOOKUP(H965,contratos!A:R,5,0)</f>
        <v>40026</v>
      </c>
      <c r="K965" s="266" t="str">
        <f>+VLOOKUP(H965,contratos!A:R,12,0)</f>
        <v>OK</v>
      </c>
      <c r="L965" s="341" t="str">
        <f>+VLOOKUP(H965,contratos!A:R,13,0)</f>
        <v>VIGENTE</v>
      </c>
      <c r="M965" s="341">
        <f>+VLOOKUP(H965,contratos!A:R,15,0)</f>
        <v>0</v>
      </c>
      <c r="N965" s="336">
        <f>+VLOOKUP(H965,contratos!A:R,16,0)</f>
        <v>0</v>
      </c>
      <c r="O965" s="341">
        <f>+VLOOKUP(H965,PRORRATEO!F:M,3,0)</f>
        <v>16280378</v>
      </c>
      <c r="P965" s="341">
        <f>+VLOOKUP(H965,PRORRATEO!F:M,4,0)</f>
        <v>3093271.82</v>
      </c>
      <c r="Q965" s="341">
        <f>+VLOOKUP(H965,PRORRATEO!F:M,5,0)</f>
        <v>191782.85283999998</v>
      </c>
      <c r="R965" s="341">
        <f>+VLOOKUP(H965,PRORRATEO!F:M,6,0)</f>
        <v>2901488.9671599995</v>
      </c>
      <c r="S965" s="339">
        <f>+VLOOKUP(H965,PRORRATEO!F:M,7,0)</f>
        <v>6.2E-2</v>
      </c>
      <c r="T965" s="339">
        <f>+VLOOKUP(H965,PRORRATEO!F:M,8,0)</f>
        <v>0.93799999999999994</v>
      </c>
      <c r="U965" t="s">
        <v>784</v>
      </c>
    </row>
    <row r="966" spans="1:21" x14ac:dyDescent="0.35">
      <c r="B966" s="263">
        <v>1245150017</v>
      </c>
      <c r="C966" s="10" t="s">
        <v>77</v>
      </c>
      <c r="D966" s="268">
        <v>9208182</v>
      </c>
      <c r="E966" s="263" t="s">
        <v>97</v>
      </c>
      <c r="F966">
        <v>40</v>
      </c>
      <c r="G966" s="318" t="str">
        <f>+CONCATENATE($G$7," RF ",G965," ",H965)</f>
        <v>"04-2026" RF T87 6759</v>
      </c>
      <c r="H966" s="252"/>
      <c r="I966" s="312">
        <f>+H965</f>
        <v>6759</v>
      </c>
      <c r="J966" s="350"/>
    </row>
    <row r="967" spans="1:21" x14ac:dyDescent="0.35">
      <c r="B967" s="4">
        <v>1149120011</v>
      </c>
      <c r="C967" s="10" t="s">
        <v>96</v>
      </c>
      <c r="D967" s="298">
        <f>+D966*0.19</f>
        <v>1749554.58</v>
      </c>
      <c r="E967" t="s">
        <v>97</v>
      </c>
      <c r="F967">
        <v>40</v>
      </c>
      <c r="G967" s="318" t="str">
        <f>+G966</f>
        <v>"04-2026" RF T87 6759</v>
      </c>
      <c r="H967" s="252"/>
      <c r="I967" s="312">
        <f>+I966</f>
        <v>6759</v>
      </c>
      <c r="J967" s="350"/>
    </row>
    <row r="968" spans="1:21" x14ac:dyDescent="0.35">
      <c r="B968" s="4">
        <v>1249100024</v>
      </c>
      <c r="C968" s="10" t="s">
        <v>981</v>
      </c>
      <c r="D968" s="268">
        <v>-88951</v>
      </c>
      <c r="E968"/>
      <c r="F968">
        <v>50</v>
      </c>
      <c r="G968" s="318" t="str">
        <f>+G967</f>
        <v>"04-2026" RF T87 6759</v>
      </c>
      <c r="H968" s="252"/>
      <c r="I968" s="312">
        <f>+I967</f>
        <v>6759</v>
      </c>
      <c r="J968" s="350"/>
    </row>
    <row r="969" spans="1:21" x14ac:dyDescent="0.35">
      <c r="B969" s="4">
        <v>1246125027</v>
      </c>
      <c r="C969" s="10" t="s">
        <v>962</v>
      </c>
      <c r="D969" s="298">
        <v>-322286</v>
      </c>
      <c r="E969"/>
      <c r="F969">
        <v>50</v>
      </c>
      <c r="G969" s="318" t="str">
        <f>+G968</f>
        <v>"04-2026" RF T87 6759</v>
      </c>
      <c r="H969" s="252"/>
      <c r="I969" s="312">
        <f>+I968</f>
        <v>6759</v>
      </c>
      <c r="J969" s="350"/>
    </row>
    <row r="970" spans="1:21" x14ac:dyDescent="0.35">
      <c r="C970" s="10" t="s">
        <v>76</v>
      </c>
      <c r="D970" s="265">
        <v>10546500</v>
      </c>
      <c r="E970"/>
      <c r="G970" s="318" t="str">
        <f>+G969</f>
        <v>"04-2026" RF T87 6759</v>
      </c>
      <c r="H970" s="252"/>
      <c r="J970" s="350"/>
    </row>
    <row r="971" spans="1:21" x14ac:dyDescent="0.35">
      <c r="A971" s="130" t="s">
        <v>1048</v>
      </c>
      <c r="B971" s="14" t="s">
        <v>1300</v>
      </c>
      <c r="C971" s="15" t="s">
        <v>1299</v>
      </c>
      <c r="E971"/>
      <c r="G971" s="346" t="s">
        <v>1153</v>
      </c>
      <c r="H971" s="257">
        <v>6760</v>
      </c>
      <c r="J971" s="350">
        <f>+VLOOKUP(H971,contratos!A:R,5,0)</f>
        <v>40057</v>
      </c>
      <c r="K971" s="266" t="str">
        <f>+VLOOKUP(H971,contratos!A:R,12,0)</f>
        <v>OK</v>
      </c>
      <c r="L971" s="341" t="str">
        <f>+VLOOKUP(H971,contratos!A:R,13,0)</f>
        <v>VIGENTE</v>
      </c>
      <c r="M971" s="341">
        <f>+VLOOKUP(H971,contratos!A:R,15,0)</f>
        <v>0</v>
      </c>
      <c r="N971" s="336">
        <f>+VLOOKUP(H971,contratos!A:R,16,0)</f>
        <v>0</v>
      </c>
      <c r="O971" s="341">
        <f>+VLOOKUP(H971,PRORRATEO!F:M,3,0)</f>
        <v>17558152</v>
      </c>
      <c r="P971" s="341">
        <f>+VLOOKUP(H971,PRORRATEO!F:M,4,0)</f>
        <v>3336048.88</v>
      </c>
      <c r="Q971" s="341">
        <f>+VLOOKUP(H971,PRORRATEO!F:M,5,0)</f>
        <v>423678.20776000002</v>
      </c>
      <c r="R971" s="341">
        <f>+VLOOKUP(H971,PRORRATEO!F:M,6,0)</f>
        <v>2912370.6722399998</v>
      </c>
      <c r="S971" s="339">
        <f>+VLOOKUP(H971,PRORRATEO!F:M,7,0)</f>
        <v>0.127</v>
      </c>
      <c r="T971" s="339">
        <f>+VLOOKUP(H971,PRORRATEO!F:M,8,0)</f>
        <v>0.873</v>
      </c>
      <c r="U971" t="s">
        <v>786</v>
      </c>
    </row>
    <row r="972" spans="1:21" x14ac:dyDescent="0.35">
      <c r="A972">
        <v>40</v>
      </c>
      <c r="B972" s="263">
        <v>1245150017</v>
      </c>
      <c r="C972" s="10" t="s">
        <v>77</v>
      </c>
      <c r="D972" s="268">
        <f>+O971</f>
        <v>17558152</v>
      </c>
      <c r="E972" s="263" t="s">
        <v>97</v>
      </c>
      <c r="F972">
        <v>40</v>
      </c>
      <c r="G972" s="318" t="str">
        <f>+CONCATENATE($G$7," RF ",G971," ",H971)</f>
        <v>"04-2026" RF T88 6760</v>
      </c>
      <c r="H972" s="252"/>
      <c r="I972" s="312">
        <f>+H971</f>
        <v>6760</v>
      </c>
      <c r="J972" s="350"/>
    </row>
    <row r="973" spans="1:21" x14ac:dyDescent="0.35">
      <c r="A973">
        <v>40</v>
      </c>
      <c r="B973" s="263">
        <v>1149120011</v>
      </c>
      <c r="C973" s="10" t="s">
        <v>96</v>
      </c>
      <c r="D973" s="298">
        <f>+Q971</f>
        <v>423678.20776000002</v>
      </c>
      <c r="E973" s="263" t="s">
        <v>98</v>
      </c>
      <c r="F973">
        <v>40</v>
      </c>
      <c r="G973" s="318" t="str">
        <f t="shared" ref="G973:G978" si="56">+G972</f>
        <v>"04-2026" RF T88 6760</v>
      </c>
      <c r="H973" s="252"/>
      <c r="I973" s="312">
        <f>+I972</f>
        <v>6760</v>
      </c>
      <c r="J973" s="350"/>
    </row>
    <row r="974" spans="1:21" x14ac:dyDescent="0.35">
      <c r="A974">
        <v>50</v>
      </c>
      <c r="B974" s="263">
        <v>1149120011</v>
      </c>
      <c r="C974" s="10" t="s">
        <v>96</v>
      </c>
      <c r="D974" s="268">
        <f>-D973</f>
        <v>-423678.20776000002</v>
      </c>
      <c r="E974" s="263" t="s">
        <v>97</v>
      </c>
      <c r="F974">
        <v>50</v>
      </c>
      <c r="G974" s="318" t="str">
        <f t="shared" si="56"/>
        <v>"04-2026" RF T88 6760</v>
      </c>
      <c r="H974" s="252"/>
      <c r="I974" s="312">
        <f>+I973</f>
        <v>6760</v>
      </c>
      <c r="J974" s="350"/>
    </row>
    <row r="975" spans="1:21" x14ac:dyDescent="0.35">
      <c r="A975">
        <v>40</v>
      </c>
      <c r="B975" s="4">
        <v>1149120011</v>
      </c>
      <c r="C975" s="10" t="s">
        <v>96</v>
      </c>
      <c r="D975" s="268">
        <f>+P971</f>
        <v>3336048.88</v>
      </c>
      <c r="E975" t="s">
        <v>97</v>
      </c>
      <c r="F975">
        <v>40</v>
      </c>
      <c r="G975" s="318" t="str">
        <f t="shared" si="56"/>
        <v>"04-2026" RF T88 6760</v>
      </c>
      <c r="H975" s="252"/>
      <c r="I975" s="312">
        <f>+I974</f>
        <v>6760</v>
      </c>
      <c r="J975" s="350"/>
    </row>
    <row r="976" spans="1:21" x14ac:dyDescent="0.35">
      <c r="A976">
        <v>50</v>
      </c>
      <c r="B976" s="4">
        <v>1249100024</v>
      </c>
      <c r="C976" s="10" t="s">
        <v>981</v>
      </c>
      <c r="D976" s="268">
        <f>-D972*K976</f>
        <v>-169611.74832000001</v>
      </c>
      <c r="E976"/>
      <c r="F976">
        <v>50</v>
      </c>
      <c r="G976" s="318" t="str">
        <f t="shared" si="56"/>
        <v>"04-2026" RF T88 6760</v>
      </c>
      <c r="H976" s="252"/>
      <c r="I976" s="312">
        <f>+I975</f>
        <v>6760</v>
      </c>
      <c r="J976" s="206">
        <v>1</v>
      </c>
      <c r="K976" s="447">
        <v>9.6600000000000002E-3</v>
      </c>
    </row>
    <row r="977" spans="1:21" x14ac:dyDescent="0.35">
      <c r="A977">
        <v>50</v>
      </c>
      <c r="B977" s="4">
        <v>1246125027</v>
      </c>
      <c r="C977" s="10" t="s">
        <v>962</v>
      </c>
      <c r="D977" s="268">
        <f>-D972*K977</f>
        <v>-614535.32000000007</v>
      </c>
      <c r="E977"/>
      <c r="F977">
        <v>50</v>
      </c>
      <c r="G977" s="318" t="str">
        <f t="shared" si="56"/>
        <v>"04-2026" RF T88 6760</v>
      </c>
      <c r="H977" s="252"/>
      <c r="I977" s="312">
        <f>+I976</f>
        <v>6760</v>
      </c>
      <c r="J977" s="387" t="s">
        <v>857</v>
      </c>
      <c r="K977" s="393">
        <v>3.5000000000000003E-2</v>
      </c>
    </row>
    <row r="978" spans="1:21" x14ac:dyDescent="0.35">
      <c r="C978" s="10" t="s">
        <v>76</v>
      </c>
      <c r="D978" s="265">
        <f>+D972+D973+D974+D975+D976+D977</f>
        <v>20110053.81168</v>
      </c>
      <c r="E978"/>
      <c r="G978" s="318" t="str">
        <f t="shared" si="56"/>
        <v>"04-2026" RF T88 6760</v>
      </c>
      <c r="H978" s="252"/>
      <c r="J978" s="350"/>
    </row>
    <row r="979" spans="1:21" x14ac:dyDescent="0.35">
      <c r="A979" s="130" t="s">
        <v>1048</v>
      </c>
      <c r="B979" s="14">
        <v>208208</v>
      </c>
      <c r="C979" s="15" t="s">
        <v>1049</v>
      </c>
      <c r="D979" s="298"/>
      <c r="E979"/>
      <c r="G979" s="346" t="s">
        <v>601</v>
      </c>
      <c r="H979" s="257">
        <v>6764</v>
      </c>
      <c r="J979" s="350">
        <f>+VLOOKUP(H979,contratos!A:R,5,0)</f>
        <v>42736</v>
      </c>
      <c r="K979" s="266" t="str">
        <f>+VLOOKUP(H979,contratos!A:R,12,0)</f>
        <v>OK</v>
      </c>
      <c r="L979" s="341" t="str">
        <f>+VLOOKUP(H979,contratos!A:R,13,0)</f>
        <v>VIGENTE</v>
      </c>
      <c r="M979" s="341">
        <f>+VLOOKUP(H979,contratos!A:R,15,0)</f>
        <v>0</v>
      </c>
      <c r="N979" s="336">
        <f>+VLOOKUP(H979,contratos!A:R,16,0)</f>
        <v>0</v>
      </c>
      <c r="O979" s="341">
        <f>+VLOOKUP(H979,PRORRATEO!F:M,3,0)</f>
        <v>14395286</v>
      </c>
      <c r="P979" s="341">
        <f>+VLOOKUP(H979,PRORRATEO!F:M,4,0)</f>
        <v>2735104.34</v>
      </c>
      <c r="Q979" s="341">
        <f>+VLOOKUP(H979,PRORRATEO!F:M,5,0)</f>
        <v>235218.97323999996</v>
      </c>
      <c r="R979" s="341">
        <f>+VLOOKUP(H979,PRORRATEO!F:M,6,0)</f>
        <v>2499885.3667600001</v>
      </c>
      <c r="S979" s="339">
        <f>+VLOOKUP(H979,PRORRATEO!F:M,7,0)</f>
        <v>8.5999999999999993E-2</v>
      </c>
      <c r="T979" s="339">
        <f>+VLOOKUP(H979,PRORRATEO!F:M,8,0)</f>
        <v>0.91400000000000003</v>
      </c>
      <c r="U979" t="s">
        <v>793</v>
      </c>
    </row>
    <row r="980" spans="1:21" x14ac:dyDescent="0.35">
      <c r="A980">
        <v>40</v>
      </c>
      <c r="B980" s="4">
        <v>1245150017</v>
      </c>
      <c r="C980" s="10" t="s">
        <v>77</v>
      </c>
      <c r="D980" s="268">
        <v>13000000</v>
      </c>
      <c r="E980" t="s">
        <v>97</v>
      </c>
      <c r="F980">
        <v>40</v>
      </c>
      <c r="G980" s="318" t="str">
        <f>+CONCATENATE($G$7," RF ",G979," ",H979)</f>
        <v>"04-2026" RF T092 6764</v>
      </c>
      <c r="H980" s="252"/>
      <c r="I980" s="312">
        <f>+H979</f>
        <v>6764</v>
      </c>
      <c r="J980" s="350"/>
    </row>
    <row r="981" spans="1:21" x14ac:dyDescent="0.35">
      <c r="A981">
        <v>40</v>
      </c>
      <c r="B981" s="4">
        <v>1149120011</v>
      </c>
      <c r="C981" s="10" t="s">
        <v>96</v>
      </c>
      <c r="D981" s="268">
        <v>212420</v>
      </c>
      <c r="E981" t="s">
        <v>98</v>
      </c>
      <c r="F981">
        <v>40</v>
      </c>
      <c r="G981" s="318" t="str">
        <f t="shared" ref="G981:G986" si="57">+G980</f>
        <v>"04-2026" RF T092 6764</v>
      </c>
      <c r="H981" s="252"/>
      <c r="I981" s="312">
        <f t="shared" ref="I981:I986" si="58">+I980</f>
        <v>6764</v>
      </c>
      <c r="J981" s="350"/>
    </row>
    <row r="982" spans="1:21" x14ac:dyDescent="0.35">
      <c r="A982">
        <v>50</v>
      </c>
      <c r="B982" s="4">
        <v>1149120011</v>
      </c>
      <c r="C982" s="10" t="s">
        <v>96</v>
      </c>
      <c r="D982" s="268">
        <v>-212420</v>
      </c>
      <c r="E982" t="s">
        <v>97</v>
      </c>
      <c r="F982">
        <v>50</v>
      </c>
      <c r="G982" s="318" t="str">
        <f t="shared" si="57"/>
        <v>"04-2026" RF T092 6764</v>
      </c>
      <c r="H982" s="252"/>
      <c r="I982" s="312">
        <f t="shared" si="58"/>
        <v>6764</v>
      </c>
      <c r="J982" s="350"/>
    </row>
    <row r="983" spans="1:21" x14ac:dyDescent="0.35">
      <c r="A983">
        <v>40</v>
      </c>
      <c r="B983" s="4">
        <v>1149120011</v>
      </c>
      <c r="C983" s="10" t="s">
        <v>96</v>
      </c>
      <c r="D983" s="268">
        <v>2470000</v>
      </c>
      <c r="E983" t="s">
        <v>97</v>
      </c>
      <c r="F983">
        <v>40</v>
      </c>
      <c r="G983" s="318" t="str">
        <f t="shared" si="57"/>
        <v>"04-2026" RF T092 6764</v>
      </c>
      <c r="H983" s="252"/>
      <c r="I983" s="312">
        <f t="shared" si="58"/>
        <v>6764</v>
      </c>
      <c r="J983" s="350"/>
    </row>
    <row r="984" spans="1:21" x14ac:dyDescent="0.35">
      <c r="A984">
        <v>50</v>
      </c>
      <c r="B984" s="4">
        <v>1249100024</v>
      </c>
      <c r="C984" s="10" t="s">
        <v>981</v>
      </c>
      <c r="D984" s="268">
        <v>-125580</v>
      </c>
      <c r="E984"/>
      <c r="F984">
        <v>50</v>
      </c>
      <c r="G984" s="318" t="str">
        <f t="shared" si="57"/>
        <v>"04-2026" RF T092 6764</v>
      </c>
      <c r="H984" s="252"/>
      <c r="I984" s="312">
        <f t="shared" si="58"/>
        <v>6764</v>
      </c>
      <c r="J984" s="350"/>
    </row>
    <row r="985" spans="1:21" x14ac:dyDescent="0.35">
      <c r="A985">
        <v>50</v>
      </c>
      <c r="B985" s="4">
        <v>1246125027</v>
      </c>
      <c r="C985" s="10" t="s">
        <v>962</v>
      </c>
      <c r="D985" s="268">
        <v>-455000</v>
      </c>
      <c r="E985"/>
      <c r="F985">
        <v>50</v>
      </c>
      <c r="G985" s="318" t="str">
        <f t="shared" si="57"/>
        <v>"04-2026" RF T092 6764</v>
      </c>
      <c r="H985" s="252"/>
      <c r="I985" s="312">
        <f t="shared" si="58"/>
        <v>6764</v>
      </c>
      <c r="J985" s="350"/>
    </row>
    <row r="986" spans="1:21" x14ac:dyDescent="0.35">
      <c r="C986" s="10" t="s">
        <v>76</v>
      </c>
      <c r="D986" s="265">
        <v>14889420</v>
      </c>
      <c r="E986"/>
      <c r="G986" s="318" t="str">
        <f t="shared" si="57"/>
        <v>"04-2026" RF T092 6764</v>
      </c>
      <c r="H986" s="252"/>
      <c r="I986" s="312">
        <f t="shared" si="58"/>
        <v>6764</v>
      </c>
      <c r="J986" s="350"/>
    </row>
    <row r="987" spans="1:21" x14ac:dyDescent="0.35">
      <c r="A987" s="130" t="s">
        <v>1048</v>
      </c>
      <c r="B987" s="14">
        <v>208208</v>
      </c>
      <c r="C987" s="15" t="s">
        <v>1049</v>
      </c>
      <c r="E987"/>
      <c r="G987" s="346" t="s">
        <v>1154</v>
      </c>
      <c r="H987" s="257">
        <v>6766</v>
      </c>
      <c r="J987" s="350">
        <f>+VLOOKUP(H987,contratos!A:R,5,0)</f>
        <v>41913</v>
      </c>
      <c r="K987" s="266" t="str">
        <f>+VLOOKUP(H987,contratos!A:R,12,0)</f>
        <v>VENCIDO</v>
      </c>
      <c r="L987" s="341" t="str">
        <f>+VLOOKUP(H987,contratos!A:R,13,0)</f>
        <v>CERRADA</v>
      </c>
      <c r="M987" s="341">
        <f>+VLOOKUP(H987,contratos!A:R,15,0)</f>
        <v>0</v>
      </c>
      <c r="N987" s="336">
        <f>+VLOOKUP(H987,contratos!A:R,16,0)</f>
        <v>0</v>
      </c>
      <c r="O987" s="341">
        <f>+VLOOKUP(H987,PRORRATEO!F:M,3,0)</f>
        <v>28412800</v>
      </c>
      <c r="P987" s="341">
        <f>+VLOOKUP(H987,PRORRATEO!F:M,4,0)</f>
        <v>5398432</v>
      </c>
      <c r="Q987" s="341">
        <f>+VLOOKUP(H987,PRORRATEO!F:M,5,0)</f>
        <v>685600.86400000006</v>
      </c>
      <c r="R987" s="341">
        <f>+VLOOKUP(H987,PRORRATEO!F:M,6,0)</f>
        <v>4712831.1359999999</v>
      </c>
      <c r="S987" s="339">
        <f>+VLOOKUP(H987,PRORRATEO!F:M,7,0)</f>
        <v>0.127</v>
      </c>
      <c r="T987" s="339">
        <f>+VLOOKUP(H987,PRORRATEO!F:M,8,0)</f>
        <v>0.873</v>
      </c>
      <c r="U987" t="s">
        <v>795</v>
      </c>
    </row>
    <row r="988" spans="1:21" x14ac:dyDescent="0.35">
      <c r="A988">
        <v>40</v>
      </c>
      <c r="B988" s="4">
        <v>1245150017</v>
      </c>
      <c r="C988" s="10" t="s">
        <v>77</v>
      </c>
      <c r="D988" s="268">
        <v>15061073</v>
      </c>
      <c r="E988" t="s">
        <v>97</v>
      </c>
      <c r="F988">
        <v>40</v>
      </c>
      <c r="G988" s="318" t="str">
        <f>+CONCATENATE($G$7," RF ",G987," ",H987)</f>
        <v>"04-2026" RF T96 6766</v>
      </c>
      <c r="H988" s="252"/>
      <c r="J988" s="350"/>
    </row>
    <row r="989" spans="1:21" x14ac:dyDescent="0.35">
      <c r="A989">
        <v>50</v>
      </c>
      <c r="B989" s="4">
        <v>1149120011</v>
      </c>
      <c r="C989" s="10" t="s">
        <v>96</v>
      </c>
      <c r="D989" s="268" t="s">
        <v>1051</v>
      </c>
      <c r="E989" t="s">
        <v>97</v>
      </c>
      <c r="F989">
        <v>50</v>
      </c>
      <c r="G989" s="318" t="str">
        <f t="shared" ref="G989:G994" si="59">+G988</f>
        <v>"04-2026" RF T96 6766</v>
      </c>
      <c r="H989" s="252"/>
      <c r="J989" s="350"/>
    </row>
    <row r="990" spans="1:21" x14ac:dyDescent="0.35">
      <c r="A990">
        <v>40</v>
      </c>
      <c r="B990" s="4">
        <v>1149120011</v>
      </c>
      <c r="C990" s="10" t="s">
        <v>96</v>
      </c>
      <c r="D990" s="268">
        <v>726847</v>
      </c>
      <c r="E990" t="s">
        <v>98</v>
      </c>
      <c r="F990">
        <v>40</v>
      </c>
      <c r="G990" s="318" t="str">
        <f t="shared" si="59"/>
        <v>"04-2026" RF T96 6766</v>
      </c>
      <c r="H990" s="252"/>
      <c r="J990" s="350"/>
    </row>
    <row r="991" spans="1:21" x14ac:dyDescent="0.35">
      <c r="A991">
        <v>40</v>
      </c>
      <c r="B991" s="4">
        <v>1149120011</v>
      </c>
      <c r="C991" s="10" t="s">
        <v>96</v>
      </c>
      <c r="D991" s="268">
        <v>2861604</v>
      </c>
      <c r="E991" t="s">
        <v>97</v>
      </c>
      <c r="F991">
        <v>40</v>
      </c>
      <c r="G991" s="318" t="str">
        <f t="shared" si="59"/>
        <v>"04-2026" RF T96 6766</v>
      </c>
      <c r="H991" s="252"/>
      <c r="J991" s="350"/>
    </row>
    <row r="992" spans="1:21" x14ac:dyDescent="0.35">
      <c r="A992">
        <v>50</v>
      </c>
      <c r="B992" s="4">
        <v>1249100024</v>
      </c>
      <c r="C992" s="10" t="s">
        <v>981</v>
      </c>
      <c r="D992" s="298" t="s">
        <v>1052</v>
      </c>
      <c r="E992"/>
      <c r="F992">
        <v>50</v>
      </c>
      <c r="G992" s="318" t="str">
        <f t="shared" si="59"/>
        <v>"04-2026" RF T96 6766</v>
      </c>
      <c r="H992" s="252"/>
      <c r="J992" s="350"/>
    </row>
    <row r="993" spans="1:21" x14ac:dyDescent="0.35">
      <c r="A993">
        <v>50</v>
      </c>
      <c r="B993" s="4">
        <v>1246125027</v>
      </c>
      <c r="C993" s="10" t="s">
        <v>962</v>
      </c>
      <c r="D993" s="268" t="s">
        <v>1053</v>
      </c>
      <c r="E993"/>
      <c r="F993">
        <v>50</v>
      </c>
      <c r="G993" s="318" t="str">
        <f t="shared" si="59"/>
        <v>"04-2026" RF T96 6766</v>
      </c>
      <c r="H993" s="252"/>
      <c r="J993" s="350"/>
    </row>
    <row r="994" spans="1:21" x14ac:dyDescent="0.35">
      <c r="C994" s="10" t="s">
        <v>76</v>
      </c>
      <c r="D994" s="265">
        <v>17250049</v>
      </c>
      <c r="E994"/>
      <c r="G994" s="318" t="str">
        <f t="shared" si="59"/>
        <v>"04-2026" RF T96 6766</v>
      </c>
      <c r="H994" s="252"/>
      <c r="J994" s="350"/>
    </row>
    <row r="995" spans="1:21" x14ac:dyDescent="0.35">
      <c r="A995" s="130" t="s">
        <v>1048</v>
      </c>
      <c r="B995" s="14">
        <v>208210</v>
      </c>
      <c r="C995" s="15" t="s">
        <v>1050</v>
      </c>
      <c r="D995" s="298"/>
      <c r="E995"/>
      <c r="G995" s="346" t="s">
        <v>1154</v>
      </c>
      <c r="H995" s="257">
        <v>6766</v>
      </c>
      <c r="I995" s="251" t="s">
        <v>1045</v>
      </c>
      <c r="J995" s="350">
        <f>+VLOOKUP(H995,contratos!A:R,5,0)</f>
        <v>41913</v>
      </c>
      <c r="K995" s="266" t="str">
        <f>+VLOOKUP(H995,contratos!A:R,12,0)</f>
        <v>VENCIDO</v>
      </c>
      <c r="L995" s="341" t="str">
        <f>+VLOOKUP(H995,contratos!A:R,13,0)</f>
        <v>CERRADA</v>
      </c>
      <c r="M995" s="341">
        <f>+VLOOKUP(H995,contratos!A:R,15,0)</f>
        <v>0</v>
      </c>
      <c r="N995" s="336">
        <f>+VLOOKUP(H995,contratos!A:R,16,0)</f>
        <v>0</v>
      </c>
      <c r="O995" s="341">
        <f>+VLOOKUP(H995,PRORRATEO!F:M,3,0)</f>
        <v>28412800</v>
      </c>
      <c r="P995" s="341">
        <f>+VLOOKUP(H995,PRORRATEO!F:M,4,0)</f>
        <v>5398432</v>
      </c>
      <c r="Q995" s="341">
        <f>+VLOOKUP(H995,PRORRATEO!F:M,5,0)</f>
        <v>685600.86400000006</v>
      </c>
      <c r="R995" s="341">
        <f>+VLOOKUP(H995,PRORRATEO!F:M,6,0)</f>
        <v>4712831.1359999999</v>
      </c>
      <c r="S995" s="339">
        <f>+VLOOKUP(H995,PRORRATEO!F:M,7,0)</f>
        <v>0.127</v>
      </c>
      <c r="T995" s="339">
        <f>+VLOOKUP(H995,PRORRATEO!F:M,8,0)</f>
        <v>0.873</v>
      </c>
      <c r="U995" t="s">
        <v>795</v>
      </c>
    </row>
    <row r="996" spans="1:21" x14ac:dyDescent="0.35">
      <c r="A996">
        <v>40</v>
      </c>
      <c r="B996" s="4">
        <v>1245150017</v>
      </c>
      <c r="C996" s="10" t="s">
        <v>77</v>
      </c>
      <c r="D996" s="268">
        <v>15061073</v>
      </c>
      <c r="E996" t="s">
        <v>97</v>
      </c>
      <c r="F996">
        <v>40</v>
      </c>
      <c r="G996" s="318" t="str">
        <f>+CONCATENATE($G$7," RF ",G995," ",H995)</f>
        <v>"04-2026" RF T96 6766</v>
      </c>
      <c r="H996" s="252"/>
      <c r="I996" s="312">
        <f>+H995</f>
        <v>6766</v>
      </c>
      <c r="J996" s="350"/>
    </row>
    <row r="997" spans="1:21" x14ac:dyDescent="0.35">
      <c r="A997">
        <v>40</v>
      </c>
      <c r="B997" s="4">
        <v>1149120011</v>
      </c>
      <c r="C997" s="10" t="s">
        <v>96</v>
      </c>
      <c r="D997" s="268">
        <v>2861604</v>
      </c>
      <c r="E997" t="s">
        <v>97</v>
      </c>
      <c r="F997">
        <v>40</v>
      </c>
      <c r="G997" s="318" t="str">
        <f>+G996</f>
        <v>"04-2026" RF T96 6766</v>
      </c>
      <c r="H997" s="252"/>
      <c r="I997" s="312">
        <f>+I996</f>
        <v>6766</v>
      </c>
      <c r="J997" s="350"/>
    </row>
    <row r="998" spans="1:21" x14ac:dyDescent="0.35">
      <c r="A998">
        <v>50</v>
      </c>
      <c r="B998" s="4">
        <v>1249100024</v>
      </c>
      <c r="C998" s="10" t="s">
        <v>981</v>
      </c>
      <c r="D998" s="268" t="s">
        <v>1052</v>
      </c>
      <c r="E998"/>
      <c r="F998">
        <v>50</v>
      </c>
      <c r="G998" s="318" t="str">
        <f>+G997</f>
        <v>"04-2026" RF T96 6766</v>
      </c>
      <c r="H998" s="252"/>
      <c r="J998" s="350"/>
    </row>
    <row r="999" spans="1:21" x14ac:dyDescent="0.35">
      <c r="A999">
        <v>50</v>
      </c>
      <c r="B999" s="4">
        <v>1246125027</v>
      </c>
      <c r="C999" s="10" t="s">
        <v>962</v>
      </c>
      <c r="D999" s="268" t="s">
        <v>1053</v>
      </c>
      <c r="E999"/>
      <c r="F999">
        <v>50</v>
      </c>
      <c r="G999" s="318" t="str">
        <f>+G998</f>
        <v>"04-2026" RF T96 6766</v>
      </c>
      <c r="H999" s="252"/>
      <c r="J999" s="350"/>
    </row>
    <row r="1000" spans="1:21" x14ac:dyDescent="0.35">
      <c r="D1000" s="332">
        <v>17250049</v>
      </c>
      <c r="E1000"/>
      <c r="G1000" s="318" t="str">
        <f>+G999</f>
        <v>"04-2026" RF T96 6766</v>
      </c>
      <c r="H1000" s="252"/>
      <c r="J1000" s="350"/>
    </row>
    <row r="1001" spans="1:21" x14ac:dyDescent="0.35">
      <c r="A1001" s="130" t="s">
        <v>1048</v>
      </c>
      <c r="B1001" s="14">
        <v>210118</v>
      </c>
      <c r="C1001" s="15" t="s">
        <v>1054</v>
      </c>
      <c r="E1001"/>
      <c r="G1001" s="346" t="s">
        <v>1155</v>
      </c>
      <c r="H1001" s="258">
        <v>9104</v>
      </c>
      <c r="I1001" s="251" t="s">
        <v>1055</v>
      </c>
      <c r="J1001" s="350">
        <f>+VLOOKUP(H1001,contratos!A:R,5,0)</f>
        <v>42917</v>
      </c>
      <c r="K1001" s="266" t="str">
        <f>+VLOOKUP(H1001,contratos!A:R,12,0)</f>
        <v>VENCIDO</v>
      </c>
      <c r="L1001" s="341" t="str">
        <f>+VLOOKUP(H1001,contratos!A:R,13,0)</f>
        <v>CESADO</v>
      </c>
      <c r="M1001" s="341">
        <f>+VLOOKUP(H1001,contratos!A:R,15,0)</f>
        <v>0</v>
      </c>
      <c r="N1001" s="336">
        <f>+VLOOKUP(H1001,contratos!A:R,16,0)</f>
        <v>0</v>
      </c>
      <c r="O1001" s="341">
        <f>+VLOOKUP(B1001,PRORRATEO!A:M,8,0)</f>
        <v>48028276</v>
      </c>
      <c r="P1001" s="341">
        <f>+VLOOKUP(B1001,PRORRATEO!A:M,9,0)</f>
        <v>9125372.4399999995</v>
      </c>
      <c r="Q1001" s="341">
        <f>+VLOOKUP(B1001,PRORRATEO!A:M,10,0)</f>
        <v>9125372.4399999995</v>
      </c>
      <c r="R1001" s="341">
        <f>+VLOOKUP(B1001,PRORRATEO!A:M,11,0)</f>
        <v>0</v>
      </c>
      <c r="S1001" s="339">
        <f>+VLOOKUP(B1001,PRORRATEO!A:M,12,0)</f>
        <v>1</v>
      </c>
      <c r="T1001" s="339">
        <f>+VLOOKUP(B1001,PRORRATEO!A:M,13,0)</f>
        <v>0</v>
      </c>
      <c r="U1001" t="s">
        <v>35</v>
      </c>
    </row>
    <row r="1002" spans="1:21" x14ac:dyDescent="0.35">
      <c r="B1002" s="263">
        <v>1245150017</v>
      </c>
      <c r="C1002" s="10" t="s">
        <v>77</v>
      </c>
      <c r="D1002" s="268">
        <f>+O1001</f>
        <v>48028276</v>
      </c>
      <c r="E1002" s="263" t="s">
        <v>98</v>
      </c>
      <c r="F1002">
        <v>40</v>
      </c>
      <c r="G1002" s="318" t="str">
        <f>+CONCATENATE($G$7," RF ",G1001," ",H1001)</f>
        <v>"04-2026" RF TSGH602 9104</v>
      </c>
      <c r="H1002" s="252"/>
      <c r="I1002" s="312">
        <f>+H1001</f>
        <v>9104</v>
      </c>
      <c r="J1002" s="350"/>
    </row>
    <row r="1003" spans="1:21" x14ac:dyDescent="0.35">
      <c r="B1003" s="4">
        <v>1149120011</v>
      </c>
      <c r="C1003" s="10" t="s">
        <v>96</v>
      </c>
      <c r="D1003" s="268">
        <f>+P1001</f>
        <v>9125372.4399999995</v>
      </c>
      <c r="E1003" t="s">
        <v>98</v>
      </c>
      <c r="F1003">
        <v>40</v>
      </c>
      <c r="G1003" s="318" t="str">
        <f>+G1002</f>
        <v>"04-2026" RF TSGH602 9104</v>
      </c>
      <c r="H1003" s="252"/>
      <c r="I1003" s="312">
        <f>+I1002</f>
        <v>9104</v>
      </c>
      <c r="J1003" s="350"/>
    </row>
    <row r="1004" spans="1:21" x14ac:dyDescent="0.35">
      <c r="B1004" s="4">
        <v>1249100024</v>
      </c>
      <c r="C1004" s="10" t="s">
        <v>981</v>
      </c>
      <c r="D1004" s="298">
        <f>-D1002*J1004</f>
        <v>-463952.99999999983</v>
      </c>
      <c r="E1004"/>
      <c r="F1004">
        <v>50</v>
      </c>
      <c r="G1004" s="318" t="str">
        <f>+G1003</f>
        <v>"04-2026" RF TSGH602 9104</v>
      </c>
      <c r="H1004" s="252"/>
      <c r="I1004" s="312">
        <f>+I1003</f>
        <v>9104</v>
      </c>
      <c r="J1004" s="354">
        <v>9.6599969567926994E-3</v>
      </c>
      <c r="K1004" s="408">
        <v>1</v>
      </c>
    </row>
    <row r="1005" spans="1:21" x14ac:dyDescent="0.35">
      <c r="B1005" s="4">
        <v>1246125027</v>
      </c>
      <c r="C1005" s="10" t="s">
        <v>962</v>
      </c>
      <c r="D1005" s="268">
        <f>+D1002*J1005</f>
        <v>-1680989.1431602454</v>
      </c>
      <c r="E1005"/>
      <c r="F1005">
        <v>50</v>
      </c>
      <c r="G1005" s="318" t="str">
        <f>+G1004</f>
        <v>"04-2026" RF TSGH602 9104</v>
      </c>
      <c r="H1005" s="252"/>
      <c r="I1005" s="312">
        <f>+I1004</f>
        <v>9104</v>
      </c>
      <c r="J1005" s="352">
        <v>-3.4999989238844328E-2</v>
      </c>
      <c r="K1005" s="240" t="s">
        <v>857</v>
      </c>
    </row>
    <row r="1006" spans="1:21" x14ac:dyDescent="0.35">
      <c r="C1006" s="10" t="s">
        <v>76</v>
      </c>
      <c r="D1006" s="265">
        <f>SUBTOTAL(9,D1002:D1005)</f>
        <v>55008706.296839751</v>
      </c>
      <c r="E1006"/>
      <c r="G1006" s="318" t="str">
        <f>+G1005</f>
        <v>"04-2026" RF TSGH602 9104</v>
      </c>
      <c r="H1006" s="252"/>
      <c r="I1006" s="312"/>
      <c r="J1006" s="350"/>
    </row>
    <row r="1007" spans="1:21" x14ac:dyDescent="0.35">
      <c r="A1007" s="130" t="s">
        <v>854</v>
      </c>
      <c r="B1007" s="14">
        <v>204942</v>
      </c>
      <c r="C1007" s="15" t="s">
        <v>1056</v>
      </c>
      <c r="E1007"/>
      <c r="G1007" s="346" t="s">
        <v>1156</v>
      </c>
      <c r="H1007" s="257">
        <v>6692</v>
      </c>
      <c r="I1007" s="10" t="s">
        <v>865</v>
      </c>
      <c r="J1007" s="350">
        <f>+VLOOKUP(H1007,contratos!A:R,5,0)</f>
        <v>43069</v>
      </c>
      <c r="K1007" s="266" t="str">
        <f>+VLOOKUP(H1007,contratos!A:R,12,0)</f>
        <v>VENCIDO</v>
      </c>
      <c r="L1007" s="341" t="str">
        <f>+VLOOKUP(H1007,contratos!A:R,13,0)</f>
        <v>CESADO</v>
      </c>
      <c r="M1007" s="341">
        <f>+VLOOKUP(H1007,contratos!A:R,15,0)</f>
        <v>0</v>
      </c>
      <c r="N1007" s="336">
        <f>+VLOOKUP(H1007,contratos!A:R,16,0)</f>
        <v>0</v>
      </c>
      <c r="O1007" s="341">
        <f>+VLOOKUP(H1007,PRORRATEO!F:M,3,0)</f>
        <v>15240965</v>
      </c>
      <c r="P1007" s="341">
        <f>+VLOOKUP(H1007,PRORRATEO!F:M,4,0)</f>
        <v>2895783.35</v>
      </c>
      <c r="Q1007" s="341">
        <f>+VLOOKUP(H1007,PRORRATEO!F:M,5,0)</f>
        <v>266659.5561540777</v>
      </c>
      <c r="R1007" s="341">
        <f>+VLOOKUP(H1007,PRORRATEO!F:M,6,0)</f>
        <v>2629123.7938459227</v>
      </c>
      <c r="S1007" s="339">
        <f>+VLOOKUP(H1007,PRORRATEO!F:M,7,0)</f>
        <v>9.2085464941318099E-2</v>
      </c>
      <c r="T1007" s="339">
        <f>+VLOOKUP(H1007,PRORRATEO!F:M,8,0)</f>
        <v>0.90791453505868203</v>
      </c>
      <c r="U1007" t="s">
        <v>63</v>
      </c>
    </row>
    <row r="1008" spans="1:21" x14ac:dyDescent="0.35">
      <c r="B1008" s="4">
        <v>1245150017</v>
      </c>
      <c r="C1008" s="10" t="s">
        <v>77</v>
      </c>
      <c r="D1008" s="268">
        <v>3201300</v>
      </c>
      <c r="E1008" t="s">
        <v>97</v>
      </c>
      <c r="F1008">
        <v>40</v>
      </c>
      <c r="G1008" s="10" t="str">
        <f>+CONCATENATE($G$7," GC ",G1007," ",H1007)</f>
        <v>"04-2026" GC T69 6692</v>
      </c>
      <c r="H1008" s="252"/>
      <c r="I1008" s="312">
        <f>+H1007</f>
        <v>6692</v>
      </c>
      <c r="J1008" s="350"/>
    </row>
    <row r="1009" spans="1:21" x14ac:dyDescent="0.35">
      <c r="B1009" s="4">
        <v>1149120011</v>
      </c>
      <c r="C1009" s="10" t="s">
        <v>96</v>
      </c>
      <c r="D1009" s="268">
        <f>+D1008*0.19</f>
        <v>608247</v>
      </c>
      <c r="E1009" t="s">
        <v>97</v>
      </c>
      <c r="F1009">
        <v>40</v>
      </c>
      <c r="G1009" s="318" t="str">
        <f>+G1008</f>
        <v>"04-2026" GC T69 6692</v>
      </c>
      <c r="H1009" s="252"/>
      <c r="I1009" s="312">
        <f>+I1008</f>
        <v>6692</v>
      </c>
      <c r="J1009" s="350"/>
    </row>
    <row r="1010" spans="1:21" x14ac:dyDescent="0.35">
      <c r="C1010" s="251" t="s">
        <v>76</v>
      </c>
      <c r="D1010" s="265">
        <f>SUM(D1008:D1009)</f>
        <v>3809547</v>
      </c>
      <c r="E1010"/>
      <c r="G1010" s="318" t="str">
        <f>+G1009</f>
        <v>"04-2026" GC T69 6692</v>
      </c>
      <c r="H1010" s="252"/>
      <c r="J1010" s="350"/>
    </row>
    <row r="1011" spans="1:21" x14ac:dyDescent="0.35">
      <c r="A1011" s="130" t="s">
        <v>854</v>
      </c>
      <c r="B1011" s="14">
        <v>206377</v>
      </c>
      <c r="C1011" s="15" t="s">
        <v>1057</v>
      </c>
      <c r="E1011"/>
      <c r="G1011" s="346" t="s">
        <v>394</v>
      </c>
      <c r="H1011" s="257">
        <v>8712</v>
      </c>
      <c r="J1011" s="350">
        <f>+VLOOKUP(H1011,contratos!A:R,5,0)</f>
        <v>42621</v>
      </c>
      <c r="K1011" s="266" t="str">
        <f>+VLOOKUP(H1011,contratos!A:R,12,0)</f>
        <v>OK</v>
      </c>
      <c r="L1011" s="341" t="str">
        <f>+VLOOKUP(H1011,contratos!A:R,13,0)</f>
        <v>VIGENTE</v>
      </c>
      <c r="M1011" s="341">
        <f>+VLOOKUP(H1011,contratos!A:R,15,0)</f>
        <v>0</v>
      </c>
      <c r="N1011" s="336">
        <f>+VLOOKUP(H1011,contratos!A:R,16,0)</f>
        <v>0</v>
      </c>
      <c r="O1011" s="341">
        <f>+VLOOKUP(H1011,PRORRATEO!F:M,3,0)</f>
        <v>1815944</v>
      </c>
      <c r="P1011" s="341">
        <f>+VLOOKUP(H1011,PRORRATEO!F:M,4,0)</f>
        <v>345029.36</v>
      </c>
      <c r="Q1011" s="341">
        <f>+VLOOKUP(H1011,PRORRATEO!F:M,5,0)</f>
        <v>34847.965360000002</v>
      </c>
      <c r="R1011" s="341">
        <f>+VLOOKUP(H1011,PRORRATEO!F:M,6,0)</f>
        <v>310181.39464000001</v>
      </c>
      <c r="S1011" s="339">
        <f>+VLOOKUP(H1011,PRORRATEO!F:M,7,0)</f>
        <v>0.10100000000000001</v>
      </c>
      <c r="T1011" s="339">
        <f>+VLOOKUP(H1011,PRORRATEO!F:M,8,0)</f>
        <v>0.89900000000000002</v>
      </c>
      <c r="U1011" t="s">
        <v>47</v>
      </c>
    </row>
    <row r="1012" spans="1:21" x14ac:dyDescent="0.35">
      <c r="B1012" s="4">
        <v>1537210002</v>
      </c>
      <c r="C1012" s="10" t="s">
        <v>1015</v>
      </c>
      <c r="D1012" s="268">
        <v>2832000</v>
      </c>
      <c r="E1012" t="s">
        <v>80</v>
      </c>
      <c r="F1012">
        <v>40</v>
      </c>
      <c r="G1012" s="10" t="str">
        <f>+CONCATENATE($G$7," GC ",G1011," ",H1011)</f>
        <v>"04-2026" GC T110 8712</v>
      </c>
      <c r="H1012" s="252"/>
      <c r="I1012" s="312">
        <f>+H1011</f>
        <v>8712</v>
      </c>
      <c r="J1012" s="350"/>
    </row>
    <row r="1013" spans="1:21" x14ac:dyDescent="0.35">
      <c r="C1013" s="251" t="s">
        <v>76</v>
      </c>
      <c r="D1013" s="265">
        <v>2307000</v>
      </c>
      <c r="E1013"/>
      <c r="G1013" s="10" t="str">
        <f>+G1012</f>
        <v>"04-2026" GC T110 8712</v>
      </c>
      <c r="H1013" s="252"/>
      <c r="J1013" s="350"/>
    </row>
    <row r="1014" spans="1:21" x14ac:dyDescent="0.35">
      <c r="A1014" s="130" t="s">
        <v>854</v>
      </c>
      <c r="B1014" s="14">
        <v>204618</v>
      </c>
      <c r="C1014" s="15" t="s">
        <v>71</v>
      </c>
      <c r="E1014"/>
      <c r="G1014" s="346" t="s">
        <v>539</v>
      </c>
      <c r="H1014" s="257">
        <v>6660</v>
      </c>
      <c r="J1014" s="350">
        <f>+VLOOKUP(H1014,contratos!A:R,5,0)</f>
        <v>0</v>
      </c>
      <c r="K1014" s="266" t="str">
        <f>+VLOOKUP(H1014,contratos!A:R,12,0)</f>
        <v>OK</v>
      </c>
      <c r="L1014" s="341" t="str">
        <f>+VLOOKUP(H1014,contratos!A:R,13,0)</f>
        <v>VIGENTE</v>
      </c>
      <c r="M1014" s="341">
        <f>+VLOOKUP(H1014,contratos!A:R,15,0)</f>
        <v>0</v>
      </c>
      <c r="N1014" s="336">
        <f>+VLOOKUP(H1014,contratos!A:R,16,0)</f>
        <v>0</v>
      </c>
      <c r="O1014" s="341">
        <f>+VLOOKUP(H1014,PRORRATEO!F:M,3,0)</f>
        <v>11518362</v>
      </c>
      <c r="P1014" s="341">
        <f>+VLOOKUP(H1014,PRORRATEO!F:M,4,0)</f>
        <v>2188488.7799999998</v>
      </c>
      <c r="Q1014" s="341">
        <f>+VLOOKUP(H1014,PRORRATEO!F:M,5,0)</f>
        <v>204784.43739406776</v>
      </c>
      <c r="R1014" s="341">
        <f>+VLOOKUP(H1014,PRORRATEO!F:M,6,0)</f>
        <v>1983704.3426059322</v>
      </c>
      <c r="S1014" s="339">
        <f>+VLOOKUP(H1014,PRORRATEO!F:M,7,0)</f>
        <v>9.3573446327683607E-2</v>
      </c>
      <c r="T1014" s="339">
        <f>+VLOOKUP(H1014,PRORRATEO!F:M,8,0)</f>
        <v>0.90642655367231639</v>
      </c>
      <c r="U1014" t="s">
        <v>749</v>
      </c>
    </row>
    <row r="1015" spans="1:21" x14ac:dyDescent="0.35">
      <c r="B1015" s="263">
        <v>1537210002</v>
      </c>
      <c r="C1015" s="10" t="s">
        <v>1015</v>
      </c>
      <c r="D1015" s="268">
        <v>398544</v>
      </c>
      <c r="E1015" t="s">
        <v>97</v>
      </c>
      <c r="F1015" s="263">
        <v>40</v>
      </c>
      <c r="G1015" s="10" t="str">
        <f>+CONCATENATE($G$7," GC ",G1014," ",H1014)</f>
        <v>"04-2026" GC T055 6660</v>
      </c>
      <c r="H1015" s="252"/>
      <c r="I1015" s="312">
        <f>+H1014</f>
        <v>6660</v>
      </c>
      <c r="J1015" s="350"/>
    </row>
    <row r="1016" spans="1:21" x14ac:dyDescent="0.35">
      <c r="B1016" s="409">
        <v>1537210003</v>
      </c>
      <c r="C1016" s="10" t="s">
        <v>1271</v>
      </c>
      <c r="D1016" s="268">
        <f>+D1018*S1014</f>
        <v>7085.6957627118636</v>
      </c>
      <c r="E1016" t="s">
        <v>98</v>
      </c>
      <c r="F1016" s="263">
        <v>40</v>
      </c>
      <c r="G1016" s="10" t="str">
        <f>+G1015</f>
        <v>"04-2026" GC T055 6660</v>
      </c>
      <c r="H1016" s="252"/>
      <c r="I1016" s="312" t="s">
        <v>1174</v>
      </c>
      <c r="J1016" s="350"/>
    </row>
    <row r="1017" spans="1:21" x14ac:dyDescent="0.35">
      <c r="B1017" s="409">
        <v>1537210003</v>
      </c>
      <c r="C1017" s="10" t="s">
        <v>1271</v>
      </c>
      <c r="D1017" s="268">
        <f>+D1016</f>
        <v>7085.6957627118636</v>
      </c>
      <c r="E1017" t="s">
        <v>97</v>
      </c>
      <c r="F1017" s="263">
        <v>50</v>
      </c>
      <c r="G1017" s="10" t="str">
        <f>+G1016</f>
        <v>"04-2026" GC T055 6660</v>
      </c>
      <c r="H1017" s="252"/>
      <c r="I1017" s="312" t="s">
        <v>1174</v>
      </c>
      <c r="J1017" s="350"/>
    </row>
    <row r="1018" spans="1:21" ht="13" customHeight="1" x14ac:dyDescent="0.35">
      <c r="B1018" s="132">
        <v>1149120011</v>
      </c>
      <c r="C1018" s="10" t="s">
        <v>1119</v>
      </c>
      <c r="D1018" s="268">
        <f>+D1015*0.19</f>
        <v>75723.360000000001</v>
      </c>
      <c r="E1018"/>
      <c r="G1018" s="10" t="str">
        <f>+G1017</f>
        <v>"04-2026" GC T055 6660</v>
      </c>
      <c r="H1018" s="252"/>
      <c r="I1018" s="312"/>
      <c r="J1018" s="350"/>
    </row>
    <row r="1019" spans="1:21" x14ac:dyDescent="0.35">
      <c r="C1019" s="10" t="s">
        <v>76</v>
      </c>
      <c r="D1019" s="265">
        <f>SUBTOTAL(9,D1015:D1017)</f>
        <v>412715.39152542374</v>
      </c>
      <c r="E1019"/>
      <c r="G1019" s="10" t="str">
        <f>+G1015</f>
        <v>"04-2026" GC T055 6660</v>
      </c>
      <c r="H1019" s="252"/>
      <c r="I1019" s="312" t="s">
        <v>1174</v>
      </c>
      <c r="J1019" s="350"/>
    </row>
    <row r="1020" spans="1:21" x14ac:dyDescent="0.35">
      <c r="A1020" s="130" t="s">
        <v>854</v>
      </c>
      <c r="B1020" s="14">
        <v>210358</v>
      </c>
      <c r="C1020" s="15" t="s">
        <v>1058</v>
      </c>
      <c r="E1020"/>
      <c r="G1020" s="346" t="s">
        <v>415</v>
      </c>
      <c r="H1020" s="257">
        <v>9053</v>
      </c>
      <c r="I1020" s="10" t="s">
        <v>865</v>
      </c>
      <c r="J1020" s="350">
        <f>+VLOOKUP(H1020,contratos!A:R,5,0)</f>
        <v>42915</v>
      </c>
      <c r="K1020" s="266" t="str">
        <f>+VLOOKUP(H1020,contratos!A:R,12,0)</f>
        <v>VENCIDO</v>
      </c>
      <c r="L1020" s="341" t="str">
        <f>+VLOOKUP(H1020,contratos!A:R,13,0)</f>
        <v>CESADO</v>
      </c>
      <c r="M1020" s="341">
        <f>+VLOOKUP(H1020,contratos!A:R,15,0)</f>
        <v>0</v>
      </c>
      <c r="N1020" s="336">
        <f>+VLOOKUP(H1020,contratos!A:R,16,0)</f>
        <v>0</v>
      </c>
      <c r="O1020" s="341">
        <f>+VLOOKUP(H1020,PRORRATEO!F:M,3,0)</f>
        <v>15558951.35</v>
      </c>
      <c r="P1020" s="341">
        <f>+VLOOKUP(H1020,PRORRATEO!F:M,4,0)</f>
        <v>2956200.7565000001</v>
      </c>
      <c r="Q1020" s="341">
        <f>+VLOOKUP(H1020,PRORRATEO!F:M,5,0)</f>
        <v>130072.83328599999</v>
      </c>
      <c r="R1020" s="341">
        <f>+VLOOKUP(H1020,PRORRATEO!F:M,6,0)</f>
        <v>2826127.9232140002</v>
      </c>
      <c r="S1020" s="339">
        <f>+VLOOKUP(H1020,PRORRATEO!F:M,7,0)</f>
        <v>4.3999999999999997E-2</v>
      </c>
      <c r="T1020" s="339">
        <f>+VLOOKUP(H1020,PRORRATEO!F:M,8,0)</f>
        <v>0.95599999999999996</v>
      </c>
      <c r="U1020" t="s">
        <v>72</v>
      </c>
    </row>
    <row r="1021" spans="1:21" x14ac:dyDescent="0.35">
      <c r="B1021" s="4">
        <v>1537210002</v>
      </c>
      <c r="C1021" s="10" t="s">
        <v>1015</v>
      </c>
      <c r="D1021" s="268">
        <v>2579947</v>
      </c>
      <c r="E1021" t="s">
        <v>80</v>
      </c>
      <c r="F1021">
        <v>40</v>
      </c>
      <c r="G1021" s="10" t="str">
        <f>+CONCATENATE($G$7," GC ",G1020," ",H1020)</f>
        <v>"04-2026" GC T117 9053</v>
      </c>
      <c r="H1021" s="252"/>
      <c r="I1021" s="312">
        <f>+H1020</f>
        <v>9053</v>
      </c>
      <c r="J1021" s="350"/>
    </row>
    <row r="1022" spans="1:21" x14ac:dyDescent="0.35">
      <c r="B1022" s="4">
        <v>1537210002</v>
      </c>
      <c r="C1022" s="10" t="s">
        <v>1015</v>
      </c>
      <c r="E1022" t="s">
        <v>80</v>
      </c>
      <c r="F1022">
        <v>40</v>
      </c>
      <c r="G1022" s="10" t="str">
        <f>+CONCATENATE(" RETROACTIVO AGO-2024 ",G1020," ",H1020)</f>
        <v xml:space="preserve"> RETROACTIVO AGO-2024 T117 9053</v>
      </c>
      <c r="H1022" s="252"/>
      <c r="I1022" s="523">
        <v>9053</v>
      </c>
      <c r="J1022" s="350"/>
    </row>
    <row r="1023" spans="1:21" x14ac:dyDescent="0.35">
      <c r="B1023" s="4">
        <v>1532001604</v>
      </c>
      <c r="C1023" s="10" t="s">
        <v>1014</v>
      </c>
      <c r="D1023" s="268">
        <v>185856</v>
      </c>
      <c r="E1023" t="s">
        <v>80</v>
      </c>
      <c r="F1023">
        <v>40</v>
      </c>
      <c r="G1023" s="318" t="str">
        <f>+G1021</f>
        <v>"04-2026" GC T117 9053</v>
      </c>
      <c r="H1023" s="252"/>
      <c r="I1023" s="312">
        <f>+I1021</f>
        <v>9053</v>
      </c>
      <c r="J1023" s="350"/>
    </row>
    <row r="1024" spans="1:21" x14ac:dyDescent="0.35">
      <c r="B1024" s="4">
        <v>1532001600</v>
      </c>
      <c r="C1024" s="10" t="s">
        <v>987</v>
      </c>
      <c r="D1024" s="268">
        <v>73724</v>
      </c>
      <c r="E1024" t="s">
        <v>80</v>
      </c>
      <c r="F1024">
        <v>40</v>
      </c>
      <c r="G1024" s="318" t="str">
        <f>+G1023</f>
        <v>"04-2026" GC T117 9053</v>
      </c>
      <c r="H1024" s="252"/>
      <c r="I1024" s="312">
        <f>+I1023</f>
        <v>9053</v>
      </c>
      <c r="J1024" s="350"/>
    </row>
    <row r="1025" spans="1:21" x14ac:dyDescent="0.35">
      <c r="C1025" s="251" t="s">
        <v>76</v>
      </c>
      <c r="D1025" s="332">
        <f>SUBTOTAL(9,D1021:D1024)</f>
        <v>2839527</v>
      </c>
      <c r="E1025"/>
      <c r="G1025" s="318" t="str">
        <f>+G1024</f>
        <v>"04-2026" GC T117 9053</v>
      </c>
      <c r="H1025" s="252"/>
      <c r="J1025" s="350"/>
    </row>
    <row r="1026" spans="1:21" x14ac:dyDescent="0.35">
      <c r="A1026" s="130" t="s">
        <v>854</v>
      </c>
      <c r="B1026" s="14">
        <v>204573</v>
      </c>
      <c r="C1026" s="15" t="s">
        <v>290</v>
      </c>
      <c r="D1026" s="329"/>
      <c r="E1026"/>
      <c r="G1026" s="346" t="s">
        <v>1157</v>
      </c>
      <c r="H1026" s="257">
        <v>9205</v>
      </c>
      <c r="J1026" s="350">
        <f>+VLOOKUP(H1026,contratos!A:R,5,0)</f>
        <v>43009</v>
      </c>
      <c r="K1026" s="266" t="str">
        <f>+VLOOKUP(H1026,contratos!A:R,12,0)</f>
        <v>OK</v>
      </c>
      <c r="L1026" s="341" t="str">
        <f>+VLOOKUP(H1026,contratos!A:R,13,0)</f>
        <v>VIGENTE</v>
      </c>
      <c r="M1026" s="341">
        <f>+VLOOKUP(H1026,contratos!A:R,15,0)</f>
        <v>0</v>
      </c>
      <c r="N1026" s="336">
        <f>+VLOOKUP(H1026,contratos!A:R,16,0)</f>
        <v>0</v>
      </c>
      <c r="O1026" s="341">
        <f>+VLOOKUP(H1026,PRORRATEO!F:M,3,0)</f>
        <v>42915064</v>
      </c>
      <c r="P1026" s="341">
        <f>+VLOOKUP(H1026,PRORRATEO!F:M,4,0)</f>
        <v>8153862.1600000001</v>
      </c>
      <c r="Q1026" s="341">
        <f>+VLOOKUP(H1026,PRORRATEO!F:M,5,0)</f>
        <v>8153862.1600000001</v>
      </c>
      <c r="R1026" s="341">
        <f>+VLOOKUP(H1026,PRORRATEO!F:M,6,0)</f>
        <v>0</v>
      </c>
      <c r="S1026" s="339">
        <f>+VLOOKUP(H1026,PRORRATEO!F:M,7,0)</f>
        <v>1</v>
      </c>
      <c r="T1026" s="339">
        <f>+VLOOKUP(H1026,PRORRATEO!F:M,8,0)</f>
        <v>0</v>
      </c>
      <c r="U1026" t="s">
        <v>37</v>
      </c>
    </row>
    <row r="1027" spans="1:21" x14ac:dyDescent="0.35">
      <c r="B1027" s="4">
        <v>1537210002</v>
      </c>
      <c r="C1027" s="10" t="s">
        <v>1015</v>
      </c>
      <c r="D1027" s="268">
        <f>1224284+43433</f>
        <v>1267717</v>
      </c>
      <c r="E1027" t="s">
        <v>80</v>
      </c>
      <c r="F1027">
        <v>40</v>
      </c>
      <c r="G1027" s="10" t="str">
        <f>+CONCATENATE($G$7," GC ",G1026," ",H1026)</f>
        <v>"04-2026" GC TR001 9205</v>
      </c>
      <c r="H1027" s="252"/>
      <c r="I1027" s="10">
        <v>9205</v>
      </c>
      <c r="J1027" s="350"/>
    </row>
    <row r="1028" spans="1:21" x14ac:dyDescent="0.35">
      <c r="B1028" s="263">
        <v>1537210004</v>
      </c>
      <c r="C1028" s="10" t="s">
        <v>974</v>
      </c>
      <c r="E1028" t="s">
        <v>80</v>
      </c>
      <c r="F1028">
        <v>40</v>
      </c>
      <c r="G1028" s="10" t="str">
        <f>+G1027</f>
        <v>"04-2026" GC TR001 9205</v>
      </c>
      <c r="H1028" s="252"/>
      <c r="I1028" s="312">
        <v>9205</v>
      </c>
      <c r="J1028" s="350"/>
    </row>
    <row r="1029" spans="1:21" x14ac:dyDescent="0.35">
      <c r="C1029" s="251" t="s">
        <v>76</v>
      </c>
      <c r="D1029" s="265">
        <v>1158571</v>
      </c>
      <c r="E1029"/>
      <c r="G1029" s="10" t="str">
        <f>+G1028</f>
        <v>"04-2026" GC TR001 9205</v>
      </c>
      <c r="H1029" s="252"/>
      <c r="J1029" s="350"/>
    </row>
    <row r="1030" spans="1:21" x14ac:dyDescent="0.35">
      <c r="A1030" s="130" t="s">
        <v>854</v>
      </c>
      <c r="B1030" s="14">
        <v>204573</v>
      </c>
      <c r="C1030" s="15" t="s">
        <v>290</v>
      </c>
      <c r="D1030" s="329"/>
      <c r="E1030"/>
      <c r="G1030" s="346" t="s">
        <v>1155</v>
      </c>
      <c r="H1030" s="257">
        <v>9104</v>
      </c>
      <c r="J1030" s="350">
        <f>+VLOOKUP(H1030,contratos!A:R,5,0)</f>
        <v>42917</v>
      </c>
      <c r="K1030" s="266" t="str">
        <f>+VLOOKUP(H1030,contratos!A:R,12,0)</f>
        <v>VENCIDO</v>
      </c>
      <c r="L1030" s="341" t="str">
        <f>+VLOOKUP(H1030,contratos!A:R,13,0)</f>
        <v>CESADO</v>
      </c>
      <c r="M1030" s="341">
        <f>+VLOOKUP(H1030,contratos!A:R,15,0)</f>
        <v>0</v>
      </c>
      <c r="N1030" s="336">
        <f>+VLOOKUP(H1030,contratos!A:R,16,0)</f>
        <v>0</v>
      </c>
      <c r="O1030" s="341">
        <f>+VLOOKUP(H1030,PRORRATEO!F:M,3,0)</f>
        <v>48028276</v>
      </c>
      <c r="P1030" s="341">
        <f>+VLOOKUP(H1030,PRORRATEO!F:M,4,0)</f>
        <v>9125372.4399999995</v>
      </c>
      <c r="Q1030" s="341">
        <f>+VLOOKUP(H1030,PRORRATEO!F:M,5,0)</f>
        <v>9125372.4399999995</v>
      </c>
      <c r="R1030" s="341">
        <f>+VLOOKUP(H1030,PRORRATEO!F:M,6,0)</f>
        <v>0</v>
      </c>
      <c r="S1030" s="339">
        <f>+VLOOKUP(H1030,PRORRATEO!F:M,7,0)</f>
        <v>1</v>
      </c>
      <c r="T1030" s="339">
        <f>+VLOOKUP(H1030,PRORRATEO!F:M,8,0)</f>
        <v>0</v>
      </c>
      <c r="U1030" t="s">
        <v>35</v>
      </c>
    </row>
    <row r="1031" spans="1:21" x14ac:dyDescent="0.35">
      <c r="B1031" s="4">
        <v>1537210002</v>
      </c>
      <c r="C1031" s="10" t="s">
        <v>1015</v>
      </c>
      <c r="D1031" s="268">
        <f>1770840+62822</f>
        <v>1833662</v>
      </c>
      <c r="E1031" t="s">
        <v>80</v>
      </c>
      <c r="F1031">
        <v>40</v>
      </c>
      <c r="G1031" s="10" t="str">
        <f>+CONCATENATE($G$7," GC ",G1030," ",H1030)</f>
        <v>"04-2026" GC TSGH602 9104</v>
      </c>
      <c r="H1031" s="252"/>
      <c r="I1031" s="10">
        <v>9104</v>
      </c>
      <c r="J1031" s="350"/>
    </row>
    <row r="1032" spans="1:21" x14ac:dyDescent="0.35">
      <c r="B1032" s="263">
        <v>1537210004</v>
      </c>
      <c r="C1032" s="10" t="s">
        <v>974</v>
      </c>
      <c r="D1032" s="268">
        <v>8001</v>
      </c>
      <c r="E1032" t="s">
        <v>80</v>
      </c>
      <c r="F1032">
        <v>40</v>
      </c>
      <c r="G1032" s="10" t="str">
        <f>+G1031</f>
        <v>"04-2026" GC TSGH602 9104</v>
      </c>
      <c r="H1032" s="252"/>
      <c r="I1032" s="312">
        <v>9104</v>
      </c>
      <c r="J1032" s="350"/>
    </row>
    <row r="1033" spans="1:21" x14ac:dyDescent="0.35">
      <c r="C1033" s="251" t="s">
        <v>76</v>
      </c>
      <c r="D1033" s="265">
        <f>SUBTOTAL(9,D1031:D1032)</f>
        <v>1841663</v>
      </c>
      <c r="E1033"/>
      <c r="G1033" s="10" t="str">
        <f>+G1032</f>
        <v>"04-2026" GC TSGH602 9104</v>
      </c>
      <c r="H1033" s="252"/>
      <c r="J1033" s="350"/>
    </row>
    <row r="1034" spans="1:21" x14ac:dyDescent="0.35">
      <c r="A1034" s="130" t="s">
        <v>854</v>
      </c>
      <c r="B1034" s="14">
        <v>204573</v>
      </c>
      <c r="C1034" s="15" t="s">
        <v>290</v>
      </c>
      <c r="D1034" s="329"/>
      <c r="E1034"/>
      <c r="G1034" s="346" t="s">
        <v>1158</v>
      </c>
      <c r="H1034" s="257">
        <v>6603</v>
      </c>
      <c r="J1034" s="350">
        <f>+VLOOKUP(H1034,contratos!A:R,5,0)</f>
        <v>42926</v>
      </c>
      <c r="K1034" s="266" t="str">
        <f>+VLOOKUP(H1034,contratos!A:R,12,0)</f>
        <v>OK</v>
      </c>
      <c r="L1034" s="341" t="str">
        <f>+VLOOKUP(H1034,contratos!A:R,13,0)</f>
        <v>VIGENTE</v>
      </c>
      <c r="M1034" s="341">
        <f>+VLOOKUP(H1034,contratos!A:R,15,0)</f>
        <v>0</v>
      </c>
      <c r="N1034" s="336">
        <f>+VLOOKUP(H1034,contratos!A:R,16,0)</f>
        <v>0</v>
      </c>
      <c r="O1034" s="341">
        <f>+VLOOKUP(H1034,PRORRATEO!F:M,3,0)</f>
        <v>13354740</v>
      </c>
      <c r="P1034" s="341">
        <f>+VLOOKUP(H1034,PRORRATEO!F:M,4,0)</f>
        <v>2537400.6</v>
      </c>
      <c r="Q1034" s="341">
        <f>+VLOOKUP(H1034,PRORRATEO!F:M,5,0)</f>
        <v>167468.43960000001</v>
      </c>
      <c r="R1034" s="341">
        <f>+VLOOKUP(H1034,PRORRATEO!F:M,6,0)</f>
        <v>2369932.1604000004</v>
      </c>
      <c r="S1034" s="339">
        <f>+VLOOKUP(H1034,PRORRATEO!F:M,7,0)</f>
        <v>6.6000000000000003E-2</v>
      </c>
      <c r="T1034" s="339">
        <f>+VLOOKUP(H1034,PRORRATEO!F:M,8,0)</f>
        <v>0.93400000000000005</v>
      </c>
      <c r="U1034" t="s">
        <v>26</v>
      </c>
    </row>
    <row r="1035" spans="1:21" x14ac:dyDescent="0.35">
      <c r="B1035" s="4">
        <v>1537210002</v>
      </c>
      <c r="C1035" s="10" t="s">
        <v>1015</v>
      </c>
      <c r="D1035" s="268">
        <f>+J1035+J1036</f>
        <v>1191057</v>
      </c>
      <c r="E1035" t="s">
        <v>80</v>
      </c>
      <c r="F1035">
        <v>40</v>
      </c>
      <c r="G1035" s="10" t="str">
        <f>+CONCATENATE($G$7," GC ",G1034," ",H1034)</f>
        <v>"04-2026" GC T30 6603</v>
      </c>
      <c r="H1035" s="252"/>
      <c r="I1035" s="312">
        <f>+H1034</f>
        <v>6603</v>
      </c>
      <c r="J1035" s="266">
        <v>1144897</v>
      </c>
      <c r="K1035" s="350" t="s">
        <v>1291</v>
      </c>
    </row>
    <row r="1036" spans="1:21" x14ac:dyDescent="0.35">
      <c r="B1036" s="263">
        <v>1537210004</v>
      </c>
      <c r="C1036" s="10" t="s">
        <v>974</v>
      </c>
      <c r="D1036" s="268">
        <f>+J1036</f>
        <v>46160</v>
      </c>
      <c r="E1036" t="s">
        <v>80</v>
      </c>
      <c r="F1036">
        <v>40</v>
      </c>
      <c r="G1036" s="10" t="str">
        <f>+G1035</f>
        <v>"04-2026" GC T30 6603</v>
      </c>
      <c r="H1036" s="252"/>
      <c r="I1036" s="312" t="s">
        <v>1142</v>
      </c>
      <c r="J1036" s="266">
        <v>46160</v>
      </c>
      <c r="K1036" s="350" t="s">
        <v>1292</v>
      </c>
    </row>
    <row r="1037" spans="1:21" x14ac:dyDescent="0.35">
      <c r="C1037" s="251" t="s">
        <v>76</v>
      </c>
      <c r="D1037" s="265">
        <v>982717</v>
      </c>
      <c r="E1037"/>
      <c r="G1037" s="10" t="str">
        <f>+G1036</f>
        <v>"04-2026" GC T30 6603</v>
      </c>
      <c r="H1037" s="252"/>
      <c r="J1037" s="350"/>
    </row>
    <row r="1038" spans="1:21" x14ac:dyDescent="0.35">
      <c r="A1038" s="130" t="s">
        <v>854</v>
      </c>
      <c r="B1038" s="14">
        <v>204573</v>
      </c>
      <c r="C1038" s="15" t="s">
        <v>290</v>
      </c>
      <c r="E1038"/>
      <c r="G1038" s="346" t="s">
        <v>1158</v>
      </c>
      <c r="H1038" s="257">
        <v>6603</v>
      </c>
      <c r="J1038" s="350">
        <f>+VLOOKUP(H1038,contratos!A:R,5,0)</f>
        <v>42926</v>
      </c>
      <c r="K1038" s="266" t="str">
        <f>+VLOOKUP(H1038,contratos!A:R,12,0)</f>
        <v>OK</v>
      </c>
      <c r="L1038" s="341" t="str">
        <f>+VLOOKUP(H1038,contratos!A:R,13,0)</f>
        <v>VIGENTE</v>
      </c>
      <c r="M1038" s="341">
        <f>+VLOOKUP(H1038,contratos!A:R,15,0)</f>
        <v>0</v>
      </c>
      <c r="N1038" s="336">
        <f>+VLOOKUP(H1038,contratos!A:R,16,0)</f>
        <v>0</v>
      </c>
      <c r="O1038" s="341">
        <f>+VLOOKUP(H1038,PRORRATEO!F:M,3,0)</f>
        <v>13354740</v>
      </c>
      <c r="P1038" s="341">
        <f>+VLOOKUP(H1038,PRORRATEO!F:M,4,0)</f>
        <v>2537400.6</v>
      </c>
      <c r="Q1038" s="341">
        <f>+VLOOKUP(H1038,PRORRATEO!F:M,5,0)</f>
        <v>167468.43960000001</v>
      </c>
      <c r="R1038" s="341">
        <f>+VLOOKUP(H1038,PRORRATEO!F:M,6,0)</f>
        <v>2369932.1604000004</v>
      </c>
      <c r="S1038" s="339">
        <f>+VLOOKUP(H1038,PRORRATEO!F:M,7,0)</f>
        <v>6.6000000000000003E-2</v>
      </c>
      <c r="T1038" s="339">
        <f>+VLOOKUP(H1038,PRORRATEO!F:M,8,0)</f>
        <v>0.93400000000000005</v>
      </c>
      <c r="U1038" t="s">
        <v>26</v>
      </c>
    </row>
    <row r="1039" spans="1:21" x14ac:dyDescent="0.35">
      <c r="B1039" s="4">
        <v>1537210002</v>
      </c>
      <c r="C1039" s="10" t="s">
        <v>1015</v>
      </c>
      <c r="D1039" s="268">
        <f>2219015+78722</f>
        <v>2297737</v>
      </c>
      <c r="E1039" t="s">
        <v>80</v>
      </c>
      <c r="F1039">
        <v>40</v>
      </c>
      <c r="G1039" s="10" t="str">
        <f>+CONCATENATE($G$7," GC ",G1038," ",H1038)</f>
        <v>"04-2026" GC T30 6603</v>
      </c>
      <c r="H1039" s="252"/>
      <c r="I1039" s="312">
        <f>+H1038</f>
        <v>6603</v>
      </c>
      <c r="J1039" s="350"/>
    </row>
    <row r="1040" spans="1:21" x14ac:dyDescent="0.35">
      <c r="B1040" s="263">
        <v>1537210004</v>
      </c>
      <c r="C1040" s="10" t="s">
        <v>974</v>
      </c>
      <c r="D1040" s="268">
        <v>10026</v>
      </c>
      <c r="E1040" t="s">
        <v>80</v>
      </c>
      <c r="F1040">
        <v>40</v>
      </c>
      <c r="G1040" s="10" t="str">
        <f>+G1039</f>
        <v>"04-2026" GC T30 6603</v>
      </c>
      <c r="H1040" s="252"/>
      <c r="I1040" s="312" t="s">
        <v>1142</v>
      </c>
      <c r="J1040" s="350"/>
    </row>
    <row r="1041" spans="1:21" x14ac:dyDescent="0.35">
      <c r="C1041" s="10" t="s">
        <v>76</v>
      </c>
      <c r="D1041" s="265">
        <f>SUM(D1039:D1040)</f>
        <v>2307763</v>
      </c>
      <c r="E1041"/>
      <c r="G1041" s="10" t="str">
        <f>+G1040</f>
        <v>"04-2026" GC T30 6603</v>
      </c>
      <c r="H1041" s="252"/>
      <c r="J1041" s="350"/>
    </row>
    <row r="1042" spans="1:21" x14ac:dyDescent="0.35">
      <c r="A1042" s="130" t="s">
        <v>854</v>
      </c>
      <c r="B1042" s="14">
        <v>204573</v>
      </c>
      <c r="C1042" s="15" t="s">
        <v>290</v>
      </c>
      <c r="D1042" s="329"/>
      <c r="E1042"/>
      <c r="G1042" s="346" t="s">
        <v>436</v>
      </c>
      <c r="H1042" s="257">
        <v>9102</v>
      </c>
      <c r="J1042" s="350">
        <f>+VLOOKUP(H1042,contratos!A:R,5,0)</f>
        <v>45870</v>
      </c>
      <c r="K1042" s="266" t="str">
        <f>+VLOOKUP(H1042,contratos!A:R,12,0)</f>
        <v>OK</v>
      </c>
      <c r="L1042" s="341" t="str">
        <f>+VLOOKUP(H1042,contratos!A:R,13,0)</f>
        <v>VIGENTE</v>
      </c>
      <c r="M1042" s="341">
        <f>+VLOOKUP(H1042,contratos!A:R,15,0)</f>
        <v>0</v>
      </c>
      <c r="N1042" s="336">
        <f>+VLOOKUP(H1042,contratos!A:R,16,0)</f>
        <v>0</v>
      </c>
      <c r="O1042" s="341">
        <f>+VLOOKUP(H1042,PRORRATEO!F:M,3,0)</f>
        <v>93440962</v>
      </c>
      <c r="P1042" s="341">
        <f>+VLOOKUP(H1042,PRORRATEO!F:M,4,0)</f>
        <v>17753782.780000001</v>
      </c>
      <c r="Q1042" s="341">
        <f>+VLOOKUP(H1042,PRORRATEO!F:M,5,0)</f>
        <v>1136242.0979200001</v>
      </c>
      <c r="R1042" s="341">
        <f>+VLOOKUP(H1042,PRORRATEO!F:M,6,0)</f>
        <v>16617540.682080003</v>
      </c>
      <c r="S1042" s="339">
        <f>+VLOOKUP(H1042,PRORRATEO!F:M,7,0)</f>
        <v>6.4000000000000001E-2</v>
      </c>
      <c r="T1042" s="339">
        <f>+VLOOKUP(H1042,PRORRATEO!F:M,8,0)</f>
        <v>0.93600000000000005</v>
      </c>
      <c r="U1042" t="s">
        <v>833</v>
      </c>
    </row>
    <row r="1043" spans="1:21" x14ac:dyDescent="0.35">
      <c r="B1043" s="4">
        <v>1537210002</v>
      </c>
      <c r="C1043" s="10" t="s">
        <v>1015</v>
      </c>
      <c r="D1043" s="268">
        <v>2559519</v>
      </c>
      <c r="E1043" t="s">
        <v>80</v>
      </c>
      <c r="F1043">
        <v>40</v>
      </c>
      <c r="G1043" s="10" t="str">
        <f>+CONCATENATE($G$7," GC ",G1042," ",H1042)</f>
        <v>"04-2026" GC T126 9102</v>
      </c>
      <c r="H1043" s="252"/>
      <c r="I1043" s="312" t="s">
        <v>1141</v>
      </c>
      <c r="J1043" s="350"/>
    </row>
    <row r="1044" spans="1:21" x14ac:dyDescent="0.35">
      <c r="B1044" s="263">
        <v>1537210004</v>
      </c>
      <c r="C1044" s="10" t="s">
        <v>974</v>
      </c>
      <c r="D1044" s="268">
        <v>95198</v>
      </c>
      <c r="E1044" t="s">
        <v>80</v>
      </c>
      <c r="F1044">
        <v>40</v>
      </c>
      <c r="G1044" s="10" t="str">
        <f>+G1043</f>
        <v>"04-2026" GC T126 9102</v>
      </c>
      <c r="H1044" s="252"/>
      <c r="I1044" s="312" t="s">
        <v>1141</v>
      </c>
      <c r="J1044" s="350"/>
    </row>
    <row r="1045" spans="1:21" x14ac:dyDescent="0.35">
      <c r="C1045" s="251" t="s">
        <v>76</v>
      </c>
      <c r="D1045" s="265">
        <v>2306798</v>
      </c>
      <c r="E1045"/>
      <c r="G1045" s="10" t="str">
        <f>+G1044</f>
        <v>"04-2026" GC T126 9102</v>
      </c>
      <c r="H1045" s="252"/>
      <c r="J1045" s="350"/>
    </row>
    <row r="1046" spans="1:21" x14ac:dyDescent="0.35">
      <c r="A1046" s="130" t="s">
        <v>854</v>
      </c>
      <c r="B1046" s="14">
        <v>204694</v>
      </c>
      <c r="C1046" s="15" t="s">
        <v>75</v>
      </c>
      <c r="D1046" s="329"/>
      <c r="E1046"/>
      <c r="G1046" s="346" t="s">
        <v>505</v>
      </c>
      <c r="H1046" s="257">
        <v>6619</v>
      </c>
      <c r="J1046" s="350">
        <f>+VLOOKUP(H1046,contratos!A:R,5,0)</f>
        <v>45627</v>
      </c>
      <c r="K1046" s="266" t="str">
        <f>+VLOOKUP(H1046,contratos!A:R,12,0)</f>
        <v>OK</v>
      </c>
      <c r="L1046" s="341" t="str">
        <f>+VLOOKUP(H1046,contratos!A:R,13,0)</f>
        <v>VIGENTE</v>
      </c>
      <c r="M1046" s="341">
        <f>+VLOOKUP(H1046,contratos!A:R,15,0)</f>
        <v>0</v>
      </c>
      <c r="N1046" s="336">
        <f>+VLOOKUP(H1046,contratos!A:R,16,0)</f>
        <v>0</v>
      </c>
      <c r="O1046" s="341">
        <f>+VLOOKUP(H1046,PRORRATEO!F:M,3,0)</f>
        <v>11540440</v>
      </c>
      <c r="P1046" s="341">
        <f>+VLOOKUP(H1046,PRORRATEO!F:M,4,0)</f>
        <v>2192683.6</v>
      </c>
      <c r="Q1046" s="341">
        <f>+VLOOKUP(H1046,PRORRATEO!F:M,5,0)</f>
        <v>120597.59800000001</v>
      </c>
      <c r="R1046" s="341">
        <f>+VLOOKUP(H1046,PRORRATEO!F:M,6,0)</f>
        <v>2072086.0020000001</v>
      </c>
      <c r="S1046" s="339">
        <f>+VLOOKUP(H1046,PRORRATEO!F:M,7,0)</f>
        <v>5.5E-2</v>
      </c>
      <c r="T1046" s="339">
        <f>+VLOOKUP(H1046,PRORRATEO!F:M,8,0)</f>
        <v>0.94499999999999995</v>
      </c>
      <c r="U1046" t="s">
        <v>12</v>
      </c>
    </row>
    <row r="1047" spans="1:21" x14ac:dyDescent="0.35">
      <c r="B1047" s="4">
        <v>1537210003</v>
      </c>
      <c r="C1047" s="10" t="s">
        <v>1013</v>
      </c>
      <c r="D1047" s="268">
        <v>555468</v>
      </c>
      <c r="E1047" t="s">
        <v>80</v>
      </c>
      <c r="F1047">
        <v>40</v>
      </c>
      <c r="G1047" s="10" t="str">
        <f>+CONCATENATE($G$7," GC ",G1046," ",H1046)</f>
        <v>"04-2026" GC T037 6619</v>
      </c>
      <c r="H1047" s="252"/>
      <c r="I1047" s="312">
        <f>+H1046</f>
        <v>6619</v>
      </c>
      <c r="J1047" s="350"/>
    </row>
    <row r="1048" spans="1:21" x14ac:dyDescent="0.35">
      <c r="B1048" s="4">
        <v>1532001600</v>
      </c>
      <c r="C1048" s="10" t="s">
        <v>987</v>
      </c>
      <c r="D1048" s="268">
        <v>157561</v>
      </c>
      <c r="E1048" t="s">
        <v>80</v>
      </c>
      <c r="F1048">
        <v>40</v>
      </c>
      <c r="G1048" s="318" t="str">
        <f>+G1047</f>
        <v>"04-2026" GC T037 6619</v>
      </c>
      <c r="H1048" s="252"/>
      <c r="I1048" s="312">
        <f>+I1047</f>
        <v>6619</v>
      </c>
      <c r="J1048" s="350"/>
    </row>
    <row r="1049" spans="1:21" x14ac:dyDescent="0.35">
      <c r="B1049" s="4">
        <v>1245150017</v>
      </c>
      <c r="C1049" s="10" t="s">
        <v>77</v>
      </c>
      <c r="D1049" s="268">
        <v>1945048</v>
      </c>
      <c r="E1049" t="s">
        <v>80</v>
      </c>
      <c r="F1049">
        <v>40</v>
      </c>
      <c r="G1049" s="318" t="str">
        <f>+G1048</f>
        <v>"04-2026" GC T037 6619</v>
      </c>
      <c r="H1049" s="252"/>
      <c r="I1049" s="312">
        <f>+I1048</f>
        <v>6619</v>
      </c>
      <c r="J1049" s="350"/>
    </row>
    <row r="1050" spans="1:21" x14ac:dyDescent="0.35">
      <c r="C1050" s="251" t="s">
        <v>76</v>
      </c>
      <c r="D1050" s="265">
        <f>+D1047+D1048+D1049</f>
        <v>2658077</v>
      </c>
      <c r="E1050"/>
      <c r="G1050" s="318" t="str">
        <f>+G1049</f>
        <v>"04-2026" GC T037 6619</v>
      </c>
      <c r="H1050" s="252"/>
      <c r="I1050" s="312">
        <f>+I1049</f>
        <v>6619</v>
      </c>
      <c r="J1050" s="350"/>
    </row>
    <row r="1051" spans="1:21" x14ac:dyDescent="0.35">
      <c r="A1051" s="130" t="s">
        <v>854</v>
      </c>
      <c r="B1051" s="14">
        <v>204589</v>
      </c>
      <c r="C1051" s="15" t="s">
        <v>2</v>
      </c>
      <c r="E1051"/>
      <c r="G1051" s="346" t="s">
        <v>1159</v>
      </c>
      <c r="H1051" s="257">
        <v>6568</v>
      </c>
      <c r="J1051" s="350">
        <f>+VLOOKUP(H1051,contratos!A:R,5,0)</f>
        <v>41609</v>
      </c>
      <c r="K1051" s="266" t="str">
        <f>+VLOOKUP(H1051,contratos!A:R,12,0)</f>
        <v>VENCIDO</v>
      </c>
      <c r="L1051" s="341" t="str">
        <f>+VLOOKUP(H1051,contratos!A:R,13,0)</f>
        <v>CERRADA</v>
      </c>
      <c r="M1051" s="341">
        <f>+VLOOKUP(H1051,contratos!A:R,15,0)</f>
        <v>0</v>
      </c>
      <c r="N1051" s="336">
        <f>+VLOOKUP(H1051,contratos!A:R,16,0)</f>
        <v>0</v>
      </c>
      <c r="O1051" s="341">
        <f>+VLOOKUP(H1051,PRORRATEO!F:M,3,0)</f>
        <v>20790000</v>
      </c>
      <c r="P1051" s="341">
        <f>+VLOOKUP(H1051,PRORRATEO!F:M,4,0)</f>
        <v>3950100</v>
      </c>
      <c r="Q1051" s="341">
        <f>+VLOOKUP(H1051,PRORRATEO!F:M,5,0)</f>
        <v>0</v>
      </c>
      <c r="R1051" s="341">
        <f>+VLOOKUP(H1051,PRORRATEO!F:M,6,0)</f>
        <v>0</v>
      </c>
      <c r="S1051" s="339">
        <f>+VLOOKUP(H1051,PRORRATEO!F:M,7,0)</f>
        <v>0</v>
      </c>
      <c r="T1051" s="339">
        <f>+VLOOKUP(H1051,PRORRATEO!F:M,8,0)</f>
        <v>0</v>
      </c>
      <c r="U1051" t="s">
        <v>55</v>
      </c>
    </row>
    <row r="1052" spans="1:21" x14ac:dyDescent="0.35">
      <c r="B1052" s="4">
        <v>1245150017</v>
      </c>
      <c r="C1052" s="10" t="s">
        <v>77</v>
      </c>
      <c r="D1052" s="268">
        <v>3500228</v>
      </c>
      <c r="E1052" t="s">
        <v>80</v>
      </c>
      <c r="F1052">
        <v>40</v>
      </c>
      <c r="G1052" s="10" t="str">
        <f>+CONCATENATE($G$7," GC ",G1051," ",H1051)</f>
        <v>"04-2026" GC T10 6568</v>
      </c>
      <c r="H1052" s="252"/>
      <c r="I1052" s="312">
        <f>+H1051</f>
        <v>6568</v>
      </c>
      <c r="J1052" s="350"/>
    </row>
    <row r="1053" spans="1:21" x14ac:dyDescent="0.35">
      <c r="C1053" s="251" t="s">
        <v>76</v>
      </c>
      <c r="D1053" s="265">
        <v>3123533</v>
      </c>
      <c r="E1053"/>
      <c r="G1053" s="10" t="str">
        <f>+G1052</f>
        <v>"04-2026" GC T10 6568</v>
      </c>
      <c r="H1053" s="252"/>
      <c r="I1053" s="312">
        <f>+I1052</f>
        <v>6568</v>
      </c>
      <c r="J1053" s="350"/>
    </row>
    <row r="1054" spans="1:21" x14ac:dyDescent="0.35">
      <c r="A1054" s="130" t="s">
        <v>1048</v>
      </c>
      <c r="B1054" s="14">
        <v>366495</v>
      </c>
      <c r="C1054" s="15" t="s">
        <v>37</v>
      </c>
      <c r="E1054"/>
      <c r="G1054" s="346" t="s">
        <v>1157</v>
      </c>
      <c r="H1054" s="257">
        <v>9205</v>
      </c>
      <c r="I1054" s="251" t="s">
        <v>1059</v>
      </c>
      <c r="J1054" s="350">
        <f>+VLOOKUP(H1054,contratos!A:R,5,0)</f>
        <v>43009</v>
      </c>
      <c r="K1054" s="266" t="str">
        <f>+VLOOKUP(H1054,contratos!A:R,12,0)</f>
        <v>OK</v>
      </c>
      <c r="L1054" s="341" t="str">
        <f>+VLOOKUP(H1054,contratos!A:R,13,0)</f>
        <v>VIGENTE</v>
      </c>
      <c r="M1054" s="341">
        <f>+VLOOKUP(H1054,contratos!A:R,15,0)</f>
        <v>0</v>
      </c>
      <c r="N1054" s="336">
        <f>+VLOOKUP(H1054,contratos!A:R,16,0)</f>
        <v>0</v>
      </c>
      <c r="O1054" s="341">
        <f>+VLOOKUP(B1054,PRORRATEO!A:M,8,0)</f>
        <v>42915064</v>
      </c>
      <c r="P1054" s="341">
        <f>+VLOOKUP(B1054,PRORRATEO!A:M,9,0)</f>
        <v>8153862.1600000001</v>
      </c>
      <c r="Q1054" s="341">
        <f>+VLOOKUP(B1054,PRORRATEO!A:M,10,0)</f>
        <v>8153862.1600000001</v>
      </c>
      <c r="R1054" s="341">
        <f>+VLOOKUP(B1054,PRORRATEO!A:M,11,0)</f>
        <v>0</v>
      </c>
      <c r="S1054" s="339">
        <f>+VLOOKUP(B1054,PRORRATEO!A:M,12,0)</f>
        <v>1</v>
      </c>
      <c r="T1054" s="339">
        <f>+VLOOKUP(B1054,PRORRATEO!A:M,13,0)</f>
        <v>0</v>
      </c>
      <c r="U1054" t="s">
        <v>37</v>
      </c>
    </row>
    <row r="1055" spans="1:21" x14ac:dyDescent="0.35">
      <c r="B1055" s="263">
        <v>1245150017</v>
      </c>
      <c r="C1055" s="10" t="s">
        <v>77</v>
      </c>
      <c r="D1055" s="268">
        <f>+O1026</f>
        <v>42915064</v>
      </c>
      <c r="E1055" t="s">
        <v>98</v>
      </c>
      <c r="F1055" s="263">
        <v>40</v>
      </c>
      <c r="G1055" s="318" t="str">
        <f>+CONCATENATE($G$7," RF ",G1054," ",H1054)</f>
        <v>"04-2026" RF TR001 9205</v>
      </c>
      <c r="H1055" s="252"/>
      <c r="I1055" s="312">
        <f>+H1054</f>
        <v>9205</v>
      </c>
      <c r="J1055" s="350"/>
    </row>
    <row r="1056" spans="1:21" x14ac:dyDescent="0.35">
      <c r="B1056" s="4">
        <v>1149120011</v>
      </c>
      <c r="C1056" s="10" t="s">
        <v>96</v>
      </c>
      <c r="D1056" s="268">
        <f>+D1055*0.19</f>
        <v>8153862.1600000001</v>
      </c>
      <c r="E1056" t="s">
        <v>98</v>
      </c>
      <c r="F1056">
        <v>40</v>
      </c>
      <c r="G1056" s="318" t="str">
        <f>+G1055</f>
        <v>"04-2026" RF TR001 9205</v>
      </c>
      <c r="H1056" s="252"/>
      <c r="I1056" s="312">
        <f>+I1055</f>
        <v>9205</v>
      </c>
      <c r="J1056" s="350"/>
      <c r="K1056" s="433"/>
    </row>
    <row r="1057" spans="1:21" x14ac:dyDescent="0.35">
      <c r="B1057" s="4">
        <v>1249100024</v>
      </c>
      <c r="C1057" s="10" t="s">
        <v>981</v>
      </c>
      <c r="D1057" s="324">
        <f>-D1055*-K1057</f>
        <v>-414559.53673416004</v>
      </c>
      <c r="E1057"/>
      <c r="F1057">
        <v>50</v>
      </c>
      <c r="G1057" s="318" t="str">
        <f>+G1056</f>
        <v>"04-2026" RF TR001 9205</v>
      </c>
      <c r="H1057" s="252"/>
      <c r="I1057" s="312">
        <f>+I1056</f>
        <v>9205</v>
      </c>
      <c r="J1057" s="408">
        <v>1</v>
      </c>
      <c r="K1057" s="500">
        <v>-9.6600004309479771E-3</v>
      </c>
    </row>
    <row r="1058" spans="1:21" x14ac:dyDescent="0.35">
      <c r="B1058" s="4">
        <v>1246125027</v>
      </c>
      <c r="C1058" s="10" t="s">
        <v>962</v>
      </c>
      <c r="D1058" s="324">
        <f>-D1055*-K1058</f>
        <v>-1502027.7186600007</v>
      </c>
      <c r="E1058"/>
      <c r="F1058">
        <v>50</v>
      </c>
      <c r="G1058" s="318" t="str">
        <f>+G1057</f>
        <v>"04-2026" RF TR001 9205</v>
      </c>
      <c r="H1058" s="252"/>
      <c r="I1058" s="312">
        <f>+I1057</f>
        <v>9205</v>
      </c>
      <c r="J1058" s="408" t="s">
        <v>857</v>
      </c>
      <c r="K1058" s="500">
        <v>-3.5000011153659256E-2</v>
      </c>
    </row>
    <row r="1059" spans="1:21" x14ac:dyDescent="0.35">
      <c r="C1059" s="251" t="s">
        <v>76</v>
      </c>
      <c r="D1059" s="332">
        <f>SUBTOTAL(9,D1055:D1058)</f>
        <v>49152338.904605836</v>
      </c>
      <c r="E1059"/>
      <c r="G1059" s="318" t="str">
        <f>+G1058</f>
        <v>"04-2026" RF TR001 9205</v>
      </c>
      <c r="H1059" s="252"/>
      <c r="I1059" s="312">
        <f>+I1058</f>
        <v>9205</v>
      </c>
      <c r="J1059" s="350"/>
    </row>
    <row r="1060" spans="1:21" x14ac:dyDescent="0.35">
      <c r="A1060" s="130" t="s">
        <v>1048</v>
      </c>
      <c r="B1060" s="14">
        <v>246683</v>
      </c>
      <c r="C1060" s="15" t="s">
        <v>60</v>
      </c>
      <c r="E1060"/>
      <c r="G1060" s="346" t="s">
        <v>462</v>
      </c>
      <c r="H1060" s="257">
        <v>9216</v>
      </c>
      <c r="I1060" s="268">
        <f>+I1057*0.19</f>
        <v>1748.95</v>
      </c>
      <c r="J1060" s="350">
        <f>+VLOOKUP(H1060,contratos!A:R,5,0)</f>
        <v>43466</v>
      </c>
      <c r="K1060" s="266" t="str">
        <f>+VLOOKUP(H1060,contratos!A:R,12,0)</f>
        <v>VENCIDO</v>
      </c>
      <c r="L1060" s="341" t="str">
        <f>+VLOOKUP(H1060,contratos!A:R,13,0)</f>
        <v>CESADO</v>
      </c>
      <c r="M1060" s="341">
        <f>+VLOOKUP(H1060,contratos!A:R,15,0)</f>
        <v>0</v>
      </c>
      <c r="N1060" s="336">
        <f>+VLOOKUP(H1060,contratos!A:R,16,0)</f>
        <v>0</v>
      </c>
      <c r="O1060" s="341">
        <f>+VLOOKUP(B1060,PRORRATEO!A:M,8,0)</f>
        <v>44092975</v>
      </c>
      <c r="P1060" s="341">
        <f>+VLOOKUP(B1060,PRORRATEO!A:M,9,0)</f>
        <v>8377665.25</v>
      </c>
      <c r="Q1060" s="341">
        <f>+VLOOKUP(B1060,PRORRATEO!A:M,10,0)</f>
        <v>494282.24974999996</v>
      </c>
      <c r="R1060" s="341">
        <f>+VLOOKUP(B1060,PRORRATEO!A:M,11,0)</f>
        <v>7883383.0002499996</v>
      </c>
      <c r="S1060" s="339">
        <f>+VLOOKUP(B1060,PRORRATEO!A:M,12,0)</f>
        <v>5.8999999999999997E-2</v>
      </c>
      <c r="T1060" s="339">
        <f>+VLOOKUP(B1060,PRORRATEO!A:M,13,0)</f>
        <v>0.94099999999999995</v>
      </c>
      <c r="U1060" t="s">
        <v>60</v>
      </c>
    </row>
    <row r="1061" spans="1:21" x14ac:dyDescent="0.35">
      <c r="B1061" s="209">
        <v>1245150017</v>
      </c>
      <c r="C1061" s="10" t="s">
        <v>77</v>
      </c>
      <c r="D1061" s="268">
        <f>+O1060</f>
        <v>44092975</v>
      </c>
      <c r="E1061" t="s">
        <v>97</v>
      </c>
      <c r="F1061" s="209">
        <v>40</v>
      </c>
      <c r="G1061" s="318" t="str">
        <f>+CONCATENATE($G$7," RF ",G1060," ",H1060)</f>
        <v>"04-2026" RF T133 9216</v>
      </c>
      <c r="H1061" s="252"/>
      <c r="I1061" s="312">
        <f>+H1060</f>
        <v>9216</v>
      </c>
      <c r="J1061" s="350"/>
    </row>
    <row r="1062" spans="1:21" x14ac:dyDescent="0.35">
      <c r="B1062" s="209">
        <v>1149120011</v>
      </c>
      <c r="C1062" s="10" t="s">
        <v>96</v>
      </c>
      <c r="D1062" s="268">
        <f>+Q1060</f>
        <v>494282.24974999996</v>
      </c>
      <c r="E1062" t="s">
        <v>98</v>
      </c>
      <c r="F1062" s="209">
        <v>40</v>
      </c>
      <c r="G1062" s="318" t="str">
        <f>+G1061</f>
        <v>"04-2026" RF T133 9216</v>
      </c>
      <c r="H1062" s="252"/>
      <c r="I1062" s="312">
        <f>+I1061</f>
        <v>9216</v>
      </c>
      <c r="J1062" s="350"/>
    </row>
    <row r="1063" spans="1:21" x14ac:dyDescent="0.35">
      <c r="B1063" s="209">
        <v>1149120011</v>
      </c>
      <c r="C1063" s="10" t="s">
        <v>96</v>
      </c>
      <c r="D1063" s="268">
        <f>-Q1060</f>
        <v>-494282.24974999996</v>
      </c>
      <c r="E1063" t="s">
        <v>97</v>
      </c>
      <c r="F1063" s="209">
        <v>50</v>
      </c>
      <c r="G1063" s="318" t="str">
        <f>+G1062</f>
        <v>"04-2026" RF T133 9216</v>
      </c>
      <c r="H1063" s="252"/>
      <c r="I1063" s="312">
        <f>+I1062</f>
        <v>9216</v>
      </c>
      <c r="J1063" s="350"/>
    </row>
    <row r="1064" spans="1:21" x14ac:dyDescent="0.35">
      <c r="B1064" s="4">
        <v>1149120011</v>
      </c>
      <c r="C1064" s="10" t="s">
        <v>96</v>
      </c>
      <c r="D1064" s="268">
        <f>+D1061*0.19</f>
        <v>8377665.25</v>
      </c>
      <c r="E1064" t="s">
        <v>97</v>
      </c>
      <c r="F1064">
        <v>40</v>
      </c>
      <c r="G1064" s="318" t="str">
        <f>+G1063</f>
        <v>"04-2026" RF T133 9216</v>
      </c>
      <c r="H1064" s="252"/>
      <c r="I1064" s="312">
        <f>+I1063</f>
        <v>9216</v>
      </c>
      <c r="J1064" s="350"/>
    </row>
    <row r="1065" spans="1:21" x14ac:dyDescent="0.35">
      <c r="B1065" s="4">
        <v>1249100024</v>
      </c>
      <c r="C1065" s="10" t="s">
        <v>981</v>
      </c>
      <c r="D1065" s="395">
        <f>-D1061*J1065</f>
        <v>-4232925.5999999996</v>
      </c>
      <c r="E1065"/>
      <c r="F1065">
        <v>50</v>
      </c>
      <c r="G1065" s="318" t="s">
        <v>1193</v>
      </c>
      <c r="H1065" s="252"/>
      <c r="I1065" s="312">
        <v>1</v>
      </c>
      <c r="J1065" s="394">
        <v>9.6000000000000002E-2</v>
      </c>
    </row>
    <row r="1066" spans="1:21" x14ac:dyDescent="0.35">
      <c r="C1066" s="251" t="s">
        <v>76</v>
      </c>
      <c r="D1066" s="265">
        <f>SUBTOTAL(9,D1061:D1065)</f>
        <v>48237714.649999999</v>
      </c>
      <c r="E1066"/>
      <c r="G1066" s="318" t="str">
        <f>+G1064</f>
        <v>"04-2026" RF T133 9216</v>
      </c>
      <c r="H1066" s="252"/>
      <c r="J1066" s="350"/>
    </row>
    <row r="1067" spans="1:21" x14ac:dyDescent="0.35">
      <c r="A1067" s="130" t="s">
        <v>1048</v>
      </c>
      <c r="B1067" s="14">
        <v>243147</v>
      </c>
      <c r="C1067" s="15" t="s">
        <v>1060</v>
      </c>
      <c r="E1067"/>
      <c r="G1067" s="346" t="s">
        <v>442</v>
      </c>
      <c r="H1067" s="257">
        <v>9103</v>
      </c>
      <c r="J1067" s="350">
        <f>+VLOOKUP(H1067,contratos!A:R,5,0)</f>
        <v>42948</v>
      </c>
      <c r="K1067" s="266" t="str">
        <f>+VLOOKUP(H1067,contratos!A:R,12,0)</f>
        <v>OK</v>
      </c>
      <c r="L1067" s="341" t="str">
        <f>+VLOOKUP(H1067,contratos!A:R,13,0)</f>
        <v>VIGENTE</v>
      </c>
      <c r="M1067" s="341">
        <f>+VLOOKUP(H1067,contratos!A:R,15,0)</f>
        <v>0</v>
      </c>
      <c r="N1067" s="336">
        <f>+VLOOKUP(H1067,contratos!A:R,16,0)</f>
        <v>0</v>
      </c>
      <c r="O1067" s="341">
        <f>+VLOOKUP(B1067,PRORRATEO!A:M,8,0)</f>
        <v>11637519</v>
      </c>
      <c r="P1067" s="341">
        <f>+VLOOKUP(B1067,PRORRATEO!A:M,9,0)</f>
        <v>2211128.61</v>
      </c>
      <c r="Q1067" s="341">
        <f>+VLOOKUP(B1067,PRORRATEO!A:M,10,0)</f>
        <v>179101.41740999999</v>
      </c>
      <c r="R1067" s="341">
        <f>+VLOOKUP(B1067,PRORRATEO!A:M,11,0)</f>
        <v>2032027.1925899999</v>
      </c>
      <c r="S1067" s="339">
        <f>+VLOOKUP(B1067,PRORRATEO!A:M,12,0)</f>
        <v>8.1000000000000003E-2</v>
      </c>
      <c r="T1067" s="339">
        <f>+VLOOKUP(B1067,PRORRATEO!A:M,13,0)</f>
        <v>0.91900000000000004</v>
      </c>
      <c r="U1067" t="s">
        <v>837</v>
      </c>
    </row>
    <row r="1068" spans="1:21" x14ac:dyDescent="0.35">
      <c r="B1068" s="263">
        <v>1245150017</v>
      </c>
      <c r="C1068" s="10" t="s">
        <v>77</v>
      </c>
      <c r="D1068" s="268">
        <f>+O1067</f>
        <v>11637519</v>
      </c>
      <c r="E1068" s="263" t="s">
        <v>97</v>
      </c>
      <c r="F1068">
        <v>40</v>
      </c>
      <c r="G1068" s="318" t="str">
        <f>+CONCATENATE($G$7," RF ",G1067," ",H1067)</f>
        <v>"04-2026" RF T128 9103</v>
      </c>
      <c r="H1068" s="252"/>
      <c r="I1068" s="312">
        <f>+H1067</f>
        <v>9103</v>
      </c>
      <c r="J1068" s="350"/>
    </row>
    <row r="1069" spans="1:21" x14ac:dyDescent="0.35">
      <c r="B1069" s="263">
        <v>1149120011</v>
      </c>
      <c r="C1069" s="10" t="s">
        <v>96</v>
      </c>
      <c r="D1069" s="268">
        <f>+Q1067</f>
        <v>179101.41740999999</v>
      </c>
      <c r="E1069" s="263" t="s">
        <v>98</v>
      </c>
      <c r="F1069">
        <v>40</v>
      </c>
      <c r="G1069" s="318" t="str">
        <f>+G1068</f>
        <v>"04-2026" RF T128 9103</v>
      </c>
      <c r="H1069" s="252"/>
      <c r="I1069" s="312">
        <f>+I1068</f>
        <v>9103</v>
      </c>
      <c r="J1069" s="350"/>
      <c r="K1069" s="433">
        <f>+D1068+D1071</f>
        <v>13848647.609999999</v>
      </c>
    </row>
    <row r="1070" spans="1:21" x14ac:dyDescent="0.35">
      <c r="B1070" s="263">
        <v>1149120011</v>
      </c>
      <c r="C1070" s="10" t="s">
        <v>96</v>
      </c>
      <c r="D1070" s="268">
        <f>+D1069</f>
        <v>179101.41740999999</v>
      </c>
      <c r="E1070" s="263" t="s">
        <v>97</v>
      </c>
      <c r="F1070">
        <v>50</v>
      </c>
      <c r="G1070" s="318" t="str">
        <f>+G1069</f>
        <v>"04-2026" RF T128 9103</v>
      </c>
      <c r="H1070" s="252"/>
      <c r="I1070" s="312">
        <f>+I1069</f>
        <v>9103</v>
      </c>
      <c r="J1070" s="350"/>
      <c r="K1070" s="433"/>
    </row>
    <row r="1071" spans="1:21" x14ac:dyDescent="0.35">
      <c r="B1071" s="4">
        <v>1149120011</v>
      </c>
      <c r="C1071" s="10" t="s">
        <v>96</v>
      </c>
      <c r="D1071" s="268">
        <f>+D1068*0.19</f>
        <v>2211128.61</v>
      </c>
      <c r="E1071" t="s">
        <v>97</v>
      </c>
      <c r="F1071">
        <v>40</v>
      </c>
      <c r="G1071" s="318" t="str">
        <f>+G1070</f>
        <v>"04-2026" RF T128 9103</v>
      </c>
      <c r="H1071" s="252"/>
      <c r="I1071" s="312">
        <f>+I1070</f>
        <v>9103</v>
      </c>
      <c r="J1071" s="350"/>
    </row>
    <row r="1072" spans="1:21" x14ac:dyDescent="0.35">
      <c r="B1072" s="4">
        <v>1246125027</v>
      </c>
      <c r="C1072" s="10" t="s">
        <v>962</v>
      </c>
      <c r="D1072" s="268">
        <f>+D1068*J1072</f>
        <v>407313.16500000004</v>
      </c>
      <c r="E1072"/>
      <c r="F1072">
        <v>50</v>
      </c>
      <c r="G1072" s="318" t="str">
        <f>+G1071</f>
        <v>"04-2026" RF T128 9103</v>
      </c>
      <c r="H1072" s="252"/>
      <c r="I1072" s="251" t="s">
        <v>1061</v>
      </c>
      <c r="J1072" s="356">
        <v>3.5000000000000003E-2</v>
      </c>
    </row>
    <row r="1073" spans="1:21" x14ac:dyDescent="0.35">
      <c r="C1073" s="251" t="s">
        <v>76</v>
      </c>
      <c r="D1073" s="265">
        <f>+D1068+D1071+D1070-D1069-D1072</f>
        <v>13441334.445</v>
      </c>
      <c r="E1073"/>
      <c r="G1073" s="318" t="str">
        <f>+G1072</f>
        <v>"04-2026" RF T128 9103</v>
      </c>
      <c r="H1073" s="252"/>
      <c r="J1073" s="10"/>
    </row>
    <row r="1074" spans="1:21" x14ac:dyDescent="0.35">
      <c r="A1074" s="130" t="s">
        <v>1048</v>
      </c>
      <c r="B1074" s="14">
        <v>214089</v>
      </c>
      <c r="C1074" s="15" t="s">
        <v>1062</v>
      </c>
      <c r="E1074"/>
      <c r="G1074" s="346" t="s">
        <v>1160</v>
      </c>
      <c r="H1074" s="257">
        <v>9305</v>
      </c>
      <c r="J1074" s="350">
        <f>+VLOOKUP(H1074,contratos!A:R,5,0)</f>
        <v>43195</v>
      </c>
      <c r="K1074" s="266" t="str">
        <f>+VLOOKUP(H1074,contratos!A:R,12,0)</f>
        <v>OK</v>
      </c>
      <c r="L1074" s="341" t="str">
        <f>+VLOOKUP(H1074,contratos!A:R,13,0)</f>
        <v>VIGENTE</v>
      </c>
      <c r="M1074" s="341">
        <f>+VLOOKUP(H1074,contratos!A:R,15,0)</f>
        <v>0</v>
      </c>
      <c r="N1074" s="336">
        <f>+VLOOKUP(H1074,contratos!A:R,16,0)</f>
        <v>0</v>
      </c>
      <c r="O1074" s="341">
        <f>+VLOOKUP(B1074,PRORRATEO!A:M,8,0)</f>
        <v>15918945</v>
      </c>
      <c r="P1074" s="341">
        <f>+VLOOKUP(B1074,PRORRATEO!A:M,9,0)</f>
        <v>3024599.55</v>
      </c>
      <c r="Q1074" s="341">
        <f>+VLOOKUP(B1074,PRORRATEO!A:M,10,0)</f>
        <v>3024599.55</v>
      </c>
      <c r="R1074" s="341">
        <f>+VLOOKUP(B1074,PRORRATEO!A:M,11,0)</f>
        <v>0</v>
      </c>
      <c r="S1074" s="339">
        <f>+VLOOKUP(B1074,PRORRATEO!A:M,12,0)</f>
        <v>1</v>
      </c>
      <c r="T1074" s="339">
        <f>+VLOOKUP(B1074,PRORRATEO!A:M,13,0)</f>
        <v>0</v>
      </c>
      <c r="U1074" t="s">
        <v>665</v>
      </c>
    </row>
    <row r="1075" spans="1:21" x14ac:dyDescent="0.35">
      <c r="B1075" s="263">
        <v>1537210002</v>
      </c>
      <c r="C1075" s="10" t="s">
        <v>1015</v>
      </c>
      <c r="D1075" s="268">
        <v>1968997</v>
      </c>
      <c r="E1075" s="263" t="s">
        <v>97</v>
      </c>
      <c r="F1075">
        <v>40</v>
      </c>
      <c r="G1075" s="318" t="str">
        <f>+CONCATENATE($G$7," GC/RF ",G1074," ",H1074)</f>
        <v>"04-2026" GC/RF TSGH608 9305</v>
      </c>
      <c r="H1075" s="252"/>
      <c r="I1075" s="312">
        <f>+H1074</f>
        <v>9305</v>
      </c>
      <c r="J1075" s="350"/>
    </row>
    <row r="1076" spans="1:21" x14ac:dyDescent="0.35">
      <c r="B1076" s="263">
        <v>1245150017</v>
      </c>
      <c r="C1076" s="10" t="s">
        <v>77</v>
      </c>
      <c r="D1076" s="268">
        <f>+M1074</f>
        <v>0</v>
      </c>
      <c r="E1076" s="263" t="s">
        <v>98</v>
      </c>
      <c r="F1076">
        <v>40</v>
      </c>
      <c r="G1076" s="318" t="str">
        <f t="shared" ref="G1076:G1082" si="60">+G1075</f>
        <v>"04-2026" GC/RF TSGH608 9305</v>
      </c>
      <c r="H1076" s="252"/>
      <c r="I1076" s="312">
        <f>+I1075</f>
        <v>9305</v>
      </c>
      <c r="J1076" s="350"/>
    </row>
    <row r="1077" spans="1:21" x14ac:dyDescent="0.35">
      <c r="B1077" s="263">
        <v>1532001600</v>
      </c>
      <c r="C1077" s="10" t="s">
        <v>987</v>
      </c>
      <c r="E1077" s="409" t="s">
        <v>97</v>
      </c>
      <c r="F1077">
        <v>40</v>
      </c>
      <c r="G1077" s="318" t="str">
        <f t="shared" si="60"/>
        <v>"04-2026" GC/RF TSGH608 9305</v>
      </c>
      <c r="H1077" s="252"/>
      <c r="I1077" s="312">
        <f>+I1076</f>
        <v>9305</v>
      </c>
      <c r="J1077" s="350"/>
    </row>
    <row r="1078" spans="1:21" x14ac:dyDescent="0.35">
      <c r="B1078" s="263">
        <v>1149120011</v>
      </c>
      <c r="C1078" s="10" t="s">
        <v>96</v>
      </c>
      <c r="D1078" s="268">
        <f>-Q1074</f>
        <v>-3024599.55</v>
      </c>
      <c r="E1078" s="409" t="s">
        <v>97</v>
      </c>
      <c r="F1078">
        <v>50</v>
      </c>
      <c r="G1078" s="318" t="str">
        <f t="shared" si="60"/>
        <v>"04-2026" GC/RF TSGH608 9305</v>
      </c>
      <c r="H1078" s="252"/>
      <c r="I1078" s="312">
        <f>+I1077</f>
        <v>9305</v>
      </c>
      <c r="J1078" s="351" t="e">
        <f>99932/D1076%</f>
        <v>#DIV/0!</v>
      </c>
    </row>
    <row r="1079" spans="1:21" x14ac:dyDescent="0.35">
      <c r="B1079" s="263">
        <v>1149120011</v>
      </c>
      <c r="C1079" s="10" t="s">
        <v>96</v>
      </c>
      <c r="D1079" s="268">
        <f>-D1078</f>
        <v>3024599.55</v>
      </c>
      <c r="E1079" s="409" t="s">
        <v>98</v>
      </c>
      <c r="F1079">
        <v>40</v>
      </c>
      <c r="G1079" s="318" t="str">
        <f>+G1078</f>
        <v>"04-2026" GC/RF TSGH608 9305</v>
      </c>
      <c r="H1079" s="252"/>
      <c r="I1079" s="312">
        <f>+I1078</f>
        <v>9305</v>
      </c>
      <c r="J1079" s="354"/>
    </row>
    <row r="1080" spans="1:21" x14ac:dyDescent="0.35">
      <c r="B1080" s="4">
        <v>1149120011</v>
      </c>
      <c r="C1080" s="10" t="s">
        <v>96</v>
      </c>
      <c r="D1080" s="268">
        <f>+(D1075+D1076)*0.19</f>
        <v>374109.43</v>
      </c>
      <c r="E1080" s="4" t="s">
        <v>98</v>
      </c>
      <c r="F1080">
        <v>40</v>
      </c>
      <c r="G1080" s="318" t="str">
        <f>+G1079</f>
        <v>"04-2026" GC/RF TSGH608 9305</v>
      </c>
      <c r="H1080" s="252"/>
      <c r="I1080" s="312">
        <f>+I1079</f>
        <v>9305</v>
      </c>
      <c r="J1080" s="354"/>
    </row>
    <row r="1081" spans="1:21" x14ac:dyDescent="0.35">
      <c r="B1081" s="4">
        <v>1249100024</v>
      </c>
      <c r="C1081" s="10" t="s">
        <v>981</v>
      </c>
      <c r="D1081" s="298">
        <f>-D1076*J1081</f>
        <v>0</v>
      </c>
      <c r="E1081"/>
      <c r="F1081">
        <v>50</v>
      </c>
      <c r="G1081" s="318" t="str">
        <f>+G1079</f>
        <v>"04-2026" GC/RF TSGH608 9305</v>
      </c>
      <c r="H1081" s="266"/>
      <c r="I1081" s="251">
        <v>24</v>
      </c>
      <c r="J1081" s="54">
        <f>104927/14989590</f>
        <v>6.9999913273144894E-3</v>
      </c>
    </row>
    <row r="1082" spans="1:21" x14ac:dyDescent="0.35">
      <c r="C1082" s="251" t="s">
        <v>76</v>
      </c>
      <c r="D1082" s="265">
        <f>SUM(D1075:D1081)</f>
        <v>2343106.4300000002</v>
      </c>
      <c r="E1082"/>
      <c r="G1082" s="318" t="str">
        <f t="shared" si="60"/>
        <v>"04-2026" GC/RF TSGH608 9305</v>
      </c>
      <c r="H1082" s="252"/>
      <c r="J1082" s="350"/>
    </row>
    <row r="1083" spans="1:21" x14ac:dyDescent="0.35">
      <c r="A1083" s="130" t="s">
        <v>1048</v>
      </c>
      <c r="B1083" s="14">
        <v>214089</v>
      </c>
      <c r="C1083" s="15" t="s">
        <v>1062</v>
      </c>
      <c r="E1083"/>
      <c r="G1083" s="346" t="s">
        <v>473</v>
      </c>
      <c r="H1083" s="257" t="s">
        <v>201</v>
      </c>
      <c r="I1083" s="251" t="s">
        <v>1063</v>
      </c>
      <c r="J1083" s="350">
        <f>+VLOOKUP(H1083,contratos!A:R,5,0)</f>
        <v>43554</v>
      </c>
      <c r="K1083" s="266" t="str">
        <f>+VLOOKUP(H1083,contratos!A:R,12,0)</f>
        <v>CESADO</v>
      </c>
      <c r="L1083" s="341" t="str">
        <f>+VLOOKUP(H1083,contratos!A:R,13,0)</f>
        <v>CESADO</v>
      </c>
      <c r="M1083" s="341">
        <f>+VLOOKUP(H1083,contratos!A:R,15,0)</f>
        <v>0</v>
      </c>
      <c r="N1083" s="336">
        <f>+VLOOKUP(H1083,contratos!A:R,16,0)</f>
        <v>0</v>
      </c>
      <c r="O1083" s="341">
        <f>+VLOOKUP(B1083,PRORRATEO!A:M,8,0)</f>
        <v>15918945</v>
      </c>
      <c r="P1083" s="341">
        <f>+VLOOKUP(B1083,PRORRATEO!A:M,9,0)</f>
        <v>3024599.55</v>
      </c>
      <c r="Q1083" s="341">
        <f>+VLOOKUP(B1083,PRORRATEO!A:M,10,0)</f>
        <v>3024599.55</v>
      </c>
      <c r="R1083" s="341">
        <f>+VLOOKUP(B1083,PRORRATEO!A:M,11,0)</f>
        <v>0</v>
      </c>
      <c r="S1083" s="339">
        <f>+VLOOKUP(B1083,PRORRATEO!A:M,12,0)</f>
        <v>1</v>
      </c>
      <c r="T1083" s="339">
        <f>+VLOOKUP(B1083,PRORRATEO!A:M,13,0)</f>
        <v>0</v>
      </c>
      <c r="U1083" t="s">
        <v>332</v>
      </c>
    </row>
    <row r="1084" spans="1:21" x14ac:dyDescent="0.35">
      <c r="B1084" s="263">
        <v>1245150017</v>
      </c>
      <c r="C1084" s="10" t="s">
        <v>77</v>
      </c>
      <c r="D1084" s="268">
        <v>29860134</v>
      </c>
      <c r="E1084" s="263" t="s">
        <v>97</v>
      </c>
      <c r="F1084">
        <v>40</v>
      </c>
      <c r="G1084" s="318" t="str">
        <f>+CONCATENATE($G$7," GC/RF ",G1083," ",H1083)</f>
        <v>"04-2026" GC/RF T136 C940</v>
      </c>
      <c r="H1084" s="252"/>
      <c r="I1084" s="312" t="str">
        <f>+H1083</f>
        <v>C940</v>
      </c>
      <c r="J1084" s="350"/>
    </row>
    <row r="1085" spans="1:21" x14ac:dyDescent="0.35">
      <c r="B1085" s="263">
        <v>1245150017</v>
      </c>
      <c r="C1085" s="10" t="s">
        <v>77</v>
      </c>
      <c r="D1085" s="268">
        <v>3201897</v>
      </c>
      <c r="E1085" s="263" t="s">
        <v>97</v>
      </c>
      <c r="F1085">
        <v>40</v>
      </c>
      <c r="G1085" s="318" t="str">
        <f t="shared" ref="G1085:G1088" si="61">+G1084</f>
        <v>"04-2026" GC/RF T136 C940</v>
      </c>
      <c r="H1085" s="252"/>
      <c r="I1085" s="312" t="str">
        <f>+I1084</f>
        <v>C940</v>
      </c>
      <c r="J1085" s="350"/>
    </row>
    <row r="1086" spans="1:21" x14ac:dyDescent="0.35">
      <c r="B1086" s="263">
        <v>1149120011</v>
      </c>
      <c r="C1086" s="10" t="s">
        <v>96</v>
      </c>
      <c r="D1086" s="268">
        <v>409744</v>
      </c>
      <c r="E1086" s="263" t="s">
        <v>98</v>
      </c>
      <c r="F1086">
        <v>40</v>
      </c>
      <c r="G1086" s="318" t="str">
        <f t="shared" si="61"/>
        <v>"04-2026" GC/RF T136 C940</v>
      </c>
      <c r="H1086" s="252"/>
      <c r="I1086" s="312" t="str">
        <f>+I1085</f>
        <v>C940</v>
      </c>
      <c r="J1086" s="375"/>
      <c r="K1086" s="433">
        <f>+D1084+D1085</f>
        <v>33062031</v>
      </c>
    </row>
    <row r="1087" spans="1:21" x14ac:dyDescent="0.35">
      <c r="B1087" s="263">
        <v>1149120011</v>
      </c>
      <c r="C1087" s="10" t="s">
        <v>96</v>
      </c>
      <c r="D1087" s="268">
        <v>-409744</v>
      </c>
      <c r="E1087" s="263" t="s">
        <v>97</v>
      </c>
      <c r="F1087">
        <v>50</v>
      </c>
      <c r="G1087" s="318" t="str">
        <f t="shared" si="61"/>
        <v>"04-2026" GC/RF T136 C940</v>
      </c>
      <c r="H1087" s="252"/>
      <c r="I1087" s="312" t="str">
        <f>+I1086</f>
        <v>C940</v>
      </c>
      <c r="J1087" s="350"/>
    </row>
    <row r="1088" spans="1:21" x14ac:dyDescent="0.35">
      <c r="B1088" s="4">
        <v>1149120011</v>
      </c>
      <c r="C1088" s="10" t="s">
        <v>96</v>
      </c>
      <c r="D1088" s="268">
        <f>+(D1084+D1085)*0.19</f>
        <v>6281785.8899999997</v>
      </c>
      <c r="E1088" t="s">
        <v>97</v>
      </c>
      <c r="F1088">
        <v>40</v>
      </c>
      <c r="G1088" s="318" t="str">
        <f t="shared" si="61"/>
        <v>"04-2026" GC/RF T136 C940</v>
      </c>
      <c r="H1088" s="252"/>
      <c r="J1088" s="350"/>
    </row>
    <row r="1089" spans="1:21" x14ac:dyDescent="0.35">
      <c r="C1089" s="251" t="s">
        <v>76</v>
      </c>
      <c r="D1089" s="265">
        <f>SUBTOTAL(9,D1084:D1088)</f>
        <v>39343816.890000001</v>
      </c>
      <c r="E1089"/>
      <c r="G1089" s="318" t="str">
        <f>+G1088</f>
        <v>"04-2026" GC/RF T136 C940</v>
      </c>
      <c r="H1089" s="252"/>
      <c r="J1089" s="350"/>
    </row>
    <row r="1090" spans="1:21" x14ac:dyDescent="0.35">
      <c r="A1090" s="130" t="s">
        <v>854</v>
      </c>
      <c r="B1090" s="14">
        <v>214089</v>
      </c>
      <c r="C1090" s="15" t="s">
        <v>1062</v>
      </c>
      <c r="D1090" s="268">
        <f>SUM(D1091:D1093)</f>
        <v>309379.96999999997</v>
      </c>
      <c r="E1090"/>
      <c r="G1090" s="346" t="s">
        <v>473</v>
      </c>
      <c r="H1090" s="257" t="s">
        <v>201</v>
      </c>
      <c r="I1090" s="251" t="s">
        <v>1063</v>
      </c>
      <c r="J1090" s="350">
        <f>+VLOOKUP(H1090,contratos!A:R,5,0)</f>
        <v>43554</v>
      </c>
      <c r="K1090" s="266" t="str">
        <f>+VLOOKUP(H1090,contratos!A:R,12,0)</f>
        <v>CESADO</v>
      </c>
      <c r="L1090" s="341" t="str">
        <f>+VLOOKUP(H1090,contratos!A:R,13,0)</f>
        <v>CESADO</v>
      </c>
      <c r="M1090" s="341">
        <f>+VLOOKUP(H1090,contratos!A:R,15,0)</f>
        <v>0</v>
      </c>
      <c r="N1090" s="336">
        <f>+VLOOKUP(H1090,contratos!A:R,16,0)</f>
        <v>0</v>
      </c>
      <c r="O1090" s="341">
        <f>+VLOOKUP(H1090,PRORRATEO!F:M,3,0)</f>
        <v>23961662</v>
      </c>
      <c r="P1090" s="341">
        <f>+VLOOKUP(H1090,PRORRATEO!F:M,4,0)</f>
        <v>4552715.78</v>
      </c>
      <c r="Q1090" s="341">
        <f>+VLOOKUP(H1090,PRORRATEO!F:M,5,0)</f>
        <v>409744.42019999999</v>
      </c>
      <c r="R1090" s="341">
        <f>+VLOOKUP(H1090,PRORRATEO!F:M,6,0)</f>
        <v>4147524.0755800004</v>
      </c>
      <c r="S1090" s="339">
        <f>+VLOOKUP(H1090,PRORRATEO!F:M,7,0)</f>
        <v>0.09</v>
      </c>
      <c r="T1090" s="339">
        <f>+VLOOKUP(H1090,PRORRATEO!F:M,8,0)</f>
        <v>0.91100000000000003</v>
      </c>
      <c r="U1090" t="s">
        <v>332</v>
      </c>
    </row>
    <row r="1091" spans="1:21" x14ac:dyDescent="0.35">
      <c r="B1091" s="263">
        <v>1537210002</v>
      </c>
      <c r="C1091" s="10" t="s">
        <v>854</v>
      </c>
      <c r="D1091" s="265">
        <v>258463</v>
      </c>
      <c r="E1091" t="s">
        <v>97</v>
      </c>
      <c r="F1091">
        <v>40</v>
      </c>
      <c r="G1091" s="348" t="str">
        <f>+CONCATENATE($G$7," GC ",G1090," ",H1090)</f>
        <v>"04-2026" GC T136 C940</v>
      </c>
      <c r="H1091" s="252"/>
      <c r="I1091" s="312" t="str">
        <f>+H1090</f>
        <v>C940</v>
      </c>
      <c r="J1091" s="350"/>
    </row>
    <row r="1092" spans="1:21" x14ac:dyDescent="0.35">
      <c r="B1092" s="4">
        <v>1149120011</v>
      </c>
      <c r="C1092" s="10" t="s">
        <v>96</v>
      </c>
      <c r="D1092" s="298">
        <f>+D1091*0.19</f>
        <v>49107.97</v>
      </c>
      <c r="E1092" t="s">
        <v>97</v>
      </c>
      <c r="F1092">
        <v>40</v>
      </c>
      <c r="G1092" s="318" t="str">
        <f>+G1091</f>
        <v>"04-2026" GC T136 C940</v>
      </c>
      <c r="H1092" s="252"/>
      <c r="I1092" s="312" t="str">
        <f>+I1091</f>
        <v>C940</v>
      </c>
      <c r="J1092" s="350"/>
    </row>
    <row r="1093" spans="1:21" x14ac:dyDescent="0.35">
      <c r="B1093" s="4">
        <v>1249100024</v>
      </c>
      <c r="C1093" s="10" t="s">
        <v>981</v>
      </c>
      <c r="D1093" s="268">
        <f>+D1091*J1093</f>
        <v>1809</v>
      </c>
      <c r="E1093"/>
      <c r="G1093" s="318" t="str">
        <f>+G1092</f>
        <v>"04-2026" GC T136 C940</v>
      </c>
      <c r="H1093" s="252"/>
      <c r="I1093" s="251">
        <v>24</v>
      </c>
      <c r="J1093" s="356">
        <v>6.9990675647965085E-3</v>
      </c>
    </row>
    <row r="1094" spans="1:21" x14ac:dyDescent="0.35">
      <c r="A1094" s="130" t="s">
        <v>854</v>
      </c>
      <c r="B1094" s="14">
        <v>204625</v>
      </c>
      <c r="C1094" s="15" t="s">
        <v>563</v>
      </c>
      <c r="E1094"/>
      <c r="G1094" s="346" t="s">
        <v>561</v>
      </c>
      <c r="H1094" s="257">
        <v>6700</v>
      </c>
      <c r="I1094" s="10" t="s">
        <v>865</v>
      </c>
      <c r="J1094" s="350">
        <f>+VLOOKUP(H1094,contratos!A:R,5,0)</f>
        <v>42736</v>
      </c>
      <c r="K1094" s="266" t="str">
        <f>+VLOOKUP(H1094,contratos!A:R,12,0)</f>
        <v>OK</v>
      </c>
      <c r="L1094" s="341" t="str">
        <f>+VLOOKUP(H1094,contratos!A:R,13,0)</f>
        <v>VIGENTE</v>
      </c>
      <c r="M1094" s="341">
        <f>+VLOOKUP(H1094,contratos!A:R,15,0)</f>
        <v>0</v>
      </c>
      <c r="N1094" s="336">
        <f>+VLOOKUP(H1094,contratos!A:R,16,0)</f>
        <v>0</v>
      </c>
      <c r="O1094" s="341">
        <f>+VLOOKUP(H1094,PRORRATEO!F:M,3,0)</f>
        <v>24244695</v>
      </c>
      <c r="P1094" s="341">
        <f>+VLOOKUP(H1094,PRORRATEO!F:M,4,0)</f>
        <v>4606492.05</v>
      </c>
      <c r="Q1094" s="341">
        <f>+VLOOKUP(H1094,PRORRATEO!F:M,5,0)</f>
        <v>488288.15729999996</v>
      </c>
      <c r="R1094" s="341">
        <f>+VLOOKUP(H1094,PRORRATEO!F:M,6,0)</f>
        <v>4118203.8926999997</v>
      </c>
      <c r="S1094" s="339">
        <f>+VLOOKUP(H1094,PRORRATEO!F:M,7,0)</f>
        <v>0.106</v>
      </c>
      <c r="T1094" s="339">
        <f>+VLOOKUP(H1094,PRORRATEO!F:M,8,0)</f>
        <v>0.89400000000000002</v>
      </c>
      <c r="U1094" t="s">
        <v>767</v>
      </c>
    </row>
    <row r="1095" spans="1:21" x14ac:dyDescent="0.35">
      <c r="B1095" s="263">
        <v>1537210003</v>
      </c>
      <c r="C1095" s="10" t="s">
        <v>1013</v>
      </c>
      <c r="D1095" s="268">
        <v>651482</v>
      </c>
      <c r="E1095" s="263" t="s">
        <v>80</v>
      </c>
      <c r="F1095">
        <v>40</v>
      </c>
      <c r="G1095" s="348" t="str">
        <f>+CONCATENATE($G$7," GC ",G1094," ",H1094)</f>
        <v>"04-2026" GC T075 6700</v>
      </c>
      <c r="H1095" s="252"/>
      <c r="I1095" s="312">
        <f>+H1094</f>
        <v>6700</v>
      </c>
      <c r="J1095" s="350"/>
      <c r="K1095" s="335"/>
      <c r="N1095" s="336"/>
    </row>
    <row r="1096" spans="1:21" x14ac:dyDescent="0.35">
      <c r="B1096" s="263">
        <v>1532001605</v>
      </c>
      <c r="C1096" s="10" t="s">
        <v>1017</v>
      </c>
      <c r="D1096" s="268">
        <v>21921</v>
      </c>
      <c r="E1096" s="263" t="s">
        <v>80</v>
      </c>
      <c r="F1096">
        <v>40</v>
      </c>
      <c r="G1096" s="316" t="str">
        <f>+CONCATENATE($G$7," ELECTRICIDAD ",G1094," ",H1094)</f>
        <v>"04-2026" ELECTRICIDAD T075 6700</v>
      </c>
      <c r="H1096" s="252"/>
      <c r="I1096" s="312">
        <f>+I1095</f>
        <v>6700</v>
      </c>
      <c r="J1096" s="350"/>
      <c r="K1096" s="335"/>
      <c r="N1096" s="336"/>
    </row>
    <row r="1097" spans="1:21" x14ac:dyDescent="0.35">
      <c r="B1097" s="263">
        <v>1532001604</v>
      </c>
      <c r="C1097" s="10" t="s">
        <v>1014</v>
      </c>
      <c r="D1097" s="268">
        <v>898</v>
      </c>
      <c r="E1097" s="263" t="s">
        <v>80</v>
      </c>
      <c r="F1097">
        <v>40</v>
      </c>
      <c r="G1097" s="348" t="str">
        <f>+CONCATENATE($G$7," ACUEDUCTO ",G1094," ",H1094)</f>
        <v>"04-2026" ACUEDUCTO T075 6700</v>
      </c>
      <c r="H1097" s="252"/>
      <c r="I1097" s="312">
        <f>+I1096</f>
        <v>6700</v>
      </c>
      <c r="J1097" s="350"/>
      <c r="K1097" s="335"/>
      <c r="N1097" s="336"/>
    </row>
    <row r="1098" spans="1:21" x14ac:dyDescent="0.35">
      <c r="B1098" s="263">
        <v>1245150017</v>
      </c>
      <c r="C1098" s="10" t="s">
        <v>77</v>
      </c>
      <c r="D1098" s="268">
        <f>1705334+48902</f>
        <v>1754236</v>
      </c>
      <c r="E1098" s="263" t="s">
        <v>80</v>
      </c>
      <c r="F1098">
        <v>40</v>
      </c>
      <c r="G1098" s="316" t="str">
        <f>+CONCATENATE($G$7," GC ",G1094," ",H1094)</f>
        <v>"04-2026" GC T075 6700</v>
      </c>
      <c r="H1098" s="252"/>
      <c r="I1098" s="312">
        <f>+I1097</f>
        <v>6700</v>
      </c>
      <c r="J1098" s="350"/>
      <c r="K1098" s="335"/>
      <c r="N1098" s="336"/>
    </row>
    <row r="1099" spans="1:21" x14ac:dyDescent="0.35">
      <c r="C1099" s="251" t="s">
        <v>76</v>
      </c>
      <c r="D1099" s="265">
        <f>SUM(D1095:D1098)</f>
        <v>2428537</v>
      </c>
      <c r="E1099"/>
      <c r="G1099" s="318" t="str">
        <f>+CONCATENATE($G$7," GC/ELECTRICIDAD ",G1094," ",H1094)</f>
        <v>"04-2026" GC/ELECTRICIDAD T075 6700</v>
      </c>
      <c r="H1099" s="252"/>
      <c r="J1099" s="350"/>
      <c r="K1099" s="335"/>
      <c r="N1099" s="336"/>
    </row>
    <row r="1100" spans="1:21" x14ac:dyDescent="0.35">
      <c r="A1100" s="130" t="s">
        <v>1048</v>
      </c>
      <c r="B1100" s="14" t="s">
        <v>639</v>
      </c>
      <c r="C1100" s="15" t="s">
        <v>1064</v>
      </c>
      <c r="E1100"/>
      <c r="G1100" s="346" t="s">
        <v>305</v>
      </c>
      <c r="H1100" s="6" t="s">
        <v>207</v>
      </c>
      <c r="I1100" s="10" t="s">
        <v>865</v>
      </c>
      <c r="J1100" s="350">
        <f>+VLOOKUP(H1100,contratos!A:R,5,0)</f>
        <v>45399</v>
      </c>
      <c r="K1100" s="266" t="str">
        <f>+VLOOKUP(H1100,contratos!A:R,12,0)</f>
        <v>OK</v>
      </c>
      <c r="L1100" s="341" t="str">
        <f>+VLOOKUP(H1100,contratos!A:R,13,0)</f>
        <v>VIGENTE</v>
      </c>
      <c r="M1100" s="341">
        <f>+VLOOKUP(H1100,contratos!A:R,15,0)</f>
        <v>0</v>
      </c>
      <c r="N1100" s="336">
        <f>+VLOOKUP(H1100,contratos!A:R,16,0)</f>
        <v>0</v>
      </c>
      <c r="O1100" s="341">
        <f>+VLOOKUP(B1100,PRORRATEO!A:M,8,0)</f>
        <v>14162516</v>
      </c>
      <c r="P1100" s="341">
        <f>+VLOOKUP(B1100,PRORRATEO!A:M,9,0)</f>
        <v>2690878.04</v>
      </c>
      <c r="Q1100" s="341">
        <f>+VLOOKUP(B1100,PRORRATEO!A:M,10,0)</f>
        <v>2690878.04</v>
      </c>
      <c r="R1100" s="341">
        <f>+VLOOKUP(B1100,PRORRATEO!A:M,11,0)</f>
        <v>0</v>
      </c>
      <c r="S1100" s="339">
        <f>+VLOOKUP(B1100,PRORRATEO!A:M,12,0)</f>
        <v>1</v>
      </c>
      <c r="T1100" s="339">
        <f>+VLOOKUP(B1100,PRORRATEO!A:M,13,0)</f>
        <v>0</v>
      </c>
      <c r="U1100" t="s">
        <v>640</v>
      </c>
    </row>
    <row r="1101" spans="1:21" x14ac:dyDescent="0.35">
      <c r="B1101" s="263">
        <v>1537210002</v>
      </c>
      <c r="C1101" s="10" t="s">
        <v>1114</v>
      </c>
      <c r="D1101" s="268">
        <v>4260957</v>
      </c>
      <c r="E1101" s="263" t="s">
        <v>97</v>
      </c>
      <c r="F1101">
        <v>40</v>
      </c>
      <c r="G1101" s="348" t="str">
        <f>+CONCATENATE($G$7," GC ",G1100," ",H1100)</f>
        <v>"04-2026" GC R006 C965</v>
      </c>
      <c r="H1101" s="252"/>
      <c r="I1101" s="350" t="str">
        <f>+H1100</f>
        <v>C965</v>
      </c>
      <c r="J1101" s="10"/>
      <c r="K1101" s="335"/>
      <c r="N1101" s="336"/>
    </row>
    <row r="1102" spans="1:21" x14ac:dyDescent="0.35">
      <c r="B1102" s="263">
        <v>1532001605</v>
      </c>
      <c r="C1102" s="251" t="s">
        <v>1030</v>
      </c>
      <c r="D1102" s="268">
        <v>2717154</v>
      </c>
      <c r="E1102" s="263" t="s">
        <v>80</v>
      </c>
      <c r="F1102">
        <v>40</v>
      </c>
      <c r="G1102" s="318" t="str">
        <f>+CONCATENATE($G$7," ENERGIA ",G1100," ",H1100)</f>
        <v>"04-2026" ENERGIA R006 C965</v>
      </c>
      <c r="H1102" s="252"/>
      <c r="I1102" s="350" t="str">
        <f>+I1101</f>
        <v>C965</v>
      </c>
      <c r="J1102" s="10"/>
      <c r="K1102" s="335"/>
      <c r="N1102" s="336"/>
    </row>
    <row r="1103" spans="1:21" x14ac:dyDescent="0.35">
      <c r="B1103" s="263">
        <v>1532001604</v>
      </c>
      <c r="C1103" s="251" t="s">
        <v>1014</v>
      </c>
      <c r="D1103" s="396">
        <v>16732</v>
      </c>
      <c r="E1103" s="263" t="s">
        <v>80</v>
      </c>
      <c r="F1103">
        <v>40</v>
      </c>
      <c r="G1103" s="318" t="str">
        <f>+CONCATENATE($G$7," ACUEDUCTO ",G1100," ",H1100)</f>
        <v>"04-2026" ACUEDUCTO R006 C965</v>
      </c>
      <c r="H1103" s="252"/>
      <c r="I1103" s="350" t="str">
        <f>+I1102</f>
        <v>C965</v>
      </c>
      <c r="J1103" s="10"/>
      <c r="K1103" s="335"/>
      <c r="N1103" s="336"/>
    </row>
    <row r="1104" spans="1:21" x14ac:dyDescent="0.35">
      <c r="B1104" s="263">
        <v>1245150017</v>
      </c>
      <c r="C1104" s="10" t="s">
        <v>77</v>
      </c>
      <c r="D1104" s="268">
        <v>18166400</v>
      </c>
      <c r="E1104" s="263" t="s">
        <v>80</v>
      </c>
      <c r="F1104">
        <v>40</v>
      </c>
      <c r="G1104" s="318" t="str">
        <f>+CONCATENATE($G$7," RF ",G1099," ",H1099)</f>
        <v xml:space="preserve">"04-2026" RF "04-2026" GC/ELECTRICIDAD T075 6700 </v>
      </c>
      <c r="H1104" s="252"/>
      <c r="J1104" s="350" t="str">
        <f>+I1101</f>
        <v>C965</v>
      </c>
      <c r="K1104" s="335"/>
      <c r="N1104" s="336"/>
    </row>
    <row r="1105" spans="1:21" x14ac:dyDescent="0.35">
      <c r="B1105" s="263">
        <v>1245150017</v>
      </c>
      <c r="C1105" s="10" t="s">
        <v>77</v>
      </c>
      <c r="D1105" s="268">
        <v>7344</v>
      </c>
      <c r="E1105" s="263" t="s">
        <v>97</v>
      </c>
      <c r="F1105">
        <v>40</v>
      </c>
      <c r="G1105" s="318" t="str">
        <f>+CONCATENATE($G$7," RF ",G1100," ",H1100)</f>
        <v>"04-2026" RF R006 C965</v>
      </c>
      <c r="H1105" s="252"/>
      <c r="I1105" s="350" t="str">
        <f>+I1102</f>
        <v>C965</v>
      </c>
      <c r="J1105" s="10"/>
      <c r="K1105" s="335"/>
      <c r="N1105" s="336"/>
    </row>
    <row r="1106" spans="1:21" x14ac:dyDescent="0.35">
      <c r="B1106" s="4">
        <v>1149120011</v>
      </c>
      <c r="C1106" s="10" t="s">
        <v>96</v>
      </c>
      <c r="D1106" s="268">
        <f>+(D1105+D1101)*0.19</f>
        <v>810977.19000000006</v>
      </c>
      <c r="E1106" s="4" t="s">
        <v>98</v>
      </c>
      <c r="F1106">
        <v>40</v>
      </c>
      <c r="G1106" s="318" t="str">
        <f>+CONCATENATE($G$7," RF/GC/ACUED/ENERGÍA ",G1100," ",H1100)</f>
        <v>"04-2026" RF/GC/ACUED/ENERGÍA R006 C965</v>
      </c>
      <c r="H1106" s="252"/>
      <c r="I1106" s="350" t="str">
        <f>+I1105</f>
        <v>C965</v>
      </c>
      <c r="J1106" s="10"/>
      <c r="K1106" s="335"/>
      <c r="N1106" s="336"/>
    </row>
    <row r="1107" spans="1:21" x14ac:dyDescent="0.35">
      <c r="B1107" s="4">
        <v>1149120011</v>
      </c>
      <c r="C1107" s="10" t="s">
        <v>96</v>
      </c>
      <c r="E1107" s="4" t="s">
        <v>98</v>
      </c>
      <c r="F1107">
        <v>40</v>
      </c>
      <c r="G1107" s="318" t="str">
        <f>+CONCATENATE($G$7," RF/GC/ACUED/ENERGÍA ",G1100," ",H1100)</f>
        <v>"04-2026" RF/GC/ACUED/ENERGÍA R006 C965</v>
      </c>
      <c r="H1107" s="252"/>
      <c r="I1107" s="350" t="str">
        <f>+I1106</f>
        <v>C965</v>
      </c>
      <c r="J1107" s="10"/>
      <c r="K1107" s="335"/>
      <c r="N1107" s="336"/>
    </row>
    <row r="1108" spans="1:21" x14ac:dyDescent="0.35">
      <c r="C1108" s="251" t="s">
        <v>76</v>
      </c>
      <c r="D1108" s="332">
        <f>+D1101+D1102+D1103+D1105+D1106</f>
        <v>7813164.1900000004</v>
      </c>
      <c r="E1108"/>
      <c r="G1108" s="318" t="str">
        <f>+G1107</f>
        <v>"04-2026" RF/GC/ACUED/ENERGÍA R006 C965</v>
      </c>
      <c r="H1108" s="252"/>
      <c r="J1108" s="350"/>
      <c r="K1108" s="335"/>
      <c r="N1108" s="336"/>
    </row>
    <row r="1109" spans="1:21" x14ac:dyDescent="0.35">
      <c r="A1109" s="130" t="s">
        <v>1048</v>
      </c>
      <c r="B1109" s="14">
        <v>208094</v>
      </c>
      <c r="C1109" s="15" t="s">
        <v>1065</v>
      </c>
      <c r="E1109"/>
      <c r="G1109" s="346" t="s">
        <v>334</v>
      </c>
      <c r="H1109" s="6">
        <v>6553</v>
      </c>
      <c r="J1109" s="350">
        <f>+VLOOKUP(H1109,contratos!A:R,5,0)</f>
        <v>42370</v>
      </c>
      <c r="K1109" s="266" t="str">
        <f>+VLOOKUP(H1109,contratos!A:R,12,0)</f>
        <v>OK</v>
      </c>
      <c r="L1109" s="341" t="str">
        <f>+VLOOKUP(H1109,contratos!A:R,13,0)</f>
        <v>VIGENTE</v>
      </c>
      <c r="M1109" s="341">
        <f>+VLOOKUP(H1109,contratos!A:R,15,0)</f>
        <v>0</v>
      </c>
      <c r="N1109" s="336">
        <f>+VLOOKUP(H1109,contratos!A:R,16,0)</f>
        <v>0</v>
      </c>
      <c r="O1109" s="341">
        <f>+VLOOKUP(B1109,PRORRATEO!A:M,8,0)</f>
        <v>33513583</v>
      </c>
      <c r="P1109" s="341">
        <f>+VLOOKUP(B1109,PRORRATEO!A:M,9,0)</f>
        <v>6367580.7700000005</v>
      </c>
      <c r="Q1109" s="341">
        <f>+VLOOKUP(B1109,PRORRATEO!A:M,10,0)</f>
        <v>432995.49236000009</v>
      </c>
      <c r="R1109" s="341">
        <f>+VLOOKUP(B1109,PRORRATEO!A:M,11,0)</f>
        <v>5934585.2776400009</v>
      </c>
      <c r="S1109" s="339">
        <f>+VLOOKUP(B1109,PRORRATEO!A:M,12,0)</f>
        <v>6.8000000000000005E-2</v>
      </c>
      <c r="T1109" s="339">
        <f>+VLOOKUP(B1109,PRORRATEO!A:M,13,0)</f>
        <v>0.93200000000000005</v>
      </c>
      <c r="U1109" t="s">
        <v>61</v>
      </c>
    </row>
    <row r="1110" spans="1:21" x14ac:dyDescent="0.35">
      <c r="B1110" s="263">
        <v>1245150017</v>
      </c>
      <c r="C1110" s="10" t="s">
        <v>77</v>
      </c>
      <c r="D1110" s="268">
        <f>+O1109</f>
        <v>33513583</v>
      </c>
      <c r="E1110" s="263" t="s">
        <v>97</v>
      </c>
      <c r="F1110">
        <v>40</v>
      </c>
      <c r="G1110" s="316" t="str">
        <f>+CONCATENATE($G$7," RF ",G1109," ",H1109)</f>
        <v>"04-2026" RF T003 6553</v>
      </c>
      <c r="H1110" s="252"/>
      <c r="I1110" s="10">
        <f>+H1109</f>
        <v>6553</v>
      </c>
      <c r="J1110" s="350"/>
      <c r="K1110" s="335"/>
      <c r="N1110" s="336"/>
    </row>
    <row r="1111" spans="1:21" x14ac:dyDescent="0.35">
      <c r="B1111" s="263">
        <v>1149120011</v>
      </c>
      <c r="C1111" s="10" t="s">
        <v>96</v>
      </c>
      <c r="D1111" s="268">
        <f>+Q1109</f>
        <v>432995.49236000009</v>
      </c>
      <c r="E1111" s="263" t="s">
        <v>98</v>
      </c>
      <c r="F1111">
        <v>40</v>
      </c>
      <c r="G1111" s="318" t="str">
        <f>+CONCATENATE($G$7," RF ",G1109," ",H1109)</f>
        <v>"04-2026" RF T003 6553</v>
      </c>
      <c r="H1111" s="252"/>
      <c r="I1111" s="10">
        <f>+I1110</f>
        <v>6553</v>
      </c>
      <c r="J1111" s="350"/>
      <c r="K1111" s="335"/>
      <c r="N1111" s="336"/>
    </row>
    <row r="1112" spans="1:21" x14ac:dyDescent="0.35">
      <c r="B1112" s="263">
        <v>1149120011</v>
      </c>
      <c r="C1112" s="10" t="s">
        <v>96</v>
      </c>
      <c r="D1112" s="268">
        <f>+D1111</f>
        <v>432995.49236000009</v>
      </c>
      <c r="E1112" s="263" t="s">
        <v>97</v>
      </c>
      <c r="F1112">
        <v>50</v>
      </c>
      <c r="G1112" s="318" t="str">
        <f>+CONCATENATE($G$7," RF ",G1109," ",H1109)</f>
        <v>"04-2026" RF T003 6553</v>
      </c>
      <c r="H1112" s="252"/>
      <c r="I1112" s="10">
        <f>+I1111</f>
        <v>6553</v>
      </c>
      <c r="J1112" s="350"/>
      <c r="K1112" s="266">
        <f>+D1113+D1110</f>
        <v>39881163.770000003</v>
      </c>
      <c r="N1112" s="336"/>
    </row>
    <row r="1113" spans="1:21" x14ac:dyDescent="0.35">
      <c r="B1113" s="4">
        <v>1149120011</v>
      </c>
      <c r="C1113" s="10" t="s">
        <v>96</v>
      </c>
      <c r="D1113" s="298">
        <f>+D1110*0.19</f>
        <v>6367580.7700000005</v>
      </c>
      <c r="E1113" t="s">
        <v>97</v>
      </c>
      <c r="F1113">
        <v>40</v>
      </c>
      <c r="G1113" s="318" t="str">
        <f>+CONCATENATE($G$7," RF ",G1109," ",H1109)</f>
        <v>"04-2026" RF T003 6553</v>
      </c>
      <c r="H1113" s="252"/>
      <c r="I1113" s="10">
        <f>+I1112</f>
        <v>6553</v>
      </c>
      <c r="J1113" s="350"/>
      <c r="K1113" s="335"/>
      <c r="N1113" s="336"/>
    </row>
    <row r="1114" spans="1:21" x14ac:dyDescent="0.35">
      <c r="B1114" s="4">
        <v>1249100024</v>
      </c>
      <c r="C1114" s="10" t="s">
        <v>981</v>
      </c>
      <c r="D1114" s="268">
        <f>-D1110*J1114</f>
        <v>-323740.92898875964</v>
      </c>
      <c r="E1114"/>
      <c r="F1114">
        <v>50</v>
      </c>
      <c r="G1114" s="318" t="str">
        <f>+CONCATENATE($G$7," RF ",G1109," ",H1109)</f>
        <v>"04-2026" RF T003 6553</v>
      </c>
      <c r="H1114" s="252"/>
      <c r="I1114" s="206">
        <v>1</v>
      </c>
      <c r="J1114" s="352">
        <v>9.6599915618917741E-3</v>
      </c>
      <c r="K1114" s="335"/>
      <c r="N1114" s="336"/>
    </row>
    <row r="1115" spans="1:21" x14ac:dyDescent="0.35">
      <c r="B1115" s="4">
        <v>1246125027</v>
      </c>
      <c r="C1115" s="10" t="s">
        <v>962</v>
      </c>
      <c r="D1115" s="298">
        <f>-D1110*J1115</f>
        <v>-1172975.3619028416</v>
      </c>
      <c r="E1115"/>
      <c r="F1115">
        <v>50</v>
      </c>
      <c r="G1115" s="318" t="str">
        <f>+CONCATENATE($G$7," RF ",G1109," ",H1109)</f>
        <v>"04-2026" RF T003 6553</v>
      </c>
      <c r="H1115" s="252"/>
      <c r="I1115" s="251" t="s">
        <v>857</v>
      </c>
      <c r="J1115" s="352">
        <v>3.4999998714039068E-2</v>
      </c>
      <c r="K1115" s="335"/>
      <c r="N1115" s="336"/>
    </row>
    <row r="1116" spans="1:21" x14ac:dyDescent="0.35">
      <c r="C1116" s="251" t="s">
        <v>76</v>
      </c>
      <c r="D1116" s="265">
        <f>+D1110+D1111-D1112+D1113+D1114+D1115</f>
        <v>38384447.479108401</v>
      </c>
      <c r="E1116"/>
      <c r="G1116" s="318" t="str">
        <f>+G1115</f>
        <v>"04-2026" RF T003 6553</v>
      </c>
      <c r="H1116" s="252"/>
      <c r="J1116" s="350"/>
      <c r="K1116" s="335"/>
      <c r="N1116" s="336"/>
    </row>
    <row r="1117" spans="1:21" x14ac:dyDescent="0.35">
      <c r="A1117" s="130" t="s">
        <v>1046</v>
      </c>
      <c r="B1117" s="14">
        <v>208501</v>
      </c>
      <c r="C1117" s="15" t="s">
        <v>48</v>
      </c>
      <c r="E1117"/>
      <c r="G1117" s="346" t="s">
        <v>347</v>
      </c>
      <c r="H1117" s="6">
        <v>6563</v>
      </c>
      <c r="I1117" s="10" t="s">
        <v>857</v>
      </c>
      <c r="J1117" s="350">
        <f>+VLOOKUP(H1117,contratos!A:R,5,0)</f>
        <v>42736</v>
      </c>
      <c r="K1117" s="266" t="str">
        <f>+VLOOKUP(H1117,contratos!A:R,12,0)</f>
        <v>OK</v>
      </c>
      <c r="L1117" s="341" t="str">
        <f>+VLOOKUP(H1117,contratos!A:R,13,0)</f>
        <v>VIGENTE</v>
      </c>
      <c r="M1117" s="341">
        <f>+VLOOKUP(H1117,contratos!A:R,15,0)</f>
        <v>0</v>
      </c>
      <c r="N1117" s="336">
        <f>+VLOOKUP(H1117,contratos!A:R,16,0)</f>
        <v>0</v>
      </c>
      <c r="O1117" s="341">
        <f>+VLOOKUP(B1117,PRORRATEO!A:M,8,0)</f>
        <v>13109640</v>
      </c>
      <c r="P1117" s="341">
        <f>+VLOOKUP(B1117,PRORRATEO!A:M,9,0)</f>
        <v>2490831.6</v>
      </c>
      <c r="Q1117" s="341">
        <f>+VLOOKUP(B1117,PRORRATEO!A:M,10,0)</f>
        <v>0</v>
      </c>
      <c r="R1117" s="341">
        <f>+VLOOKUP(B1117,PRORRATEO!A:M,11,0)</f>
        <v>0</v>
      </c>
      <c r="S1117" s="339">
        <f>+VLOOKUP(B1117,PRORRATEO!A:M,12,0)</f>
        <v>0</v>
      </c>
      <c r="T1117" s="339">
        <f>+VLOOKUP(B1117,PRORRATEO!A:M,13,0)</f>
        <v>0</v>
      </c>
      <c r="U1117" t="s">
        <v>62</v>
      </c>
    </row>
    <row r="1118" spans="1:21" x14ac:dyDescent="0.35">
      <c r="B1118" s="263">
        <v>1245150017</v>
      </c>
      <c r="C1118" s="10" t="s">
        <v>77</v>
      </c>
      <c r="D1118" s="268">
        <f>+O1117</f>
        <v>13109640</v>
      </c>
      <c r="E1118" s="263" t="s">
        <v>97</v>
      </c>
      <c r="F1118">
        <v>40</v>
      </c>
      <c r="G1118" s="318" t="str">
        <f>+CONCATENATE(G7," RF ",G1117," ",H1117)</f>
        <v>"04-2026" RF T007 6563</v>
      </c>
      <c r="H1118" s="252"/>
      <c r="I1118" s="10">
        <f>+H1117</f>
        <v>6563</v>
      </c>
      <c r="J1118" s="350"/>
      <c r="K1118" s="335"/>
      <c r="N1118" s="336"/>
    </row>
    <row r="1119" spans="1:21" x14ac:dyDescent="0.35">
      <c r="B1119" s="263">
        <v>1245150017</v>
      </c>
      <c r="C1119" s="10" t="s">
        <v>77</v>
      </c>
      <c r="D1119" s="268">
        <v>4913286</v>
      </c>
      <c r="E1119" s="263" t="s">
        <v>80</v>
      </c>
      <c r="F1119">
        <v>40</v>
      </c>
      <c r="G1119" s="318" t="str">
        <f>+CONCATENATE(G7," GC ",G1117," ",H1117)</f>
        <v>"04-2026" GC T007 6563</v>
      </c>
      <c r="H1119" s="252"/>
      <c r="I1119" s="10">
        <f>+I1118</f>
        <v>6563</v>
      </c>
      <c r="J1119" s="350"/>
      <c r="K1119" s="335"/>
      <c r="N1119" s="336"/>
    </row>
    <row r="1120" spans="1:21" x14ac:dyDescent="0.35">
      <c r="B1120" s="4">
        <v>1149120011</v>
      </c>
      <c r="C1120" s="10" t="s">
        <v>96</v>
      </c>
      <c r="D1120" s="268">
        <f>+D1118*0.19</f>
        <v>2490831.6</v>
      </c>
      <c r="E1120" t="s">
        <v>97</v>
      </c>
      <c r="F1120">
        <v>40</v>
      </c>
      <c r="G1120" s="318" t="str">
        <f>+CONCATENATE(G7," RF/GC ",G1117," ",H1117)</f>
        <v>"04-2026" RF/GC T007 6563</v>
      </c>
      <c r="H1120" s="252"/>
      <c r="I1120" s="10">
        <f>+I1119</f>
        <v>6563</v>
      </c>
      <c r="J1120" s="357"/>
      <c r="K1120" s="335"/>
      <c r="N1120" s="336"/>
    </row>
    <row r="1121" spans="1:21" x14ac:dyDescent="0.35">
      <c r="B1121" s="4">
        <v>1246125027</v>
      </c>
      <c r="C1121" s="10" t="s">
        <v>962</v>
      </c>
      <c r="D1121" s="299">
        <f>-D1118*J1121</f>
        <v>-458837.4</v>
      </c>
      <c r="E1121"/>
      <c r="F1121">
        <v>50</v>
      </c>
      <c r="G1121" s="318" t="str">
        <f>+CONCATENATE(G7," RF/GC ",G1117," ",H1117)</f>
        <v>"04-2026" RF/GC T007 6563</v>
      </c>
      <c r="H1121" s="252"/>
      <c r="I1121" s="251" t="s">
        <v>857</v>
      </c>
      <c r="J1121" s="352">
        <v>3.5000000000000003E-2</v>
      </c>
      <c r="K1121" s="335"/>
      <c r="N1121" s="336"/>
    </row>
    <row r="1122" spans="1:21" x14ac:dyDescent="0.35">
      <c r="C1122" s="251" t="s">
        <v>76</v>
      </c>
      <c r="D1122" s="265">
        <f>SUBTOTAL(9,D1118:D1121)</f>
        <v>20054920.200000003</v>
      </c>
      <c r="E1122"/>
      <c r="G1122" s="318" t="str">
        <f>+G1121</f>
        <v>"04-2026" RF/GC T007 6563</v>
      </c>
      <c r="H1122" s="252"/>
      <c r="J1122" s="350"/>
      <c r="K1122" s="335"/>
      <c r="N1122" s="336"/>
    </row>
    <row r="1123" spans="1:21" x14ac:dyDescent="0.35">
      <c r="A1123" s="130" t="s">
        <v>853</v>
      </c>
      <c r="B1123" s="14">
        <v>205635</v>
      </c>
      <c r="C1123" s="15" t="s">
        <v>1066</v>
      </c>
      <c r="D1123" s="298"/>
      <c r="E1123"/>
      <c r="G1123" s="346" t="s">
        <v>343</v>
      </c>
      <c r="H1123" s="6">
        <v>6561</v>
      </c>
      <c r="I1123" s="10" t="s">
        <v>857</v>
      </c>
      <c r="J1123" s="350">
        <f>+VLOOKUP(H1123,contratos!A:R,5,0)</f>
        <v>41699</v>
      </c>
      <c r="K1123" s="266" t="str">
        <f>+VLOOKUP(H1123,contratos!A:R,12,0)</f>
        <v>OK</v>
      </c>
      <c r="L1123" s="341" t="str">
        <f>+VLOOKUP(H1123,contratos!A:R,13,0)</f>
        <v>VIGENTE</v>
      </c>
      <c r="M1123" s="341">
        <f>+VLOOKUP(H1123,contratos!A:R,15,0)</f>
        <v>0</v>
      </c>
      <c r="N1123" s="336">
        <f>+VLOOKUP(H1123,contratos!A:R,16,0)</f>
        <v>0</v>
      </c>
      <c r="O1123" s="341">
        <f>+VLOOKUP(B1123,PRORRATEO!A:M,8,0)</f>
        <v>16368010</v>
      </c>
      <c r="P1123" s="341">
        <f>+VLOOKUP(B1123,PRORRATEO!A:M,9,0)</f>
        <v>3109921.9</v>
      </c>
      <c r="Q1123" s="341">
        <f>+VLOOKUP(B1123,PRORRATEO!A:M,10,0)</f>
        <v>202144.9235</v>
      </c>
      <c r="R1123" s="341">
        <f>+VLOOKUP(B1123,PRORRATEO!A:M,11,0)</f>
        <v>2907776.9764999999</v>
      </c>
      <c r="S1123" s="339">
        <f>+VLOOKUP(B1123,PRORRATEO!A:M,12,0)</f>
        <v>6.5000000000000002E-2</v>
      </c>
      <c r="T1123" s="339">
        <f>+VLOOKUP(B1123,PRORRATEO!A:M,13,0)</f>
        <v>0.93500000000000005</v>
      </c>
      <c r="U1123" t="s">
        <v>8</v>
      </c>
    </row>
    <row r="1124" spans="1:21" x14ac:dyDescent="0.35">
      <c r="B1124" s="263">
        <v>1245150017</v>
      </c>
      <c r="C1124" s="10" t="s">
        <v>77</v>
      </c>
      <c r="D1124" s="268">
        <v>17546507</v>
      </c>
      <c r="E1124" s="263" t="s">
        <v>97</v>
      </c>
      <c r="F1124">
        <v>40</v>
      </c>
      <c r="G1124" s="348" t="str">
        <f>+CONCATENATE($G$7," RF ",G1123," ",H1123)</f>
        <v>"04-2026" RF T006 6561</v>
      </c>
      <c r="H1124" s="252"/>
      <c r="I1124" s="10">
        <f>+H1123</f>
        <v>6561</v>
      </c>
      <c r="J1124" s="350"/>
      <c r="K1124" s="335"/>
      <c r="N1124" s="336"/>
    </row>
    <row r="1125" spans="1:21" x14ac:dyDescent="0.35">
      <c r="B1125" s="263">
        <v>1149120011</v>
      </c>
      <c r="C1125" s="10" t="s">
        <v>96</v>
      </c>
      <c r="D1125" s="268">
        <f>+D1127*S1123</f>
        <v>216699.36145000003</v>
      </c>
      <c r="E1125" s="263" t="s">
        <v>98</v>
      </c>
      <c r="F1125">
        <v>40</v>
      </c>
      <c r="G1125" s="318" t="str">
        <f>+G1124</f>
        <v>"04-2026" RF T006 6561</v>
      </c>
      <c r="H1125" s="252"/>
      <c r="I1125" s="10">
        <f>+I1124</f>
        <v>6561</v>
      </c>
      <c r="J1125" s="350"/>
      <c r="K1125" s="551">
        <v>1245802</v>
      </c>
      <c r="N1125" s="336"/>
    </row>
    <row r="1126" spans="1:21" x14ac:dyDescent="0.35">
      <c r="B1126" s="263">
        <v>1149120011</v>
      </c>
      <c r="C1126" s="10" t="s">
        <v>96</v>
      </c>
      <c r="D1126" s="298">
        <f>+D1125</f>
        <v>216699.36145000003</v>
      </c>
      <c r="E1126" s="263" t="s">
        <v>97</v>
      </c>
      <c r="F1126">
        <v>50</v>
      </c>
      <c r="G1126" s="318" t="str">
        <f>+G1125</f>
        <v>"04-2026" RF T006 6561</v>
      </c>
      <c r="H1126" s="252"/>
      <c r="I1126" s="10">
        <f>+I1125</f>
        <v>6561</v>
      </c>
      <c r="J1126" s="350"/>
      <c r="K1126" s="551">
        <v>17546507</v>
      </c>
      <c r="N1126" s="336"/>
    </row>
    <row r="1127" spans="1:21" x14ac:dyDescent="0.35">
      <c r="B1127" s="4">
        <v>1149120011</v>
      </c>
      <c r="C1127" s="10" t="s">
        <v>96</v>
      </c>
      <c r="D1127" s="268">
        <f>+D1124*0.19</f>
        <v>3333836.33</v>
      </c>
      <c r="E1127" t="s">
        <v>97</v>
      </c>
      <c r="F1127">
        <v>40</v>
      </c>
      <c r="G1127" s="318" t="str">
        <f>+G1126</f>
        <v>"04-2026" RF T006 6561</v>
      </c>
      <c r="H1127" s="252"/>
      <c r="I1127" s="10">
        <f>+I1126</f>
        <v>6561</v>
      </c>
      <c r="J1127" s="350"/>
      <c r="K1127" s="54">
        <f>SUBTOTAL(9,K1125:K1126)</f>
        <v>18792309</v>
      </c>
      <c r="N1127" s="336"/>
    </row>
    <row r="1128" spans="1:21" x14ac:dyDescent="0.35">
      <c r="B1128" s="4">
        <v>1246125027</v>
      </c>
      <c r="C1128" s="10" t="s">
        <v>962</v>
      </c>
      <c r="D1128" s="268">
        <f>-D1124*K1128</f>
        <v>-614127.74500000011</v>
      </c>
      <c r="E1128"/>
      <c r="F1128">
        <v>50</v>
      </c>
      <c r="G1128" s="318" t="str">
        <f>+G1127</f>
        <v>"04-2026" RF T006 6561</v>
      </c>
      <c r="H1128" s="252"/>
      <c r="I1128" s="10">
        <f>+I1127</f>
        <v>6561</v>
      </c>
      <c r="J1128" s="387" t="s">
        <v>857</v>
      </c>
      <c r="K1128" s="339">
        <v>3.5000000000000003E-2</v>
      </c>
      <c r="N1128" s="336"/>
    </row>
    <row r="1129" spans="1:21" x14ac:dyDescent="0.35">
      <c r="C1129" s="251" t="s">
        <v>76</v>
      </c>
      <c r="D1129" s="265">
        <f>SUBTOTAL(9,D1124:D1128)</f>
        <v>20699614.3079</v>
      </c>
      <c r="E1129"/>
      <c r="G1129" s="318" t="str">
        <f>+G1128</f>
        <v>"04-2026" RF T006 6561</v>
      </c>
      <c r="H1129" s="252"/>
      <c r="I1129" s="10">
        <f>+I1128</f>
        <v>6561</v>
      </c>
      <c r="J1129" s="350"/>
      <c r="K1129" s="335"/>
      <c r="N1129" s="336"/>
    </row>
    <row r="1130" spans="1:21" x14ac:dyDescent="0.35">
      <c r="A1130" s="130" t="s">
        <v>854</v>
      </c>
      <c r="B1130" s="14">
        <v>205635</v>
      </c>
      <c r="C1130" s="15" t="s">
        <v>1066</v>
      </c>
      <c r="E1130"/>
      <c r="G1130" s="346" t="s">
        <v>343</v>
      </c>
      <c r="H1130" s="6">
        <v>6561</v>
      </c>
      <c r="I1130" s="10" t="s">
        <v>865</v>
      </c>
      <c r="J1130" s="350">
        <f>+VLOOKUP(H1130,contratos!A:R,5,0)</f>
        <v>41699</v>
      </c>
      <c r="K1130" s="266" t="str">
        <f>+VLOOKUP(H1130,contratos!A:R,12,0)</f>
        <v>OK</v>
      </c>
      <c r="L1130" s="341" t="str">
        <f>+VLOOKUP(H1130,contratos!A:R,13,0)</f>
        <v>VIGENTE</v>
      </c>
      <c r="M1130" s="341">
        <f>+VLOOKUP(H1130,contratos!A:R,15,0)</f>
        <v>0</v>
      </c>
      <c r="N1130" s="336">
        <f>+VLOOKUP(H1130,contratos!A:R,16,0)</f>
        <v>0</v>
      </c>
      <c r="O1130" s="341">
        <f>+VLOOKUP(H1130,PRORRATEO!F:M,3,0)</f>
        <v>16368010</v>
      </c>
      <c r="P1130" s="341">
        <f>+VLOOKUP(H1130,PRORRATEO!F:M,4,0)</f>
        <v>3109921.9</v>
      </c>
      <c r="Q1130" s="341">
        <f>+VLOOKUP(H1130,PRORRATEO!F:M,5,0)</f>
        <v>202144.9235</v>
      </c>
      <c r="R1130" s="341">
        <f>+VLOOKUP(H1130,PRORRATEO!F:M,6,0)</f>
        <v>2907776.9764999999</v>
      </c>
      <c r="S1130" s="339">
        <f>+VLOOKUP(H1130,PRORRATEO!F:M,7,0)</f>
        <v>6.5000000000000002E-2</v>
      </c>
      <c r="T1130" s="339">
        <f>+VLOOKUP(H1130,PRORRATEO!F:M,8,0)</f>
        <v>0.93500000000000005</v>
      </c>
      <c r="U1130" t="s">
        <v>8</v>
      </c>
    </row>
    <row r="1131" spans="1:21" x14ac:dyDescent="0.35">
      <c r="B1131" s="4">
        <v>1245150017</v>
      </c>
      <c r="C1131" s="10" t="s">
        <v>77</v>
      </c>
      <c r="D1131" s="268">
        <v>3017904</v>
      </c>
      <c r="E1131" t="s">
        <v>80</v>
      </c>
      <c r="F1131">
        <v>40</v>
      </c>
      <c r="G1131" s="316" t="str">
        <f>+CONCATENATE($G$7," GC ",G1130," ",H1130)</f>
        <v>"04-2026" GC T006 6561</v>
      </c>
      <c r="H1131" s="252"/>
      <c r="I1131" s="10">
        <f>+H1130</f>
        <v>6561</v>
      </c>
      <c r="J1131" s="350"/>
      <c r="K1131" s="335"/>
      <c r="N1131" s="336"/>
    </row>
    <row r="1132" spans="1:21" x14ac:dyDescent="0.35">
      <c r="C1132" s="251" t="s">
        <v>76</v>
      </c>
      <c r="D1132" s="265">
        <f>+D1131</f>
        <v>3017904</v>
      </c>
      <c r="E1132"/>
      <c r="G1132" s="318" t="str">
        <f>+G1131</f>
        <v>"04-2026" GC T006 6561</v>
      </c>
      <c r="H1132" s="252"/>
      <c r="I1132" s="10">
        <f>+I1131</f>
        <v>6561</v>
      </c>
      <c r="J1132" s="350"/>
      <c r="K1132" s="335"/>
      <c r="N1132" s="336"/>
    </row>
    <row r="1133" spans="1:21" x14ac:dyDescent="0.35">
      <c r="A1133" s="130" t="s">
        <v>854</v>
      </c>
      <c r="B1133" s="14">
        <v>204556</v>
      </c>
      <c r="C1133" s="15" t="s">
        <v>516</v>
      </c>
      <c r="D1133" s="298"/>
      <c r="E1133"/>
      <c r="G1133" s="346" t="s">
        <v>521</v>
      </c>
      <c r="H1133" s="6">
        <v>6627</v>
      </c>
      <c r="I1133" s="10" t="s">
        <v>865</v>
      </c>
      <c r="J1133" s="350">
        <f>+VLOOKUP(H1133,contratos!A:R,5,0)</f>
        <v>42154</v>
      </c>
      <c r="K1133" s="266" t="str">
        <f>+VLOOKUP(H1133,contratos!A:R,12,0)</f>
        <v>OK</v>
      </c>
      <c r="L1133" s="341" t="str">
        <f>+VLOOKUP(H1133,contratos!A:R,13,0)</f>
        <v>VIGENTE</v>
      </c>
      <c r="M1133" s="341">
        <f>+VLOOKUP(H1133,contratos!A:R,15,0)</f>
        <v>0</v>
      </c>
      <c r="N1133" s="336">
        <f>+VLOOKUP(H1133,contratos!A:R,16,0)</f>
        <v>0</v>
      </c>
      <c r="O1133" s="341">
        <f>+VLOOKUP(H1133,PRORRATEO!F:M,3,0)</f>
        <v>14489143</v>
      </c>
      <c r="P1133" s="341">
        <f>+VLOOKUP(H1133,PRORRATEO!F:M,4,0)</f>
        <v>2752937.17</v>
      </c>
      <c r="Q1133" s="341">
        <f>+VLOOKUP(H1133,PRORRATEO!F:M,5,0)</f>
        <v>352375.95776000002</v>
      </c>
      <c r="R1133" s="341">
        <f>+VLOOKUP(H1133,PRORRATEO!F:M,6,0)</f>
        <v>2400561.2122399998</v>
      </c>
      <c r="S1133" s="339">
        <f>+VLOOKUP(H1133,PRORRATEO!F:M,7,0)</f>
        <v>0.128</v>
      </c>
      <c r="T1133" s="339">
        <f>+VLOOKUP(H1133,PRORRATEO!F:M,8,0)</f>
        <v>0.872</v>
      </c>
      <c r="U1133" t="s">
        <v>4</v>
      </c>
    </row>
    <row r="1134" spans="1:21" x14ac:dyDescent="0.35">
      <c r="B1134" s="4">
        <v>1537210002</v>
      </c>
      <c r="C1134" s="10" t="s">
        <v>1015</v>
      </c>
      <c r="D1134" s="268">
        <v>98110</v>
      </c>
      <c r="E1134" t="s">
        <v>80</v>
      </c>
      <c r="F1134">
        <v>40</v>
      </c>
      <c r="G1134" s="316" t="str">
        <f>+CONCATENATE($G$7," GC ",G1133," ",H1133)</f>
        <v>"04-2026" GC T043 6627</v>
      </c>
      <c r="H1134" s="252"/>
      <c r="I1134" s="10">
        <f>+H1133</f>
        <v>6627</v>
      </c>
      <c r="J1134" s="350"/>
      <c r="K1134" s="335"/>
      <c r="N1134" s="336"/>
    </row>
    <row r="1135" spans="1:21" x14ac:dyDescent="0.35">
      <c r="C1135" s="251" t="s">
        <v>76</v>
      </c>
      <c r="D1135" s="265">
        <v>1483282</v>
      </c>
      <c r="E1135"/>
      <c r="G1135" s="318" t="str">
        <f>+G1134</f>
        <v>"04-2026" GC T043 6627</v>
      </c>
      <c r="H1135" s="252"/>
      <c r="I1135" s="10">
        <f>+I1134</f>
        <v>6627</v>
      </c>
      <c r="J1135" s="350"/>
      <c r="K1135" s="335"/>
      <c r="N1135" s="336"/>
    </row>
    <row r="1136" spans="1:21" x14ac:dyDescent="0.35">
      <c r="A1136" s="130" t="s">
        <v>854</v>
      </c>
      <c r="B1136" s="14">
        <v>204630</v>
      </c>
      <c r="C1136" s="15" t="s">
        <v>1006</v>
      </c>
      <c r="E1136"/>
      <c r="G1136" s="346" t="s">
        <v>553</v>
      </c>
      <c r="H1136" s="6">
        <v>6693</v>
      </c>
      <c r="I1136" s="10" t="s">
        <v>865</v>
      </c>
      <c r="J1136" s="350">
        <f>+VLOOKUP(H1136,contratos!A:R,5,0)</f>
        <v>43002</v>
      </c>
      <c r="K1136" s="266" t="str">
        <f>+VLOOKUP(H1136,contratos!A:R,12,0)</f>
        <v>OK</v>
      </c>
      <c r="L1136" s="341" t="str">
        <f>+VLOOKUP(H1136,contratos!A:R,13,0)</f>
        <v>VIGENTE</v>
      </c>
      <c r="M1136" s="341">
        <f>+VLOOKUP(H1136,contratos!A:R,15,0)</f>
        <v>0</v>
      </c>
      <c r="N1136" s="336">
        <f>+VLOOKUP(H1136,contratos!A:R,16,0)</f>
        <v>0</v>
      </c>
      <c r="O1136" s="341">
        <f>+VLOOKUP(H1136,PRORRATEO!F:M,3,0)</f>
        <v>23669640</v>
      </c>
      <c r="P1136" s="341">
        <f>+VLOOKUP(H1136,PRORRATEO!F:M,4,0)</f>
        <v>4497231.5999999996</v>
      </c>
      <c r="Q1136" s="341">
        <f>+VLOOKUP(H1136,PRORRATEO!F:M,5,0)</f>
        <v>218113.55581800579</v>
      </c>
      <c r="R1136" s="341">
        <f>+VLOOKUP(H1136,PRORRATEO!F:M,6,0)</f>
        <v>4279118.0441819942</v>
      </c>
      <c r="S1136" s="339">
        <f>+VLOOKUP(H1136,PRORRATEO!F:M,7,0)</f>
        <v>4.849951597289448E-2</v>
      </c>
      <c r="T1136" s="339">
        <f>+VLOOKUP(H1136,PRORRATEO!F:M,8,0)</f>
        <v>0.95150048402710552</v>
      </c>
      <c r="U1136" t="s">
        <v>762</v>
      </c>
    </row>
    <row r="1137" spans="1:21" x14ac:dyDescent="0.35">
      <c r="B1137" s="263">
        <v>1245150017</v>
      </c>
      <c r="C1137" s="10" t="s">
        <v>77</v>
      </c>
      <c r="D1137" s="268">
        <v>1199000</v>
      </c>
      <c r="E1137" t="s">
        <v>80</v>
      </c>
      <c r="F1137">
        <v>40</v>
      </c>
      <c r="G1137" s="316" t="str">
        <f>+CONCATENATE($G$7," GC ",G1136," ",H1136)</f>
        <v>"04-2026" GC T070 6693</v>
      </c>
      <c r="H1137" s="252"/>
      <c r="I1137" s="10">
        <f>+H1136</f>
        <v>6693</v>
      </c>
      <c r="J1137" s="350"/>
      <c r="K1137" s="335"/>
      <c r="N1137" s="336"/>
    </row>
    <row r="1138" spans="1:21" x14ac:dyDescent="0.35">
      <c r="C1138" s="251" t="s">
        <v>76</v>
      </c>
      <c r="D1138" s="265">
        <f>+D1137</f>
        <v>1199000</v>
      </c>
      <c r="E1138"/>
      <c r="G1138" s="318" t="str">
        <f>+G1137</f>
        <v>"04-2026" GC T070 6693</v>
      </c>
      <c r="H1138" s="252"/>
      <c r="I1138" s="10">
        <f>+I1137</f>
        <v>6693</v>
      </c>
      <c r="J1138" s="350"/>
      <c r="K1138" s="335"/>
      <c r="N1138" s="336"/>
    </row>
    <row r="1139" spans="1:21" x14ac:dyDescent="0.35">
      <c r="A1139" s="130" t="s">
        <v>1030</v>
      </c>
      <c r="B1139" s="14">
        <v>217036</v>
      </c>
      <c r="C1139" s="15" t="s">
        <v>1025</v>
      </c>
      <c r="D1139" s="298"/>
      <c r="E1139"/>
      <c r="G1139" s="9" t="s">
        <v>453</v>
      </c>
      <c r="H1139" s="257">
        <v>9209</v>
      </c>
      <c r="I1139" s="10" t="s">
        <v>865</v>
      </c>
      <c r="J1139" s="350">
        <f>+VLOOKUP(H1139,contratos!A:R,5,0)</f>
        <v>43040</v>
      </c>
      <c r="K1139" s="266" t="str">
        <f>+VLOOKUP(H1139,contratos!A:R,12,0)</f>
        <v>CESADO</v>
      </c>
      <c r="L1139" s="341" t="str">
        <f>+VLOOKUP(H1139,contratos!A:R,13,0)</f>
        <v>CERRADA</v>
      </c>
      <c r="M1139" s="341">
        <f>+VLOOKUP(H1139,contratos!A:R,15,0)</f>
        <v>0</v>
      </c>
      <c r="N1139" s="336">
        <f>+VLOOKUP(H1139,contratos!A:R,16,0)</f>
        <v>0</v>
      </c>
      <c r="O1139" s="341">
        <f>+VLOOKUP(H1139,PRORRATEO!F:M,3,0)</f>
        <v>101940</v>
      </c>
      <c r="P1139" s="341">
        <f>+VLOOKUP(H1139,PRORRATEO!F:M,4,0)</f>
        <v>19368.599999999999</v>
      </c>
      <c r="Q1139" s="341">
        <f>+VLOOKUP(H1139,PRORRATEO!F:M,5,0)</f>
        <v>1549.4879999999998</v>
      </c>
      <c r="R1139" s="341">
        <f>+VLOOKUP(H1139,PRORRATEO!F:M,6,0)</f>
        <v>17819.112000000001</v>
      </c>
      <c r="S1139" s="339">
        <f>+VLOOKUP(H1139,PRORRATEO!F:M,7,0)</f>
        <v>0.08</v>
      </c>
      <c r="T1139" s="339">
        <f>+VLOOKUP(H1139,PRORRATEO!F:M,8,0)</f>
        <v>0.92</v>
      </c>
      <c r="U1139" t="s">
        <v>840</v>
      </c>
    </row>
    <row r="1140" spans="1:21" x14ac:dyDescent="0.35">
      <c r="A1140">
        <v>40</v>
      </c>
      <c r="B1140" s="4">
        <v>1532001605</v>
      </c>
      <c r="C1140" s="10" t="s">
        <v>1017</v>
      </c>
      <c r="D1140" s="268">
        <v>145958</v>
      </c>
      <c r="E1140" t="s">
        <v>80</v>
      </c>
      <c r="G1140" s="316" t="str">
        <f>+CONCATENATE($G$7," ENRGÍA ",G1139," ",H1139)</f>
        <v>"04-2026" ENRGÍA T130 9209</v>
      </c>
      <c r="H1140" s="252"/>
      <c r="I1140" s="312">
        <f>+H1139</f>
        <v>9209</v>
      </c>
      <c r="J1140" s="350"/>
      <c r="K1140" s="335"/>
      <c r="N1140" s="336"/>
    </row>
    <row r="1141" spans="1:21" x14ac:dyDescent="0.35">
      <c r="C1141" s="251" t="s">
        <v>76</v>
      </c>
      <c r="D1141" s="265">
        <v>145958</v>
      </c>
      <c r="E1141"/>
      <c r="G1141" s="318" t="str">
        <f>+G1140</f>
        <v>"04-2026" ENRGÍA T130 9209</v>
      </c>
      <c r="H1141" s="252"/>
      <c r="I1141" s="312">
        <f>+I1140</f>
        <v>9209</v>
      </c>
      <c r="J1141" s="350"/>
      <c r="K1141" s="335"/>
      <c r="N1141" s="336"/>
    </row>
    <row r="1142" spans="1:21" x14ac:dyDescent="0.35">
      <c r="A1142" s="130" t="s">
        <v>1067</v>
      </c>
      <c r="B1142" s="14">
        <v>209888</v>
      </c>
      <c r="C1142" s="15" t="s">
        <v>1068</v>
      </c>
      <c r="E1142"/>
      <c r="G1142" s="9" t="s">
        <v>299</v>
      </c>
      <c r="H1142" s="257">
        <v>9355</v>
      </c>
      <c r="I1142" s="10" t="s">
        <v>865</v>
      </c>
      <c r="J1142" s="350">
        <f>+VLOOKUP(H1142,contratos!A:R,5,0)</f>
        <v>43115</v>
      </c>
      <c r="K1142" s="266" t="str">
        <f>+VLOOKUP(H1142,contratos!A:R,12,0)</f>
        <v>VENCIDO</v>
      </c>
      <c r="L1142" s="341" t="str">
        <f>+VLOOKUP(H1142,contratos!A:R,13,0)</f>
        <v>CESADO</v>
      </c>
      <c r="M1142" s="341">
        <f>+VLOOKUP(H1142,contratos!A:R,15,0)</f>
        <v>0</v>
      </c>
      <c r="N1142" s="336">
        <f>+VLOOKUP(H1142,contratos!A:R,16,0)</f>
        <v>0</v>
      </c>
      <c r="O1142" s="341">
        <f>+VLOOKUP(H1142,PRORRATEO!F:M,3,0)</f>
        <v>49094705</v>
      </c>
      <c r="P1142" s="341">
        <f>+VLOOKUP(H1142,PRORRATEO!F:M,4,0)</f>
        <v>9327993.9499999993</v>
      </c>
      <c r="Q1142" s="341">
        <f>+VLOOKUP(H1142,PRORRATEO!F:M,5,0)</f>
        <v>9327993.9499999993</v>
      </c>
      <c r="R1142" s="341">
        <f>+VLOOKUP(H1142,PRORRATEO!F:M,6,0)</f>
        <v>0</v>
      </c>
      <c r="S1142" s="339">
        <f>+VLOOKUP(H1142,PRORRATEO!F:M,7,0)</f>
        <v>1</v>
      </c>
      <c r="T1142" s="339">
        <f>+VLOOKUP(H1142,PRORRATEO!F:M,8,0)</f>
        <v>0</v>
      </c>
      <c r="U1142" t="s">
        <v>633</v>
      </c>
    </row>
    <row r="1143" spans="1:21" x14ac:dyDescent="0.35">
      <c r="B1143" s="4">
        <v>1532001604</v>
      </c>
      <c r="C1143" s="10" t="s">
        <v>1014</v>
      </c>
      <c r="D1143" s="268">
        <v>18219</v>
      </c>
      <c r="E1143" t="s">
        <v>80</v>
      </c>
      <c r="F1143">
        <v>40</v>
      </c>
      <c r="G1143" s="316" t="str">
        <f>+CONCATENATE($G$7," ASEO ",G1142," ",H1142)</f>
        <v>"04-2026" ASEO R004 9355</v>
      </c>
      <c r="H1143" s="252"/>
      <c r="I1143" s="312">
        <f>+H1142</f>
        <v>9355</v>
      </c>
      <c r="J1143" s="350"/>
      <c r="K1143" s="335"/>
      <c r="N1143" s="336"/>
    </row>
    <row r="1144" spans="1:21" x14ac:dyDescent="0.35">
      <c r="B1144" s="4">
        <v>1532001605</v>
      </c>
      <c r="C1144" s="10" t="s">
        <v>1030</v>
      </c>
      <c r="D1144" s="268">
        <v>887332</v>
      </c>
      <c r="E1144" t="s">
        <v>80</v>
      </c>
      <c r="F1144">
        <v>40</v>
      </c>
      <c r="G1144" s="316" t="str">
        <f>+G1143</f>
        <v>"04-2026" ASEO R004 9355</v>
      </c>
      <c r="H1144" s="252"/>
      <c r="I1144" s="312" t="s">
        <v>1256</v>
      </c>
      <c r="J1144" s="350"/>
      <c r="K1144" s="335"/>
      <c r="N1144" s="336"/>
    </row>
    <row r="1145" spans="1:21" x14ac:dyDescent="0.35">
      <c r="B1145" s="4">
        <v>1532001600</v>
      </c>
      <c r="C1145" s="10" t="s">
        <v>987</v>
      </c>
      <c r="E1145" t="s">
        <v>80</v>
      </c>
      <c r="F1145">
        <v>40</v>
      </c>
      <c r="G1145" s="318" t="str">
        <f>+CONCATENATE($G$7," ACUEDUCTO ",G1142," ",H1142)</f>
        <v>"04-2026" ACUEDUCTO R004 9355</v>
      </c>
      <c r="H1145" s="252"/>
      <c r="I1145" s="312">
        <f>+I1143</f>
        <v>9355</v>
      </c>
      <c r="J1145" s="350"/>
      <c r="K1145" s="335"/>
      <c r="N1145" s="336"/>
    </row>
    <row r="1146" spans="1:21" x14ac:dyDescent="0.35">
      <c r="C1146" s="251" t="s">
        <v>76</v>
      </c>
      <c r="D1146" s="332">
        <f>SUM(D1143:D1145)</f>
        <v>905551</v>
      </c>
      <c r="E1146"/>
      <c r="G1146" s="318" t="str">
        <f>+CONCATENATE($G$7," ACUEDUCTO/ASEO ",G1142," ",H1142)</f>
        <v>"04-2026" ACUEDUCTO/ASEO R004 9355</v>
      </c>
      <c r="H1146" s="252"/>
      <c r="J1146" s="350"/>
      <c r="K1146" s="335"/>
      <c r="N1146" s="336"/>
    </row>
    <row r="1147" spans="1:21" x14ac:dyDescent="0.35">
      <c r="A1147" s="130" t="s">
        <v>854</v>
      </c>
      <c r="B1147" s="262">
        <v>214089</v>
      </c>
      <c r="C1147" s="276" t="s">
        <v>1062</v>
      </c>
      <c r="D1147" s="330"/>
      <c r="E1147" s="5"/>
      <c r="G1147" s="9" t="s">
        <v>663</v>
      </c>
      <c r="H1147" s="6">
        <v>9305</v>
      </c>
      <c r="I1147" s="10" t="s">
        <v>865</v>
      </c>
      <c r="J1147" s="350">
        <f>+VLOOKUP(H1147,contratos!A:R,5,0)</f>
        <v>43195</v>
      </c>
      <c r="K1147" s="266" t="str">
        <f>+VLOOKUP(H1147,contratos!A:R,12,0)</f>
        <v>OK</v>
      </c>
      <c r="L1147" s="341" t="str">
        <f>+VLOOKUP(H1147,contratos!A:R,13,0)</f>
        <v>VIGENTE</v>
      </c>
      <c r="M1147" s="341">
        <f>+VLOOKUP(H1147,contratos!A:R,15,0)</f>
        <v>0</v>
      </c>
      <c r="N1147" s="336">
        <f>+VLOOKUP(H1147,contratos!A:R,16,0)</f>
        <v>0</v>
      </c>
      <c r="O1147" s="341">
        <f>+VLOOKUP(H1147,PRORRATEO!F:M,3,0)</f>
        <v>15918945</v>
      </c>
      <c r="P1147" s="341">
        <f>+VLOOKUP(H1147,PRORRATEO!F:M,4,0)</f>
        <v>3024599.55</v>
      </c>
      <c r="Q1147" s="341">
        <f>+VLOOKUP(H1147,PRORRATEO!F:M,5,0)</f>
        <v>3024599.55</v>
      </c>
      <c r="R1147" s="341">
        <f>+VLOOKUP(H1147,PRORRATEO!F:M,6,0)</f>
        <v>0</v>
      </c>
      <c r="S1147" s="339">
        <f>+VLOOKUP(H1147,PRORRATEO!F:M,7,0)</f>
        <v>1</v>
      </c>
      <c r="T1147" s="339">
        <f>+VLOOKUP(H1147,PRORRATEO!F:M,8,0)</f>
        <v>0</v>
      </c>
      <c r="U1147" t="s">
        <v>665</v>
      </c>
    </row>
    <row r="1148" spans="1:21" x14ac:dyDescent="0.35">
      <c r="B1148" s="4">
        <v>1249100024</v>
      </c>
      <c r="C1148" s="10" t="s">
        <v>981</v>
      </c>
      <c r="D1148" s="268">
        <f>+(D1149+D1150)*J1148</f>
        <v>13900.523000000001</v>
      </c>
      <c r="F1148">
        <v>50</v>
      </c>
      <c r="G1148" s="10" t="str">
        <f>+CONCATENATE($G$7," GC/FUMIGACION ",G1147," ",H1147)</f>
        <v>"04-2026" GC/FUMIGACION SGH608 9305</v>
      </c>
      <c r="I1148" s="251">
        <v>24</v>
      </c>
      <c r="J1148" s="351">
        <v>7.0000000000000001E-3</v>
      </c>
      <c r="K1148" s="335"/>
      <c r="N1148" s="336"/>
    </row>
    <row r="1149" spans="1:21" x14ac:dyDescent="0.35">
      <c r="B1149" s="263">
        <v>1537210002</v>
      </c>
      <c r="C1149" s="10" t="s">
        <v>854</v>
      </c>
      <c r="D1149" s="268">
        <f>1666597+249556</f>
        <v>1916153</v>
      </c>
      <c r="E1149" t="s">
        <v>97</v>
      </c>
      <c r="F1149">
        <v>40</v>
      </c>
      <c r="G1149" s="348" t="str">
        <f>+CONCATENATE($G$7," GC ",G1147," ",H1147)</f>
        <v>"04-2026" GC SGH608 9305</v>
      </c>
      <c r="H1149" s="252"/>
      <c r="I1149" s="312">
        <f>+H1147</f>
        <v>9305</v>
      </c>
      <c r="J1149" s="350"/>
      <c r="K1149" s="335"/>
      <c r="N1149" s="336"/>
    </row>
    <row r="1150" spans="1:21" x14ac:dyDescent="0.35">
      <c r="B1150" s="4">
        <v>1532001600</v>
      </c>
      <c r="C1150" s="10" t="s">
        <v>987</v>
      </c>
      <c r="D1150" s="268">
        <v>69636</v>
      </c>
      <c r="E1150" t="s">
        <v>80</v>
      </c>
      <c r="F1150">
        <v>40</v>
      </c>
      <c r="G1150" s="316" t="str">
        <f>+CONCATENATE($G$7," FUMIGACION ",G1147," ",H1147)</f>
        <v>"04-2026" FUMIGACION SGH608 9305</v>
      </c>
      <c r="H1150" s="252"/>
      <c r="I1150" s="312">
        <f>+I1149</f>
        <v>9305</v>
      </c>
      <c r="J1150" s="350"/>
      <c r="K1150" s="335"/>
      <c r="N1150" s="336"/>
    </row>
    <row r="1151" spans="1:21" x14ac:dyDescent="0.35">
      <c r="C1151" s="251" t="s">
        <v>76</v>
      </c>
      <c r="D1151" s="265">
        <f>SUBTOTAL(9,D1149:D1150)</f>
        <v>1985789</v>
      </c>
      <c r="E1151"/>
      <c r="G1151" s="318" t="str">
        <f>+G1150</f>
        <v>"04-2026" FUMIGACION SGH608 9305</v>
      </c>
      <c r="H1151" s="252"/>
      <c r="J1151" s="350" t="e">
        <f>+VLOOKUP(H1151,contratos!A:R,5,0)</f>
        <v>#N/A</v>
      </c>
      <c r="K1151" s="266" t="e">
        <f>+VLOOKUP(H1151,contratos!A:R,12,0)</f>
        <v>#N/A</v>
      </c>
      <c r="L1151" s="341" t="e">
        <f>+VLOOKUP(H1151,contratos!A:R,13,0)</f>
        <v>#N/A</v>
      </c>
      <c r="M1151" s="341" t="e">
        <f>+VLOOKUP(H1151,contratos!A:R,15,0)</f>
        <v>#N/A</v>
      </c>
      <c r="N1151" s="336" t="e">
        <f>+VLOOKUP(H1151,contratos!A:R,16,0)</f>
        <v>#N/A</v>
      </c>
    </row>
    <row r="1152" spans="1:21" x14ac:dyDescent="0.35">
      <c r="A1152" s="130" t="s">
        <v>1069</v>
      </c>
      <c r="B1152" s="262">
        <v>348824</v>
      </c>
      <c r="C1152" s="276" t="s">
        <v>52</v>
      </c>
      <c r="D1152" s="330"/>
      <c r="E1152"/>
      <c r="F1152" s="5"/>
      <c r="G1152" s="9" t="s">
        <v>610</v>
      </c>
      <c r="H1152" s="6" t="s">
        <v>225</v>
      </c>
      <c r="I1152" s="10" t="s">
        <v>865</v>
      </c>
      <c r="J1152" s="350">
        <f>+VLOOKUP(H1152,contratos!A:R,5,0)</f>
        <v>44492</v>
      </c>
      <c r="K1152" s="266" t="str">
        <f>+VLOOKUP(H1152,contratos!A:R,12,0)</f>
        <v>OK</v>
      </c>
      <c r="L1152" s="341" t="str">
        <f>+VLOOKUP(H1152,contratos!A:R,13,0)</f>
        <v>VIGENTE</v>
      </c>
      <c r="M1152" s="341">
        <f>+VLOOKUP(H1152,contratos!A:R,15,0)</f>
        <v>0</v>
      </c>
      <c r="N1152" s="336">
        <f>+VLOOKUP(H1152,contratos!A:R,16,0)</f>
        <v>935593</v>
      </c>
      <c r="O1152" s="341">
        <f>+VLOOKUP(B1152,PRORRATEO!A:M,8,0)</f>
        <v>9355925</v>
      </c>
      <c r="P1152" s="341">
        <f>+VLOOKUP(B1152,PRORRATEO!A:M,9,0)</f>
        <v>1777625.75</v>
      </c>
      <c r="Q1152" s="341">
        <f>+VLOOKUP(B1152,PRORRATEO!A:M,10,0)</f>
        <v>179540.20075000002</v>
      </c>
      <c r="R1152" s="341">
        <f>+VLOOKUP(B1152,PRORRATEO!A:M,11,0)</f>
        <v>1598085.5492499999</v>
      </c>
      <c r="S1152" s="339">
        <f>+VLOOKUP(B1152,PRORRATEO!A:M,12,0)</f>
        <v>0.10100000000000001</v>
      </c>
      <c r="T1152" s="339">
        <f>+VLOOKUP(B1152,PRORRATEO!A:M,13,0)</f>
        <v>0.89900000000000002</v>
      </c>
      <c r="U1152" t="s">
        <v>52</v>
      </c>
    </row>
    <row r="1153" spans="1:21" x14ac:dyDescent="0.35">
      <c r="B1153" s="263">
        <v>1537210002</v>
      </c>
      <c r="C1153" s="10" t="s">
        <v>1015</v>
      </c>
      <c r="E1153" t="s">
        <v>97</v>
      </c>
      <c r="F1153" s="263">
        <v>40</v>
      </c>
      <c r="G1153" s="348" t="str">
        <f>+CONCATENATE($G$7," RF/GC V/FP ",G1152," ",H1152)</f>
        <v>"04-2026" RF/GC V/FP T138 A854</v>
      </c>
      <c r="H1153" s="252"/>
      <c r="I1153" s="10" t="str">
        <f>+H1152</f>
        <v>A854</v>
      </c>
      <c r="J1153" s="350"/>
      <c r="K1153" s="335"/>
      <c r="N1153" s="336"/>
    </row>
    <row r="1154" spans="1:21" x14ac:dyDescent="0.35">
      <c r="B1154" s="263">
        <v>1537210002</v>
      </c>
      <c r="C1154" s="10" t="s">
        <v>1015</v>
      </c>
      <c r="D1154" s="268">
        <v>2234255</v>
      </c>
      <c r="E1154" t="s">
        <v>97</v>
      </c>
      <c r="F1154" s="263">
        <v>40</v>
      </c>
      <c r="G1154" s="318" t="str">
        <f t="shared" ref="G1154:G1160" si="62">+G1153</f>
        <v>"04-2026" RF/GC V/FP T138 A854</v>
      </c>
      <c r="H1154" s="252"/>
      <c r="I1154" s="10" t="str">
        <f t="shared" ref="I1154:I1159" si="63">+I1153</f>
        <v>A854</v>
      </c>
      <c r="J1154" s="350"/>
      <c r="K1154" s="335"/>
      <c r="N1154" s="336"/>
    </row>
    <row r="1155" spans="1:21" x14ac:dyDescent="0.35">
      <c r="B1155" s="263">
        <v>1245150017</v>
      </c>
      <c r="C1155" s="10" t="s">
        <v>77</v>
      </c>
      <c r="D1155" s="268">
        <v>11614991</v>
      </c>
      <c r="E1155" t="s">
        <v>97</v>
      </c>
      <c r="F1155" s="263">
        <v>40</v>
      </c>
      <c r="G1155" s="318" t="str">
        <f t="shared" si="62"/>
        <v>"04-2026" RF/GC V/FP T138 A854</v>
      </c>
      <c r="H1155" s="252"/>
      <c r="I1155" s="10" t="str">
        <f t="shared" si="63"/>
        <v>A854</v>
      </c>
      <c r="J1155" s="350"/>
      <c r="K1155" s="335"/>
      <c r="N1155" s="336"/>
    </row>
    <row r="1156" spans="1:21" x14ac:dyDescent="0.35">
      <c r="B1156" s="263">
        <v>1245150017</v>
      </c>
      <c r="C1156" s="10" t="s">
        <v>77</v>
      </c>
      <c r="D1156" s="268">
        <v>1161499</v>
      </c>
      <c r="E1156" t="s">
        <v>97</v>
      </c>
      <c r="F1156" s="263">
        <v>40</v>
      </c>
      <c r="G1156" s="318" t="str">
        <f t="shared" si="62"/>
        <v>"04-2026" RF/GC V/FP T138 A854</v>
      </c>
      <c r="H1156" s="252"/>
      <c r="I1156" s="10" t="str">
        <f t="shared" si="63"/>
        <v>A854</v>
      </c>
      <c r="J1156" s="350"/>
      <c r="K1156" s="335"/>
      <c r="N1156" s="336"/>
    </row>
    <row r="1157" spans="1:21" x14ac:dyDescent="0.35">
      <c r="B1157" s="263">
        <v>1149120011</v>
      </c>
      <c r="C1157" s="10" t="s">
        <v>96</v>
      </c>
      <c r="D1157" s="268">
        <v>222892</v>
      </c>
      <c r="E1157" t="s">
        <v>98</v>
      </c>
      <c r="F1157" s="263">
        <v>40</v>
      </c>
      <c r="G1157" s="318" t="str">
        <f t="shared" si="62"/>
        <v>"04-2026" RF/GC V/FP T138 A854</v>
      </c>
      <c r="H1157" s="252"/>
      <c r="I1157" s="10" t="str">
        <f t="shared" si="63"/>
        <v>A854</v>
      </c>
      <c r="J1157" s="350"/>
      <c r="K1157" s="335"/>
      <c r="N1157" s="336"/>
    </row>
    <row r="1158" spans="1:21" x14ac:dyDescent="0.35">
      <c r="B1158" s="263">
        <v>1149120011</v>
      </c>
      <c r="C1158" s="10" t="s">
        <v>96</v>
      </c>
      <c r="D1158" s="268">
        <v>-222892</v>
      </c>
      <c r="E1158" t="s">
        <v>97</v>
      </c>
      <c r="F1158" s="263">
        <v>50</v>
      </c>
      <c r="G1158" s="318" t="str">
        <f t="shared" si="62"/>
        <v>"04-2026" RF/GC V/FP T138 A854</v>
      </c>
      <c r="H1158" s="252"/>
      <c r="I1158" s="10" t="str">
        <f t="shared" si="63"/>
        <v>A854</v>
      </c>
      <c r="J1158" s="350"/>
      <c r="K1158" s="335"/>
      <c r="N1158" s="336"/>
    </row>
    <row r="1159" spans="1:21" x14ac:dyDescent="0.35">
      <c r="A1159" s="397">
        <f>+D1153+D1154+D1155+D1156+D1159</f>
        <v>18182882</v>
      </c>
      <c r="B1159" s="4">
        <v>1149120011</v>
      </c>
      <c r="C1159" s="10" t="s">
        <v>96</v>
      </c>
      <c r="D1159" s="268">
        <v>3172137</v>
      </c>
      <c r="E1159" t="s">
        <v>97</v>
      </c>
      <c r="F1159">
        <v>40</v>
      </c>
      <c r="G1159" s="318" t="str">
        <f t="shared" si="62"/>
        <v>"04-2026" RF/GC V/FP T138 A854</v>
      </c>
      <c r="H1159" s="252"/>
      <c r="I1159" s="10" t="str">
        <f t="shared" si="63"/>
        <v>A854</v>
      </c>
      <c r="J1159" s="350"/>
      <c r="K1159" s="335"/>
      <c r="N1159" s="336"/>
    </row>
    <row r="1160" spans="1:21" x14ac:dyDescent="0.35">
      <c r="A1160" s="548"/>
      <c r="C1160" s="251" t="s">
        <v>76</v>
      </c>
      <c r="D1160" s="265">
        <v>19867595</v>
      </c>
      <c r="E1160"/>
      <c r="G1160" s="318" t="str">
        <f t="shared" si="62"/>
        <v>"04-2026" RF/GC V/FP T138 A854</v>
      </c>
      <c r="H1160" s="252"/>
      <c r="J1160" s="350"/>
      <c r="K1160" s="335"/>
      <c r="N1160" s="336"/>
    </row>
    <row r="1161" spans="1:21" x14ac:dyDescent="0.35">
      <c r="A1161" s="130" t="s">
        <v>1067</v>
      </c>
      <c r="B1161" s="262">
        <v>206169</v>
      </c>
      <c r="C1161" s="276" t="s">
        <v>30</v>
      </c>
      <c r="D1161" s="330"/>
      <c r="E1161"/>
      <c r="G1161" s="9" t="s">
        <v>376</v>
      </c>
      <c r="H1161" s="6">
        <v>8583</v>
      </c>
      <c r="I1161" s="10" t="s">
        <v>865</v>
      </c>
      <c r="J1161" s="515">
        <f>+VLOOKUP(H1161,contratos!A:R,5,0)</f>
        <v>42370</v>
      </c>
      <c r="K1161" s="266" t="str">
        <f>+VLOOKUP(H1161,contratos!A:R,12,0)</f>
        <v>VENCIDO</v>
      </c>
      <c r="L1161" s="341" t="str">
        <f>+VLOOKUP(H1161,contratos!A:R,13,0)</f>
        <v>CESADO</v>
      </c>
      <c r="M1161" s="341">
        <f>+VLOOKUP(H1161,contratos!A:R,15,0)</f>
        <v>0</v>
      </c>
      <c r="N1161" s="336">
        <f>+VLOOKUP(H1161,contratos!A:R,16,0)</f>
        <v>0</v>
      </c>
      <c r="O1161" s="341">
        <f>+VLOOKUP(H1161,PRORRATEO!F:M,3,0)</f>
        <v>9715141</v>
      </c>
      <c r="P1161" s="341">
        <f>+VLOOKUP(H1161,PRORRATEO!F:M,4,0)</f>
        <v>1845876.79</v>
      </c>
      <c r="Q1161" s="341">
        <f>+VLOOKUP(H1161,PRORRATEO!F:M,5,0)</f>
        <v>177204.17184</v>
      </c>
      <c r="R1161" s="341">
        <f>+VLOOKUP(H1161,PRORRATEO!F:M,6,0)</f>
        <v>1668672.6181600001</v>
      </c>
      <c r="S1161" s="339">
        <f>+VLOOKUP(H1161,PRORRATEO!F:M,7,0)</f>
        <v>9.6000000000000002E-2</v>
      </c>
      <c r="T1161" s="339">
        <f>+VLOOKUP(H1161,PRORRATEO!F:M,8,0)</f>
        <v>0.90400000000000003</v>
      </c>
      <c r="U1161" t="s">
        <v>30</v>
      </c>
    </row>
    <row r="1162" spans="1:21" x14ac:dyDescent="0.35">
      <c r="B1162" s="263">
        <v>1532001604</v>
      </c>
      <c r="C1162" s="10" t="s">
        <v>1014</v>
      </c>
      <c r="D1162" s="331">
        <v>8411</v>
      </c>
      <c r="E1162" s="263" t="s">
        <v>80</v>
      </c>
      <c r="F1162">
        <v>40</v>
      </c>
      <c r="G1162" s="316" t="str">
        <f>+CONCATENATE($G$7," ACUEDUCTO/ASEO ",G1161," ",H1161)</f>
        <v>"04-2026" ACUEDUCTO/ASEO T105 8583</v>
      </c>
      <c r="H1162" s="252"/>
      <c r="I1162" s="10">
        <f>+H1161</f>
        <v>8583</v>
      </c>
      <c r="J1162" s="515"/>
      <c r="K1162" s="335"/>
      <c r="N1162" s="336"/>
    </row>
    <row r="1163" spans="1:21" x14ac:dyDescent="0.35">
      <c r="C1163" s="251" t="s">
        <v>76</v>
      </c>
      <c r="D1163" s="265">
        <f>+D1162</f>
        <v>8411</v>
      </c>
      <c r="E1163"/>
      <c r="G1163" s="318" t="str">
        <f>+G1162</f>
        <v>"04-2026" ACUEDUCTO/ASEO T105 8583</v>
      </c>
      <c r="H1163" s="252"/>
      <c r="I1163" s="10">
        <f>+I1162</f>
        <v>8583</v>
      </c>
      <c r="J1163" s="515"/>
      <c r="K1163" s="335"/>
      <c r="N1163" s="336"/>
    </row>
    <row r="1164" spans="1:21" x14ac:dyDescent="0.35">
      <c r="B1164" s="262">
        <v>231460</v>
      </c>
      <c r="C1164" s="276" t="s">
        <v>1070</v>
      </c>
      <c r="D1164" s="330"/>
      <c r="E1164"/>
      <c r="G1164" s="9" t="s">
        <v>423</v>
      </c>
      <c r="H1164" s="6">
        <v>9072</v>
      </c>
      <c r="I1164" s="10" t="s">
        <v>865</v>
      </c>
      <c r="J1164" s="350">
        <v>45457</v>
      </c>
      <c r="K1164" s="335" t="s">
        <v>121</v>
      </c>
      <c r="L1164" s="341">
        <v>15765508</v>
      </c>
      <c r="M1164" s="341">
        <v>0</v>
      </c>
      <c r="N1164" s="336">
        <v>2053395</v>
      </c>
      <c r="O1164" s="341">
        <v>13411113</v>
      </c>
      <c r="P1164" s="341">
        <v>2548111.4700000002</v>
      </c>
      <c r="Q1164" s="341">
        <v>119761.23909</v>
      </c>
      <c r="R1164" s="341">
        <v>2428350.2309099999</v>
      </c>
      <c r="S1164" s="339">
        <v>4.7E-2</v>
      </c>
      <c r="T1164" s="339">
        <v>0.95299999999999996</v>
      </c>
      <c r="U1164" t="s">
        <v>69</v>
      </c>
    </row>
    <row r="1165" spans="1:21" x14ac:dyDescent="0.35">
      <c r="B1165" s="4">
        <v>1532001600</v>
      </c>
      <c r="C1165" s="10" t="s">
        <v>987</v>
      </c>
      <c r="D1165" s="268">
        <v>78433</v>
      </c>
      <c r="E1165" t="s">
        <v>80</v>
      </c>
      <c r="G1165" s="348" t="str">
        <f>+CONCATENATE($G$7," ASEO ",G1164," ",H1164)</f>
        <v>"04-2026" ASEO T122 9072</v>
      </c>
      <c r="H1165" s="252"/>
      <c r="I1165" s="10">
        <f>+H1164</f>
        <v>9072</v>
      </c>
      <c r="J1165" s="350"/>
      <c r="K1165" s="335"/>
      <c r="N1165" s="336"/>
    </row>
    <row r="1166" spans="1:21" x14ac:dyDescent="0.35">
      <c r="C1166" s="251" t="s">
        <v>76</v>
      </c>
      <c r="D1166" s="265">
        <v>78433</v>
      </c>
      <c r="E1166"/>
      <c r="G1166" s="318" t="str">
        <f>+G1165</f>
        <v>"04-2026" ASEO T122 9072</v>
      </c>
      <c r="H1166" s="252"/>
      <c r="J1166" s="350"/>
      <c r="K1166" s="335"/>
      <c r="N1166" s="336"/>
    </row>
    <row r="1167" spans="1:21" x14ac:dyDescent="0.35">
      <c r="A1167" s="130" t="s">
        <v>854</v>
      </c>
      <c r="B1167" s="262">
        <v>231459</v>
      </c>
      <c r="C1167" s="276" t="s">
        <v>1070</v>
      </c>
      <c r="D1167" s="265"/>
      <c r="E1167"/>
      <c r="G1167" s="9" t="s">
        <v>418</v>
      </c>
      <c r="H1167" s="6">
        <v>8968</v>
      </c>
      <c r="I1167" s="10" t="s">
        <v>865</v>
      </c>
      <c r="J1167" s="350">
        <f>+VLOOKUP(H1167,contratos!A:R,5,0)</f>
        <v>42767</v>
      </c>
      <c r="K1167" s="266" t="str">
        <f>+VLOOKUP(H1167,contratos!A:R,12,0)</f>
        <v>CESADO</v>
      </c>
      <c r="L1167" s="341" t="str">
        <f>+VLOOKUP(H1167,contratos!A:R,13,0)</f>
        <v>CERRADA</v>
      </c>
      <c r="M1167" s="341">
        <f>+VLOOKUP(H1167,contratos!A:R,15,0)</f>
        <v>0</v>
      </c>
      <c r="N1167" s="336">
        <f>+VLOOKUP(H1167,contratos!A:R,16,0)</f>
        <v>0</v>
      </c>
      <c r="O1167" s="341">
        <f>+VLOOKUP(H1167,PRORRATEO!F:M,3,0)</f>
        <v>5115034</v>
      </c>
      <c r="P1167" s="341">
        <f>+VLOOKUP(H1167,PRORRATEO!F:M,4,0)</f>
        <v>971856.46</v>
      </c>
      <c r="Q1167" s="341">
        <f>+VLOOKUP(H1167,PRORRATEO!F:M,5,0)</f>
        <v>74832.947419999997</v>
      </c>
      <c r="R1167" s="341">
        <f>+VLOOKUP(H1167,PRORRATEO!F:M,6,0)</f>
        <v>897023.51257999998</v>
      </c>
      <c r="S1167" s="339">
        <f>+VLOOKUP(H1167,PRORRATEO!F:M,7,0)</f>
        <v>7.6999999999999999E-2</v>
      </c>
      <c r="T1167" s="339">
        <f>+VLOOKUP(H1167,PRORRATEO!F:M,8,0)</f>
        <v>0.92300000000000004</v>
      </c>
      <c r="U1167" t="s">
        <v>69</v>
      </c>
    </row>
    <row r="1168" spans="1:21" x14ac:dyDescent="0.35">
      <c r="B1168" s="4">
        <v>1245150017</v>
      </c>
      <c r="C1168" s="10" t="s">
        <v>77</v>
      </c>
      <c r="D1168" s="268">
        <v>1192718</v>
      </c>
      <c r="E1168" t="s">
        <v>97</v>
      </c>
      <c r="F1168">
        <v>40</v>
      </c>
      <c r="G1168" s="316" t="str">
        <f>+CONCATENATE($G$7," GC ",G1167," ",H1167)</f>
        <v>"04-2026" GC T119 8968</v>
      </c>
      <c r="H1168" s="252"/>
      <c r="I1168" s="10">
        <f>+H1167</f>
        <v>8968</v>
      </c>
      <c r="J1168" s="350"/>
      <c r="K1168" s="335"/>
      <c r="N1168" s="336"/>
    </row>
    <row r="1169" spans="1:21" x14ac:dyDescent="0.35">
      <c r="B1169" s="4">
        <v>1149120011</v>
      </c>
      <c r="C1169" s="10" t="s">
        <v>96</v>
      </c>
      <c r="D1169" s="268">
        <v>226616</v>
      </c>
      <c r="E1169" t="s">
        <v>97</v>
      </c>
      <c r="F1169">
        <v>40</v>
      </c>
      <c r="G1169" s="318" t="str">
        <f>+G1168</f>
        <v>"04-2026" GC T119 8968</v>
      </c>
      <c r="H1169" s="252"/>
      <c r="I1169" s="10">
        <f>+I1168</f>
        <v>8968</v>
      </c>
      <c r="J1169" s="350"/>
      <c r="K1169" s="335"/>
      <c r="N1169" s="336"/>
    </row>
    <row r="1170" spans="1:21" x14ac:dyDescent="0.35">
      <c r="C1170" s="251" t="s">
        <v>76</v>
      </c>
      <c r="D1170" s="265">
        <v>1419334</v>
      </c>
      <c r="E1170"/>
      <c r="G1170" s="318" t="str">
        <f>+G1169</f>
        <v>"04-2026" GC T119 8968</v>
      </c>
      <c r="H1170" s="252"/>
      <c r="J1170" s="350"/>
      <c r="K1170" s="335"/>
      <c r="N1170" s="336"/>
    </row>
    <row r="1171" spans="1:21" x14ac:dyDescent="0.35">
      <c r="A1171" s="130" t="s">
        <v>854</v>
      </c>
      <c r="B1171" s="262">
        <v>231458</v>
      </c>
      <c r="C1171" s="276" t="s">
        <v>1070</v>
      </c>
      <c r="D1171" s="330"/>
      <c r="E1171"/>
      <c r="G1171" s="9" t="s">
        <v>420</v>
      </c>
      <c r="H1171" s="6">
        <v>8969</v>
      </c>
      <c r="I1171" s="10" t="s">
        <v>865</v>
      </c>
      <c r="J1171" s="350">
        <f>+VLOOKUP(H1171,contratos!A:R,5,0)</f>
        <v>42767</v>
      </c>
      <c r="K1171" s="266" t="str">
        <f>+VLOOKUP(H1171,contratos!A:R,12,0)</f>
        <v>VENCIDO</v>
      </c>
      <c r="L1171" s="341" t="str">
        <f>+VLOOKUP(H1171,contratos!A:R,13,0)</f>
        <v>CESADO</v>
      </c>
      <c r="M1171" s="341">
        <f>+VLOOKUP(H1171,contratos!A:R,15,0)</f>
        <v>0</v>
      </c>
      <c r="N1171" s="336">
        <f>+VLOOKUP(H1171,contratos!A:R,16,0)</f>
        <v>0</v>
      </c>
      <c r="O1171" s="341">
        <f>+VLOOKUP(H1171,PRORRATEO!F:M,3,0)</f>
        <v>8037911</v>
      </c>
      <c r="P1171" s="341">
        <f>+VLOOKUP(H1171,PRORRATEO!F:M,4,0)</f>
        <v>1527203.09</v>
      </c>
      <c r="Q1171" s="341">
        <f>+VLOOKUP(H1171,PRORRATEO!F:M,5,0)</f>
        <v>97740.997760000013</v>
      </c>
      <c r="R1171" s="341">
        <f>+VLOOKUP(H1171,PRORRATEO!F:M,6,0)</f>
        <v>1429462.0922400001</v>
      </c>
      <c r="S1171" s="339">
        <f>+VLOOKUP(H1171,PRORRATEO!F:M,7,0)</f>
        <v>6.4000000000000001E-2</v>
      </c>
      <c r="T1171" s="339">
        <f>+VLOOKUP(H1171,PRORRATEO!F:M,8,0)</f>
        <v>0.93600000000000005</v>
      </c>
      <c r="U1171" t="s">
        <v>69</v>
      </c>
    </row>
    <row r="1172" spans="1:21" x14ac:dyDescent="0.35">
      <c r="B1172" s="263">
        <v>1245150017</v>
      </c>
      <c r="C1172" s="10" t="s">
        <v>77</v>
      </c>
      <c r="D1172" s="268">
        <v>1506107</v>
      </c>
      <c r="E1172" t="s">
        <v>97</v>
      </c>
      <c r="F1172" s="263">
        <v>40</v>
      </c>
      <c r="G1172" s="316" t="str">
        <f>+CONCATENATE(G7," GC ",G1171," ",H1171)</f>
        <v>"04-2026" GC T120 8969</v>
      </c>
      <c r="H1172" s="252"/>
      <c r="I1172" s="10">
        <f>+H1171</f>
        <v>8969</v>
      </c>
      <c r="J1172" s="350"/>
      <c r="K1172" s="335"/>
      <c r="N1172" s="336"/>
    </row>
    <row r="1173" spans="1:21" x14ac:dyDescent="0.35">
      <c r="B1173" s="4">
        <v>1149120011</v>
      </c>
      <c r="C1173" s="10" t="s">
        <v>96</v>
      </c>
      <c r="D1173" s="298">
        <f>+D1172*0.19</f>
        <v>286160.33</v>
      </c>
      <c r="E1173" t="s">
        <v>97</v>
      </c>
      <c r="F1173" s="4">
        <v>40</v>
      </c>
      <c r="G1173" s="318" t="str">
        <f>+CONCATENATE(G7," GC ",G1171," ",H1171)</f>
        <v>"04-2026" GC T120 8969</v>
      </c>
      <c r="H1173" s="252"/>
      <c r="I1173" s="10">
        <f>+I1172</f>
        <v>8969</v>
      </c>
      <c r="J1173" s="350"/>
      <c r="K1173" s="335"/>
      <c r="N1173" s="336"/>
    </row>
    <row r="1174" spans="1:21" x14ac:dyDescent="0.35">
      <c r="C1174" s="251" t="s">
        <v>76</v>
      </c>
      <c r="D1174" s="265">
        <f>SUBTOTAL(9,D1172:D1173)</f>
        <v>1792267.33</v>
      </c>
      <c r="E1174"/>
      <c r="G1174" s="318" t="str">
        <f>+G1173</f>
        <v>"04-2026" GC T120 8969</v>
      </c>
      <c r="H1174" s="252"/>
      <c r="J1174" s="350"/>
      <c r="K1174" s="335"/>
      <c r="N1174" s="336"/>
    </row>
    <row r="1175" spans="1:21" x14ac:dyDescent="0.35">
      <c r="A1175" s="130" t="s">
        <v>854</v>
      </c>
      <c r="B1175" s="262">
        <v>231457</v>
      </c>
      <c r="C1175" s="276" t="s">
        <v>1070</v>
      </c>
      <c r="D1175" s="330"/>
      <c r="E1175"/>
      <c r="G1175" s="9" t="s">
        <v>387</v>
      </c>
      <c r="H1175" s="6">
        <v>8714</v>
      </c>
      <c r="I1175" s="10" t="s">
        <v>865</v>
      </c>
      <c r="J1175" s="350">
        <f>+VLOOKUP(H1175,contratos!A:R,5,0)</f>
        <v>42461</v>
      </c>
      <c r="K1175" s="266" t="str">
        <f>+VLOOKUP(H1175,contratos!A:R,12,0)</f>
        <v>VENCIDO</v>
      </c>
      <c r="L1175" s="341" t="str">
        <f>+VLOOKUP(H1175,contratos!A:R,13,0)</f>
        <v>CESADO</v>
      </c>
      <c r="M1175" s="341">
        <f>+VLOOKUP(H1175,contratos!A:R,15,0)</f>
        <v>0</v>
      </c>
      <c r="N1175" s="336">
        <f>+VLOOKUP(H1175,contratos!A:R,16,0)</f>
        <v>0</v>
      </c>
      <c r="O1175" s="341">
        <f>+VLOOKUP(H1175,PRORRATEO!F:M,3,0)</f>
        <v>9464576</v>
      </c>
      <c r="P1175" s="341">
        <f>+VLOOKUP(H1175,PRORRATEO!F:M,4,0)</f>
        <v>1798269.44</v>
      </c>
      <c r="Q1175" s="341">
        <f>+VLOOKUP(H1175,PRORRATEO!F:M,5,0)</f>
        <v>120484.05248</v>
      </c>
      <c r="R1175" s="341">
        <f>+VLOOKUP(H1175,PRORRATEO!F:M,6,0)</f>
        <v>1677785.3875200001</v>
      </c>
      <c r="S1175" s="339">
        <f>+VLOOKUP(H1175,PRORRATEO!F:M,7,0)</f>
        <v>6.7000000000000004E-2</v>
      </c>
      <c r="T1175" s="339">
        <f>+VLOOKUP(H1175,PRORRATEO!F:M,8,0)</f>
        <v>0.93300000000000005</v>
      </c>
      <c r="U1175" t="s">
        <v>69</v>
      </c>
    </row>
    <row r="1176" spans="1:21" x14ac:dyDescent="0.35">
      <c r="A1176" s="381"/>
      <c r="B1176" s="263">
        <v>1537210002</v>
      </c>
      <c r="C1176" s="10" t="s">
        <v>77</v>
      </c>
      <c r="D1176" s="268">
        <v>1491353</v>
      </c>
      <c r="E1176" t="s">
        <v>97</v>
      </c>
      <c r="F1176" s="263">
        <v>40</v>
      </c>
      <c r="G1176" s="316" t="str">
        <f>+CONCATENATE(G7," GC ",G1175," ",H1175)</f>
        <v>"04-2026" GC T108 8714</v>
      </c>
      <c r="H1176" s="252"/>
      <c r="I1176" s="10">
        <f>+H1175</f>
        <v>8714</v>
      </c>
      <c r="J1176" s="350"/>
      <c r="K1176" s="335"/>
      <c r="N1176" s="336"/>
    </row>
    <row r="1177" spans="1:21" x14ac:dyDescent="0.35">
      <c r="B1177" s="4">
        <v>1149120011</v>
      </c>
      <c r="C1177" s="10" t="s">
        <v>96</v>
      </c>
      <c r="D1177" s="268">
        <f>+D1176*0.19</f>
        <v>283357.07</v>
      </c>
      <c r="E1177" t="s">
        <v>97</v>
      </c>
      <c r="F1177">
        <v>40</v>
      </c>
      <c r="G1177" s="318" t="str">
        <f>+CONCATENATE(G7," GC ",G1175," ",H1175)</f>
        <v>"04-2026" GC T108 8714</v>
      </c>
      <c r="H1177" s="252"/>
      <c r="I1177" s="10">
        <f>+I1176</f>
        <v>8714</v>
      </c>
      <c r="J1177" s="350"/>
      <c r="K1177" s="335"/>
      <c r="N1177" s="336"/>
    </row>
    <row r="1178" spans="1:21" x14ac:dyDescent="0.35">
      <c r="C1178" s="251" t="s">
        <v>76</v>
      </c>
      <c r="D1178" s="332">
        <v>1543729</v>
      </c>
      <c r="E1178"/>
      <c r="G1178" s="318" t="str">
        <f>+G1177</f>
        <v>"04-2026" GC T108 8714</v>
      </c>
      <c r="H1178" s="252"/>
      <c r="J1178" s="350"/>
      <c r="K1178" s="335"/>
      <c r="N1178" s="336"/>
    </row>
    <row r="1179" spans="1:21" x14ac:dyDescent="0.35">
      <c r="A1179" s="130" t="s">
        <v>854</v>
      </c>
      <c r="B1179" s="262">
        <v>231456</v>
      </c>
      <c r="C1179" s="276" t="s">
        <v>1070</v>
      </c>
      <c r="D1179" s="330"/>
      <c r="E1179"/>
      <c r="G1179" s="9" t="s">
        <v>383</v>
      </c>
      <c r="H1179" s="6">
        <v>8585</v>
      </c>
      <c r="I1179" s="10" t="s">
        <v>865</v>
      </c>
      <c r="J1179" s="350">
        <f>+VLOOKUP(H1179,contratos!A:R,5,0)</f>
        <v>42415</v>
      </c>
      <c r="K1179" s="266" t="str">
        <f>+VLOOKUP(H1179,contratos!A:R,12,0)</f>
        <v>VENCIDO</v>
      </c>
      <c r="L1179" s="341" t="str">
        <f>+VLOOKUP(H1179,contratos!A:R,13,0)</f>
        <v>CESADO</v>
      </c>
      <c r="M1179" s="341">
        <f>+VLOOKUP(H1179,contratos!A:R,15,0)</f>
        <v>0</v>
      </c>
      <c r="N1179" s="336">
        <f>+VLOOKUP(H1179,contratos!A:R,16,0)</f>
        <v>0</v>
      </c>
      <c r="O1179" s="341">
        <f>+VLOOKUP(H1179,PRORRATEO!F:M,3,0)</f>
        <v>20151876</v>
      </c>
      <c r="P1179" s="341">
        <f>+VLOOKUP(H1179,PRORRATEO!F:M,4,0)</f>
        <v>3828856.44</v>
      </c>
      <c r="Q1179" s="341">
        <f>+VLOOKUP(H1179,PRORRATEO!F:M,5,0)</f>
        <v>264191.09436000005</v>
      </c>
      <c r="R1179" s="341">
        <f>+VLOOKUP(H1179,PRORRATEO!F:M,6,0)</f>
        <v>3564665.34564</v>
      </c>
      <c r="S1179" s="339">
        <f>+VLOOKUP(H1179,PRORRATEO!F:M,7,0)</f>
        <v>6.9000000000000006E-2</v>
      </c>
      <c r="T1179" s="339">
        <f>+VLOOKUP(H1179,PRORRATEO!F:M,8,0)</f>
        <v>0.93100000000000005</v>
      </c>
      <c r="U1179" t="s">
        <v>69</v>
      </c>
    </row>
    <row r="1180" spans="1:21" x14ac:dyDescent="0.35">
      <c r="B1180" s="263">
        <v>1537210004</v>
      </c>
      <c r="C1180" s="10" t="s">
        <v>1033</v>
      </c>
      <c r="D1180" s="268">
        <v>2370370</v>
      </c>
      <c r="E1180" s="263" t="s">
        <v>97</v>
      </c>
      <c r="F1180">
        <v>40</v>
      </c>
      <c r="G1180" s="348" t="str">
        <f>+CONCATENATE($G$7," GC ",G1179," ",H1179)</f>
        <v>"04-2026" GC T107 8585</v>
      </c>
      <c r="H1180" s="252"/>
      <c r="I1180" s="10">
        <f>+H1179</f>
        <v>8585</v>
      </c>
      <c r="J1180" s="350"/>
      <c r="K1180" s="335"/>
      <c r="N1180" s="336"/>
    </row>
    <row r="1181" spans="1:21" x14ac:dyDescent="0.35">
      <c r="B1181" s="4">
        <v>1149120011</v>
      </c>
      <c r="C1181" s="10" t="s">
        <v>96</v>
      </c>
      <c r="D1181" s="268">
        <f>+D1180*0.19</f>
        <v>450370.3</v>
      </c>
      <c r="E1181" t="s">
        <v>97</v>
      </c>
      <c r="F1181">
        <v>40</v>
      </c>
      <c r="G1181" s="318" t="str">
        <f>+G1180</f>
        <v>"04-2026" GC T107 8585</v>
      </c>
      <c r="H1181" s="252"/>
      <c r="I1181" s="10">
        <f>+I1180</f>
        <v>8585</v>
      </c>
      <c r="J1181" s="350"/>
      <c r="K1181" s="335"/>
      <c r="N1181" s="336"/>
    </row>
    <row r="1182" spans="1:21" x14ac:dyDescent="0.35">
      <c r="C1182" s="251" t="s">
        <v>76</v>
      </c>
      <c r="D1182" s="265">
        <f>SUBTOTAL(9,D1180:D1181)</f>
        <v>2820740.3</v>
      </c>
      <c r="E1182"/>
      <c r="G1182" s="318" t="str">
        <f>+G1181</f>
        <v>"04-2026" GC T107 8585</v>
      </c>
      <c r="H1182" s="252"/>
      <c r="J1182" s="350"/>
      <c r="K1182" s="335"/>
      <c r="N1182" s="336"/>
    </row>
    <row r="1183" spans="1:21" x14ac:dyDescent="0.35">
      <c r="A1183" s="130" t="s">
        <v>854</v>
      </c>
      <c r="B1183" s="262">
        <v>204549</v>
      </c>
      <c r="C1183" s="276" t="s">
        <v>1004</v>
      </c>
      <c r="E1183"/>
      <c r="G1183" s="9" t="s">
        <v>1161</v>
      </c>
      <c r="H1183" s="6">
        <v>6640</v>
      </c>
      <c r="I1183" s="10" t="s">
        <v>865</v>
      </c>
      <c r="J1183" s="350">
        <f>+VLOOKUP(H1183,contratos!A:R,5,0)</f>
        <v>42309</v>
      </c>
      <c r="K1183" s="266" t="str">
        <f>+VLOOKUP(H1183,contratos!A:R,12,0)</f>
        <v>OK</v>
      </c>
      <c r="L1183" s="341" t="str">
        <f>+VLOOKUP(H1183,contratos!A:R,13,0)</f>
        <v>VIGENTE</v>
      </c>
      <c r="M1183" s="341">
        <f>+VLOOKUP(H1183,contratos!A:R,15,0)</f>
        <v>0</v>
      </c>
      <c r="N1183" s="336">
        <f>+VLOOKUP(H1183,contratos!A:R,16,0)</f>
        <v>0</v>
      </c>
      <c r="O1183" s="341">
        <f>+VLOOKUP(H1183,PRORRATEO!F:M,3,0)</f>
        <v>5649396</v>
      </c>
      <c r="P1183" s="341">
        <f>+VLOOKUP(H1183,PRORRATEO!F:M,4,0)</f>
        <v>1073385.24</v>
      </c>
      <c r="Q1183" s="341">
        <f>+VLOOKUP(H1183,PRORRATEO!F:M,5,0)</f>
        <v>94890.773637943901</v>
      </c>
      <c r="R1183" s="341">
        <f>+VLOOKUP(H1183,PRORRATEO!F:M,6,0)</f>
        <v>978494.46636205621</v>
      </c>
      <c r="S1183" s="339">
        <f>+VLOOKUP(H1183,PRORRATEO!F:M,7,0)</f>
        <v>8.8403277874348166E-2</v>
      </c>
      <c r="T1183" s="339">
        <f>+VLOOKUP(H1183,PRORRATEO!F:M,8,0)</f>
        <v>0.9115967221256519</v>
      </c>
      <c r="U1183" t="s">
        <v>27</v>
      </c>
    </row>
    <row r="1184" spans="1:21" x14ac:dyDescent="0.35">
      <c r="B1184" s="4">
        <v>1537210002</v>
      </c>
      <c r="C1184" s="10" t="s">
        <v>1015</v>
      </c>
      <c r="D1184" s="268">
        <v>1091059</v>
      </c>
      <c r="E1184" t="s">
        <v>80</v>
      </c>
      <c r="F1184">
        <v>40</v>
      </c>
      <c r="G1184" s="316" t="str">
        <f>+CONCATENATE(G7," GC/ASEO/ACUEDUCTO/INTERES ",G1183," ",H1183)</f>
        <v>"04-2026" GC/ASEO/ACUEDUCTO/INTERES T52 6640</v>
      </c>
      <c r="H1184" s="252"/>
      <c r="I1184" s="10">
        <f>+H1183</f>
        <v>6640</v>
      </c>
      <c r="J1184" s="350"/>
      <c r="K1184" s="335"/>
      <c r="N1184" s="336"/>
    </row>
    <row r="1185" spans="1:21" x14ac:dyDescent="0.35">
      <c r="B1185" s="4">
        <v>1532001604</v>
      </c>
      <c r="C1185" s="10" t="s">
        <v>1014</v>
      </c>
      <c r="D1185" s="268">
        <v>56927</v>
      </c>
      <c r="E1185" t="s">
        <v>80</v>
      </c>
      <c r="F1185">
        <v>40</v>
      </c>
      <c r="G1185" s="318" t="str">
        <f>+G1184</f>
        <v>"04-2026" GC/ASEO/ACUEDUCTO/INTERES T52 6640</v>
      </c>
      <c r="H1185" s="252"/>
      <c r="I1185" s="10">
        <f>+I1184</f>
        <v>6640</v>
      </c>
      <c r="J1185" s="350"/>
      <c r="K1185" s="335"/>
      <c r="N1185" s="336"/>
    </row>
    <row r="1186" spans="1:21" x14ac:dyDescent="0.35">
      <c r="B1186" s="4">
        <v>1532001600</v>
      </c>
      <c r="C1186" s="10" t="s">
        <v>987</v>
      </c>
      <c r="E1186" t="s">
        <v>80</v>
      </c>
      <c r="F1186">
        <v>40</v>
      </c>
      <c r="G1186" s="318" t="str">
        <f>+G1185</f>
        <v>"04-2026" GC/ASEO/ACUEDUCTO/INTERES T52 6640</v>
      </c>
      <c r="H1186" s="252"/>
      <c r="I1186" s="10">
        <f>+I1185</f>
        <v>6640</v>
      </c>
      <c r="J1186" s="350"/>
      <c r="K1186" s="335"/>
      <c r="N1186" s="336"/>
    </row>
    <row r="1187" spans="1:21" x14ac:dyDescent="0.35">
      <c r="B1187" s="263">
        <v>1537210004</v>
      </c>
      <c r="C1187" s="10" t="s">
        <v>974</v>
      </c>
      <c r="D1187" s="268">
        <v>24635</v>
      </c>
      <c r="E1187" t="s">
        <v>80</v>
      </c>
      <c r="F1187">
        <v>40</v>
      </c>
      <c r="G1187" s="318" t="str">
        <f>+G1186</f>
        <v>"04-2026" GC/ASEO/ACUEDUCTO/INTERES T52 6640</v>
      </c>
      <c r="H1187" s="252"/>
      <c r="I1187" s="10">
        <f>+I1186</f>
        <v>6640</v>
      </c>
      <c r="J1187" s="350"/>
      <c r="K1187" s="335"/>
      <c r="N1187" s="336"/>
    </row>
    <row r="1188" spans="1:21" x14ac:dyDescent="0.35">
      <c r="C1188" s="251" t="s">
        <v>76</v>
      </c>
      <c r="D1188" s="265">
        <f>+D1184+D1185+D1186+D1187</f>
        <v>1172621</v>
      </c>
      <c r="E1188"/>
      <c r="G1188" s="318" t="str">
        <f>+G1187</f>
        <v>"04-2026" GC/ASEO/ACUEDUCTO/INTERES T52 6640</v>
      </c>
      <c r="H1188" s="252"/>
      <c r="I1188" s="10">
        <f>+I1187</f>
        <v>6640</v>
      </c>
      <c r="J1188" s="350"/>
      <c r="K1188" s="335"/>
      <c r="N1188" s="336"/>
    </row>
    <row r="1189" spans="1:21" x14ac:dyDescent="0.35">
      <c r="A1189" s="130" t="s">
        <v>854</v>
      </c>
      <c r="B1189" s="262">
        <v>231460</v>
      </c>
      <c r="C1189" s="276" t="s">
        <v>1070</v>
      </c>
      <c r="E1189"/>
      <c r="G1189" s="9" t="s">
        <v>423</v>
      </c>
      <c r="H1189" s="6">
        <v>9072</v>
      </c>
      <c r="I1189" s="10" t="s">
        <v>865</v>
      </c>
      <c r="J1189" s="350">
        <f>+VLOOKUP(H1189,contratos!A:R,5,0)</f>
        <v>45458</v>
      </c>
      <c r="K1189" s="266" t="str">
        <f>+VLOOKUP(H1189,contratos!A:R,12,0)</f>
        <v>OK</v>
      </c>
      <c r="L1189" s="341" t="str">
        <f>+VLOOKUP(H1189,contratos!A:R,13,0)</f>
        <v>VIGENTE</v>
      </c>
      <c r="M1189" s="341">
        <f>+VLOOKUP(H1189,contratos!A:R,15,0)</f>
        <v>0</v>
      </c>
      <c r="N1189" s="336">
        <f>+VLOOKUP(H1189,contratos!A:R,16,0)</f>
        <v>0</v>
      </c>
      <c r="O1189" s="341">
        <f>+VLOOKUP(H1189,PRORRATEO!F:M,3,0)</f>
        <v>15417759</v>
      </c>
      <c r="P1189" s="341">
        <f>+VLOOKUP(H1189,PRORRATEO!F:M,4,0)</f>
        <v>2929374.21</v>
      </c>
      <c r="Q1189" s="341">
        <f>+VLOOKUP(H1189,PRORRATEO!F:M,5,0)</f>
        <v>137680.58786999999</v>
      </c>
      <c r="R1189" s="341">
        <f>+VLOOKUP(H1189,PRORRATEO!F:M,6,0)</f>
        <v>2791693.62213</v>
      </c>
      <c r="S1189" s="339">
        <f>+VLOOKUP(H1189,PRORRATEO!F:M,7,0)</f>
        <v>4.7E-2</v>
      </c>
      <c r="T1189" s="339">
        <f>+VLOOKUP(H1189,PRORRATEO!F:M,8,0)</f>
        <v>0.95299999999999996</v>
      </c>
      <c r="U1189" t="s">
        <v>69</v>
      </c>
    </row>
    <row r="1190" spans="1:21" x14ac:dyDescent="0.35">
      <c r="B1190" s="263">
        <v>1245150017</v>
      </c>
      <c r="C1190" s="10" t="s">
        <v>77</v>
      </c>
      <c r="D1190" s="268">
        <v>2243950</v>
      </c>
      <c r="E1190" t="s">
        <v>97</v>
      </c>
      <c r="F1190">
        <v>40</v>
      </c>
      <c r="G1190" s="316" t="str">
        <f>+CONCATENATE(G7," GC ",G1189," ",H1189)</f>
        <v>"04-2026" GC T122 9072</v>
      </c>
      <c r="H1190" s="252"/>
      <c r="I1190" s="10">
        <f>+H1189</f>
        <v>9072</v>
      </c>
      <c r="J1190" s="350"/>
      <c r="K1190" s="335"/>
      <c r="N1190" s="336"/>
    </row>
    <row r="1191" spans="1:21" x14ac:dyDescent="0.35">
      <c r="B1191" s="4">
        <v>1149120011</v>
      </c>
      <c r="C1191" s="10" t="s">
        <v>96</v>
      </c>
      <c r="D1191" s="298">
        <f>+D1190*0.19</f>
        <v>426350.5</v>
      </c>
      <c r="E1191" t="s">
        <v>97</v>
      </c>
      <c r="F1191">
        <v>40</v>
      </c>
      <c r="G1191" s="318" t="str">
        <f>+CONCATENATE(G7," GC ",G1189," ",H1189)</f>
        <v>"04-2026" GC T122 9072</v>
      </c>
      <c r="H1191" s="252"/>
      <c r="I1191" s="10">
        <f>+I1190</f>
        <v>9072</v>
      </c>
      <c r="J1191" s="350"/>
      <c r="K1191" s="335"/>
      <c r="N1191" s="336"/>
    </row>
    <row r="1192" spans="1:21" x14ac:dyDescent="0.35">
      <c r="C1192" s="251" t="s">
        <v>76</v>
      </c>
      <c r="D1192" s="265">
        <v>2443540</v>
      </c>
      <c r="E1192"/>
      <c r="G1192" s="318" t="str">
        <f>+G1191</f>
        <v>"04-2026" GC T122 9072</v>
      </c>
      <c r="H1192" s="252"/>
      <c r="J1192" s="350"/>
      <c r="K1192" s="335"/>
      <c r="N1192" s="336"/>
    </row>
    <row r="1193" spans="1:21" x14ac:dyDescent="0.35">
      <c r="A1193" s="130" t="s">
        <v>854</v>
      </c>
      <c r="B1193" s="262">
        <v>204588</v>
      </c>
      <c r="C1193" s="276" t="s">
        <v>1071</v>
      </c>
      <c r="E1193"/>
      <c r="G1193" s="9" t="s">
        <v>1162</v>
      </c>
      <c r="H1193" s="6">
        <v>6636</v>
      </c>
      <c r="I1193" s="10" t="s">
        <v>865</v>
      </c>
      <c r="J1193" s="350">
        <f>+VLOOKUP(H1193,contratos!A:R,5,0)</f>
        <v>43709</v>
      </c>
      <c r="K1193" s="266" t="str">
        <f>+VLOOKUP(H1193,contratos!A:R,12,0)</f>
        <v>VENCIDO</v>
      </c>
      <c r="L1193" s="341" t="str">
        <f>+VLOOKUP(H1193,contratos!A:R,13,0)</f>
        <v>CESADO</v>
      </c>
      <c r="M1193" s="341">
        <f>+VLOOKUP(H1193,contratos!A:R,15,0)</f>
        <v>0</v>
      </c>
      <c r="N1193" s="336">
        <f>+VLOOKUP(H1193,contratos!A:R,16,0)</f>
        <v>0</v>
      </c>
      <c r="O1193" s="341">
        <f>+VLOOKUP(H1193,PRORRATEO!F:M,3,0)</f>
        <v>16023627</v>
      </c>
      <c r="P1193" s="341">
        <f>+VLOOKUP(H1193,PRORRATEO!F:M,4,0)</f>
        <v>3044489.13</v>
      </c>
      <c r="Q1193" s="341">
        <f>+VLOOKUP(H1193,PRORRATEO!F:M,5,0)</f>
        <v>191717.36649950134</v>
      </c>
      <c r="R1193" s="341">
        <f>+VLOOKUP(H1193,PRORRATEO!F:M,6,0)</f>
        <v>2852771.7635004986</v>
      </c>
      <c r="S1193" s="339">
        <f>+VLOOKUP(H1193,PRORRATEO!F:M,7,0)</f>
        <v>6.29719333238353E-2</v>
      </c>
      <c r="T1193" s="339">
        <f>+VLOOKUP(H1193,PRORRATEO!F:M,8,0)</f>
        <v>0.93702806667616478</v>
      </c>
      <c r="U1193" t="s">
        <v>19</v>
      </c>
    </row>
    <row r="1194" spans="1:21" x14ac:dyDescent="0.35">
      <c r="B1194" s="263">
        <v>1537210002</v>
      </c>
      <c r="C1194" s="10" t="s">
        <v>1015</v>
      </c>
      <c r="D1194" s="268">
        <v>3342019</v>
      </c>
      <c r="E1194" t="s">
        <v>97</v>
      </c>
      <c r="F1194" s="263">
        <v>40</v>
      </c>
      <c r="G1194" s="348" t="str">
        <f>+CONCATENATE(G7," GC ",G1193," ",H1193)</f>
        <v>"04-2026" GC T49 6636</v>
      </c>
      <c r="H1194" s="252"/>
      <c r="I1194" s="10">
        <f>+H1193</f>
        <v>6636</v>
      </c>
      <c r="J1194" s="350"/>
      <c r="K1194" s="335"/>
      <c r="N1194" s="336"/>
    </row>
    <row r="1195" spans="1:21" x14ac:dyDescent="0.35">
      <c r="B1195" s="4">
        <v>1149120011</v>
      </c>
      <c r="C1195" s="10" t="s">
        <v>96</v>
      </c>
      <c r="D1195" s="268">
        <f>+D1194*0.19</f>
        <v>634983.61</v>
      </c>
      <c r="E1195" t="s">
        <v>97</v>
      </c>
      <c r="F1195" s="4">
        <v>40</v>
      </c>
      <c r="G1195" s="318" t="str">
        <f>+G1194</f>
        <v>"04-2026" GC T49 6636</v>
      </c>
      <c r="H1195" s="252"/>
      <c r="I1195" s="10">
        <f>+I1194</f>
        <v>6636</v>
      </c>
      <c r="J1195" s="350"/>
      <c r="K1195" s="335"/>
      <c r="L1195" s="341">
        <f>125777/3144431</f>
        <v>3.9999923674585325E-2</v>
      </c>
      <c r="N1195" s="336"/>
    </row>
    <row r="1196" spans="1:21" x14ac:dyDescent="0.35">
      <c r="B1196" s="4">
        <v>1246125027</v>
      </c>
      <c r="C1196" s="10" t="s">
        <v>962</v>
      </c>
      <c r="D1196" s="299">
        <f>+D1194*J1196</f>
        <v>133680.76</v>
      </c>
      <c r="E1196"/>
      <c r="F1196">
        <v>50</v>
      </c>
      <c r="G1196" s="318" t="str">
        <f>+G1195</f>
        <v>"04-2026" GC T49 6636</v>
      </c>
      <c r="H1196" s="252"/>
      <c r="I1196" s="251">
        <f>+I1195</f>
        <v>6636</v>
      </c>
      <c r="J1196" s="351">
        <v>0.04</v>
      </c>
      <c r="K1196" s="335"/>
      <c r="N1196" s="336"/>
    </row>
    <row r="1197" spans="1:21" x14ac:dyDescent="0.35">
      <c r="C1197" s="251" t="s">
        <v>76</v>
      </c>
      <c r="D1197" s="265">
        <f>+D1194+D1195-D1196</f>
        <v>3843321.8499999996</v>
      </c>
      <c r="E1197"/>
      <c r="G1197" s="318" t="str">
        <f>+G1196</f>
        <v>"04-2026" GC T49 6636</v>
      </c>
      <c r="H1197" s="252"/>
      <c r="J1197" s="350"/>
      <c r="K1197" s="335"/>
      <c r="N1197" s="336"/>
    </row>
    <row r="1198" spans="1:21" x14ac:dyDescent="0.35">
      <c r="A1198" s="130" t="s">
        <v>854</v>
      </c>
      <c r="B1198" s="262">
        <v>204591</v>
      </c>
      <c r="C1198" s="276" t="s">
        <v>1003</v>
      </c>
      <c r="E1198"/>
      <c r="G1198" s="346" t="s">
        <v>489</v>
      </c>
      <c r="H1198" s="6">
        <v>6606</v>
      </c>
      <c r="I1198" s="10" t="s">
        <v>865</v>
      </c>
      <c r="J1198" s="350">
        <f>+VLOOKUP(H1198,contratos!A:R,5,0)</f>
        <v>41883</v>
      </c>
      <c r="K1198" s="266" t="str">
        <f>+VLOOKUP(H1198,contratos!A:R,12,0)</f>
        <v>OK</v>
      </c>
      <c r="L1198" s="341" t="str">
        <f>+VLOOKUP(H1198,contratos!A:R,13,0)</f>
        <v>VIGENTE</v>
      </c>
      <c r="M1198" s="341">
        <f>+VLOOKUP(H1198,contratos!A:R,15,0)</f>
        <v>0</v>
      </c>
      <c r="N1198" s="336">
        <f>+VLOOKUP(H1198,contratos!A:R,16,0)</f>
        <v>0</v>
      </c>
      <c r="O1198" s="341">
        <f>+VLOOKUP(H1198,PRORRATEO!F:M,3,0)</f>
        <v>17205112</v>
      </c>
      <c r="P1198" s="341">
        <f>+VLOOKUP(H1198,PRORRATEO!F:M,4,0)</f>
        <v>3268971.2800000003</v>
      </c>
      <c r="Q1198" s="341">
        <f>+VLOOKUP(H1198,PRORRATEO!F:M,5,0)</f>
        <v>209214.16192000001</v>
      </c>
      <c r="R1198" s="341">
        <f>+VLOOKUP(H1198,PRORRATEO!F:M,6,0)</f>
        <v>3059757.1180800004</v>
      </c>
      <c r="S1198" s="339">
        <f>+VLOOKUP(H1198,PRORRATEO!F:M,7,0)</f>
        <v>6.4000000000000001E-2</v>
      </c>
      <c r="T1198" s="339">
        <f>+VLOOKUP(H1198,PRORRATEO!F:M,8,0)</f>
        <v>0.93600000000000005</v>
      </c>
      <c r="U1198" t="s">
        <v>32</v>
      </c>
    </row>
    <row r="1199" spans="1:21" x14ac:dyDescent="0.35">
      <c r="A1199">
        <v>40</v>
      </c>
      <c r="B1199" s="4">
        <v>1537210002</v>
      </c>
      <c r="C1199" s="10" t="s">
        <v>1015</v>
      </c>
      <c r="D1199" s="268">
        <v>826283</v>
      </c>
      <c r="E1199" t="s">
        <v>80</v>
      </c>
      <c r="F1199">
        <v>40</v>
      </c>
      <c r="G1199" s="316" t="str">
        <f>+CONCATENATE(G7," GC ",G1198," ",H1198)</f>
        <v>"04-2026" GC T032 6606</v>
      </c>
      <c r="H1199" s="252"/>
      <c r="I1199" s="10">
        <f>+H1198</f>
        <v>6606</v>
      </c>
      <c r="J1199" s="350"/>
      <c r="K1199" s="335"/>
      <c r="N1199" s="336"/>
    </row>
    <row r="1200" spans="1:21" x14ac:dyDescent="0.35">
      <c r="C1200" s="251" t="s">
        <v>76</v>
      </c>
      <c r="D1200" s="265">
        <v>826283</v>
      </c>
      <c r="E1200"/>
      <c r="G1200" s="318" t="str">
        <f>+G1199</f>
        <v>"04-2026" GC T032 6606</v>
      </c>
      <c r="H1200" s="252"/>
      <c r="I1200" s="10">
        <f>+I1199</f>
        <v>6606</v>
      </c>
      <c r="J1200" s="350"/>
      <c r="K1200" s="335"/>
      <c r="N1200" s="336"/>
    </row>
    <row r="1201" spans="1:21" x14ac:dyDescent="0.35">
      <c r="A1201" s="130" t="s">
        <v>853</v>
      </c>
      <c r="B1201" s="262">
        <v>204970</v>
      </c>
      <c r="C1201" s="276" t="s">
        <v>28</v>
      </c>
      <c r="D1201" s="268">
        <f>+D1202+D1203+D1204+D1205+D1206</f>
        <v>16566207.735000001</v>
      </c>
      <c r="E1201"/>
      <c r="G1201" s="346" t="s">
        <v>434</v>
      </c>
      <c r="H1201" s="6">
        <v>9101</v>
      </c>
      <c r="J1201" s="350">
        <f>+VLOOKUP(H1201,contratos!A:R,5,0)</f>
        <v>45474</v>
      </c>
      <c r="K1201" s="266" t="str">
        <f>+VLOOKUP(H1201,contratos!A:R,12,0)</f>
        <v>OK</v>
      </c>
      <c r="L1201" s="341" t="str">
        <f>+VLOOKUP(H1201,contratos!A:R,13,0)</f>
        <v>VIGENTE</v>
      </c>
      <c r="M1201" s="341">
        <f>+VLOOKUP(H1201,contratos!A:R,15,0)</f>
        <v>0</v>
      </c>
      <c r="N1201" s="336">
        <f>+VLOOKUP(H1201,contratos!A:R,16,0)</f>
        <v>0</v>
      </c>
      <c r="O1201" s="341">
        <f>+VLOOKUP(B1201,PRORRATEO!A:M,8,0)</f>
        <v>14343037</v>
      </c>
      <c r="P1201" s="341">
        <f>+VLOOKUP(B1201,PRORRATEO!A:M,9,0)</f>
        <v>2725177.0300000003</v>
      </c>
      <c r="Q1201" s="341">
        <f>+VLOOKUP(B1201,PRORRATEO!A:M,10,0)</f>
        <v>196212.74616000001</v>
      </c>
      <c r="R1201" s="341">
        <f>+VLOOKUP(B1201,PRORRATEO!A:M,11,0)</f>
        <v>2528964.2838400002</v>
      </c>
      <c r="S1201" s="339">
        <f>+VLOOKUP(B1201,PRORRATEO!A:M,12,0)</f>
        <v>7.1999999999999995E-2</v>
      </c>
      <c r="T1201" s="339">
        <f>+VLOOKUP(B1201,PRORRATEO!A:M,13,0)</f>
        <v>0.92800000000000005</v>
      </c>
      <c r="U1201" t="s">
        <v>831</v>
      </c>
    </row>
    <row r="1202" spans="1:21" x14ac:dyDescent="0.35">
      <c r="B1202" s="263">
        <v>1245150017</v>
      </c>
      <c r="C1202" s="10" t="s">
        <v>77</v>
      </c>
      <c r="D1202" s="268">
        <f>+O1201</f>
        <v>14343037</v>
      </c>
      <c r="E1202" t="s">
        <v>97</v>
      </c>
      <c r="F1202" s="263">
        <v>40</v>
      </c>
      <c r="G1202" s="10" t="str">
        <f>+CONCATENATE(G7," RF ",G1201," ",H1201)</f>
        <v>"04-2026" RF T125 9101</v>
      </c>
      <c r="H1202" s="252"/>
      <c r="I1202" s="10">
        <f>+H1201</f>
        <v>9101</v>
      </c>
      <c r="J1202" s="350"/>
      <c r="K1202" s="335"/>
      <c r="N1202" s="336"/>
    </row>
    <row r="1203" spans="1:21" x14ac:dyDescent="0.35">
      <c r="B1203" s="263">
        <v>1149120011</v>
      </c>
      <c r="C1203" s="10" t="s">
        <v>96</v>
      </c>
      <c r="D1203" s="268">
        <f>+D1205*S1201</f>
        <v>196212.74616000001</v>
      </c>
      <c r="E1203" t="s">
        <v>98</v>
      </c>
      <c r="F1203" s="263">
        <v>40</v>
      </c>
      <c r="G1203" s="318" t="str">
        <f>+G1202</f>
        <v>"04-2026" RF T125 9101</v>
      </c>
      <c r="H1203" s="252"/>
      <c r="I1203" s="10">
        <f>+I1202</f>
        <v>9101</v>
      </c>
      <c r="J1203" s="350"/>
      <c r="K1203" s="335"/>
      <c r="N1203" s="336"/>
    </row>
    <row r="1204" spans="1:21" x14ac:dyDescent="0.35">
      <c r="B1204" s="263">
        <v>1149120011</v>
      </c>
      <c r="C1204" s="10" t="s">
        <v>96</v>
      </c>
      <c r="D1204" s="268">
        <f>-D1203</f>
        <v>-196212.74616000001</v>
      </c>
      <c r="E1204" t="s">
        <v>97</v>
      </c>
      <c r="F1204" s="263">
        <v>50</v>
      </c>
      <c r="G1204" s="318" t="str">
        <f>+G1203</f>
        <v>"04-2026" RF T125 9101</v>
      </c>
      <c r="H1204" s="252"/>
      <c r="I1204" s="10">
        <f>+I1203</f>
        <v>9101</v>
      </c>
      <c r="J1204" s="350"/>
      <c r="K1204" s="335"/>
      <c r="N1204" s="336"/>
    </row>
    <row r="1205" spans="1:21" x14ac:dyDescent="0.35">
      <c r="B1205" s="4">
        <v>1149120011</v>
      </c>
      <c r="C1205" s="10" t="s">
        <v>96</v>
      </c>
      <c r="D1205" s="298">
        <f>+D1202*0.19</f>
        <v>2725177.0300000003</v>
      </c>
      <c r="E1205" t="s">
        <v>97</v>
      </c>
      <c r="F1205">
        <v>40</v>
      </c>
      <c r="G1205" s="318" t="str">
        <f>+G1204</f>
        <v>"04-2026" RF T125 9101</v>
      </c>
      <c r="H1205" s="252"/>
      <c r="I1205" s="10">
        <f>+I1204</f>
        <v>9101</v>
      </c>
      <c r="J1205" s="350"/>
      <c r="K1205" s="335"/>
      <c r="N1205" s="336"/>
    </row>
    <row r="1206" spans="1:21" x14ac:dyDescent="0.35">
      <c r="B1206" s="4">
        <v>1246125027</v>
      </c>
      <c r="C1206" s="10" t="s">
        <v>962</v>
      </c>
      <c r="D1206" s="268">
        <f>-D1202*J1206</f>
        <v>-502006.29500000004</v>
      </c>
      <c r="E1206"/>
      <c r="F1206">
        <v>50</v>
      </c>
      <c r="G1206" s="318" t="str">
        <f>+G1205</f>
        <v>"04-2026" RF T125 9101</v>
      </c>
      <c r="H1206" s="252"/>
      <c r="I1206" s="251" t="s">
        <v>857</v>
      </c>
      <c r="J1206" s="351">
        <v>3.5000000000000003E-2</v>
      </c>
      <c r="N1206" s="336"/>
    </row>
    <row r="1207" spans="1:21" x14ac:dyDescent="0.35">
      <c r="C1207" s="251" t="s">
        <v>76</v>
      </c>
      <c r="D1207" s="265">
        <v>16016538</v>
      </c>
      <c r="E1207"/>
      <c r="G1207" s="318" t="str">
        <f>+G1206</f>
        <v>"04-2026" RF T125 9101</v>
      </c>
      <c r="H1207" s="252"/>
      <c r="J1207" s="350"/>
      <c r="K1207" s="335"/>
      <c r="N1207" s="336"/>
    </row>
    <row r="1208" spans="1:21" x14ac:dyDescent="0.35">
      <c r="A1208" s="130" t="s">
        <v>853</v>
      </c>
      <c r="B1208" s="6">
        <v>204532</v>
      </c>
      <c r="C1208" s="276" t="s">
        <v>975</v>
      </c>
      <c r="E1208"/>
      <c r="G1208" s="346" t="s">
        <v>1163</v>
      </c>
      <c r="H1208" s="6">
        <v>6554</v>
      </c>
      <c r="J1208" s="350">
        <f>+VLOOKUP(H1208,contratos!A:R,5,0)</f>
        <v>42309</v>
      </c>
      <c r="K1208" s="266" t="str">
        <f>+VLOOKUP(H1208,contratos!A:R,12,0)</f>
        <v>VENCIDO</v>
      </c>
      <c r="L1208" s="341" t="str">
        <f>+VLOOKUP(H1208,contratos!A:R,13,0)</f>
        <v>CESADO</v>
      </c>
      <c r="M1208" s="341">
        <f>+VLOOKUP(H1208,contratos!A:R,15,0)</f>
        <v>0</v>
      </c>
      <c r="N1208" s="336">
        <f>+VLOOKUP(H1208,contratos!A:R,16,0)</f>
        <v>0</v>
      </c>
      <c r="O1208" s="341">
        <f>+VLOOKUP(B1208,PRORRATEO!A:M,8,0)</f>
        <v>24000000</v>
      </c>
      <c r="P1208" s="341">
        <f>+VLOOKUP(B1208,PRORRATEO!A:M,9,0)</f>
        <v>4560000</v>
      </c>
      <c r="Q1208" s="341">
        <f>+VLOOKUP(B1208,PRORRATEO!A:M,10,0)</f>
        <v>173280</v>
      </c>
      <c r="R1208" s="341">
        <f>+VLOOKUP(B1208,PRORRATEO!A:M,11,0)</f>
        <v>4386720</v>
      </c>
      <c r="S1208" s="339">
        <f>+VLOOKUP(B1208,PRORRATEO!A:M,12,0)</f>
        <v>3.7999999999999999E-2</v>
      </c>
      <c r="T1208" s="339">
        <f>+VLOOKUP(B1208,PRORRATEO!A:M,13,0)</f>
        <v>0.96199999999999997</v>
      </c>
      <c r="U1208" t="s">
        <v>674</v>
      </c>
    </row>
    <row r="1209" spans="1:21" x14ac:dyDescent="0.35">
      <c r="B1209" s="263">
        <v>1245150017</v>
      </c>
      <c r="C1209" s="10" t="s">
        <v>77</v>
      </c>
      <c r="D1209" s="268">
        <v>18764549</v>
      </c>
      <c r="E1209" s="263" t="s">
        <v>97</v>
      </c>
      <c r="F1209">
        <v>40</v>
      </c>
      <c r="G1209" s="316" t="str">
        <f>+CONCATENATE($G$7," RF ",G1215," ",H1215)</f>
        <v>"04-2026" RF T04 6554</v>
      </c>
      <c r="H1209" s="252"/>
      <c r="I1209" s="10">
        <f>+H1208</f>
        <v>6554</v>
      </c>
      <c r="J1209" s="350"/>
      <c r="K1209" s="335"/>
      <c r="N1209" s="336"/>
    </row>
    <row r="1210" spans="1:21" x14ac:dyDescent="0.35">
      <c r="B1210" s="263">
        <v>1149120011</v>
      </c>
      <c r="C1210" s="10" t="s">
        <v>96</v>
      </c>
      <c r="D1210" s="268">
        <f>-D1211</f>
        <v>-713052.86199999996</v>
      </c>
      <c r="E1210" s="263" t="s">
        <v>97</v>
      </c>
      <c r="F1210">
        <v>50</v>
      </c>
      <c r="G1210" s="316" t="str">
        <f>+CONCATENATE($G$7," RF ",G1215," ",H1215)</f>
        <v>"04-2026" RF T04 6554</v>
      </c>
      <c r="H1210" s="252"/>
      <c r="I1210" s="10">
        <f>+I1209</f>
        <v>6554</v>
      </c>
      <c r="J1210" s="350"/>
      <c r="K1210" s="335"/>
      <c r="N1210" s="336"/>
    </row>
    <row r="1211" spans="1:21" x14ac:dyDescent="0.35">
      <c r="B1211" s="263">
        <v>1149120011</v>
      </c>
      <c r="C1211" s="10" t="s">
        <v>96</v>
      </c>
      <c r="D1211" s="268">
        <f>+D1209*S1208</f>
        <v>713052.86199999996</v>
      </c>
      <c r="E1211" s="263" t="s">
        <v>98</v>
      </c>
      <c r="F1211">
        <v>40</v>
      </c>
      <c r="G1211" s="316" t="str">
        <f>+CONCATENATE($G$7," RF ",G1215," ",H1215)</f>
        <v>"04-2026" RF T04 6554</v>
      </c>
      <c r="H1211" s="252"/>
      <c r="I1211" s="10">
        <f>+I1210</f>
        <v>6554</v>
      </c>
      <c r="J1211" s="357">
        <v>0.11692287649817613</v>
      </c>
      <c r="K1211" s="335"/>
      <c r="N1211" s="336"/>
    </row>
    <row r="1212" spans="1:21" x14ac:dyDescent="0.35">
      <c r="B1212" s="4">
        <v>1149120011</v>
      </c>
      <c r="C1212" s="10" t="s">
        <v>96</v>
      </c>
      <c r="D1212" s="268">
        <f>+D1209*0.19</f>
        <v>3565264.31</v>
      </c>
      <c r="E1212" t="s">
        <v>97</v>
      </c>
      <c r="F1212">
        <v>40</v>
      </c>
      <c r="G1212" s="318" t="str">
        <f>+G1211</f>
        <v>"04-2026" RF T04 6554</v>
      </c>
      <c r="H1212" s="252"/>
      <c r="I1212" s="10">
        <f>+I1211</f>
        <v>6554</v>
      </c>
      <c r="J1212" s="350"/>
      <c r="K1212" s="335"/>
      <c r="N1212" s="336"/>
    </row>
    <row r="1213" spans="1:21" x14ac:dyDescent="0.35">
      <c r="B1213" s="4">
        <v>1246125027</v>
      </c>
      <c r="C1213" s="10" t="s">
        <v>962</v>
      </c>
      <c r="D1213" s="268">
        <f>-D1209*J1213</f>
        <v>-656753.68560673029</v>
      </c>
      <c r="E1213"/>
      <c r="F1213">
        <v>50</v>
      </c>
      <c r="G1213" s="318" t="str">
        <f>+G1212</f>
        <v>"04-2026" RF T04 6554</v>
      </c>
      <c r="H1213" s="252"/>
      <c r="I1213" s="251" t="s">
        <v>857</v>
      </c>
      <c r="J1213" s="351">
        <v>3.4999705327675622E-2</v>
      </c>
      <c r="K1213" s="335"/>
      <c r="N1213" s="336"/>
    </row>
    <row r="1214" spans="1:21" x14ac:dyDescent="0.35">
      <c r="C1214" s="251" t="s">
        <v>76</v>
      </c>
      <c r="D1214" s="265">
        <f>SUBTOTAL(9,D1209:D1213)</f>
        <v>21673059.624393269</v>
      </c>
      <c r="E1214"/>
      <c r="G1214" s="318" t="str">
        <f>+G1213</f>
        <v>"04-2026" RF T04 6554</v>
      </c>
      <c r="H1214" s="252"/>
      <c r="J1214" s="350"/>
      <c r="K1214" s="335"/>
      <c r="N1214" s="336"/>
    </row>
    <row r="1215" spans="1:21" x14ac:dyDescent="0.35">
      <c r="A1215" s="130" t="s">
        <v>853</v>
      </c>
      <c r="B1215" s="262">
        <v>204532</v>
      </c>
      <c r="C1215" s="276" t="s">
        <v>975</v>
      </c>
      <c r="E1215"/>
      <c r="G1215" s="346" t="s">
        <v>1163</v>
      </c>
      <c r="H1215" s="6">
        <v>6554</v>
      </c>
      <c r="I1215" s="10" t="s">
        <v>857</v>
      </c>
      <c r="J1215" s="350">
        <f>+VLOOKUP(H1215,contratos!A:R,5,0)</f>
        <v>42309</v>
      </c>
      <c r="K1215" s="266" t="str">
        <f>+VLOOKUP(H1215,contratos!A:R,12,0)</f>
        <v>VENCIDO</v>
      </c>
      <c r="L1215" s="341" t="str">
        <f>+VLOOKUP(H1215,contratos!A:R,13,0)</f>
        <v>CESADO</v>
      </c>
      <c r="M1215" s="341">
        <f>+VLOOKUP(H1215,contratos!A:R,15,0)</f>
        <v>0</v>
      </c>
      <c r="N1215" s="336">
        <f>+VLOOKUP(H1215,contratos!A:R,16,0)</f>
        <v>0</v>
      </c>
      <c r="O1215" s="341">
        <f>+VLOOKUP(B1215,PRORRATEO!A:M,8,0)</f>
        <v>24000000</v>
      </c>
      <c r="P1215" s="341">
        <f>+VLOOKUP(B1215,PRORRATEO!A:M,9,0)</f>
        <v>4560000</v>
      </c>
      <c r="Q1215" s="341">
        <f>+VLOOKUP(B1215,PRORRATEO!A:M,10,0)</f>
        <v>173280</v>
      </c>
      <c r="R1215" s="341">
        <f>+VLOOKUP(B1215,PRORRATEO!A:M,11,0)</f>
        <v>4386720</v>
      </c>
      <c r="S1215" s="339">
        <f>+VLOOKUP(B1215,PRORRATEO!A:M,12,0)</f>
        <v>3.7999999999999999E-2</v>
      </c>
      <c r="T1215" s="339">
        <f>+VLOOKUP(B1215,PRORRATEO!A:M,13,0)</f>
        <v>0.96199999999999997</v>
      </c>
      <c r="U1215" t="s">
        <v>674</v>
      </c>
    </row>
    <row r="1216" spans="1:21" x14ac:dyDescent="0.35">
      <c r="B1216" s="263">
        <v>1245150017</v>
      </c>
      <c r="C1216" s="10" t="s">
        <v>77</v>
      </c>
      <c r="D1216" s="268">
        <v>7314994</v>
      </c>
      <c r="E1216" s="263" t="s">
        <v>97</v>
      </c>
      <c r="F1216">
        <v>40</v>
      </c>
      <c r="G1216" s="348" t="str">
        <f>+CONCATENATE($G$7," RF ",G1215," ",H1215)</f>
        <v>"04-2026" RF T04 6554</v>
      </c>
      <c r="H1216" s="252"/>
      <c r="I1216" s="10">
        <f>+H1215</f>
        <v>6554</v>
      </c>
      <c r="J1216" s="350"/>
      <c r="K1216" s="335"/>
      <c r="N1216" s="336"/>
    </row>
    <row r="1217" spans="1:21" x14ac:dyDescent="0.35">
      <c r="B1217" s="4">
        <v>1149120011</v>
      </c>
      <c r="C1217" s="10" t="s">
        <v>96</v>
      </c>
      <c r="D1217" s="268">
        <f>+D1216*0.19</f>
        <v>1389848.86</v>
      </c>
      <c r="E1217" t="s">
        <v>97</v>
      </c>
      <c r="F1217">
        <v>40</v>
      </c>
      <c r="G1217" s="318" t="str">
        <f>+CONCATENATE(G7," RF ",G1215," ",H1215)</f>
        <v>"04-2026" RF T04 6554</v>
      </c>
      <c r="H1217" s="252"/>
      <c r="I1217" s="10">
        <f>+I1216</f>
        <v>6554</v>
      </c>
      <c r="J1217" s="350"/>
      <c r="K1217" s="335"/>
      <c r="N1217" s="336"/>
    </row>
    <row r="1218" spans="1:21" x14ac:dyDescent="0.35">
      <c r="B1218" s="4">
        <v>1246125027</v>
      </c>
      <c r="C1218" s="10" t="s">
        <v>962</v>
      </c>
      <c r="D1218" s="268">
        <f>-D1216*J1219</f>
        <v>-256022.63447371521</v>
      </c>
      <c r="E1218"/>
      <c r="F1218">
        <v>50</v>
      </c>
      <c r="G1218" s="318" t="str">
        <f>+CONCATENATE(G7," RF ",G1215," ",H1215)</f>
        <v>"04-2026" RF T04 6554</v>
      </c>
      <c r="H1218" s="252"/>
      <c r="I1218" s="10">
        <f>+I1217</f>
        <v>6554</v>
      </c>
      <c r="J1218" s="10"/>
      <c r="K1218" s="335"/>
      <c r="N1218" s="336"/>
    </row>
    <row r="1219" spans="1:21" x14ac:dyDescent="0.35">
      <c r="C1219" s="251" t="s">
        <v>76</v>
      </c>
      <c r="D1219" s="332">
        <f>SUBTOTAL(9,D1216:D1218)</f>
        <v>8448820.2255262844</v>
      </c>
      <c r="E1219"/>
      <c r="G1219" s="318" t="str">
        <f>+G1218</f>
        <v>"04-2026" RF T04 6554</v>
      </c>
      <c r="H1219" s="252"/>
      <c r="I1219" s="387" t="s">
        <v>857</v>
      </c>
      <c r="J1219" s="351">
        <v>3.4999705327675622E-2</v>
      </c>
      <c r="K1219" s="335"/>
      <c r="N1219" s="336"/>
    </row>
    <row r="1220" spans="1:21" x14ac:dyDescent="0.35">
      <c r="A1220" s="130" t="s">
        <v>853</v>
      </c>
      <c r="B1220" s="262">
        <v>204532</v>
      </c>
      <c r="C1220" s="276" t="s">
        <v>975</v>
      </c>
      <c r="D1220" s="298"/>
      <c r="E1220"/>
      <c r="G1220" s="346" t="s">
        <v>1163</v>
      </c>
      <c r="H1220" s="6">
        <v>6554</v>
      </c>
      <c r="J1220" s="350">
        <f>+VLOOKUP(H1220,contratos!A:R,5,0)</f>
        <v>42309</v>
      </c>
      <c r="K1220" s="266" t="str">
        <f>+VLOOKUP(H1220,contratos!A:R,12,0)</f>
        <v>VENCIDO</v>
      </c>
      <c r="L1220" s="341" t="str">
        <f>+VLOOKUP(H1220,contratos!A:R,13,0)</f>
        <v>CESADO</v>
      </c>
      <c r="M1220" s="341">
        <f>+VLOOKUP(H1220,contratos!A:R,15,0)</f>
        <v>0</v>
      </c>
      <c r="N1220" s="336">
        <f>+VLOOKUP(H1220,contratos!A:R,16,0)</f>
        <v>0</v>
      </c>
      <c r="O1220" s="341">
        <f>+VLOOKUP(B1220,PRORRATEO!A:M,8,0)</f>
        <v>24000000</v>
      </c>
      <c r="P1220" s="341">
        <f>+VLOOKUP(B1220,PRORRATEO!A:M,9,0)</f>
        <v>4560000</v>
      </c>
      <c r="Q1220" s="341">
        <f>+VLOOKUP(B1220,PRORRATEO!A:M,10,0)</f>
        <v>173280</v>
      </c>
      <c r="R1220" s="341">
        <f>+VLOOKUP(B1220,PRORRATEO!A:M,11,0)</f>
        <v>4386720</v>
      </c>
      <c r="S1220" s="339">
        <f>+VLOOKUP(B1220,PRORRATEO!A:M,12,0)</f>
        <v>3.7999999999999999E-2</v>
      </c>
      <c r="T1220" s="339">
        <f>+VLOOKUP(B1220,PRORRATEO!A:M,13,0)</f>
        <v>0.96199999999999997</v>
      </c>
      <c r="U1220" t="s">
        <v>674</v>
      </c>
    </row>
    <row r="1221" spans="1:21" x14ac:dyDescent="0.35">
      <c r="B1221" s="263">
        <v>1245150017</v>
      </c>
      <c r="C1221" s="10" t="s">
        <v>77</v>
      </c>
      <c r="D1221" s="268">
        <v>1908259</v>
      </c>
      <c r="E1221" s="263" t="s">
        <v>97</v>
      </c>
      <c r="F1221">
        <v>40</v>
      </c>
      <c r="G1221" s="316" t="str">
        <f>+CONCATENATE($G$7," RF ",G1220," ",H1220)</f>
        <v>"04-2026" RF T04 6554</v>
      </c>
      <c r="H1221" s="252"/>
      <c r="I1221" s="10">
        <f>+H1220</f>
        <v>6554</v>
      </c>
      <c r="J1221" s="350"/>
      <c r="K1221" s="335"/>
      <c r="N1221" s="336"/>
    </row>
    <row r="1222" spans="1:21" x14ac:dyDescent="0.35">
      <c r="B1222" s="4">
        <v>1149120011</v>
      </c>
      <c r="C1222" s="10" t="s">
        <v>96</v>
      </c>
      <c r="D1222" s="268">
        <f>+D1221*0.19</f>
        <v>362569.21</v>
      </c>
      <c r="E1222" t="s">
        <v>97</v>
      </c>
      <c r="F1222">
        <v>40</v>
      </c>
      <c r="G1222" s="318" t="str">
        <f>+CONCATENATE($G$7," RF ",G1220," ",H1220)</f>
        <v>"04-2026" RF T04 6554</v>
      </c>
      <c r="H1222" s="252"/>
      <c r="I1222" s="10">
        <f>+I1221</f>
        <v>6554</v>
      </c>
      <c r="J1222" s="350"/>
      <c r="K1222" s="335"/>
      <c r="N1222" s="336"/>
    </row>
    <row r="1223" spans="1:21" x14ac:dyDescent="0.35">
      <c r="B1223" s="4">
        <v>1246125027</v>
      </c>
      <c r="C1223" s="10" t="s">
        <v>962</v>
      </c>
      <c r="D1223" s="268">
        <f>-D1221*J1223</f>
        <v>-66788.502688884953</v>
      </c>
      <c r="E1223"/>
      <c r="F1223">
        <v>50</v>
      </c>
      <c r="G1223" s="318" t="str">
        <f>+CONCATENATE($G$7," RF ",G1220," ",H1220)</f>
        <v>"04-2026" RF T04 6554</v>
      </c>
      <c r="H1223" s="252"/>
      <c r="I1223" s="251" t="s">
        <v>857</v>
      </c>
      <c r="J1223" s="351">
        <v>3.4999705327675622E-2</v>
      </c>
      <c r="K1223" s="335"/>
      <c r="N1223" s="336"/>
    </row>
    <row r="1224" spans="1:21" x14ac:dyDescent="0.35">
      <c r="C1224" s="251" t="s">
        <v>76</v>
      </c>
      <c r="D1224" s="265">
        <f>SUM(D1221:D1223)</f>
        <v>2204039.7073111152</v>
      </c>
      <c r="E1224"/>
      <c r="G1224" s="318" t="str">
        <f>+G1223</f>
        <v>"04-2026" RF T04 6554</v>
      </c>
      <c r="H1224" s="252"/>
      <c r="J1224" s="350"/>
      <c r="K1224" s="335"/>
      <c r="N1224" s="336"/>
    </row>
    <row r="1225" spans="1:21" x14ac:dyDescent="0.35">
      <c r="A1225" s="130" t="s">
        <v>853</v>
      </c>
      <c r="B1225" s="262">
        <v>204532</v>
      </c>
      <c r="C1225" s="276" t="s">
        <v>975</v>
      </c>
      <c r="E1225"/>
      <c r="G1225" s="346" t="s">
        <v>1163</v>
      </c>
      <c r="H1225" s="6">
        <v>6554</v>
      </c>
      <c r="I1225" s="10" t="s">
        <v>857</v>
      </c>
      <c r="J1225" s="350">
        <f>+VLOOKUP(H1225,contratos!A:R,5,0)</f>
        <v>42309</v>
      </c>
      <c r="K1225" s="266" t="str">
        <f>+VLOOKUP(H1225,contratos!A:R,12,0)</f>
        <v>VENCIDO</v>
      </c>
      <c r="L1225" s="341" t="str">
        <f>+VLOOKUP(H1225,contratos!A:R,13,0)</f>
        <v>CESADO</v>
      </c>
      <c r="M1225" s="341">
        <f>+VLOOKUP(H1225,contratos!A:R,15,0)</f>
        <v>0</v>
      </c>
      <c r="N1225" s="336">
        <f>+VLOOKUP(H1225,contratos!A:R,16,0)</f>
        <v>0</v>
      </c>
      <c r="O1225" s="341">
        <f>+VLOOKUP(B1225,PRORRATEO!A:M,8,0)</f>
        <v>24000000</v>
      </c>
      <c r="P1225" s="341">
        <f>+VLOOKUP(B1225,PRORRATEO!A:M,9,0)</f>
        <v>4560000</v>
      </c>
      <c r="Q1225" s="341">
        <f>+VLOOKUP(B1225,PRORRATEO!A:M,10,0)</f>
        <v>173280</v>
      </c>
      <c r="R1225" s="341">
        <f>+VLOOKUP(B1225,PRORRATEO!A:M,11,0)</f>
        <v>4386720</v>
      </c>
      <c r="S1225" s="339">
        <f>+VLOOKUP(B1225,PRORRATEO!A:M,12,0)</f>
        <v>3.7999999999999999E-2</v>
      </c>
      <c r="T1225" s="339">
        <f>+VLOOKUP(B1225,PRORRATEO!A:M,13,0)</f>
        <v>0.96199999999999997</v>
      </c>
      <c r="U1225" t="s">
        <v>674</v>
      </c>
    </row>
    <row r="1226" spans="1:21" x14ac:dyDescent="0.35">
      <c r="B1226" s="4">
        <v>1245150017</v>
      </c>
      <c r="C1226" s="10" t="s">
        <v>77</v>
      </c>
      <c r="D1226" s="268">
        <v>1628928</v>
      </c>
      <c r="E1226" t="s">
        <v>97</v>
      </c>
      <c r="F1226">
        <v>40</v>
      </c>
      <c r="G1226" s="316" t="str">
        <f>+CONCATENATE($G$7," RF ",G1225," ",H1225)</f>
        <v>"04-2026" RF T04 6554</v>
      </c>
      <c r="H1226" s="252"/>
      <c r="I1226" s="10">
        <f>+H1225</f>
        <v>6554</v>
      </c>
      <c r="J1226" s="350"/>
      <c r="K1226" s="335"/>
      <c r="N1226" s="336"/>
    </row>
    <row r="1227" spans="1:21" x14ac:dyDescent="0.35">
      <c r="B1227" s="4">
        <v>1149120011</v>
      </c>
      <c r="C1227" s="10" t="s">
        <v>96</v>
      </c>
      <c r="D1227" s="298">
        <v>309496</v>
      </c>
      <c r="E1227" t="s">
        <v>97</v>
      </c>
      <c r="F1227">
        <v>40</v>
      </c>
      <c r="G1227" s="318" t="str">
        <f>+CONCATENATE($G$7," RF ",G1220," ",H1220)</f>
        <v>"04-2026" RF T04 6554</v>
      </c>
      <c r="H1227" s="252"/>
      <c r="I1227" s="10">
        <f>+I1226</f>
        <v>6554</v>
      </c>
      <c r="J1227" s="350"/>
      <c r="K1227" s="335"/>
      <c r="N1227" s="336"/>
    </row>
    <row r="1228" spans="1:21" x14ac:dyDescent="0.35">
      <c r="B1228" s="4">
        <v>1246125027</v>
      </c>
      <c r="C1228" s="10" t="s">
        <v>962</v>
      </c>
      <c r="D1228" s="268">
        <v>-57012</v>
      </c>
      <c r="E1228"/>
      <c r="F1228">
        <v>50</v>
      </c>
      <c r="G1228" s="318" t="str">
        <f>+CONCATENATE($G$7," RF ",G1220," ",H1220)</f>
        <v>"04-2026" RF T04 6554</v>
      </c>
      <c r="H1228" s="252"/>
      <c r="I1228" s="10">
        <f>+I1227</f>
        <v>6554</v>
      </c>
      <c r="J1228" s="350"/>
      <c r="K1228" s="335"/>
      <c r="N1228" s="336"/>
    </row>
    <row r="1229" spans="1:21" x14ac:dyDescent="0.35">
      <c r="C1229" s="251" t="s">
        <v>76</v>
      </c>
      <c r="D1229" s="265">
        <v>1881412</v>
      </c>
      <c r="E1229"/>
      <c r="G1229" s="318" t="str">
        <f>+G1228</f>
        <v>"04-2026" RF T04 6554</v>
      </c>
      <c r="H1229" s="252"/>
      <c r="I1229" s="10">
        <f>+I1228</f>
        <v>6554</v>
      </c>
      <c r="J1229" s="350"/>
      <c r="K1229" s="335"/>
      <c r="N1229" s="336"/>
    </row>
    <row r="1230" spans="1:21" x14ac:dyDescent="0.35">
      <c r="A1230" s="130" t="s">
        <v>853</v>
      </c>
      <c r="B1230" s="262">
        <v>204532</v>
      </c>
      <c r="C1230" s="276" t="s">
        <v>975</v>
      </c>
      <c r="D1230" s="298"/>
      <c r="E1230"/>
      <c r="G1230" s="346" t="s">
        <v>1163</v>
      </c>
      <c r="H1230" s="6">
        <v>6554</v>
      </c>
      <c r="I1230" s="10" t="s">
        <v>857</v>
      </c>
      <c r="J1230" s="350">
        <f>+VLOOKUP(H1230,contratos!A:R,5,0)</f>
        <v>42309</v>
      </c>
      <c r="K1230" s="266" t="str">
        <f>+VLOOKUP(H1230,contratos!A:R,12,0)</f>
        <v>VENCIDO</v>
      </c>
      <c r="L1230" s="341" t="str">
        <f>+VLOOKUP(H1230,contratos!A:R,13,0)</f>
        <v>CESADO</v>
      </c>
      <c r="M1230" s="341">
        <f>+VLOOKUP(H1230,contratos!A:R,15,0)</f>
        <v>0</v>
      </c>
      <c r="N1230" s="336">
        <f>+VLOOKUP(H1230,contratos!A:R,16,0)</f>
        <v>0</v>
      </c>
      <c r="O1230" s="341">
        <f>+VLOOKUP(B1230,PRORRATEO!A:M,8,0)</f>
        <v>24000000</v>
      </c>
      <c r="P1230" s="341">
        <f>+VLOOKUP(B1230,PRORRATEO!A:M,9,0)</f>
        <v>4560000</v>
      </c>
      <c r="Q1230" s="341">
        <f>+VLOOKUP(B1230,PRORRATEO!A:M,10,0)</f>
        <v>173280</v>
      </c>
      <c r="R1230" s="341">
        <f>+VLOOKUP(B1230,PRORRATEO!A:M,11,0)</f>
        <v>4386720</v>
      </c>
      <c r="S1230" s="339">
        <f>+VLOOKUP(B1230,PRORRATEO!A:M,12,0)</f>
        <v>3.7999999999999999E-2</v>
      </c>
      <c r="T1230" s="339">
        <f>+VLOOKUP(B1230,PRORRATEO!A:M,13,0)</f>
        <v>0.96199999999999997</v>
      </c>
      <c r="U1230" t="s">
        <v>674</v>
      </c>
    </row>
    <row r="1231" spans="1:21" x14ac:dyDescent="0.35">
      <c r="B1231" s="4">
        <v>1245150017</v>
      </c>
      <c r="C1231" s="10" t="s">
        <v>77</v>
      </c>
      <c r="D1231" s="268">
        <v>1628928</v>
      </c>
      <c r="E1231" t="s">
        <v>97</v>
      </c>
      <c r="F1231">
        <v>40</v>
      </c>
      <c r="G1231" s="316" t="str">
        <f>+CONCATENATE($G$7," RF ",G1230," ",H1230)</f>
        <v>"04-2026" RF T04 6554</v>
      </c>
      <c r="H1231" s="252"/>
      <c r="I1231" s="10">
        <f>+H1230</f>
        <v>6554</v>
      </c>
      <c r="J1231" s="350"/>
      <c r="K1231" s="335"/>
      <c r="N1231" s="336"/>
    </row>
    <row r="1232" spans="1:21" x14ac:dyDescent="0.35">
      <c r="B1232" s="4">
        <v>1149120011</v>
      </c>
      <c r="C1232" s="10" t="s">
        <v>96</v>
      </c>
      <c r="D1232" s="268">
        <v>309496</v>
      </c>
      <c r="E1232" t="s">
        <v>97</v>
      </c>
      <c r="F1232">
        <v>40</v>
      </c>
      <c r="G1232" s="318" t="str">
        <f>+CONCATENATE($G$7," RF ",G1220," ",H1220)</f>
        <v>"04-2026" RF T04 6554</v>
      </c>
      <c r="H1232" s="252"/>
      <c r="I1232" s="10">
        <f>+I1231</f>
        <v>6554</v>
      </c>
      <c r="J1232" s="350"/>
      <c r="K1232" s="335"/>
      <c r="N1232" s="336"/>
    </row>
    <row r="1233" spans="1:21" x14ac:dyDescent="0.35">
      <c r="B1233" s="4">
        <v>1246125027</v>
      </c>
      <c r="C1233" s="10" t="s">
        <v>962</v>
      </c>
      <c r="D1233" s="268">
        <v>-57012</v>
      </c>
      <c r="E1233"/>
      <c r="F1233">
        <v>50</v>
      </c>
      <c r="G1233" s="318" t="str">
        <f>+CONCATENATE($G$7," RF ",G1220," ",H1220)</f>
        <v>"04-2026" RF T04 6554</v>
      </c>
      <c r="H1233" s="252"/>
      <c r="I1233" s="10">
        <f>+I1232</f>
        <v>6554</v>
      </c>
      <c r="J1233" s="387" t="str">
        <f>+I1230</f>
        <v>A2</v>
      </c>
      <c r="K1233" s="335"/>
      <c r="N1233" s="336"/>
    </row>
    <row r="1234" spans="1:21" x14ac:dyDescent="0.35">
      <c r="C1234" s="251" t="s">
        <v>76</v>
      </c>
      <c r="D1234" s="265">
        <v>1881412</v>
      </c>
      <c r="E1234"/>
      <c r="G1234" s="318" t="str">
        <f>+G1233</f>
        <v>"04-2026" RF T04 6554</v>
      </c>
      <c r="H1234" s="252"/>
      <c r="I1234" s="10">
        <f>+I1233</f>
        <v>6554</v>
      </c>
      <c r="J1234" s="350"/>
      <c r="K1234" s="335"/>
      <c r="N1234" s="336"/>
    </row>
    <row r="1235" spans="1:21" x14ac:dyDescent="0.35">
      <c r="A1235" s="130" t="s">
        <v>853</v>
      </c>
      <c r="B1235" s="262">
        <v>204532</v>
      </c>
      <c r="C1235" s="276" t="s">
        <v>975</v>
      </c>
      <c r="E1235"/>
      <c r="G1235" s="346" t="s">
        <v>1163</v>
      </c>
      <c r="H1235" s="6">
        <v>6554</v>
      </c>
      <c r="I1235" s="10" t="s">
        <v>857</v>
      </c>
      <c r="J1235" s="350">
        <f>+VLOOKUP(H1235,contratos!A:R,5,0)</f>
        <v>42309</v>
      </c>
      <c r="K1235" s="266" t="str">
        <f>+VLOOKUP(H1235,contratos!A:R,12,0)</f>
        <v>VENCIDO</v>
      </c>
      <c r="L1235" s="341" t="str">
        <f>+VLOOKUP(H1235,contratos!A:R,13,0)</f>
        <v>CESADO</v>
      </c>
      <c r="M1235" s="341">
        <f>+VLOOKUP(H1235,contratos!A:R,15,0)</f>
        <v>0</v>
      </c>
      <c r="N1235" s="336">
        <f>+VLOOKUP(H1235,contratos!A:R,16,0)</f>
        <v>0</v>
      </c>
      <c r="O1235" s="341">
        <f>+VLOOKUP(B1235,PRORRATEO!A:M,8,0)</f>
        <v>24000000</v>
      </c>
      <c r="P1235" s="341">
        <f>+VLOOKUP(B1235,PRORRATEO!A:M,9,0)</f>
        <v>4560000</v>
      </c>
      <c r="Q1235" s="341">
        <f>+VLOOKUP(B1235,PRORRATEO!A:M,10,0)</f>
        <v>173280</v>
      </c>
      <c r="R1235" s="341">
        <f>+VLOOKUP(B1235,PRORRATEO!A:M,11,0)</f>
        <v>4386720</v>
      </c>
      <c r="S1235" s="339">
        <f>+VLOOKUP(B1235,PRORRATEO!A:M,12,0)</f>
        <v>3.7999999999999999E-2</v>
      </c>
      <c r="T1235" s="339">
        <f>+VLOOKUP(B1235,PRORRATEO!A:M,13,0)</f>
        <v>0.96199999999999997</v>
      </c>
      <c r="U1235" t="s">
        <v>674</v>
      </c>
    </row>
    <row r="1236" spans="1:21" x14ac:dyDescent="0.35">
      <c r="B1236" s="263">
        <v>1245150017</v>
      </c>
      <c r="C1236" s="10" t="s">
        <v>77</v>
      </c>
      <c r="D1236" s="268">
        <v>7862075</v>
      </c>
      <c r="E1236" s="263" t="s">
        <v>97</v>
      </c>
      <c r="F1236">
        <v>40</v>
      </c>
      <c r="G1236" s="348" t="str">
        <f>+CONCATENATE($G$7," RF ",G1235," ",H1235)</f>
        <v>"04-2026" RF T04 6554</v>
      </c>
      <c r="H1236" s="252"/>
      <c r="I1236" s="10">
        <f>+H1235</f>
        <v>6554</v>
      </c>
      <c r="J1236" s="350"/>
      <c r="K1236" s="335"/>
      <c r="N1236" s="336"/>
    </row>
    <row r="1237" spans="1:21" x14ac:dyDescent="0.35">
      <c r="B1237" s="4">
        <v>1149120011</v>
      </c>
      <c r="C1237" s="10" t="s">
        <v>96</v>
      </c>
      <c r="D1237" s="268">
        <f>+D1236*0.19</f>
        <v>1493794.25</v>
      </c>
      <c r="E1237" t="s">
        <v>97</v>
      </c>
      <c r="F1237">
        <v>40</v>
      </c>
      <c r="G1237" s="318" t="str">
        <f>+CONCATENATE($G$7," RF ",G1220," ",H1220)</f>
        <v>"04-2026" RF T04 6554</v>
      </c>
      <c r="H1237" s="252"/>
      <c r="I1237" s="10">
        <f>+I1236</f>
        <v>6554</v>
      </c>
      <c r="J1237" s="350"/>
      <c r="K1237" s="335"/>
      <c r="N1237" s="336"/>
    </row>
    <row r="1238" spans="1:21" x14ac:dyDescent="0.35">
      <c r="B1238" s="4">
        <v>1246125027</v>
      </c>
      <c r="C1238" s="10" t="s">
        <v>962</v>
      </c>
      <c r="D1238" s="298">
        <f>-D1236*J1238</f>
        <v>-275170.30826408532</v>
      </c>
      <c r="E1238"/>
      <c r="F1238">
        <v>50</v>
      </c>
      <c r="G1238" s="318" t="str">
        <f>+CONCATENATE($G$7," RF ",G1220," ",H1220)</f>
        <v>"04-2026" RF T04 6554</v>
      </c>
      <c r="H1238" s="252"/>
      <c r="I1238" s="251" t="s">
        <v>857</v>
      </c>
      <c r="J1238" s="351">
        <v>3.4999705327675622E-2</v>
      </c>
      <c r="K1238" s="335"/>
      <c r="N1238" s="336"/>
    </row>
    <row r="1239" spans="1:21" x14ac:dyDescent="0.35">
      <c r="C1239" s="251" t="s">
        <v>76</v>
      </c>
      <c r="D1239" s="265">
        <f>SUBTOTAL(9,D1236:D1238)</f>
        <v>9080698.941735914</v>
      </c>
      <c r="E1239"/>
      <c r="G1239" s="318" t="str">
        <f>+G1238</f>
        <v>"04-2026" RF T04 6554</v>
      </c>
      <c r="H1239" s="252"/>
      <c r="J1239" s="350"/>
      <c r="K1239" s="335"/>
      <c r="N1239" s="336"/>
    </row>
    <row r="1240" spans="1:21" x14ac:dyDescent="0.35">
      <c r="A1240" s="130" t="s">
        <v>853</v>
      </c>
      <c r="B1240" s="262">
        <v>204532</v>
      </c>
      <c r="C1240" s="276" t="s">
        <v>975</v>
      </c>
      <c r="E1240"/>
      <c r="G1240" s="346" t="s">
        <v>447</v>
      </c>
      <c r="H1240" s="6">
        <v>8974</v>
      </c>
      <c r="I1240" s="10" t="s">
        <v>857</v>
      </c>
      <c r="J1240" s="350">
        <f>+VLOOKUP(H1240,contratos!A:R,5,0)</f>
        <v>42979</v>
      </c>
      <c r="K1240" s="266" t="str">
        <f>+VLOOKUP(H1240,contratos!A:R,12,0)</f>
        <v>VENCIDO</v>
      </c>
      <c r="L1240" s="341" t="str">
        <f>+VLOOKUP(H1240,contratos!A:R,13,0)</f>
        <v>CESADO</v>
      </c>
      <c r="M1240" s="341">
        <f>+VLOOKUP(H1240,contratos!A:R,15,0)</f>
        <v>0</v>
      </c>
      <c r="N1240" s="336">
        <f>+VLOOKUP(H1240,contratos!A:R,16,0)</f>
        <v>0</v>
      </c>
      <c r="O1240" s="341">
        <f>+VLOOKUP(B1240,PRORRATEO!A:M,8,0)</f>
        <v>24000000</v>
      </c>
      <c r="P1240" s="341">
        <f>+VLOOKUP(B1240,PRORRATEO!A:M,9,0)</f>
        <v>4560000</v>
      </c>
      <c r="Q1240" s="341">
        <f>+VLOOKUP(B1240,PRORRATEO!A:M,10,0)</f>
        <v>173280</v>
      </c>
      <c r="R1240" s="341">
        <f>+VLOOKUP(B1240,PRORRATEO!A:M,11,0)</f>
        <v>4386720</v>
      </c>
      <c r="S1240" s="339">
        <f>+VLOOKUP(B1240,PRORRATEO!A:M,12,0)</f>
        <v>3.7999999999999999E-2</v>
      </c>
      <c r="T1240" s="339">
        <f>+VLOOKUP(B1240,PRORRATEO!A:M,13,0)</f>
        <v>0.96199999999999997</v>
      </c>
      <c r="U1240" t="s">
        <v>674</v>
      </c>
    </row>
    <row r="1241" spans="1:21" x14ac:dyDescent="0.35">
      <c r="B1241" s="263">
        <v>1245150017</v>
      </c>
      <c r="C1241" s="10" t="s">
        <v>77</v>
      </c>
      <c r="D1241" s="268">
        <v>3071586</v>
      </c>
      <c r="E1241" s="263" t="s">
        <v>80</v>
      </c>
      <c r="F1241">
        <v>40</v>
      </c>
      <c r="G1241" s="316" t="str">
        <f>+CONCATENATE($G$7," GC/RF ",G1240," ",H1240)</f>
        <v>"04-2026" GC/RF T129 8974</v>
      </c>
      <c r="H1241" s="252"/>
      <c r="I1241" s="10">
        <f>+H1240</f>
        <v>8974</v>
      </c>
      <c r="J1241" s="350"/>
      <c r="K1241" s="335"/>
      <c r="N1241" s="336"/>
    </row>
    <row r="1242" spans="1:21" x14ac:dyDescent="0.35">
      <c r="B1242" s="263">
        <v>1245150017</v>
      </c>
      <c r="C1242" s="10" t="s">
        <v>77</v>
      </c>
      <c r="D1242" s="268">
        <f>18581188+966222</f>
        <v>19547410</v>
      </c>
      <c r="E1242" s="263" t="s">
        <v>97</v>
      </c>
      <c r="F1242">
        <v>40</v>
      </c>
      <c r="G1242" s="318" t="str">
        <f t="shared" ref="G1242:G1247" si="64">+G1241</f>
        <v>"04-2026" GC/RF T129 8974</v>
      </c>
      <c r="H1242" s="252"/>
      <c r="I1242" s="10">
        <f t="shared" ref="I1242:I1247" si="65">+I1241</f>
        <v>8974</v>
      </c>
      <c r="J1242" s="350"/>
      <c r="K1242" s="335"/>
      <c r="N1242" s="336"/>
    </row>
    <row r="1243" spans="1:21" x14ac:dyDescent="0.35">
      <c r="B1243" s="263">
        <v>1149120011</v>
      </c>
      <c r="C1243" s="10" t="s">
        <v>96</v>
      </c>
      <c r="D1243" s="268">
        <f>+D1245*S1240</f>
        <v>141132.3002</v>
      </c>
      <c r="E1243" s="263" t="s">
        <v>97</v>
      </c>
      <c r="F1243">
        <v>50</v>
      </c>
      <c r="G1243" s="318" t="str">
        <f t="shared" si="64"/>
        <v>"04-2026" GC/RF T129 8974</v>
      </c>
      <c r="H1243" s="252"/>
      <c r="I1243" s="10">
        <f t="shared" si="65"/>
        <v>8974</v>
      </c>
      <c r="J1243" s="350"/>
      <c r="K1243" s="335"/>
      <c r="N1243" s="336"/>
    </row>
    <row r="1244" spans="1:21" x14ac:dyDescent="0.35">
      <c r="B1244" s="263">
        <v>1149120011</v>
      </c>
      <c r="C1244" s="10" t="s">
        <v>96</v>
      </c>
      <c r="D1244" s="268">
        <f>+D1243</f>
        <v>141132.3002</v>
      </c>
      <c r="E1244" s="263" t="s">
        <v>98</v>
      </c>
      <c r="F1244">
        <v>40</v>
      </c>
      <c r="G1244" s="318" t="str">
        <f t="shared" si="64"/>
        <v>"04-2026" GC/RF T129 8974</v>
      </c>
      <c r="H1244" s="252"/>
      <c r="I1244" s="10">
        <f t="shared" si="65"/>
        <v>8974</v>
      </c>
      <c r="J1244" s="350"/>
      <c r="K1244" s="335"/>
      <c r="N1244" s="336"/>
    </row>
    <row r="1245" spans="1:21" x14ac:dyDescent="0.35">
      <c r="B1245" s="4">
        <v>1149120011</v>
      </c>
      <c r="C1245" s="10" t="s">
        <v>96</v>
      </c>
      <c r="D1245" s="298">
        <f>+D1242*0.19</f>
        <v>3714007.9</v>
      </c>
      <c r="E1245" t="s">
        <v>97</v>
      </c>
      <c r="F1245">
        <v>40</v>
      </c>
      <c r="G1245" s="318" t="str">
        <f t="shared" si="64"/>
        <v>"04-2026" GC/RF T129 8974</v>
      </c>
      <c r="H1245" s="252"/>
      <c r="I1245" s="10">
        <f t="shared" si="65"/>
        <v>8974</v>
      </c>
      <c r="J1245" s="350"/>
      <c r="K1245" s="335"/>
      <c r="N1245" s="336"/>
    </row>
    <row r="1246" spans="1:21" x14ac:dyDescent="0.35">
      <c r="B1246" s="4">
        <v>1246125027</v>
      </c>
      <c r="C1246" s="10" t="s">
        <v>962</v>
      </c>
      <c r="D1246" s="268">
        <f>-D1242*K1246</f>
        <v>-684159.35000000009</v>
      </c>
      <c r="E1246"/>
      <c r="F1246">
        <v>50</v>
      </c>
      <c r="G1246" s="318" t="str">
        <f t="shared" si="64"/>
        <v>"04-2026" GC/RF T129 8974</v>
      </c>
      <c r="H1246" s="252"/>
      <c r="I1246" s="10">
        <f t="shared" si="65"/>
        <v>8974</v>
      </c>
      <c r="J1246" s="387" t="s">
        <v>857</v>
      </c>
      <c r="K1246" s="424">
        <v>3.5000000000000003E-2</v>
      </c>
      <c r="N1246" s="336"/>
    </row>
    <row r="1247" spans="1:21" x14ac:dyDescent="0.35">
      <c r="C1247" s="251" t="s">
        <v>76</v>
      </c>
      <c r="D1247" s="265">
        <f>+D1242+D1241+D1245+D1246+D1243-D1244</f>
        <v>25648844.549999997</v>
      </c>
      <c r="E1247"/>
      <c r="G1247" s="318" t="str">
        <f t="shared" si="64"/>
        <v>"04-2026" GC/RF T129 8974</v>
      </c>
      <c r="H1247" s="252"/>
      <c r="I1247" s="10">
        <f t="shared" si="65"/>
        <v>8974</v>
      </c>
      <c r="J1247" s="350"/>
      <c r="K1247" s="335"/>
      <c r="N1247" s="336"/>
    </row>
    <row r="1248" spans="1:21" x14ac:dyDescent="0.35">
      <c r="A1248" s="130" t="s">
        <v>853</v>
      </c>
      <c r="B1248" s="262">
        <v>231460</v>
      </c>
      <c r="C1248" s="276" t="s">
        <v>1070</v>
      </c>
      <c r="E1248"/>
      <c r="G1248" s="346" t="s">
        <v>423</v>
      </c>
      <c r="H1248" s="6">
        <v>9072</v>
      </c>
      <c r="I1248" s="10" t="s">
        <v>865</v>
      </c>
      <c r="J1248" s="350">
        <f>+VLOOKUP(H1248,contratos!A:R,5,0)</f>
        <v>45458</v>
      </c>
      <c r="K1248" s="266" t="str">
        <f>+VLOOKUP(H1248,contratos!A:R,12,0)</f>
        <v>OK</v>
      </c>
      <c r="L1248" s="341" t="str">
        <f>+VLOOKUP(H1248,contratos!A:R,13,0)</f>
        <v>VIGENTE</v>
      </c>
      <c r="M1248" s="341">
        <f>+VLOOKUP(H1248,contratos!A:R,15,0)</f>
        <v>0</v>
      </c>
      <c r="N1248" s="336">
        <f>+VLOOKUP(H1248,contratos!A:R,16,0)</f>
        <v>0</v>
      </c>
      <c r="O1248" s="341">
        <f>+VLOOKUP(B1248,PRORRATEO!A:M,8,0)</f>
        <v>15417759</v>
      </c>
      <c r="P1248" s="341">
        <f>+VLOOKUP(B1248,PRORRATEO!A:M,9,0)</f>
        <v>2929374.21</v>
      </c>
      <c r="Q1248" s="341">
        <f>+VLOOKUP(B1248,PRORRATEO!A:M,10,0)</f>
        <v>137680.58786999999</v>
      </c>
      <c r="R1248" s="341">
        <f>+VLOOKUP(B1248,PRORRATEO!A:M,11,0)</f>
        <v>2791693.62213</v>
      </c>
      <c r="S1248" s="339">
        <f>+VLOOKUP(B1248,PRORRATEO!A:M,12,0)</f>
        <v>4.7E-2</v>
      </c>
      <c r="T1248" s="339">
        <f>+VLOOKUP(B1248,PRORRATEO!A:M,13,0)</f>
        <v>0.95299999999999996</v>
      </c>
      <c r="U1248" t="s">
        <v>69</v>
      </c>
    </row>
    <row r="1249" spans="1:21" x14ac:dyDescent="0.35">
      <c r="B1249" s="263">
        <v>1245150017</v>
      </c>
      <c r="C1249" s="10" t="s">
        <v>77</v>
      </c>
      <c r="D1249" s="268">
        <f>+O1248</f>
        <v>15417759</v>
      </c>
      <c r="E1249" s="263" t="s">
        <v>97</v>
      </c>
      <c r="F1249">
        <v>40</v>
      </c>
      <c r="G1249" s="316" t="str">
        <f>+CONCATENATE(G7," RF ",G1248," ",H1248)</f>
        <v>"04-2026" RF T122 9072</v>
      </c>
      <c r="H1249" s="252"/>
      <c r="I1249" s="10">
        <f>+H1248</f>
        <v>9072</v>
      </c>
      <c r="J1249" s="350"/>
      <c r="K1249" s="335"/>
      <c r="N1249" s="336"/>
    </row>
    <row r="1250" spans="1:21" x14ac:dyDescent="0.35">
      <c r="B1250" s="263">
        <v>1149120011</v>
      </c>
      <c r="C1250" s="10" t="s">
        <v>96</v>
      </c>
      <c r="D1250" s="268">
        <f>+D1252*S1248</f>
        <v>137680.58786999999</v>
      </c>
      <c r="E1250" s="263" t="s">
        <v>98</v>
      </c>
      <c r="F1250">
        <v>40</v>
      </c>
      <c r="G1250" s="318" t="str">
        <f>+CONCATENATE(G7," RF ",G1248," ",H1248)</f>
        <v>"04-2026" RF T122 9072</v>
      </c>
      <c r="H1250" s="252"/>
      <c r="I1250" s="10">
        <f>+I1249</f>
        <v>9072</v>
      </c>
      <c r="J1250" s="350"/>
      <c r="K1250" s="335"/>
      <c r="N1250" s="336"/>
    </row>
    <row r="1251" spans="1:21" x14ac:dyDescent="0.35">
      <c r="B1251" s="263">
        <v>1149120011</v>
      </c>
      <c r="C1251" s="10" t="s">
        <v>96</v>
      </c>
      <c r="D1251" s="268">
        <f>+D1250</f>
        <v>137680.58786999999</v>
      </c>
      <c r="E1251" s="263" t="s">
        <v>97</v>
      </c>
      <c r="F1251">
        <v>50</v>
      </c>
      <c r="G1251" s="318" t="str">
        <f>+CONCATENATE(G7," RF ",G1248," ",H1248)</f>
        <v>"04-2026" RF T122 9072</v>
      </c>
      <c r="H1251" s="252"/>
      <c r="I1251" s="10">
        <f>+I1250</f>
        <v>9072</v>
      </c>
      <c r="J1251" s="350"/>
      <c r="K1251" s="335"/>
      <c r="N1251" s="336"/>
    </row>
    <row r="1252" spans="1:21" x14ac:dyDescent="0.35">
      <c r="B1252" s="4">
        <v>1149120011</v>
      </c>
      <c r="C1252" s="10" t="s">
        <v>96</v>
      </c>
      <c r="D1252" s="268">
        <f>+D1249*0.19</f>
        <v>2929374.21</v>
      </c>
      <c r="E1252" t="s">
        <v>97</v>
      </c>
      <c r="F1252">
        <v>40</v>
      </c>
      <c r="G1252" s="318" t="str">
        <f>+CONCATENATE(G7," RF ",G1248," ",H1248)</f>
        <v>"04-2026" RF T122 9072</v>
      </c>
      <c r="H1252" s="252"/>
      <c r="I1252" s="10">
        <f>+I1251</f>
        <v>9072</v>
      </c>
      <c r="J1252" s="350"/>
      <c r="K1252" s="335"/>
      <c r="N1252" s="336"/>
    </row>
    <row r="1253" spans="1:21" x14ac:dyDescent="0.35">
      <c r="C1253" s="251" t="s">
        <v>76</v>
      </c>
      <c r="D1253" s="332">
        <f>+D1249+D1250-D1251+D1252</f>
        <v>18347133.210000001</v>
      </c>
      <c r="E1253"/>
      <c r="G1253" s="318" t="str">
        <f>+G1252</f>
        <v>"04-2026" RF T122 9072</v>
      </c>
      <c r="H1253" s="252"/>
      <c r="J1253" s="350"/>
      <c r="K1253" s="335"/>
      <c r="N1253" s="336"/>
    </row>
    <row r="1254" spans="1:21" x14ac:dyDescent="0.35">
      <c r="A1254" s="130" t="s">
        <v>853</v>
      </c>
      <c r="B1254" s="262">
        <v>231456</v>
      </c>
      <c r="C1254" s="276" t="s">
        <v>1070</v>
      </c>
      <c r="E1254"/>
      <c r="G1254" s="346" t="s">
        <v>383</v>
      </c>
      <c r="H1254" s="6">
        <v>9072</v>
      </c>
      <c r="I1254" s="10" t="s">
        <v>865</v>
      </c>
      <c r="J1254" s="350" t="e" cm="1">
        <f t="array" aca="1" ref="J1254" ca="1">INDEX(_xlfn._xlws.FILTER(contratos!A:T, contratos!A:A = TODOS!H1254), 2, 6)</f>
        <v>#NAME?</v>
      </c>
      <c r="K1254" s="266" t="e" cm="1">
        <f t="array" aca="1" ref="K1254" ca="1">INDEX(_xlfn._xlws.FILTER(contratos!A:T, contratos!A:A = TODOS!H1254), 2, 13)</f>
        <v>#NAME?</v>
      </c>
      <c r="L1254" s="341" t="e" cm="1">
        <f t="array" aca="1" ref="L1254" ca="1">INDEX(_xlfn._xlws.FILTER(contratos!A:T, contratos!A:A = TODOS!H1254), 2, 12)</f>
        <v>#NAME?</v>
      </c>
      <c r="M1254" s="341" t="e" cm="1">
        <f t="array" aca="1" ref="M1254" ca="1">INDEX(_xlfn._xlws.FILTER(contratos!A:T, contratos!A:A = TODOS!H1254), 2, 17)</f>
        <v>#NAME?</v>
      </c>
      <c r="N1254" s="336" t="e" cm="1">
        <f t="array" aca="1" ref="N1254" ca="1">INDEX(_xlfn._xlws.FILTER(contratos!A:T, contratos!A:A = TODOS!H1254), 2, 18)</f>
        <v>#NAME?</v>
      </c>
      <c r="O1254" s="341">
        <f>+VLOOKUP(B1254,PRORRATEO!A:M,8,0)</f>
        <v>20151876</v>
      </c>
      <c r="P1254" s="341">
        <f>+VLOOKUP(B1254,PRORRATEO!A:M,9,0)</f>
        <v>3828856.44</v>
      </c>
      <c r="Q1254" s="341">
        <f>+VLOOKUP(B1254,PRORRATEO!A:M,10,0)</f>
        <v>264191.09436000005</v>
      </c>
      <c r="R1254" s="341">
        <f>+VLOOKUP(B1254,PRORRATEO!A:M,11,0)</f>
        <v>3564665.34564</v>
      </c>
      <c r="S1254" s="339">
        <f>+VLOOKUP(B1254,PRORRATEO!A:M,12,0)</f>
        <v>6.9000000000000006E-2</v>
      </c>
      <c r="T1254" s="339">
        <f>+VLOOKUP(B1254,PRORRATEO!A:M,13,0)</f>
        <v>0.93100000000000005</v>
      </c>
      <c r="U1254" t="s">
        <v>69</v>
      </c>
    </row>
    <row r="1255" spans="1:21" x14ac:dyDescent="0.35">
      <c r="B1255" s="263">
        <v>1537210004</v>
      </c>
      <c r="C1255" s="10" t="s">
        <v>1033</v>
      </c>
      <c r="D1255" s="268">
        <f>+O1254</f>
        <v>20151876</v>
      </c>
      <c r="E1255" s="263" t="s">
        <v>97</v>
      </c>
      <c r="F1255">
        <v>40</v>
      </c>
      <c r="G1255" s="316" t="str">
        <f>+CONCATENATE(G7," RF ",G1254," ",H1254)</f>
        <v>"04-2026" RF T107 9072</v>
      </c>
      <c r="H1255" s="252"/>
      <c r="I1255" s="10">
        <f>+H1254</f>
        <v>9072</v>
      </c>
      <c r="J1255" s="350"/>
      <c r="K1255" s="335"/>
      <c r="N1255" s="336"/>
    </row>
    <row r="1256" spans="1:21" x14ac:dyDescent="0.35">
      <c r="B1256" s="263">
        <v>1149120011</v>
      </c>
      <c r="C1256" s="10" t="s">
        <v>96</v>
      </c>
      <c r="D1256" s="298">
        <f>+Q1254</f>
        <v>264191.09436000005</v>
      </c>
      <c r="E1256" s="263" t="s">
        <v>98</v>
      </c>
      <c r="F1256">
        <v>40</v>
      </c>
      <c r="G1256" s="318" t="str">
        <f>+CONCATENATE(G7," RF ",G1254," ",H1254)</f>
        <v>"04-2026" RF T107 9072</v>
      </c>
      <c r="H1256" s="252"/>
      <c r="I1256" s="10">
        <f>+I1255</f>
        <v>9072</v>
      </c>
      <c r="J1256" s="555" t="s">
        <v>1791</v>
      </c>
      <c r="K1256" s="335"/>
      <c r="N1256" s="336"/>
    </row>
    <row r="1257" spans="1:21" x14ac:dyDescent="0.35">
      <c r="B1257" s="263">
        <v>1149120011</v>
      </c>
      <c r="C1257" s="10" t="s">
        <v>96</v>
      </c>
      <c r="D1257" s="268">
        <f>-D1256</f>
        <v>-264191.09436000005</v>
      </c>
      <c r="E1257" s="263" t="s">
        <v>97</v>
      </c>
      <c r="F1257">
        <v>50</v>
      </c>
      <c r="G1257" s="318" t="str">
        <f>+CONCATENATE(G7," RF ",G1254," ",H1254)</f>
        <v>"04-2026" RF T107 9072</v>
      </c>
      <c r="H1257" s="252"/>
      <c r="I1257" s="10">
        <f>+I1256</f>
        <v>9072</v>
      </c>
      <c r="J1257" s="350"/>
      <c r="K1257" s="335"/>
      <c r="N1257" s="336"/>
    </row>
    <row r="1258" spans="1:21" x14ac:dyDescent="0.35">
      <c r="B1258" s="4">
        <v>1149120011</v>
      </c>
      <c r="C1258" s="10" t="s">
        <v>96</v>
      </c>
      <c r="D1258" s="268">
        <f>+P1254</f>
        <v>3828856.44</v>
      </c>
      <c r="E1258" t="s">
        <v>97</v>
      </c>
      <c r="F1258">
        <v>40</v>
      </c>
      <c r="G1258" s="318" t="str">
        <f>+CONCATENATE(G7," RF ",G1254," ",H1254)</f>
        <v>"04-2026" RF T107 9072</v>
      </c>
      <c r="H1258" s="252"/>
      <c r="I1258" s="10">
        <f>+I1257</f>
        <v>9072</v>
      </c>
      <c r="J1258" s="350"/>
      <c r="K1258" s="266"/>
      <c r="N1258" s="336"/>
    </row>
    <row r="1259" spans="1:21" x14ac:dyDescent="0.35">
      <c r="C1259" s="251" t="s">
        <v>76</v>
      </c>
      <c r="D1259" s="265">
        <f>SUM(D1255:D1258)</f>
        <v>23980732.440000001</v>
      </c>
      <c r="E1259"/>
      <c r="G1259" s="318" t="str">
        <f>+G1258</f>
        <v>"04-2026" RF T107 9072</v>
      </c>
      <c r="H1259" s="252"/>
      <c r="J1259" s="350"/>
      <c r="K1259" s="335"/>
      <c r="N1259" s="336"/>
    </row>
    <row r="1260" spans="1:21" x14ac:dyDescent="0.35">
      <c r="A1260" s="130" t="s">
        <v>853</v>
      </c>
      <c r="B1260" s="262">
        <v>231459</v>
      </c>
      <c r="C1260" s="276" t="s">
        <v>1070</v>
      </c>
      <c r="E1260"/>
      <c r="G1260" s="346" t="s">
        <v>418</v>
      </c>
      <c r="H1260" s="6">
        <v>8968</v>
      </c>
      <c r="I1260" s="10" t="s">
        <v>865</v>
      </c>
      <c r="J1260" s="350">
        <f>+VLOOKUP(H1260,contratos!A:R,5,0)</f>
        <v>42767</v>
      </c>
      <c r="K1260" s="266" t="str">
        <f>+VLOOKUP(H1260,contratos!A:R,12,0)</f>
        <v>CESADO</v>
      </c>
      <c r="L1260" s="341" t="str">
        <f>+VLOOKUP(H1260,contratos!A:R,13,0)</f>
        <v>CERRADA</v>
      </c>
      <c r="M1260" s="341">
        <f>+VLOOKUP(H1260,contratos!A:R,15,0)</f>
        <v>0</v>
      </c>
      <c r="N1260" s="336">
        <f>+VLOOKUP(H1260,contratos!A:R,16,0)</f>
        <v>0</v>
      </c>
      <c r="O1260" s="341">
        <f>+VLOOKUP(B1260,PRORRATEO!A:M,8,0)</f>
        <v>5115034</v>
      </c>
      <c r="P1260" s="341">
        <f>+VLOOKUP(B1260,PRORRATEO!A:M,9,0)</f>
        <v>971856.46</v>
      </c>
      <c r="Q1260" s="341">
        <f>+VLOOKUP(B1260,PRORRATEO!A:M,10,0)</f>
        <v>74832.947419999997</v>
      </c>
      <c r="R1260" s="341">
        <f>+VLOOKUP(B1260,PRORRATEO!A:M,11,0)</f>
        <v>897023.51257999998</v>
      </c>
      <c r="S1260" s="339">
        <f>+VLOOKUP(B1260,PRORRATEO!A:M,12,0)</f>
        <v>7.6999999999999999E-2</v>
      </c>
      <c r="T1260" s="339">
        <f>+VLOOKUP(B1260,PRORRATEO!A:M,13,0)</f>
        <v>0.92300000000000004</v>
      </c>
      <c r="U1260" t="s">
        <v>69</v>
      </c>
    </row>
    <row r="1261" spans="1:21" x14ac:dyDescent="0.35">
      <c r="A1261">
        <v>40</v>
      </c>
      <c r="B1261" s="4">
        <v>1245150017</v>
      </c>
      <c r="C1261" s="10" t="s">
        <v>77</v>
      </c>
      <c r="D1261" s="268">
        <v>5115034</v>
      </c>
      <c r="E1261" t="s">
        <v>97</v>
      </c>
      <c r="F1261">
        <v>40</v>
      </c>
      <c r="G1261" s="316" t="str">
        <f>+CONCATENATE(G7," RF ",G1260," ",H1260)</f>
        <v>"04-2026" RF T119 8968</v>
      </c>
      <c r="H1261" s="252"/>
      <c r="I1261" s="10">
        <f>+H1260</f>
        <v>8968</v>
      </c>
      <c r="J1261" s="350"/>
      <c r="K1261" s="335"/>
      <c r="N1261" s="336"/>
    </row>
    <row r="1262" spans="1:21" x14ac:dyDescent="0.35">
      <c r="A1262">
        <v>40</v>
      </c>
      <c r="B1262" s="4">
        <v>1149120011</v>
      </c>
      <c r="C1262" s="10" t="s">
        <v>96</v>
      </c>
      <c r="D1262" s="268">
        <v>74833</v>
      </c>
      <c r="E1262" t="s">
        <v>98</v>
      </c>
      <c r="F1262">
        <v>40</v>
      </c>
      <c r="G1262" s="318" t="str">
        <f>+G1261</f>
        <v>"04-2026" RF T119 8968</v>
      </c>
      <c r="H1262" s="252"/>
      <c r="I1262" s="10">
        <f>+I1261</f>
        <v>8968</v>
      </c>
      <c r="J1262" s="350"/>
      <c r="K1262" s="335"/>
      <c r="N1262" s="336"/>
    </row>
    <row r="1263" spans="1:21" x14ac:dyDescent="0.35">
      <c r="A1263">
        <v>50</v>
      </c>
      <c r="B1263" s="4">
        <v>1149120011</v>
      </c>
      <c r="C1263" s="10" t="s">
        <v>96</v>
      </c>
      <c r="D1263" s="268">
        <v>-74833</v>
      </c>
      <c r="E1263" t="s">
        <v>97</v>
      </c>
      <c r="F1263">
        <v>50</v>
      </c>
      <c r="G1263" s="318" t="str">
        <f>+G1262</f>
        <v>"04-2026" RF T119 8968</v>
      </c>
      <c r="H1263" s="252"/>
      <c r="I1263" s="10">
        <f>+I1262</f>
        <v>8968</v>
      </c>
      <c r="J1263" s="350"/>
      <c r="K1263" s="335"/>
      <c r="N1263" s="336"/>
    </row>
    <row r="1264" spans="1:21" x14ac:dyDescent="0.35">
      <c r="A1264">
        <v>40</v>
      </c>
      <c r="B1264" s="4">
        <v>1149120011</v>
      </c>
      <c r="C1264" s="10" t="s">
        <v>96</v>
      </c>
      <c r="D1264" s="268">
        <v>971856</v>
      </c>
      <c r="E1264" t="s">
        <v>97</v>
      </c>
      <c r="F1264">
        <v>40</v>
      </c>
      <c r="G1264" s="318" t="str">
        <f>+G1263</f>
        <v>"04-2026" RF T119 8968</v>
      </c>
      <c r="H1264" s="252"/>
      <c r="I1264" s="10">
        <f>+I1263</f>
        <v>8968</v>
      </c>
      <c r="J1264" s="350"/>
      <c r="K1264" s="335"/>
      <c r="N1264" s="336"/>
    </row>
    <row r="1265" spans="1:21" x14ac:dyDescent="0.35">
      <c r="C1265" s="251" t="s">
        <v>76</v>
      </c>
      <c r="D1265" s="265">
        <v>6086890</v>
      </c>
      <c r="E1265"/>
      <c r="G1265" s="318" t="str">
        <f>+G1264</f>
        <v>"04-2026" RF T119 8968</v>
      </c>
      <c r="H1265" s="252"/>
      <c r="I1265" s="10">
        <f>+I1264</f>
        <v>8968</v>
      </c>
      <c r="J1265" s="350"/>
      <c r="K1265" s="335"/>
      <c r="N1265" s="336"/>
    </row>
    <row r="1266" spans="1:21" x14ac:dyDescent="0.35">
      <c r="A1266" s="130" t="s">
        <v>853</v>
      </c>
      <c r="B1266" s="262">
        <v>231457</v>
      </c>
      <c r="C1266" s="276" t="s">
        <v>1070</v>
      </c>
      <c r="E1266"/>
      <c r="G1266" s="346" t="s">
        <v>387</v>
      </c>
      <c r="H1266" s="6">
        <v>8714</v>
      </c>
      <c r="J1266" s="350">
        <f>+VLOOKUP(H1266,contratos!A:R,5,0)</f>
        <v>42461</v>
      </c>
      <c r="K1266" s="266" t="str">
        <f>+VLOOKUP(H1266,contratos!A:R,12,0)</f>
        <v>VENCIDO</v>
      </c>
      <c r="L1266" s="341" t="str">
        <f>+VLOOKUP(H1266,contratos!A:R,13,0)</f>
        <v>CESADO</v>
      </c>
      <c r="M1266" s="341">
        <f>+VLOOKUP(H1266,contratos!A:R,15,0)</f>
        <v>0</v>
      </c>
      <c r="N1266" s="336">
        <f>+VLOOKUP(H1266,contratos!A:R,16,0)</f>
        <v>0</v>
      </c>
      <c r="O1266" s="341">
        <f>+VLOOKUP(B1266,PRORRATEO!A:M,8,0)</f>
        <v>9464576</v>
      </c>
      <c r="P1266" s="341">
        <f>+VLOOKUP(B1266,PRORRATEO!A:M,9,0)</f>
        <v>1798269.44</v>
      </c>
      <c r="Q1266" s="341">
        <f>+VLOOKUP(B1266,PRORRATEO!A:M,10,0)</f>
        <v>120484.05248</v>
      </c>
      <c r="R1266" s="341">
        <f>+VLOOKUP(B1266,PRORRATEO!A:M,11,0)</f>
        <v>1677785.3875200001</v>
      </c>
      <c r="S1266" s="339">
        <f>+VLOOKUP(B1266,PRORRATEO!A:M,12,0)</f>
        <v>6.7000000000000004E-2</v>
      </c>
      <c r="T1266" s="339">
        <f>+VLOOKUP(B1266,PRORRATEO!A:M,13,0)</f>
        <v>0.93300000000000005</v>
      </c>
      <c r="U1266" t="s">
        <v>69</v>
      </c>
    </row>
    <row r="1267" spans="1:21" x14ac:dyDescent="0.35">
      <c r="B1267" s="263">
        <v>1245150017</v>
      </c>
      <c r="C1267" s="10" t="s">
        <v>77</v>
      </c>
      <c r="D1267" s="268">
        <v>9956734</v>
      </c>
      <c r="E1267" s="263" t="s">
        <v>97</v>
      </c>
      <c r="F1267">
        <v>40</v>
      </c>
      <c r="G1267" s="348" t="str">
        <f>+CONCATENATE(G7," RF ",G1266," ",H1266)</f>
        <v>"04-2026" RF T108 8714</v>
      </c>
      <c r="H1267" s="252"/>
      <c r="I1267" s="10">
        <f>+H1266</f>
        <v>8714</v>
      </c>
      <c r="J1267" s="350"/>
      <c r="K1267" s="335"/>
      <c r="N1267" s="336"/>
    </row>
    <row r="1268" spans="1:21" x14ac:dyDescent="0.35">
      <c r="B1268" s="263">
        <v>1149120011</v>
      </c>
      <c r="C1268" s="10" t="s">
        <v>96</v>
      </c>
      <c r="D1268" s="268">
        <f>+D1270*S1266</f>
        <v>126749.22382</v>
      </c>
      <c r="E1268" s="263" t="s">
        <v>98</v>
      </c>
      <c r="F1268">
        <v>40</v>
      </c>
      <c r="G1268" s="318" t="str">
        <f>+G1267</f>
        <v>"04-2026" RF T108 8714</v>
      </c>
      <c r="H1268" s="252"/>
      <c r="I1268" s="10">
        <f>+I1267</f>
        <v>8714</v>
      </c>
      <c r="J1268" s="350"/>
      <c r="K1268" s="335"/>
      <c r="N1268" s="336"/>
    </row>
    <row r="1269" spans="1:21" x14ac:dyDescent="0.35">
      <c r="B1269" s="263">
        <v>1149120011</v>
      </c>
      <c r="C1269" s="10" t="s">
        <v>96</v>
      </c>
      <c r="D1269" s="268">
        <f>-D1268</f>
        <v>-126749.22382</v>
      </c>
      <c r="E1269" s="263" t="s">
        <v>97</v>
      </c>
      <c r="F1269">
        <v>50</v>
      </c>
      <c r="G1269" s="318" t="str">
        <f>+G1268</f>
        <v>"04-2026" RF T108 8714</v>
      </c>
      <c r="H1269" s="252"/>
      <c r="I1269" s="10">
        <f>+I1268</f>
        <v>8714</v>
      </c>
      <c r="J1269" s="350"/>
      <c r="K1269" s="335"/>
      <c r="N1269" s="336"/>
    </row>
    <row r="1270" spans="1:21" x14ac:dyDescent="0.35">
      <c r="B1270" s="4">
        <v>1149120011</v>
      </c>
      <c r="C1270" s="10" t="s">
        <v>96</v>
      </c>
      <c r="D1270" s="268">
        <f>+D1267*0.19</f>
        <v>1891779.46</v>
      </c>
      <c r="E1270" t="s">
        <v>97</v>
      </c>
      <c r="F1270">
        <v>40</v>
      </c>
      <c r="G1270" s="318" t="str">
        <f>+G1269</f>
        <v>"04-2026" RF T108 8714</v>
      </c>
      <c r="H1270" s="252"/>
      <c r="I1270" s="10">
        <f>+I1269</f>
        <v>8714</v>
      </c>
      <c r="J1270" s="350"/>
      <c r="K1270" s="335"/>
      <c r="N1270" s="336"/>
    </row>
    <row r="1271" spans="1:21" x14ac:dyDescent="0.35">
      <c r="C1271" s="251" t="s">
        <v>76</v>
      </c>
      <c r="D1271" s="265">
        <f>SUBTOTAL(9,D1267:D1270)</f>
        <v>11848513.460000001</v>
      </c>
      <c r="E1271"/>
      <c r="G1271" s="318" t="str">
        <f>+G1270</f>
        <v>"04-2026" RF T108 8714</v>
      </c>
      <c r="H1271" s="252"/>
      <c r="I1271" s="10">
        <f>+I1270</f>
        <v>8714</v>
      </c>
      <c r="J1271" s="350"/>
      <c r="K1271" s="335"/>
      <c r="N1271" s="336"/>
    </row>
    <row r="1272" spans="1:21" x14ac:dyDescent="0.35">
      <c r="A1272" s="130" t="s">
        <v>853</v>
      </c>
      <c r="B1272" s="262">
        <v>231458</v>
      </c>
      <c r="C1272" s="276" t="s">
        <v>1070</v>
      </c>
      <c r="D1272" s="268">
        <f>SUBTOTAL(9,D1273:D1276)</f>
        <v>10575688.27</v>
      </c>
      <c r="E1272"/>
      <c r="G1272" s="346" t="s">
        <v>420</v>
      </c>
      <c r="H1272" s="6">
        <v>8969</v>
      </c>
      <c r="J1272" s="350">
        <f>+VLOOKUP(H1272,contratos!A:R,5,0)</f>
        <v>42767</v>
      </c>
      <c r="K1272" s="266" t="str">
        <f>+VLOOKUP(H1272,contratos!A:R,12,0)</f>
        <v>VENCIDO</v>
      </c>
      <c r="L1272" s="341" t="str">
        <f>+VLOOKUP(H1272,contratos!A:R,13,0)</f>
        <v>CESADO</v>
      </c>
      <c r="M1272" s="341">
        <f>+VLOOKUP(H1272,contratos!A:R,15,0)</f>
        <v>0</v>
      </c>
      <c r="N1272" s="336">
        <f>+VLOOKUP(H1272,contratos!A:R,16,0)</f>
        <v>0</v>
      </c>
      <c r="O1272" s="341">
        <f>+VLOOKUP(B1272,PRORRATEO!A:M,8,0)</f>
        <v>8037911</v>
      </c>
      <c r="P1272" s="341">
        <f>+VLOOKUP(B1272,PRORRATEO!A:M,9,0)</f>
        <v>1527203.09</v>
      </c>
      <c r="Q1272" s="341">
        <f>+VLOOKUP(B1272,PRORRATEO!A:M,10,0)</f>
        <v>97740.997760000013</v>
      </c>
      <c r="R1272" s="341">
        <f>+VLOOKUP(B1272,PRORRATEO!A:M,11,0)</f>
        <v>1429462.0922400001</v>
      </c>
      <c r="S1272" s="339">
        <f>+VLOOKUP(B1272,PRORRATEO!A:M,12,0)</f>
        <v>6.4000000000000001E-2</v>
      </c>
      <c r="T1272" s="339">
        <f>+VLOOKUP(B1272,PRORRATEO!A:M,13,0)</f>
        <v>0.93600000000000005</v>
      </c>
      <c r="U1272" t="s">
        <v>69</v>
      </c>
    </row>
    <row r="1273" spans="1:21" x14ac:dyDescent="0.35">
      <c r="B1273" s="263">
        <v>1245150017</v>
      </c>
      <c r="C1273" s="10" t="s">
        <v>77</v>
      </c>
      <c r="D1273" s="268">
        <v>8887133</v>
      </c>
      <c r="E1273" s="263" t="s">
        <v>97</v>
      </c>
      <c r="F1273">
        <v>40</v>
      </c>
      <c r="G1273" s="316" t="str">
        <f>+CONCATENATE(G7," RF ",G1272," ",H1272)</f>
        <v>"04-2026" RF T120 8969</v>
      </c>
      <c r="H1273" s="252"/>
      <c r="I1273" s="10">
        <f>+H1272</f>
        <v>8969</v>
      </c>
      <c r="J1273" s="350"/>
      <c r="K1273" s="335"/>
      <c r="N1273" s="336"/>
    </row>
    <row r="1274" spans="1:21" x14ac:dyDescent="0.35">
      <c r="B1274" s="263">
        <v>1149120011</v>
      </c>
      <c r="C1274" s="10" t="s">
        <v>96</v>
      </c>
      <c r="D1274" s="268">
        <f>+D1276*S1272</f>
        <v>108067.53728</v>
      </c>
      <c r="E1274" s="263" t="s">
        <v>98</v>
      </c>
      <c r="F1274">
        <v>40</v>
      </c>
      <c r="G1274" s="318" t="str">
        <f>+CONCATENATE(G7," RF ",G1272," ",H1272)</f>
        <v>"04-2026" RF T120 8969</v>
      </c>
      <c r="H1274" s="252"/>
      <c r="I1274" s="10">
        <f>+I1273</f>
        <v>8969</v>
      </c>
      <c r="J1274" s="350"/>
      <c r="K1274" s="335"/>
      <c r="N1274" s="336"/>
    </row>
    <row r="1275" spans="1:21" x14ac:dyDescent="0.35">
      <c r="B1275" s="263">
        <v>1149120011</v>
      </c>
      <c r="C1275" s="10" t="s">
        <v>96</v>
      </c>
      <c r="D1275" s="268">
        <f>-D1274</f>
        <v>-108067.53728</v>
      </c>
      <c r="E1275" s="263" t="s">
        <v>97</v>
      </c>
      <c r="F1275">
        <v>50</v>
      </c>
      <c r="G1275" s="318" t="str">
        <f>+CONCATENATE(G7," RF ",G1272," ",H1272)</f>
        <v>"04-2026" RF T120 8969</v>
      </c>
      <c r="H1275" s="252"/>
      <c r="I1275" s="10">
        <f>+I1274</f>
        <v>8969</v>
      </c>
      <c r="J1275" s="350"/>
      <c r="K1275" s="335"/>
      <c r="N1275" s="336"/>
    </row>
    <row r="1276" spans="1:21" x14ac:dyDescent="0.35">
      <c r="B1276" s="4">
        <v>1149120011</v>
      </c>
      <c r="C1276" s="10" t="s">
        <v>96</v>
      </c>
      <c r="D1276" s="298">
        <f>+D1273*0.19</f>
        <v>1688555.27</v>
      </c>
      <c r="E1276" t="s">
        <v>97</v>
      </c>
      <c r="F1276">
        <v>40</v>
      </c>
      <c r="G1276" s="318" t="str">
        <f>+CONCATENATE(G7," RF ",G1272," ",H1272)</f>
        <v>"04-2026" RF T120 8969</v>
      </c>
      <c r="H1276" s="252"/>
      <c r="J1276" s="350"/>
      <c r="K1276" s="335"/>
      <c r="N1276" s="336"/>
    </row>
    <row r="1277" spans="1:21" hidden="1" x14ac:dyDescent="0.35">
      <c r="B1277"/>
      <c r="C1277" s="251" t="s">
        <v>76</v>
      </c>
      <c r="D1277" s="265">
        <v>9565114</v>
      </c>
      <c r="E1277"/>
      <c r="G1277"/>
      <c r="H1277" s="252"/>
      <c r="J1277" s="200"/>
      <c r="K1277" s="200"/>
      <c r="L1277" s="19"/>
      <c r="M1277" s="19"/>
      <c r="N1277" s="11"/>
      <c r="O1277" s="19"/>
      <c r="P1277" s="19"/>
      <c r="Q1277" s="19"/>
      <c r="R1277" s="19"/>
      <c r="S1277" s="201"/>
      <c r="T1277" s="201"/>
    </row>
    <row r="1278" spans="1:21" x14ac:dyDescent="0.35">
      <c r="A1278" s="130" t="s">
        <v>853</v>
      </c>
      <c r="B1278" s="262">
        <v>204588</v>
      </c>
      <c r="C1278" s="276" t="s">
        <v>1071</v>
      </c>
      <c r="E1278"/>
      <c r="G1278" s="346" t="s">
        <v>1162</v>
      </c>
      <c r="H1278" s="6">
        <v>6636</v>
      </c>
      <c r="J1278" s="350">
        <f>+VLOOKUP(H1278,contratos!A:R,5,0)</f>
        <v>43709</v>
      </c>
      <c r="K1278" s="266" t="str">
        <f>+VLOOKUP(H1278,contratos!A:R,12,0)</f>
        <v>VENCIDO</v>
      </c>
      <c r="L1278" s="341" t="str">
        <f>+VLOOKUP(H1278,contratos!A:R,13,0)</f>
        <v>CESADO</v>
      </c>
      <c r="M1278" s="341">
        <f>+VLOOKUP(H1278,contratos!A:R,15,0)</f>
        <v>0</v>
      </c>
      <c r="N1278" s="336">
        <f>+VLOOKUP(H1278,contratos!A:R,16,0)</f>
        <v>0</v>
      </c>
      <c r="O1278" s="341">
        <f>+VLOOKUP(B1278,PRORRATEO!A:M,8,0)</f>
        <v>16023627</v>
      </c>
      <c r="P1278" s="341">
        <f>+VLOOKUP(B1278,PRORRATEO!A:M,9,0)</f>
        <v>3044489.13</v>
      </c>
      <c r="Q1278" s="341">
        <f>+VLOOKUP(B1278,PRORRATEO!A:M,10,0)</f>
        <v>191717.36649950134</v>
      </c>
      <c r="R1278" s="341">
        <f>+VLOOKUP(B1278,PRORRATEO!A:M,11,0)</f>
        <v>2852771.7635004986</v>
      </c>
      <c r="S1278" s="339">
        <f>+VLOOKUP(B1278,PRORRATEO!A:M,12,0)</f>
        <v>6.29719333238353E-2</v>
      </c>
      <c r="T1278" s="339">
        <f>+VLOOKUP(B1278,PRORRATEO!A:M,13,0)</f>
        <v>0.93702806667616478</v>
      </c>
      <c r="U1278" t="s">
        <v>19</v>
      </c>
    </row>
    <row r="1279" spans="1:21" x14ac:dyDescent="0.35">
      <c r="B1279" s="263">
        <v>1149120011</v>
      </c>
      <c r="C1279" s="10" t="s">
        <v>96</v>
      </c>
      <c r="D1279" s="268">
        <f>-D1280</f>
        <v>-57340.12977632141</v>
      </c>
      <c r="E1279" s="263" t="s">
        <v>97</v>
      </c>
      <c r="F1279">
        <v>50</v>
      </c>
      <c r="G1279" s="316" t="str">
        <f>+CONCATENATE($G$7," RF ",G1278," ",H1278)</f>
        <v>"04-2026" RF T49 6636</v>
      </c>
      <c r="H1279" s="252"/>
      <c r="I1279" s="10">
        <f>+H1278</f>
        <v>6636</v>
      </c>
      <c r="J1279" s="350"/>
      <c r="K1279" s="335"/>
      <c r="N1279" s="336"/>
    </row>
    <row r="1280" spans="1:21" x14ac:dyDescent="0.35">
      <c r="B1280" s="263">
        <v>1149120011</v>
      </c>
      <c r="C1280" s="10" t="s">
        <v>96</v>
      </c>
      <c r="D1280" s="268">
        <f>+D1282*S1278</f>
        <v>57340.12977632141</v>
      </c>
      <c r="E1280" s="263" t="s">
        <v>98</v>
      </c>
      <c r="F1280">
        <v>40</v>
      </c>
      <c r="G1280" s="318" t="str">
        <f>+G1279</f>
        <v>"04-2026" RF T49 6636</v>
      </c>
      <c r="H1280" s="252"/>
      <c r="I1280" s="10">
        <f>+I1279</f>
        <v>6636</v>
      </c>
      <c r="J1280" s="350"/>
      <c r="K1280" s="335"/>
      <c r="N1280" s="336"/>
    </row>
    <row r="1281" spans="1:21" x14ac:dyDescent="0.35">
      <c r="B1281" s="263">
        <v>1245150017</v>
      </c>
      <c r="C1281" s="10" t="s">
        <v>77</v>
      </c>
      <c r="D1281" s="268">
        <v>4792455</v>
      </c>
      <c r="E1281" s="263" t="s">
        <v>97</v>
      </c>
      <c r="F1281">
        <v>40</v>
      </c>
      <c r="G1281" s="318" t="str">
        <f>+G1280</f>
        <v>"04-2026" RF T49 6636</v>
      </c>
      <c r="H1281" s="252"/>
      <c r="I1281" s="10">
        <f>+I1280</f>
        <v>6636</v>
      </c>
      <c r="J1281" s="350"/>
      <c r="K1281" s="335"/>
      <c r="N1281" s="336"/>
    </row>
    <row r="1282" spans="1:21" x14ac:dyDescent="0.35">
      <c r="B1282" s="240">
        <v>1149120011</v>
      </c>
      <c r="C1282" s="10" t="s">
        <v>96</v>
      </c>
      <c r="D1282" s="268">
        <f>+D1281*0.19</f>
        <v>910566.45</v>
      </c>
      <c r="E1282" t="s">
        <v>97</v>
      </c>
      <c r="F1282">
        <v>40</v>
      </c>
      <c r="G1282" s="318" t="str">
        <f>+G1280</f>
        <v>"04-2026" RF T49 6636</v>
      </c>
      <c r="H1282" s="252"/>
      <c r="I1282" s="10">
        <f>+I1280</f>
        <v>6636</v>
      </c>
      <c r="J1282" s="350"/>
      <c r="K1282" s="335"/>
      <c r="N1282" s="336"/>
    </row>
    <row r="1283" spans="1:21" x14ac:dyDescent="0.35">
      <c r="C1283" s="251" t="s">
        <v>76</v>
      </c>
      <c r="D1283" s="332">
        <f>SUBTOTAL(9,D1279:D1282)</f>
        <v>5703021.4500000002</v>
      </c>
      <c r="E1283"/>
      <c r="G1283" s="318" t="str">
        <f>+G1281</f>
        <v>"04-2026" RF T49 6636</v>
      </c>
      <c r="H1283" s="252"/>
      <c r="I1283" s="10">
        <f>+I1281</f>
        <v>6636</v>
      </c>
      <c r="J1283" s="350"/>
      <c r="K1283" s="335"/>
      <c r="N1283" s="336"/>
    </row>
    <row r="1284" spans="1:21" x14ac:dyDescent="0.35">
      <c r="A1284" s="130" t="s">
        <v>853</v>
      </c>
      <c r="B1284" s="262">
        <v>204588</v>
      </c>
      <c r="C1284" s="276" t="s">
        <v>1071</v>
      </c>
      <c r="E1284"/>
      <c r="G1284" s="347" t="s">
        <v>1162</v>
      </c>
      <c r="H1284" s="262">
        <v>6636</v>
      </c>
      <c r="J1284" s="350">
        <f>+VLOOKUP(H1284,contratos!A:R,5,0)</f>
        <v>43709</v>
      </c>
      <c r="K1284" s="266" t="str">
        <f>+VLOOKUP(H1284,contratos!A:R,12,0)</f>
        <v>VENCIDO</v>
      </c>
      <c r="L1284" s="341" t="str">
        <f>+VLOOKUP(H1284,contratos!A:R,13,0)</f>
        <v>CESADO</v>
      </c>
      <c r="M1284" s="341">
        <f>+VLOOKUP(H1284,contratos!A:R,15,0)</f>
        <v>0</v>
      </c>
      <c r="N1284" s="336">
        <f>+VLOOKUP(H1284,contratos!A:R,16,0)</f>
        <v>0</v>
      </c>
      <c r="O1284" s="341">
        <f>+VLOOKUP(B1284,PRORRATEO!A:M,8,0)</f>
        <v>16023627</v>
      </c>
      <c r="P1284" s="341">
        <f>+VLOOKUP(B1284,PRORRATEO!A:M,9,0)</f>
        <v>3044489.13</v>
      </c>
      <c r="Q1284" s="341">
        <f>+VLOOKUP(B1284,PRORRATEO!A:M,10,0)</f>
        <v>191717.36649950134</v>
      </c>
      <c r="R1284" s="341">
        <f>+VLOOKUP(B1284,PRORRATEO!A:M,11,0)</f>
        <v>2852771.7635004986</v>
      </c>
      <c r="S1284" s="339">
        <f>+VLOOKUP(B1284,PRORRATEO!A:M,12,0)</f>
        <v>6.29719333238353E-2</v>
      </c>
      <c r="T1284" s="339">
        <f>+VLOOKUP(B1284,PRORRATEO!A:M,13,0)</f>
        <v>0.93702806667616478</v>
      </c>
      <c r="U1284" t="s">
        <v>19</v>
      </c>
    </row>
    <row r="1285" spans="1:21" x14ac:dyDescent="0.35">
      <c r="B1285" s="4">
        <v>1149120011</v>
      </c>
      <c r="C1285" s="10" t="s">
        <v>96</v>
      </c>
      <c r="D1285" s="298">
        <v>2111284</v>
      </c>
      <c r="E1285" t="s">
        <v>97</v>
      </c>
      <c r="F1285">
        <v>40</v>
      </c>
      <c r="G1285" s="316" t="str">
        <f>+CONCATENATE(G7," RF ",G1284," ",H1284)</f>
        <v>"04-2026" RF T49 6636</v>
      </c>
      <c r="H1285" s="252"/>
      <c r="I1285" s="10">
        <f>+H1284</f>
        <v>6636</v>
      </c>
      <c r="J1285" s="350"/>
      <c r="K1285" s="335"/>
      <c r="N1285" s="336"/>
    </row>
    <row r="1286" spans="1:21" x14ac:dyDescent="0.35">
      <c r="B1286" s="4">
        <v>1245150017</v>
      </c>
      <c r="C1286" s="10" t="s">
        <v>77</v>
      </c>
      <c r="D1286" s="268">
        <v>18214824</v>
      </c>
      <c r="E1286" t="s">
        <v>97</v>
      </c>
      <c r="F1286">
        <v>40</v>
      </c>
      <c r="G1286" s="318" t="str">
        <f>+G1285</f>
        <v>"04-2026" RF T49 6636</v>
      </c>
      <c r="H1286" s="252"/>
      <c r="I1286" s="10">
        <f>+I1285</f>
        <v>6636</v>
      </c>
      <c r="J1286" s="350"/>
      <c r="K1286" s="335"/>
      <c r="N1286" s="336"/>
    </row>
    <row r="1287" spans="1:21" x14ac:dyDescent="0.35">
      <c r="C1287" s="251" t="s">
        <v>76</v>
      </c>
      <c r="D1287" s="265">
        <v>13223304</v>
      </c>
      <c r="E1287"/>
      <c r="G1287" s="318" t="str">
        <f>+G1286</f>
        <v>"04-2026" RF T49 6636</v>
      </c>
      <c r="H1287" s="252"/>
      <c r="J1287" s="350"/>
      <c r="K1287" s="335"/>
      <c r="N1287" s="336"/>
    </row>
    <row r="1288" spans="1:21" x14ac:dyDescent="0.35">
      <c r="A1288" s="130" t="s">
        <v>854</v>
      </c>
      <c r="B1288" s="262">
        <v>204603</v>
      </c>
      <c r="C1288" s="276" t="s">
        <v>20</v>
      </c>
      <c r="E1288"/>
      <c r="G1288" s="347" t="s">
        <v>565</v>
      </c>
      <c r="H1288" s="262">
        <v>6701</v>
      </c>
      <c r="J1288" s="350">
        <f>+VLOOKUP(H1288,contratos!A:R,5,0)</f>
        <v>41760</v>
      </c>
      <c r="K1288" s="266" t="str">
        <f>+VLOOKUP(H1288,contratos!A:R,12,0)</f>
        <v>OK</v>
      </c>
      <c r="L1288" s="341" t="str">
        <f>+VLOOKUP(H1288,contratos!A:R,13,0)</f>
        <v>POR VENCER</v>
      </c>
      <c r="M1288" s="341">
        <f>+VLOOKUP(H1288,contratos!A:R,15,0)</f>
        <v>0</v>
      </c>
      <c r="N1288" s="336">
        <f>+VLOOKUP(H1288,contratos!A:R,16,0)</f>
        <v>0</v>
      </c>
      <c r="O1288" s="341">
        <f>+VLOOKUP(H1288,PRORRATEO!F:M,3,0)</f>
        <v>14889000</v>
      </c>
      <c r="P1288" s="341">
        <f>+VLOOKUP(H1288,PRORRATEO!F:M,4,0)</f>
        <v>2828910</v>
      </c>
      <c r="Q1288" s="341">
        <f>+VLOOKUP(H1288,PRORRATEO!F:M,5,0)</f>
        <v>115985.31</v>
      </c>
      <c r="R1288" s="341">
        <f>+VLOOKUP(H1288,PRORRATEO!F:M,6,0)</f>
        <v>2712924.69</v>
      </c>
      <c r="S1288" s="339">
        <f>+VLOOKUP(H1288,PRORRATEO!F:M,7,0)</f>
        <v>4.1000000000000002E-2</v>
      </c>
      <c r="T1288" s="339">
        <f>+VLOOKUP(H1288,PRORRATEO!F:M,8,0)</f>
        <v>0.95899999999999996</v>
      </c>
      <c r="U1288" t="s">
        <v>20</v>
      </c>
    </row>
    <row r="1289" spans="1:21" x14ac:dyDescent="0.35">
      <c r="B1289" s="4">
        <v>1245150017</v>
      </c>
      <c r="C1289" s="10" t="s">
        <v>77</v>
      </c>
      <c r="D1289" s="268">
        <v>3552635</v>
      </c>
      <c r="E1289" t="s">
        <v>80</v>
      </c>
      <c r="F1289">
        <v>40</v>
      </c>
      <c r="G1289" s="316" t="str">
        <f>+CONCATENATE(G7," RF ",G1288," ",H1288)</f>
        <v>"04-2026" RF T077 6701</v>
      </c>
      <c r="H1289" s="252"/>
      <c r="I1289" s="10">
        <f>+H1288</f>
        <v>6701</v>
      </c>
      <c r="J1289" s="350"/>
      <c r="K1289" s="335"/>
      <c r="N1289" s="336"/>
    </row>
    <row r="1290" spans="1:21" x14ac:dyDescent="0.35">
      <c r="C1290" s="251" t="s">
        <v>76</v>
      </c>
      <c r="D1290" s="265">
        <v>3408800</v>
      </c>
      <c r="E1290"/>
      <c r="G1290" s="318" t="str">
        <f>+G1289</f>
        <v>"04-2026" RF T077 6701</v>
      </c>
      <c r="H1290" s="252"/>
      <c r="I1290" s="10">
        <f>+I1289</f>
        <v>6701</v>
      </c>
      <c r="J1290" s="350"/>
      <c r="K1290" s="335"/>
      <c r="N1290" s="336"/>
    </row>
    <row r="1291" spans="1:21" x14ac:dyDescent="0.35">
      <c r="B1291" s="54">
        <v>205763</v>
      </c>
      <c r="C1291" s="251" t="s">
        <v>1072</v>
      </c>
      <c r="E1291"/>
      <c r="G1291" s="347" t="s">
        <v>597</v>
      </c>
      <c r="H1291" s="262">
        <v>6763</v>
      </c>
      <c r="I1291" s="10" t="s">
        <v>1059</v>
      </c>
      <c r="J1291" s="350">
        <v>45931</v>
      </c>
      <c r="K1291" s="335" t="s">
        <v>121</v>
      </c>
      <c r="L1291" s="341">
        <v>13102855</v>
      </c>
      <c r="M1291" s="341">
        <v>0</v>
      </c>
      <c r="N1291" s="336">
        <v>1925792</v>
      </c>
      <c r="O1291" s="341">
        <v>6551428</v>
      </c>
      <c r="P1291" s="341">
        <v>1244771.32</v>
      </c>
      <c r="Q1291" s="341">
        <v>102071.24824000002</v>
      </c>
      <c r="R1291" s="341">
        <v>1142700.0717600002</v>
      </c>
      <c r="S1291" s="339">
        <v>8.2000000000000003E-2</v>
      </c>
      <c r="T1291" s="339">
        <v>0.91800000000000004</v>
      </c>
      <c r="U1291" t="s">
        <v>70</v>
      </c>
    </row>
    <row r="1292" spans="1:21" x14ac:dyDescent="0.35">
      <c r="B1292" s="4">
        <v>1246125027</v>
      </c>
      <c r="C1292" s="10" t="s">
        <v>962</v>
      </c>
      <c r="D1292" s="298">
        <f>+D1297*K1292</f>
        <v>266114.90500000003</v>
      </c>
      <c r="E1292"/>
      <c r="F1292">
        <v>50</v>
      </c>
      <c r="G1292" s="316" t="str">
        <f>+CONCATENATE(G7," RF ",G1291," ",H1291)</f>
        <v>"04-2026" RF T091 6763</v>
      </c>
      <c r="H1292" s="252"/>
      <c r="I1292" s="10">
        <f>+H1291</f>
        <v>6763</v>
      </c>
      <c r="J1292" s="387" t="s">
        <v>857</v>
      </c>
      <c r="K1292" s="393">
        <v>3.5000000000000003E-2</v>
      </c>
      <c r="N1292" s="336"/>
    </row>
    <row r="1293" spans="1:21" x14ac:dyDescent="0.35">
      <c r="B1293" s="4">
        <v>1249100024</v>
      </c>
      <c r="C1293" s="10" t="s">
        <v>981</v>
      </c>
      <c r="D1293" s="268">
        <f>+D1297*K1293</f>
        <v>73447.713780000005</v>
      </c>
      <c r="E1293"/>
      <c r="F1293">
        <v>50</v>
      </c>
      <c r="G1293" s="318" t="str">
        <f>+G1295</f>
        <v>"04-2026" RF T091 6763</v>
      </c>
      <c r="H1293" s="252"/>
      <c r="I1293" s="10">
        <f>+I1295</f>
        <v>6763</v>
      </c>
      <c r="J1293" s="206">
        <v>1</v>
      </c>
      <c r="K1293" s="393">
        <v>9.6600000000000002E-3</v>
      </c>
      <c r="N1293" s="336"/>
    </row>
    <row r="1294" spans="1:21" x14ac:dyDescent="0.35">
      <c r="B1294" s="4">
        <v>1149120011</v>
      </c>
      <c r="C1294" s="10" t="s">
        <v>96</v>
      </c>
      <c r="D1294" s="298">
        <f>+D1297*0.19</f>
        <v>1444623.77</v>
      </c>
      <c r="E1294" t="s">
        <v>97</v>
      </c>
      <c r="F1294">
        <v>40</v>
      </c>
      <c r="G1294" s="318" t="str">
        <f>+G1296</f>
        <v>"04-2026" RF T091 6763</v>
      </c>
      <c r="H1294" s="252"/>
      <c r="I1294" s="10">
        <f>+I1296</f>
        <v>6763</v>
      </c>
      <c r="J1294" s="206"/>
      <c r="K1294" s="335"/>
      <c r="N1294" s="336"/>
    </row>
    <row r="1295" spans="1:21" x14ac:dyDescent="0.35">
      <c r="B1295" s="263">
        <v>1149120011</v>
      </c>
      <c r="C1295" s="10" t="s">
        <v>96</v>
      </c>
      <c r="D1295" s="268">
        <f>+D1296</f>
        <v>118459.14914000001</v>
      </c>
      <c r="E1295" s="263" t="s">
        <v>97</v>
      </c>
      <c r="F1295">
        <v>50</v>
      </c>
      <c r="G1295" s="318" t="str">
        <f>+G1292</f>
        <v>"04-2026" RF T091 6763</v>
      </c>
      <c r="H1295" s="252"/>
      <c r="I1295" s="10">
        <f>+I1292</f>
        <v>6763</v>
      </c>
      <c r="J1295" s="206"/>
      <c r="K1295" s="335"/>
      <c r="N1295" s="336"/>
    </row>
    <row r="1296" spans="1:21" x14ac:dyDescent="0.35">
      <c r="B1296" s="263">
        <v>1149120011</v>
      </c>
      <c r="C1296" s="10" t="s">
        <v>96</v>
      </c>
      <c r="D1296" s="298">
        <f>+S1291*D1294</f>
        <v>118459.14914000001</v>
      </c>
      <c r="E1296" s="263" t="s">
        <v>98</v>
      </c>
      <c r="F1296">
        <v>40</v>
      </c>
      <c r="G1296" s="318" t="str">
        <f>+G1293</f>
        <v>"04-2026" RF T091 6763</v>
      </c>
      <c r="H1296" s="252"/>
      <c r="I1296" s="10">
        <f>+I1293</f>
        <v>6763</v>
      </c>
      <c r="J1296" s="350"/>
      <c r="K1296" s="335"/>
      <c r="N1296" s="336"/>
    </row>
    <row r="1297" spans="1:21" x14ac:dyDescent="0.35">
      <c r="B1297" s="263">
        <v>1245150017</v>
      </c>
      <c r="C1297" s="10" t="s">
        <v>77</v>
      </c>
      <c r="D1297" s="268">
        <v>7603283</v>
      </c>
      <c r="E1297" s="263" t="s">
        <v>97</v>
      </c>
      <c r="F1297">
        <v>40</v>
      </c>
      <c r="G1297" s="318" t="str">
        <f>+G1294</f>
        <v>"04-2026" RF T091 6763</v>
      </c>
      <c r="H1297" s="252"/>
      <c r="I1297" s="10">
        <f>+I1294</f>
        <v>6763</v>
      </c>
      <c r="J1297" s="350"/>
      <c r="K1297" s="335"/>
      <c r="N1297" s="336"/>
    </row>
    <row r="1298" spans="1:21" x14ac:dyDescent="0.35">
      <c r="C1298" s="251" t="s">
        <v>76</v>
      </c>
      <c r="D1298" s="265">
        <f>+D1297+D1294+D1295-D1296-D1293-D1292</f>
        <v>8708344.1512199994</v>
      </c>
      <c r="E1298"/>
      <c r="G1298" s="318" t="str">
        <f>+G1297</f>
        <v>"04-2026" RF T091 6763</v>
      </c>
      <c r="J1298" s="350"/>
      <c r="K1298" s="335"/>
      <c r="N1298" s="336"/>
    </row>
    <row r="1299" spans="1:21" x14ac:dyDescent="0.35">
      <c r="A1299" s="130" t="s">
        <v>854</v>
      </c>
      <c r="B1299" s="262">
        <v>204592</v>
      </c>
      <c r="C1299" s="276" t="s">
        <v>1073</v>
      </c>
      <c r="E1299"/>
      <c r="G1299" s="347" t="s">
        <v>483</v>
      </c>
      <c r="H1299" s="262">
        <v>6602</v>
      </c>
      <c r="I1299" s="10" t="s">
        <v>865</v>
      </c>
      <c r="J1299" s="350">
        <f>+VLOOKUP(H1299,contratos!A:R,5,0)</f>
        <v>41730</v>
      </c>
      <c r="K1299" s="266" t="str">
        <f>+VLOOKUP(H1299,contratos!A:R,12,0)</f>
        <v>OK</v>
      </c>
      <c r="L1299" s="341" t="str">
        <f>+VLOOKUP(H1299,contratos!A:R,13,0)</f>
        <v>VIGENTE</v>
      </c>
      <c r="M1299" s="341">
        <f>+VLOOKUP(H1299,contratos!A:R,15,0)</f>
        <v>0</v>
      </c>
      <c r="N1299" s="336">
        <f>+VLOOKUP(H1299,contratos!A:R,16,0)</f>
        <v>0</v>
      </c>
      <c r="O1299" s="341">
        <f>+VLOOKUP(H1299,PRORRATEO!F:M,3,0)</f>
        <v>9759288</v>
      </c>
      <c r="P1299" s="341">
        <f>+VLOOKUP(H1299,PRORRATEO!F:M,4,0)</f>
        <v>1854264.72</v>
      </c>
      <c r="Q1299" s="341">
        <f>+VLOOKUP(H1299,PRORRATEO!F:M,5,0)</f>
        <v>64899.265200000002</v>
      </c>
      <c r="R1299" s="341">
        <f>+VLOOKUP(H1299,PRORRATEO!F:M,6,0)</f>
        <v>1789365.4547999999</v>
      </c>
      <c r="S1299" s="339">
        <f>+VLOOKUP(H1299,PRORRATEO!F:M,7,0)</f>
        <v>3.5000000000000003E-2</v>
      </c>
      <c r="T1299" s="339">
        <f>+VLOOKUP(H1299,PRORRATEO!F:M,8,0)</f>
        <v>0.96499999999999997</v>
      </c>
      <c r="U1299" t="s">
        <v>59</v>
      </c>
    </row>
    <row r="1300" spans="1:21" x14ac:dyDescent="0.35">
      <c r="B1300" s="263">
        <v>1537210004</v>
      </c>
      <c r="C1300" s="10" t="s">
        <v>974</v>
      </c>
      <c r="D1300" s="268">
        <v>6500</v>
      </c>
      <c r="E1300" s="263" t="s">
        <v>80</v>
      </c>
      <c r="F1300">
        <v>40</v>
      </c>
      <c r="G1300" s="316" t="str">
        <f>+CONCATENATE(G7," RF ",G1299," ",H1299)</f>
        <v>"04-2026" RF T027 6602</v>
      </c>
      <c r="H1300" s="252"/>
      <c r="I1300" s="10">
        <f>+H1299</f>
        <v>6602</v>
      </c>
      <c r="J1300" s="350"/>
      <c r="K1300" s="335"/>
      <c r="N1300" s="336"/>
    </row>
    <row r="1301" spans="1:21" x14ac:dyDescent="0.35">
      <c r="B1301" s="263">
        <v>1537210003</v>
      </c>
      <c r="C1301" s="10" t="s">
        <v>1013</v>
      </c>
      <c r="D1301" s="268">
        <v>1119406</v>
      </c>
      <c r="E1301" s="263" t="s">
        <v>80</v>
      </c>
      <c r="F1301">
        <v>40</v>
      </c>
      <c r="G1301" s="318" t="str">
        <f>+G1300</f>
        <v>"04-2026" RF T027 6602</v>
      </c>
      <c r="H1301" s="252"/>
      <c r="I1301" s="10">
        <f>+I1300</f>
        <v>6602</v>
      </c>
      <c r="J1301" s="350"/>
      <c r="K1301" s="335"/>
      <c r="N1301" s="336"/>
    </row>
    <row r="1302" spans="1:21" x14ac:dyDescent="0.35">
      <c r="B1302" s="263">
        <v>1537210002</v>
      </c>
      <c r="C1302" s="10" t="s">
        <v>1015</v>
      </c>
      <c r="D1302" s="268">
        <f>4685780+58038</f>
        <v>4743818</v>
      </c>
      <c r="E1302" s="263" t="s">
        <v>80</v>
      </c>
      <c r="F1302">
        <v>40</v>
      </c>
      <c r="G1302" s="318" t="str">
        <f>+G1301</f>
        <v>"04-2026" RF T027 6602</v>
      </c>
      <c r="H1302" s="252"/>
      <c r="I1302" s="10">
        <f>+I1301</f>
        <v>6602</v>
      </c>
      <c r="J1302" s="350"/>
      <c r="K1302" s="335"/>
      <c r="N1302" s="336"/>
    </row>
    <row r="1303" spans="1:21" x14ac:dyDescent="0.35">
      <c r="C1303" s="251" t="s">
        <v>76</v>
      </c>
      <c r="D1303" s="265">
        <f>SUM(D1300:D1302)</f>
        <v>5869724</v>
      </c>
      <c r="E1303"/>
      <c r="G1303" s="318" t="str">
        <f>+G1302</f>
        <v>"04-2026" RF T027 6602</v>
      </c>
      <c r="H1303" s="252"/>
      <c r="J1303" s="350"/>
      <c r="K1303" s="335"/>
      <c r="N1303" s="336"/>
    </row>
    <row r="1304" spans="1:21" x14ac:dyDescent="0.35">
      <c r="A1304" s="130" t="s">
        <v>854</v>
      </c>
      <c r="B1304" s="262">
        <v>204544</v>
      </c>
      <c r="C1304" s="276" t="s">
        <v>68</v>
      </c>
      <c r="E1304"/>
      <c r="G1304" s="347" t="s">
        <v>1153</v>
      </c>
      <c r="H1304" s="262">
        <v>6760</v>
      </c>
      <c r="I1304" s="10" t="s">
        <v>865</v>
      </c>
      <c r="J1304" s="350">
        <f>+VLOOKUP(H1304,contratos!A:R,5,0)</f>
        <v>40057</v>
      </c>
      <c r="K1304" s="266" t="str">
        <f>+VLOOKUP(H1304,contratos!A:R,12,0)</f>
        <v>OK</v>
      </c>
      <c r="L1304" s="341" t="str">
        <f>+VLOOKUP(H1304,contratos!A:R,13,0)</f>
        <v>VIGENTE</v>
      </c>
      <c r="M1304" s="341">
        <f>+VLOOKUP(H1304,contratos!A:R,15,0)</f>
        <v>0</v>
      </c>
      <c r="N1304" s="336">
        <f>+VLOOKUP(H1304,contratos!A:R,16,0)</f>
        <v>0</v>
      </c>
      <c r="O1304" s="341">
        <f>+VLOOKUP(H1304,PRORRATEO!F:M,3,0)</f>
        <v>17558152</v>
      </c>
      <c r="P1304" s="341">
        <f>+VLOOKUP(H1304,PRORRATEO!F:M,4,0)</f>
        <v>3336048.88</v>
      </c>
      <c r="Q1304" s="341">
        <f>+VLOOKUP(H1304,PRORRATEO!F:M,5,0)</f>
        <v>423678.20776000002</v>
      </c>
      <c r="R1304" s="341">
        <f>+VLOOKUP(H1304,PRORRATEO!F:M,6,0)</f>
        <v>2912370.6722399998</v>
      </c>
      <c r="S1304" s="339">
        <f>+VLOOKUP(H1304,PRORRATEO!F:M,7,0)</f>
        <v>0.127</v>
      </c>
      <c r="T1304" s="339">
        <f>+VLOOKUP(H1304,PRORRATEO!F:M,8,0)</f>
        <v>0.873</v>
      </c>
      <c r="U1304" t="s">
        <v>786</v>
      </c>
    </row>
    <row r="1305" spans="1:21" x14ac:dyDescent="0.35">
      <c r="B1305" s="263">
        <v>1537210002</v>
      </c>
      <c r="C1305" s="10" t="s">
        <v>1015</v>
      </c>
      <c r="D1305" s="268">
        <v>1888428</v>
      </c>
      <c r="E1305" t="s">
        <v>80</v>
      </c>
      <c r="F1305" s="263">
        <v>40</v>
      </c>
      <c r="G1305" s="316" t="str">
        <f>+CONCATENATE($G$7," RF ",G1304," ",H1304)</f>
        <v>"04-2026" RF T88 6760</v>
      </c>
      <c r="H1305" s="252"/>
      <c r="I1305" s="10">
        <f>+H1304</f>
        <v>6760</v>
      </c>
      <c r="J1305" s="350"/>
      <c r="K1305" s="335"/>
      <c r="N1305" s="336"/>
    </row>
    <row r="1306" spans="1:21" x14ac:dyDescent="0.35">
      <c r="C1306" s="251" t="s">
        <v>76</v>
      </c>
      <c r="D1306" s="265">
        <f>SUM(D1305)</f>
        <v>1888428</v>
      </c>
      <c r="E1306"/>
      <c r="G1306" s="318" t="str">
        <f>+G1305</f>
        <v>"04-2026" RF T88 6760</v>
      </c>
      <c r="H1306" s="252"/>
      <c r="J1306" s="350"/>
      <c r="K1306" s="335"/>
      <c r="N1306" s="336"/>
    </row>
    <row r="1307" spans="1:21" x14ac:dyDescent="0.35">
      <c r="A1307" s="130" t="s">
        <v>854</v>
      </c>
      <c r="B1307" s="262">
        <v>204741</v>
      </c>
      <c r="C1307" s="276" t="s">
        <v>1074</v>
      </c>
      <c r="D1307" s="298"/>
      <c r="E1307"/>
      <c r="G1307" s="347" t="s">
        <v>1164</v>
      </c>
      <c r="H1307" s="262">
        <v>6598</v>
      </c>
      <c r="I1307" s="10" t="s">
        <v>865</v>
      </c>
      <c r="J1307" s="350">
        <f>+VLOOKUP(H1307,contratos!A:R,5,0)</f>
        <v>43466</v>
      </c>
      <c r="K1307" s="266" t="str">
        <f>+VLOOKUP(H1307,contratos!A:R,12,0)</f>
        <v>VENCIDO</v>
      </c>
      <c r="L1307" s="341" t="str">
        <f>+VLOOKUP(H1307,contratos!A:R,13,0)</f>
        <v>CESADO</v>
      </c>
      <c r="M1307" s="341">
        <f>+VLOOKUP(H1307,contratos!A:R,15,0)</f>
        <v>0</v>
      </c>
      <c r="N1307" s="336">
        <f>+VLOOKUP(H1307,contratos!A:R,16,0)</f>
        <v>0</v>
      </c>
      <c r="O1307" s="341">
        <f>+VLOOKUP(H1307,PRORRATEO!F:M,3,0)</f>
        <v>19543600</v>
      </c>
      <c r="P1307" s="341">
        <f>+VLOOKUP(H1307,PRORRATEO!F:M,4,0)</f>
        <v>3713284</v>
      </c>
      <c r="Q1307" s="341">
        <f>+VLOOKUP(H1307,PRORRATEO!F:M,5,0)</f>
        <v>497580.05600000004</v>
      </c>
      <c r="R1307" s="341">
        <f>+VLOOKUP(H1307,PRORRATEO!F:M,6,0)</f>
        <v>3215703.9440000001</v>
      </c>
      <c r="S1307" s="339">
        <f>+VLOOKUP(H1307,PRORRATEO!F:M,7,0)</f>
        <v>0.13400000000000001</v>
      </c>
      <c r="T1307" s="339">
        <f>+VLOOKUP(H1307,PRORRATEO!F:M,8,0)</f>
        <v>0.86599999999999999</v>
      </c>
      <c r="U1307" t="s">
        <v>10</v>
      </c>
    </row>
    <row r="1308" spans="1:21" x14ac:dyDescent="0.35">
      <c r="B1308" s="4">
        <v>1537210003</v>
      </c>
      <c r="C1308" s="10" t="s">
        <v>1013</v>
      </c>
      <c r="D1308" s="268">
        <v>25059</v>
      </c>
      <c r="E1308" t="s">
        <v>80</v>
      </c>
      <c r="F1308">
        <v>40</v>
      </c>
      <c r="G1308" s="316" t="str">
        <f>+CONCATENATE($G$7," RF ",G1307," ",H1307)</f>
        <v>"04-2026" RF T19 6598</v>
      </c>
      <c r="H1308" s="252"/>
      <c r="I1308" s="10">
        <f>+H1307</f>
        <v>6598</v>
      </c>
      <c r="J1308" s="350"/>
      <c r="K1308" s="335"/>
      <c r="N1308" s="336"/>
    </row>
    <row r="1309" spans="1:21" x14ac:dyDescent="0.35">
      <c r="B1309" s="4">
        <v>1537210002</v>
      </c>
      <c r="C1309" s="10" t="s">
        <v>1015</v>
      </c>
      <c r="D1309" s="268">
        <v>1771188</v>
      </c>
      <c r="E1309" t="s">
        <v>80</v>
      </c>
      <c r="F1309">
        <v>40</v>
      </c>
      <c r="G1309" s="318" t="str">
        <f>+G1308</f>
        <v>"04-2026" RF T19 6598</v>
      </c>
      <c r="H1309" s="252"/>
      <c r="I1309" s="10">
        <f>+I1308</f>
        <v>6598</v>
      </c>
      <c r="J1309" s="350"/>
      <c r="K1309" s="335"/>
      <c r="N1309" s="336"/>
    </row>
    <row r="1310" spans="1:21" x14ac:dyDescent="0.35">
      <c r="C1310" s="251" t="s">
        <v>76</v>
      </c>
      <c r="D1310" s="332">
        <v>1796247</v>
      </c>
      <c r="E1310"/>
      <c r="G1310" s="318" t="str">
        <f>+G1308</f>
        <v>"04-2026" RF T19 6598</v>
      </c>
      <c r="H1310" s="252"/>
      <c r="I1310" s="10">
        <f>+I1309</f>
        <v>6598</v>
      </c>
      <c r="J1310" s="350"/>
      <c r="K1310" s="335"/>
      <c r="N1310" s="336"/>
    </row>
    <row r="1311" spans="1:21" x14ac:dyDescent="0.35">
      <c r="A1311" s="130" t="s">
        <v>854</v>
      </c>
      <c r="B1311" s="262">
        <v>204625</v>
      </c>
      <c r="C1311" s="276" t="s">
        <v>563</v>
      </c>
      <c r="E1311"/>
      <c r="G1311" s="347" t="s">
        <v>1151</v>
      </c>
      <c r="H1311" s="262">
        <v>6717</v>
      </c>
      <c r="I1311" s="10" t="s">
        <v>865</v>
      </c>
      <c r="J1311" s="350">
        <f>+VLOOKUP(H1311,contratos!A:R,5,0)</f>
        <v>42736</v>
      </c>
      <c r="K1311" s="266" t="str">
        <f>+VLOOKUP(H1311,contratos!A:R,12,0)</f>
        <v>OK</v>
      </c>
      <c r="L1311" s="341" t="str">
        <f>+VLOOKUP(H1311,contratos!A:R,13,0)</f>
        <v>VIGENTE</v>
      </c>
      <c r="M1311" s="341">
        <f>+VLOOKUP(H1311,contratos!A:R,15,0)</f>
        <v>0</v>
      </c>
      <c r="N1311" s="336">
        <f>+VLOOKUP(H1311,contratos!A:R,16,0)</f>
        <v>0</v>
      </c>
      <c r="O1311" s="341">
        <f>+VLOOKUP(H1311,PRORRATEO!F:M,3,0)</f>
        <v>18577600</v>
      </c>
      <c r="P1311" s="341">
        <f>+VLOOKUP(H1311,PRORRATEO!F:M,4,0)</f>
        <v>3529744</v>
      </c>
      <c r="Q1311" s="341">
        <f>+VLOOKUP(H1311,PRORRATEO!F:M,5,0)</f>
        <v>363563.63199999998</v>
      </c>
      <c r="R1311" s="341">
        <f>+VLOOKUP(H1311,PRORRATEO!F:M,6,0)</f>
        <v>3166180.3680000002</v>
      </c>
      <c r="S1311" s="339">
        <f>+VLOOKUP(H1311,PRORRATEO!F:M,7,0)</f>
        <v>0.10299999999999999</v>
      </c>
      <c r="T1311" s="339">
        <f>+VLOOKUP(H1311,PRORRATEO!F:M,8,0)</f>
        <v>0.89700000000000002</v>
      </c>
      <c r="U1311" t="s">
        <v>782</v>
      </c>
    </row>
    <row r="1312" spans="1:21" x14ac:dyDescent="0.35">
      <c r="B1312" s="263">
        <v>1537210003</v>
      </c>
      <c r="C1312" s="10" t="s">
        <v>1013</v>
      </c>
      <c r="D1312" s="268">
        <v>450113.89</v>
      </c>
      <c r="E1312" s="263" t="s">
        <v>80</v>
      </c>
      <c r="F1312">
        <v>40</v>
      </c>
      <c r="G1312" s="316" t="str">
        <f>+CONCATENATE(G7," GC ",G1311," ",H1311)</f>
        <v>"04-2026" GC T82 6717</v>
      </c>
      <c r="H1312" s="252"/>
      <c r="I1312" s="10">
        <f>+H1311</f>
        <v>6717</v>
      </c>
      <c r="J1312" s="350"/>
      <c r="K1312" s="335"/>
      <c r="N1312" s="336"/>
    </row>
    <row r="1313" spans="1:21" x14ac:dyDescent="0.35">
      <c r="B1313" s="263">
        <v>1532001605</v>
      </c>
      <c r="C1313" s="10" t="s">
        <v>1017</v>
      </c>
      <c r="D1313" s="268">
        <v>14103.09</v>
      </c>
      <c r="E1313" s="263" t="s">
        <v>80</v>
      </c>
      <c r="F1313">
        <v>40</v>
      </c>
      <c r="G1313" s="318" t="str">
        <f>+CONCATENATE(G7," ENERGÍA ",G1311," ",H1311)</f>
        <v>"04-2026" ENERGÍA T82 6717</v>
      </c>
      <c r="H1313" s="252"/>
      <c r="I1313" s="10">
        <f>+I1312</f>
        <v>6717</v>
      </c>
      <c r="J1313" s="350"/>
      <c r="K1313" s="335"/>
      <c r="N1313" s="336"/>
    </row>
    <row r="1314" spans="1:21" x14ac:dyDescent="0.35">
      <c r="B1314" s="263">
        <v>1532001604</v>
      </c>
      <c r="C1314" s="10" t="s">
        <v>1014</v>
      </c>
      <c r="D1314" s="268">
        <v>6053</v>
      </c>
      <c r="E1314" s="263" t="s">
        <v>80</v>
      </c>
      <c r="F1314">
        <v>40</v>
      </c>
      <c r="G1314" s="318" t="str">
        <f>+CONCATENATE(G7," ACUED ",G1311," ",H1311)</f>
        <v>"04-2026" ACUED T82 6717</v>
      </c>
      <c r="H1314" s="252"/>
      <c r="I1314" s="10">
        <f>+I1313</f>
        <v>6717</v>
      </c>
      <c r="J1314" s="350"/>
      <c r="K1314" s="335"/>
      <c r="N1314" s="336"/>
    </row>
    <row r="1315" spans="1:21" x14ac:dyDescent="0.35">
      <c r="B1315" s="263">
        <v>1245150017</v>
      </c>
      <c r="C1315" s="10" t="s">
        <v>77</v>
      </c>
      <c r="D1315" s="268">
        <f>1080781.38+31318.83</f>
        <v>1112100.21</v>
      </c>
      <c r="E1315" s="263" t="s">
        <v>80</v>
      </c>
      <c r="F1315">
        <v>40</v>
      </c>
      <c r="G1315" s="10" t="str">
        <f>+CONCATENATE(G7," GC ",G1311," ",H1311)</f>
        <v>"04-2026" GC T82 6717</v>
      </c>
      <c r="H1315" s="252"/>
      <c r="I1315" s="10">
        <f>+I1314</f>
        <v>6717</v>
      </c>
      <c r="J1315" s="350"/>
      <c r="K1315" s="335"/>
      <c r="N1315" s="336"/>
    </row>
    <row r="1316" spans="1:21" x14ac:dyDescent="0.35">
      <c r="C1316" s="251" t="s">
        <v>76</v>
      </c>
      <c r="D1316" s="265">
        <f>SUM(D1312:D1315)</f>
        <v>1582370.19</v>
      </c>
      <c r="E1316"/>
      <c r="G1316" s="274" t="str">
        <f>+CONCATENATE(G7," GC/ACUED/ENERGÍA ",G1311," ",H1311)</f>
        <v>"04-2026" GC/ACUED/ENERGÍA T82 6717</v>
      </c>
      <c r="H1316" s="252"/>
      <c r="J1316" s="350"/>
      <c r="K1316" s="335"/>
      <c r="N1316" s="336"/>
    </row>
    <row r="1317" spans="1:21" x14ac:dyDescent="0.35">
      <c r="A1317" s="130" t="s">
        <v>853</v>
      </c>
      <c r="B1317" s="262">
        <v>208499</v>
      </c>
      <c r="C1317" s="276" t="s">
        <v>1075</v>
      </c>
      <c r="E1317"/>
      <c r="G1317" s="347" t="s">
        <v>1165</v>
      </c>
      <c r="H1317" s="262">
        <v>6693</v>
      </c>
      <c r="I1317" s="10" t="s">
        <v>857</v>
      </c>
      <c r="J1317" s="350">
        <f>+VLOOKUP(H1317,contratos!A:R,5,0)</f>
        <v>43002</v>
      </c>
      <c r="K1317" s="266" t="str">
        <f>+VLOOKUP(H1317,contratos!A:R,12,0)</f>
        <v>OK</v>
      </c>
      <c r="L1317" s="341" t="str">
        <f>+VLOOKUP(H1317,contratos!A:R,13,0)</f>
        <v>VIGENTE</v>
      </c>
      <c r="M1317" s="341">
        <f>+VLOOKUP(H1317,contratos!A:R,15,0)</f>
        <v>0</v>
      </c>
      <c r="N1317" s="336">
        <f>+VLOOKUP(H1317,contratos!A:R,16,0)</f>
        <v>0</v>
      </c>
      <c r="O1317" s="341">
        <f>+VLOOKUP(B1317,PRORRATEO!A:M,8,0)</f>
        <v>23669640</v>
      </c>
      <c r="P1317" s="341">
        <f>+VLOOKUP(B1317,PRORRATEO!A:M,9,0)</f>
        <v>4497231.5999999996</v>
      </c>
      <c r="Q1317" s="341">
        <f>+VLOOKUP(B1317,PRORRATEO!A:M,10,0)</f>
        <v>218113.55581800579</v>
      </c>
      <c r="R1317" s="341">
        <f>+VLOOKUP(B1317,PRORRATEO!A:M,11,0)</f>
        <v>4279118.0441819942</v>
      </c>
      <c r="S1317" s="339">
        <f>+VLOOKUP(B1317,PRORRATEO!A:M,12,0)</f>
        <v>4.849951597289448E-2</v>
      </c>
      <c r="T1317" s="339">
        <f>+VLOOKUP(B1317,PRORRATEO!A:M,13,0)</f>
        <v>0.95150048402710552</v>
      </c>
      <c r="U1317" t="s">
        <v>762</v>
      </c>
    </row>
    <row r="1318" spans="1:21" x14ac:dyDescent="0.35">
      <c r="B1318" s="4">
        <v>1246125027</v>
      </c>
      <c r="C1318" s="10" t="s">
        <v>962</v>
      </c>
      <c r="D1318" s="268">
        <f>-D1319*K1318</f>
        <v>-961446.01000000013</v>
      </c>
      <c r="E1318"/>
      <c r="F1318">
        <v>50</v>
      </c>
      <c r="G1318" s="316" t="str">
        <f>+CONCATENATE($G$7," RF ",G1317," ",H1317)</f>
        <v>"04-2026" RF T70 6693</v>
      </c>
      <c r="H1318" s="252"/>
      <c r="I1318" s="10">
        <f>+H1317</f>
        <v>6693</v>
      </c>
      <c r="J1318" s="387" t="s">
        <v>857</v>
      </c>
      <c r="K1318" s="351">
        <v>3.5000000000000003E-2</v>
      </c>
      <c r="N1318" s="336"/>
    </row>
    <row r="1319" spans="1:21" x14ac:dyDescent="0.35">
      <c r="B1319" s="263">
        <v>1245150017</v>
      </c>
      <c r="C1319" s="10" t="s">
        <v>77</v>
      </c>
      <c r="D1319" s="268">
        <v>27469886</v>
      </c>
      <c r="E1319" s="263" t="s">
        <v>97</v>
      </c>
      <c r="F1319">
        <v>40</v>
      </c>
      <c r="G1319" s="318" t="str">
        <f>+G1318</f>
        <v>"04-2026" RF T70 6693</v>
      </c>
      <c r="H1319" s="252"/>
      <c r="I1319" s="10">
        <f>+I1318</f>
        <v>6693</v>
      </c>
      <c r="J1319" s="350"/>
      <c r="K1319" s="335"/>
      <c r="N1319" s="336"/>
    </row>
    <row r="1320" spans="1:21" x14ac:dyDescent="0.35">
      <c r="A1320" s="438" t="s">
        <v>1276</v>
      </c>
      <c r="B1320" s="263">
        <v>1149120011</v>
      </c>
      <c r="C1320" s="10" t="s">
        <v>96</v>
      </c>
      <c r="D1320" s="268">
        <f>+D1322*S1317</f>
        <v>253132.47321781219</v>
      </c>
      <c r="E1320" s="263" t="s">
        <v>98</v>
      </c>
      <c r="F1320">
        <v>40</v>
      </c>
      <c r="G1320" s="318" t="str">
        <f>+G1319</f>
        <v>"04-2026" RF T70 6693</v>
      </c>
      <c r="H1320" s="252"/>
      <c r="I1320" s="10">
        <f>+I1319</f>
        <v>6693</v>
      </c>
      <c r="J1320" s="350"/>
      <c r="K1320" s="266">
        <f>+D1319+D1322</f>
        <v>32689164.34</v>
      </c>
      <c r="N1320" s="336"/>
    </row>
    <row r="1321" spans="1:21" x14ac:dyDescent="0.35">
      <c r="B1321" s="263">
        <v>1149120011</v>
      </c>
      <c r="C1321" s="10" t="s">
        <v>96</v>
      </c>
      <c r="D1321" s="268">
        <f>-D1320</f>
        <v>-253132.47321781219</v>
      </c>
      <c r="E1321" s="263" t="s">
        <v>97</v>
      </c>
      <c r="F1321">
        <v>50</v>
      </c>
      <c r="G1321" s="318" t="str">
        <f>+G1320</f>
        <v>"04-2026" RF T70 6693</v>
      </c>
      <c r="H1321" s="252"/>
      <c r="I1321" s="10">
        <f>+I1320</f>
        <v>6693</v>
      </c>
      <c r="J1321" s="206"/>
      <c r="K1321" s="335"/>
      <c r="N1321" s="336"/>
    </row>
    <row r="1322" spans="1:21" x14ac:dyDescent="0.35">
      <c r="B1322" s="4">
        <v>1149120011</v>
      </c>
      <c r="C1322" s="10" t="s">
        <v>96</v>
      </c>
      <c r="D1322" s="298">
        <f>+D1319*0.19</f>
        <v>5219278.34</v>
      </c>
      <c r="E1322" t="s">
        <v>97</v>
      </c>
      <c r="F1322">
        <v>40</v>
      </c>
      <c r="G1322" s="318" t="str">
        <f>+G1321</f>
        <v>"04-2026" RF T70 6693</v>
      </c>
      <c r="H1322" s="252"/>
      <c r="I1322" s="10">
        <f>+I1321</f>
        <v>6693</v>
      </c>
      <c r="J1322" s="350"/>
      <c r="K1322" s="335"/>
      <c r="N1322" s="336"/>
    </row>
    <row r="1323" spans="1:21" x14ac:dyDescent="0.35">
      <c r="C1323" s="251" t="s">
        <v>76</v>
      </c>
      <c r="D1323" s="265">
        <f>SUBTOTAL(9,D1318:D1322)</f>
        <v>31727718.329999998</v>
      </c>
      <c r="E1323"/>
      <c r="G1323" s="318" t="str">
        <f>+G1322</f>
        <v>"04-2026" RF T70 6693</v>
      </c>
      <c r="H1323" s="252"/>
      <c r="I1323" s="10">
        <f>+I1322</f>
        <v>6693</v>
      </c>
      <c r="J1323" s="350"/>
      <c r="K1323" s="335"/>
      <c r="N1323" s="336"/>
    </row>
    <row r="1324" spans="1:21" x14ac:dyDescent="0.35">
      <c r="A1324" s="130" t="s">
        <v>853</v>
      </c>
      <c r="B1324" s="262">
        <v>204884</v>
      </c>
      <c r="C1324" s="276" t="s">
        <v>59</v>
      </c>
      <c r="E1324"/>
      <c r="G1324" s="347" t="s">
        <v>483</v>
      </c>
      <c r="H1324" s="262">
        <v>6602</v>
      </c>
      <c r="I1324" s="10" t="s">
        <v>1076</v>
      </c>
      <c r="J1324" s="350">
        <f>+VLOOKUP(H1324,contratos!A:R,5,0)</f>
        <v>41730</v>
      </c>
      <c r="K1324" s="266" t="str">
        <f>+VLOOKUP(H1324,contratos!A:R,12,0)</f>
        <v>OK</v>
      </c>
      <c r="L1324" s="341" t="str">
        <f>+VLOOKUP(H1324,contratos!A:R,13,0)</f>
        <v>VIGENTE</v>
      </c>
      <c r="M1324" s="341">
        <f>+VLOOKUP(H1324,contratos!A:R,15,0)</f>
        <v>0</v>
      </c>
      <c r="N1324" s="336">
        <f>+VLOOKUP(H1324,contratos!A:R,16,0)</f>
        <v>0</v>
      </c>
      <c r="O1324" s="341">
        <f>+VLOOKUP(B1324,PRORRATEO!A:M,8,0)</f>
        <v>9759288</v>
      </c>
      <c r="P1324" s="341">
        <f>+VLOOKUP(B1324,PRORRATEO!A:M,9,0)</f>
        <v>1854264.72</v>
      </c>
      <c r="Q1324" s="341">
        <f>+VLOOKUP(B1324,PRORRATEO!A:M,10,0)</f>
        <v>64899.265200000002</v>
      </c>
      <c r="R1324" s="341">
        <f>+VLOOKUP(B1324,PRORRATEO!A:M,11,0)</f>
        <v>1789365.4547999999</v>
      </c>
      <c r="S1324" s="339">
        <f>+VLOOKUP(B1324,PRORRATEO!A:M,12,0)</f>
        <v>3.5000000000000003E-2</v>
      </c>
      <c r="T1324" s="339">
        <f>+VLOOKUP(B1324,PRORRATEO!A:M,13,0)</f>
        <v>0.96499999999999997</v>
      </c>
      <c r="U1324" t="s">
        <v>59</v>
      </c>
    </row>
    <row r="1325" spans="1:21" x14ac:dyDescent="0.35">
      <c r="B1325" s="4">
        <v>1249100024</v>
      </c>
      <c r="C1325" s="10" t="s">
        <v>981</v>
      </c>
      <c r="D1325" s="268">
        <f>-D1327*J1325</f>
        <v>-102667.826239988</v>
      </c>
      <c r="E1325"/>
      <c r="F1325">
        <v>50</v>
      </c>
      <c r="G1325" s="316" t="str">
        <f>+CONCATENATE($G$7," RF ",G1324," ",H1324)</f>
        <v>"04-2026" RF T027 6602</v>
      </c>
      <c r="H1325" s="252"/>
      <c r="I1325" s="251">
        <v>10</v>
      </c>
      <c r="J1325" s="352">
        <f>97593/9759288</f>
        <v>1.000001229597897E-2</v>
      </c>
      <c r="K1325" s="335"/>
      <c r="N1325" s="336"/>
    </row>
    <row r="1326" spans="1:21" x14ac:dyDescent="0.35">
      <c r="B1326" s="4">
        <v>1246125027</v>
      </c>
      <c r="C1326" s="10" t="s">
        <v>962</v>
      </c>
      <c r="D1326" s="268">
        <f>-D1327*J1326</f>
        <v>-359336.95</v>
      </c>
      <c r="E1326"/>
      <c r="F1326">
        <v>50</v>
      </c>
      <c r="G1326" s="318" t="str">
        <f t="shared" ref="G1326:G1331" si="66">+G1325</f>
        <v>"04-2026" RF T027 6602</v>
      </c>
      <c r="H1326" s="252"/>
      <c r="I1326" s="251" t="s">
        <v>857</v>
      </c>
      <c r="J1326" s="351">
        <v>3.5000000000000003E-2</v>
      </c>
      <c r="K1326" s="335"/>
      <c r="N1326" s="336"/>
    </row>
    <row r="1327" spans="1:21" x14ac:dyDescent="0.35">
      <c r="B1327" s="263">
        <v>1245150017</v>
      </c>
      <c r="C1327" s="10" t="s">
        <v>77</v>
      </c>
      <c r="D1327" s="268">
        <v>10266770</v>
      </c>
      <c r="E1327" s="263" t="s">
        <v>97</v>
      </c>
      <c r="F1327">
        <v>40</v>
      </c>
      <c r="G1327" s="318" t="str">
        <f t="shared" si="66"/>
        <v>"04-2026" RF T027 6602</v>
      </c>
      <c r="H1327" s="252"/>
      <c r="I1327" s="10">
        <f>+H1324</f>
        <v>6602</v>
      </c>
      <c r="J1327" s="350"/>
      <c r="K1327" s="335"/>
      <c r="N1327" s="336"/>
    </row>
    <row r="1328" spans="1:21" x14ac:dyDescent="0.35">
      <c r="B1328" s="263">
        <v>1149120011</v>
      </c>
      <c r="C1328" s="10" t="s">
        <v>96</v>
      </c>
      <c r="D1328" s="268">
        <f>+D1330*S1324</f>
        <v>68274.020500000013</v>
      </c>
      <c r="E1328" s="263" t="s">
        <v>98</v>
      </c>
      <c r="F1328">
        <v>40</v>
      </c>
      <c r="G1328" s="318" t="str">
        <f t="shared" si="66"/>
        <v>"04-2026" RF T027 6602</v>
      </c>
      <c r="H1328" s="252"/>
      <c r="I1328" s="10">
        <f>+I1327</f>
        <v>6602</v>
      </c>
      <c r="J1328" s="350"/>
      <c r="K1328" s="335"/>
      <c r="N1328" s="336"/>
    </row>
    <row r="1329" spans="1:21" x14ac:dyDescent="0.35">
      <c r="B1329" s="263">
        <v>1149120011</v>
      </c>
      <c r="C1329" s="10" t="s">
        <v>96</v>
      </c>
      <c r="D1329" s="268">
        <f>+D1328</f>
        <v>68274.020500000013</v>
      </c>
      <c r="E1329" s="263" t="s">
        <v>97</v>
      </c>
      <c r="F1329">
        <v>50</v>
      </c>
      <c r="G1329" s="318" t="str">
        <f t="shared" si="66"/>
        <v>"04-2026" RF T027 6602</v>
      </c>
      <c r="H1329" s="252"/>
      <c r="I1329" s="10">
        <f>+I1328</f>
        <v>6602</v>
      </c>
      <c r="J1329" s="350"/>
      <c r="K1329" s="335"/>
      <c r="N1329" s="336"/>
    </row>
    <row r="1330" spans="1:21" x14ac:dyDescent="0.35">
      <c r="B1330" s="4">
        <v>1149120011</v>
      </c>
      <c r="C1330" s="10" t="s">
        <v>96</v>
      </c>
      <c r="D1330" s="268">
        <f>+D1327*0.19</f>
        <v>1950686.3</v>
      </c>
      <c r="E1330" t="s">
        <v>97</v>
      </c>
      <c r="F1330">
        <v>40</v>
      </c>
      <c r="G1330" s="318" t="str">
        <f t="shared" si="66"/>
        <v>"04-2026" RF T027 6602</v>
      </c>
      <c r="H1330" s="252"/>
      <c r="I1330" s="10">
        <f>+I1329</f>
        <v>6602</v>
      </c>
      <c r="J1330" s="350"/>
      <c r="K1330" s="335"/>
      <c r="N1330" s="336"/>
    </row>
    <row r="1331" spans="1:21" x14ac:dyDescent="0.35">
      <c r="C1331" s="251" t="s">
        <v>76</v>
      </c>
      <c r="D1331" s="332">
        <f>+D1327+D1328-D1329+D1330+D1325+D1326</f>
        <v>11755451.523760013</v>
      </c>
      <c r="E1331"/>
      <c r="G1331" s="318" t="str">
        <f t="shared" si="66"/>
        <v>"04-2026" RF T027 6602</v>
      </c>
      <c r="H1331" s="252"/>
      <c r="J1331" s="350"/>
      <c r="K1331" s="335"/>
      <c r="N1331" s="336"/>
    </row>
    <row r="1332" spans="1:21" x14ac:dyDescent="0.35">
      <c r="A1332" s="130" t="s">
        <v>853</v>
      </c>
      <c r="B1332" s="262">
        <v>219333</v>
      </c>
      <c r="C1332" s="276" t="s">
        <v>823</v>
      </c>
      <c r="E1332"/>
      <c r="G1332" s="405" t="s">
        <v>411</v>
      </c>
      <c r="H1332" s="406">
        <v>8976</v>
      </c>
      <c r="J1332" s="350">
        <f>+VLOOKUP(H1332,contratos!A:R,5,0)</f>
        <v>45839</v>
      </c>
      <c r="K1332" s="266" t="str">
        <f>+VLOOKUP(H1332,contratos!A:R,12,0)</f>
        <v>OK</v>
      </c>
      <c r="L1332" s="341" t="str">
        <f>+VLOOKUP(H1332,contratos!A:R,13,0)</f>
        <v>VIGENTE</v>
      </c>
      <c r="M1332" s="341">
        <f>+VLOOKUP(H1332,contratos!A:R,15,0)</f>
        <v>0</v>
      </c>
      <c r="N1332" s="336">
        <f>+VLOOKUP(H1332,contratos!A:R,16,0)</f>
        <v>1545851</v>
      </c>
      <c r="O1332" s="341">
        <f>+VLOOKUP(B1332,PRORRATEO!A:M,8,0)</f>
        <v>23498968</v>
      </c>
      <c r="P1332" s="341">
        <f>+VLOOKUP(B1332,PRORRATEO!A:M,9,0)</f>
        <v>4464803.92</v>
      </c>
      <c r="Q1332" s="341">
        <f>+VLOOKUP(B1332,PRORRATEO!A:M,10,0)</f>
        <v>361649.11752000003</v>
      </c>
      <c r="R1332" s="341">
        <f>+VLOOKUP(B1332,PRORRATEO!A:M,11,0)</f>
        <v>4103154.8024800001</v>
      </c>
      <c r="S1332" s="339">
        <f>+VLOOKUP(B1332,PRORRATEO!A:M,12,0)</f>
        <v>8.1000000000000003E-2</v>
      </c>
      <c r="T1332" s="339">
        <f>+VLOOKUP(B1332,PRORRATEO!A:M,13,0)</f>
        <v>0.91900000000000004</v>
      </c>
      <c r="U1332" t="s">
        <v>823</v>
      </c>
    </row>
    <row r="1333" spans="1:21" x14ac:dyDescent="0.35">
      <c r="B1333" s="4">
        <v>1532001605</v>
      </c>
      <c r="C1333" s="10" t="s">
        <v>1017</v>
      </c>
      <c r="D1333" s="268">
        <v>583688</v>
      </c>
      <c r="E1333" t="s">
        <v>80</v>
      </c>
      <c r="F1333">
        <v>40</v>
      </c>
      <c r="G1333" s="316" t="str">
        <f>+CONCATENATE($G$7," ENERGÍA/ACUEDUCTO ",G1332," ",H1332)</f>
        <v>"04-2026" ENERGÍA/ACUEDUCTO T116 8976</v>
      </c>
      <c r="H1333" s="252"/>
      <c r="I1333" s="10">
        <f>+H1332</f>
        <v>8976</v>
      </c>
      <c r="J1333" s="350"/>
      <c r="K1333" s="335"/>
      <c r="N1333" s="336"/>
    </row>
    <row r="1334" spans="1:21" x14ac:dyDescent="0.35">
      <c r="B1334" s="4">
        <v>1532001604</v>
      </c>
      <c r="C1334" s="10" t="s">
        <v>1014</v>
      </c>
      <c r="D1334" s="268">
        <v>11584</v>
      </c>
      <c r="E1334" t="s">
        <v>80</v>
      </c>
      <c r="F1334">
        <v>40</v>
      </c>
      <c r="G1334" s="318" t="str">
        <f>+G1333</f>
        <v>"04-2026" ENERGÍA/ACUEDUCTO T116 8976</v>
      </c>
      <c r="H1334" s="252"/>
      <c r="I1334" s="10">
        <f>+I1333</f>
        <v>8976</v>
      </c>
      <c r="J1334" s="350"/>
      <c r="K1334" s="335"/>
      <c r="N1334" s="336"/>
    </row>
    <row r="1335" spans="1:21" x14ac:dyDescent="0.35">
      <c r="C1335" s="251" t="s">
        <v>76</v>
      </c>
      <c r="D1335" s="265">
        <f>SUBTOTAL(9,D1333:D1334)</f>
        <v>595272</v>
      </c>
      <c r="E1335"/>
      <c r="G1335" s="318" t="str">
        <f>+G1334</f>
        <v>"04-2026" ENERGÍA/ACUEDUCTO T116 8976</v>
      </c>
      <c r="H1335" s="252"/>
      <c r="I1335" s="10">
        <f>+I1334</f>
        <v>8976</v>
      </c>
      <c r="J1335" s="350"/>
      <c r="K1335" s="335"/>
      <c r="N1335" s="336"/>
    </row>
    <row r="1336" spans="1:21" x14ac:dyDescent="0.35">
      <c r="A1336" s="130" t="s">
        <v>853</v>
      </c>
      <c r="B1336" s="262">
        <v>219333</v>
      </c>
      <c r="C1336" s="276" t="s">
        <v>823</v>
      </c>
      <c r="D1336" s="268">
        <f>SUBTOTAL(9,D1337:D1345)</f>
        <v>26013308.370000001</v>
      </c>
      <c r="E1336"/>
      <c r="G1336" s="405" t="s">
        <v>411</v>
      </c>
      <c r="H1336" s="406">
        <v>8976</v>
      </c>
      <c r="I1336" s="10" t="s">
        <v>865</v>
      </c>
      <c r="J1336" s="350">
        <f>+VLOOKUP(H1336,contratos!A:R,5,0)</f>
        <v>45839</v>
      </c>
      <c r="K1336" s="266" t="str">
        <f>+VLOOKUP(H1336,contratos!A:R,12,0)</f>
        <v>OK</v>
      </c>
      <c r="L1336" s="341" t="str">
        <f>+VLOOKUP(H1336,contratos!A:R,13,0)</f>
        <v>VIGENTE</v>
      </c>
      <c r="M1336" s="341">
        <f>+VLOOKUP(H1336,contratos!A:R,15,0)</f>
        <v>0</v>
      </c>
      <c r="N1336" s="336">
        <f>+VLOOKUP(H1336,contratos!A:R,16,0)</f>
        <v>1545851</v>
      </c>
      <c r="O1336" s="341">
        <f>+VLOOKUP(B1336,PRORRATEO!A:M,8,0)</f>
        <v>23498968</v>
      </c>
      <c r="P1336" s="341">
        <f>+VLOOKUP(B1336,PRORRATEO!A:M,9,0)</f>
        <v>4464803.92</v>
      </c>
      <c r="Q1336" s="341">
        <f>+VLOOKUP(B1336,PRORRATEO!A:M,10,0)</f>
        <v>361649.11752000003</v>
      </c>
      <c r="R1336" s="341">
        <f>+VLOOKUP(B1336,PRORRATEO!A:M,11,0)</f>
        <v>4103154.8024800001</v>
      </c>
      <c r="S1336" s="339">
        <f>+VLOOKUP(B1336,PRORRATEO!A:M,12,0)</f>
        <v>8.1000000000000003E-2</v>
      </c>
      <c r="T1336" s="339">
        <f>+VLOOKUP(B1336,PRORRATEO!A:M,13,0)</f>
        <v>0.91900000000000004</v>
      </c>
      <c r="U1336" t="s">
        <v>823</v>
      </c>
    </row>
    <row r="1337" spans="1:21" x14ac:dyDescent="0.35">
      <c r="B1337" s="263">
        <v>1532001604</v>
      </c>
      <c r="C1337" s="10" t="s">
        <v>1014</v>
      </c>
      <c r="D1337" s="268">
        <v>2003760</v>
      </c>
      <c r="E1337" s="263" t="s">
        <v>97</v>
      </c>
      <c r="F1337">
        <v>40</v>
      </c>
      <c r="G1337" s="316" t="str">
        <f>+CONCATENATE($G$7," ACUEDUCTO ",G1336," ",H1336)</f>
        <v>"04-2026" ACUEDUCTO T116 8976</v>
      </c>
      <c r="H1337" s="252"/>
      <c r="I1337" s="10">
        <f>+H1336</f>
        <v>8976</v>
      </c>
      <c r="J1337" s="350"/>
      <c r="K1337" s="335"/>
      <c r="N1337" s="336"/>
      <c r="Q1337" s="414"/>
    </row>
    <row r="1338" spans="1:21" x14ac:dyDescent="0.35">
      <c r="B1338" s="263">
        <v>1537210003</v>
      </c>
      <c r="C1338" s="10" t="s">
        <v>1116</v>
      </c>
      <c r="D1338" s="396">
        <v>1505036</v>
      </c>
      <c r="E1338" s="263" t="s">
        <v>97</v>
      </c>
      <c r="F1338">
        <v>40</v>
      </c>
      <c r="G1338" s="316" t="str">
        <f>+CONCATENATE($G$7," FP ",G1336," ",H1336)</f>
        <v>"04-2026" FP T116 8976</v>
      </c>
      <c r="H1338" s="252"/>
      <c r="I1338" s="10">
        <f>+I1337</f>
        <v>8976</v>
      </c>
      <c r="J1338" s="350"/>
      <c r="K1338" s="335"/>
      <c r="N1338" s="336"/>
      <c r="Q1338" s="414"/>
    </row>
    <row r="1339" spans="1:21" x14ac:dyDescent="0.35">
      <c r="B1339" s="263">
        <v>1532001600</v>
      </c>
      <c r="C1339" s="10" t="s">
        <v>987</v>
      </c>
      <c r="D1339" s="268">
        <v>157179</v>
      </c>
      <c r="E1339" s="263" t="s">
        <v>97</v>
      </c>
      <c r="F1339">
        <v>40</v>
      </c>
      <c r="G1339" s="318" t="str">
        <f>+CONCATENATE($G$7," ASEO ",G1336," ",H1336)</f>
        <v>"04-2026" ASEO T116 8976</v>
      </c>
      <c r="H1339" s="252"/>
      <c r="I1339" s="10">
        <f>+I1338</f>
        <v>8976</v>
      </c>
      <c r="J1339" s="350"/>
      <c r="K1339" s="335"/>
      <c r="N1339" s="336"/>
    </row>
    <row r="1340" spans="1:21" x14ac:dyDescent="0.35">
      <c r="B1340" s="263">
        <v>1245150017</v>
      </c>
      <c r="C1340" s="10" t="s">
        <v>77</v>
      </c>
      <c r="E1340" s="263" t="s">
        <v>97</v>
      </c>
      <c r="F1340">
        <v>40</v>
      </c>
      <c r="G1340" s="318" t="str">
        <f>+CONCATENATE($G$7," RF/GC/FP/ASEO ",G1336," ",H1336)</f>
        <v>"04-2026" RF/GC/FP/ASEO T116 8976</v>
      </c>
      <c r="H1340" s="252"/>
      <c r="I1340" s="10">
        <f t="shared" ref="I1340:I1345" si="67">+I1339</f>
        <v>8976</v>
      </c>
      <c r="J1340" s="350"/>
      <c r="K1340" s="335"/>
      <c r="N1340" s="336"/>
    </row>
    <row r="1341" spans="1:21" x14ac:dyDescent="0.35">
      <c r="B1341" s="263">
        <v>1245150017</v>
      </c>
      <c r="C1341" s="10" t="s">
        <v>77</v>
      </c>
      <c r="D1341" s="396">
        <v>3143588</v>
      </c>
      <c r="E1341" s="263" t="s">
        <v>97</v>
      </c>
      <c r="F1341">
        <v>40</v>
      </c>
      <c r="G1341" s="318" t="str">
        <f>+CONCATENATE($G$7," GC ",G1336," ",H1336)</f>
        <v>"04-2026" GC T116 8976</v>
      </c>
      <c r="H1341" s="252"/>
      <c r="I1341" s="10">
        <f t="shared" si="67"/>
        <v>8976</v>
      </c>
      <c r="J1341" s="350"/>
      <c r="K1341" s="335"/>
      <c r="N1341" s="336"/>
    </row>
    <row r="1342" spans="1:21" x14ac:dyDescent="0.35">
      <c r="B1342" s="263">
        <v>1245150017</v>
      </c>
      <c r="C1342" s="10" t="s">
        <v>77</v>
      </c>
      <c r="D1342" s="396">
        <v>15050360</v>
      </c>
      <c r="E1342" s="263" t="s">
        <v>97</v>
      </c>
      <c r="F1342">
        <v>40</v>
      </c>
      <c r="G1342" s="318" t="str">
        <f>+CONCATENATE($G$7," RF ",G1336," ",H1336)</f>
        <v>"04-2026" RF T116 8976</v>
      </c>
      <c r="H1342" s="252"/>
      <c r="I1342" s="10">
        <f t="shared" si="67"/>
        <v>8976</v>
      </c>
      <c r="J1342" s="350"/>
      <c r="K1342" s="442">
        <f>+D1342+D1338</f>
        <v>16555396</v>
      </c>
      <c r="N1342" s="336"/>
    </row>
    <row r="1343" spans="1:21" x14ac:dyDescent="0.35">
      <c r="B1343" s="263">
        <v>1149120011</v>
      </c>
      <c r="C1343" s="10" t="s">
        <v>96</v>
      </c>
      <c r="D1343" s="268">
        <f>+D1345*S1336</f>
        <v>336424.21497000003</v>
      </c>
      <c r="E1343" s="263" t="s">
        <v>98</v>
      </c>
      <c r="F1343">
        <v>40</v>
      </c>
      <c r="G1343" s="318" t="str">
        <f>+CONCATENATE($G$7," RF/GC/FP/ASEO ",G1336," ",H1336)</f>
        <v>"04-2026" RF/GC/FP/ASEO T116 8976</v>
      </c>
      <c r="H1343" s="252"/>
      <c r="I1343" s="10">
        <f t="shared" si="67"/>
        <v>8976</v>
      </c>
      <c r="J1343" s="375"/>
      <c r="K1343" s="442">
        <f>+K1342*2</f>
        <v>33110792</v>
      </c>
      <c r="N1343" s="336"/>
    </row>
    <row r="1344" spans="1:21" x14ac:dyDescent="0.35">
      <c r="B1344" s="263">
        <v>1149120011</v>
      </c>
      <c r="C1344" s="10" t="s">
        <v>96</v>
      </c>
      <c r="D1344" s="268">
        <f>-D1343</f>
        <v>-336424.21497000003</v>
      </c>
      <c r="E1344" s="263" t="s">
        <v>97</v>
      </c>
      <c r="F1344">
        <v>50</v>
      </c>
      <c r="G1344" s="318" t="str">
        <f>+CONCATENATE($G$7," RF/GC/FP/ASEO ",G1336," ",H1336)</f>
        <v>"04-2026" RF/GC/FP/ASEO T116 8976</v>
      </c>
      <c r="H1344" s="252"/>
      <c r="I1344" s="10">
        <f t="shared" si="67"/>
        <v>8976</v>
      </c>
      <c r="J1344" s="350"/>
      <c r="K1344" s="442">
        <f>+K1343*0.19</f>
        <v>6291050.4800000004</v>
      </c>
      <c r="N1344" s="336"/>
    </row>
    <row r="1345" spans="1:21" x14ac:dyDescent="0.35">
      <c r="B1345" s="4">
        <v>1149120011</v>
      </c>
      <c r="C1345" s="10" t="s">
        <v>96</v>
      </c>
      <c r="D1345" s="268">
        <f>+(D1337+D1338+D1339+D1340+D1341+D1342)*0.19</f>
        <v>4153385.37</v>
      </c>
      <c r="E1345" t="s">
        <v>97</v>
      </c>
      <c r="F1345">
        <v>40</v>
      </c>
      <c r="G1345" s="318" t="str">
        <f>+CONCATENATE($G$7," RF/GC/FP/ASEO ",G1336," ",H1336)</f>
        <v>"04-2026" RF/GC/FP/ASEO T116 8976</v>
      </c>
      <c r="H1345" s="252"/>
      <c r="I1345" s="10">
        <f t="shared" si="67"/>
        <v>8976</v>
      </c>
      <c r="J1345" s="350"/>
      <c r="K1345" s="266">
        <f>+D1345*2</f>
        <v>8306770.7400000002</v>
      </c>
      <c r="N1345" s="336"/>
    </row>
    <row r="1346" spans="1:21" x14ac:dyDescent="0.35">
      <c r="C1346" s="251" t="s">
        <v>76</v>
      </c>
      <c r="D1346" s="332">
        <v>35919743</v>
      </c>
      <c r="E1346"/>
      <c r="G1346" s="318" t="str">
        <f>+CONCATENATE($G$7," RF/GC/FP/ASEO ",G1336," ",H1336)</f>
        <v>"04-2026" RF/GC/FP/ASEO T116 8976</v>
      </c>
      <c r="H1346" s="259"/>
      <c r="I1346" s="10">
        <f>+I1345</f>
        <v>8976</v>
      </c>
      <c r="J1346" s="350"/>
      <c r="K1346" s="335"/>
      <c r="N1346" s="336"/>
    </row>
    <row r="1347" spans="1:21" x14ac:dyDescent="0.35">
      <c r="A1347" s="130" t="s">
        <v>853</v>
      </c>
      <c r="B1347" s="262">
        <v>452333</v>
      </c>
      <c r="C1347" s="276" t="s">
        <v>823</v>
      </c>
      <c r="E1347"/>
      <c r="G1347" s="380" t="s">
        <v>1217</v>
      </c>
      <c r="H1347" s="413" t="s">
        <v>1189</v>
      </c>
      <c r="J1347" s="350">
        <f>+VLOOKUP(H1347,contratos!A:R,5,0)</f>
        <v>45332</v>
      </c>
      <c r="K1347" s="266" t="str">
        <f>+VLOOKUP(H1347,contratos!A:R,12,0)</f>
        <v>OK</v>
      </c>
      <c r="L1347" s="341" t="str">
        <f>+VLOOKUP(H1347,contratos!A:R,13,0)</f>
        <v>VIGENTE</v>
      </c>
      <c r="M1347" s="341">
        <f>+VLOOKUP(H1347,contratos!A:R,15,0)</f>
        <v>0</v>
      </c>
      <c r="N1347" s="336">
        <f>+VLOOKUP(H1347,contratos!A:R,16,0)</f>
        <v>1632233</v>
      </c>
      <c r="O1347" s="341">
        <f>+VLOOKUP(B1347,PRORRATEO!A:M,8,0)</f>
        <v>23498968</v>
      </c>
      <c r="P1347" s="341">
        <f>+VLOOKUP(B1347,PRORRATEO!A:M,9,0)</f>
        <v>4464803.92</v>
      </c>
      <c r="Q1347" s="341">
        <f>+VLOOKUP(B1347,PRORRATEO!A:M,10,0)</f>
        <v>4464803.92</v>
      </c>
      <c r="R1347" s="341">
        <f>+VLOOKUP(B1347,PRORRATEO!A:M,11,0)</f>
        <v>0</v>
      </c>
      <c r="S1347" s="339">
        <f>+VLOOKUP(B1347,PRORRATEO!A:M,12,0)</f>
        <v>1</v>
      </c>
      <c r="T1347" s="339">
        <f>+VLOOKUP(B1347,PRORRATEO!A:M,13,0)</f>
        <v>0</v>
      </c>
      <c r="U1347" t="s">
        <v>823</v>
      </c>
    </row>
    <row r="1348" spans="1:21" x14ac:dyDescent="0.35">
      <c r="B1348" s="263">
        <v>1245150017</v>
      </c>
      <c r="C1348" s="10" t="s">
        <v>77</v>
      </c>
      <c r="D1348" s="415">
        <v>1926613</v>
      </c>
      <c r="E1348" s="263" t="s">
        <v>97</v>
      </c>
      <c r="F1348">
        <v>40</v>
      </c>
      <c r="G1348" s="316" t="str">
        <f>+CONCATENATE($G$7," RF/GC ",G1347," ",H1347)</f>
        <v>"04-2026" RF/GC SGH639 P362</v>
      </c>
      <c r="H1348" s="259"/>
      <c r="I1348" s="10" t="str">
        <f>+H1347</f>
        <v>P362</v>
      </c>
      <c r="J1348" s="350"/>
      <c r="K1348" s="335"/>
      <c r="N1348" s="336"/>
    </row>
    <row r="1349" spans="1:21" x14ac:dyDescent="0.35">
      <c r="B1349" s="263">
        <v>1245150017</v>
      </c>
      <c r="C1349" s="10" t="s">
        <v>1013</v>
      </c>
      <c r="D1349" s="415">
        <v>192661</v>
      </c>
      <c r="E1349" s="263" t="s">
        <v>97</v>
      </c>
      <c r="F1349">
        <v>40</v>
      </c>
      <c r="G1349" s="318" t="str">
        <f>+CONCATENATE($G$7," GC ",G1347," ",H1347)</f>
        <v>"04-2026" GC SGH639 P362</v>
      </c>
      <c r="H1349" s="259"/>
      <c r="I1349" s="10" t="str">
        <f>+I1348</f>
        <v>P362</v>
      </c>
      <c r="J1349" s="350"/>
      <c r="K1349" s="335"/>
      <c r="N1349" s="336"/>
    </row>
    <row r="1350" spans="1:21" x14ac:dyDescent="0.35">
      <c r="B1350" s="263">
        <v>1537210002</v>
      </c>
      <c r="C1350" s="10" t="s">
        <v>1015</v>
      </c>
      <c r="D1350" s="415">
        <v>505820</v>
      </c>
      <c r="E1350" s="263" t="s">
        <v>97</v>
      </c>
      <c r="F1350">
        <v>40</v>
      </c>
      <c r="G1350" s="318" t="str">
        <f>+G1349</f>
        <v>"04-2026" GC SGH639 P362</v>
      </c>
      <c r="H1350" s="259"/>
      <c r="I1350" s="10" t="str">
        <f>+I1349</f>
        <v>P362</v>
      </c>
      <c r="J1350" s="350"/>
      <c r="K1350" s="335"/>
      <c r="N1350" s="336"/>
    </row>
    <row r="1351" spans="1:21" x14ac:dyDescent="0.35">
      <c r="B1351" s="263">
        <v>1245150017</v>
      </c>
      <c r="C1351" s="10" t="s">
        <v>77</v>
      </c>
      <c r="D1351" s="415">
        <v>25291</v>
      </c>
      <c r="E1351" s="263" t="s">
        <v>97</v>
      </c>
      <c r="F1351">
        <v>40</v>
      </c>
      <c r="G1351" s="318" t="str">
        <f>+G1350</f>
        <v>"04-2026" GC SGH639 P362</v>
      </c>
      <c r="H1351" s="259"/>
      <c r="I1351" s="10" t="str">
        <f>+I1350</f>
        <v>P362</v>
      </c>
      <c r="J1351" s="350"/>
      <c r="K1351" s="335"/>
      <c r="N1351" s="336"/>
    </row>
    <row r="1352" spans="1:21" x14ac:dyDescent="0.35">
      <c r="A1352" s="350"/>
      <c r="B1352" s="263">
        <v>1149120011</v>
      </c>
      <c r="C1352" s="10" t="s">
        <v>96</v>
      </c>
      <c r="D1352" s="268">
        <f>+D1354*S1347</f>
        <v>503573.15</v>
      </c>
      <c r="E1352" s="263" t="s">
        <v>98</v>
      </c>
      <c r="F1352">
        <v>40</v>
      </c>
      <c r="G1352" s="318" t="str">
        <f>+CONCATENATE($G$7," RF/GC ",G1347," ",H1347)</f>
        <v>"04-2026" RF/GC SGH639 P362</v>
      </c>
      <c r="H1352" s="252"/>
      <c r="I1352" s="10" t="str">
        <f t="shared" ref="I1352:I1354" si="68">+I1351</f>
        <v>P362</v>
      </c>
      <c r="J1352" s="350"/>
      <c r="K1352" s="335"/>
      <c r="N1352" s="336"/>
    </row>
    <row r="1353" spans="1:21" x14ac:dyDescent="0.35">
      <c r="A1353" s="350"/>
      <c r="B1353" s="263">
        <v>1149120011</v>
      </c>
      <c r="C1353" s="10" t="s">
        <v>96</v>
      </c>
      <c r="D1353" s="268">
        <f>-D1352</f>
        <v>-503573.15</v>
      </c>
      <c r="E1353" s="263" t="s">
        <v>97</v>
      </c>
      <c r="F1353">
        <v>50</v>
      </c>
      <c r="G1353" s="318" t="str">
        <f>+CONCATENATE($G$7," RF/GC ",G1347," ",H1347)</f>
        <v>"04-2026" RF/GC SGH639 P362</v>
      </c>
      <c r="H1353" s="252"/>
      <c r="I1353" s="10" t="str">
        <f t="shared" si="68"/>
        <v>P362</v>
      </c>
      <c r="J1353" s="350"/>
      <c r="K1353" s="335"/>
      <c r="N1353" s="336"/>
    </row>
    <row r="1354" spans="1:21" x14ac:dyDescent="0.35">
      <c r="B1354" s="4">
        <v>1149120011</v>
      </c>
      <c r="C1354" s="10" t="s">
        <v>96</v>
      </c>
      <c r="D1354" s="268">
        <f>+(D1348+D1349+D1350+D1351)*0.19</f>
        <v>503573.15</v>
      </c>
      <c r="E1354" t="s">
        <v>97</v>
      </c>
      <c r="F1354">
        <v>40</v>
      </c>
      <c r="G1354" s="318" t="str">
        <f>+CONCATENATE($G$7," RF/GC ",G1347," ",H1347)</f>
        <v>"04-2026" RF/GC SGH639 P362</v>
      </c>
      <c r="H1354" s="252"/>
      <c r="I1354" s="10" t="str">
        <f t="shared" si="68"/>
        <v>P362</v>
      </c>
      <c r="J1354" s="350"/>
      <c r="K1354" s="335"/>
      <c r="N1354" s="336"/>
    </row>
    <row r="1355" spans="1:21" x14ac:dyDescent="0.35">
      <c r="A1355" s="130" t="s">
        <v>853</v>
      </c>
      <c r="B1355" s="262">
        <v>452333</v>
      </c>
      <c r="C1355" s="276" t="s">
        <v>823</v>
      </c>
      <c r="E1355"/>
      <c r="G1355" s="380" t="s">
        <v>1217</v>
      </c>
      <c r="H1355" s="413" t="s">
        <v>1189</v>
      </c>
      <c r="J1355" s="350">
        <f>+VLOOKUP(H1355,contratos!A:R,5,0)</f>
        <v>45332</v>
      </c>
      <c r="K1355" s="266" t="str">
        <f>+VLOOKUP(H1355,contratos!A:R,12,0)</f>
        <v>OK</v>
      </c>
      <c r="L1355" s="341" t="str">
        <f>+VLOOKUP(H1355,contratos!A:R,13,0)</f>
        <v>VIGENTE</v>
      </c>
      <c r="M1355" s="341">
        <f>+VLOOKUP(H1355,contratos!A:R,15,0)</f>
        <v>0</v>
      </c>
      <c r="N1355" s="336">
        <f>+VLOOKUP(H1355,contratos!A:R,16,0)</f>
        <v>1632233</v>
      </c>
      <c r="O1355" s="341">
        <f>+VLOOKUP(B1355,PRORRATEO!A:M,8,0)</f>
        <v>23498968</v>
      </c>
      <c r="P1355" s="341">
        <f>+VLOOKUP(B1355,PRORRATEO!A:M,9,0)</f>
        <v>4464803.92</v>
      </c>
      <c r="Q1355" s="341">
        <f>+VLOOKUP(B1355,PRORRATEO!A:M,10,0)</f>
        <v>4464803.92</v>
      </c>
      <c r="R1355" s="341">
        <f>+VLOOKUP(B1355,PRORRATEO!A:M,11,0)</f>
        <v>0</v>
      </c>
      <c r="S1355" s="339">
        <f>+VLOOKUP(B1355,PRORRATEO!A:M,12,0)</f>
        <v>1</v>
      </c>
      <c r="T1355" s="339">
        <f>+VLOOKUP(B1355,PRORRATEO!A:M,13,0)</f>
        <v>0</v>
      </c>
      <c r="U1355" t="s">
        <v>823</v>
      </c>
    </row>
    <row r="1356" spans="1:21" x14ac:dyDescent="0.35">
      <c r="B1356" s="263">
        <v>1245150017</v>
      </c>
      <c r="C1356" s="10" t="s">
        <v>77</v>
      </c>
      <c r="D1356" s="415">
        <v>15050360</v>
      </c>
      <c r="E1356" s="263" t="s">
        <v>97</v>
      </c>
      <c r="F1356">
        <v>40</v>
      </c>
      <c r="G1356" s="316" t="str">
        <f>+CONCATENATE($G$7," RF/GC ",G1355," ",H1355)</f>
        <v>"04-2026" RF/GC SGH639 P362</v>
      </c>
      <c r="H1356" s="259"/>
      <c r="I1356" s="10" t="str">
        <f>+H1355</f>
        <v>P362</v>
      </c>
      <c r="J1356" s="350"/>
      <c r="K1356" s="335"/>
      <c r="N1356" s="336"/>
    </row>
    <row r="1357" spans="1:21" x14ac:dyDescent="0.35">
      <c r="B1357" s="263">
        <v>1245150017</v>
      </c>
      <c r="C1357" s="10" t="s">
        <v>1013</v>
      </c>
      <c r="D1357" s="415">
        <v>1505036</v>
      </c>
      <c r="E1357" s="263" t="s">
        <v>97</v>
      </c>
      <c r="F1357">
        <v>40</v>
      </c>
      <c r="G1357" s="318" t="str">
        <f>+CONCATENATE($G$7," GC ",G1355," ",H1355)</f>
        <v>"04-2026" GC SGH639 P362</v>
      </c>
      <c r="H1357" s="259"/>
      <c r="I1357" s="10" t="str">
        <f>+I1356</f>
        <v>P362</v>
      </c>
      <c r="J1357" s="350"/>
      <c r="K1357" s="335"/>
      <c r="N1357" s="336"/>
    </row>
    <row r="1358" spans="1:21" x14ac:dyDescent="0.35">
      <c r="B1358" s="263">
        <v>1537210002</v>
      </c>
      <c r="C1358" s="10" t="s">
        <v>1015</v>
      </c>
      <c r="D1358" s="415">
        <f>3143588+157179</f>
        <v>3300767</v>
      </c>
      <c r="E1358" s="263" t="s">
        <v>97</v>
      </c>
      <c r="F1358">
        <v>40</v>
      </c>
      <c r="G1358" s="318" t="str">
        <f>+G1357</f>
        <v>"04-2026" GC SGH639 P362</v>
      </c>
      <c r="H1358" s="259"/>
      <c r="I1358" s="10" t="str">
        <f>+I1357</f>
        <v>P362</v>
      </c>
      <c r="J1358" s="350"/>
      <c r="K1358" s="335"/>
      <c r="N1358" s="336"/>
    </row>
    <row r="1359" spans="1:21" x14ac:dyDescent="0.35">
      <c r="B1359" s="263">
        <v>1245150017</v>
      </c>
      <c r="C1359" s="10" t="s">
        <v>77</v>
      </c>
      <c r="D1359" s="415">
        <v>189683</v>
      </c>
      <c r="E1359" s="263" t="s">
        <v>97</v>
      </c>
      <c r="F1359">
        <v>40</v>
      </c>
      <c r="G1359" s="318" t="str">
        <f>+G1358</f>
        <v>"04-2026" GC SGH639 P362</v>
      </c>
      <c r="H1359" s="259"/>
      <c r="I1359" s="10" t="str">
        <f>+I1358</f>
        <v>P362</v>
      </c>
      <c r="J1359" s="350"/>
      <c r="K1359" s="335"/>
      <c r="N1359" s="336"/>
    </row>
    <row r="1360" spans="1:21" x14ac:dyDescent="0.35">
      <c r="A1360" s="350"/>
      <c r="B1360" s="263">
        <v>1149120011</v>
      </c>
      <c r="C1360" s="10" t="s">
        <v>96</v>
      </c>
      <c r="D1360" s="268">
        <f>+D1362*S1355</f>
        <v>3808710.74</v>
      </c>
      <c r="E1360" s="263" t="s">
        <v>98</v>
      </c>
      <c r="F1360">
        <v>40</v>
      </c>
      <c r="G1360" s="318" t="str">
        <f>+CONCATENATE($G$7," RF/GC ",G1355," ",H1355)</f>
        <v>"04-2026" RF/GC SGH639 P362</v>
      </c>
      <c r="H1360" s="252"/>
      <c r="I1360" s="10" t="str">
        <f t="shared" ref="I1360:I1362" si="69">+I1359</f>
        <v>P362</v>
      </c>
      <c r="J1360" s="350"/>
      <c r="K1360" s="335"/>
      <c r="N1360" s="336"/>
    </row>
    <row r="1361" spans="1:21" x14ac:dyDescent="0.35">
      <c r="A1361" s="350"/>
      <c r="B1361" s="263">
        <v>1149120011</v>
      </c>
      <c r="C1361" s="10" t="s">
        <v>96</v>
      </c>
      <c r="D1361" s="268">
        <f>-D1360</f>
        <v>-3808710.74</v>
      </c>
      <c r="E1361" s="263" t="s">
        <v>97</v>
      </c>
      <c r="F1361">
        <v>50</v>
      </c>
      <c r="G1361" s="318" t="str">
        <f>+CONCATENATE($G$7," RF/GC ",G1355," ",H1355)</f>
        <v>"04-2026" RF/GC SGH639 P362</v>
      </c>
      <c r="H1361" s="252"/>
      <c r="I1361" s="10" t="str">
        <f t="shared" si="69"/>
        <v>P362</v>
      </c>
      <c r="J1361" s="350"/>
      <c r="K1361" s="335"/>
      <c r="N1361" s="336"/>
    </row>
    <row r="1362" spans="1:21" x14ac:dyDescent="0.35">
      <c r="B1362" s="4">
        <v>1149120011</v>
      </c>
      <c r="C1362" s="10" t="s">
        <v>96</v>
      </c>
      <c r="D1362" s="268">
        <f>+(D1356+D1357+D1358+D1359)*0.19</f>
        <v>3808710.74</v>
      </c>
      <c r="E1362" t="s">
        <v>97</v>
      </c>
      <c r="F1362">
        <v>40</v>
      </c>
      <c r="G1362" s="318" t="str">
        <f>+CONCATENATE($G$7," RF/GC ",G1355," ",H1355)</f>
        <v>"04-2026" RF/GC SGH639 P362</v>
      </c>
      <c r="H1362" s="252"/>
      <c r="I1362" s="10" t="str">
        <f t="shared" si="69"/>
        <v>P362</v>
      </c>
      <c r="J1362" s="350"/>
      <c r="K1362" s="335"/>
      <c r="N1362" s="336"/>
    </row>
    <row r="1363" spans="1:21" x14ac:dyDescent="0.35">
      <c r="A1363" s="130" t="s">
        <v>853</v>
      </c>
      <c r="B1363" s="262">
        <v>452333</v>
      </c>
      <c r="C1363" s="276" t="s">
        <v>823</v>
      </c>
      <c r="D1363" s="268">
        <f>SUBTOTAL(9,D1364:D1371)</f>
        <v>29382263.82</v>
      </c>
      <c r="E1363"/>
      <c r="G1363" s="380" t="s">
        <v>1217</v>
      </c>
      <c r="H1363" s="413" t="s">
        <v>1189</v>
      </c>
      <c r="J1363" s="350">
        <f>+VLOOKUP(H1363,contratos!A:R,5,0)</f>
        <v>45332</v>
      </c>
      <c r="K1363" s="266" t="str">
        <f>+VLOOKUP(H1363,contratos!A:R,12,0)</f>
        <v>OK</v>
      </c>
      <c r="L1363" s="341" t="str">
        <f>+VLOOKUP(H1363,contratos!A:R,13,0)</f>
        <v>VIGENTE</v>
      </c>
      <c r="M1363" s="341">
        <f>+VLOOKUP(H1363,contratos!A:R,15,0)</f>
        <v>0</v>
      </c>
      <c r="N1363" s="336">
        <f>+VLOOKUP(H1363,contratos!A:R,16,0)</f>
        <v>1632233</v>
      </c>
      <c r="O1363" s="341">
        <f>+VLOOKUP(B1363,PRORRATEO!A:M,8,0)</f>
        <v>23498968</v>
      </c>
      <c r="P1363" s="341">
        <f>+VLOOKUP(B1363,PRORRATEO!A:M,9,0)</f>
        <v>4464803.92</v>
      </c>
      <c r="Q1363" s="341">
        <f>+VLOOKUP(B1363,PRORRATEO!A:M,10,0)</f>
        <v>4464803.92</v>
      </c>
      <c r="R1363" s="341">
        <f>+VLOOKUP(B1363,PRORRATEO!A:M,11,0)</f>
        <v>0</v>
      </c>
      <c r="S1363" s="339">
        <f>+VLOOKUP(B1363,PRORRATEO!A:M,12,0)</f>
        <v>1</v>
      </c>
      <c r="T1363" s="339">
        <f>+VLOOKUP(B1363,PRORRATEO!A:M,13,0)</f>
        <v>0</v>
      </c>
      <c r="U1363" t="s">
        <v>823</v>
      </c>
    </row>
    <row r="1364" spans="1:21" x14ac:dyDescent="0.35">
      <c r="B1364" s="263">
        <v>1245150017</v>
      </c>
      <c r="C1364" s="10" t="s">
        <v>77</v>
      </c>
      <c r="D1364" s="415">
        <v>17240620</v>
      </c>
      <c r="E1364" s="263" t="s">
        <v>97</v>
      </c>
      <c r="F1364">
        <v>40</v>
      </c>
      <c r="G1364" s="316" t="str">
        <f>+CONCATENATE($G$7," RF/GC ",G1363," ",H1363)</f>
        <v>"04-2026" RF/GC SGH639 P362</v>
      </c>
      <c r="H1364" s="259"/>
      <c r="I1364" s="10" t="str">
        <f>+H1363</f>
        <v>P362</v>
      </c>
      <c r="J1364" s="350"/>
      <c r="K1364" s="335"/>
      <c r="N1364" s="336"/>
    </row>
    <row r="1365" spans="1:21" x14ac:dyDescent="0.35">
      <c r="B1365" s="263">
        <v>1245150017</v>
      </c>
      <c r="C1365" s="10" t="s">
        <v>1013</v>
      </c>
      <c r="D1365" s="415">
        <v>1724062</v>
      </c>
      <c r="E1365" s="263" t="s">
        <v>97</v>
      </c>
      <c r="F1365">
        <v>40</v>
      </c>
      <c r="G1365" s="318" t="str">
        <f>+CONCATENATE($G$7," GC ",G1363," ",H1363)</f>
        <v>"04-2026" GC SGH639 P362</v>
      </c>
      <c r="H1365" s="259"/>
      <c r="I1365" s="10" t="str">
        <f>+I1364</f>
        <v>P362</v>
      </c>
      <c r="J1365" s="350"/>
      <c r="K1365" s="335"/>
      <c r="N1365" s="336"/>
    </row>
    <row r="1366" spans="1:21" x14ac:dyDescent="0.35">
      <c r="B1366" s="263">
        <v>1532001604</v>
      </c>
      <c r="C1366" s="10" t="s">
        <v>1029</v>
      </c>
      <c r="D1366" s="415"/>
      <c r="E1366" s="263" t="s">
        <v>97</v>
      </c>
      <c r="F1366">
        <v>40</v>
      </c>
      <c r="G1366" s="318" t="str">
        <f>+CONCATENATE($G$7," GC ",G1363," ",H1363)</f>
        <v>"04-2026" GC SGH639 P362</v>
      </c>
      <c r="H1366" s="259"/>
      <c r="I1366" s="10" t="str">
        <f>+I1365</f>
        <v>P362</v>
      </c>
      <c r="J1366" s="350"/>
      <c r="K1366" s="335"/>
      <c r="N1366" s="336"/>
    </row>
    <row r="1367" spans="1:21" x14ac:dyDescent="0.35">
      <c r="B1367" s="263">
        <v>1245150017</v>
      </c>
      <c r="C1367" s="10" t="s">
        <v>1015</v>
      </c>
      <c r="D1367" s="415"/>
      <c r="E1367" s="263" t="s">
        <v>97</v>
      </c>
      <c r="F1367">
        <v>40</v>
      </c>
      <c r="G1367" s="318" t="str">
        <f>+G1365</f>
        <v>"04-2026" GC SGH639 P362</v>
      </c>
      <c r="H1367" s="259"/>
      <c r="I1367" s="10" t="str">
        <f>+I1365</f>
        <v>P362</v>
      </c>
      <c r="J1367" s="350"/>
      <c r="K1367" s="335"/>
      <c r="N1367" s="336"/>
    </row>
    <row r="1368" spans="1:21" x14ac:dyDescent="0.35">
      <c r="B1368" s="263">
        <v>1537210002</v>
      </c>
      <c r="C1368" s="10" t="s">
        <v>77</v>
      </c>
      <c r="D1368" s="415">
        <f>5453615+272681</f>
        <v>5726296</v>
      </c>
      <c r="E1368" s="263" t="s">
        <v>97</v>
      </c>
      <c r="F1368">
        <v>40</v>
      </c>
      <c r="G1368" s="318" t="str">
        <f>+G1367</f>
        <v>"04-2026" GC SGH639 P362</v>
      </c>
      <c r="H1368" s="259"/>
      <c r="I1368" s="10" t="str">
        <f>+I1367</f>
        <v>P362</v>
      </c>
      <c r="J1368" s="350"/>
      <c r="K1368" s="335"/>
      <c r="N1368" s="336"/>
    </row>
    <row r="1369" spans="1:21" x14ac:dyDescent="0.35">
      <c r="A1369" s="350"/>
      <c r="B1369" s="263">
        <v>1149120011</v>
      </c>
      <c r="C1369" s="10" t="s">
        <v>96</v>
      </c>
      <c r="D1369" s="268">
        <f>+D1371*S1363</f>
        <v>4691285.82</v>
      </c>
      <c r="E1369" s="263" t="s">
        <v>98</v>
      </c>
      <c r="F1369">
        <v>40</v>
      </c>
      <c r="G1369" s="318" t="str">
        <f>+CONCATENATE($G$7," RF/GC ",G1363," ",H1363)</f>
        <v>"04-2026" RF/GC SGH639 P362</v>
      </c>
      <c r="H1369" s="252"/>
      <c r="I1369" s="10" t="str">
        <f t="shared" ref="I1369:I1371" si="70">+I1368</f>
        <v>P362</v>
      </c>
      <c r="J1369" s="350"/>
      <c r="K1369" s="335"/>
      <c r="N1369" s="336"/>
    </row>
    <row r="1370" spans="1:21" x14ac:dyDescent="0.35">
      <c r="A1370" s="350"/>
      <c r="B1370" s="263">
        <v>1149120011</v>
      </c>
      <c r="C1370" s="10" t="s">
        <v>96</v>
      </c>
      <c r="D1370" s="268">
        <f>-D1369</f>
        <v>-4691285.82</v>
      </c>
      <c r="E1370" s="263" t="s">
        <v>97</v>
      </c>
      <c r="F1370">
        <v>50</v>
      </c>
      <c r="G1370" s="318" t="str">
        <f>+CONCATENATE($G$7," RF/GC ",G1363," ",H1363)</f>
        <v>"04-2026" RF/GC SGH639 P362</v>
      </c>
      <c r="H1370" s="252"/>
      <c r="I1370" s="10" t="str">
        <f t="shared" si="70"/>
        <v>P362</v>
      </c>
      <c r="J1370" s="350"/>
      <c r="K1370" s="335"/>
      <c r="N1370" s="336"/>
    </row>
    <row r="1371" spans="1:21" x14ac:dyDescent="0.35">
      <c r="B1371" s="4">
        <v>1149120011</v>
      </c>
      <c r="C1371" s="10" t="s">
        <v>96</v>
      </c>
      <c r="D1371" s="268">
        <f>+(D1364+D1365+D1367+D1368+D1366)*0.19</f>
        <v>4691285.82</v>
      </c>
      <c r="E1371" t="s">
        <v>97</v>
      </c>
      <c r="F1371">
        <v>40</v>
      </c>
      <c r="G1371" s="318" t="str">
        <f>+CONCATENATE($G$7," RF/GC ",G1363," ",H1363)</f>
        <v>"04-2026" RF/GC SGH639 P362</v>
      </c>
      <c r="H1371" s="252"/>
      <c r="I1371" s="10" t="str">
        <f t="shared" si="70"/>
        <v>P362</v>
      </c>
      <c r="J1371" s="350"/>
      <c r="K1371" s="335"/>
      <c r="N1371" s="336"/>
    </row>
    <row r="1372" spans="1:21" x14ac:dyDescent="0.35">
      <c r="A1372" s="130" t="s">
        <v>853</v>
      </c>
      <c r="B1372" s="240">
        <v>452333</v>
      </c>
      <c r="C1372" s="276" t="s">
        <v>823</v>
      </c>
      <c r="D1372" s="268">
        <f>SUBTOTAL(9,D1373:D1381)</f>
        <v>14615232.52</v>
      </c>
      <c r="E1372"/>
      <c r="G1372" s="380" t="s">
        <v>1228</v>
      </c>
      <c r="H1372" s="413" t="s">
        <v>1190</v>
      </c>
      <c r="J1372" s="350">
        <f>+VLOOKUP(H1372,contratos!A:R,5,0)</f>
        <v>45372</v>
      </c>
      <c r="K1372" s="266" t="str">
        <f>+VLOOKUP(H1372,contratos!A:R,12,0)</f>
        <v>OK</v>
      </c>
      <c r="L1372" s="341" t="str">
        <f>+VLOOKUP(H1372,contratos!A:R,13,0)</f>
        <v>VIGENTE</v>
      </c>
      <c r="M1372" s="341">
        <f>+VLOOKUP(H1372,contratos!A:R,15,0)</f>
        <v>0</v>
      </c>
      <c r="N1372" s="336">
        <f>+VLOOKUP(H1372,contratos!A:R,16,0)</f>
        <v>941951</v>
      </c>
      <c r="O1372" s="341">
        <f>+VLOOKUP(B1372,PRORRATEO!A:M,8,0)</f>
        <v>23498968</v>
      </c>
      <c r="P1372" s="341">
        <f>+VLOOKUP(B1372,PRORRATEO!A:M,9,0)</f>
        <v>4464803.92</v>
      </c>
      <c r="Q1372" s="341">
        <f>+VLOOKUP(B1372,PRORRATEO!A:M,10,0)</f>
        <v>4464803.92</v>
      </c>
      <c r="R1372" s="341">
        <f>+VLOOKUP(B1372,PRORRATEO!A:M,11,0)</f>
        <v>0</v>
      </c>
      <c r="S1372" s="339">
        <f>+VLOOKUP(B1372,PRORRATEO!A:M,12,0)</f>
        <v>1</v>
      </c>
      <c r="T1372" s="339">
        <f>+VLOOKUP(B1372,PRORRATEO!A:M,13,0)</f>
        <v>0</v>
      </c>
      <c r="U1372" t="s">
        <v>823</v>
      </c>
    </row>
    <row r="1373" spans="1:21" x14ac:dyDescent="0.35">
      <c r="B1373" s="263">
        <v>1245150017</v>
      </c>
      <c r="C1373" s="10" t="s">
        <v>77</v>
      </c>
      <c r="D1373" s="415">
        <v>9694107</v>
      </c>
      <c r="E1373" s="263" t="s">
        <v>97</v>
      </c>
      <c r="F1373">
        <v>40</v>
      </c>
      <c r="G1373" s="316" t="str">
        <f>+CONCATENATE($G$7," RF/GC ",G1372," ",H1372)</f>
        <v>"04-2026" RF/GC SGH640 P757</v>
      </c>
      <c r="H1373" s="259"/>
      <c r="I1373" s="10" t="str">
        <f>+H1372</f>
        <v>P757</v>
      </c>
      <c r="J1373" s="350"/>
      <c r="K1373" s="335"/>
      <c r="N1373" s="336"/>
    </row>
    <row r="1374" spans="1:21" x14ac:dyDescent="0.35">
      <c r="B1374" s="263">
        <v>1245150017</v>
      </c>
      <c r="C1374" s="10" t="s">
        <v>1013</v>
      </c>
      <c r="D1374" s="415">
        <v>969411</v>
      </c>
      <c r="E1374" s="263" t="s">
        <v>97</v>
      </c>
      <c r="F1374">
        <v>40</v>
      </c>
      <c r="G1374" s="318" t="str">
        <f>+CONCATENATE($G$7," GC ",G1372," ",H1372)</f>
        <v>"04-2026" GC SGH640 P757</v>
      </c>
      <c r="H1374" s="259"/>
      <c r="I1374" s="10" t="str">
        <f t="shared" ref="I1374:I1381" si="71">+I1373</f>
        <v>P757</v>
      </c>
      <c r="J1374" s="350"/>
      <c r="K1374" s="335"/>
      <c r="N1374" s="336"/>
    </row>
    <row r="1375" spans="1:21" x14ac:dyDescent="0.35">
      <c r="B1375" s="263">
        <v>1245150017</v>
      </c>
      <c r="C1375" s="10" t="s">
        <v>1015</v>
      </c>
      <c r="D1375" s="415">
        <v>1348620</v>
      </c>
      <c r="E1375" s="263" t="s">
        <v>97</v>
      </c>
      <c r="F1375">
        <v>40</v>
      </c>
      <c r="G1375" s="318" t="str">
        <f>+G1374</f>
        <v>"04-2026" GC SGH640 P757</v>
      </c>
      <c r="H1375" s="259"/>
      <c r="I1375" s="10" t="str">
        <f>+I1373</f>
        <v>P757</v>
      </c>
      <c r="J1375" s="350"/>
      <c r="K1375" s="335"/>
      <c r="N1375" s="336"/>
    </row>
    <row r="1376" spans="1:21" x14ac:dyDescent="0.35">
      <c r="B1376" s="263">
        <v>1245150017</v>
      </c>
      <c r="C1376" s="10" t="s">
        <v>1015</v>
      </c>
      <c r="D1376" s="415"/>
      <c r="E1376" s="263" t="s">
        <v>97</v>
      </c>
      <c r="F1376">
        <v>40</v>
      </c>
      <c r="G1376" s="318" t="str">
        <f>+G1374</f>
        <v>"04-2026" GC SGH640 P757</v>
      </c>
      <c r="H1376" s="259"/>
      <c r="I1376" s="10" t="str">
        <f>+I1374</f>
        <v>P757</v>
      </c>
      <c r="J1376" s="350"/>
      <c r="K1376" s="335"/>
      <c r="N1376" s="336"/>
    </row>
    <row r="1377" spans="1:21" x14ac:dyDescent="0.35">
      <c r="B1377" s="263">
        <v>1245150017</v>
      </c>
      <c r="C1377" s="10" t="s">
        <v>1229</v>
      </c>
      <c r="D1377" s="415">
        <v>77930</v>
      </c>
      <c r="E1377" s="263" t="s">
        <v>97</v>
      </c>
      <c r="F1377">
        <v>40</v>
      </c>
      <c r="G1377" s="318" t="str">
        <f>+G1376</f>
        <v>"04-2026" GC SGH640 P757</v>
      </c>
      <c r="H1377" s="259"/>
      <c r="I1377" s="10" t="str">
        <f>+I1376</f>
        <v>P757</v>
      </c>
      <c r="J1377" s="350"/>
      <c r="K1377" s="335"/>
      <c r="N1377" s="336"/>
    </row>
    <row r="1378" spans="1:21" x14ac:dyDescent="0.35">
      <c r="B1378" s="263">
        <v>1532001604</v>
      </c>
      <c r="C1378" s="10" t="s">
        <v>1029</v>
      </c>
      <c r="D1378" s="415">
        <v>191640</v>
      </c>
      <c r="E1378" s="263" t="s">
        <v>97</v>
      </c>
      <c r="F1378">
        <v>40</v>
      </c>
      <c r="G1378" s="318" t="str">
        <f>+CONCATENATE($G$7," ACUEDUCTO ",G1372," ",H1372)</f>
        <v>"04-2026" ACUEDUCTO SGH640 P757</v>
      </c>
      <c r="H1378" s="259"/>
      <c r="I1378" s="10" t="str">
        <f t="shared" si="71"/>
        <v>P757</v>
      </c>
      <c r="J1378" s="350"/>
      <c r="K1378" s="335"/>
      <c r="N1378" s="336"/>
    </row>
    <row r="1379" spans="1:21" x14ac:dyDescent="0.35">
      <c r="A1379" s="350"/>
      <c r="B1379" s="263">
        <v>1149120011</v>
      </c>
      <c r="C1379" s="10" t="s">
        <v>96</v>
      </c>
      <c r="D1379" s="268">
        <f>+D1381*S1372</f>
        <v>2333524.52</v>
      </c>
      <c r="E1379" s="263" t="s">
        <v>98</v>
      </c>
      <c r="F1379">
        <v>40</v>
      </c>
      <c r="G1379" s="318" t="str">
        <f>+CONCATENATE($G$7," RF/GC ",G1372," ",H1372)</f>
        <v>"04-2026" RF/GC SGH640 P757</v>
      </c>
      <c r="H1379" s="252"/>
      <c r="I1379" s="10" t="str">
        <f>+I1378</f>
        <v>P757</v>
      </c>
      <c r="J1379" s="350"/>
      <c r="K1379" s="335"/>
      <c r="N1379" s="336"/>
    </row>
    <row r="1380" spans="1:21" x14ac:dyDescent="0.35">
      <c r="A1380" s="350"/>
      <c r="B1380" s="263">
        <v>1149120011</v>
      </c>
      <c r="C1380" s="10" t="s">
        <v>96</v>
      </c>
      <c r="D1380" s="268">
        <f>-D1379</f>
        <v>-2333524.52</v>
      </c>
      <c r="E1380" s="263" t="s">
        <v>97</v>
      </c>
      <c r="F1380">
        <v>50</v>
      </c>
      <c r="G1380" s="318" t="str">
        <f>+CONCATENATE($G$7," RF/GC ",G1372," ",H1372)</f>
        <v>"04-2026" RF/GC SGH640 P757</v>
      </c>
      <c r="H1380" s="252"/>
      <c r="I1380" s="10" t="str">
        <f t="shared" si="71"/>
        <v>P757</v>
      </c>
      <c r="J1380" s="350"/>
      <c r="K1380" s="335"/>
      <c r="N1380" s="336"/>
    </row>
    <row r="1381" spans="1:21" x14ac:dyDescent="0.35">
      <c r="B1381" s="4">
        <v>1149120011</v>
      </c>
      <c r="C1381" s="10" t="s">
        <v>96</v>
      </c>
      <c r="D1381" s="268">
        <f>+(SUM(D1373:D1378)*0.19)</f>
        <v>2333524.52</v>
      </c>
      <c r="E1381" t="s">
        <v>97</v>
      </c>
      <c r="F1381">
        <v>40</v>
      </c>
      <c r="G1381" s="318" t="str">
        <f>+CONCATENATE($G$7," RF/GC ",G1372," ",H1372)</f>
        <v>"04-2026" RF/GC SGH640 P757</v>
      </c>
      <c r="H1381" s="252"/>
      <c r="I1381" s="10" t="str">
        <f t="shared" si="71"/>
        <v>P757</v>
      </c>
      <c r="J1381" s="350"/>
      <c r="K1381" s="335"/>
      <c r="N1381" s="336"/>
    </row>
    <row r="1382" spans="1:21" x14ac:dyDescent="0.35">
      <c r="A1382" s="130" t="s">
        <v>853</v>
      </c>
      <c r="B1382" s="240">
        <v>452333</v>
      </c>
      <c r="C1382" s="276" t="s">
        <v>823</v>
      </c>
      <c r="D1382" s="268">
        <f>SUBTOTAL(9,D1383:D1389)</f>
        <v>13868480.15</v>
      </c>
      <c r="E1382"/>
      <c r="G1382" s="380" t="s">
        <v>1228</v>
      </c>
      <c r="H1382" s="413" t="s">
        <v>1190</v>
      </c>
      <c r="J1382" s="350">
        <f>+VLOOKUP(H1382,contratos!A:R,5,0)</f>
        <v>45372</v>
      </c>
      <c r="K1382" s="266" t="str">
        <f>+VLOOKUP(H1382,contratos!A:R,12,0)</f>
        <v>OK</v>
      </c>
      <c r="L1382" s="341" t="str">
        <f>+VLOOKUP(H1382,contratos!A:R,13,0)</f>
        <v>VIGENTE</v>
      </c>
      <c r="M1382" s="341">
        <f>+VLOOKUP(H1382,contratos!A:R,15,0)</f>
        <v>0</v>
      </c>
      <c r="N1382" s="336">
        <f>+VLOOKUP(H1382,contratos!A:R,16,0)</f>
        <v>941951</v>
      </c>
      <c r="O1382" s="341">
        <f>+VLOOKUP(B1382,PRORRATEO!A:M,8,0)</f>
        <v>23498968</v>
      </c>
      <c r="P1382" s="341">
        <f>+VLOOKUP(B1382,PRORRATEO!A:M,9,0)</f>
        <v>4464803.92</v>
      </c>
      <c r="Q1382" s="341">
        <f>+VLOOKUP(B1382,PRORRATEO!A:M,10,0)</f>
        <v>4464803.92</v>
      </c>
      <c r="R1382" s="341">
        <f>+VLOOKUP(B1382,PRORRATEO!A:M,11,0)</f>
        <v>0</v>
      </c>
      <c r="S1382" s="339">
        <f>+VLOOKUP(B1382,PRORRATEO!A:M,12,0)</f>
        <v>1</v>
      </c>
      <c r="T1382" s="339">
        <f>+VLOOKUP(B1382,PRORRATEO!A:M,13,0)</f>
        <v>0</v>
      </c>
      <c r="U1382" t="s">
        <v>823</v>
      </c>
    </row>
    <row r="1383" spans="1:21" x14ac:dyDescent="0.35">
      <c r="B1383" s="263">
        <v>1245150017</v>
      </c>
      <c r="C1383" s="10" t="s">
        <v>77</v>
      </c>
      <c r="D1383" s="415">
        <f>9419511</f>
        <v>9419511</v>
      </c>
      <c r="E1383" t="s">
        <v>97</v>
      </c>
      <c r="F1383">
        <v>40</v>
      </c>
      <c r="G1383" s="316" t="str">
        <f>+CONCATENATE($G$7," GC ",G1382," ",H1382)</f>
        <v>"04-2026" GC SGH640 P757</v>
      </c>
      <c r="H1383" s="259"/>
      <c r="I1383" s="10" t="str">
        <f>+H1382</f>
        <v>P757</v>
      </c>
      <c r="J1383" s="350"/>
      <c r="K1383" s="335"/>
      <c r="N1383" s="336"/>
    </row>
    <row r="1384" spans="1:21" x14ac:dyDescent="0.35">
      <c r="B1384" s="263">
        <v>1245150017</v>
      </c>
      <c r="C1384" s="10" t="s">
        <v>1013</v>
      </c>
      <c r="D1384" s="415">
        <f>941951</f>
        <v>941951</v>
      </c>
      <c r="E1384" t="s">
        <v>97</v>
      </c>
      <c r="F1384">
        <v>40</v>
      </c>
      <c r="G1384" s="318" t="str">
        <f>+G1383</f>
        <v>"04-2026" GC SGH640 P757</v>
      </c>
      <c r="H1384" s="259"/>
      <c r="I1384" s="10" t="str">
        <f>+I1383</f>
        <v>P757</v>
      </c>
      <c r="J1384" s="350"/>
      <c r="K1384" s="335"/>
      <c r="N1384" s="336"/>
    </row>
    <row r="1385" spans="1:21" x14ac:dyDescent="0.35">
      <c r="B1385" s="263">
        <v>1245150017</v>
      </c>
      <c r="C1385" s="10" t="s">
        <v>1015</v>
      </c>
      <c r="D1385" s="415">
        <v>1231165</v>
      </c>
      <c r="E1385" t="s">
        <v>97</v>
      </c>
      <c r="F1385">
        <v>40</v>
      </c>
      <c r="G1385" s="318" t="str">
        <f>+G1384</f>
        <v>"04-2026" GC SGH640 P757</v>
      </c>
      <c r="H1385" s="259"/>
      <c r="I1385" s="10" t="str">
        <f t="shared" ref="I1385:I1389" si="72">+I1384</f>
        <v>P757</v>
      </c>
      <c r="J1385" s="350"/>
      <c r="K1385" s="335"/>
      <c r="N1385" s="336"/>
    </row>
    <row r="1386" spans="1:21" x14ac:dyDescent="0.35">
      <c r="B1386" s="263">
        <v>1245150017</v>
      </c>
      <c r="C1386" s="10" t="s">
        <v>1229</v>
      </c>
      <c r="D1386" s="415">
        <v>61558</v>
      </c>
      <c r="E1386" t="s">
        <v>97</v>
      </c>
      <c r="F1386">
        <v>40</v>
      </c>
      <c r="G1386" s="318" t="str">
        <f>+G1385</f>
        <v>"04-2026" GC SGH640 P757</v>
      </c>
      <c r="H1386" s="259"/>
      <c r="I1386" s="10" t="str">
        <f t="shared" si="72"/>
        <v>P757</v>
      </c>
      <c r="J1386" s="350"/>
      <c r="K1386" s="335"/>
      <c r="N1386" s="336"/>
    </row>
    <row r="1387" spans="1:21" x14ac:dyDescent="0.35">
      <c r="B1387" s="263">
        <v>1149120011</v>
      </c>
      <c r="C1387" s="10" t="s">
        <v>96</v>
      </c>
      <c r="D1387" s="415">
        <f>+D1389*S1382</f>
        <v>2214295.15</v>
      </c>
      <c r="E1387" t="s">
        <v>98</v>
      </c>
      <c r="F1387">
        <v>40</v>
      </c>
      <c r="G1387" s="318" t="str">
        <f t="shared" ref="G1387:G1388" si="73">+G1386</f>
        <v>"04-2026" GC SGH640 P757</v>
      </c>
      <c r="H1387" s="259"/>
      <c r="I1387" s="10" t="str">
        <f t="shared" si="72"/>
        <v>P757</v>
      </c>
      <c r="J1387" s="350"/>
      <c r="K1387" s="335"/>
      <c r="N1387" s="336"/>
    </row>
    <row r="1388" spans="1:21" x14ac:dyDescent="0.35">
      <c r="B1388" s="263">
        <v>1149120011</v>
      </c>
      <c r="C1388" s="10" t="s">
        <v>96</v>
      </c>
      <c r="D1388" s="415">
        <f>-D1389*S1382</f>
        <v>-2214295.15</v>
      </c>
      <c r="E1388" t="s">
        <v>97</v>
      </c>
      <c r="F1388">
        <v>50</v>
      </c>
      <c r="G1388" s="318" t="str">
        <f t="shared" si="73"/>
        <v>"04-2026" GC SGH640 P757</v>
      </c>
      <c r="H1388" s="259"/>
      <c r="I1388" s="10" t="str">
        <f t="shared" si="72"/>
        <v>P757</v>
      </c>
      <c r="J1388" s="350"/>
      <c r="K1388" s="335"/>
      <c r="N1388" s="336"/>
    </row>
    <row r="1389" spans="1:21" x14ac:dyDescent="0.35">
      <c r="B1389" s="4">
        <v>1149120011</v>
      </c>
      <c r="C1389" s="10" t="s">
        <v>96</v>
      </c>
      <c r="D1389" s="417">
        <f>+(D1383+D1384+D1385+D1386)*0.19</f>
        <v>2214295.15</v>
      </c>
      <c r="E1389" t="s">
        <v>97</v>
      </c>
      <c r="F1389">
        <v>40</v>
      </c>
      <c r="G1389" s="318" t="str">
        <f>+G1388</f>
        <v>"04-2026" GC SGH640 P757</v>
      </c>
      <c r="H1389" s="252"/>
      <c r="I1389" s="10" t="str">
        <f t="shared" si="72"/>
        <v>P757</v>
      </c>
      <c r="J1389" s="350"/>
      <c r="K1389" s="335"/>
      <c r="N1389" s="336"/>
    </row>
    <row r="1390" spans="1:21" x14ac:dyDescent="0.35">
      <c r="A1390" s="130" t="s">
        <v>853</v>
      </c>
      <c r="B1390" s="240">
        <v>452333</v>
      </c>
      <c r="C1390" s="276" t="s">
        <v>823</v>
      </c>
      <c r="E1390"/>
      <c r="G1390" s="380" t="s">
        <v>1228</v>
      </c>
      <c r="H1390" s="413" t="s">
        <v>1190</v>
      </c>
      <c r="J1390" s="350">
        <f>+VLOOKUP(H1390,contratos!A:R,5,0)</f>
        <v>45372</v>
      </c>
      <c r="K1390" s="266" t="str">
        <f>+VLOOKUP(H1390,contratos!A:R,12,0)</f>
        <v>OK</v>
      </c>
      <c r="L1390" s="341" t="str">
        <f>+VLOOKUP(H1390,contratos!A:R,13,0)</f>
        <v>VIGENTE</v>
      </c>
      <c r="M1390" s="341">
        <f>+VLOOKUP(H1390,contratos!A:R,15,0)</f>
        <v>0</v>
      </c>
      <c r="N1390" s="336">
        <f>+VLOOKUP(H1390,contratos!A:R,16,0)</f>
        <v>941951</v>
      </c>
      <c r="O1390" s="341">
        <f>+VLOOKUP(B1390,PRORRATEO!A:M,8,0)</f>
        <v>23498968</v>
      </c>
      <c r="P1390" s="341">
        <f>+VLOOKUP(B1390,PRORRATEO!A:M,9,0)</f>
        <v>4464803.92</v>
      </c>
      <c r="Q1390" s="341">
        <f>+VLOOKUP(B1390,PRORRATEO!A:M,10,0)</f>
        <v>4464803.92</v>
      </c>
      <c r="R1390" s="341">
        <f>+VLOOKUP(B1390,PRORRATEO!A:M,11,0)</f>
        <v>0</v>
      </c>
      <c r="S1390" s="339">
        <f>+VLOOKUP(B1390,PRORRATEO!A:M,12,0)</f>
        <v>1</v>
      </c>
      <c r="T1390" s="339">
        <f>+VLOOKUP(B1390,PRORRATEO!A:M,13,0)</f>
        <v>0</v>
      </c>
      <c r="U1390" t="s">
        <v>823</v>
      </c>
    </row>
    <row r="1391" spans="1:21" x14ac:dyDescent="0.35">
      <c r="B1391" s="263">
        <v>1245150017</v>
      </c>
      <c r="C1391" s="10" t="s">
        <v>77</v>
      </c>
      <c r="D1391" s="415">
        <v>3139837</v>
      </c>
      <c r="E1391" t="s">
        <v>97</v>
      </c>
      <c r="F1391">
        <v>40</v>
      </c>
      <c r="G1391" s="316" t="str">
        <f>+CONCATENATE($G$7," GC ",G1390," ",H1390)</f>
        <v>"04-2026" GC SGH640 P757</v>
      </c>
      <c r="H1391" s="259"/>
      <c r="I1391" s="10" t="str">
        <f>+H1390</f>
        <v>P757</v>
      </c>
      <c r="J1391" s="350"/>
      <c r="K1391" s="335"/>
      <c r="N1391" s="336"/>
    </row>
    <row r="1392" spans="1:21" x14ac:dyDescent="0.35">
      <c r="B1392" s="263">
        <v>1245150017</v>
      </c>
      <c r="C1392" s="10" t="s">
        <v>1013</v>
      </c>
      <c r="D1392" s="415">
        <v>313984</v>
      </c>
      <c r="E1392" t="s">
        <v>97</v>
      </c>
      <c r="F1392">
        <v>40</v>
      </c>
      <c r="G1392" s="318" t="str">
        <f>+G1391</f>
        <v>"04-2026" GC SGH640 P757</v>
      </c>
      <c r="H1392" s="259"/>
      <c r="I1392" s="10" t="str">
        <f>+I1391</f>
        <v>P757</v>
      </c>
      <c r="J1392" s="350"/>
      <c r="K1392" s="335"/>
      <c r="N1392" s="336"/>
    </row>
    <row r="1393" spans="1:21" x14ac:dyDescent="0.35">
      <c r="B1393" s="263">
        <v>1245150017</v>
      </c>
      <c r="C1393" s="10" t="s">
        <v>1015</v>
      </c>
      <c r="D1393" s="415">
        <v>410388</v>
      </c>
      <c r="E1393" t="s">
        <v>97</v>
      </c>
      <c r="F1393">
        <v>40</v>
      </c>
      <c r="G1393" s="318" t="str">
        <f>+G1392</f>
        <v>"04-2026" GC SGH640 P757</v>
      </c>
      <c r="H1393" s="259"/>
      <c r="I1393" s="10" t="str">
        <f t="shared" ref="I1393:I1397" si="74">+I1392</f>
        <v>P757</v>
      </c>
      <c r="J1393" s="350"/>
      <c r="K1393" s="335"/>
      <c r="N1393" s="336"/>
    </row>
    <row r="1394" spans="1:21" x14ac:dyDescent="0.35">
      <c r="B1394" s="263">
        <v>1245150017</v>
      </c>
      <c r="C1394" s="10" t="s">
        <v>1229</v>
      </c>
      <c r="D1394" s="415">
        <v>20519</v>
      </c>
      <c r="E1394" t="s">
        <v>97</v>
      </c>
      <c r="F1394">
        <v>40</v>
      </c>
      <c r="G1394" s="318" t="str">
        <f>+G1393</f>
        <v>"04-2026" GC SGH640 P757</v>
      </c>
      <c r="H1394" s="259"/>
      <c r="I1394" s="10" t="str">
        <f t="shared" si="74"/>
        <v>P757</v>
      </c>
      <c r="J1394" s="350"/>
      <c r="K1394" s="335"/>
      <c r="N1394" s="336"/>
    </row>
    <row r="1395" spans="1:21" x14ac:dyDescent="0.35">
      <c r="B1395" s="263">
        <v>1149120011</v>
      </c>
      <c r="C1395" s="10" t="s">
        <v>96</v>
      </c>
      <c r="D1395" s="415">
        <f>+D1397*S1390</f>
        <v>2233216</v>
      </c>
      <c r="E1395" t="s">
        <v>98</v>
      </c>
      <c r="F1395">
        <v>40</v>
      </c>
      <c r="G1395" s="318" t="str">
        <f t="shared" ref="G1395:G1396" si="75">+G1394</f>
        <v>"04-2026" GC SGH640 P757</v>
      </c>
      <c r="H1395" s="259"/>
      <c r="I1395" s="10" t="str">
        <f t="shared" si="74"/>
        <v>P757</v>
      </c>
      <c r="J1395" s="350"/>
      <c r="K1395" s="335"/>
      <c r="N1395" s="336"/>
    </row>
    <row r="1396" spans="1:21" x14ac:dyDescent="0.35">
      <c r="B1396" s="263">
        <v>1149120011</v>
      </c>
      <c r="C1396" s="10" t="s">
        <v>96</v>
      </c>
      <c r="D1396" s="415">
        <f>D1397*S1390</f>
        <v>2233216</v>
      </c>
      <c r="E1396" t="s">
        <v>97</v>
      </c>
      <c r="F1396">
        <v>50</v>
      </c>
      <c r="G1396" s="318" t="str">
        <f t="shared" si="75"/>
        <v>"04-2026" GC SGH640 P757</v>
      </c>
      <c r="H1396" s="259"/>
      <c r="I1396" s="10" t="str">
        <f t="shared" si="74"/>
        <v>P757</v>
      </c>
      <c r="J1396" s="350"/>
      <c r="K1396" s="335"/>
      <c r="N1396" s="336"/>
    </row>
    <row r="1397" spans="1:21" x14ac:dyDescent="0.35">
      <c r="B1397" s="4">
        <v>1149120011</v>
      </c>
      <c r="C1397" s="10" t="s">
        <v>96</v>
      </c>
      <c r="D1397" s="417">
        <v>2233216</v>
      </c>
      <c r="E1397" t="s">
        <v>97</v>
      </c>
      <c r="F1397">
        <v>40</v>
      </c>
      <c r="G1397" s="318" t="str">
        <f>+G1396</f>
        <v>"04-2026" GC SGH640 P757</v>
      </c>
      <c r="H1397" s="252"/>
      <c r="I1397" s="10" t="str">
        <f t="shared" si="74"/>
        <v>P757</v>
      </c>
      <c r="J1397" s="350"/>
      <c r="K1397" s="335"/>
      <c r="N1397" s="336"/>
    </row>
    <row r="1398" spans="1:21" x14ac:dyDescent="0.35">
      <c r="A1398" s="130" t="s">
        <v>853</v>
      </c>
      <c r="B1398" s="262">
        <v>211510</v>
      </c>
      <c r="C1398" s="276" t="s">
        <v>50</v>
      </c>
      <c r="E1398"/>
      <c r="G1398" s="347" t="s">
        <v>1166</v>
      </c>
      <c r="H1398" s="262">
        <v>9302</v>
      </c>
      <c r="J1398" s="350">
        <f>+VLOOKUP(H1398,contratos!A:R,5,0)</f>
        <v>43081</v>
      </c>
      <c r="K1398" s="266" t="str">
        <f>+VLOOKUP(H1398,contratos!A:R,12,0)</f>
        <v>VENCIDO</v>
      </c>
      <c r="L1398" s="341" t="str">
        <f>+VLOOKUP(H1398,contratos!A:R,13,0)</f>
        <v>CESADO</v>
      </c>
      <c r="M1398" s="341">
        <f>+VLOOKUP(H1398,contratos!A:R,15,0)</f>
        <v>0</v>
      </c>
      <c r="N1398" s="336">
        <f>+VLOOKUP(H1398,contratos!A:R,16,0)</f>
        <v>0</v>
      </c>
      <c r="O1398" s="341">
        <f>+VLOOKUP(B1398,PRORRATEO!A:M,8,0)</f>
        <v>7483348</v>
      </c>
      <c r="P1398" s="341">
        <f>+VLOOKUP(B1398,PRORRATEO!A:M,9,0)</f>
        <v>1421836.12</v>
      </c>
      <c r="Q1398" s="341">
        <f>+VLOOKUP(B1398,PRORRATEO!A:M,10,0)</f>
        <v>1421836.12</v>
      </c>
      <c r="R1398" s="341">
        <f>+VLOOKUP(B1398,PRORRATEO!A:M,11,0)</f>
        <v>0</v>
      </c>
      <c r="S1398" s="339">
        <f>+VLOOKUP(B1398,PRORRATEO!A:M,12,0)</f>
        <v>1</v>
      </c>
      <c r="T1398" s="339">
        <f>+VLOOKUP(B1398,PRORRATEO!A:M,13,0)</f>
        <v>0</v>
      </c>
      <c r="U1398" t="s">
        <v>655</v>
      </c>
    </row>
    <row r="1399" spans="1:21" x14ac:dyDescent="0.35">
      <c r="B1399" s="4">
        <v>1246125027</v>
      </c>
      <c r="C1399" s="10" t="s">
        <v>962</v>
      </c>
      <c r="D1399" s="268">
        <f>-D1400*J1399</f>
        <v>-346767.6761065005</v>
      </c>
      <c r="E1399"/>
      <c r="F1399">
        <v>50</v>
      </c>
      <c r="G1399" s="316" t="str">
        <f>+CONCATENATE($G$7," RF ",G1398," ",H1398)</f>
        <v>"04-2026" RF TSGH604 9302</v>
      </c>
      <c r="H1399" s="252"/>
      <c r="I1399" s="251" t="s">
        <v>857</v>
      </c>
      <c r="J1399" s="352">
        <v>3.5000027868039262E-2</v>
      </c>
      <c r="K1399" s="335"/>
      <c r="N1399" s="336"/>
    </row>
    <row r="1400" spans="1:21" x14ac:dyDescent="0.35">
      <c r="B1400" s="263">
        <v>1245150017</v>
      </c>
      <c r="C1400" s="10" t="s">
        <v>77</v>
      </c>
      <c r="D1400" s="268">
        <v>9907640</v>
      </c>
      <c r="E1400" s="263" t="s">
        <v>98</v>
      </c>
      <c r="F1400">
        <v>40</v>
      </c>
      <c r="G1400" s="318" t="str">
        <f>+G1399</f>
        <v>"04-2026" RF TSGH604 9302</v>
      </c>
      <c r="H1400" s="252"/>
      <c r="I1400" s="10">
        <f>+H1398</f>
        <v>9302</v>
      </c>
      <c r="J1400" s="350"/>
      <c r="K1400" s="335"/>
      <c r="N1400" s="336"/>
    </row>
    <row r="1401" spans="1:21" x14ac:dyDescent="0.35">
      <c r="B1401" s="4">
        <v>1149120011</v>
      </c>
      <c r="C1401" s="10" t="s">
        <v>96</v>
      </c>
      <c r="D1401" s="328">
        <f>+D1400*0.19</f>
        <v>1882451.6</v>
      </c>
      <c r="E1401" t="s">
        <v>98</v>
      </c>
      <c r="F1401">
        <v>40</v>
      </c>
      <c r="G1401" s="318" t="str">
        <f>+G1400</f>
        <v>"04-2026" RF TSGH604 9302</v>
      </c>
      <c r="H1401" s="252"/>
      <c r="I1401" s="10">
        <f>+I1400</f>
        <v>9302</v>
      </c>
      <c r="J1401" s="350"/>
      <c r="K1401" s="335"/>
      <c r="N1401" s="336"/>
    </row>
    <row r="1402" spans="1:21" x14ac:dyDescent="0.35">
      <c r="C1402" s="251" t="s">
        <v>76</v>
      </c>
      <c r="D1402" s="265">
        <f>SUM(D1399:D1401)</f>
        <v>11443323.923893498</v>
      </c>
      <c r="E1402"/>
      <c r="G1402" s="318" t="str">
        <f>+G1401</f>
        <v>"04-2026" RF TSGH604 9302</v>
      </c>
      <c r="H1402" s="252"/>
      <c r="J1402" s="350"/>
      <c r="K1402" s="335"/>
      <c r="N1402" s="336"/>
    </row>
    <row r="1403" spans="1:21" x14ac:dyDescent="0.35">
      <c r="A1403" s="130" t="s">
        <v>853</v>
      </c>
      <c r="B1403" s="262">
        <v>243073</v>
      </c>
      <c r="C1403" s="276" t="s">
        <v>1027</v>
      </c>
      <c r="E1403"/>
      <c r="G1403" s="347" t="s">
        <v>1167</v>
      </c>
      <c r="H1403" s="262" t="s">
        <v>668</v>
      </c>
      <c r="I1403" s="10" t="s">
        <v>857</v>
      </c>
      <c r="J1403" s="350" t="e">
        <f>+VLOOKUP(H1403,contratos!A:R,5,0)</f>
        <v>#N/A</v>
      </c>
      <c r="K1403" s="266" t="e">
        <f>+VLOOKUP(H1403,contratos!A:R,12,0)</f>
        <v>#N/A</v>
      </c>
      <c r="L1403" s="341" t="e">
        <f>+VLOOKUP(H1403,contratos!A:R,13,0)</f>
        <v>#N/A</v>
      </c>
      <c r="M1403" s="341" t="e">
        <f>+VLOOKUP(H1403,contratos!A:R,15,0)</f>
        <v>#N/A</v>
      </c>
      <c r="N1403" s="336" t="e">
        <f>+VLOOKUP(H1403,contratos!A:R,16,0)</f>
        <v>#N/A</v>
      </c>
      <c r="O1403" s="341">
        <f>+VLOOKUP(B1403,PRORRATEO!A:M,8,0)</f>
        <v>30575345</v>
      </c>
      <c r="P1403" s="341">
        <f>+VLOOKUP(B1403,PRORRATEO!A:M,9,0)</f>
        <v>5809315.5499999998</v>
      </c>
      <c r="Q1403" s="341">
        <f>+VLOOKUP(B1403,PRORRATEO!A:M,10,0)</f>
        <v>5809315.5499999998</v>
      </c>
      <c r="R1403" s="341">
        <f>+VLOOKUP(B1403,PRORRATEO!A:M,11,0)</f>
        <v>0</v>
      </c>
      <c r="S1403" s="339">
        <f>+VLOOKUP(B1403,PRORRATEO!A:M,12,0)</f>
        <v>1</v>
      </c>
      <c r="T1403" s="339">
        <f>+VLOOKUP(B1403,PRORRATEO!A:M,13,0)</f>
        <v>0</v>
      </c>
      <c r="U1403" t="s">
        <v>669</v>
      </c>
    </row>
    <row r="1404" spans="1:21" x14ac:dyDescent="0.35">
      <c r="B1404" s="263">
        <v>1537210004</v>
      </c>
      <c r="C1404" s="10" t="s">
        <v>1018</v>
      </c>
      <c r="D1404" s="268">
        <v>12593966.960000001</v>
      </c>
      <c r="E1404" s="263" t="s">
        <v>98</v>
      </c>
      <c r="F1404">
        <v>40</v>
      </c>
      <c r="G1404" s="316" t="str">
        <f>+CONCATENATE($G$7," RV ",G1403," ",H1403)</f>
        <v>"04-2026" RV TSGH632 A544</v>
      </c>
      <c r="H1404" s="252"/>
      <c r="I1404" s="10" t="str">
        <f>+H1403</f>
        <v>A544</v>
      </c>
      <c r="J1404" s="350"/>
      <c r="K1404" s="335"/>
      <c r="N1404" s="336"/>
    </row>
    <row r="1405" spans="1:21" x14ac:dyDescent="0.35">
      <c r="B1405" s="4">
        <v>1246125027</v>
      </c>
      <c r="C1405" s="10" t="s">
        <v>962</v>
      </c>
      <c r="D1405" s="268">
        <f>-D1404*J1405</f>
        <v>-440788.84360000008</v>
      </c>
      <c r="E1405"/>
      <c r="F1405">
        <v>50</v>
      </c>
      <c r="G1405" s="318" t="str">
        <f>+G1404</f>
        <v>"04-2026" RV TSGH632 A544</v>
      </c>
      <c r="H1405" s="252"/>
      <c r="I1405" s="10" t="s">
        <v>857</v>
      </c>
      <c r="J1405" s="352">
        <v>3.5000000000000003E-2</v>
      </c>
      <c r="K1405" s="335"/>
      <c r="N1405" s="336"/>
    </row>
    <row r="1406" spans="1:21" x14ac:dyDescent="0.35">
      <c r="B1406" s="4">
        <v>1149120011</v>
      </c>
      <c r="C1406" s="10" t="s">
        <v>96</v>
      </c>
      <c r="D1406" s="268">
        <f>+D1404*0.19</f>
        <v>2392853.7224000003</v>
      </c>
      <c r="E1406" t="s">
        <v>98</v>
      </c>
      <c r="F1406">
        <v>40</v>
      </c>
      <c r="G1406" s="318" t="str">
        <f>+G1405</f>
        <v>"04-2026" RV TSGH632 A544</v>
      </c>
      <c r="H1406" s="252"/>
      <c r="I1406" s="10" t="str">
        <f>+I1404</f>
        <v>A544</v>
      </c>
      <c r="J1406" s="350"/>
      <c r="K1406" s="335"/>
      <c r="N1406" s="336"/>
    </row>
    <row r="1407" spans="1:21" x14ac:dyDescent="0.35">
      <c r="C1407" s="251" t="s">
        <v>76</v>
      </c>
      <c r="D1407" s="265">
        <f>SUBTOTAL(9,D1404:D1406)</f>
        <v>14546031.838800002</v>
      </c>
      <c r="E1407" t="s">
        <v>98</v>
      </c>
      <c r="G1407" s="318" t="str">
        <f>+G1406</f>
        <v>"04-2026" RV TSGH632 A544</v>
      </c>
      <c r="H1407" s="252"/>
      <c r="I1407" s="10" t="str">
        <f>+I1406</f>
        <v>A544</v>
      </c>
      <c r="J1407" s="350"/>
      <c r="K1407" s="335"/>
      <c r="N1407" s="336"/>
    </row>
    <row r="1408" spans="1:21" x14ac:dyDescent="0.35">
      <c r="A1408" s="130" t="s">
        <v>853</v>
      </c>
      <c r="B1408" s="262">
        <v>204648</v>
      </c>
      <c r="C1408" s="276" t="s">
        <v>968</v>
      </c>
      <c r="E1408"/>
      <c r="G1408" s="346" t="s">
        <v>339</v>
      </c>
      <c r="H1408" s="6">
        <v>6556</v>
      </c>
      <c r="I1408" s="10" t="s">
        <v>865</v>
      </c>
      <c r="J1408" s="350">
        <f>+VLOOKUP(H1408,contratos!A:R,5,0)</f>
        <v>42345</v>
      </c>
      <c r="K1408" s="266" t="str">
        <f>+VLOOKUP(H1408,contratos!A:R,12,0)</f>
        <v>OK</v>
      </c>
      <c r="L1408" s="341" t="str">
        <f>+VLOOKUP(H1408,contratos!A:R,13,0)</f>
        <v>VIGENTE</v>
      </c>
      <c r="M1408" s="341">
        <f>+VLOOKUP(H1408,contratos!A:R,15,0)</f>
        <v>0</v>
      </c>
      <c r="N1408" s="336">
        <f>+VLOOKUP(H1408,contratos!A:R,16,0)</f>
        <v>0</v>
      </c>
      <c r="O1408" s="341">
        <f>+VLOOKUP(H1408,PRORRATEO!F:M,3,0)</f>
        <v>8427956</v>
      </c>
      <c r="P1408" s="341">
        <f>+VLOOKUP(H1408,PRORRATEO!F:M,4,0)</f>
        <v>1601311.6400000001</v>
      </c>
      <c r="Q1408" s="341">
        <f>+VLOOKUP(H1408,PRORRATEO!F:M,5,0)</f>
        <v>147320.67088000002</v>
      </c>
      <c r="R1408" s="341">
        <f>+VLOOKUP(H1408,PRORRATEO!F:M,6,0)</f>
        <v>1453990.9691200003</v>
      </c>
      <c r="S1408" s="339">
        <f>+VLOOKUP(H1408,PRORRATEO!F:M,7,0)</f>
        <v>9.1999999999999998E-2</v>
      </c>
      <c r="T1408" s="339">
        <f>+VLOOKUP(H1408,PRORRATEO!F:M,8,0)</f>
        <v>0.90800000000000003</v>
      </c>
      <c r="U1408" t="s">
        <v>678</v>
      </c>
    </row>
    <row r="1409" spans="1:21" x14ac:dyDescent="0.35">
      <c r="A1409" s="358"/>
      <c r="B1409" s="263">
        <v>1537210004</v>
      </c>
      <c r="C1409" s="10" t="s">
        <v>1786</v>
      </c>
      <c r="D1409" s="268">
        <f>1524895-1450199</f>
        <v>74696</v>
      </c>
      <c r="E1409" s="263" t="s">
        <v>80</v>
      </c>
      <c r="F1409">
        <v>50</v>
      </c>
      <c r="G1409" s="316" t="str">
        <f>+CONCATENATE($G$7," DESCUENTO ",G1408," ",H1408)</f>
        <v>"04-2026" DESCUENTO T005 6556</v>
      </c>
      <c r="H1409" s="252"/>
      <c r="I1409" s="10">
        <f>+H1408</f>
        <v>6556</v>
      </c>
      <c r="J1409" s="350"/>
      <c r="K1409" s="266"/>
      <c r="N1409" s="336"/>
    </row>
    <row r="1410" spans="1:21" x14ac:dyDescent="0.35">
      <c r="B1410" s="263">
        <v>1537210002</v>
      </c>
      <c r="C1410" s="10" t="s">
        <v>1015</v>
      </c>
      <c r="D1410" s="268">
        <v>30981</v>
      </c>
      <c r="E1410" s="263" t="s">
        <v>80</v>
      </c>
      <c r="F1410">
        <v>40</v>
      </c>
      <c r="G1410" s="316" t="str">
        <f>+CONCATENATE($G$7," GC ",G1408," ",H1408)</f>
        <v>"04-2026" GC T005 6556</v>
      </c>
      <c r="H1410" s="252"/>
      <c r="I1410" s="10">
        <f>+H1408</f>
        <v>6556</v>
      </c>
      <c r="J1410" s="350"/>
      <c r="K1410" s="335"/>
      <c r="N1410" s="336"/>
    </row>
    <row r="1411" spans="1:21" x14ac:dyDescent="0.35">
      <c r="B1411" s="263">
        <v>1537210003</v>
      </c>
      <c r="C1411" s="10" t="s">
        <v>1013</v>
      </c>
      <c r="D1411" s="268">
        <v>591193</v>
      </c>
      <c r="E1411" s="263" t="s">
        <v>80</v>
      </c>
      <c r="F1411">
        <v>40</v>
      </c>
      <c r="G1411" s="316" t="str">
        <f>+G1410</f>
        <v>"04-2026" GC T005 6556</v>
      </c>
      <c r="H1411" s="252"/>
      <c r="I1411" s="10">
        <f>+I1410</f>
        <v>6556</v>
      </c>
      <c r="J1411" s="350"/>
      <c r="K1411" s="266"/>
      <c r="N1411" s="336"/>
    </row>
    <row r="1412" spans="1:21" x14ac:dyDescent="0.35">
      <c r="B1412" s="263">
        <v>1537210002</v>
      </c>
      <c r="C1412" s="10" t="s">
        <v>1015</v>
      </c>
      <c r="D1412" s="268">
        <v>902721</v>
      </c>
      <c r="E1412" s="263" t="s">
        <v>80</v>
      </c>
      <c r="F1412">
        <v>40</v>
      </c>
      <c r="G1412" s="318" t="str">
        <f>+G1410</f>
        <v>"04-2026" GC T005 6556</v>
      </c>
      <c r="H1412" s="252"/>
      <c r="I1412" s="10">
        <f>+I1410</f>
        <v>6556</v>
      </c>
      <c r="J1412" s="350"/>
      <c r="K1412" s="335"/>
      <c r="N1412" s="336"/>
    </row>
    <row r="1413" spans="1:21" x14ac:dyDescent="0.35">
      <c r="C1413" s="251" t="s">
        <v>76</v>
      </c>
      <c r="D1413" s="332">
        <f>SUBTOTAL(9,D1410:D1412)</f>
        <v>1524895</v>
      </c>
      <c r="E1413"/>
      <c r="G1413" s="318" t="str">
        <f>+G1412</f>
        <v>"04-2026" GC T005 6556</v>
      </c>
      <c r="H1413" s="252"/>
      <c r="I1413" s="10">
        <f>+I1412</f>
        <v>6556</v>
      </c>
      <c r="J1413" s="350"/>
      <c r="K1413" s="335"/>
      <c r="N1413" s="336"/>
    </row>
    <row r="1414" spans="1:21" x14ac:dyDescent="0.35">
      <c r="A1414" s="130" t="s">
        <v>854</v>
      </c>
      <c r="B1414" s="262">
        <v>210958</v>
      </c>
      <c r="C1414" s="276" t="s">
        <v>966</v>
      </c>
      <c r="E1414"/>
      <c r="G1414" s="346" t="s">
        <v>442</v>
      </c>
      <c r="H1414" s="6">
        <v>9103</v>
      </c>
      <c r="I1414" s="10" t="s">
        <v>865</v>
      </c>
      <c r="J1414" s="350">
        <v>45869</v>
      </c>
      <c r="K1414" s="335" t="s">
        <v>121</v>
      </c>
      <c r="L1414" s="341">
        <v>10027558</v>
      </c>
      <c r="M1414" s="341">
        <v>0</v>
      </c>
      <c r="N1414" s="336">
        <v>0</v>
      </c>
      <c r="O1414" s="341">
        <v>10027559</v>
      </c>
      <c r="P1414" s="341">
        <v>1905236.21</v>
      </c>
      <c r="Q1414" s="341">
        <v>154324.13300999999</v>
      </c>
      <c r="R1414" s="341">
        <v>1750912.07699</v>
      </c>
      <c r="S1414" s="339">
        <v>8.1000000000000003E-2</v>
      </c>
      <c r="T1414" s="339">
        <v>0.91900000000000004</v>
      </c>
      <c r="U1414" t="s">
        <v>837</v>
      </c>
    </row>
    <row r="1415" spans="1:21" x14ac:dyDescent="0.35">
      <c r="B1415" s="263">
        <v>1537210003</v>
      </c>
      <c r="C1415" s="10" t="s">
        <v>1013</v>
      </c>
      <c r="D1415" s="268">
        <v>329000</v>
      </c>
      <c r="E1415" s="263" t="s">
        <v>80</v>
      </c>
      <c r="F1415">
        <v>40</v>
      </c>
      <c r="G1415" s="316" t="str">
        <f>+CONCATENATE($G$7," GC/FUMIGACION ",G1414," ",H1414)</f>
        <v>"04-2026" GC/FUMIGACION T128 9103</v>
      </c>
      <c r="H1415" s="252"/>
      <c r="I1415" s="10">
        <f>+H1414</f>
        <v>9103</v>
      </c>
      <c r="J1415" s="350"/>
      <c r="K1415" s="335"/>
      <c r="N1415" s="336"/>
    </row>
    <row r="1416" spans="1:21" x14ac:dyDescent="0.35">
      <c r="B1416" s="263">
        <v>1537210002</v>
      </c>
      <c r="C1416" s="10" t="s">
        <v>1015</v>
      </c>
      <c r="D1416" s="268">
        <v>1493000</v>
      </c>
      <c r="E1416" s="263" t="s">
        <v>80</v>
      </c>
      <c r="F1416">
        <v>40</v>
      </c>
      <c r="G1416" s="318" t="str">
        <f>+G1415</f>
        <v>"04-2026" GC/FUMIGACION T128 9103</v>
      </c>
      <c r="H1416" s="252"/>
      <c r="I1416" s="10">
        <f>+I1415</f>
        <v>9103</v>
      </c>
      <c r="J1416" s="375">
        <f>+D1416+D1415</f>
        <v>1822000</v>
      </c>
      <c r="K1416" s="335"/>
      <c r="N1416" s="336"/>
    </row>
    <row r="1417" spans="1:21" x14ac:dyDescent="0.35">
      <c r="B1417" s="263">
        <v>1532001600</v>
      </c>
      <c r="C1417" s="10" t="s">
        <v>987</v>
      </c>
      <c r="D1417" s="268">
        <v>19496</v>
      </c>
      <c r="E1417" s="263" t="s">
        <v>97</v>
      </c>
      <c r="F1417">
        <v>40</v>
      </c>
      <c r="G1417" s="318" t="str">
        <f>+G1416</f>
        <v>"04-2026" GC/FUMIGACION T128 9103</v>
      </c>
      <c r="H1417" s="252"/>
      <c r="I1417" s="10">
        <f>+I1416</f>
        <v>9103</v>
      </c>
      <c r="J1417" s="350"/>
      <c r="K1417" s="335"/>
      <c r="N1417" s="336"/>
    </row>
    <row r="1418" spans="1:21" x14ac:dyDescent="0.35">
      <c r="B1418" s="4">
        <v>1149120011</v>
      </c>
      <c r="C1418" s="10" t="s">
        <v>96</v>
      </c>
      <c r="D1418" s="298">
        <f>+SUM(D1417)*0.19</f>
        <v>3704.2400000000002</v>
      </c>
      <c r="E1418" t="s">
        <v>97</v>
      </c>
      <c r="F1418">
        <v>40</v>
      </c>
      <c r="G1418" s="318" t="str">
        <f>+G1417</f>
        <v>"04-2026" GC/FUMIGACION T128 9103</v>
      </c>
      <c r="H1418" s="252"/>
      <c r="I1418" s="10">
        <f>+I1417</f>
        <v>9103</v>
      </c>
      <c r="J1418" s="350"/>
      <c r="K1418" s="335"/>
      <c r="N1418" s="336"/>
    </row>
    <row r="1419" spans="1:21" x14ac:dyDescent="0.35">
      <c r="C1419" s="251" t="s">
        <v>76</v>
      </c>
      <c r="D1419" s="332">
        <v>1585600</v>
      </c>
      <c r="E1419" t="s">
        <v>984</v>
      </c>
      <c r="G1419" s="318" t="str">
        <f>+G1418</f>
        <v>"04-2026" GC/FUMIGACION T128 9103</v>
      </c>
      <c r="H1419" s="252"/>
      <c r="I1419" s="10">
        <f>+I1418</f>
        <v>9103</v>
      </c>
      <c r="J1419" s="350"/>
      <c r="K1419" s="335"/>
      <c r="N1419" s="336"/>
    </row>
    <row r="1420" spans="1:21" x14ac:dyDescent="0.35">
      <c r="A1420" s="130" t="s">
        <v>854</v>
      </c>
      <c r="B1420" s="262">
        <v>210622</v>
      </c>
      <c r="C1420" s="276" t="s">
        <v>1077</v>
      </c>
      <c r="E1420"/>
      <c r="G1420" s="346" t="s">
        <v>434</v>
      </c>
      <c r="H1420" s="6">
        <v>9101</v>
      </c>
      <c r="I1420" s="10" t="s">
        <v>865</v>
      </c>
      <c r="J1420" s="350">
        <v>45473</v>
      </c>
      <c r="K1420" s="335" t="s">
        <v>121</v>
      </c>
      <c r="L1420" s="341">
        <v>13867133</v>
      </c>
      <c r="M1420" s="341">
        <v>0</v>
      </c>
      <c r="N1420" s="336">
        <v>2431336</v>
      </c>
      <c r="O1420" s="341">
        <v>13867133</v>
      </c>
      <c r="P1420" s="341">
        <v>2634755.27</v>
      </c>
      <c r="Q1420" s="341">
        <v>152815.80566000001</v>
      </c>
      <c r="R1420" s="341">
        <v>2481939.4643399999</v>
      </c>
      <c r="S1420" s="339">
        <v>5.8000000000000003E-2</v>
      </c>
      <c r="T1420" s="339">
        <v>0.94199999999999995</v>
      </c>
      <c r="U1420" t="s">
        <v>831</v>
      </c>
    </row>
    <row r="1421" spans="1:21" x14ac:dyDescent="0.35">
      <c r="B1421" s="4">
        <v>1245150017</v>
      </c>
      <c r="C1421" s="10" t="s">
        <v>77</v>
      </c>
      <c r="D1421" s="268">
        <v>1799331</v>
      </c>
      <c r="E1421" t="s">
        <v>80</v>
      </c>
      <c r="F1421">
        <v>40</v>
      </c>
      <c r="G1421" s="348" t="str">
        <f>+CONCATENATE($G$7," GC ",G1420," ",H1420)</f>
        <v>"04-2026" GC T125 9101</v>
      </c>
      <c r="H1421" s="252"/>
      <c r="I1421" s="10">
        <f>+H1420</f>
        <v>9101</v>
      </c>
      <c r="J1421" s="350"/>
      <c r="K1421" s="335"/>
      <c r="N1421" s="336"/>
    </row>
    <row r="1422" spans="1:21" x14ac:dyDescent="0.35">
      <c r="C1422" s="251" t="s">
        <v>76</v>
      </c>
      <c r="D1422" s="265">
        <f>SUM(D1421)</f>
        <v>1799331</v>
      </c>
      <c r="E1422"/>
      <c r="G1422" s="318" t="str">
        <f>+G1421</f>
        <v>"04-2026" GC T125 9101</v>
      </c>
      <c r="H1422" s="252"/>
      <c r="I1422" s="10">
        <f>+I1421</f>
        <v>9101</v>
      </c>
      <c r="J1422" s="350"/>
      <c r="K1422" s="335"/>
      <c r="N1422" s="336"/>
    </row>
    <row r="1423" spans="1:21" x14ac:dyDescent="0.35">
      <c r="A1423" s="130" t="s">
        <v>853</v>
      </c>
      <c r="B1423" s="262">
        <v>206169</v>
      </c>
      <c r="C1423" s="276" t="s">
        <v>30</v>
      </c>
      <c r="E1423"/>
      <c r="G1423" s="346" t="s">
        <v>376</v>
      </c>
      <c r="H1423" s="6">
        <v>8583</v>
      </c>
      <c r="J1423" s="515">
        <v>45657</v>
      </c>
      <c r="K1423" s="335" t="s">
        <v>121</v>
      </c>
      <c r="L1423" s="341">
        <v>6573621</v>
      </c>
      <c r="M1423" s="341">
        <v>0</v>
      </c>
      <c r="N1423" s="336">
        <v>1340302</v>
      </c>
      <c r="O1423" s="341">
        <v>742041</v>
      </c>
      <c r="P1423" s="341">
        <v>140987.79</v>
      </c>
      <c r="Q1423" s="341">
        <v>13534.827840000002</v>
      </c>
      <c r="R1423" s="341">
        <v>127452.96216000001</v>
      </c>
      <c r="S1423" s="339">
        <v>9.6000000000000002E-2</v>
      </c>
      <c r="T1423" s="339">
        <v>0.90400000000000003</v>
      </c>
      <c r="U1423" t="s">
        <v>30</v>
      </c>
    </row>
    <row r="1424" spans="1:21" x14ac:dyDescent="0.35">
      <c r="B1424" s="263">
        <v>1537210004</v>
      </c>
      <c r="C1424" s="10" t="s">
        <v>1018</v>
      </c>
      <c r="D1424" s="268">
        <v>7819309</v>
      </c>
      <c r="E1424" s="263" t="s">
        <v>97</v>
      </c>
      <c r="F1424">
        <v>40</v>
      </c>
      <c r="G1424" s="316" t="str">
        <f>+CONCATENATE($G$7," RV ",G1423," ",H1423)</f>
        <v>"04-2026" RV T105 8583</v>
      </c>
      <c r="H1424" s="252"/>
      <c r="I1424" s="10">
        <f>+H1423</f>
        <v>8583</v>
      </c>
      <c r="J1424" s="515"/>
      <c r="K1424" s="335"/>
      <c r="N1424" s="336"/>
    </row>
    <row r="1425" spans="1:21" x14ac:dyDescent="0.35">
      <c r="B1425" s="263">
        <v>1149120011</v>
      </c>
      <c r="C1425" s="10" t="s">
        <v>96</v>
      </c>
      <c r="D1425" s="268">
        <f>-D1426</f>
        <v>750653.66399999999</v>
      </c>
      <c r="E1425" s="263" t="s">
        <v>98</v>
      </c>
      <c r="F1425">
        <v>40</v>
      </c>
      <c r="G1425" s="318" t="str">
        <f>+G1424</f>
        <v>"04-2026" RV T105 8583</v>
      </c>
      <c r="H1425" s="252"/>
      <c r="I1425" s="10">
        <f>+I1424</f>
        <v>8583</v>
      </c>
      <c r="J1425" s="515"/>
      <c r="K1425" s="335"/>
      <c r="N1425" s="336"/>
    </row>
    <row r="1426" spans="1:21" x14ac:dyDescent="0.35">
      <c r="B1426" s="263">
        <v>1149120011</v>
      </c>
      <c r="C1426" s="10" t="s">
        <v>96</v>
      </c>
      <c r="D1426" s="268">
        <f>-D1424*S1423</f>
        <v>-750653.66399999999</v>
      </c>
      <c r="E1426" s="263" t="s">
        <v>97</v>
      </c>
      <c r="F1426">
        <v>50</v>
      </c>
      <c r="G1426" s="318" t="str">
        <f>+G1425</f>
        <v>"04-2026" RV T105 8583</v>
      </c>
      <c r="H1426" s="252"/>
      <c r="I1426" s="10">
        <f>+I1425</f>
        <v>8583</v>
      </c>
      <c r="J1426" s="515"/>
      <c r="K1426" s="335"/>
      <c r="N1426" s="336"/>
    </row>
    <row r="1427" spans="1:21" x14ac:dyDescent="0.35">
      <c r="B1427" s="4">
        <v>1149120011</v>
      </c>
      <c r="C1427" s="10" t="s">
        <v>96</v>
      </c>
      <c r="D1427" s="268">
        <f>+D1424*0.19</f>
        <v>1485668.71</v>
      </c>
      <c r="E1427" t="s">
        <v>97</v>
      </c>
      <c r="F1427">
        <v>40</v>
      </c>
      <c r="G1427" s="318" t="str">
        <f>+G1426</f>
        <v>"04-2026" RV T105 8583</v>
      </c>
      <c r="H1427" s="252"/>
      <c r="I1427" s="10">
        <f>+I1426</f>
        <v>8583</v>
      </c>
      <c r="J1427" s="515"/>
      <c r="K1427" s="335"/>
      <c r="N1427" s="336"/>
    </row>
    <row r="1428" spans="1:21" x14ac:dyDescent="0.35">
      <c r="C1428" s="251" t="s">
        <v>76</v>
      </c>
      <c r="D1428" s="265">
        <f>SUBTOTAL(9,D1424:D1427)</f>
        <v>9304977.7100000009</v>
      </c>
      <c r="E1428"/>
      <c r="G1428" s="318" t="str">
        <f>+G1427</f>
        <v>"04-2026" RV T105 8583</v>
      </c>
      <c r="H1428" s="252"/>
      <c r="I1428" s="10">
        <f>+I1427</f>
        <v>8583</v>
      </c>
      <c r="J1428" s="515"/>
      <c r="K1428" s="335"/>
      <c r="N1428" s="336"/>
    </row>
    <row r="1429" spans="1:21" x14ac:dyDescent="0.35">
      <c r="A1429" s="130" t="s">
        <v>853</v>
      </c>
      <c r="B1429" s="262">
        <v>211510</v>
      </c>
      <c r="C1429" s="276" t="s">
        <v>50</v>
      </c>
      <c r="E1429"/>
      <c r="G1429" s="346" t="s">
        <v>440</v>
      </c>
      <c r="H1429" s="6">
        <v>9120</v>
      </c>
      <c r="J1429" s="350">
        <v>45923</v>
      </c>
      <c r="K1429" s="335" t="s">
        <v>121</v>
      </c>
      <c r="L1429" s="341">
        <v>24361072</v>
      </c>
      <c r="M1429" s="341">
        <v>0</v>
      </c>
      <c r="N1429" s="336">
        <v>3808389</v>
      </c>
      <c r="O1429" s="341">
        <f>+VLOOKUP(H1429,PRORRATEO!F:M,3,0)</f>
        <v>28006112</v>
      </c>
      <c r="P1429" s="341">
        <f>+VLOOKUP(H1429,PRORRATEO!F:M,4,0)</f>
        <v>5321161.28</v>
      </c>
      <c r="Q1429" s="341">
        <f>+VLOOKUP(H1429,PRORRATEO!F:M,5,0)</f>
        <v>271379.22528000001</v>
      </c>
      <c r="R1429" s="341">
        <f>+VLOOKUP(H1429,PRORRATEO!F:M,6,0)</f>
        <v>5049782.0547200004</v>
      </c>
      <c r="S1429" s="339">
        <f>+VLOOKUP(H1429,PRORRATEO!F:M,7,0)</f>
        <v>5.0999999999999997E-2</v>
      </c>
      <c r="T1429" s="339">
        <f>+VLOOKUP(H1429,PRORRATEO!F:M,8,0)</f>
        <v>0.94899999999999995</v>
      </c>
      <c r="U1429" t="s">
        <v>655</v>
      </c>
    </row>
    <row r="1430" spans="1:21" x14ac:dyDescent="0.35">
      <c r="B1430" s="4">
        <v>1246125027</v>
      </c>
      <c r="C1430" s="10" t="s">
        <v>962</v>
      </c>
      <c r="D1430" s="268">
        <f>+D1431*J1430</f>
        <v>980214.70047542884</v>
      </c>
      <c r="E1430"/>
      <c r="F1430">
        <v>50</v>
      </c>
      <c r="G1430" s="348" t="str">
        <f>+CONCATENATE($G$7," RV ",G1429," ",H1429)</f>
        <v>"04-2026" RV T127 9120</v>
      </c>
      <c r="H1430" s="252"/>
      <c r="I1430" s="251" t="s">
        <v>857</v>
      </c>
      <c r="J1430" s="352">
        <v>3.5000027868039262E-2</v>
      </c>
      <c r="K1430" s="335"/>
      <c r="N1430" s="336"/>
    </row>
    <row r="1431" spans="1:21" x14ac:dyDescent="0.35">
      <c r="B1431" s="263">
        <v>1245150017</v>
      </c>
      <c r="C1431" s="10" t="s">
        <v>77</v>
      </c>
      <c r="D1431" s="268">
        <f>+O1429</f>
        <v>28006112</v>
      </c>
      <c r="E1431" s="263" t="s">
        <v>97</v>
      </c>
      <c r="F1431">
        <v>40</v>
      </c>
      <c r="G1431" s="318" t="str">
        <f>+G1430</f>
        <v>"04-2026" RV T127 9120</v>
      </c>
      <c r="H1431" s="252"/>
      <c r="I1431" s="10">
        <f>+H1429</f>
        <v>9120</v>
      </c>
      <c r="J1431" s="350"/>
      <c r="K1431" s="335"/>
      <c r="N1431" s="336"/>
    </row>
    <row r="1432" spans="1:21" x14ac:dyDescent="0.35">
      <c r="B1432" s="263">
        <v>1149120011</v>
      </c>
      <c r="C1432" s="10" t="s">
        <v>96</v>
      </c>
      <c r="D1432" s="268">
        <f>+Q1429</f>
        <v>271379.22528000001</v>
      </c>
      <c r="E1432" s="263" t="s">
        <v>97</v>
      </c>
      <c r="F1432">
        <v>50</v>
      </c>
      <c r="G1432" s="318" t="str">
        <f>+G1431</f>
        <v>"04-2026" RV T127 9120</v>
      </c>
      <c r="H1432" s="252"/>
      <c r="I1432" s="10">
        <f>+I1431</f>
        <v>9120</v>
      </c>
      <c r="J1432" s="350"/>
      <c r="K1432" s="335"/>
      <c r="N1432" s="336"/>
    </row>
    <row r="1433" spans="1:21" x14ac:dyDescent="0.35">
      <c r="B1433" s="263">
        <v>1149120011</v>
      </c>
      <c r="C1433" s="10" t="s">
        <v>96</v>
      </c>
      <c r="D1433" s="268">
        <f>+D1432</f>
        <v>271379.22528000001</v>
      </c>
      <c r="E1433" s="263" t="s">
        <v>98</v>
      </c>
      <c r="F1433">
        <v>40</v>
      </c>
      <c r="G1433" s="318" t="str">
        <f>+G1432</f>
        <v>"04-2026" RV T127 9120</v>
      </c>
      <c r="H1433" s="252"/>
      <c r="I1433" s="10">
        <f>+I1432</f>
        <v>9120</v>
      </c>
      <c r="J1433" s="350"/>
      <c r="K1433" s="335"/>
      <c r="N1433" s="336"/>
    </row>
    <row r="1434" spans="1:21" x14ac:dyDescent="0.35">
      <c r="B1434" s="4">
        <v>1149120011</v>
      </c>
      <c r="C1434" s="10" t="s">
        <v>96</v>
      </c>
      <c r="D1434" s="268">
        <f>+D1431*0.19</f>
        <v>5321161.28</v>
      </c>
      <c r="E1434" t="s">
        <v>97</v>
      </c>
      <c r="F1434">
        <v>40</v>
      </c>
      <c r="G1434" s="318" t="str">
        <f>+G1433</f>
        <v>"04-2026" RV T127 9120</v>
      </c>
      <c r="H1434" s="252"/>
      <c r="I1434" s="10">
        <f>+I1433</f>
        <v>9120</v>
      </c>
      <c r="J1434" s="350"/>
      <c r="K1434" s="335"/>
      <c r="N1434" s="336"/>
    </row>
    <row r="1435" spans="1:21" x14ac:dyDescent="0.35">
      <c r="C1435" s="251" t="s">
        <v>76</v>
      </c>
      <c r="D1435" s="332">
        <f>+D1431+D1434+D1433-D1432-D1430</f>
        <v>32347058.579524573</v>
      </c>
      <c r="E1435"/>
      <c r="G1435" s="318" t="str">
        <f>+G1434</f>
        <v>"04-2026" RV T127 9120</v>
      </c>
      <c r="H1435" s="252"/>
      <c r="I1435" s="10">
        <f>+I1434</f>
        <v>9120</v>
      </c>
      <c r="J1435" s="350"/>
      <c r="K1435" s="335"/>
      <c r="N1435" s="336"/>
    </row>
    <row r="1436" spans="1:21" x14ac:dyDescent="0.35">
      <c r="A1436" s="130" t="s">
        <v>854</v>
      </c>
      <c r="B1436" s="262">
        <v>348824</v>
      </c>
      <c r="C1436" s="276" t="s">
        <v>52</v>
      </c>
      <c r="E1436"/>
      <c r="G1436" s="346" t="s">
        <v>610</v>
      </c>
      <c r="H1436" s="277" t="s">
        <v>225</v>
      </c>
      <c r="J1436" s="350">
        <f>+VLOOKUP(H1436,contratos!A:R,5,0)</f>
        <v>44492</v>
      </c>
      <c r="K1436" s="266" t="str">
        <f>+VLOOKUP(H1436,contratos!A:R,12,0)</f>
        <v>OK</v>
      </c>
      <c r="L1436" s="341" t="str">
        <f>+VLOOKUP(H1436,contratos!A:R,13,0)</f>
        <v>VIGENTE</v>
      </c>
      <c r="M1436" s="341">
        <f>+VLOOKUP(H1436,contratos!A:R,15,0)</f>
        <v>0</v>
      </c>
      <c r="N1436" s="336">
        <f>+VLOOKUP(H1436,contratos!A:R,16,0)</f>
        <v>935593</v>
      </c>
      <c r="O1436" s="341">
        <f>+VLOOKUP(H1436,PRORRATEO!F:M,3,0)</f>
        <v>9355925</v>
      </c>
      <c r="P1436" s="341">
        <f>+VLOOKUP(H1436,PRORRATEO!F:M,4,0)</f>
        <v>1777625.75</v>
      </c>
      <c r="Q1436" s="341">
        <f>+VLOOKUP(H1436,PRORRATEO!F:M,5,0)</f>
        <v>179540.20075000002</v>
      </c>
      <c r="R1436" s="341">
        <f>+VLOOKUP(H1436,PRORRATEO!F:M,6,0)</f>
        <v>1598085.5492499999</v>
      </c>
      <c r="S1436" s="339">
        <f>+VLOOKUP(H1436,PRORRATEO!F:M,7,0)</f>
        <v>0.10100000000000001</v>
      </c>
      <c r="T1436" s="339">
        <f>+VLOOKUP(H1436,PRORRATEO!F:M,8,0)</f>
        <v>0.89900000000000002</v>
      </c>
      <c r="U1436" t="s">
        <v>52</v>
      </c>
    </row>
    <row r="1437" spans="1:21" x14ac:dyDescent="0.35">
      <c r="B1437" s="4">
        <v>1149120011</v>
      </c>
      <c r="C1437" s="274" t="s">
        <v>96</v>
      </c>
      <c r="D1437" s="298">
        <f>+(D1438+D1439)*0.19</f>
        <v>260766.45</v>
      </c>
      <c r="E1437" s="252" t="s">
        <v>97</v>
      </c>
      <c r="F1437">
        <v>40</v>
      </c>
      <c r="G1437" s="318" t="str">
        <f>+G1438</f>
        <v>"04-2026" RV T138 A854</v>
      </c>
      <c r="H1437" s="252"/>
      <c r="I1437" s="10" t="str">
        <f>+I1438</f>
        <v>A854</v>
      </c>
      <c r="J1437" s="350"/>
      <c r="K1437" s="335"/>
      <c r="N1437" s="336"/>
    </row>
    <row r="1438" spans="1:21" x14ac:dyDescent="0.35">
      <c r="B1438" s="263">
        <v>1537210004</v>
      </c>
      <c r="C1438" s="274" t="s">
        <v>1018</v>
      </c>
      <c r="D1438" s="268">
        <v>1247686</v>
      </c>
      <c r="E1438" s="263" t="s">
        <v>97</v>
      </c>
      <c r="F1438">
        <v>40</v>
      </c>
      <c r="G1438" s="316" t="str">
        <f>+CONCATENATE($G$7," RV ",G1436," ",H1436)</f>
        <v>"04-2026" RV T138 A854</v>
      </c>
      <c r="H1438" s="252"/>
      <c r="I1438" s="10" t="str">
        <f>+H1436</f>
        <v>A854</v>
      </c>
      <c r="J1438" s="350"/>
      <c r="K1438" s="335"/>
      <c r="N1438" s="336"/>
    </row>
    <row r="1439" spans="1:21" x14ac:dyDescent="0.35">
      <c r="B1439" s="263">
        <v>1537210003</v>
      </c>
      <c r="C1439" s="274" t="s">
        <v>1013</v>
      </c>
      <c r="D1439" s="268">
        <v>124769</v>
      </c>
      <c r="E1439" s="263" t="s">
        <v>97</v>
      </c>
      <c r="F1439">
        <v>40</v>
      </c>
      <c r="G1439" s="318" t="str">
        <f>+G1437</f>
        <v>"04-2026" RV T138 A854</v>
      </c>
      <c r="H1439" s="252"/>
      <c r="I1439" s="10" t="str">
        <f>+I1437</f>
        <v>A854</v>
      </c>
      <c r="J1439" s="350"/>
      <c r="K1439" s="335"/>
      <c r="N1439" s="336"/>
    </row>
    <row r="1440" spans="1:21" x14ac:dyDescent="0.35">
      <c r="B1440" s="263">
        <v>1149120011</v>
      </c>
      <c r="C1440" s="274" t="s">
        <v>96</v>
      </c>
      <c r="D1440" s="268">
        <v>43481</v>
      </c>
      <c r="E1440" s="263" t="s">
        <v>98</v>
      </c>
      <c r="F1440">
        <v>40</v>
      </c>
      <c r="G1440" s="318" t="str">
        <f>+G1439</f>
        <v>"04-2026" RV T138 A854</v>
      </c>
      <c r="H1440" s="252"/>
      <c r="I1440" s="10" t="str">
        <f>+I1439</f>
        <v>A854</v>
      </c>
      <c r="J1440" s="350"/>
      <c r="K1440" s="335"/>
      <c r="N1440" s="336"/>
    </row>
    <row r="1441" spans="1:21" x14ac:dyDescent="0.35">
      <c r="B1441" s="263">
        <v>1149120011</v>
      </c>
      <c r="C1441" s="274" t="s">
        <v>96</v>
      </c>
      <c r="D1441" s="268">
        <v>-43481</v>
      </c>
      <c r="E1441" s="263" t="s">
        <v>97</v>
      </c>
      <c r="F1441">
        <v>50</v>
      </c>
      <c r="G1441" s="318" t="str">
        <f>+G1440</f>
        <v>"04-2026" RV T138 A854</v>
      </c>
      <c r="H1441" s="252"/>
      <c r="I1441" s="10" t="str">
        <f>+I1440</f>
        <v>A854</v>
      </c>
      <c r="J1441" s="350"/>
      <c r="K1441" s="335"/>
      <c r="N1441" s="336"/>
    </row>
    <row r="1442" spans="1:21" x14ac:dyDescent="0.35">
      <c r="C1442" s="251" t="s">
        <v>76</v>
      </c>
      <c r="D1442" s="332">
        <f>SUBTOTAL(9,D1437:D1441)</f>
        <v>1633221.45</v>
      </c>
      <c r="E1442"/>
      <c r="G1442" s="318" t="str">
        <f>+G1441</f>
        <v>"04-2026" RV T138 A854</v>
      </c>
      <c r="H1442" s="252"/>
      <c r="I1442" s="10" t="str">
        <f>+I1441</f>
        <v>A854</v>
      </c>
      <c r="J1442" s="350"/>
      <c r="K1442" s="335"/>
      <c r="N1442" s="336"/>
    </row>
    <row r="1443" spans="1:21" x14ac:dyDescent="0.35">
      <c r="A1443" s="130" t="s">
        <v>854</v>
      </c>
      <c r="B1443" s="262">
        <v>348824</v>
      </c>
      <c r="C1443" s="276" t="s">
        <v>52</v>
      </c>
      <c r="D1443" s="365">
        <f>SUM(D1444:D1448)</f>
        <v>7555180.29</v>
      </c>
      <c r="E1443" s="318" t="s">
        <v>984</v>
      </c>
      <c r="F1443" s="54">
        <v>31</v>
      </c>
      <c r="G1443" s="346" t="s">
        <v>610</v>
      </c>
      <c r="H1443" s="277" t="s">
        <v>225</v>
      </c>
      <c r="J1443" s="350">
        <f>+VLOOKUP(H1443,contratos!A:R,5,0)</f>
        <v>44492</v>
      </c>
      <c r="K1443" s="266" t="str">
        <f>+VLOOKUP(H1443,contratos!A:R,12,0)</f>
        <v>OK</v>
      </c>
      <c r="L1443" s="341" t="str">
        <f>+VLOOKUP(H1443,contratos!A:R,13,0)</f>
        <v>VIGENTE</v>
      </c>
      <c r="M1443" s="341">
        <f>+VLOOKUP(H1443,contratos!A:R,15,0)</f>
        <v>0</v>
      </c>
      <c r="N1443" s="336">
        <f>+VLOOKUP(H1443,contratos!A:R,16,0)</f>
        <v>935593</v>
      </c>
      <c r="O1443" s="341">
        <f>+VLOOKUP(H1443,PRORRATEO!F:M,3,0)</f>
        <v>9355925</v>
      </c>
      <c r="P1443" s="341">
        <f>+VLOOKUP(H1443,PRORRATEO!F:M,4,0)</f>
        <v>1777625.75</v>
      </c>
      <c r="Q1443" s="341">
        <f>+VLOOKUP(H1443,PRORRATEO!F:M,5,0)</f>
        <v>179540.20075000002</v>
      </c>
      <c r="R1443" s="341">
        <f>+VLOOKUP(H1443,PRORRATEO!F:M,6,0)</f>
        <v>1598085.5492499999</v>
      </c>
      <c r="S1443" s="339">
        <f>+VLOOKUP(H1443,PRORRATEO!F:M,7,0)</f>
        <v>0.10100000000000001</v>
      </c>
      <c r="T1443" s="339">
        <f>+VLOOKUP(H1443,PRORRATEO!F:M,8,0)</f>
        <v>0.89900000000000002</v>
      </c>
      <c r="U1443" t="s">
        <v>52</v>
      </c>
    </row>
    <row r="1444" spans="1:21" x14ac:dyDescent="0.35">
      <c r="B1444" s="263">
        <v>1537210004</v>
      </c>
      <c r="C1444" s="10" t="s">
        <v>1018</v>
      </c>
      <c r="D1444" s="268">
        <f>+K1444+K1445</f>
        <v>5873617</v>
      </c>
      <c r="E1444" s="263" t="s">
        <v>97</v>
      </c>
      <c r="F1444" s="54">
        <v>40</v>
      </c>
      <c r="G1444" s="348" t="str">
        <f>+CONCATENATE($G$7," RV ",G1443," ",H1443)</f>
        <v>"04-2026" RV T138 A854</v>
      </c>
      <c r="I1444" s="350" t="s">
        <v>225</v>
      </c>
      <c r="J1444" s="10"/>
      <c r="K1444" s="540">
        <v>4752740</v>
      </c>
      <c r="L1444" s="368" t="s">
        <v>1756</v>
      </c>
      <c r="N1444" s="336"/>
    </row>
    <row r="1445" spans="1:21" x14ac:dyDescent="0.35">
      <c r="B1445" s="263">
        <v>1149120011</v>
      </c>
      <c r="C1445" s="10" t="s">
        <v>1032</v>
      </c>
      <c r="D1445" s="268">
        <f>+D1448*S1443</f>
        <v>121835.21829</v>
      </c>
      <c r="E1445" s="263" t="s">
        <v>98</v>
      </c>
      <c r="F1445" s="54">
        <v>40</v>
      </c>
      <c r="G1445" s="318" t="str">
        <f>+CONCATENATE($G$7," RV/GC ",G1443," ",H1443)</f>
        <v>"04-2026" RV/GC T138 A854</v>
      </c>
      <c r="I1445" s="350" t="s">
        <v>225</v>
      </c>
      <c r="J1445" s="352">
        <v>9.1818721405861545E-2</v>
      </c>
      <c r="K1445" s="540">
        <v>1120877</v>
      </c>
      <c r="L1445" s="350" t="s">
        <v>1757</v>
      </c>
      <c r="N1445" s="336"/>
    </row>
    <row r="1446" spans="1:21" x14ac:dyDescent="0.35">
      <c r="B1446" s="263">
        <v>1149120011</v>
      </c>
      <c r="C1446" s="10" t="s">
        <v>1032</v>
      </c>
      <c r="D1446" s="268">
        <f>-D1445</f>
        <v>-121835.21829</v>
      </c>
      <c r="E1446" s="263" t="s">
        <v>97</v>
      </c>
      <c r="F1446" s="54">
        <v>50</v>
      </c>
      <c r="G1446" s="318" t="str">
        <f>+G1445</f>
        <v>"04-2026" RV/GC T138 A854</v>
      </c>
      <c r="I1446" s="350" t="s">
        <v>225</v>
      </c>
      <c r="J1446" s="10"/>
      <c r="K1446" s="540">
        <v>475274</v>
      </c>
      <c r="L1446" s="368" t="s">
        <v>1758</v>
      </c>
      <c r="N1446" s="336"/>
    </row>
    <row r="1447" spans="1:21" x14ac:dyDescent="0.35">
      <c r="B1447" s="263">
        <v>1537210003</v>
      </c>
      <c r="C1447" s="10" t="s">
        <v>1013</v>
      </c>
      <c r="D1447" s="268">
        <f>+K1446</f>
        <v>475274</v>
      </c>
      <c r="E1447" s="263" t="s">
        <v>97</v>
      </c>
      <c r="F1447" s="54">
        <v>40</v>
      </c>
      <c r="G1447" s="318" t="str">
        <f>+CONCATENATE($G$7," GC ",G1443," ",H1443)</f>
        <v>"04-2026" GC T138 A854</v>
      </c>
      <c r="I1447" s="350" t="s">
        <v>225</v>
      </c>
      <c r="J1447" s="10"/>
      <c r="K1447" s="335"/>
      <c r="L1447" s="368"/>
      <c r="N1447" s="336"/>
    </row>
    <row r="1448" spans="1:21" x14ac:dyDescent="0.35">
      <c r="B1448" s="4">
        <v>1149120011</v>
      </c>
      <c r="C1448" s="10" t="s">
        <v>1032</v>
      </c>
      <c r="D1448" s="268">
        <f>+(D1444+D1447)*0.19</f>
        <v>1206289.29</v>
      </c>
      <c r="E1448" t="s">
        <v>97</v>
      </c>
      <c r="F1448" s="54">
        <v>40</v>
      </c>
      <c r="G1448" s="318" t="str">
        <f>+G1446</f>
        <v>"04-2026" RV/GC T138 A854</v>
      </c>
      <c r="I1448" s="350"/>
      <c r="J1448" s="10"/>
      <c r="K1448" s="335"/>
      <c r="N1448" s="336"/>
    </row>
    <row r="1449" spans="1:21" x14ac:dyDescent="0.35">
      <c r="A1449" s="130" t="s">
        <v>854</v>
      </c>
      <c r="B1449" s="262">
        <v>210622</v>
      </c>
      <c r="C1449" s="276" t="s">
        <v>1077</v>
      </c>
      <c r="E1449"/>
      <c r="G1449" s="346" t="s">
        <v>434</v>
      </c>
      <c r="H1449" s="6">
        <v>9101</v>
      </c>
      <c r="J1449" s="350">
        <v>45473</v>
      </c>
      <c r="K1449" s="335" t="s">
        <v>121</v>
      </c>
      <c r="L1449" s="341">
        <v>13867133</v>
      </c>
      <c r="M1449" s="341">
        <v>0</v>
      </c>
      <c r="N1449" s="336">
        <v>2431336</v>
      </c>
      <c r="O1449" s="341">
        <v>13867133</v>
      </c>
      <c r="P1449" s="341">
        <v>2634755.27</v>
      </c>
      <c r="Q1449" s="341">
        <v>152815.80566000001</v>
      </c>
      <c r="R1449" s="341">
        <v>2481939.4643399999</v>
      </c>
      <c r="S1449" s="339">
        <v>5.8000000000000003E-2</v>
      </c>
      <c r="T1449" s="339">
        <v>0.94199999999999995</v>
      </c>
      <c r="U1449" t="s">
        <v>831</v>
      </c>
    </row>
    <row r="1450" spans="1:21" x14ac:dyDescent="0.35">
      <c r="B1450" s="4">
        <v>1245150017</v>
      </c>
      <c r="C1450" s="10" t="s">
        <v>77</v>
      </c>
      <c r="D1450" s="268">
        <v>1102591</v>
      </c>
      <c r="E1450" t="s">
        <v>80</v>
      </c>
      <c r="F1450">
        <v>40</v>
      </c>
      <c r="G1450" s="316" t="str">
        <f>+CONCATENATE($G$7," GC ",G1449," ",H1449)</f>
        <v>"04-2026" GC T125 9101</v>
      </c>
      <c r="H1450" s="252"/>
      <c r="I1450" s="10">
        <f>+H1449</f>
        <v>9101</v>
      </c>
      <c r="J1450" s="350"/>
      <c r="K1450" s="335"/>
      <c r="N1450" s="336"/>
    </row>
    <row r="1451" spans="1:21" x14ac:dyDescent="0.35">
      <c r="C1451" s="251" t="s">
        <v>76</v>
      </c>
      <c r="D1451" s="265">
        <v>1507545</v>
      </c>
      <c r="E1451"/>
      <c r="G1451" s="318" t="str">
        <f>+G1450</f>
        <v>"04-2026" GC T125 9101</v>
      </c>
      <c r="H1451" s="252"/>
      <c r="I1451" s="10">
        <f>+I1450</f>
        <v>9101</v>
      </c>
      <c r="J1451" s="350"/>
      <c r="K1451" s="335"/>
      <c r="N1451" s="336"/>
    </row>
    <row r="1452" spans="1:21" x14ac:dyDescent="0.35">
      <c r="A1452" s="130" t="s">
        <v>853</v>
      </c>
      <c r="B1452" s="262" t="s">
        <v>1078</v>
      </c>
      <c r="C1452" s="276" t="s">
        <v>1079</v>
      </c>
      <c r="E1452"/>
      <c r="G1452" s="346" t="s">
        <v>1168</v>
      </c>
      <c r="H1452" s="6">
        <v>6626</v>
      </c>
      <c r="I1452" s="10" t="s">
        <v>1059</v>
      </c>
      <c r="J1452" s="350">
        <f>+VLOOKUP(H1452,contratos!A:R,5,0)</f>
        <v>45444</v>
      </c>
      <c r="K1452" s="266" t="str">
        <f>+VLOOKUP(H1452,contratos!A:R,12,0)</f>
        <v>OK</v>
      </c>
      <c r="L1452" s="341" t="str">
        <f>+VLOOKUP(H1452,contratos!A:R,13,0)</f>
        <v>VIGENTE</v>
      </c>
      <c r="M1452" s="341">
        <f>+VLOOKUP(H1452,contratos!A:R,15,0)</f>
        <v>0</v>
      </c>
      <c r="N1452" s="336">
        <f>+VLOOKUP(H1452,contratos!A:R,16,0)</f>
        <v>0</v>
      </c>
      <c r="O1452" s="341">
        <f>+VLOOKUP(H1452,PRORRATEO!F:M,3,0)</f>
        <v>15101403</v>
      </c>
      <c r="P1452" s="341">
        <f>+VLOOKUP(H1452,PRORRATEO!F:M,4,0)</f>
        <v>2869266.57</v>
      </c>
      <c r="Q1452" s="341">
        <f>+VLOOKUP(H1452,PRORRATEO!F:M,5,0)</f>
        <v>229541.32559999998</v>
      </c>
      <c r="R1452" s="341">
        <f>+VLOOKUP(H1452,PRORRATEO!F:M,6,0)</f>
        <v>2639725.2443999997</v>
      </c>
      <c r="S1452" s="339">
        <f>+VLOOKUP(H1452,PRORRATEO!F:M,7,0)</f>
        <v>0.08</v>
      </c>
      <c r="T1452" s="339">
        <f>+VLOOKUP(H1452,PRORRATEO!F:M,8,0)</f>
        <v>0.92</v>
      </c>
      <c r="U1452" t="s">
        <v>729</v>
      </c>
    </row>
    <row r="1453" spans="1:21" x14ac:dyDescent="0.35">
      <c r="B1453" s="4">
        <v>1249100024</v>
      </c>
      <c r="C1453" s="10" t="s">
        <v>981</v>
      </c>
      <c r="D1453" s="298">
        <f>-D1455*J1453</f>
        <v>-115098.96762</v>
      </c>
      <c r="E1453"/>
      <c r="F1453">
        <v>50</v>
      </c>
      <c r="G1453" s="316" t="str">
        <f>+CONCATENATE($G$7," RV ",G1452," ",H1452)</f>
        <v>"04-2026" RV T41 6626</v>
      </c>
      <c r="H1453" s="252"/>
      <c r="I1453" s="319">
        <v>1</v>
      </c>
      <c r="J1453" s="352">
        <v>9.6600000000000002E-3</v>
      </c>
      <c r="K1453" s="335"/>
      <c r="N1453" s="336"/>
    </row>
    <row r="1454" spans="1:21" x14ac:dyDescent="0.35">
      <c r="B1454" s="4">
        <v>1246125027</v>
      </c>
      <c r="C1454" s="10" t="s">
        <v>962</v>
      </c>
      <c r="D1454" s="298">
        <f>-D1455*J1454</f>
        <v>-417025.24500000005</v>
      </c>
      <c r="E1454"/>
      <c r="F1454">
        <v>50</v>
      </c>
      <c r="G1454" s="318" t="str">
        <f t="shared" ref="G1454:G1459" si="76">+G1453</f>
        <v>"04-2026" RV T41 6626</v>
      </c>
      <c r="H1454" s="252"/>
      <c r="I1454" s="320" t="s">
        <v>857</v>
      </c>
      <c r="J1454" s="351">
        <v>3.5000000000000003E-2</v>
      </c>
      <c r="K1454" s="335"/>
      <c r="N1454" s="336"/>
    </row>
    <row r="1455" spans="1:21" x14ac:dyDescent="0.35">
      <c r="B1455" s="263">
        <v>1537210004</v>
      </c>
      <c r="C1455" s="10" t="s">
        <v>77</v>
      </c>
      <c r="D1455" s="268">
        <v>11915007</v>
      </c>
      <c r="E1455" s="263" t="s">
        <v>97</v>
      </c>
      <c r="F1455">
        <v>40</v>
      </c>
      <c r="G1455" s="318" t="str">
        <f t="shared" si="76"/>
        <v>"04-2026" RV T41 6626</v>
      </c>
      <c r="H1455" s="252"/>
      <c r="I1455" s="10">
        <f>+H1452</f>
        <v>6626</v>
      </c>
      <c r="J1455" s="350"/>
      <c r="K1455" s="335"/>
      <c r="N1455" s="336"/>
    </row>
    <row r="1456" spans="1:21" x14ac:dyDescent="0.35">
      <c r="B1456" s="263">
        <v>1149120011</v>
      </c>
      <c r="C1456" s="10" t="s">
        <v>1032</v>
      </c>
      <c r="D1456" s="298">
        <f>+D1458*S1452</f>
        <v>181108.10640000002</v>
      </c>
      <c r="E1456" s="263" t="s">
        <v>97</v>
      </c>
      <c r="F1456">
        <v>50</v>
      </c>
      <c r="G1456" s="318" t="str">
        <f t="shared" si="76"/>
        <v>"04-2026" RV T41 6626</v>
      </c>
      <c r="H1456" s="252"/>
      <c r="I1456" s="10">
        <f>+I1455</f>
        <v>6626</v>
      </c>
      <c r="J1456" s="350"/>
      <c r="K1456" s="335"/>
      <c r="N1456" s="336"/>
    </row>
    <row r="1457" spans="1:21" x14ac:dyDescent="0.35">
      <c r="B1457" s="263">
        <v>1149120011</v>
      </c>
      <c r="C1457" s="10" t="s">
        <v>1032</v>
      </c>
      <c r="D1457" s="268">
        <f>+D1456</f>
        <v>181108.10640000002</v>
      </c>
      <c r="E1457" s="263" t="s">
        <v>98</v>
      </c>
      <c r="F1457">
        <v>40</v>
      </c>
      <c r="G1457" s="318" t="str">
        <f t="shared" si="76"/>
        <v>"04-2026" RV T41 6626</v>
      </c>
      <c r="H1457" s="252"/>
      <c r="I1457" s="10">
        <f>+I1456</f>
        <v>6626</v>
      </c>
      <c r="J1457" s="350"/>
      <c r="K1457" s="335"/>
      <c r="N1457" s="336"/>
    </row>
    <row r="1458" spans="1:21" x14ac:dyDescent="0.35">
      <c r="B1458" s="4">
        <v>1149120011</v>
      </c>
      <c r="C1458" s="10" t="s">
        <v>1032</v>
      </c>
      <c r="D1458" s="268">
        <f>+D1455*0.19</f>
        <v>2263851.33</v>
      </c>
      <c r="E1458" t="s">
        <v>97</v>
      </c>
      <c r="F1458">
        <v>40</v>
      </c>
      <c r="G1458" s="318" t="str">
        <f t="shared" si="76"/>
        <v>"04-2026" RV T41 6626</v>
      </c>
      <c r="H1458" s="252"/>
      <c r="J1458" s="350"/>
      <c r="K1458" s="335"/>
      <c r="N1458" s="336"/>
    </row>
    <row r="1459" spans="1:21" x14ac:dyDescent="0.35">
      <c r="C1459" s="251" t="s">
        <v>76</v>
      </c>
      <c r="D1459" s="265">
        <f>+D1455+D1456-D1457+D1458+D1453+D1454</f>
        <v>13646734.117380001</v>
      </c>
      <c r="E1459"/>
      <c r="G1459" s="318" t="str">
        <f t="shared" si="76"/>
        <v>"04-2026" RV T41 6626</v>
      </c>
      <c r="H1459" s="252"/>
      <c r="J1459" s="350"/>
      <c r="K1459" s="335"/>
      <c r="N1459" s="336"/>
    </row>
    <row r="1460" spans="1:21" x14ac:dyDescent="0.35">
      <c r="A1460" s="130" t="s">
        <v>853</v>
      </c>
      <c r="B1460" s="262">
        <v>204623</v>
      </c>
      <c r="C1460" s="276" t="s">
        <v>1080</v>
      </c>
      <c r="E1460"/>
      <c r="G1460" s="346" t="s">
        <v>350</v>
      </c>
      <c r="H1460" s="6">
        <v>6564</v>
      </c>
      <c r="I1460" s="10" t="s">
        <v>1059</v>
      </c>
      <c r="J1460" s="350">
        <f>+VLOOKUP(H1460,contratos!A:R,5,0)</f>
        <v>43040</v>
      </c>
      <c r="K1460" s="266" t="str">
        <f>+VLOOKUP(H1460,contratos!A:R,12,0)</f>
        <v>OK</v>
      </c>
      <c r="L1460" s="341" t="str">
        <f>+VLOOKUP(H1460,contratos!A:R,13,0)</f>
        <v>VIGENTE</v>
      </c>
      <c r="M1460" s="341">
        <f>+VLOOKUP(H1460,contratos!A:R,15,0)</f>
        <v>0</v>
      </c>
      <c r="N1460" s="336">
        <f>+VLOOKUP(H1460,contratos!A:R,16,0)</f>
        <v>0</v>
      </c>
      <c r="O1460" s="341">
        <f>+VLOOKUP(B1460,PRORRATEO!A:M,8,0)</f>
        <v>17875017</v>
      </c>
      <c r="P1460" s="341">
        <f>+VLOOKUP(B1460,PRORRATEO!A:M,9,0)</f>
        <v>3396253.23</v>
      </c>
      <c r="Q1460" s="341">
        <f>+VLOOKUP(B1460,PRORRATEO!A:M,10,0)</f>
        <v>353210.33591999998</v>
      </c>
      <c r="R1460" s="341">
        <f>+VLOOKUP(B1460,PRORRATEO!A:M,11,0)</f>
        <v>3043042.89408</v>
      </c>
      <c r="S1460" s="339">
        <f>+VLOOKUP(B1460,PRORRATEO!A:M,12,0)</f>
        <v>0.104</v>
      </c>
      <c r="T1460" s="339">
        <f>+VLOOKUP(B1460,PRORRATEO!A:M,13,0)</f>
        <v>0.89600000000000002</v>
      </c>
      <c r="U1460" t="s">
        <v>685</v>
      </c>
    </row>
    <row r="1461" spans="1:21" x14ac:dyDescent="0.35">
      <c r="B1461" s="4">
        <v>1249100024</v>
      </c>
      <c r="C1461" s="10" t="s">
        <v>981</v>
      </c>
      <c r="D1461" s="268">
        <f>-J1461*D1463</f>
        <v>-177678.00288000001</v>
      </c>
      <c r="E1461"/>
      <c r="F1461">
        <v>50</v>
      </c>
      <c r="G1461" s="316" t="str">
        <f>+CONCATENATE(G7," RF ",G1460," ",H1460)</f>
        <v>"04-2026" RF T008 6564</v>
      </c>
      <c r="H1461" s="252"/>
      <c r="I1461" s="319">
        <v>1</v>
      </c>
      <c r="J1461" s="357">
        <v>9.6600000000000002E-3</v>
      </c>
      <c r="K1461" s="335"/>
      <c r="N1461" s="336"/>
    </row>
    <row r="1462" spans="1:21" x14ac:dyDescent="0.35">
      <c r="B1462" s="4">
        <v>1246125027</v>
      </c>
      <c r="C1462" s="10" t="s">
        <v>962</v>
      </c>
      <c r="D1462" s="395">
        <f>-J1462*D1463</f>
        <v>-643760.88</v>
      </c>
      <c r="E1462"/>
      <c r="F1462">
        <v>50</v>
      </c>
      <c r="G1462" s="318" t="str">
        <f t="shared" ref="G1462:G1467" si="77">+G1461</f>
        <v>"04-2026" RF T008 6564</v>
      </c>
      <c r="H1462" s="252"/>
      <c r="I1462" s="385" t="s">
        <v>857</v>
      </c>
      <c r="J1462" s="351">
        <v>3.5000000000000003E-2</v>
      </c>
      <c r="K1462" s="335"/>
      <c r="N1462" s="336"/>
    </row>
    <row r="1463" spans="1:21" x14ac:dyDescent="0.35">
      <c r="B1463" s="263">
        <v>1245150017</v>
      </c>
      <c r="C1463" s="10" t="s">
        <v>77</v>
      </c>
      <c r="D1463" s="268">
        <v>18393168</v>
      </c>
      <c r="E1463" s="263" t="s">
        <v>97</v>
      </c>
      <c r="F1463">
        <v>40</v>
      </c>
      <c r="G1463" s="318" t="str">
        <f t="shared" si="77"/>
        <v>"04-2026" RF T008 6564</v>
      </c>
      <c r="H1463" s="252"/>
      <c r="I1463" s="10">
        <f>+H1460</f>
        <v>6564</v>
      </c>
      <c r="J1463" s="350"/>
      <c r="K1463" s="335"/>
      <c r="N1463" s="336"/>
    </row>
    <row r="1464" spans="1:21" x14ac:dyDescent="0.35">
      <c r="B1464" s="263">
        <v>1149120011</v>
      </c>
      <c r="C1464" s="10" t="s">
        <v>1032</v>
      </c>
      <c r="D1464" s="268">
        <f>-D1465</f>
        <v>363448.99967999995</v>
      </c>
      <c r="E1464" s="263" t="s">
        <v>98</v>
      </c>
      <c r="F1464">
        <v>40</v>
      </c>
      <c r="G1464" s="318" t="str">
        <f t="shared" si="77"/>
        <v>"04-2026" RF T008 6564</v>
      </c>
      <c r="H1464" s="252"/>
      <c r="I1464" s="10">
        <f>+I1463</f>
        <v>6564</v>
      </c>
      <c r="J1464" s="350"/>
      <c r="K1464" s="335"/>
      <c r="N1464" s="336"/>
    </row>
    <row r="1465" spans="1:21" x14ac:dyDescent="0.35">
      <c r="B1465" s="263">
        <v>1149120011</v>
      </c>
      <c r="C1465" s="10" t="s">
        <v>1032</v>
      </c>
      <c r="D1465" s="268">
        <f>-D1466*S1460</f>
        <v>-363448.99967999995</v>
      </c>
      <c r="E1465" s="263" t="s">
        <v>97</v>
      </c>
      <c r="F1465">
        <v>50</v>
      </c>
      <c r="G1465" s="318" t="str">
        <f t="shared" si="77"/>
        <v>"04-2026" RF T008 6564</v>
      </c>
      <c r="H1465" s="252"/>
      <c r="I1465" s="10">
        <f>+I1464</f>
        <v>6564</v>
      </c>
      <c r="J1465" s="350"/>
      <c r="K1465" s="335"/>
      <c r="N1465" s="336"/>
    </row>
    <row r="1466" spans="1:21" x14ac:dyDescent="0.35">
      <c r="B1466" s="4">
        <v>1149120011</v>
      </c>
      <c r="C1466" s="10" t="s">
        <v>1032</v>
      </c>
      <c r="D1466" s="268">
        <f>+D1463*0.19</f>
        <v>3494701.92</v>
      </c>
      <c r="E1466" t="s">
        <v>97</v>
      </c>
      <c r="F1466">
        <v>40</v>
      </c>
      <c r="G1466" s="318" t="str">
        <f t="shared" si="77"/>
        <v>"04-2026" RF T008 6564</v>
      </c>
      <c r="H1466" s="252"/>
      <c r="J1466" s="350"/>
      <c r="K1466" s="335"/>
      <c r="N1466" s="336"/>
    </row>
    <row r="1467" spans="1:21" x14ac:dyDescent="0.35">
      <c r="C1467" s="251" t="s">
        <v>76</v>
      </c>
      <c r="D1467" s="332">
        <f>SUBTOTAL(9,D1461:D1466)</f>
        <v>21066431.03712</v>
      </c>
      <c r="E1467"/>
      <c r="G1467" s="318" t="str">
        <f t="shared" si="77"/>
        <v>"04-2026" RF T008 6564</v>
      </c>
      <c r="H1467" s="252"/>
      <c r="J1467" s="350"/>
      <c r="K1467" s="335"/>
      <c r="N1467" s="336"/>
    </row>
    <row r="1468" spans="1:21" x14ac:dyDescent="0.35">
      <c r="A1468" s="130" t="s">
        <v>853</v>
      </c>
      <c r="B1468" s="262">
        <v>206033</v>
      </c>
      <c r="C1468" s="276" t="s">
        <v>964</v>
      </c>
      <c r="E1468"/>
      <c r="G1468" s="346" t="s">
        <v>357</v>
      </c>
      <c r="H1468" s="6">
        <v>6767</v>
      </c>
      <c r="I1468" s="10" t="s">
        <v>1059</v>
      </c>
      <c r="J1468" s="350">
        <f>+VLOOKUP(H1468,contratos!A:R,5,0)</f>
        <v>45582</v>
      </c>
      <c r="K1468" s="266" t="str">
        <f>+VLOOKUP(H1468,contratos!A:R,12,0)</f>
        <v>OK</v>
      </c>
      <c r="L1468" s="341" t="str">
        <f>+VLOOKUP(H1468,contratos!A:R,13,0)</f>
        <v>VIGENTE</v>
      </c>
      <c r="M1468" s="341">
        <f>+VLOOKUP(H1468,contratos!A:R,15,0)</f>
        <v>0</v>
      </c>
      <c r="N1468" s="336">
        <f>+VLOOKUP(H1468,contratos!A:R,16,0)</f>
        <v>0</v>
      </c>
      <c r="O1468" s="341">
        <f>+VLOOKUP(B1468,PRORRATEO!A:M,8,0)</f>
        <v>8516410</v>
      </c>
      <c r="P1468" s="341">
        <f>+VLOOKUP(B1468,PRORRATEO!A:M,9,0)</f>
        <v>1618117.9</v>
      </c>
      <c r="Q1468" s="341">
        <f>+VLOOKUP(B1468,PRORRATEO!A:M,10,0)</f>
        <v>139158.13939999999</v>
      </c>
      <c r="R1468" s="341">
        <f>+VLOOKUP(B1468,PRORRATEO!A:M,11,0)</f>
        <v>1478959.7605999999</v>
      </c>
      <c r="S1468" s="339">
        <f>+VLOOKUP(B1468,PRORRATEO!A:M,12,0)</f>
        <v>8.5999999999999993E-2</v>
      </c>
      <c r="T1468" s="339">
        <f>+VLOOKUP(B1468,PRORRATEO!A:M,13,0)</f>
        <v>0.91400000000000003</v>
      </c>
      <c r="U1468" t="s">
        <v>43</v>
      </c>
    </row>
    <row r="1469" spans="1:21" x14ac:dyDescent="0.35">
      <c r="B1469" s="4">
        <v>1249100024</v>
      </c>
      <c r="C1469" s="10" t="s">
        <v>981</v>
      </c>
      <c r="D1469" s="268">
        <f>+D1471*J1469/100</f>
        <v>81757.535999999993</v>
      </c>
      <c r="E1469"/>
      <c r="F1469">
        <v>50</v>
      </c>
      <c r="G1469" s="316" t="str">
        <f>+CONCATENATE($G$7," RF ",G1468," ",H1468)</f>
        <v>"04-2026" RF T100 6767</v>
      </c>
      <c r="H1469" s="252"/>
      <c r="I1469" s="319">
        <v>1</v>
      </c>
      <c r="J1469" s="357">
        <v>0.96</v>
      </c>
      <c r="K1469" s="335"/>
      <c r="N1469" s="336"/>
    </row>
    <row r="1470" spans="1:21" x14ac:dyDescent="0.35">
      <c r="B1470" s="4">
        <v>1246125027</v>
      </c>
      <c r="C1470" s="10" t="s">
        <v>962</v>
      </c>
      <c r="D1470" s="298">
        <f>+D1471*J1470</f>
        <v>298074.35000000003</v>
      </c>
      <c r="E1470"/>
      <c r="F1470">
        <v>50</v>
      </c>
      <c r="G1470" s="318" t="str">
        <f t="shared" ref="G1470:G1475" si="78">+G1469</f>
        <v>"04-2026" RF T100 6767</v>
      </c>
      <c r="H1470" s="252"/>
      <c r="I1470" s="385" t="s">
        <v>857</v>
      </c>
      <c r="J1470" s="351">
        <v>3.5000000000000003E-2</v>
      </c>
      <c r="K1470" s="335"/>
      <c r="N1470" s="336"/>
    </row>
    <row r="1471" spans="1:21" x14ac:dyDescent="0.35">
      <c r="B1471" s="263">
        <v>1245150017</v>
      </c>
      <c r="C1471" s="10" t="s">
        <v>77</v>
      </c>
      <c r="D1471" s="268">
        <f>+O1468</f>
        <v>8516410</v>
      </c>
      <c r="E1471" s="263" t="s">
        <v>97</v>
      </c>
      <c r="F1471">
        <v>40</v>
      </c>
      <c r="G1471" s="318" t="str">
        <f t="shared" si="78"/>
        <v>"04-2026" RF T100 6767</v>
      </c>
      <c r="H1471" s="252"/>
      <c r="I1471" s="10">
        <f>+H1468</f>
        <v>6767</v>
      </c>
      <c r="J1471" s="350"/>
      <c r="K1471" s="335"/>
      <c r="N1471" s="336"/>
    </row>
    <row r="1472" spans="1:21" x14ac:dyDescent="0.35">
      <c r="B1472" s="263">
        <v>1149120011</v>
      </c>
      <c r="C1472" s="10" t="s">
        <v>1032</v>
      </c>
      <c r="D1472" s="298">
        <f>+D1474*S1468</f>
        <v>139158.13939999999</v>
      </c>
      <c r="E1472" s="263" t="s">
        <v>98</v>
      </c>
      <c r="F1472">
        <v>40</v>
      </c>
      <c r="G1472" s="318" t="str">
        <f t="shared" si="78"/>
        <v>"04-2026" RF T100 6767</v>
      </c>
      <c r="H1472" s="252"/>
      <c r="I1472" s="10">
        <f>+I1471</f>
        <v>6767</v>
      </c>
      <c r="J1472" s="350"/>
      <c r="K1472" s="335"/>
      <c r="N1472" s="336"/>
    </row>
    <row r="1473" spans="1:21" x14ac:dyDescent="0.35">
      <c r="B1473" s="263">
        <v>1149120011</v>
      </c>
      <c r="C1473" s="10" t="s">
        <v>1032</v>
      </c>
      <c r="D1473" s="268">
        <f>D1472</f>
        <v>139158.13939999999</v>
      </c>
      <c r="E1473" s="263" t="s">
        <v>97</v>
      </c>
      <c r="F1473">
        <v>50</v>
      </c>
      <c r="G1473" s="318" t="str">
        <f t="shared" si="78"/>
        <v>"04-2026" RF T100 6767</v>
      </c>
      <c r="H1473" s="252"/>
      <c r="I1473" s="10">
        <f>+I1472</f>
        <v>6767</v>
      </c>
      <c r="J1473" s="350"/>
      <c r="K1473" s="335"/>
      <c r="N1473" s="336"/>
    </row>
    <row r="1474" spans="1:21" x14ac:dyDescent="0.35">
      <c r="B1474" s="4">
        <v>1149120011</v>
      </c>
      <c r="C1474" s="10" t="s">
        <v>1032</v>
      </c>
      <c r="D1474" s="268">
        <f>+P1468</f>
        <v>1618117.9</v>
      </c>
      <c r="E1474"/>
      <c r="F1474">
        <v>40</v>
      </c>
      <c r="G1474" s="318" t="str">
        <f t="shared" si="78"/>
        <v>"04-2026" RF T100 6767</v>
      </c>
      <c r="H1474" s="252"/>
      <c r="I1474" s="10">
        <f>+I1473</f>
        <v>6767</v>
      </c>
      <c r="J1474" s="350"/>
      <c r="K1474" s="335"/>
      <c r="N1474" s="336"/>
    </row>
    <row r="1475" spans="1:21" x14ac:dyDescent="0.35">
      <c r="C1475" s="251" t="s">
        <v>76</v>
      </c>
      <c r="D1475" s="332">
        <f>+D1471+D1474+D1472-D1473-D1469-D1470</f>
        <v>9754696.0140000004</v>
      </c>
      <c r="E1475"/>
      <c r="G1475" s="318" t="str">
        <f t="shared" si="78"/>
        <v>"04-2026" RF T100 6767</v>
      </c>
      <c r="H1475" s="252"/>
      <c r="J1475" s="350"/>
      <c r="K1475" s="335"/>
      <c r="N1475" s="336"/>
    </row>
    <row r="1476" spans="1:21" x14ac:dyDescent="0.35">
      <c r="A1476" s="130" t="s">
        <v>854</v>
      </c>
      <c r="B1476" s="358">
        <v>204526</v>
      </c>
      <c r="C1476" s="386" t="s">
        <v>99</v>
      </c>
      <c r="D1476" s="265"/>
      <c r="E1476" s="8"/>
      <c r="F1476" s="8"/>
      <c r="G1476" s="346" t="s">
        <v>607</v>
      </c>
      <c r="H1476" s="6" t="s">
        <v>222</v>
      </c>
      <c r="J1476" s="350">
        <v>45785</v>
      </c>
      <c r="K1476" s="335" t="s">
        <v>121</v>
      </c>
      <c r="L1476" s="341">
        <v>12751025</v>
      </c>
      <c r="M1476" s="341">
        <v>0</v>
      </c>
      <c r="N1476" s="336">
        <v>0</v>
      </c>
      <c r="O1476" s="341">
        <v>11805253</v>
      </c>
      <c r="P1476" s="341">
        <v>2242998.0699999998</v>
      </c>
      <c r="Q1476" s="341">
        <v>2242998.0699999998</v>
      </c>
      <c r="R1476" s="341">
        <v>0</v>
      </c>
      <c r="S1476" s="339">
        <v>1</v>
      </c>
      <c r="T1476" s="339">
        <v>0</v>
      </c>
      <c r="U1476" t="s">
        <v>644</v>
      </c>
    </row>
    <row r="1477" spans="1:21" x14ac:dyDescent="0.35">
      <c r="B1477" s="4">
        <v>1537210003</v>
      </c>
      <c r="C1477" s="10" t="s">
        <v>1013</v>
      </c>
      <c r="D1477" s="268">
        <v>388829</v>
      </c>
      <c r="E1477" t="s">
        <v>80</v>
      </c>
      <c r="F1477">
        <v>40</v>
      </c>
      <c r="G1477" s="316" t="str">
        <f>+CONCATENATE($G$7," RF ",G1476," ",H1476)</f>
        <v>"04-2026" RF R007 E924</v>
      </c>
      <c r="H1477" s="240"/>
      <c r="I1477" s="10" t="str">
        <f>+H1476</f>
        <v>E924</v>
      </c>
      <c r="J1477" s="350"/>
      <c r="K1477" s="335"/>
      <c r="N1477" s="336"/>
    </row>
    <row r="1478" spans="1:21" x14ac:dyDescent="0.35">
      <c r="B1478" s="4">
        <v>1537210002</v>
      </c>
      <c r="C1478" s="10" t="s">
        <v>1015</v>
      </c>
      <c r="D1478" s="268">
        <v>-579960</v>
      </c>
      <c r="E1478" t="s">
        <v>80</v>
      </c>
      <c r="F1478">
        <v>50</v>
      </c>
      <c r="G1478" s="318" t="str">
        <f>+G1477</f>
        <v>"04-2026" RF R007 E924</v>
      </c>
      <c r="H1478" s="240"/>
      <c r="I1478" s="10" t="str">
        <f>+I1477</f>
        <v>E924</v>
      </c>
      <c r="J1478" s="350"/>
      <c r="K1478" s="335"/>
      <c r="N1478" s="336"/>
    </row>
    <row r="1479" spans="1:21" x14ac:dyDescent="0.35">
      <c r="B1479" s="4">
        <v>1537210002</v>
      </c>
      <c r="C1479" s="10" t="s">
        <v>1015</v>
      </c>
      <c r="D1479" s="268">
        <v>2629720</v>
      </c>
      <c r="E1479" t="s">
        <v>80</v>
      </c>
      <c r="F1479">
        <v>40</v>
      </c>
      <c r="G1479" s="318" t="str">
        <f>+G1478</f>
        <v>"04-2026" RF R007 E924</v>
      </c>
      <c r="H1479" s="240"/>
      <c r="I1479" s="10" t="str">
        <f>+I1478</f>
        <v>E924</v>
      </c>
      <c r="J1479" s="350"/>
      <c r="K1479" s="335"/>
      <c r="N1479" s="336"/>
    </row>
    <row r="1480" spans="1:21" x14ac:dyDescent="0.35">
      <c r="C1480" s="251" t="s">
        <v>76</v>
      </c>
      <c r="D1480" s="332">
        <v>2438589</v>
      </c>
      <c r="E1480" t="s">
        <v>80</v>
      </c>
      <c r="F1480" s="8"/>
      <c r="G1480" s="318" t="str">
        <f>+G1479</f>
        <v>"04-2026" RF R007 E924</v>
      </c>
      <c r="H1480" s="240"/>
      <c r="I1480" s="10" t="str">
        <f>+I1479</f>
        <v>E924</v>
      </c>
      <c r="J1480" s="350"/>
      <c r="K1480" s="335"/>
      <c r="N1480" s="336"/>
    </row>
    <row r="1481" spans="1:21" x14ac:dyDescent="0.35">
      <c r="A1481" s="130" t="s">
        <v>854</v>
      </c>
      <c r="B1481" s="6">
        <v>204526</v>
      </c>
      <c r="C1481" s="9" t="s">
        <v>99</v>
      </c>
      <c r="D1481" s="298"/>
      <c r="E1481"/>
      <c r="G1481" s="346" t="s">
        <v>1163</v>
      </c>
      <c r="H1481" s="6">
        <v>6554</v>
      </c>
      <c r="J1481" s="350">
        <f>+VLOOKUP(H1481,contratos!A:R,5,0)</f>
        <v>42309</v>
      </c>
      <c r="K1481" s="266" t="str">
        <f>+VLOOKUP(H1481,contratos!A:R,12,0)</f>
        <v>VENCIDO</v>
      </c>
      <c r="L1481" s="341" t="str">
        <f>+VLOOKUP(H1481,contratos!A:R,13,0)</f>
        <v>CESADO</v>
      </c>
      <c r="M1481" s="341">
        <f>+VLOOKUP(H1481,contratos!A:R,15,0)</f>
        <v>0</v>
      </c>
      <c r="N1481" s="336">
        <f>+VLOOKUP(H1481,contratos!A:R,16,0)</f>
        <v>0</v>
      </c>
      <c r="O1481" s="341">
        <f>+VLOOKUP(H1481,PRORRATEO!F:M,3,0)</f>
        <v>24000000</v>
      </c>
      <c r="P1481" s="341">
        <f>+VLOOKUP(H1481,PRORRATEO!F:M,4,0)</f>
        <v>4560000</v>
      </c>
      <c r="Q1481" s="341">
        <f>+VLOOKUP(H1481,PRORRATEO!F:M,5,0)</f>
        <v>173280</v>
      </c>
      <c r="R1481" s="341">
        <f>+VLOOKUP(H1481,PRORRATEO!F:M,6,0)</f>
        <v>4386720</v>
      </c>
      <c r="S1481" s="339">
        <f>+VLOOKUP(H1481,PRORRATEO!F:M,7,0)</f>
        <v>3.7999999999999999E-2</v>
      </c>
      <c r="T1481" s="339">
        <f>+VLOOKUP(H1481,PRORRATEO!F:M,8,0)</f>
        <v>0.96199999999999997</v>
      </c>
      <c r="U1481" t="s">
        <v>674</v>
      </c>
    </row>
    <row r="1482" spans="1:21" x14ac:dyDescent="0.35">
      <c r="B1482" s="4">
        <v>1537210003</v>
      </c>
      <c r="C1482" s="251" t="s">
        <v>1013</v>
      </c>
      <c r="D1482" s="265">
        <v>510518</v>
      </c>
      <c r="E1482" s="8" t="s">
        <v>80</v>
      </c>
      <c r="F1482">
        <v>40</v>
      </c>
      <c r="G1482" s="316" t="str">
        <f>+CONCATENATE($G$7," FP ",G1481," ",H1481)</f>
        <v>"04-2026" FP T04 6554</v>
      </c>
      <c r="H1482" s="240"/>
      <c r="I1482" s="10">
        <f>+H1481</f>
        <v>6554</v>
      </c>
      <c r="J1482" s="350"/>
      <c r="K1482" s="335"/>
      <c r="N1482" s="336"/>
    </row>
    <row r="1483" spans="1:21" x14ac:dyDescent="0.35">
      <c r="B1483" s="4">
        <v>1537210002</v>
      </c>
      <c r="C1483" s="10" t="s">
        <v>1015</v>
      </c>
      <c r="D1483" s="268">
        <f>2482416+39719+19859</f>
        <v>2541994</v>
      </c>
      <c r="E1483" t="s">
        <v>80</v>
      </c>
      <c r="F1483">
        <v>40</v>
      </c>
      <c r="G1483" s="348" t="str">
        <f>+CONCATENATE($G$7," GC ",G1481," ",H1481)</f>
        <v>"04-2026" GC T04 6554</v>
      </c>
      <c r="I1483" s="10">
        <f>+I1482</f>
        <v>6554</v>
      </c>
      <c r="J1483" s="350"/>
      <c r="K1483" s="335"/>
      <c r="N1483" s="336"/>
    </row>
    <row r="1484" spans="1:21" x14ac:dyDescent="0.35">
      <c r="A1484" t="s">
        <v>1182</v>
      </c>
      <c r="B1484" s="4">
        <v>1537210002</v>
      </c>
      <c r="C1484" s="10" t="s">
        <v>1015</v>
      </c>
      <c r="E1484" t="s">
        <v>80</v>
      </c>
      <c r="F1484">
        <v>50</v>
      </c>
      <c r="G1484" s="348" t="str">
        <f>+CONCATENATE($G$7," GC/FP/ASEO ",G1481," ",H1481)</f>
        <v>"04-2026" GC/FP/ASEO T04 6554</v>
      </c>
      <c r="I1484" s="10">
        <f>+I1483</f>
        <v>6554</v>
      </c>
      <c r="J1484" s="350"/>
      <c r="K1484" s="335"/>
      <c r="N1484" s="336"/>
    </row>
    <row r="1485" spans="1:21" x14ac:dyDescent="0.35">
      <c r="B1485" s="4">
        <v>1532001600</v>
      </c>
      <c r="C1485" s="251" t="s">
        <v>987</v>
      </c>
      <c r="D1485" s="265">
        <v>117131</v>
      </c>
      <c r="E1485" s="8" t="s">
        <v>80</v>
      </c>
      <c r="F1485">
        <v>40</v>
      </c>
      <c r="G1485" s="318" t="str">
        <f>+CONCATENATE($G$7," AIRE ACOND ",G1481," ",H1481)</f>
        <v>"04-2026" AIRE ACOND T04 6554</v>
      </c>
      <c r="I1485" s="10">
        <f>+I1484</f>
        <v>6554</v>
      </c>
      <c r="J1485" s="350"/>
      <c r="K1485" s="335"/>
      <c r="N1485" s="336"/>
    </row>
    <row r="1486" spans="1:21" x14ac:dyDescent="0.35">
      <c r="C1486" s="251" t="s">
        <v>76</v>
      </c>
      <c r="D1486" s="332">
        <f>SUBTOTAL(9,D1482:D1485)</f>
        <v>3169643</v>
      </c>
      <c r="E1486"/>
      <c r="G1486" s="348" t="str">
        <f>+CONCATENATE($G$7," GC/FP/ASEO ",G1481," ",H1481)</f>
        <v>"04-2026" GC/FP/ASEO T04 6554</v>
      </c>
      <c r="I1486" s="10">
        <f>+I1485</f>
        <v>6554</v>
      </c>
      <c r="J1486" s="350"/>
      <c r="K1486" s="335"/>
      <c r="N1486" s="336"/>
    </row>
    <row r="1487" spans="1:21" x14ac:dyDescent="0.35">
      <c r="A1487" s="130" t="s">
        <v>853</v>
      </c>
      <c r="B1487" s="262">
        <v>228274</v>
      </c>
      <c r="C1487" s="276" t="s">
        <v>1026</v>
      </c>
      <c r="D1487" s="333"/>
      <c r="E1487"/>
      <c r="G1487" s="346" t="s">
        <v>468</v>
      </c>
      <c r="H1487" s="6">
        <v>9636</v>
      </c>
      <c r="I1487" s="10" t="s">
        <v>865</v>
      </c>
      <c r="J1487" s="350">
        <f>+VLOOKUP(H1487,contratos!A:R,5,0)</f>
        <v>43466</v>
      </c>
      <c r="K1487" s="266" t="str">
        <f>+VLOOKUP(H1487,contratos!A:R,12,0)</f>
        <v>VENCIDO</v>
      </c>
      <c r="L1487" s="341" t="str">
        <f>+VLOOKUP(H1487,contratos!A:R,13,0)</f>
        <v>CESADO</v>
      </c>
      <c r="M1487" s="341">
        <f>+VLOOKUP(H1487,contratos!A:R,15,0)</f>
        <v>0</v>
      </c>
      <c r="N1487" s="336">
        <f>+VLOOKUP(H1487,contratos!A:R,16,0)</f>
        <v>0</v>
      </c>
      <c r="O1487" s="341">
        <f>+VLOOKUP(B1487,PRORRATEO!A:M,8,0)</f>
        <v>15892835</v>
      </c>
      <c r="P1487" s="341">
        <f>+VLOOKUP(B1487,PRORRATEO!A:M,9,0)</f>
        <v>3019638.65</v>
      </c>
      <c r="Q1487" s="341">
        <f>+VLOOKUP(B1487,PRORRATEO!A:M,10,0)</f>
        <v>217413.98279999997</v>
      </c>
      <c r="R1487" s="341">
        <f>+VLOOKUP(B1487,PRORRATEO!A:M,11,0)</f>
        <v>2802224.6672</v>
      </c>
      <c r="S1487" s="339">
        <f>+VLOOKUP(B1487,PRORRATEO!A:M,12,0)</f>
        <v>7.1999999999999995E-2</v>
      </c>
      <c r="T1487" s="339">
        <f>+VLOOKUP(B1487,PRORRATEO!A:M,13,0)</f>
        <v>0.92800000000000005</v>
      </c>
      <c r="U1487" t="s">
        <v>848</v>
      </c>
    </row>
    <row r="1488" spans="1:21" x14ac:dyDescent="0.35">
      <c r="B1488" s="4">
        <v>1532001604</v>
      </c>
      <c r="C1488" s="251" t="s">
        <v>1014</v>
      </c>
      <c r="D1488" s="265">
        <v>1154965</v>
      </c>
      <c r="E1488" s="8"/>
      <c r="F1488">
        <v>40</v>
      </c>
      <c r="G1488" s="316" t="str">
        <f>+CONCATENATE($G$7," RV ",G1487," ",H1487)</f>
        <v>"04-2026" RV T135 9636</v>
      </c>
      <c r="H1488" s="240"/>
      <c r="I1488" s="10">
        <f>+H1487</f>
        <v>9636</v>
      </c>
      <c r="J1488" s="350"/>
      <c r="K1488" s="335"/>
      <c r="N1488" s="336"/>
    </row>
    <row r="1489" spans="1:21" x14ac:dyDescent="0.35">
      <c r="B1489" s="4">
        <v>1149120011</v>
      </c>
      <c r="C1489" s="10" t="s">
        <v>1032</v>
      </c>
      <c r="D1489" s="298">
        <v>15800</v>
      </c>
      <c r="E1489"/>
      <c r="F1489">
        <v>40</v>
      </c>
      <c r="G1489" s="348" t="str">
        <f>+G1488</f>
        <v>"04-2026" RV T135 9636</v>
      </c>
      <c r="I1489" s="10">
        <f>+I1488</f>
        <v>9636</v>
      </c>
      <c r="J1489" s="350"/>
      <c r="K1489" s="335"/>
      <c r="N1489" s="336"/>
    </row>
    <row r="1490" spans="1:21" x14ac:dyDescent="0.35">
      <c r="B1490" s="4">
        <v>1149120011</v>
      </c>
      <c r="C1490" s="10" t="s">
        <v>1032</v>
      </c>
      <c r="D1490" s="268">
        <v>-15800</v>
      </c>
      <c r="E1490"/>
      <c r="F1490">
        <v>50</v>
      </c>
      <c r="G1490" s="348" t="str">
        <f>+G1489</f>
        <v>"04-2026" RV T135 9636</v>
      </c>
      <c r="I1490" s="10">
        <f>+I1489</f>
        <v>9636</v>
      </c>
      <c r="J1490" s="350"/>
      <c r="K1490" s="335"/>
      <c r="N1490" s="336"/>
    </row>
    <row r="1491" spans="1:21" x14ac:dyDescent="0.35">
      <c r="B1491" s="4">
        <v>1149120011</v>
      </c>
      <c r="C1491" s="251" t="s">
        <v>1032</v>
      </c>
      <c r="D1491" s="265">
        <v>219443</v>
      </c>
      <c r="E1491" s="8"/>
      <c r="F1491">
        <v>40</v>
      </c>
      <c r="G1491" s="318" t="str">
        <f>+G1490</f>
        <v>"04-2026" RV T135 9636</v>
      </c>
      <c r="H1491" s="240"/>
      <c r="I1491" s="10">
        <f>+I1490</f>
        <v>9636</v>
      </c>
      <c r="J1491" s="350"/>
      <c r="K1491" s="335"/>
      <c r="N1491" s="336"/>
    </row>
    <row r="1492" spans="1:21" x14ac:dyDescent="0.35">
      <c r="C1492" s="251" t="s">
        <v>76</v>
      </c>
      <c r="D1492" s="332">
        <v>1374408</v>
      </c>
      <c r="E1492"/>
      <c r="G1492" s="348" t="str">
        <f>+G1491</f>
        <v>"04-2026" RV T135 9636</v>
      </c>
      <c r="J1492" s="350"/>
      <c r="K1492" s="335"/>
      <c r="N1492" s="336"/>
    </row>
    <row r="1493" spans="1:21" x14ac:dyDescent="0.35">
      <c r="A1493" s="130" t="s">
        <v>853</v>
      </c>
      <c r="B1493" s="262">
        <v>228274</v>
      </c>
      <c r="C1493" s="276" t="s">
        <v>1026</v>
      </c>
      <c r="E1493"/>
      <c r="G1493" s="346" t="s">
        <v>468</v>
      </c>
      <c r="H1493" s="6">
        <v>9636</v>
      </c>
      <c r="I1493" s="10" t="s">
        <v>865</v>
      </c>
      <c r="J1493" s="350">
        <f>+VLOOKUP(H1493,contratos!A:R,5,0)</f>
        <v>43466</v>
      </c>
      <c r="K1493" s="266" t="str">
        <f>+VLOOKUP(H1493,contratos!A:R,12,0)</f>
        <v>VENCIDO</v>
      </c>
      <c r="L1493" s="341" t="str">
        <f>+VLOOKUP(H1493,contratos!A:R,13,0)</f>
        <v>CESADO</v>
      </c>
      <c r="M1493" s="341">
        <f>+VLOOKUP(H1493,contratos!A:R,15,0)</f>
        <v>0</v>
      </c>
      <c r="N1493" s="336">
        <f>+VLOOKUP(H1493,contratos!A:R,16,0)</f>
        <v>0</v>
      </c>
      <c r="O1493" s="341">
        <f>+VLOOKUP(B1493,PRORRATEO!A:M,8,0)</f>
        <v>15892835</v>
      </c>
      <c r="P1493" s="341">
        <f>+VLOOKUP(B1493,PRORRATEO!A:M,9,0)</f>
        <v>3019638.65</v>
      </c>
      <c r="Q1493" s="341">
        <f>+VLOOKUP(B1493,PRORRATEO!A:M,10,0)</f>
        <v>217413.98279999997</v>
      </c>
      <c r="R1493" s="341">
        <f>+VLOOKUP(B1493,PRORRATEO!A:M,11,0)</f>
        <v>2802224.6672</v>
      </c>
      <c r="S1493" s="339">
        <f>+VLOOKUP(B1493,PRORRATEO!A:M,12,0)</f>
        <v>7.1999999999999995E-2</v>
      </c>
      <c r="T1493" s="339">
        <f>+VLOOKUP(B1493,PRORRATEO!A:M,13,0)</f>
        <v>0.92800000000000005</v>
      </c>
      <c r="U1493" t="s">
        <v>848</v>
      </c>
    </row>
    <row r="1494" spans="1:21" x14ac:dyDescent="0.35">
      <c r="A1494">
        <v>1537210004</v>
      </c>
      <c r="B1494" s="4">
        <v>1245150017</v>
      </c>
      <c r="C1494" s="10" t="s">
        <v>1018</v>
      </c>
      <c r="D1494" s="265"/>
      <c r="E1494" s="8" t="s">
        <v>97</v>
      </c>
      <c r="F1494">
        <v>40</v>
      </c>
      <c r="G1494" s="316" t="str">
        <f>+CONCATENATE($G$7," RF ",G1493," ",H1493)</f>
        <v>"04-2026" RF T135 9636</v>
      </c>
      <c r="H1494" s="240"/>
      <c r="J1494" s="350"/>
      <c r="K1494" s="335"/>
      <c r="N1494" s="336"/>
      <c r="S1494" s="266"/>
    </row>
    <row r="1495" spans="1:21" x14ac:dyDescent="0.35">
      <c r="B1495" s="209">
        <v>1245150017</v>
      </c>
      <c r="C1495" s="10" t="s">
        <v>1018</v>
      </c>
      <c r="D1495" s="268">
        <f>+O1493</f>
        <v>15892835</v>
      </c>
      <c r="E1495" s="209" t="s">
        <v>97</v>
      </c>
      <c r="F1495">
        <v>40</v>
      </c>
      <c r="G1495" s="348" t="str">
        <f>+G1494</f>
        <v>"04-2026" RF T135 9636</v>
      </c>
      <c r="I1495" s="10">
        <f>+H1493</f>
        <v>9636</v>
      </c>
      <c r="J1495" s="350" t="s">
        <v>1140</v>
      </c>
      <c r="K1495" s="335"/>
      <c r="N1495" s="336"/>
    </row>
    <row r="1496" spans="1:21" hidden="1" x14ac:dyDescent="0.35">
      <c r="B1496" s="209">
        <v>1149120011</v>
      </c>
      <c r="C1496" s="10" t="s">
        <v>1032</v>
      </c>
      <c r="D1496" s="268">
        <f>-D1497</f>
        <v>217413.98279999997</v>
      </c>
      <c r="E1496" s="209" t="s">
        <v>98</v>
      </c>
      <c r="F1496">
        <v>40</v>
      </c>
      <c r="G1496" s="348">
        <v>8</v>
      </c>
      <c r="I1496" s="10">
        <f>+I1495</f>
        <v>9636</v>
      </c>
      <c r="J1496" s="350"/>
      <c r="K1496" s="335"/>
      <c r="N1496" s="336"/>
    </row>
    <row r="1497" spans="1:21" hidden="1" x14ac:dyDescent="0.35">
      <c r="B1497" s="209">
        <v>1149120011</v>
      </c>
      <c r="C1497" s="251" t="s">
        <v>1032</v>
      </c>
      <c r="D1497" s="265">
        <f>-Q1493</f>
        <v>-217413.98279999997</v>
      </c>
      <c r="E1497" s="209" t="s">
        <v>97</v>
      </c>
      <c r="F1497">
        <v>50</v>
      </c>
      <c r="G1497" s="348">
        <f>+G1496</f>
        <v>8</v>
      </c>
      <c r="H1497" s="240"/>
      <c r="I1497" s="10">
        <f>+I1496</f>
        <v>9636</v>
      </c>
      <c r="J1497" s="350"/>
      <c r="K1497" s="335"/>
      <c r="N1497" s="336"/>
    </row>
    <row r="1498" spans="1:21" hidden="1" x14ac:dyDescent="0.35">
      <c r="B1498" s="4">
        <v>1149120011</v>
      </c>
      <c r="C1498" s="10" t="s">
        <v>1032</v>
      </c>
      <c r="D1498" s="268">
        <f>+P1493</f>
        <v>3019638.65</v>
      </c>
      <c r="E1498" t="s">
        <v>97</v>
      </c>
      <c r="F1498">
        <v>40</v>
      </c>
      <c r="G1498" s="348">
        <f>+G1497</f>
        <v>8</v>
      </c>
      <c r="J1498" s="350"/>
      <c r="K1498" s="335"/>
      <c r="N1498" s="336"/>
    </row>
    <row r="1499" spans="1:21" hidden="1" x14ac:dyDescent="0.35">
      <c r="C1499" s="251" t="s">
        <v>76</v>
      </c>
      <c r="D1499" s="332">
        <f>SUM(D1495:D1498)</f>
        <v>18912473.649999999</v>
      </c>
      <c r="E1499"/>
      <c r="G1499" s="318">
        <f>+G1498</f>
        <v>8</v>
      </c>
      <c r="J1499" s="350"/>
      <c r="K1499" s="335"/>
      <c r="N1499" s="336"/>
    </row>
    <row r="1500" spans="1:21" x14ac:dyDescent="0.35">
      <c r="A1500" s="130" t="s">
        <v>856</v>
      </c>
      <c r="B1500" s="262">
        <v>228274</v>
      </c>
      <c r="C1500" s="359" t="s">
        <v>1026</v>
      </c>
      <c r="E1500"/>
      <c r="G1500" s="346" t="s">
        <v>468</v>
      </c>
      <c r="H1500" s="6">
        <v>9636</v>
      </c>
      <c r="I1500" s="10" t="s">
        <v>865</v>
      </c>
      <c r="J1500" s="350">
        <f>+VLOOKUP(H1500,contratos!A:R,5,0)</f>
        <v>43466</v>
      </c>
      <c r="K1500" s="266" t="str">
        <f>+VLOOKUP(H1500,contratos!A:R,12,0)</f>
        <v>VENCIDO</v>
      </c>
      <c r="L1500" s="341" t="str">
        <f>+VLOOKUP(H1500,contratos!A:R,13,0)</f>
        <v>CESADO</v>
      </c>
      <c r="M1500" s="341">
        <f>+VLOOKUP(H1500,contratos!A:R,15,0)</f>
        <v>0</v>
      </c>
      <c r="N1500" s="336">
        <f>+VLOOKUP(H1500,contratos!A:R,16,0)</f>
        <v>0</v>
      </c>
      <c r="O1500" s="341">
        <f>+VLOOKUP(H1500,PRORRATEO!F:M,3,0)</f>
        <v>15892835</v>
      </c>
      <c r="P1500" s="341">
        <f>+VLOOKUP(H1500,PRORRATEO!F:M,4,0)</f>
        <v>3019638.65</v>
      </c>
      <c r="Q1500" s="341">
        <f>+VLOOKUP(H1500,PRORRATEO!F:M,5,0)</f>
        <v>217413.98279999997</v>
      </c>
      <c r="R1500" s="341">
        <f>+VLOOKUP(H1500,PRORRATEO!F:M,6,0)</f>
        <v>2802224.6672</v>
      </c>
      <c r="S1500" s="339">
        <f>+VLOOKUP(H1500,PRORRATEO!F:M,7,0)</f>
        <v>7.1999999999999995E-2</v>
      </c>
      <c r="T1500" s="339">
        <f>+VLOOKUP(H1500,PRORRATEO!F:M,8,0)</f>
        <v>0.92800000000000005</v>
      </c>
    </row>
    <row r="1501" spans="1:21" x14ac:dyDescent="0.35">
      <c r="B1501" s="209">
        <v>1532001604</v>
      </c>
      <c r="C1501" s="251" t="s">
        <v>1029</v>
      </c>
      <c r="D1501" s="322">
        <v>13128</v>
      </c>
      <c r="E1501" s="8" t="s">
        <v>97</v>
      </c>
      <c r="F1501">
        <v>40</v>
      </c>
      <c r="G1501" s="348" t="str">
        <f>+CONCATENATE($G$7," ",A1500," ",G1500," ",H1500)</f>
        <v>"04-2026" ACUEDUCTO T135 9636</v>
      </c>
      <c r="H1501" s="240"/>
      <c r="I1501" s="10">
        <f>+H1500</f>
        <v>9636</v>
      </c>
      <c r="J1501" s="350"/>
      <c r="K1501" s="335"/>
      <c r="N1501" s="336"/>
    </row>
    <row r="1502" spans="1:21" x14ac:dyDescent="0.35">
      <c r="C1502" s="251" t="s">
        <v>76</v>
      </c>
      <c r="D1502" s="332">
        <f>SUM(D1501)</f>
        <v>13128</v>
      </c>
      <c r="E1502"/>
      <c r="G1502" s="318" t="str">
        <f>+G1501</f>
        <v>"04-2026" ACUEDUCTO T135 9636</v>
      </c>
      <c r="J1502" s="350"/>
      <c r="K1502" s="335"/>
      <c r="N1502" s="336"/>
    </row>
    <row r="1503" spans="1:21" x14ac:dyDescent="0.35">
      <c r="A1503" s="130" t="s">
        <v>853</v>
      </c>
      <c r="B1503" s="262">
        <v>205547</v>
      </c>
      <c r="C1503" s="276" t="s">
        <v>46</v>
      </c>
      <c r="D1503" s="332"/>
      <c r="E1503" s="8"/>
      <c r="F1503" s="8"/>
      <c r="G1503" s="346" t="s">
        <v>1169</v>
      </c>
      <c r="H1503" s="6">
        <v>9301</v>
      </c>
      <c r="I1503" s="10" t="s">
        <v>865</v>
      </c>
      <c r="J1503" s="350">
        <f>+VLOOKUP(H1503,contratos!A:R,5,0)</f>
        <v>43123</v>
      </c>
      <c r="K1503" s="266" t="str">
        <f>+VLOOKUP(H1503,contratos!A:R,12,0)</f>
        <v>VENCIDO</v>
      </c>
      <c r="L1503" s="341" t="str">
        <f>+VLOOKUP(H1503,contratos!A:R,13,0)</f>
        <v>CESADO</v>
      </c>
      <c r="M1503" s="341">
        <f>+VLOOKUP(H1503,contratos!A:R,15,0)</f>
        <v>0</v>
      </c>
      <c r="N1503" s="336">
        <f>+VLOOKUP(H1503,contratos!A:R,16,0)</f>
        <v>0</v>
      </c>
      <c r="O1503" s="341">
        <f>+VLOOKUP(B1503,PRORRATEO!A:M,8,0)</f>
        <v>22377460</v>
      </c>
      <c r="P1503" s="341">
        <f>+VLOOKUP(B1503,PRORRATEO!A:M,9,0)</f>
        <v>4251717.4000000004</v>
      </c>
      <c r="Q1503" s="341">
        <f>+VLOOKUP(B1503,PRORRATEO!A:M,10,0)</f>
        <v>4251717.4000000004</v>
      </c>
      <c r="R1503" s="341">
        <f>+VLOOKUP(B1503,PRORRATEO!A:M,11,0)</f>
        <v>0</v>
      </c>
      <c r="S1503" s="339">
        <f>+VLOOKUP(B1503,PRORRATEO!A:M,12,0)</f>
        <v>1</v>
      </c>
      <c r="T1503" s="339">
        <f>+VLOOKUP(B1503,PRORRATEO!A:M,13,0)</f>
        <v>0</v>
      </c>
      <c r="U1503" t="s">
        <v>662</v>
      </c>
    </row>
    <row r="1504" spans="1:21" x14ac:dyDescent="0.35">
      <c r="B1504" s="4">
        <v>1537210004</v>
      </c>
      <c r="C1504" s="10" t="s">
        <v>1018</v>
      </c>
      <c r="D1504" s="268">
        <v>3801274</v>
      </c>
      <c r="E1504" t="s">
        <v>98</v>
      </c>
      <c r="F1504">
        <v>40</v>
      </c>
      <c r="G1504" s="348" t="str">
        <f>+CONCATENATE($G$7," RV ",G1503," ",H1503)</f>
        <v>"04-2026" RV TSGH607 9301</v>
      </c>
      <c r="I1504" s="10">
        <f>+H1503</f>
        <v>9301</v>
      </c>
      <c r="J1504" s="350"/>
      <c r="K1504" s="335"/>
      <c r="N1504" s="336"/>
    </row>
    <row r="1505" spans="1:21" x14ac:dyDescent="0.35">
      <c r="B1505" s="4">
        <v>1149120011</v>
      </c>
      <c r="C1505" s="10" t="s">
        <v>1032</v>
      </c>
      <c r="D1505" s="298">
        <f>+D1504*0.19</f>
        <v>722242.06</v>
      </c>
      <c r="E1505" t="s">
        <v>98</v>
      </c>
      <c r="F1505">
        <v>40</v>
      </c>
      <c r="G1505" s="348" t="str">
        <f>+G1504</f>
        <v>"04-2026" RV TSGH607 9301</v>
      </c>
      <c r="I1505" s="10">
        <f>+I1504</f>
        <v>9301</v>
      </c>
      <c r="J1505" s="350"/>
      <c r="K1505" s="335"/>
      <c r="N1505" s="336"/>
    </row>
    <row r="1506" spans="1:21" x14ac:dyDescent="0.35">
      <c r="B1506" s="240"/>
      <c r="C1506" s="251" t="s">
        <v>76</v>
      </c>
      <c r="D1506" s="332">
        <f>SUBTOTAL(9,D1504:D1505)</f>
        <v>4523516.0600000005</v>
      </c>
      <c r="E1506" s="8"/>
      <c r="F1506" s="8"/>
      <c r="G1506" s="349" t="str">
        <f>+G1505</f>
        <v>"04-2026" RV TSGH607 9301</v>
      </c>
      <c r="H1506" s="240"/>
      <c r="J1506" s="350"/>
      <c r="K1506" s="335"/>
      <c r="N1506" s="336"/>
    </row>
    <row r="1507" spans="1:21" x14ac:dyDescent="0.35">
      <c r="A1507" s="130" t="s">
        <v>853</v>
      </c>
      <c r="B1507" s="262">
        <v>205547</v>
      </c>
      <c r="C1507" s="276" t="s">
        <v>46</v>
      </c>
      <c r="E1507"/>
      <c r="G1507" s="346" t="s">
        <v>1169</v>
      </c>
      <c r="H1507" s="6">
        <v>9301</v>
      </c>
      <c r="I1507" s="10" t="s">
        <v>865</v>
      </c>
      <c r="J1507" s="350">
        <f>+VLOOKUP(H1507,contratos!A:R,5,0)</f>
        <v>43123</v>
      </c>
      <c r="K1507" s="266" t="str">
        <f>+VLOOKUP(H1507,contratos!A:R,12,0)</f>
        <v>VENCIDO</v>
      </c>
      <c r="L1507" s="341" t="str">
        <f>+VLOOKUP(H1507,contratos!A:R,13,0)</f>
        <v>CESADO</v>
      </c>
      <c r="M1507" s="341">
        <f>+VLOOKUP(H1507,contratos!A:R,15,0)</f>
        <v>0</v>
      </c>
      <c r="N1507" s="336">
        <f>+VLOOKUP(H1507,contratos!A:R,16,0)</f>
        <v>0</v>
      </c>
      <c r="O1507" s="341">
        <f>+VLOOKUP(B1507,PRORRATEO!A:M,8,0)</f>
        <v>22377460</v>
      </c>
      <c r="P1507" s="341">
        <f>+VLOOKUP(B1507,PRORRATEO!A:M,9,0)</f>
        <v>4251717.4000000004</v>
      </c>
      <c r="Q1507" s="341">
        <f>+VLOOKUP(B1507,PRORRATEO!A:M,10,0)</f>
        <v>4251717.4000000004</v>
      </c>
      <c r="R1507" s="341">
        <f>+VLOOKUP(B1507,PRORRATEO!A:M,11,0)</f>
        <v>0</v>
      </c>
      <c r="S1507" s="339">
        <f>+VLOOKUP(B1507,PRORRATEO!A:M,12,0)</f>
        <v>1</v>
      </c>
      <c r="T1507" s="339">
        <f>+VLOOKUP(B1507,PRORRATEO!A:M,13,0)</f>
        <v>0</v>
      </c>
      <c r="U1507" t="s">
        <v>662</v>
      </c>
    </row>
    <row r="1508" spans="1:21" x14ac:dyDescent="0.35">
      <c r="B1508" s="4">
        <v>1537210004</v>
      </c>
      <c r="C1508" s="10" t="s">
        <v>1018</v>
      </c>
      <c r="D1508" s="268">
        <v>25725701</v>
      </c>
      <c r="E1508" t="s">
        <v>98</v>
      </c>
      <c r="F1508">
        <v>40</v>
      </c>
      <c r="G1508" s="316" t="str">
        <f>+CONCATENATE($G$7," RV ",G1507," ",H1507)</f>
        <v>"04-2026" RV TSGH607 9301</v>
      </c>
      <c r="I1508" s="10">
        <f>+H1507</f>
        <v>9301</v>
      </c>
      <c r="J1508" s="350"/>
      <c r="K1508" s="335"/>
      <c r="N1508" s="336"/>
    </row>
    <row r="1509" spans="1:21" x14ac:dyDescent="0.35">
      <c r="B1509" s="4">
        <v>1149120011</v>
      </c>
      <c r="C1509" s="251" t="s">
        <v>1032</v>
      </c>
      <c r="D1509" s="265">
        <f>+D1508*0.19</f>
        <v>4887883.1900000004</v>
      </c>
      <c r="E1509" s="8" t="s">
        <v>98</v>
      </c>
      <c r="F1509">
        <v>40</v>
      </c>
      <c r="G1509" s="318" t="str">
        <f>+G1508</f>
        <v>"04-2026" RV TSGH607 9301</v>
      </c>
      <c r="H1509" s="240"/>
      <c r="I1509" s="10">
        <f>+I1508</f>
        <v>9301</v>
      </c>
      <c r="J1509" s="350"/>
      <c r="K1509" s="335"/>
      <c r="N1509" s="336"/>
    </row>
    <row r="1510" spans="1:21" x14ac:dyDescent="0.35">
      <c r="C1510" s="251" t="s">
        <v>76</v>
      </c>
      <c r="D1510" s="332">
        <f>SUBTOTAL(9,D1508:D1509)</f>
        <v>30613584.190000001</v>
      </c>
      <c r="E1510"/>
      <c r="G1510" s="348" t="str">
        <f>+G1509</f>
        <v>"04-2026" RV TSGH607 9301</v>
      </c>
      <c r="I1510" s="10">
        <f>+I1509</f>
        <v>9301</v>
      </c>
      <c r="J1510" s="350"/>
      <c r="K1510" s="335"/>
      <c r="N1510" s="336"/>
    </row>
    <row r="1511" spans="1:21" x14ac:dyDescent="0.35">
      <c r="A1511" s="130" t="s">
        <v>853</v>
      </c>
      <c r="B1511" s="262">
        <v>205547</v>
      </c>
      <c r="C1511" s="276" t="s">
        <v>46</v>
      </c>
      <c r="D1511" s="298"/>
      <c r="E1511"/>
      <c r="G1511" s="346" t="s">
        <v>1170</v>
      </c>
      <c r="H1511" s="6" t="s">
        <v>228</v>
      </c>
      <c r="I1511" s="10" t="s">
        <v>865</v>
      </c>
      <c r="J1511" s="350">
        <f>+VLOOKUP(H1511,contratos!A:R,5,0)</f>
        <v>44505</v>
      </c>
      <c r="K1511" s="266" t="str">
        <f>+VLOOKUP(H1511,contratos!A:R,12,0)</f>
        <v>OK</v>
      </c>
      <c r="L1511" s="341" t="str">
        <f>+VLOOKUP(H1511,contratos!A:R,13,0)</f>
        <v>VIGENTE</v>
      </c>
      <c r="M1511" s="341">
        <f>+VLOOKUP(H1511,contratos!A:R,15,0)</f>
        <v>0</v>
      </c>
      <c r="N1511" s="336">
        <f>+VLOOKUP(H1511,contratos!A:R,16,0)</f>
        <v>0</v>
      </c>
      <c r="O1511" s="341">
        <f>+VLOOKUP(B1511,PRORRATEO!A:M,8,0)</f>
        <v>22377460</v>
      </c>
      <c r="P1511" s="341">
        <f>+VLOOKUP(B1511,PRORRATEO!A:M,9,0)</f>
        <v>4251717.4000000004</v>
      </c>
      <c r="Q1511" s="341">
        <f>+VLOOKUP(B1511,PRORRATEO!A:M,10,0)</f>
        <v>4251717.4000000004</v>
      </c>
      <c r="R1511" s="341">
        <f>+VLOOKUP(B1511,PRORRATEO!A:M,11,0)</f>
        <v>0</v>
      </c>
      <c r="S1511" s="339">
        <f>+VLOOKUP(B1511,PRORRATEO!A:M,12,0)</f>
        <v>1</v>
      </c>
      <c r="T1511" s="339">
        <f>+VLOOKUP(B1511,PRORRATEO!A:M,13,0)</f>
        <v>0</v>
      </c>
      <c r="U1511" t="s">
        <v>662</v>
      </c>
    </row>
    <row r="1512" spans="1:21" x14ac:dyDescent="0.35">
      <c r="B1512" s="4">
        <v>1245150017</v>
      </c>
      <c r="C1512" s="251" t="s">
        <v>853</v>
      </c>
      <c r="D1512" s="265">
        <v>57281075</v>
      </c>
      <c r="E1512" s="8" t="s">
        <v>98</v>
      </c>
      <c r="F1512">
        <v>40</v>
      </c>
      <c r="G1512" s="316" t="str">
        <f>+CONCATENATE($G$7," RV ",G1511," ",H1511)</f>
        <v>"04-2026" RV TSGH635 A997</v>
      </c>
      <c r="H1512" s="240"/>
      <c r="I1512" s="10" t="str">
        <f>+H1511</f>
        <v>A997</v>
      </c>
      <c r="J1512" s="350"/>
      <c r="K1512" s="335"/>
      <c r="N1512" s="336"/>
    </row>
    <row r="1513" spans="1:21" x14ac:dyDescent="0.35">
      <c r="B1513" s="4">
        <v>1149120011</v>
      </c>
      <c r="C1513" s="10" t="s">
        <v>1032</v>
      </c>
      <c r="D1513" s="268">
        <f>+D1512*0.19</f>
        <v>10883404.25</v>
      </c>
      <c r="E1513" t="s">
        <v>98</v>
      </c>
      <c r="F1513">
        <v>40</v>
      </c>
      <c r="G1513" s="348" t="str">
        <f>+G1512</f>
        <v>"04-2026" RV TSGH635 A997</v>
      </c>
      <c r="I1513" s="10" t="str">
        <f>+I1512</f>
        <v>A997</v>
      </c>
      <c r="J1513" s="350"/>
      <c r="K1513" s="335"/>
      <c r="N1513" s="336"/>
    </row>
    <row r="1514" spans="1:21" ht="15" customHeight="1" x14ac:dyDescent="0.35">
      <c r="C1514" s="251" t="s">
        <v>76</v>
      </c>
      <c r="D1514" s="332">
        <f>SUM(D1512:D1513)</f>
        <v>68164479.25</v>
      </c>
      <c r="E1514"/>
      <c r="G1514" s="318" t="str">
        <f>+G1513</f>
        <v>"04-2026" RV TSGH635 A997</v>
      </c>
      <c r="I1514" s="10" t="str">
        <f>+I1513</f>
        <v>A997</v>
      </c>
      <c r="J1514" s="350"/>
      <c r="K1514" s="335"/>
      <c r="N1514" s="336"/>
    </row>
    <row r="1515" spans="1:21" x14ac:dyDescent="0.35">
      <c r="A1515" s="130" t="s">
        <v>853</v>
      </c>
      <c r="B1515" s="262">
        <v>205547</v>
      </c>
      <c r="C1515" s="276" t="s">
        <v>46</v>
      </c>
      <c r="D1515" s="265"/>
      <c r="E1515" s="8"/>
      <c r="F1515" s="8"/>
      <c r="G1515" s="346" t="s">
        <v>364</v>
      </c>
      <c r="H1515" s="6">
        <v>8580</v>
      </c>
      <c r="I1515" s="10" t="s">
        <v>865</v>
      </c>
      <c r="J1515" s="350">
        <f>+VLOOKUP(H1515,contratos!A:R,5,0)</f>
        <v>42046</v>
      </c>
      <c r="K1515" s="266" t="str">
        <f>+VLOOKUP(H1515,contratos!A:R,12,0)</f>
        <v>CESADO</v>
      </c>
      <c r="L1515" s="341" t="str">
        <f>+VLOOKUP(H1515,contratos!A:R,13,0)</f>
        <v>REEMPLAZO 5-133</v>
      </c>
      <c r="M1515" s="341">
        <f>+VLOOKUP(H1515,contratos!A:R,15,0)</f>
        <v>0</v>
      </c>
      <c r="N1515" s="336">
        <f>+VLOOKUP(H1515,contratos!A:R,16,0)</f>
        <v>0</v>
      </c>
      <c r="O1515" s="341">
        <f>+VLOOKUP(B1515,PRORRATEO!A:M,8,0)</f>
        <v>22377460</v>
      </c>
      <c r="P1515" s="341">
        <f>+VLOOKUP(B1515,PRORRATEO!A:M,9,0)</f>
        <v>4251717.4000000004</v>
      </c>
      <c r="Q1515" s="341">
        <f>+VLOOKUP(B1515,PRORRATEO!A:M,10,0)</f>
        <v>4251717.4000000004</v>
      </c>
      <c r="R1515" s="341">
        <f>+VLOOKUP(B1515,PRORRATEO!A:M,11,0)</f>
        <v>0</v>
      </c>
      <c r="S1515" s="339">
        <f>+VLOOKUP(B1515,PRORRATEO!A:M,12,0)</f>
        <v>1</v>
      </c>
      <c r="T1515" s="339">
        <f>+VLOOKUP(B1515,PRORRATEO!A:M,13,0)</f>
        <v>0</v>
      </c>
      <c r="U1515" t="s">
        <v>805</v>
      </c>
    </row>
    <row r="1516" spans="1:21" x14ac:dyDescent="0.35">
      <c r="B1516" s="263">
        <v>1245150017</v>
      </c>
      <c r="C1516" s="10" t="s">
        <v>77</v>
      </c>
      <c r="D1516" s="298">
        <v>8991765</v>
      </c>
      <c r="E1516" s="263" t="s">
        <v>97</v>
      </c>
      <c r="F1516">
        <v>40</v>
      </c>
      <c r="G1516" s="10" t="str">
        <f>+CONCATENATE($G$7," RF ",G1515," ",H1515)</f>
        <v>"04-2026" RF T102 8580</v>
      </c>
      <c r="I1516" s="10">
        <f>+H1515</f>
        <v>8580</v>
      </c>
      <c r="J1516" s="350"/>
      <c r="K1516" s="335"/>
      <c r="N1516" s="336"/>
    </row>
    <row r="1517" spans="1:21" x14ac:dyDescent="0.35">
      <c r="B1517" s="263">
        <v>1149120011</v>
      </c>
      <c r="C1517" s="10" t="s">
        <v>1032</v>
      </c>
      <c r="D1517" s="298">
        <f>+D1519</f>
        <v>1708435.35</v>
      </c>
      <c r="E1517" s="263" t="s">
        <v>98</v>
      </c>
      <c r="F1517">
        <v>40</v>
      </c>
      <c r="G1517" s="318" t="str">
        <f>+G1516</f>
        <v>"04-2026" RF T102 8580</v>
      </c>
      <c r="I1517" s="10">
        <f>+I1516</f>
        <v>8580</v>
      </c>
      <c r="J1517" s="350"/>
      <c r="K1517" s="335"/>
      <c r="N1517" s="336"/>
    </row>
    <row r="1518" spans="1:21" x14ac:dyDescent="0.35">
      <c r="B1518" s="263">
        <v>1149120011</v>
      </c>
      <c r="C1518" s="251" t="s">
        <v>1032</v>
      </c>
      <c r="D1518" s="265">
        <f>-D1517</f>
        <v>-1708435.35</v>
      </c>
      <c r="E1518" s="263" t="s">
        <v>97</v>
      </c>
      <c r="F1518">
        <v>50</v>
      </c>
      <c r="G1518" s="318" t="str">
        <f>+G1517</f>
        <v>"04-2026" RF T102 8580</v>
      </c>
      <c r="H1518" s="240"/>
      <c r="I1518" s="10">
        <f>+I1517</f>
        <v>8580</v>
      </c>
      <c r="J1518" s="350"/>
      <c r="K1518" s="335"/>
      <c r="N1518" s="336"/>
    </row>
    <row r="1519" spans="1:21" x14ac:dyDescent="0.35">
      <c r="B1519" s="4">
        <v>1149120011</v>
      </c>
      <c r="C1519" s="10" t="s">
        <v>1032</v>
      </c>
      <c r="D1519" s="299">
        <f>+D1516*0.19</f>
        <v>1708435.35</v>
      </c>
      <c r="E1519" t="s">
        <v>97</v>
      </c>
      <c r="F1519">
        <v>40</v>
      </c>
      <c r="G1519" s="318" t="str">
        <f>+G1518</f>
        <v>"04-2026" RF T102 8580</v>
      </c>
      <c r="I1519" s="10">
        <f>+I1518</f>
        <v>8580</v>
      </c>
      <c r="J1519" s="350"/>
      <c r="K1519" s="335"/>
      <c r="N1519" s="336"/>
    </row>
    <row r="1520" spans="1:21" x14ac:dyDescent="0.35">
      <c r="C1520" s="251" t="s">
        <v>76</v>
      </c>
      <c r="D1520" s="332">
        <f>SUM(D1516:D1519)</f>
        <v>10700200.35</v>
      </c>
      <c r="E1520"/>
      <c r="G1520" s="318" t="str">
        <f>+G1519</f>
        <v>"04-2026" RF T102 8580</v>
      </c>
      <c r="I1520" s="10">
        <f>+I1519</f>
        <v>8580</v>
      </c>
      <c r="J1520" s="350"/>
      <c r="K1520" s="335"/>
      <c r="N1520" s="336"/>
    </row>
    <row r="1521" spans="1:21" x14ac:dyDescent="0.35">
      <c r="A1521" s="130" t="s">
        <v>853</v>
      </c>
      <c r="B1521" s="262">
        <v>205547</v>
      </c>
      <c r="C1521" s="276" t="s">
        <v>46</v>
      </c>
      <c r="D1521" s="265"/>
      <c r="E1521" s="8"/>
      <c r="F1521" s="8"/>
      <c r="G1521" s="400" t="s">
        <v>379</v>
      </c>
      <c r="H1521" s="401">
        <v>8584</v>
      </c>
      <c r="I1521" s="10" t="s">
        <v>865</v>
      </c>
      <c r="J1521" s="350">
        <f>+VLOOKUP(H1521,contratos!A:R,5,0)</f>
        <v>42436</v>
      </c>
      <c r="K1521" s="266" t="str">
        <f>+VLOOKUP(H1521,contratos!A:R,12,0)</f>
        <v>CESADO</v>
      </c>
      <c r="L1521" s="341" t="str">
        <f>+VLOOKUP(H1521,contratos!A:R,13,0)</f>
        <v>REEMPLAZO 5-135</v>
      </c>
      <c r="M1521" s="341">
        <f>+VLOOKUP(H1521,contratos!A:R,15,0)</f>
        <v>0</v>
      </c>
      <c r="N1521" s="336">
        <f>+VLOOKUP(H1521,contratos!A:R,16,0)</f>
        <v>0</v>
      </c>
      <c r="O1521" s="341">
        <f>+VLOOKUP(B1521,PRORRATEO!A:M,8,0)</f>
        <v>22377460</v>
      </c>
      <c r="P1521" s="341">
        <f>+VLOOKUP(B1521,PRORRATEO!A:M,9,0)</f>
        <v>4251717.4000000004</v>
      </c>
      <c r="Q1521" s="341">
        <f>+VLOOKUP(B1521,PRORRATEO!A:M,10,0)</f>
        <v>4251717.4000000004</v>
      </c>
      <c r="R1521" s="341">
        <f>+VLOOKUP(B1521,PRORRATEO!A:M,11,0)</f>
        <v>0</v>
      </c>
      <c r="S1521" s="339">
        <f>+VLOOKUP(B1521,PRORRATEO!A:M,12,0)</f>
        <v>1</v>
      </c>
      <c r="T1521" s="339">
        <f>+VLOOKUP(B1521,PRORRATEO!A:M,13,0)</f>
        <v>0</v>
      </c>
      <c r="U1521" s="260" t="s">
        <v>813</v>
      </c>
    </row>
    <row r="1522" spans="1:21" x14ac:dyDescent="0.35">
      <c r="B1522" s="263">
        <v>1245150017</v>
      </c>
      <c r="C1522" s="10" t="s">
        <v>77</v>
      </c>
      <c r="D1522" s="268">
        <v>10606203</v>
      </c>
      <c r="E1522" s="263" t="s">
        <v>97</v>
      </c>
      <c r="F1522">
        <v>40</v>
      </c>
      <c r="G1522" s="316" t="str">
        <f>+CONCATENATE($G$7," RF ",G1521," ",H1521)</f>
        <v>"04-2026" RF T106 8584</v>
      </c>
      <c r="H1522" s="252"/>
      <c r="I1522" s="10">
        <f>+H1521</f>
        <v>8584</v>
      </c>
      <c r="J1522" s="350"/>
      <c r="K1522" s="335"/>
      <c r="N1522" s="336"/>
    </row>
    <row r="1523" spans="1:21" x14ac:dyDescent="0.35">
      <c r="B1523" s="263">
        <v>1149120011</v>
      </c>
      <c r="C1523" s="10" t="s">
        <v>1032</v>
      </c>
      <c r="D1523" s="268">
        <f>-D1524</f>
        <v>2015178.57</v>
      </c>
      <c r="E1523" s="263" t="s">
        <v>98</v>
      </c>
      <c r="F1523">
        <v>40</v>
      </c>
      <c r="G1523" s="318" t="str">
        <f>+G1522</f>
        <v>"04-2026" RF T106 8584</v>
      </c>
      <c r="H1523" s="252"/>
      <c r="I1523" s="10">
        <f>+I1522</f>
        <v>8584</v>
      </c>
      <c r="J1523" s="350"/>
      <c r="K1523" s="335"/>
      <c r="N1523" s="336"/>
    </row>
    <row r="1524" spans="1:21" x14ac:dyDescent="0.35">
      <c r="B1524" s="263">
        <v>1149120011</v>
      </c>
      <c r="C1524" s="10" t="s">
        <v>1032</v>
      </c>
      <c r="D1524" s="268">
        <f>-D1525*S1521</f>
        <v>-2015178.57</v>
      </c>
      <c r="E1524" s="263" t="s">
        <v>97</v>
      </c>
      <c r="F1524">
        <v>50</v>
      </c>
      <c r="G1524" s="318" t="str">
        <f>+G1523</f>
        <v>"04-2026" RF T106 8584</v>
      </c>
      <c r="H1524" s="252"/>
      <c r="I1524" s="10">
        <f>+I1523</f>
        <v>8584</v>
      </c>
      <c r="J1524" s="350"/>
      <c r="K1524" s="335"/>
      <c r="N1524" s="336"/>
    </row>
    <row r="1525" spans="1:21" x14ac:dyDescent="0.35">
      <c r="B1525" s="4">
        <v>1149120011</v>
      </c>
      <c r="C1525" s="10" t="s">
        <v>1032</v>
      </c>
      <c r="D1525" s="298">
        <f>+D1522*0.19</f>
        <v>2015178.57</v>
      </c>
      <c r="E1525" t="s">
        <v>80</v>
      </c>
      <c r="F1525">
        <v>40</v>
      </c>
      <c r="G1525" s="318" t="str">
        <f>+G1524</f>
        <v>"04-2026" RF T106 8584</v>
      </c>
      <c r="H1525" s="252"/>
      <c r="I1525" s="10">
        <f>+I1524</f>
        <v>8584</v>
      </c>
      <c r="J1525" s="350"/>
      <c r="K1525" s="335"/>
      <c r="N1525" s="336"/>
    </row>
    <row r="1526" spans="1:21" x14ac:dyDescent="0.35">
      <c r="C1526" s="251" t="s">
        <v>76</v>
      </c>
      <c r="D1526" s="332">
        <f>SUM(D1522:D1525)</f>
        <v>12621381.57</v>
      </c>
      <c r="E1526"/>
      <c r="G1526" s="10" t="str">
        <f>+G1525</f>
        <v>"04-2026" RF T106 8584</v>
      </c>
      <c r="H1526" s="252"/>
      <c r="I1526" s="10">
        <f>+I1525</f>
        <v>8584</v>
      </c>
      <c r="J1526" s="350"/>
      <c r="K1526" s="335"/>
      <c r="N1526" s="336"/>
    </row>
    <row r="1527" spans="1:21" x14ac:dyDescent="0.35">
      <c r="A1527" s="130" t="s">
        <v>853</v>
      </c>
      <c r="B1527" s="262">
        <v>205547</v>
      </c>
      <c r="C1527" s="276" t="s">
        <v>46</v>
      </c>
      <c r="E1527"/>
      <c r="G1527" s="400" t="s">
        <v>379</v>
      </c>
      <c r="H1527" s="401">
        <v>8584</v>
      </c>
      <c r="I1527" s="10" t="s">
        <v>865</v>
      </c>
      <c r="J1527" s="350">
        <f>+VLOOKUP(H1527,contratos!A:R,5,0)</f>
        <v>42436</v>
      </c>
      <c r="K1527" s="266" t="str">
        <f>+VLOOKUP(H1527,contratos!A:R,12,0)</f>
        <v>CESADO</v>
      </c>
      <c r="L1527" s="341" t="str">
        <f>+VLOOKUP(H1527,contratos!A:R,13,0)</f>
        <v>REEMPLAZO 5-135</v>
      </c>
      <c r="M1527" s="341">
        <f>+VLOOKUP(H1527,contratos!A:R,15,0)</f>
        <v>0</v>
      </c>
      <c r="N1527" s="336">
        <f>+VLOOKUP(H1527,contratos!A:R,16,0)</f>
        <v>0</v>
      </c>
      <c r="O1527" s="341">
        <f>+VLOOKUP(B1527,PRORRATEO!A:M,8,0)</f>
        <v>22377460</v>
      </c>
      <c r="P1527" s="341">
        <f>+VLOOKUP(B1527,PRORRATEO!A:M,9,0)</f>
        <v>4251717.4000000004</v>
      </c>
      <c r="Q1527" s="341">
        <f>+VLOOKUP(B1527,PRORRATEO!A:M,10,0)</f>
        <v>4251717.4000000004</v>
      </c>
      <c r="R1527" s="341">
        <f>+VLOOKUP(B1527,PRORRATEO!A:M,11,0)</f>
        <v>0</v>
      </c>
      <c r="S1527" s="339">
        <f>+VLOOKUP(B1527,PRORRATEO!A:M,12,0)</f>
        <v>1</v>
      </c>
      <c r="T1527" s="339">
        <f>+VLOOKUP(B1527,PRORRATEO!A:M,13,0)</f>
        <v>0</v>
      </c>
      <c r="U1527" t="s">
        <v>813</v>
      </c>
    </row>
    <row r="1528" spans="1:21" x14ac:dyDescent="0.35">
      <c r="B1528" s="263">
        <v>1245150017</v>
      </c>
      <c r="C1528" s="10" t="s">
        <v>77</v>
      </c>
      <c r="D1528" s="268">
        <f>+O1527</f>
        <v>22377460</v>
      </c>
      <c r="E1528" s="263" t="s">
        <v>97</v>
      </c>
      <c r="F1528">
        <v>40</v>
      </c>
      <c r="G1528" s="10" t="str">
        <f>+CONCATENATE($G$7," RF ",G1527," ",H1527)</f>
        <v>"04-2026" RF T106 8584</v>
      </c>
      <c r="H1528" s="252"/>
      <c r="I1528" s="10">
        <f>+H1527</f>
        <v>8584</v>
      </c>
      <c r="J1528" s="350"/>
      <c r="K1528" s="335"/>
      <c r="N1528" s="336"/>
    </row>
    <row r="1529" spans="1:21" x14ac:dyDescent="0.35">
      <c r="B1529" s="263">
        <v>1149120011</v>
      </c>
      <c r="C1529" s="10" t="s">
        <v>1032</v>
      </c>
      <c r="D1529" s="268">
        <f>-Q1527</f>
        <v>-4251717.4000000004</v>
      </c>
      <c r="E1529" s="263" t="s">
        <v>97</v>
      </c>
      <c r="F1529">
        <v>50</v>
      </c>
      <c r="G1529" s="318" t="str">
        <f>+G1528</f>
        <v>"04-2026" RF T106 8584</v>
      </c>
      <c r="H1529" s="252"/>
      <c r="I1529" s="10">
        <f>+I1528</f>
        <v>8584</v>
      </c>
      <c r="J1529" s="350"/>
      <c r="K1529" s="335"/>
      <c r="N1529" s="336"/>
    </row>
    <row r="1530" spans="1:21" x14ac:dyDescent="0.35">
      <c r="B1530" s="263">
        <v>1149120011</v>
      </c>
      <c r="C1530" s="10" t="s">
        <v>1032</v>
      </c>
      <c r="D1530" s="268">
        <f>-D1529</f>
        <v>4251717.4000000004</v>
      </c>
      <c r="E1530" s="263" t="s">
        <v>98</v>
      </c>
      <c r="F1530">
        <v>40</v>
      </c>
      <c r="G1530" s="318" t="str">
        <f>+G1529</f>
        <v>"04-2026" RF T106 8584</v>
      </c>
      <c r="H1530" s="252"/>
      <c r="I1530" s="10">
        <f>+I1529</f>
        <v>8584</v>
      </c>
      <c r="J1530" s="350"/>
      <c r="K1530" s="335"/>
      <c r="N1530" s="336"/>
    </row>
    <row r="1531" spans="1:21" x14ac:dyDescent="0.35">
      <c r="B1531" s="4">
        <v>1149120011</v>
      </c>
      <c r="C1531" s="10" t="s">
        <v>1032</v>
      </c>
      <c r="D1531" s="268">
        <f>+P1527</f>
        <v>4251717.4000000004</v>
      </c>
      <c r="E1531" t="s">
        <v>97</v>
      </c>
      <c r="F1531">
        <v>40</v>
      </c>
      <c r="G1531" s="318" t="str">
        <f>+G1530</f>
        <v>"04-2026" RF T106 8584</v>
      </c>
      <c r="H1531" s="252"/>
      <c r="I1531" s="10">
        <f>+I1530</f>
        <v>8584</v>
      </c>
      <c r="J1531" s="350"/>
      <c r="K1531" s="335"/>
      <c r="N1531" s="336"/>
    </row>
    <row r="1532" spans="1:21" x14ac:dyDescent="0.35">
      <c r="C1532" s="251" t="s">
        <v>76</v>
      </c>
      <c r="D1532" s="332">
        <f>SUM(D1528:D1531)</f>
        <v>26629177.399999999</v>
      </c>
      <c r="E1532"/>
      <c r="G1532" s="318" t="str">
        <f>+G1531</f>
        <v>"04-2026" RF T106 8584</v>
      </c>
      <c r="H1532" s="252"/>
      <c r="J1532" s="350"/>
      <c r="K1532" s="335"/>
      <c r="N1532" s="336"/>
    </row>
    <row r="1533" spans="1:21" x14ac:dyDescent="0.35">
      <c r="A1533" s="130" t="s">
        <v>854</v>
      </c>
      <c r="B1533" s="262">
        <v>230440</v>
      </c>
      <c r="C1533" s="276" t="s">
        <v>46</v>
      </c>
      <c r="E1533"/>
      <c r="G1533" s="346" t="s">
        <v>303</v>
      </c>
      <c r="H1533" s="6">
        <v>9596</v>
      </c>
      <c r="I1533" s="10" t="s">
        <v>865</v>
      </c>
      <c r="J1533" s="350">
        <f>+VLOOKUP(H1533,contratos!A:R,5,0)</f>
        <v>43466</v>
      </c>
      <c r="K1533" s="266" t="str">
        <f>+VLOOKUP(H1533,contratos!A:R,12,0)</f>
        <v>VENCIDO</v>
      </c>
      <c r="L1533" s="341" t="str">
        <f>+VLOOKUP(H1533,contratos!A:R,13,0)</f>
        <v>CESADO</v>
      </c>
      <c r="M1533" s="341">
        <f>+VLOOKUP(H1533,contratos!A:R,15,0)</f>
        <v>0</v>
      </c>
      <c r="N1533" s="336">
        <f>+VLOOKUP(H1533,contratos!A:R,16,0)</f>
        <v>0</v>
      </c>
      <c r="O1533" s="341">
        <f>+VLOOKUP(H1533,PRORRATEO!F:M,3,0)</f>
        <v>12509050</v>
      </c>
      <c r="P1533" s="341">
        <f>+VLOOKUP(H1533,PRORRATEO!F:M,4,0)</f>
        <v>2376719.5</v>
      </c>
      <c r="Q1533" s="341">
        <f>+VLOOKUP(H1533,PRORRATEO!F:M,5,0)</f>
        <v>2376719.5</v>
      </c>
      <c r="R1533" s="341">
        <f>+VLOOKUP(H1533,PRORRATEO!F:M,6,0)</f>
        <v>0</v>
      </c>
      <c r="S1533" s="339">
        <f>+VLOOKUP(H1533,PRORRATEO!F:M,7,0)</f>
        <v>1</v>
      </c>
      <c r="T1533" s="339">
        <f>+VLOOKUP(H1533,PRORRATEO!F:M,8,0)</f>
        <v>0</v>
      </c>
      <c r="U1533" t="s">
        <v>636</v>
      </c>
    </row>
    <row r="1534" spans="1:21" x14ac:dyDescent="0.35">
      <c r="B1534" s="263">
        <v>1537210004</v>
      </c>
      <c r="C1534" s="10" t="s">
        <v>77</v>
      </c>
      <c r="D1534" s="268">
        <v>3744422</v>
      </c>
      <c r="E1534" s="263" t="s">
        <v>97</v>
      </c>
      <c r="F1534">
        <v>40</v>
      </c>
      <c r="G1534" s="10" t="str">
        <f>+CONCATENATE($G$7," GC ",G1533," ",H1533)</f>
        <v>"04-2026" GC R005 9596</v>
      </c>
      <c r="H1534" s="252"/>
      <c r="I1534" s="10">
        <f>+H1533</f>
        <v>9596</v>
      </c>
      <c r="J1534" s="350"/>
      <c r="K1534" s="335"/>
      <c r="N1534" s="336"/>
    </row>
    <row r="1535" spans="1:21" x14ac:dyDescent="0.35">
      <c r="B1535" s="4">
        <v>1149120011</v>
      </c>
      <c r="C1535" s="10" t="s">
        <v>1032</v>
      </c>
      <c r="D1535" s="268">
        <f>+D1534*0.19</f>
        <v>711440.18</v>
      </c>
      <c r="E1535" t="s">
        <v>97</v>
      </c>
      <c r="F1535">
        <v>40</v>
      </c>
      <c r="G1535" s="318" t="str">
        <f>+G1534</f>
        <v>"04-2026" GC R005 9596</v>
      </c>
      <c r="H1535" s="252"/>
      <c r="I1535" s="10">
        <f>+I1534</f>
        <v>9596</v>
      </c>
      <c r="J1535" s="350"/>
      <c r="K1535" s="335"/>
      <c r="N1535" s="336"/>
    </row>
    <row r="1536" spans="1:21" x14ac:dyDescent="0.35">
      <c r="C1536" s="251" t="s">
        <v>76</v>
      </c>
      <c r="D1536" s="332">
        <f>SUM(D1534:D1535)</f>
        <v>4455862.18</v>
      </c>
      <c r="E1536"/>
      <c r="G1536" s="318" t="str">
        <f>+G1535</f>
        <v>"04-2026" GC R005 9596</v>
      </c>
      <c r="H1536" s="252"/>
      <c r="J1536" s="350"/>
      <c r="K1536" s="335"/>
      <c r="N1536" s="336"/>
    </row>
    <row r="1537" spans="1:21" x14ac:dyDescent="0.35">
      <c r="A1537" s="130" t="s">
        <v>854</v>
      </c>
      <c r="B1537" s="262">
        <v>205547</v>
      </c>
      <c r="C1537" s="276" t="s">
        <v>46</v>
      </c>
      <c r="E1537"/>
      <c r="G1537" s="346" t="s">
        <v>364</v>
      </c>
      <c r="H1537" s="6">
        <v>8580</v>
      </c>
      <c r="I1537" s="10" t="s">
        <v>865</v>
      </c>
      <c r="J1537" s="350">
        <f>+VLOOKUP(H1537,contratos!A:R,5,0)</f>
        <v>42046</v>
      </c>
      <c r="K1537" s="266" t="str">
        <f>+VLOOKUP(H1537,contratos!A:R,12,0)</f>
        <v>CESADO</v>
      </c>
      <c r="L1537" s="341" t="str">
        <f>+VLOOKUP(H1537,contratos!A:R,13,0)</f>
        <v>REEMPLAZO 5-133</v>
      </c>
      <c r="M1537" s="341">
        <f>+VLOOKUP(H1537,contratos!A:R,15,0)</f>
        <v>0</v>
      </c>
      <c r="N1537" s="336">
        <f>+VLOOKUP(H1537,contratos!A:R,16,0)</f>
        <v>0</v>
      </c>
      <c r="O1537" s="341">
        <f>+VLOOKUP(H1537,PRORRATEO!F:M,3,0)</f>
        <v>8623865</v>
      </c>
      <c r="P1537" s="341">
        <f>+VLOOKUP(H1537,PRORRATEO!F:M,4,0)</f>
        <v>1638534.35</v>
      </c>
      <c r="Q1537" s="341">
        <f>+VLOOKUP(H1537,PRORRATEO!F:M,5,0)</f>
        <v>135998.35105000003</v>
      </c>
      <c r="R1537" s="341">
        <f>+VLOOKUP(H1537,PRORRATEO!F:M,6,0)</f>
        <v>1502535.9989500002</v>
      </c>
      <c r="S1537" s="339">
        <f>+VLOOKUP(H1537,PRORRATEO!F:M,7,0)</f>
        <v>8.3000000000000004E-2</v>
      </c>
      <c r="T1537" s="339">
        <f>+VLOOKUP(H1537,PRORRATEO!F:M,8,0)</f>
        <v>0.91700000000000004</v>
      </c>
      <c r="U1537" t="s">
        <v>805</v>
      </c>
    </row>
    <row r="1538" spans="1:21" x14ac:dyDescent="0.35">
      <c r="B1538" s="263">
        <v>1537210002</v>
      </c>
      <c r="C1538" s="10" t="s">
        <v>1015</v>
      </c>
      <c r="D1538" s="268">
        <v>8362215</v>
      </c>
      <c r="E1538" s="263" t="s">
        <v>97</v>
      </c>
      <c r="F1538">
        <v>40</v>
      </c>
      <c r="G1538" s="10" t="str">
        <f>+CONCATENATE($G$7," GC ",G1537," ",H1537)</f>
        <v>"04-2026" GC T102 8580</v>
      </c>
      <c r="H1538" s="252"/>
      <c r="I1538" s="10">
        <f>+H1537</f>
        <v>8580</v>
      </c>
      <c r="J1538" s="375">
        <f>+D1538*0.19</f>
        <v>1588820.85</v>
      </c>
      <c r="K1538" s="335"/>
      <c r="N1538" s="336"/>
    </row>
    <row r="1539" spans="1:21" x14ac:dyDescent="0.35">
      <c r="B1539" s="263">
        <v>1537210002</v>
      </c>
      <c r="C1539" s="10" t="s">
        <v>1015</v>
      </c>
      <c r="E1539" s="263" t="s">
        <v>97</v>
      </c>
      <c r="F1539">
        <v>40</v>
      </c>
      <c r="G1539" s="318" t="str">
        <f>+G1538</f>
        <v>"04-2026" GC T102 8580</v>
      </c>
      <c r="H1539" s="252"/>
      <c r="I1539" s="10">
        <f>+I1538</f>
        <v>8580</v>
      </c>
      <c r="J1539" s="375">
        <f t="shared" ref="J1539:J1540" si="79">+D1539*0.19</f>
        <v>0</v>
      </c>
      <c r="K1539" s="335"/>
      <c r="N1539" s="336"/>
    </row>
    <row r="1540" spans="1:21" x14ac:dyDescent="0.35">
      <c r="B1540" s="263">
        <v>1537210004</v>
      </c>
      <c r="C1540" s="10" t="s">
        <v>1117</v>
      </c>
      <c r="D1540" s="270">
        <v>145103.9</v>
      </c>
      <c r="E1540" s="263" t="s">
        <v>97</v>
      </c>
      <c r="F1540">
        <v>40</v>
      </c>
      <c r="G1540" s="318" t="str">
        <f>+G1538</f>
        <v>"04-2026" GC T102 8580</v>
      </c>
      <c r="H1540" s="252"/>
      <c r="I1540" s="10">
        <f>+I1538</f>
        <v>8580</v>
      </c>
      <c r="J1540" s="443">
        <f t="shared" si="79"/>
        <v>27569.740999999998</v>
      </c>
      <c r="K1540" s="335"/>
      <c r="N1540" s="336"/>
    </row>
    <row r="1541" spans="1:21" x14ac:dyDescent="0.35">
      <c r="B1541" s="263">
        <v>1537210004</v>
      </c>
      <c r="C1541" s="10" t="s">
        <v>1117</v>
      </c>
      <c r="D1541" s="270">
        <v>27569.742999999999</v>
      </c>
      <c r="E1541" s="263" t="s">
        <v>80</v>
      </c>
      <c r="F1541">
        <v>40</v>
      </c>
      <c r="G1541" s="318" t="str">
        <f>+G1539</f>
        <v>"04-2026" GC T102 8580</v>
      </c>
      <c r="H1541" s="252"/>
      <c r="I1541" s="10">
        <f>+I1539</f>
        <v>8580</v>
      </c>
      <c r="J1541" s="375">
        <f>SUBTOTAL(9,J1538:J1540)</f>
        <v>1616390.591</v>
      </c>
      <c r="K1541" s="335"/>
      <c r="N1541" s="336"/>
    </row>
    <row r="1542" spans="1:21" x14ac:dyDescent="0.35">
      <c r="B1542" s="4">
        <v>1149120011</v>
      </c>
      <c r="C1542" s="10" t="s">
        <v>1032</v>
      </c>
      <c r="D1542" s="268">
        <f>+J1541</f>
        <v>1616390.591</v>
      </c>
      <c r="E1542" t="s">
        <v>97</v>
      </c>
      <c r="F1542">
        <v>40</v>
      </c>
      <c r="G1542" s="318" t="str">
        <f>+G1539</f>
        <v>"04-2026" GC T102 8580</v>
      </c>
      <c r="H1542" s="252"/>
      <c r="I1542" s="10">
        <f>+I1539</f>
        <v>8580</v>
      </c>
      <c r="J1542" s="375">
        <f>+D1538+D1539</f>
        <v>8362215</v>
      </c>
      <c r="K1542" s="335"/>
      <c r="N1542" s="336"/>
    </row>
    <row r="1543" spans="1:21" x14ac:dyDescent="0.35">
      <c r="C1543" s="251" t="s">
        <v>76</v>
      </c>
      <c r="D1543" s="332">
        <f>SUBTOTAL(9,D1538:D1542)</f>
        <v>10151279.234000001</v>
      </c>
      <c r="E1543"/>
      <c r="G1543" s="318" t="str">
        <f>+G1542</f>
        <v>"04-2026" GC T102 8580</v>
      </c>
      <c r="H1543" s="252"/>
      <c r="I1543" s="10">
        <f>+I1542</f>
        <v>8580</v>
      </c>
      <c r="J1543" s="375"/>
      <c r="K1543" s="335"/>
      <c r="N1543" s="336"/>
    </row>
    <row r="1544" spans="1:21" x14ac:dyDescent="0.35">
      <c r="A1544" s="130" t="s">
        <v>854</v>
      </c>
      <c r="B1544" s="262">
        <v>204596</v>
      </c>
      <c r="C1544" s="276" t="s">
        <v>1005</v>
      </c>
      <c r="D1544" s="298"/>
      <c r="E1544"/>
      <c r="G1544" s="400" t="s">
        <v>1171</v>
      </c>
      <c r="H1544" s="401">
        <v>6687</v>
      </c>
      <c r="I1544" s="10" t="s">
        <v>865</v>
      </c>
      <c r="J1544" s="350">
        <f>+VLOOKUP(H1544,contratos!A:R,5,0)</f>
        <v>45383</v>
      </c>
      <c r="K1544" s="266" t="str">
        <f>+VLOOKUP(H1544,contratos!A:R,12,0)</f>
        <v>OK</v>
      </c>
      <c r="L1544" s="341" t="str">
        <f>+VLOOKUP(H1544,contratos!A:R,13,0)</f>
        <v>VIGENTE</v>
      </c>
      <c r="M1544" s="341">
        <f>+VLOOKUP(H1544,contratos!A:R,15,0)</f>
        <v>0</v>
      </c>
      <c r="N1544" s="336">
        <f>+VLOOKUP(H1544,contratos!A:R,16,0)</f>
        <v>0</v>
      </c>
      <c r="O1544" s="341">
        <f>+VLOOKUP(H1544,PRORRATEO!F:M,3,0)</f>
        <v>18492205</v>
      </c>
      <c r="P1544" s="341">
        <f>+VLOOKUP(H1544,PRORRATEO!F:M,4,0)</f>
        <v>3513518.95</v>
      </c>
      <c r="Q1544" s="341">
        <f>+VLOOKUP(H1544,PRORRATEO!F:M,5,0)</f>
        <v>337838.36057692312</v>
      </c>
      <c r="R1544" s="341">
        <f>+VLOOKUP(H1544,PRORRATEO!F:M,6,0)</f>
        <v>3175680.5894230772</v>
      </c>
      <c r="S1544" s="339">
        <f>+VLOOKUP(H1544,PRORRATEO!F:M,7,0)</f>
        <v>9.6153846153846159E-2</v>
      </c>
      <c r="T1544" s="339">
        <f>+VLOOKUP(H1544,PRORRATEO!F:M,8,0)</f>
        <v>0.90384615384615385</v>
      </c>
      <c r="U1544" t="s">
        <v>17</v>
      </c>
    </row>
    <row r="1545" spans="1:21" x14ac:dyDescent="0.35">
      <c r="B1545" s="4">
        <v>1537210002</v>
      </c>
      <c r="C1545" s="10" t="s">
        <v>1015</v>
      </c>
      <c r="D1545" s="268">
        <f>+K1548+K1549</f>
        <v>1561014</v>
      </c>
      <c r="E1545" t="s">
        <v>80</v>
      </c>
      <c r="F1545">
        <v>40</v>
      </c>
      <c r="G1545" s="10" t="str">
        <f>+CONCATENATE($G$7," GC ",G1544," ",H1544)</f>
        <v>"04-2026" GC T64 6687</v>
      </c>
      <c r="H1545" s="252"/>
      <c r="I1545" s="10">
        <f>+H1544</f>
        <v>6687</v>
      </c>
      <c r="K1545" s="268">
        <v>523094</v>
      </c>
      <c r="L1545" t="s">
        <v>1764</v>
      </c>
      <c r="N1545" s="336"/>
    </row>
    <row r="1546" spans="1:21" x14ac:dyDescent="0.35">
      <c r="B1546" s="4">
        <v>1537210003</v>
      </c>
      <c r="C1546" s="10" t="s">
        <v>1184</v>
      </c>
      <c r="D1546" s="268">
        <v>523094</v>
      </c>
      <c r="E1546" t="s">
        <v>80</v>
      </c>
      <c r="F1546">
        <v>40</v>
      </c>
      <c r="G1546" s="10" t="str">
        <f>+CONCATENATE($G$7," PUBLICIDAD ",G1544," ",H1544)</f>
        <v>"04-2026" PUBLICIDAD T64 6687</v>
      </c>
      <c r="H1546" s="252"/>
      <c r="I1546" s="10">
        <f>+I1545</f>
        <v>6687</v>
      </c>
      <c r="K1546" s="268"/>
      <c r="L1546" t="s">
        <v>1763</v>
      </c>
      <c r="N1546" s="336"/>
    </row>
    <row r="1547" spans="1:21" x14ac:dyDescent="0.35">
      <c r="B1547" s="4">
        <v>1245150017</v>
      </c>
      <c r="C1547" s="10" t="s">
        <v>1113</v>
      </c>
      <c r="E1547" t="s">
        <v>80</v>
      </c>
      <c r="F1547">
        <v>40</v>
      </c>
      <c r="G1547" s="10" t="str">
        <f>+CONCATENATE($G$7," FUMIGACION ",G1544," ",H1544)</f>
        <v>"04-2026" FUMIGACION T64 6687</v>
      </c>
      <c r="H1547" s="252"/>
      <c r="I1547" s="10">
        <f>+I1546</f>
        <v>6687</v>
      </c>
      <c r="N1547" s="336"/>
    </row>
    <row r="1548" spans="1:21" x14ac:dyDescent="0.35">
      <c r="B1548" s="4">
        <v>1532001604</v>
      </c>
      <c r="C1548" s="10" t="s">
        <v>1014</v>
      </c>
      <c r="D1548" s="268">
        <f>+K1546</f>
        <v>0</v>
      </c>
      <c r="E1548" t="s">
        <v>80</v>
      </c>
      <c r="F1548">
        <v>40</v>
      </c>
      <c r="G1548" s="318" t="str">
        <f>+CONCATENATE($G$7," ACUEDUC ",G1544," ",H1544)</f>
        <v>"04-2026" ACUEDUC T64 6687</v>
      </c>
      <c r="H1548" s="252"/>
      <c r="I1548" s="10">
        <f>+I1545</f>
        <v>6687</v>
      </c>
      <c r="K1548" s="268">
        <v>1493774</v>
      </c>
      <c r="L1548" t="s">
        <v>1291</v>
      </c>
      <c r="N1548" s="336"/>
    </row>
    <row r="1549" spans="1:21" x14ac:dyDescent="0.35">
      <c r="C1549" s="251" t="s">
        <v>76</v>
      </c>
      <c r="D1549" s="332">
        <f>SUBTOTAL(9,D1545:D1548)</f>
        <v>2084108</v>
      </c>
      <c r="E1549"/>
      <c r="G1549" s="318" t="str">
        <f>+CONCATENATE($G$7," GC/PUB/ACUE/FUM ",G1544," ",H1544)</f>
        <v>"04-2026" GC/PUB/ACUE/FUM T64 6687</v>
      </c>
      <c r="H1549" s="252"/>
      <c r="I1549" s="10">
        <f>+I1548</f>
        <v>6687</v>
      </c>
      <c r="J1549" s="350"/>
      <c r="K1549" s="268">
        <v>67240</v>
      </c>
      <c r="L1549" t="s">
        <v>1765</v>
      </c>
      <c r="N1549" s="336"/>
    </row>
    <row r="1550" spans="1:21" x14ac:dyDescent="0.35">
      <c r="A1550" s="130" t="s">
        <v>853</v>
      </c>
      <c r="B1550" s="262">
        <v>437831</v>
      </c>
      <c r="C1550" s="276" t="s">
        <v>1081</v>
      </c>
      <c r="E1550"/>
      <c r="G1550" s="346" t="s">
        <v>394</v>
      </c>
      <c r="H1550" s="6">
        <v>8712</v>
      </c>
      <c r="J1550" s="350">
        <f>+VLOOKUP(H1550,contratos!A:R,5,0)</f>
        <v>42621</v>
      </c>
      <c r="K1550" s="266" t="str">
        <f>+VLOOKUP(H1550,contratos!A:R,12,0)</f>
        <v>OK</v>
      </c>
      <c r="L1550" s="341" t="str">
        <f>+VLOOKUP(H1550,contratos!A:R,13,0)</f>
        <v>VIGENTE</v>
      </c>
      <c r="M1550" s="341">
        <f>+VLOOKUP(H1550,contratos!A:R,15,0)</f>
        <v>0</v>
      </c>
      <c r="N1550" s="336">
        <f>+VLOOKUP(H1550,contratos!A:R,16,0)</f>
        <v>0</v>
      </c>
      <c r="O1550" s="341">
        <f>+VLOOKUP(H1550,PRORRATEO!F:M,3,0)</f>
        <v>1815944</v>
      </c>
      <c r="P1550" s="341">
        <f>+VLOOKUP(H1550,PRORRATEO!F:M,4,0)</f>
        <v>345029.36</v>
      </c>
      <c r="Q1550" s="341">
        <f>+VLOOKUP(H1550,PRORRATEO!F:M,5,0)</f>
        <v>34847.965360000002</v>
      </c>
      <c r="R1550" s="341">
        <f>+VLOOKUP(H1550,PRORRATEO!F:M,6,0)</f>
        <v>310181.39464000001</v>
      </c>
      <c r="S1550" s="339">
        <f>+VLOOKUP(H1550,PRORRATEO!F:M,7,0)</f>
        <v>0.10100000000000001</v>
      </c>
      <c r="T1550" s="339">
        <f>+VLOOKUP(H1550,PRORRATEO!F:M,8,0)</f>
        <v>0.89900000000000002</v>
      </c>
      <c r="U1550" t="s">
        <v>47</v>
      </c>
    </row>
    <row r="1551" spans="1:21" x14ac:dyDescent="0.35">
      <c r="B1551" s="263">
        <v>1245150017</v>
      </c>
      <c r="C1551" s="10" t="s">
        <v>77</v>
      </c>
      <c r="D1551" s="268">
        <v>2087656</v>
      </c>
      <c r="E1551" s="263" t="s">
        <v>97</v>
      </c>
      <c r="F1551">
        <v>40</v>
      </c>
      <c r="G1551" s="318" t="str">
        <f>+G1556</f>
        <v>"04-2026" RF T110 8712</v>
      </c>
      <c r="H1551" s="252"/>
      <c r="I1551" s="10">
        <f>+I1556</f>
        <v>8712</v>
      </c>
      <c r="J1551" s="350"/>
      <c r="K1551" s="449" t="s">
        <v>1304</v>
      </c>
      <c r="N1551" s="336"/>
    </row>
    <row r="1552" spans="1:21" x14ac:dyDescent="0.35">
      <c r="B1552" s="263">
        <v>1149120011</v>
      </c>
      <c r="C1552" s="10" t="s">
        <v>1032</v>
      </c>
      <c r="D1552" s="298">
        <f>+D1554*S1550</f>
        <v>40062.118640000001</v>
      </c>
      <c r="E1552" s="263" t="s">
        <v>98</v>
      </c>
      <c r="F1552">
        <v>40</v>
      </c>
      <c r="G1552" s="318" t="str">
        <f t="shared" ref="G1552:G1554" si="80">+G1551</f>
        <v>"04-2026" RF T110 8712</v>
      </c>
      <c r="H1552" s="252"/>
      <c r="I1552" s="10">
        <f>+I1551</f>
        <v>8712</v>
      </c>
      <c r="J1552" s="350"/>
      <c r="K1552" s="335"/>
      <c r="N1552" s="336"/>
    </row>
    <row r="1553" spans="1:21" x14ac:dyDescent="0.35">
      <c r="B1553" s="263">
        <v>1149120011</v>
      </c>
      <c r="C1553" s="10" t="s">
        <v>1032</v>
      </c>
      <c r="D1553" s="268">
        <f>-D1552</f>
        <v>-40062.118640000001</v>
      </c>
      <c r="E1553" s="263" t="s">
        <v>97</v>
      </c>
      <c r="F1553">
        <v>50</v>
      </c>
      <c r="G1553" s="318" t="str">
        <f t="shared" si="80"/>
        <v>"04-2026" RF T110 8712</v>
      </c>
      <c r="H1553" s="252"/>
      <c r="I1553" s="10">
        <f>+I1552</f>
        <v>8712</v>
      </c>
      <c r="J1553" s="350"/>
      <c r="K1553" s="335"/>
      <c r="N1553" s="336"/>
    </row>
    <row r="1554" spans="1:21" x14ac:dyDescent="0.35">
      <c r="B1554" s="4">
        <v>1149120011</v>
      </c>
      <c r="C1554" s="10" t="s">
        <v>1032</v>
      </c>
      <c r="D1554" s="268">
        <f>+D1551*0.19</f>
        <v>396654.64</v>
      </c>
      <c r="E1554" t="s">
        <v>97</v>
      </c>
      <c r="F1554">
        <v>40</v>
      </c>
      <c r="G1554" s="318" t="str">
        <f t="shared" si="80"/>
        <v>"04-2026" RF T110 8712</v>
      </c>
      <c r="H1554" s="252"/>
      <c r="I1554" s="10">
        <f>+I1553</f>
        <v>8712</v>
      </c>
      <c r="J1554" s="350"/>
      <c r="K1554" s="335"/>
      <c r="N1554" s="336"/>
    </row>
    <row r="1555" spans="1:21" s="529" customFormat="1" x14ac:dyDescent="0.35">
      <c r="A1555" s="539" t="s">
        <v>1755</v>
      </c>
      <c r="B1555" s="530">
        <v>1249100024</v>
      </c>
      <c r="C1555" s="531" t="s">
        <v>981</v>
      </c>
      <c r="D1555" s="532">
        <f>-D1551*K1555</f>
        <v>-20166.838763514981</v>
      </c>
      <c r="F1555" s="529">
        <v>50</v>
      </c>
      <c r="G1555" s="531" t="str">
        <f>+CONCATENATE($G$7," RF ",G1550," ",H1550)</f>
        <v>"04-2026" RF T110 8712</v>
      </c>
      <c r="H1555" s="533"/>
      <c r="I1555" s="531">
        <f>+H1550</f>
        <v>8712</v>
      </c>
      <c r="J1555" s="534">
        <v>1</v>
      </c>
      <c r="K1555" s="535">
        <v>9.6600391843842965E-3</v>
      </c>
      <c r="L1555" s="536"/>
      <c r="M1555" s="536"/>
      <c r="N1555" s="537"/>
      <c r="O1555" s="536"/>
      <c r="P1555" s="536"/>
      <c r="Q1555" s="536"/>
      <c r="R1555" s="536"/>
      <c r="S1555" s="538"/>
      <c r="T1555" s="538"/>
    </row>
    <row r="1556" spans="1:21" x14ac:dyDescent="0.35">
      <c r="B1556" s="4">
        <v>1246125027</v>
      </c>
      <c r="C1556" s="10" t="s">
        <v>962</v>
      </c>
      <c r="D1556" s="268">
        <f>-D1551*K1556</f>
        <v>-73067.70752001548</v>
      </c>
      <c r="E1556"/>
      <c r="F1556">
        <v>50</v>
      </c>
      <c r="G1556" s="318" t="str">
        <f>+G1555</f>
        <v>"04-2026" RF T110 8712</v>
      </c>
      <c r="H1556" s="252"/>
      <c r="I1556" s="10">
        <f>+I1555</f>
        <v>8712</v>
      </c>
      <c r="J1556" s="387" t="s">
        <v>857</v>
      </c>
      <c r="K1556" s="352">
        <v>3.4999879060542291E-2</v>
      </c>
      <c r="N1556" s="336"/>
    </row>
    <row r="1557" spans="1:21" x14ac:dyDescent="0.35">
      <c r="C1557" s="251" t="s">
        <v>76</v>
      </c>
      <c r="D1557" s="332">
        <f>SUBTOTAL(9,D1551:D1556)</f>
        <v>2391076.0937164696</v>
      </c>
      <c r="E1557"/>
      <c r="G1557" s="318" t="str">
        <f>+G1554</f>
        <v>"04-2026" RF T110 8712</v>
      </c>
      <c r="H1557" s="252"/>
      <c r="J1557" s="387"/>
      <c r="K1557" s="335"/>
      <c r="N1557" s="336"/>
    </row>
    <row r="1558" spans="1:21" x14ac:dyDescent="0.35">
      <c r="A1558" s="130" t="s">
        <v>854</v>
      </c>
      <c r="B1558" s="262">
        <v>246135</v>
      </c>
      <c r="C1558" s="276" t="s">
        <v>1082</v>
      </c>
      <c r="E1558"/>
      <c r="G1558" s="346" t="s">
        <v>280</v>
      </c>
      <c r="H1558" s="6">
        <v>8140074</v>
      </c>
      <c r="J1558" s="350">
        <f>+VLOOKUP(H1558,contratos!A:R,5,0)</f>
        <v>45600</v>
      </c>
      <c r="K1558" s="266" t="str">
        <f>+VLOOKUP(H1558,contratos!A:R,12,0)</f>
        <v>REVISAR FECHAS</v>
      </c>
      <c r="L1558" s="341" t="str">
        <f>+VLOOKUP(H1558,contratos!A:R,13,0)</f>
        <v>VIGENTE</v>
      </c>
      <c r="M1558" s="341">
        <f>+VLOOKUP(H1558,contratos!A:R,15,0)</f>
        <v>0</v>
      </c>
      <c r="N1558" s="336">
        <f>+VLOOKUP(H1558,contratos!A:R,16,0)</f>
        <v>0</v>
      </c>
      <c r="O1558" s="341">
        <f>+VLOOKUP(H1558,PRORRATEO!F:M,3,0)</f>
        <v>70594906</v>
      </c>
      <c r="P1558" s="341">
        <f>+VLOOKUP(H1558,PRORRATEO!F:M,4,0)</f>
        <v>13413032.140000001</v>
      </c>
      <c r="Q1558" s="341">
        <f>+VLOOKUP(H1558,PRORRATEO!F:M,5,0)</f>
        <v>0</v>
      </c>
      <c r="R1558" s="341">
        <f>+VLOOKUP(H1558,PRORRATEO!F:M,6,0)</f>
        <v>13413032.140000001</v>
      </c>
      <c r="S1558" s="339">
        <f>+VLOOKUP(H1558,PRORRATEO!F:M,7,0)</f>
        <v>0</v>
      </c>
      <c r="T1558" s="339">
        <f>+VLOOKUP(H1558,PRORRATEO!F:M,8,0)</f>
        <v>1</v>
      </c>
      <c r="U1558" t="s">
        <v>626</v>
      </c>
    </row>
    <row r="1559" spans="1:21" x14ac:dyDescent="0.35">
      <c r="B1559" s="263">
        <v>1535100000</v>
      </c>
      <c r="C1559" s="10" t="s">
        <v>1083</v>
      </c>
      <c r="D1559" s="268">
        <v>90435582</v>
      </c>
      <c r="E1559" s="263" t="s">
        <v>97</v>
      </c>
      <c r="F1559">
        <v>40</v>
      </c>
      <c r="G1559" s="10" t="str">
        <f>+CONCATENATE($G$7," RF ",G1558," ",H1558)</f>
        <v>"04-2026" RF OFICINA 8140074</v>
      </c>
      <c r="H1559" s="252"/>
      <c r="I1559" s="10">
        <f>+H1558</f>
        <v>8140074</v>
      </c>
      <c r="J1559" s="350"/>
      <c r="K1559" s="335"/>
      <c r="N1559" s="336"/>
    </row>
    <row r="1560" spans="1:21" x14ac:dyDescent="0.35">
      <c r="B1560" s="4">
        <v>1149120011</v>
      </c>
      <c r="C1560" s="10" t="s">
        <v>1032</v>
      </c>
      <c r="D1560" s="268">
        <f>+D1559*0.19</f>
        <v>17182760.580000002</v>
      </c>
      <c r="E1560" t="s">
        <v>97</v>
      </c>
      <c r="F1560">
        <v>40</v>
      </c>
      <c r="G1560" s="10" t="str">
        <f>+G1559</f>
        <v>"04-2026" RF OFICINA 8140074</v>
      </c>
      <c r="H1560" s="252"/>
      <c r="I1560" s="10">
        <f>+I1559</f>
        <v>8140074</v>
      </c>
      <c r="J1560" s="350"/>
      <c r="K1560" s="335"/>
      <c r="N1560" s="336"/>
    </row>
    <row r="1561" spans="1:21" x14ac:dyDescent="0.35">
      <c r="C1561" s="251" t="s">
        <v>76</v>
      </c>
      <c r="D1561" s="332">
        <f>SUBTOTAL(9,D1559:D1560)</f>
        <v>107618342.58</v>
      </c>
      <c r="E1561"/>
      <c r="G1561" s="10" t="str">
        <f>+G1560</f>
        <v>"04-2026" RF OFICINA 8140074</v>
      </c>
      <c r="H1561" s="252"/>
      <c r="I1561" s="10">
        <f>+I1560</f>
        <v>8140074</v>
      </c>
      <c r="J1561" s="350"/>
      <c r="K1561" s="335"/>
      <c r="N1561" s="336"/>
    </row>
    <row r="1562" spans="1:21" x14ac:dyDescent="0.35">
      <c r="A1562" s="130" t="s">
        <v>854</v>
      </c>
      <c r="B1562" s="262">
        <v>230440</v>
      </c>
      <c r="C1562" s="276" t="s">
        <v>46</v>
      </c>
      <c r="E1562"/>
      <c r="G1562" s="346" t="s">
        <v>303</v>
      </c>
      <c r="H1562" s="6">
        <v>9596</v>
      </c>
      <c r="J1562" s="350">
        <f>+VLOOKUP(H1562,contratos!A:R,5,0)</f>
        <v>43466</v>
      </c>
      <c r="K1562" s="266" t="str">
        <f>+VLOOKUP(H1562,contratos!A:R,12,0)</f>
        <v>VENCIDO</v>
      </c>
      <c r="L1562" s="341" t="str">
        <f>+VLOOKUP(H1562,contratos!A:R,13,0)</f>
        <v>CESADO</v>
      </c>
      <c r="M1562" s="341">
        <f>+VLOOKUP(H1562,contratos!A:R,15,0)</f>
        <v>0</v>
      </c>
      <c r="N1562" s="336">
        <f>+VLOOKUP(H1562,contratos!A:R,16,0)</f>
        <v>0</v>
      </c>
      <c r="O1562" s="341">
        <f>+VLOOKUP(H1562,PRORRATEO!F:M,3,0)</f>
        <v>12509050</v>
      </c>
      <c r="P1562" s="341">
        <f>+VLOOKUP(H1562,PRORRATEO!F:M,4,0)</f>
        <v>2376719.5</v>
      </c>
      <c r="Q1562" s="341">
        <f>+VLOOKUP(H1562,PRORRATEO!F:M,5,0)</f>
        <v>2376719.5</v>
      </c>
      <c r="R1562" s="341">
        <f>+VLOOKUP(H1562,PRORRATEO!F:M,6,0)</f>
        <v>0</v>
      </c>
      <c r="S1562" s="339">
        <f>+VLOOKUP(H1562,PRORRATEO!F:M,7,0)</f>
        <v>1</v>
      </c>
      <c r="T1562" s="339">
        <f>+VLOOKUP(H1562,PRORRATEO!F:M,8,0)</f>
        <v>0</v>
      </c>
      <c r="U1562" t="s">
        <v>636</v>
      </c>
    </row>
    <row r="1563" spans="1:21" x14ac:dyDescent="0.35">
      <c r="B1563" s="263">
        <v>1245150017</v>
      </c>
      <c r="C1563" s="10" t="s">
        <v>77</v>
      </c>
      <c r="D1563" s="298">
        <v>11957420</v>
      </c>
      <c r="E1563" s="263" t="s">
        <v>98</v>
      </c>
      <c r="F1563">
        <v>40</v>
      </c>
      <c r="G1563" s="10" t="str">
        <f>+CONCATENATE($G$7," RF ",G1562," ",H1562)</f>
        <v>"04-2026" RF R005 9596</v>
      </c>
      <c r="H1563" s="252"/>
      <c r="I1563" s="10">
        <f>+H1562</f>
        <v>9596</v>
      </c>
      <c r="J1563" s="350"/>
      <c r="K1563" s="335"/>
      <c r="N1563" s="336"/>
    </row>
    <row r="1564" spans="1:21" x14ac:dyDescent="0.35">
      <c r="B1564" s="4">
        <v>1149120011</v>
      </c>
      <c r="C1564" s="10" t="s">
        <v>1032</v>
      </c>
      <c r="D1564" s="268">
        <v>3744422</v>
      </c>
      <c r="E1564" t="s">
        <v>98</v>
      </c>
      <c r="F1564">
        <v>40</v>
      </c>
      <c r="G1564" s="10" t="str">
        <f>+G1563</f>
        <v>"04-2026" RF R005 9596</v>
      </c>
      <c r="H1564" s="252"/>
      <c r="I1564" s="10">
        <f>+I1563</f>
        <v>9596</v>
      </c>
      <c r="J1564" s="350"/>
      <c r="K1564" s="335"/>
      <c r="N1564" s="336"/>
    </row>
    <row r="1565" spans="1:21" x14ac:dyDescent="0.35">
      <c r="C1565" s="251" t="s">
        <v>76</v>
      </c>
      <c r="D1565" s="332">
        <v>14229330</v>
      </c>
      <c r="E1565"/>
      <c r="G1565" s="10" t="str">
        <f>+G1564</f>
        <v>"04-2026" RF R005 9596</v>
      </c>
      <c r="H1565" s="252"/>
      <c r="I1565" s="10">
        <f>+I1564</f>
        <v>9596</v>
      </c>
      <c r="J1565" s="350"/>
      <c r="K1565" s="335"/>
      <c r="N1565" s="336"/>
    </row>
    <row r="1566" spans="1:21" x14ac:dyDescent="0.35">
      <c r="A1566" s="130" t="s">
        <v>854</v>
      </c>
      <c r="B1566" s="262">
        <v>230440</v>
      </c>
      <c r="C1566" s="276" t="s">
        <v>46</v>
      </c>
      <c r="D1566" s="298"/>
      <c r="E1566"/>
      <c r="G1566" s="346" t="s">
        <v>303</v>
      </c>
      <c r="H1566" s="6">
        <v>9596</v>
      </c>
      <c r="J1566" s="350">
        <f>+VLOOKUP(H1566,contratos!A:R,5,0)</f>
        <v>43466</v>
      </c>
      <c r="K1566" s="266" t="str">
        <f>+VLOOKUP(H1566,contratos!A:R,12,0)</f>
        <v>VENCIDO</v>
      </c>
      <c r="L1566" s="341" t="str">
        <f>+VLOOKUP(H1566,contratos!A:R,13,0)</f>
        <v>CESADO</v>
      </c>
      <c r="M1566" s="341">
        <f>+VLOOKUP(H1566,contratos!A:R,15,0)</f>
        <v>0</v>
      </c>
      <c r="N1566" s="336">
        <f>+VLOOKUP(H1566,contratos!A:R,16,0)</f>
        <v>0</v>
      </c>
      <c r="O1566" s="341">
        <f>+VLOOKUP(H1566,PRORRATEO!F:M,3,0)</f>
        <v>12509050</v>
      </c>
      <c r="P1566" s="341">
        <f>+VLOOKUP(H1566,PRORRATEO!F:M,4,0)</f>
        <v>2376719.5</v>
      </c>
      <c r="Q1566" s="341">
        <f>+VLOOKUP(H1566,PRORRATEO!F:M,5,0)</f>
        <v>2376719.5</v>
      </c>
      <c r="R1566" s="341">
        <f>+VLOOKUP(H1566,PRORRATEO!F:M,6,0)</f>
        <v>0</v>
      </c>
      <c r="S1566" s="339">
        <f>+VLOOKUP(H1566,PRORRATEO!F:M,7,0)</f>
        <v>1</v>
      </c>
      <c r="T1566" s="339">
        <f>+VLOOKUP(H1566,PRORRATEO!F:M,8,0)</f>
        <v>0</v>
      </c>
      <c r="U1566" t="s">
        <v>636</v>
      </c>
    </row>
    <row r="1567" spans="1:21" x14ac:dyDescent="0.35">
      <c r="B1567" s="4">
        <v>1537210004</v>
      </c>
      <c r="C1567" s="10" t="s">
        <v>1018</v>
      </c>
      <c r="D1567" s="268">
        <v>4387714</v>
      </c>
      <c r="E1567" t="s">
        <v>98</v>
      </c>
      <c r="F1567">
        <v>40</v>
      </c>
      <c r="G1567" s="10" t="str">
        <f>+CONCATENATE($G$7," RV ",G1566," ",H1566)</f>
        <v>"04-2026" RV R005 9596</v>
      </c>
      <c r="H1567" s="252"/>
      <c r="I1567" s="10">
        <f>+H1566</f>
        <v>9596</v>
      </c>
      <c r="J1567" s="350"/>
      <c r="K1567" s="335"/>
      <c r="N1567" s="336"/>
    </row>
    <row r="1568" spans="1:21" x14ac:dyDescent="0.35">
      <c r="B1568" s="4">
        <v>1149120011</v>
      </c>
      <c r="C1568" s="10" t="s">
        <v>1032</v>
      </c>
      <c r="D1568" s="268">
        <f>+D1567*0.19</f>
        <v>833665.66</v>
      </c>
      <c r="E1568" t="s">
        <v>98</v>
      </c>
      <c r="F1568">
        <v>40</v>
      </c>
      <c r="G1568" s="10" t="str">
        <f>+G1567</f>
        <v>"04-2026" RV R005 9596</v>
      </c>
      <c r="H1568" s="252"/>
      <c r="I1568" s="10">
        <f>+I1567</f>
        <v>9596</v>
      </c>
      <c r="J1568" s="350"/>
      <c r="K1568" s="335"/>
      <c r="N1568" s="336"/>
    </row>
    <row r="1569" spans="1:21" x14ac:dyDescent="0.35">
      <c r="B1569" s="262"/>
      <c r="C1569" s="251" t="s">
        <v>76</v>
      </c>
      <c r="D1569" s="332">
        <f>+D1567+D1568</f>
        <v>5221379.66</v>
      </c>
      <c r="E1569"/>
      <c r="G1569" s="10" t="str">
        <f>+G1568</f>
        <v>"04-2026" RV R005 9596</v>
      </c>
      <c r="H1569" s="252"/>
      <c r="J1569" s="350"/>
      <c r="K1569" s="335"/>
      <c r="N1569" s="336"/>
    </row>
    <row r="1570" spans="1:21" x14ac:dyDescent="0.35">
      <c r="A1570" s="130" t="s">
        <v>853</v>
      </c>
      <c r="B1570" s="262">
        <v>230440</v>
      </c>
      <c r="C1570" s="290" t="s">
        <v>46</v>
      </c>
      <c r="D1570" s="332"/>
      <c r="E1570"/>
      <c r="G1570" s="346" t="s">
        <v>303</v>
      </c>
      <c r="H1570" s="6">
        <v>9596</v>
      </c>
      <c r="J1570" s="350">
        <f>+VLOOKUP(H1570,contratos!A:R,5,0)</f>
        <v>43466</v>
      </c>
      <c r="K1570" s="266" t="str">
        <f>+VLOOKUP(H1570,contratos!A:R,12,0)</f>
        <v>VENCIDO</v>
      </c>
      <c r="L1570" s="341" t="str">
        <f>+VLOOKUP(H1570,contratos!A:R,13,0)</f>
        <v>CESADO</v>
      </c>
      <c r="M1570" s="341">
        <f>+VLOOKUP(H1570,contratos!A:R,15,0)</f>
        <v>0</v>
      </c>
      <c r="N1570" s="336">
        <f>+VLOOKUP(H1570,contratos!A:R,16,0)</f>
        <v>0</v>
      </c>
      <c r="O1570" s="341">
        <f>+VLOOKUP(B1570,PRORRATEO!A:M,8,0)</f>
        <v>12509050</v>
      </c>
      <c r="P1570" s="341">
        <f>+VLOOKUP(B1570,PRORRATEO!A:M,9,0)</f>
        <v>2376719.5</v>
      </c>
      <c r="Q1570" s="341">
        <f>+VLOOKUP(B1570,PRORRATEO!A:M,10,0)</f>
        <v>2376719.5</v>
      </c>
      <c r="R1570" s="341">
        <f>+VLOOKUP(B1570,PRORRATEO!A:M,11,0)</f>
        <v>0</v>
      </c>
      <c r="S1570" s="339">
        <f>+VLOOKUP(B1570,PRORRATEO!A:M,12,0)</f>
        <v>1</v>
      </c>
      <c r="T1570" s="339">
        <f>+VLOOKUP(B1570,PRORRATEO!A:M,13,0)</f>
        <v>0</v>
      </c>
    </row>
    <row r="1571" spans="1:21" x14ac:dyDescent="0.35">
      <c r="B1571" s="4">
        <v>230440</v>
      </c>
      <c r="C1571" s="10" t="s">
        <v>983</v>
      </c>
      <c r="D1571" s="268">
        <f>SUM(D1572:D1573)</f>
        <v>15549812.109999999</v>
      </c>
      <c r="E1571" s="200" t="s">
        <v>98</v>
      </c>
      <c r="F1571">
        <v>31</v>
      </c>
      <c r="G1571" s="10" t="str">
        <f>+CONCATENATE($G$7," RV ",G1570," ",H1570)</f>
        <v>"04-2026" RV R005 9596</v>
      </c>
      <c r="H1571" s="252"/>
      <c r="I1571" s="10">
        <f>+H1570</f>
        <v>9596</v>
      </c>
      <c r="J1571" s="350"/>
      <c r="K1571" s="335"/>
      <c r="N1571" s="336"/>
    </row>
    <row r="1572" spans="1:21" x14ac:dyDescent="0.35">
      <c r="B1572" s="263">
        <v>1245150017</v>
      </c>
      <c r="C1572" s="10" t="s">
        <v>77</v>
      </c>
      <c r="D1572" s="268">
        <v>13067069</v>
      </c>
      <c r="E1572" s="263" t="s">
        <v>98</v>
      </c>
      <c r="F1572">
        <v>40</v>
      </c>
      <c r="G1572" s="318" t="str">
        <f>+G1571</f>
        <v>"04-2026" RV R005 9596</v>
      </c>
      <c r="H1572" s="252"/>
      <c r="I1572" s="10">
        <f>+H1570</f>
        <v>9596</v>
      </c>
      <c r="J1572" s="350"/>
      <c r="K1572" s="335"/>
      <c r="N1572" s="336"/>
    </row>
    <row r="1573" spans="1:21" x14ac:dyDescent="0.35">
      <c r="B1573" s="4">
        <v>1149120011</v>
      </c>
      <c r="C1573" s="10" t="s">
        <v>1032</v>
      </c>
      <c r="D1573" s="268">
        <f>+D1572*0.19</f>
        <v>2482743.11</v>
      </c>
      <c r="E1573" s="200" t="s">
        <v>98</v>
      </c>
      <c r="F1573">
        <v>40</v>
      </c>
      <c r="G1573" s="318" t="str">
        <f>+G1572</f>
        <v>"04-2026" RV R005 9596</v>
      </c>
      <c r="H1573" s="252"/>
      <c r="J1573" s="350"/>
      <c r="K1573" s="335"/>
      <c r="N1573" s="336"/>
    </row>
    <row r="1574" spans="1:21" x14ac:dyDescent="0.35">
      <c r="A1574" s="130" t="s">
        <v>1030</v>
      </c>
      <c r="B1574" s="14">
        <v>209888</v>
      </c>
      <c r="C1574" s="15" t="s">
        <v>1068</v>
      </c>
      <c r="E1574"/>
      <c r="G1574" s="9" t="s">
        <v>299</v>
      </c>
      <c r="H1574" s="257">
        <v>9355</v>
      </c>
      <c r="I1574" s="10" t="s">
        <v>865</v>
      </c>
      <c r="J1574" s="350">
        <f>+VLOOKUP(H1574,contratos!A:R,5,0)</f>
        <v>43115</v>
      </c>
      <c r="K1574" s="266" t="str">
        <f>+VLOOKUP(H1574,contratos!A:R,12,0)</f>
        <v>VENCIDO</v>
      </c>
      <c r="L1574" s="341" t="str">
        <f>+VLOOKUP(H1574,contratos!A:R,13,0)</f>
        <v>CESADO</v>
      </c>
      <c r="M1574" s="341">
        <f>+VLOOKUP(H1574,contratos!A:R,15,0)</f>
        <v>0</v>
      </c>
      <c r="N1574" s="336">
        <f>+VLOOKUP(H1574,contratos!A:R,16,0)</f>
        <v>0</v>
      </c>
      <c r="O1574" s="341">
        <f>+VLOOKUP(H1574,PRORRATEO!F:M,3,0)</f>
        <v>49094705</v>
      </c>
      <c r="P1574" s="341">
        <f>+VLOOKUP(H1574,PRORRATEO!F:M,4,0)</f>
        <v>9327993.9499999993</v>
      </c>
      <c r="Q1574" s="341">
        <f>+VLOOKUP(H1574,PRORRATEO!F:M,5,0)</f>
        <v>9327993.9499999993</v>
      </c>
      <c r="R1574" s="341">
        <f>+VLOOKUP(H1574,PRORRATEO!F:M,6,0)</f>
        <v>0</v>
      </c>
      <c r="S1574" s="339">
        <f>+VLOOKUP(H1574,PRORRATEO!F:M,7,0)</f>
        <v>1</v>
      </c>
      <c r="T1574" s="339">
        <f>+VLOOKUP(H1574,PRORRATEO!F:M,8,0)</f>
        <v>0</v>
      </c>
      <c r="U1574" t="s">
        <v>840</v>
      </c>
    </row>
    <row r="1575" spans="1:21" hidden="1" x14ac:dyDescent="0.35">
      <c r="A1575" s="388"/>
      <c r="B1575" s="388"/>
      <c r="C1575" s="389"/>
      <c r="E1575"/>
      <c r="H1575" s="252"/>
      <c r="J1575" s="350"/>
      <c r="N1575" s="336"/>
    </row>
    <row r="1576" spans="1:21" x14ac:dyDescent="0.35">
      <c r="A1576" s="390"/>
      <c r="B1576" s="4">
        <v>1532001600</v>
      </c>
      <c r="C1576" s="10" t="s">
        <v>987</v>
      </c>
      <c r="D1576" s="268">
        <v>11645</v>
      </c>
      <c r="E1576" t="s">
        <v>80</v>
      </c>
      <c r="F1576">
        <v>40</v>
      </c>
      <c r="G1576" s="10" t="str">
        <f>+CONCATENATE($G$7," ASEO ",G1574," ",H1574)</f>
        <v>"04-2026" ASEO R004 9355</v>
      </c>
      <c r="H1576" s="252"/>
      <c r="I1576" s="312">
        <f>+I1577</f>
        <v>9355</v>
      </c>
      <c r="J1576" s="350"/>
      <c r="N1576" s="336"/>
    </row>
    <row r="1577" spans="1:21" x14ac:dyDescent="0.35">
      <c r="B1577" s="4">
        <v>1532001605</v>
      </c>
      <c r="C1577" s="10" t="s">
        <v>1017</v>
      </c>
      <c r="D1577" s="268">
        <v>1444484</v>
      </c>
      <c r="E1577" t="s">
        <v>80</v>
      </c>
      <c r="F1577">
        <v>40</v>
      </c>
      <c r="G1577" s="10" t="str">
        <f>+CONCATENATE($G$7," ENERGÍA ",G1574," ",H1574)</f>
        <v>"04-2026" ENERGÍA R004 9355</v>
      </c>
      <c r="H1577" s="252"/>
      <c r="I1577" s="312">
        <f>+H1574</f>
        <v>9355</v>
      </c>
      <c r="J1577" s="350"/>
      <c r="K1577" s="335"/>
      <c r="N1577" s="336"/>
    </row>
    <row r="1578" spans="1:21" x14ac:dyDescent="0.35">
      <c r="C1578" s="251" t="s">
        <v>76</v>
      </c>
      <c r="D1578" s="332">
        <f>SUBTOTAL(9,D1576:D1577)</f>
        <v>1456129</v>
      </c>
      <c r="E1578"/>
      <c r="G1578" s="348" t="str">
        <f>+CONCATENATE($G$7," ENERGÍA Y ASEO ",G1574," ",H1574)</f>
        <v>"04-2026" ENERGÍA Y ASEO R004 9355</v>
      </c>
      <c r="H1578" s="252"/>
      <c r="I1578" s="312"/>
      <c r="J1578" s="350"/>
      <c r="K1578" s="335"/>
      <c r="N1578" s="336"/>
    </row>
    <row r="1579" spans="1:21" s="242" customFormat="1" hidden="1" x14ac:dyDescent="0.35">
      <c r="C1579" s="292"/>
      <c r="D1579" s="334"/>
      <c r="H1579" s="293"/>
      <c r="I1579" s="273"/>
      <c r="J1579" s="294"/>
      <c r="K1579" s="294"/>
      <c r="L1579" s="295"/>
      <c r="M1579" s="295"/>
      <c r="N1579" s="293"/>
      <c r="O1579" s="295"/>
      <c r="P1579" s="295"/>
      <c r="Q1579" s="295"/>
      <c r="R1579" s="295"/>
      <c r="S1579" s="373"/>
      <c r="T1579" s="373"/>
    </row>
    <row r="1580" spans="1:21" x14ac:dyDescent="0.35">
      <c r="A1580" s="130" t="s">
        <v>853</v>
      </c>
      <c r="B1580" s="262">
        <v>437950</v>
      </c>
      <c r="C1580" s="276" t="s">
        <v>1084</v>
      </c>
      <c r="E1580"/>
      <c r="G1580" s="346" t="s">
        <v>299</v>
      </c>
      <c r="H1580" s="6">
        <v>9355</v>
      </c>
      <c r="I1580" s="10" t="s">
        <v>1059</v>
      </c>
      <c r="J1580" s="350">
        <f>+VLOOKUP(H1580,contratos!A:R,5,0)</f>
        <v>43115</v>
      </c>
      <c r="K1580" s="266" t="str">
        <f>+VLOOKUP(H1580,contratos!A:R,12,0)</f>
        <v>VENCIDO</v>
      </c>
      <c r="L1580" s="341" t="str">
        <f>+VLOOKUP(H1580,contratos!A:R,13,0)</f>
        <v>CESADO</v>
      </c>
      <c r="M1580" s="341">
        <f>+VLOOKUP(H1580,contratos!A:R,15,0)</f>
        <v>0</v>
      </c>
      <c r="N1580" s="336">
        <f>+VLOOKUP(H1580,contratos!A:R,16,0)</f>
        <v>0</v>
      </c>
      <c r="O1580" s="341">
        <f>+VLOOKUP(H1580,PRORRATEO!F:M,3,0)</f>
        <v>49094705</v>
      </c>
      <c r="P1580" s="341">
        <f>+VLOOKUP(H1580,PRORRATEO!F:M,4,0)</f>
        <v>9327993.9499999993</v>
      </c>
      <c r="Q1580" s="341">
        <f>+VLOOKUP(H1580,PRORRATEO!F:M,5,0)</f>
        <v>9327993.9499999993</v>
      </c>
      <c r="R1580" s="341">
        <f>+VLOOKUP(H1580,PRORRATEO!F:M,6,0)</f>
        <v>0</v>
      </c>
      <c r="S1580" s="339">
        <f>+VLOOKUP(H1580,PRORRATEO!F:M,7,0)</f>
        <v>1</v>
      </c>
      <c r="T1580" s="339">
        <f>+VLOOKUP(H1580,PRORRATEO!F:M,8,0)</f>
        <v>0</v>
      </c>
      <c r="U1580" t="s">
        <v>633</v>
      </c>
    </row>
    <row r="1581" spans="1:21" x14ac:dyDescent="0.35">
      <c r="B1581" s="263">
        <v>1245150017</v>
      </c>
      <c r="C1581" s="10" t="s">
        <v>77</v>
      </c>
      <c r="D1581" s="268">
        <f>+O1580</f>
        <v>49094705</v>
      </c>
      <c r="E1581" s="263" t="s">
        <v>98</v>
      </c>
      <c r="F1581">
        <v>40</v>
      </c>
      <c r="G1581" s="10" t="str">
        <f>+CONCATENATE($G$7," RF ",G1580," ",H1580)</f>
        <v>"04-2026" RF R004 9355</v>
      </c>
      <c r="H1581" s="252"/>
      <c r="I1581" s="10">
        <f>+H1580</f>
        <v>9355</v>
      </c>
      <c r="J1581" s="376" t="s">
        <v>1179</v>
      </c>
      <c r="N1581" s="336"/>
    </row>
    <row r="1582" spans="1:21" x14ac:dyDescent="0.35">
      <c r="B1582" s="4">
        <v>1149120011</v>
      </c>
      <c r="C1582" s="10" t="s">
        <v>1032</v>
      </c>
      <c r="D1582" s="299">
        <f>+P1580</f>
        <v>9327993.9499999993</v>
      </c>
      <c r="E1582" t="s">
        <v>98</v>
      </c>
      <c r="F1582">
        <v>40</v>
      </c>
      <c r="G1582" s="318" t="str">
        <f>+G1581</f>
        <v>"04-2026" RF R004 9355</v>
      </c>
      <c r="H1582" s="252"/>
      <c r="I1582" s="10">
        <f>+I1581</f>
        <v>9355</v>
      </c>
      <c r="J1582" s="350"/>
      <c r="N1582" s="336"/>
    </row>
    <row r="1583" spans="1:21" x14ac:dyDescent="0.35">
      <c r="C1583" s="251" t="s">
        <v>76</v>
      </c>
      <c r="D1583" s="332">
        <f>SUM(D1581:D1582)</f>
        <v>58422698.950000003</v>
      </c>
      <c r="E1583"/>
      <c r="G1583" s="318" t="str">
        <f>+G1582</f>
        <v>"04-2026" RF R004 9355</v>
      </c>
      <c r="H1583" s="252"/>
      <c r="J1583" s="350"/>
      <c r="K1583" s="335"/>
      <c r="N1583" s="336"/>
    </row>
    <row r="1584" spans="1:21" x14ac:dyDescent="0.35">
      <c r="A1584" s="130" t="s">
        <v>853</v>
      </c>
      <c r="B1584" s="262">
        <v>204535</v>
      </c>
      <c r="C1584" s="276" t="s">
        <v>1085</v>
      </c>
      <c r="D1584" s="298"/>
      <c r="E1584"/>
      <c r="G1584" s="346" t="s">
        <v>339</v>
      </c>
      <c r="H1584" s="6">
        <v>6556</v>
      </c>
      <c r="I1584" s="10" t="s">
        <v>1059</v>
      </c>
      <c r="J1584" s="350">
        <f>+VLOOKUP(H1584,contratos!A:R,5,0)</f>
        <v>42345</v>
      </c>
      <c r="K1584" s="266" t="str">
        <f>+VLOOKUP(H1584,contratos!A:R,12,0)</f>
        <v>OK</v>
      </c>
      <c r="L1584" s="341" t="str">
        <f>+VLOOKUP(H1584,contratos!A:R,13,0)</f>
        <v>VIGENTE</v>
      </c>
      <c r="M1584" s="341">
        <f>+VLOOKUP(H1584,contratos!A:R,15,0)</f>
        <v>0</v>
      </c>
      <c r="N1584" s="336">
        <f>+VLOOKUP(H1584,contratos!A:R,16,0)</f>
        <v>0</v>
      </c>
      <c r="O1584" s="341">
        <f>+VLOOKUP(B1584,PRORRATEO!A:M,8,0)</f>
        <v>8427956</v>
      </c>
      <c r="P1584" s="341">
        <f>+VLOOKUP(B1584,PRORRATEO!A:M,9,0)</f>
        <v>1601311.6400000001</v>
      </c>
      <c r="Q1584" s="341">
        <f>+VLOOKUP(B1584,PRORRATEO!A:M,10,0)</f>
        <v>147320.67088000002</v>
      </c>
      <c r="R1584" s="341">
        <f>+VLOOKUP(B1584,PRORRATEO!A:M,11,0)</f>
        <v>1453990.9691200003</v>
      </c>
      <c r="S1584" s="339">
        <f>+VLOOKUP(B1584,PRORRATEO!A:M,12,0)</f>
        <v>9.1999999999999998E-2</v>
      </c>
      <c r="T1584" s="339">
        <f>+VLOOKUP(B1584,PRORRATEO!A:M,13,0)</f>
        <v>0.90800000000000003</v>
      </c>
      <c r="U1584" t="s">
        <v>678</v>
      </c>
    </row>
    <row r="1585" spans="1:21" x14ac:dyDescent="0.35">
      <c r="B1585" s="263">
        <v>1245150017</v>
      </c>
      <c r="C1585" s="10" t="s">
        <v>77</v>
      </c>
      <c r="D1585" s="268">
        <v>12177990</v>
      </c>
      <c r="E1585" s="263" t="s">
        <v>97</v>
      </c>
      <c r="F1585">
        <v>40</v>
      </c>
      <c r="G1585" s="10" t="str">
        <f>+CONCATENATE($G$7," RF ",G1584," ",H1584)</f>
        <v>"04-2026" RF T005 6556</v>
      </c>
      <c r="H1585" s="252"/>
      <c r="I1585" s="10">
        <f>+H1584</f>
        <v>6556</v>
      </c>
      <c r="J1585" s="350"/>
      <c r="K1585" s="335"/>
      <c r="N1585" s="336"/>
    </row>
    <row r="1586" spans="1:21" x14ac:dyDescent="0.35">
      <c r="B1586" s="263">
        <v>1149120011</v>
      </c>
      <c r="C1586" s="10" t="s">
        <v>1032</v>
      </c>
      <c r="D1586" s="268">
        <f>-D1588*S1584</f>
        <v>-212871.26519999999</v>
      </c>
      <c r="E1586" s="263" t="s">
        <v>97</v>
      </c>
      <c r="F1586">
        <v>50</v>
      </c>
      <c r="G1586" s="348" t="str">
        <f t="shared" ref="G1586:G1591" si="81">+G1585</f>
        <v>"04-2026" RF T005 6556</v>
      </c>
      <c r="H1586" s="252"/>
      <c r="I1586" s="10">
        <f>+I1585</f>
        <v>6556</v>
      </c>
      <c r="J1586" s="350"/>
      <c r="K1586" s="335"/>
      <c r="N1586" s="336"/>
    </row>
    <row r="1587" spans="1:21" x14ac:dyDescent="0.35">
      <c r="B1587" s="263">
        <v>1149120011</v>
      </c>
      <c r="C1587" s="10" t="s">
        <v>1032</v>
      </c>
      <c r="D1587" s="268">
        <f>-D1586</f>
        <v>212871.26519999999</v>
      </c>
      <c r="E1587" s="263" t="s">
        <v>98</v>
      </c>
      <c r="F1587">
        <v>40</v>
      </c>
      <c r="G1587" s="318" t="str">
        <f t="shared" si="81"/>
        <v>"04-2026" RF T005 6556</v>
      </c>
      <c r="H1587" s="252"/>
      <c r="I1587" s="10">
        <f>+I1586</f>
        <v>6556</v>
      </c>
      <c r="J1587" s="394"/>
      <c r="K1587" s="335"/>
      <c r="N1587" s="336"/>
    </row>
    <row r="1588" spans="1:21" x14ac:dyDescent="0.35">
      <c r="B1588" s="4">
        <v>1149120011</v>
      </c>
      <c r="C1588" s="10" t="s">
        <v>1032</v>
      </c>
      <c r="D1588" s="268">
        <f>+D1585*0.19</f>
        <v>2313818.1</v>
      </c>
      <c r="E1588" t="s">
        <v>97</v>
      </c>
      <c r="F1588">
        <v>40</v>
      </c>
      <c r="G1588" s="318" t="str">
        <f t="shared" si="81"/>
        <v>"04-2026" RF T005 6556</v>
      </c>
      <c r="H1588" s="252"/>
      <c r="I1588" s="10">
        <f>+I1587</f>
        <v>6556</v>
      </c>
      <c r="J1588" s="352"/>
      <c r="K1588" s="335"/>
      <c r="N1588" s="336"/>
    </row>
    <row r="1589" spans="1:21" x14ac:dyDescent="0.35">
      <c r="B1589" s="4">
        <v>1246125027</v>
      </c>
      <c r="C1589" s="10" t="s">
        <v>962</v>
      </c>
      <c r="D1589" s="268">
        <f>-D1585*J1589</f>
        <v>-85245.930000000008</v>
      </c>
      <c r="E1589"/>
      <c r="F1589">
        <v>50</v>
      </c>
      <c r="G1589" s="318" t="str">
        <f t="shared" si="81"/>
        <v>"04-2026" RF T005 6556</v>
      </c>
      <c r="H1589" s="252"/>
      <c r="I1589" s="411">
        <v>24</v>
      </c>
      <c r="J1589" s="355">
        <v>7.0000000000000001E-3</v>
      </c>
      <c r="K1589" s="490" t="s">
        <v>1715</v>
      </c>
      <c r="N1589" s="336"/>
    </row>
    <row r="1590" spans="1:21" x14ac:dyDescent="0.35">
      <c r="B1590" s="4">
        <v>1249100024</v>
      </c>
      <c r="C1590" s="10" t="s">
        <v>981</v>
      </c>
      <c r="D1590" s="268">
        <f>-D1585*J1590</f>
        <v>-426229.53822892468</v>
      </c>
      <c r="E1590"/>
      <c r="F1590">
        <v>50</v>
      </c>
      <c r="G1590" s="318" t="str">
        <f t="shared" si="81"/>
        <v>"04-2026" RF T005 6556</v>
      </c>
      <c r="H1590" s="252"/>
      <c r="I1590" s="321" t="s">
        <v>857</v>
      </c>
      <c r="J1590" s="351">
        <v>3.4999990821878213E-2</v>
      </c>
      <c r="K1590" s="335"/>
      <c r="N1590" s="336"/>
    </row>
    <row r="1591" spans="1:21" x14ac:dyDescent="0.35">
      <c r="C1591" s="251" t="s">
        <v>76</v>
      </c>
      <c r="D1591" s="332">
        <f>SUBTOTAL(9,D1585:D1590)</f>
        <v>13980332.631771075</v>
      </c>
      <c r="E1591"/>
      <c r="G1591" s="318" t="str">
        <f t="shared" si="81"/>
        <v>"04-2026" RF T005 6556</v>
      </c>
      <c r="H1591" s="252"/>
      <c r="J1591" s="350"/>
      <c r="K1591" s="335"/>
      <c r="N1591" s="336"/>
    </row>
    <row r="1592" spans="1:21" x14ac:dyDescent="0.35">
      <c r="A1592" s="130" t="s">
        <v>854</v>
      </c>
      <c r="B1592" s="262">
        <v>205547</v>
      </c>
      <c r="C1592" s="276" t="s">
        <v>813</v>
      </c>
      <c r="E1592"/>
      <c r="G1592" s="400" t="s">
        <v>1172</v>
      </c>
      <c r="H1592" s="401">
        <v>8584</v>
      </c>
      <c r="I1592" s="10" t="s">
        <v>1086</v>
      </c>
      <c r="J1592" s="350">
        <v>45357</v>
      </c>
      <c r="K1592" s="335" t="s">
        <v>121</v>
      </c>
      <c r="L1592" s="341">
        <v>8778106</v>
      </c>
      <c r="M1592" s="341">
        <v>0</v>
      </c>
      <c r="N1592" s="336">
        <v>0</v>
      </c>
      <c r="O1592" s="341">
        <v>8778106</v>
      </c>
      <c r="P1592" s="341">
        <v>1667840.1400000001</v>
      </c>
      <c r="Q1592" s="341">
        <v>161780.49358000001</v>
      </c>
      <c r="R1592" s="341">
        <v>1506059.6464200001</v>
      </c>
      <c r="S1592" s="339">
        <v>9.7000000000000003E-2</v>
      </c>
      <c r="T1592" s="339">
        <v>0.90300000000000002</v>
      </c>
      <c r="U1592" t="s">
        <v>813</v>
      </c>
    </row>
    <row r="1593" spans="1:21" x14ac:dyDescent="0.35">
      <c r="B1593" s="4">
        <v>1537210004</v>
      </c>
      <c r="C1593" s="10" t="s">
        <v>1018</v>
      </c>
      <c r="D1593" s="268">
        <v>1483361</v>
      </c>
      <c r="E1593" t="s">
        <v>97</v>
      </c>
      <c r="F1593">
        <v>40</v>
      </c>
      <c r="G1593" s="10" t="str">
        <f>+CONCATENATE($G$7," RV ",G1592," ",H1592)</f>
        <v>"04-2026" RV T106  8584</v>
      </c>
      <c r="H1593" s="252"/>
      <c r="I1593" s="10">
        <f>+H1592</f>
        <v>8584</v>
      </c>
      <c r="J1593" s="350"/>
      <c r="K1593" s="335"/>
      <c r="N1593" s="336"/>
    </row>
    <row r="1594" spans="1:21" x14ac:dyDescent="0.35">
      <c r="B1594" s="4">
        <v>1149120011</v>
      </c>
      <c r="C1594" s="10" t="s">
        <v>1032</v>
      </c>
      <c r="D1594" s="298">
        <v>440456</v>
      </c>
      <c r="E1594" t="s">
        <v>97</v>
      </c>
      <c r="F1594">
        <v>40</v>
      </c>
      <c r="G1594" s="318" t="str">
        <f>+G1593</f>
        <v>"04-2026" RV T106  8584</v>
      </c>
      <c r="H1594" s="252"/>
      <c r="I1594" s="10">
        <f>+I1593</f>
        <v>8584</v>
      </c>
      <c r="J1594" s="350"/>
      <c r="K1594" s="335"/>
      <c r="N1594" s="336"/>
    </row>
    <row r="1595" spans="1:21" x14ac:dyDescent="0.35">
      <c r="C1595" s="251" t="s">
        <v>76</v>
      </c>
      <c r="D1595" s="332">
        <v>2758648</v>
      </c>
      <c r="E1595"/>
      <c r="G1595" s="318" t="str">
        <f>+G1594</f>
        <v>"04-2026" RV T106  8584</v>
      </c>
      <c r="H1595" s="252"/>
      <c r="I1595" s="10">
        <f>+I1594</f>
        <v>8584</v>
      </c>
      <c r="J1595" s="350"/>
      <c r="K1595" s="335"/>
      <c r="N1595" s="336"/>
    </row>
    <row r="1596" spans="1:21" x14ac:dyDescent="0.35">
      <c r="A1596" s="130" t="s">
        <v>853</v>
      </c>
      <c r="B1596" s="262">
        <v>204531</v>
      </c>
      <c r="C1596" s="276" t="s">
        <v>503</v>
      </c>
      <c r="E1596"/>
      <c r="G1596" s="346" t="s">
        <v>1173</v>
      </c>
      <c r="H1596" s="6">
        <v>6617</v>
      </c>
      <c r="J1596" s="350">
        <v>45533</v>
      </c>
      <c r="K1596" s="335" t="s">
        <v>121</v>
      </c>
      <c r="L1596" s="341">
        <v>8349891</v>
      </c>
      <c r="M1596" s="341">
        <v>0</v>
      </c>
      <c r="N1596" s="336">
        <v>0</v>
      </c>
      <c r="O1596" s="341">
        <v>7381445</v>
      </c>
      <c r="P1596" s="341">
        <v>1402474.55</v>
      </c>
      <c r="Q1596" s="341">
        <v>70123.727500000008</v>
      </c>
      <c r="R1596" s="341">
        <v>1332350.8225</v>
      </c>
      <c r="S1596" s="339">
        <v>0.05</v>
      </c>
      <c r="T1596" s="339">
        <v>0.95</v>
      </c>
      <c r="U1596" t="s">
        <v>717</v>
      </c>
    </row>
    <row r="1597" spans="1:21" x14ac:dyDescent="0.35">
      <c r="B1597" s="4">
        <v>1245150017</v>
      </c>
      <c r="C1597" s="10" t="s">
        <v>77</v>
      </c>
      <c r="D1597" s="298">
        <v>8349891</v>
      </c>
      <c r="E1597" t="s">
        <v>97</v>
      </c>
      <c r="F1597">
        <v>40</v>
      </c>
      <c r="G1597" s="10" t="str">
        <f>+CONCATENATE($G$7," RF/GC/ACUEDUCTO ",G1596," ",H1596)</f>
        <v>"04-2026" RF/GC/ACUEDUCTO T35 6617</v>
      </c>
      <c r="H1597" s="252"/>
      <c r="I1597" s="10">
        <f>+H1596</f>
        <v>6617</v>
      </c>
      <c r="J1597" s="350"/>
      <c r="K1597" s="335"/>
      <c r="N1597" s="336"/>
    </row>
    <row r="1598" spans="1:21" x14ac:dyDescent="0.35">
      <c r="B1598" s="4">
        <v>1537210002</v>
      </c>
      <c r="C1598" s="10" t="s">
        <v>1015</v>
      </c>
      <c r="D1598" s="268">
        <v>1270834</v>
      </c>
      <c r="E1598" t="s">
        <v>97</v>
      </c>
      <c r="F1598">
        <v>40</v>
      </c>
      <c r="G1598" s="318" t="str">
        <f t="shared" ref="G1598:G1603" si="82">+G1597</f>
        <v>"04-2026" RF/GC/ACUEDUCTO T35 6617</v>
      </c>
      <c r="H1598" s="252"/>
      <c r="I1598" s="10">
        <f t="shared" ref="I1598:I1603" si="83">+I1597</f>
        <v>6617</v>
      </c>
      <c r="J1598" s="350"/>
      <c r="K1598" s="335"/>
      <c r="N1598" s="336"/>
    </row>
    <row r="1599" spans="1:21" x14ac:dyDescent="0.35">
      <c r="B1599" s="4">
        <v>1532001604</v>
      </c>
      <c r="C1599" s="10" t="s">
        <v>1014</v>
      </c>
      <c r="D1599" s="268">
        <v>193420</v>
      </c>
      <c r="E1599" t="s">
        <v>80</v>
      </c>
      <c r="F1599">
        <v>40</v>
      </c>
      <c r="G1599" s="318" t="str">
        <f t="shared" si="82"/>
        <v>"04-2026" RF/GC/ACUEDUCTO T35 6617</v>
      </c>
      <c r="H1599" s="252"/>
      <c r="I1599" s="10">
        <f t="shared" si="83"/>
        <v>6617</v>
      </c>
      <c r="J1599" s="350"/>
      <c r="K1599" s="335"/>
      <c r="N1599" s="336"/>
    </row>
    <row r="1600" spans="1:21" x14ac:dyDescent="0.35">
      <c r="B1600" s="4">
        <v>1149120011</v>
      </c>
      <c r="C1600" s="10" t="s">
        <v>1032</v>
      </c>
      <c r="D1600" s="268">
        <v>-79324</v>
      </c>
      <c r="E1600" t="s">
        <v>97</v>
      </c>
      <c r="F1600">
        <v>50</v>
      </c>
      <c r="G1600" s="318" t="str">
        <f t="shared" si="82"/>
        <v>"04-2026" RF/GC/ACUEDUCTO T35 6617</v>
      </c>
      <c r="H1600" s="252"/>
      <c r="I1600" s="10">
        <f t="shared" si="83"/>
        <v>6617</v>
      </c>
      <c r="J1600" s="350"/>
      <c r="K1600" s="335"/>
      <c r="N1600" s="336"/>
    </row>
    <row r="1601" spans="1:21" x14ac:dyDescent="0.35">
      <c r="B1601" s="4">
        <v>1149120011</v>
      </c>
      <c r="C1601" s="10" t="s">
        <v>1032</v>
      </c>
      <c r="D1601" s="268">
        <v>79324</v>
      </c>
      <c r="E1601" t="s">
        <v>98</v>
      </c>
      <c r="F1601">
        <v>40</v>
      </c>
      <c r="G1601" s="318" t="str">
        <f t="shared" si="82"/>
        <v>"04-2026" RF/GC/ACUEDUCTO T35 6617</v>
      </c>
      <c r="H1601" s="252"/>
      <c r="I1601" s="10">
        <f t="shared" si="83"/>
        <v>6617</v>
      </c>
      <c r="J1601" s="350"/>
      <c r="K1601" s="335"/>
      <c r="N1601" s="336"/>
    </row>
    <row r="1602" spans="1:21" x14ac:dyDescent="0.35">
      <c r="B1602" s="4">
        <v>1149120011</v>
      </c>
      <c r="C1602" s="10" t="s">
        <v>1032</v>
      </c>
      <c r="D1602" s="268">
        <v>1827937</v>
      </c>
      <c r="E1602" t="s">
        <v>97</v>
      </c>
      <c r="F1602">
        <v>40</v>
      </c>
      <c r="G1602" s="318" t="str">
        <f t="shared" si="82"/>
        <v>"04-2026" RF/GC/ACUEDUCTO T35 6617</v>
      </c>
      <c r="H1602" s="252"/>
      <c r="I1602" s="10">
        <f t="shared" si="83"/>
        <v>6617</v>
      </c>
      <c r="J1602" s="350"/>
      <c r="K1602" s="335"/>
      <c r="N1602" s="336"/>
    </row>
    <row r="1603" spans="1:21" x14ac:dyDescent="0.35">
      <c r="C1603" s="251" t="s">
        <v>76</v>
      </c>
      <c r="D1603" s="332">
        <v>11642082</v>
      </c>
      <c r="E1603"/>
      <c r="G1603" s="318" t="str">
        <f t="shared" si="82"/>
        <v>"04-2026" RF/GC/ACUEDUCTO T35 6617</v>
      </c>
      <c r="H1603" s="252"/>
      <c r="I1603" s="10">
        <f t="shared" si="83"/>
        <v>6617</v>
      </c>
      <c r="J1603" s="350"/>
      <c r="K1603" s="335"/>
      <c r="N1603" s="336"/>
    </row>
    <row r="1604" spans="1:21" x14ac:dyDescent="0.35">
      <c r="A1604" s="130" t="s">
        <v>853</v>
      </c>
      <c r="B1604" s="262">
        <v>228274</v>
      </c>
      <c r="C1604" s="276" t="s">
        <v>848</v>
      </c>
      <c r="E1604"/>
      <c r="G1604" s="346" t="s">
        <v>468</v>
      </c>
      <c r="H1604" s="6">
        <v>9636</v>
      </c>
      <c r="I1604" s="10" t="s">
        <v>1087</v>
      </c>
      <c r="J1604" s="350">
        <f>+VLOOKUP(H1604,contratos!A:R,5,0)</f>
        <v>43466</v>
      </c>
      <c r="K1604" s="266" t="str">
        <f>+VLOOKUP(H1604,contratos!A:R,12,0)</f>
        <v>VENCIDO</v>
      </c>
      <c r="L1604" s="341" t="str">
        <f>+VLOOKUP(H1604,contratos!A:R,13,0)</f>
        <v>CESADO</v>
      </c>
      <c r="M1604" s="341">
        <f>+VLOOKUP(H1604,contratos!A:R,15,0)</f>
        <v>0</v>
      </c>
      <c r="N1604" s="336">
        <f>+VLOOKUP(H1604,contratos!A:R,16,0)</f>
        <v>0</v>
      </c>
      <c r="O1604" s="341">
        <f>+VLOOKUP(B1604,PRORRATEO!A:M,8,0)</f>
        <v>15892835</v>
      </c>
      <c r="P1604" s="341">
        <f>+VLOOKUP(B1604,PRORRATEO!A:M,9,0)</f>
        <v>3019638.65</v>
      </c>
      <c r="Q1604" s="341">
        <f>+VLOOKUP(B1604,PRORRATEO!A:M,10,0)</f>
        <v>217413.98279999997</v>
      </c>
      <c r="R1604" s="341">
        <f>+VLOOKUP(B1604,PRORRATEO!A:M,11,0)</f>
        <v>2802224.6672</v>
      </c>
      <c r="S1604" s="339">
        <f>+VLOOKUP(B1604,PRORRATEO!A:M,12,0)</f>
        <v>7.1999999999999995E-2</v>
      </c>
      <c r="T1604" s="339">
        <f>+VLOOKUP(B1604,PRORRATEO!A:M,13,0)</f>
        <v>0.92800000000000005</v>
      </c>
      <c r="U1604" s="260" t="s">
        <v>848</v>
      </c>
    </row>
    <row r="1605" spans="1:21" x14ac:dyDescent="0.35">
      <c r="B1605" s="263">
        <v>1537210004</v>
      </c>
      <c r="C1605" s="10" t="s">
        <v>1018</v>
      </c>
      <c r="D1605" s="268">
        <v>16719262</v>
      </c>
      <c r="E1605" s="263" t="s">
        <v>97</v>
      </c>
      <c r="F1605">
        <v>40</v>
      </c>
      <c r="G1605" s="10" t="str">
        <f>+CONCATENATE($G$7," RV ",G1604," ",H1604)</f>
        <v>"04-2026" RV T135 9636</v>
      </c>
      <c r="H1605" s="252"/>
      <c r="I1605" s="10">
        <f>+H1604</f>
        <v>9636</v>
      </c>
      <c r="J1605" s="350"/>
      <c r="K1605" s="335"/>
      <c r="N1605" s="336"/>
    </row>
    <row r="1606" spans="1:21" x14ac:dyDescent="0.35">
      <c r="B1606" s="263">
        <v>1149120011</v>
      </c>
      <c r="C1606" s="10" t="s">
        <v>1032</v>
      </c>
      <c r="D1606" s="298">
        <f>-D1605*S1604</f>
        <v>-1203786.8639999998</v>
      </c>
      <c r="E1606" s="263" t="s">
        <v>97</v>
      </c>
      <c r="F1606">
        <v>50</v>
      </c>
      <c r="G1606" s="318" t="str">
        <f>+G1605</f>
        <v>"04-2026" RV T135 9636</v>
      </c>
      <c r="H1606" s="252"/>
      <c r="I1606" s="10">
        <f>+I1605</f>
        <v>9636</v>
      </c>
      <c r="J1606" s="350"/>
      <c r="K1606" s="335"/>
      <c r="N1606" s="336"/>
    </row>
    <row r="1607" spans="1:21" x14ac:dyDescent="0.35">
      <c r="B1607" s="263">
        <v>1149120011</v>
      </c>
      <c r="C1607" s="10" t="s">
        <v>1032</v>
      </c>
      <c r="D1607" s="268">
        <f>-D1606</f>
        <v>1203786.8639999998</v>
      </c>
      <c r="E1607" s="263" t="s">
        <v>98</v>
      </c>
      <c r="F1607">
        <v>40</v>
      </c>
      <c r="G1607" s="318" t="str">
        <f>+G1606</f>
        <v>"04-2026" RV T135 9636</v>
      </c>
      <c r="H1607" s="252"/>
      <c r="I1607" s="10">
        <f>+I1606</f>
        <v>9636</v>
      </c>
      <c r="J1607" s="350"/>
      <c r="K1607" s="335"/>
      <c r="N1607" s="336"/>
    </row>
    <row r="1608" spans="1:21" x14ac:dyDescent="0.35">
      <c r="B1608" s="4">
        <v>1149120011</v>
      </c>
      <c r="C1608" s="10" t="s">
        <v>1032</v>
      </c>
      <c r="D1608" s="268">
        <f>+D1605*0.19</f>
        <v>3176659.7800000003</v>
      </c>
      <c r="E1608" s="252" t="s">
        <v>97</v>
      </c>
      <c r="F1608">
        <v>40</v>
      </c>
      <c r="G1608" s="318" t="str">
        <f>+G1607</f>
        <v>"04-2026" RV T135 9636</v>
      </c>
      <c r="H1608" s="252"/>
      <c r="I1608" s="10">
        <f>+I1607</f>
        <v>9636</v>
      </c>
      <c r="J1608" s="350"/>
      <c r="K1608" s="335"/>
      <c r="N1608" s="336"/>
    </row>
    <row r="1609" spans="1:21" x14ac:dyDescent="0.35">
      <c r="C1609" s="251" t="s">
        <v>76</v>
      </c>
      <c r="D1609" s="332">
        <f>SUBTOTAL(9,D1605:D1608)</f>
        <v>19895921.780000001</v>
      </c>
      <c r="E1609"/>
      <c r="G1609" s="318" t="str">
        <f>+G1608</f>
        <v>"04-2026" RV T135 9636</v>
      </c>
      <c r="H1609" s="252"/>
      <c r="I1609" s="10">
        <f>+I1608</f>
        <v>9636</v>
      </c>
      <c r="J1609" s="350"/>
      <c r="K1609" s="335"/>
      <c r="N1609" s="336"/>
    </row>
    <row r="1610" spans="1:21" x14ac:dyDescent="0.35">
      <c r="A1610" s="130" t="s">
        <v>853</v>
      </c>
      <c r="B1610" s="262">
        <v>228274</v>
      </c>
      <c r="C1610" s="276" t="s">
        <v>1088</v>
      </c>
      <c r="E1610"/>
      <c r="G1610" s="346" t="s">
        <v>468</v>
      </c>
      <c r="H1610" s="6">
        <v>9636</v>
      </c>
      <c r="J1610" s="350">
        <f>+VLOOKUP(H1610,contratos!A:R,5,0)</f>
        <v>43466</v>
      </c>
      <c r="K1610" s="266" t="str">
        <f>+VLOOKUP(H1610,contratos!A:R,12,0)</f>
        <v>VENCIDO</v>
      </c>
      <c r="L1610" s="341" t="str">
        <f>+VLOOKUP(H1610,contratos!A:R,13,0)</f>
        <v>CESADO</v>
      </c>
      <c r="M1610" s="341">
        <f>+VLOOKUP(H1610,contratos!A:R,15,0)</f>
        <v>0</v>
      </c>
      <c r="N1610" s="336">
        <f>+VLOOKUP(H1610,contratos!A:R,16,0)</f>
        <v>0</v>
      </c>
      <c r="O1610" s="341">
        <f>+VLOOKUP(B1610,PRORRATEO!A:M,8,0)</f>
        <v>15892835</v>
      </c>
      <c r="P1610" s="341">
        <f>+VLOOKUP(B1610,PRORRATEO!A:M,9,0)</f>
        <v>3019638.65</v>
      </c>
      <c r="Q1610" s="341">
        <f>+VLOOKUP(B1610,PRORRATEO!A:M,10,0)</f>
        <v>217413.98279999997</v>
      </c>
      <c r="R1610" s="341">
        <f>+VLOOKUP(B1610,PRORRATEO!A:M,11,0)</f>
        <v>2802224.6672</v>
      </c>
      <c r="S1610" s="339">
        <f>+VLOOKUP(B1610,PRORRATEO!A:M,12,0)</f>
        <v>7.1999999999999995E-2</v>
      </c>
      <c r="T1610" s="339">
        <f>+VLOOKUP(B1610,PRORRATEO!A:M,13,0)</f>
        <v>0.92800000000000005</v>
      </c>
      <c r="U1610" s="260" t="s">
        <v>848</v>
      </c>
    </row>
    <row r="1611" spans="1:21" x14ac:dyDescent="0.35">
      <c r="B1611" s="263">
        <v>1245150017</v>
      </c>
      <c r="C1611" s="10" t="s">
        <v>1018</v>
      </c>
      <c r="E1611" s="263" t="s">
        <v>97</v>
      </c>
      <c r="F1611" s="210">
        <v>40</v>
      </c>
      <c r="G1611" s="10" t="str">
        <f>+CONCATENATE($G$7," RV ",G1610," ",H1610)</f>
        <v>"04-2026" RV T135 9636</v>
      </c>
      <c r="H1611" s="252"/>
      <c r="I1611" s="10">
        <f>+H1610</f>
        <v>9636</v>
      </c>
      <c r="J1611" s="10"/>
      <c r="N1611" s="336"/>
    </row>
    <row r="1612" spans="1:21" x14ac:dyDescent="0.35">
      <c r="B1612" s="263">
        <v>1245150017</v>
      </c>
      <c r="C1612" s="10" t="s">
        <v>1018</v>
      </c>
      <c r="D1612" s="268">
        <v>2596648</v>
      </c>
      <c r="E1612" s="263" t="s">
        <v>97</v>
      </c>
      <c r="F1612" s="210">
        <v>40</v>
      </c>
      <c r="G1612" s="318" t="str">
        <f>+G1611</f>
        <v>"04-2026" RV T135 9636</v>
      </c>
      <c r="H1612" s="252"/>
      <c r="I1612" s="10">
        <f>+I1611</f>
        <v>9636</v>
      </c>
      <c r="J1612" s="10"/>
      <c r="N1612" s="336"/>
    </row>
    <row r="1613" spans="1:21" x14ac:dyDescent="0.35">
      <c r="B1613" s="263">
        <v>1149120011</v>
      </c>
      <c r="C1613" s="10" t="s">
        <v>1032</v>
      </c>
      <c r="D1613" s="298">
        <f>+D1612*S1610</f>
        <v>186958.65599999999</v>
      </c>
      <c r="E1613" s="263" t="s">
        <v>98</v>
      </c>
      <c r="F1613" s="210">
        <v>40</v>
      </c>
      <c r="G1613" s="318" t="str">
        <f>+G1612</f>
        <v>"04-2026" RV T135 9636</v>
      </c>
      <c r="H1613" s="252"/>
      <c r="I1613" s="10">
        <f>+I1612</f>
        <v>9636</v>
      </c>
      <c r="J1613" s="350"/>
      <c r="K1613" s="335"/>
      <c r="N1613" s="336"/>
    </row>
    <row r="1614" spans="1:21" x14ac:dyDescent="0.35">
      <c r="B1614" s="263">
        <v>1149120011</v>
      </c>
      <c r="C1614" s="10" t="s">
        <v>1032</v>
      </c>
      <c r="D1614" s="268">
        <f>-D1613</f>
        <v>-186958.65599999999</v>
      </c>
      <c r="E1614" s="263" t="s">
        <v>97</v>
      </c>
      <c r="F1614" s="210">
        <v>50</v>
      </c>
      <c r="G1614" s="318" t="str">
        <f>+G1613</f>
        <v>"04-2026" RV T135 9636</v>
      </c>
      <c r="H1614" s="252"/>
      <c r="I1614" s="10">
        <f>+I1613</f>
        <v>9636</v>
      </c>
      <c r="J1614" s="350"/>
      <c r="K1614" s="335"/>
      <c r="N1614" s="336"/>
    </row>
    <row r="1615" spans="1:21" x14ac:dyDescent="0.35">
      <c r="B1615" s="4">
        <v>1149120011</v>
      </c>
      <c r="C1615" s="10" t="s">
        <v>1032</v>
      </c>
      <c r="D1615" s="268">
        <f>+D1612*0.19</f>
        <v>493363.12</v>
      </c>
      <c r="E1615" t="s">
        <v>97</v>
      </c>
      <c r="F1615" s="210">
        <v>40</v>
      </c>
      <c r="G1615" s="318" t="str">
        <f>+G1614</f>
        <v>"04-2026" RV T135 9636</v>
      </c>
      <c r="H1615" s="252"/>
      <c r="I1615" s="10">
        <f>+I1614</f>
        <v>9636</v>
      </c>
      <c r="J1615" s="350"/>
      <c r="K1615" s="335"/>
      <c r="N1615" s="336"/>
    </row>
    <row r="1616" spans="1:21" x14ac:dyDescent="0.35">
      <c r="C1616" s="251" t="s">
        <v>76</v>
      </c>
      <c r="D1616" s="332">
        <v>16838078</v>
      </c>
      <c r="E1616"/>
      <c r="G1616" s="318" t="str">
        <f>+G1615</f>
        <v>"04-2026" RV T135 9636</v>
      </c>
      <c r="H1616" s="252"/>
      <c r="I1616" s="10">
        <f>+I1615</f>
        <v>9636</v>
      </c>
      <c r="J1616" s="350"/>
      <c r="K1616" s="335"/>
      <c r="N1616" s="336"/>
    </row>
    <row r="1617" spans="1:20" x14ac:dyDescent="0.35">
      <c r="A1617" s="130" t="s">
        <v>854</v>
      </c>
      <c r="B1617" s="262">
        <v>231460</v>
      </c>
      <c r="C1617" s="276" t="s">
        <v>1070</v>
      </c>
      <c r="G1617" s="346" t="s">
        <v>423</v>
      </c>
      <c r="H1617" s="6">
        <v>9072</v>
      </c>
      <c r="J1617" s="350">
        <f>+VLOOKUP(H1617,contratos!A:R,5,0)</f>
        <v>45458</v>
      </c>
      <c r="K1617" s="266" t="str">
        <f>+VLOOKUP(H1617,contratos!A:R,12,0)</f>
        <v>OK</v>
      </c>
      <c r="L1617" s="341" t="str">
        <f>+VLOOKUP(H1617,contratos!A:R,13,0)</f>
        <v>VIGENTE</v>
      </c>
      <c r="M1617" s="341">
        <f>+VLOOKUP(H1617,contratos!A:R,15,0)</f>
        <v>0</v>
      </c>
      <c r="N1617" s="336">
        <f>+VLOOKUP(H1617,contratos!A:R,16,0)</f>
        <v>0</v>
      </c>
      <c r="O1617" s="341">
        <f>+VLOOKUP(H1617,PRORRATEO!F:M,3,0)</f>
        <v>15417759</v>
      </c>
      <c r="P1617" s="341">
        <f>+VLOOKUP(H1617,PRORRATEO!F:M,4,0)</f>
        <v>2929374.21</v>
      </c>
      <c r="Q1617" s="341">
        <f>+VLOOKUP(H1617,PRORRATEO!F:M,5,0)</f>
        <v>137680.58786999999</v>
      </c>
      <c r="R1617" s="341">
        <f>+VLOOKUP(H1617,PRORRATEO!F:M,6,0)</f>
        <v>2791693.62213</v>
      </c>
      <c r="S1617" s="339">
        <f>+VLOOKUP(H1617,PRORRATEO!F:M,7,0)</f>
        <v>4.7E-2</v>
      </c>
      <c r="T1617" s="339">
        <f>+VLOOKUP(H1617,PRORRATEO!F:M,8,0)</f>
        <v>0.95299999999999996</v>
      </c>
    </row>
    <row r="1618" spans="1:20" x14ac:dyDescent="0.35">
      <c r="B1618" s="4">
        <v>1245150017</v>
      </c>
      <c r="C1618" s="10" t="s">
        <v>1113</v>
      </c>
      <c r="D1618" s="326">
        <v>78433</v>
      </c>
      <c r="E1618" t="s">
        <v>80</v>
      </c>
      <c r="F1618">
        <v>40</v>
      </c>
      <c r="G1618" s="316" t="str">
        <f>+CONCATENATE($G$7,"  GC T",G1617," ",H1617)</f>
        <v>"04-2026"  GC TT122 9072</v>
      </c>
      <c r="I1618" s="10">
        <f>+H1617</f>
        <v>9072</v>
      </c>
      <c r="J1618" s="10"/>
    </row>
    <row r="1619" spans="1:20" x14ac:dyDescent="0.35">
      <c r="D1619" s="298">
        <f>SUM(D1618)</f>
        <v>78433</v>
      </c>
      <c r="G1619" s="318" t="str">
        <f>+G1618</f>
        <v>"04-2026"  GC TT122 9072</v>
      </c>
      <c r="J1619" s="10"/>
    </row>
    <row r="1620" spans="1:20" x14ac:dyDescent="0.35">
      <c r="A1620" s="130" t="s">
        <v>854</v>
      </c>
      <c r="B1620" s="262">
        <v>231460</v>
      </c>
      <c r="C1620" s="276" t="s">
        <v>1070</v>
      </c>
      <c r="G1620" s="346" t="s">
        <v>423</v>
      </c>
      <c r="H1620" s="6">
        <v>9072</v>
      </c>
      <c r="J1620" s="350">
        <f>+VLOOKUP(H1620,contratos!A:R,5,0)</f>
        <v>45458</v>
      </c>
      <c r="K1620" s="266" t="str">
        <f>+VLOOKUP(H1620,contratos!A:R,12,0)</f>
        <v>OK</v>
      </c>
      <c r="L1620" s="341" t="str">
        <f>+VLOOKUP(H1620,contratos!A:R,13,0)</f>
        <v>VIGENTE</v>
      </c>
      <c r="M1620" s="341">
        <f>+VLOOKUP(H1620,contratos!A:R,15,0)</f>
        <v>0</v>
      </c>
      <c r="N1620" s="336">
        <f>+VLOOKUP(H1620,contratos!A:R,16,0)</f>
        <v>0</v>
      </c>
      <c r="O1620" s="341">
        <f>+VLOOKUP(H1620,PRORRATEO!F:M,3,0)</f>
        <v>15417759</v>
      </c>
      <c r="P1620" s="341">
        <f>+VLOOKUP(H1620,PRORRATEO!F:M,4,0)</f>
        <v>2929374.21</v>
      </c>
      <c r="Q1620" s="341">
        <f>+VLOOKUP(H1620,PRORRATEO!F:M,5,0)</f>
        <v>137680.58786999999</v>
      </c>
      <c r="R1620" s="341">
        <f>+VLOOKUP(H1620,PRORRATEO!F:M,6,0)</f>
        <v>2791693.62213</v>
      </c>
      <c r="S1620" s="339">
        <f>+VLOOKUP(H1620,PRORRATEO!F:M,7,0)</f>
        <v>4.7E-2</v>
      </c>
      <c r="T1620" s="339">
        <f>+VLOOKUP(H1620,PRORRATEO!F:M,8,0)</f>
        <v>0.95299999999999996</v>
      </c>
    </row>
    <row r="1621" spans="1:20" x14ac:dyDescent="0.35">
      <c r="B1621" s="4">
        <v>1245150017</v>
      </c>
      <c r="C1621" s="10" t="s">
        <v>1113</v>
      </c>
      <c r="D1621" s="324">
        <v>2053395</v>
      </c>
      <c r="E1621" t="s">
        <v>97</v>
      </c>
      <c r="F1621">
        <v>40</v>
      </c>
      <c r="G1621" s="316" t="str">
        <f>+CONCATENATE($G$7,"  GC T",G1620," ",H1620)</f>
        <v>"04-2026"  GC TT122 9072</v>
      </c>
      <c r="I1621" s="10">
        <f>+H1620</f>
        <v>9072</v>
      </c>
      <c r="J1621" s="10"/>
    </row>
    <row r="1622" spans="1:20" x14ac:dyDescent="0.35">
      <c r="B1622" s="4">
        <v>1149120011</v>
      </c>
      <c r="C1622" s="10" t="s">
        <v>1032</v>
      </c>
      <c r="D1622" s="299">
        <f>+D1621*0.19</f>
        <v>390145.05</v>
      </c>
      <c r="E1622" t="s">
        <v>97</v>
      </c>
      <c r="F1622">
        <v>40</v>
      </c>
      <c r="G1622" s="318" t="str">
        <f>+G1621</f>
        <v>"04-2026"  GC TT122 9072</v>
      </c>
      <c r="I1622" s="10">
        <f>+I1621</f>
        <v>9072</v>
      </c>
      <c r="J1622" s="10"/>
    </row>
    <row r="1623" spans="1:20" x14ac:dyDescent="0.35">
      <c r="C1623" s="251" t="s">
        <v>76</v>
      </c>
      <c r="D1623" s="265">
        <f>SUM(D1621:D1622)</f>
        <v>2443540.0499999998</v>
      </c>
      <c r="G1623" s="318" t="str">
        <f>+G1622</f>
        <v>"04-2026"  GC TT122 9072</v>
      </c>
      <c r="J1623" s="10"/>
    </row>
    <row r="1624" spans="1:20" x14ac:dyDescent="0.35">
      <c r="A1624" s="130" t="s">
        <v>854</v>
      </c>
      <c r="B1624" s="262">
        <v>231456</v>
      </c>
      <c r="C1624" s="276" t="s">
        <v>1070</v>
      </c>
      <c r="G1624" s="444" t="s">
        <v>1293</v>
      </c>
      <c r="H1624" s="445" t="s">
        <v>1294</v>
      </c>
      <c r="J1624" s="350">
        <f>+VLOOKUP(H1624,contratos!A:R,5,0)</f>
        <v>45567</v>
      </c>
      <c r="K1624" s="266" t="str">
        <f>+VLOOKUP(H1624,contratos!A:R,12,0)</f>
        <v>OK</v>
      </c>
      <c r="L1624" s="341" t="str">
        <f>+VLOOKUP(H1624,contratos!A:R,13,0)</f>
        <v>VIGENTE</v>
      </c>
      <c r="M1624" s="341">
        <f>+VLOOKUP(H1624,contratos!A:R,15,0)</f>
        <v>0</v>
      </c>
      <c r="N1624" s="336">
        <f>+VLOOKUP(H1624,contratos!A:R,16,0)</f>
        <v>0</v>
      </c>
      <c r="O1624" s="341" t="e">
        <f>+VLOOKUP(H1624,PRORRATEO!F:M,3,0)</f>
        <v>#N/A</v>
      </c>
      <c r="P1624" s="341" t="e">
        <f>+VLOOKUP(H1624,PRORRATEO!F:M,4,0)</f>
        <v>#N/A</v>
      </c>
      <c r="Q1624" s="341" t="e">
        <f>+VLOOKUP(H1624,PRORRATEO!F:M,5,0)</f>
        <v>#N/A</v>
      </c>
      <c r="R1624" s="341" t="e">
        <f>+VLOOKUP(H1624,PRORRATEO!F:M,6,0)</f>
        <v>#N/A</v>
      </c>
      <c r="S1624" s="339" t="e">
        <f>+VLOOKUP(H1624,PRORRATEO!F:M,7,0)</f>
        <v>#N/A</v>
      </c>
      <c r="T1624" s="339" t="e">
        <f>+VLOOKUP(H1624,PRORRATEO!F:M,8,0)</f>
        <v>#N/A</v>
      </c>
    </row>
    <row r="1625" spans="1:20" x14ac:dyDescent="0.35">
      <c r="B1625" s="4">
        <v>1245150017</v>
      </c>
      <c r="C1625" s="10" t="s">
        <v>1113</v>
      </c>
      <c r="D1625" s="324">
        <v>1356333</v>
      </c>
      <c r="E1625" t="s">
        <v>97</v>
      </c>
      <c r="F1625">
        <v>40</v>
      </c>
      <c r="G1625" s="316" t="str">
        <f>+CONCATENATE($G$7,"  GC T",G1624," ",H1624)</f>
        <v>"04-2026"  GC TT139 Q137</v>
      </c>
      <c r="I1625" s="10" t="str">
        <f>+H1624</f>
        <v>Q137</v>
      </c>
      <c r="J1625" s="10"/>
    </row>
    <row r="1626" spans="1:20" x14ac:dyDescent="0.35">
      <c r="B1626" s="4">
        <v>1149120011</v>
      </c>
      <c r="C1626" s="10" t="s">
        <v>1032</v>
      </c>
      <c r="D1626" s="299">
        <f>+D1625*0.19</f>
        <v>257703.27</v>
      </c>
      <c r="E1626" t="s">
        <v>97</v>
      </c>
      <c r="F1626">
        <v>40</v>
      </c>
      <c r="G1626" s="318" t="str">
        <f>+G1625</f>
        <v>"04-2026"  GC TT139 Q137</v>
      </c>
      <c r="I1626" s="10" t="str">
        <f>+I1625</f>
        <v>Q137</v>
      </c>
      <c r="J1626" s="10"/>
    </row>
    <row r="1627" spans="1:20" x14ac:dyDescent="0.35">
      <c r="C1627" s="251" t="s">
        <v>76</v>
      </c>
      <c r="D1627" s="265">
        <f>SUM(D1625:D1626)</f>
        <v>1614036.27</v>
      </c>
      <c r="G1627" s="318" t="str">
        <f>+G1626</f>
        <v>"04-2026"  GC TT139 Q137</v>
      </c>
      <c r="J1627" s="10"/>
    </row>
    <row r="1628" spans="1:20" x14ac:dyDescent="0.35">
      <c r="A1628" s="130" t="s">
        <v>853</v>
      </c>
      <c r="B1628" s="262">
        <v>205669</v>
      </c>
      <c r="C1628" s="276" t="s">
        <v>1139</v>
      </c>
      <c r="D1628" s="323">
        <f>SUM(D1629:D1632)</f>
        <v>10899313.278411264</v>
      </c>
      <c r="G1628" s="10" t="s">
        <v>465</v>
      </c>
      <c r="H1628" s="54">
        <v>9575</v>
      </c>
      <c r="J1628" s="350">
        <f>+VLOOKUP(H1628,contratos!A:R,5,0)</f>
        <v>45552</v>
      </c>
      <c r="K1628" s="266" t="str">
        <f>+VLOOKUP(H1628,contratos!A:R,12,0)</f>
        <v>OK</v>
      </c>
      <c r="L1628" s="341" t="str">
        <f>+VLOOKUP(H1628,contratos!A:R,13,0)</f>
        <v>VIGENTE</v>
      </c>
      <c r="M1628" s="341">
        <f>+VLOOKUP(H1628,contratos!A:R,15,0)</f>
        <v>0</v>
      </c>
      <c r="N1628" s="336">
        <f>+VLOOKUP(H1628,contratos!A:R,16,0)</f>
        <v>0</v>
      </c>
      <c r="O1628" s="341">
        <f>+VLOOKUP(H1628,PRORRATEO!F:M,3,0)</f>
        <v>14238800</v>
      </c>
      <c r="P1628" s="341">
        <f>+VLOOKUP(H1628,PRORRATEO!F:M,4,0)</f>
        <v>2705372</v>
      </c>
      <c r="Q1628" s="341">
        <f>+VLOOKUP(H1628,PRORRATEO!F:M,5,0)</f>
        <v>254304.96799999999</v>
      </c>
      <c r="R1628" s="341">
        <f>+VLOOKUP(H1628,PRORRATEO!F:M,6,0)</f>
        <v>2451067.0320000001</v>
      </c>
      <c r="S1628" s="339">
        <f>+VLOOKUP(H1628,PRORRATEO!F:M,7,0)</f>
        <v>9.4E-2</v>
      </c>
      <c r="T1628" s="339">
        <f>+VLOOKUP(H1628,PRORRATEO!F:M,8,0)</f>
        <v>0.90600000000000003</v>
      </c>
    </row>
    <row r="1629" spans="1:20" x14ac:dyDescent="0.35">
      <c r="B1629" s="263">
        <v>1245150017</v>
      </c>
      <c r="C1629" s="10" t="s">
        <v>1113</v>
      </c>
      <c r="D1629" s="268">
        <v>8543280</v>
      </c>
      <c r="E1629" t="s">
        <v>97</v>
      </c>
      <c r="F1629" s="263">
        <v>40</v>
      </c>
      <c r="G1629" s="348" t="str">
        <f>+CONCATENATE($G$7," RF/GC ",G1628," ",H1628)</f>
        <v>"04-2026" RF/GC T134 9575</v>
      </c>
      <c r="I1629" s="10">
        <f>+H1628</f>
        <v>9575</v>
      </c>
      <c r="J1629" s="10"/>
    </row>
    <row r="1630" spans="1:20" x14ac:dyDescent="0.35">
      <c r="B1630" s="263">
        <v>1245150017</v>
      </c>
      <c r="C1630" s="10" t="s">
        <v>1113</v>
      </c>
      <c r="D1630" s="268">
        <v>1302362</v>
      </c>
      <c r="E1630" t="s">
        <v>80</v>
      </c>
      <c r="F1630" s="263">
        <v>40</v>
      </c>
      <c r="G1630" s="318" t="str">
        <f>+G1629</f>
        <v>"04-2026" RF/GC T134 9575</v>
      </c>
      <c r="I1630" s="10">
        <f>+I1629</f>
        <v>9575</v>
      </c>
      <c r="J1630" s="10"/>
    </row>
    <row r="1631" spans="1:20" x14ac:dyDescent="0.35">
      <c r="B1631" s="263">
        <v>1149120011</v>
      </c>
      <c r="C1631" s="10" t="s">
        <v>1032</v>
      </c>
      <c r="D1631" s="268">
        <v>1352686</v>
      </c>
      <c r="E1631" t="s">
        <v>97</v>
      </c>
      <c r="F1631" s="263">
        <v>40</v>
      </c>
      <c r="G1631" s="318" t="str">
        <f>+G1630</f>
        <v>"04-2026" RF/GC T134 9575</v>
      </c>
      <c r="I1631" s="10">
        <f>+I1630</f>
        <v>9575</v>
      </c>
      <c r="J1631" s="10"/>
    </row>
    <row r="1632" spans="1:20" x14ac:dyDescent="0.35">
      <c r="B1632" s="4">
        <v>1246125027</v>
      </c>
      <c r="C1632" s="10" t="s">
        <v>962</v>
      </c>
      <c r="D1632" s="268">
        <f>-D1629*J1632</f>
        <v>-299014.7215887357</v>
      </c>
      <c r="G1632" s="318" t="str">
        <f>+G1631</f>
        <v>"04-2026" RF/GC T134 9575</v>
      </c>
      <c r="I1632" s="410" t="s">
        <v>857</v>
      </c>
      <c r="J1632" s="351">
        <v>3.4999990821878213E-2</v>
      </c>
    </row>
    <row r="1633" spans="1:20" hidden="1" x14ac:dyDescent="0.35">
      <c r="G1633"/>
      <c r="J1633"/>
      <c r="K1633"/>
      <c r="L1633" s="19"/>
      <c r="M1633" s="19"/>
      <c r="N1633"/>
      <c r="O1633" s="19"/>
      <c r="P1633" s="19"/>
      <c r="Q1633" s="19"/>
      <c r="R1633" s="19"/>
      <c r="S1633" s="201"/>
      <c r="T1633" s="201"/>
    </row>
    <row r="1634" spans="1:20" x14ac:dyDescent="0.35">
      <c r="A1634" s="130" t="s">
        <v>854</v>
      </c>
      <c r="B1634" s="14">
        <v>206868</v>
      </c>
      <c r="C1634" s="15" t="s">
        <v>401</v>
      </c>
      <c r="G1634" s="10" t="str">
        <f>VLOOKUP(B1634,ADMON!A:P,5,0)</f>
        <v>T111</v>
      </c>
      <c r="H1634" s="54">
        <f>+VLOOKUP(G1634,ADMON!E:G,3,0)</f>
        <v>8751</v>
      </c>
      <c r="J1634" s="350">
        <f>+VLOOKUP(H1634,contratos!A:R,5,0)</f>
        <v>45566</v>
      </c>
      <c r="K1634" s="266" t="str">
        <f>+VLOOKUP(H1634,contratos!A:R,12,0)</f>
        <v>OK</v>
      </c>
      <c r="L1634" s="341" t="str">
        <f>+VLOOKUP(H1634,contratos!A:R,13,0)</f>
        <v>VIGENTE</v>
      </c>
      <c r="M1634" s="341">
        <f>+VLOOKUP(H1634,contratos!A:R,15,0)</f>
        <v>0</v>
      </c>
      <c r="N1634" s="336">
        <f>+VLOOKUP(H1634,contratos!A:R,16,0)</f>
        <v>0</v>
      </c>
      <c r="O1634" s="341">
        <f>+VLOOKUP(H1634,PRORRATEO!F:M,3,0)</f>
        <v>13676000</v>
      </c>
      <c r="P1634" s="341">
        <f>+VLOOKUP(H1634,PRORRATEO!F:M,4,0)</f>
        <v>2598440</v>
      </c>
      <c r="Q1634" s="341">
        <f>+VLOOKUP(H1634,PRORRATEO!F:M,5,0)</f>
        <v>142914.20000000001</v>
      </c>
      <c r="R1634" s="341">
        <f>+VLOOKUP(H1634,PRORRATEO!F:M,6,0)</f>
        <v>2455525.7999999998</v>
      </c>
      <c r="S1634" s="339">
        <f>+VLOOKUP(H1634,PRORRATEO!F:M,7,0)</f>
        <v>5.5E-2</v>
      </c>
      <c r="T1634" s="339">
        <f>+VLOOKUP(H1634,PRORRATEO!F:M,8,0)</f>
        <v>0.94499999999999995</v>
      </c>
    </row>
    <row r="1635" spans="1:20" x14ac:dyDescent="0.35">
      <c r="B1635" s="4">
        <v>1537210003</v>
      </c>
      <c r="C1635" s="251" t="s">
        <v>79</v>
      </c>
      <c r="D1635" s="268">
        <f>+L1635</f>
        <v>467381</v>
      </c>
      <c r="E1635" s="10" t="s">
        <v>80</v>
      </c>
      <c r="F1635">
        <v>40</v>
      </c>
      <c r="G1635" s="316" t="str">
        <f>+CONCATENATE($G$7,"  GC T",G1634," ",H1634)</f>
        <v>"04-2026"  GC TT111 8751</v>
      </c>
      <c r="I1635" s="10">
        <f>+H1634</f>
        <v>8751</v>
      </c>
      <c r="J1635" s="10" t="s">
        <v>1184</v>
      </c>
      <c r="L1635" s="316">
        <v>467381</v>
      </c>
    </row>
    <row r="1636" spans="1:20" x14ac:dyDescent="0.35">
      <c r="B1636" s="4">
        <v>1532001605</v>
      </c>
      <c r="C1636" s="251" t="s">
        <v>972</v>
      </c>
      <c r="D1636" s="268">
        <f>+L1636</f>
        <v>544126</v>
      </c>
      <c r="E1636" s="10" t="s">
        <v>80</v>
      </c>
      <c r="F1636">
        <v>40</v>
      </c>
      <c r="G1636" s="318" t="str">
        <f>+G1635</f>
        <v>"04-2026"  GC TT111 8751</v>
      </c>
      <c r="I1636" s="10">
        <f>+I1635</f>
        <v>8751</v>
      </c>
      <c r="J1636" s="10" t="s">
        <v>855</v>
      </c>
      <c r="L1636" s="341">
        <v>544126</v>
      </c>
    </row>
    <row r="1637" spans="1:20" x14ac:dyDescent="0.35">
      <c r="B1637" s="4">
        <v>1537210002</v>
      </c>
      <c r="C1637" s="251" t="s">
        <v>85</v>
      </c>
      <c r="D1637" s="323">
        <f>+L1637</f>
        <v>3771393</v>
      </c>
      <c r="E1637" s="10" t="s">
        <v>80</v>
      </c>
      <c r="F1637">
        <v>40</v>
      </c>
      <c r="G1637" s="318" t="str">
        <f>+G1636</f>
        <v>"04-2026"  GC TT111 8751</v>
      </c>
      <c r="I1637" s="10">
        <f>+I1636</f>
        <v>8751</v>
      </c>
      <c r="J1637" s="10" t="s">
        <v>1196</v>
      </c>
      <c r="L1637" s="341">
        <v>3771393</v>
      </c>
    </row>
    <row r="1638" spans="1:20" x14ac:dyDescent="0.35">
      <c r="C1638" s="251" t="s">
        <v>76</v>
      </c>
      <c r="D1638" s="332">
        <f>SUM(D1635:D1637)</f>
        <v>4782900</v>
      </c>
      <c r="G1638" s="318" t="str">
        <f>+G1637</f>
        <v>"04-2026"  GC TT111 8751</v>
      </c>
      <c r="I1638" s="10">
        <f>+I1637</f>
        <v>8751</v>
      </c>
      <c r="J1638" s="10"/>
    </row>
    <row r="1639" spans="1:20" x14ac:dyDescent="0.35">
      <c r="A1639" s="130" t="s">
        <v>1048</v>
      </c>
      <c r="B1639" s="14">
        <v>238658</v>
      </c>
      <c r="C1639" s="15" t="s">
        <v>1064</v>
      </c>
      <c r="E1639"/>
      <c r="G1639" s="346" t="s">
        <v>1211</v>
      </c>
      <c r="H1639" s="6" t="s">
        <v>1195</v>
      </c>
      <c r="I1639" s="10" t="s">
        <v>865</v>
      </c>
      <c r="J1639" s="350">
        <f>+VLOOKUP(H1639,contratos!A:R,5,0)</f>
        <v>45366</v>
      </c>
      <c r="K1639" s="266" t="str">
        <f>+VLOOKUP(H1639,contratos!A:R,12,0)</f>
        <v>OK</v>
      </c>
      <c r="L1639" s="341" t="str">
        <f>+VLOOKUP(H1639,contratos!A:R,13,0)</f>
        <v>VIGENTE</v>
      </c>
      <c r="M1639" s="341">
        <f>+VLOOKUP(H1639,contratos!A:R,15,0)</f>
        <v>0</v>
      </c>
      <c r="N1639" s="336">
        <f>+VLOOKUP(H1639,contratos!A:R,16,0)</f>
        <v>0</v>
      </c>
      <c r="O1639" s="341" t="e">
        <f>+VLOOKUP(B1639,PRORRATEO!A:M,8,0)</f>
        <v>#N/A</v>
      </c>
      <c r="P1639" s="341" t="e">
        <f>+VLOOKUP(B1639,PRORRATEO!A:M,9,0)</f>
        <v>#N/A</v>
      </c>
      <c r="Q1639" s="341" t="e">
        <f>+VLOOKUP(B1639,PRORRATEO!A:M,10,0)</f>
        <v>#N/A</v>
      </c>
      <c r="R1639" s="341" t="e">
        <f>+VLOOKUP(B1639,PRORRATEO!A:M,11,0)</f>
        <v>#N/A</v>
      </c>
      <c r="S1639" s="339" t="e">
        <f>+VLOOKUP(B1639,PRORRATEO!A:M,12,0)</f>
        <v>#N/A</v>
      </c>
      <c r="T1639" s="339" t="e">
        <f>+VLOOKUP(B1639,PRORRATEO!A:M,13,0)</f>
        <v>#N/A</v>
      </c>
    </row>
    <row r="1640" spans="1:20" x14ac:dyDescent="0.35">
      <c r="B1640" s="263">
        <v>1537210002</v>
      </c>
      <c r="C1640" s="10" t="s">
        <v>1015</v>
      </c>
      <c r="D1640" s="268">
        <v>1305710</v>
      </c>
      <c r="E1640" s="263" t="s">
        <v>98</v>
      </c>
      <c r="F1640">
        <v>40</v>
      </c>
      <c r="G1640" s="348" t="str">
        <f>+CONCATENATE($G$7," SERVICIO ECOP ",G1639," ",H1639)</f>
        <v>"04-2026" SERVICIO ECOP TS642 P834</v>
      </c>
      <c r="H1640" s="252"/>
      <c r="J1640" s="350" t="str">
        <f>+H1639</f>
        <v>P834</v>
      </c>
      <c r="K1640" s="335"/>
      <c r="N1640" s="336"/>
    </row>
    <row r="1641" spans="1:20" x14ac:dyDescent="0.35">
      <c r="B1641" s="4">
        <v>1149120011</v>
      </c>
      <c r="C1641" s="10" t="s">
        <v>96</v>
      </c>
      <c r="D1641" s="268">
        <f>+D1640*0.19</f>
        <v>248084.9</v>
      </c>
      <c r="E1641" s="4" t="s">
        <v>98</v>
      </c>
      <c r="F1641">
        <v>40</v>
      </c>
      <c r="G1641" s="318" t="str">
        <f>+G1640</f>
        <v>"04-2026" SERVICIO ECOP TS642 P834</v>
      </c>
      <c r="J1641" s="10"/>
    </row>
    <row r="1642" spans="1:20" x14ac:dyDescent="0.35">
      <c r="A1642" s="130" t="s">
        <v>1048</v>
      </c>
      <c r="B1642" s="14">
        <v>238658</v>
      </c>
      <c r="C1642" s="15" t="s">
        <v>1064</v>
      </c>
      <c r="D1642" s="298"/>
      <c r="E1642"/>
      <c r="G1642" s="346" t="s">
        <v>1211</v>
      </c>
      <c r="H1642" s="6" t="s">
        <v>1195</v>
      </c>
      <c r="I1642" s="10" t="s">
        <v>865</v>
      </c>
      <c r="J1642" s="350">
        <f>+VLOOKUP(H1642,contratos!A:R,5,0)</f>
        <v>45366</v>
      </c>
      <c r="K1642" s="266" t="str">
        <f>+VLOOKUP(H1642,contratos!A:R,12,0)</f>
        <v>OK</v>
      </c>
      <c r="L1642" s="341" t="str">
        <f>+VLOOKUP(H1642,contratos!A:R,13,0)</f>
        <v>VIGENTE</v>
      </c>
      <c r="M1642" s="341">
        <f>+VLOOKUP(H1642,contratos!A:R,15,0)</f>
        <v>0</v>
      </c>
      <c r="N1642" s="336">
        <f>+VLOOKUP(H1642,contratos!A:R,16,0)</f>
        <v>0</v>
      </c>
      <c r="O1642" s="341" t="e">
        <f>+VLOOKUP(B1642,PRORRATEO!A:M,8,0)</f>
        <v>#N/A</v>
      </c>
      <c r="P1642" s="341" t="e">
        <f>+VLOOKUP(B1642,PRORRATEO!A:M,9,0)</f>
        <v>#N/A</v>
      </c>
      <c r="Q1642" s="341" t="e">
        <f>+VLOOKUP(B1642,PRORRATEO!A:M,10,0)</f>
        <v>#N/A</v>
      </c>
      <c r="R1642" s="341" t="e">
        <f>+VLOOKUP(B1642,PRORRATEO!A:M,11,0)</f>
        <v>#N/A</v>
      </c>
      <c r="S1642" s="339" t="e">
        <f>+VLOOKUP(B1642,PRORRATEO!A:M,12,0)</f>
        <v>#N/A</v>
      </c>
      <c r="T1642" s="339" t="e">
        <f>+VLOOKUP(B1642,PRORRATEO!A:M,13,0)</f>
        <v>#N/A</v>
      </c>
    </row>
    <row r="1643" spans="1:20" x14ac:dyDescent="0.35">
      <c r="B1643" s="263">
        <v>1537210002</v>
      </c>
      <c r="C1643" s="10" t="s">
        <v>1015</v>
      </c>
      <c r="D1643" s="268">
        <v>3126550</v>
      </c>
      <c r="E1643" s="263" t="s">
        <v>97</v>
      </c>
      <c r="F1643">
        <v>40</v>
      </c>
      <c r="G1643" s="348" t="str">
        <f>+CONCATENATE($G$7," GC ",G1642," ",H1642)</f>
        <v>"04-2026" GC TS642 P834</v>
      </c>
      <c r="H1643" s="252"/>
      <c r="J1643" s="350" t="str">
        <f>+H1642</f>
        <v>P834</v>
      </c>
      <c r="K1643" s="335"/>
      <c r="N1643" s="336"/>
    </row>
    <row r="1644" spans="1:20" x14ac:dyDescent="0.35">
      <c r="B1644" s="4">
        <v>1149120011</v>
      </c>
      <c r="C1644" s="10" t="s">
        <v>96</v>
      </c>
      <c r="D1644" s="268">
        <f>+D1643*0.19</f>
        <v>594044.5</v>
      </c>
      <c r="E1644" s="4" t="s">
        <v>97</v>
      </c>
      <c r="F1644">
        <v>40</v>
      </c>
      <c r="G1644" s="318" t="str">
        <f>+G1643</f>
        <v>"04-2026" GC TS642 P834</v>
      </c>
      <c r="J1644" s="10"/>
    </row>
    <row r="1645" spans="1:20" x14ac:dyDescent="0.35">
      <c r="A1645" s="130" t="s">
        <v>1048</v>
      </c>
      <c r="B1645" s="14">
        <v>205547</v>
      </c>
      <c r="C1645" s="15" t="s">
        <v>895</v>
      </c>
      <c r="E1645"/>
      <c r="G1645" s="346" t="s">
        <v>1187</v>
      </c>
      <c r="H1645" s="6" t="s">
        <v>1188</v>
      </c>
      <c r="J1645" s="350">
        <f>+VLOOKUP(H1645,contratos!A:R,5,0)</f>
        <v>45292</v>
      </c>
      <c r="K1645" s="266" t="str">
        <f>+VLOOKUP(H1645,contratos!A:R,12,0)</f>
        <v>OK</v>
      </c>
      <c r="L1645" s="341" t="str">
        <f>+VLOOKUP(H1645,contratos!A:R,13,0)</f>
        <v>VIGENTE</v>
      </c>
      <c r="M1645" s="341">
        <f>+VLOOKUP(H1645,contratos!A:R,15,0)</f>
        <v>0</v>
      </c>
      <c r="N1645" s="336">
        <f>+VLOOKUP(H1645,contratos!A:R,16,0)</f>
        <v>0</v>
      </c>
      <c r="O1645" s="341">
        <f>+VLOOKUP(B1645,PRORRATEO!A:M,8,0)</f>
        <v>22377460</v>
      </c>
      <c r="P1645" s="341">
        <f>+VLOOKUP(B1645,PRORRATEO!A:M,9,0)</f>
        <v>4251717.4000000004</v>
      </c>
      <c r="Q1645" s="341">
        <f>+VLOOKUP(B1645,PRORRATEO!A:M,10,0)</f>
        <v>4251717.4000000004</v>
      </c>
      <c r="R1645" s="341">
        <f>+VLOOKUP(B1645,PRORRATEO!A:M,11,0)</f>
        <v>0</v>
      </c>
      <c r="S1645" s="339">
        <f>+VLOOKUP(B1645,PRORRATEO!A:M,12,0)</f>
        <v>1</v>
      </c>
      <c r="T1645" s="339">
        <f>+VLOOKUP(B1645,PRORRATEO!A:M,13,0)</f>
        <v>0</v>
      </c>
    </row>
    <row r="1646" spans="1:20" x14ac:dyDescent="0.35">
      <c r="B1646" s="263">
        <v>1537210004</v>
      </c>
      <c r="C1646" s="10" t="s">
        <v>1216</v>
      </c>
      <c r="D1646" s="268">
        <v>9370598</v>
      </c>
      <c r="E1646" s="263" t="s">
        <v>97</v>
      </c>
      <c r="F1646">
        <v>40</v>
      </c>
      <c r="G1646" s="348" t="str">
        <f>+CONCATENATE($G$7," RF ",G1645," ",H1645)</f>
        <v>"04-2026" RF SGH638 P336</v>
      </c>
      <c r="I1646" s="10" t="str">
        <f>+H1645</f>
        <v>P336</v>
      </c>
      <c r="J1646" s="10"/>
    </row>
    <row r="1647" spans="1:20" x14ac:dyDescent="0.35">
      <c r="B1647" s="4">
        <v>1149120011</v>
      </c>
      <c r="C1647" s="10" t="s">
        <v>96</v>
      </c>
      <c r="D1647" s="328">
        <f>+D1646*0.19</f>
        <v>1780413.62</v>
      </c>
      <c r="E1647" s="4" t="s">
        <v>97</v>
      </c>
      <c r="F1647">
        <v>40</v>
      </c>
      <c r="G1647" s="318" t="str">
        <f>+G1646</f>
        <v>"04-2026" RF SGH638 P336</v>
      </c>
      <c r="J1647" s="10"/>
    </row>
    <row r="1648" spans="1:20" x14ac:dyDescent="0.35">
      <c r="B1648"/>
      <c r="C1648"/>
      <c r="D1648" s="397">
        <f>SUM(D1646:D1647)</f>
        <v>11151011.620000001</v>
      </c>
      <c r="E1648"/>
      <c r="G1648" s="318" t="str">
        <f>+G1647</f>
        <v>"04-2026" RF SGH638 P336</v>
      </c>
      <c r="H1648"/>
      <c r="I1648"/>
      <c r="J1648" s="10"/>
    </row>
    <row r="1649" spans="1:21" x14ac:dyDescent="0.35">
      <c r="A1649" s="130" t="s">
        <v>854</v>
      </c>
      <c r="B1649" s="14">
        <v>205547</v>
      </c>
      <c r="C1649" s="15" t="s">
        <v>895</v>
      </c>
      <c r="E1649"/>
      <c r="G1649" s="346" t="s">
        <v>1187</v>
      </c>
      <c r="H1649" s="6" t="s">
        <v>1188</v>
      </c>
      <c r="J1649" s="350">
        <f>+VLOOKUP(H1649,contratos!A:R,5,0)</f>
        <v>45292</v>
      </c>
      <c r="K1649" s="266" t="str">
        <f>+VLOOKUP(H1649,contratos!A:R,12,0)</f>
        <v>OK</v>
      </c>
      <c r="L1649" s="341" t="str">
        <f>+VLOOKUP(H1649,contratos!A:R,13,0)</f>
        <v>VIGENTE</v>
      </c>
      <c r="M1649" s="341">
        <f>+VLOOKUP(H1649,contratos!A:R,15,0)</f>
        <v>0</v>
      </c>
      <c r="N1649" s="336">
        <f>+VLOOKUP(H1649,contratos!A:R,16,0)</f>
        <v>0</v>
      </c>
      <c r="O1649" s="341">
        <f>+VLOOKUP(B1649,PRORRATEO!A:M,8,0)</f>
        <v>22377460</v>
      </c>
      <c r="P1649" s="341">
        <f>+VLOOKUP(B1649,PRORRATEO!A:M,9,0)</f>
        <v>4251717.4000000004</v>
      </c>
      <c r="Q1649" s="341">
        <f>+VLOOKUP(B1649,PRORRATEO!A:M,10,0)</f>
        <v>4251717.4000000004</v>
      </c>
      <c r="R1649" s="341">
        <f>+VLOOKUP(B1649,PRORRATEO!A:M,11,0)</f>
        <v>0</v>
      </c>
      <c r="S1649" s="339">
        <f>+VLOOKUP(B1649,PRORRATEO!A:M,12,0)</f>
        <v>1</v>
      </c>
      <c r="T1649" s="339">
        <f>+VLOOKUP(B1649,PRORRATEO!A:M,13,0)</f>
        <v>0</v>
      </c>
    </row>
    <row r="1650" spans="1:21" x14ac:dyDescent="0.35">
      <c r="B1650" s="4">
        <v>1532001600</v>
      </c>
      <c r="C1650" s="10" t="s">
        <v>987</v>
      </c>
      <c r="D1650" s="328">
        <v>129596</v>
      </c>
      <c r="E1650" s="263" t="s">
        <v>97</v>
      </c>
      <c r="F1650">
        <v>40</v>
      </c>
      <c r="G1650" s="348" t="str">
        <f>+CONCATENATE($G$7," GC ",G1649," ",H1649)</f>
        <v>"04-2026" GC SGH638 P336</v>
      </c>
      <c r="I1650" s="10" t="str">
        <f>+H1649</f>
        <v>P336</v>
      </c>
      <c r="J1650" s="10"/>
    </row>
    <row r="1651" spans="1:21" x14ac:dyDescent="0.35">
      <c r="D1651" s="397">
        <f>SUM(D1649:D1650)</f>
        <v>129596</v>
      </c>
      <c r="E1651"/>
      <c r="G1651" s="318" t="str">
        <f>+G1650</f>
        <v>"04-2026" GC SGH638 P336</v>
      </c>
      <c r="J1651" s="10"/>
    </row>
    <row r="1652" spans="1:21" x14ac:dyDescent="0.35">
      <c r="A1652" s="130" t="s">
        <v>854</v>
      </c>
      <c r="B1652" s="14">
        <v>205547</v>
      </c>
      <c r="C1652" s="15" t="s">
        <v>895</v>
      </c>
      <c r="E1652"/>
      <c r="G1652" s="346" t="s">
        <v>1187</v>
      </c>
      <c r="H1652" s="6" t="s">
        <v>1188</v>
      </c>
      <c r="J1652" s="350">
        <f>+VLOOKUP(H1652,contratos!A:R,5,0)</f>
        <v>45292</v>
      </c>
      <c r="K1652" s="266" t="str">
        <f>+VLOOKUP(H1652,contratos!A:R,12,0)</f>
        <v>OK</v>
      </c>
      <c r="L1652" s="341" t="str">
        <f>+VLOOKUP(H1652,contratos!A:R,13,0)</f>
        <v>VIGENTE</v>
      </c>
      <c r="M1652" s="341">
        <f>+VLOOKUP(H1652,contratos!A:R,15,0)</f>
        <v>0</v>
      </c>
      <c r="N1652" s="336">
        <f>+VLOOKUP(H1652,contratos!A:R,16,0)</f>
        <v>0</v>
      </c>
      <c r="O1652" s="341">
        <f>+VLOOKUP(B1652,PRORRATEO!A:M,8,0)</f>
        <v>22377460</v>
      </c>
      <c r="P1652" s="341">
        <f>+VLOOKUP(B1652,PRORRATEO!A:M,9,0)</f>
        <v>4251717.4000000004</v>
      </c>
      <c r="Q1652" s="341">
        <f>+VLOOKUP(B1652,PRORRATEO!A:M,10,0)</f>
        <v>4251717.4000000004</v>
      </c>
      <c r="R1652" s="341">
        <f>+VLOOKUP(B1652,PRORRATEO!A:M,11,0)</f>
        <v>0</v>
      </c>
      <c r="S1652" s="339">
        <f>+VLOOKUP(B1652,PRORRATEO!A:M,12,0)</f>
        <v>1</v>
      </c>
      <c r="T1652" s="339">
        <f>+VLOOKUP(B1652,PRORRATEO!A:M,13,0)</f>
        <v>0</v>
      </c>
    </row>
    <row r="1653" spans="1:21" x14ac:dyDescent="0.35">
      <c r="B1653" s="209">
        <v>1532001605</v>
      </c>
      <c r="C1653" s="251" t="s">
        <v>1030</v>
      </c>
      <c r="D1653" s="328">
        <v>1105361</v>
      </c>
      <c r="E1653" s="16" t="s">
        <v>80</v>
      </c>
      <c r="F1653" s="209">
        <v>40</v>
      </c>
      <c r="G1653" s="316" t="str">
        <f>+CONCATENATE($G$7,"  ENERGIA ",G1652," ",H1652)</f>
        <v>"04-2026"  ENERGIA SGH638 P336</v>
      </c>
      <c r="I1653" s="10" t="str">
        <f>+H1652</f>
        <v>P336</v>
      </c>
      <c r="J1653" s="10"/>
    </row>
    <row r="1654" spans="1:21" x14ac:dyDescent="0.35">
      <c r="D1654" s="397">
        <f>SUM(D1652:D1653)</f>
        <v>1105361</v>
      </c>
      <c r="E1654"/>
      <c r="G1654" s="318" t="str">
        <f>+G1653</f>
        <v>"04-2026"  ENERGIA SGH638 P336</v>
      </c>
      <c r="J1654" s="10"/>
    </row>
    <row r="1655" spans="1:21" x14ac:dyDescent="0.35">
      <c r="A1655" s="130" t="s">
        <v>854</v>
      </c>
      <c r="B1655" s="14">
        <v>205547</v>
      </c>
      <c r="C1655" s="15" t="s">
        <v>895</v>
      </c>
      <c r="E1655"/>
      <c r="G1655" s="346" t="s">
        <v>1187</v>
      </c>
      <c r="H1655" s="6" t="s">
        <v>1188</v>
      </c>
      <c r="J1655" s="350">
        <f>+VLOOKUP(H1655,contratos!A:R,5,0)</f>
        <v>45292</v>
      </c>
      <c r="K1655" s="266" t="str">
        <f>+VLOOKUP(H1655,contratos!A:R,12,0)</f>
        <v>OK</v>
      </c>
      <c r="L1655" s="341" t="str">
        <f>+VLOOKUP(H1655,contratos!A:R,13,0)</f>
        <v>VIGENTE</v>
      </c>
      <c r="M1655" s="341">
        <f>+VLOOKUP(H1655,contratos!A:R,15,0)</f>
        <v>0</v>
      </c>
      <c r="N1655" s="336">
        <f>+VLOOKUP(H1655,contratos!A:R,16,0)</f>
        <v>0</v>
      </c>
      <c r="O1655" s="341">
        <f>+VLOOKUP(B1655,PRORRATEO!A:M,8,0)</f>
        <v>22377460</v>
      </c>
      <c r="P1655" s="341">
        <f>+VLOOKUP(B1655,PRORRATEO!A:M,9,0)</f>
        <v>4251717.4000000004</v>
      </c>
      <c r="Q1655" s="341">
        <f>+VLOOKUP(B1655,PRORRATEO!A:M,10,0)</f>
        <v>4251717.4000000004</v>
      </c>
      <c r="R1655" s="341">
        <f>+VLOOKUP(B1655,PRORRATEO!A:M,11,0)</f>
        <v>0</v>
      </c>
      <c r="S1655" s="339">
        <f>+VLOOKUP(B1655,PRORRATEO!A:M,12,0)</f>
        <v>1</v>
      </c>
      <c r="T1655" s="339">
        <f>+VLOOKUP(B1655,PRORRATEO!A:M,13,0)</f>
        <v>0</v>
      </c>
    </row>
    <row r="1656" spans="1:21" x14ac:dyDescent="0.35">
      <c r="B1656" s="209">
        <v>1532001605</v>
      </c>
      <c r="C1656" s="251" t="s">
        <v>1030</v>
      </c>
      <c r="D1656" s="328">
        <v>4002</v>
      </c>
      <c r="E1656" s="16" t="s">
        <v>80</v>
      </c>
      <c r="F1656" s="209">
        <v>40</v>
      </c>
      <c r="G1656" s="316" t="str">
        <f>+CONCATENATE($G$7,"  ENERGIA ",G1655," ",H1655)</f>
        <v>"04-2026"  ENERGIA SGH638 P336</v>
      </c>
      <c r="I1656" s="10" t="str">
        <f>+H1655</f>
        <v>P336</v>
      </c>
      <c r="J1656" s="10"/>
    </row>
    <row r="1657" spans="1:21" x14ac:dyDescent="0.35">
      <c r="D1657" s="397">
        <f>SUM(D1655:D1656)</f>
        <v>4002</v>
      </c>
      <c r="E1657"/>
      <c r="G1657" s="318" t="str">
        <f>+G1656</f>
        <v>"04-2026"  ENERGIA SGH638 P336</v>
      </c>
      <c r="J1657" s="10"/>
    </row>
    <row r="1658" spans="1:21" x14ac:dyDescent="0.35">
      <c r="A1658" s="130" t="s">
        <v>853</v>
      </c>
      <c r="B1658" s="14">
        <v>243073</v>
      </c>
      <c r="C1658" s="251" t="s">
        <v>1037</v>
      </c>
      <c r="D1658" s="298"/>
      <c r="G1658" s="314" t="s">
        <v>666</v>
      </c>
      <c r="H1658" s="6" t="s">
        <v>668</v>
      </c>
      <c r="J1658" s="350" t="e">
        <f>+VLOOKUP(H1658,contratos!A:R,5,0)</f>
        <v>#N/A</v>
      </c>
      <c r="K1658" s="266" t="e">
        <f>+VLOOKUP(H1658,contratos!A:R,12,0)</f>
        <v>#N/A</v>
      </c>
      <c r="L1658" s="341" t="e">
        <f>+VLOOKUP(H1658,contratos!A:R,13,0)</f>
        <v>#N/A</v>
      </c>
      <c r="M1658" s="341" t="e">
        <f>+VLOOKUP(H1658,contratos!A:R,15,0)</f>
        <v>#N/A</v>
      </c>
      <c r="N1658" s="336" t="e">
        <f>+VLOOKUP(H1658,contratos!A:R,16,0)</f>
        <v>#N/A</v>
      </c>
      <c r="O1658" s="341">
        <f>+VLOOKUP(B1658,PRORRATEO!A:M,8,0)</f>
        <v>30575345</v>
      </c>
      <c r="P1658" s="341">
        <f>+VLOOKUP(B1658,PRORRATEO!A:M,9,0)</f>
        <v>5809315.5499999998</v>
      </c>
      <c r="Q1658" s="341">
        <f>+VLOOKUP(B1658,PRORRATEO!A:M,10,0)</f>
        <v>5809315.5499999998</v>
      </c>
      <c r="R1658" s="341">
        <f>+VLOOKUP(B1658,PRORRATEO!A:M,11,0)</f>
        <v>0</v>
      </c>
      <c r="S1658" s="339">
        <f>+VLOOKUP(B1658,PRORRATEO!A:M,12,0)</f>
        <v>1</v>
      </c>
      <c r="T1658" s="339">
        <f>+VLOOKUP(B1658,PRORRATEO!A:M,13,0)</f>
        <v>0</v>
      </c>
    </row>
    <row r="1659" spans="1:21" x14ac:dyDescent="0.35">
      <c r="B1659" s="4">
        <v>243073</v>
      </c>
      <c r="C1659" s="251" t="s">
        <v>983</v>
      </c>
      <c r="D1659" s="298">
        <f>SUM(D1660:D1662)</f>
        <v>8848395.0103131142</v>
      </c>
      <c r="E1659" t="s">
        <v>98</v>
      </c>
      <c r="F1659">
        <v>31</v>
      </c>
      <c r="G1659" s="316" t="str">
        <f>+CONCATENATE($G$7," RV ",G1658," ",H1658)</f>
        <v>"04-2026" RV SGH632 A544</v>
      </c>
      <c r="J1659" s="10"/>
    </row>
    <row r="1660" spans="1:21" x14ac:dyDescent="0.35">
      <c r="B1660" s="209">
        <v>1537210004</v>
      </c>
      <c r="C1660" s="251" t="s">
        <v>1018</v>
      </c>
      <c r="D1660" s="268">
        <v>7660948</v>
      </c>
      <c r="E1660" s="16" t="s">
        <v>98</v>
      </c>
      <c r="F1660" s="209">
        <v>40</v>
      </c>
      <c r="G1660" s="348" t="str">
        <f>+G1659</f>
        <v>"04-2026" RV SGH632 A544</v>
      </c>
      <c r="I1660" s="10" t="str">
        <f>+H1658</f>
        <v>A544</v>
      </c>
      <c r="J1660" s="10"/>
    </row>
    <row r="1661" spans="1:21" x14ac:dyDescent="0.35">
      <c r="B1661" s="4">
        <v>1149120011</v>
      </c>
      <c r="C1661" s="251" t="s">
        <v>1032</v>
      </c>
      <c r="D1661" s="298">
        <f>+D1660*0.19</f>
        <v>1455580.12</v>
      </c>
      <c r="E1661" t="s">
        <v>98</v>
      </c>
      <c r="F1661">
        <v>40</v>
      </c>
      <c r="G1661" s="316" t="str">
        <f>+G1660</f>
        <v>"04-2026" RV SGH632 A544</v>
      </c>
      <c r="J1661" s="10"/>
    </row>
    <row r="1662" spans="1:21" x14ac:dyDescent="0.35">
      <c r="B1662" s="4">
        <v>1246125027</v>
      </c>
      <c r="C1662" s="251" t="s">
        <v>962</v>
      </c>
      <c r="D1662" s="298">
        <f>-D1660*J1662</f>
        <v>-268133.10968688625</v>
      </c>
      <c r="E1662"/>
      <c r="F1662">
        <v>50</v>
      </c>
      <c r="G1662" s="316" t="str">
        <f>+G1661</f>
        <v>"04-2026" RV SGH632 A544</v>
      </c>
      <c r="I1662" s="251" t="s">
        <v>857</v>
      </c>
      <c r="J1662" s="352">
        <v>3.4999990821878213E-2</v>
      </c>
    </row>
    <row r="1663" spans="1:21" x14ac:dyDescent="0.35">
      <c r="A1663" s="130" t="s">
        <v>855</v>
      </c>
      <c r="B1663" s="262">
        <v>205547</v>
      </c>
      <c r="C1663" s="276" t="s">
        <v>46</v>
      </c>
      <c r="D1663" s="298"/>
      <c r="E1663"/>
      <c r="G1663" s="346" t="s">
        <v>1170</v>
      </c>
      <c r="H1663" s="6" t="s">
        <v>228</v>
      </c>
      <c r="I1663" s="10" t="s">
        <v>865</v>
      </c>
      <c r="J1663" s="350">
        <f>+VLOOKUP(H1663,contratos!A:R,5,0)</f>
        <v>44505</v>
      </c>
      <c r="K1663" s="266" t="str">
        <f>+VLOOKUP(H1663,contratos!A:R,12,0)</f>
        <v>OK</v>
      </c>
      <c r="L1663" s="341" t="str">
        <f>+VLOOKUP(H1663,contratos!A:R,13,0)</f>
        <v>VIGENTE</v>
      </c>
      <c r="M1663" s="341">
        <f>+VLOOKUP(H1663,contratos!A:R,15,0)</f>
        <v>0</v>
      </c>
      <c r="N1663" s="336">
        <f>+VLOOKUP(H1663,contratos!A:R,16,0)</f>
        <v>0</v>
      </c>
      <c r="O1663" s="341">
        <f>+VLOOKUP(B1663,PRORRATEO!A:M,8,0)</f>
        <v>22377460</v>
      </c>
      <c r="P1663" s="341">
        <f>+VLOOKUP(B1663,PRORRATEO!A:M,9,0)</f>
        <v>4251717.4000000004</v>
      </c>
      <c r="Q1663" s="341">
        <f>+VLOOKUP(B1663,PRORRATEO!A:M,10,0)</f>
        <v>4251717.4000000004</v>
      </c>
      <c r="R1663" s="341">
        <f>+VLOOKUP(B1663,PRORRATEO!A:M,11,0)</f>
        <v>0</v>
      </c>
      <c r="S1663" s="339">
        <f>+VLOOKUP(B1663,PRORRATEO!A:M,12,0)</f>
        <v>1</v>
      </c>
      <c r="T1663" s="339">
        <f>+VLOOKUP(B1663,PRORRATEO!A:M,13,0)</f>
        <v>0</v>
      </c>
      <c r="U1663" t="s">
        <v>662</v>
      </c>
    </row>
    <row r="1664" spans="1:21" x14ac:dyDescent="0.35">
      <c r="B1664" s="209">
        <v>1532001605</v>
      </c>
      <c r="C1664" s="251" t="s">
        <v>1030</v>
      </c>
      <c r="D1664" s="328">
        <v>592484</v>
      </c>
      <c r="E1664" s="16" t="s">
        <v>80</v>
      </c>
      <c r="F1664" s="209">
        <v>40</v>
      </c>
      <c r="G1664" s="316" t="str">
        <f>+CONCATENATE($G$7,"  ENERGIA ",G1663," ",H1663)</f>
        <v>"04-2026"  ENERGIA TSGH635 A997</v>
      </c>
      <c r="I1664" s="10" t="str">
        <f>+H1663</f>
        <v>A997</v>
      </c>
      <c r="J1664" s="350"/>
      <c r="K1664" s="335"/>
      <c r="N1664" s="336"/>
    </row>
    <row r="1665" spans="1:21" ht="15" customHeight="1" x14ac:dyDescent="0.35">
      <c r="C1665" s="251" t="s">
        <v>76</v>
      </c>
      <c r="D1665" s="332">
        <f>SUBTOTAL(9,D1664:D1664)</f>
        <v>592484</v>
      </c>
      <c r="E1665"/>
      <c r="G1665" s="318" t="str">
        <f>+CONCATENATE($G$7," RF/GC/FP/ASEO ",G1663," ",H1663)</f>
        <v>"04-2026" RF/GC/FP/ASEO TSGH635 A997</v>
      </c>
      <c r="I1665" s="10" t="str">
        <f>+I1664</f>
        <v>A997</v>
      </c>
      <c r="J1665" s="350"/>
      <c r="K1665" s="335"/>
      <c r="N1665" s="336"/>
    </row>
    <row r="1666" spans="1:21" x14ac:dyDescent="0.35">
      <c r="A1666" s="130" t="s">
        <v>853</v>
      </c>
      <c r="B1666" s="14">
        <v>238175</v>
      </c>
      <c r="C1666" s="251" t="s">
        <v>1178</v>
      </c>
      <c r="D1666" s="298">
        <f>+D1667+D1668+D1669+D1670-D1671</f>
        <v>9612108.8529583085</v>
      </c>
      <c r="G1666" s="346" t="s">
        <v>656</v>
      </c>
      <c r="H1666" s="6">
        <v>9304</v>
      </c>
      <c r="J1666" s="350">
        <f>+VLOOKUP(H1666,contratos!A:R,5,0)</f>
        <v>43059</v>
      </c>
      <c r="K1666" s="266" t="str">
        <f>+VLOOKUP(H1666,contratos!A:R,12,0)</f>
        <v>VENCIDO</v>
      </c>
      <c r="L1666" s="341" t="str">
        <f>+VLOOKUP(H1666,contratos!A:R,13,0)</f>
        <v>CESADO</v>
      </c>
      <c r="M1666" s="341">
        <f>+VLOOKUP(H1666,contratos!A:R,15,0)</f>
        <v>0</v>
      </c>
      <c r="N1666" s="336">
        <f>+VLOOKUP(H1666,contratos!A:R,16,0)</f>
        <v>0</v>
      </c>
      <c r="O1666" s="341" t="e">
        <f>+VLOOKUP(B1666,PRORRATEO!A:M,8,0)</f>
        <v>#N/A</v>
      </c>
      <c r="P1666" s="341" t="e">
        <f>+VLOOKUP(B1666,PRORRATEO!A:M,9,0)</f>
        <v>#N/A</v>
      </c>
      <c r="Q1666" s="341" t="e">
        <f>+VLOOKUP(B1666,PRORRATEO!A:M,10,0)</f>
        <v>#N/A</v>
      </c>
      <c r="R1666" s="341" t="e">
        <f>+VLOOKUP(B1666,PRORRATEO!A:M,11,0)</f>
        <v>#N/A</v>
      </c>
      <c r="S1666" s="339" t="e">
        <f>+VLOOKUP(B1666,PRORRATEO!A:M,12,0)</f>
        <v>#N/A</v>
      </c>
      <c r="T1666" s="339" t="e">
        <f>+VLOOKUP(B1666,PRORRATEO!A:M,13,0)</f>
        <v>#N/A</v>
      </c>
    </row>
    <row r="1667" spans="1:21" x14ac:dyDescent="0.35">
      <c r="B1667" s="209">
        <v>1537210004</v>
      </c>
      <c r="C1667" s="251" t="s">
        <v>1033</v>
      </c>
      <c r="D1667" s="268">
        <v>6332002</v>
      </c>
      <c r="E1667" s="209" t="s">
        <v>98</v>
      </c>
      <c r="F1667">
        <v>40</v>
      </c>
      <c r="G1667" s="10" t="str">
        <f>+CONCATENATE($G$7," RV ",G1666," ",H1666)</f>
        <v>"04-2026" RV SGH605 9304</v>
      </c>
      <c r="I1667" s="10">
        <f>+H1666</f>
        <v>9304</v>
      </c>
      <c r="J1667" s="10"/>
    </row>
    <row r="1668" spans="1:21" x14ac:dyDescent="0.35">
      <c r="B1668" s="209">
        <v>1537210003</v>
      </c>
      <c r="C1668" s="251" t="s">
        <v>1116</v>
      </c>
      <c r="D1668" s="268">
        <v>633200</v>
      </c>
      <c r="E1668" s="209" t="s">
        <v>98</v>
      </c>
      <c r="F1668">
        <v>40</v>
      </c>
      <c r="G1668" s="10" t="str">
        <f>+G1667</f>
        <v>"04-2026" RV SGH605 9304</v>
      </c>
      <c r="I1668" s="10">
        <f>+I1667</f>
        <v>9304</v>
      </c>
      <c r="J1668" s="10"/>
      <c r="K1668" s="433">
        <f>+D1667+D1668+D1669</f>
        <v>8358356</v>
      </c>
    </row>
    <row r="1669" spans="1:21" x14ac:dyDescent="0.35">
      <c r="B1669" s="209">
        <v>1537210004</v>
      </c>
      <c r="C1669" s="251" t="s">
        <v>1033</v>
      </c>
      <c r="D1669" s="268">
        <v>1393154</v>
      </c>
      <c r="E1669" s="209" t="s">
        <v>98</v>
      </c>
      <c r="F1669">
        <v>40</v>
      </c>
      <c r="G1669" s="10" t="str">
        <f>+CONCATENATE($G$7," RV ",G1666," ",H1666)</f>
        <v>"04-2026" RV SGH605 9304</v>
      </c>
      <c r="I1669" s="10">
        <f>+I1668</f>
        <v>9304</v>
      </c>
      <c r="J1669" s="10"/>
    </row>
    <row r="1670" spans="1:21" x14ac:dyDescent="0.35">
      <c r="B1670" s="4">
        <v>1149120011</v>
      </c>
      <c r="C1670" s="251" t="s">
        <v>96</v>
      </c>
      <c r="D1670" s="420">
        <f>+(D1667+D1668+D1669)*0.19</f>
        <v>1588087.6400000001</v>
      </c>
      <c r="E1670" s="4" t="s">
        <v>98</v>
      </c>
      <c r="F1670">
        <v>40</v>
      </c>
      <c r="G1670" s="318" t="str">
        <f>+G1668</f>
        <v>"04-2026" RV SGH605 9304</v>
      </c>
      <c r="I1670" s="10">
        <f>+I1668</f>
        <v>9304</v>
      </c>
      <c r="J1670" s="10"/>
    </row>
    <row r="1671" spans="1:21" x14ac:dyDescent="0.35">
      <c r="B1671" s="4">
        <v>1246125027</v>
      </c>
      <c r="C1671" s="251" t="s">
        <v>962</v>
      </c>
      <c r="D1671" s="298">
        <f>+(D1667+D1668+D1669)*K1671</f>
        <v>334334.78704169189</v>
      </c>
      <c r="E1671"/>
      <c r="F1671">
        <v>50</v>
      </c>
      <c r="G1671" s="318" t="str">
        <f>+G1670</f>
        <v>"04-2026" RV SGH605 9304</v>
      </c>
      <c r="I1671" s="10">
        <f>+I1670</f>
        <v>9304</v>
      </c>
      <c r="J1671" s="251" t="s">
        <v>1253</v>
      </c>
      <c r="K1671" s="352">
        <v>4.0000065448479567E-2</v>
      </c>
    </row>
    <row r="1672" spans="1:21" x14ac:dyDescent="0.35">
      <c r="A1672" s="130" t="s">
        <v>1048</v>
      </c>
      <c r="B1672" s="14" t="s">
        <v>639</v>
      </c>
      <c r="C1672" s="15" t="s">
        <v>1064</v>
      </c>
      <c r="E1672"/>
      <c r="G1672" s="421" t="s">
        <v>1251</v>
      </c>
      <c r="H1672" s="422" t="s">
        <v>1195</v>
      </c>
      <c r="I1672" s="10" t="s">
        <v>865</v>
      </c>
      <c r="J1672" s="350">
        <f>+VLOOKUP(H1672,contratos!A:R,5,0)</f>
        <v>45366</v>
      </c>
      <c r="K1672" s="266" t="str">
        <f>+VLOOKUP(H1672,contratos!A:R,12,0)</f>
        <v>OK</v>
      </c>
      <c r="L1672" s="341" t="str">
        <f>+VLOOKUP(H1672,contratos!A:R,13,0)</f>
        <v>VIGENTE</v>
      </c>
      <c r="M1672" s="341">
        <f>+VLOOKUP(H1672,contratos!A:R,15,0)</f>
        <v>0</v>
      </c>
      <c r="N1672" s="336">
        <f>+VLOOKUP(H1672,contratos!A:R,16,0)</f>
        <v>0</v>
      </c>
      <c r="O1672" s="341">
        <f>+VLOOKUP(B1672,PRORRATEO!A:M,8,0)</f>
        <v>14162516</v>
      </c>
      <c r="P1672" s="341">
        <f>+VLOOKUP(B1672,PRORRATEO!A:M,9,0)</f>
        <v>2690878.04</v>
      </c>
      <c r="Q1672" s="341">
        <f>+VLOOKUP(B1672,PRORRATEO!A:M,10,0)</f>
        <v>2690878.04</v>
      </c>
      <c r="R1672" s="341">
        <f>+VLOOKUP(B1672,PRORRATEO!A:M,11,0)</f>
        <v>0</v>
      </c>
      <c r="S1672" s="339">
        <f>+VLOOKUP(B1672,PRORRATEO!A:M,12,0)</f>
        <v>1</v>
      </c>
      <c r="T1672" s="339">
        <f>+VLOOKUP(B1672,PRORRATEO!A:M,13,0)</f>
        <v>0</v>
      </c>
      <c r="U1672" t="s">
        <v>640</v>
      </c>
    </row>
    <row r="1673" spans="1:21" x14ac:dyDescent="0.35">
      <c r="B1673" s="263">
        <v>1537210002</v>
      </c>
      <c r="C1673" s="10" t="s">
        <v>1015</v>
      </c>
      <c r="D1673" s="268">
        <v>3424824</v>
      </c>
      <c r="E1673" s="263" t="s">
        <v>98</v>
      </c>
      <c r="F1673">
        <v>40</v>
      </c>
      <c r="G1673" s="318" t="str">
        <f>+CONCATENATE($G$7," GC ",G1672," ",H1672)</f>
        <v>"04-2026" GC SGH642 P834</v>
      </c>
      <c r="H1673" s="252"/>
      <c r="I1673" s="350" t="str">
        <f>+H1672</f>
        <v>P834</v>
      </c>
      <c r="J1673" s="10"/>
      <c r="K1673" s="335"/>
      <c r="N1673" s="336"/>
    </row>
    <row r="1674" spans="1:21" x14ac:dyDescent="0.35">
      <c r="B1674" s="263">
        <v>1245150017</v>
      </c>
      <c r="C1674" s="10" t="s">
        <v>77</v>
      </c>
      <c r="D1674" s="268">
        <v>9555526</v>
      </c>
      <c r="E1674" s="263" t="s">
        <v>98</v>
      </c>
      <c r="F1674">
        <v>40</v>
      </c>
      <c r="G1674" s="318" t="str">
        <f>+CONCATENATE($G$7," RV ",G1672," ",H1672)</f>
        <v>"04-2026" RV SGH642 P834</v>
      </c>
      <c r="H1674" s="252"/>
      <c r="I1674" s="350" t="str">
        <f>+I1673</f>
        <v>P834</v>
      </c>
      <c r="J1674" s="10"/>
      <c r="K1674" s="335"/>
      <c r="N1674" s="336"/>
    </row>
    <row r="1675" spans="1:21" x14ac:dyDescent="0.35">
      <c r="B1675" s="263">
        <v>1532001605</v>
      </c>
      <c r="C1675" s="10" t="s">
        <v>1030</v>
      </c>
      <c r="D1675" s="268">
        <v>2226593</v>
      </c>
      <c r="E1675" s="263" t="s">
        <v>98</v>
      </c>
      <c r="F1675">
        <v>40</v>
      </c>
      <c r="G1675" s="318" t="str">
        <f>+CONCATENATE($G$7," ENERGIA ",G1672," ",H1672)</f>
        <v>"04-2026" ENERGIA SGH642 P834</v>
      </c>
      <c r="H1675" s="252"/>
      <c r="I1675" s="350" t="str">
        <f>+I1674</f>
        <v>P834</v>
      </c>
      <c r="J1675" s="10"/>
      <c r="K1675" s="335"/>
      <c r="N1675" s="336"/>
    </row>
    <row r="1676" spans="1:21" x14ac:dyDescent="0.35">
      <c r="B1676" s="4">
        <v>1149120011</v>
      </c>
      <c r="C1676" s="10" t="s">
        <v>96</v>
      </c>
      <c r="D1676" s="268">
        <f>+(D1673+D1674)*0.19</f>
        <v>2466266.5</v>
      </c>
      <c r="E1676" s="4" t="s">
        <v>98</v>
      </c>
      <c r="F1676">
        <v>40</v>
      </c>
      <c r="G1676" s="318" t="str">
        <f>+CONCATENATE($G$7," RV/GC ",G1672," ",H1672)</f>
        <v>"04-2026" RV/GC SGH642 P834</v>
      </c>
      <c r="H1676" s="252"/>
      <c r="I1676" s="350" t="str">
        <f t="shared" ref="I1676" si="84">+I1674</f>
        <v>P834</v>
      </c>
      <c r="J1676" s="10"/>
      <c r="K1676" s="335"/>
      <c r="N1676" s="336"/>
    </row>
    <row r="1677" spans="1:21" x14ac:dyDescent="0.35">
      <c r="C1677" s="251" t="s">
        <v>76</v>
      </c>
      <c r="D1677" s="332">
        <f>SUBTOTAL(9,D1673:D1676)</f>
        <v>17673209.5</v>
      </c>
      <c r="E1677"/>
      <c r="G1677" s="318" t="str">
        <f>+G1676</f>
        <v>"04-2026" RV/GC SGH642 P834</v>
      </c>
      <c r="H1677" s="252"/>
      <c r="J1677" s="350"/>
      <c r="K1677" s="335"/>
      <c r="N1677" s="336"/>
    </row>
    <row r="1678" spans="1:21" x14ac:dyDescent="0.35">
      <c r="A1678" s="130" t="s">
        <v>854</v>
      </c>
      <c r="B1678" s="262">
        <v>452470</v>
      </c>
      <c r="C1678" s="276" t="s">
        <v>1254</v>
      </c>
      <c r="E1678"/>
      <c r="G1678" s="425" t="s">
        <v>1255</v>
      </c>
      <c r="H1678" s="426">
        <v>8140074</v>
      </c>
      <c r="J1678" s="10"/>
    </row>
    <row r="1679" spans="1:21" x14ac:dyDescent="0.35">
      <c r="B1679" s="263">
        <v>1535100020</v>
      </c>
      <c r="C1679" s="10" t="s">
        <v>1114</v>
      </c>
      <c r="D1679" s="268">
        <v>25878082</v>
      </c>
      <c r="E1679" s="263" t="s">
        <v>80</v>
      </c>
      <c r="F1679">
        <v>40</v>
      </c>
      <c r="G1679" s="316" t="str">
        <f>+CONCATENATE($G$7,"  GC ",G1678," ",H1678)</f>
        <v>"04-2026"  GC OFICINA T3 8140074</v>
      </c>
      <c r="I1679" s="10">
        <f>+H1678</f>
        <v>8140074</v>
      </c>
      <c r="J1679" s="10"/>
    </row>
    <row r="1680" spans="1:21" x14ac:dyDescent="0.35">
      <c r="B1680" s="263">
        <v>1534001605</v>
      </c>
      <c r="C1680" s="10" t="s">
        <v>1723</v>
      </c>
      <c r="D1680" s="268">
        <v>131976</v>
      </c>
      <c r="E1680" s="263" t="s">
        <v>80</v>
      </c>
      <c r="F1680">
        <v>40</v>
      </c>
      <c r="G1680" s="316" t="str">
        <f>+CONCATENATE($G$7,"  ACUEDUCTO ",G1678," ",H1678)</f>
        <v>"04-2026"  ACUEDUCTO OFICINA T3 8140074</v>
      </c>
      <c r="I1680" s="10">
        <f>+I1679</f>
        <v>8140074</v>
      </c>
      <c r="J1680" s="10"/>
    </row>
    <row r="1681" spans="1:21" x14ac:dyDescent="0.35">
      <c r="B1681" s="263">
        <v>1537210004</v>
      </c>
      <c r="C1681" s="10" t="s">
        <v>1117</v>
      </c>
      <c r="D1681" s="328"/>
      <c r="E1681" s="263" t="s">
        <v>80</v>
      </c>
      <c r="F1681">
        <v>40</v>
      </c>
      <c r="G1681" s="318" t="str">
        <f>+CONCATENATE($G$7,"  INTERES ",G1678," ",H1678)</f>
        <v>"04-2026"  INTERES OFICINA T3 8140074</v>
      </c>
      <c r="I1681" s="10">
        <f>+I1680</f>
        <v>8140074</v>
      </c>
      <c r="J1681" s="10"/>
    </row>
    <row r="1682" spans="1:21" x14ac:dyDescent="0.35">
      <c r="B1682"/>
      <c r="C1682"/>
      <c r="D1682" s="270">
        <f>SUBTOTAL(9,D1679:D1681)</f>
        <v>26010058</v>
      </c>
      <c r="E1682"/>
      <c r="G1682" s="318" t="str">
        <f>+CONCATENATE($G$7," GC/ACUED/INTER ",G1678," ",H1678)</f>
        <v>"04-2026" GC/ACUED/INTER OFICINA T3 8140074</v>
      </c>
      <c r="I1682" s="10">
        <f>+I1679</f>
        <v>8140074</v>
      </c>
      <c r="J1682" s="10"/>
    </row>
    <row r="1683" spans="1:21" hidden="1" x14ac:dyDescent="0.35">
      <c r="D1683" s="268">
        <f>+D1679+D1682</f>
        <v>51888140</v>
      </c>
      <c r="J1683" s="10"/>
    </row>
    <row r="1684" spans="1:21" hidden="1" x14ac:dyDescent="0.35">
      <c r="D1684" s="268">
        <f>+D1084+D1085</f>
        <v>33062031</v>
      </c>
      <c r="J1684" s="10"/>
    </row>
    <row r="1685" spans="1:21" x14ac:dyDescent="0.35">
      <c r="A1685" s="130" t="s">
        <v>1048</v>
      </c>
      <c r="B1685" s="14">
        <v>238658</v>
      </c>
      <c r="C1685" s="15" t="s">
        <v>1064</v>
      </c>
      <c r="E1685"/>
      <c r="G1685" s="421" t="s">
        <v>1251</v>
      </c>
      <c r="H1685" s="422" t="s">
        <v>1195</v>
      </c>
      <c r="I1685" s="10" t="s">
        <v>865</v>
      </c>
      <c r="J1685" s="350">
        <f>+VLOOKUP(H1685,contratos!A:R,5,0)</f>
        <v>45366</v>
      </c>
      <c r="K1685" s="266" t="str">
        <f>+VLOOKUP(H1685,contratos!A:R,12,0)</f>
        <v>OK</v>
      </c>
      <c r="L1685" s="341" t="str">
        <f>+VLOOKUP(H1685,contratos!A:R,13,0)</f>
        <v>VIGENTE</v>
      </c>
      <c r="M1685" s="341">
        <f>+VLOOKUP(H1685,contratos!A:R,15,0)</f>
        <v>0</v>
      </c>
      <c r="N1685" s="336">
        <f>+VLOOKUP(H1685,contratos!A:R,16,0)</f>
        <v>0</v>
      </c>
      <c r="O1685" s="341" t="e">
        <f>+VLOOKUP(B1685,PRORRATEO!A:M,8,0)</f>
        <v>#N/A</v>
      </c>
      <c r="P1685" s="341" t="e">
        <f>+VLOOKUP(B1685,PRORRATEO!A:M,9,0)</f>
        <v>#N/A</v>
      </c>
      <c r="Q1685" s="341" t="e">
        <f>+VLOOKUP(B1685,PRORRATEO!A:M,10,0)</f>
        <v>#N/A</v>
      </c>
      <c r="R1685" s="341" t="e">
        <f>+VLOOKUP(B1685,PRORRATEO!A:M,11,0)</f>
        <v>#N/A</v>
      </c>
      <c r="S1685" s="339" t="e">
        <f>+VLOOKUP(B1685,PRORRATEO!A:M,12,0)</f>
        <v>#N/A</v>
      </c>
      <c r="T1685" s="339" t="e">
        <f>+VLOOKUP(B1685,PRORRATEO!A:M,13,0)</f>
        <v>#N/A</v>
      </c>
      <c r="U1685" t="s">
        <v>640</v>
      </c>
    </row>
    <row r="1686" spans="1:21" x14ac:dyDescent="0.35">
      <c r="B1686" s="263">
        <v>1537210004</v>
      </c>
      <c r="C1686" s="10" t="s">
        <v>1033</v>
      </c>
      <c r="D1686" s="268">
        <v>4288734</v>
      </c>
      <c r="E1686" s="263" t="s">
        <v>98</v>
      </c>
      <c r="F1686">
        <v>40</v>
      </c>
      <c r="G1686" s="318" t="str">
        <f>+CONCATENATE($G$7," RV/GC ",G1685," ",H1685)</f>
        <v>"04-2026" RV/GC SGH642 P834</v>
      </c>
      <c r="H1686" s="252"/>
      <c r="I1686" s="350" t="str">
        <f>+H1685</f>
        <v>P834</v>
      </c>
      <c r="J1686" s="10"/>
      <c r="K1686" s="335"/>
      <c r="N1686" s="336"/>
    </row>
    <row r="1687" spans="1:21" x14ac:dyDescent="0.35">
      <c r="B1687" s="4">
        <v>1149120011</v>
      </c>
      <c r="C1687" s="10" t="s">
        <v>96</v>
      </c>
      <c r="D1687" s="268">
        <f>+D1686*0.19</f>
        <v>814859.46</v>
      </c>
      <c r="E1687" s="4" t="s">
        <v>98</v>
      </c>
      <c r="F1687">
        <v>40</v>
      </c>
      <c r="G1687" s="318" t="str">
        <f>+CONCATENATE($G$7," RV/GC ",G1685," ",H1685)</f>
        <v>"04-2026" RV/GC SGH642 P834</v>
      </c>
      <c r="H1687" s="252"/>
      <c r="I1687" s="350" t="str">
        <f>+I1686</f>
        <v>P834</v>
      </c>
      <c r="J1687" s="10"/>
      <c r="K1687" s="335"/>
      <c r="N1687" s="336"/>
    </row>
    <row r="1688" spans="1:21" x14ac:dyDescent="0.35">
      <c r="C1688" s="251" t="s">
        <v>76</v>
      </c>
      <c r="D1688" s="332">
        <f>SUBTOTAL(9,D1686:D1687)</f>
        <v>5103593.46</v>
      </c>
      <c r="E1688"/>
      <c r="G1688" s="318" t="str">
        <f>+G1687</f>
        <v>"04-2026" RV/GC SGH642 P834</v>
      </c>
      <c r="H1688" s="252"/>
      <c r="J1688" s="350"/>
      <c r="K1688" s="335"/>
      <c r="N1688" s="336"/>
    </row>
    <row r="1689" spans="1:21" x14ac:dyDescent="0.35">
      <c r="A1689" s="130" t="s">
        <v>854</v>
      </c>
      <c r="B1689" s="14">
        <v>252198</v>
      </c>
      <c r="C1689" s="15" t="s">
        <v>895</v>
      </c>
      <c r="E1689"/>
      <c r="G1689" s="346" t="s">
        <v>1187</v>
      </c>
      <c r="H1689" s="6" t="s">
        <v>1188</v>
      </c>
      <c r="J1689" s="350">
        <f>+VLOOKUP(H1689,contratos!A:R,5,0)</f>
        <v>45292</v>
      </c>
      <c r="K1689" s="266" t="str">
        <f>+VLOOKUP(H1689,contratos!A:R,12,0)</f>
        <v>OK</v>
      </c>
      <c r="L1689" s="341" t="str">
        <f>+VLOOKUP(H1689,contratos!A:R,13,0)</f>
        <v>VIGENTE</v>
      </c>
      <c r="M1689" s="341">
        <f>+VLOOKUP(H1689,contratos!A:R,15,0)</f>
        <v>0</v>
      </c>
      <c r="N1689" s="336">
        <f>+VLOOKUP(H1689,contratos!A:R,16,0)</f>
        <v>0</v>
      </c>
      <c r="O1689" s="341" t="e">
        <f>+VLOOKUP(B1689,PRORRATEO!A:M,8,0)</f>
        <v>#N/A</v>
      </c>
      <c r="P1689" s="341" t="e">
        <f>+VLOOKUP(B1689,PRORRATEO!A:M,9,0)</f>
        <v>#N/A</v>
      </c>
      <c r="Q1689" s="341" t="e">
        <f>+VLOOKUP(B1689,PRORRATEO!A:M,10,0)</f>
        <v>#N/A</v>
      </c>
      <c r="R1689" s="341" t="e">
        <f>+VLOOKUP(B1689,PRORRATEO!A:M,11,0)</f>
        <v>#N/A</v>
      </c>
      <c r="S1689" s="339" t="e">
        <f>+VLOOKUP(B1689,PRORRATEO!A:M,12,0)</f>
        <v>#N/A</v>
      </c>
      <c r="T1689" s="339" t="e">
        <f>+VLOOKUP(B1689,PRORRATEO!A:M,13,0)</f>
        <v>#N/A</v>
      </c>
    </row>
    <row r="1690" spans="1:21" x14ac:dyDescent="0.35">
      <c r="B1690" s="209">
        <v>1537210004</v>
      </c>
      <c r="C1690" s="251" t="s">
        <v>1033</v>
      </c>
      <c r="D1690" s="298">
        <v>9250776</v>
      </c>
      <c r="E1690" s="16" t="s">
        <v>80</v>
      </c>
      <c r="F1690" s="209">
        <v>40</v>
      </c>
      <c r="G1690" s="316" t="str">
        <f>+CONCATENATE($G$7,"  RV ",G1689," ",H1689)</f>
        <v>"04-2026"  RV SGH638 P336</v>
      </c>
      <c r="I1690" s="10" t="str">
        <f>+H1689</f>
        <v>P336</v>
      </c>
      <c r="J1690" s="10"/>
    </row>
    <row r="1691" spans="1:21" x14ac:dyDescent="0.35">
      <c r="B1691" s="4">
        <v>1149120011</v>
      </c>
      <c r="C1691" s="10" t="s">
        <v>1032</v>
      </c>
      <c r="D1691" s="328">
        <f>+D1690*0.19</f>
        <v>1757647.44</v>
      </c>
      <c r="E1691" s="4" t="s">
        <v>97</v>
      </c>
      <c r="F1691">
        <v>40</v>
      </c>
      <c r="G1691" s="318" t="str">
        <f>+CONCATENATE($G$7,"  RV ",G1689," ",H1689)</f>
        <v>"04-2026"  RV SGH638 P336</v>
      </c>
      <c r="I1691" s="10" t="str">
        <f>+I1690</f>
        <v>P336</v>
      </c>
      <c r="J1691" s="10"/>
    </row>
    <row r="1692" spans="1:21" x14ac:dyDescent="0.35">
      <c r="D1692" s="397">
        <f>SUBTOTAL(9,D1690:D1691)</f>
        <v>11008423.439999999</v>
      </c>
      <c r="E1692"/>
      <c r="G1692" s="318" t="str">
        <f>+G1690</f>
        <v>"04-2026"  RV SGH638 P336</v>
      </c>
      <c r="J1692" s="10"/>
    </row>
    <row r="1693" spans="1:21" x14ac:dyDescent="0.35">
      <c r="A1693" s="130" t="s">
        <v>854</v>
      </c>
      <c r="B1693" s="14">
        <v>238175</v>
      </c>
      <c r="C1693" s="15" t="s">
        <v>1178</v>
      </c>
      <c r="G1693" s="6" t="s">
        <v>656</v>
      </c>
      <c r="H1693" s="6">
        <v>9304</v>
      </c>
      <c r="J1693" s="350">
        <f>+VLOOKUP(H1693,contratos!A:R,5,0)</f>
        <v>43059</v>
      </c>
      <c r="K1693" s="266" t="str">
        <f>+VLOOKUP(H1693,contratos!A:R,12,0)</f>
        <v>VENCIDO</v>
      </c>
      <c r="L1693" s="341" t="str">
        <f>+VLOOKUP(H1693,contratos!A:R,13,0)</f>
        <v>CESADO</v>
      </c>
      <c r="M1693" s="341">
        <f>+VLOOKUP(H1693,contratos!A:R,15,0)</f>
        <v>0</v>
      </c>
      <c r="N1693" s="336">
        <f>+VLOOKUP(H1693,contratos!A:R,16,0)</f>
        <v>0</v>
      </c>
      <c r="O1693" s="341" t="e">
        <f>+VLOOKUP(B1693,PRORRATEO!A:M,8,0)</f>
        <v>#N/A</v>
      </c>
      <c r="P1693" s="341" t="e">
        <f>+VLOOKUP(B1693,PRORRATEO!A:M,9,0)</f>
        <v>#N/A</v>
      </c>
      <c r="Q1693" s="341" t="e">
        <f>+VLOOKUP(B1693,PRORRATEO!A:M,10,0)</f>
        <v>#N/A</v>
      </c>
      <c r="R1693" s="341" t="e">
        <f>+VLOOKUP(B1693,PRORRATEO!A:M,11,0)</f>
        <v>#N/A</v>
      </c>
      <c r="S1693" s="339" t="e">
        <f>+VLOOKUP(B1693,PRORRATEO!A:M,12,0)</f>
        <v>#N/A</v>
      </c>
      <c r="T1693" s="339" t="e">
        <f>+VLOOKUP(B1693,PRORRATEO!A:M,13,0)</f>
        <v>#N/A</v>
      </c>
    </row>
    <row r="1694" spans="1:21" x14ac:dyDescent="0.35">
      <c r="B1694" s="263">
        <v>1537210003</v>
      </c>
      <c r="C1694" s="10" t="s">
        <v>1013</v>
      </c>
      <c r="D1694" s="268">
        <v>76390</v>
      </c>
      <c r="E1694" s="10" t="s">
        <v>97</v>
      </c>
      <c r="F1694" s="263">
        <v>40</v>
      </c>
      <c r="G1694" s="10" t="str">
        <f>+CONCATENATE($G$7,"  GC ",G1693," ",H1693)</f>
        <v>"04-2026"  GC SGH605 9304</v>
      </c>
      <c r="I1694" s="10">
        <f>+H1693</f>
        <v>9304</v>
      </c>
      <c r="J1694" s="10" t="s">
        <v>1188</v>
      </c>
    </row>
    <row r="1695" spans="1:21" x14ac:dyDescent="0.35">
      <c r="B1695" s="263">
        <v>1537210004</v>
      </c>
      <c r="C1695" s="10" t="s">
        <v>1018</v>
      </c>
      <c r="D1695" s="268">
        <v>763900</v>
      </c>
      <c r="E1695" s="10" t="s">
        <v>97</v>
      </c>
      <c r="F1695" s="263">
        <v>40</v>
      </c>
      <c r="G1695" s="10" t="str">
        <f>+CONCATENATE($G$7,"  RF ",G1693," ",H1693)</f>
        <v>"04-2026"  RF SGH605 9304</v>
      </c>
      <c r="I1695" s="10">
        <f>+H1693</f>
        <v>9304</v>
      </c>
      <c r="J1695" s="10" t="s">
        <v>1188</v>
      </c>
    </row>
    <row r="1696" spans="1:21" x14ac:dyDescent="0.35">
      <c r="B1696" s="4">
        <v>1149120011</v>
      </c>
      <c r="C1696" s="10" t="s">
        <v>1032</v>
      </c>
      <c r="D1696" s="268">
        <f>+(D1695+D1694)*0.19</f>
        <v>159655.1</v>
      </c>
      <c r="E1696" s="10" t="s">
        <v>97</v>
      </c>
      <c r="F1696">
        <v>40</v>
      </c>
      <c r="G1696" s="10" t="str">
        <f>+CONCATENATE($G$7,"  RF/GC ",G1693," ",H1693)</f>
        <v>"04-2026"  RF/GC SGH605 9304</v>
      </c>
      <c r="J1696" s="10"/>
    </row>
    <row r="1697" spans="1:20" x14ac:dyDescent="0.35">
      <c r="B1697" s="4">
        <v>1249100018</v>
      </c>
      <c r="C1697" s="10" t="s">
        <v>1273</v>
      </c>
      <c r="D1697" s="299">
        <f>-(D1695+D1694)*I1697</f>
        <v>-33611.296869332036</v>
      </c>
      <c r="F1697">
        <v>50</v>
      </c>
      <c r="G1697" s="10" t="str">
        <f>+CONCATENATE($G$7,"  RF/GC ",G1693," ",H1693)</f>
        <v>"04-2026"  RF/GC SGH605 9304</v>
      </c>
      <c r="I1697" s="352">
        <v>3.9999639254700209E-2</v>
      </c>
      <c r="J1697" s="251" t="s">
        <v>1253</v>
      </c>
    </row>
    <row r="1698" spans="1:20" x14ac:dyDescent="0.35">
      <c r="A1698" s="130" t="s">
        <v>854</v>
      </c>
      <c r="B1698" s="262">
        <v>212833</v>
      </c>
      <c r="C1698" s="276" t="s">
        <v>1275</v>
      </c>
      <c r="D1698" s="437">
        <f>+D1699</f>
        <v>1666351</v>
      </c>
      <c r="G1698" s="436" t="s">
        <v>653</v>
      </c>
      <c r="H1698" s="435">
        <v>9302</v>
      </c>
      <c r="J1698" s="350">
        <f>+VLOOKUP(H1698,contratos!A:R,5,0)</f>
        <v>43081</v>
      </c>
      <c r="K1698" s="266" t="str">
        <f>+VLOOKUP(H1698,contratos!A:R,12,0)</f>
        <v>VENCIDO</v>
      </c>
      <c r="L1698" s="341" t="str">
        <f>+VLOOKUP(H1698,contratos!A:R,13,0)</f>
        <v>CESADO</v>
      </c>
      <c r="M1698" s="341">
        <f>+VLOOKUP(H1698,contratos!A:R,15,0)</f>
        <v>0</v>
      </c>
      <c r="N1698" s="336">
        <f>+VLOOKUP(H1698,contratos!A:R,16,0)</f>
        <v>0</v>
      </c>
      <c r="O1698" s="341" t="e">
        <f>+VLOOKUP(B1698,PRORRATEO!A:M,8,0)</f>
        <v>#N/A</v>
      </c>
      <c r="P1698" s="341" t="e">
        <f>+VLOOKUP(B1698,PRORRATEO!A:M,9,0)</f>
        <v>#N/A</v>
      </c>
      <c r="Q1698" s="341" t="e">
        <f>+VLOOKUP(B1698,PRORRATEO!A:M,10,0)</f>
        <v>#N/A</v>
      </c>
      <c r="R1698" s="341" t="e">
        <f>+VLOOKUP(B1698,PRORRATEO!A:M,11,0)</f>
        <v>#N/A</v>
      </c>
      <c r="S1698" s="339" t="e">
        <f>+VLOOKUP(B1698,PRORRATEO!A:M,12,0)</f>
        <v>#N/A</v>
      </c>
      <c r="T1698" s="339" t="e">
        <f>+VLOOKUP(B1698,PRORRATEO!A:M,13,0)</f>
        <v>#N/A</v>
      </c>
    </row>
    <row r="1699" spans="1:20" ht="15" thickBot="1" x14ac:dyDescent="0.4">
      <c r="B1699" s="263">
        <v>1537210002</v>
      </c>
      <c r="C1699" s="10" t="s">
        <v>1114</v>
      </c>
      <c r="D1699" s="268">
        <v>1666351</v>
      </c>
      <c r="E1699" s="263" t="s">
        <v>80</v>
      </c>
      <c r="F1699">
        <v>40</v>
      </c>
      <c r="G1699" s="318" t="str">
        <f>+CONCATENATE($G$7," GC ",G1698," ",H1698)</f>
        <v>"04-2026" GC SGH604 9302</v>
      </c>
      <c r="H1699" s="252"/>
      <c r="I1699" s="10">
        <f>+H1698</f>
        <v>9302</v>
      </c>
      <c r="J1699" s="10"/>
    </row>
    <row r="1700" spans="1:20" ht="16" customHeight="1" x14ac:dyDescent="0.35">
      <c r="A1700" s="130" t="s">
        <v>853</v>
      </c>
      <c r="B1700" s="276" t="s">
        <v>1290</v>
      </c>
      <c r="C1700" s="276" t="s">
        <v>1287</v>
      </c>
      <c r="D1700" s="441"/>
      <c r="G1700" s="436" t="s">
        <v>601</v>
      </c>
      <c r="H1700" s="435">
        <v>6764</v>
      </c>
      <c r="J1700" s="350">
        <f>+VLOOKUP(H1700,contratos!A:R,5,0)</f>
        <v>42736</v>
      </c>
      <c r="K1700" s="266" t="str">
        <f>+VLOOKUP(H1700,contratos!A:R,12,0)</f>
        <v>OK</v>
      </c>
      <c r="L1700" s="341" t="str">
        <f>+VLOOKUP(H1700,contratos!A:R,13,0)</f>
        <v>VIGENTE</v>
      </c>
      <c r="M1700" s="341">
        <f>+VLOOKUP(H1700,contratos!A:R,15,0)</f>
        <v>0</v>
      </c>
      <c r="N1700" s="336">
        <f>+VLOOKUP(H1700,contratos!A:R,16,0)</f>
        <v>0</v>
      </c>
      <c r="O1700" s="341">
        <f>+VLOOKUP(H1700,PRORRATEO!F:H,3,0)</f>
        <v>14395286</v>
      </c>
      <c r="P1700" s="341">
        <f>+VLOOKUP(H1700,PRORRATEO!F:I,4,0)</f>
        <v>2735104.34</v>
      </c>
      <c r="Q1700" s="341">
        <f>+VLOOKUP(H1700,PRORRATEO!F:M,5,0)</f>
        <v>235218.97323999996</v>
      </c>
      <c r="R1700" s="341">
        <f>+VLOOKUP(H1700,PRORRATEO!F:M,6,0)</f>
        <v>2499885.3667600001</v>
      </c>
      <c r="S1700" s="339">
        <f>+VLOOKUP(H1700,PRORRATEO!F:M,7,0)</f>
        <v>8.5999999999999993E-2</v>
      </c>
      <c r="T1700" s="339">
        <f>+VLOOKUP(H1700,PRORRATEO!F:M,8,0)</f>
        <v>0.91400000000000003</v>
      </c>
    </row>
    <row r="1701" spans="1:20" x14ac:dyDescent="0.35">
      <c r="B1701" s="263">
        <v>1149120011</v>
      </c>
      <c r="C1701" s="10" t="s">
        <v>1032</v>
      </c>
      <c r="D1701" s="268">
        <f>+D1702</f>
        <v>235218.97323999996</v>
      </c>
      <c r="E1701" s="263" t="s">
        <v>97</v>
      </c>
      <c r="F1701">
        <v>50</v>
      </c>
      <c r="G1701" s="10" t="str">
        <f>+CONCATENATE($G$7,"  RF ",G1700," ",H1700)</f>
        <v>"04-2026"  RF T092 6764</v>
      </c>
      <c r="I1701" s="10">
        <f>+H1700</f>
        <v>6764</v>
      </c>
      <c r="J1701" s="10"/>
    </row>
    <row r="1702" spans="1:20" x14ac:dyDescent="0.35">
      <c r="B1702" s="263">
        <v>1149120011</v>
      </c>
      <c r="C1702" s="10" t="s">
        <v>1032</v>
      </c>
      <c r="D1702" s="268">
        <f>+Q1700</f>
        <v>235218.97323999996</v>
      </c>
      <c r="E1702" s="263" t="s">
        <v>98</v>
      </c>
      <c r="F1702">
        <v>40</v>
      </c>
      <c r="G1702" s="10" t="str">
        <f>+G1701</f>
        <v>"04-2026"  RF T092 6764</v>
      </c>
      <c r="I1702" s="10">
        <f>+I1701</f>
        <v>6764</v>
      </c>
      <c r="J1702" s="10"/>
    </row>
    <row r="1703" spans="1:20" x14ac:dyDescent="0.35">
      <c r="B1703" s="263">
        <v>1245150017</v>
      </c>
      <c r="C1703" s="10" t="s">
        <v>1288</v>
      </c>
      <c r="D1703" s="268">
        <v>128552855</v>
      </c>
      <c r="E1703" s="263" t="s">
        <v>97</v>
      </c>
      <c r="F1703">
        <v>40</v>
      </c>
      <c r="G1703" s="10" t="str">
        <f t="shared" ref="G1703:G1707" si="85">+G1702</f>
        <v>"04-2026"  RF T092 6764</v>
      </c>
      <c r="I1703" s="10">
        <f>+I1702</f>
        <v>6764</v>
      </c>
      <c r="J1703" s="10"/>
    </row>
    <row r="1704" spans="1:20" x14ac:dyDescent="0.35">
      <c r="B1704" s="4">
        <v>1149120011</v>
      </c>
      <c r="C1704" s="10" t="s">
        <v>1032</v>
      </c>
      <c r="D1704" s="268">
        <f>+D1703*0.19</f>
        <v>24425042.449999999</v>
      </c>
      <c r="E1704" s="10" t="s">
        <v>97</v>
      </c>
      <c r="F1704">
        <v>40</v>
      </c>
      <c r="G1704" s="10" t="str">
        <f t="shared" si="85"/>
        <v>"04-2026"  RF T092 6764</v>
      </c>
      <c r="I1704" s="10">
        <f>+I1703</f>
        <v>6764</v>
      </c>
      <c r="J1704" s="10"/>
    </row>
    <row r="1705" spans="1:20" x14ac:dyDescent="0.35">
      <c r="B1705" s="4">
        <v>1246125027</v>
      </c>
      <c r="C1705" s="10" t="s">
        <v>962</v>
      </c>
      <c r="D1705" s="268">
        <f>+D1703*J1705</f>
        <v>4499349.9250000007</v>
      </c>
      <c r="F1705">
        <v>50</v>
      </c>
      <c r="G1705" s="10" t="str">
        <f t="shared" si="85"/>
        <v>"04-2026"  RF T092 6764</v>
      </c>
      <c r="I1705" s="251" t="s">
        <v>857</v>
      </c>
      <c r="J1705" s="440">
        <v>3.5000000000000003E-2</v>
      </c>
    </row>
    <row r="1706" spans="1:20" x14ac:dyDescent="0.35">
      <c r="B1706" s="4">
        <v>1249100024</v>
      </c>
      <c r="C1706" s="10" t="s">
        <v>1289</v>
      </c>
      <c r="D1706" s="299">
        <f>+D1703*J1706</f>
        <v>1241822.171913363</v>
      </c>
      <c r="F1706">
        <v>50</v>
      </c>
      <c r="G1706" s="10" t="str">
        <f t="shared" si="85"/>
        <v>"04-2026"  RF T092 6764</v>
      </c>
      <c r="I1706" s="206">
        <v>1</v>
      </c>
      <c r="J1706" s="440">
        <v>9.6600123887825209E-3</v>
      </c>
    </row>
    <row r="1707" spans="1:20" x14ac:dyDescent="0.35">
      <c r="D1707" s="268">
        <f>+D1703+D1704+D1702-D1701-D1705-D1706</f>
        <v>147236725.35308662</v>
      </c>
      <c r="G1707" s="10" t="str">
        <f t="shared" si="85"/>
        <v>"04-2026"  RF T092 6764</v>
      </c>
      <c r="J1707" s="10"/>
    </row>
    <row r="1708" spans="1:20" x14ac:dyDescent="0.35">
      <c r="A1708" s="130" t="s">
        <v>854</v>
      </c>
      <c r="B1708" s="14" t="s">
        <v>1295</v>
      </c>
      <c r="C1708" s="445" t="s">
        <v>1287</v>
      </c>
      <c r="G1708" s="10" t="s">
        <v>605</v>
      </c>
      <c r="H1708" s="54">
        <v>6766</v>
      </c>
      <c r="J1708" s="350">
        <f>+VLOOKUP(H1708,contratos!A:R,5,0)</f>
        <v>41913</v>
      </c>
      <c r="K1708" s="266" t="str">
        <f>+VLOOKUP(H1708,contratos!A:R,12,0)</f>
        <v>VENCIDO</v>
      </c>
      <c r="L1708" s="341" t="str">
        <f>+VLOOKUP(H1708,contratos!A:R,13,0)</f>
        <v>CERRADA</v>
      </c>
      <c r="M1708" s="341">
        <f>+VLOOKUP(H1708,contratos!A:R,15,0)</f>
        <v>0</v>
      </c>
      <c r="N1708" s="336">
        <f>+VLOOKUP(H1708,contratos!A:R,16,0)</f>
        <v>0</v>
      </c>
      <c r="O1708" s="341">
        <f>+VLOOKUP(H1708,PRORRATEO!F:M,3,0)</f>
        <v>28412800</v>
      </c>
      <c r="P1708" s="341">
        <f>+VLOOKUP(H1708,PRORRATEO!F:M,4,0)</f>
        <v>5398432</v>
      </c>
      <c r="Q1708" s="341">
        <f>+VLOOKUP(H1708,PRORRATEO!F:M,5,0)</f>
        <v>685600.86400000006</v>
      </c>
      <c r="R1708" s="341">
        <f>+VLOOKUP(H1708,PRORRATEO!F:M,6,0)</f>
        <v>4712831.1359999999</v>
      </c>
      <c r="S1708" s="339">
        <f>+VLOOKUP(H1708,PRORRATEO!F:M,7,0)</f>
        <v>0.127</v>
      </c>
      <c r="T1708" s="339">
        <f>+VLOOKUP(H1708,PRORRATEO!F:M,8,0)</f>
        <v>0.873</v>
      </c>
    </row>
    <row r="1709" spans="1:20" x14ac:dyDescent="0.35">
      <c r="B1709" s="263">
        <v>1245150017</v>
      </c>
      <c r="C1709" s="251" t="s">
        <v>77</v>
      </c>
      <c r="D1709" s="268" t="str">
        <f>+L1708</f>
        <v>CERRADA</v>
      </c>
      <c r="E1709" s="10" t="s">
        <v>97</v>
      </c>
      <c r="F1709" s="263">
        <v>40</v>
      </c>
      <c r="G1709" s="10" t="str">
        <f>+CONCATENATE($G$7,"  RF ",G1708," ",H1708)</f>
        <v>"04-2026"  RF T096 6766</v>
      </c>
      <c r="I1709" s="10">
        <f>+H1708</f>
        <v>6766</v>
      </c>
      <c r="J1709" s="10"/>
    </row>
    <row r="1710" spans="1:20" x14ac:dyDescent="0.35">
      <c r="B1710" s="263">
        <v>1149120011</v>
      </c>
      <c r="C1710" s="251" t="s">
        <v>96</v>
      </c>
      <c r="D1710" s="268" t="e">
        <f>+S1708*D1712</f>
        <v>#VALUE!</v>
      </c>
      <c r="E1710" s="10" t="s">
        <v>97</v>
      </c>
      <c r="F1710" s="263">
        <v>50</v>
      </c>
      <c r="G1710" s="10" t="str">
        <f>+G1709</f>
        <v>"04-2026"  RF T096 6766</v>
      </c>
      <c r="I1710" s="10">
        <f>+I1709</f>
        <v>6766</v>
      </c>
      <c r="J1710" s="10"/>
    </row>
    <row r="1711" spans="1:20" x14ac:dyDescent="0.35">
      <c r="B1711" s="263">
        <v>1149120011</v>
      </c>
      <c r="C1711" s="251" t="s">
        <v>96</v>
      </c>
      <c r="D1711" s="268" t="e">
        <f>+D1710</f>
        <v>#VALUE!</v>
      </c>
      <c r="E1711" s="10" t="s">
        <v>98</v>
      </c>
      <c r="F1711" s="263">
        <v>40</v>
      </c>
      <c r="G1711" s="10" t="str">
        <f>+G1710</f>
        <v>"04-2026"  RF T096 6766</v>
      </c>
      <c r="I1711" s="10">
        <f>+I1710</f>
        <v>6766</v>
      </c>
      <c r="J1711" s="10"/>
    </row>
    <row r="1712" spans="1:20" x14ac:dyDescent="0.35">
      <c r="B1712" s="4">
        <v>1149120011</v>
      </c>
      <c r="C1712" s="251" t="s">
        <v>96</v>
      </c>
      <c r="D1712" s="268" t="e">
        <f>+D1709*0.19</f>
        <v>#VALUE!</v>
      </c>
      <c r="F1712">
        <v>40</v>
      </c>
      <c r="G1712" s="10" t="str">
        <f>+G1711</f>
        <v>"04-2026"  RF T096 6766</v>
      </c>
      <c r="J1712" s="10"/>
    </row>
    <row r="1713" spans="1:21" x14ac:dyDescent="0.35">
      <c r="B1713" s="4">
        <v>1246125027</v>
      </c>
      <c r="C1713" s="10" t="s">
        <v>962</v>
      </c>
      <c r="D1713" s="268" t="e">
        <f>+D1709*J1713</f>
        <v>#VALUE!</v>
      </c>
      <c r="F1713">
        <v>50</v>
      </c>
      <c r="G1713" s="10" t="str">
        <f t="shared" ref="G1713:G1715" si="86">+G1712</f>
        <v>"04-2026"  RF T096 6766</v>
      </c>
      <c r="I1713" s="251" t="s">
        <v>857</v>
      </c>
      <c r="J1713" s="440">
        <v>3.5000000000000003E-2</v>
      </c>
    </row>
    <row r="1714" spans="1:21" x14ac:dyDescent="0.35">
      <c r="B1714" s="4">
        <v>1249100024</v>
      </c>
      <c r="C1714" s="10" t="s">
        <v>1289</v>
      </c>
      <c r="D1714" s="299" t="e">
        <f>+D1709*J1714</f>
        <v>#VALUE!</v>
      </c>
      <c r="F1714">
        <v>50</v>
      </c>
      <c r="G1714" s="10" t="str">
        <f t="shared" si="86"/>
        <v>"04-2026"  RF T096 6766</v>
      </c>
      <c r="I1714" s="206">
        <v>1</v>
      </c>
      <c r="J1714" s="440">
        <v>9.6600123887825209E-3</v>
      </c>
    </row>
    <row r="1715" spans="1:21" x14ac:dyDescent="0.35">
      <c r="D1715" s="268" t="e">
        <f>+D1709+D1712+D1711-D1710-D1713-D1714</f>
        <v>#VALUE!</v>
      </c>
      <c r="G1715" s="10" t="str">
        <f t="shared" si="86"/>
        <v>"04-2026"  RF T096 6766</v>
      </c>
      <c r="J1715" s="10"/>
    </row>
    <row r="1716" spans="1:21" x14ac:dyDescent="0.35">
      <c r="A1716" s="130" t="s">
        <v>853</v>
      </c>
      <c r="B1716" s="262">
        <v>206706</v>
      </c>
      <c r="C1716" s="276" t="s">
        <v>1296</v>
      </c>
      <c r="D1716" s="323">
        <f>+D1717-D1718-D1719</f>
        <v>1994421.4537164695</v>
      </c>
      <c r="E1716"/>
      <c r="G1716" s="346" t="s">
        <v>394</v>
      </c>
      <c r="H1716" s="6">
        <v>8712</v>
      </c>
      <c r="J1716" s="350">
        <f>+VLOOKUP(H1716,contratos!A:R,5,0)</f>
        <v>42621</v>
      </c>
      <c r="K1716" s="266" t="str">
        <f>+VLOOKUP(H1716,contratos!A:R,12,0)</f>
        <v>OK</v>
      </c>
      <c r="L1716" s="341" t="str">
        <f>+VLOOKUP(H1716,contratos!A:R,13,0)</f>
        <v>VIGENTE</v>
      </c>
      <c r="M1716" s="341">
        <f>+VLOOKUP(H1716,contratos!A:R,15,0)</f>
        <v>0</v>
      </c>
      <c r="N1716" s="336">
        <f>+VLOOKUP(H1716,contratos!A:R,16,0)</f>
        <v>0</v>
      </c>
      <c r="O1716" s="341">
        <f>+VLOOKUP(H1716,PRORRATEO!F:M,3,0)</f>
        <v>1815944</v>
      </c>
      <c r="P1716" s="341">
        <f>+VLOOKUP(H1716,PRORRATEO!F:M,4,0)</f>
        <v>345029.36</v>
      </c>
      <c r="Q1716" s="341">
        <f>+VLOOKUP(H1716,PRORRATEO!F:M,5,0)</f>
        <v>34847.965360000002</v>
      </c>
      <c r="R1716" s="341">
        <f>+VLOOKUP(H1716,PRORRATEO!F:M,6,0)</f>
        <v>310181.39464000001</v>
      </c>
      <c r="S1716" s="339">
        <f>+VLOOKUP(H1716,PRORRATEO!F:M,7,0)</f>
        <v>0.10100000000000001</v>
      </c>
      <c r="T1716" s="339">
        <f>+VLOOKUP(H1716,PRORRATEO!F:M,8,0)</f>
        <v>0.89900000000000002</v>
      </c>
      <c r="U1716" t="s">
        <v>47</v>
      </c>
    </row>
    <row r="1717" spans="1:21" x14ac:dyDescent="0.35">
      <c r="B1717" s="263">
        <v>1245150017</v>
      </c>
      <c r="C1717" s="10" t="s">
        <v>1288</v>
      </c>
      <c r="D1717" s="268">
        <v>2087656</v>
      </c>
      <c r="E1717" s="263" t="s">
        <v>80</v>
      </c>
      <c r="F1717">
        <v>40</v>
      </c>
      <c r="G1717" s="10" t="str">
        <f>+CONCATENATE($G$7," GC ",G1716," ",H1716)</f>
        <v>"04-2026" GC T110 8712</v>
      </c>
      <c r="I1717" s="10">
        <f>+H1716</f>
        <v>8712</v>
      </c>
      <c r="J1717" s="10"/>
    </row>
    <row r="1718" spans="1:21" x14ac:dyDescent="0.35">
      <c r="B1718" s="4">
        <v>1246125027</v>
      </c>
      <c r="C1718" s="10" t="s">
        <v>962</v>
      </c>
      <c r="D1718" s="268">
        <f>+D1717*K1718</f>
        <v>73067.70752001548</v>
      </c>
      <c r="F1718">
        <v>50</v>
      </c>
      <c r="G1718" s="10" t="str">
        <f>+G1717</f>
        <v>"04-2026" GC T110 8712</v>
      </c>
      <c r="I1718" s="10">
        <f>+I1717</f>
        <v>8712</v>
      </c>
      <c r="J1718" s="387" t="s">
        <v>857</v>
      </c>
      <c r="K1718" s="352">
        <v>3.4999879060542291E-2</v>
      </c>
    </row>
    <row r="1719" spans="1:21" x14ac:dyDescent="0.35">
      <c r="B1719" s="4">
        <v>1249100024</v>
      </c>
      <c r="C1719" s="10" t="s">
        <v>1289</v>
      </c>
      <c r="D1719" s="268">
        <f>+D1717*K1719</f>
        <v>20166.838763514981</v>
      </c>
      <c r="F1719">
        <v>50</v>
      </c>
      <c r="G1719" s="10" t="str">
        <f>+G1718</f>
        <v>"04-2026" GC T110 8712</v>
      </c>
      <c r="I1719" s="10">
        <f>+I1718</f>
        <v>8712</v>
      </c>
      <c r="J1719" s="206">
        <v>1</v>
      </c>
      <c r="K1719" s="352">
        <v>9.6600391843842965E-3</v>
      </c>
    </row>
    <row r="1720" spans="1:21" x14ac:dyDescent="0.35">
      <c r="A1720" s="130" t="s">
        <v>1098</v>
      </c>
      <c r="B1720" s="262">
        <v>459860</v>
      </c>
      <c r="C1720" s="276" t="s">
        <v>1070</v>
      </c>
      <c r="G1720" s="444" t="s">
        <v>1293</v>
      </c>
      <c r="H1720" s="445" t="s">
        <v>1294</v>
      </c>
      <c r="J1720" s="350">
        <f>+VLOOKUP(H1720,contratos!A:R,5,0)</f>
        <v>45567</v>
      </c>
      <c r="K1720" s="266" t="str">
        <f>+VLOOKUP(H1720,contratos!A:R,12,0)</f>
        <v>OK</v>
      </c>
      <c r="L1720" s="341" t="str">
        <f>+VLOOKUP(H1720,contratos!A:R,13,0)</f>
        <v>VIGENTE</v>
      </c>
      <c r="M1720" s="341">
        <f>+VLOOKUP(H1720,contratos!A:R,15,0)</f>
        <v>0</v>
      </c>
      <c r="N1720" s="336">
        <f>+VLOOKUP(H1720,contratos!A:R,16,0)</f>
        <v>0</v>
      </c>
      <c r="O1720" s="341" t="e">
        <f>+VLOOKUP(H1720,PRORRATEO!F:M,3,0)</f>
        <v>#N/A</v>
      </c>
      <c r="P1720" s="341" t="e">
        <f>+VLOOKUP(H1720,PRORRATEO!F:M,4,0)</f>
        <v>#N/A</v>
      </c>
      <c r="Q1720" s="341" t="e">
        <f>+VLOOKUP(H1720,PRORRATEO!F:M,5,0)</f>
        <v>#N/A</v>
      </c>
      <c r="R1720" s="341" t="e">
        <f>+VLOOKUP(H1720,PRORRATEO!F:M,6,0)</f>
        <v>#N/A</v>
      </c>
      <c r="S1720" s="339" t="e">
        <f>+VLOOKUP(H1720,PRORRATEO!F:M,7,0)</f>
        <v>#N/A</v>
      </c>
      <c r="T1720" s="339" t="e">
        <f>+VLOOKUP(H1720,PRORRATEO!F:M,8,0)</f>
        <v>#N/A</v>
      </c>
    </row>
    <row r="1721" spans="1:21" x14ac:dyDescent="0.35">
      <c r="B1721" s="263">
        <v>1245150017</v>
      </c>
      <c r="C1721" s="10" t="s">
        <v>1112</v>
      </c>
      <c r="D1721" s="268">
        <v>9390000</v>
      </c>
      <c r="E1721" s="263" t="s">
        <v>97</v>
      </c>
      <c r="F1721">
        <v>40</v>
      </c>
      <c r="G1721" s="316" t="str">
        <f>+CONCATENATE($G$7,"  GC T",G1720," ",H1720)</f>
        <v>"04-2026"  GC TT139 Q137</v>
      </c>
      <c r="I1721" s="10" t="str">
        <f>+H1720</f>
        <v>Q137</v>
      </c>
      <c r="J1721" s="10"/>
    </row>
    <row r="1722" spans="1:21" x14ac:dyDescent="0.35">
      <c r="B1722" s="4">
        <v>1149120011</v>
      </c>
      <c r="C1722" s="10" t="s">
        <v>1032</v>
      </c>
      <c r="D1722" s="299">
        <f>+D1721*0.19</f>
        <v>1784100</v>
      </c>
      <c r="E1722" t="s">
        <v>97</v>
      </c>
      <c r="F1722">
        <v>40</v>
      </c>
      <c r="G1722" s="318" t="str">
        <f>+G1721</f>
        <v>"04-2026"  GC TT139 Q137</v>
      </c>
      <c r="I1722" s="10" t="str">
        <f>+I1721</f>
        <v>Q137</v>
      </c>
      <c r="J1722" s="10"/>
    </row>
    <row r="1723" spans="1:21" x14ac:dyDescent="0.35">
      <c r="C1723" s="251" t="s">
        <v>76</v>
      </c>
      <c r="D1723" s="265">
        <f>SUM(D1721:D1722)</f>
        <v>11174100</v>
      </c>
      <c r="G1723" s="318" t="str">
        <f>+G1722</f>
        <v>"04-2026"  GC TT139 Q137</v>
      </c>
      <c r="J1723" s="10"/>
    </row>
    <row r="1724" spans="1:21" x14ac:dyDescent="0.35">
      <c r="A1724" s="130" t="s">
        <v>855</v>
      </c>
      <c r="B1724" s="14">
        <v>209888</v>
      </c>
      <c r="C1724" s="15" t="s">
        <v>1310</v>
      </c>
      <c r="E1724"/>
      <c r="G1724" s="276" t="s">
        <v>646</v>
      </c>
      <c r="H1724" s="257">
        <v>9058</v>
      </c>
      <c r="J1724" s="350">
        <f>+VLOOKUP(H1724,contratos!A:R,5,0)</f>
        <v>42887</v>
      </c>
      <c r="K1724" s="266" t="str">
        <f>+VLOOKUP(H1724,contratos!A:R,12,0)</f>
        <v>OK</v>
      </c>
      <c r="L1724" s="341" t="str">
        <f>+VLOOKUP(H1724,contratos!A:R,13,0)</f>
        <v>VIGENTE</v>
      </c>
      <c r="M1724" s="341">
        <f>+VLOOKUP(H1724,contratos!A:R,15,0)</f>
        <v>0</v>
      </c>
      <c r="N1724" s="336">
        <f>+VLOOKUP(H1724,contratos!A:R,16,0)</f>
        <v>0</v>
      </c>
      <c r="O1724" s="341">
        <f>+VLOOKUP(H1724,PRORRATEO!F:M,3,0)</f>
        <v>33947300</v>
      </c>
      <c r="P1724" s="341">
        <f>+VLOOKUP(H1724,PRORRATEO!F:M,4,0)</f>
        <v>6449987</v>
      </c>
      <c r="Q1724" s="341">
        <f>+VLOOKUP(H1724,PRORRATEO!F:M,5,0)</f>
        <v>6449987</v>
      </c>
      <c r="R1724" s="341">
        <f>+VLOOKUP(H1724,PRORRATEO!F:M,6,0)</f>
        <v>0</v>
      </c>
      <c r="S1724" s="339">
        <f>+VLOOKUP(H1724,PRORRATEO!F:M,7,0)</f>
        <v>1</v>
      </c>
      <c r="T1724" s="339">
        <f>+VLOOKUP(H1724,PRORRATEO!F:M,8,0)</f>
        <v>0</v>
      </c>
    </row>
    <row r="1725" spans="1:21" x14ac:dyDescent="0.35">
      <c r="B1725" s="263">
        <v>1532001600</v>
      </c>
      <c r="C1725" s="10" t="s">
        <v>1311</v>
      </c>
      <c r="D1725" s="268">
        <v>13117</v>
      </c>
      <c r="E1725" t="s">
        <v>80</v>
      </c>
      <c r="F1725" s="263">
        <v>40</v>
      </c>
      <c r="G1725" s="318" t="str">
        <f>+CONCATENATE($G$7," ASEO ",G1724," ",H1724)</f>
        <v>"04-2026" ASEO SGH601 9058</v>
      </c>
      <c r="I1725" s="312">
        <f>+H1724</f>
        <v>9058</v>
      </c>
      <c r="J1725" s="10"/>
    </row>
    <row r="1726" spans="1:21" x14ac:dyDescent="0.35">
      <c r="B1726" s="263">
        <v>1532001605</v>
      </c>
      <c r="C1726" s="10" t="s">
        <v>1030</v>
      </c>
      <c r="D1726" s="299">
        <v>1084614</v>
      </c>
      <c r="E1726" t="s">
        <v>80</v>
      </c>
      <c r="F1726" s="263">
        <v>40</v>
      </c>
      <c r="G1726" s="318" t="str">
        <f>+CONCATENATE($G$7," ENERGIA ",G1724," ",H1724)</f>
        <v>"04-2026" ENERGIA SGH601 9058</v>
      </c>
      <c r="I1726" s="312">
        <f>+I1725</f>
        <v>9058</v>
      </c>
      <c r="J1726" s="10"/>
    </row>
    <row r="1727" spans="1:21" x14ac:dyDescent="0.35">
      <c r="D1727" s="268">
        <f>SUBTOTAL(9,D1725:D1726)</f>
        <v>1097731</v>
      </c>
      <c r="G1727" s="318" t="str">
        <f>+CONCATENATE($G$7," ASEO Y ENERGIA ",G1724," ",H1724)</f>
        <v>"04-2026" ASEO Y ENERGIA SGH601 9058</v>
      </c>
      <c r="J1727" s="10"/>
    </row>
    <row r="1728" spans="1:21" x14ac:dyDescent="0.35">
      <c r="A1728" s="130" t="s">
        <v>1098</v>
      </c>
      <c r="B1728" s="14">
        <v>451666</v>
      </c>
      <c r="C1728" s="15" t="s">
        <v>1312</v>
      </c>
      <c r="E1728"/>
      <c r="G1728" s="276" t="s">
        <v>1255</v>
      </c>
      <c r="H1728" s="257" t="s">
        <v>1315</v>
      </c>
      <c r="J1728" s="350" t="e">
        <f>+VLOOKUP(H1728,contratos!A:R,5,0)</f>
        <v>#N/A</v>
      </c>
      <c r="K1728" s="266" t="e">
        <f>+VLOOKUP(H1728,contratos!A:R,12,0)</f>
        <v>#N/A</v>
      </c>
      <c r="L1728" s="341" t="e">
        <f>+VLOOKUP(H1728,contratos!A:R,13,0)</f>
        <v>#N/A</v>
      </c>
      <c r="M1728" s="341" t="e">
        <f>+VLOOKUP(H1728,contratos!A:R,15,0)</f>
        <v>#N/A</v>
      </c>
      <c r="N1728" s="336" t="e">
        <f>+VLOOKUP(H1728,contratos!A:R,16,0)</f>
        <v>#N/A</v>
      </c>
      <c r="O1728" s="341" t="e">
        <f>+VLOOKUP(H1728,PRORRATEO!F:M,3,0)</f>
        <v>#N/A</v>
      </c>
      <c r="P1728" s="341" t="e">
        <f>+VLOOKUP(H1728,PRORRATEO!F:M,4,0)</f>
        <v>#N/A</v>
      </c>
      <c r="Q1728" s="341" t="e">
        <f>+VLOOKUP(H1728,PRORRATEO!F:M,5,0)</f>
        <v>#N/A</v>
      </c>
      <c r="R1728" s="341" t="e">
        <f>+VLOOKUP(H1728,PRORRATEO!F:M,6,0)</f>
        <v>#N/A</v>
      </c>
      <c r="S1728" s="339" t="e">
        <f>+VLOOKUP(H1728,PRORRATEO!F:M,7,0)</f>
        <v>#N/A</v>
      </c>
      <c r="T1728" s="339" t="e">
        <f>+VLOOKUP(H1728,PRORRATEO!F:M,8,0)</f>
        <v>#N/A</v>
      </c>
    </row>
    <row r="1729" spans="1:21" x14ac:dyDescent="0.35">
      <c r="B1729" s="263">
        <v>1535100020</v>
      </c>
      <c r="C1729" s="10" t="s">
        <v>1313</v>
      </c>
      <c r="D1729" s="268">
        <v>150325841</v>
      </c>
      <c r="E1729" t="s">
        <v>80</v>
      </c>
      <c r="F1729" s="263">
        <v>40</v>
      </c>
      <c r="G1729" s="318" t="str">
        <f>+CONCATENATE($G$7," RF ",G1728," ",H1728)</f>
        <v>"04-2026" RF OFICINA T3 8140074</v>
      </c>
      <c r="I1729" s="312" t="str">
        <f>+H1728</f>
        <v>8140074</v>
      </c>
      <c r="J1729" s="10"/>
    </row>
    <row r="1730" spans="1:21" x14ac:dyDescent="0.35">
      <c r="B1730" s="4">
        <v>1149120011</v>
      </c>
      <c r="C1730" s="10" t="s">
        <v>1032</v>
      </c>
      <c r="D1730" s="299">
        <f>+D1729*0.19</f>
        <v>28561909.789999999</v>
      </c>
      <c r="E1730" t="s">
        <v>97</v>
      </c>
      <c r="F1730">
        <v>40</v>
      </c>
      <c r="G1730" s="318" t="str">
        <f>+G1729</f>
        <v>"04-2026" RF OFICINA T3 8140074</v>
      </c>
      <c r="I1730" s="10" t="str">
        <f>+I1729</f>
        <v>8140074</v>
      </c>
      <c r="J1730" s="10"/>
    </row>
    <row r="1731" spans="1:21" x14ac:dyDescent="0.35">
      <c r="A1731" s="130" t="s">
        <v>853</v>
      </c>
      <c r="B1731" s="485">
        <v>4000871</v>
      </c>
      <c r="C1731" s="486" t="s">
        <v>1710</v>
      </c>
      <c r="G1731" s="487" t="s">
        <v>535</v>
      </c>
      <c r="H1731" s="485">
        <v>6652</v>
      </c>
      <c r="J1731" s="350">
        <f>+VLOOKUP(H1731,contratos!A:R,5,0)</f>
        <v>43480</v>
      </c>
      <c r="K1731" s="266" t="str">
        <f>+VLOOKUP(H1731,contratos!A:R,12,0)</f>
        <v>VENCIDO</v>
      </c>
      <c r="L1731" s="341" t="str">
        <f>+VLOOKUP(H1731,contratos!A:R,13,0)</f>
        <v>CESADO</v>
      </c>
      <c r="M1731" s="341">
        <f>+VLOOKUP(H1731,contratos!A:R,15,0)</f>
        <v>0</v>
      </c>
      <c r="N1731" s="336">
        <f>+VLOOKUP(H1731,contratos!A:R,16,0)</f>
        <v>0</v>
      </c>
      <c r="O1731" s="341">
        <f>+VLOOKUP(B372,PRORRATEO!A:M,8,0)</f>
        <v>15871587</v>
      </c>
      <c r="P1731" s="341">
        <f>+VLOOKUP(B372,PRORRATEO!A:M,9,0)</f>
        <v>3015601.5300000003</v>
      </c>
      <c r="Q1731" s="341">
        <f>+VLOOKUP(B372,PRORRATEO!A:M,10,0)</f>
        <v>160005.1278447978</v>
      </c>
      <c r="R1731" s="341">
        <f>+VLOOKUP(B372,PRORRATEO!A:M,11,0)</f>
        <v>2855596.4021552023</v>
      </c>
      <c r="S1731" s="339">
        <f>+VLOOKUP(B372,PRORRATEO!A:M,12,0)</f>
        <v>5.3059108192188037E-2</v>
      </c>
      <c r="T1731" s="339">
        <f>+VLOOKUP(B372,PRORRATEO!A:M,13,0)</f>
        <v>0.94694089180781194</v>
      </c>
    </row>
    <row r="1732" spans="1:21" x14ac:dyDescent="0.35">
      <c r="B1732" s="4">
        <v>1242100042</v>
      </c>
      <c r="C1732" s="251" t="s">
        <v>983</v>
      </c>
      <c r="D1732" s="299">
        <f>+D1733+D1734-D1735+D1736+D1737+D1738</f>
        <v>18178362.854807626</v>
      </c>
      <c r="E1732" s="10" t="s">
        <v>984</v>
      </c>
      <c r="F1732">
        <v>31</v>
      </c>
      <c r="G1732" s="316" t="str">
        <f>+CONCATENATE($G$7," RF ",G1731," ",H1731)</f>
        <v>"04-2026" RF T054 6652</v>
      </c>
      <c r="J1732" s="10"/>
    </row>
    <row r="1733" spans="1:21" x14ac:dyDescent="0.35">
      <c r="B1733" s="263">
        <v>1245150017</v>
      </c>
      <c r="C1733" s="251" t="s">
        <v>77</v>
      </c>
      <c r="D1733" s="268">
        <f>+O1731</f>
        <v>15871587</v>
      </c>
      <c r="E1733" s="10" t="s">
        <v>97</v>
      </c>
      <c r="F1733" s="263">
        <v>40</v>
      </c>
      <c r="G1733" s="318" t="str">
        <f t="shared" ref="G1733:G1738" si="87">+G1732</f>
        <v>"04-2026" RF T054 6652</v>
      </c>
      <c r="I1733" s="314">
        <f>+H1731</f>
        <v>6652</v>
      </c>
      <c r="J1733" s="10"/>
    </row>
    <row r="1734" spans="1:21" x14ac:dyDescent="0.35">
      <c r="B1734" s="263">
        <v>1149120011</v>
      </c>
      <c r="C1734" s="251" t="s">
        <v>96</v>
      </c>
      <c r="D1734" s="268">
        <f>+Q1731</f>
        <v>160005.1278447978</v>
      </c>
      <c r="E1734" s="10" t="s">
        <v>98</v>
      </c>
      <c r="F1734" s="263">
        <v>40</v>
      </c>
      <c r="G1734" s="318" t="str">
        <f t="shared" si="87"/>
        <v>"04-2026" RF T054 6652</v>
      </c>
      <c r="I1734" s="314">
        <f>+I1733</f>
        <v>6652</v>
      </c>
      <c r="J1734" s="10"/>
      <c r="K1734" s="433">
        <f>+D1733+D1736</f>
        <v>18887188.530000001</v>
      </c>
    </row>
    <row r="1735" spans="1:21" x14ac:dyDescent="0.35">
      <c r="B1735" s="263">
        <v>1149120011</v>
      </c>
      <c r="C1735" s="251" t="s">
        <v>96</v>
      </c>
      <c r="D1735" s="268">
        <f>+D1734</f>
        <v>160005.1278447978</v>
      </c>
      <c r="E1735" s="10" t="s">
        <v>97</v>
      </c>
      <c r="F1735" s="263">
        <v>50</v>
      </c>
      <c r="G1735" s="318" t="str">
        <f t="shared" si="87"/>
        <v>"04-2026" RF T054 6652</v>
      </c>
      <c r="I1735" s="314">
        <f>+I1734</f>
        <v>6652</v>
      </c>
      <c r="J1735" s="10"/>
      <c r="K1735" s="433">
        <f>+K1734+D1737+D1738</f>
        <v>18178362.854807626</v>
      </c>
    </row>
    <row r="1736" spans="1:21" x14ac:dyDescent="0.35">
      <c r="B1736" s="4">
        <v>1149120011</v>
      </c>
      <c r="C1736" s="251" t="s">
        <v>96</v>
      </c>
      <c r="D1736" s="268">
        <f>+P1731</f>
        <v>3015601.5300000003</v>
      </c>
      <c r="E1736" s="10" t="s">
        <v>97</v>
      </c>
      <c r="F1736">
        <v>40</v>
      </c>
      <c r="G1736" s="318" t="str">
        <f t="shared" si="87"/>
        <v>"04-2026" RF T054 6652</v>
      </c>
      <c r="J1736" s="10"/>
    </row>
    <row r="1737" spans="1:21" x14ac:dyDescent="0.35">
      <c r="B1737" s="4">
        <v>1249100024</v>
      </c>
      <c r="C1737" s="251" t="s">
        <v>981</v>
      </c>
      <c r="D1737" s="268">
        <f>-D1733*J1737</f>
        <v>-153319.68788236342</v>
      </c>
      <c r="F1737">
        <v>50</v>
      </c>
      <c r="G1737" s="318" t="str">
        <f t="shared" si="87"/>
        <v>"04-2026" RF T054 6652</v>
      </c>
      <c r="I1737" s="206">
        <v>1</v>
      </c>
      <c r="J1737" s="352">
        <v>9.6600099210219764E-3</v>
      </c>
    </row>
    <row r="1738" spans="1:21" x14ac:dyDescent="0.35">
      <c r="B1738" s="4">
        <v>1246125027</v>
      </c>
      <c r="C1738" s="251" t="s">
        <v>962</v>
      </c>
      <c r="D1738" s="298">
        <f>-D1733*J1738</f>
        <v>-555505.98731000966</v>
      </c>
      <c r="F1738">
        <v>50</v>
      </c>
      <c r="G1738" s="318" t="str">
        <f t="shared" si="87"/>
        <v>"04-2026" RF T054 6652</v>
      </c>
      <c r="I1738" s="251" t="s">
        <v>1711</v>
      </c>
      <c r="J1738" s="352">
        <v>3.5000027868039262E-2</v>
      </c>
      <c r="K1738" s="488"/>
    </row>
    <row r="1739" spans="1:21" x14ac:dyDescent="0.35">
      <c r="D1739" s="268">
        <f>SUBTOTAL(9,D1729:D1730)</f>
        <v>178887750.78999999</v>
      </c>
      <c r="G1739" s="318" t="str">
        <f>+G1730</f>
        <v>"04-2026" RF OFICINA T3 8140074</v>
      </c>
      <c r="J1739" s="10"/>
    </row>
    <row r="1740" spans="1:21" x14ac:dyDescent="0.35">
      <c r="A1740" s="130" t="s">
        <v>1718</v>
      </c>
      <c r="B1740" s="491">
        <v>452470</v>
      </c>
      <c r="C1740" s="492" t="s">
        <v>1717</v>
      </c>
      <c r="D1740" s="10"/>
      <c r="F1740" s="10"/>
      <c r="G1740" s="10" t="s">
        <v>1255</v>
      </c>
      <c r="H1740" s="10">
        <v>8140015</v>
      </c>
      <c r="J1740" s="350">
        <f>+VLOOKUP(H1740,contratos!A:R,5,0)</f>
        <v>44652</v>
      </c>
      <c r="K1740" s="266" t="str">
        <f>+VLOOKUP(H1740,contratos!A:R,12,0)</f>
        <v>CESADO</v>
      </c>
      <c r="L1740" s="341" t="str">
        <f>+VLOOKUP(H1740,contratos!A:R,13,0)</f>
        <v>CERRADA</v>
      </c>
      <c r="M1740" s="341">
        <f>+VLOOKUP(H1740,contratos!A:R,15,0)</f>
        <v>0</v>
      </c>
      <c r="N1740" s="336">
        <f>+VLOOKUP(H1740,contratos!A:R,16,0)</f>
        <v>0</v>
      </c>
      <c r="O1740" s="341" t="e">
        <f>+VLOOKUP(H1740,PRORRATEO!F:M,3,0)</f>
        <v>#N/A</v>
      </c>
      <c r="P1740" s="341" t="e">
        <f>+VLOOKUP(H1740,PRORRATEO!F:M,4,0)</f>
        <v>#N/A</v>
      </c>
      <c r="Q1740" s="341" t="e">
        <f>+VLOOKUP(H1740,PRORRATEO!F:M,5,0)</f>
        <v>#N/A</v>
      </c>
      <c r="R1740" s="341" t="e">
        <f>+VLOOKUP(H1740,PRORRATEO!F:M,6,0)</f>
        <v>#N/A</v>
      </c>
      <c r="S1740" s="339" t="e">
        <f>+VLOOKUP(H1740,PRORRATEO!F:M,7,0)</f>
        <v>#N/A</v>
      </c>
      <c r="T1740" s="339" t="e">
        <f>+VLOOKUP(H1740,PRORRATEO!F:M,8,0)</f>
        <v>#N/A</v>
      </c>
    </row>
    <row r="1741" spans="1:21" x14ac:dyDescent="0.35">
      <c r="B1741" s="263">
        <v>1532002507</v>
      </c>
      <c r="C1741" s="10" t="s">
        <v>1716</v>
      </c>
      <c r="D1741" s="268">
        <v>764974</v>
      </c>
      <c r="E1741" t="s">
        <v>80</v>
      </c>
      <c r="F1741" s="263">
        <v>40</v>
      </c>
      <c r="G1741" s="318" t="str">
        <f>+CONCATENATE($G$7,"  ",A1740,"  ",G1740," ",H1740)</f>
        <v>"04-2026"  PARQUEADERO  OFICINA T3 8140015</v>
      </c>
      <c r="H1741" s="10"/>
      <c r="I1741" s="10">
        <f>+H1740</f>
        <v>8140015</v>
      </c>
      <c r="J1741" s="10"/>
    </row>
    <row r="1742" spans="1:21" x14ac:dyDescent="0.35">
      <c r="B1742" s="4">
        <v>1149120011</v>
      </c>
      <c r="C1742" s="10" t="s">
        <v>1032</v>
      </c>
      <c r="D1742" s="299">
        <f>+D1741*0.19</f>
        <v>145345.06</v>
      </c>
      <c r="E1742" t="s">
        <v>97</v>
      </c>
      <c r="F1742">
        <v>40</v>
      </c>
      <c r="G1742" s="318" t="str">
        <f>+G1741</f>
        <v>"04-2026"  PARQUEADERO  OFICINA T3 8140015</v>
      </c>
      <c r="I1742" s="10">
        <f>+I1741</f>
        <v>8140015</v>
      </c>
      <c r="J1742" s="10"/>
    </row>
    <row r="1743" spans="1:21" x14ac:dyDescent="0.35">
      <c r="A1743" s="130" t="s">
        <v>853</v>
      </c>
      <c r="B1743" s="262">
        <v>452333</v>
      </c>
      <c r="C1743" s="276" t="s">
        <v>823</v>
      </c>
      <c r="E1743"/>
      <c r="G1743" s="380" t="s">
        <v>1217</v>
      </c>
      <c r="H1743" s="413" t="s">
        <v>1189</v>
      </c>
      <c r="J1743" s="350">
        <f>+VLOOKUP(H1743,contratos!A:R,5,0)</f>
        <v>45332</v>
      </c>
      <c r="K1743" s="266" t="str">
        <f>+VLOOKUP(H1743,contratos!A:R,12,0)</f>
        <v>OK</v>
      </c>
      <c r="L1743" s="341" t="str">
        <f>+VLOOKUP(H1743,contratos!A:R,13,0)</f>
        <v>VIGENTE</v>
      </c>
      <c r="M1743" s="341">
        <f>+VLOOKUP(H1743,contratos!A:R,15,0)</f>
        <v>0</v>
      </c>
      <c r="N1743" s="336">
        <f>+VLOOKUP(H1743,contratos!A:R,16,0)</f>
        <v>1632233</v>
      </c>
      <c r="O1743" s="341">
        <f>+VLOOKUP(B1743,PRORRATEO!A:M,8,0)</f>
        <v>23498968</v>
      </c>
      <c r="P1743" s="341">
        <f>+VLOOKUP(B1743,PRORRATEO!A:M,9,0)</f>
        <v>4464803.92</v>
      </c>
      <c r="Q1743" s="341">
        <f>+VLOOKUP(B1743,PRORRATEO!A:M,10,0)</f>
        <v>4464803.92</v>
      </c>
      <c r="R1743" s="341">
        <f>+VLOOKUP(B1743,PRORRATEO!A:M,11,0)</f>
        <v>0</v>
      </c>
      <c r="S1743" s="339">
        <f>+VLOOKUP(B1743,PRORRATEO!A:M,12,0)</f>
        <v>1</v>
      </c>
      <c r="T1743" s="339">
        <f>+VLOOKUP(B1743,PRORRATEO!A:M,13,0)</f>
        <v>0</v>
      </c>
      <c r="U1743" t="s">
        <v>823</v>
      </c>
    </row>
    <row r="1744" spans="1:21" x14ac:dyDescent="0.35">
      <c r="B1744" s="263">
        <v>1532001600</v>
      </c>
      <c r="C1744" s="10" t="s">
        <v>1721</v>
      </c>
      <c r="D1744" s="268">
        <v>175899</v>
      </c>
      <c r="E1744" s="263" t="s">
        <v>80</v>
      </c>
      <c r="F1744">
        <v>40</v>
      </c>
      <c r="G1744" s="316" t="str">
        <f>+CONCATENATE($G$7," FUMIGACION ",G1743," ",H1743)</f>
        <v>"04-2026" FUMIGACION SGH639 P362</v>
      </c>
      <c r="H1744" s="259"/>
      <c r="I1744" s="10" t="str">
        <f>+H1743</f>
        <v>P362</v>
      </c>
      <c r="J1744" s="10"/>
    </row>
    <row r="1745" spans="1:21" x14ac:dyDescent="0.35">
      <c r="B1745" s="263">
        <v>1532001604</v>
      </c>
      <c r="C1745" s="10" t="s">
        <v>1029</v>
      </c>
      <c r="D1745" s="328">
        <v>1863105</v>
      </c>
      <c r="E1745" s="263" t="s">
        <v>80</v>
      </c>
      <c r="F1745">
        <v>40</v>
      </c>
      <c r="G1745" s="316" t="str">
        <f>+CONCATENATE($G$7," ACUEDUCTO ",G1743," ",H1743)</f>
        <v>"04-2026" ACUEDUCTO SGH639 P362</v>
      </c>
      <c r="H1745" s="259"/>
      <c r="I1745" s="10" t="str">
        <f>+I1744</f>
        <v>P362</v>
      </c>
      <c r="J1745" s="10"/>
    </row>
    <row r="1746" spans="1:21" x14ac:dyDescent="0.35">
      <c r="B1746" s="10"/>
      <c r="D1746" s="268">
        <f>SUBTOTAL(9,D1744:D1745)</f>
        <v>2039004</v>
      </c>
      <c r="G1746" s="496" t="str">
        <f>+CONCATENATE($G$7," FUMIGA/ACUED ",G1743," ",H1743)</f>
        <v>"04-2026" FUMIGA/ACUED SGH639 P362</v>
      </c>
      <c r="K1746" s="501"/>
    </row>
    <row r="1747" spans="1:21" x14ac:dyDescent="0.35">
      <c r="A1747" s="130" t="s">
        <v>853</v>
      </c>
      <c r="B1747" s="262">
        <v>471882</v>
      </c>
      <c r="C1747" s="276" t="s">
        <v>1759</v>
      </c>
      <c r="E1747"/>
      <c r="G1747" s="380" t="s">
        <v>434</v>
      </c>
      <c r="H1747" s="541">
        <v>9101</v>
      </c>
      <c r="J1747" s="350">
        <f>+VLOOKUP(H1747,contratos!A:R,5,0)</f>
        <v>45474</v>
      </c>
      <c r="K1747" s="266" t="str">
        <f>+VLOOKUP(H1747,contratos!A:R,12,0)</f>
        <v>OK</v>
      </c>
      <c r="L1747" s="341" t="str">
        <f>+VLOOKUP(H1747,contratos!A:R,13,0)</f>
        <v>VIGENTE</v>
      </c>
      <c r="M1747" s="341">
        <f>+VLOOKUP(H1747,contratos!A:R,15,0)</f>
        <v>0</v>
      </c>
      <c r="N1747" s="336">
        <f>+VLOOKUP(H1747,contratos!A:R,16,0)</f>
        <v>0</v>
      </c>
      <c r="O1747" s="341">
        <f>+VLOOKUP(G1747,PRORRATEO!C:M,6,0)</f>
        <v>15609400</v>
      </c>
      <c r="P1747" s="341">
        <f>+VLOOKUP(G1747,PRORRATEO!C:M,7,0)</f>
        <v>2965786</v>
      </c>
      <c r="Q1747" s="341">
        <f>+VLOOKUP(G1747,PRORRATEO!C:M,8,0)</f>
        <v>172015.58800000002</v>
      </c>
      <c r="R1747" s="341">
        <f>+VLOOKUP(G1747,PRORRATEO!C:M,9,0)</f>
        <v>2793770.412</v>
      </c>
      <c r="S1747" s="339">
        <f>+VLOOKUP(G1747,PRORRATEO!C:M,10,0)</f>
        <v>5.8000000000000003E-2</v>
      </c>
      <c r="T1747" s="339">
        <f>+VLOOKUP(G1747,PRORRATEO!C:M,11,0)</f>
        <v>0.94199999999999995</v>
      </c>
      <c r="U1747" t="s">
        <v>823</v>
      </c>
    </row>
    <row r="1748" spans="1:21" x14ac:dyDescent="0.35">
      <c r="B1748" s="263">
        <v>1245150017</v>
      </c>
      <c r="C1748" s="10" t="s">
        <v>77</v>
      </c>
      <c r="D1748" s="268">
        <f>+O1747</f>
        <v>15609400</v>
      </c>
      <c r="E1748" t="s">
        <v>97</v>
      </c>
      <c r="F1748" s="263">
        <v>40</v>
      </c>
      <c r="G1748" s="10" t="str">
        <f>+CONCATENATE(G7," RF ",G1747," ",H1747)</f>
        <v>"04-2026" RF T125 9101</v>
      </c>
      <c r="H1748" s="252"/>
      <c r="I1748" s="10">
        <f>+H1747</f>
        <v>9101</v>
      </c>
      <c r="J1748" s="350"/>
    </row>
    <row r="1749" spans="1:21" x14ac:dyDescent="0.35">
      <c r="B1749" s="263">
        <v>1149120011</v>
      </c>
      <c r="C1749" s="10" t="s">
        <v>96</v>
      </c>
      <c r="D1749" s="268">
        <f>+D1751*S1747</f>
        <v>172015.58800000002</v>
      </c>
      <c r="E1749" t="s">
        <v>98</v>
      </c>
      <c r="F1749" s="263">
        <v>40</v>
      </c>
      <c r="G1749" s="318" t="str">
        <f>+G1748</f>
        <v>"04-2026" RF T125 9101</v>
      </c>
      <c r="H1749" s="252"/>
      <c r="I1749" s="10">
        <f>+I1748</f>
        <v>9101</v>
      </c>
      <c r="J1749" s="350"/>
    </row>
    <row r="1750" spans="1:21" x14ac:dyDescent="0.35">
      <c r="B1750" s="263">
        <v>1149120011</v>
      </c>
      <c r="C1750" s="10" t="s">
        <v>96</v>
      </c>
      <c r="D1750" s="268">
        <f>-D1749</f>
        <v>-172015.58800000002</v>
      </c>
      <c r="E1750" t="s">
        <v>97</v>
      </c>
      <c r="F1750" s="263">
        <v>50</v>
      </c>
      <c r="G1750" s="318" t="str">
        <f>+G1749</f>
        <v>"04-2026" RF T125 9101</v>
      </c>
      <c r="H1750" s="252"/>
      <c r="I1750" s="10">
        <f>+I1749</f>
        <v>9101</v>
      </c>
      <c r="J1750" s="350"/>
    </row>
    <row r="1751" spans="1:21" x14ac:dyDescent="0.35">
      <c r="B1751" s="4">
        <v>1149120011</v>
      </c>
      <c r="C1751" s="10" t="s">
        <v>96</v>
      </c>
      <c r="D1751" s="298">
        <f>+D1748*0.19</f>
        <v>2965786</v>
      </c>
      <c r="E1751" t="s">
        <v>97</v>
      </c>
      <c r="F1751">
        <v>40</v>
      </c>
      <c r="G1751" s="318" t="str">
        <f>+G1750</f>
        <v>"04-2026" RF T125 9101</v>
      </c>
      <c r="H1751" s="252"/>
      <c r="I1751" s="10">
        <f>+I1750</f>
        <v>9101</v>
      </c>
      <c r="J1751" s="350"/>
    </row>
    <row r="1752" spans="1:21" x14ac:dyDescent="0.35">
      <c r="C1752" s="251" t="s">
        <v>76</v>
      </c>
      <c r="D1752" s="265">
        <f>SUBTOTAL(9,D1748:D1751)</f>
        <v>18575186</v>
      </c>
      <c r="E1752"/>
      <c r="G1752" s="318" t="str">
        <f>+G1751</f>
        <v>"04-2026" RF T125 9101</v>
      </c>
      <c r="H1752" s="252"/>
      <c r="J1752" s="350"/>
    </row>
    <row r="1753" spans="1:21" hidden="1" x14ac:dyDescent="0.35">
      <c r="K1753" s="352">
        <v>0.12846948566906477</v>
      </c>
      <c r="L1753" s="54" t="s">
        <v>1726</v>
      </c>
    </row>
    <row r="1754" spans="1:21" hidden="1" x14ac:dyDescent="0.35">
      <c r="K1754" s="352">
        <v>1.2850985134219601E-2</v>
      </c>
      <c r="L1754" s="54">
        <v>545925.5</v>
      </c>
    </row>
    <row r="1755" spans="1:21" hidden="1" x14ac:dyDescent="0.35">
      <c r="K1755" s="352">
        <v>8.5017084397396563E-3</v>
      </c>
      <c r="L1755" s="495">
        <v>102360.84</v>
      </c>
    </row>
    <row r="1756" spans="1:21" hidden="1" x14ac:dyDescent="0.35">
      <c r="K1756" s="376" t="s">
        <v>1730</v>
      </c>
      <c r="L1756" s="338"/>
    </row>
    <row r="1757" spans="1:21" hidden="1" x14ac:dyDescent="0.35">
      <c r="K1757" s="10" t="s">
        <v>1727</v>
      </c>
      <c r="L1757" s="338">
        <v>4013311</v>
      </c>
    </row>
    <row r="1758" spans="1:21" x14ac:dyDescent="0.35">
      <c r="A1758" s="130" t="s">
        <v>853</v>
      </c>
      <c r="B1758" s="262">
        <v>452333</v>
      </c>
      <c r="C1758" s="276" t="s">
        <v>823</v>
      </c>
      <c r="E1758"/>
      <c r="G1758" s="380" t="s">
        <v>1228</v>
      </c>
      <c r="H1758" s="413" t="s">
        <v>1190</v>
      </c>
      <c r="J1758" s="350">
        <f>+VLOOKUP(H1758,contratos!A:R,5,0)</f>
        <v>45372</v>
      </c>
      <c r="K1758" s="266" t="str">
        <f>+VLOOKUP(H1758,contratos!A:R,12,0)</f>
        <v>OK</v>
      </c>
      <c r="L1758" s="341" t="str">
        <f>+VLOOKUP(H1758,contratos!A:R,13,0)</f>
        <v>VIGENTE</v>
      </c>
      <c r="M1758" s="341">
        <f>+VLOOKUP(H1758,contratos!A:R,15,0)</f>
        <v>0</v>
      </c>
      <c r="N1758" s="336">
        <f>+VLOOKUP(H1758,contratos!A:R,16,0)</f>
        <v>941951</v>
      </c>
      <c r="O1758" s="341">
        <f>+VLOOKUP(B1758,PRORRATEO!A:M,8,0)</f>
        <v>23498968</v>
      </c>
      <c r="P1758" s="341">
        <f>+VLOOKUP(B1758,PRORRATEO!A:M,9,0)</f>
        <v>4464803.92</v>
      </c>
      <c r="Q1758" s="341">
        <f>+VLOOKUP(B1758,PRORRATEO!A:M,10,0)</f>
        <v>4464803.92</v>
      </c>
      <c r="R1758" s="341">
        <f>+VLOOKUP(B1758,PRORRATEO!A:M,11,0)</f>
        <v>0</v>
      </c>
      <c r="S1758" s="339">
        <f>+VLOOKUP(B1758,PRORRATEO!A:M,12,0)</f>
        <v>1</v>
      </c>
      <c r="T1758" s="339">
        <f>+VLOOKUP(B1758,PRORRATEO!A:M,13,0)</f>
        <v>0</v>
      </c>
      <c r="U1758" t="s">
        <v>823</v>
      </c>
    </row>
    <row r="1759" spans="1:21" x14ac:dyDescent="0.35">
      <c r="B1759" s="263">
        <v>1532001604</v>
      </c>
      <c r="C1759" s="10" t="s">
        <v>1029</v>
      </c>
      <c r="D1759" s="268">
        <v>205930</v>
      </c>
      <c r="E1759" t="s">
        <v>98</v>
      </c>
      <c r="F1759">
        <v>40</v>
      </c>
      <c r="G1759" s="316" t="str">
        <f>+CONCATENATE($G$7," ACUED ",G1758," ",H1758)</f>
        <v>"04-2026" ACUED SGH640 P757</v>
      </c>
      <c r="I1759" s="10" t="str">
        <f>+H1758</f>
        <v>P757</v>
      </c>
    </row>
    <row r="1760" spans="1:21" x14ac:dyDescent="0.35">
      <c r="B1760" s="263">
        <v>1245150017</v>
      </c>
      <c r="C1760" s="10" t="s">
        <v>1113</v>
      </c>
      <c r="D1760" s="299">
        <v>77930</v>
      </c>
      <c r="E1760" t="s">
        <v>98</v>
      </c>
      <c r="F1760">
        <v>40</v>
      </c>
      <c r="G1760" s="10" t="str">
        <f>+CONCATENATE($G$7," BOTON EMERG ",G1758," ",H1758)</f>
        <v>"04-2026" BOTON EMERG SGH640 P757</v>
      </c>
      <c r="I1760" s="10" t="str">
        <f>+H1758</f>
        <v>P757</v>
      </c>
    </row>
    <row r="1761" spans="4:12" x14ac:dyDescent="0.35">
      <c r="D1761" s="268">
        <f>SUBTOTAL(9,D1759:D1760)</f>
        <v>283860</v>
      </c>
      <c r="G1761" s="10" t="str">
        <f>+CONCATENATE($G$7," ACUED/BOTON ",G1758," ",H1758)</f>
        <v>"04-2026" ACUED/BOTON SGH640 P757</v>
      </c>
      <c r="H1761" s="547"/>
      <c r="L1761" s="341">
        <f>SUBTOTAL(9,L775:L779)+J779</f>
        <v>4424591</v>
      </c>
    </row>
    <row r="1763" spans="4:12" x14ac:dyDescent="0.35">
      <c r="K1763" s="546"/>
    </row>
    <row r="1764" spans="4:12" x14ac:dyDescent="0.35">
      <c r="K1764" s="338"/>
    </row>
  </sheetData>
  <autoFilter ref="A8:Y1760" xr:uid="{15166E35-934E-4B1B-9ACC-146F98A98BEF}">
    <filterColumn colId="6">
      <customFilters>
        <customFilter val="**"/>
      </customFilters>
    </filterColumn>
  </autoFilter>
  <mergeCells count="3">
    <mergeCell ref="J7:N7"/>
    <mergeCell ref="O7:T7"/>
    <mergeCell ref="D7:F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TextBox1">
          <controlPr defaultSize="0" autoLine="0" r:id="rId5">
            <anchor moveWithCells="1">
              <from>
                <xdr:col>1</xdr:col>
                <xdr:colOff>374650</xdr:colOff>
                <xdr:row>1</xdr:row>
                <xdr:rowOff>12700</xdr:rowOff>
              </from>
              <to>
                <xdr:col>2</xdr:col>
                <xdr:colOff>546100</xdr:colOff>
                <xdr:row>4</xdr:row>
                <xdr:rowOff>127000</xdr:rowOff>
              </to>
            </anchor>
          </controlPr>
        </control>
      </mc:Choice>
      <mc:Fallback>
        <control shapeId="18438" r:id="rId4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9AD8-31B9-4779-9916-C0C44A9ECA8D}">
  <sheetPr codeName="Hoja7">
    <tabColor rgb="FFFFFF00"/>
  </sheetPr>
  <dimension ref="A1:X713"/>
  <sheetViews>
    <sheetView zoomScale="80" zoomScaleNormal="80" workbookViewId="0">
      <selection activeCell="P12" sqref="P12"/>
    </sheetView>
  </sheetViews>
  <sheetFormatPr baseColWidth="10" defaultColWidth="11.453125" defaultRowHeight="11.5" outlineLevelCol="1" x14ac:dyDescent="0.3"/>
  <cols>
    <col min="1" max="1" width="8.54296875" style="22" customWidth="1"/>
    <col min="2" max="2" width="8.54296875" style="21" customWidth="1"/>
    <col min="3" max="3" width="9.453125" style="21" customWidth="1"/>
    <col min="4" max="4" width="37.81640625" style="22" customWidth="1"/>
    <col min="5" max="5" width="9.54296875" style="21" customWidth="1"/>
    <col min="6" max="6" width="10.453125" style="21" customWidth="1"/>
    <col min="7" max="7" width="9.7265625" style="21" customWidth="1"/>
    <col min="8" max="12" width="11.54296875" style="22" customWidth="1" outlineLevel="1"/>
    <col min="13" max="13" width="11.54296875" style="21" customWidth="1"/>
    <col min="14" max="14" width="11.54296875" style="22" customWidth="1" outlineLevel="1"/>
    <col min="15" max="15" width="11.54296875" style="21" customWidth="1"/>
    <col min="16" max="16" width="13.08984375" style="21" customWidth="1"/>
    <col min="17" max="17" width="14.90625" style="22" customWidth="1"/>
    <col min="18" max="18" width="26.26953125" style="22" customWidth="1"/>
    <col min="19" max="16384" width="11.453125" style="22"/>
  </cols>
  <sheetData>
    <row r="1" spans="1:24" ht="16" x14ac:dyDescent="0.3">
      <c r="B1" s="20" t="s">
        <v>100</v>
      </c>
    </row>
    <row r="2" spans="1:24" ht="16" x14ac:dyDescent="0.3">
      <c r="B2" s="20" t="s">
        <v>101</v>
      </c>
      <c r="R2" s="199"/>
    </row>
    <row r="3" spans="1:24" x14ac:dyDescent="0.3">
      <c r="Q3" s="21"/>
    </row>
    <row r="5" spans="1:24" customFormat="1" ht="34.5" x14ac:dyDescent="0.35">
      <c r="A5" s="462" t="s">
        <v>109</v>
      </c>
      <c r="B5" s="23" t="s">
        <v>102</v>
      </c>
      <c r="C5" s="462" t="s">
        <v>103</v>
      </c>
      <c r="D5" s="23" t="s">
        <v>104</v>
      </c>
      <c r="E5" s="23" t="s">
        <v>1713</v>
      </c>
      <c r="F5" s="23" t="s">
        <v>105</v>
      </c>
      <c r="G5" s="23" t="s">
        <v>106</v>
      </c>
      <c r="H5" s="23" t="s">
        <v>107</v>
      </c>
      <c r="I5" s="23" t="s">
        <v>108</v>
      </c>
      <c r="J5" s="462" t="s">
        <v>109</v>
      </c>
      <c r="K5" s="428" t="s">
        <v>110</v>
      </c>
      <c r="L5" s="429" t="s">
        <v>111</v>
      </c>
      <c r="M5" s="24" t="s">
        <v>112</v>
      </c>
      <c r="N5" s="24" t="s">
        <v>113</v>
      </c>
      <c r="O5" s="24" t="s">
        <v>114</v>
      </c>
      <c r="P5" s="24" t="s">
        <v>115</v>
      </c>
      <c r="Q5" s="24" t="s">
        <v>116</v>
      </c>
      <c r="R5" s="24" t="s">
        <v>1781</v>
      </c>
      <c r="S5" s="24" t="s">
        <v>117</v>
      </c>
      <c r="T5" s="509"/>
      <c r="U5" s="509"/>
      <c r="V5" s="509"/>
      <c r="W5" s="509"/>
      <c r="X5" s="509"/>
    </row>
    <row r="6" spans="1:24" customFormat="1" ht="14.5" x14ac:dyDescent="0.35">
      <c r="A6" s="25">
        <v>6556</v>
      </c>
      <c r="B6" s="463" t="s">
        <v>1442</v>
      </c>
      <c r="C6" s="467" t="s">
        <v>1445</v>
      </c>
      <c r="D6" s="464" t="s">
        <v>124</v>
      </c>
      <c r="E6" s="468">
        <v>42345</v>
      </c>
      <c r="F6" s="468">
        <v>46721</v>
      </c>
      <c r="G6" s="463" t="s">
        <v>119</v>
      </c>
      <c r="H6" s="463" t="s">
        <v>1446</v>
      </c>
      <c r="I6" s="468">
        <v>44088</v>
      </c>
      <c r="J6" s="475" t="s">
        <v>1323</v>
      </c>
      <c r="K6" s="468">
        <v>46721</v>
      </c>
      <c r="L6" s="25" t="s">
        <v>123</v>
      </c>
      <c r="M6" s="25" t="s">
        <v>121</v>
      </c>
      <c r="N6" s="469">
        <v>12177990</v>
      </c>
      <c r="O6" s="469">
        <v>0</v>
      </c>
      <c r="P6" s="469">
        <v>0</v>
      </c>
      <c r="Q6" s="469">
        <v>0</v>
      </c>
      <c r="R6" s="469">
        <v>0</v>
      </c>
      <c r="S6" s="26"/>
      <c r="T6" s="22"/>
      <c r="U6" s="22"/>
      <c r="V6" s="510"/>
      <c r="W6" s="510"/>
      <c r="X6" s="26"/>
    </row>
    <row r="7" spans="1:24" customFormat="1" ht="14.5" x14ac:dyDescent="0.35">
      <c r="A7" s="25">
        <v>6561</v>
      </c>
      <c r="B7" s="463" t="s">
        <v>1442</v>
      </c>
      <c r="C7" s="467" t="s">
        <v>1447</v>
      </c>
      <c r="D7" s="464" t="s">
        <v>125</v>
      </c>
      <c r="E7" s="468">
        <v>41699</v>
      </c>
      <c r="F7" s="468">
        <v>46446</v>
      </c>
      <c r="G7" s="463" t="s">
        <v>119</v>
      </c>
      <c r="H7" s="463" t="s">
        <v>1448</v>
      </c>
      <c r="I7" s="468">
        <v>44088</v>
      </c>
      <c r="J7" s="475" t="s">
        <v>1324</v>
      </c>
      <c r="K7" s="468">
        <v>46446</v>
      </c>
      <c r="L7" s="25" t="s">
        <v>123</v>
      </c>
      <c r="M7" s="25" t="s">
        <v>121</v>
      </c>
      <c r="N7" s="469">
        <v>18810206</v>
      </c>
      <c r="O7" s="469">
        <v>0</v>
      </c>
      <c r="P7" s="469">
        <v>0</v>
      </c>
      <c r="Q7" s="469">
        <v>2794352</v>
      </c>
      <c r="R7" s="469">
        <v>0</v>
      </c>
      <c r="S7" s="26"/>
      <c r="T7" s="22"/>
      <c r="U7" s="22"/>
      <c r="V7" s="510"/>
      <c r="W7" s="510"/>
      <c r="X7" s="26"/>
    </row>
    <row r="8" spans="1:24" customFormat="1" ht="14.5" x14ac:dyDescent="0.35">
      <c r="A8" s="25">
        <v>6564</v>
      </c>
      <c r="B8" s="463" t="s">
        <v>1442</v>
      </c>
      <c r="C8" s="467" t="s">
        <v>1449</v>
      </c>
      <c r="D8" s="464" t="s">
        <v>126</v>
      </c>
      <c r="E8" s="468">
        <v>43040</v>
      </c>
      <c r="F8" s="468">
        <v>46326</v>
      </c>
      <c r="G8" s="463" t="s">
        <v>119</v>
      </c>
      <c r="H8" s="463" t="s">
        <v>1450</v>
      </c>
      <c r="I8" s="468">
        <v>44088</v>
      </c>
      <c r="J8" s="475" t="s">
        <v>1325</v>
      </c>
      <c r="K8" s="468">
        <v>46326</v>
      </c>
      <c r="L8" s="25" t="s">
        <v>123</v>
      </c>
      <c r="M8" s="25" t="s">
        <v>121</v>
      </c>
      <c r="N8" s="469">
        <v>18394010</v>
      </c>
      <c r="O8" s="469">
        <v>0</v>
      </c>
      <c r="P8" s="469">
        <v>0</v>
      </c>
      <c r="Q8" s="469">
        <v>1602747</v>
      </c>
      <c r="R8" s="469">
        <v>0</v>
      </c>
      <c r="S8" s="26"/>
      <c r="T8" s="22"/>
      <c r="U8" s="22"/>
      <c r="V8" s="510"/>
      <c r="W8" s="510"/>
      <c r="X8" s="26"/>
    </row>
    <row r="9" spans="1:24" customFormat="1" ht="14.5" x14ac:dyDescent="0.35">
      <c r="A9" s="25">
        <v>6572</v>
      </c>
      <c r="B9" s="463" t="s">
        <v>1442</v>
      </c>
      <c r="C9" s="467" t="s">
        <v>1451</v>
      </c>
      <c r="D9" s="464" t="s">
        <v>128</v>
      </c>
      <c r="E9" s="468">
        <v>42705</v>
      </c>
      <c r="F9" s="468">
        <v>46345</v>
      </c>
      <c r="G9" s="463" t="s">
        <v>119</v>
      </c>
      <c r="H9" s="463" t="s">
        <v>1452</v>
      </c>
      <c r="I9" s="468">
        <v>44088</v>
      </c>
      <c r="J9" s="475" t="s">
        <v>1326</v>
      </c>
      <c r="K9" s="468">
        <v>46345</v>
      </c>
      <c r="L9" s="25" t="s">
        <v>123</v>
      </c>
      <c r="M9" s="25" t="s">
        <v>121</v>
      </c>
      <c r="N9" s="469">
        <v>13950658</v>
      </c>
      <c r="O9" s="469">
        <v>0</v>
      </c>
      <c r="P9" s="469">
        <v>0</v>
      </c>
      <c r="Q9" s="469">
        <v>0</v>
      </c>
      <c r="R9" s="469">
        <v>0</v>
      </c>
      <c r="S9" s="26"/>
      <c r="T9" s="22"/>
      <c r="U9" s="22"/>
      <c r="V9" s="510"/>
      <c r="W9" s="510"/>
      <c r="X9" s="26"/>
    </row>
    <row r="10" spans="1:24" customFormat="1" ht="14.5" x14ac:dyDescent="0.35">
      <c r="A10" s="25">
        <v>6600</v>
      </c>
      <c r="B10" s="463" t="s">
        <v>1442</v>
      </c>
      <c r="C10" s="467" t="s">
        <v>1453</v>
      </c>
      <c r="D10" s="464" t="s">
        <v>130</v>
      </c>
      <c r="E10" s="468">
        <v>42795</v>
      </c>
      <c r="F10" s="468">
        <v>46446</v>
      </c>
      <c r="G10" s="463" t="s">
        <v>119</v>
      </c>
      <c r="H10" s="463" t="s">
        <v>1454</v>
      </c>
      <c r="I10" s="468">
        <v>44088</v>
      </c>
      <c r="J10" s="475" t="s">
        <v>1327</v>
      </c>
      <c r="K10" s="468">
        <v>46446</v>
      </c>
      <c r="L10" s="25" t="s">
        <v>123</v>
      </c>
      <c r="M10" s="25" t="s">
        <v>121</v>
      </c>
      <c r="N10" s="469">
        <v>33385465</v>
      </c>
      <c r="O10" s="469">
        <v>0</v>
      </c>
      <c r="P10" s="469">
        <v>0</v>
      </c>
      <c r="Q10" s="469">
        <v>1117799</v>
      </c>
      <c r="R10" s="469">
        <v>0</v>
      </c>
      <c r="S10" s="26"/>
      <c r="T10" s="22"/>
      <c r="U10" s="22"/>
      <c r="V10" s="510"/>
      <c r="W10" s="510"/>
      <c r="X10" s="26"/>
    </row>
    <row r="11" spans="1:24" customFormat="1" ht="14.5" x14ac:dyDescent="0.35">
      <c r="A11" s="25">
        <v>6601</v>
      </c>
      <c r="B11" s="463" t="s">
        <v>1442</v>
      </c>
      <c r="C11" s="467" t="s">
        <v>1455</v>
      </c>
      <c r="D11" s="464" t="s">
        <v>131</v>
      </c>
      <c r="E11" s="468">
        <v>41749</v>
      </c>
      <c r="F11" s="468">
        <v>46387</v>
      </c>
      <c r="G11" s="463" t="s">
        <v>119</v>
      </c>
      <c r="H11" s="463" t="s">
        <v>1456</v>
      </c>
      <c r="I11" s="468">
        <v>44088</v>
      </c>
      <c r="J11" s="475" t="s">
        <v>1328</v>
      </c>
      <c r="K11" s="468">
        <v>46387</v>
      </c>
      <c r="L11" s="25" t="s">
        <v>123</v>
      </c>
      <c r="M11" s="25" t="s">
        <v>121</v>
      </c>
      <c r="N11" s="469">
        <v>17323356</v>
      </c>
      <c r="O11" s="469">
        <v>0</v>
      </c>
      <c r="P11" s="469">
        <v>0</v>
      </c>
      <c r="Q11" s="469">
        <v>0</v>
      </c>
      <c r="R11" s="469">
        <v>0</v>
      </c>
      <c r="S11" s="26"/>
      <c r="T11" s="22"/>
      <c r="U11" s="22"/>
      <c r="V11" s="510"/>
      <c r="W11" s="510"/>
      <c r="X11" s="26"/>
    </row>
    <row r="12" spans="1:24" customFormat="1" ht="14.5" x14ac:dyDescent="0.35">
      <c r="A12" s="25">
        <v>6602</v>
      </c>
      <c r="B12" s="463" t="s">
        <v>1442</v>
      </c>
      <c r="C12" s="467" t="s">
        <v>1457</v>
      </c>
      <c r="D12" s="464" t="s">
        <v>132</v>
      </c>
      <c r="E12" s="468">
        <v>41730</v>
      </c>
      <c r="F12" s="468">
        <v>47120</v>
      </c>
      <c r="G12" s="463" t="s">
        <v>119</v>
      </c>
      <c r="H12" s="463" t="s">
        <v>1458</v>
      </c>
      <c r="I12" s="468">
        <v>44130</v>
      </c>
      <c r="J12" s="475" t="s">
        <v>1329</v>
      </c>
      <c r="K12" s="468">
        <v>47120</v>
      </c>
      <c r="L12" s="25" t="s">
        <v>123</v>
      </c>
      <c r="M12" s="25" t="s">
        <v>121</v>
      </c>
      <c r="N12" s="469">
        <v>10790375</v>
      </c>
      <c r="O12" s="469">
        <v>0</v>
      </c>
      <c r="P12" s="469">
        <v>0</v>
      </c>
      <c r="Q12" s="469">
        <v>0</v>
      </c>
      <c r="R12" s="469">
        <v>0</v>
      </c>
      <c r="S12" s="26"/>
      <c r="T12" s="22"/>
      <c r="U12" s="22"/>
      <c r="V12" s="510"/>
      <c r="W12" s="510"/>
      <c r="X12" s="26"/>
    </row>
    <row r="13" spans="1:24" customFormat="1" ht="14.5" x14ac:dyDescent="0.35">
      <c r="A13" s="25">
        <v>6606</v>
      </c>
      <c r="B13" s="463" t="s">
        <v>1442</v>
      </c>
      <c r="C13" s="467" t="s">
        <v>1459</v>
      </c>
      <c r="D13" s="464" t="s">
        <v>133</v>
      </c>
      <c r="E13" s="468">
        <v>41883</v>
      </c>
      <c r="F13" s="468">
        <v>46265</v>
      </c>
      <c r="G13" s="463" t="s">
        <v>119</v>
      </c>
      <c r="H13" s="463" t="s">
        <v>1460</v>
      </c>
      <c r="I13" s="468">
        <v>44088</v>
      </c>
      <c r="J13" s="475" t="s">
        <v>134</v>
      </c>
      <c r="K13" s="468">
        <v>46265</v>
      </c>
      <c r="L13" s="25" t="s">
        <v>123</v>
      </c>
      <c r="M13" s="25" t="s">
        <v>121</v>
      </c>
      <c r="N13" s="469">
        <v>16580669</v>
      </c>
      <c r="O13" s="469">
        <v>0</v>
      </c>
      <c r="P13" s="469">
        <v>0</v>
      </c>
      <c r="Q13" s="469">
        <v>0</v>
      </c>
      <c r="R13" s="469">
        <v>0</v>
      </c>
      <c r="S13" s="26"/>
      <c r="T13" s="22"/>
      <c r="U13" s="22"/>
      <c r="V13" s="510"/>
      <c r="W13" s="510"/>
      <c r="X13" s="26"/>
    </row>
    <row r="14" spans="1:24" customFormat="1" ht="14.5" x14ac:dyDescent="0.35">
      <c r="A14" s="25">
        <v>6620</v>
      </c>
      <c r="B14" s="463" t="s">
        <v>1442</v>
      </c>
      <c r="C14" s="467" t="s">
        <v>1463</v>
      </c>
      <c r="D14" s="464" t="s">
        <v>137</v>
      </c>
      <c r="E14" s="468">
        <v>43070</v>
      </c>
      <c r="F14" s="468">
        <v>46721</v>
      </c>
      <c r="G14" s="463" t="s">
        <v>119</v>
      </c>
      <c r="H14" s="463" t="s">
        <v>1464</v>
      </c>
      <c r="I14" s="468">
        <v>44088</v>
      </c>
      <c r="J14" s="475" t="s">
        <v>1384</v>
      </c>
      <c r="K14" s="468">
        <v>46721</v>
      </c>
      <c r="L14" s="25" t="s">
        <v>123</v>
      </c>
      <c r="M14" s="25" t="s">
        <v>121</v>
      </c>
      <c r="N14" s="469">
        <v>12307000</v>
      </c>
      <c r="O14" s="469">
        <v>0</v>
      </c>
      <c r="P14" s="469">
        <v>0</v>
      </c>
      <c r="Q14" s="469">
        <v>0</v>
      </c>
      <c r="R14" s="469">
        <v>0</v>
      </c>
      <c r="S14" s="26"/>
      <c r="T14" s="22"/>
      <c r="U14" s="518"/>
      <c r="V14" s="510"/>
      <c r="W14" s="510"/>
      <c r="X14" s="26"/>
    </row>
    <row r="15" spans="1:24" customFormat="1" ht="14.5" x14ac:dyDescent="0.35">
      <c r="A15" s="25">
        <v>6627</v>
      </c>
      <c r="B15" s="463" t="s">
        <v>1442</v>
      </c>
      <c r="C15" s="467" t="s">
        <v>1595</v>
      </c>
      <c r="D15" s="464" t="s">
        <v>140</v>
      </c>
      <c r="E15" s="468">
        <v>42154</v>
      </c>
      <c r="F15" s="468">
        <v>46171</v>
      </c>
      <c r="G15" s="463" t="s">
        <v>119</v>
      </c>
      <c r="H15" s="463" t="s">
        <v>1596</v>
      </c>
      <c r="I15" s="468">
        <v>44088</v>
      </c>
      <c r="J15" s="475" t="s">
        <v>1038</v>
      </c>
      <c r="K15" s="468">
        <v>46171</v>
      </c>
      <c r="L15" s="25" t="s">
        <v>123</v>
      </c>
      <c r="M15" s="25" t="s">
        <v>121</v>
      </c>
      <c r="N15" s="469">
        <v>14489143</v>
      </c>
      <c r="O15" s="469">
        <v>0</v>
      </c>
      <c r="P15" s="469">
        <v>0</v>
      </c>
      <c r="Q15" s="469">
        <v>0</v>
      </c>
      <c r="R15" s="469">
        <v>0</v>
      </c>
      <c r="S15" s="26"/>
      <c r="T15" s="22"/>
      <c r="U15" s="22"/>
      <c r="V15" s="510"/>
      <c r="W15" s="510"/>
      <c r="X15" s="482"/>
    </row>
    <row r="16" spans="1:24" customFormat="1" ht="14.5" x14ac:dyDescent="0.35">
      <c r="A16" s="25">
        <v>6640</v>
      </c>
      <c r="B16" s="463" t="s">
        <v>1442</v>
      </c>
      <c r="C16" s="467" t="s">
        <v>1467</v>
      </c>
      <c r="D16" s="464" t="s">
        <v>142</v>
      </c>
      <c r="E16" s="468">
        <v>42309</v>
      </c>
      <c r="F16" s="468">
        <v>46326</v>
      </c>
      <c r="G16" s="463" t="s">
        <v>119</v>
      </c>
      <c r="H16" s="463" t="s">
        <v>1468</v>
      </c>
      <c r="I16" s="468">
        <v>44088</v>
      </c>
      <c r="J16" s="475" t="s">
        <v>1331</v>
      </c>
      <c r="K16" s="468">
        <v>46326</v>
      </c>
      <c r="L16" s="25" t="s">
        <v>123</v>
      </c>
      <c r="M16" s="25" t="s">
        <v>121</v>
      </c>
      <c r="N16" s="469">
        <v>5649396</v>
      </c>
      <c r="O16" s="469">
        <v>0</v>
      </c>
      <c r="P16" s="469">
        <v>0</v>
      </c>
      <c r="Q16" s="469">
        <v>0</v>
      </c>
      <c r="R16" s="469">
        <v>0</v>
      </c>
      <c r="S16" s="26"/>
      <c r="T16" s="22"/>
      <c r="U16" s="22"/>
      <c r="V16" s="510"/>
      <c r="W16" s="510"/>
      <c r="X16" s="26"/>
    </row>
    <row r="17" spans="1:24" customFormat="1" ht="14.5" x14ac:dyDescent="0.35">
      <c r="A17" s="25">
        <v>6693</v>
      </c>
      <c r="B17" s="463" t="s">
        <v>1442</v>
      </c>
      <c r="C17" s="467" t="s">
        <v>1473</v>
      </c>
      <c r="D17" s="464" t="s">
        <v>146</v>
      </c>
      <c r="E17" s="468">
        <v>43002</v>
      </c>
      <c r="F17" s="468">
        <v>46295</v>
      </c>
      <c r="G17" s="463" t="s">
        <v>119</v>
      </c>
      <c r="H17" s="463" t="s">
        <v>1474</v>
      </c>
      <c r="I17" s="468">
        <v>44088</v>
      </c>
      <c r="J17" s="475" t="s">
        <v>1334</v>
      </c>
      <c r="K17" s="468">
        <v>46295</v>
      </c>
      <c r="L17" s="25" t="s">
        <v>123</v>
      </c>
      <c r="M17" s="25" t="s">
        <v>121</v>
      </c>
      <c r="N17" s="469">
        <v>27469886</v>
      </c>
      <c r="O17" s="469">
        <v>0</v>
      </c>
      <c r="P17" s="469">
        <v>0</v>
      </c>
      <c r="Q17" s="469">
        <v>1199000</v>
      </c>
      <c r="R17" s="469">
        <v>0</v>
      </c>
      <c r="S17" s="26"/>
      <c r="T17" s="22"/>
      <c r="U17" s="22"/>
      <c r="V17" s="510"/>
      <c r="W17" s="510"/>
      <c r="X17" s="26"/>
    </row>
    <row r="18" spans="1:24" customFormat="1" ht="14.5" x14ac:dyDescent="0.35">
      <c r="A18" s="25">
        <v>6699</v>
      </c>
      <c r="B18" s="463" t="s">
        <v>1442</v>
      </c>
      <c r="C18" s="467" t="s">
        <v>1475</v>
      </c>
      <c r="D18" s="464" t="s">
        <v>147</v>
      </c>
      <c r="E18" s="468">
        <v>40210</v>
      </c>
      <c r="F18" s="468">
        <v>47514</v>
      </c>
      <c r="G18" s="463" t="s">
        <v>119</v>
      </c>
      <c r="H18" s="463" t="s">
        <v>1476</v>
      </c>
      <c r="I18" s="468">
        <v>44088</v>
      </c>
      <c r="J18" s="475" t="s">
        <v>1335</v>
      </c>
      <c r="K18" s="468">
        <v>47514</v>
      </c>
      <c r="L18" s="25" t="s">
        <v>123</v>
      </c>
      <c r="M18" s="25" t="s">
        <v>121</v>
      </c>
      <c r="N18" s="469">
        <v>31227348</v>
      </c>
      <c r="O18" s="469">
        <v>0</v>
      </c>
      <c r="P18" s="469">
        <v>0</v>
      </c>
      <c r="Q18" s="469">
        <v>2205344</v>
      </c>
      <c r="R18" s="469">
        <v>0</v>
      </c>
      <c r="S18" s="26"/>
      <c r="T18" s="22"/>
      <c r="U18" s="22"/>
      <c r="V18" s="510"/>
      <c r="W18" s="510"/>
      <c r="X18" s="26"/>
    </row>
    <row r="19" spans="1:24" customFormat="1" ht="14.5" x14ac:dyDescent="0.35">
      <c r="A19" s="25">
        <v>6700</v>
      </c>
      <c r="B19" s="463" t="s">
        <v>1442</v>
      </c>
      <c r="C19" s="467" t="s">
        <v>1477</v>
      </c>
      <c r="D19" s="464" t="s">
        <v>148</v>
      </c>
      <c r="E19" s="468">
        <v>42736</v>
      </c>
      <c r="F19" s="468">
        <v>46387</v>
      </c>
      <c r="G19" s="463" t="s">
        <v>119</v>
      </c>
      <c r="H19" s="463" t="s">
        <v>1478</v>
      </c>
      <c r="I19" s="468">
        <v>44088</v>
      </c>
      <c r="J19" s="475" t="s">
        <v>1336</v>
      </c>
      <c r="K19" s="468">
        <v>46387</v>
      </c>
      <c r="L19" s="25" t="s">
        <v>123</v>
      </c>
      <c r="M19" s="25" t="s">
        <v>121</v>
      </c>
      <c r="N19" s="469">
        <v>26581643</v>
      </c>
      <c r="O19" s="469">
        <v>0</v>
      </c>
      <c r="P19" s="469">
        <v>0</v>
      </c>
      <c r="Q19" s="469">
        <v>1764730</v>
      </c>
      <c r="R19" s="469">
        <v>0</v>
      </c>
      <c r="S19" s="26"/>
      <c r="T19" s="22"/>
      <c r="U19" s="22"/>
      <c r="V19" s="510"/>
      <c r="W19" s="510"/>
      <c r="X19" s="26"/>
    </row>
    <row r="20" spans="1:24" customFormat="1" ht="14.5" x14ac:dyDescent="0.35">
      <c r="A20" s="25">
        <v>6701</v>
      </c>
      <c r="B20" s="463" t="s">
        <v>1442</v>
      </c>
      <c r="C20" s="467" t="s">
        <v>1479</v>
      </c>
      <c r="D20" s="464" t="s">
        <v>149</v>
      </c>
      <c r="E20" s="468">
        <v>41760</v>
      </c>
      <c r="F20" s="468">
        <v>46142</v>
      </c>
      <c r="G20" s="463" t="s">
        <v>119</v>
      </c>
      <c r="H20" s="463" t="s">
        <v>1480</v>
      </c>
      <c r="I20" s="468">
        <v>44088</v>
      </c>
      <c r="J20" s="475" t="s">
        <v>1337</v>
      </c>
      <c r="K20" s="468">
        <v>46142</v>
      </c>
      <c r="L20" s="25" t="s">
        <v>123</v>
      </c>
      <c r="M20" s="25" t="s">
        <v>1746</v>
      </c>
      <c r="N20" s="469">
        <v>14889215</v>
      </c>
      <c r="O20" s="469">
        <v>0</v>
      </c>
      <c r="P20" s="469">
        <v>0</v>
      </c>
      <c r="Q20" s="469">
        <v>3419600</v>
      </c>
      <c r="R20" s="469">
        <v>0</v>
      </c>
      <c r="S20" s="26"/>
      <c r="T20" s="22"/>
      <c r="U20" s="22"/>
      <c r="V20" s="510"/>
      <c r="W20" s="510"/>
      <c r="X20" s="26"/>
    </row>
    <row r="21" spans="1:24" customFormat="1" ht="14.5" x14ac:dyDescent="0.35">
      <c r="A21" s="25">
        <v>6714</v>
      </c>
      <c r="B21" s="463" t="s">
        <v>1442</v>
      </c>
      <c r="C21" s="467" t="s">
        <v>1481</v>
      </c>
      <c r="D21" s="464" t="s">
        <v>150</v>
      </c>
      <c r="E21" s="468">
        <v>42917</v>
      </c>
      <c r="F21" s="468">
        <v>46234</v>
      </c>
      <c r="G21" s="463" t="s">
        <v>119</v>
      </c>
      <c r="H21" s="463" t="s">
        <v>1482</v>
      </c>
      <c r="I21" s="468">
        <v>44088</v>
      </c>
      <c r="J21" s="475" t="s">
        <v>1338</v>
      </c>
      <c r="K21" s="468">
        <v>45868</v>
      </c>
      <c r="L21" s="25" t="s">
        <v>123</v>
      </c>
      <c r="M21" s="25" t="s">
        <v>121</v>
      </c>
      <c r="N21" s="469">
        <v>11203043</v>
      </c>
      <c r="O21" s="469">
        <v>0</v>
      </c>
      <c r="P21" s="469">
        <v>0</v>
      </c>
      <c r="Q21" s="469">
        <v>1410865</v>
      </c>
      <c r="R21" s="469">
        <v>0</v>
      </c>
      <c r="S21" s="26"/>
      <c r="T21" s="22"/>
      <c r="U21" s="22"/>
      <c r="V21" s="510"/>
      <c r="W21" s="510"/>
      <c r="X21" s="26"/>
    </row>
    <row r="22" spans="1:24" customFormat="1" ht="14.5" x14ac:dyDescent="0.35">
      <c r="A22" s="25">
        <v>6716</v>
      </c>
      <c r="B22" s="463" t="s">
        <v>1442</v>
      </c>
      <c r="C22" s="467" t="s">
        <v>1485</v>
      </c>
      <c r="D22" s="464" t="s">
        <v>152</v>
      </c>
      <c r="E22" s="468">
        <v>43040</v>
      </c>
      <c r="F22" s="468">
        <v>46691</v>
      </c>
      <c r="G22" s="463" t="s">
        <v>119</v>
      </c>
      <c r="H22" s="463" t="s">
        <v>1486</v>
      </c>
      <c r="I22" s="468">
        <v>44088</v>
      </c>
      <c r="J22" s="475" t="s">
        <v>153</v>
      </c>
      <c r="K22" s="468">
        <v>46691</v>
      </c>
      <c r="L22" s="471" t="s">
        <v>123</v>
      </c>
      <c r="M22" s="25" t="s">
        <v>121</v>
      </c>
      <c r="N22" s="469">
        <v>12654187</v>
      </c>
      <c r="O22" s="469">
        <v>0</v>
      </c>
      <c r="P22" s="469">
        <v>0</v>
      </c>
      <c r="Q22" s="469">
        <v>3430315</v>
      </c>
      <c r="R22" s="469">
        <v>0</v>
      </c>
      <c r="S22" s="26"/>
      <c r="T22" s="22"/>
      <c r="U22" s="22"/>
      <c r="V22" s="510"/>
      <c r="W22" s="510"/>
      <c r="X22" s="26"/>
    </row>
    <row r="23" spans="1:24" customFormat="1" ht="14.5" x14ac:dyDescent="0.35">
      <c r="A23" s="25">
        <v>6717</v>
      </c>
      <c r="B23" s="463" t="s">
        <v>1442</v>
      </c>
      <c r="C23" s="467" t="s">
        <v>1487</v>
      </c>
      <c r="D23" s="464" t="s">
        <v>154</v>
      </c>
      <c r="E23" s="468">
        <v>42736</v>
      </c>
      <c r="F23" s="468">
        <v>46387</v>
      </c>
      <c r="G23" s="463" t="s">
        <v>119</v>
      </c>
      <c r="H23" s="463" t="s">
        <v>1488</v>
      </c>
      <c r="I23" s="468">
        <v>44088</v>
      </c>
      <c r="J23" s="475" t="s">
        <v>1340</v>
      </c>
      <c r="K23" s="468">
        <v>46387</v>
      </c>
      <c r="L23" s="25" t="s">
        <v>123</v>
      </c>
      <c r="M23" s="25" t="s">
        <v>121</v>
      </c>
      <c r="N23" s="469">
        <v>20540360</v>
      </c>
      <c r="O23" s="469">
        <v>0</v>
      </c>
      <c r="P23" s="469">
        <v>0</v>
      </c>
      <c r="Q23" s="469">
        <v>1112100</v>
      </c>
      <c r="R23" s="469">
        <v>0</v>
      </c>
      <c r="S23" s="26"/>
      <c r="T23" s="22"/>
      <c r="U23" s="22"/>
      <c r="V23" s="510"/>
      <c r="W23" s="510"/>
      <c r="X23" s="26"/>
    </row>
    <row r="24" spans="1:24" customFormat="1" ht="14.5" x14ac:dyDescent="0.35">
      <c r="A24" s="25">
        <v>6759</v>
      </c>
      <c r="B24" s="463" t="s">
        <v>1442</v>
      </c>
      <c r="C24" s="467" t="s">
        <v>1489</v>
      </c>
      <c r="D24" s="464" t="s">
        <v>155</v>
      </c>
      <c r="E24" s="468">
        <v>40026</v>
      </c>
      <c r="F24" s="468">
        <v>47329</v>
      </c>
      <c r="G24" s="463" t="s">
        <v>119</v>
      </c>
      <c r="H24" s="463" t="s">
        <v>1490</v>
      </c>
      <c r="I24" s="468">
        <v>44088</v>
      </c>
      <c r="J24" s="475" t="s">
        <v>1341</v>
      </c>
      <c r="K24" s="468">
        <v>47329</v>
      </c>
      <c r="L24" s="25" t="s">
        <v>123</v>
      </c>
      <c r="M24" s="25" t="s">
        <v>121</v>
      </c>
      <c r="N24" s="469">
        <v>20644035</v>
      </c>
      <c r="O24" s="469">
        <v>0</v>
      </c>
      <c r="P24" s="469">
        <v>0</v>
      </c>
      <c r="Q24" s="469">
        <v>2968869</v>
      </c>
      <c r="R24" s="469">
        <v>0</v>
      </c>
      <c r="S24" s="26"/>
      <c r="T24" s="22"/>
      <c r="U24" s="22"/>
      <c r="V24" s="510"/>
      <c r="W24" s="510"/>
      <c r="X24" s="26"/>
    </row>
    <row r="25" spans="1:24" customFormat="1" ht="14.5" x14ac:dyDescent="0.35">
      <c r="A25" s="25">
        <v>6760</v>
      </c>
      <c r="B25" s="463" t="s">
        <v>1442</v>
      </c>
      <c r="C25" s="467" t="s">
        <v>1491</v>
      </c>
      <c r="D25" s="464" t="s">
        <v>156</v>
      </c>
      <c r="E25" s="468">
        <v>40057</v>
      </c>
      <c r="F25" s="468">
        <v>47360</v>
      </c>
      <c r="G25" s="463" t="s">
        <v>119</v>
      </c>
      <c r="H25" s="463" t="s">
        <v>1492</v>
      </c>
      <c r="I25" s="468">
        <v>44088</v>
      </c>
      <c r="J25" s="475" t="s">
        <v>1342</v>
      </c>
      <c r="K25" s="468">
        <v>47360</v>
      </c>
      <c r="L25" s="25" t="s">
        <v>123</v>
      </c>
      <c r="M25" s="25" t="s">
        <v>121</v>
      </c>
      <c r="N25" s="469">
        <v>17541446</v>
      </c>
      <c r="O25" s="469">
        <v>0</v>
      </c>
      <c r="P25" s="469">
        <v>0</v>
      </c>
      <c r="Q25" s="469">
        <v>0</v>
      </c>
      <c r="R25" s="469">
        <v>0</v>
      </c>
      <c r="S25" s="26"/>
      <c r="T25" s="22"/>
      <c r="U25" s="22"/>
      <c r="V25" s="510"/>
      <c r="W25" s="510"/>
      <c r="X25" s="26"/>
    </row>
    <row r="26" spans="1:24" customFormat="1" ht="14.5" x14ac:dyDescent="0.35">
      <c r="A26" s="25">
        <v>6764</v>
      </c>
      <c r="B26" s="463" t="s">
        <v>1442</v>
      </c>
      <c r="C26" s="467" t="s">
        <v>1494</v>
      </c>
      <c r="D26" s="464" t="s">
        <v>159</v>
      </c>
      <c r="E26" s="468">
        <v>42736</v>
      </c>
      <c r="F26" s="468">
        <v>46387</v>
      </c>
      <c r="G26" s="463" t="s">
        <v>119</v>
      </c>
      <c r="H26" s="463" t="s">
        <v>1495</v>
      </c>
      <c r="I26" s="468">
        <v>44088</v>
      </c>
      <c r="J26" s="475" t="s">
        <v>1344</v>
      </c>
      <c r="K26" s="468">
        <v>46387</v>
      </c>
      <c r="L26" s="25" t="s">
        <v>123</v>
      </c>
      <c r="M26" s="25" t="s">
        <v>121</v>
      </c>
      <c r="N26" s="469">
        <v>15707335</v>
      </c>
      <c r="O26" s="469">
        <v>0</v>
      </c>
      <c r="P26" s="469">
        <v>0</v>
      </c>
      <c r="Q26" s="469">
        <v>2363861</v>
      </c>
      <c r="R26" s="469">
        <v>0</v>
      </c>
      <c r="S26" s="26"/>
      <c r="T26" s="22"/>
      <c r="U26" s="22"/>
      <c r="V26" s="510"/>
      <c r="W26" s="510"/>
      <c r="X26" s="26"/>
    </row>
    <row r="27" spans="1:24" customFormat="1" ht="14.5" x14ac:dyDescent="0.35">
      <c r="A27" s="25">
        <v>6776</v>
      </c>
      <c r="B27" s="463" t="s">
        <v>1442</v>
      </c>
      <c r="C27" s="467" t="s">
        <v>1498</v>
      </c>
      <c r="D27" s="464" t="s">
        <v>162</v>
      </c>
      <c r="E27" s="468">
        <v>42321</v>
      </c>
      <c r="F27" s="468">
        <v>46339</v>
      </c>
      <c r="G27" s="463" t="s">
        <v>119</v>
      </c>
      <c r="H27" s="463" t="s">
        <v>1499</v>
      </c>
      <c r="I27" s="468">
        <v>44088</v>
      </c>
      <c r="J27" s="475" t="s">
        <v>1346</v>
      </c>
      <c r="K27" s="468">
        <v>46339</v>
      </c>
      <c r="L27" s="25" t="s">
        <v>123</v>
      </c>
      <c r="M27" s="25" t="s">
        <v>121</v>
      </c>
      <c r="N27" s="469">
        <v>15091637</v>
      </c>
      <c r="O27" s="469">
        <v>0</v>
      </c>
      <c r="P27" s="469">
        <v>0</v>
      </c>
      <c r="Q27" s="469">
        <v>1957358</v>
      </c>
      <c r="R27" s="469">
        <v>0</v>
      </c>
      <c r="S27" s="26"/>
      <c r="T27" s="22"/>
      <c r="U27" s="22"/>
      <c r="V27" s="510"/>
      <c r="W27" s="510"/>
      <c r="X27" s="26"/>
    </row>
    <row r="28" spans="1:24" customFormat="1" ht="14.5" x14ac:dyDescent="0.35">
      <c r="A28" s="25">
        <v>8712</v>
      </c>
      <c r="B28" s="463" t="s">
        <v>1442</v>
      </c>
      <c r="C28" s="467" t="s">
        <v>1504</v>
      </c>
      <c r="D28" s="464" t="s">
        <v>168</v>
      </c>
      <c r="E28" s="468">
        <v>42621</v>
      </c>
      <c r="F28" s="468">
        <v>46272</v>
      </c>
      <c r="G28" s="463" t="s">
        <v>119</v>
      </c>
      <c r="H28" s="463" t="s">
        <v>1505</v>
      </c>
      <c r="I28" s="468">
        <v>44088</v>
      </c>
      <c r="J28" s="475" t="s">
        <v>1349</v>
      </c>
      <c r="K28" s="468">
        <v>46272</v>
      </c>
      <c r="L28" s="25" t="s">
        <v>123</v>
      </c>
      <c r="M28" s="25" t="s">
        <v>121</v>
      </c>
      <c r="N28" s="469">
        <v>4175312</v>
      </c>
      <c r="O28" s="469">
        <v>0</v>
      </c>
      <c r="P28" s="469">
        <v>0</v>
      </c>
      <c r="Q28" s="469">
        <v>0</v>
      </c>
      <c r="R28" s="469">
        <v>0</v>
      </c>
      <c r="S28" s="26"/>
      <c r="T28" s="22"/>
      <c r="U28" s="22"/>
      <c r="V28" s="510"/>
      <c r="W28" s="510"/>
      <c r="X28" s="26"/>
    </row>
    <row r="29" spans="1:24" customFormat="1" ht="14.5" x14ac:dyDescent="0.35">
      <c r="A29" s="25">
        <v>8859</v>
      </c>
      <c r="B29" s="463" t="s">
        <v>1442</v>
      </c>
      <c r="C29" s="467" t="s">
        <v>1508</v>
      </c>
      <c r="D29" s="464" t="s">
        <v>171</v>
      </c>
      <c r="E29" s="468">
        <v>42690</v>
      </c>
      <c r="F29" s="468">
        <v>46312</v>
      </c>
      <c r="G29" s="463" t="s">
        <v>119</v>
      </c>
      <c r="H29" s="463" t="s">
        <v>1509</v>
      </c>
      <c r="I29" s="468">
        <v>44088</v>
      </c>
      <c r="J29" s="475" t="s">
        <v>1350</v>
      </c>
      <c r="K29" s="468">
        <v>46312</v>
      </c>
      <c r="L29" s="25" t="s">
        <v>123</v>
      </c>
      <c r="M29" s="25" t="s">
        <v>121</v>
      </c>
      <c r="N29" s="469">
        <v>26109047</v>
      </c>
      <c r="O29" s="469">
        <v>0</v>
      </c>
      <c r="P29" s="469">
        <v>0</v>
      </c>
      <c r="Q29" s="469">
        <v>3673365</v>
      </c>
      <c r="R29" s="469">
        <v>0</v>
      </c>
      <c r="S29" s="26"/>
      <c r="T29" s="22"/>
      <c r="U29" s="22"/>
      <c r="V29" s="510"/>
      <c r="W29" s="510"/>
      <c r="X29" s="26"/>
    </row>
    <row r="30" spans="1:24" customFormat="1" ht="14.5" x14ac:dyDescent="0.35">
      <c r="A30" s="25">
        <v>9058</v>
      </c>
      <c r="B30" s="463" t="s">
        <v>1442</v>
      </c>
      <c r="C30" s="467" t="s">
        <v>1512</v>
      </c>
      <c r="D30" s="464" t="s">
        <v>178</v>
      </c>
      <c r="E30" s="468">
        <v>42887</v>
      </c>
      <c r="F30" s="468">
        <v>46538</v>
      </c>
      <c r="G30" s="463" t="s">
        <v>119</v>
      </c>
      <c r="H30" s="463" t="s">
        <v>1513</v>
      </c>
      <c r="I30" s="468">
        <v>44088</v>
      </c>
      <c r="J30" s="475" t="s">
        <v>1353</v>
      </c>
      <c r="K30" s="468">
        <v>46538</v>
      </c>
      <c r="L30" s="25" t="s">
        <v>123</v>
      </c>
      <c r="M30" s="25" t="s">
        <v>121</v>
      </c>
      <c r="N30" s="469">
        <v>33947304</v>
      </c>
      <c r="O30" s="469">
        <v>0</v>
      </c>
      <c r="P30" s="469">
        <v>0</v>
      </c>
      <c r="Q30" s="469">
        <v>1090773</v>
      </c>
      <c r="R30" s="469">
        <v>0</v>
      </c>
      <c r="S30" s="26"/>
      <c r="T30" s="22"/>
      <c r="U30" s="22"/>
      <c r="V30" s="510"/>
      <c r="W30" s="510"/>
      <c r="X30" s="26"/>
    </row>
    <row r="31" spans="1:24" customFormat="1" ht="14.5" x14ac:dyDescent="0.35">
      <c r="A31" s="25">
        <v>9103</v>
      </c>
      <c r="B31" s="463" t="s">
        <v>1442</v>
      </c>
      <c r="C31" s="467" t="s">
        <v>1516</v>
      </c>
      <c r="D31" s="464" t="s">
        <v>182</v>
      </c>
      <c r="E31" s="468">
        <v>42948</v>
      </c>
      <c r="F31" s="468">
        <v>46599</v>
      </c>
      <c r="G31" s="463" t="s">
        <v>119</v>
      </c>
      <c r="H31" s="463" t="s">
        <v>1517</v>
      </c>
      <c r="I31" s="468">
        <v>44088</v>
      </c>
      <c r="J31" s="475" t="s">
        <v>1354</v>
      </c>
      <c r="K31" s="468">
        <v>46599</v>
      </c>
      <c r="L31" s="25" t="s">
        <v>123</v>
      </c>
      <c r="M31" s="25" t="s">
        <v>121</v>
      </c>
      <c r="N31" s="469">
        <v>11637519</v>
      </c>
      <c r="O31" s="469">
        <v>0</v>
      </c>
      <c r="P31" s="469">
        <v>0</v>
      </c>
      <c r="Q31" s="469">
        <v>0</v>
      </c>
      <c r="R31" s="469">
        <v>0</v>
      </c>
      <c r="S31" s="26"/>
      <c r="T31" s="22"/>
      <c r="U31" s="22"/>
      <c r="V31" s="510"/>
      <c r="W31" s="510"/>
      <c r="X31" s="26"/>
    </row>
    <row r="32" spans="1:24" customFormat="1" ht="14.5" x14ac:dyDescent="0.35">
      <c r="A32" s="25">
        <v>9205</v>
      </c>
      <c r="B32" s="463" t="s">
        <v>1442</v>
      </c>
      <c r="C32" s="467" t="s">
        <v>1520</v>
      </c>
      <c r="D32" s="464" t="s">
        <v>185</v>
      </c>
      <c r="E32" s="468">
        <v>43009</v>
      </c>
      <c r="F32" s="468">
        <v>46508</v>
      </c>
      <c r="G32" s="463" t="s">
        <v>119</v>
      </c>
      <c r="H32" s="463" t="s">
        <v>1521</v>
      </c>
      <c r="I32" s="468">
        <v>44088</v>
      </c>
      <c r="J32" s="475" t="s">
        <v>1356</v>
      </c>
      <c r="K32" s="468">
        <v>46508</v>
      </c>
      <c r="L32" s="25" t="s">
        <v>123</v>
      </c>
      <c r="M32" s="25" t="s">
        <v>121</v>
      </c>
      <c r="N32" s="469">
        <v>42915064</v>
      </c>
      <c r="O32" s="469">
        <v>0</v>
      </c>
      <c r="P32" s="469">
        <v>0</v>
      </c>
      <c r="Q32" s="469">
        <v>0</v>
      </c>
      <c r="R32" s="469">
        <v>0</v>
      </c>
      <c r="S32" s="26"/>
      <c r="T32" s="22"/>
      <c r="U32" s="518"/>
      <c r="V32" s="510"/>
      <c r="W32" s="510"/>
      <c r="X32" s="26"/>
    </row>
    <row r="33" spans="1:24" customFormat="1" ht="14.5" x14ac:dyDescent="0.35">
      <c r="A33" s="25">
        <v>9305</v>
      </c>
      <c r="B33" s="463" t="s">
        <v>1442</v>
      </c>
      <c r="C33" s="467" t="s">
        <v>1524</v>
      </c>
      <c r="D33" s="464" t="s">
        <v>191</v>
      </c>
      <c r="E33" s="468">
        <v>43195</v>
      </c>
      <c r="F33" s="468">
        <v>46481</v>
      </c>
      <c r="G33" s="463" t="s">
        <v>119</v>
      </c>
      <c r="H33" s="463" t="s">
        <v>1525</v>
      </c>
      <c r="I33" s="468">
        <v>44088</v>
      </c>
      <c r="J33" s="475" t="s">
        <v>1358</v>
      </c>
      <c r="K33" s="468">
        <v>46481</v>
      </c>
      <c r="L33" s="25" t="s">
        <v>123</v>
      </c>
      <c r="M33" s="25" t="s">
        <v>121</v>
      </c>
      <c r="N33" s="469">
        <v>16767562</v>
      </c>
      <c r="O33" s="469">
        <v>0</v>
      </c>
      <c r="P33" s="469">
        <v>0</v>
      </c>
      <c r="Q33" s="469">
        <v>1871670</v>
      </c>
      <c r="R33" s="469">
        <v>0</v>
      </c>
      <c r="S33" s="470" t="s">
        <v>1257</v>
      </c>
      <c r="T33" s="22"/>
      <c r="U33" s="22"/>
      <c r="V33" s="510"/>
      <c r="W33" s="510"/>
      <c r="X33" s="26"/>
    </row>
    <row r="34" spans="1:24" customFormat="1" ht="14.5" x14ac:dyDescent="0.35">
      <c r="A34" s="25">
        <v>6603</v>
      </c>
      <c r="B34" s="463" t="s">
        <v>1442</v>
      </c>
      <c r="C34" s="467" t="s">
        <v>1528</v>
      </c>
      <c r="D34" s="464" t="s">
        <v>193</v>
      </c>
      <c r="E34" s="468">
        <v>42926</v>
      </c>
      <c r="F34" s="468">
        <v>46934</v>
      </c>
      <c r="G34" s="463" t="s">
        <v>119</v>
      </c>
      <c r="H34" s="463" t="s">
        <v>1529</v>
      </c>
      <c r="I34" s="468">
        <v>44088</v>
      </c>
      <c r="J34" s="475" t="s">
        <v>1142</v>
      </c>
      <c r="K34" s="468">
        <v>46934</v>
      </c>
      <c r="L34" s="25" t="s">
        <v>123</v>
      </c>
      <c r="M34" s="25" t="s">
        <v>121</v>
      </c>
      <c r="N34" s="469">
        <v>109225928</v>
      </c>
      <c r="O34" s="469">
        <v>0</v>
      </c>
      <c r="P34" s="469">
        <v>0</v>
      </c>
      <c r="Q34" s="469">
        <v>0</v>
      </c>
      <c r="R34" s="469">
        <v>0</v>
      </c>
      <c r="S34" s="26"/>
      <c r="T34" s="22"/>
      <c r="U34" s="22"/>
      <c r="V34" s="510"/>
      <c r="W34" s="510"/>
      <c r="X34" s="26"/>
    </row>
    <row r="35" spans="1:24" customFormat="1" ht="14.5" x14ac:dyDescent="0.35">
      <c r="A35" s="550">
        <v>6553</v>
      </c>
      <c r="B35" s="463" t="s">
        <v>1442</v>
      </c>
      <c r="C35" s="467" t="s">
        <v>1531</v>
      </c>
      <c r="D35" s="464" t="s">
        <v>196</v>
      </c>
      <c r="E35" s="468">
        <v>42370</v>
      </c>
      <c r="F35" s="27">
        <v>46387</v>
      </c>
      <c r="G35" s="463" t="s">
        <v>119</v>
      </c>
      <c r="H35" s="463" t="s">
        <v>1532</v>
      </c>
      <c r="I35" s="468">
        <v>44088</v>
      </c>
      <c r="J35" s="506" t="s">
        <v>1359</v>
      </c>
      <c r="K35" s="468">
        <v>46387</v>
      </c>
      <c r="L35" s="25" t="s">
        <v>123</v>
      </c>
      <c r="M35" s="25" t="s">
        <v>121</v>
      </c>
      <c r="N35" s="469">
        <v>33529692</v>
      </c>
      <c r="O35" s="469">
        <v>0</v>
      </c>
      <c r="P35" s="469">
        <v>0</v>
      </c>
      <c r="Q35" s="469">
        <v>0</v>
      </c>
      <c r="R35" s="469">
        <v>0</v>
      </c>
      <c r="S35" s="26"/>
      <c r="T35" s="22"/>
      <c r="U35" s="22"/>
      <c r="V35" s="510"/>
      <c r="W35" s="510"/>
      <c r="X35" s="26"/>
    </row>
    <row r="36" spans="1:24" customFormat="1" ht="14.5" x14ac:dyDescent="0.35">
      <c r="A36" s="25">
        <v>6563</v>
      </c>
      <c r="B36" s="463" t="s">
        <v>1442</v>
      </c>
      <c r="C36" s="467" t="s">
        <v>1533</v>
      </c>
      <c r="D36" s="464" t="s">
        <v>198</v>
      </c>
      <c r="E36" s="468">
        <v>42736</v>
      </c>
      <c r="F36" s="468">
        <v>46386</v>
      </c>
      <c r="G36" s="463" t="s">
        <v>119</v>
      </c>
      <c r="H36" s="463" t="s">
        <v>1534</v>
      </c>
      <c r="I36" s="468">
        <v>44088</v>
      </c>
      <c r="J36" s="475" t="s">
        <v>1360</v>
      </c>
      <c r="K36" s="468">
        <v>46386</v>
      </c>
      <c r="L36" s="25" t="s">
        <v>123</v>
      </c>
      <c r="M36" s="25" t="s">
        <v>121</v>
      </c>
      <c r="N36" s="469">
        <v>13778232</v>
      </c>
      <c r="O36" s="469">
        <v>0</v>
      </c>
      <c r="P36" s="469">
        <v>0</v>
      </c>
      <c r="Q36" s="469">
        <v>4383985</v>
      </c>
      <c r="R36" s="469">
        <v>0</v>
      </c>
      <c r="S36" s="26"/>
      <c r="T36" s="22"/>
      <c r="U36" s="22"/>
      <c r="V36" s="510"/>
      <c r="W36" s="510"/>
      <c r="X36" s="26"/>
    </row>
    <row r="37" spans="1:24" customFormat="1" ht="14.5" x14ac:dyDescent="0.35">
      <c r="A37" s="25">
        <v>6629</v>
      </c>
      <c r="B37" s="463" t="s">
        <v>1442</v>
      </c>
      <c r="C37" s="467" t="s">
        <v>1541</v>
      </c>
      <c r="D37" s="464" t="s">
        <v>217</v>
      </c>
      <c r="E37" s="468">
        <v>43466</v>
      </c>
      <c r="F37" s="27">
        <v>46174</v>
      </c>
      <c r="G37" s="463" t="s">
        <v>119</v>
      </c>
      <c r="H37" s="463" t="s">
        <v>1542</v>
      </c>
      <c r="I37" s="468">
        <v>44001</v>
      </c>
      <c r="J37" s="475" t="s">
        <v>1364</v>
      </c>
      <c r="K37" s="468">
        <v>46174</v>
      </c>
      <c r="L37" s="25" t="s">
        <v>123</v>
      </c>
      <c r="M37" s="25" t="s">
        <v>121</v>
      </c>
      <c r="N37" s="469">
        <v>8141716</v>
      </c>
      <c r="O37" s="469">
        <v>0</v>
      </c>
      <c r="P37" s="469">
        <v>0</v>
      </c>
      <c r="Q37" s="469">
        <v>0</v>
      </c>
      <c r="R37" s="469">
        <v>0</v>
      </c>
      <c r="S37" s="26"/>
      <c r="T37" s="22"/>
      <c r="U37" s="22"/>
      <c r="V37" s="510"/>
      <c r="W37" s="510"/>
      <c r="X37" s="26"/>
    </row>
    <row r="38" spans="1:24" customFormat="1" ht="14.5" x14ac:dyDescent="0.35">
      <c r="A38" s="507" t="s">
        <v>225</v>
      </c>
      <c r="B38" s="463" t="s">
        <v>1442</v>
      </c>
      <c r="C38" s="467" t="s">
        <v>1543</v>
      </c>
      <c r="D38" s="464" t="s">
        <v>223</v>
      </c>
      <c r="E38" s="468">
        <v>44492</v>
      </c>
      <c r="F38" s="468">
        <v>46295</v>
      </c>
      <c r="G38" s="463" t="s">
        <v>119</v>
      </c>
      <c r="H38" s="463" t="s">
        <v>224</v>
      </c>
      <c r="I38" s="468">
        <v>44649</v>
      </c>
      <c r="J38" s="507" t="s">
        <v>225</v>
      </c>
      <c r="K38" s="468">
        <v>46295</v>
      </c>
      <c r="L38" s="25" t="s">
        <v>123</v>
      </c>
      <c r="M38" s="25" t="s">
        <v>121</v>
      </c>
      <c r="N38" s="469">
        <v>9355925</v>
      </c>
      <c r="O38" s="469">
        <v>0</v>
      </c>
      <c r="P38" s="469">
        <v>935593</v>
      </c>
      <c r="Q38" s="469">
        <v>0</v>
      </c>
      <c r="R38" s="469">
        <v>0</v>
      </c>
      <c r="S38" s="472"/>
      <c r="T38" s="22"/>
      <c r="U38" s="22"/>
      <c r="V38" s="510"/>
      <c r="W38" s="510"/>
      <c r="X38" s="482"/>
    </row>
    <row r="39" spans="1:24" customFormat="1" ht="14.5" x14ac:dyDescent="0.35">
      <c r="A39" s="507" t="s">
        <v>228</v>
      </c>
      <c r="B39" s="463" t="s">
        <v>1442</v>
      </c>
      <c r="C39" s="467" t="s">
        <v>1544</v>
      </c>
      <c r="D39" s="464" t="s">
        <v>226</v>
      </c>
      <c r="E39" s="468">
        <v>44505</v>
      </c>
      <c r="F39" s="468">
        <v>46331</v>
      </c>
      <c r="G39" s="463" t="s">
        <v>119</v>
      </c>
      <c r="H39" s="463" t="s">
        <v>227</v>
      </c>
      <c r="I39" s="468">
        <v>44651</v>
      </c>
      <c r="J39" s="507" t="s">
        <v>228</v>
      </c>
      <c r="K39" s="468">
        <v>46330</v>
      </c>
      <c r="L39" s="25" t="s">
        <v>123</v>
      </c>
      <c r="M39" s="25" t="s">
        <v>121</v>
      </c>
      <c r="N39" s="469">
        <v>36412781</v>
      </c>
      <c r="O39" s="469">
        <v>0</v>
      </c>
      <c r="P39" s="469">
        <v>0</v>
      </c>
      <c r="Q39" s="469">
        <v>0</v>
      </c>
      <c r="R39" s="469">
        <v>0</v>
      </c>
      <c r="S39" s="472"/>
      <c r="T39" s="22"/>
      <c r="U39" s="22"/>
      <c r="V39" s="510"/>
      <c r="W39" s="510"/>
      <c r="X39" s="26"/>
    </row>
    <row r="40" spans="1:24" customFormat="1" ht="14.5" x14ac:dyDescent="0.35">
      <c r="A40" s="557">
        <v>8525</v>
      </c>
      <c r="B40" s="463" t="s">
        <v>1442</v>
      </c>
      <c r="C40" s="467" t="s">
        <v>1545</v>
      </c>
      <c r="D40" s="464" t="s">
        <v>229</v>
      </c>
      <c r="E40" s="468">
        <v>44621</v>
      </c>
      <c r="F40" s="468">
        <v>46155</v>
      </c>
      <c r="G40" s="463" t="s">
        <v>119</v>
      </c>
      <c r="H40" s="463" t="s">
        <v>1546</v>
      </c>
      <c r="I40" s="468">
        <v>44894</v>
      </c>
      <c r="J40" s="507" t="s">
        <v>1366</v>
      </c>
      <c r="K40" s="468">
        <v>46155</v>
      </c>
      <c r="L40" s="25" t="s">
        <v>123</v>
      </c>
      <c r="M40" s="25" t="s">
        <v>121</v>
      </c>
      <c r="N40" s="469">
        <v>8405506</v>
      </c>
      <c r="O40" s="469">
        <v>0</v>
      </c>
      <c r="P40" s="469">
        <v>0</v>
      </c>
      <c r="Q40" s="469">
        <v>0</v>
      </c>
      <c r="R40" s="469">
        <v>0</v>
      </c>
      <c r="S40" s="472"/>
      <c r="T40" s="22"/>
      <c r="U40" s="22"/>
      <c r="V40" s="510"/>
      <c r="W40" s="510"/>
      <c r="X40" s="26"/>
    </row>
    <row r="41" spans="1:24" customFormat="1" ht="14.5" x14ac:dyDescent="0.35">
      <c r="A41" s="475" t="s">
        <v>1189</v>
      </c>
      <c r="B41" s="463" t="s">
        <v>1442</v>
      </c>
      <c r="C41" s="467" t="s">
        <v>1548</v>
      </c>
      <c r="D41" s="464" t="s">
        <v>1175</v>
      </c>
      <c r="E41" s="468">
        <v>45332</v>
      </c>
      <c r="F41" s="468">
        <v>46427</v>
      </c>
      <c r="G41" s="463" t="s">
        <v>119</v>
      </c>
      <c r="H41" s="463" t="s">
        <v>1206</v>
      </c>
      <c r="I41" s="468">
        <v>45351</v>
      </c>
      <c r="J41" s="475" t="s">
        <v>1189</v>
      </c>
      <c r="K41" s="468">
        <v>46427</v>
      </c>
      <c r="L41" s="25" t="s">
        <v>123</v>
      </c>
      <c r="M41" s="25" t="s">
        <v>121</v>
      </c>
      <c r="N41" s="469">
        <v>17245516</v>
      </c>
      <c r="O41" s="469">
        <v>0</v>
      </c>
      <c r="P41" s="469">
        <v>1632233</v>
      </c>
      <c r="Q41" s="469">
        <v>4894301</v>
      </c>
      <c r="R41" s="469">
        <v>0</v>
      </c>
      <c r="S41" s="473" t="s">
        <v>1210</v>
      </c>
      <c r="T41" s="22"/>
      <c r="U41" s="22"/>
      <c r="V41" s="510"/>
      <c r="W41" s="510"/>
      <c r="X41" s="26"/>
    </row>
    <row r="42" spans="1:24" customFormat="1" ht="14.5" x14ac:dyDescent="0.35">
      <c r="A42" s="475" t="s">
        <v>1190</v>
      </c>
      <c r="B42" s="463" t="s">
        <v>1442</v>
      </c>
      <c r="C42" s="467" t="s">
        <v>1549</v>
      </c>
      <c r="D42" s="464" t="s">
        <v>1191</v>
      </c>
      <c r="E42" s="468">
        <v>45372</v>
      </c>
      <c r="F42" s="468">
        <v>46466</v>
      </c>
      <c r="G42" s="463" t="s">
        <v>119</v>
      </c>
      <c r="H42" s="463" t="s">
        <v>1192</v>
      </c>
      <c r="I42" s="468">
        <v>45379</v>
      </c>
      <c r="J42" s="475" t="s">
        <v>1190</v>
      </c>
      <c r="K42" s="468">
        <v>46466</v>
      </c>
      <c r="L42" s="25" t="s">
        <v>123</v>
      </c>
      <c r="M42" s="25" t="s">
        <v>121</v>
      </c>
      <c r="N42" s="469">
        <v>10522146</v>
      </c>
      <c r="O42" s="469">
        <v>0</v>
      </c>
      <c r="P42" s="469">
        <v>941951</v>
      </c>
      <c r="Q42" s="469">
        <v>1493981</v>
      </c>
      <c r="R42" s="469">
        <v>0</v>
      </c>
      <c r="S42" s="473" t="s">
        <v>1210</v>
      </c>
      <c r="T42" s="22"/>
      <c r="U42" s="22"/>
      <c r="V42" s="510"/>
      <c r="W42" s="510"/>
      <c r="X42" s="26"/>
    </row>
    <row r="43" spans="1:24" customFormat="1" ht="14.5" x14ac:dyDescent="0.35">
      <c r="A43" s="475" t="s">
        <v>207</v>
      </c>
      <c r="B43" s="463" t="s">
        <v>1442</v>
      </c>
      <c r="C43" s="467" t="s">
        <v>1550</v>
      </c>
      <c r="D43" s="464" t="s">
        <v>205</v>
      </c>
      <c r="E43" s="468">
        <v>45399</v>
      </c>
      <c r="F43" s="468">
        <v>46493</v>
      </c>
      <c r="G43" s="463" t="s">
        <v>119</v>
      </c>
      <c r="H43" s="463" t="s">
        <v>1207</v>
      </c>
      <c r="I43" s="468">
        <v>45404</v>
      </c>
      <c r="J43" s="475" t="s">
        <v>207</v>
      </c>
      <c r="K43" s="468">
        <v>46493</v>
      </c>
      <c r="L43" s="25" t="s">
        <v>123</v>
      </c>
      <c r="M43" s="25" t="s">
        <v>121</v>
      </c>
      <c r="N43" s="469">
        <v>18856058</v>
      </c>
      <c r="O43" s="469">
        <v>0</v>
      </c>
      <c r="P43" s="469">
        <v>0</v>
      </c>
      <c r="Q43" s="469">
        <v>0</v>
      </c>
      <c r="R43" s="469">
        <v>0</v>
      </c>
      <c r="S43" s="474" t="s">
        <v>1257</v>
      </c>
      <c r="T43" s="22"/>
      <c r="U43" s="22"/>
      <c r="V43" s="510"/>
      <c r="W43" s="510"/>
      <c r="X43" s="26"/>
    </row>
    <row r="44" spans="1:24" customFormat="1" ht="14.5" x14ac:dyDescent="0.35">
      <c r="A44" s="25">
        <v>9458</v>
      </c>
      <c r="B44" s="21">
        <v>8140</v>
      </c>
      <c r="C44" s="484" t="s">
        <v>1705</v>
      </c>
      <c r="D44" s="22" t="s">
        <v>202</v>
      </c>
      <c r="E44" s="468">
        <v>45429</v>
      </c>
      <c r="F44" s="468">
        <v>46158</v>
      </c>
      <c r="G44" s="463" t="s">
        <v>119</v>
      </c>
      <c r="H44" s="463">
        <v>5000103</v>
      </c>
      <c r="I44" s="476">
        <v>45441</v>
      </c>
      <c r="J44" s="475" t="s">
        <v>1421</v>
      </c>
      <c r="K44" s="468">
        <v>46158</v>
      </c>
      <c r="L44" s="25" t="s">
        <v>123</v>
      </c>
      <c r="M44" s="25" t="s">
        <v>121</v>
      </c>
      <c r="N44" s="469">
        <v>16289886</v>
      </c>
      <c r="O44" s="469">
        <v>0</v>
      </c>
      <c r="P44" s="469">
        <v>0</v>
      </c>
      <c r="Q44" s="469">
        <v>1836767</v>
      </c>
      <c r="R44" s="469">
        <v>0</v>
      </c>
      <c r="S44" s="474" t="s">
        <v>1257</v>
      </c>
      <c r="T44" s="22"/>
      <c r="U44" s="22"/>
      <c r="V44" s="510"/>
      <c r="W44" s="510"/>
      <c r="X44" s="26"/>
    </row>
    <row r="45" spans="1:24" customFormat="1" ht="14.5" x14ac:dyDescent="0.35">
      <c r="A45" s="25" t="s">
        <v>1188</v>
      </c>
      <c r="B45" s="21">
        <v>8140</v>
      </c>
      <c r="C45" s="467" t="s">
        <v>1555</v>
      </c>
      <c r="D45" s="22" t="s">
        <v>1237</v>
      </c>
      <c r="E45" s="468">
        <v>45292</v>
      </c>
      <c r="F45" s="468">
        <v>46387</v>
      </c>
      <c r="G45" s="463" t="s">
        <v>119</v>
      </c>
      <c r="H45" s="463" t="s">
        <v>1238</v>
      </c>
      <c r="I45" s="476">
        <v>45471</v>
      </c>
      <c r="J45" s="467" t="s">
        <v>1188</v>
      </c>
      <c r="K45" s="468">
        <v>46387</v>
      </c>
      <c r="L45" s="463" t="s">
        <v>123</v>
      </c>
      <c r="M45" s="25" t="s">
        <v>121</v>
      </c>
      <c r="N45" s="469">
        <v>9370600</v>
      </c>
      <c r="O45" s="469">
        <v>0</v>
      </c>
      <c r="P45" s="469">
        <v>0</v>
      </c>
      <c r="Q45" s="469">
        <v>0</v>
      </c>
      <c r="R45" s="469">
        <v>0</v>
      </c>
      <c r="S45" s="473" t="s">
        <v>1210</v>
      </c>
      <c r="T45" s="22"/>
      <c r="U45" s="22"/>
      <c r="V45" s="510"/>
      <c r="W45" s="510"/>
      <c r="X45" s="482"/>
    </row>
    <row r="46" spans="1:24" customFormat="1" ht="14.5" x14ac:dyDescent="0.35">
      <c r="A46" s="25">
        <v>9101</v>
      </c>
      <c r="B46" s="21">
        <v>8140</v>
      </c>
      <c r="C46" s="467" t="s">
        <v>1556</v>
      </c>
      <c r="D46" s="22" t="s">
        <v>180</v>
      </c>
      <c r="E46" s="468">
        <v>45474</v>
      </c>
      <c r="F46" s="468">
        <v>46203</v>
      </c>
      <c r="G46" s="463" t="s">
        <v>119</v>
      </c>
      <c r="H46" s="463" t="s">
        <v>1258</v>
      </c>
      <c r="I46" s="476">
        <v>45499</v>
      </c>
      <c r="J46" s="475" t="s">
        <v>1412</v>
      </c>
      <c r="K46" s="468">
        <v>46203</v>
      </c>
      <c r="L46" s="463" t="s">
        <v>123</v>
      </c>
      <c r="M46" s="25" t="s">
        <v>121</v>
      </c>
      <c r="N46" s="469">
        <v>15609399</v>
      </c>
      <c r="O46" s="469">
        <v>0</v>
      </c>
      <c r="P46" s="469">
        <v>0</v>
      </c>
      <c r="Q46" s="469">
        <v>2901922</v>
      </c>
      <c r="R46" s="469">
        <v>0</v>
      </c>
      <c r="S46" s="473" t="s">
        <v>1257</v>
      </c>
      <c r="T46" s="22"/>
      <c r="U46" s="518"/>
      <c r="V46" s="510"/>
      <c r="W46" s="510"/>
      <c r="X46" s="26"/>
    </row>
    <row r="47" spans="1:24" customFormat="1" ht="14.5" x14ac:dyDescent="0.35">
      <c r="A47" s="463">
        <v>6626</v>
      </c>
      <c r="B47" s="21">
        <v>8140</v>
      </c>
      <c r="C47" s="467" t="s">
        <v>1557</v>
      </c>
      <c r="D47" s="22" t="s">
        <v>1259</v>
      </c>
      <c r="E47" s="468">
        <v>45444</v>
      </c>
      <c r="F47" s="468">
        <v>46538</v>
      </c>
      <c r="G47" s="463" t="s">
        <v>119</v>
      </c>
      <c r="H47" s="463" t="s">
        <v>1260</v>
      </c>
      <c r="I47" s="476">
        <v>45499</v>
      </c>
      <c r="J47" s="475" t="s">
        <v>1386</v>
      </c>
      <c r="K47" s="468">
        <v>46538</v>
      </c>
      <c r="L47" s="463" t="s">
        <v>123</v>
      </c>
      <c r="M47" s="25" t="s">
        <v>121</v>
      </c>
      <c r="N47" s="469">
        <v>11915007</v>
      </c>
      <c r="O47" s="469">
        <v>0</v>
      </c>
      <c r="P47" s="469">
        <v>0</v>
      </c>
      <c r="Q47" s="469">
        <v>2154037</v>
      </c>
      <c r="R47" s="469">
        <v>0</v>
      </c>
      <c r="S47" s="473" t="s">
        <v>1257</v>
      </c>
      <c r="T47" s="22"/>
      <c r="U47" s="22"/>
      <c r="V47" s="510"/>
      <c r="W47" s="510"/>
      <c r="X47" s="26"/>
    </row>
    <row r="48" spans="1:24" customFormat="1" ht="14.5" x14ac:dyDescent="0.35">
      <c r="A48" s="25">
        <v>6711</v>
      </c>
      <c r="B48" s="21">
        <v>8140</v>
      </c>
      <c r="C48" s="467" t="s">
        <v>1558</v>
      </c>
      <c r="D48" s="22" t="s">
        <v>215</v>
      </c>
      <c r="E48" s="468">
        <v>45505</v>
      </c>
      <c r="F48" s="468">
        <v>46599</v>
      </c>
      <c r="G48" s="463" t="s">
        <v>119</v>
      </c>
      <c r="H48" s="463" t="s">
        <v>1270</v>
      </c>
      <c r="I48" s="476">
        <v>45499</v>
      </c>
      <c r="J48" s="467" t="s">
        <v>1426</v>
      </c>
      <c r="K48" s="468">
        <v>46599</v>
      </c>
      <c r="L48" s="463" t="s">
        <v>123</v>
      </c>
      <c r="M48" s="463" t="s">
        <v>121</v>
      </c>
      <c r="N48" s="469">
        <v>12101549</v>
      </c>
      <c r="O48" s="469">
        <v>0</v>
      </c>
      <c r="P48" s="469">
        <v>0</v>
      </c>
      <c r="Q48" s="469">
        <v>0</v>
      </c>
      <c r="R48" s="469">
        <v>0</v>
      </c>
      <c r="S48" s="473" t="s">
        <v>1257</v>
      </c>
      <c r="T48" s="22"/>
      <c r="U48" s="22"/>
      <c r="V48" s="510"/>
      <c r="W48" s="510"/>
      <c r="X48" s="26"/>
    </row>
    <row r="49" spans="1:24" customFormat="1" ht="14.5" x14ac:dyDescent="0.35">
      <c r="A49" s="25" t="s">
        <v>1195</v>
      </c>
      <c r="B49" s="21">
        <v>8140</v>
      </c>
      <c r="C49" s="467" t="s">
        <v>1559</v>
      </c>
      <c r="D49" s="22" t="s">
        <v>1277</v>
      </c>
      <c r="E49" s="468">
        <v>45366</v>
      </c>
      <c r="F49" s="468">
        <v>46460</v>
      </c>
      <c r="G49" s="463" t="s">
        <v>119</v>
      </c>
      <c r="H49" s="463" t="s">
        <v>1278</v>
      </c>
      <c r="I49" s="476">
        <v>45548</v>
      </c>
      <c r="J49" s="475" t="s">
        <v>1195</v>
      </c>
      <c r="K49" s="468">
        <v>2958173</v>
      </c>
      <c r="L49" s="463" t="s">
        <v>123</v>
      </c>
      <c r="M49" s="463" t="s">
        <v>121</v>
      </c>
      <c r="N49" s="469">
        <v>10042858</v>
      </c>
      <c r="O49" s="469">
        <v>0</v>
      </c>
      <c r="P49" s="469">
        <v>0</v>
      </c>
      <c r="Q49" s="469">
        <v>3424824</v>
      </c>
      <c r="R49" s="469">
        <v>0</v>
      </c>
      <c r="S49" s="473" t="s">
        <v>1210</v>
      </c>
      <c r="T49" s="22"/>
      <c r="U49" s="22"/>
      <c r="V49" s="510"/>
      <c r="W49" s="510"/>
      <c r="X49" s="26"/>
    </row>
    <row r="50" spans="1:24" customFormat="1" ht="14.5" x14ac:dyDescent="0.35">
      <c r="A50" s="463">
        <v>9072</v>
      </c>
      <c r="B50" s="21">
        <v>8140</v>
      </c>
      <c r="C50" s="467" t="s">
        <v>1560</v>
      </c>
      <c r="D50" s="22" t="s">
        <v>179</v>
      </c>
      <c r="E50" s="468">
        <v>45458</v>
      </c>
      <c r="F50" s="468">
        <v>46552</v>
      </c>
      <c r="G50" s="463" t="s">
        <v>119</v>
      </c>
      <c r="H50" s="463" t="s">
        <v>1279</v>
      </c>
      <c r="I50" s="476">
        <v>45548</v>
      </c>
      <c r="J50" s="475" t="s">
        <v>1409</v>
      </c>
      <c r="K50" s="468">
        <v>46552</v>
      </c>
      <c r="L50" s="463" t="s">
        <v>123</v>
      </c>
      <c r="M50" s="463" t="s">
        <v>121</v>
      </c>
      <c r="N50" s="469">
        <v>15417760</v>
      </c>
      <c r="O50" s="469">
        <v>0</v>
      </c>
      <c r="P50" s="469">
        <v>0</v>
      </c>
      <c r="Q50" s="469">
        <v>2243950</v>
      </c>
      <c r="R50" s="469">
        <v>0</v>
      </c>
      <c r="S50" s="473" t="s">
        <v>1257</v>
      </c>
      <c r="T50" s="22"/>
      <c r="U50" s="22"/>
      <c r="V50" s="510"/>
      <c r="W50" s="510"/>
      <c r="X50" s="26"/>
    </row>
    <row r="51" spans="1:24" customFormat="1" ht="14.5" x14ac:dyDescent="0.35">
      <c r="A51" s="25">
        <v>9575</v>
      </c>
      <c r="B51" s="21">
        <v>8140</v>
      </c>
      <c r="C51" s="467" t="s">
        <v>1561</v>
      </c>
      <c r="D51" s="22" t="s">
        <v>203</v>
      </c>
      <c r="E51" s="468">
        <v>45552</v>
      </c>
      <c r="F51" s="468">
        <v>46646</v>
      </c>
      <c r="G51" s="463" t="s">
        <v>119</v>
      </c>
      <c r="H51" s="477" t="s">
        <v>1280</v>
      </c>
      <c r="I51" s="476">
        <v>45588</v>
      </c>
      <c r="J51" s="467" t="s">
        <v>1422</v>
      </c>
      <c r="K51" s="468">
        <v>46646</v>
      </c>
      <c r="L51" s="463" t="s">
        <v>123</v>
      </c>
      <c r="M51" s="463" t="s">
        <v>121</v>
      </c>
      <c r="N51" s="469">
        <v>16369289</v>
      </c>
      <c r="O51" s="469">
        <v>0</v>
      </c>
      <c r="P51" s="469">
        <v>0</v>
      </c>
      <c r="Q51" s="469">
        <v>2170604</v>
      </c>
      <c r="R51" s="469">
        <v>0</v>
      </c>
      <c r="S51" s="473" t="s">
        <v>1210</v>
      </c>
      <c r="T51" s="22"/>
      <c r="U51" s="22"/>
      <c r="V51" s="510"/>
      <c r="W51" s="510"/>
      <c r="X51" s="26"/>
    </row>
    <row r="52" spans="1:24" customFormat="1" ht="14.5" x14ac:dyDescent="0.35">
      <c r="A52" s="25">
        <v>8140074</v>
      </c>
      <c r="B52" s="21">
        <v>8140</v>
      </c>
      <c r="C52" s="478" t="s">
        <v>1562</v>
      </c>
      <c r="D52" s="22" t="s">
        <v>1368</v>
      </c>
      <c r="E52" s="468">
        <v>45600</v>
      </c>
      <c r="F52" s="468">
        <v>48368</v>
      </c>
      <c r="G52" s="463" t="s">
        <v>119</v>
      </c>
      <c r="H52" s="477" t="s">
        <v>1431</v>
      </c>
      <c r="I52" s="476">
        <v>45614</v>
      </c>
      <c r="J52" s="467" t="s">
        <v>1315</v>
      </c>
      <c r="K52" s="468">
        <v>45699</v>
      </c>
      <c r="L52" s="489" t="s">
        <v>1712</v>
      </c>
      <c r="M52" s="463" t="s">
        <v>121</v>
      </c>
      <c r="N52" s="469">
        <v>150325841</v>
      </c>
      <c r="O52" s="469">
        <v>0</v>
      </c>
      <c r="P52" s="469">
        <v>0</v>
      </c>
      <c r="Q52" s="469">
        <v>0</v>
      </c>
      <c r="R52" s="469">
        <v>0</v>
      </c>
      <c r="S52" s="473" t="s">
        <v>1210</v>
      </c>
      <c r="T52" s="22"/>
      <c r="U52" s="22"/>
      <c r="V52" s="510"/>
      <c r="W52" s="510"/>
      <c r="X52" s="482"/>
    </row>
    <row r="53" spans="1:24" customFormat="1" ht="14.5" x14ac:dyDescent="0.35">
      <c r="A53" s="463">
        <v>6767</v>
      </c>
      <c r="B53" s="21">
        <v>8140</v>
      </c>
      <c r="C53" s="478" t="s">
        <v>1563</v>
      </c>
      <c r="D53" s="22" t="s">
        <v>161</v>
      </c>
      <c r="E53" s="468">
        <v>45582</v>
      </c>
      <c r="F53" s="468">
        <v>46676</v>
      </c>
      <c r="G53" s="463" t="s">
        <v>119</v>
      </c>
      <c r="H53" s="477" t="s">
        <v>1432</v>
      </c>
      <c r="I53" s="476">
        <v>45614</v>
      </c>
      <c r="J53" s="467" t="s">
        <v>1369</v>
      </c>
      <c r="K53" s="468">
        <v>46676</v>
      </c>
      <c r="L53" s="463" t="s">
        <v>123</v>
      </c>
      <c r="M53" s="463" t="s">
        <v>121</v>
      </c>
      <c r="N53" s="469">
        <v>12269945</v>
      </c>
      <c r="O53" s="469">
        <v>0</v>
      </c>
      <c r="P53" s="469">
        <v>0</v>
      </c>
      <c r="Q53" s="469">
        <v>1631716</v>
      </c>
      <c r="R53" s="469">
        <v>0</v>
      </c>
      <c r="S53" s="473" t="s">
        <v>1210</v>
      </c>
      <c r="T53" s="22"/>
      <c r="U53" s="22"/>
      <c r="V53" s="510"/>
      <c r="W53" s="510"/>
      <c r="X53" s="26"/>
    </row>
    <row r="54" spans="1:24" customFormat="1" ht="14.5" x14ac:dyDescent="0.35">
      <c r="A54" s="463">
        <v>8751</v>
      </c>
      <c r="B54" s="21">
        <v>8140</v>
      </c>
      <c r="C54" s="478" t="s">
        <v>1564</v>
      </c>
      <c r="D54" s="22" t="s">
        <v>170</v>
      </c>
      <c r="E54" s="468">
        <v>45566</v>
      </c>
      <c r="F54" s="468">
        <v>46295</v>
      </c>
      <c r="G54" s="463" t="s">
        <v>119</v>
      </c>
      <c r="H54" s="477" t="s">
        <v>1433</v>
      </c>
      <c r="I54" s="476">
        <v>45614</v>
      </c>
      <c r="J54" s="467" t="s">
        <v>1370</v>
      </c>
      <c r="K54" s="468">
        <v>46295</v>
      </c>
      <c r="L54" s="463" t="s">
        <v>123</v>
      </c>
      <c r="M54" s="463" t="s">
        <v>121</v>
      </c>
      <c r="N54" s="469">
        <v>13676000</v>
      </c>
      <c r="O54" s="469">
        <v>0</v>
      </c>
      <c r="P54" s="469">
        <v>0</v>
      </c>
      <c r="Q54" s="469">
        <v>0</v>
      </c>
      <c r="R54" s="469">
        <v>0</v>
      </c>
      <c r="S54" s="473" t="s">
        <v>1210</v>
      </c>
      <c r="T54" s="22"/>
      <c r="U54" s="22"/>
      <c r="V54" s="510"/>
      <c r="W54" s="510"/>
      <c r="X54" s="26"/>
    </row>
    <row r="55" spans="1:24" customFormat="1" ht="14.5" x14ac:dyDescent="0.35">
      <c r="A55" s="463" t="s">
        <v>1294</v>
      </c>
      <c r="B55" s="21">
        <v>8140</v>
      </c>
      <c r="C55" s="21" t="s">
        <v>1565</v>
      </c>
      <c r="D55" s="22" t="s">
        <v>1371</v>
      </c>
      <c r="E55" s="468">
        <v>45567</v>
      </c>
      <c r="F55" s="468">
        <v>46298</v>
      </c>
      <c r="G55" s="21" t="s">
        <v>119</v>
      </c>
      <c r="H55" s="21" t="s">
        <v>1434</v>
      </c>
      <c r="I55" s="476">
        <v>45642</v>
      </c>
      <c r="J55" s="508" t="s">
        <v>1294</v>
      </c>
      <c r="K55" s="468">
        <v>46298</v>
      </c>
      <c r="L55" s="25" t="s">
        <v>123</v>
      </c>
      <c r="M55" s="463" t="s">
        <v>121</v>
      </c>
      <c r="N55" s="469">
        <v>9878280</v>
      </c>
      <c r="O55" s="469">
        <v>0</v>
      </c>
      <c r="P55" s="469">
        <v>0</v>
      </c>
      <c r="Q55" s="469">
        <v>1627600</v>
      </c>
      <c r="R55" s="469">
        <v>0</v>
      </c>
      <c r="S55" s="22"/>
      <c r="T55" s="22"/>
      <c r="U55" s="518"/>
      <c r="V55" s="510"/>
      <c r="W55" s="510"/>
      <c r="X55" s="26"/>
    </row>
    <row r="56" spans="1:24" customFormat="1" ht="14.5" x14ac:dyDescent="0.35">
      <c r="A56" s="463">
        <v>6619</v>
      </c>
      <c r="B56" s="21">
        <v>8140</v>
      </c>
      <c r="C56" s="21" t="s">
        <v>1566</v>
      </c>
      <c r="D56" s="22" t="s">
        <v>136</v>
      </c>
      <c r="E56" s="468">
        <v>45627</v>
      </c>
      <c r="F56" s="468">
        <v>46720</v>
      </c>
      <c r="G56" s="21" t="s">
        <v>119</v>
      </c>
      <c r="H56" s="21" t="s">
        <v>1435</v>
      </c>
      <c r="I56" s="476">
        <v>45742</v>
      </c>
      <c r="J56" s="508" t="s">
        <v>1372</v>
      </c>
      <c r="K56" s="468">
        <v>46720</v>
      </c>
      <c r="L56" s="25" t="s">
        <v>123</v>
      </c>
      <c r="M56" s="463" t="s">
        <v>121</v>
      </c>
      <c r="N56" s="469">
        <v>11540440</v>
      </c>
      <c r="O56" s="469">
        <v>0</v>
      </c>
      <c r="P56" s="469">
        <v>0</v>
      </c>
      <c r="Q56" s="469">
        <v>2032239</v>
      </c>
      <c r="R56" s="469">
        <v>0</v>
      </c>
      <c r="S56" s="22"/>
      <c r="T56" s="519"/>
      <c r="U56" s="519"/>
      <c r="V56" s="510"/>
      <c r="W56" s="510"/>
      <c r="X56" s="472"/>
    </row>
    <row r="57" spans="1:24" customFormat="1" ht="14.5" x14ac:dyDescent="0.35">
      <c r="A57" s="465">
        <v>6687</v>
      </c>
      <c r="B57" s="21">
        <v>8140</v>
      </c>
      <c r="C57" s="21" t="s">
        <v>1567</v>
      </c>
      <c r="D57" s="22" t="s">
        <v>212</v>
      </c>
      <c r="E57" s="468">
        <v>45383</v>
      </c>
      <c r="F57" s="468">
        <v>46843</v>
      </c>
      <c r="G57" s="21" t="s">
        <v>119</v>
      </c>
      <c r="H57" s="21" t="s">
        <v>1568</v>
      </c>
      <c r="I57" s="476">
        <v>45831</v>
      </c>
      <c r="J57" s="508" t="s">
        <v>1425</v>
      </c>
      <c r="K57" s="468">
        <v>46843</v>
      </c>
      <c r="L57" s="25" t="s">
        <v>123</v>
      </c>
      <c r="M57" s="463" t="s">
        <v>121</v>
      </c>
      <c r="N57" s="469">
        <v>19435307</v>
      </c>
      <c r="O57" s="469">
        <v>0</v>
      </c>
      <c r="P57" s="469">
        <v>0</v>
      </c>
      <c r="Q57" s="469">
        <v>0</v>
      </c>
      <c r="R57" s="469">
        <v>0</v>
      </c>
      <c r="S57" s="22"/>
      <c r="T57" s="519"/>
      <c r="U57" s="519"/>
      <c r="V57" s="510"/>
      <c r="W57" s="510"/>
      <c r="X57" s="472"/>
    </row>
    <row r="58" spans="1:24" customFormat="1" ht="14.5" x14ac:dyDescent="0.35">
      <c r="A58" s="465">
        <v>9102</v>
      </c>
      <c r="B58" s="21">
        <v>8140</v>
      </c>
      <c r="C58" s="21" t="s">
        <v>1739</v>
      </c>
      <c r="D58" s="22" t="s">
        <v>181</v>
      </c>
      <c r="E58" s="468">
        <v>45870</v>
      </c>
      <c r="F58" s="468">
        <v>46965</v>
      </c>
      <c r="G58" s="21" t="s">
        <v>119</v>
      </c>
      <c r="H58" s="21" t="s">
        <v>1740</v>
      </c>
      <c r="I58" s="476">
        <v>45896</v>
      </c>
      <c r="J58" s="465">
        <v>9102</v>
      </c>
      <c r="K58" s="468">
        <v>46965</v>
      </c>
      <c r="L58" s="25" t="s">
        <v>123</v>
      </c>
      <c r="M58" s="463" t="s">
        <v>121</v>
      </c>
      <c r="N58" s="469">
        <v>93440962</v>
      </c>
      <c r="O58" s="469">
        <v>0</v>
      </c>
      <c r="P58" s="469">
        <v>0</v>
      </c>
      <c r="Q58" s="469">
        <v>0</v>
      </c>
      <c r="R58" s="469">
        <v>0</v>
      </c>
      <c r="S58" s="22"/>
      <c r="T58" s="519"/>
      <c r="U58" s="519"/>
      <c r="V58" s="510"/>
      <c r="W58" s="510"/>
      <c r="X58" s="472"/>
    </row>
    <row r="59" spans="1:24" customFormat="1" ht="14.5" x14ac:dyDescent="0.35">
      <c r="A59" s="465" t="s">
        <v>222</v>
      </c>
      <c r="B59" s="21">
        <v>8140</v>
      </c>
      <c r="C59" s="21" t="s">
        <v>1741</v>
      </c>
      <c r="D59" s="22" t="s">
        <v>220</v>
      </c>
      <c r="E59" s="468">
        <v>45786</v>
      </c>
      <c r="F59" s="468">
        <v>47611</v>
      </c>
      <c r="G59" s="21" t="s">
        <v>119</v>
      </c>
      <c r="H59" s="21" t="s">
        <v>1742</v>
      </c>
      <c r="I59" s="476">
        <v>45958</v>
      </c>
      <c r="J59" s="465" t="s">
        <v>222</v>
      </c>
      <c r="K59" s="468">
        <v>47611</v>
      </c>
      <c r="L59" s="25" t="s">
        <v>123</v>
      </c>
      <c r="M59" s="463" t="s">
        <v>121</v>
      </c>
      <c r="N59" s="469">
        <v>16500000</v>
      </c>
      <c r="O59" s="469">
        <v>0</v>
      </c>
      <c r="P59" s="469">
        <v>0</v>
      </c>
      <c r="Q59" s="469">
        <v>0</v>
      </c>
      <c r="R59" s="469">
        <v>0</v>
      </c>
      <c r="S59" s="22"/>
      <c r="T59" s="519"/>
      <c r="U59" s="519"/>
      <c r="V59" s="510"/>
      <c r="W59" s="510"/>
      <c r="X59" s="26"/>
    </row>
    <row r="60" spans="1:24" customFormat="1" ht="14.5" x14ac:dyDescent="0.35">
      <c r="A60" s="465">
        <v>8976</v>
      </c>
      <c r="B60" s="21">
        <v>8140</v>
      </c>
      <c r="C60" s="521" t="s">
        <v>1747</v>
      </c>
      <c r="D60" s="22" t="s">
        <v>175</v>
      </c>
      <c r="E60" s="468">
        <v>45839</v>
      </c>
      <c r="F60" s="468">
        <v>46934</v>
      </c>
      <c r="G60" s="21" t="s">
        <v>119</v>
      </c>
      <c r="H60" s="21" t="s">
        <v>1748</v>
      </c>
      <c r="I60" s="476">
        <v>45979</v>
      </c>
      <c r="J60" s="520" t="s">
        <v>176</v>
      </c>
      <c r="K60" s="468">
        <v>46934</v>
      </c>
      <c r="L60" s="25" t="s">
        <v>123</v>
      </c>
      <c r="M60" s="463" t="s">
        <v>121</v>
      </c>
      <c r="N60" s="469">
        <v>16409358</v>
      </c>
      <c r="O60" s="469">
        <v>0</v>
      </c>
      <c r="P60" s="469">
        <v>1545851</v>
      </c>
      <c r="Q60" s="469">
        <v>3143588</v>
      </c>
      <c r="R60" s="469"/>
      <c r="S60" s="22"/>
      <c r="T60" s="519"/>
      <c r="U60" s="519"/>
      <c r="V60" s="510"/>
      <c r="W60" s="510"/>
      <c r="X60" s="26"/>
    </row>
    <row r="61" spans="1:24" customFormat="1" ht="14.5" x14ac:dyDescent="0.35">
      <c r="A61" s="465">
        <v>6660</v>
      </c>
      <c r="B61" s="21">
        <v>8140</v>
      </c>
      <c r="C61" s="521" t="s">
        <v>1750</v>
      </c>
      <c r="D61" s="22" t="s">
        <v>211</v>
      </c>
      <c r="E61" s="468"/>
      <c r="F61" s="468">
        <v>46822</v>
      </c>
      <c r="G61" s="21" t="s">
        <v>119</v>
      </c>
      <c r="H61" s="21" t="s">
        <v>1751</v>
      </c>
      <c r="I61" s="476"/>
      <c r="J61" s="524" t="s">
        <v>1174</v>
      </c>
      <c r="K61" s="468">
        <v>46822</v>
      </c>
      <c r="L61" s="25" t="s">
        <v>123</v>
      </c>
      <c r="M61" s="463" t="s">
        <v>121</v>
      </c>
      <c r="N61" s="469">
        <v>12105798</v>
      </c>
      <c r="O61" s="469">
        <v>0</v>
      </c>
      <c r="P61" s="469"/>
      <c r="Q61" s="469"/>
      <c r="R61" s="469"/>
      <c r="S61" s="22"/>
      <c r="T61" s="519"/>
      <c r="U61" s="519"/>
      <c r="V61" s="510"/>
      <c r="W61" s="510"/>
      <c r="X61" s="26"/>
    </row>
    <row r="62" spans="1:24" customFormat="1" ht="14.5" x14ac:dyDescent="0.35">
      <c r="A62" s="520"/>
      <c r="B62" s="21"/>
      <c r="C62" s="21"/>
      <c r="D62" s="22"/>
      <c r="E62" s="468"/>
      <c r="F62" s="468"/>
      <c r="G62" s="21"/>
      <c r="H62" s="21"/>
      <c r="I62" s="21"/>
      <c r="J62" s="22"/>
      <c r="K62" s="21"/>
      <c r="L62" s="22"/>
      <c r="M62" s="22"/>
      <c r="N62" s="22"/>
      <c r="O62" s="479"/>
      <c r="P62" s="22"/>
      <c r="Q62" s="22"/>
      <c r="R62" s="22"/>
      <c r="S62" s="22"/>
      <c r="T62" s="519"/>
      <c r="U62" s="519"/>
      <c r="V62" s="510"/>
      <c r="W62" s="510"/>
      <c r="X62" s="511"/>
    </row>
    <row r="63" spans="1:24" customFormat="1" ht="14.5" x14ac:dyDescent="0.35">
      <c r="A63" s="520">
        <v>8140015</v>
      </c>
      <c r="B63" s="463" t="s">
        <v>1442</v>
      </c>
      <c r="C63" s="467" t="s">
        <v>1569</v>
      </c>
      <c r="D63" s="464" t="s">
        <v>118</v>
      </c>
      <c r="E63" s="468">
        <v>44652</v>
      </c>
      <c r="F63" s="468">
        <v>45747</v>
      </c>
      <c r="G63" s="463" t="s">
        <v>119</v>
      </c>
      <c r="H63" s="463" t="s">
        <v>1570</v>
      </c>
      <c r="I63" s="468">
        <v>44768</v>
      </c>
      <c r="J63" s="506" t="s">
        <v>1373</v>
      </c>
      <c r="K63" s="468" t="s">
        <v>120</v>
      </c>
      <c r="L63" s="468" t="s">
        <v>233</v>
      </c>
      <c r="M63" s="480" t="s">
        <v>287</v>
      </c>
      <c r="N63" s="481">
        <v>0</v>
      </c>
      <c r="O63" s="481">
        <v>0</v>
      </c>
      <c r="P63" s="481">
        <v>0</v>
      </c>
      <c r="Q63" s="481">
        <v>0</v>
      </c>
      <c r="R63" s="481">
        <v>0</v>
      </c>
      <c r="S63" s="26"/>
      <c r="T63" s="519"/>
      <c r="U63" s="519"/>
      <c r="V63" s="510"/>
      <c r="W63" s="510"/>
      <c r="X63" s="511"/>
    </row>
    <row r="64" spans="1:24" customFormat="1" ht="14.5" x14ac:dyDescent="0.35">
      <c r="A64" s="22">
        <v>8140059</v>
      </c>
      <c r="B64" s="463" t="s">
        <v>1442</v>
      </c>
      <c r="C64" s="467" t="s">
        <v>1571</v>
      </c>
      <c r="D64" s="464" t="s">
        <v>232</v>
      </c>
      <c r="E64" s="468">
        <v>43556</v>
      </c>
      <c r="F64" s="468">
        <v>44647</v>
      </c>
      <c r="G64" s="463" t="s">
        <v>119</v>
      </c>
      <c r="H64" s="463" t="s">
        <v>1570</v>
      </c>
      <c r="I64" s="468">
        <v>43563</v>
      </c>
      <c r="J64" s="475" t="s">
        <v>1374</v>
      </c>
      <c r="K64" s="468" t="s">
        <v>120</v>
      </c>
      <c r="L64" s="468" t="s">
        <v>233</v>
      </c>
      <c r="M64" s="480" t="s">
        <v>287</v>
      </c>
      <c r="N64" s="481">
        <v>0</v>
      </c>
      <c r="O64" s="481">
        <v>0</v>
      </c>
      <c r="P64" s="481">
        <v>0</v>
      </c>
      <c r="Q64" s="481">
        <v>0</v>
      </c>
      <c r="R64" s="481">
        <v>0</v>
      </c>
      <c r="S64" s="472" t="s">
        <v>1089</v>
      </c>
      <c r="T64" s="519"/>
      <c r="U64" s="519"/>
      <c r="V64" s="510"/>
      <c r="W64" s="510"/>
      <c r="X64" s="511"/>
    </row>
    <row r="65" spans="1:24" customFormat="1" ht="14.5" x14ac:dyDescent="0.35">
      <c r="A65" s="550">
        <v>8140074</v>
      </c>
      <c r="B65" s="463" t="s">
        <v>1442</v>
      </c>
      <c r="C65" s="467" t="s">
        <v>1572</v>
      </c>
      <c r="D65" s="464" t="s">
        <v>234</v>
      </c>
      <c r="E65" s="468">
        <v>43467</v>
      </c>
      <c r="F65" s="468">
        <v>44198</v>
      </c>
      <c r="G65" s="466" t="s">
        <v>235</v>
      </c>
      <c r="H65" s="463" t="s">
        <v>1570</v>
      </c>
      <c r="I65" s="468">
        <v>43587</v>
      </c>
      <c r="J65" s="475" t="s">
        <v>1315</v>
      </c>
      <c r="K65" s="468">
        <v>45699</v>
      </c>
      <c r="L65" s="468" t="s">
        <v>233</v>
      </c>
      <c r="M65" s="480" t="s">
        <v>287</v>
      </c>
      <c r="N65" s="481">
        <v>0</v>
      </c>
      <c r="O65" s="481">
        <v>0</v>
      </c>
      <c r="P65" s="481">
        <v>0</v>
      </c>
      <c r="Q65" s="481">
        <v>0</v>
      </c>
      <c r="R65" s="481">
        <v>0</v>
      </c>
      <c r="S65" s="472" t="s">
        <v>1090</v>
      </c>
      <c r="T65" s="519"/>
      <c r="U65" s="519"/>
      <c r="V65" s="510"/>
      <c r="W65" s="510"/>
      <c r="X65" s="511"/>
    </row>
    <row r="66" spans="1:24" customFormat="1" ht="14.5" x14ac:dyDescent="0.35">
      <c r="A66" s="25">
        <v>6554</v>
      </c>
      <c r="B66" s="463" t="s">
        <v>1442</v>
      </c>
      <c r="C66" s="467" t="s">
        <v>1443</v>
      </c>
      <c r="D66" s="464" t="s">
        <v>122</v>
      </c>
      <c r="E66" s="468">
        <v>42309</v>
      </c>
      <c r="F66" s="468">
        <v>45961</v>
      </c>
      <c r="G66" s="463" t="s">
        <v>119</v>
      </c>
      <c r="H66" s="463" t="s">
        <v>1444</v>
      </c>
      <c r="I66" s="468">
        <v>44088</v>
      </c>
      <c r="J66" s="475" t="s">
        <v>1235</v>
      </c>
      <c r="K66" s="468">
        <v>45961</v>
      </c>
      <c r="L66" s="25" t="s">
        <v>1093</v>
      </c>
      <c r="M66" s="480" t="s">
        <v>233</v>
      </c>
      <c r="N66" s="481">
        <v>0</v>
      </c>
      <c r="O66" s="481">
        <v>0</v>
      </c>
      <c r="P66" s="481">
        <v>0</v>
      </c>
      <c r="Q66" s="481">
        <v>0</v>
      </c>
      <c r="R66" s="481">
        <v>0</v>
      </c>
      <c r="S66" s="26"/>
      <c r="T66" s="519"/>
      <c r="U66" s="519"/>
      <c r="V66" s="510"/>
      <c r="W66" s="510"/>
      <c r="X66" s="511"/>
    </row>
    <row r="67" spans="1:24" customFormat="1" ht="14.5" x14ac:dyDescent="0.35">
      <c r="A67" s="25">
        <v>6568</v>
      </c>
      <c r="B67" s="463" t="s">
        <v>1442</v>
      </c>
      <c r="C67" s="467" t="s">
        <v>1573</v>
      </c>
      <c r="D67" s="464" t="s">
        <v>127</v>
      </c>
      <c r="E67" s="468">
        <v>41609</v>
      </c>
      <c r="F67" s="468">
        <v>45626</v>
      </c>
      <c r="G67" s="463" t="s">
        <v>119</v>
      </c>
      <c r="H67" s="463" t="s">
        <v>1574</v>
      </c>
      <c r="I67" s="468">
        <v>44084</v>
      </c>
      <c r="J67" s="475" t="s">
        <v>1375</v>
      </c>
      <c r="K67" s="468">
        <v>45625</v>
      </c>
      <c r="L67" s="25" t="s">
        <v>1093</v>
      </c>
      <c r="M67" s="480" t="s">
        <v>287</v>
      </c>
      <c r="N67" s="481">
        <v>0</v>
      </c>
      <c r="O67" s="481">
        <v>0</v>
      </c>
      <c r="P67" s="481">
        <v>0</v>
      </c>
      <c r="Q67" s="481">
        <v>0</v>
      </c>
      <c r="R67" s="481">
        <v>0</v>
      </c>
      <c r="S67" s="26"/>
      <c r="T67" s="22"/>
      <c r="U67" s="22"/>
      <c r="V67" s="510"/>
      <c r="W67" s="510"/>
      <c r="X67" s="26"/>
    </row>
    <row r="68" spans="1:24" customFormat="1" ht="14.5" x14ac:dyDescent="0.35">
      <c r="A68" s="25">
        <v>6570</v>
      </c>
      <c r="B68" s="463" t="s">
        <v>1442</v>
      </c>
      <c r="C68" s="467" t="s">
        <v>1575</v>
      </c>
      <c r="D68" s="464" t="s">
        <v>236</v>
      </c>
      <c r="E68" s="468">
        <v>42719</v>
      </c>
      <c r="F68" s="468">
        <v>44651</v>
      </c>
      <c r="G68" s="463" t="s">
        <v>119</v>
      </c>
      <c r="H68" s="463" t="s">
        <v>1576</v>
      </c>
      <c r="I68" s="468">
        <v>44088</v>
      </c>
      <c r="J68" s="475" t="s">
        <v>1376</v>
      </c>
      <c r="K68" s="468">
        <v>44673</v>
      </c>
      <c r="L68" s="468" t="s">
        <v>233</v>
      </c>
      <c r="M68" s="480" t="s">
        <v>287</v>
      </c>
      <c r="N68" s="481">
        <v>0</v>
      </c>
      <c r="O68" s="481">
        <v>0</v>
      </c>
      <c r="P68" s="481">
        <v>0</v>
      </c>
      <c r="Q68" s="481">
        <v>0</v>
      </c>
      <c r="R68" s="481">
        <v>0</v>
      </c>
      <c r="S68" s="472" t="s">
        <v>1091</v>
      </c>
      <c r="T68" s="22"/>
      <c r="U68" s="22"/>
      <c r="V68" s="510"/>
      <c r="W68" s="510"/>
      <c r="X68" s="26"/>
    </row>
    <row r="69" spans="1:24" customFormat="1" ht="14.5" x14ac:dyDescent="0.35">
      <c r="A69" s="25">
        <v>6574</v>
      </c>
      <c r="B69" s="463" t="s">
        <v>1442</v>
      </c>
      <c r="C69" s="467" t="s">
        <v>1577</v>
      </c>
      <c r="D69" s="464" t="s">
        <v>129</v>
      </c>
      <c r="E69" s="468">
        <v>42785</v>
      </c>
      <c r="F69" s="468">
        <v>45672</v>
      </c>
      <c r="G69" s="463" t="s">
        <v>119</v>
      </c>
      <c r="H69" s="463" t="s">
        <v>1578</v>
      </c>
      <c r="I69" s="468">
        <v>44088</v>
      </c>
      <c r="J69" s="475" t="s">
        <v>1377</v>
      </c>
      <c r="K69" s="468">
        <v>45672</v>
      </c>
      <c r="L69" s="25" t="s">
        <v>1093</v>
      </c>
      <c r="M69" s="480" t="s">
        <v>287</v>
      </c>
      <c r="N69" s="481">
        <v>0</v>
      </c>
      <c r="O69" s="481">
        <v>0</v>
      </c>
      <c r="P69" s="481">
        <v>0</v>
      </c>
      <c r="Q69" s="481">
        <v>0</v>
      </c>
      <c r="R69" s="481">
        <v>0</v>
      </c>
      <c r="S69" s="26"/>
      <c r="T69" s="22"/>
      <c r="U69" s="22"/>
      <c r="V69" s="510"/>
      <c r="W69" s="510"/>
      <c r="X69" s="26"/>
    </row>
    <row r="70" spans="1:24" customFormat="1" ht="14.5" x14ac:dyDescent="0.35">
      <c r="A70" s="25">
        <v>6577</v>
      </c>
      <c r="B70" s="463" t="s">
        <v>1442</v>
      </c>
      <c r="C70" s="467" t="s">
        <v>1579</v>
      </c>
      <c r="D70" s="464" t="s">
        <v>237</v>
      </c>
      <c r="E70" s="468">
        <v>41699</v>
      </c>
      <c r="F70" s="468">
        <v>43980</v>
      </c>
      <c r="G70" s="463" t="s">
        <v>119</v>
      </c>
      <c r="H70" s="463" t="s">
        <v>1580</v>
      </c>
      <c r="I70" s="468">
        <v>43509</v>
      </c>
      <c r="J70" s="475" t="s">
        <v>1378</v>
      </c>
      <c r="K70" s="468">
        <v>43980</v>
      </c>
      <c r="L70" s="468" t="s">
        <v>233</v>
      </c>
      <c r="M70" s="480" t="s">
        <v>287</v>
      </c>
      <c r="N70" s="481">
        <v>0</v>
      </c>
      <c r="O70" s="481">
        <v>0</v>
      </c>
      <c r="P70" s="481">
        <v>0</v>
      </c>
      <c r="Q70" s="481">
        <v>0</v>
      </c>
      <c r="R70" s="481">
        <v>0</v>
      </c>
      <c r="S70" s="472" t="s">
        <v>1091</v>
      </c>
      <c r="T70" s="22"/>
      <c r="U70" s="22"/>
      <c r="V70" s="22"/>
      <c r="W70" s="22"/>
      <c r="X70" s="22"/>
    </row>
    <row r="71" spans="1:24" customFormat="1" ht="14.5" x14ac:dyDescent="0.35">
      <c r="A71" s="25">
        <v>6586</v>
      </c>
      <c r="B71" s="463" t="s">
        <v>1442</v>
      </c>
      <c r="C71" s="467" t="s">
        <v>1581</v>
      </c>
      <c r="D71" s="464" t="s">
        <v>238</v>
      </c>
      <c r="E71" s="468">
        <v>42055</v>
      </c>
      <c r="F71" s="468">
        <v>44127</v>
      </c>
      <c r="G71" s="463" t="s">
        <v>119</v>
      </c>
      <c r="H71" s="463" t="s">
        <v>1582</v>
      </c>
      <c r="I71" s="468">
        <v>44088</v>
      </c>
      <c r="J71" s="475" t="s">
        <v>1379</v>
      </c>
      <c r="K71" s="468">
        <v>44104</v>
      </c>
      <c r="L71" s="468" t="s">
        <v>233</v>
      </c>
      <c r="M71" s="480" t="s">
        <v>287</v>
      </c>
      <c r="N71" s="481">
        <v>0</v>
      </c>
      <c r="O71" s="481">
        <v>0</v>
      </c>
      <c r="P71" s="481">
        <v>0</v>
      </c>
      <c r="Q71" s="481">
        <v>0</v>
      </c>
      <c r="R71" s="481">
        <v>0</v>
      </c>
      <c r="S71" s="472" t="s">
        <v>1091</v>
      </c>
      <c r="T71" s="22"/>
      <c r="U71" s="22"/>
      <c r="V71" s="510"/>
      <c r="W71" s="510"/>
      <c r="X71" s="26"/>
    </row>
    <row r="72" spans="1:24" customFormat="1" ht="14.5" x14ac:dyDescent="0.35">
      <c r="A72" s="25">
        <v>6599</v>
      </c>
      <c r="B72" s="463" t="s">
        <v>1442</v>
      </c>
      <c r="C72" s="467" t="s">
        <v>1583</v>
      </c>
      <c r="D72" s="464" t="s">
        <v>239</v>
      </c>
      <c r="E72" s="468">
        <v>39234</v>
      </c>
      <c r="F72" s="468">
        <v>44144</v>
      </c>
      <c r="G72" s="463" t="s">
        <v>119</v>
      </c>
      <c r="H72" s="463" t="s">
        <v>1584</v>
      </c>
      <c r="I72" s="468">
        <v>44088</v>
      </c>
      <c r="J72" s="475" t="s">
        <v>1380</v>
      </c>
      <c r="K72" s="468">
        <v>44105</v>
      </c>
      <c r="L72" s="468" t="s">
        <v>233</v>
      </c>
      <c r="M72" s="480" t="s">
        <v>287</v>
      </c>
      <c r="N72" s="481">
        <v>0</v>
      </c>
      <c r="O72" s="481">
        <v>0</v>
      </c>
      <c r="P72" s="481">
        <v>0</v>
      </c>
      <c r="Q72" s="481">
        <v>0</v>
      </c>
      <c r="R72" s="481">
        <v>0</v>
      </c>
      <c r="S72" s="472" t="s">
        <v>1091</v>
      </c>
      <c r="T72" s="22"/>
      <c r="U72" s="22"/>
      <c r="V72" s="510"/>
      <c r="W72" s="510"/>
      <c r="X72" s="26"/>
    </row>
    <row r="73" spans="1:24" customFormat="1" ht="14.5" x14ac:dyDescent="0.35">
      <c r="A73" s="25">
        <v>6610</v>
      </c>
      <c r="B73" s="463" t="s">
        <v>1442</v>
      </c>
      <c r="C73" s="467" t="s">
        <v>1585</v>
      </c>
      <c r="D73" s="464" t="s">
        <v>240</v>
      </c>
      <c r="E73" s="468">
        <v>41864</v>
      </c>
      <c r="F73" s="468">
        <v>44880</v>
      </c>
      <c r="G73" s="463" t="s">
        <v>119</v>
      </c>
      <c r="H73" s="463" t="s">
        <v>1586</v>
      </c>
      <c r="I73" s="468">
        <v>44088</v>
      </c>
      <c r="J73" s="475" t="s">
        <v>1381</v>
      </c>
      <c r="K73" s="468">
        <v>44880</v>
      </c>
      <c r="L73" s="468" t="s">
        <v>233</v>
      </c>
      <c r="M73" s="480" t="s">
        <v>287</v>
      </c>
      <c r="N73" s="481">
        <v>0</v>
      </c>
      <c r="O73" s="481">
        <v>0</v>
      </c>
      <c r="P73" s="481">
        <v>0</v>
      </c>
      <c r="Q73" s="481">
        <v>0</v>
      </c>
      <c r="R73" s="481">
        <v>0</v>
      </c>
      <c r="S73" s="472" t="s">
        <v>1091</v>
      </c>
      <c r="T73" s="22"/>
      <c r="U73" s="22"/>
      <c r="V73" s="510"/>
      <c r="W73" s="510"/>
      <c r="X73" s="26"/>
    </row>
    <row r="74" spans="1:24" customFormat="1" ht="14.5" x14ac:dyDescent="0.35">
      <c r="A74" s="25">
        <v>6616</v>
      </c>
      <c r="B74" s="463" t="s">
        <v>1442</v>
      </c>
      <c r="C74" s="467" t="s">
        <v>1587</v>
      </c>
      <c r="D74" s="464" t="s">
        <v>241</v>
      </c>
      <c r="E74" s="468">
        <v>41699</v>
      </c>
      <c r="F74" s="468">
        <v>44804</v>
      </c>
      <c r="G74" s="463" t="s">
        <v>119</v>
      </c>
      <c r="H74" s="463" t="s">
        <v>1588</v>
      </c>
      <c r="I74" s="468">
        <v>44088</v>
      </c>
      <c r="J74" s="475" t="s">
        <v>1382</v>
      </c>
      <c r="K74" s="468">
        <v>44804</v>
      </c>
      <c r="L74" s="468" t="s">
        <v>233</v>
      </c>
      <c r="M74" s="480" t="s">
        <v>287</v>
      </c>
      <c r="N74" s="481">
        <v>0</v>
      </c>
      <c r="O74" s="481">
        <v>0</v>
      </c>
      <c r="P74" s="481">
        <v>0</v>
      </c>
      <c r="Q74" s="481">
        <v>0</v>
      </c>
      <c r="R74" s="481">
        <v>0</v>
      </c>
      <c r="S74" s="472" t="s">
        <v>1091</v>
      </c>
      <c r="T74" s="22"/>
      <c r="U74" s="22"/>
      <c r="V74" s="510"/>
      <c r="W74" s="510"/>
      <c r="X74" s="26"/>
    </row>
    <row r="75" spans="1:24" customFormat="1" ht="14.5" x14ac:dyDescent="0.35">
      <c r="A75" s="25">
        <v>6617</v>
      </c>
      <c r="B75" s="463" t="s">
        <v>1442</v>
      </c>
      <c r="C75" s="467" t="s">
        <v>1461</v>
      </c>
      <c r="D75" s="464" t="s">
        <v>135</v>
      </c>
      <c r="E75" s="468">
        <v>40057</v>
      </c>
      <c r="F75" s="468">
        <v>45898</v>
      </c>
      <c r="G75" s="463" t="s">
        <v>119</v>
      </c>
      <c r="H75" s="463" t="s">
        <v>1462</v>
      </c>
      <c r="I75" s="468">
        <v>44088</v>
      </c>
      <c r="J75" s="475" t="s">
        <v>1383</v>
      </c>
      <c r="K75" s="468">
        <v>45898</v>
      </c>
      <c r="L75" s="468" t="s">
        <v>1093</v>
      </c>
      <c r="M75" s="480" t="s">
        <v>233</v>
      </c>
      <c r="N75" s="481">
        <v>0</v>
      </c>
      <c r="O75" s="481">
        <v>0</v>
      </c>
      <c r="P75" s="481">
        <v>0</v>
      </c>
      <c r="Q75" s="481">
        <v>0</v>
      </c>
      <c r="R75" s="481">
        <v>0</v>
      </c>
      <c r="S75" s="470" t="s">
        <v>1176</v>
      </c>
      <c r="T75" s="22"/>
      <c r="U75" s="22"/>
      <c r="V75" s="510"/>
      <c r="W75" s="510"/>
      <c r="X75" s="26"/>
    </row>
    <row r="76" spans="1:24" customFormat="1" ht="14.5" x14ac:dyDescent="0.35">
      <c r="A76" s="25">
        <v>6619</v>
      </c>
      <c r="B76" s="463" t="s">
        <v>1442</v>
      </c>
      <c r="C76" s="467" t="s">
        <v>1589</v>
      </c>
      <c r="D76" s="464" t="s">
        <v>136</v>
      </c>
      <c r="E76" s="468">
        <v>42736</v>
      </c>
      <c r="F76" s="468">
        <v>45626</v>
      </c>
      <c r="G76" s="463" t="s">
        <v>119</v>
      </c>
      <c r="H76" s="463" t="s">
        <v>1590</v>
      </c>
      <c r="I76" s="468">
        <v>44088</v>
      </c>
      <c r="J76" s="475" t="s">
        <v>1372</v>
      </c>
      <c r="K76" s="468">
        <v>45625</v>
      </c>
      <c r="L76" s="25" t="s">
        <v>1093</v>
      </c>
      <c r="M76" s="480" t="s">
        <v>1436</v>
      </c>
      <c r="N76" s="481">
        <v>0</v>
      </c>
      <c r="O76" s="481">
        <v>0</v>
      </c>
      <c r="P76" s="481">
        <v>0</v>
      </c>
      <c r="Q76" s="481">
        <v>0</v>
      </c>
      <c r="R76" s="481">
        <v>0</v>
      </c>
      <c r="S76" s="26"/>
      <c r="T76" s="22"/>
      <c r="U76" s="22"/>
      <c r="V76" s="510"/>
      <c r="W76" s="510"/>
      <c r="X76" s="26"/>
    </row>
    <row r="77" spans="1:24" customFormat="1" ht="14.5" x14ac:dyDescent="0.35">
      <c r="A77" s="25">
        <v>6623</v>
      </c>
      <c r="B77" s="463" t="s">
        <v>1442</v>
      </c>
      <c r="C77" s="467" t="s">
        <v>1591</v>
      </c>
      <c r="D77" s="464" t="s">
        <v>138</v>
      </c>
      <c r="E77" s="468">
        <v>39539</v>
      </c>
      <c r="F77" s="468">
        <v>45213</v>
      </c>
      <c r="G77" s="463" t="s">
        <v>119</v>
      </c>
      <c r="H77" s="463" t="s">
        <v>1592</v>
      </c>
      <c r="I77" s="468">
        <v>44088</v>
      </c>
      <c r="J77" s="475" t="s">
        <v>1385</v>
      </c>
      <c r="K77" s="468">
        <v>45213</v>
      </c>
      <c r="L77" s="468" t="s">
        <v>233</v>
      </c>
      <c r="M77" s="480" t="s">
        <v>287</v>
      </c>
      <c r="N77" s="481">
        <v>0</v>
      </c>
      <c r="O77" s="481">
        <v>0</v>
      </c>
      <c r="P77" s="481">
        <v>0</v>
      </c>
      <c r="Q77" s="481">
        <v>0</v>
      </c>
      <c r="R77" s="481">
        <v>0</v>
      </c>
      <c r="S77" s="482" t="s">
        <v>1091</v>
      </c>
      <c r="T77" s="22"/>
      <c r="U77" s="22"/>
      <c r="V77" s="510"/>
      <c r="W77" s="510"/>
      <c r="X77" s="22"/>
    </row>
    <row r="78" spans="1:24" customFormat="1" ht="14.5" x14ac:dyDescent="0.35">
      <c r="A78" s="25">
        <v>6626</v>
      </c>
      <c r="B78" s="463" t="s">
        <v>1442</v>
      </c>
      <c r="C78" s="467" t="s">
        <v>1593</v>
      </c>
      <c r="D78" s="464" t="s">
        <v>139</v>
      </c>
      <c r="E78" s="468">
        <v>41782</v>
      </c>
      <c r="F78" s="468">
        <v>45443</v>
      </c>
      <c r="G78" s="463" t="s">
        <v>119</v>
      </c>
      <c r="H78" s="463" t="s">
        <v>1594</v>
      </c>
      <c r="I78" s="468">
        <v>44088</v>
      </c>
      <c r="J78" s="475" t="s">
        <v>1386</v>
      </c>
      <c r="K78" s="468">
        <v>45443</v>
      </c>
      <c r="L78" s="25" t="s">
        <v>233</v>
      </c>
      <c r="M78" s="480" t="s">
        <v>1261</v>
      </c>
      <c r="N78" s="481">
        <v>0</v>
      </c>
      <c r="O78" s="481">
        <v>0</v>
      </c>
      <c r="P78" s="481">
        <v>0</v>
      </c>
      <c r="Q78" s="481">
        <v>0</v>
      </c>
      <c r="R78" s="481">
        <v>0</v>
      </c>
      <c r="S78" s="470" t="s">
        <v>1176</v>
      </c>
      <c r="T78" s="22"/>
      <c r="U78" s="22"/>
      <c r="V78" s="510"/>
      <c r="W78" s="510"/>
      <c r="X78" s="22"/>
    </row>
    <row r="79" spans="1:24" customFormat="1" ht="14.5" x14ac:dyDescent="0.35">
      <c r="A79" s="25">
        <v>6628</v>
      </c>
      <c r="B79" s="463" t="s">
        <v>1442</v>
      </c>
      <c r="C79" s="467" t="s">
        <v>1597</v>
      </c>
      <c r="D79" s="464" t="s">
        <v>242</v>
      </c>
      <c r="E79" s="468">
        <v>42170</v>
      </c>
      <c r="F79" s="468">
        <v>44727</v>
      </c>
      <c r="G79" s="463" t="s">
        <v>119</v>
      </c>
      <c r="H79" s="463" t="s">
        <v>1598</v>
      </c>
      <c r="I79" s="468">
        <v>44088</v>
      </c>
      <c r="J79" s="475" t="s">
        <v>1387</v>
      </c>
      <c r="K79" s="468">
        <v>44726</v>
      </c>
      <c r="L79" s="468" t="s">
        <v>233</v>
      </c>
      <c r="M79" s="480" t="s">
        <v>287</v>
      </c>
      <c r="N79" s="481">
        <v>0</v>
      </c>
      <c r="O79" s="481">
        <v>0</v>
      </c>
      <c r="P79" s="481">
        <v>0</v>
      </c>
      <c r="Q79" s="481">
        <v>0</v>
      </c>
      <c r="R79" s="481">
        <v>0</v>
      </c>
      <c r="S79" s="472" t="s">
        <v>1091</v>
      </c>
      <c r="T79" s="22"/>
      <c r="U79" s="22"/>
      <c r="V79" s="510"/>
      <c r="W79" s="510"/>
      <c r="X79" s="22"/>
    </row>
    <row r="80" spans="1:24" customFormat="1" ht="14.5" x14ac:dyDescent="0.35">
      <c r="A80" s="25">
        <v>6632</v>
      </c>
      <c r="B80" s="463" t="s">
        <v>1442</v>
      </c>
      <c r="C80" s="467" t="s">
        <v>1599</v>
      </c>
      <c r="D80" s="464" t="s">
        <v>230</v>
      </c>
      <c r="E80" s="468">
        <v>42622</v>
      </c>
      <c r="F80" s="468">
        <v>45169</v>
      </c>
      <c r="G80" s="463" t="s">
        <v>119</v>
      </c>
      <c r="H80" s="463" t="s">
        <v>1600</v>
      </c>
      <c r="I80" s="468">
        <v>44088</v>
      </c>
      <c r="J80" s="475" t="s">
        <v>1367</v>
      </c>
      <c r="K80" s="468">
        <v>45169</v>
      </c>
      <c r="L80" s="468" t="s">
        <v>120</v>
      </c>
      <c r="M80" s="483" t="s">
        <v>957</v>
      </c>
      <c r="N80" s="481">
        <v>0</v>
      </c>
      <c r="O80" s="481">
        <v>0</v>
      </c>
      <c r="P80" s="481">
        <v>0</v>
      </c>
      <c r="Q80" s="481">
        <v>0</v>
      </c>
      <c r="R80" s="481">
        <v>0</v>
      </c>
      <c r="S80" s="482" t="s">
        <v>956</v>
      </c>
      <c r="T80" s="22"/>
      <c r="U80" s="22"/>
      <c r="V80" s="22"/>
      <c r="W80" s="22"/>
      <c r="X80" s="22"/>
    </row>
    <row r="81" spans="1:24" customFormat="1" ht="14.5" x14ac:dyDescent="0.35">
      <c r="A81" s="25">
        <v>6633</v>
      </c>
      <c r="B81" s="463" t="s">
        <v>1442</v>
      </c>
      <c r="C81" s="467" t="s">
        <v>1601</v>
      </c>
      <c r="D81" s="464" t="s">
        <v>243</v>
      </c>
      <c r="E81" s="468">
        <v>42217</v>
      </c>
      <c r="F81" s="468">
        <v>44773</v>
      </c>
      <c r="G81" s="463" t="s">
        <v>119</v>
      </c>
      <c r="H81" s="463" t="s">
        <v>1602</v>
      </c>
      <c r="I81" s="468">
        <v>44088</v>
      </c>
      <c r="J81" s="475" t="s">
        <v>1388</v>
      </c>
      <c r="K81" s="468">
        <v>44773</v>
      </c>
      <c r="L81" s="468" t="s">
        <v>233</v>
      </c>
      <c r="M81" s="480" t="s">
        <v>287</v>
      </c>
      <c r="N81" s="481">
        <v>0</v>
      </c>
      <c r="O81" s="481">
        <v>0</v>
      </c>
      <c r="P81" s="481">
        <v>0</v>
      </c>
      <c r="Q81" s="481">
        <v>0</v>
      </c>
      <c r="R81" s="481">
        <v>0</v>
      </c>
      <c r="S81" s="472" t="s">
        <v>1091</v>
      </c>
      <c r="T81" s="22"/>
      <c r="U81" s="22"/>
      <c r="V81" s="512"/>
      <c r="W81" s="512"/>
      <c r="X81" s="26"/>
    </row>
    <row r="82" spans="1:24" customFormat="1" ht="14.5" x14ac:dyDescent="0.35">
      <c r="A82" s="25">
        <v>6638</v>
      </c>
      <c r="B82" s="463" t="s">
        <v>1442</v>
      </c>
      <c r="C82" s="467" t="s">
        <v>1465</v>
      </c>
      <c r="D82" s="464" t="s">
        <v>141</v>
      </c>
      <c r="E82" s="468">
        <v>43029</v>
      </c>
      <c r="F82" s="468">
        <v>45950</v>
      </c>
      <c r="G82" s="463" t="s">
        <v>119</v>
      </c>
      <c r="H82" s="463" t="s">
        <v>1466</v>
      </c>
      <c r="I82" s="468">
        <v>44088</v>
      </c>
      <c r="J82" s="475" t="s">
        <v>1330</v>
      </c>
      <c r="K82" s="468">
        <v>45950</v>
      </c>
      <c r="L82" s="25" t="s">
        <v>1093</v>
      </c>
      <c r="M82" s="480" t="s">
        <v>233</v>
      </c>
      <c r="N82" s="481">
        <v>0</v>
      </c>
      <c r="O82" s="481">
        <v>0</v>
      </c>
      <c r="P82" s="481">
        <v>0</v>
      </c>
      <c r="Q82" s="481">
        <v>0</v>
      </c>
      <c r="R82" s="481">
        <v>0</v>
      </c>
      <c r="S82" s="26"/>
      <c r="T82" s="22"/>
      <c r="U82" s="22"/>
      <c r="V82" s="512"/>
      <c r="W82" s="512"/>
      <c r="X82" s="472"/>
    </row>
    <row r="83" spans="1:24" customFormat="1" ht="14.5" x14ac:dyDescent="0.35">
      <c r="A83" s="25">
        <v>6649</v>
      </c>
      <c r="B83" s="463" t="s">
        <v>1442</v>
      </c>
      <c r="C83" s="467" t="s">
        <v>1603</v>
      </c>
      <c r="D83" s="464" t="s">
        <v>244</v>
      </c>
      <c r="E83" s="468">
        <v>42948</v>
      </c>
      <c r="F83" s="468">
        <v>43889</v>
      </c>
      <c r="G83" s="463" t="s">
        <v>119</v>
      </c>
      <c r="H83" s="463" t="s">
        <v>1604</v>
      </c>
      <c r="I83" s="468">
        <v>43509</v>
      </c>
      <c r="J83" s="475" t="s">
        <v>1389</v>
      </c>
      <c r="K83" s="468">
        <v>43889</v>
      </c>
      <c r="L83" s="468" t="s">
        <v>233</v>
      </c>
      <c r="M83" s="480" t="s">
        <v>287</v>
      </c>
      <c r="N83" s="481">
        <v>0</v>
      </c>
      <c r="O83" s="481">
        <v>0</v>
      </c>
      <c r="P83" s="481">
        <v>0</v>
      </c>
      <c r="Q83" s="481">
        <v>0</v>
      </c>
      <c r="R83" s="481">
        <v>0</v>
      </c>
      <c r="S83" s="472" t="s">
        <v>1091</v>
      </c>
      <c r="T83" s="22"/>
      <c r="U83" s="22"/>
      <c r="V83" s="512"/>
      <c r="W83" s="512"/>
      <c r="X83" s="472"/>
    </row>
    <row r="84" spans="1:24" customFormat="1" ht="14.5" x14ac:dyDescent="0.35">
      <c r="A84" s="25">
        <v>6686</v>
      </c>
      <c r="B84" s="463" t="s">
        <v>1442</v>
      </c>
      <c r="C84" s="467" t="s">
        <v>1605</v>
      </c>
      <c r="D84" s="464" t="s">
        <v>143</v>
      </c>
      <c r="E84" s="468">
        <v>42795</v>
      </c>
      <c r="F84" s="468">
        <v>45382</v>
      </c>
      <c r="G84" s="463" t="s">
        <v>119</v>
      </c>
      <c r="H84" s="463" t="s">
        <v>1606</v>
      </c>
      <c r="I84" s="468">
        <v>44088</v>
      </c>
      <c r="J84" s="475" t="s">
        <v>1390</v>
      </c>
      <c r="K84" s="468">
        <v>45382</v>
      </c>
      <c r="L84" s="468" t="s">
        <v>233</v>
      </c>
      <c r="M84" s="483" t="s">
        <v>1262</v>
      </c>
      <c r="N84" s="481">
        <v>0</v>
      </c>
      <c r="O84" s="481">
        <v>0</v>
      </c>
      <c r="P84" s="481">
        <v>0</v>
      </c>
      <c r="Q84" s="481">
        <v>0</v>
      </c>
      <c r="R84" s="481">
        <v>0</v>
      </c>
      <c r="S84" s="470" t="s">
        <v>1176</v>
      </c>
      <c r="T84" s="22"/>
      <c r="U84" s="22"/>
      <c r="V84" s="512"/>
      <c r="W84" s="512"/>
      <c r="X84" s="26"/>
    </row>
    <row r="85" spans="1:24" customFormat="1" ht="14.5" x14ac:dyDescent="0.35">
      <c r="A85" s="25">
        <v>6688</v>
      </c>
      <c r="B85" s="463" t="s">
        <v>1442</v>
      </c>
      <c r="C85" s="467" t="s">
        <v>1469</v>
      </c>
      <c r="D85" s="464" t="s">
        <v>144</v>
      </c>
      <c r="E85" s="468">
        <v>42736</v>
      </c>
      <c r="F85" s="468">
        <v>46022</v>
      </c>
      <c r="G85" s="463" t="s">
        <v>119</v>
      </c>
      <c r="H85" s="463" t="s">
        <v>1470</v>
      </c>
      <c r="I85" s="468">
        <v>44088</v>
      </c>
      <c r="J85" s="475" t="s">
        <v>1332</v>
      </c>
      <c r="K85" s="468">
        <v>46022</v>
      </c>
      <c r="L85" s="25" t="s">
        <v>1093</v>
      </c>
      <c r="M85" s="480" t="s">
        <v>233</v>
      </c>
      <c r="N85" s="481">
        <v>0</v>
      </c>
      <c r="O85" s="481">
        <v>0</v>
      </c>
      <c r="P85" s="481">
        <v>0</v>
      </c>
      <c r="Q85" s="481">
        <v>0</v>
      </c>
      <c r="R85" s="481">
        <v>0</v>
      </c>
      <c r="S85" s="26"/>
      <c r="T85" s="22"/>
      <c r="U85" s="22"/>
      <c r="V85" s="512"/>
      <c r="W85" s="512"/>
      <c r="X85" s="472"/>
    </row>
    <row r="86" spans="1:24" customFormat="1" ht="14.5" x14ac:dyDescent="0.35">
      <c r="A86" s="25">
        <v>6692</v>
      </c>
      <c r="B86" s="463" t="s">
        <v>1442</v>
      </c>
      <c r="C86" s="467" t="s">
        <v>1471</v>
      </c>
      <c r="D86" s="464" t="s">
        <v>145</v>
      </c>
      <c r="E86" s="468">
        <v>43069</v>
      </c>
      <c r="F86" s="468">
        <v>45930</v>
      </c>
      <c r="G86" s="463" t="s">
        <v>119</v>
      </c>
      <c r="H86" s="463" t="s">
        <v>1472</v>
      </c>
      <c r="I86" s="468">
        <v>44088</v>
      </c>
      <c r="J86" s="475" t="s">
        <v>1333</v>
      </c>
      <c r="K86" s="468">
        <v>45930</v>
      </c>
      <c r="L86" s="25" t="s">
        <v>1093</v>
      </c>
      <c r="M86" s="480" t="s">
        <v>233</v>
      </c>
      <c r="N86" s="481">
        <v>0</v>
      </c>
      <c r="O86" s="481">
        <v>0</v>
      </c>
      <c r="P86" s="481">
        <v>0</v>
      </c>
      <c r="Q86" s="481">
        <v>0</v>
      </c>
      <c r="R86" s="481">
        <v>0</v>
      </c>
      <c r="S86" s="26"/>
      <c r="T86" s="22"/>
      <c r="U86" s="518"/>
      <c r="V86" s="512"/>
      <c r="W86" s="512"/>
      <c r="X86" s="26"/>
    </row>
    <row r="87" spans="1:24" customFormat="1" ht="14.5" x14ac:dyDescent="0.35">
      <c r="A87" s="25">
        <v>6694</v>
      </c>
      <c r="B87" s="463" t="s">
        <v>1442</v>
      </c>
      <c r="C87" s="467" t="s">
        <v>1607</v>
      </c>
      <c r="D87" s="464" t="s">
        <v>245</v>
      </c>
      <c r="E87" s="468">
        <v>42736</v>
      </c>
      <c r="F87" s="468">
        <v>44439</v>
      </c>
      <c r="G87" s="463" t="s">
        <v>119</v>
      </c>
      <c r="H87" s="463" t="s">
        <v>1608</v>
      </c>
      <c r="I87" s="468">
        <v>44088</v>
      </c>
      <c r="J87" s="475" t="s">
        <v>1391</v>
      </c>
      <c r="K87" s="468">
        <v>44459</v>
      </c>
      <c r="L87" s="468" t="s">
        <v>233</v>
      </c>
      <c r="M87" s="480" t="s">
        <v>287</v>
      </c>
      <c r="N87" s="481">
        <v>0</v>
      </c>
      <c r="O87" s="481">
        <v>0</v>
      </c>
      <c r="P87" s="481">
        <v>0</v>
      </c>
      <c r="Q87" s="481">
        <v>0</v>
      </c>
      <c r="R87" s="481">
        <v>0</v>
      </c>
      <c r="S87" s="472" t="s">
        <v>1091</v>
      </c>
      <c r="T87" s="22"/>
      <c r="U87" s="22"/>
      <c r="V87" s="512"/>
      <c r="W87" s="512"/>
      <c r="X87" s="472"/>
    </row>
    <row r="88" spans="1:24" customFormat="1" ht="14.5" x14ac:dyDescent="0.35">
      <c r="A88" s="25">
        <v>6696</v>
      </c>
      <c r="B88" s="463" t="s">
        <v>1442</v>
      </c>
      <c r="C88" s="467" t="s">
        <v>1609</v>
      </c>
      <c r="D88" s="464" t="s">
        <v>246</v>
      </c>
      <c r="E88" s="468">
        <v>42775</v>
      </c>
      <c r="F88" s="468">
        <v>44196</v>
      </c>
      <c r="G88" s="463" t="s">
        <v>119</v>
      </c>
      <c r="H88" s="463" t="s">
        <v>1610</v>
      </c>
      <c r="I88" s="468">
        <v>44130</v>
      </c>
      <c r="J88" s="475" t="s">
        <v>1392</v>
      </c>
      <c r="K88" s="468">
        <v>44196</v>
      </c>
      <c r="L88" s="468" t="s">
        <v>233</v>
      </c>
      <c r="M88" s="480" t="s">
        <v>287</v>
      </c>
      <c r="N88" s="481">
        <v>0</v>
      </c>
      <c r="O88" s="481">
        <v>0</v>
      </c>
      <c r="P88" s="481">
        <v>0</v>
      </c>
      <c r="Q88" s="481">
        <v>0</v>
      </c>
      <c r="R88" s="481">
        <v>0</v>
      </c>
      <c r="S88" s="472" t="s">
        <v>1091</v>
      </c>
      <c r="T88" s="22"/>
      <c r="U88" s="22"/>
      <c r="V88" s="512"/>
      <c r="W88" s="512"/>
      <c r="X88" s="472"/>
    </row>
    <row r="89" spans="1:24" customFormat="1" ht="14.5" x14ac:dyDescent="0.35">
      <c r="A89" s="25">
        <v>6715</v>
      </c>
      <c r="B89" s="463" t="s">
        <v>1442</v>
      </c>
      <c r="C89" s="467" t="s">
        <v>1483</v>
      </c>
      <c r="D89" s="464" t="s">
        <v>151</v>
      </c>
      <c r="E89" s="468">
        <v>41883</v>
      </c>
      <c r="F89" s="468">
        <v>45900</v>
      </c>
      <c r="G89" s="463" t="s">
        <v>119</v>
      </c>
      <c r="H89" s="463" t="s">
        <v>1484</v>
      </c>
      <c r="I89" s="468">
        <v>44088</v>
      </c>
      <c r="J89" s="475" t="s">
        <v>1339</v>
      </c>
      <c r="K89" s="468">
        <v>45899</v>
      </c>
      <c r="L89" s="25" t="s">
        <v>1093</v>
      </c>
      <c r="M89" s="480" t="s">
        <v>233</v>
      </c>
      <c r="N89" s="481">
        <v>0</v>
      </c>
      <c r="O89" s="481">
        <v>0</v>
      </c>
      <c r="P89" s="481">
        <v>0</v>
      </c>
      <c r="Q89" s="481">
        <v>0</v>
      </c>
      <c r="R89" s="481">
        <v>0</v>
      </c>
      <c r="S89" s="26"/>
      <c r="T89" s="22"/>
      <c r="U89" s="22"/>
      <c r="V89" s="512"/>
      <c r="W89" s="512"/>
      <c r="X89" s="472"/>
    </row>
    <row r="90" spans="1:24" customFormat="1" ht="14.5" x14ac:dyDescent="0.35">
      <c r="A90" s="25">
        <v>6719</v>
      </c>
      <c r="B90" s="463" t="s">
        <v>1442</v>
      </c>
      <c r="C90" s="467" t="s">
        <v>1611</v>
      </c>
      <c r="D90" s="464" t="s">
        <v>247</v>
      </c>
      <c r="E90" s="468">
        <v>41883</v>
      </c>
      <c r="F90" s="468">
        <v>44439</v>
      </c>
      <c r="G90" s="463" t="s">
        <v>119</v>
      </c>
      <c r="H90" s="463" t="s">
        <v>1612</v>
      </c>
      <c r="I90" s="468">
        <v>44088</v>
      </c>
      <c r="J90" s="475" t="s">
        <v>1393</v>
      </c>
      <c r="K90" s="468">
        <v>44436</v>
      </c>
      <c r="L90" s="468" t="s">
        <v>233</v>
      </c>
      <c r="M90" s="480" t="s">
        <v>287</v>
      </c>
      <c r="N90" s="481">
        <v>0</v>
      </c>
      <c r="O90" s="481">
        <v>0</v>
      </c>
      <c r="P90" s="481">
        <v>0</v>
      </c>
      <c r="Q90" s="481">
        <v>0</v>
      </c>
      <c r="R90" s="481">
        <v>0</v>
      </c>
      <c r="S90" s="472" t="s">
        <v>1091</v>
      </c>
      <c r="T90" s="22"/>
      <c r="U90" s="22"/>
      <c r="V90" s="512"/>
      <c r="W90" s="512"/>
      <c r="X90" s="472"/>
    </row>
    <row r="91" spans="1:24" customFormat="1" ht="14.5" x14ac:dyDescent="0.35">
      <c r="A91" s="25">
        <v>6761</v>
      </c>
      <c r="B91" s="463" t="s">
        <v>1442</v>
      </c>
      <c r="C91" s="467" t="s">
        <v>1613</v>
      </c>
      <c r="D91" s="464" t="s">
        <v>248</v>
      </c>
      <c r="E91" s="468">
        <v>42865</v>
      </c>
      <c r="F91" s="468">
        <v>44104</v>
      </c>
      <c r="G91" s="463" t="s">
        <v>119</v>
      </c>
      <c r="H91" s="463" t="s">
        <v>1614</v>
      </c>
      <c r="I91" s="468">
        <v>44088</v>
      </c>
      <c r="J91" s="475" t="s">
        <v>1394</v>
      </c>
      <c r="K91" s="468">
        <v>44104</v>
      </c>
      <c r="L91" s="468" t="s">
        <v>233</v>
      </c>
      <c r="M91" s="480" t="s">
        <v>287</v>
      </c>
      <c r="N91" s="481">
        <v>0</v>
      </c>
      <c r="O91" s="481">
        <v>0</v>
      </c>
      <c r="P91" s="481">
        <v>0</v>
      </c>
      <c r="Q91" s="481">
        <v>0</v>
      </c>
      <c r="R91" s="481">
        <v>0</v>
      </c>
      <c r="S91" s="472" t="s">
        <v>1091</v>
      </c>
      <c r="T91" s="22"/>
      <c r="U91" s="22"/>
      <c r="V91" s="512"/>
      <c r="W91" s="512"/>
      <c r="X91" s="472"/>
    </row>
    <row r="92" spans="1:24" customFormat="1" ht="14.5" x14ac:dyDescent="0.35">
      <c r="A92" s="25">
        <v>6762</v>
      </c>
      <c r="B92" s="463" t="s">
        <v>1442</v>
      </c>
      <c r="C92" s="467" t="s">
        <v>1615</v>
      </c>
      <c r="D92" s="464" t="s">
        <v>249</v>
      </c>
      <c r="E92" s="468">
        <v>41518</v>
      </c>
      <c r="F92" s="468">
        <v>45169</v>
      </c>
      <c r="G92" s="463" t="s">
        <v>119</v>
      </c>
      <c r="H92" s="463" t="s">
        <v>1616</v>
      </c>
      <c r="I92" s="468">
        <v>44088</v>
      </c>
      <c r="J92" s="475" t="s">
        <v>1395</v>
      </c>
      <c r="K92" s="468">
        <v>45169</v>
      </c>
      <c r="L92" s="468" t="s">
        <v>233</v>
      </c>
      <c r="M92" s="480" t="s">
        <v>287</v>
      </c>
      <c r="N92" s="481">
        <v>0</v>
      </c>
      <c r="O92" s="481">
        <v>0</v>
      </c>
      <c r="P92" s="481">
        <v>0</v>
      </c>
      <c r="Q92" s="481">
        <v>0</v>
      </c>
      <c r="R92" s="481">
        <v>0</v>
      </c>
      <c r="S92" s="482" t="s">
        <v>1091</v>
      </c>
      <c r="T92" s="22"/>
      <c r="U92" s="22"/>
      <c r="V92" s="512"/>
      <c r="W92" s="512"/>
      <c r="X92" s="26"/>
    </row>
    <row r="93" spans="1:24" customFormat="1" ht="14.5" x14ac:dyDescent="0.35">
      <c r="A93" s="25">
        <v>6763</v>
      </c>
      <c r="B93" s="463" t="s">
        <v>1442</v>
      </c>
      <c r="C93" s="467" t="s">
        <v>1493</v>
      </c>
      <c r="D93" s="464" t="s">
        <v>157</v>
      </c>
      <c r="E93" s="468">
        <v>41548</v>
      </c>
      <c r="F93" s="468">
        <v>45931</v>
      </c>
      <c r="G93" s="463" t="s">
        <v>119</v>
      </c>
      <c r="H93" s="463" t="s">
        <v>158</v>
      </c>
      <c r="I93" s="468">
        <v>44088</v>
      </c>
      <c r="J93" s="506" t="s">
        <v>1343</v>
      </c>
      <c r="K93" s="27">
        <v>45931</v>
      </c>
      <c r="L93" s="25" t="s">
        <v>1093</v>
      </c>
      <c r="M93" s="480" t="s">
        <v>233</v>
      </c>
      <c r="N93" s="481">
        <v>0</v>
      </c>
      <c r="O93" s="481">
        <v>0</v>
      </c>
      <c r="P93" s="481">
        <v>0</v>
      </c>
      <c r="Q93" s="481">
        <v>0</v>
      </c>
      <c r="R93" s="481">
        <v>0</v>
      </c>
      <c r="S93" s="26"/>
      <c r="T93" s="22"/>
      <c r="U93" s="22"/>
      <c r="V93" s="512"/>
      <c r="W93" s="512"/>
      <c r="X93" s="482"/>
    </row>
    <row r="94" spans="1:24" customFormat="1" ht="14.5" x14ac:dyDescent="0.35">
      <c r="A94" s="25">
        <v>6766</v>
      </c>
      <c r="B94" s="463" t="s">
        <v>1442</v>
      </c>
      <c r="C94" s="467" t="s">
        <v>1496</v>
      </c>
      <c r="D94" s="464" t="s">
        <v>160</v>
      </c>
      <c r="E94" s="468">
        <v>41913</v>
      </c>
      <c r="F94" s="468">
        <v>45930</v>
      </c>
      <c r="G94" s="463" t="s">
        <v>119</v>
      </c>
      <c r="H94" s="463" t="s">
        <v>1497</v>
      </c>
      <c r="I94" s="468">
        <v>44088</v>
      </c>
      <c r="J94" s="475" t="s">
        <v>1345</v>
      </c>
      <c r="K94" s="468">
        <v>45930</v>
      </c>
      <c r="L94" s="25" t="s">
        <v>1093</v>
      </c>
      <c r="M94" s="480" t="s">
        <v>287</v>
      </c>
      <c r="N94" s="481">
        <v>0</v>
      </c>
      <c r="O94" s="481">
        <v>0</v>
      </c>
      <c r="P94" s="481">
        <v>0</v>
      </c>
      <c r="Q94" s="481">
        <v>0</v>
      </c>
      <c r="R94" s="481">
        <v>0</v>
      </c>
      <c r="S94" s="26"/>
      <c r="T94" s="22"/>
      <c r="U94" s="22"/>
      <c r="V94" s="512"/>
      <c r="W94" s="512"/>
      <c r="X94" s="482"/>
    </row>
    <row r="95" spans="1:24" customFormat="1" ht="14.5" x14ac:dyDescent="0.35">
      <c r="A95" s="550">
        <v>6767</v>
      </c>
      <c r="B95" s="463" t="s">
        <v>1442</v>
      </c>
      <c r="C95" s="467" t="s">
        <v>1617</v>
      </c>
      <c r="D95" s="464" t="s">
        <v>161</v>
      </c>
      <c r="E95" s="468">
        <v>41928</v>
      </c>
      <c r="F95" s="468">
        <v>45581</v>
      </c>
      <c r="G95" s="463" t="s">
        <v>119</v>
      </c>
      <c r="H95" s="463" t="s">
        <v>1618</v>
      </c>
      <c r="I95" s="468">
        <v>44088</v>
      </c>
      <c r="J95" s="475" t="s">
        <v>1369</v>
      </c>
      <c r="K95" s="468">
        <v>45581</v>
      </c>
      <c r="L95" s="25" t="s">
        <v>233</v>
      </c>
      <c r="M95" s="480" t="s">
        <v>1437</v>
      </c>
      <c r="N95" s="481">
        <v>0</v>
      </c>
      <c r="O95" s="481">
        <v>0</v>
      </c>
      <c r="P95" s="481">
        <v>0</v>
      </c>
      <c r="Q95" s="481">
        <v>0</v>
      </c>
      <c r="R95" s="481">
        <v>0</v>
      </c>
      <c r="S95" s="26"/>
      <c r="T95" s="22"/>
      <c r="U95" s="22"/>
      <c r="V95" s="512"/>
      <c r="W95" s="512"/>
      <c r="X95" s="472"/>
    </row>
    <row r="96" spans="1:24" customFormat="1" ht="14.5" x14ac:dyDescent="0.35">
      <c r="A96" s="25">
        <v>8580</v>
      </c>
      <c r="B96" s="463" t="s">
        <v>1442</v>
      </c>
      <c r="C96" s="467" t="s">
        <v>1619</v>
      </c>
      <c r="D96" s="464" t="s">
        <v>163</v>
      </c>
      <c r="E96" s="468">
        <v>42046</v>
      </c>
      <c r="F96" s="468">
        <v>45363</v>
      </c>
      <c r="G96" s="463" t="s">
        <v>119</v>
      </c>
      <c r="H96" s="463" t="s">
        <v>1620</v>
      </c>
      <c r="I96" s="468">
        <v>44088</v>
      </c>
      <c r="J96" s="475" t="s">
        <v>1396</v>
      </c>
      <c r="K96" s="468">
        <v>45363</v>
      </c>
      <c r="L96" s="25" t="s">
        <v>233</v>
      </c>
      <c r="M96" s="483" t="s">
        <v>1263</v>
      </c>
      <c r="N96" s="481">
        <v>0</v>
      </c>
      <c r="O96" s="481">
        <v>0</v>
      </c>
      <c r="P96" s="481">
        <v>0</v>
      </c>
      <c r="Q96" s="481">
        <v>0</v>
      </c>
      <c r="R96" s="481">
        <v>0</v>
      </c>
      <c r="S96" s="470" t="s">
        <v>1176</v>
      </c>
      <c r="T96" s="22"/>
      <c r="U96" s="22"/>
      <c r="V96" s="512"/>
      <c r="W96" s="512"/>
      <c r="X96" s="482"/>
    </row>
    <row r="97" spans="1:24" customFormat="1" ht="14.5" x14ac:dyDescent="0.35">
      <c r="A97" s="25">
        <v>8581</v>
      </c>
      <c r="B97" s="463" t="s">
        <v>1442</v>
      </c>
      <c r="C97" s="467" t="s">
        <v>1621</v>
      </c>
      <c r="D97" s="464" t="s">
        <v>250</v>
      </c>
      <c r="E97" s="468">
        <v>42401</v>
      </c>
      <c r="F97" s="468">
        <v>44926</v>
      </c>
      <c r="G97" s="463" t="s">
        <v>119</v>
      </c>
      <c r="H97" s="463" t="s">
        <v>1622</v>
      </c>
      <c r="I97" s="468">
        <v>44088</v>
      </c>
      <c r="J97" s="475" t="s">
        <v>1397</v>
      </c>
      <c r="K97" s="468">
        <v>44957</v>
      </c>
      <c r="L97" s="468" t="s">
        <v>233</v>
      </c>
      <c r="M97" s="480" t="s">
        <v>287</v>
      </c>
      <c r="N97" s="481">
        <v>0</v>
      </c>
      <c r="O97" s="481">
        <v>0</v>
      </c>
      <c r="P97" s="481">
        <v>0</v>
      </c>
      <c r="Q97" s="481">
        <v>0</v>
      </c>
      <c r="R97" s="481">
        <v>0</v>
      </c>
      <c r="S97" s="472" t="s">
        <v>1091</v>
      </c>
      <c r="T97" s="22"/>
      <c r="U97" s="22"/>
      <c r="V97" s="512"/>
      <c r="W97" s="512"/>
      <c r="X97" s="472"/>
    </row>
    <row r="98" spans="1:24" customFormat="1" ht="14.5" x14ac:dyDescent="0.35">
      <c r="A98" s="25">
        <v>8582</v>
      </c>
      <c r="B98" s="463" t="s">
        <v>1442</v>
      </c>
      <c r="C98" s="467" t="s">
        <v>1623</v>
      </c>
      <c r="D98" s="464" t="s">
        <v>164</v>
      </c>
      <c r="E98" s="468">
        <v>42389</v>
      </c>
      <c r="F98" s="468">
        <v>45310</v>
      </c>
      <c r="G98" s="463" t="s">
        <v>119</v>
      </c>
      <c r="H98" s="463" t="s">
        <v>1624</v>
      </c>
      <c r="I98" s="468">
        <v>44088</v>
      </c>
      <c r="J98" s="475" t="s">
        <v>1398</v>
      </c>
      <c r="K98" s="468">
        <v>45310</v>
      </c>
      <c r="L98" s="25" t="s">
        <v>233</v>
      </c>
      <c r="M98" s="483" t="s">
        <v>1264</v>
      </c>
      <c r="N98" s="481">
        <v>0</v>
      </c>
      <c r="O98" s="481">
        <v>0</v>
      </c>
      <c r="P98" s="481">
        <v>0</v>
      </c>
      <c r="Q98" s="481">
        <v>0</v>
      </c>
      <c r="R98" s="481">
        <v>0</v>
      </c>
      <c r="S98" s="470" t="s">
        <v>1176</v>
      </c>
      <c r="T98" s="22"/>
      <c r="U98" s="22"/>
      <c r="V98" s="512"/>
      <c r="W98" s="512"/>
      <c r="X98" s="472"/>
    </row>
    <row r="99" spans="1:24" customFormat="1" ht="14.5" x14ac:dyDescent="0.35">
      <c r="A99" s="25">
        <v>8583</v>
      </c>
      <c r="B99" s="463" t="s">
        <v>1442</v>
      </c>
      <c r="C99" s="467" t="s">
        <v>1500</v>
      </c>
      <c r="D99" s="464" t="s">
        <v>165</v>
      </c>
      <c r="E99" s="468">
        <v>42370</v>
      </c>
      <c r="F99" s="468">
        <v>46022</v>
      </c>
      <c r="G99" s="463" t="s">
        <v>119</v>
      </c>
      <c r="H99" s="463" t="s">
        <v>1501</v>
      </c>
      <c r="I99" s="468">
        <v>44088</v>
      </c>
      <c r="J99" s="475" t="s">
        <v>1347</v>
      </c>
      <c r="K99" s="468">
        <v>46022</v>
      </c>
      <c r="L99" s="25" t="s">
        <v>1093</v>
      </c>
      <c r="M99" s="480" t="s">
        <v>233</v>
      </c>
      <c r="N99" s="481">
        <v>0</v>
      </c>
      <c r="O99" s="481">
        <v>0</v>
      </c>
      <c r="P99" s="481">
        <v>0</v>
      </c>
      <c r="Q99" s="481">
        <v>0</v>
      </c>
      <c r="R99" s="481">
        <v>0</v>
      </c>
      <c r="S99" s="26"/>
      <c r="T99" s="22"/>
      <c r="U99" s="22"/>
      <c r="V99" s="512"/>
      <c r="W99" s="512"/>
      <c r="X99" s="482"/>
    </row>
    <row r="100" spans="1:24" customFormat="1" ht="14.5" x14ac:dyDescent="0.35">
      <c r="A100" s="25">
        <v>8584</v>
      </c>
      <c r="B100" s="463" t="s">
        <v>1442</v>
      </c>
      <c r="C100" s="467" t="s">
        <v>1625</v>
      </c>
      <c r="D100" s="464" t="s">
        <v>166</v>
      </c>
      <c r="E100" s="468">
        <v>42436</v>
      </c>
      <c r="F100" s="468">
        <v>45357</v>
      </c>
      <c r="G100" s="463" t="s">
        <v>119</v>
      </c>
      <c r="H100" s="463" t="s">
        <v>1626</v>
      </c>
      <c r="I100" s="468">
        <v>44088</v>
      </c>
      <c r="J100" s="475" t="s">
        <v>1399</v>
      </c>
      <c r="K100" s="468">
        <v>45357</v>
      </c>
      <c r="L100" s="25" t="s">
        <v>233</v>
      </c>
      <c r="M100" s="483" t="s">
        <v>1265</v>
      </c>
      <c r="N100" s="481">
        <v>0</v>
      </c>
      <c r="O100" s="481">
        <v>0</v>
      </c>
      <c r="P100" s="481">
        <v>0</v>
      </c>
      <c r="Q100" s="481">
        <v>0</v>
      </c>
      <c r="R100" s="481">
        <v>0</v>
      </c>
      <c r="S100" s="470" t="s">
        <v>1176</v>
      </c>
      <c r="T100" s="22"/>
      <c r="U100" s="22"/>
      <c r="V100" s="512"/>
      <c r="W100" s="512"/>
      <c r="X100" s="472"/>
    </row>
    <row r="101" spans="1:24" customFormat="1" ht="14.5" x14ac:dyDescent="0.35">
      <c r="A101" s="25">
        <v>8585</v>
      </c>
      <c r="B101" s="463" t="s">
        <v>1442</v>
      </c>
      <c r="C101" s="467" t="s">
        <v>1502</v>
      </c>
      <c r="D101" s="464" t="s">
        <v>167</v>
      </c>
      <c r="E101" s="468">
        <v>42415</v>
      </c>
      <c r="F101" s="468">
        <v>46067</v>
      </c>
      <c r="G101" s="463" t="s">
        <v>119</v>
      </c>
      <c r="H101" s="463" t="s">
        <v>1503</v>
      </c>
      <c r="I101" s="468">
        <v>44088</v>
      </c>
      <c r="J101" s="475" t="s">
        <v>1348</v>
      </c>
      <c r="K101" s="468">
        <v>46067</v>
      </c>
      <c r="L101" s="25" t="s">
        <v>1093</v>
      </c>
      <c r="M101" s="480" t="s">
        <v>233</v>
      </c>
      <c r="N101" s="481">
        <v>0</v>
      </c>
      <c r="O101" s="481">
        <v>0</v>
      </c>
      <c r="P101" s="481">
        <v>0</v>
      </c>
      <c r="Q101" s="481">
        <v>0</v>
      </c>
      <c r="R101" s="481">
        <v>0</v>
      </c>
      <c r="S101" s="26"/>
      <c r="T101" s="22"/>
      <c r="U101" s="22"/>
      <c r="V101" s="512"/>
      <c r="W101" s="512"/>
      <c r="X101" s="472"/>
    </row>
    <row r="102" spans="1:24" customFormat="1" ht="14.5" x14ac:dyDescent="0.35">
      <c r="A102" s="25">
        <v>8713</v>
      </c>
      <c r="B102" s="463" t="s">
        <v>1442</v>
      </c>
      <c r="C102" s="467" t="s">
        <v>1627</v>
      </c>
      <c r="D102" s="464" t="s">
        <v>251</v>
      </c>
      <c r="E102" s="468">
        <v>42607</v>
      </c>
      <c r="F102" s="468">
        <v>43701</v>
      </c>
      <c r="G102" s="463" t="s">
        <v>119</v>
      </c>
      <c r="H102" s="463" t="s">
        <v>1628</v>
      </c>
      <c r="I102" s="468">
        <v>43509</v>
      </c>
      <c r="J102" s="475" t="s">
        <v>1400</v>
      </c>
      <c r="K102" s="468">
        <v>43701</v>
      </c>
      <c r="L102" s="468" t="s">
        <v>233</v>
      </c>
      <c r="M102" s="480" t="s">
        <v>287</v>
      </c>
      <c r="N102" s="481">
        <v>0</v>
      </c>
      <c r="O102" s="481">
        <v>0</v>
      </c>
      <c r="P102" s="481">
        <v>0</v>
      </c>
      <c r="Q102" s="481">
        <v>0</v>
      </c>
      <c r="R102" s="481">
        <v>0</v>
      </c>
      <c r="S102" s="472" t="s">
        <v>1091</v>
      </c>
      <c r="T102" s="22"/>
      <c r="U102" s="22"/>
      <c r="V102" s="510"/>
      <c r="W102" s="510"/>
      <c r="X102" s="26"/>
    </row>
    <row r="103" spans="1:24" customFormat="1" ht="14.5" x14ac:dyDescent="0.35">
      <c r="A103" s="25">
        <v>8714</v>
      </c>
      <c r="B103" s="463" t="s">
        <v>1442</v>
      </c>
      <c r="C103" s="467" t="s">
        <v>1506</v>
      </c>
      <c r="D103" s="464" t="s">
        <v>169</v>
      </c>
      <c r="E103" s="468">
        <v>42461</v>
      </c>
      <c r="F103" s="468">
        <v>46112</v>
      </c>
      <c r="G103" s="463" t="s">
        <v>119</v>
      </c>
      <c r="H103" s="463" t="s">
        <v>1507</v>
      </c>
      <c r="I103" s="468">
        <v>44088</v>
      </c>
      <c r="J103" s="475" t="s">
        <v>1401</v>
      </c>
      <c r="K103" s="468">
        <v>46112</v>
      </c>
      <c r="L103" s="25" t="s">
        <v>1093</v>
      </c>
      <c r="M103" s="480" t="s">
        <v>233</v>
      </c>
      <c r="N103" s="481">
        <v>0</v>
      </c>
      <c r="O103" s="481">
        <v>0</v>
      </c>
      <c r="P103" s="481">
        <v>0</v>
      </c>
      <c r="Q103" s="481">
        <v>0</v>
      </c>
      <c r="R103" s="481">
        <v>0</v>
      </c>
      <c r="S103" s="470" t="s">
        <v>1257</v>
      </c>
      <c r="T103" s="22"/>
      <c r="U103" s="22"/>
      <c r="V103" s="512"/>
      <c r="W103" s="512"/>
      <c r="X103" s="472"/>
    </row>
    <row r="104" spans="1:24" customFormat="1" ht="14.5" x14ac:dyDescent="0.35">
      <c r="A104" s="25">
        <v>8749</v>
      </c>
      <c r="B104" s="463" t="s">
        <v>1442</v>
      </c>
      <c r="C104" s="467" t="s">
        <v>1629</v>
      </c>
      <c r="D104" s="464" t="s">
        <v>252</v>
      </c>
      <c r="E104" s="468">
        <v>42644</v>
      </c>
      <c r="F104" s="468">
        <v>44926</v>
      </c>
      <c r="G104" s="463" t="s">
        <v>119</v>
      </c>
      <c r="H104" s="463" t="s">
        <v>1630</v>
      </c>
      <c r="I104" s="468">
        <v>44088</v>
      </c>
      <c r="J104" s="475" t="s">
        <v>1402</v>
      </c>
      <c r="K104" s="468">
        <v>44104</v>
      </c>
      <c r="L104" s="468" t="s">
        <v>233</v>
      </c>
      <c r="M104" s="480" t="s">
        <v>287</v>
      </c>
      <c r="N104" s="481">
        <v>0</v>
      </c>
      <c r="O104" s="481">
        <v>0</v>
      </c>
      <c r="P104" s="481">
        <v>0</v>
      </c>
      <c r="Q104" s="481">
        <v>0</v>
      </c>
      <c r="R104" s="481">
        <v>0</v>
      </c>
      <c r="S104" s="472" t="s">
        <v>1091</v>
      </c>
      <c r="T104" s="22"/>
      <c r="U104" s="22"/>
      <c r="V104" s="512"/>
      <c r="W104" s="512"/>
      <c r="X104" s="472"/>
    </row>
    <row r="105" spans="1:24" customFormat="1" ht="14.5" x14ac:dyDescent="0.35">
      <c r="A105" s="25">
        <v>8750</v>
      </c>
      <c r="B105" s="463" t="s">
        <v>1442</v>
      </c>
      <c r="C105" s="467" t="s">
        <v>1631</v>
      </c>
      <c r="D105" s="464" t="s">
        <v>253</v>
      </c>
      <c r="E105" s="468">
        <v>42640</v>
      </c>
      <c r="F105" s="468">
        <v>44465</v>
      </c>
      <c r="G105" s="463" t="s">
        <v>119</v>
      </c>
      <c r="H105" s="463" t="s">
        <v>1632</v>
      </c>
      <c r="I105" s="468">
        <v>44088</v>
      </c>
      <c r="J105" s="475" t="s">
        <v>1403</v>
      </c>
      <c r="K105" s="468">
        <v>44463</v>
      </c>
      <c r="L105" s="468" t="s">
        <v>233</v>
      </c>
      <c r="M105" s="480" t="s">
        <v>287</v>
      </c>
      <c r="N105" s="481">
        <v>0</v>
      </c>
      <c r="O105" s="481">
        <v>0</v>
      </c>
      <c r="P105" s="481">
        <v>0</v>
      </c>
      <c r="Q105" s="481">
        <v>0</v>
      </c>
      <c r="R105" s="481">
        <v>0</v>
      </c>
      <c r="S105" s="472" t="s">
        <v>1091</v>
      </c>
      <c r="T105" s="22"/>
      <c r="U105" s="22"/>
      <c r="V105" s="512"/>
      <c r="W105" s="512"/>
      <c r="X105" s="482"/>
    </row>
    <row r="106" spans="1:24" customFormat="1" ht="14.5" x14ac:dyDescent="0.35">
      <c r="A106" s="25">
        <v>8751</v>
      </c>
      <c r="B106" s="463" t="s">
        <v>1442</v>
      </c>
      <c r="C106" s="467" t="s">
        <v>1633</v>
      </c>
      <c r="D106" s="464" t="s">
        <v>170</v>
      </c>
      <c r="E106" s="468">
        <v>42646</v>
      </c>
      <c r="F106" s="468">
        <v>45565</v>
      </c>
      <c r="G106" s="463" t="s">
        <v>119</v>
      </c>
      <c r="H106" s="463" t="s">
        <v>1634</v>
      </c>
      <c r="I106" s="468">
        <v>44088</v>
      </c>
      <c r="J106" s="475" t="s">
        <v>1370</v>
      </c>
      <c r="K106" s="468">
        <v>45565</v>
      </c>
      <c r="L106" s="25" t="s">
        <v>1093</v>
      </c>
      <c r="M106" s="480" t="s">
        <v>1438</v>
      </c>
      <c r="N106" s="481">
        <v>0</v>
      </c>
      <c r="O106" s="481">
        <v>0</v>
      </c>
      <c r="P106" s="481">
        <v>0</v>
      </c>
      <c r="Q106" s="481">
        <v>0</v>
      </c>
      <c r="R106" s="481">
        <v>0</v>
      </c>
      <c r="S106" s="470" t="s">
        <v>1176</v>
      </c>
      <c r="T106" s="22"/>
      <c r="U106" s="22"/>
      <c r="V106" s="512"/>
      <c r="W106" s="512"/>
      <c r="X106" s="26"/>
    </row>
    <row r="107" spans="1:24" customFormat="1" ht="14.5" x14ac:dyDescent="0.35">
      <c r="A107" s="25">
        <v>8860</v>
      </c>
      <c r="B107" s="463" t="s">
        <v>1442</v>
      </c>
      <c r="C107" s="467" t="s">
        <v>1635</v>
      </c>
      <c r="D107" s="464" t="s">
        <v>254</v>
      </c>
      <c r="E107" s="468">
        <v>42690</v>
      </c>
      <c r="F107" s="468">
        <v>44926</v>
      </c>
      <c r="G107" s="463" t="s">
        <v>119</v>
      </c>
      <c r="H107" s="463" t="s">
        <v>1636</v>
      </c>
      <c r="I107" s="468">
        <v>44088</v>
      </c>
      <c r="J107" s="475" t="s">
        <v>1404</v>
      </c>
      <c r="K107" s="468">
        <v>44911</v>
      </c>
      <c r="L107" s="468" t="s">
        <v>233</v>
      </c>
      <c r="M107" s="480" t="s">
        <v>287</v>
      </c>
      <c r="N107" s="481">
        <v>0</v>
      </c>
      <c r="O107" s="481">
        <v>0</v>
      </c>
      <c r="P107" s="481">
        <v>0</v>
      </c>
      <c r="Q107" s="481">
        <v>0</v>
      </c>
      <c r="R107" s="481">
        <v>0</v>
      </c>
      <c r="S107" s="472" t="s">
        <v>1091</v>
      </c>
      <c r="T107" s="22"/>
      <c r="U107" s="22"/>
      <c r="V107" s="512"/>
      <c r="W107" s="512"/>
      <c r="X107" s="482"/>
    </row>
    <row r="108" spans="1:24" customFormat="1" ht="14.5" x14ac:dyDescent="0.35">
      <c r="A108" s="25">
        <v>8968</v>
      </c>
      <c r="B108" s="463" t="s">
        <v>1442</v>
      </c>
      <c r="C108" s="467" t="s">
        <v>1637</v>
      </c>
      <c r="D108" s="464" t="s">
        <v>172</v>
      </c>
      <c r="E108" s="468">
        <v>42767</v>
      </c>
      <c r="F108" s="468">
        <v>45322</v>
      </c>
      <c r="G108" s="463" t="s">
        <v>119</v>
      </c>
      <c r="H108" s="463" t="s">
        <v>1638</v>
      </c>
      <c r="I108" s="468">
        <v>44088</v>
      </c>
      <c r="J108" s="475" t="s">
        <v>1405</v>
      </c>
      <c r="K108" s="468">
        <v>45322</v>
      </c>
      <c r="L108" s="468" t="s">
        <v>233</v>
      </c>
      <c r="M108" s="480" t="s">
        <v>287</v>
      </c>
      <c r="N108" s="481">
        <v>0</v>
      </c>
      <c r="O108" s="481">
        <v>0</v>
      </c>
      <c r="P108" s="481">
        <v>0</v>
      </c>
      <c r="Q108" s="481">
        <v>0</v>
      </c>
      <c r="R108" s="481">
        <v>0</v>
      </c>
      <c r="S108" s="470" t="s">
        <v>1177</v>
      </c>
      <c r="T108" s="22"/>
      <c r="U108" s="22"/>
      <c r="V108" s="512"/>
      <c r="W108" s="512"/>
      <c r="X108" s="472"/>
    </row>
    <row r="109" spans="1:24" customFormat="1" ht="14.5" x14ac:dyDescent="0.35">
      <c r="A109" s="25">
        <v>8969</v>
      </c>
      <c r="B109" s="463" t="s">
        <v>1442</v>
      </c>
      <c r="C109" s="467" t="s">
        <v>1510</v>
      </c>
      <c r="D109" s="464" t="s">
        <v>173</v>
      </c>
      <c r="E109" s="468">
        <v>42767</v>
      </c>
      <c r="F109" s="468">
        <v>46053</v>
      </c>
      <c r="G109" s="463" t="s">
        <v>119</v>
      </c>
      <c r="H109" s="463" t="s">
        <v>1511</v>
      </c>
      <c r="I109" s="468">
        <v>44088</v>
      </c>
      <c r="J109" s="475" t="s">
        <v>1351</v>
      </c>
      <c r="K109" s="468">
        <v>46053</v>
      </c>
      <c r="L109" s="25" t="s">
        <v>1093</v>
      </c>
      <c r="M109" s="480" t="s">
        <v>233</v>
      </c>
      <c r="N109" s="481">
        <v>0</v>
      </c>
      <c r="O109" s="481">
        <v>0</v>
      </c>
      <c r="P109" s="481">
        <v>0</v>
      </c>
      <c r="Q109" s="481">
        <v>0</v>
      </c>
      <c r="R109" s="481">
        <v>0</v>
      </c>
      <c r="S109" s="26"/>
      <c r="T109" s="22"/>
      <c r="U109" s="22"/>
      <c r="V109" s="512"/>
      <c r="W109" s="512"/>
      <c r="X109" s="482"/>
    </row>
    <row r="110" spans="1:24" customFormat="1" ht="14.5" x14ac:dyDescent="0.35">
      <c r="A110" s="25">
        <v>8974</v>
      </c>
      <c r="B110" s="463" t="s">
        <v>1442</v>
      </c>
      <c r="C110" s="467" t="s">
        <v>1639</v>
      </c>
      <c r="D110" s="464" t="s">
        <v>174</v>
      </c>
      <c r="E110" s="468">
        <v>42979</v>
      </c>
      <c r="F110" s="468">
        <v>45534</v>
      </c>
      <c r="G110" s="463" t="s">
        <v>119</v>
      </c>
      <c r="H110" s="463" t="s">
        <v>1640</v>
      </c>
      <c r="I110" s="468">
        <v>44088</v>
      </c>
      <c r="J110" s="475" t="s">
        <v>1406</v>
      </c>
      <c r="K110" s="468">
        <v>45534</v>
      </c>
      <c r="L110" s="25" t="s">
        <v>1093</v>
      </c>
      <c r="M110" s="480" t="s">
        <v>233</v>
      </c>
      <c r="N110" s="481">
        <v>0</v>
      </c>
      <c r="O110" s="481">
        <v>0</v>
      </c>
      <c r="P110" s="481">
        <v>0</v>
      </c>
      <c r="Q110" s="481">
        <v>0</v>
      </c>
      <c r="R110" s="481">
        <v>0</v>
      </c>
      <c r="S110" s="470" t="s">
        <v>1176</v>
      </c>
      <c r="T110" s="22"/>
      <c r="U110" s="22"/>
      <c r="V110" s="512"/>
      <c r="W110" s="512"/>
      <c r="X110" s="482"/>
    </row>
    <row r="111" spans="1:24" customFormat="1" ht="14.5" x14ac:dyDescent="0.35">
      <c r="A111" s="25">
        <v>8975</v>
      </c>
      <c r="B111" s="463" t="s">
        <v>1442</v>
      </c>
      <c r="C111" s="467" t="s">
        <v>1641</v>
      </c>
      <c r="D111" s="464" t="s">
        <v>255</v>
      </c>
      <c r="E111" s="468">
        <v>42826</v>
      </c>
      <c r="F111" s="468">
        <v>43539</v>
      </c>
      <c r="G111" s="463" t="s">
        <v>119</v>
      </c>
      <c r="H111" s="463" t="s">
        <v>1642</v>
      </c>
      <c r="I111" s="468">
        <v>43509</v>
      </c>
      <c r="J111" s="475" t="s">
        <v>1407</v>
      </c>
      <c r="K111" s="468">
        <v>43555</v>
      </c>
      <c r="L111" s="468" t="s">
        <v>233</v>
      </c>
      <c r="M111" s="480" t="s">
        <v>287</v>
      </c>
      <c r="N111" s="481">
        <v>0</v>
      </c>
      <c r="O111" s="481">
        <v>0</v>
      </c>
      <c r="P111" s="481">
        <v>0</v>
      </c>
      <c r="Q111" s="481">
        <v>0</v>
      </c>
      <c r="R111" s="481">
        <v>0</v>
      </c>
      <c r="S111" s="472" t="s">
        <v>1091</v>
      </c>
      <c r="T111" s="22"/>
      <c r="U111" s="22"/>
      <c r="V111" s="512"/>
      <c r="W111" s="512"/>
      <c r="X111" s="472"/>
    </row>
    <row r="112" spans="1:24" customFormat="1" ht="14.5" x14ac:dyDescent="0.35">
      <c r="A112" s="25">
        <v>8976</v>
      </c>
      <c r="B112" s="463" t="s">
        <v>1442</v>
      </c>
      <c r="C112" s="467" t="s">
        <v>1643</v>
      </c>
      <c r="D112" s="464" t="s">
        <v>175</v>
      </c>
      <c r="E112" s="468">
        <v>42814</v>
      </c>
      <c r="F112" s="468">
        <v>45838</v>
      </c>
      <c r="G112" s="463" t="s">
        <v>119</v>
      </c>
      <c r="H112" s="463" t="s">
        <v>1644</v>
      </c>
      <c r="I112" s="468">
        <v>44088</v>
      </c>
      <c r="J112" s="475" t="s">
        <v>176</v>
      </c>
      <c r="K112" s="468">
        <v>45838</v>
      </c>
      <c r="L112" s="25" t="s">
        <v>1093</v>
      </c>
      <c r="M112" s="480" t="s">
        <v>1749</v>
      </c>
      <c r="N112" s="481">
        <v>0</v>
      </c>
      <c r="O112" s="481">
        <v>0</v>
      </c>
      <c r="P112" s="481">
        <v>0</v>
      </c>
      <c r="Q112" s="481">
        <v>0</v>
      </c>
      <c r="R112" s="481">
        <v>0</v>
      </c>
      <c r="S112" s="470" t="s">
        <v>1257</v>
      </c>
      <c r="T112" s="22"/>
      <c r="U112" s="22"/>
      <c r="V112" s="512"/>
      <c r="W112" s="512"/>
      <c r="X112" s="472"/>
    </row>
    <row r="113" spans="1:24" customFormat="1" ht="14.5" x14ac:dyDescent="0.35">
      <c r="A113" s="25">
        <v>9053</v>
      </c>
      <c r="B113" s="463" t="s">
        <v>1442</v>
      </c>
      <c r="C113" s="467" t="s">
        <v>1645</v>
      </c>
      <c r="D113" s="464" t="s">
        <v>177</v>
      </c>
      <c r="E113" s="468">
        <v>42915</v>
      </c>
      <c r="F113" s="468">
        <v>45834</v>
      </c>
      <c r="G113" s="463" t="s">
        <v>119</v>
      </c>
      <c r="H113" s="463" t="s">
        <v>1646</v>
      </c>
      <c r="I113" s="468">
        <v>44088</v>
      </c>
      <c r="J113" s="475" t="s">
        <v>1352</v>
      </c>
      <c r="K113" s="468">
        <v>45834</v>
      </c>
      <c r="L113" s="25" t="s">
        <v>1093</v>
      </c>
      <c r="M113" s="480" t="s">
        <v>233</v>
      </c>
      <c r="N113" s="481">
        <v>0</v>
      </c>
      <c r="O113" s="481">
        <v>0</v>
      </c>
      <c r="P113" s="481">
        <v>0</v>
      </c>
      <c r="Q113" s="481">
        <v>0</v>
      </c>
      <c r="R113" s="481">
        <v>0</v>
      </c>
      <c r="S113" s="26"/>
      <c r="T113" s="22"/>
      <c r="U113" s="22"/>
      <c r="V113" s="512"/>
      <c r="W113" s="512"/>
      <c r="X113" s="472"/>
    </row>
    <row r="114" spans="1:24" customFormat="1" ht="14.5" x14ac:dyDescent="0.35">
      <c r="A114" s="25">
        <v>9057</v>
      </c>
      <c r="B114" s="463" t="s">
        <v>1442</v>
      </c>
      <c r="C114" s="467" t="s">
        <v>1647</v>
      </c>
      <c r="D114" s="464" t="s">
        <v>256</v>
      </c>
      <c r="E114" s="468">
        <v>42856</v>
      </c>
      <c r="F114" s="468">
        <v>43496</v>
      </c>
      <c r="G114" s="463" t="s">
        <v>119</v>
      </c>
      <c r="H114" s="463" t="s">
        <v>1648</v>
      </c>
      <c r="I114" s="468">
        <v>43509</v>
      </c>
      <c r="J114" s="475" t="s">
        <v>1408</v>
      </c>
      <c r="K114" s="468">
        <v>43496</v>
      </c>
      <c r="L114" s="468" t="s">
        <v>233</v>
      </c>
      <c r="M114" s="480" t="s">
        <v>287</v>
      </c>
      <c r="N114" s="481">
        <v>0</v>
      </c>
      <c r="O114" s="481">
        <v>0</v>
      </c>
      <c r="P114" s="481">
        <v>0</v>
      </c>
      <c r="Q114" s="481">
        <v>0</v>
      </c>
      <c r="R114" s="481">
        <v>0</v>
      </c>
      <c r="S114" s="472" t="s">
        <v>1091</v>
      </c>
      <c r="T114" s="22"/>
      <c r="U114" s="22"/>
      <c r="V114" s="512"/>
      <c r="W114" s="512"/>
      <c r="X114" s="482"/>
    </row>
    <row r="115" spans="1:24" customFormat="1" ht="14.5" x14ac:dyDescent="0.35">
      <c r="A115" s="25">
        <v>9072</v>
      </c>
      <c r="B115" s="463" t="s">
        <v>1442</v>
      </c>
      <c r="C115" s="467" t="s">
        <v>1649</v>
      </c>
      <c r="D115" s="464" t="s">
        <v>179</v>
      </c>
      <c r="E115" s="468">
        <v>42901</v>
      </c>
      <c r="F115" s="468">
        <v>45457</v>
      </c>
      <c r="G115" s="463" t="s">
        <v>119</v>
      </c>
      <c r="H115" s="463" t="s">
        <v>1650</v>
      </c>
      <c r="I115" s="468">
        <v>44088</v>
      </c>
      <c r="J115" s="475" t="s">
        <v>1409</v>
      </c>
      <c r="K115" s="468">
        <v>45457</v>
      </c>
      <c r="L115" s="25" t="s">
        <v>233</v>
      </c>
      <c r="M115" s="480" t="s">
        <v>1281</v>
      </c>
      <c r="N115" s="481">
        <v>0</v>
      </c>
      <c r="O115" s="481">
        <v>0</v>
      </c>
      <c r="P115" s="481">
        <v>0</v>
      </c>
      <c r="Q115" s="481">
        <v>0</v>
      </c>
      <c r="R115" s="481">
        <v>0</v>
      </c>
      <c r="S115" s="470" t="s">
        <v>1176</v>
      </c>
      <c r="T115" s="22"/>
      <c r="U115" s="22"/>
      <c r="V115" s="512"/>
      <c r="W115" s="512"/>
      <c r="X115" s="472"/>
    </row>
    <row r="116" spans="1:24" customFormat="1" ht="14.5" x14ac:dyDescent="0.35">
      <c r="A116" s="25">
        <v>9096</v>
      </c>
      <c r="B116" s="463" t="s">
        <v>1442</v>
      </c>
      <c r="C116" s="467" t="s">
        <v>1651</v>
      </c>
      <c r="D116" s="464" t="s">
        <v>257</v>
      </c>
      <c r="E116" s="468">
        <v>42917</v>
      </c>
      <c r="F116" s="468">
        <v>45076</v>
      </c>
      <c r="G116" s="463" t="s">
        <v>119</v>
      </c>
      <c r="H116" s="463" t="s">
        <v>1652</v>
      </c>
      <c r="I116" s="468">
        <v>44088</v>
      </c>
      <c r="J116" s="475" t="s">
        <v>1410</v>
      </c>
      <c r="K116" s="468">
        <v>45076</v>
      </c>
      <c r="L116" s="468" t="s">
        <v>233</v>
      </c>
      <c r="M116" s="480" t="s">
        <v>287</v>
      </c>
      <c r="N116" s="481">
        <v>0</v>
      </c>
      <c r="O116" s="481">
        <v>0</v>
      </c>
      <c r="P116" s="481">
        <v>0</v>
      </c>
      <c r="Q116" s="481">
        <v>0</v>
      </c>
      <c r="R116" s="481">
        <v>0</v>
      </c>
      <c r="S116" s="482" t="s">
        <v>1091</v>
      </c>
      <c r="T116" s="22"/>
      <c r="U116" s="518"/>
      <c r="V116" s="512"/>
      <c r="W116" s="512"/>
      <c r="X116" s="482"/>
    </row>
    <row r="117" spans="1:24" customFormat="1" ht="14.5" x14ac:dyDescent="0.35">
      <c r="A117" s="25">
        <v>9100</v>
      </c>
      <c r="B117" s="463" t="s">
        <v>1442</v>
      </c>
      <c r="C117" s="467" t="s">
        <v>1653</v>
      </c>
      <c r="D117" s="464" t="s">
        <v>258</v>
      </c>
      <c r="E117" s="468">
        <v>42948</v>
      </c>
      <c r="F117" s="468">
        <v>44967</v>
      </c>
      <c r="G117" s="463" t="s">
        <v>119</v>
      </c>
      <c r="H117" s="463" t="s">
        <v>1654</v>
      </c>
      <c r="I117" s="468">
        <v>44088</v>
      </c>
      <c r="J117" s="475" t="s">
        <v>1411</v>
      </c>
      <c r="K117" s="468">
        <v>44967</v>
      </c>
      <c r="L117" s="468" t="s">
        <v>233</v>
      </c>
      <c r="M117" s="480" t="s">
        <v>287</v>
      </c>
      <c r="N117" s="481">
        <v>0</v>
      </c>
      <c r="O117" s="481">
        <v>0</v>
      </c>
      <c r="P117" s="481">
        <v>0</v>
      </c>
      <c r="Q117" s="481">
        <v>0</v>
      </c>
      <c r="R117" s="481">
        <v>0</v>
      </c>
      <c r="S117" s="482" t="s">
        <v>1091</v>
      </c>
      <c r="T117" s="22"/>
      <c r="U117" s="22"/>
      <c r="V117" s="512"/>
      <c r="W117" s="512"/>
      <c r="X117" s="482"/>
    </row>
    <row r="118" spans="1:24" customFormat="1" ht="14.5" x14ac:dyDescent="0.35">
      <c r="A118" s="25">
        <v>9101</v>
      </c>
      <c r="B118" s="463" t="s">
        <v>1442</v>
      </c>
      <c r="C118" s="467" t="s">
        <v>1655</v>
      </c>
      <c r="D118" s="464" t="s">
        <v>180</v>
      </c>
      <c r="E118" s="468">
        <v>42917</v>
      </c>
      <c r="F118" s="468">
        <v>45473</v>
      </c>
      <c r="G118" s="463" t="s">
        <v>119</v>
      </c>
      <c r="H118" s="463" t="s">
        <v>1656</v>
      </c>
      <c r="I118" s="468">
        <v>44088</v>
      </c>
      <c r="J118" s="475" t="s">
        <v>1412</v>
      </c>
      <c r="K118" s="468">
        <v>45473</v>
      </c>
      <c r="L118" s="25" t="s">
        <v>233</v>
      </c>
      <c r="M118" s="480" t="s">
        <v>1266</v>
      </c>
      <c r="N118" s="481">
        <v>0</v>
      </c>
      <c r="O118" s="481">
        <v>0</v>
      </c>
      <c r="P118" s="481">
        <v>0</v>
      </c>
      <c r="Q118" s="481">
        <v>0</v>
      </c>
      <c r="R118" s="481">
        <v>0</v>
      </c>
      <c r="S118" s="470" t="s">
        <v>1176</v>
      </c>
      <c r="T118" s="22"/>
      <c r="U118" s="22"/>
      <c r="V118" s="512"/>
      <c r="W118" s="512"/>
      <c r="X118" s="472"/>
    </row>
    <row r="119" spans="1:24" customFormat="1" ht="14.5" x14ac:dyDescent="0.35">
      <c r="A119" s="25">
        <v>9102</v>
      </c>
      <c r="B119" s="463" t="s">
        <v>1442</v>
      </c>
      <c r="C119" s="467" t="s">
        <v>1514</v>
      </c>
      <c r="D119" s="464" t="s">
        <v>181</v>
      </c>
      <c r="E119" s="468">
        <v>42948</v>
      </c>
      <c r="F119" s="468">
        <v>45869</v>
      </c>
      <c r="G119" s="463" t="s">
        <v>119</v>
      </c>
      <c r="H119" s="463" t="s">
        <v>1515</v>
      </c>
      <c r="I119" s="468">
        <v>44088</v>
      </c>
      <c r="J119" s="475" t="s">
        <v>1141</v>
      </c>
      <c r="K119" s="468">
        <v>45869</v>
      </c>
      <c r="L119" s="25" t="s">
        <v>1093</v>
      </c>
      <c r="M119" s="480" t="s">
        <v>233</v>
      </c>
      <c r="N119" s="481">
        <v>0</v>
      </c>
      <c r="O119" s="481">
        <v>0</v>
      </c>
      <c r="P119" s="481">
        <v>0</v>
      </c>
      <c r="Q119" s="481">
        <v>0</v>
      </c>
      <c r="R119" s="481">
        <v>0</v>
      </c>
      <c r="S119" s="26"/>
      <c r="T119" s="22"/>
      <c r="U119" s="22"/>
      <c r="V119" s="512"/>
      <c r="W119" s="512"/>
      <c r="X119" s="482"/>
    </row>
    <row r="120" spans="1:24" customFormat="1" ht="14.5" x14ac:dyDescent="0.35">
      <c r="A120" s="25">
        <v>9104</v>
      </c>
      <c r="B120" s="463" t="s">
        <v>1442</v>
      </c>
      <c r="C120" s="467" t="s">
        <v>1657</v>
      </c>
      <c r="D120" s="464" t="s">
        <v>183</v>
      </c>
      <c r="E120" s="468">
        <v>42917</v>
      </c>
      <c r="F120" s="468">
        <v>45657</v>
      </c>
      <c r="G120" s="463" t="s">
        <v>119</v>
      </c>
      <c r="H120" s="463" t="s">
        <v>1658</v>
      </c>
      <c r="I120" s="468">
        <v>44088</v>
      </c>
      <c r="J120" s="475" t="s">
        <v>1413</v>
      </c>
      <c r="K120" s="468">
        <v>45657</v>
      </c>
      <c r="L120" s="25" t="s">
        <v>1093</v>
      </c>
      <c r="M120" s="480" t="s">
        <v>233</v>
      </c>
      <c r="N120" s="481">
        <v>0</v>
      </c>
      <c r="O120" s="481">
        <v>0</v>
      </c>
      <c r="P120" s="481">
        <v>0</v>
      </c>
      <c r="Q120" s="481">
        <v>0</v>
      </c>
      <c r="R120" s="481">
        <v>0</v>
      </c>
      <c r="S120" s="26"/>
      <c r="T120" s="22"/>
      <c r="U120" s="22"/>
      <c r="V120" s="512"/>
      <c r="W120" s="512"/>
      <c r="X120" s="26"/>
    </row>
    <row r="121" spans="1:24" customFormat="1" ht="14.5" x14ac:dyDescent="0.35">
      <c r="A121" s="25">
        <v>9120</v>
      </c>
      <c r="B121" s="463" t="s">
        <v>1442</v>
      </c>
      <c r="C121" s="467" t="s">
        <v>1518</v>
      </c>
      <c r="D121" s="464" t="s">
        <v>184</v>
      </c>
      <c r="E121" s="468">
        <v>43003</v>
      </c>
      <c r="F121" s="468">
        <v>45923</v>
      </c>
      <c r="G121" s="463" t="s">
        <v>119</v>
      </c>
      <c r="H121" s="463" t="s">
        <v>1519</v>
      </c>
      <c r="I121" s="468">
        <v>44088</v>
      </c>
      <c r="J121" s="475" t="s">
        <v>1355</v>
      </c>
      <c r="K121" s="468">
        <v>45923</v>
      </c>
      <c r="L121" s="25" t="s">
        <v>1093</v>
      </c>
      <c r="M121" s="480" t="s">
        <v>233</v>
      </c>
      <c r="N121" s="481">
        <v>0</v>
      </c>
      <c r="O121" s="481">
        <v>0</v>
      </c>
      <c r="P121" s="481">
        <v>0</v>
      </c>
      <c r="Q121" s="481">
        <v>0</v>
      </c>
      <c r="R121" s="481">
        <v>0</v>
      </c>
      <c r="S121" s="26"/>
      <c r="T121" s="22"/>
      <c r="U121" s="22"/>
      <c r="V121" s="512"/>
      <c r="W121" s="512"/>
      <c r="X121" s="472"/>
    </row>
    <row r="122" spans="1:24" customFormat="1" ht="14.5" x14ac:dyDescent="0.35">
      <c r="A122" s="25">
        <v>9177</v>
      </c>
      <c r="B122" s="463" t="s">
        <v>1442</v>
      </c>
      <c r="C122" s="467" t="s">
        <v>1659</v>
      </c>
      <c r="D122" s="464" t="s">
        <v>259</v>
      </c>
      <c r="E122" s="468">
        <v>42979</v>
      </c>
      <c r="F122" s="468">
        <v>44804</v>
      </c>
      <c r="G122" s="463" t="s">
        <v>119</v>
      </c>
      <c r="H122" s="463" t="s">
        <v>1660</v>
      </c>
      <c r="I122" s="468">
        <v>44088</v>
      </c>
      <c r="J122" s="475" t="s">
        <v>1414</v>
      </c>
      <c r="K122" s="468">
        <v>44804</v>
      </c>
      <c r="L122" s="468" t="s">
        <v>233</v>
      </c>
      <c r="M122" s="480" t="s">
        <v>287</v>
      </c>
      <c r="N122" s="481">
        <v>0</v>
      </c>
      <c r="O122" s="481">
        <v>0</v>
      </c>
      <c r="P122" s="481">
        <v>0</v>
      </c>
      <c r="Q122" s="481">
        <v>0</v>
      </c>
      <c r="R122" s="481">
        <v>0</v>
      </c>
      <c r="S122" s="472" t="s">
        <v>1091</v>
      </c>
      <c r="T122" s="22"/>
      <c r="U122" s="22"/>
      <c r="V122" s="512"/>
      <c r="W122" s="512"/>
      <c r="X122" s="482"/>
    </row>
    <row r="123" spans="1:24" customFormat="1" ht="14.5" x14ac:dyDescent="0.35">
      <c r="A123" s="25">
        <v>9208</v>
      </c>
      <c r="B123" s="463" t="s">
        <v>1442</v>
      </c>
      <c r="C123" s="467" t="s">
        <v>1661</v>
      </c>
      <c r="D123" s="464" t="s">
        <v>260</v>
      </c>
      <c r="E123" s="468">
        <v>43029</v>
      </c>
      <c r="F123" s="468">
        <v>44576</v>
      </c>
      <c r="G123" s="463" t="s">
        <v>119</v>
      </c>
      <c r="H123" s="463" t="s">
        <v>1662</v>
      </c>
      <c r="I123" s="468">
        <v>44088</v>
      </c>
      <c r="J123" s="475" t="s">
        <v>1415</v>
      </c>
      <c r="K123" s="468">
        <v>44576</v>
      </c>
      <c r="L123" s="468" t="s">
        <v>233</v>
      </c>
      <c r="M123" s="480" t="s">
        <v>287</v>
      </c>
      <c r="N123" s="481">
        <v>0</v>
      </c>
      <c r="O123" s="481">
        <v>0</v>
      </c>
      <c r="P123" s="481">
        <v>0</v>
      </c>
      <c r="Q123" s="481">
        <v>0</v>
      </c>
      <c r="R123" s="481">
        <v>0</v>
      </c>
      <c r="S123" s="472" t="s">
        <v>1091</v>
      </c>
      <c r="T123" s="22"/>
      <c r="U123" s="22"/>
      <c r="V123" s="512"/>
      <c r="W123" s="512"/>
      <c r="X123" s="482"/>
    </row>
    <row r="124" spans="1:24" customFormat="1" ht="14.5" x14ac:dyDescent="0.35">
      <c r="A124" s="25">
        <v>9209</v>
      </c>
      <c r="B124" s="463" t="s">
        <v>1442</v>
      </c>
      <c r="C124" s="467" t="s">
        <v>1663</v>
      </c>
      <c r="D124" s="464" t="s">
        <v>186</v>
      </c>
      <c r="E124" s="468">
        <v>43040</v>
      </c>
      <c r="F124" s="468">
        <v>45292</v>
      </c>
      <c r="G124" s="463" t="s">
        <v>119</v>
      </c>
      <c r="H124" s="463" t="s">
        <v>1664</v>
      </c>
      <c r="I124" s="468">
        <v>44088</v>
      </c>
      <c r="J124" s="475" t="s">
        <v>1416</v>
      </c>
      <c r="K124" s="468">
        <v>45292</v>
      </c>
      <c r="L124" s="468" t="s">
        <v>233</v>
      </c>
      <c r="M124" s="480" t="s">
        <v>287</v>
      </c>
      <c r="N124" s="481">
        <v>0</v>
      </c>
      <c r="O124" s="481">
        <v>0</v>
      </c>
      <c r="P124" s="481">
        <v>0</v>
      </c>
      <c r="Q124" s="481">
        <v>0</v>
      </c>
      <c r="R124" s="481">
        <v>0</v>
      </c>
      <c r="S124" s="470" t="s">
        <v>1177</v>
      </c>
      <c r="T124" s="22"/>
      <c r="U124" s="22"/>
      <c r="V124" s="512"/>
      <c r="W124" s="512"/>
      <c r="X124" s="482"/>
    </row>
    <row r="125" spans="1:24" customFormat="1" ht="14.5" x14ac:dyDescent="0.35">
      <c r="A125" s="25">
        <v>9264</v>
      </c>
      <c r="B125" s="463" t="s">
        <v>1442</v>
      </c>
      <c r="C125" s="467" t="s">
        <v>1665</v>
      </c>
      <c r="D125" s="464" t="s">
        <v>187</v>
      </c>
      <c r="E125" s="468">
        <v>43146</v>
      </c>
      <c r="F125" s="468">
        <v>45648</v>
      </c>
      <c r="G125" s="463" t="s">
        <v>119</v>
      </c>
      <c r="H125" s="463" t="s">
        <v>1666</v>
      </c>
      <c r="I125" s="468">
        <v>44088</v>
      </c>
      <c r="J125" s="475" t="s">
        <v>1417</v>
      </c>
      <c r="K125" s="468">
        <v>45648</v>
      </c>
      <c r="L125" s="25" t="s">
        <v>1093</v>
      </c>
      <c r="M125" s="480" t="s">
        <v>233</v>
      </c>
      <c r="N125" s="481">
        <v>0</v>
      </c>
      <c r="O125" s="481">
        <v>0</v>
      </c>
      <c r="P125" s="481">
        <v>0</v>
      </c>
      <c r="Q125" s="481">
        <v>0</v>
      </c>
      <c r="R125" s="481">
        <v>0</v>
      </c>
      <c r="S125" s="26"/>
      <c r="T125" s="22"/>
      <c r="U125" s="22"/>
      <c r="V125" s="512"/>
      <c r="W125" s="512"/>
      <c r="X125" s="482"/>
    </row>
    <row r="126" spans="1:24" customFormat="1" ht="14.5" x14ac:dyDescent="0.35">
      <c r="A126" s="25">
        <v>9301</v>
      </c>
      <c r="B126" s="463" t="s">
        <v>1442</v>
      </c>
      <c r="C126" s="467" t="s">
        <v>1667</v>
      </c>
      <c r="D126" s="464" t="s">
        <v>261</v>
      </c>
      <c r="E126" s="468">
        <v>43123</v>
      </c>
      <c r="F126" s="468">
        <v>44196</v>
      </c>
      <c r="G126" s="463" t="s">
        <v>119</v>
      </c>
      <c r="H126" s="463" t="s">
        <v>1668</v>
      </c>
      <c r="I126" s="468">
        <v>44088</v>
      </c>
      <c r="J126" s="475" t="s">
        <v>1418</v>
      </c>
      <c r="K126" s="468">
        <v>45961</v>
      </c>
      <c r="L126" s="25" t="s">
        <v>1093</v>
      </c>
      <c r="M126" s="480" t="s">
        <v>233</v>
      </c>
      <c r="N126" s="481">
        <v>0</v>
      </c>
      <c r="O126" s="481">
        <v>0</v>
      </c>
      <c r="P126" s="481">
        <v>0</v>
      </c>
      <c r="Q126" s="481">
        <v>0</v>
      </c>
      <c r="R126" s="481">
        <v>0</v>
      </c>
      <c r="S126" s="472" t="s">
        <v>1092</v>
      </c>
      <c r="T126" s="22"/>
      <c r="U126" s="22"/>
      <c r="V126" s="510"/>
      <c r="W126" s="510"/>
      <c r="X126" s="26"/>
    </row>
    <row r="127" spans="1:24" customFormat="1" ht="14.5" x14ac:dyDescent="0.35">
      <c r="A127" s="25">
        <v>9302</v>
      </c>
      <c r="B127" s="463" t="s">
        <v>1442</v>
      </c>
      <c r="C127" s="467" t="s">
        <v>1522</v>
      </c>
      <c r="D127" s="464" t="s">
        <v>188</v>
      </c>
      <c r="E127" s="468">
        <v>43081</v>
      </c>
      <c r="F127" s="468">
        <v>46002</v>
      </c>
      <c r="G127" s="463" t="s">
        <v>119</v>
      </c>
      <c r="H127" s="463" t="s">
        <v>1523</v>
      </c>
      <c r="I127" s="468">
        <v>44088</v>
      </c>
      <c r="J127" s="475" t="s">
        <v>1357</v>
      </c>
      <c r="K127" s="468">
        <v>46002</v>
      </c>
      <c r="L127" s="25" t="s">
        <v>1093</v>
      </c>
      <c r="M127" s="480" t="s">
        <v>233</v>
      </c>
      <c r="N127" s="481">
        <v>0</v>
      </c>
      <c r="O127" s="481">
        <v>0</v>
      </c>
      <c r="P127" s="481">
        <v>0</v>
      </c>
      <c r="Q127" s="481">
        <v>0</v>
      </c>
      <c r="R127" s="481">
        <v>0</v>
      </c>
      <c r="S127" s="26"/>
      <c r="T127" s="22"/>
      <c r="U127" s="518"/>
      <c r="V127" s="510"/>
      <c r="W127" s="510"/>
      <c r="X127" s="26"/>
    </row>
    <row r="128" spans="1:24" customFormat="1" ht="14.5" x14ac:dyDescent="0.35">
      <c r="A128" s="25">
        <v>9303</v>
      </c>
      <c r="B128" s="463" t="s">
        <v>1442</v>
      </c>
      <c r="C128" s="467" t="s">
        <v>1669</v>
      </c>
      <c r="D128" s="464" t="s">
        <v>189</v>
      </c>
      <c r="E128" s="468">
        <v>43153</v>
      </c>
      <c r="F128" s="468">
        <v>45660</v>
      </c>
      <c r="G128" s="463" t="s">
        <v>119</v>
      </c>
      <c r="H128" s="463" t="s">
        <v>1670</v>
      </c>
      <c r="I128" s="468">
        <v>44088</v>
      </c>
      <c r="J128" s="475" t="s">
        <v>1419</v>
      </c>
      <c r="K128" s="468">
        <v>45660</v>
      </c>
      <c r="L128" s="25" t="s">
        <v>1093</v>
      </c>
      <c r="M128" s="480" t="s">
        <v>233</v>
      </c>
      <c r="N128" s="481">
        <v>0</v>
      </c>
      <c r="O128" s="481">
        <v>0</v>
      </c>
      <c r="P128" s="481">
        <v>0</v>
      </c>
      <c r="Q128" s="481">
        <v>0</v>
      </c>
      <c r="R128" s="481">
        <v>0</v>
      </c>
      <c r="S128" s="26"/>
      <c r="T128" s="22"/>
      <c r="U128" s="22"/>
      <c r="V128" s="512"/>
      <c r="W128" s="512"/>
      <c r="X128" s="26"/>
    </row>
    <row r="129" spans="1:24" customFormat="1" ht="14.5" x14ac:dyDescent="0.35">
      <c r="A129" s="25">
        <v>9304</v>
      </c>
      <c r="B129" s="463" t="s">
        <v>1442</v>
      </c>
      <c r="C129" s="467" t="s">
        <v>1671</v>
      </c>
      <c r="D129" s="464" t="s">
        <v>190</v>
      </c>
      <c r="E129" s="468">
        <v>43059</v>
      </c>
      <c r="F129" s="468">
        <v>45652</v>
      </c>
      <c r="G129" s="463" t="s">
        <v>119</v>
      </c>
      <c r="H129" s="463" t="s">
        <v>1672</v>
      </c>
      <c r="I129" s="468">
        <v>44088</v>
      </c>
      <c r="J129" s="475" t="s">
        <v>1420</v>
      </c>
      <c r="K129" s="468">
        <v>45652</v>
      </c>
      <c r="L129" s="25" t="s">
        <v>1093</v>
      </c>
      <c r="M129" s="480" t="s">
        <v>233</v>
      </c>
      <c r="N129" s="481">
        <v>0</v>
      </c>
      <c r="O129" s="481">
        <v>0</v>
      </c>
      <c r="P129" s="481">
        <v>0</v>
      </c>
      <c r="Q129" s="481">
        <v>0</v>
      </c>
      <c r="R129" s="481">
        <v>0</v>
      </c>
      <c r="S129" s="26"/>
      <c r="T129" s="22"/>
      <c r="U129" s="22"/>
      <c r="V129" s="512"/>
      <c r="W129" s="512"/>
      <c r="X129" s="472"/>
    </row>
    <row r="130" spans="1:24" customFormat="1" ht="14.5" x14ac:dyDescent="0.35">
      <c r="A130" s="25">
        <v>9355</v>
      </c>
      <c r="B130" s="463" t="s">
        <v>1442</v>
      </c>
      <c r="C130" s="467" t="s">
        <v>1526</v>
      </c>
      <c r="D130" s="464" t="s">
        <v>192</v>
      </c>
      <c r="E130" s="468">
        <v>43115</v>
      </c>
      <c r="F130" s="468">
        <v>46036</v>
      </c>
      <c r="G130" s="463" t="s">
        <v>119</v>
      </c>
      <c r="H130" s="463" t="s">
        <v>1527</v>
      </c>
      <c r="I130" s="468">
        <v>44088</v>
      </c>
      <c r="J130" s="475" t="s">
        <v>1256</v>
      </c>
      <c r="K130" s="468">
        <v>46036</v>
      </c>
      <c r="L130" s="25" t="s">
        <v>1093</v>
      </c>
      <c r="M130" s="480" t="s">
        <v>233</v>
      </c>
      <c r="N130" s="481">
        <v>0</v>
      </c>
      <c r="O130" s="481">
        <v>0</v>
      </c>
      <c r="P130" s="481">
        <v>0</v>
      </c>
      <c r="Q130" s="481">
        <v>0</v>
      </c>
      <c r="R130" s="481">
        <v>0</v>
      </c>
      <c r="S130" s="26"/>
      <c r="T130" s="22"/>
      <c r="U130" s="22"/>
      <c r="V130" s="512"/>
      <c r="W130" s="512"/>
      <c r="X130" s="472"/>
    </row>
    <row r="131" spans="1:24" customFormat="1" ht="14.5" x14ac:dyDescent="0.35">
      <c r="A131" s="25">
        <v>6763</v>
      </c>
      <c r="B131" s="463" t="s">
        <v>1442</v>
      </c>
      <c r="C131" s="467" t="s">
        <v>1530</v>
      </c>
      <c r="D131" s="464" t="s">
        <v>194</v>
      </c>
      <c r="E131" s="468">
        <v>41548</v>
      </c>
      <c r="F131" s="468">
        <v>45931</v>
      </c>
      <c r="G131" s="463" t="s">
        <v>119</v>
      </c>
      <c r="H131" s="463" t="s">
        <v>195</v>
      </c>
      <c r="I131" s="468">
        <v>44088</v>
      </c>
      <c r="J131" s="475" t="s">
        <v>1343</v>
      </c>
      <c r="K131" s="468">
        <v>45931</v>
      </c>
      <c r="L131" s="25" t="s">
        <v>1093</v>
      </c>
      <c r="M131" s="480" t="s">
        <v>233</v>
      </c>
      <c r="N131" s="481">
        <v>0</v>
      </c>
      <c r="O131" s="481">
        <v>0</v>
      </c>
      <c r="P131" s="481">
        <v>0</v>
      </c>
      <c r="Q131" s="481">
        <v>0</v>
      </c>
      <c r="R131" s="481">
        <v>0</v>
      </c>
      <c r="S131" s="26"/>
      <c r="T131" s="22"/>
      <c r="U131" s="22"/>
      <c r="V131" s="512"/>
      <c r="W131" s="512"/>
      <c r="X131" s="482"/>
    </row>
    <row r="132" spans="1:24" customFormat="1" ht="14.5" x14ac:dyDescent="0.35">
      <c r="A132" s="25">
        <v>8140074</v>
      </c>
      <c r="B132" s="463" t="s">
        <v>1442</v>
      </c>
      <c r="C132" s="467" t="s">
        <v>1673</v>
      </c>
      <c r="D132" s="464" t="s">
        <v>197</v>
      </c>
      <c r="E132" s="468">
        <v>43374</v>
      </c>
      <c r="F132" s="468">
        <v>45210</v>
      </c>
      <c r="G132" s="463" t="s">
        <v>119</v>
      </c>
      <c r="H132" s="463" t="s">
        <v>1570</v>
      </c>
      <c r="I132" s="468">
        <v>43587</v>
      </c>
      <c r="J132" s="475" t="s">
        <v>1315</v>
      </c>
      <c r="K132" s="468">
        <v>45699</v>
      </c>
      <c r="L132" s="25" t="s">
        <v>1093</v>
      </c>
      <c r="M132" s="480" t="s">
        <v>287</v>
      </c>
      <c r="N132" s="481">
        <v>0</v>
      </c>
      <c r="O132" s="481">
        <v>0</v>
      </c>
      <c r="P132" s="481">
        <v>0</v>
      </c>
      <c r="Q132" s="481">
        <v>0</v>
      </c>
      <c r="R132" s="481">
        <v>0</v>
      </c>
      <c r="S132" s="482" t="s">
        <v>1282</v>
      </c>
      <c r="T132" s="22"/>
      <c r="U132" s="518"/>
      <c r="V132" s="512"/>
      <c r="W132" s="512"/>
      <c r="X132" s="26"/>
    </row>
    <row r="133" spans="1:24" customFormat="1" ht="14.5" x14ac:dyDescent="0.35">
      <c r="A133" s="25" t="s">
        <v>201</v>
      </c>
      <c r="B133" s="463" t="s">
        <v>1442</v>
      </c>
      <c r="C133" s="467" t="s">
        <v>1674</v>
      </c>
      <c r="D133" s="464" t="s">
        <v>199</v>
      </c>
      <c r="E133" s="468">
        <v>43554</v>
      </c>
      <c r="F133" s="468">
        <v>45745</v>
      </c>
      <c r="G133" s="463" t="s">
        <v>119</v>
      </c>
      <c r="H133" s="463" t="s">
        <v>200</v>
      </c>
      <c r="I133" s="468">
        <v>43647</v>
      </c>
      <c r="J133" s="475" t="s">
        <v>201</v>
      </c>
      <c r="K133" s="468">
        <v>45745</v>
      </c>
      <c r="L133" s="468" t="s">
        <v>233</v>
      </c>
      <c r="M133" s="480" t="s">
        <v>233</v>
      </c>
      <c r="N133" s="481">
        <v>0</v>
      </c>
      <c r="O133" s="481">
        <v>0</v>
      </c>
      <c r="P133" s="481">
        <v>0</v>
      </c>
      <c r="Q133" s="481">
        <v>0</v>
      </c>
      <c r="R133" s="481">
        <v>0</v>
      </c>
      <c r="S133" s="26"/>
      <c r="T133" s="22"/>
      <c r="U133" s="518"/>
      <c r="V133" s="512"/>
      <c r="W133" s="512"/>
      <c r="X133" s="472"/>
    </row>
    <row r="134" spans="1:24" x14ac:dyDescent="0.3">
      <c r="A134" s="25">
        <v>9458</v>
      </c>
      <c r="B134" s="463" t="s">
        <v>1442</v>
      </c>
      <c r="C134" s="467" t="s">
        <v>1675</v>
      </c>
      <c r="D134" s="464" t="s">
        <v>202</v>
      </c>
      <c r="E134" s="468">
        <v>43237</v>
      </c>
      <c r="F134" s="468">
        <v>45428</v>
      </c>
      <c r="G134" s="463" t="s">
        <v>119</v>
      </c>
      <c r="H134" s="463" t="s">
        <v>1676</v>
      </c>
      <c r="I134" s="468">
        <v>43647</v>
      </c>
      <c r="J134" s="475" t="s">
        <v>1421</v>
      </c>
      <c r="K134" s="468">
        <v>45428</v>
      </c>
      <c r="L134" s="25" t="s">
        <v>233</v>
      </c>
      <c r="M134" s="483" t="s">
        <v>1267</v>
      </c>
      <c r="N134" s="481">
        <v>0</v>
      </c>
      <c r="O134" s="481">
        <v>0</v>
      </c>
      <c r="P134" s="481">
        <v>0</v>
      </c>
      <c r="Q134" s="481">
        <v>0</v>
      </c>
      <c r="R134" s="481">
        <v>0</v>
      </c>
      <c r="S134" s="482"/>
      <c r="U134" s="518"/>
      <c r="V134" s="512"/>
      <c r="W134" s="512"/>
      <c r="X134" s="26"/>
    </row>
    <row r="135" spans="1:24" x14ac:dyDescent="0.3">
      <c r="A135" s="25">
        <v>9575</v>
      </c>
      <c r="B135" s="463" t="s">
        <v>1442</v>
      </c>
      <c r="C135" s="467" t="s">
        <v>1677</v>
      </c>
      <c r="D135" s="464" t="s">
        <v>203</v>
      </c>
      <c r="E135" s="468">
        <v>43466</v>
      </c>
      <c r="F135" s="468">
        <v>45551</v>
      </c>
      <c r="G135" s="463" t="s">
        <v>119</v>
      </c>
      <c r="H135" s="463" t="s">
        <v>1678</v>
      </c>
      <c r="I135" s="468">
        <v>43647</v>
      </c>
      <c r="J135" s="475" t="s">
        <v>1422</v>
      </c>
      <c r="K135" s="468">
        <v>45551</v>
      </c>
      <c r="L135" s="471" t="s">
        <v>233</v>
      </c>
      <c r="M135" s="480" t="s">
        <v>1283</v>
      </c>
      <c r="N135" s="481">
        <v>0</v>
      </c>
      <c r="O135" s="481">
        <v>0</v>
      </c>
      <c r="P135" s="481">
        <v>0</v>
      </c>
      <c r="Q135" s="481">
        <v>0</v>
      </c>
      <c r="R135" s="481">
        <v>0</v>
      </c>
      <c r="S135" s="470" t="s">
        <v>1176</v>
      </c>
      <c r="U135" s="518"/>
      <c r="V135" s="512"/>
      <c r="W135" s="512"/>
      <c r="X135" s="26"/>
    </row>
    <row r="136" spans="1:24" x14ac:dyDescent="0.3">
      <c r="A136" s="25">
        <v>9595</v>
      </c>
      <c r="B136" s="463" t="s">
        <v>1442</v>
      </c>
      <c r="C136" s="467" t="s">
        <v>1679</v>
      </c>
      <c r="D136" s="464" t="s">
        <v>262</v>
      </c>
      <c r="E136" s="468">
        <v>43363</v>
      </c>
      <c r="F136" s="468">
        <v>44465</v>
      </c>
      <c r="G136" s="463" t="s">
        <v>119</v>
      </c>
      <c r="H136" s="463" t="s">
        <v>1680</v>
      </c>
      <c r="I136" s="468">
        <v>44088</v>
      </c>
      <c r="J136" s="475" t="s">
        <v>1423</v>
      </c>
      <c r="K136" s="468">
        <v>44459</v>
      </c>
      <c r="L136" s="468" t="s">
        <v>233</v>
      </c>
      <c r="M136" s="480" t="s">
        <v>287</v>
      </c>
      <c r="N136" s="481">
        <v>0</v>
      </c>
      <c r="O136" s="481">
        <v>0</v>
      </c>
      <c r="P136" s="481">
        <v>0</v>
      </c>
      <c r="Q136" s="481">
        <v>0</v>
      </c>
      <c r="R136" s="481">
        <v>0</v>
      </c>
      <c r="S136" s="472" t="s">
        <v>1091</v>
      </c>
      <c r="V136" s="512"/>
      <c r="W136" s="512"/>
      <c r="X136" s="482"/>
    </row>
    <row r="137" spans="1:24" x14ac:dyDescent="0.3">
      <c r="A137" s="25">
        <v>9596</v>
      </c>
      <c r="B137" s="463" t="s">
        <v>1442</v>
      </c>
      <c r="C137" s="467" t="s">
        <v>1681</v>
      </c>
      <c r="D137" s="464" t="s">
        <v>204</v>
      </c>
      <c r="E137" s="468">
        <v>43466</v>
      </c>
      <c r="F137" s="468">
        <v>45604</v>
      </c>
      <c r="G137" s="463" t="s">
        <v>119</v>
      </c>
      <c r="H137" s="463" t="s">
        <v>1682</v>
      </c>
      <c r="I137" s="468">
        <v>43647</v>
      </c>
      <c r="J137" s="475" t="s">
        <v>1424</v>
      </c>
      <c r="K137" s="468">
        <v>45604</v>
      </c>
      <c r="L137" s="25" t="s">
        <v>1093</v>
      </c>
      <c r="M137" s="480" t="s">
        <v>233</v>
      </c>
      <c r="N137" s="481">
        <v>0</v>
      </c>
      <c r="O137" s="481">
        <v>0</v>
      </c>
      <c r="P137" s="481">
        <v>0</v>
      </c>
      <c r="Q137" s="481">
        <v>0</v>
      </c>
      <c r="R137" s="481">
        <v>0</v>
      </c>
      <c r="S137" s="26"/>
      <c r="V137" s="512"/>
      <c r="W137" s="512"/>
      <c r="X137" s="26"/>
    </row>
    <row r="138" spans="1:24" x14ac:dyDescent="0.3">
      <c r="A138" s="25" t="s">
        <v>207</v>
      </c>
      <c r="B138" s="463" t="s">
        <v>1442</v>
      </c>
      <c r="C138" s="467" t="s">
        <v>1683</v>
      </c>
      <c r="D138" s="464" t="s">
        <v>205</v>
      </c>
      <c r="E138" s="468">
        <v>43500</v>
      </c>
      <c r="F138" s="468">
        <v>45398</v>
      </c>
      <c r="G138" s="463" t="s">
        <v>119</v>
      </c>
      <c r="H138" s="463" t="s">
        <v>206</v>
      </c>
      <c r="I138" s="468">
        <v>43798</v>
      </c>
      <c r="J138" s="475" t="s">
        <v>207</v>
      </c>
      <c r="K138" s="468">
        <v>45398</v>
      </c>
      <c r="L138" s="25" t="s">
        <v>233</v>
      </c>
      <c r="M138" s="483" t="s">
        <v>1268</v>
      </c>
      <c r="N138" s="481">
        <v>0</v>
      </c>
      <c r="O138" s="481">
        <v>0</v>
      </c>
      <c r="P138" s="481">
        <v>0</v>
      </c>
      <c r="Q138" s="481">
        <v>0</v>
      </c>
      <c r="R138" s="481">
        <v>0</v>
      </c>
      <c r="S138" s="472"/>
      <c r="U138" s="518"/>
      <c r="V138" s="512"/>
      <c r="W138" s="512"/>
      <c r="X138" s="482"/>
    </row>
    <row r="139" spans="1:24" x14ac:dyDescent="0.3">
      <c r="A139" s="25">
        <v>6598</v>
      </c>
      <c r="B139" s="463" t="s">
        <v>1442</v>
      </c>
      <c r="C139" s="467" t="s">
        <v>1535</v>
      </c>
      <c r="D139" s="464" t="s">
        <v>208</v>
      </c>
      <c r="E139" s="468">
        <v>43466</v>
      </c>
      <c r="F139" s="468">
        <v>45901</v>
      </c>
      <c r="G139" s="463" t="s">
        <v>119</v>
      </c>
      <c r="H139" s="463" t="s">
        <v>1536</v>
      </c>
      <c r="I139" s="468">
        <v>44000</v>
      </c>
      <c r="J139" s="475" t="s">
        <v>1361</v>
      </c>
      <c r="K139" s="468">
        <v>45901</v>
      </c>
      <c r="L139" s="25" t="s">
        <v>1093</v>
      </c>
      <c r="M139" s="480" t="s">
        <v>233</v>
      </c>
      <c r="N139" s="481">
        <v>0</v>
      </c>
      <c r="O139" s="481">
        <v>0</v>
      </c>
      <c r="P139" s="481">
        <v>0</v>
      </c>
      <c r="Q139" s="481">
        <v>0</v>
      </c>
      <c r="R139" s="481">
        <v>0</v>
      </c>
      <c r="S139" s="26"/>
      <c r="V139" s="512"/>
      <c r="W139" s="512"/>
      <c r="X139" s="482"/>
    </row>
    <row r="140" spans="1:24" x14ac:dyDescent="0.3">
      <c r="A140" s="25">
        <v>6652</v>
      </c>
      <c r="B140" s="463" t="s">
        <v>1442</v>
      </c>
      <c r="C140" s="467" t="s">
        <v>1537</v>
      </c>
      <c r="D140" s="464" t="s">
        <v>209</v>
      </c>
      <c r="E140" s="468">
        <v>43480</v>
      </c>
      <c r="F140" s="468">
        <v>46036</v>
      </c>
      <c r="G140" s="463" t="s">
        <v>119</v>
      </c>
      <c r="H140" s="463" t="s">
        <v>1538</v>
      </c>
      <c r="I140" s="468">
        <v>44000</v>
      </c>
      <c r="J140" s="475" t="s">
        <v>1362</v>
      </c>
      <c r="K140" s="468">
        <v>46036</v>
      </c>
      <c r="L140" s="25" t="s">
        <v>1093</v>
      </c>
      <c r="M140" s="480" t="s">
        <v>233</v>
      </c>
      <c r="N140" s="481">
        <v>0</v>
      </c>
      <c r="O140" s="481">
        <v>0</v>
      </c>
      <c r="P140" s="481">
        <v>0</v>
      </c>
      <c r="Q140" s="481">
        <v>0</v>
      </c>
      <c r="R140" s="481">
        <v>0</v>
      </c>
      <c r="S140" s="470" t="s">
        <v>1257</v>
      </c>
      <c r="V140" s="512"/>
      <c r="W140" s="512"/>
      <c r="X140" s="472"/>
    </row>
    <row r="141" spans="1:24" x14ac:dyDescent="0.3">
      <c r="A141" s="25">
        <v>6636</v>
      </c>
      <c r="B141" s="463" t="s">
        <v>1442</v>
      </c>
      <c r="C141" s="467" t="s">
        <v>1539</v>
      </c>
      <c r="D141" s="464" t="s">
        <v>210</v>
      </c>
      <c r="E141" s="468">
        <v>43709</v>
      </c>
      <c r="F141" s="468">
        <v>46001</v>
      </c>
      <c r="G141" s="463" t="s">
        <v>119</v>
      </c>
      <c r="H141" s="463" t="s">
        <v>1540</v>
      </c>
      <c r="I141" s="468">
        <v>44000</v>
      </c>
      <c r="J141" s="475" t="s">
        <v>1363</v>
      </c>
      <c r="K141" s="468">
        <v>46001</v>
      </c>
      <c r="L141" s="25" t="s">
        <v>1093</v>
      </c>
      <c r="M141" s="480" t="s">
        <v>233</v>
      </c>
      <c r="N141" s="481">
        <v>0</v>
      </c>
      <c r="O141" s="481">
        <v>0</v>
      </c>
      <c r="P141" s="481">
        <v>0</v>
      </c>
      <c r="Q141" s="481">
        <v>0</v>
      </c>
      <c r="R141" s="481">
        <v>0</v>
      </c>
      <c r="S141" s="26"/>
      <c r="V141" s="512"/>
      <c r="W141" s="512"/>
      <c r="X141" s="26"/>
    </row>
    <row r="142" spans="1:24" x14ac:dyDescent="0.3">
      <c r="A142" s="25">
        <v>6660</v>
      </c>
      <c r="B142" s="463" t="s">
        <v>1442</v>
      </c>
      <c r="C142" s="467" t="s">
        <v>1684</v>
      </c>
      <c r="D142" s="464" t="s">
        <v>211</v>
      </c>
      <c r="E142" s="468">
        <v>43535</v>
      </c>
      <c r="F142" s="468">
        <v>45726</v>
      </c>
      <c r="G142" s="463" t="s">
        <v>119</v>
      </c>
      <c r="H142" s="463" t="s">
        <v>1685</v>
      </c>
      <c r="I142" s="468">
        <v>44000</v>
      </c>
      <c r="J142" s="475" t="s">
        <v>1174</v>
      </c>
      <c r="K142" s="468">
        <v>45726</v>
      </c>
      <c r="L142" s="468" t="s">
        <v>233</v>
      </c>
      <c r="M142" s="480" t="s">
        <v>1752</v>
      </c>
      <c r="N142" s="481">
        <v>0</v>
      </c>
      <c r="O142" s="481">
        <v>0</v>
      </c>
      <c r="P142" s="481">
        <v>0</v>
      </c>
      <c r="Q142" s="481">
        <v>0</v>
      </c>
      <c r="R142" s="481">
        <v>0</v>
      </c>
      <c r="S142" s="26"/>
      <c r="U142" s="518"/>
      <c r="V142" s="512"/>
      <c r="W142" s="512"/>
      <c r="X142" s="472"/>
    </row>
    <row r="143" spans="1:24" x14ac:dyDescent="0.3">
      <c r="A143" s="25">
        <v>6687</v>
      </c>
      <c r="B143" s="463" t="s">
        <v>1442</v>
      </c>
      <c r="C143" s="467" t="s">
        <v>1686</v>
      </c>
      <c r="D143" s="464" t="s">
        <v>212</v>
      </c>
      <c r="E143" s="468">
        <v>43556</v>
      </c>
      <c r="F143" s="468">
        <v>45382</v>
      </c>
      <c r="G143" s="463" t="s">
        <v>119</v>
      </c>
      <c r="H143" s="463" t="s">
        <v>1687</v>
      </c>
      <c r="I143" s="468">
        <v>44001</v>
      </c>
      <c r="J143" s="475" t="s">
        <v>1425</v>
      </c>
      <c r="K143" s="468">
        <v>45382</v>
      </c>
      <c r="L143" s="25" t="s">
        <v>1093</v>
      </c>
      <c r="M143" s="480" t="s">
        <v>1688</v>
      </c>
      <c r="N143" s="481">
        <v>0</v>
      </c>
      <c r="O143" s="481">
        <v>0</v>
      </c>
      <c r="P143" s="481">
        <v>0</v>
      </c>
      <c r="Q143" s="481">
        <v>0</v>
      </c>
      <c r="R143" s="481">
        <v>0</v>
      </c>
      <c r="S143" s="470" t="s">
        <v>1176</v>
      </c>
      <c r="V143" s="512"/>
      <c r="W143" s="512"/>
      <c r="X143" s="26"/>
    </row>
    <row r="144" spans="1:24" x14ac:dyDescent="0.3">
      <c r="A144" s="25">
        <v>6573</v>
      </c>
      <c r="B144" s="463" t="s">
        <v>1442</v>
      </c>
      <c r="C144" s="467" t="s">
        <v>1689</v>
      </c>
      <c r="D144" s="464" t="s">
        <v>213</v>
      </c>
      <c r="E144" s="468">
        <v>43466</v>
      </c>
      <c r="F144" s="468">
        <v>45291</v>
      </c>
      <c r="G144" s="463" t="s">
        <v>119</v>
      </c>
      <c r="H144" s="463" t="s">
        <v>1690</v>
      </c>
      <c r="I144" s="468">
        <v>44001</v>
      </c>
      <c r="J144" s="475" t="s">
        <v>214</v>
      </c>
      <c r="K144" s="468">
        <v>45291</v>
      </c>
      <c r="L144" s="468" t="s">
        <v>233</v>
      </c>
      <c r="M144" s="480" t="s">
        <v>287</v>
      </c>
      <c r="N144" s="481">
        <v>0</v>
      </c>
      <c r="O144" s="481">
        <v>0</v>
      </c>
      <c r="P144" s="481">
        <v>0</v>
      </c>
      <c r="Q144" s="481">
        <v>0</v>
      </c>
      <c r="R144" s="481">
        <v>0</v>
      </c>
      <c r="S144" s="482" t="s">
        <v>1091</v>
      </c>
      <c r="V144" s="512"/>
      <c r="W144" s="512"/>
      <c r="X144" s="482"/>
    </row>
    <row r="145" spans="1:24" x14ac:dyDescent="0.3">
      <c r="A145" s="25">
        <v>6711</v>
      </c>
      <c r="B145" s="463" t="s">
        <v>1442</v>
      </c>
      <c r="C145" s="467" t="s">
        <v>1691</v>
      </c>
      <c r="D145" s="464" t="s">
        <v>215</v>
      </c>
      <c r="E145" s="468">
        <v>43678</v>
      </c>
      <c r="F145" s="468">
        <v>45504</v>
      </c>
      <c r="G145" s="463" t="s">
        <v>119</v>
      </c>
      <c r="H145" s="463" t="s">
        <v>1692</v>
      </c>
      <c r="I145" s="468">
        <v>44001</v>
      </c>
      <c r="J145" s="475" t="s">
        <v>1426</v>
      </c>
      <c r="K145" s="468">
        <v>45504</v>
      </c>
      <c r="L145" s="25" t="s">
        <v>233</v>
      </c>
      <c r="M145" s="480" t="s">
        <v>1284</v>
      </c>
      <c r="N145" s="481">
        <v>0</v>
      </c>
      <c r="O145" s="481">
        <v>0</v>
      </c>
      <c r="P145" s="481">
        <v>0</v>
      </c>
      <c r="Q145" s="481">
        <v>0</v>
      </c>
      <c r="R145" s="481">
        <v>0</v>
      </c>
      <c r="S145" s="470" t="s">
        <v>1176</v>
      </c>
      <c r="U145" s="518"/>
      <c r="V145" s="512"/>
      <c r="W145" s="512"/>
      <c r="X145" s="482"/>
    </row>
    <row r="146" spans="1:24" x14ac:dyDescent="0.3">
      <c r="A146" s="25">
        <v>9216</v>
      </c>
      <c r="B146" s="463" t="s">
        <v>1442</v>
      </c>
      <c r="C146" s="467" t="s">
        <v>1693</v>
      </c>
      <c r="D146" s="464" t="s">
        <v>216</v>
      </c>
      <c r="E146" s="468">
        <v>43466</v>
      </c>
      <c r="F146" s="468">
        <v>45549</v>
      </c>
      <c r="G146" s="463" t="s">
        <v>119</v>
      </c>
      <c r="H146" s="463" t="s">
        <v>1694</v>
      </c>
      <c r="I146" s="468">
        <v>44001</v>
      </c>
      <c r="J146" s="475" t="s">
        <v>1427</v>
      </c>
      <c r="K146" s="468">
        <v>45549</v>
      </c>
      <c r="L146" s="25" t="s">
        <v>1093</v>
      </c>
      <c r="M146" s="480" t="s">
        <v>233</v>
      </c>
      <c r="N146" s="481">
        <v>0</v>
      </c>
      <c r="O146" s="481">
        <v>0</v>
      </c>
      <c r="P146" s="481">
        <v>0</v>
      </c>
      <c r="Q146" s="481">
        <v>0</v>
      </c>
      <c r="R146" s="481">
        <v>0</v>
      </c>
      <c r="S146" s="470" t="s">
        <v>1176</v>
      </c>
      <c r="U146" s="518"/>
      <c r="V146" s="512"/>
      <c r="W146" s="512"/>
      <c r="X146" s="482"/>
    </row>
    <row r="147" spans="1:24" x14ac:dyDescent="0.3">
      <c r="A147" s="25">
        <v>6718</v>
      </c>
      <c r="B147" s="463" t="s">
        <v>1442</v>
      </c>
      <c r="C147" s="467" t="s">
        <v>1695</v>
      </c>
      <c r="D147" s="464" t="s">
        <v>263</v>
      </c>
      <c r="E147" s="468">
        <v>43513</v>
      </c>
      <c r="F147" s="468">
        <v>44957</v>
      </c>
      <c r="G147" s="463" t="s">
        <v>119</v>
      </c>
      <c r="H147" s="463" t="s">
        <v>1696</v>
      </c>
      <c r="I147" s="468">
        <v>44032</v>
      </c>
      <c r="J147" s="475" t="s">
        <v>1428</v>
      </c>
      <c r="K147" s="468">
        <v>44973</v>
      </c>
      <c r="L147" s="468" t="s">
        <v>233</v>
      </c>
      <c r="M147" s="480" t="s">
        <v>287</v>
      </c>
      <c r="N147" s="481">
        <v>0</v>
      </c>
      <c r="O147" s="481">
        <v>0</v>
      </c>
      <c r="P147" s="481">
        <v>0</v>
      </c>
      <c r="Q147" s="481">
        <v>0</v>
      </c>
      <c r="R147" s="481">
        <v>0</v>
      </c>
      <c r="S147" s="482" t="s">
        <v>1091</v>
      </c>
      <c r="V147" s="512"/>
      <c r="W147" s="512"/>
      <c r="X147" s="482"/>
    </row>
    <row r="148" spans="1:24" x14ac:dyDescent="0.3">
      <c r="A148" s="25">
        <v>6685</v>
      </c>
      <c r="B148" s="463" t="s">
        <v>1442</v>
      </c>
      <c r="C148" s="467" t="s">
        <v>1697</v>
      </c>
      <c r="D148" s="464" t="s">
        <v>264</v>
      </c>
      <c r="E148" s="468">
        <v>43525</v>
      </c>
      <c r="F148" s="468">
        <v>44255</v>
      </c>
      <c r="G148" s="463" t="s">
        <v>119</v>
      </c>
      <c r="H148" s="463" t="s">
        <v>1698</v>
      </c>
      <c r="I148" s="468">
        <v>44032</v>
      </c>
      <c r="J148" s="475" t="s">
        <v>1429</v>
      </c>
      <c r="K148" s="468">
        <v>44255</v>
      </c>
      <c r="L148" s="468" t="s">
        <v>233</v>
      </c>
      <c r="M148" s="480" t="s">
        <v>287</v>
      </c>
      <c r="N148" s="481">
        <v>0</v>
      </c>
      <c r="O148" s="481">
        <v>0</v>
      </c>
      <c r="P148" s="481">
        <v>0</v>
      </c>
      <c r="Q148" s="481">
        <v>0</v>
      </c>
      <c r="R148" s="481">
        <v>0</v>
      </c>
      <c r="S148" s="472" t="s">
        <v>1091</v>
      </c>
      <c r="V148" s="512"/>
      <c r="W148" s="512"/>
      <c r="X148" s="482"/>
    </row>
    <row r="149" spans="1:24" x14ac:dyDescent="0.3">
      <c r="A149" s="25">
        <v>6621</v>
      </c>
      <c r="B149" s="463" t="s">
        <v>1442</v>
      </c>
      <c r="C149" s="467" t="s">
        <v>1699</v>
      </c>
      <c r="D149" s="464" t="s">
        <v>218</v>
      </c>
      <c r="E149" s="468">
        <v>43497</v>
      </c>
      <c r="F149" s="468">
        <v>46053</v>
      </c>
      <c r="G149" s="463" t="s">
        <v>119</v>
      </c>
      <c r="H149" s="463" t="s">
        <v>1700</v>
      </c>
      <c r="I149" s="468">
        <v>44032</v>
      </c>
      <c r="J149" s="506" t="s">
        <v>1430</v>
      </c>
      <c r="K149" s="468">
        <v>46053</v>
      </c>
      <c r="L149" s="25" t="s">
        <v>1093</v>
      </c>
      <c r="M149" s="480" t="s">
        <v>233</v>
      </c>
      <c r="N149" s="481">
        <v>0</v>
      </c>
      <c r="O149" s="481">
        <v>0</v>
      </c>
      <c r="P149" s="481">
        <v>0</v>
      </c>
      <c r="Q149" s="481">
        <v>0</v>
      </c>
      <c r="R149" s="481">
        <v>0</v>
      </c>
      <c r="S149" s="26"/>
      <c r="U149" s="518"/>
      <c r="V149" s="512"/>
      <c r="W149" s="512"/>
      <c r="X149" s="472"/>
    </row>
    <row r="150" spans="1:24" x14ac:dyDescent="0.3">
      <c r="A150" s="25">
        <v>9636</v>
      </c>
      <c r="B150" s="463" t="s">
        <v>1442</v>
      </c>
      <c r="C150" s="467" t="s">
        <v>1701</v>
      </c>
      <c r="D150" s="464" t="s">
        <v>219</v>
      </c>
      <c r="E150" s="468">
        <v>43466</v>
      </c>
      <c r="F150" s="468">
        <v>45781</v>
      </c>
      <c r="G150" s="463" t="s">
        <v>119</v>
      </c>
      <c r="H150" s="463" t="s">
        <v>1702</v>
      </c>
      <c r="I150" s="468">
        <v>44032</v>
      </c>
      <c r="J150" s="507" t="s">
        <v>1365</v>
      </c>
      <c r="K150" s="468">
        <v>45781</v>
      </c>
      <c r="L150" s="25" t="s">
        <v>1093</v>
      </c>
      <c r="M150" s="480" t="s">
        <v>233</v>
      </c>
      <c r="N150" s="481">
        <v>0</v>
      </c>
      <c r="O150" s="481">
        <v>0</v>
      </c>
      <c r="P150" s="481">
        <v>0</v>
      </c>
      <c r="Q150" s="481">
        <v>0</v>
      </c>
      <c r="R150" s="481">
        <v>0</v>
      </c>
      <c r="S150" s="26"/>
      <c r="V150" s="512"/>
      <c r="W150" s="512"/>
      <c r="X150" s="26"/>
    </row>
    <row r="151" spans="1:24" x14ac:dyDescent="0.3">
      <c r="A151" s="550" t="s">
        <v>222</v>
      </c>
      <c r="B151" s="463" t="s">
        <v>1442</v>
      </c>
      <c r="C151" s="467" t="s">
        <v>1703</v>
      </c>
      <c r="D151" s="464" t="s">
        <v>220</v>
      </c>
      <c r="E151" s="468">
        <v>43960</v>
      </c>
      <c r="F151" s="468">
        <v>45785</v>
      </c>
      <c r="G151" s="463" t="s">
        <v>119</v>
      </c>
      <c r="H151" s="463" t="s">
        <v>221</v>
      </c>
      <c r="I151" s="468">
        <v>44134</v>
      </c>
      <c r="J151" s="507" t="s">
        <v>222</v>
      </c>
      <c r="K151" s="468">
        <v>45785</v>
      </c>
      <c r="L151" s="25" t="s">
        <v>1093</v>
      </c>
      <c r="M151" s="480" t="s">
        <v>1743</v>
      </c>
      <c r="N151" s="481">
        <v>0</v>
      </c>
      <c r="O151" s="481">
        <v>0</v>
      </c>
      <c r="P151" s="481">
        <v>0</v>
      </c>
      <c r="Q151" s="481">
        <v>0</v>
      </c>
      <c r="R151" s="481">
        <v>0</v>
      </c>
      <c r="S151" s="26"/>
      <c r="V151" s="512"/>
      <c r="W151" s="512"/>
      <c r="X151" s="26"/>
    </row>
    <row r="152" spans="1:24" x14ac:dyDescent="0.3">
      <c r="A152" s="557">
        <v>8525</v>
      </c>
      <c r="B152" s="463" t="s">
        <v>1442</v>
      </c>
      <c r="C152" s="467" t="s">
        <v>1704</v>
      </c>
      <c r="D152" s="464" t="s">
        <v>265</v>
      </c>
      <c r="E152" s="468">
        <v>43981</v>
      </c>
      <c r="F152" s="468">
        <v>44651</v>
      </c>
      <c r="G152" s="463" t="s">
        <v>119</v>
      </c>
      <c r="H152" s="463" t="s">
        <v>1546</v>
      </c>
      <c r="I152" s="468">
        <v>44161</v>
      </c>
      <c r="J152" s="475" t="s">
        <v>1366</v>
      </c>
      <c r="K152" s="468">
        <v>44346</v>
      </c>
      <c r="L152" s="468" t="s">
        <v>233</v>
      </c>
      <c r="M152" s="480" t="s">
        <v>287</v>
      </c>
      <c r="N152" s="481">
        <v>0</v>
      </c>
      <c r="O152" s="481">
        <v>0</v>
      </c>
      <c r="P152" s="481">
        <v>0</v>
      </c>
      <c r="Q152" s="481">
        <v>0</v>
      </c>
      <c r="R152" s="481">
        <v>0</v>
      </c>
      <c r="S152" s="472" t="s">
        <v>1094</v>
      </c>
      <c r="V152" s="512"/>
      <c r="W152" s="512"/>
      <c r="X152" s="472"/>
    </row>
    <row r="153" spans="1:24" x14ac:dyDescent="0.3">
      <c r="A153" s="557">
        <v>6632</v>
      </c>
      <c r="B153" s="463" t="s">
        <v>1442</v>
      </c>
      <c r="C153" s="467" t="s">
        <v>1547</v>
      </c>
      <c r="D153" s="464" t="s">
        <v>230</v>
      </c>
      <c r="E153" s="468">
        <v>45170</v>
      </c>
      <c r="F153" s="468">
        <v>45900</v>
      </c>
      <c r="G153" s="463" t="s">
        <v>119</v>
      </c>
      <c r="H153" s="463" t="s">
        <v>231</v>
      </c>
      <c r="I153" s="468">
        <v>45139</v>
      </c>
      <c r="J153" s="475" t="s">
        <v>1367</v>
      </c>
      <c r="K153" s="468">
        <v>45900</v>
      </c>
      <c r="L153" s="25" t="s">
        <v>1093</v>
      </c>
      <c r="M153" s="480" t="s">
        <v>233</v>
      </c>
      <c r="N153" s="481">
        <v>0</v>
      </c>
      <c r="O153" s="481">
        <v>0</v>
      </c>
      <c r="P153" s="481">
        <v>0</v>
      </c>
      <c r="Q153" s="481">
        <v>0</v>
      </c>
      <c r="R153" s="481">
        <v>0</v>
      </c>
      <c r="S153" s="26"/>
      <c r="V153" s="512"/>
      <c r="W153" s="512"/>
      <c r="X153" s="511"/>
    </row>
    <row r="154" spans="1:24" x14ac:dyDescent="0.3">
      <c r="A154" s="25">
        <v>8580</v>
      </c>
      <c r="B154" s="463" t="s">
        <v>1442</v>
      </c>
      <c r="C154" s="467" t="s">
        <v>1551</v>
      </c>
      <c r="D154" s="464" t="s">
        <v>1204</v>
      </c>
      <c r="E154" s="468">
        <v>45364</v>
      </c>
      <c r="F154" s="468">
        <v>46093</v>
      </c>
      <c r="G154" s="463" t="s">
        <v>119</v>
      </c>
      <c r="H154" s="463" t="s">
        <v>1208</v>
      </c>
      <c r="I154" s="468">
        <v>45404</v>
      </c>
      <c r="J154" s="475" t="s">
        <v>1396</v>
      </c>
      <c r="K154" s="468">
        <v>46093</v>
      </c>
      <c r="L154" s="25" t="s">
        <v>1093</v>
      </c>
      <c r="M154" s="480" t="s">
        <v>233</v>
      </c>
      <c r="N154" s="481">
        <v>0</v>
      </c>
      <c r="O154" s="481">
        <v>0</v>
      </c>
      <c r="P154" s="481">
        <v>0</v>
      </c>
      <c r="Q154" s="481">
        <v>0</v>
      </c>
      <c r="R154" s="481">
        <v>0</v>
      </c>
      <c r="S154" s="474" t="s">
        <v>1257</v>
      </c>
    </row>
    <row r="155" spans="1:24" x14ac:dyDescent="0.3">
      <c r="A155" s="25">
        <v>6686</v>
      </c>
      <c r="B155" s="463" t="s">
        <v>1442</v>
      </c>
      <c r="C155" s="467" t="s">
        <v>1552</v>
      </c>
      <c r="D155" s="464" t="s">
        <v>1205</v>
      </c>
      <c r="E155" s="468">
        <v>45383</v>
      </c>
      <c r="F155" s="468">
        <v>46112</v>
      </c>
      <c r="G155" s="463" t="s">
        <v>119</v>
      </c>
      <c r="H155" s="463" t="s">
        <v>1209</v>
      </c>
      <c r="I155" s="468">
        <v>45404</v>
      </c>
      <c r="J155" s="475" t="s">
        <v>1390</v>
      </c>
      <c r="K155" s="468">
        <v>46112</v>
      </c>
      <c r="L155" s="25" t="s">
        <v>1093</v>
      </c>
      <c r="M155" s="480" t="s">
        <v>233</v>
      </c>
      <c r="N155" s="481">
        <v>0</v>
      </c>
      <c r="O155" s="481">
        <v>0</v>
      </c>
      <c r="P155" s="481">
        <v>0</v>
      </c>
      <c r="Q155" s="481">
        <v>0</v>
      </c>
      <c r="R155" s="481">
        <v>0</v>
      </c>
      <c r="S155" s="474" t="s">
        <v>1257</v>
      </c>
    </row>
    <row r="156" spans="1:24" x14ac:dyDescent="0.3">
      <c r="A156" s="25">
        <v>8584</v>
      </c>
      <c r="B156" s="463">
        <v>8140</v>
      </c>
      <c r="C156" s="467" t="s">
        <v>1553</v>
      </c>
      <c r="D156" s="464" t="s">
        <v>166</v>
      </c>
      <c r="E156" s="468">
        <v>45358</v>
      </c>
      <c r="F156" s="468">
        <v>46087</v>
      </c>
      <c r="G156" s="463" t="s">
        <v>119</v>
      </c>
      <c r="H156" s="463">
        <v>5000059</v>
      </c>
      <c r="I156" s="476">
        <v>45441</v>
      </c>
      <c r="J156" s="475" t="s">
        <v>1399</v>
      </c>
      <c r="K156" s="468">
        <v>46087</v>
      </c>
      <c r="L156" s="25" t="s">
        <v>1093</v>
      </c>
      <c r="M156" s="480" t="s">
        <v>233</v>
      </c>
      <c r="N156" s="481">
        <v>0</v>
      </c>
      <c r="O156" s="481">
        <v>0</v>
      </c>
      <c r="P156" s="481">
        <v>0</v>
      </c>
      <c r="Q156" s="481">
        <v>0</v>
      </c>
      <c r="R156" s="481">
        <v>0</v>
      </c>
      <c r="S156" s="474" t="s">
        <v>1257</v>
      </c>
    </row>
    <row r="157" spans="1:24" x14ac:dyDescent="0.3">
      <c r="A157" s="463">
        <v>8582</v>
      </c>
      <c r="B157" s="21">
        <v>8140</v>
      </c>
      <c r="C157" s="467" t="s">
        <v>1554</v>
      </c>
      <c r="D157" s="22" t="s">
        <v>164</v>
      </c>
      <c r="E157" s="468">
        <v>45310</v>
      </c>
      <c r="F157" s="468">
        <v>46042</v>
      </c>
      <c r="G157" s="463" t="s">
        <v>119</v>
      </c>
      <c r="H157" s="463" t="s">
        <v>1236</v>
      </c>
      <c r="I157" s="476">
        <v>45467</v>
      </c>
      <c r="J157" s="467" t="s">
        <v>1398</v>
      </c>
      <c r="K157" s="468">
        <v>46042</v>
      </c>
      <c r="L157" s="25" t="s">
        <v>1093</v>
      </c>
      <c r="M157" s="480" t="s">
        <v>233</v>
      </c>
      <c r="N157" s="481">
        <v>0</v>
      </c>
      <c r="O157" s="481">
        <v>0</v>
      </c>
      <c r="P157" s="481">
        <v>0</v>
      </c>
      <c r="Q157" s="481">
        <v>0</v>
      </c>
      <c r="R157" s="481">
        <v>0</v>
      </c>
      <c r="S157" s="474" t="s">
        <v>1257</v>
      </c>
    </row>
    <row r="158" spans="1:24" x14ac:dyDescent="0.3">
      <c r="H158" s="21"/>
      <c r="I158" s="21"/>
      <c r="K158" s="21"/>
      <c r="M158" s="22"/>
      <c r="O158" s="22"/>
      <c r="P158" s="22"/>
    </row>
    <row r="159" spans="1:24" x14ac:dyDescent="0.3">
      <c r="H159" s="21"/>
      <c r="I159" s="21"/>
      <c r="K159" s="21"/>
      <c r="M159" s="22"/>
      <c r="O159" s="22"/>
      <c r="P159" s="22"/>
    </row>
    <row r="160" spans="1:24" x14ac:dyDescent="0.3">
      <c r="H160" s="21"/>
      <c r="I160" s="21"/>
      <c r="K160" s="21"/>
      <c r="M160" s="22"/>
      <c r="O160" s="22"/>
      <c r="P160" s="22"/>
    </row>
    <row r="161" spans="8:16" x14ac:dyDescent="0.3">
      <c r="H161" s="21"/>
      <c r="I161" s="21"/>
      <c r="K161" s="21"/>
      <c r="M161" s="22"/>
      <c r="O161" s="22"/>
      <c r="P161" s="22"/>
    </row>
    <row r="162" spans="8:16" x14ac:dyDescent="0.3">
      <c r="H162" s="21"/>
      <c r="I162" s="21"/>
      <c r="K162" s="21"/>
      <c r="M162" s="22"/>
      <c r="O162" s="22"/>
      <c r="P162" s="22"/>
    </row>
    <row r="163" spans="8:16" x14ac:dyDescent="0.3">
      <c r="H163" s="21"/>
      <c r="I163" s="21"/>
      <c r="K163" s="21"/>
      <c r="M163" s="22"/>
      <c r="O163" s="22"/>
      <c r="P163" s="22"/>
    </row>
    <row r="164" spans="8:16" x14ac:dyDescent="0.3">
      <c r="H164" s="21"/>
      <c r="I164" s="21"/>
      <c r="K164" s="21"/>
      <c r="M164" s="22"/>
      <c r="O164" s="22"/>
      <c r="P164" s="22"/>
    </row>
    <row r="165" spans="8:16" x14ac:dyDescent="0.3">
      <c r="H165" s="21"/>
      <c r="I165" s="21"/>
      <c r="K165" s="21"/>
      <c r="M165" s="22"/>
      <c r="O165" s="22"/>
      <c r="P165" s="22"/>
    </row>
    <row r="166" spans="8:16" x14ac:dyDescent="0.3">
      <c r="H166" s="21"/>
      <c r="I166" s="21"/>
      <c r="K166" s="21"/>
      <c r="M166" s="22"/>
      <c r="O166" s="22"/>
      <c r="P166" s="22"/>
    </row>
    <row r="167" spans="8:16" x14ac:dyDescent="0.3">
      <c r="H167" s="21"/>
      <c r="I167" s="21"/>
      <c r="K167" s="21"/>
      <c r="M167" s="22"/>
      <c r="O167" s="22"/>
      <c r="P167" s="22"/>
    </row>
    <row r="168" spans="8:16" x14ac:dyDescent="0.3">
      <c r="H168" s="21"/>
      <c r="I168" s="21"/>
      <c r="K168" s="21"/>
      <c r="M168" s="22"/>
      <c r="O168" s="22"/>
      <c r="P168" s="22"/>
    </row>
    <row r="169" spans="8:16" x14ac:dyDescent="0.3">
      <c r="H169" s="21"/>
      <c r="I169" s="21"/>
      <c r="K169" s="21"/>
      <c r="M169" s="22"/>
      <c r="O169" s="22"/>
      <c r="P169" s="22"/>
    </row>
    <row r="170" spans="8:16" x14ac:dyDescent="0.3">
      <c r="H170" s="21"/>
      <c r="I170" s="21"/>
      <c r="K170" s="21"/>
      <c r="M170" s="22"/>
      <c r="O170" s="22"/>
      <c r="P170" s="22"/>
    </row>
    <row r="171" spans="8:16" x14ac:dyDescent="0.3">
      <c r="H171" s="21"/>
      <c r="I171" s="21"/>
      <c r="K171" s="21"/>
      <c r="M171" s="22"/>
      <c r="O171" s="22"/>
      <c r="P171" s="22"/>
    </row>
    <row r="172" spans="8:16" x14ac:dyDescent="0.3">
      <c r="H172" s="21"/>
      <c r="I172" s="21"/>
      <c r="K172" s="21"/>
      <c r="M172" s="22"/>
      <c r="O172" s="22"/>
      <c r="P172" s="22"/>
    </row>
    <row r="173" spans="8:16" x14ac:dyDescent="0.3">
      <c r="H173" s="21"/>
      <c r="I173" s="21"/>
      <c r="K173" s="21"/>
      <c r="M173" s="22"/>
      <c r="O173" s="22"/>
      <c r="P173" s="22"/>
    </row>
    <row r="174" spans="8:16" x14ac:dyDescent="0.3">
      <c r="H174" s="21"/>
      <c r="I174" s="21"/>
      <c r="K174" s="21"/>
      <c r="M174" s="22"/>
      <c r="O174" s="22"/>
      <c r="P174" s="22"/>
    </row>
    <row r="175" spans="8:16" x14ac:dyDescent="0.3">
      <c r="H175" s="21"/>
      <c r="I175" s="21"/>
      <c r="K175" s="21"/>
      <c r="M175" s="22"/>
      <c r="O175" s="22"/>
      <c r="P175" s="22"/>
    </row>
    <row r="176" spans="8:16" x14ac:dyDescent="0.3">
      <c r="H176" s="21"/>
      <c r="I176" s="21"/>
      <c r="K176" s="21"/>
      <c r="M176" s="22"/>
      <c r="O176" s="22"/>
      <c r="P176" s="22"/>
    </row>
    <row r="177" spans="8:16" x14ac:dyDescent="0.3">
      <c r="H177" s="21"/>
      <c r="I177" s="21"/>
      <c r="K177" s="21"/>
      <c r="M177" s="22"/>
      <c r="O177" s="22"/>
      <c r="P177" s="22"/>
    </row>
    <row r="178" spans="8:16" x14ac:dyDescent="0.3">
      <c r="H178" s="21"/>
      <c r="I178" s="21"/>
      <c r="K178" s="21"/>
      <c r="M178" s="22"/>
      <c r="O178" s="22"/>
      <c r="P178" s="22"/>
    </row>
    <row r="179" spans="8:16" x14ac:dyDescent="0.3">
      <c r="H179" s="21"/>
      <c r="I179" s="21"/>
      <c r="K179" s="21"/>
      <c r="M179" s="22"/>
      <c r="O179" s="22"/>
      <c r="P179" s="22"/>
    </row>
    <row r="180" spans="8:16" x14ac:dyDescent="0.3">
      <c r="H180" s="21"/>
      <c r="I180" s="21"/>
      <c r="K180" s="21"/>
      <c r="M180" s="22"/>
      <c r="O180" s="22"/>
      <c r="P180" s="22"/>
    </row>
    <row r="181" spans="8:16" x14ac:dyDescent="0.3">
      <c r="H181" s="21"/>
      <c r="I181" s="21"/>
      <c r="K181" s="21"/>
      <c r="M181" s="22"/>
      <c r="O181" s="22"/>
      <c r="P181" s="22"/>
    </row>
    <row r="182" spans="8:16" x14ac:dyDescent="0.3">
      <c r="H182" s="21"/>
      <c r="I182" s="21"/>
      <c r="K182" s="21"/>
      <c r="M182" s="22"/>
      <c r="O182" s="22"/>
      <c r="P182" s="22"/>
    </row>
    <row r="183" spans="8:16" x14ac:dyDescent="0.3">
      <c r="H183" s="21"/>
      <c r="I183" s="21"/>
      <c r="K183" s="21"/>
      <c r="M183" s="22"/>
      <c r="O183" s="22"/>
      <c r="P183" s="22"/>
    </row>
    <row r="184" spans="8:16" x14ac:dyDescent="0.3">
      <c r="H184" s="21"/>
      <c r="I184" s="21"/>
      <c r="K184" s="21"/>
      <c r="M184" s="22"/>
      <c r="O184" s="22"/>
      <c r="P184" s="22"/>
    </row>
    <row r="185" spans="8:16" x14ac:dyDescent="0.3">
      <c r="H185" s="21"/>
      <c r="I185" s="21"/>
      <c r="K185" s="21"/>
      <c r="M185" s="22"/>
      <c r="O185" s="22"/>
      <c r="P185" s="22"/>
    </row>
    <row r="186" spans="8:16" x14ac:dyDescent="0.3">
      <c r="H186" s="21"/>
      <c r="I186" s="21"/>
      <c r="K186" s="21"/>
      <c r="M186" s="22"/>
      <c r="O186" s="22"/>
      <c r="P186" s="22"/>
    </row>
    <row r="187" spans="8:16" x14ac:dyDescent="0.3">
      <c r="H187" s="21"/>
      <c r="I187" s="21"/>
      <c r="K187" s="21"/>
      <c r="M187" s="22"/>
      <c r="O187" s="22"/>
      <c r="P187" s="22"/>
    </row>
    <row r="188" spans="8:16" x14ac:dyDescent="0.3">
      <c r="H188" s="21"/>
      <c r="I188" s="21"/>
      <c r="K188" s="21"/>
      <c r="M188" s="22"/>
      <c r="O188" s="22"/>
      <c r="P188" s="22"/>
    </row>
    <row r="189" spans="8:16" x14ac:dyDescent="0.3">
      <c r="H189" s="21"/>
      <c r="I189" s="21"/>
      <c r="K189" s="21"/>
      <c r="M189" s="22"/>
      <c r="O189" s="22"/>
      <c r="P189" s="22"/>
    </row>
    <row r="190" spans="8:16" x14ac:dyDescent="0.3">
      <c r="H190" s="21"/>
      <c r="I190" s="21"/>
      <c r="K190" s="21"/>
      <c r="M190" s="22"/>
      <c r="O190" s="22"/>
      <c r="P190" s="22"/>
    </row>
    <row r="191" spans="8:16" x14ac:dyDescent="0.3">
      <c r="H191" s="21"/>
      <c r="I191" s="21"/>
      <c r="K191" s="21"/>
      <c r="M191" s="22"/>
      <c r="O191" s="22"/>
      <c r="P191" s="22"/>
    </row>
    <row r="192" spans="8:16" x14ac:dyDescent="0.3">
      <c r="H192" s="21"/>
      <c r="I192" s="21"/>
      <c r="K192" s="21"/>
      <c r="M192" s="22"/>
      <c r="O192" s="22"/>
      <c r="P192" s="22"/>
    </row>
    <row r="193" spans="8:16" x14ac:dyDescent="0.3">
      <c r="H193" s="21"/>
      <c r="I193" s="21"/>
      <c r="K193" s="21"/>
      <c r="M193" s="22"/>
      <c r="O193" s="22"/>
      <c r="P193" s="22"/>
    </row>
    <row r="194" spans="8:16" x14ac:dyDescent="0.3">
      <c r="H194" s="21"/>
      <c r="I194" s="21"/>
      <c r="K194" s="21"/>
      <c r="M194" s="22"/>
      <c r="O194" s="22"/>
      <c r="P194" s="22"/>
    </row>
    <row r="195" spans="8:16" x14ac:dyDescent="0.3">
      <c r="H195" s="21"/>
      <c r="I195" s="21"/>
      <c r="K195" s="21"/>
      <c r="M195" s="22"/>
      <c r="O195" s="22"/>
      <c r="P195" s="22"/>
    </row>
    <row r="196" spans="8:16" x14ac:dyDescent="0.3">
      <c r="H196" s="21"/>
      <c r="I196" s="21"/>
      <c r="K196" s="21"/>
      <c r="M196" s="22"/>
      <c r="O196" s="22"/>
      <c r="P196" s="22"/>
    </row>
    <row r="197" spans="8:16" x14ac:dyDescent="0.3">
      <c r="H197" s="21"/>
      <c r="I197" s="21"/>
      <c r="K197" s="21"/>
      <c r="M197" s="22"/>
      <c r="O197" s="22"/>
      <c r="P197" s="22"/>
    </row>
    <row r="198" spans="8:16" x14ac:dyDescent="0.3">
      <c r="H198" s="21"/>
      <c r="I198" s="21"/>
      <c r="K198" s="21"/>
      <c r="M198" s="22"/>
      <c r="O198" s="22"/>
      <c r="P198" s="22"/>
    </row>
    <row r="199" spans="8:16" x14ac:dyDescent="0.3">
      <c r="H199" s="21"/>
      <c r="I199" s="21"/>
      <c r="K199" s="21"/>
      <c r="M199" s="22"/>
      <c r="O199" s="22"/>
      <c r="P199" s="22"/>
    </row>
    <row r="200" spans="8:16" x14ac:dyDescent="0.3">
      <c r="H200" s="21"/>
      <c r="I200" s="21"/>
      <c r="K200" s="21"/>
      <c r="M200" s="22"/>
      <c r="O200" s="22"/>
      <c r="P200" s="22"/>
    </row>
    <row r="201" spans="8:16" x14ac:dyDescent="0.3">
      <c r="H201" s="21"/>
      <c r="I201" s="21"/>
      <c r="K201" s="21"/>
      <c r="M201" s="22"/>
      <c r="O201" s="22"/>
      <c r="P201" s="22"/>
    </row>
    <row r="202" spans="8:16" x14ac:dyDescent="0.3">
      <c r="H202" s="21"/>
      <c r="I202" s="21"/>
      <c r="K202" s="21"/>
      <c r="M202" s="22"/>
      <c r="O202" s="22"/>
      <c r="P202" s="22"/>
    </row>
    <row r="203" spans="8:16" x14ac:dyDescent="0.3">
      <c r="H203" s="21"/>
      <c r="I203" s="21"/>
      <c r="K203" s="21"/>
      <c r="M203" s="22"/>
      <c r="O203" s="22"/>
      <c r="P203" s="22"/>
    </row>
    <row r="204" spans="8:16" x14ac:dyDescent="0.3">
      <c r="H204" s="21"/>
      <c r="I204" s="21"/>
      <c r="K204" s="21"/>
      <c r="M204" s="22"/>
      <c r="O204" s="22"/>
      <c r="P204" s="22"/>
    </row>
    <row r="205" spans="8:16" x14ac:dyDescent="0.3">
      <c r="H205" s="21"/>
      <c r="I205" s="21"/>
      <c r="K205" s="21"/>
      <c r="M205" s="22"/>
      <c r="O205" s="22"/>
      <c r="P205" s="22"/>
    </row>
    <row r="206" spans="8:16" x14ac:dyDescent="0.3">
      <c r="H206" s="21"/>
      <c r="I206" s="21"/>
      <c r="K206" s="21"/>
      <c r="M206" s="22"/>
      <c r="O206" s="22"/>
      <c r="P206" s="22"/>
    </row>
    <row r="207" spans="8:16" x14ac:dyDescent="0.3">
      <c r="H207" s="21"/>
      <c r="I207" s="21"/>
      <c r="K207" s="21"/>
      <c r="M207" s="22"/>
      <c r="O207" s="22"/>
      <c r="P207" s="22"/>
    </row>
    <row r="208" spans="8:16" x14ac:dyDescent="0.3">
      <c r="H208" s="21"/>
      <c r="I208" s="21"/>
      <c r="K208" s="21"/>
      <c r="M208" s="22"/>
      <c r="O208" s="22"/>
      <c r="P208" s="22"/>
    </row>
    <row r="209" spans="8:16" x14ac:dyDescent="0.3">
      <c r="H209" s="21"/>
      <c r="I209" s="21"/>
      <c r="K209" s="21"/>
      <c r="M209" s="22"/>
      <c r="O209" s="22"/>
      <c r="P209" s="22"/>
    </row>
    <row r="210" spans="8:16" x14ac:dyDescent="0.3">
      <c r="H210" s="21"/>
      <c r="I210" s="21"/>
      <c r="K210" s="21"/>
      <c r="M210" s="22"/>
      <c r="O210" s="22"/>
      <c r="P210" s="22"/>
    </row>
    <row r="211" spans="8:16" x14ac:dyDescent="0.3">
      <c r="H211" s="21"/>
      <c r="I211" s="21"/>
      <c r="K211" s="21"/>
      <c r="M211" s="22"/>
      <c r="O211" s="22"/>
      <c r="P211" s="22"/>
    </row>
    <row r="212" spans="8:16" x14ac:dyDescent="0.3">
      <c r="H212" s="21"/>
      <c r="I212" s="21"/>
      <c r="K212" s="21"/>
      <c r="M212" s="22"/>
      <c r="O212" s="22"/>
      <c r="P212" s="22"/>
    </row>
    <row r="213" spans="8:16" x14ac:dyDescent="0.3">
      <c r="H213" s="21"/>
      <c r="I213" s="21"/>
      <c r="K213" s="21"/>
      <c r="M213" s="22"/>
      <c r="O213" s="22"/>
      <c r="P213" s="22"/>
    </row>
    <row r="214" spans="8:16" x14ac:dyDescent="0.3">
      <c r="H214" s="21"/>
      <c r="I214" s="21"/>
      <c r="K214" s="21"/>
      <c r="M214" s="22"/>
      <c r="O214" s="22"/>
      <c r="P214" s="22"/>
    </row>
    <row r="215" spans="8:16" x14ac:dyDescent="0.3">
      <c r="H215" s="21"/>
      <c r="I215" s="21"/>
      <c r="K215" s="21"/>
      <c r="M215" s="22"/>
      <c r="O215" s="22"/>
      <c r="P215" s="22"/>
    </row>
    <row r="216" spans="8:16" x14ac:dyDescent="0.3">
      <c r="H216" s="21"/>
      <c r="I216" s="21"/>
      <c r="K216" s="21"/>
      <c r="M216" s="22"/>
      <c r="O216" s="22"/>
      <c r="P216" s="22"/>
    </row>
    <row r="217" spans="8:16" x14ac:dyDescent="0.3">
      <c r="H217" s="21"/>
      <c r="I217" s="21"/>
      <c r="K217" s="21"/>
      <c r="M217" s="22"/>
      <c r="O217" s="22"/>
      <c r="P217" s="22"/>
    </row>
    <row r="218" spans="8:16" x14ac:dyDescent="0.3">
      <c r="H218" s="21"/>
      <c r="I218" s="21"/>
      <c r="K218" s="21"/>
      <c r="M218" s="22"/>
      <c r="O218" s="22"/>
      <c r="P218" s="22"/>
    </row>
    <row r="219" spans="8:16" x14ac:dyDescent="0.3">
      <c r="H219" s="21"/>
      <c r="I219" s="21"/>
      <c r="K219" s="21"/>
      <c r="M219" s="22"/>
      <c r="O219" s="22"/>
      <c r="P219" s="22"/>
    </row>
    <row r="220" spans="8:16" x14ac:dyDescent="0.3">
      <c r="H220" s="21"/>
      <c r="I220" s="21"/>
      <c r="K220" s="21"/>
      <c r="M220" s="22"/>
      <c r="O220" s="22"/>
      <c r="P220" s="22"/>
    </row>
    <row r="221" spans="8:16" x14ac:dyDescent="0.3">
      <c r="H221" s="21"/>
      <c r="I221" s="21"/>
      <c r="K221" s="21"/>
      <c r="M221" s="22"/>
      <c r="O221" s="22"/>
      <c r="P221" s="22"/>
    </row>
    <row r="222" spans="8:16" x14ac:dyDescent="0.3">
      <c r="H222" s="21"/>
      <c r="I222" s="21"/>
      <c r="K222" s="21"/>
      <c r="M222" s="22"/>
      <c r="O222" s="22"/>
      <c r="P222" s="22"/>
    </row>
    <row r="223" spans="8:16" x14ac:dyDescent="0.3">
      <c r="H223" s="21"/>
      <c r="I223" s="21"/>
      <c r="K223" s="21"/>
      <c r="M223" s="22"/>
      <c r="O223" s="22"/>
      <c r="P223" s="22"/>
    </row>
    <row r="224" spans="8:16" x14ac:dyDescent="0.3">
      <c r="H224" s="21"/>
      <c r="I224" s="21"/>
      <c r="K224" s="21"/>
      <c r="M224" s="22"/>
      <c r="O224" s="22"/>
      <c r="P224" s="22"/>
    </row>
    <row r="225" spans="8:16" x14ac:dyDescent="0.3">
      <c r="H225" s="21"/>
      <c r="I225" s="21"/>
      <c r="K225" s="21"/>
      <c r="M225" s="22"/>
      <c r="O225" s="22"/>
      <c r="P225" s="22"/>
    </row>
    <row r="226" spans="8:16" x14ac:dyDescent="0.3">
      <c r="H226" s="21"/>
      <c r="I226" s="21"/>
      <c r="K226" s="21"/>
      <c r="M226" s="22"/>
      <c r="O226" s="22"/>
      <c r="P226" s="22"/>
    </row>
    <row r="227" spans="8:16" x14ac:dyDescent="0.3">
      <c r="H227" s="21"/>
      <c r="I227" s="21"/>
      <c r="K227" s="21"/>
      <c r="M227" s="22"/>
      <c r="O227" s="22"/>
      <c r="P227" s="22"/>
    </row>
    <row r="228" spans="8:16" x14ac:dyDescent="0.3">
      <c r="H228" s="21"/>
      <c r="I228" s="21"/>
      <c r="K228" s="21"/>
      <c r="M228" s="22"/>
      <c r="O228" s="22"/>
      <c r="P228" s="22"/>
    </row>
    <row r="229" spans="8:16" x14ac:dyDescent="0.3">
      <c r="H229" s="21"/>
      <c r="I229" s="21"/>
      <c r="K229" s="21"/>
      <c r="M229" s="22"/>
      <c r="O229" s="22"/>
      <c r="P229" s="22"/>
    </row>
    <row r="230" spans="8:16" x14ac:dyDescent="0.3">
      <c r="H230" s="21"/>
      <c r="I230" s="21"/>
      <c r="K230" s="21"/>
      <c r="M230" s="22"/>
      <c r="O230" s="22"/>
      <c r="P230" s="22"/>
    </row>
    <row r="231" spans="8:16" x14ac:dyDescent="0.3">
      <c r="H231" s="21"/>
      <c r="I231" s="21"/>
      <c r="K231" s="21"/>
      <c r="M231" s="22"/>
      <c r="O231" s="22"/>
      <c r="P231" s="22"/>
    </row>
    <row r="232" spans="8:16" x14ac:dyDescent="0.3">
      <c r="H232" s="21"/>
      <c r="I232" s="21"/>
      <c r="K232" s="21"/>
      <c r="M232" s="22"/>
      <c r="O232" s="22"/>
      <c r="P232" s="22"/>
    </row>
    <row r="233" spans="8:16" x14ac:dyDescent="0.3">
      <c r="H233" s="21"/>
      <c r="I233" s="21"/>
      <c r="K233" s="21"/>
      <c r="M233" s="22"/>
      <c r="O233" s="22"/>
      <c r="P233" s="22"/>
    </row>
    <row r="234" spans="8:16" x14ac:dyDescent="0.3">
      <c r="H234" s="21"/>
      <c r="I234" s="21"/>
      <c r="K234" s="21"/>
      <c r="M234" s="22"/>
      <c r="O234" s="22"/>
      <c r="P234" s="22"/>
    </row>
    <row r="235" spans="8:16" x14ac:dyDescent="0.3">
      <c r="H235" s="21"/>
      <c r="I235" s="21"/>
      <c r="K235" s="21"/>
      <c r="M235" s="22"/>
      <c r="O235" s="22"/>
      <c r="P235" s="22"/>
    </row>
    <row r="236" spans="8:16" x14ac:dyDescent="0.3">
      <c r="H236" s="21"/>
      <c r="I236" s="21"/>
      <c r="K236" s="21"/>
      <c r="M236" s="22"/>
      <c r="O236" s="22"/>
      <c r="P236" s="22"/>
    </row>
    <row r="237" spans="8:16" x14ac:dyDescent="0.3">
      <c r="H237" s="21"/>
      <c r="I237" s="21"/>
      <c r="K237" s="21"/>
      <c r="M237" s="22"/>
      <c r="O237" s="22"/>
      <c r="P237" s="22"/>
    </row>
    <row r="238" spans="8:16" x14ac:dyDescent="0.3">
      <c r="H238" s="21"/>
      <c r="I238" s="21"/>
      <c r="K238" s="21"/>
      <c r="M238" s="22"/>
      <c r="O238" s="22"/>
      <c r="P238" s="22"/>
    </row>
    <row r="239" spans="8:16" x14ac:dyDescent="0.3">
      <c r="H239" s="21"/>
      <c r="I239" s="21"/>
      <c r="K239" s="21"/>
      <c r="M239" s="22"/>
      <c r="O239" s="22"/>
      <c r="P239" s="22"/>
    </row>
    <row r="240" spans="8:16" x14ac:dyDescent="0.3">
      <c r="H240" s="21"/>
      <c r="I240" s="21"/>
      <c r="K240" s="21"/>
      <c r="M240" s="22"/>
      <c r="O240" s="22"/>
      <c r="P240" s="22"/>
    </row>
    <row r="241" spans="8:16" x14ac:dyDescent="0.3">
      <c r="H241" s="21"/>
      <c r="I241" s="21"/>
      <c r="K241" s="21"/>
      <c r="M241" s="22"/>
      <c r="O241" s="22"/>
      <c r="P241" s="22"/>
    </row>
    <row r="242" spans="8:16" x14ac:dyDescent="0.3">
      <c r="H242" s="21"/>
      <c r="I242" s="21"/>
      <c r="K242" s="21"/>
      <c r="M242" s="22"/>
      <c r="O242" s="22"/>
      <c r="P242" s="22"/>
    </row>
    <row r="243" spans="8:16" x14ac:dyDescent="0.3">
      <c r="H243" s="21"/>
      <c r="I243" s="21"/>
      <c r="K243" s="21"/>
      <c r="M243" s="22"/>
      <c r="O243" s="22"/>
      <c r="P243" s="22"/>
    </row>
    <row r="244" spans="8:16" x14ac:dyDescent="0.3">
      <c r="H244" s="21"/>
      <c r="I244" s="21"/>
      <c r="K244" s="21"/>
      <c r="M244" s="22"/>
      <c r="O244" s="22"/>
      <c r="P244" s="22"/>
    </row>
    <row r="245" spans="8:16" x14ac:dyDescent="0.3">
      <c r="H245" s="21"/>
      <c r="I245" s="21"/>
      <c r="K245" s="21"/>
      <c r="M245" s="22"/>
      <c r="O245" s="22"/>
      <c r="P245" s="22"/>
    </row>
    <row r="246" spans="8:16" x14ac:dyDescent="0.3">
      <c r="H246" s="21"/>
      <c r="I246" s="21"/>
      <c r="K246" s="21"/>
      <c r="M246" s="22"/>
      <c r="O246" s="22"/>
      <c r="P246" s="22"/>
    </row>
    <row r="247" spans="8:16" x14ac:dyDescent="0.3">
      <c r="H247" s="21"/>
      <c r="I247" s="21"/>
      <c r="K247" s="21"/>
      <c r="M247" s="22"/>
      <c r="O247" s="22"/>
      <c r="P247" s="22"/>
    </row>
    <row r="248" spans="8:16" x14ac:dyDescent="0.3">
      <c r="H248" s="21"/>
      <c r="I248" s="21"/>
      <c r="K248" s="21"/>
      <c r="M248" s="22"/>
      <c r="O248" s="22"/>
      <c r="P248" s="22"/>
    </row>
    <row r="249" spans="8:16" x14ac:dyDescent="0.3">
      <c r="H249" s="21"/>
      <c r="I249" s="21"/>
      <c r="K249" s="21"/>
      <c r="M249" s="22"/>
      <c r="O249" s="22"/>
      <c r="P249" s="22"/>
    </row>
    <row r="250" spans="8:16" x14ac:dyDescent="0.3">
      <c r="H250" s="21"/>
      <c r="I250" s="21"/>
      <c r="K250" s="21"/>
      <c r="M250" s="22"/>
      <c r="O250" s="22"/>
      <c r="P250" s="22"/>
    </row>
    <row r="251" spans="8:16" x14ac:dyDescent="0.3">
      <c r="H251" s="21"/>
      <c r="I251" s="21"/>
      <c r="K251" s="21"/>
      <c r="M251" s="22"/>
      <c r="O251" s="22"/>
      <c r="P251" s="22"/>
    </row>
    <row r="252" spans="8:16" x14ac:dyDescent="0.3">
      <c r="H252" s="21"/>
      <c r="I252" s="21"/>
      <c r="K252" s="21"/>
      <c r="M252" s="22"/>
      <c r="O252" s="22"/>
      <c r="P252" s="22"/>
    </row>
    <row r="253" spans="8:16" x14ac:dyDescent="0.3">
      <c r="H253" s="21"/>
      <c r="I253" s="21"/>
      <c r="K253" s="21"/>
      <c r="M253" s="22"/>
      <c r="O253" s="22"/>
      <c r="P253" s="22"/>
    </row>
    <row r="254" spans="8:16" x14ac:dyDescent="0.3">
      <c r="H254" s="21"/>
      <c r="I254" s="21"/>
      <c r="K254" s="21"/>
      <c r="M254" s="22"/>
      <c r="O254" s="22"/>
      <c r="P254" s="22"/>
    </row>
    <row r="255" spans="8:16" x14ac:dyDescent="0.3">
      <c r="H255" s="21"/>
      <c r="I255" s="21"/>
      <c r="K255" s="21"/>
      <c r="M255" s="22"/>
      <c r="O255" s="22"/>
      <c r="P255" s="22"/>
    </row>
    <row r="256" spans="8:16" x14ac:dyDescent="0.3">
      <c r="H256" s="21"/>
      <c r="I256" s="21"/>
      <c r="K256" s="21"/>
      <c r="M256" s="22"/>
      <c r="O256" s="22"/>
      <c r="P256" s="22"/>
    </row>
    <row r="257" spans="8:16" x14ac:dyDescent="0.3">
      <c r="H257" s="21"/>
      <c r="I257" s="21"/>
      <c r="K257" s="21"/>
      <c r="M257" s="22"/>
      <c r="O257" s="22"/>
      <c r="P257" s="22"/>
    </row>
    <row r="258" spans="8:16" x14ac:dyDescent="0.3">
      <c r="H258" s="21"/>
      <c r="I258" s="21"/>
      <c r="K258" s="21"/>
      <c r="M258" s="22"/>
      <c r="O258" s="22"/>
      <c r="P258" s="22"/>
    </row>
    <row r="259" spans="8:16" x14ac:dyDescent="0.3">
      <c r="H259" s="21"/>
      <c r="I259" s="21"/>
      <c r="K259" s="21"/>
      <c r="M259" s="22"/>
      <c r="O259" s="22"/>
      <c r="P259" s="22"/>
    </row>
    <row r="260" spans="8:16" x14ac:dyDescent="0.3">
      <c r="H260" s="21"/>
      <c r="I260" s="21"/>
      <c r="K260" s="21"/>
      <c r="M260" s="22"/>
      <c r="O260" s="22"/>
      <c r="P260" s="22"/>
    </row>
    <row r="261" spans="8:16" x14ac:dyDescent="0.3">
      <c r="H261" s="21"/>
      <c r="I261" s="21"/>
      <c r="K261" s="21"/>
      <c r="M261" s="22"/>
      <c r="O261" s="22"/>
      <c r="P261" s="22"/>
    </row>
    <row r="262" spans="8:16" x14ac:dyDescent="0.3">
      <c r="H262" s="21"/>
      <c r="I262" s="21"/>
      <c r="K262" s="21"/>
      <c r="M262" s="22"/>
      <c r="O262" s="22"/>
      <c r="P262" s="22"/>
    </row>
    <row r="263" spans="8:16" x14ac:dyDescent="0.3">
      <c r="H263" s="21"/>
      <c r="I263" s="21"/>
      <c r="K263" s="21"/>
      <c r="M263" s="22"/>
      <c r="O263" s="22"/>
      <c r="P263" s="22"/>
    </row>
    <row r="264" spans="8:16" x14ac:dyDescent="0.3">
      <c r="H264" s="21"/>
      <c r="I264" s="21"/>
      <c r="K264" s="21"/>
      <c r="M264" s="22"/>
      <c r="O264" s="22"/>
      <c r="P264" s="22"/>
    </row>
    <row r="265" spans="8:16" x14ac:dyDescent="0.3">
      <c r="H265" s="21"/>
      <c r="I265" s="21"/>
      <c r="K265" s="21"/>
      <c r="M265" s="22"/>
      <c r="O265" s="22"/>
      <c r="P265" s="22"/>
    </row>
    <row r="266" spans="8:16" x14ac:dyDescent="0.3">
      <c r="H266" s="21"/>
      <c r="I266" s="21"/>
      <c r="K266" s="21"/>
      <c r="M266" s="22"/>
      <c r="O266" s="22"/>
      <c r="P266" s="22"/>
    </row>
    <row r="267" spans="8:16" x14ac:dyDescent="0.3">
      <c r="H267" s="21"/>
      <c r="I267" s="21"/>
      <c r="K267" s="21"/>
      <c r="M267" s="22"/>
      <c r="O267" s="22"/>
      <c r="P267" s="22"/>
    </row>
    <row r="268" spans="8:16" x14ac:dyDescent="0.3">
      <c r="H268" s="21"/>
      <c r="I268" s="21"/>
      <c r="K268" s="21"/>
      <c r="M268" s="22"/>
      <c r="O268" s="22"/>
      <c r="P268" s="22"/>
    </row>
    <row r="269" spans="8:16" x14ac:dyDescent="0.3">
      <c r="H269" s="21"/>
      <c r="I269" s="21"/>
      <c r="K269" s="21"/>
      <c r="M269" s="22"/>
      <c r="O269" s="22"/>
      <c r="P269" s="22"/>
    </row>
    <row r="270" spans="8:16" x14ac:dyDescent="0.3">
      <c r="H270" s="21"/>
      <c r="I270" s="21"/>
      <c r="K270" s="21"/>
      <c r="M270" s="22"/>
      <c r="O270" s="22"/>
      <c r="P270" s="22"/>
    </row>
    <row r="271" spans="8:16" x14ac:dyDescent="0.3">
      <c r="H271" s="21"/>
      <c r="I271" s="21"/>
      <c r="K271" s="21"/>
      <c r="M271" s="22"/>
      <c r="O271" s="22"/>
      <c r="P271" s="22"/>
    </row>
    <row r="272" spans="8:16" x14ac:dyDescent="0.3">
      <c r="H272" s="21"/>
      <c r="I272" s="21"/>
      <c r="K272" s="21"/>
      <c r="M272" s="22"/>
      <c r="O272" s="22"/>
      <c r="P272" s="22"/>
    </row>
    <row r="273" spans="8:16" x14ac:dyDescent="0.3">
      <c r="H273" s="21"/>
      <c r="I273" s="21"/>
      <c r="K273" s="21"/>
      <c r="M273" s="22"/>
      <c r="O273" s="22"/>
      <c r="P273" s="22"/>
    </row>
    <row r="274" spans="8:16" x14ac:dyDescent="0.3">
      <c r="H274" s="21"/>
      <c r="I274" s="21"/>
      <c r="K274" s="21"/>
      <c r="M274" s="22"/>
      <c r="O274" s="22"/>
      <c r="P274" s="22"/>
    </row>
    <row r="275" spans="8:16" x14ac:dyDescent="0.3">
      <c r="H275" s="21"/>
      <c r="I275" s="21"/>
      <c r="K275" s="21"/>
      <c r="M275" s="22"/>
      <c r="O275" s="22"/>
      <c r="P275" s="22"/>
    </row>
    <row r="276" spans="8:16" x14ac:dyDescent="0.3">
      <c r="H276" s="21"/>
      <c r="I276" s="21"/>
      <c r="K276" s="21"/>
      <c r="M276" s="22"/>
      <c r="O276" s="22"/>
      <c r="P276" s="22"/>
    </row>
    <row r="277" spans="8:16" x14ac:dyDescent="0.3">
      <c r="H277" s="21"/>
      <c r="I277" s="21"/>
      <c r="K277" s="21"/>
      <c r="M277" s="22"/>
      <c r="O277" s="22"/>
      <c r="P277" s="22"/>
    </row>
    <row r="278" spans="8:16" x14ac:dyDescent="0.3">
      <c r="H278" s="21"/>
      <c r="I278" s="21"/>
      <c r="K278" s="21"/>
      <c r="M278" s="22"/>
      <c r="O278" s="22"/>
      <c r="P278" s="22"/>
    </row>
    <row r="279" spans="8:16" x14ac:dyDescent="0.3">
      <c r="H279" s="21"/>
      <c r="I279" s="21"/>
      <c r="K279" s="21"/>
      <c r="M279" s="22"/>
      <c r="O279" s="22"/>
      <c r="P279" s="22"/>
    </row>
    <row r="280" spans="8:16" x14ac:dyDescent="0.3">
      <c r="H280" s="21"/>
      <c r="I280" s="21"/>
      <c r="K280" s="21"/>
      <c r="M280" s="22"/>
      <c r="O280" s="22"/>
      <c r="P280" s="22"/>
    </row>
    <row r="281" spans="8:16" x14ac:dyDescent="0.3">
      <c r="H281" s="21"/>
      <c r="I281" s="21"/>
      <c r="K281" s="21"/>
      <c r="M281" s="22"/>
      <c r="O281" s="22"/>
      <c r="P281" s="22"/>
    </row>
    <row r="282" spans="8:16" x14ac:dyDescent="0.3">
      <c r="H282" s="21"/>
      <c r="I282" s="21"/>
      <c r="K282" s="21"/>
      <c r="M282" s="22"/>
      <c r="O282" s="22"/>
      <c r="P282" s="22"/>
    </row>
    <row r="283" spans="8:16" x14ac:dyDescent="0.3">
      <c r="H283" s="21"/>
      <c r="I283" s="21"/>
      <c r="K283" s="21"/>
      <c r="M283" s="22"/>
      <c r="O283" s="22"/>
      <c r="P283" s="22"/>
    </row>
    <row r="284" spans="8:16" x14ac:dyDescent="0.3">
      <c r="H284" s="21"/>
      <c r="I284" s="21"/>
      <c r="K284" s="21"/>
      <c r="M284" s="22"/>
      <c r="O284" s="22"/>
      <c r="P284" s="22"/>
    </row>
    <row r="285" spans="8:16" x14ac:dyDescent="0.3">
      <c r="H285" s="21"/>
      <c r="I285" s="21"/>
      <c r="K285" s="21"/>
      <c r="M285" s="22"/>
      <c r="O285" s="22"/>
      <c r="P285" s="22"/>
    </row>
    <row r="286" spans="8:16" x14ac:dyDescent="0.3">
      <c r="H286" s="21"/>
      <c r="I286" s="21"/>
      <c r="K286" s="21"/>
      <c r="M286" s="22"/>
      <c r="O286" s="22"/>
      <c r="P286" s="22"/>
    </row>
    <row r="287" spans="8:16" x14ac:dyDescent="0.3">
      <c r="H287" s="21"/>
      <c r="I287" s="21"/>
      <c r="K287" s="21"/>
      <c r="M287" s="22"/>
      <c r="O287" s="22"/>
      <c r="P287" s="22"/>
    </row>
    <row r="288" spans="8:16" x14ac:dyDescent="0.3">
      <c r="H288" s="21"/>
      <c r="I288" s="21"/>
      <c r="K288" s="21"/>
      <c r="M288" s="22"/>
      <c r="O288" s="22"/>
      <c r="P288" s="22"/>
    </row>
    <row r="289" spans="8:16" x14ac:dyDescent="0.3">
      <c r="H289" s="21"/>
      <c r="I289" s="21"/>
      <c r="K289" s="21"/>
      <c r="M289" s="22"/>
      <c r="O289" s="22"/>
      <c r="P289" s="22"/>
    </row>
    <row r="290" spans="8:16" x14ac:dyDescent="0.3">
      <c r="H290" s="21"/>
      <c r="I290" s="21"/>
      <c r="K290" s="21"/>
      <c r="M290" s="22"/>
      <c r="O290" s="22"/>
      <c r="P290" s="22"/>
    </row>
    <row r="291" spans="8:16" x14ac:dyDescent="0.3">
      <c r="H291" s="21"/>
      <c r="I291" s="21"/>
      <c r="K291" s="21"/>
      <c r="M291" s="22"/>
      <c r="O291" s="22"/>
      <c r="P291" s="22"/>
    </row>
    <row r="292" spans="8:16" x14ac:dyDescent="0.3">
      <c r="H292" s="21"/>
      <c r="I292" s="21"/>
      <c r="K292" s="21"/>
      <c r="M292" s="22"/>
      <c r="O292" s="22"/>
      <c r="P292" s="22"/>
    </row>
    <row r="293" spans="8:16" x14ac:dyDescent="0.3">
      <c r="H293" s="21"/>
      <c r="I293" s="21"/>
      <c r="K293" s="21"/>
      <c r="M293" s="22"/>
      <c r="O293" s="22"/>
      <c r="P293" s="22"/>
    </row>
    <row r="294" spans="8:16" x14ac:dyDescent="0.3">
      <c r="H294" s="21"/>
      <c r="I294" s="21"/>
      <c r="K294" s="21"/>
      <c r="M294" s="22"/>
      <c r="O294" s="22"/>
      <c r="P294" s="22"/>
    </row>
    <row r="295" spans="8:16" x14ac:dyDescent="0.3">
      <c r="H295" s="21"/>
      <c r="I295" s="21"/>
      <c r="K295" s="21"/>
      <c r="M295" s="22"/>
      <c r="O295" s="22"/>
      <c r="P295" s="22"/>
    </row>
    <row r="296" spans="8:16" x14ac:dyDescent="0.3">
      <c r="H296" s="21"/>
      <c r="I296" s="21"/>
      <c r="K296" s="21"/>
      <c r="M296" s="22"/>
      <c r="O296" s="22"/>
      <c r="P296" s="22"/>
    </row>
    <row r="297" spans="8:16" x14ac:dyDescent="0.3">
      <c r="H297" s="21"/>
      <c r="I297" s="21"/>
      <c r="K297" s="21"/>
      <c r="M297" s="22"/>
      <c r="O297" s="22"/>
      <c r="P297" s="22"/>
    </row>
    <row r="298" spans="8:16" x14ac:dyDescent="0.3">
      <c r="H298" s="21"/>
      <c r="I298" s="21"/>
      <c r="K298" s="21"/>
      <c r="M298" s="22"/>
      <c r="O298" s="22"/>
      <c r="P298" s="22"/>
    </row>
    <row r="299" spans="8:16" x14ac:dyDescent="0.3">
      <c r="H299" s="21"/>
      <c r="I299" s="21"/>
      <c r="K299" s="21"/>
      <c r="M299" s="22"/>
      <c r="O299" s="22"/>
      <c r="P299" s="22"/>
    </row>
    <row r="300" spans="8:16" x14ac:dyDescent="0.3">
      <c r="H300" s="21"/>
      <c r="I300" s="21"/>
      <c r="K300" s="21"/>
      <c r="M300" s="22"/>
      <c r="O300" s="22"/>
      <c r="P300" s="22"/>
    </row>
    <row r="301" spans="8:16" x14ac:dyDescent="0.3">
      <c r="H301" s="21"/>
      <c r="I301" s="21"/>
      <c r="K301" s="21"/>
      <c r="M301" s="22"/>
      <c r="O301" s="22"/>
      <c r="P301" s="22"/>
    </row>
    <row r="302" spans="8:16" x14ac:dyDescent="0.3">
      <c r="H302" s="21"/>
      <c r="I302" s="21"/>
      <c r="K302" s="21"/>
      <c r="M302" s="22"/>
      <c r="O302" s="22"/>
      <c r="P302" s="22"/>
    </row>
    <row r="303" spans="8:16" x14ac:dyDescent="0.3">
      <c r="H303" s="21"/>
      <c r="I303" s="21"/>
      <c r="K303" s="21"/>
      <c r="M303" s="22"/>
      <c r="O303" s="22"/>
      <c r="P303" s="22"/>
    </row>
    <row r="304" spans="8:16" x14ac:dyDescent="0.3">
      <c r="H304" s="21"/>
      <c r="I304" s="21"/>
      <c r="K304" s="21"/>
      <c r="M304" s="22"/>
      <c r="O304" s="22"/>
      <c r="P304" s="22"/>
    </row>
    <row r="305" spans="8:16" x14ac:dyDescent="0.3">
      <c r="H305" s="21"/>
      <c r="I305" s="21"/>
      <c r="K305" s="21"/>
      <c r="M305" s="22"/>
      <c r="O305" s="22"/>
      <c r="P305" s="22"/>
    </row>
    <row r="306" spans="8:16" x14ac:dyDescent="0.3">
      <c r="H306" s="21"/>
      <c r="I306" s="21"/>
      <c r="K306" s="21"/>
      <c r="M306" s="22"/>
      <c r="O306" s="22"/>
      <c r="P306" s="22"/>
    </row>
    <row r="307" spans="8:16" x14ac:dyDescent="0.3">
      <c r="H307" s="21"/>
      <c r="I307" s="21"/>
      <c r="K307" s="21"/>
      <c r="M307" s="22"/>
      <c r="O307" s="22"/>
      <c r="P307" s="22"/>
    </row>
    <row r="308" spans="8:16" x14ac:dyDescent="0.3">
      <c r="H308" s="21"/>
      <c r="I308" s="21"/>
      <c r="K308" s="21"/>
      <c r="M308" s="22"/>
      <c r="O308" s="22"/>
      <c r="P308" s="22"/>
    </row>
    <row r="309" spans="8:16" x14ac:dyDescent="0.3">
      <c r="H309" s="21"/>
      <c r="I309" s="21"/>
      <c r="K309" s="21"/>
      <c r="M309" s="22"/>
      <c r="O309" s="22"/>
      <c r="P309" s="22"/>
    </row>
    <row r="310" spans="8:16" x14ac:dyDescent="0.3">
      <c r="H310" s="21"/>
      <c r="I310" s="21"/>
      <c r="K310" s="21"/>
      <c r="M310" s="22"/>
      <c r="O310" s="22"/>
      <c r="P310" s="22"/>
    </row>
    <row r="311" spans="8:16" x14ac:dyDescent="0.3">
      <c r="H311" s="21"/>
      <c r="I311" s="21"/>
      <c r="K311" s="21"/>
      <c r="M311" s="22"/>
      <c r="O311" s="22"/>
      <c r="P311" s="22"/>
    </row>
    <row r="312" spans="8:16" x14ac:dyDescent="0.3">
      <c r="H312" s="21"/>
      <c r="I312" s="21"/>
      <c r="K312" s="21"/>
      <c r="M312" s="22"/>
      <c r="O312" s="22"/>
      <c r="P312" s="22"/>
    </row>
    <row r="313" spans="8:16" x14ac:dyDescent="0.3">
      <c r="H313" s="21"/>
      <c r="I313" s="21"/>
      <c r="K313" s="21"/>
      <c r="M313" s="22"/>
      <c r="O313" s="22"/>
      <c r="P313" s="22"/>
    </row>
    <row r="314" spans="8:16" x14ac:dyDescent="0.3">
      <c r="H314" s="21"/>
      <c r="I314" s="21"/>
      <c r="K314" s="21"/>
      <c r="M314" s="22"/>
      <c r="O314" s="22"/>
      <c r="P314" s="22"/>
    </row>
    <row r="315" spans="8:16" x14ac:dyDescent="0.3">
      <c r="H315" s="21"/>
      <c r="I315" s="21"/>
      <c r="K315" s="21"/>
      <c r="M315" s="22"/>
      <c r="O315" s="22"/>
      <c r="P315" s="22"/>
    </row>
    <row r="316" spans="8:16" x14ac:dyDescent="0.3">
      <c r="H316" s="21"/>
      <c r="I316" s="21"/>
      <c r="K316" s="21"/>
      <c r="M316" s="22"/>
      <c r="O316" s="22"/>
      <c r="P316" s="22"/>
    </row>
    <row r="317" spans="8:16" x14ac:dyDescent="0.3">
      <c r="H317" s="21"/>
      <c r="I317" s="21"/>
      <c r="K317" s="21"/>
      <c r="M317" s="22"/>
      <c r="O317" s="22"/>
      <c r="P317" s="22"/>
    </row>
    <row r="318" spans="8:16" x14ac:dyDescent="0.3">
      <c r="H318" s="21"/>
      <c r="I318" s="21"/>
      <c r="K318" s="21"/>
      <c r="M318" s="22"/>
      <c r="O318" s="22"/>
      <c r="P318" s="22"/>
    </row>
    <row r="319" spans="8:16" x14ac:dyDescent="0.3">
      <c r="H319" s="21"/>
      <c r="I319" s="21"/>
      <c r="K319" s="21"/>
      <c r="M319" s="22"/>
      <c r="O319" s="22"/>
      <c r="P319" s="22"/>
    </row>
    <row r="320" spans="8:16" x14ac:dyDescent="0.3">
      <c r="H320" s="21"/>
      <c r="I320" s="21"/>
      <c r="K320" s="21"/>
      <c r="M320" s="22"/>
      <c r="O320" s="22"/>
      <c r="P320" s="22"/>
    </row>
    <row r="321" spans="8:16" x14ac:dyDescent="0.3">
      <c r="H321" s="21"/>
      <c r="I321" s="21"/>
      <c r="K321" s="21"/>
      <c r="M321" s="22"/>
      <c r="O321" s="22"/>
      <c r="P321" s="22"/>
    </row>
    <row r="322" spans="8:16" x14ac:dyDescent="0.3">
      <c r="H322" s="21"/>
      <c r="I322" s="21"/>
      <c r="K322" s="21"/>
      <c r="M322" s="22"/>
      <c r="O322" s="22"/>
      <c r="P322" s="22"/>
    </row>
    <row r="323" spans="8:16" x14ac:dyDescent="0.3">
      <c r="H323" s="21"/>
      <c r="I323" s="21"/>
      <c r="K323" s="21"/>
      <c r="M323" s="22"/>
      <c r="O323" s="22"/>
      <c r="P323" s="22"/>
    </row>
    <row r="324" spans="8:16" x14ac:dyDescent="0.3">
      <c r="H324" s="21"/>
      <c r="I324" s="21"/>
      <c r="K324" s="21"/>
      <c r="M324" s="22"/>
      <c r="O324" s="22"/>
      <c r="P324" s="22"/>
    </row>
    <row r="325" spans="8:16" x14ac:dyDescent="0.3">
      <c r="H325" s="21"/>
      <c r="I325" s="21"/>
      <c r="K325" s="21"/>
      <c r="M325" s="22"/>
      <c r="O325" s="22"/>
      <c r="P325" s="22"/>
    </row>
    <row r="326" spans="8:16" x14ac:dyDescent="0.3">
      <c r="H326" s="21"/>
      <c r="I326" s="21"/>
      <c r="K326" s="21"/>
      <c r="M326" s="22"/>
      <c r="O326" s="22"/>
      <c r="P326" s="22"/>
    </row>
    <row r="327" spans="8:16" x14ac:dyDescent="0.3">
      <c r="H327" s="21"/>
      <c r="I327" s="21"/>
      <c r="K327" s="21"/>
      <c r="M327" s="22"/>
      <c r="O327" s="22"/>
      <c r="P327" s="22"/>
    </row>
    <row r="328" spans="8:16" x14ac:dyDescent="0.3">
      <c r="H328" s="21"/>
      <c r="I328" s="21"/>
      <c r="K328" s="21"/>
      <c r="M328" s="22"/>
      <c r="O328" s="22"/>
      <c r="P328" s="22"/>
    </row>
    <row r="329" spans="8:16" x14ac:dyDescent="0.3">
      <c r="H329" s="21"/>
      <c r="I329" s="21"/>
      <c r="K329" s="21"/>
      <c r="M329" s="22"/>
      <c r="O329" s="22"/>
      <c r="P329" s="22"/>
    </row>
    <row r="330" spans="8:16" x14ac:dyDescent="0.3">
      <c r="H330" s="21"/>
      <c r="I330" s="21"/>
      <c r="K330" s="21"/>
      <c r="M330" s="22"/>
      <c r="O330" s="22"/>
      <c r="P330" s="22"/>
    </row>
    <row r="331" spans="8:16" x14ac:dyDescent="0.3">
      <c r="H331" s="21"/>
      <c r="I331" s="21"/>
      <c r="K331" s="21"/>
      <c r="M331" s="22"/>
      <c r="O331" s="22"/>
      <c r="P331" s="22"/>
    </row>
    <row r="332" spans="8:16" x14ac:dyDescent="0.3">
      <c r="H332" s="21"/>
      <c r="I332" s="21"/>
      <c r="K332" s="21"/>
      <c r="M332" s="22"/>
      <c r="O332" s="22"/>
      <c r="P332" s="22"/>
    </row>
    <row r="333" spans="8:16" x14ac:dyDescent="0.3">
      <c r="H333" s="21"/>
      <c r="I333" s="21"/>
      <c r="K333" s="21"/>
      <c r="M333" s="22"/>
      <c r="O333" s="22"/>
      <c r="P333" s="22"/>
    </row>
    <row r="334" spans="8:16" x14ac:dyDescent="0.3">
      <c r="H334" s="21"/>
      <c r="I334" s="21"/>
      <c r="K334" s="21"/>
      <c r="M334" s="22"/>
      <c r="O334" s="22"/>
      <c r="P334" s="22"/>
    </row>
    <row r="335" spans="8:16" x14ac:dyDescent="0.3">
      <c r="H335" s="21"/>
      <c r="I335" s="21"/>
      <c r="K335" s="21"/>
      <c r="M335" s="22"/>
      <c r="O335" s="22"/>
      <c r="P335" s="22"/>
    </row>
    <row r="336" spans="8:16" x14ac:dyDescent="0.3">
      <c r="H336" s="21"/>
      <c r="I336" s="21"/>
      <c r="K336" s="21"/>
      <c r="M336" s="22"/>
      <c r="O336" s="22"/>
      <c r="P336" s="22"/>
    </row>
    <row r="337" spans="8:16" x14ac:dyDescent="0.3">
      <c r="H337" s="21"/>
      <c r="I337" s="21"/>
      <c r="K337" s="21"/>
      <c r="M337" s="22"/>
      <c r="O337" s="22"/>
      <c r="P337" s="22"/>
    </row>
    <row r="338" spans="8:16" x14ac:dyDescent="0.3">
      <c r="H338" s="21"/>
      <c r="I338" s="21"/>
      <c r="K338" s="21"/>
      <c r="M338" s="22"/>
      <c r="O338" s="22"/>
      <c r="P338" s="22"/>
    </row>
    <row r="339" spans="8:16" x14ac:dyDescent="0.3">
      <c r="H339" s="21"/>
      <c r="I339" s="21"/>
      <c r="K339" s="21"/>
      <c r="M339" s="22"/>
      <c r="O339" s="22"/>
      <c r="P339" s="22"/>
    </row>
    <row r="340" spans="8:16" x14ac:dyDescent="0.3">
      <c r="H340" s="21"/>
      <c r="I340" s="21"/>
      <c r="K340" s="21"/>
      <c r="M340" s="22"/>
      <c r="O340" s="22"/>
      <c r="P340" s="22"/>
    </row>
    <row r="341" spans="8:16" x14ac:dyDescent="0.3">
      <c r="H341" s="21"/>
      <c r="I341" s="21"/>
      <c r="K341" s="21"/>
      <c r="M341" s="22"/>
      <c r="O341" s="22"/>
      <c r="P341" s="22"/>
    </row>
    <row r="342" spans="8:16" x14ac:dyDescent="0.3">
      <c r="H342" s="21"/>
      <c r="I342" s="21"/>
      <c r="K342" s="21"/>
      <c r="M342" s="22"/>
      <c r="O342" s="22"/>
      <c r="P342" s="22"/>
    </row>
    <row r="343" spans="8:16" x14ac:dyDescent="0.3">
      <c r="H343" s="21"/>
      <c r="I343" s="21"/>
      <c r="K343" s="21"/>
      <c r="M343" s="22"/>
      <c r="O343" s="22"/>
      <c r="P343" s="22"/>
    </row>
    <row r="344" spans="8:16" x14ac:dyDescent="0.3">
      <c r="H344" s="21"/>
      <c r="I344" s="21"/>
      <c r="K344" s="21"/>
      <c r="M344" s="22"/>
      <c r="O344" s="22"/>
      <c r="P344" s="22"/>
    </row>
    <row r="345" spans="8:16" x14ac:dyDescent="0.3">
      <c r="H345" s="21"/>
      <c r="I345" s="21"/>
      <c r="K345" s="21"/>
      <c r="M345" s="22"/>
      <c r="O345" s="22"/>
      <c r="P345" s="22"/>
    </row>
    <row r="346" spans="8:16" x14ac:dyDescent="0.3">
      <c r="H346" s="21"/>
      <c r="I346" s="21"/>
      <c r="K346" s="21"/>
      <c r="M346" s="22"/>
      <c r="O346" s="22"/>
      <c r="P346" s="22"/>
    </row>
    <row r="347" spans="8:16" x14ac:dyDescent="0.3">
      <c r="H347" s="21"/>
      <c r="I347" s="21"/>
      <c r="K347" s="21"/>
      <c r="M347" s="22"/>
      <c r="O347" s="22"/>
      <c r="P347" s="22"/>
    </row>
    <row r="348" spans="8:16" x14ac:dyDescent="0.3">
      <c r="H348" s="21"/>
      <c r="I348" s="21"/>
      <c r="K348" s="21"/>
      <c r="M348" s="22"/>
      <c r="O348" s="22"/>
      <c r="P348" s="22"/>
    </row>
    <row r="349" spans="8:16" x14ac:dyDescent="0.3">
      <c r="H349" s="21"/>
      <c r="I349" s="21"/>
      <c r="K349" s="21"/>
      <c r="M349" s="22"/>
      <c r="O349" s="22"/>
      <c r="P349" s="22"/>
    </row>
    <row r="350" spans="8:16" x14ac:dyDescent="0.3">
      <c r="H350" s="21"/>
      <c r="I350" s="21"/>
      <c r="K350" s="21"/>
      <c r="M350" s="22"/>
      <c r="O350" s="22"/>
      <c r="P350" s="22"/>
    </row>
    <row r="351" spans="8:16" x14ac:dyDescent="0.3">
      <c r="H351" s="21"/>
      <c r="I351" s="21"/>
      <c r="K351" s="21"/>
      <c r="M351" s="22"/>
      <c r="O351" s="22"/>
      <c r="P351" s="22"/>
    </row>
    <row r="352" spans="8:16" x14ac:dyDescent="0.3">
      <c r="H352" s="21"/>
      <c r="I352" s="21"/>
      <c r="K352" s="21"/>
      <c r="M352" s="22"/>
      <c r="O352" s="22"/>
      <c r="P352" s="22"/>
    </row>
    <row r="353" spans="8:16" x14ac:dyDescent="0.3">
      <c r="H353" s="21"/>
      <c r="I353" s="21"/>
      <c r="K353" s="21"/>
      <c r="M353" s="22"/>
      <c r="O353" s="22"/>
      <c r="P353" s="22"/>
    </row>
    <row r="354" spans="8:16" x14ac:dyDescent="0.3">
      <c r="H354" s="21"/>
      <c r="I354" s="21"/>
      <c r="K354" s="21"/>
      <c r="M354" s="22"/>
      <c r="O354" s="22"/>
      <c r="P354" s="22"/>
    </row>
    <row r="355" spans="8:16" x14ac:dyDescent="0.3">
      <c r="H355" s="21"/>
      <c r="I355" s="21"/>
      <c r="K355" s="21"/>
      <c r="M355" s="22"/>
      <c r="O355" s="22"/>
      <c r="P355" s="22"/>
    </row>
    <row r="356" spans="8:16" x14ac:dyDescent="0.3">
      <c r="H356" s="21"/>
      <c r="I356" s="21"/>
      <c r="K356" s="21"/>
      <c r="M356" s="22"/>
      <c r="O356" s="22"/>
      <c r="P356" s="22"/>
    </row>
    <row r="357" spans="8:16" x14ac:dyDescent="0.3">
      <c r="H357" s="21"/>
      <c r="I357" s="21"/>
      <c r="K357" s="21"/>
      <c r="M357" s="22"/>
      <c r="O357" s="22"/>
      <c r="P357" s="22"/>
    </row>
    <row r="358" spans="8:16" x14ac:dyDescent="0.3">
      <c r="H358" s="21"/>
      <c r="I358" s="21"/>
      <c r="K358" s="21"/>
      <c r="M358" s="22"/>
      <c r="O358" s="22"/>
      <c r="P358" s="22"/>
    </row>
    <row r="359" spans="8:16" x14ac:dyDescent="0.3">
      <c r="H359" s="21"/>
      <c r="I359" s="21"/>
      <c r="K359" s="21"/>
      <c r="M359" s="22"/>
      <c r="O359" s="22"/>
      <c r="P359" s="22"/>
    </row>
    <row r="360" spans="8:16" x14ac:dyDescent="0.3">
      <c r="H360" s="21"/>
      <c r="I360" s="21"/>
      <c r="K360" s="21"/>
      <c r="M360" s="22"/>
      <c r="O360" s="22"/>
      <c r="P360" s="22"/>
    </row>
    <row r="361" spans="8:16" x14ac:dyDescent="0.3">
      <c r="H361" s="21"/>
      <c r="I361" s="21"/>
      <c r="K361" s="21"/>
      <c r="M361" s="22"/>
      <c r="O361" s="22"/>
      <c r="P361" s="22"/>
    </row>
    <row r="362" spans="8:16" x14ac:dyDescent="0.3">
      <c r="H362" s="21"/>
      <c r="I362" s="21"/>
      <c r="K362" s="21"/>
      <c r="M362" s="22"/>
      <c r="O362" s="22"/>
      <c r="P362" s="22"/>
    </row>
    <row r="363" spans="8:16" x14ac:dyDescent="0.3">
      <c r="H363" s="21"/>
      <c r="I363" s="21"/>
      <c r="K363" s="21"/>
      <c r="M363" s="22"/>
      <c r="O363" s="22"/>
      <c r="P363" s="22"/>
    </row>
    <row r="364" spans="8:16" x14ac:dyDescent="0.3">
      <c r="H364" s="21"/>
      <c r="I364" s="21"/>
      <c r="K364" s="21"/>
      <c r="M364" s="22"/>
      <c r="O364" s="22"/>
      <c r="P364" s="22"/>
    </row>
    <row r="365" spans="8:16" x14ac:dyDescent="0.3">
      <c r="H365" s="21"/>
      <c r="I365" s="21"/>
      <c r="K365" s="21"/>
      <c r="M365" s="22"/>
      <c r="O365" s="22"/>
      <c r="P365" s="22"/>
    </row>
    <row r="366" spans="8:16" x14ac:dyDescent="0.3">
      <c r="H366" s="21"/>
      <c r="I366" s="21"/>
      <c r="K366" s="21"/>
      <c r="M366" s="22"/>
      <c r="O366" s="22"/>
      <c r="P366" s="22"/>
    </row>
    <row r="367" spans="8:16" x14ac:dyDescent="0.3">
      <c r="H367" s="21"/>
      <c r="I367" s="21"/>
      <c r="K367" s="21"/>
      <c r="M367" s="22"/>
      <c r="O367" s="22"/>
      <c r="P367" s="22"/>
    </row>
    <row r="368" spans="8:16" x14ac:dyDescent="0.3">
      <c r="H368" s="21"/>
      <c r="I368" s="21"/>
      <c r="K368" s="21"/>
      <c r="M368" s="22"/>
      <c r="O368" s="22"/>
      <c r="P368" s="22"/>
    </row>
    <row r="369" spans="8:16" x14ac:dyDescent="0.3">
      <c r="H369" s="21"/>
      <c r="I369" s="21"/>
      <c r="K369" s="21"/>
      <c r="M369" s="22"/>
      <c r="O369" s="22"/>
      <c r="P369" s="22"/>
    </row>
    <row r="370" spans="8:16" x14ac:dyDescent="0.3">
      <c r="H370" s="21"/>
      <c r="I370" s="21"/>
      <c r="K370" s="21"/>
      <c r="M370" s="22"/>
      <c r="O370" s="22"/>
      <c r="P370" s="22"/>
    </row>
    <row r="371" spans="8:16" x14ac:dyDescent="0.3">
      <c r="H371" s="21"/>
      <c r="I371" s="21"/>
      <c r="K371" s="21"/>
      <c r="M371" s="22"/>
      <c r="O371" s="22"/>
      <c r="P371" s="22"/>
    </row>
    <row r="372" spans="8:16" x14ac:dyDescent="0.3">
      <c r="H372" s="21"/>
      <c r="I372" s="21"/>
      <c r="K372" s="21"/>
      <c r="M372" s="22"/>
      <c r="O372" s="22"/>
      <c r="P372" s="22"/>
    </row>
    <row r="373" spans="8:16" x14ac:dyDescent="0.3">
      <c r="H373" s="21"/>
      <c r="I373" s="21"/>
      <c r="K373" s="21"/>
      <c r="M373" s="22"/>
      <c r="O373" s="22"/>
      <c r="P373" s="22"/>
    </row>
    <row r="374" spans="8:16" x14ac:dyDescent="0.3">
      <c r="H374" s="21"/>
      <c r="I374" s="21"/>
      <c r="K374" s="21"/>
      <c r="M374" s="22"/>
      <c r="O374" s="22"/>
      <c r="P374" s="22"/>
    </row>
    <row r="375" spans="8:16" x14ac:dyDescent="0.3">
      <c r="H375" s="21"/>
      <c r="I375" s="21"/>
      <c r="K375" s="21"/>
      <c r="M375" s="22"/>
      <c r="O375" s="22"/>
      <c r="P375" s="22"/>
    </row>
    <row r="376" spans="8:16" x14ac:dyDescent="0.3">
      <c r="H376" s="21"/>
      <c r="I376" s="21"/>
      <c r="K376" s="21"/>
      <c r="M376" s="22"/>
      <c r="O376" s="22"/>
      <c r="P376" s="22"/>
    </row>
    <row r="377" spans="8:16" x14ac:dyDescent="0.3">
      <c r="H377" s="21"/>
      <c r="I377" s="21"/>
      <c r="K377" s="21"/>
      <c r="M377" s="22"/>
      <c r="O377" s="22"/>
      <c r="P377" s="22"/>
    </row>
    <row r="378" spans="8:16" x14ac:dyDescent="0.3">
      <c r="H378" s="21"/>
      <c r="I378" s="21"/>
      <c r="K378" s="21"/>
      <c r="M378" s="22"/>
      <c r="O378" s="22"/>
      <c r="P378" s="22"/>
    </row>
    <row r="379" spans="8:16" x14ac:dyDescent="0.3">
      <c r="H379" s="21"/>
      <c r="I379" s="21"/>
      <c r="K379" s="21"/>
      <c r="M379" s="22"/>
      <c r="O379" s="22"/>
      <c r="P379" s="22"/>
    </row>
    <row r="380" spans="8:16" x14ac:dyDescent="0.3">
      <c r="H380" s="21"/>
      <c r="I380" s="21"/>
      <c r="K380" s="21"/>
      <c r="M380" s="22"/>
      <c r="O380" s="22"/>
      <c r="P380" s="22"/>
    </row>
    <row r="381" spans="8:16" x14ac:dyDescent="0.3">
      <c r="H381" s="21"/>
      <c r="I381" s="21"/>
      <c r="K381" s="21"/>
      <c r="M381" s="22"/>
      <c r="O381" s="22"/>
      <c r="P381" s="22"/>
    </row>
    <row r="382" spans="8:16" x14ac:dyDescent="0.3">
      <c r="H382" s="21"/>
      <c r="I382" s="21"/>
      <c r="K382" s="21"/>
      <c r="M382" s="22"/>
      <c r="O382" s="22"/>
      <c r="P382" s="22"/>
    </row>
    <row r="383" spans="8:16" x14ac:dyDescent="0.3">
      <c r="H383" s="21"/>
      <c r="I383" s="21"/>
      <c r="K383" s="21"/>
      <c r="M383" s="22"/>
      <c r="O383" s="22"/>
      <c r="P383" s="22"/>
    </row>
    <row r="384" spans="8:16" x14ac:dyDescent="0.3">
      <c r="H384" s="21"/>
      <c r="I384" s="21"/>
      <c r="K384" s="21"/>
      <c r="M384" s="22"/>
      <c r="O384" s="22"/>
      <c r="P384" s="22"/>
    </row>
    <row r="385" spans="8:16" x14ac:dyDescent="0.3">
      <c r="H385" s="21"/>
      <c r="I385" s="21"/>
      <c r="K385" s="21"/>
      <c r="M385" s="22"/>
      <c r="O385" s="22"/>
      <c r="P385" s="22"/>
    </row>
    <row r="386" spans="8:16" x14ac:dyDescent="0.3">
      <c r="H386" s="21"/>
      <c r="I386" s="21"/>
      <c r="K386" s="21"/>
      <c r="M386" s="22"/>
      <c r="O386" s="22"/>
      <c r="P386" s="22"/>
    </row>
    <row r="387" spans="8:16" x14ac:dyDescent="0.3">
      <c r="H387" s="21"/>
      <c r="I387" s="21"/>
      <c r="K387" s="21"/>
      <c r="M387" s="22"/>
      <c r="O387" s="22"/>
      <c r="P387" s="22"/>
    </row>
    <row r="388" spans="8:16" x14ac:dyDescent="0.3">
      <c r="H388" s="21"/>
      <c r="I388" s="21"/>
      <c r="K388" s="21"/>
      <c r="M388" s="22"/>
      <c r="O388" s="22"/>
      <c r="P388" s="22"/>
    </row>
    <row r="389" spans="8:16" x14ac:dyDescent="0.3">
      <c r="H389" s="21"/>
      <c r="I389" s="21"/>
      <c r="K389" s="21"/>
      <c r="M389" s="22"/>
      <c r="O389" s="22"/>
      <c r="P389" s="22"/>
    </row>
    <row r="390" spans="8:16" x14ac:dyDescent="0.3">
      <c r="H390" s="21"/>
      <c r="I390" s="21"/>
      <c r="K390" s="21"/>
      <c r="M390" s="22"/>
      <c r="O390" s="22"/>
      <c r="P390" s="22"/>
    </row>
    <row r="391" spans="8:16" x14ac:dyDescent="0.3">
      <c r="H391" s="21"/>
      <c r="I391" s="21"/>
      <c r="K391" s="21"/>
      <c r="M391" s="22"/>
      <c r="O391" s="22"/>
      <c r="P391" s="22"/>
    </row>
    <row r="392" spans="8:16" x14ac:dyDescent="0.3">
      <c r="H392" s="21"/>
      <c r="I392" s="21"/>
      <c r="K392" s="21"/>
      <c r="M392" s="22"/>
      <c r="O392" s="22"/>
      <c r="P392" s="22"/>
    </row>
    <row r="393" spans="8:16" x14ac:dyDescent="0.3">
      <c r="H393" s="21"/>
      <c r="I393" s="21"/>
      <c r="K393" s="21"/>
      <c r="M393" s="22"/>
      <c r="O393" s="22"/>
      <c r="P393" s="22"/>
    </row>
    <row r="394" spans="8:16" x14ac:dyDescent="0.3">
      <c r="H394" s="21"/>
      <c r="I394" s="21"/>
      <c r="K394" s="21"/>
      <c r="M394" s="22"/>
      <c r="O394" s="22"/>
      <c r="P394" s="22"/>
    </row>
    <row r="395" spans="8:16" x14ac:dyDescent="0.3">
      <c r="H395" s="21"/>
      <c r="I395" s="21"/>
      <c r="K395" s="21"/>
      <c r="M395" s="22"/>
      <c r="O395" s="22"/>
      <c r="P395" s="22"/>
    </row>
    <row r="396" spans="8:16" x14ac:dyDescent="0.3">
      <c r="H396" s="21"/>
      <c r="I396" s="21"/>
      <c r="K396" s="21"/>
      <c r="M396" s="22"/>
      <c r="O396" s="22"/>
      <c r="P396" s="22"/>
    </row>
    <row r="397" spans="8:16" x14ac:dyDescent="0.3">
      <c r="H397" s="21"/>
      <c r="I397" s="21"/>
      <c r="K397" s="21"/>
      <c r="M397" s="22"/>
      <c r="O397" s="22"/>
      <c r="P397" s="22"/>
    </row>
    <row r="398" spans="8:16" x14ac:dyDescent="0.3">
      <c r="H398" s="21"/>
      <c r="I398" s="21"/>
      <c r="K398" s="21"/>
      <c r="M398" s="22"/>
      <c r="O398" s="22"/>
      <c r="P398" s="22"/>
    </row>
    <row r="399" spans="8:16" x14ac:dyDescent="0.3">
      <c r="H399" s="21"/>
      <c r="I399" s="21"/>
      <c r="K399" s="21"/>
      <c r="M399" s="22"/>
      <c r="O399" s="22"/>
      <c r="P399" s="22"/>
    </row>
    <row r="400" spans="8:16" x14ac:dyDescent="0.3">
      <c r="H400" s="21"/>
      <c r="I400" s="21"/>
      <c r="K400" s="21"/>
      <c r="M400" s="22"/>
      <c r="O400" s="22"/>
      <c r="P400" s="22"/>
    </row>
    <row r="401" spans="8:16" x14ac:dyDescent="0.3">
      <c r="H401" s="21"/>
      <c r="I401" s="21"/>
      <c r="K401" s="21"/>
      <c r="M401" s="22"/>
      <c r="O401" s="22"/>
      <c r="P401" s="22"/>
    </row>
    <row r="402" spans="8:16" x14ac:dyDescent="0.3">
      <c r="H402" s="21"/>
      <c r="I402" s="21"/>
      <c r="K402" s="21"/>
      <c r="M402" s="22"/>
      <c r="O402" s="22"/>
      <c r="P402" s="22"/>
    </row>
    <row r="403" spans="8:16" x14ac:dyDescent="0.3">
      <c r="H403" s="21"/>
      <c r="I403" s="21"/>
      <c r="K403" s="21"/>
      <c r="M403" s="22"/>
      <c r="O403" s="22"/>
      <c r="P403" s="22"/>
    </row>
    <row r="404" spans="8:16" x14ac:dyDescent="0.3">
      <c r="H404" s="21"/>
      <c r="I404" s="21"/>
      <c r="K404" s="21"/>
      <c r="M404" s="22"/>
      <c r="O404" s="22"/>
      <c r="P404" s="22"/>
    </row>
    <row r="405" spans="8:16" x14ac:dyDescent="0.3">
      <c r="H405" s="21"/>
      <c r="I405" s="21"/>
      <c r="K405" s="21"/>
      <c r="M405" s="22"/>
      <c r="O405" s="22"/>
      <c r="P405" s="22"/>
    </row>
    <row r="406" spans="8:16" x14ac:dyDescent="0.3">
      <c r="H406" s="21"/>
      <c r="I406" s="21"/>
      <c r="K406" s="21"/>
      <c r="M406" s="22"/>
      <c r="O406" s="22"/>
      <c r="P406" s="22"/>
    </row>
    <row r="407" spans="8:16" x14ac:dyDescent="0.3">
      <c r="H407" s="21"/>
      <c r="I407" s="21"/>
      <c r="K407" s="21"/>
      <c r="M407" s="22"/>
      <c r="O407" s="22"/>
      <c r="P407" s="22"/>
    </row>
    <row r="408" spans="8:16" x14ac:dyDescent="0.3">
      <c r="H408" s="21"/>
      <c r="I408" s="21"/>
      <c r="K408" s="21"/>
      <c r="M408" s="22"/>
      <c r="O408" s="22"/>
      <c r="P408" s="22"/>
    </row>
    <row r="409" spans="8:16" x14ac:dyDescent="0.3">
      <c r="H409" s="21"/>
      <c r="I409" s="21"/>
      <c r="K409" s="21"/>
      <c r="M409" s="22"/>
      <c r="O409" s="22"/>
      <c r="P409" s="22"/>
    </row>
    <row r="410" spans="8:16" x14ac:dyDescent="0.3">
      <c r="H410" s="21"/>
      <c r="I410" s="21"/>
      <c r="K410" s="21"/>
      <c r="M410" s="22"/>
      <c r="O410" s="22"/>
      <c r="P410" s="22"/>
    </row>
    <row r="411" spans="8:16" x14ac:dyDescent="0.3">
      <c r="H411" s="21"/>
      <c r="I411" s="21"/>
      <c r="K411" s="21"/>
      <c r="M411" s="22"/>
      <c r="O411" s="22"/>
      <c r="P411" s="22"/>
    </row>
    <row r="412" spans="8:16" x14ac:dyDescent="0.3">
      <c r="H412" s="21"/>
      <c r="I412" s="21"/>
      <c r="K412" s="21"/>
      <c r="M412" s="22"/>
      <c r="O412" s="22"/>
      <c r="P412" s="22"/>
    </row>
    <row r="413" spans="8:16" x14ac:dyDescent="0.3">
      <c r="H413" s="21"/>
      <c r="I413" s="21"/>
      <c r="K413" s="21"/>
      <c r="M413" s="22"/>
      <c r="O413" s="22"/>
      <c r="P413" s="22"/>
    </row>
    <row r="414" spans="8:16" x14ac:dyDescent="0.3">
      <c r="H414" s="21"/>
      <c r="I414" s="21"/>
      <c r="K414" s="21"/>
      <c r="M414" s="22"/>
      <c r="O414" s="22"/>
      <c r="P414" s="22"/>
    </row>
    <row r="415" spans="8:16" x14ac:dyDescent="0.3">
      <c r="H415" s="21"/>
      <c r="I415" s="21"/>
      <c r="K415" s="21"/>
      <c r="M415" s="22"/>
      <c r="O415" s="22"/>
      <c r="P415" s="22"/>
    </row>
    <row r="416" spans="8:16" x14ac:dyDescent="0.3">
      <c r="H416" s="21"/>
      <c r="I416" s="21"/>
      <c r="K416" s="21"/>
      <c r="M416" s="22"/>
      <c r="O416" s="22"/>
      <c r="P416" s="22"/>
    </row>
    <row r="417" spans="8:16" x14ac:dyDescent="0.3">
      <c r="H417" s="21"/>
      <c r="I417" s="21"/>
      <c r="K417" s="21"/>
      <c r="M417" s="22"/>
      <c r="O417" s="22"/>
      <c r="P417" s="22"/>
    </row>
    <row r="418" spans="8:16" x14ac:dyDescent="0.3">
      <c r="H418" s="21"/>
      <c r="I418" s="21"/>
      <c r="K418" s="21"/>
      <c r="M418" s="22"/>
      <c r="O418" s="22"/>
      <c r="P418" s="22"/>
    </row>
    <row r="419" spans="8:16" x14ac:dyDescent="0.3">
      <c r="H419" s="21"/>
      <c r="I419" s="21"/>
      <c r="K419" s="21"/>
      <c r="M419" s="22"/>
      <c r="O419" s="22"/>
      <c r="P419" s="22"/>
    </row>
    <row r="420" spans="8:16" x14ac:dyDescent="0.3">
      <c r="H420" s="21"/>
      <c r="I420" s="21"/>
      <c r="K420" s="21"/>
      <c r="M420" s="22"/>
      <c r="O420" s="22"/>
      <c r="P420" s="22"/>
    </row>
    <row r="421" spans="8:16" x14ac:dyDescent="0.3">
      <c r="H421" s="21"/>
      <c r="I421" s="21"/>
      <c r="K421" s="21"/>
      <c r="M421" s="22"/>
      <c r="O421" s="22"/>
      <c r="P421" s="22"/>
    </row>
    <row r="422" spans="8:16" x14ac:dyDescent="0.3">
      <c r="H422" s="21"/>
      <c r="I422" s="21"/>
      <c r="K422" s="21"/>
      <c r="M422" s="22"/>
      <c r="O422" s="22"/>
      <c r="P422" s="22"/>
    </row>
    <row r="423" spans="8:16" x14ac:dyDescent="0.3">
      <c r="H423" s="21"/>
      <c r="I423" s="21"/>
      <c r="K423" s="21"/>
      <c r="M423" s="22"/>
      <c r="O423" s="22"/>
      <c r="P423" s="22"/>
    </row>
    <row r="424" spans="8:16" x14ac:dyDescent="0.3">
      <c r="H424" s="21"/>
      <c r="I424" s="21"/>
      <c r="K424" s="21"/>
      <c r="M424" s="22"/>
      <c r="O424" s="22"/>
      <c r="P424" s="22"/>
    </row>
    <row r="425" spans="8:16" x14ac:dyDescent="0.3">
      <c r="H425" s="21"/>
      <c r="I425" s="21"/>
      <c r="K425" s="21"/>
      <c r="M425" s="22"/>
      <c r="O425" s="22"/>
      <c r="P425" s="22"/>
    </row>
    <row r="426" spans="8:16" x14ac:dyDescent="0.3">
      <c r="H426" s="21"/>
      <c r="I426" s="21"/>
      <c r="K426" s="21"/>
      <c r="M426" s="22"/>
      <c r="O426" s="22"/>
      <c r="P426" s="22"/>
    </row>
    <row r="427" spans="8:16" x14ac:dyDescent="0.3">
      <c r="H427" s="21"/>
      <c r="I427" s="21"/>
      <c r="K427" s="21"/>
      <c r="M427" s="22"/>
      <c r="O427" s="22"/>
      <c r="P427" s="22"/>
    </row>
    <row r="428" spans="8:16" x14ac:dyDescent="0.3">
      <c r="H428" s="21"/>
      <c r="I428" s="21"/>
      <c r="K428" s="21"/>
      <c r="M428" s="22"/>
      <c r="O428" s="22"/>
      <c r="P428" s="22"/>
    </row>
    <row r="429" spans="8:16" x14ac:dyDescent="0.3">
      <c r="H429" s="21"/>
      <c r="I429" s="21"/>
      <c r="K429" s="21"/>
      <c r="M429" s="22"/>
      <c r="O429" s="22"/>
      <c r="P429" s="22"/>
    </row>
    <row r="430" spans="8:16" x14ac:dyDescent="0.3">
      <c r="H430" s="21"/>
      <c r="I430" s="21"/>
      <c r="K430" s="21"/>
      <c r="M430" s="22"/>
      <c r="O430" s="22"/>
      <c r="P430" s="22"/>
    </row>
    <row r="431" spans="8:16" x14ac:dyDescent="0.3">
      <c r="H431" s="21"/>
      <c r="I431" s="21"/>
      <c r="K431" s="21"/>
      <c r="M431" s="22"/>
      <c r="O431" s="22"/>
      <c r="P431" s="22"/>
    </row>
    <row r="432" spans="8:16" x14ac:dyDescent="0.3">
      <c r="H432" s="21"/>
      <c r="I432" s="21"/>
      <c r="K432" s="21"/>
      <c r="M432" s="22"/>
      <c r="O432" s="22"/>
      <c r="P432" s="22"/>
    </row>
    <row r="433" spans="8:16" x14ac:dyDescent="0.3">
      <c r="H433" s="21"/>
      <c r="I433" s="21"/>
      <c r="K433" s="21"/>
      <c r="M433" s="22"/>
      <c r="O433" s="22"/>
      <c r="P433" s="22"/>
    </row>
    <row r="434" spans="8:16" x14ac:dyDescent="0.3">
      <c r="H434" s="21"/>
      <c r="I434" s="21"/>
      <c r="K434" s="21"/>
      <c r="M434" s="22"/>
      <c r="O434" s="22"/>
      <c r="P434" s="22"/>
    </row>
    <row r="435" spans="8:16" x14ac:dyDescent="0.3">
      <c r="H435" s="21"/>
      <c r="I435" s="21"/>
      <c r="K435" s="21"/>
      <c r="M435" s="22"/>
      <c r="O435" s="22"/>
      <c r="P435" s="22"/>
    </row>
    <row r="436" spans="8:16" x14ac:dyDescent="0.3">
      <c r="H436" s="21"/>
      <c r="I436" s="21"/>
      <c r="K436" s="21"/>
      <c r="M436" s="22"/>
      <c r="O436" s="22"/>
      <c r="P436" s="22"/>
    </row>
    <row r="437" spans="8:16" x14ac:dyDescent="0.3">
      <c r="H437" s="21"/>
      <c r="I437" s="21"/>
      <c r="K437" s="21"/>
      <c r="M437" s="22"/>
      <c r="O437" s="22"/>
      <c r="P437" s="22"/>
    </row>
    <row r="438" spans="8:16" x14ac:dyDescent="0.3">
      <c r="H438" s="21"/>
      <c r="I438" s="21"/>
      <c r="K438" s="21"/>
      <c r="M438" s="22"/>
      <c r="O438" s="22"/>
      <c r="P438" s="22"/>
    </row>
    <row r="439" spans="8:16" x14ac:dyDescent="0.3">
      <c r="H439" s="21"/>
      <c r="I439" s="21"/>
      <c r="K439" s="21"/>
      <c r="M439" s="22"/>
      <c r="O439" s="22"/>
      <c r="P439" s="22"/>
    </row>
    <row r="440" spans="8:16" x14ac:dyDescent="0.3">
      <c r="H440" s="21"/>
      <c r="I440" s="21"/>
      <c r="K440" s="21"/>
      <c r="M440" s="22"/>
      <c r="O440" s="22"/>
      <c r="P440" s="22"/>
    </row>
    <row r="441" spans="8:16" x14ac:dyDescent="0.3">
      <c r="H441" s="21"/>
      <c r="I441" s="21"/>
      <c r="K441" s="21"/>
      <c r="M441" s="22"/>
      <c r="O441" s="22"/>
      <c r="P441" s="22"/>
    </row>
    <row r="442" spans="8:16" x14ac:dyDescent="0.3">
      <c r="H442" s="21"/>
      <c r="I442" s="21"/>
      <c r="K442" s="21"/>
      <c r="M442" s="22"/>
      <c r="O442" s="22"/>
      <c r="P442" s="22"/>
    </row>
    <row r="443" spans="8:16" x14ac:dyDescent="0.3">
      <c r="H443" s="21"/>
      <c r="I443" s="21"/>
      <c r="K443" s="21"/>
      <c r="M443" s="22"/>
      <c r="O443" s="22"/>
      <c r="P443" s="22"/>
    </row>
    <row r="444" spans="8:16" x14ac:dyDescent="0.3">
      <c r="H444" s="21"/>
      <c r="I444" s="21"/>
      <c r="K444" s="21"/>
      <c r="M444" s="22"/>
      <c r="O444" s="22"/>
      <c r="P444" s="22"/>
    </row>
    <row r="445" spans="8:16" x14ac:dyDescent="0.3">
      <c r="H445" s="21"/>
      <c r="I445" s="21"/>
      <c r="K445" s="21"/>
      <c r="M445" s="22"/>
      <c r="O445" s="22"/>
      <c r="P445" s="22"/>
    </row>
    <row r="446" spans="8:16" x14ac:dyDescent="0.3">
      <c r="H446" s="21"/>
      <c r="I446" s="21"/>
      <c r="K446" s="21"/>
      <c r="M446" s="22"/>
      <c r="O446" s="22"/>
      <c r="P446" s="22"/>
    </row>
    <row r="447" spans="8:16" x14ac:dyDescent="0.3">
      <c r="H447" s="21"/>
      <c r="I447" s="21"/>
      <c r="K447" s="21"/>
      <c r="M447" s="22"/>
      <c r="O447" s="22"/>
      <c r="P447" s="22"/>
    </row>
    <row r="448" spans="8:16" x14ac:dyDescent="0.3">
      <c r="H448" s="21"/>
      <c r="I448" s="21"/>
      <c r="K448" s="21"/>
      <c r="M448" s="22"/>
      <c r="O448" s="22"/>
      <c r="P448" s="22"/>
    </row>
    <row r="449" spans="8:16" x14ac:dyDescent="0.3">
      <c r="H449" s="21"/>
      <c r="I449" s="21"/>
      <c r="K449" s="21"/>
      <c r="M449" s="22"/>
      <c r="O449" s="22"/>
      <c r="P449" s="22"/>
    </row>
    <row r="450" spans="8:16" x14ac:dyDescent="0.3">
      <c r="H450" s="21"/>
      <c r="I450" s="21"/>
      <c r="K450" s="21"/>
      <c r="M450" s="22"/>
      <c r="O450" s="22"/>
      <c r="P450" s="22"/>
    </row>
    <row r="451" spans="8:16" x14ac:dyDescent="0.3">
      <c r="H451" s="21"/>
      <c r="I451" s="21"/>
      <c r="K451" s="21"/>
      <c r="M451" s="22"/>
      <c r="O451" s="22"/>
      <c r="P451" s="22"/>
    </row>
    <row r="452" spans="8:16" x14ac:dyDescent="0.3">
      <c r="H452" s="21"/>
      <c r="I452" s="21"/>
      <c r="K452" s="21"/>
      <c r="M452" s="22"/>
      <c r="O452" s="22"/>
      <c r="P452" s="22"/>
    </row>
    <row r="453" spans="8:16" x14ac:dyDescent="0.3">
      <c r="H453" s="21"/>
      <c r="I453" s="21"/>
      <c r="K453" s="21"/>
      <c r="M453" s="22"/>
      <c r="O453" s="22"/>
      <c r="P453" s="22"/>
    </row>
    <row r="454" spans="8:16" x14ac:dyDescent="0.3">
      <c r="H454" s="21"/>
      <c r="I454" s="21"/>
      <c r="K454" s="21"/>
      <c r="M454" s="22"/>
      <c r="O454" s="22"/>
      <c r="P454" s="22"/>
    </row>
    <row r="455" spans="8:16" x14ac:dyDescent="0.3">
      <c r="H455" s="21"/>
      <c r="I455" s="21"/>
      <c r="K455" s="21"/>
      <c r="M455" s="22"/>
      <c r="O455" s="22"/>
      <c r="P455" s="22"/>
    </row>
    <row r="456" spans="8:16" x14ac:dyDescent="0.3">
      <c r="H456" s="21"/>
      <c r="I456" s="21"/>
      <c r="K456" s="21"/>
      <c r="M456" s="22"/>
      <c r="O456" s="22"/>
      <c r="P456" s="22"/>
    </row>
    <row r="457" spans="8:16" x14ac:dyDescent="0.3">
      <c r="H457" s="21"/>
      <c r="I457" s="21"/>
      <c r="K457" s="21"/>
      <c r="M457" s="22"/>
      <c r="O457" s="22"/>
      <c r="P457" s="22"/>
    </row>
    <row r="458" spans="8:16" x14ac:dyDescent="0.3">
      <c r="H458" s="21"/>
      <c r="I458" s="21"/>
      <c r="K458" s="21"/>
      <c r="M458" s="22"/>
      <c r="O458" s="22"/>
      <c r="P458" s="22"/>
    </row>
    <row r="459" spans="8:16" x14ac:dyDescent="0.3">
      <c r="H459" s="21"/>
      <c r="I459" s="21"/>
      <c r="K459" s="21"/>
      <c r="M459" s="22"/>
      <c r="O459" s="22"/>
      <c r="P459" s="22"/>
    </row>
    <row r="460" spans="8:16" x14ac:dyDescent="0.3">
      <c r="H460" s="21"/>
      <c r="I460" s="21"/>
      <c r="K460" s="21"/>
      <c r="M460" s="22"/>
      <c r="O460" s="22"/>
      <c r="P460" s="22"/>
    </row>
    <row r="461" spans="8:16" x14ac:dyDescent="0.3">
      <c r="H461" s="21"/>
      <c r="I461" s="21"/>
      <c r="K461" s="21"/>
      <c r="M461" s="22"/>
      <c r="O461" s="22"/>
      <c r="P461" s="22"/>
    </row>
    <row r="462" spans="8:16" x14ac:dyDescent="0.3">
      <c r="H462" s="21"/>
      <c r="I462" s="21"/>
      <c r="K462" s="21"/>
      <c r="M462" s="22"/>
      <c r="O462" s="22"/>
      <c r="P462" s="22"/>
    </row>
    <row r="463" spans="8:16" x14ac:dyDescent="0.3">
      <c r="H463" s="21"/>
      <c r="I463" s="21"/>
      <c r="K463" s="21"/>
      <c r="M463" s="22"/>
      <c r="O463" s="22"/>
      <c r="P463" s="22"/>
    </row>
    <row r="464" spans="8:16" x14ac:dyDescent="0.3">
      <c r="H464" s="21"/>
      <c r="I464" s="21"/>
      <c r="K464" s="21"/>
      <c r="M464" s="22"/>
      <c r="O464" s="22"/>
      <c r="P464" s="22"/>
    </row>
    <row r="465" spans="8:16" x14ac:dyDescent="0.3">
      <c r="H465" s="21"/>
      <c r="I465" s="21"/>
      <c r="K465" s="21"/>
      <c r="M465" s="22"/>
      <c r="O465" s="22"/>
      <c r="P465" s="22"/>
    </row>
    <row r="466" spans="8:16" x14ac:dyDescent="0.3">
      <c r="H466" s="21"/>
      <c r="I466" s="21"/>
      <c r="K466" s="21"/>
      <c r="M466" s="22"/>
      <c r="O466" s="22"/>
      <c r="P466" s="22"/>
    </row>
    <row r="467" spans="8:16" x14ac:dyDescent="0.3">
      <c r="H467" s="21"/>
      <c r="I467" s="21"/>
      <c r="K467" s="21"/>
      <c r="M467" s="22"/>
      <c r="O467" s="22"/>
      <c r="P467" s="22"/>
    </row>
    <row r="468" spans="8:16" x14ac:dyDescent="0.3">
      <c r="H468" s="21"/>
      <c r="I468" s="21"/>
      <c r="K468" s="21"/>
      <c r="M468" s="22"/>
      <c r="O468" s="22"/>
      <c r="P468" s="22"/>
    </row>
    <row r="469" spans="8:16" x14ac:dyDescent="0.3">
      <c r="H469" s="21"/>
      <c r="I469" s="21"/>
      <c r="K469" s="21"/>
      <c r="M469" s="22"/>
      <c r="O469" s="22"/>
      <c r="P469" s="22"/>
    </row>
    <row r="470" spans="8:16" x14ac:dyDescent="0.3">
      <c r="H470" s="21"/>
      <c r="I470" s="21"/>
      <c r="K470" s="21"/>
      <c r="M470" s="22"/>
      <c r="O470" s="22"/>
      <c r="P470" s="22"/>
    </row>
    <row r="471" spans="8:16" x14ac:dyDescent="0.3">
      <c r="H471" s="21"/>
      <c r="I471" s="21"/>
      <c r="K471" s="21"/>
      <c r="M471" s="22"/>
      <c r="O471" s="22"/>
      <c r="P471" s="22"/>
    </row>
    <row r="472" spans="8:16" x14ac:dyDescent="0.3">
      <c r="H472" s="21"/>
      <c r="I472" s="21"/>
      <c r="K472" s="21"/>
      <c r="M472" s="22"/>
      <c r="O472" s="22"/>
      <c r="P472" s="22"/>
    </row>
    <row r="473" spans="8:16" x14ac:dyDescent="0.3">
      <c r="H473" s="21"/>
      <c r="I473" s="21"/>
      <c r="K473" s="21"/>
      <c r="M473" s="22"/>
      <c r="O473" s="22"/>
      <c r="P473" s="22"/>
    </row>
    <row r="474" spans="8:16" x14ac:dyDescent="0.3">
      <c r="H474" s="21"/>
      <c r="I474" s="21"/>
      <c r="K474" s="21"/>
      <c r="M474" s="22"/>
      <c r="O474" s="22"/>
      <c r="P474" s="22"/>
    </row>
    <row r="475" spans="8:16" x14ac:dyDescent="0.3">
      <c r="H475" s="21"/>
      <c r="I475" s="21"/>
      <c r="K475" s="21"/>
      <c r="M475" s="22"/>
      <c r="O475" s="22"/>
      <c r="P475" s="22"/>
    </row>
    <row r="476" spans="8:16" x14ac:dyDescent="0.3">
      <c r="H476" s="21"/>
      <c r="I476" s="21"/>
      <c r="K476" s="21"/>
      <c r="M476" s="22"/>
      <c r="O476" s="22"/>
      <c r="P476" s="22"/>
    </row>
    <row r="477" spans="8:16" x14ac:dyDescent="0.3">
      <c r="H477" s="21"/>
      <c r="I477" s="21"/>
      <c r="K477" s="21"/>
      <c r="M477" s="22"/>
      <c r="O477" s="22"/>
      <c r="P477" s="22"/>
    </row>
    <row r="478" spans="8:16" x14ac:dyDescent="0.3">
      <c r="H478" s="21"/>
      <c r="I478" s="21"/>
      <c r="K478" s="21"/>
      <c r="M478" s="22"/>
      <c r="O478" s="22"/>
      <c r="P478" s="22"/>
    </row>
    <row r="479" spans="8:16" x14ac:dyDescent="0.3">
      <c r="H479" s="21"/>
      <c r="I479" s="21"/>
      <c r="K479" s="21"/>
      <c r="M479" s="22"/>
      <c r="O479" s="22"/>
      <c r="P479" s="22"/>
    </row>
    <row r="480" spans="8:16" x14ac:dyDescent="0.3">
      <c r="H480" s="21"/>
      <c r="I480" s="21"/>
      <c r="K480" s="21"/>
      <c r="M480" s="22"/>
      <c r="O480" s="22"/>
      <c r="P480" s="22"/>
    </row>
    <row r="481" spans="8:16" x14ac:dyDescent="0.3">
      <c r="H481" s="21"/>
      <c r="I481" s="21"/>
      <c r="K481" s="21"/>
      <c r="M481" s="22"/>
      <c r="O481" s="22"/>
      <c r="P481" s="22"/>
    </row>
    <row r="482" spans="8:16" x14ac:dyDescent="0.3">
      <c r="H482" s="21"/>
      <c r="I482" s="21"/>
      <c r="K482" s="21"/>
      <c r="M482" s="22"/>
      <c r="O482" s="22"/>
      <c r="P482" s="22"/>
    </row>
    <row r="483" spans="8:16" x14ac:dyDescent="0.3">
      <c r="H483" s="21"/>
      <c r="I483" s="21"/>
      <c r="K483" s="21"/>
      <c r="M483" s="22"/>
      <c r="O483" s="22"/>
      <c r="P483" s="22"/>
    </row>
    <row r="484" spans="8:16" x14ac:dyDescent="0.3">
      <c r="H484" s="21"/>
      <c r="I484" s="21"/>
      <c r="K484" s="21"/>
      <c r="M484" s="22"/>
      <c r="O484" s="22"/>
      <c r="P484" s="22"/>
    </row>
    <row r="485" spans="8:16" x14ac:dyDescent="0.3">
      <c r="H485" s="21"/>
      <c r="I485" s="21"/>
      <c r="K485" s="21"/>
      <c r="M485" s="22"/>
      <c r="O485" s="22"/>
      <c r="P485" s="22"/>
    </row>
    <row r="486" spans="8:16" x14ac:dyDescent="0.3">
      <c r="H486" s="21"/>
      <c r="I486" s="21"/>
      <c r="K486" s="21"/>
      <c r="M486" s="22"/>
      <c r="O486" s="22"/>
      <c r="P486" s="22"/>
    </row>
    <row r="487" spans="8:16" x14ac:dyDescent="0.3">
      <c r="H487" s="21"/>
      <c r="I487" s="21"/>
      <c r="K487" s="21"/>
      <c r="M487" s="22"/>
      <c r="O487" s="22"/>
      <c r="P487" s="22"/>
    </row>
    <row r="488" spans="8:16" x14ac:dyDescent="0.3">
      <c r="H488" s="21"/>
      <c r="I488" s="21"/>
      <c r="K488" s="21"/>
      <c r="M488" s="22"/>
      <c r="O488" s="22"/>
      <c r="P488" s="22"/>
    </row>
    <row r="489" spans="8:16" x14ac:dyDescent="0.3">
      <c r="H489" s="21"/>
      <c r="I489" s="21"/>
      <c r="K489" s="21"/>
      <c r="M489" s="22"/>
      <c r="O489" s="22"/>
      <c r="P489" s="22"/>
    </row>
    <row r="490" spans="8:16" x14ac:dyDescent="0.3">
      <c r="H490" s="21"/>
      <c r="I490" s="21"/>
      <c r="K490" s="21"/>
      <c r="M490" s="22"/>
      <c r="O490" s="22"/>
      <c r="P490" s="22"/>
    </row>
    <row r="491" spans="8:16" x14ac:dyDescent="0.3">
      <c r="H491" s="21"/>
      <c r="I491" s="21"/>
      <c r="K491" s="21"/>
      <c r="M491" s="22"/>
      <c r="O491" s="22"/>
      <c r="P491" s="22"/>
    </row>
    <row r="492" spans="8:16" x14ac:dyDescent="0.3">
      <c r="H492" s="21"/>
      <c r="I492" s="21"/>
      <c r="K492" s="21"/>
      <c r="M492" s="22"/>
      <c r="O492" s="22"/>
      <c r="P492" s="22"/>
    </row>
    <row r="493" spans="8:16" x14ac:dyDescent="0.3">
      <c r="H493" s="21"/>
      <c r="I493" s="21"/>
      <c r="K493" s="21"/>
      <c r="M493" s="22"/>
      <c r="O493" s="22"/>
      <c r="P493" s="22"/>
    </row>
    <row r="494" spans="8:16" x14ac:dyDescent="0.3">
      <c r="H494" s="21"/>
      <c r="I494" s="21"/>
      <c r="K494" s="21"/>
      <c r="M494" s="22"/>
      <c r="O494" s="22"/>
      <c r="P494" s="22"/>
    </row>
    <row r="495" spans="8:16" x14ac:dyDescent="0.3">
      <c r="H495" s="21"/>
      <c r="I495" s="21"/>
      <c r="K495" s="21"/>
      <c r="M495" s="22"/>
      <c r="O495" s="22"/>
      <c r="P495" s="22"/>
    </row>
    <row r="496" spans="8:16" x14ac:dyDescent="0.3">
      <c r="H496" s="21"/>
      <c r="I496" s="21"/>
      <c r="K496" s="21"/>
      <c r="M496" s="22"/>
      <c r="O496" s="22"/>
      <c r="P496" s="22"/>
    </row>
    <row r="497" spans="8:16" x14ac:dyDescent="0.3">
      <c r="H497" s="21"/>
      <c r="I497" s="21"/>
      <c r="K497" s="21"/>
      <c r="M497" s="22"/>
      <c r="O497" s="22"/>
      <c r="P497" s="22"/>
    </row>
    <row r="498" spans="8:16" x14ac:dyDescent="0.3">
      <c r="H498" s="21"/>
      <c r="I498" s="21"/>
      <c r="K498" s="21"/>
      <c r="M498" s="22"/>
      <c r="O498" s="22"/>
      <c r="P498" s="22"/>
    </row>
    <row r="499" spans="8:16" x14ac:dyDescent="0.3">
      <c r="H499" s="21"/>
      <c r="I499" s="21"/>
      <c r="K499" s="21"/>
      <c r="M499" s="22"/>
      <c r="O499" s="22"/>
      <c r="P499" s="22"/>
    </row>
    <row r="500" spans="8:16" x14ac:dyDescent="0.3">
      <c r="H500" s="21"/>
      <c r="I500" s="21"/>
      <c r="K500" s="21"/>
      <c r="M500" s="22"/>
      <c r="O500" s="22"/>
      <c r="P500" s="22"/>
    </row>
    <row r="501" spans="8:16" x14ac:dyDescent="0.3">
      <c r="H501" s="21"/>
      <c r="I501" s="21"/>
      <c r="K501" s="21"/>
      <c r="M501" s="22"/>
      <c r="O501" s="22"/>
      <c r="P501" s="22"/>
    </row>
    <row r="502" spans="8:16" x14ac:dyDescent="0.3">
      <c r="H502" s="21"/>
      <c r="I502" s="21"/>
      <c r="K502" s="21"/>
      <c r="M502" s="22"/>
      <c r="O502" s="22"/>
      <c r="P502" s="22"/>
    </row>
    <row r="503" spans="8:16" x14ac:dyDescent="0.3">
      <c r="H503" s="21"/>
      <c r="I503" s="21"/>
      <c r="K503" s="21"/>
      <c r="M503" s="22"/>
      <c r="O503" s="22"/>
      <c r="P503" s="22"/>
    </row>
    <row r="504" spans="8:16" x14ac:dyDescent="0.3">
      <c r="H504" s="21"/>
      <c r="I504" s="21"/>
      <c r="K504" s="21"/>
      <c r="M504" s="22"/>
      <c r="O504" s="22"/>
      <c r="P504" s="22"/>
    </row>
    <row r="505" spans="8:16" x14ac:dyDescent="0.3">
      <c r="H505" s="21"/>
      <c r="I505" s="21"/>
      <c r="K505" s="21"/>
      <c r="M505" s="22"/>
      <c r="O505" s="22"/>
      <c r="P505" s="22"/>
    </row>
    <row r="506" spans="8:16" x14ac:dyDescent="0.3">
      <c r="H506" s="21"/>
      <c r="I506" s="21"/>
      <c r="K506" s="21"/>
      <c r="M506" s="22"/>
      <c r="O506" s="22"/>
      <c r="P506" s="22"/>
    </row>
    <row r="507" spans="8:16" x14ac:dyDescent="0.3">
      <c r="H507" s="21"/>
      <c r="I507" s="21"/>
      <c r="K507" s="21"/>
      <c r="M507" s="22"/>
      <c r="O507" s="22"/>
      <c r="P507" s="22"/>
    </row>
    <row r="508" spans="8:16" x14ac:dyDescent="0.3">
      <c r="H508" s="21"/>
      <c r="I508" s="21"/>
      <c r="K508" s="21"/>
      <c r="M508" s="22"/>
      <c r="O508" s="22"/>
      <c r="P508" s="22"/>
    </row>
    <row r="509" spans="8:16" x14ac:dyDescent="0.3">
      <c r="H509" s="21"/>
      <c r="I509" s="21"/>
      <c r="K509" s="21"/>
      <c r="M509" s="22"/>
      <c r="O509" s="22"/>
      <c r="P509" s="22"/>
    </row>
    <row r="510" spans="8:16" x14ac:dyDescent="0.3">
      <c r="H510" s="21"/>
      <c r="I510" s="21"/>
      <c r="K510" s="21"/>
      <c r="M510" s="22"/>
      <c r="O510" s="22"/>
      <c r="P510" s="22"/>
    </row>
    <row r="511" spans="8:16" x14ac:dyDescent="0.3">
      <c r="H511" s="21"/>
      <c r="I511" s="21"/>
      <c r="K511" s="21"/>
      <c r="M511" s="22"/>
      <c r="O511" s="22"/>
      <c r="P511" s="22"/>
    </row>
    <row r="512" spans="8:16" x14ac:dyDescent="0.3">
      <c r="H512" s="21"/>
      <c r="I512" s="21"/>
      <c r="K512" s="21"/>
      <c r="M512" s="22"/>
      <c r="O512" s="22"/>
      <c r="P512" s="22"/>
    </row>
    <row r="513" spans="8:16" x14ac:dyDescent="0.3">
      <c r="H513" s="21"/>
      <c r="I513" s="21"/>
      <c r="K513" s="21"/>
      <c r="M513" s="22"/>
      <c r="O513" s="22"/>
      <c r="P513" s="22"/>
    </row>
    <row r="514" spans="8:16" x14ac:dyDescent="0.3">
      <c r="H514" s="21"/>
      <c r="I514" s="21"/>
      <c r="K514" s="21"/>
      <c r="M514" s="22"/>
      <c r="O514" s="22"/>
      <c r="P514" s="22"/>
    </row>
    <row r="515" spans="8:16" x14ac:dyDescent="0.3">
      <c r="H515" s="21"/>
      <c r="I515" s="21"/>
      <c r="K515" s="21"/>
      <c r="M515" s="22"/>
      <c r="O515" s="22"/>
      <c r="P515" s="22"/>
    </row>
    <row r="516" spans="8:16" x14ac:dyDescent="0.3">
      <c r="H516" s="21"/>
      <c r="I516" s="21"/>
      <c r="K516" s="21"/>
      <c r="M516" s="22"/>
      <c r="O516" s="22"/>
      <c r="P516" s="22"/>
    </row>
    <row r="517" spans="8:16" x14ac:dyDescent="0.3">
      <c r="H517" s="21"/>
      <c r="I517" s="21"/>
      <c r="K517" s="21"/>
      <c r="M517" s="22"/>
      <c r="O517" s="22"/>
      <c r="P517" s="22"/>
    </row>
    <row r="518" spans="8:16" x14ac:dyDescent="0.3">
      <c r="H518" s="21"/>
      <c r="I518" s="21"/>
      <c r="K518" s="21"/>
      <c r="M518" s="22"/>
      <c r="O518" s="22"/>
      <c r="P518" s="22"/>
    </row>
    <row r="519" spans="8:16" x14ac:dyDescent="0.3">
      <c r="H519" s="21"/>
      <c r="I519" s="21"/>
      <c r="K519" s="21"/>
      <c r="M519" s="22"/>
      <c r="O519" s="22"/>
      <c r="P519" s="22"/>
    </row>
    <row r="520" spans="8:16" x14ac:dyDescent="0.3">
      <c r="H520" s="21"/>
      <c r="I520" s="21"/>
      <c r="K520" s="21"/>
      <c r="M520" s="22"/>
      <c r="O520" s="22"/>
      <c r="P520" s="22"/>
    </row>
    <row r="521" spans="8:16" x14ac:dyDescent="0.3">
      <c r="H521" s="21"/>
      <c r="I521" s="21"/>
      <c r="K521" s="21"/>
      <c r="M521" s="22"/>
      <c r="O521" s="22"/>
      <c r="P521" s="22"/>
    </row>
    <row r="522" spans="8:16" x14ac:dyDescent="0.3">
      <c r="H522" s="21"/>
      <c r="I522" s="21"/>
      <c r="K522" s="21"/>
      <c r="M522" s="22"/>
      <c r="O522" s="22"/>
      <c r="P522" s="22"/>
    </row>
    <row r="523" spans="8:16" x14ac:dyDescent="0.3">
      <c r="H523" s="21"/>
      <c r="I523" s="21"/>
      <c r="K523" s="21"/>
      <c r="M523" s="22"/>
      <c r="O523" s="22"/>
      <c r="P523" s="22"/>
    </row>
    <row r="524" spans="8:16" x14ac:dyDescent="0.3">
      <c r="H524" s="21"/>
      <c r="I524" s="21"/>
      <c r="K524" s="21"/>
      <c r="M524" s="22"/>
      <c r="O524" s="22"/>
      <c r="P524" s="22"/>
    </row>
    <row r="525" spans="8:16" x14ac:dyDescent="0.3">
      <c r="H525" s="21"/>
      <c r="I525" s="21"/>
      <c r="K525" s="21"/>
      <c r="M525" s="22"/>
      <c r="O525" s="22"/>
      <c r="P525" s="22"/>
    </row>
    <row r="526" spans="8:16" x14ac:dyDescent="0.3">
      <c r="H526" s="21"/>
      <c r="I526" s="21"/>
      <c r="K526" s="21"/>
      <c r="M526" s="22"/>
      <c r="O526" s="22"/>
      <c r="P526" s="22"/>
    </row>
    <row r="527" spans="8:16" x14ac:dyDescent="0.3">
      <c r="H527" s="21"/>
      <c r="I527" s="21"/>
      <c r="K527" s="21"/>
      <c r="M527" s="22"/>
      <c r="O527" s="22"/>
      <c r="P527" s="22"/>
    </row>
    <row r="528" spans="8:16" x14ac:dyDescent="0.3">
      <c r="H528" s="21"/>
      <c r="I528" s="21"/>
      <c r="K528" s="21"/>
      <c r="M528" s="22"/>
      <c r="O528" s="22"/>
      <c r="P528" s="22"/>
    </row>
    <row r="529" spans="8:16" x14ac:dyDescent="0.3">
      <c r="H529" s="21"/>
      <c r="I529" s="21"/>
      <c r="K529" s="21"/>
      <c r="M529" s="22"/>
      <c r="O529" s="22"/>
      <c r="P529" s="22"/>
    </row>
    <row r="530" spans="8:16" x14ac:dyDescent="0.3">
      <c r="H530" s="21"/>
      <c r="I530" s="21"/>
      <c r="K530" s="21"/>
      <c r="M530" s="22"/>
      <c r="O530" s="22"/>
      <c r="P530" s="22"/>
    </row>
    <row r="531" spans="8:16" x14ac:dyDescent="0.3">
      <c r="H531" s="21"/>
      <c r="I531" s="21"/>
      <c r="K531" s="21"/>
      <c r="M531" s="22"/>
      <c r="O531" s="22"/>
      <c r="P531" s="22"/>
    </row>
    <row r="532" spans="8:16" x14ac:dyDescent="0.3">
      <c r="H532" s="21"/>
      <c r="I532" s="21"/>
      <c r="K532" s="21"/>
      <c r="M532" s="22"/>
      <c r="O532" s="22"/>
      <c r="P532" s="22"/>
    </row>
    <row r="533" spans="8:16" x14ac:dyDescent="0.3">
      <c r="H533" s="21"/>
      <c r="I533" s="21"/>
      <c r="K533" s="21"/>
      <c r="M533" s="22"/>
      <c r="O533" s="22"/>
      <c r="P533" s="22"/>
    </row>
    <row r="534" spans="8:16" x14ac:dyDescent="0.3">
      <c r="H534" s="21"/>
      <c r="I534" s="21"/>
      <c r="K534" s="21"/>
      <c r="M534" s="22"/>
      <c r="O534" s="22"/>
      <c r="P534" s="22"/>
    </row>
    <row r="535" spans="8:16" x14ac:dyDescent="0.3">
      <c r="H535" s="21"/>
      <c r="I535" s="21"/>
      <c r="K535" s="21"/>
      <c r="M535" s="22"/>
      <c r="O535" s="22"/>
      <c r="P535" s="22"/>
    </row>
    <row r="536" spans="8:16" x14ac:dyDescent="0.3">
      <c r="H536" s="21"/>
      <c r="I536" s="21"/>
      <c r="K536" s="21"/>
      <c r="M536" s="22"/>
      <c r="O536" s="22"/>
      <c r="P536" s="22"/>
    </row>
    <row r="537" spans="8:16" x14ac:dyDescent="0.3">
      <c r="H537" s="21"/>
      <c r="I537" s="21"/>
      <c r="K537" s="21"/>
      <c r="M537" s="22"/>
      <c r="O537" s="22"/>
      <c r="P537" s="22"/>
    </row>
    <row r="538" spans="8:16" x14ac:dyDescent="0.3">
      <c r="H538" s="21"/>
      <c r="I538" s="21"/>
      <c r="K538" s="21"/>
      <c r="M538" s="22"/>
      <c r="O538" s="22"/>
      <c r="P538" s="22"/>
    </row>
    <row r="539" spans="8:16" x14ac:dyDescent="0.3">
      <c r="H539" s="21"/>
      <c r="I539" s="21"/>
      <c r="K539" s="21"/>
      <c r="M539" s="22"/>
      <c r="O539" s="22"/>
      <c r="P539" s="22"/>
    </row>
    <row r="540" spans="8:16" x14ac:dyDescent="0.3">
      <c r="H540" s="21"/>
      <c r="I540" s="21"/>
      <c r="K540" s="21"/>
      <c r="M540" s="22"/>
      <c r="O540" s="22"/>
      <c r="P540" s="22"/>
    </row>
    <row r="541" spans="8:16" x14ac:dyDescent="0.3">
      <c r="H541" s="21"/>
      <c r="I541" s="21"/>
      <c r="K541" s="21"/>
      <c r="M541" s="22"/>
      <c r="O541" s="22"/>
      <c r="P541" s="22"/>
    </row>
    <row r="542" spans="8:16" x14ac:dyDescent="0.3">
      <c r="H542" s="21"/>
      <c r="I542" s="21"/>
      <c r="K542" s="21"/>
      <c r="M542" s="22"/>
      <c r="O542" s="22"/>
      <c r="P542" s="22"/>
    </row>
    <row r="543" spans="8:16" x14ac:dyDescent="0.3">
      <c r="H543" s="21"/>
      <c r="I543" s="21"/>
      <c r="K543" s="21"/>
      <c r="M543" s="22"/>
      <c r="O543" s="22"/>
      <c r="P543" s="22"/>
    </row>
    <row r="544" spans="8:16" x14ac:dyDescent="0.3">
      <c r="H544" s="21"/>
      <c r="I544" s="21"/>
      <c r="K544" s="21"/>
      <c r="M544" s="22"/>
      <c r="O544" s="22"/>
      <c r="P544" s="22"/>
    </row>
    <row r="545" spans="8:16" x14ac:dyDescent="0.3">
      <c r="H545" s="21"/>
      <c r="I545" s="21"/>
      <c r="K545" s="21"/>
      <c r="M545" s="22"/>
      <c r="O545" s="22"/>
      <c r="P545" s="22"/>
    </row>
    <row r="546" spans="8:16" x14ac:dyDescent="0.3">
      <c r="H546" s="21"/>
      <c r="I546" s="21"/>
      <c r="K546" s="21"/>
      <c r="M546" s="22"/>
      <c r="O546" s="22"/>
      <c r="P546" s="22"/>
    </row>
    <row r="547" spans="8:16" x14ac:dyDescent="0.3">
      <c r="H547" s="21"/>
      <c r="I547" s="21"/>
      <c r="K547" s="21"/>
      <c r="M547" s="22"/>
      <c r="O547" s="22"/>
      <c r="P547" s="22"/>
    </row>
    <row r="548" spans="8:16" x14ac:dyDescent="0.3">
      <c r="H548" s="21"/>
      <c r="I548" s="21"/>
      <c r="K548" s="21"/>
      <c r="M548" s="22"/>
      <c r="O548" s="22"/>
      <c r="P548" s="22"/>
    </row>
    <row r="549" spans="8:16" x14ac:dyDescent="0.3">
      <c r="H549" s="21"/>
      <c r="I549" s="21"/>
      <c r="K549" s="21"/>
      <c r="M549" s="22"/>
      <c r="O549" s="22"/>
      <c r="P549" s="22"/>
    </row>
    <row r="550" spans="8:16" x14ac:dyDescent="0.3">
      <c r="H550" s="21"/>
      <c r="I550" s="21"/>
      <c r="K550" s="21"/>
      <c r="M550" s="22"/>
      <c r="O550" s="22"/>
      <c r="P550" s="22"/>
    </row>
    <row r="551" spans="8:16" x14ac:dyDescent="0.3">
      <c r="H551" s="21"/>
      <c r="I551" s="21"/>
      <c r="K551" s="21"/>
      <c r="M551" s="22"/>
      <c r="O551" s="22"/>
      <c r="P551" s="22"/>
    </row>
    <row r="552" spans="8:16" x14ac:dyDescent="0.3">
      <c r="H552" s="21"/>
      <c r="I552" s="21"/>
      <c r="K552" s="21"/>
      <c r="M552" s="22"/>
      <c r="O552" s="22"/>
      <c r="P552" s="22"/>
    </row>
    <row r="553" spans="8:16" x14ac:dyDescent="0.3">
      <c r="H553" s="21"/>
      <c r="I553" s="21"/>
      <c r="K553" s="21"/>
      <c r="M553" s="22"/>
      <c r="O553" s="22"/>
      <c r="P553" s="22"/>
    </row>
    <row r="554" spans="8:16" x14ac:dyDescent="0.3">
      <c r="H554" s="21"/>
      <c r="I554" s="21"/>
      <c r="K554" s="21"/>
      <c r="M554" s="22"/>
      <c r="O554" s="22"/>
      <c r="P554" s="22"/>
    </row>
    <row r="555" spans="8:16" x14ac:dyDescent="0.3">
      <c r="H555" s="21"/>
      <c r="I555" s="21"/>
      <c r="K555" s="21"/>
      <c r="M555" s="22"/>
      <c r="O555" s="22"/>
      <c r="P555" s="22"/>
    </row>
    <row r="556" spans="8:16" x14ac:dyDescent="0.3">
      <c r="H556" s="21"/>
      <c r="I556" s="21"/>
      <c r="K556" s="21"/>
      <c r="M556" s="22"/>
      <c r="O556" s="22"/>
      <c r="P556" s="22"/>
    </row>
    <row r="557" spans="8:16" x14ac:dyDescent="0.3">
      <c r="H557" s="21"/>
      <c r="I557" s="21"/>
      <c r="K557" s="21"/>
      <c r="M557" s="22"/>
      <c r="O557" s="22"/>
      <c r="P557" s="22"/>
    </row>
    <row r="558" spans="8:16" x14ac:dyDescent="0.3">
      <c r="H558" s="21"/>
      <c r="I558" s="21"/>
      <c r="K558" s="21"/>
      <c r="M558" s="22"/>
      <c r="O558" s="22"/>
      <c r="P558" s="22"/>
    </row>
    <row r="559" spans="8:16" x14ac:dyDescent="0.3">
      <c r="H559" s="21"/>
      <c r="I559" s="21"/>
      <c r="K559" s="21"/>
      <c r="M559" s="22"/>
      <c r="O559" s="22"/>
      <c r="P559" s="22"/>
    </row>
    <row r="560" spans="8:16" x14ac:dyDescent="0.3">
      <c r="H560" s="21"/>
      <c r="I560" s="21"/>
      <c r="K560" s="21"/>
      <c r="M560" s="22"/>
      <c r="O560" s="22"/>
      <c r="P560" s="22"/>
    </row>
    <row r="561" spans="8:16" x14ac:dyDescent="0.3">
      <c r="H561" s="21"/>
      <c r="I561" s="21"/>
      <c r="K561" s="21"/>
      <c r="M561" s="22"/>
      <c r="O561" s="22"/>
      <c r="P561" s="22"/>
    </row>
    <row r="562" spans="8:16" x14ac:dyDescent="0.3">
      <c r="H562" s="21"/>
      <c r="I562" s="21"/>
      <c r="K562" s="21"/>
      <c r="M562" s="22"/>
      <c r="O562" s="22"/>
      <c r="P562" s="22"/>
    </row>
    <row r="563" spans="8:16" x14ac:dyDescent="0.3">
      <c r="H563" s="21"/>
      <c r="I563" s="21"/>
      <c r="K563" s="21"/>
      <c r="M563" s="22"/>
      <c r="O563" s="22"/>
      <c r="P563" s="22"/>
    </row>
    <row r="564" spans="8:16" x14ac:dyDescent="0.3">
      <c r="H564" s="21"/>
      <c r="I564" s="21"/>
      <c r="K564" s="21"/>
      <c r="M564" s="22"/>
      <c r="O564" s="22"/>
      <c r="P564" s="22"/>
    </row>
    <row r="565" spans="8:16" x14ac:dyDescent="0.3">
      <c r="H565" s="21"/>
      <c r="I565" s="21"/>
      <c r="K565" s="21"/>
      <c r="M565" s="22"/>
      <c r="O565" s="22"/>
      <c r="P565" s="22"/>
    </row>
    <row r="566" spans="8:16" x14ac:dyDescent="0.3">
      <c r="H566" s="21"/>
      <c r="I566" s="21"/>
      <c r="K566" s="21"/>
      <c r="M566" s="22"/>
      <c r="O566" s="22"/>
      <c r="P566" s="22"/>
    </row>
    <row r="567" spans="8:16" x14ac:dyDescent="0.3">
      <c r="H567" s="21"/>
      <c r="I567" s="21"/>
      <c r="K567" s="21"/>
      <c r="M567" s="22"/>
      <c r="O567" s="22"/>
      <c r="P567" s="22"/>
    </row>
    <row r="568" spans="8:16" x14ac:dyDescent="0.3">
      <c r="H568" s="21"/>
      <c r="I568" s="21"/>
      <c r="K568" s="21"/>
      <c r="M568" s="22"/>
      <c r="O568" s="22"/>
      <c r="P568" s="22"/>
    </row>
    <row r="569" spans="8:16" x14ac:dyDescent="0.3">
      <c r="H569" s="21"/>
      <c r="I569" s="21"/>
      <c r="K569" s="21"/>
      <c r="M569" s="22"/>
      <c r="O569" s="22"/>
      <c r="P569" s="22"/>
    </row>
    <row r="570" spans="8:16" x14ac:dyDescent="0.3">
      <c r="H570" s="21"/>
      <c r="I570" s="21"/>
      <c r="K570" s="21"/>
      <c r="M570" s="22"/>
      <c r="O570" s="22"/>
      <c r="P570" s="22"/>
    </row>
    <row r="571" spans="8:16" x14ac:dyDescent="0.3">
      <c r="H571" s="21"/>
      <c r="I571" s="21"/>
      <c r="K571" s="21"/>
      <c r="M571" s="22"/>
      <c r="O571" s="22"/>
      <c r="P571" s="22"/>
    </row>
    <row r="572" spans="8:16" x14ac:dyDescent="0.3">
      <c r="H572" s="21"/>
      <c r="I572" s="21"/>
      <c r="K572" s="21"/>
      <c r="M572" s="22"/>
      <c r="O572" s="22"/>
      <c r="P572" s="22"/>
    </row>
    <row r="573" spans="8:16" x14ac:dyDescent="0.3">
      <c r="H573" s="21"/>
      <c r="I573" s="21"/>
      <c r="K573" s="21"/>
      <c r="M573" s="22"/>
      <c r="O573" s="22"/>
      <c r="P573" s="22"/>
    </row>
    <row r="574" spans="8:16" x14ac:dyDescent="0.3">
      <c r="H574" s="21"/>
      <c r="I574" s="21"/>
      <c r="K574" s="21"/>
      <c r="M574" s="22"/>
      <c r="O574" s="22"/>
      <c r="P574" s="22"/>
    </row>
    <row r="575" spans="8:16" x14ac:dyDescent="0.3">
      <c r="H575" s="21"/>
      <c r="I575" s="21"/>
      <c r="K575" s="21"/>
      <c r="M575" s="22"/>
      <c r="O575" s="22"/>
      <c r="P575" s="22"/>
    </row>
    <row r="576" spans="8:16" x14ac:dyDescent="0.3">
      <c r="H576" s="21"/>
      <c r="I576" s="21"/>
      <c r="K576" s="21"/>
      <c r="M576" s="22"/>
      <c r="O576" s="22"/>
      <c r="P576" s="22"/>
    </row>
    <row r="577" spans="8:16" x14ac:dyDescent="0.3">
      <c r="H577" s="21"/>
      <c r="I577" s="21"/>
      <c r="K577" s="21"/>
      <c r="M577" s="22"/>
      <c r="O577" s="22"/>
      <c r="P577" s="22"/>
    </row>
    <row r="578" spans="8:16" x14ac:dyDescent="0.3">
      <c r="H578" s="21"/>
      <c r="I578" s="21"/>
      <c r="K578" s="21"/>
      <c r="M578" s="22"/>
      <c r="O578" s="22"/>
      <c r="P578" s="22"/>
    </row>
    <row r="579" spans="8:16" x14ac:dyDescent="0.3">
      <c r="H579" s="21"/>
      <c r="I579" s="21"/>
      <c r="K579" s="21"/>
      <c r="M579" s="22"/>
      <c r="O579" s="22"/>
      <c r="P579" s="22"/>
    </row>
    <row r="580" spans="8:16" x14ac:dyDescent="0.3">
      <c r="H580" s="21"/>
      <c r="I580" s="21"/>
      <c r="K580" s="21"/>
      <c r="M580" s="22"/>
      <c r="O580" s="22"/>
      <c r="P580" s="22"/>
    </row>
    <row r="581" spans="8:16" x14ac:dyDescent="0.3">
      <c r="H581" s="21"/>
      <c r="I581" s="21"/>
      <c r="K581" s="21"/>
      <c r="M581" s="22"/>
      <c r="O581" s="22"/>
      <c r="P581" s="22"/>
    </row>
    <row r="582" spans="8:16" x14ac:dyDescent="0.3">
      <c r="H582" s="21"/>
      <c r="I582" s="21"/>
      <c r="K582" s="21"/>
      <c r="M582" s="22"/>
      <c r="O582" s="22"/>
      <c r="P582" s="22"/>
    </row>
    <row r="583" spans="8:16" x14ac:dyDescent="0.3">
      <c r="H583" s="21"/>
      <c r="I583" s="21"/>
      <c r="K583" s="21"/>
      <c r="M583" s="22"/>
      <c r="O583" s="22"/>
      <c r="P583" s="22"/>
    </row>
    <row r="584" spans="8:16" x14ac:dyDescent="0.3">
      <c r="H584" s="21"/>
      <c r="I584" s="21"/>
      <c r="K584" s="21"/>
      <c r="M584" s="22"/>
      <c r="O584" s="22"/>
      <c r="P584" s="22"/>
    </row>
    <row r="585" spans="8:16" x14ac:dyDescent="0.3">
      <c r="H585" s="21"/>
      <c r="I585" s="21"/>
      <c r="K585" s="21"/>
      <c r="M585" s="22"/>
      <c r="O585" s="22"/>
      <c r="P585" s="22"/>
    </row>
    <row r="586" spans="8:16" x14ac:dyDescent="0.3">
      <c r="H586" s="21"/>
      <c r="I586" s="21"/>
      <c r="K586" s="21"/>
      <c r="M586" s="22"/>
      <c r="O586" s="22"/>
      <c r="P586" s="22"/>
    </row>
    <row r="587" spans="8:16" x14ac:dyDescent="0.3">
      <c r="H587" s="21"/>
      <c r="I587" s="21"/>
      <c r="K587" s="21"/>
      <c r="M587" s="22"/>
      <c r="O587" s="22"/>
      <c r="P587" s="22"/>
    </row>
    <row r="588" spans="8:16" x14ac:dyDescent="0.3">
      <c r="H588" s="21"/>
      <c r="I588" s="21"/>
      <c r="K588" s="21"/>
      <c r="M588" s="22"/>
      <c r="O588" s="22"/>
      <c r="P588" s="22"/>
    </row>
    <row r="589" spans="8:16" x14ac:dyDescent="0.3">
      <c r="H589" s="21"/>
      <c r="I589" s="21"/>
      <c r="K589" s="21"/>
      <c r="M589" s="22"/>
      <c r="O589" s="22"/>
      <c r="P589" s="22"/>
    </row>
    <row r="590" spans="8:16" x14ac:dyDescent="0.3">
      <c r="H590" s="21"/>
      <c r="I590" s="21"/>
      <c r="K590" s="21"/>
      <c r="M590" s="22"/>
      <c r="O590" s="22"/>
      <c r="P590" s="22"/>
    </row>
    <row r="591" spans="8:16" x14ac:dyDescent="0.3">
      <c r="H591" s="21"/>
      <c r="I591" s="21"/>
      <c r="K591" s="21"/>
      <c r="M591" s="22"/>
      <c r="O591" s="22"/>
      <c r="P591" s="22"/>
    </row>
    <row r="592" spans="8:16" x14ac:dyDescent="0.3">
      <c r="H592" s="21"/>
      <c r="I592" s="21"/>
      <c r="K592" s="21"/>
      <c r="M592" s="22"/>
      <c r="O592" s="22"/>
      <c r="P592" s="22"/>
    </row>
    <row r="593" spans="8:16" x14ac:dyDescent="0.3">
      <c r="H593" s="21"/>
      <c r="I593" s="21"/>
      <c r="K593" s="21"/>
      <c r="M593" s="22"/>
      <c r="O593" s="22"/>
      <c r="P593" s="22"/>
    </row>
    <row r="594" spans="8:16" x14ac:dyDescent="0.3">
      <c r="H594" s="21"/>
      <c r="I594" s="21"/>
      <c r="K594" s="21"/>
      <c r="M594" s="22"/>
      <c r="O594" s="22"/>
      <c r="P594" s="22"/>
    </row>
    <row r="595" spans="8:16" x14ac:dyDescent="0.3">
      <c r="H595" s="21"/>
      <c r="I595" s="21"/>
      <c r="K595" s="21"/>
      <c r="M595" s="22"/>
      <c r="O595" s="22"/>
      <c r="P595" s="22"/>
    </row>
    <row r="596" spans="8:16" x14ac:dyDescent="0.3">
      <c r="H596" s="21"/>
      <c r="I596" s="21"/>
      <c r="K596" s="21"/>
      <c r="M596" s="22"/>
      <c r="O596" s="22"/>
      <c r="P596" s="22"/>
    </row>
    <row r="597" spans="8:16" x14ac:dyDescent="0.3">
      <c r="H597" s="21"/>
      <c r="I597" s="21"/>
      <c r="K597" s="21"/>
      <c r="M597" s="22"/>
      <c r="O597" s="22"/>
      <c r="P597" s="22"/>
    </row>
    <row r="598" spans="8:16" x14ac:dyDescent="0.3">
      <c r="H598" s="21"/>
      <c r="I598" s="21"/>
      <c r="K598" s="21"/>
      <c r="M598" s="22"/>
      <c r="O598" s="22"/>
      <c r="P598" s="22"/>
    </row>
    <row r="599" spans="8:16" x14ac:dyDescent="0.3">
      <c r="H599" s="21"/>
      <c r="I599" s="21"/>
      <c r="K599" s="21"/>
      <c r="M599" s="22"/>
      <c r="O599" s="22"/>
      <c r="P599" s="22"/>
    </row>
    <row r="600" spans="8:16" x14ac:dyDescent="0.3">
      <c r="H600" s="21"/>
      <c r="I600" s="21"/>
      <c r="K600" s="21"/>
      <c r="M600" s="22"/>
      <c r="O600" s="22"/>
      <c r="P600" s="22"/>
    </row>
    <row r="601" spans="8:16" x14ac:dyDescent="0.3">
      <c r="H601" s="21"/>
      <c r="I601" s="21"/>
      <c r="K601" s="21"/>
      <c r="M601" s="22"/>
      <c r="O601" s="22"/>
      <c r="P601" s="22"/>
    </row>
    <row r="602" spans="8:16" x14ac:dyDescent="0.3">
      <c r="H602" s="21"/>
      <c r="I602" s="21"/>
      <c r="K602" s="21"/>
      <c r="M602" s="22"/>
      <c r="O602" s="22"/>
      <c r="P602" s="22"/>
    </row>
    <row r="603" spans="8:16" x14ac:dyDescent="0.3">
      <c r="H603" s="21"/>
      <c r="I603" s="21"/>
      <c r="K603" s="21"/>
      <c r="M603" s="22"/>
      <c r="O603" s="22"/>
      <c r="P603" s="22"/>
    </row>
    <row r="604" spans="8:16" x14ac:dyDescent="0.3">
      <c r="H604" s="21"/>
      <c r="I604" s="21"/>
      <c r="K604" s="21"/>
      <c r="M604" s="22"/>
      <c r="O604" s="22"/>
      <c r="P604" s="22"/>
    </row>
    <row r="605" spans="8:16" x14ac:dyDescent="0.3">
      <c r="H605" s="21"/>
      <c r="I605" s="21"/>
      <c r="K605" s="21"/>
      <c r="M605" s="22"/>
      <c r="O605" s="22"/>
      <c r="P605" s="22"/>
    </row>
    <row r="606" spans="8:16" x14ac:dyDescent="0.3">
      <c r="H606" s="21"/>
      <c r="I606" s="21"/>
      <c r="K606" s="21"/>
      <c r="M606" s="22"/>
      <c r="O606" s="22"/>
      <c r="P606" s="22"/>
    </row>
    <row r="607" spans="8:16" x14ac:dyDescent="0.3">
      <c r="H607" s="21"/>
      <c r="I607" s="21"/>
      <c r="K607" s="21"/>
      <c r="M607" s="22"/>
      <c r="O607" s="22"/>
      <c r="P607" s="22"/>
    </row>
    <row r="608" spans="8:16" x14ac:dyDescent="0.3">
      <c r="H608" s="21"/>
      <c r="I608" s="21"/>
      <c r="K608" s="21"/>
      <c r="M608" s="22"/>
      <c r="O608" s="22"/>
      <c r="P608" s="22"/>
    </row>
    <row r="609" spans="8:16" x14ac:dyDescent="0.3">
      <c r="H609" s="21"/>
      <c r="I609" s="21"/>
      <c r="K609" s="21"/>
      <c r="M609" s="22"/>
      <c r="O609" s="22"/>
      <c r="P609" s="22"/>
    </row>
    <row r="610" spans="8:16" x14ac:dyDescent="0.3">
      <c r="H610" s="21"/>
      <c r="I610" s="21"/>
      <c r="K610" s="21"/>
      <c r="M610" s="22"/>
      <c r="O610" s="22"/>
      <c r="P610" s="22"/>
    </row>
    <row r="611" spans="8:16" x14ac:dyDescent="0.3">
      <c r="H611" s="21"/>
      <c r="I611" s="21"/>
      <c r="K611" s="21"/>
      <c r="M611" s="22"/>
      <c r="O611" s="22"/>
      <c r="P611" s="22"/>
    </row>
    <row r="612" spans="8:16" x14ac:dyDescent="0.3">
      <c r="H612" s="21"/>
      <c r="I612" s="21"/>
      <c r="K612" s="21"/>
      <c r="M612" s="22"/>
      <c r="O612" s="22"/>
      <c r="P612" s="22"/>
    </row>
    <row r="613" spans="8:16" x14ac:dyDescent="0.3">
      <c r="H613" s="21"/>
      <c r="I613" s="21"/>
      <c r="K613" s="21"/>
      <c r="M613" s="22"/>
      <c r="O613" s="22"/>
      <c r="P613" s="22"/>
    </row>
    <row r="614" spans="8:16" x14ac:dyDescent="0.3">
      <c r="H614" s="21"/>
      <c r="I614" s="21"/>
      <c r="K614" s="21"/>
      <c r="M614" s="22"/>
      <c r="O614" s="22"/>
      <c r="P614" s="22"/>
    </row>
    <row r="615" spans="8:16" x14ac:dyDescent="0.3">
      <c r="H615" s="21"/>
      <c r="I615" s="21"/>
      <c r="K615" s="21"/>
      <c r="M615" s="22"/>
      <c r="O615" s="22"/>
      <c r="P615" s="22"/>
    </row>
    <row r="616" spans="8:16" x14ac:dyDescent="0.3">
      <c r="H616" s="21"/>
      <c r="I616" s="21"/>
      <c r="K616" s="21"/>
      <c r="M616" s="22"/>
      <c r="O616" s="22"/>
      <c r="P616" s="22"/>
    </row>
    <row r="617" spans="8:16" x14ac:dyDescent="0.3">
      <c r="H617" s="21"/>
      <c r="I617" s="21"/>
      <c r="K617" s="21"/>
      <c r="M617" s="22"/>
      <c r="O617" s="22"/>
      <c r="P617" s="22"/>
    </row>
    <row r="618" spans="8:16" x14ac:dyDescent="0.3">
      <c r="H618" s="21"/>
      <c r="I618" s="21"/>
      <c r="K618" s="21"/>
      <c r="M618" s="22"/>
      <c r="O618" s="22"/>
      <c r="P618" s="22"/>
    </row>
    <row r="619" spans="8:16" x14ac:dyDescent="0.3">
      <c r="H619" s="21"/>
      <c r="I619" s="21"/>
      <c r="K619" s="21"/>
      <c r="M619" s="22"/>
      <c r="O619" s="22"/>
      <c r="P619" s="22"/>
    </row>
    <row r="620" spans="8:16" x14ac:dyDescent="0.3">
      <c r="H620" s="21"/>
      <c r="I620" s="21"/>
      <c r="K620" s="21"/>
      <c r="M620" s="22"/>
      <c r="O620" s="22"/>
      <c r="P620" s="22"/>
    </row>
    <row r="621" spans="8:16" x14ac:dyDescent="0.3">
      <c r="H621" s="21"/>
      <c r="I621" s="21"/>
      <c r="K621" s="21"/>
      <c r="M621" s="22"/>
      <c r="O621" s="22"/>
      <c r="P621" s="22"/>
    </row>
    <row r="622" spans="8:16" x14ac:dyDescent="0.3">
      <c r="H622" s="21"/>
      <c r="I622" s="21"/>
      <c r="K622" s="21"/>
      <c r="M622" s="22"/>
      <c r="O622" s="22"/>
      <c r="P622" s="22"/>
    </row>
    <row r="623" spans="8:16" x14ac:dyDescent="0.3">
      <c r="H623" s="21"/>
      <c r="I623" s="21"/>
      <c r="K623" s="21"/>
      <c r="M623" s="22"/>
      <c r="O623" s="22"/>
      <c r="P623" s="22"/>
    </row>
    <row r="624" spans="8:16" x14ac:dyDescent="0.3">
      <c r="H624" s="21"/>
      <c r="I624" s="21"/>
      <c r="K624" s="21"/>
      <c r="M624" s="22"/>
      <c r="O624" s="22"/>
      <c r="P624" s="22"/>
    </row>
    <row r="625" spans="8:16" x14ac:dyDescent="0.3">
      <c r="H625" s="21"/>
      <c r="I625" s="21"/>
      <c r="K625" s="21"/>
      <c r="M625" s="22"/>
      <c r="O625" s="22"/>
      <c r="P625" s="22"/>
    </row>
    <row r="626" spans="8:16" x14ac:dyDescent="0.3">
      <c r="H626" s="21"/>
      <c r="I626" s="21"/>
      <c r="K626" s="21"/>
      <c r="M626" s="22"/>
      <c r="O626" s="22"/>
      <c r="P626" s="22"/>
    </row>
    <row r="627" spans="8:16" x14ac:dyDescent="0.3">
      <c r="H627" s="21"/>
      <c r="I627" s="21"/>
      <c r="K627" s="21"/>
      <c r="M627" s="22"/>
      <c r="O627" s="22"/>
      <c r="P627" s="22"/>
    </row>
    <row r="628" spans="8:16" x14ac:dyDescent="0.3">
      <c r="H628" s="21"/>
      <c r="I628" s="21"/>
      <c r="K628" s="21"/>
      <c r="M628" s="22"/>
      <c r="O628" s="22"/>
      <c r="P628" s="22"/>
    </row>
    <row r="629" spans="8:16" x14ac:dyDescent="0.3">
      <c r="H629" s="21"/>
      <c r="I629" s="21"/>
      <c r="K629" s="21"/>
      <c r="M629" s="22"/>
      <c r="O629" s="22"/>
      <c r="P629" s="22"/>
    </row>
    <row r="630" spans="8:16" x14ac:dyDescent="0.3">
      <c r="H630" s="21"/>
      <c r="I630" s="21"/>
      <c r="K630" s="21"/>
      <c r="M630" s="22"/>
      <c r="O630" s="22"/>
      <c r="P630" s="22"/>
    </row>
    <row r="631" spans="8:16" x14ac:dyDescent="0.3">
      <c r="H631" s="21"/>
      <c r="I631" s="21"/>
      <c r="K631" s="21"/>
      <c r="M631" s="22"/>
      <c r="O631" s="22"/>
      <c r="P631" s="22"/>
    </row>
    <row r="632" spans="8:16" x14ac:dyDescent="0.3">
      <c r="H632" s="21"/>
      <c r="I632" s="21"/>
      <c r="K632" s="21"/>
      <c r="M632" s="22"/>
      <c r="O632" s="22"/>
      <c r="P632" s="22"/>
    </row>
    <row r="633" spans="8:16" x14ac:dyDescent="0.3">
      <c r="H633" s="21"/>
      <c r="I633" s="21"/>
      <c r="K633" s="21"/>
      <c r="M633" s="22"/>
      <c r="O633" s="22"/>
      <c r="P633" s="22"/>
    </row>
    <row r="634" spans="8:16" x14ac:dyDescent="0.3">
      <c r="H634" s="21"/>
      <c r="I634" s="21"/>
      <c r="K634" s="21"/>
      <c r="M634" s="22"/>
      <c r="O634" s="22"/>
      <c r="P634" s="22"/>
    </row>
    <row r="635" spans="8:16" x14ac:dyDescent="0.3">
      <c r="H635" s="21"/>
      <c r="I635" s="21"/>
      <c r="K635" s="21"/>
      <c r="M635" s="22"/>
      <c r="O635" s="22"/>
      <c r="P635" s="22"/>
    </row>
    <row r="636" spans="8:16" x14ac:dyDescent="0.3">
      <c r="H636" s="21"/>
      <c r="I636" s="21"/>
      <c r="K636" s="21"/>
      <c r="M636" s="22"/>
      <c r="O636" s="22"/>
      <c r="P636" s="22"/>
    </row>
    <row r="637" spans="8:16" x14ac:dyDescent="0.3">
      <c r="H637" s="21"/>
      <c r="I637" s="21"/>
      <c r="K637" s="21"/>
      <c r="M637" s="22"/>
      <c r="O637" s="22"/>
      <c r="P637" s="22"/>
    </row>
    <row r="638" spans="8:16" x14ac:dyDescent="0.3">
      <c r="H638" s="21"/>
      <c r="I638" s="21"/>
      <c r="K638" s="21"/>
      <c r="M638" s="22"/>
      <c r="O638" s="22"/>
      <c r="P638" s="22"/>
    </row>
    <row r="639" spans="8:16" x14ac:dyDescent="0.3">
      <c r="H639" s="21"/>
      <c r="I639" s="21"/>
      <c r="K639" s="21"/>
      <c r="M639" s="22"/>
      <c r="O639" s="22"/>
      <c r="P639" s="22"/>
    </row>
    <row r="640" spans="8:16" x14ac:dyDescent="0.3">
      <c r="H640" s="21"/>
      <c r="I640" s="21"/>
      <c r="K640" s="21"/>
      <c r="M640" s="22"/>
      <c r="O640" s="22"/>
      <c r="P640" s="22"/>
    </row>
    <row r="641" spans="8:16" x14ac:dyDescent="0.3">
      <c r="H641" s="21"/>
      <c r="I641" s="21"/>
      <c r="K641" s="21"/>
      <c r="M641" s="22"/>
      <c r="O641" s="22"/>
      <c r="P641" s="22"/>
    </row>
    <row r="642" spans="8:16" x14ac:dyDescent="0.3">
      <c r="H642" s="21"/>
      <c r="I642" s="21"/>
      <c r="K642" s="21"/>
      <c r="M642" s="22"/>
      <c r="O642" s="22"/>
      <c r="P642" s="22"/>
    </row>
    <row r="643" spans="8:16" x14ac:dyDescent="0.3">
      <c r="H643" s="21"/>
      <c r="I643" s="21"/>
      <c r="K643" s="21"/>
      <c r="M643" s="22"/>
      <c r="O643" s="22"/>
      <c r="P643" s="22"/>
    </row>
    <row r="644" spans="8:16" x14ac:dyDescent="0.3">
      <c r="H644" s="21"/>
      <c r="I644" s="21"/>
      <c r="K644" s="21"/>
      <c r="M644" s="22"/>
      <c r="O644" s="22"/>
      <c r="P644" s="22"/>
    </row>
    <row r="645" spans="8:16" x14ac:dyDescent="0.3">
      <c r="H645" s="21"/>
      <c r="I645" s="21"/>
      <c r="K645" s="21"/>
      <c r="M645" s="22"/>
      <c r="O645" s="22"/>
      <c r="P645" s="22"/>
    </row>
    <row r="646" spans="8:16" x14ac:dyDescent="0.3">
      <c r="H646" s="21"/>
      <c r="I646" s="21"/>
      <c r="K646" s="21"/>
      <c r="M646" s="22"/>
      <c r="O646" s="22"/>
      <c r="P646" s="22"/>
    </row>
    <row r="647" spans="8:16" x14ac:dyDescent="0.3">
      <c r="H647" s="21"/>
      <c r="I647" s="21"/>
      <c r="K647" s="21"/>
      <c r="M647" s="22"/>
      <c r="O647" s="22"/>
      <c r="P647" s="22"/>
    </row>
    <row r="648" spans="8:16" x14ac:dyDescent="0.3">
      <c r="H648" s="21"/>
      <c r="I648" s="21"/>
      <c r="K648" s="21"/>
      <c r="M648" s="22"/>
      <c r="O648" s="22"/>
      <c r="P648" s="22"/>
    </row>
    <row r="649" spans="8:16" x14ac:dyDescent="0.3">
      <c r="H649" s="21"/>
      <c r="I649" s="21"/>
      <c r="K649" s="21"/>
      <c r="M649" s="22"/>
      <c r="O649" s="22"/>
      <c r="P649" s="22"/>
    </row>
    <row r="650" spans="8:16" x14ac:dyDescent="0.3">
      <c r="H650" s="21"/>
      <c r="I650" s="21"/>
      <c r="K650" s="21"/>
      <c r="M650" s="22"/>
      <c r="O650" s="22"/>
      <c r="P650" s="22"/>
    </row>
    <row r="651" spans="8:16" x14ac:dyDescent="0.3">
      <c r="H651" s="21"/>
      <c r="I651" s="21"/>
      <c r="K651" s="21"/>
      <c r="M651" s="22"/>
      <c r="O651" s="22"/>
      <c r="P651" s="22"/>
    </row>
    <row r="652" spans="8:16" x14ac:dyDescent="0.3">
      <c r="H652" s="21"/>
      <c r="I652" s="21"/>
      <c r="K652" s="21"/>
      <c r="M652" s="22"/>
      <c r="O652" s="22"/>
      <c r="P652" s="22"/>
    </row>
    <row r="653" spans="8:16" x14ac:dyDescent="0.3">
      <c r="H653" s="21"/>
      <c r="I653" s="21"/>
      <c r="K653" s="21"/>
      <c r="M653" s="22"/>
      <c r="O653" s="22"/>
      <c r="P653" s="22"/>
    </row>
    <row r="654" spans="8:16" x14ac:dyDescent="0.3">
      <c r="H654" s="21"/>
      <c r="I654" s="21"/>
      <c r="K654" s="21"/>
      <c r="M654" s="22"/>
      <c r="O654" s="22"/>
      <c r="P654" s="22"/>
    </row>
    <row r="655" spans="8:16" x14ac:dyDescent="0.3">
      <c r="H655" s="21"/>
      <c r="I655" s="21"/>
      <c r="K655" s="21"/>
      <c r="M655" s="22"/>
      <c r="O655" s="22"/>
      <c r="P655" s="22"/>
    </row>
    <row r="656" spans="8:16" x14ac:dyDescent="0.3">
      <c r="H656" s="21"/>
      <c r="I656" s="21"/>
      <c r="K656" s="21"/>
      <c r="M656" s="22"/>
      <c r="O656" s="22"/>
      <c r="P656" s="22"/>
    </row>
    <row r="657" spans="8:16" x14ac:dyDescent="0.3">
      <c r="H657" s="21"/>
      <c r="I657" s="21"/>
      <c r="K657" s="21"/>
      <c r="M657" s="22"/>
      <c r="O657" s="22"/>
      <c r="P657" s="22"/>
    </row>
    <row r="658" spans="8:16" x14ac:dyDescent="0.3">
      <c r="H658" s="21"/>
      <c r="I658" s="21"/>
      <c r="K658" s="21"/>
      <c r="M658" s="22"/>
      <c r="O658" s="22"/>
      <c r="P658" s="22"/>
    </row>
    <row r="659" spans="8:16" x14ac:dyDescent="0.3">
      <c r="H659" s="21"/>
      <c r="I659" s="21"/>
      <c r="K659" s="21"/>
      <c r="M659" s="22"/>
      <c r="O659" s="22"/>
      <c r="P659" s="22"/>
    </row>
    <row r="660" spans="8:16" x14ac:dyDescent="0.3">
      <c r="H660" s="21"/>
      <c r="I660" s="21"/>
      <c r="K660" s="21"/>
      <c r="M660" s="22"/>
      <c r="O660" s="22"/>
      <c r="P660" s="22"/>
    </row>
    <row r="661" spans="8:16" x14ac:dyDescent="0.3">
      <c r="H661" s="21"/>
      <c r="I661" s="21"/>
      <c r="K661" s="21"/>
      <c r="M661" s="22"/>
      <c r="O661" s="22"/>
      <c r="P661" s="22"/>
    </row>
    <row r="662" spans="8:16" x14ac:dyDescent="0.3">
      <c r="H662" s="21"/>
      <c r="I662" s="21"/>
      <c r="K662" s="21"/>
      <c r="M662" s="22"/>
      <c r="O662" s="22"/>
      <c r="P662" s="22"/>
    </row>
    <row r="663" spans="8:16" x14ac:dyDescent="0.3">
      <c r="H663" s="21"/>
      <c r="I663" s="21"/>
      <c r="K663" s="21"/>
      <c r="M663" s="22"/>
      <c r="O663" s="22"/>
      <c r="P663" s="22"/>
    </row>
    <row r="664" spans="8:16" x14ac:dyDescent="0.3">
      <c r="H664" s="21"/>
      <c r="I664" s="21"/>
      <c r="K664" s="21"/>
      <c r="M664" s="22"/>
      <c r="O664" s="22"/>
      <c r="P664" s="22"/>
    </row>
    <row r="665" spans="8:16" x14ac:dyDescent="0.3">
      <c r="H665" s="21"/>
      <c r="I665" s="21"/>
      <c r="K665" s="21"/>
      <c r="M665" s="22"/>
      <c r="O665" s="22"/>
      <c r="P665" s="22"/>
    </row>
    <row r="666" spans="8:16" x14ac:dyDescent="0.3">
      <c r="H666" s="21"/>
      <c r="I666" s="21"/>
      <c r="K666" s="21"/>
      <c r="M666" s="22"/>
      <c r="O666" s="22"/>
      <c r="P666" s="22"/>
    </row>
    <row r="667" spans="8:16" x14ac:dyDescent="0.3">
      <c r="H667" s="21"/>
      <c r="I667" s="21"/>
      <c r="K667" s="21"/>
      <c r="M667" s="22"/>
      <c r="O667" s="22"/>
      <c r="P667" s="22"/>
    </row>
    <row r="668" spans="8:16" x14ac:dyDescent="0.3">
      <c r="H668" s="21"/>
      <c r="I668" s="21"/>
      <c r="K668" s="21"/>
      <c r="M668" s="22"/>
      <c r="O668" s="22"/>
      <c r="P668" s="22"/>
    </row>
    <row r="669" spans="8:16" x14ac:dyDescent="0.3">
      <c r="H669" s="21"/>
      <c r="I669" s="21"/>
      <c r="K669" s="21"/>
      <c r="M669" s="22"/>
      <c r="O669" s="22"/>
      <c r="P669" s="22"/>
    </row>
    <row r="670" spans="8:16" x14ac:dyDescent="0.3">
      <c r="H670" s="21"/>
      <c r="I670" s="21"/>
      <c r="K670" s="21"/>
      <c r="M670" s="22"/>
      <c r="O670" s="22"/>
      <c r="P670" s="22"/>
    </row>
    <row r="671" spans="8:16" x14ac:dyDescent="0.3">
      <c r="H671" s="21"/>
      <c r="I671" s="21"/>
      <c r="K671" s="21"/>
      <c r="M671" s="22"/>
      <c r="O671" s="22"/>
      <c r="P671" s="22"/>
    </row>
    <row r="672" spans="8:16" x14ac:dyDescent="0.3">
      <c r="H672" s="21"/>
      <c r="I672" s="21"/>
      <c r="K672" s="21"/>
      <c r="M672" s="22"/>
      <c r="O672" s="22"/>
      <c r="P672" s="22"/>
    </row>
    <row r="673" spans="8:16" x14ac:dyDescent="0.3">
      <c r="H673" s="21"/>
      <c r="I673" s="21"/>
      <c r="K673" s="21"/>
      <c r="M673" s="22"/>
      <c r="O673" s="22"/>
      <c r="P673" s="22"/>
    </row>
    <row r="674" spans="8:16" x14ac:dyDescent="0.3">
      <c r="H674" s="21"/>
      <c r="I674" s="21"/>
      <c r="K674" s="21"/>
      <c r="M674" s="22"/>
      <c r="O674" s="22"/>
      <c r="P674" s="22"/>
    </row>
    <row r="675" spans="8:16" x14ac:dyDescent="0.3">
      <c r="H675" s="21"/>
      <c r="I675" s="21"/>
      <c r="K675" s="21"/>
      <c r="M675" s="22"/>
      <c r="O675" s="22"/>
      <c r="P675" s="22"/>
    </row>
    <row r="676" spans="8:16" x14ac:dyDescent="0.3">
      <c r="H676" s="21"/>
      <c r="I676" s="21"/>
      <c r="K676" s="21"/>
      <c r="M676" s="22"/>
      <c r="O676" s="22"/>
      <c r="P676" s="22"/>
    </row>
    <row r="677" spans="8:16" x14ac:dyDescent="0.3">
      <c r="H677" s="21"/>
      <c r="I677" s="21"/>
      <c r="K677" s="21"/>
      <c r="M677" s="22"/>
      <c r="O677" s="22"/>
      <c r="P677" s="22"/>
    </row>
    <row r="678" spans="8:16" x14ac:dyDescent="0.3">
      <c r="H678" s="21"/>
      <c r="I678" s="21"/>
      <c r="K678" s="21"/>
      <c r="M678" s="22"/>
      <c r="O678" s="22"/>
      <c r="P678" s="22"/>
    </row>
    <row r="679" spans="8:16" x14ac:dyDescent="0.3">
      <c r="H679" s="21"/>
      <c r="I679" s="21"/>
      <c r="K679" s="21"/>
      <c r="M679" s="22"/>
      <c r="O679" s="22"/>
      <c r="P679" s="22"/>
    </row>
    <row r="680" spans="8:16" x14ac:dyDescent="0.3">
      <c r="H680" s="21"/>
      <c r="I680" s="21"/>
      <c r="K680" s="21"/>
      <c r="M680" s="22"/>
      <c r="O680" s="22"/>
      <c r="P680" s="22"/>
    </row>
    <row r="681" spans="8:16" x14ac:dyDescent="0.3">
      <c r="H681" s="21"/>
      <c r="I681" s="21"/>
      <c r="K681" s="21"/>
      <c r="M681" s="22"/>
      <c r="O681" s="22"/>
      <c r="P681" s="22"/>
    </row>
    <row r="682" spans="8:16" x14ac:dyDescent="0.3">
      <c r="H682" s="21"/>
      <c r="I682" s="21"/>
      <c r="K682" s="21"/>
      <c r="M682" s="22"/>
      <c r="O682" s="22"/>
      <c r="P682" s="22"/>
    </row>
    <row r="683" spans="8:16" x14ac:dyDescent="0.3">
      <c r="H683" s="21"/>
      <c r="I683" s="21"/>
      <c r="K683" s="21"/>
      <c r="M683" s="22"/>
      <c r="O683" s="22"/>
      <c r="P683" s="22"/>
    </row>
    <row r="684" spans="8:16" x14ac:dyDescent="0.3">
      <c r="H684" s="21"/>
      <c r="I684" s="21"/>
      <c r="K684" s="21"/>
      <c r="M684" s="22"/>
      <c r="O684" s="22"/>
      <c r="P684" s="22"/>
    </row>
    <row r="685" spans="8:16" x14ac:dyDescent="0.3">
      <c r="H685" s="21"/>
      <c r="I685" s="21"/>
      <c r="K685" s="21"/>
      <c r="M685" s="22"/>
      <c r="O685" s="22"/>
      <c r="P685" s="22"/>
    </row>
    <row r="686" spans="8:16" x14ac:dyDescent="0.3">
      <c r="H686" s="21"/>
      <c r="I686" s="21"/>
      <c r="K686" s="21"/>
      <c r="M686" s="22"/>
      <c r="O686" s="22"/>
      <c r="P686" s="22"/>
    </row>
    <row r="687" spans="8:16" x14ac:dyDescent="0.3">
      <c r="H687" s="21"/>
      <c r="I687" s="21"/>
      <c r="K687" s="21"/>
      <c r="M687" s="22"/>
      <c r="O687" s="22"/>
      <c r="P687" s="22"/>
    </row>
    <row r="688" spans="8:16" x14ac:dyDescent="0.3">
      <c r="H688" s="21"/>
      <c r="I688" s="21"/>
      <c r="K688" s="21"/>
      <c r="M688" s="22"/>
      <c r="O688" s="22"/>
      <c r="P688" s="22"/>
    </row>
    <row r="689" spans="8:16" x14ac:dyDescent="0.3">
      <c r="H689" s="21"/>
      <c r="I689" s="21"/>
      <c r="K689" s="21"/>
      <c r="M689" s="22"/>
      <c r="O689" s="22"/>
      <c r="P689" s="22"/>
    </row>
    <row r="690" spans="8:16" x14ac:dyDescent="0.3">
      <c r="H690" s="21"/>
      <c r="I690" s="21"/>
      <c r="K690" s="21"/>
      <c r="M690" s="22"/>
      <c r="O690" s="22"/>
      <c r="P690" s="22"/>
    </row>
    <row r="691" spans="8:16" x14ac:dyDescent="0.3">
      <c r="H691" s="21"/>
      <c r="I691" s="21"/>
      <c r="K691" s="21"/>
      <c r="M691" s="22"/>
      <c r="O691" s="22"/>
      <c r="P691" s="22"/>
    </row>
    <row r="692" spans="8:16" x14ac:dyDescent="0.3">
      <c r="H692" s="21"/>
      <c r="I692" s="21"/>
      <c r="K692" s="21"/>
      <c r="M692" s="22"/>
      <c r="O692" s="22"/>
      <c r="P692" s="22"/>
    </row>
    <row r="693" spans="8:16" x14ac:dyDescent="0.3">
      <c r="H693" s="21"/>
      <c r="I693" s="21"/>
      <c r="K693" s="21"/>
      <c r="M693" s="22"/>
      <c r="O693" s="22"/>
      <c r="P693" s="22"/>
    </row>
    <row r="694" spans="8:16" x14ac:dyDescent="0.3">
      <c r="H694" s="21"/>
      <c r="I694" s="21"/>
      <c r="K694" s="21"/>
      <c r="M694" s="22"/>
      <c r="O694" s="22"/>
      <c r="P694" s="22"/>
    </row>
    <row r="695" spans="8:16" x14ac:dyDescent="0.3">
      <c r="H695" s="21"/>
      <c r="I695" s="21"/>
      <c r="K695" s="21"/>
      <c r="M695" s="22"/>
      <c r="O695" s="22"/>
      <c r="P695" s="22"/>
    </row>
    <row r="696" spans="8:16" x14ac:dyDescent="0.3">
      <c r="H696" s="21"/>
      <c r="I696" s="21"/>
      <c r="K696" s="21"/>
      <c r="M696" s="22"/>
      <c r="O696" s="22"/>
      <c r="P696" s="22"/>
    </row>
    <row r="697" spans="8:16" x14ac:dyDescent="0.3">
      <c r="H697" s="21"/>
      <c r="I697" s="21"/>
      <c r="K697" s="21"/>
      <c r="M697" s="22"/>
      <c r="O697" s="22"/>
      <c r="P697" s="22"/>
    </row>
    <row r="698" spans="8:16" x14ac:dyDescent="0.3">
      <c r="H698" s="21"/>
      <c r="I698" s="21"/>
      <c r="K698" s="21"/>
      <c r="M698" s="22"/>
      <c r="O698" s="22"/>
      <c r="P698" s="22"/>
    </row>
    <row r="699" spans="8:16" x14ac:dyDescent="0.3">
      <c r="H699" s="21"/>
      <c r="I699" s="21"/>
      <c r="K699" s="21"/>
      <c r="M699" s="22"/>
      <c r="O699" s="22"/>
      <c r="P699" s="22"/>
    </row>
    <row r="700" spans="8:16" x14ac:dyDescent="0.3">
      <c r="H700" s="21"/>
      <c r="I700" s="21"/>
      <c r="K700" s="21"/>
      <c r="M700" s="22"/>
      <c r="O700" s="22"/>
      <c r="P700" s="22"/>
    </row>
    <row r="701" spans="8:16" x14ac:dyDescent="0.3">
      <c r="H701" s="21"/>
      <c r="I701" s="21"/>
      <c r="K701" s="21"/>
      <c r="M701" s="22"/>
      <c r="O701" s="22"/>
      <c r="P701" s="22"/>
    </row>
    <row r="702" spans="8:16" x14ac:dyDescent="0.3">
      <c r="H702" s="21"/>
      <c r="I702" s="21"/>
      <c r="K702" s="21"/>
      <c r="M702" s="22"/>
      <c r="O702" s="22"/>
      <c r="P702" s="22"/>
    </row>
    <row r="703" spans="8:16" x14ac:dyDescent="0.3">
      <c r="H703" s="21"/>
      <c r="I703" s="21"/>
      <c r="K703" s="21"/>
      <c r="M703" s="22"/>
      <c r="O703" s="22"/>
      <c r="P703" s="22"/>
    </row>
    <row r="704" spans="8:16" x14ac:dyDescent="0.3">
      <c r="H704" s="21"/>
      <c r="I704" s="21"/>
      <c r="K704" s="21"/>
      <c r="M704" s="22"/>
      <c r="O704" s="22"/>
      <c r="P704" s="22"/>
    </row>
    <row r="705" spans="8:16" x14ac:dyDescent="0.3">
      <c r="H705" s="21"/>
      <c r="I705" s="21"/>
      <c r="K705" s="21"/>
      <c r="M705" s="22"/>
      <c r="O705" s="22"/>
      <c r="P705" s="22"/>
    </row>
    <row r="706" spans="8:16" x14ac:dyDescent="0.3">
      <c r="H706" s="21"/>
      <c r="I706" s="21"/>
      <c r="K706" s="21"/>
      <c r="M706" s="22"/>
      <c r="O706" s="22"/>
      <c r="P706" s="22"/>
    </row>
    <row r="707" spans="8:16" x14ac:dyDescent="0.3">
      <c r="H707" s="21"/>
      <c r="I707" s="21"/>
      <c r="K707" s="21"/>
      <c r="M707" s="22"/>
      <c r="O707" s="22"/>
      <c r="P707" s="22"/>
    </row>
    <row r="708" spans="8:16" x14ac:dyDescent="0.3">
      <c r="H708" s="21"/>
      <c r="I708" s="21"/>
      <c r="K708" s="21"/>
      <c r="M708" s="22"/>
      <c r="O708" s="22"/>
      <c r="P708" s="22"/>
    </row>
    <row r="709" spans="8:16" x14ac:dyDescent="0.3">
      <c r="H709" s="21"/>
      <c r="I709" s="21"/>
      <c r="K709" s="21"/>
      <c r="M709" s="22"/>
      <c r="O709" s="22"/>
      <c r="P709" s="22"/>
    </row>
    <row r="710" spans="8:16" x14ac:dyDescent="0.3">
      <c r="H710" s="21"/>
      <c r="I710" s="21"/>
      <c r="K710" s="21"/>
      <c r="M710" s="22"/>
      <c r="O710" s="22"/>
      <c r="P710" s="22"/>
    </row>
    <row r="711" spans="8:16" x14ac:dyDescent="0.3">
      <c r="H711" s="21"/>
      <c r="I711" s="21"/>
      <c r="K711" s="21"/>
      <c r="M711" s="22"/>
      <c r="O711" s="22"/>
      <c r="P711" s="22"/>
    </row>
    <row r="712" spans="8:16" x14ac:dyDescent="0.3">
      <c r="H712" s="21"/>
      <c r="I712" s="21"/>
      <c r="K712" s="21"/>
      <c r="M712" s="22"/>
      <c r="O712" s="22"/>
      <c r="P712" s="22"/>
    </row>
    <row r="713" spans="8:16" x14ac:dyDescent="0.3">
      <c r="H713" s="21"/>
      <c r="I713" s="21"/>
      <c r="K713" s="21"/>
      <c r="M713" s="22"/>
      <c r="O713" s="22"/>
      <c r="P713" s="22"/>
    </row>
  </sheetData>
  <autoFilter ref="A5:X157" xr:uid="{28739AD8-31B9-4779-9916-C0C44A9ECA8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D198-6FF3-4401-86F7-FEAB5DAEA8E1}">
  <sheetPr codeName="Hoja8">
    <tabColor rgb="FF00B0F0"/>
  </sheetPr>
  <dimension ref="A2:T276"/>
  <sheetViews>
    <sheetView topLeftCell="A76" zoomScale="90" zoomScaleNormal="90" workbookViewId="0">
      <selection activeCell="L101" sqref="L101"/>
    </sheetView>
  </sheetViews>
  <sheetFormatPr baseColWidth="10" defaultRowHeight="14.5" x14ac:dyDescent="0.35"/>
  <cols>
    <col min="1" max="1" width="21" customWidth="1"/>
    <col min="2" max="2" width="9.90625" customWidth="1"/>
    <col min="3" max="3" width="13.81640625" customWidth="1"/>
    <col min="4" max="4" width="15.26953125" customWidth="1"/>
    <col min="5" max="5" width="18.1796875" customWidth="1"/>
    <col min="6" max="6" width="22.7265625" customWidth="1"/>
    <col min="7" max="7" width="17.6328125" customWidth="1"/>
    <col min="8" max="8" width="4.1796875" customWidth="1"/>
    <col min="9" max="9" width="5" customWidth="1"/>
    <col min="10" max="10" width="22.54296875" customWidth="1"/>
    <col min="11" max="11" width="11.1796875" customWidth="1"/>
    <col min="12" max="12" width="15.26953125" bestFit="1" customWidth="1"/>
    <col min="13" max="14" width="14.26953125" bestFit="1" customWidth="1"/>
    <col min="15" max="15" width="19.08984375" bestFit="1" customWidth="1"/>
    <col min="19" max="19" width="12.26953125" customWidth="1"/>
  </cols>
  <sheetData>
    <row r="2" spans="1:17" ht="15" thickBot="1" x14ac:dyDescent="0.4"/>
    <row r="3" spans="1:17" ht="29" thickBot="1" x14ac:dyDescent="0.7">
      <c r="A3" s="215" t="s">
        <v>83</v>
      </c>
      <c r="B3" s="578" t="str">
        <f>+TODOS!G7</f>
        <v>"04-2026"</v>
      </c>
      <c r="C3" s="579"/>
      <c r="E3" s="460"/>
    </row>
    <row r="4" spans="1:17" ht="15" thickBot="1" x14ac:dyDescent="0.4"/>
    <row r="5" spans="1:17" ht="34.5" customHeight="1" x14ac:dyDescent="0.45">
      <c r="A5" s="237" t="s">
        <v>995</v>
      </c>
      <c r="B5" s="235">
        <v>204547</v>
      </c>
      <c r="C5" s="574" t="s">
        <v>982</v>
      </c>
      <c r="D5" s="575"/>
      <c r="E5" s="229" t="s">
        <v>508</v>
      </c>
      <c r="F5" s="229">
        <v>6620</v>
      </c>
      <c r="G5" s="216"/>
      <c r="H5" s="216"/>
      <c r="I5" s="216"/>
      <c r="J5" s="216"/>
      <c r="K5" s="216"/>
      <c r="L5" s="249" t="s">
        <v>1010</v>
      </c>
      <c r="M5" s="216"/>
      <c r="N5" s="216"/>
      <c r="O5" s="216"/>
      <c r="P5" s="216"/>
      <c r="Q5" s="217"/>
    </row>
    <row r="6" spans="1:17" x14ac:dyDescent="0.35">
      <c r="A6" s="234">
        <v>12307000</v>
      </c>
      <c r="B6" s="567" t="s">
        <v>996</v>
      </c>
      <c r="C6" s="567"/>
      <c r="Q6" s="219"/>
    </row>
    <row r="7" spans="1:17" x14ac:dyDescent="0.35">
      <c r="A7" s="218">
        <v>2338330</v>
      </c>
      <c r="B7" s="567" t="s">
        <v>997</v>
      </c>
      <c r="C7" s="567"/>
      <c r="Q7" s="219"/>
    </row>
    <row r="8" spans="1:17" x14ac:dyDescent="0.35">
      <c r="A8" s="220">
        <f>SUM(A6:A7)</f>
        <v>14645330</v>
      </c>
      <c r="B8" s="567" t="s">
        <v>998</v>
      </c>
      <c r="C8" s="567"/>
      <c r="F8" s="303"/>
      <c r="Q8" s="219"/>
    </row>
    <row r="9" spans="1:17" x14ac:dyDescent="0.35">
      <c r="A9" s="221"/>
      <c r="D9" t="s">
        <v>1728</v>
      </c>
      <c r="E9" s="19"/>
      <c r="Q9" s="219"/>
    </row>
    <row r="10" spans="1:17" x14ac:dyDescent="0.35">
      <c r="A10" s="234">
        <f>+G23+G28</f>
        <v>430744.48266875162</v>
      </c>
      <c r="B10" s="567" t="s">
        <v>1104</v>
      </c>
      <c r="C10" s="567"/>
      <c r="E10" s="202"/>
      <c r="F10" s="270"/>
      <c r="Q10" s="219"/>
    </row>
    <row r="11" spans="1:17" x14ac:dyDescent="0.35">
      <c r="A11" s="218">
        <f>+G22</f>
        <v>30767.758665624187</v>
      </c>
      <c r="B11" s="567" t="s">
        <v>1105</v>
      </c>
      <c r="C11" s="567"/>
      <c r="E11" s="202"/>
      <c r="G11" s="202"/>
      <c r="Q11" s="219"/>
    </row>
    <row r="12" spans="1:17" x14ac:dyDescent="0.35">
      <c r="A12" s="284"/>
      <c r="E12" s="202"/>
      <c r="F12" s="452" t="s">
        <v>1769</v>
      </c>
      <c r="G12" s="202"/>
      <c r="Q12" s="219"/>
    </row>
    <row r="13" spans="1:17" x14ac:dyDescent="0.35">
      <c r="A13" s="284">
        <f>+A8-A10-A11</f>
        <v>14183817.758665623</v>
      </c>
      <c r="B13" s="567" t="s">
        <v>1106</v>
      </c>
      <c r="C13" s="567"/>
      <c r="E13" s="202"/>
      <c r="F13" t="s">
        <v>1770</v>
      </c>
      <c r="G13" s="270"/>
      <c r="Q13" s="219"/>
    </row>
    <row r="14" spans="1:17" x14ac:dyDescent="0.35">
      <c r="A14" s="302"/>
      <c r="Q14" s="219"/>
    </row>
    <row r="15" spans="1:17" ht="26.5" customHeight="1" thickBot="1" x14ac:dyDescent="0.4">
      <c r="A15" s="568" t="s">
        <v>276</v>
      </c>
      <c r="B15" s="569"/>
      <c r="C15" s="569"/>
      <c r="D15" s="569"/>
      <c r="E15" s="569"/>
      <c r="F15" s="569"/>
      <c r="G15" s="569"/>
      <c r="H15" s="569"/>
      <c r="I15" s="569"/>
      <c r="J15" s="570"/>
      <c r="K15" s="571" t="s">
        <v>960</v>
      </c>
      <c r="L15" s="572"/>
      <c r="M15" s="572"/>
      <c r="N15" s="572"/>
      <c r="O15" s="572"/>
      <c r="P15" s="572"/>
      <c r="Q15" s="573"/>
    </row>
    <row r="16" spans="1:17" ht="26.5" thickBot="1" x14ac:dyDescent="0.4">
      <c r="A16" s="283" t="s">
        <v>1103</v>
      </c>
      <c r="B16" s="232" t="s">
        <v>266</v>
      </c>
      <c r="C16" s="231" t="s">
        <v>615</v>
      </c>
      <c r="D16" s="282" t="s">
        <v>1102</v>
      </c>
      <c r="E16" s="231" t="s">
        <v>988</v>
      </c>
      <c r="F16" s="231" t="s">
        <v>990</v>
      </c>
      <c r="G16" s="231" t="s">
        <v>991</v>
      </c>
      <c r="H16" s="232"/>
      <c r="I16" s="231" t="s">
        <v>989</v>
      </c>
      <c r="J16" s="231" t="s">
        <v>992</v>
      </c>
      <c r="K16" s="73" t="s">
        <v>615</v>
      </c>
      <c r="L16" s="74" t="s">
        <v>618</v>
      </c>
      <c r="M16" s="76" t="s">
        <v>619</v>
      </c>
      <c r="N16" s="76" t="s">
        <v>620</v>
      </c>
      <c r="O16" s="76" t="s">
        <v>621</v>
      </c>
      <c r="P16" s="77" t="s">
        <v>622</v>
      </c>
      <c r="Q16" s="222" t="s">
        <v>623</v>
      </c>
    </row>
    <row r="17" spans="1:20" x14ac:dyDescent="0.35">
      <c r="A17" s="223">
        <v>204547</v>
      </c>
      <c r="B17" s="248" t="str">
        <f>+E5</f>
        <v>T038</v>
      </c>
      <c r="C17" s="248">
        <f>+F5</f>
        <v>6620</v>
      </c>
      <c r="D17" s="211">
        <v>205668</v>
      </c>
      <c r="E17" s="236">
        <v>1242100042</v>
      </c>
      <c r="F17" s="8" t="s">
        <v>983</v>
      </c>
      <c r="G17" s="304">
        <f>+G18+G19-G20+G21-G22-G23</f>
        <v>7076525</v>
      </c>
      <c r="H17" t="s">
        <v>984</v>
      </c>
      <c r="I17">
        <v>31</v>
      </c>
      <c r="J17" t="str">
        <f>+CONCATENATE($B$3," RF/50% ",B17," ",K17)</f>
        <v>"04-2026" RF/50% T038 6620</v>
      </c>
      <c r="K17" s="240">
        <f>+VLOOKUP(B17,PRORRATEO!C:K,4,0)</f>
        <v>6620</v>
      </c>
      <c r="L17" s="213">
        <f>+VLOOKUP(B17,PRORRATEO!C:M,6,0)</f>
        <v>11894700</v>
      </c>
      <c r="M17" s="213">
        <f>+VLOOKUP(B17,PRORRATEO!C:M,7,0)</f>
        <v>2259993</v>
      </c>
      <c r="N17" s="213">
        <f>+VLOOKUP(B17,PRORRATEO!C:M,8,0)</f>
        <v>171759.46799999999</v>
      </c>
      <c r="O17" s="213">
        <f>+VLOOKUP(B17,PRORRATEO!C:M,9,0)</f>
        <v>2088233.5320000001</v>
      </c>
      <c r="P17" s="193">
        <f>+VLOOKUP(B17,PRORRATEO!C:M,10,0)</f>
        <v>7.5999999999999998E-2</v>
      </c>
      <c r="Q17" s="224">
        <f>+VLOOKUP(B17,PRORRATEO!C:M,11,0)</f>
        <v>0.92400000000000004</v>
      </c>
      <c r="R17" s="212"/>
      <c r="T17" s="212"/>
    </row>
    <row r="18" spans="1:20" x14ac:dyDescent="0.35">
      <c r="A18" s="221"/>
      <c r="D18" s="211">
        <v>1245150017</v>
      </c>
      <c r="E18" s="237">
        <v>1245150017</v>
      </c>
      <c r="F18" s="8" t="s">
        <v>77</v>
      </c>
      <c r="G18" s="268">
        <f>+A6/2</f>
        <v>6153500</v>
      </c>
      <c r="H18" s="237" t="s">
        <v>97</v>
      </c>
      <c r="I18" s="237">
        <v>40</v>
      </c>
      <c r="J18" t="str">
        <f>+J17</f>
        <v>"04-2026" RF/50% T038 6620</v>
      </c>
      <c r="K18">
        <f>+K17</f>
        <v>6620</v>
      </c>
      <c r="L18" s="16"/>
      <c r="Q18" s="219"/>
    </row>
    <row r="19" spans="1:20" x14ac:dyDescent="0.35">
      <c r="A19" s="221"/>
      <c r="B19" s="247">
        <v>0.5</v>
      </c>
      <c r="D19" s="211">
        <v>1149120011</v>
      </c>
      <c r="E19" s="237">
        <v>1149120011</v>
      </c>
      <c r="F19" s="8" t="s">
        <v>96</v>
      </c>
      <c r="G19" s="268">
        <f>+N17</f>
        <v>171759.46799999999</v>
      </c>
      <c r="H19" s="237" t="s">
        <v>98</v>
      </c>
      <c r="I19" s="237">
        <v>40</v>
      </c>
      <c r="J19" t="str">
        <f t="shared" ref="J19:J23" si="0">+J18</f>
        <v>"04-2026" RF/50% T038 6620</v>
      </c>
      <c r="K19">
        <f t="shared" ref="K19:K20" si="1">+K18</f>
        <v>6620</v>
      </c>
      <c r="L19" s="16">
        <f>+G18+G21</f>
        <v>7322665</v>
      </c>
      <c r="Q19" s="219"/>
    </row>
    <row r="20" spans="1:20" ht="15" thickBot="1" x14ac:dyDescent="0.4">
      <c r="A20" s="221"/>
      <c r="D20" s="211">
        <v>1149120011</v>
      </c>
      <c r="E20" s="237">
        <v>1149120011</v>
      </c>
      <c r="F20" s="8" t="s">
        <v>96</v>
      </c>
      <c r="G20" s="268">
        <f>+G19</f>
        <v>171759.46799999999</v>
      </c>
      <c r="H20" s="237" t="s">
        <v>97</v>
      </c>
      <c r="I20" s="237">
        <v>50</v>
      </c>
      <c r="J20" t="str">
        <f t="shared" si="0"/>
        <v>"04-2026" RF/50% T038 6620</v>
      </c>
      <c r="K20">
        <f t="shared" si="1"/>
        <v>6620</v>
      </c>
      <c r="Q20" s="219"/>
    </row>
    <row r="21" spans="1:20" ht="15" thickBot="1" x14ac:dyDescent="0.4">
      <c r="A21" s="221"/>
      <c r="D21" s="211">
        <v>1149120011</v>
      </c>
      <c r="E21" s="236">
        <v>1149120011</v>
      </c>
      <c r="F21" s="8" t="s">
        <v>96</v>
      </c>
      <c r="G21" s="268">
        <f>+A7/2</f>
        <v>1169165</v>
      </c>
      <c r="H21" t="s">
        <v>97</v>
      </c>
      <c r="I21">
        <v>40</v>
      </c>
      <c r="J21" t="str">
        <f t="shared" si="0"/>
        <v>"04-2026" RF/50% T038 6620</v>
      </c>
      <c r="L21" s="423"/>
      <c r="Q21" s="219"/>
    </row>
    <row r="22" spans="1:20" ht="15" thickBot="1" x14ac:dyDescent="0.4">
      <c r="A22" s="221"/>
      <c r="D22" s="211">
        <v>1249100024</v>
      </c>
      <c r="E22" s="236">
        <v>1249100024</v>
      </c>
      <c r="F22" s="8" t="s">
        <v>981</v>
      </c>
      <c r="G22" s="268">
        <f>+G18*L22</f>
        <v>30767.758665624187</v>
      </c>
      <c r="I22">
        <v>50</v>
      </c>
      <c r="J22" t="str">
        <f t="shared" si="0"/>
        <v>"04-2026" RF/50% T038 6620</v>
      </c>
      <c r="K22" s="243">
        <v>12</v>
      </c>
      <c r="L22" s="214">
        <v>5.0000420355284288E-3</v>
      </c>
      <c r="Q22" s="219"/>
    </row>
    <row r="23" spans="1:20" x14ac:dyDescent="0.35">
      <c r="A23" s="221"/>
      <c r="D23" s="211">
        <v>1246125027</v>
      </c>
      <c r="E23" s="236">
        <v>1246125027</v>
      </c>
      <c r="F23" s="8" t="s">
        <v>962</v>
      </c>
      <c r="G23" s="268">
        <f>+G18*L23</f>
        <v>215372.24133437581</v>
      </c>
      <c r="I23">
        <v>50</v>
      </c>
      <c r="J23" t="str">
        <f t="shared" si="0"/>
        <v>"04-2026" RF/50% T038 6620</v>
      </c>
      <c r="K23" s="243" t="s">
        <v>857</v>
      </c>
      <c r="L23" s="214">
        <v>3.499995796447157E-2</v>
      </c>
      <c r="Q23" s="219"/>
    </row>
    <row r="24" spans="1:20" s="245" customFormat="1" ht="15" thickBot="1" x14ac:dyDescent="0.4">
      <c r="A24" s="244"/>
      <c r="Q24" s="246"/>
    </row>
    <row r="25" spans="1:20" x14ac:dyDescent="0.35">
      <c r="A25" s="223">
        <v>204547</v>
      </c>
      <c r="B25" s="211" t="s">
        <v>508</v>
      </c>
      <c r="C25" s="211">
        <v>6620</v>
      </c>
      <c r="D25" s="211">
        <v>205669</v>
      </c>
      <c r="E25" s="236">
        <v>1242100042</v>
      </c>
      <c r="F25" s="8" t="s">
        <v>983</v>
      </c>
      <c r="G25" s="16">
        <f>+G26+G27-G28</f>
        <v>7107292.7586656241</v>
      </c>
      <c r="H25" t="s">
        <v>97</v>
      </c>
      <c r="I25">
        <v>31</v>
      </c>
      <c r="J25" t="str">
        <f>+CONCATENATE(B3," RF/50% ",B25," ",K17)</f>
        <v>"04-2026" RF/50% T038 6620</v>
      </c>
      <c r="K25">
        <f>+K18</f>
        <v>6620</v>
      </c>
      <c r="Q25" s="219"/>
    </row>
    <row r="26" spans="1:20" ht="15" thickBot="1" x14ac:dyDescent="0.4">
      <c r="A26" s="221"/>
      <c r="D26" s="211">
        <v>1245150017</v>
      </c>
      <c r="E26" s="237">
        <v>1245150017</v>
      </c>
      <c r="F26" s="8" t="s">
        <v>77</v>
      </c>
      <c r="G26" s="228">
        <f>+A6/2</f>
        <v>6153500</v>
      </c>
      <c r="H26" s="237" t="s">
        <v>97</v>
      </c>
      <c r="I26" s="237">
        <v>40</v>
      </c>
      <c r="J26" t="str">
        <f>+J25</f>
        <v>"04-2026" RF/50% T038 6620</v>
      </c>
      <c r="K26">
        <f>+K25</f>
        <v>6620</v>
      </c>
      <c r="L26" s="16">
        <f>+G26+G27</f>
        <v>7322665</v>
      </c>
      <c r="Q26" s="219"/>
    </row>
    <row r="27" spans="1:20" ht="15" thickBot="1" x14ac:dyDescent="0.4">
      <c r="A27" s="221"/>
      <c r="B27" s="247">
        <v>0.5</v>
      </c>
      <c r="D27" s="211">
        <v>1149120011</v>
      </c>
      <c r="E27" s="236">
        <v>1149120011</v>
      </c>
      <c r="F27" s="8" t="s">
        <v>96</v>
      </c>
      <c r="G27" s="16">
        <f>+A7/2</f>
        <v>1169165</v>
      </c>
      <c r="H27" t="s">
        <v>97</v>
      </c>
      <c r="I27">
        <v>40</v>
      </c>
      <c r="J27" t="str">
        <f>+J26</f>
        <v>"04-2026" RF/50% T038 6620</v>
      </c>
      <c r="K27">
        <f>+K26</f>
        <v>6620</v>
      </c>
      <c r="Q27" s="219"/>
    </row>
    <row r="28" spans="1:20" ht="16.5" x14ac:dyDescent="0.35">
      <c r="A28" s="239">
        <f>+G18+G26+G21+G27</f>
        <v>14645330</v>
      </c>
      <c r="B28" s="238">
        <f>+B19+B27</f>
        <v>1</v>
      </c>
      <c r="D28" s="211">
        <v>1246125027</v>
      </c>
      <c r="E28" s="236">
        <v>1246125027</v>
      </c>
      <c r="F28" s="8" t="s">
        <v>962</v>
      </c>
      <c r="G28" s="16">
        <f>+G26*L28</f>
        <v>215372.24133437581</v>
      </c>
      <c r="I28">
        <v>50</v>
      </c>
      <c r="J28" t="str">
        <f>+J27</f>
        <v>"04-2026" RF/50% T038 6620</v>
      </c>
      <c r="K28" s="243" t="s">
        <v>857</v>
      </c>
      <c r="L28" s="214">
        <v>3.499995796447157E-2</v>
      </c>
      <c r="Q28" s="219"/>
    </row>
    <row r="29" spans="1:20" s="230" customFormat="1" ht="15" thickBot="1" x14ac:dyDescent="0.4">
      <c r="A29" s="285"/>
      <c r="B29" s="286"/>
      <c r="C29" s="286"/>
      <c r="D29" s="286"/>
      <c r="E29" s="286"/>
      <c r="F29" s="286"/>
      <c r="G29" s="286"/>
      <c r="H29" s="286"/>
      <c r="I29" s="286"/>
      <c r="J29" s="286"/>
      <c r="K29" s="286"/>
      <c r="L29" s="286"/>
      <c r="M29" s="286"/>
      <c r="N29" s="286"/>
      <c r="O29" s="286"/>
      <c r="P29" s="286"/>
      <c r="Q29" s="287"/>
    </row>
    <row r="30" spans="1:20" ht="34.5" customHeight="1" x14ac:dyDescent="0.45">
      <c r="A30" s="237" t="s">
        <v>995</v>
      </c>
      <c r="B30" s="235">
        <v>204547</v>
      </c>
      <c r="C30" s="574" t="s">
        <v>982</v>
      </c>
      <c r="D30" s="575"/>
      <c r="E30" s="229" t="s">
        <v>465</v>
      </c>
      <c r="F30" s="229">
        <v>9575</v>
      </c>
      <c r="G30" s="216"/>
      <c r="H30" s="216"/>
      <c r="I30" s="216"/>
      <c r="J30" s="216"/>
      <c r="K30" s="216"/>
      <c r="L30" s="249" t="s">
        <v>1010</v>
      </c>
      <c r="M30" s="216"/>
      <c r="N30" s="216"/>
      <c r="O30" s="216"/>
      <c r="P30" s="216"/>
      <c r="Q30" s="217"/>
    </row>
    <row r="31" spans="1:20" x14ac:dyDescent="0.35">
      <c r="A31" s="455">
        <f>16369300</f>
        <v>16369300</v>
      </c>
      <c r="B31" s="567" t="s">
        <v>1098</v>
      </c>
      <c r="C31" s="567"/>
      <c r="Q31" s="219"/>
    </row>
    <row r="32" spans="1:20" x14ac:dyDescent="0.35">
      <c r="A32" s="455">
        <v>2599899</v>
      </c>
      <c r="B32" s="567" t="s">
        <v>854</v>
      </c>
      <c r="C32" s="567"/>
      <c r="Q32" s="219"/>
    </row>
    <row r="33" spans="1:20" x14ac:dyDescent="0.35">
      <c r="A33" s="456">
        <v>3110167</v>
      </c>
      <c r="B33" s="567" t="s">
        <v>997</v>
      </c>
      <c r="C33" s="567"/>
      <c r="Q33" s="219"/>
    </row>
    <row r="34" spans="1:20" x14ac:dyDescent="0.35">
      <c r="A34" s="457">
        <f>SUM(A31:A33)</f>
        <v>22079366</v>
      </c>
      <c r="B34" s="567" t="s">
        <v>998</v>
      </c>
      <c r="C34" s="567"/>
      <c r="E34" s="397"/>
      <c r="Q34" s="219"/>
    </row>
    <row r="35" spans="1:20" x14ac:dyDescent="0.35">
      <c r="A35" s="458"/>
      <c r="E35" s="452" t="s">
        <v>1771</v>
      </c>
      <c r="Q35" s="219"/>
    </row>
    <row r="36" spans="1:20" x14ac:dyDescent="0.35">
      <c r="A36" s="455">
        <f>+G50+G56</f>
        <v>572924.81190782448</v>
      </c>
      <c r="B36" s="567" t="s">
        <v>1104</v>
      </c>
      <c r="C36" s="567"/>
      <c r="E36" s="427"/>
      <c r="F36" s="270"/>
      <c r="Q36" s="219"/>
    </row>
    <row r="37" spans="1:20" ht="15.5" x14ac:dyDescent="0.35">
      <c r="A37" s="456">
        <f>+G49</f>
        <v>32738.875236870204</v>
      </c>
      <c r="B37" s="567" t="s">
        <v>1105</v>
      </c>
      <c r="C37" s="567"/>
      <c r="D37" s="499">
        <v>16369300</v>
      </c>
      <c r="E37" s="270"/>
      <c r="F37" t="s">
        <v>1772</v>
      </c>
      <c r="G37" s="202"/>
      <c r="Q37" s="219"/>
    </row>
    <row r="38" spans="1:20" x14ac:dyDescent="0.35">
      <c r="A38" s="458"/>
      <c r="D38" s="498">
        <f>D37-A31</f>
        <v>0</v>
      </c>
      <c r="E38" s="202"/>
      <c r="G38" s="202"/>
      <c r="Q38" s="219"/>
    </row>
    <row r="39" spans="1:20" x14ac:dyDescent="0.35">
      <c r="A39" s="458">
        <f>+A31+A32+A33-A36-A37</f>
        <v>21473702.312855307</v>
      </c>
      <c r="B39" s="567" t="s">
        <v>1106</v>
      </c>
      <c r="C39" s="567"/>
      <c r="D39" s="397">
        <f>+A36+A37-605665</f>
        <v>-1.3128553052665666</v>
      </c>
      <c r="E39" s="202"/>
      <c r="F39" s="397">
        <f>21196983-A39</f>
        <v>-276719.31285530701</v>
      </c>
      <c r="G39" s="202"/>
      <c r="Q39" s="219"/>
    </row>
    <row r="40" spans="1:20" x14ac:dyDescent="0.35">
      <c r="A40" s="458"/>
      <c r="F40" s="397">
        <f>1057129-F39</f>
        <v>1333848.312855307</v>
      </c>
      <c r="Q40" s="219"/>
    </row>
    <row r="41" spans="1:20" ht="26.5" customHeight="1" thickBot="1" x14ac:dyDescent="0.4">
      <c r="A41" s="568" t="s">
        <v>276</v>
      </c>
      <c r="B41" s="569"/>
      <c r="C41" s="569"/>
      <c r="D41" s="569"/>
      <c r="E41" s="569"/>
      <c r="F41" s="569"/>
      <c r="G41" s="569"/>
      <c r="H41" s="569"/>
      <c r="I41" s="569"/>
      <c r="J41" s="570"/>
      <c r="K41" s="571" t="s">
        <v>960</v>
      </c>
      <c r="L41" s="572"/>
      <c r="M41" s="572"/>
      <c r="N41" s="572"/>
      <c r="O41" s="572"/>
      <c r="P41" s="572"/>
      <c r="Q41" s="573"/>
    </row>
    <row r="42" spans="1:20" ht="26.5" thickBot="1" x14ac:dyDescent="0.4">
      <c r="A42" s="283" t="s">
        <v>1103</v>
      </c>
      <c r="B42" s="232" t="s">
        <v>266</v>
      </c>
      <c r="C42" s="231" t="s">
        <v>615</v>
      </c>
      <c r="D42" s="282" t="s">
        <v>1102</v>
      </c>
      <c r="E42" s="231" t="s">
        <v>988</v>
      </c>
      <c r="F42" s="231" t="s">
        <v>990</v>
      </c>
      <c r="G42" s="231" t="s">
        <v>991</v>
      </c>
      <c r="H42" s="232"/>
      <c r="I42" s="231" t="s">
        <v>989</v>
      </c>
      <c r="J42" s="231" t="s">
        <v>992</v>
      </c>
      <c r="K42" s="73" t="s">
        <v>615</v>
      </c>
      <c r="L42" s="74" t="s">
        <v>618</v>
      </c>
      <c r="M42" s="76" t="s">
        <v>619</v>
      </c>
      <c r="N42" s="76" t="s">
        <v>620</v>
      </c>
      <c r="O42" s="76" t="s">
        <v>621</v>
      </c>
      <c r="P42" s="77" t="s">
        <v>622</v>
      </c>
      <c r="Q42" s="222" t="s">
        <v>623</v>
      </c>
    </row>
    <row r="43" spans="1:20" x14ac:dyDescent="0.35">
      <c r="A43" s="223">
        <v>204547</v>
      </c>
      <c r="B43" s="248" t="str">
        <f>+E30</f>
        <v>T134</v>
      </c>
      <c r="C43" s="248">
        <f>+F30</f>
        <v>9575</v>
      </c>
      <c r="D43" s="211">
        <f>+A43</f>
        <v>204547</v>
      </c>
      <c r="E43" s="236">
        <v>1242100042</v>
      </c>
      <c r="F43" s="8" t="s">
        <v>983</v>
      </c>
      <c r="G43" s="304">
        <f>+G44+G46-G47+G48-G49-G50+G45</f>
        <v>8880854.3000000007</v>
      </c>
      <c r="H43" t="s">
        <v>984</v>
      </c>
      <c r="I43">
        <v>31</v>
      </c>
      <c r="J43" t="str">
        <f>+CONCATENATE($B$3," RF/GC/40% ",B43," ",K43)</f>
        <v>"04-2026" RF/GC/40% T134 9575</v>
      </c>
      <c r="K43" s="240">
        <f>+VLOOKUP(B43,PRORRATEO!C:K,4,0)</f>
        <v>9575</v>
      </c>
      <c r="L43" s="213">
        <f>+VLOOKUP(B43,PRORRATEO!C:M,6,0)</f>
        <v>14238800</v>
      </c>
      <c r="M43" s="213">
        <f>+VLOOKUP(B43,PRORRATEO!C:M,7,0)</f>
        <v>2705372</v>
      </c>
      <c r="N43" s="213">
        <f>+VLOOKUP(B43,PRORRATEO!C:M,8,0)</f>
        <v>254304.96799999999</v>
      </c>
      <c r="O43" s="213">
        <f>+VLOOKUP(B43,PRORRATEO!C:M,9,0)</f>
        <v>2451067.0320000001</v>
      </c>
      <c r="P43" s="193">
        <f>+VLOOKUP(B43,PRORRATEO!C:M,10,0)</f>
        <v>9.4E-2</v>
      </c>
      <c r="Q43" s="224">
        <f>+VLOOKUP(B43,PRORRATEO!C:M,11,0)</f>
        <v>0.90600000000000003</v>
      </c>
      <c r="R43" s="212"/>
      <c r="T43" s="212"/>
    </row>
    <row r="44" spans="1:20" x14ac:dyDescent="0.35">
      <c r="A44" s="221"/>
      <c r="D44" s="211">
        <v>1245150017</v>
      </c>
      <c r="E44" s="237">
        <v>1245150017</v>
      </c>
      <c r="F44" s="8" t="s">
        <v>77</v>
      </c>
      <c r="G44" s="268">
        <f>+A31*B46</f>
        <v>6547720</v>
      </c>
      <c r="H44" s="237" t="s">
        <v>97</v>
      </c>
      <c r="I44" s="237">
        <v>40</v>
      </c>
      <c r="J44" t="str">
        <f>+CONCATENATE($B$3," RF/40% ",B43," ",K43)</f>
        <v>"04-2026" RF/40% T134 9575</v>
      </c>
      <c r="K44">
        <f>+K43</f>
        <v>9575</v>
      </c>
      <c r="L44" s="16"/>
      <c r="Q44" s="219"/>
    </row>
    <row r="45" spans="1:20" x14ac:dyDescent="0.35">
      <c r="A45" s="221"/>
      <c r="D45" s="248">
        <f>+E45</f>
        <v>1245150017</v>
      </c>
      <c r="E45" s="237">
        <v>1245150017</v>
      </c>
      <c r="F45" s="8" t="s">
        <v>77</v>
      </c>
      <c r="G45" s="268">
        <f>+A32*B46</f>
        <v>1039959.6000000001</v>
      </c>
      <c r="H45" s="237" t="s">
        <v>80</v>
      </c>
      <c r="I45" s="237">
        <v>40</v>
      </c>
      <c r="J45" t="str">
        <f>+CONCATENATE($B$3," GC/40% ",B43," ",K43)</f>
        <v>"04-2026" GC/40% T134 9575</v>
      </c>
      <c r="K45">
        <f>+K44</f>
        <v>9575</v>
      </c>
      <c r="L45" s="16">
        <f>+G44+G45+G48</f>
        <v>9142763.0999999996</v>
      </c>
      <c r="Q45" s="219"/>
    </row>
    <row r="46" spans="1:20" x14ac:dyDescent="0.35">
      <c r="A46" s="221"/>
      <c r="B46" s="247">
        <v>0.4</v>
      </c>
      <c r="D46" s="211">
        <v>1149120011</v>
      </c>
      <c r="E46" s="237">
        <v>1149120011</v>
      </c>
      <c r="F46" s="8" t="s">
        <v>96</v>
      </c>
      <c r="G46" s="268">
        <f>+N43</f>
        <v>254304.96799999999</v>
      </c>
      <c r="H46" s="237" t="s">
        <v>98</v>
      </c>
      <c r="I46" s="237">
        <v>40</v>
      </c>
      <c r="J46" t="str">
        <f>+CONCATENATE($B$3," RF/GC/40%  ",B43," ",K43)</f>
        <v>"04-2026" RF/GC/40%  T134 9575</v>
      </c>
      <c r="K46">
        <f>+K44</f>
        <v>9575</v>
      </c>
      <c r="L46" s="16">
        <f>+G44+G45</f>
        <v>7587679.5999999996</v>
      </c>
      <c r="Q46" s="219"/>
    </row>
    <row r="47" spans="1:20" ht="15" thickBot="1" x14ac:dyDescent="0.4">
      <c r="A47" s="221"/>
      <c r="D47" s="211">
        <v>1149120011</v>
      </c>
      <c r="E47" s="237">
        <v>1149120011</v>
      </c>
      <c r="F47" s="8" t="s">
        <v>96</v>
      </c>
      <c r="G47" s="268">
        <f>+G46</f>
        <v>254304.96799999999</v>
      </c>
      <c r="H47" s="237" t="s">
        <v>97</v>
      </c>
      <c r="I47" s="237">
        <v>50</v>
      </c>
      <c r="J47" t="str">
        <f>+CONCATENATE($B$3," RF/GC/40%  ",B43," ",K43)</f>
        <v>"04-2026" RF/GC/40%  T134 9575</v>
      </c>
      <c r="K47">
        <f t="shared" ref="K47" si="2">+K46</f>
        <v>9575</v>
      </c>
      <c r="L47" s="16">
        <f>+L45-L46</f>
        <v>1555083.5</v>
      </c>
      <c r="Q47" s="219"/>
    </row>
    <row r="48" spans="1:20" ht="15" thickBot="1" x14ac:dyDescent="0.4">
      <c r="A48" s="221"/>
      <c r="D48" s="211">
        <v>1149120011</v>
      </c>
      <c r="E48" s="236">
        <v>1149120011</v>
      </c>
      <c r="F48" s="8" t="s">
        <v>96</v>
      </c>
      <c r="G48" s="268">
        <f>+A33/2</f>
        <v>1555083.5</v>
      </c>
      <c r="H48" t="s">
        <v>97</v>
      </c>
      <c r="I48">
        <v>40</v>
      </c>
      <c r="J48" t="str">
        <f>+CONCATENATE($B$3," RF/GC /40% ",B43," ",K43)</f>
        <v>"04-2026" RF/GC /40% T134 9575</v>
      </c>
      <c r="L48" s="503"/>
      <c r="Q48" s="219"/>
    </row>
    <row r="49" spans="1:17" ht="15" thickBot="1" x14ac:dyDescent="0.4">
      <c r="A49" s="221"/>
      <c r="D49" s="211">
        <v>1249100024</v>
      </c>
      <c r="E49" s="236">
        <v>1249100024</v>
      </c>
      <c r="F49" s="8" t="s">
        <v>981</v>
      </c>
      <c r="G49" s="268">
        <f>+G44*L49</f>
        <v>32738.875236870204</v>
      </c>
      <c r="I49">
        <v>50</v>
      </c>
      <c r="J49" t="str">
        <f>+CONCATENATE($B$3," RF/GC/40%  ",B43," ",K43)</f>
        <v>"04-2026" RF/GC/40%  T134 9575</v>
      </c>
      <c r="K49" s="243">
        <v>12</v>
      </c>
      <c r="L49" s="214">
        <v>5.0000420355284288E-3</v>
      </c>
      <c r="Q49" s="219"/>
    </row>
    <row r="50" spans="1:17" x14ac:dyDescent="0.35">
      <c r="A50" s="221"/>
      <c r="D50" s="211">
        <v>1246125027</v>
      </c>
      <c r="E50" s="236">
        <v>1246125027</v>
      </c>
      <c r="F50" s="8" t="s">
        <v>962</v>
      </c>
      <c r="G50" s="268">
        <f>+G44*L50</f>
        <v>229169.92476312979</v>
      </c>
      <c r="I50">
        <v>50</v>
      </c>
      <c r="J50" t="str">
        <f>+CONCATENATE($B$3," RF/GC/40%  ",B43," ",K43)</f>
        <v>"04-2026" RF/GC/40%  T134 9575</v>
      </c>
      <c r="K50" s="243" t="s">
        <v>857</v>
      </c>
      <c r="L50" s="214">
        <v>3.499995796447157E-2</v>
      </c>
      <c r="Q50" s="219"/>
    </row>
    <row r="51" spans="1:17" s="245" customFormat="1" ht="15" thickBot="1" x14ac:dyDescent="0.4">
      <c r="A51" s="244"/>
      <c r="Q51" s="246"/>
    </row>
    <row r="52" spans="1:17" x14ac:dyDescent="0.35">
      <c r="A52" s="223">
        <v>204547</v>
      </c>
      <c r="B52" s="248" t="str">
        <f>+B43</f>
        <v>T134</v>
      </c>
      <c r="C52" s="248">
        <f>+C43</f>
        <v>9575</v>
      </c>
      <c r="D52" s="211">
        <v>205669</v>
      </c>
      <c r="E52" s="236">
        <v>1242100042</v>
      </c>
      <c r="F52" s="8" t="s">
        <v>983</v>
      </c>
      <c r="G52" s="16">
        <f>+G53+G55-G56+G54</f>
        <v>12592848.012855306</v>
      </c>
      <c r="H52" t="s">
        <v>97</v>
      </c>
      <c r="I52">
        <v>31</v>
      </c>
      <c r="J52" t="str">
        <f>+CONCATENATE($B$3," RF/GC/60%  ",B43," ",K43)</f>
        <v>"04-2026" RF/GC/60%  T134 9575</v>
      </c>
      <c r="K52">
        <f>+K44</f>
        <v>9575</v>
      </c>
      <c r="Q52" s="219"/>
    </row>
    <row r="53" spans="1:17" x14ac:dyDescent="0.35">
      <c r="A53" s="221"/>
      <c r="D53" s="211">
        <v>1245150017</v>
      </c>
      <c r="E53" s="237">
        <v>1245150017</v>
      </c>
      <c r="F53" s="8" t="s">
        <v>77</v>
      </c>
      <c r="G53" s="228">
        <f>+A31*B55</f>
        <v>9821580</v>
      </c>
      <c r="H53" s="237" t="s">
        <v>97</v>
      </c>
      <c r="I53" s="237">
        <v>40</v>
      </c>
      <c r="J53" t="str">
        <f>+CONCATENATE($B$3," RF /60% ",B43," ",K43)</f>
        <v>"04-2026" RF /60% T134 9575</v>
      </c>
      <c r="K53">
        <f>+K52</f>
        <v>9575</v>
      </c>
      <c r="L53" s="16">
        <f>+G53+G54+G55</f>
        <v>12936602.9</v>
      </c>
      <c r="Q53" s="219"/>
    </row>
    <row r="54" spans="1:17" ht="15" thickBot="1" x14ac:dyDescent="0.4">
      <c r="A54" s="221"/>
      <c r="D54" s="248">
        <f>+E54</f>
        <v>1245150017</v>
      </c>
      <c r="E54" s="237">
        <v>1245150017</v>
      </c>
      <c r="F54" s="8" t="s">
        <v>77</v>
      </c>
      <c r="G54" s="16">
        <f>+A32*B55</f>
        <v>1559939.4</v>
      </c>
      <c r="H54" s="237" t="s">
        <v>80</v>
      </c>
      <c r="I54" s="237">
        <v>40</v>
      </c>
      <c r="J54" t="str">
        <f>+CONCATENATE($B$3," GC/60%  ",B43," ",K43)</f>
        <v>"04-2026" GC/60%  T134 9575</v>
      </c>
      <c r="K54">
        <f>+K53</f>
        <v>9575</v>
      </c>
      <c r="L54" s="16">
        <f>+G53+G54</f>
        <v>11381519.4</v>
      </c>
      <c r="Q54" s="219"/>
    </row>
    <row r="55" spans="1:17" ht="15" thickBot="1" x14ac:dyDescent="0.4">
      <c r="A55" s="221"/>
      <c r="B55" s="247">
        <v>0.6</v>
      </c>
      <c r="D55" s="211">
        <v>1149120011</v>
      </c>
      <c r="E55" s="236">
        <v>1149120011</v>
      </c>
      <c r="F55" s="8" t="s">
        <v>96</v>
      </c>
      <c r="G55" s="16">
        <f>+A33/2</f>
        <v>1555083.5</v>
      </c>
      <c r="H55" t="s">
        <v>97</v>
      </c>
      <c r="I55">
        <v>40</v>
      </c>
      <c r="J55" t="str">
        <f>+CONCATENATE($B$3," RF/GC/60%  ",B43," ",K43)</f>
        <v>"04-2026" RF/GC/60%  T134 9575</v>
      </c>
      <c r="K55">
        <f>+K53</f>
        <v>9575</v>
      </c>
      <c r="Q55" s="219"/>
    </row>
    <row r="56" spans="1:17" ht="16.5" x14ac:dyDescent="0.35">
      <c r="A56" s="239">
        <f>+G44+G53+G48+G55</f>
        <v>19479467</v>
      </c>
      <c r="B56" s="238">
        <f>+B46+B55</f>
        <v>1</v>
      </c>
      <c r="D56" s="211">
        <v>1246125027</v>
      </c>
      <c r="E56" s="236">
        <v>1246125027</v>
      </c>
      <c r="F56" s="8" t="s">
        <v>962</v>
      </c>
      <c r="G56" s="16">
        <f>+G53*L56</f>
        <v>343754.88714469469</v>
      </c>
      <c r="I56">
        <v>50</v>
      </c>
      <c r="J56" t="str">
        <f>+CONCATENATE($B$3," RF/GC/60%  ",B43," ",K43)</f>
        <v>"04-2026" RF/GC/60%  T134 9575</v>
      </c>
      <c r="K56" s="243" t="s">
        <v>857</v>
      </c>
      <c r="L56" s="214">
        <v>3.499995796447157E-2</v>
      </c>
      <c r="Q56" s="219"/>
    </row>
    <row r="57" spans="1:17" ht="15" thickBot="1" x14ac:dyDescent="0.4">
      <c r="A57" s="544">
        <f>++G44+G54+G53+G45+945044</f>
        <v>19914243</v>
      </c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6"/>
      <c r="P57" s="226"/>
      <c r="Q57" s="227"/>
    </row>
    <row r="58" spans="1:17" s="230" customFormat="1" x14ac:dyDescent="0.35"/>
    <row r="59" spans="1:17" ht="19" thickBot="1" x14ac:dyDescent="0.5">
      <c r="A59" s="280" t="s">
        <v>1099</v>
      </c>
      <c r="B59" s="279" t="s">
        <v>1100</v>
      </c>
    </row>
    <row r="60" spans="1:17" ht="25.5" thickBot="1" x14ac:dyDescent="0.55000000000000004">
      <c r="A60" s="237" t="s">
        <v>995</v>
      </c>
      <c r="B60" s="235">
        <v>210010</v>
      </c>
      <c r="C60" s="574" t="s">
        <v>648</v>
      </c>
      <c r="D60" s="575"/>
      <c r="E60" s="229" t="s">
        <v>646</v>
      </c>
      <c r="F60" s="229">
        <v>9058</v>
      </c>
      <c r="G60" s="216"/>
      <c r="H60" s="216"/>
      <c r="I60" s="216"/>
      <c r="J60" s="216"/>
      <c r="K60" s="216"/>
      <c r="L60" s="216"/>
      <c r="M60" s="216"/>
      <c r="N60" s="278" t="str">
        <f>+B3</f>
        <v>"04-2026"</v>
      </c>
      <c r="O60" s="216"/>
      <c r="P60" s="216"/>
      <c r="Q60" s="217"/>
    </row>
    <row r="61" spans="1:17" ht="24.5" customHeight="1" x14ac:dyDescent="0.45">
      <c r="A61" s="234">
        <v>30566044</v>
      </c>
      <c r="B61" s="567" t="s">
        <v>1000</v>
      </c>
      <c r="C61" s="567"/>
      <c r="M61" s="249" t="s">
        <v>1010</v>
      </c>
      <c r="Q61" s="219"/>
    </row>
    <row r="62" spans="1:17" x14ac:dyDescent="0.35">
      <c r="A62" s="218">
        <v>5610510</v>
      </c>
      <c r="B62" s="567" t="s">
        <v>1001</v>
      </c>
      <c r="C62" s="567"/>
      <c r="Q62" s="219"/>
    </row>
    <row r="63" spans="1:17" ht="22.5" customHeight="1" x14ac:dyDescent="0.35">
      <c r="A63" s="220">
        <f>SUM(A61:A62)</f>
        <v>36176554</v>
      </c>
      <c r="B63" s="567" t="s">
        <v>999</v>
      </c>
      <c r="C63" s="567"/>
      <c r="Q63" s="219"/>
    </row>
    <row r="64" spans="1:17" ht="22.5" customHeight="1" x14ac:dyDescent="0.35">
      <c r="Q64" s="219"/>
    </row>
    <row r="65" spans="1:17" ht="22.5" customHeight="1" x14ac:dyDescent="0.35">
      <c r="A65" s="220">
        <f>3800+1033244</f>
        <v>1037044</v>
      </c>
      <c r="B65" s="576" t="s">
        <v>854</v>
      </c>
      <c r="C65" s="577"/>
      <c r="Q65" s="219"/>
    </row>
    <row r="66" spans="1:17" ht="22.5" customHeight="1" x14ac:dyDescent="0.35">
      <c r="A66" s="220">
        <v>29529000</v>
      </c>
      <c r="B66" s="567" t="s">
        <v>1098</v>
      </c>
      <c r="C66" s="567"/>
      <c r="Q66" s="219"/>
    </row>
    <row r="67" spans="1:17" x14ac:dyDescent="0.35">
      <c r="A67" s="221"/>
      <c r="Q67" s="219"/>
    </row>
    <row r="68" spans="1:17" ht="18" thickBot="1" x14ac:dyDescent="0.4">
      <c r="A68" s="568" t="s">
        <v>276</v>
      </c>
      <c r="B68" s="569"/>
      <c r="C68" s="569"/>
      <c r="D68" s="569"/>
      <c r="E68" s="569"/>
      <c r="F68" s="569"/>
      <c r="G68" s="569"/>
      <c r="H68" s="569"/>
      <c r="I68" s="569"/>
      <c r="J68" s="570"/>
      <c r="K68" s="571" t="s">
        <v>960</v>
      </c>
      <c r="L68" s="572"/>
      <c r="M68" s="572"/>
      <c r="N68" s="572"/>
      <c r="O68" s="572"/>
      <c r="P68" s="572"/>
      <c r="Q68" s="573"/>
    </row>
    <row r="69" spans="1:17" ht="26.5" thickBot="1" x14ac:dyDescent="0.4">
      <c r="A69" s="233" t="s">
        <v>993</v>
      </c>
      <c r="B69" s="232" t="s">
        <v>266</v>
      </c>
      <c r="C69" s="231" t="s">
        <v>615</v>
      </c>
      <c r="D69" s="232" t="s">
        <v>994</v>
      </c>
      <c r="E69" s="231" t="s">
        <v>988</v>
      </c>
      <c r="F69" s="231" t="s">
        <v>990</v>
      </c>
      <c r="G69" s="231" t="s">
        <v>991</v>
      </c>
      <c r="H69" s="232"/>
      <c r="I69" s="231" t="s">
        <v>989</v>
      </c>
      <c r="J69" s="231" t="s">
        <v>992</v>
      </c>
      <c r="K69" s="73" t="s">
        <v>615</v>
      </c>
      <c r="L69" s="74" t="s">
        <v>618</v>
      </c>
      <c r="M69" s="76" t="s">
        <v>619</v>
      </c>
      <c r="N69" s="76" t="s">
        <v>620</v>
      </c>
      <c r="O69" s="76" t="s">
        <v>621</v>
      </c>
      <c r="P69" s="77" t="s">
        <v>622</v>
      </c>
      <c r="Q69" s="222" t="s">
        <v>623</v>
      </c>
    </row>
    <row r="70" spans="1:17" x14ac:dyDescent="0.35">
      <c r="A70" s="223">
        <v>209631</v>
      </c>
      <c r="B70" s="248" t="str">
        <f>+E60</f>
        <v>SGH601</v>
      </c>
      <c r="C70" s="248">
        <f>+F60</f>
        <v>9058</v>
      </c>
      <c r="D70" s="248">
        <f>+B60</f>
        <v>210010</v>
      </c>
      <c r="E70" s="236">
        <v>1242100042</v>
      </c>
      <c r="F70" s="8" t="s">
        <v>983</v>
      </c>
      <c r="G70" s="300">
        <f>+G71+G72+G73-G74-G75</f>
        <v>34857788.808456413</v>
      </c>
      <c r="H70" t="s">
        <v>984</v>
      </c>
      <c r="I70">
        <v>31</v>
      </c>
      <c r="J70" t="str">
        <f>+CONCATENATE($N$60," RF/GC ",B70," ",K70)</f>
        <v>"04-2026" RF/GC SGH601 9058</v>
      </c>
      <c r="K70" s="240">
        <f>+VLOOKUP(B70,PRORRATEO!C:K,4,0)</f>
        <v>9058</v>
      </c>
      <c r="L70" s="213">
        <f>+VLOOKUP(B70,PRORRATEO!C:M,6,0)</f>
        <v>33947300</v>
      </c>
      <c r="M70" s="213">
        <f>+VLOOKUP(B70,PRORRATEO!C:M,7,0)</f>
        <v>6449987</v>
      </c>
      <c r="N70" s="213">
        <f>+VLOOKUP(B70,PRORRATEO!C:M,8,0)</f>
        <v>6449987</v>
      </c>
      <c r="O70" s="213">
        <f>+VLOOKUP(B70,PRORRATEO!C:M,9,0)</f>
        <v>0</v>
      </c>
      <c r="P70" s="193">
        <f>+VLOOKUP(B70,PRORRATEO!C:M,10,0)</f>
        <v>1</v>
      </c>
      <c r="Q70" s="224">
        <f>+VLOOKUP(B70,PRORRATEO!C:M,11,0)</f>
        <v>0</v>
      </c>
    </row>
    <row r="71" spans="1:17" x14ac:dyDescent="0.35">
      <c r="A71" s="281" t="s">
        <v>1101</v>
      </c>
      <c r="D71" s="211">
        <v>1245150017</v>
      </c>
      <c r="E71" s="237">
        <v>1245150017</v>
      </c>
      <c r="F71" s="8" t="s">
        <v>77</v>
      </c>
      <c r="G71" s="268">
        <f>+A66</f>
        <v>29529000</v>
      </c>
      <c r="H71" s="237" t="s">
        <v>98</v>
      </c>
      <c r="I71" s="237">
        <v>40</v>
      </c>
      <c r="J71" t="str">
        <f>+J70</f>
        <v>"04-2026" RF/GC SGH601 9058</v>
      </c>
      <c r="K71" s="54">
        <f>+K70</f>
        <v>9058</v>
      </c>
      <c r="L71" s="16"/>
      <c r="Q71" s="219"/>
    </row>
    <row r="72" spans="1:17" ht="15" thickBot="1" x14ac:dyDescent="0.4">
      <c r="A72" s="221"/>
      <c r="D72" s="211">
        <v>1245150017</v>
      </c>
      <c r="E72" s="237">
        <v>1245150017</v>
      </c>
      <c r="F72" s="8" t="s">
        <v>77</v>
      </c>
      <c r="G72" s="268">
        <f>+A65</f>
        <v>1037044</v>
      </c>
      <c r="H72" s="237" t="s">
        <v>80</v>
      </c>
      <c r="I72" s="237">
        <v>40</v>
      </c>
      <c r="J72" t="str">
        <f t="shared" ref="J72:J75" si="3">+J71</f>
        <v>"04-2026" RF/GC SGH601 9058</v>
      </c>
      <c r="K72" s="54">
        <f t="shared" ref="K72" si="4">+K71</f>
        <v>9058</v>
      </c>
      <c r="L72" s="16"/>
      <c r="Q72" s="219"/>
    </row>
    <row r="73" spans="1:17" ht="15" thickBot="1" x14ac:dyDescent="0.4">
      <c r="A73" s="221"/>
      <c r="D73" s="211">
        <v>1149120011</v>
      </c>
      <c r="E73" s="236">
        <v>1149120011</v>
      </c>
      <c r="F73" s="8" t="s">
        <v>96</v>
      </c>
      <c r="G73" s="268">
        <f>+A62</f>
        <v>5610510</v>
      </c>
      <c r="H73" t="s">
        <v>97</v>
      </c>
      <c r="I73">
        <v>40</v>
      </c>
      <c r="J73" t="str">
        <f>+J72</f>
        <v>"04-2026" RF/GC SGH601 9058</v>
      </c>
      <c r="K73" s="54"/>
      <c r="L73" s="16"/>
      <c r="Q73" s="219"/>
    </row>
    <row r="74" spans="1:17" ht="15" thickBot="1" x14ac:dyDescent="0.4">
      <c r="A74" s="221"/>
      <c r="D74" s="211">
        <v>1249100024</v>
      </c>
      <c r="E74" s="236">
        <v>1249100024</v>
      </c>
      <c r="F74" s="8" t="s">
        <v>981</v>
      </c>
      <c r="G74" s="268">
        <f>+G71*L74</f>
        <v>285251.43281071226</v>
      </c>
      <c r="I74">
        <v>50</v>
      </c>
      <c r="J74" t="str">
        <f t="shared" si="3"/>
        <v>"04-2026" RF/GC SGH601 9058</v>
      </c>
      <c r="K74" s="206">
        <v>1</v>
      </c>
      <c r="L74" s="201">
        <v>9.6600437810529394E-3</v>
      </c>
      <c r="M74" s="241"/>
      <c r="N74" s="213"/>
      <c r="Q74" s="219"/>
    </row>
    <row r="75" spans="1:17" x14ac:dyDescent="0.35">
      <c r="A75" s="221"/>
      <c r="D75" s="211">
        <v>1246125027</v>
      </c>
      <c r="E75" s="236">
        <v>1246125027</v>
      </c>
      <c r="F75" s="8" t="s">
        <v>962</v>
      </c>
      <c r="G75" s="268">
        <f>+G71*L75</f>
        <v>1033513.758732881</v>
      </c>
      <c r="I75">
        <v>50</v>
      </c>
      <c r="J75" t="str">
        <f t="shared" si="3"/>
        <v>"04-2026" RF/GC SGH601 9058</v>
      </c>
      <c r="K75" s="8" t="s">
        <v>857</v>
      </c>
      <c r="L75" s="214">
        <v>3.499995796447157E-2</v>
      </c>
      <c r="M75" s="241"/>
      <c r="Q75" s="219"/>
    </row>
    <row r="76" spans="1:17" s="230" customFormat="1" x14ac:dyDescent="0.35"/>
    <row r="77" spans="1:17" ht="19" thickBot="1" x14ac:dyDescent="0.5">
      <c r="A77" s="288" t="s">
        <v>1108</v>
      </c>
      <c r="B77" s="288" t="s">
        <v>1109</v>
      </c>
    </row>
    <row r="78" spans="1:17" ht="25.5" thickBot="1" x14ac:dyDescent="0.55000000000000004">
      <c r="A78" s="237" t="s">
        <v>995</v>
      </c>
      <c r="B78" s="235">
        <v>204553</v>
      </c>
      <c r="C78" s="574" t="s">
        <v>1107</v>
      </c>
      <c r="D78" s="575"/>
      <c r="E78" s="229" t="s">
        <v>704</v>
      </c>
      <c r="F78" s="229">
        <v>6601</v>
      </c>
      <c r="G78" s="216"/>
      <c r="H78" s="216"/>
      <c r="I78" s="216"/>
      <c r="J78" s="216"/>
      <c r="K78" s="216"/>
      <c r="L78" s="216"/>
      <c r="M78" s="216"/>
      <c r="N78" s="278">
        <f>+B21</f>
        <v>0</v>
      </c>
      <c r="O78" s="216"/>
      <c r="P78" s="216"/>
      <c r="Q78" s="217"/>
    </row>
    <row r="79" spans="1:17" ht="24.5" customHeight="1" x14ac:dyDescent="0.45">
      <c r="A79" s="234">
        <v>17324000</v>
      </c>
      <c r="B79" s="567" t="s">
        <v>1000</v>
      </c>
      <c r="C79" s="567"/>
      <c r="M79" s="249" t="s">
        <v>1010</v>
      </c>
      <c r="Q79" s="219"/>
    </row>
    <row r="80" spans="1:17" x14ac:dyDescent="0.35">
      <c r="A80" s="218">
        <f>+A79*0.19</f>
        <v>3291560</v>
      </c>
      <c r="B80" s="567" t="s">
        <v>1001</v>
      </c>
      <c r="C80" s="567"/>
      <c r="Q80" s="219"/>
    </row>
    <row r="81" spans="1:17" ht="22.5" customHeight="1" x14ac:dyDescent="0.35">
      <c r="A81" s="220">
        <f>SUM(A79:A80)</f>
        <v>20615560</v>
      </c>
      <c r="B81" s="567" t="s">
        <v>999</v>
      </c>
      <c r="C81" s="567"/>
      <c r="E81" s="452" t="s">
        <v>1804</v>
      </c>
      <c r="Q81" s="219"/>
    </row>
    <row r="82" spans="1:17" ht="22.5" customHeight="1" x14ac:dyDescent="0.35">
      <c r="E82" s="448" t="s">
        <v>1805</v>
      </c>
      <c r="Q82" s="219"/>
    </row>
    <row r="83" spans="1:17" ht="22.5" customHeight="1" x14ac:dyDescent="0.35">
      <c r="A83" s="220">
        <f>+G93+G98+G103</f>
        <v>-606339.27177650551</v>
      </c>
      <c r="B83" s="567" t="s">
        <v>1104</v>
      </c>
      <c r="C83" s="567"/>
      <c r="Q83" s="219"/>
    </row>
    <row r="84" spans="1:17" ht="22.5" customHeight="1" x14ac:dyDescent="0.35">
      <c r="A84" s="220">
        <f>+A81+A83</f>
        <v>20009220.728223495</v>
      </c>
      <c r="B84" s="567" t="s">
        <v>1098</v>
      </c>
      <c r="C84" s="567"/>
      <c r="Q84" s="219"/>
    </row>
    <row r="85" spans="1:17" x14ac:dyDescent="0.35">
      <c r="A85" s="221"/>
      <c r="Q85" s="219"/>
    </row>
    <row r="86" spans="1:17" ht="18" thickBot="1" x14ac:dyDescent="0.4">
      <c r="A86" s="568" t="s">
        <v>276</v>
      </c>
      <c r="B86" s="569"/>
      <c r="C86" s="569"/>
      <c r="D86" s="569"/>
      <c r="E86" s="569"/>
      <c r="F86" s="569"/>
      <c r="G86" s="569"/>
      <c r="H86" s="569"/>
      <c r="I86" s="569"/>
      <c r="J86" s="570"/>
      <c r="K86" s="571" t="s">
        <v>960</v>
      </c>
      <c r="L86" s="572"/>
      <c r="M86" s="572"/>
      <c r="N86" s="572"/>
      <c r="O86" s="572"/>
      <c r="P86" s="572"/>
      <c r="Q86" s="573"/>
    </row>
    <row r="87" spans="1:17" ht="26.5" thickBot="1" x14ac:dyDescent="0.4">
      <c r="A87" s="233" t="s">
        <v>993</v>
      </c>
      <c r="B87" s="232" t="s">
        <v>266</v>
      </c>
      <c r="C87" s="231" t="s">
        <v>615</v>
      </c>
      <c r="D87" s="232" t="s">
        <v>994</v>
      </c>
      <c r="E87" s="231" t="s">
        <v>988</v>
      </c>
      <c r="F87" s="231" t="s">
        <v>990</v>
      </c>
      <c r="G87" s="231" t="s">
        <v>991</v>
      </c>
      <c r="H87" s="232"/>
      <c r="I87" s="231" t="s">
        <v>989</v>
      </c>
      <c r="J87" s="231" t="s">
        <v>992</v>
      </c>
      <c r="K87" s="73" t="s">
        <v>615</v>
      </c>
      <c r="L87" s="74" t="s">
        <v>618</v>
      </c>
      <c r="M87" s="76" t="s">
        <v>619</v>
      </c>
      <c r="N87" s="76" t="s">
        <v>620</v>
      </c>
      <c r="O87" s="76" t="s">
        <v>621</v>
      </c>
      <c r="P87" s="77" t="s">
        <v>622</v>
      </c>
      <c r="Q87" s="222" t="s">
        <v>623</v>
      </c>
    </row>
    <row r="88" spans="1:17" x14ac:dyDescent="0.35">
      <c r="A88" s="223">
        <v>205662</v>
      </c>
      <c r="B88" s="248" t="str">
        <f>+E78</f>
        <v>T025</v>
      </c>
      <c r="C88" s="248">
        <f>+F78</f>
        <v>6601</v>
      </c>
      <c r="D88" s="211">
        <v>205662</v>
      </c>
      <c r="E88" s="236">
        <v>1242100042</v>
      </c>
      <c r="F88" s="8" t="s">
        <v>983</v>
      </c>
      <c r="G88" s="304">
        <f>SUM(G89:G93)</f>
        <v>6669740.2427411657</v>
      </c>
      <c r="H88" t="s">
        <v>984</v>
      </c>
      <c r="I88">
        <v>31</v>
      </c>
      <c r="J88" t="str">
        <f>+CONCATENATE($N$60," RF/33%  ",B88," ",K88)</f>
        <v>"04-2026" RF/33%  T025 6601</v>
      </c>
      <c r="K88" s="240">
        <f>+VLOOKUP(B88,PRORRATEO!C:K,4,0)</f>
        <v>6601</v>
      </c>
      <c r="L88" s="213">
        <f>+VLOOKUP(B88,PRORRATEO!C:M,6,0)</f>
        <v>15668000</v>
      </c>
      <c r="M88" s="213">
        <f>+VLOOKUP(B88,PRORRATEO!C:M,7,0)</f>
        <v>2976920</v>
      </c>
      <c r="N88" s="213">
        <f>+VLOOKUP(B88,PRORRATEO!C:M,8,0)</f>
        <v>166707.51999999999</v>
      </c>
      <c r="O88" s="213">
        <f>+VLOOKUP(B88,PRORRATEO!C:M,9,0)</f>
        <v>2810212.48</v>
      </c>
      <c r="P88" s="193">
        <f>+VLOOKUP(B88,PRORRATEO!C:M,10,0)</f>
        <v>5.6000000000000001E-2</v>
      </c>
      <c r="Q88" s="224">
        <f>+VLOOKUP(B88,PRORRATEO!C:M,11,0)</f>
        <v>0.94399999999999995</v>
      </c>
    </row>
    <row r="89" spans="1:17" ht="18.5" x14ac:dyDescent="0.45">
      <c r="A89" s="280" t="s">
        <v>1110</v>
      </c>
      <c r="B89" s="279"/>
      <c r="D89" s="211">
        <v>1245150017</v>
      </c>
      <c r="E89" s="237">
        <v>1245150017</v>
      </c>
      <c r="F89" s="8" t="s">
        <v>77</v>
      </c>
      <c r="G89" s="207">
        <f>+A79*B92</f>
        <v>5774666.666666667</v>
      </c>
      <c r="H89" s="237" t="s">
        <v>97</v>
      </c>
      <c r="I89" s="237">
        <v>40</v>
      </c>
      <c r="J89" t="str">
        <f>+J88</f>
        <v>"04-2026" RF/33%  T025 6601</v>
      </c>
      <c r="K89" s="54">
        <f>+K88</f>
        <v>6601</v>
      </c>
      <c r="L89" s="16"/>
      <c r="Q89" s="219"/>
    </row>
    <row r="90" spans="1:17" x14ac:dyDescent="0.35">
      <c r="A90" s="221"/>
      <c r="D90" s="211">
        <v>1149120011</v>
      </c>
      <c r="E90" s="237">
        <v>1149120011</v>
      </c>
      <c r="F90" s="8" t="s">
        <v>96</v>
      </c>
      <c r="G90" s="191">
        <f>+N88</f>
        <v>166707.51999999999</v>
      </c>
      <c r="H90" s="237" t="s">
        <v>98</v>
      </c>
      <c r="I90" s="237">
        <v>40</v>
      </c>
      <c r="J90" t="str">
        <f>+J89</f>
        <v>"04-2026" RF/33%  T025 6601</v>
      </c>
      <c r="K90" s="54">
        <f>+K89</f>
        <v>6601</v>
      </c>
      <c r="L90" s="16">
        <f>+G89+G92</f>
        <v>6871853.333333334</v>
      </c>
      <c r="Q90" s="219"/>
    </row>
    <row r="91" spans="1:17" ht="15" thickBot="1" x14ac:dyDescent="0.4">
      <c r="A91" s="448" t="s">
        <v>1302</v>
      </c>
      <c r="D91" s="211">
        <v>1149120011</v>
      </c>
      <c r="E91" s="237">
        <v>1149120011</v>
      </c>
      <c r="F91" s="8" t="s">
        <v>96</v>
      </c>
      <c r="G91" s="191">
        <f>-G90</f>
        <v>-166707.51999999999</v>
      </c>
      <c r="H91" s="237" t="s">
        <v>97</v>
      </c>
      <c r="I91" s="237">
        <v>50</v>
      </c>
      <c r="J91" t="str">
        <f t="shared" ref="J91" si="5">+J90</f>
        <v>"04-2026" RF/33%  T025 6601</v>
      </c>
      <c r="K91" s="54">
        <f>+K90</f>
        <v>6601</v>
      </c>
      <c r="L91" s="16"/>
      <c r="Q91" s="219"/>
    </row>
    <row r="92" spans="1:17" ht="15" thickBot="1" x14ac:dyDescent="0.4">
      <c r="A92" s="221"/>
      <c r="B92" s="289">
        <v>0.33333333333333337</v>
      </c>
      <c r="D92" s="211">
        <v>1149120011</v>
      </c>
      <c r="E92" s="236">
        <v>1149120011</v>
      </c>
      <c r="F92" s="8" t="s">
        <v>96</v>
      </c>
      <c r="G92" s="207">
        <f>+A80*B92</f>
        <v>1097186.6666666667</v>
      </c>
      <c r="H92" t="s">
        <v>97</v>
      </c>
      <c r="I92">
        <v>40</v>
      </c>
      <c r="J92" t="str">
        <f>+J91</f>
        <v>"04-2026" RF/33%  T025 6601</v>
      </c>
      <c r="K92" s="54">
        <f>+K91</f>
        <v>6601</v>
      </c>
      <c r="L92" s="16"/>
      <c r="Q92" s="219"/>
    </row>
    <row r="93" spans="1:17" x14ac:dyDescent="0.35">
      <c r="A93" s="221"/>
      <c r="D93" s="211">
        <v>1246125027</v>
      </c>
      <c r="E93" s="236">
        <v>1246125027</v>
      </c>
      <c r="F93" s="8" t="s">
        <v>962</v>
      </c>
      <c r="G93" s="207">
        <f>-G89*L93</f>
        <v>-202113.0905921685</v>
      </c>
      <c r="I93">
        <v>50</v>
      </c>
      <c r="J93" t="str">
        <f>+J92</f>
        <v>"04-2026" RF/33%  T025 6601</v>
      </c>
      <c r="K93" s="8" t="s">
        <v>857</v>
      </c>
      <c r="L93" s="214">
        <v>3.499995796447157E-2</v>
      </c>
      <c r="M93" s="241"/>
      <c r="Q93" s="219"/>
    </row>
    <row r="94" spans="1:17" s="245" customFormat="1" ht="15" thickBot="1" x14ac:dyDescent="0.4">
      <c r="A94" s="244"/>
      <c r="Q94" s="246"/>
    </row>
    <row r="95" spans="1:17" x14ac:dyDescent="0.35">
      <c r="A95" s="223">
        <v>205663</v>
      </c>
      <c r="B95" s="248" t="str">
        <f>+E78</f>
        <v>T025</v>
      </c>
      <c r="C95" s="248">
        <f>+F78</f>
        <v>6601</v>
      </c>
      <c r="D95" s="211">
        <v>205663</v>
      </c>
      <c r="E95" s="236">
        <v>1242100042</v>
      </c>
      <c r="F95" s="8" t="s">
        <v>983</v>
      </c>
      <c r="G95" s="304">
        <f>SUM(G96:G98)</f>
        <v>6669740.2427411657</v>
      </c>
      <c r="H95" t="s">
        <v>984</v>
      </c>
      <c r="I95">
        <v>31</v>
      </c>
      <c r="J95" t="str">
        <f>+CONCATENATE($N$60," RF/33% ",B95," ",K95)</f>
        <v>"04-2026" RF/33% T025 6601</v>
      </c>
      <c r="K95" s="240">
        <f>+VLOOKUP(B95,PRORRATEO!C:K,4,0)</f>
        <v>6601</v>
      </c>
      <c r="L95" s="213">
        <f>+VLOOKUP(B95,PRORRATEO!C:M,6,0)</f>
        <v>15668000</v>
      </c>
      <c r="M95" s="213">
        <f>+VLOOKUP(B95,PRORRATEO!C:M,7,0)</f>
        <v>2976920</v>
      </c>
      <c r="N95" s="213">
        <f>+VLOOKUP(B95,PRORRATEO!C:M,8,0)</f>
        <v>166707.51999999999</v>
      </c>
      <c r="O95" s="213">
        <f>+VLOOKUP(B95,PRORRATEO!C:M,9,0)</f>
        <v>2810212.48</v>
      </c>
      <c r="P95" s="193">
        <f>+VLOOKUP(B95,PRORRATEO!C:M,10,0)</f>
        <v>5.6000000000000001E-2</v>
      </c>
      <c r="Q95" s="224">
        <f>+VLOOKUP(B95,PRORRATEO!C:M,11,0)</f>
        <v>0.94399999999999995</v>
      </c>
    </row>
    <row r="96" spans="1:17" ht="19" thickBot="1" x14ac:dyDescent="0.5">
      <c r="A96" s="280" t="s">
        <v>1110</v>
      </c>
      <c r="B96" s="279"/>
      <c r="D96" s="211">
        <v>1245150017</v>
      </c>
      <c r="E96" s="237">
        <v>1245150017</v>
      </c>
      <c r="F96" s="8" t="s">
        <v>77</v>
      </c>
      <c r="G96" s="207">
        <f>+A79*B97</f>
        <v>5774666.666666667</v>
      </c>
      <c r="H96" s="237" t="s">
        <v>97</v>
      </c>
      <c r="I96" s="237">
        <v>40</v>
      </c>
      <c r="J96" t="str">
        <f>+J95</f>
        <v>"04-2026" RF/33% T025 6601</v>
      </c>
      <c r="K96" s="54">
        <f>+K95</f>
        <v>6601</v>
      </c>
      <c r="L96" s="16"/>
      <c r="Q96" s="219"/>
    </row>
    <row r="97" spans="1:17" ht="19" thickBot="1" x14ac:dyDescent="0.5">
      <c r="A97" s="288" t="s">
        <v>1303</v>
      </c>
      <c r="B97" s="289">
        <v>0.33333333333333337</v>
      </c>
      <c r="D97" s="211">
        <v>1149120011</v>
      </c>
      <c r="E97" s="236">
        <v>1149120011</v>
      </c>
      <c r="F97" s="8" t="s">
        <v>96</v>
      </c>
      <c r="G97" s="207">
        <f>+A80*B97</f>
        <v>1097186.6666666667</v>
      </c>
      <c r="H97" t="s">
        <v>97</v>
      </c>
      <c r="I97">
        <v>40</v>
      </c>
      <c r="J97" t="str">
        <f>+J96</f>
        <v>"04-2026" RF/33% T025 6601</v>
      </c>
      <c r="K97" s="54">
        <f>+K96</f>
        <v>6601</v>
      </c>
      <c r="L97" s="16">
        <f>+G96+G97</f>
        <v>6871853.333333334</v>
      </c>
      <c r="Q97" s="219"/>
    </row>
    <row r="98" spans="1:17" x14ac:dyDescent="0.35">
      <c r="A98" s="235">
        <v>204553</v>
      </c>
      <c r="D98" s="211">
        <v>1246125027</v>
      </c>
      <c r="E98" s="236">
        <v>1246125027</v>
      </c>
      <c r="F98" s="8" t="s">
        <v>962</v>
      </c>
      <c r="G98" s="207">
        <f>-G96*L98</f>
        <v>-202113.0905921685</v>
      </c>
      <c r="I98">
        <v>50</v>
      </c>
      <c r="J98" t="str">
        <f>+J97</f>
        <v>"04-2026" RF/33% T025 6601</v>
      </c>
      <c r="K98" s="8" t="s">
        <v>857</v>
      </c>
      <c r="L98" s="214">
        <v>3.499995796447157E-2</v>
      </c>
      <c r="M98" s="241"/>
      <c r="Q98" s="219"/>
    </row>
    <row r="99" spans="1:17" s="245" customFormat="1" ht="15" thickBot="1" x14ac:dyDescent="0.4">
      <c r="A99" s="244"/>
      <c r="Q99" s="246"/>
    </row>
    <row r="100" spans="1:17" x14ac:dyDescent="0.35">
      <c r="A100" s="223">
        <v>205666</v>
      </c>
      <c r="B100" s="248" t="str">
        <f>+E78</f>
        <v>T025</v>
      </c>
      <c r="C100" s="248">
        <f>+F78</f>
        <v>6601</v>
      </c>
      <c r="D100" s="211">
        <v>205666</v>
      </c>
      <c r="E100" s="236">
        <v>1242100042</v>
      </c>
      <c r="F100" s="8" t="s">
        <v>983</v>
      </c>
      <c r="G100" s="304">
        <f>SUM(G101:G103)</f>
        <v>6669740.2427411657</v>
      </c>
      <c r="H100" t="s">
        <v>984</v>
      </c>
      <c r="I100">
        <v>31</v>
      </c>
      <c r="J100" t="str">
        <f>+CONCATENATE($N$60," RF/33% ",B100," ",K100)</f>
        <v>"04-2026" RF/33% T025 6601</v>
      </c>
      <c r="K100" s="240">
        <f>+VLOOKUP(B100,PRORRATEO!C:K,4,0)</f>
        <v>6601</v>
      </c>
      <c r="L100" s="213">
        <f>+VLOOKUP(B100,PRORRATEO!C:M,6,0)</f>
        <v>15668000</v>
      </c>
      <c r="M100" s="213">
        <f>+VLOOKUP(B100,PRORRATEO!C:M,7,0)</f>
        <v>2976920</v>
      </c>
      <c r="N100" s="213">
        <f>+VLOOKUP(B100,PRORRATEO!C:M,8,0)</f>
        <v>166707.51999999999</v>
      </c>
      <c r="O100" s="213">
        <f>+VLOOKUP(B100,PRORRATEO!C:M,9,0)</f>
        <v>2810212.48</v>
      </c>
      <c r="P100" s="193">
        <f>+VLOOKUP(B100,PRORRATEO!C:M,10,0)</f>
        <v>5.6000000000000001E-2</v>
      </c>
      <c r="Q100" s="224">
        <f>+VLOOKUP(B100,PRORRATEO!C:M,11,0)</f>
        <v>0.94399999999999995</v>
      </c>
    </row>
    <row r="101" spans="1:17" ht="19" thickBot="1" x14ac:dyDescent="0.5">
      <c r="A101" s="280" t="s">
        <v>1110</v>
      </c>
      <c r="B101" s="279"/>
      <c r="D101" s="211">
        <v>1245150017</v>
      </c>
      <c r="E101" s="237">
        <v>1245150017</v>
      </c>
      <c r="F101" s="8" t="s">
        <v>77</v>
      </c>
      <c r="G101" s="207">
        <f>+A79*B102</f>
        <v>5774666.666666667</v>
      </c>
      <c r="H101" s="237" t="s">
        <v>98</v>
      </c>
      <c r="I101" s="237">
        <v>40</v>
      </c>
      <c r="J101" t="str">
        <f>+J100</f>
        <v>"04-2026" RF/33% T025 6601</v>
      </c>
      <c r="K101" s="54">
        <f>+K100</f>
        <v>6601</v>
      </c>
      <c r="L101" s="16"/>
      <c r="Q101" s="219"/>
    </row>
    <row r="102" spans="1:17" ht="15" thickBot="1" x14ac:dyDescent="0.4">
      <c r="A102" s="221"/>
      <c r="B102" s="289">
        <v>0.33333333333333337</v>
      </c>
      <c r="D102" s="211">
        <v>1149120011</v>
      </c>
      <c r="E102" s="236">
        <v>1149120011</v>
      </c>
      <c r="F102" s="8" t="s">
        <v>96</v>
      </c>
      <c r="G102" s="207">
        <f>+A80*B102</f>
        <v>1097186.6666666667</v>
      </c>
      <c r="H102" t="s">
        <v>97</v>
      </c>
      <c r="I102">
        <v>40</v>
      </c>
      <c r="J102" t="str">
        <f>+J101</f>
        <v>"04-2026" RF/33% T025 6601</v>
      </c>
      <c r="K102" s="54">
        <f>+K101</f>
        <v>6601</v>
      </c>
      <c r="L102" s="16">
        <f>+G101+G102</f>
        <v>6871853.333333334</v>
      </c>
      <c r="Q102" s="219"/>
    </row>
    <row r="103" spans="1:17" ht="16.5" x14ac:dyDescent="0.35">
      <c r="A103" s="239">
        <f>+G89+G101+G96+G102+G97+G92</f>
        <v>20615560.000000004</v>
      </c>
      <c r="B103" s="238">
        <f>+B102+B97+B92</f>
        <v>1</v>
      </c>
      <c r="D103" s="211">
        <v>1246125027</v>
      </c>
      <c r="E103" s="236">
        <v>1246125027</v>
      </c>
      <c r="F103" s="8" t="s">
        <v>962</v>
      </c>
      <c r="G103" s="207">
        <f>-G101*L103</f>
        <v>-202113.0905921685</v>
      </c>
      <c r="I103">
        <v>50</v>
      </c>
      <c r="J103" t="str">
        <f>+J102</f>
        <v>"04-2026" RF/33% T025 6601</v>
      </c>
      <c r="K103" s="8" t="s">
        <v>857</v>
      </c>
      <c r="L103" s="214">
        <v>3.499995796447157E-2</v>
      </c>
      <c r="M103" s="241"/>
      <c r="Q103" s="219"/>
    </row>
    <row r="105" spans="1:17" s="230" customFormat="1" x14ac:dyDescent="0.35"/>
    <row r="106" spans="1:17" s="230" customFormat="1" ht="15" thickBot="1" x14ac:dyDescent="0.4">
      <c r="A106" s="285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7"/>
    </row>
    <row r="107" spans="1:17" ht="34.5" customHeight="1" x14ac:dyDescent="0.45">
      <c r="A107" s="237" t="s">
        <v>995</v>
      </c>
      <c r="B107" s="235">
        <v>207634</v>
      </c>
      <c r="C107" s="574" t="s">
        <v>1143</v>
      </c>
      <c r="D107" s="575"/>
      <c r="E107" s="229" t="s">
        <v>605</v>
      </c>
      <c r="F107" s="229">
        <v>6766</v>
      </c>
      <c r="G107" s="216"/>
      <c r="H107" s="216"/>
      <c r="I107" s="216"/>
      <c r="J107" s="216"/>
      <c r="K107" s="216"/>
      <c r="L107" s="249" t="s">
        <v>1010</v>
      </c>
      <c r="M107" s="216"/>
      <c r="N107" s="216"/>
      <c r="O107" s="216"/>
      <c r="P107" s="216"/>
      <c r="Q107" s="217"/>
    </row>
    <row r="108" spans="1:17" x14ac:dyDescent="0.35">
      <c r="A108" s="234">
        <v>18000000</v>
      </c>
      <c r="B108" s="567" t="s">
        <v>1098</v>
      </c>
      <c r="C108" s="567"/>
      <c r="N108" s="270"/>
      <c r="Q108" s="219"/>
    </row>
    <row r="109" spans="1:17" x14ac:dyDescent="0.35">
      <c r="A109" s="218">
        <f>+A108*0.19</f>
        <v>3420000</v>
      </c>
      <c r="B109" s="567" t="s">
        <v>997</v>
      </c>
      <c r="C109" s="567"/>
      <c r="N109" s="267"/>
      <c r="Q109" s="219"/>
    </row>
    <row r="110" spans="1:17" x14ac:dyDescent="0.35">
      <c r="A110" s="220">
        <f>SUM(A108:A109)</f>
        <v>21420000</v>
      </c>
      <c r="B110" s="567" t="s">
        <v>998</v>
      </c>
      <c r="C110" s="567"/>
      <c r="F110" s="306"/>
      <c r="J110" s="270"/>
      <c r="Q110" s="219"/>
    </row>
    <row r="111" spans="1:17" x14ac:dyDescent="0.35">
      <c r="A111" s="221"/>
      <c r="E111" s="19"/>
      <c r="J111" s="270"/>
      <c r="Q111" s="219"/>
    </row>
    <row r="112" spans="1:17" x14ac:dyDescent="0.35">
      <c r="A112" s="234">
        <f>+G125+G130</f>
        <v>630000.00000000012</v>
      </c>
      <c r="B112" s="567" t="s">
        <v>1104</v>
      </c>
      <c r="C112" s="567"/>
      <c r="D112" s="208">
        <v>3.5000000000000003E-2</v>
      </c>
      <c r="E112" s="202">
        <f>+A108*D112</f>
        <v>630000.00000000012</v>
      </c>
      <c r="F112" s="270"/>
      <c r="J112" s="270"/>
      <c r="Q112" s="219"/>
    </row>
    <row r="113" spans="1:20" x14ac:dyDescent="0.35">
      <c r="A113" s="218">
        <f>+G124+G131</f>
        <v>173880</v>
      </c>
      <c r="B113" s="567" t="s">
        <v>1105</v>
      </c>
      <c r="C113" s="567"/>
      <c r="D113" s="201">
        <v>9.7000000000000003E-3</v>
      </c>
      <c r="E113" s="202">
        <f>+A108*D113</f>
        <v>174600</v>
      </c>
      <c r="F113" s="452" t="s">
        <v>1439</v>
      </c>
      <c r="G113" s="270"/>
      <c r="J113" s="270"/>
      <c r="Q113" s="219"/>
    </row>
    <row r="114" spans="1:20" x14ac:dyDescent="0.35">
      <c r="A114" s="284"/>
      <c r="E114" s="202"/>
      <c r="G114" s="202"/>
      <c r="Q114" s="219"/>
    </row>
    <row r="115" spans="1:20" x14ac:dyDescent="0.35">
      <c r="A115" s="284">
        <f>+A108+A109-A112-A113</f>
        <v>20616120</v>
      </c>
      <c r="B115" s="567" t="s">
        <v>1106</v>
      </c>
      <c r="C115" s="567"/>
      <c r="E115" s="202"/>
      <c r="F115" s="270" t="s">
        <v>1440</v>
      </c>
      <c r="G115" s="202"/>
      <c r="Q115" s="219"/>
    </row>
    <row r="116" spans="1:20" x14ac:dyDescent="0.35">
      <c r="A116" s="221"/>
      <c r="Q116" s="219"/>
    </row>
    <row r="117" spans="1:20" ht="26.5" customHeight="1" thickBot="1" x14ac:dyDescent="0.4">
      <c r="A117" s="568" t="s">
        <v>276</v>
      </c>
      <c r="B117" s="569"/>
      <c r="C117" s="569"/>
      <c r="D117" s="569"/>
      <c r="E117" s="569"/>
      <c r="F117" s="569"/>
      <c r="G117" s="569"/>
      <c r="H117" s="569"/>
      <c r="I117" s="569"/>
      <c r="J117" s="570"/>
      <c r="K117" s="571" t="s">
        <v>960</v>
      </c>
      <c r="L117" s="572"/>
      <c r="M117" s="572"/>
      <c r="N117" s="572"/>
      <c r="O117" s="572"/>
      <c r="P117" s="572"/>
      <c r="Q117" s="573"/>
    </row>
    <row r="118" spans="1:20" ht="26.5" thickBot="1" x14ac:dyDescent="0.4">
      <c r="A118" s="283" t="s">
        <v>1103</v>
      </c>
      <c r="B118" s="232" t="s">
        <v>266</v>
      </c>
      <c r="C118" s="231" t="s">
        <v>615</v>
      </c>
      <c r="D118" s="282" t="s">
        <v>1102</v>
      </c>
      <c r="E118" s="231" t="s">
        <v>988</v>
      </c>
      <c r="F118" s="231" t="s">
        <v>990</v>
      </c>
      <c r="G118" s="231" t="s">
        <v>991</v>
      </c>
      <c r="H118" s="232"/>
      <c r="I118" s="231" t="s">
        <v>989</v>
      </c>
      <c r="J118" s="231" t="s">
        <v>992</v>
      </c>
      <c r="K118" s="73" t="s">
        <v>615</v>
      </c>
      <c r="L118" s="74" t="s">
        <v>618</v>
      </c>
      <c r="M118" s="76" t="s">
        <v>619</v>
      </c>
      <c r="N118" s="76" t="s">
        <v>620</v>
      </c>
      <c r="O118" s="76" t="s">
        <v>621</v>
      </c>
      <c r="P118" s="77" t="s">
        <v>622</v>
      </c>
      <c r="Q118" s="222" t="s">
        <v>623</v>
      </c>
    </row>
    <row r="119" spans="1:20" x14ac:dyDescent="0.35">
      <c r="A119" s="311">
        <f>+B107</f>
        <v>207634</v>
      </c>
      <c r="B119" s="248" t="str">
        <f>+E107</f>
        <v>T096</v>
      </c>
      <c r="C119" s="248">
        <f>+F107</f>
        <v>6766</v>
      </c>
      <c r="D119" s="211">
        <v>208208</v>
      </c>
      <c r="E119" s="236">
        <v>1242100042</v>
      </c>
      <c r="F119" s="8" t="s">
        <v>983</v>
      </c>
      <c r="G119" s="304">
        <f>+G120+G121-G122+G123-G124-G125</f>
        <v>10308060</v>
      </c>
      <c r="H119" t="s">
        <v>984</v>
      </c>
      <c r="I119">
        <v>31</v>
      </c>
      <c r="J119" t="str">
        <f>+CONCATENATE($N$60," RF/50% ",B119," ",C119)</f>
        <v>"04-2026" RF/50% T096 6766</v>
      </c>
      <c r="K119" s="240">
        <f>+VLOOKUP(B119,PRORRATEO!C:K,4,0)</f>
        <v>6766</v>
      </c>
      <c r="L119" s="213">
        <f>+VLOOKUP(B119,PRORRATEO!C:M,6,0)</f>
        <v>28412800</v>
      </c>
      <c r="M119" s="213">
        <f>+VLOOKUP(B119,PRORRATEO!C:M,7,0)</f>
        <v>5398432</v>
      </c>
      <c r="N119" s="213">
        <f>+VLOOKUP(B119,PRORRATEO!C:M,8,0)</f>
        <v>685600.86400000006</v>
      </c>
      <c r="O119" s="213">
        <f>+VLOOKUP(B119,PRORRATEO!C:M,9,0)</f>
        <v>4712831.1359999999</v>
      </c>
      <c r="P119" s="193">
        <f>+VLOOKUP(B119,PRORRATEO!C:M,10,0)</f>
        <v>0.127</v>
      </c>
      <c r="Q119" s="224">
        <f>+VLOOKUP(B119,PRORRATEO!C:M,11,0)</f>
        <v>0.873</v>
      </c>
      <c r="R119" s="212"/>
      <c r="T119" s="212"/>
    </row>
    <row r="120" spans="1:20" x14ac:dyDescent="0.35">
      <c r="A120" s="221"/>
      <c r="D120" s="211">
        <v>1245150017</v>
      </c>
      <c r="E120" s="237">
        <v>1245150017</v>
      </c>
      <c r="F120" s="8" t="s">
        <v>77</v>
      </c>
      <c r="G120" s="268">
        <f>+A108*B121</f>
        <v>9000000</v>
      </c>
      <c r="H120" s="237" t="s">
        <v>97</v>
      </c>
      <c r="I120" s="237">
        <v>40</v>
      </c>
      <c r="J120" t="str">
        <f>+J119</f>
        <v>"04-2026" RF/50% T096 6766</v>
      </c>
      <c r="K120">
        <f>+K119</f>
        <v>6766</v>
      </c>
      <c r="L120" s="16"/>
      <c r="Q120" s="219"/>
    </row>
    <row r="121" spans="1:20" x14ac:dyDescent="0.35">
      <c r="A121" s="221"/>
      <c r="B121" s="247">
        <v>0.5</v>
      </c>
      <c r="D121" s="211">
        <v>1149120011</v>
      </c>
      <c r="E121" s="237">
        <v>1149120011</v>
      </c>
      <c r="F121" s="8" t="s">
        <v>96</v>
      </c>
      <c r="G121" s="268">
        <f>+N119</f>
        <v>685600.86400000006</v>
      </c>
      <c r="H121" s="237" t="s">
        <v>98</v>
      </c>
      <c r="I121" s="237">
        <v>40</v>
      </c>
      <c r="J121" t="str">
        <f>+J120</f>
        <v>"04-2026" RF/50% T096 6766</v>
      </c>
      <c r="K121">
        <f>+K120</f>
        <v>6766</v>
      </c>
      <c r="L121" s="16"/>
      <c r="M121" s="397">
        <f>+G120+G123</f>
        <v>10710000</v>
      </c>
      <c r="Q121" s="219"/>
    </row>
    <row r="122" spans="1:20" ht="15" thickBot="1" x14ac:dyDescent="0.4">
      <c r="A122" s="221"/>
      <c r="D122" s="211">
        <v>1149120011</v>
      </c>
      <c r="E122" s="237">
        <v>1149120011</v>
      </c>
      <c r="F122" s="8" t="s">
        <v>96</v>
      </c>
      <c r="G122" s="268">
        <f>+G121</f>
        <v>685600.86400000006</v>
      </c>
      <c r="H122" s="237" t="s">
        <v>97</v>
      </c>
      <c r="I122" s="237">
        <v>50</v>
      </c>
      <c r="J122" t="str">
        <f>+J121</f>
        <v>"04-2026" RF/50% T096 6766</v>
      </c>
      <c r="K122">
        <f t="shared" ref="K122" si="6">+K121</f>
        <v>6766</v>
      </c>
      <c r="Q122" s="219"/>
    </row>
    <row r="123" spans="1:20" ht="15" thickBot="1" x14ac:dyDescent="0.4">
      <c r="A123" s="221"/>
      <c r="D123" s="211">
        <v>1149120011</v>
      </c>
      <c r="E123" s="236">
        <v>1149120011</v>
      </c>
      <c r="F123" s="8" t="s">
        <v>96</v>
      </c>
      <c r="G123" s="268">
        <f>+A109*B121</f>
        <v>1710000</v>
      </c>
      <c r="H123" t="s">
        <v>97</v>
      </c>
      <c r="I123">
        <v>40</v>
      </c>
      <c r="J123" t="str">
        <f>+J122</f>
        <v>"04-2026" RF/50% T096 6766</v>
      </c>
      <c r="L123" s="16"/>
      <c r="Q123" s="219"/>
    </row>
    <row r="124" spans="1:20" ht="15" thickBot="1" x14ac:dyDescent="0.4">
      <c r="A124" s="221"/>
      <c r="D124" s="211">
        <v>1249100024</v>
      </c>
      <c r="E124" s="236">
        <v>1249100024</v>
      </c>
      <c r="F124" s="8" t="s">
        <v>981</v>
      </c>
      <c r="G124" s="268">
        <f>+G120*L124</f>
        <v>86940</v>
      </c>
      <c r="I124">
        <v>50</v>
      </c>
      <c r="J124" t="str">
        <f>+J123</f>
        <v>"04-2026" RF/50% T096 6766</v>
      </c>
      <c r="K124" s="305">
        <v>1</v>
      </c>
      <c r="L124" s="214">
        <v>9.6600000000000002E-3</v>
      </c>
      <c r="Q124" s="219"/>
    </row>
    <row r="125" spans="1:20" x14ac:dyDescent="0.35">
      <c r="A125" s="221"/>
      <c r="D125" s="211">
        <v>1246125027</v>
      </c>
      <c r="E125" s="236">
        <v>1246125027</v>
      </c>
      <c r="F125" s="8" t="s">
        <v>962</v>
      </c>
      <c r="G125" s="268">
        <f>+E112*B121</f>
        <v>315000.00000000006</v>
      </c>
      <c r="I125">
        <v>50</v>
      </c>
      <c r="J125" t="str">
        <f>+J124</f>
        <v>"04-2026" RF/50% T096 6766</v>
      </c>
      <c r="K125" s="243" t="s">
        <v>857</v>
      </c>
      <c r="L125" s="214">
        <v>3.499995796447157E-2</v>
      </c>
      <c r="Q125" s="219"/>
    </row>
    <row r="126" spans="1:20" s="245" customFormat="1" ht="15" thickBot="1" x14ac:dyDescent="0.4">
      <c r="A126" s="244"/>
      <c r="Q126" s="246"/>
    </row>
    <row r="127" spans="1:20" x14ac:dyDescent="0.35">
      <c r="A127" s="311">
        <f>+A119</f>
        <v>207634</v>
      </c>
      <c r="B127" s="248" t="str">
        <f>+B119</f>
        <v>T096</v>
      </c>
      <c r="C127" s="248">
        <f>+C119</f>
        <v>6766</v>
      </c>
      <c r="D127" s="211">
        <v>208210</v>
      </c>
      <c r="E127" s="236">
        <v>1242100042</v>
      </c>
      <c r="F127" s="8" t="s">
        <v>983</v>
      </c>
      <c r="G127" s="16">
        <f>+G128+G129-G130-G131</f>
        <v>10308060</v>
      </c>
      <c r="H127" t="s">
        <v>97</v>
      </c>
      <c r="I127">
        <v>31</v>
      </c>
      <c r="J127" t="str">
        <f>+CONCATENATE($N$60," RF/50% ",B127," ",C127)</f>
        <v>"04-2026" RF/50% T096 6766</v>
      </c>
      <c r="K127">
        <f>+K120</f>
        <v>6766</v>
      </c>
      <c r="Q127" s="219"/>
    </row>
    <row r="128" spans="1:20" ht="15" thickBot="1" x14ac:dyDescent="0.4">
      <c r="A128" s="221"/>
      <c r="D128" s="211">
        <v>1245150017</v>
      </c>
      <c r="E128" s="237">
        <v>1245150017</v>
      </c>
      <c r="F128" s="8" t="s">
        <v>77</v>
      </c>
      <c r="G128" s="228">
        <f>+A108*B129</f>
        <v>9000000</v>
      </c>
      <c r="H128" s="237" t="s">
        <v>97</v>
      </c>
      <c r="I128" s="237">
        <v>40</v>
      </c>
      <c r="J128" t="str">
        <f>+J127</f>
        <v>"04-2026" RF/50% T096 6766</v>
      </c>
      <c r="K128">
        <f>+K127</f>
        <v>6766</v>
      </c>
      <c r="M128" s="16">
        <f>+G128+G129</f>
        <v>10710000</v>
      </c>
      <c r="Q128" s="219"/>
    </row>
    <row r="129" spans="1:17" ht="15" thickBot="1" x14ac:dyDescent="0.4">
      <c r="A129" s="307"/>
      <c r="B129" s="247">
        <f>1-B121</f>
        <v>0.5</v>
      </c>
      <c r="D129" s="211">
        <v>1149120011</v>
      </c>
      <c r="E129" s="236">
        <v>1149120011</v>
      </c>
      <c r="F129" s="8" t="s">
        <v>96</v>
      </c>
      <c r="G129" s="16">
        <f>+A109*B129</f>
        <v>1710000</v>
      </c>
      <c r="H129" t="s">
        <v>97</v>
      </c>
      <c r="I129">
        <v>40</v>
      </c>
      <c r="J129" t="str">
        <f>+J128</f>
        <v>"04-2026" RF/50% T096 6766</v>
      </c>
      <c r="K129">
        <f>+K128</f>
        <v>6766</v>
      </c>
      <c r="Q129" s="219"/>
    </row>
    <row r="130" spans="1:17" ht="17" thickBot="1" x14ac:dyDescent="0.4">
      <c r="A130" s="310">
        <f>+G119+G127</f>
        <v>20616120</v>
      </c>
      <c r="B130" s="238">
        <f>+B121+B129</f>
        <v>1</v>
      </c>
      <c r="D130" s="211">
        <v>1246125027</v>
      </c>
      <c r="E130" s="236">
        <v>1246125027</v>
      </c>
      <c r="F130" s="8" t="s">
        <v>962</v>
      </c>
      <c r="G130" s="268">
        <f>+E112*B129</f>
        <v>315000.00000000006</v>
      </c>
      <c r="I130">
        <v>50</v>
      </c>
      <c r="J130" t="str">
        <f>+J129</f>
        <v>"04-2026" RF/50% T096 6766</v>
      </c>
      <c r="K130" s="243" t="s">
        <v>857</v>
      </c>
      <c r="L130" s="214">
        <v>3.499995796447157E-2</v>
      </c>
      <c r="Q130" s="219"/>
    </row>
    <row r="131" spans="1:17" ht="16.5" x14ac:dyDescent="0.35">
      <c r="A131" s="308"/>
      <c r="B131" s="309"/>
      <c r="D131" s="211">
        <v>1249100024</v>
      </c>
      <c r="E131" s="236">
        <v>1249100024</v>
      </c>
      <c r="F131" s="8" t="s">
        <v>981</v>
      </c>
      <c r="G131" s="268">
        <f>+G128*L131</f>
        <v>86940</v>
      </c>
      <c r="I131">
        <v>50</v>
      </c>
      <c r="J131" t="str">
        <f>+J130</f>
        <v>"04-2026" RF/50% T096 6766</v>
      </c>
      <c r="K131" s="305">
        <v>1</v>
      </c>
      <c r="L131" s="214">
        <v>9.6600000000000002E-3</v>
      </c>
      <c r="Q131" s="219"/>
    </row>
    <row r="132" spans="1:17" ht="15" thickBot="1" x14ac:dyDescent="0.4">
      <c r="A132" s="225"/>
      <c r="B132" s="226"/>
      <c r="C132" s="226"/>
      <c r="D132" s="226"/>
      <c r="E132" s="226"/>
      <c r="F132" s="226"/>
      <c r="G132" s="226"/>
      <c r="H132" s="226"/>
      <c r="I132" s="226"/>
      <c r="J132" s="226"/>
      <c r="K132" s="226"/>
      <c r="L132" s="226"/>
      <c r="M132" s="226"/>
      <c r="N132" s="226"/>
      <c r="O132" s="226"/>
      <c r="P132" s="226"/>
      <c r="Q132" s="227"/>
    </row>
    <row r="133" spans="1:17" s="230" customFormat="1" x14ac:dyDescent="0.35"/>
    <row r="134" spans="1:17" s="230" customFormat="1" ht="15" thickBot="1" x14ac:dyDescent="0.4">
      <c r="A134" s="285"/>
      <c r="B134" s="286"/>
      <c r="C134" s="286"/>
      <c r="D134" s="286"/>
      <c r="E134" s="286"/>
      <c r="F134" s="286"/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7"/>
    </row>
    <row r="135" spans="1:17" ht="34.5" customHeight="1" x14ac:dyDescent="0.45">
      <c r="A135" s="237" t="s">
        <v>995</v>
      </c>
      <c r="B135" s="235">
        <v>207634</v>
      </c>
      <c r="C135" s="574" t="s">
        <v>1143</v>
      </c>
      <c r="D135" s="575"/>
      <c r="E135" s="229" t="s">
        <v>561</v>
      </c>
      <c r="F135" s="229">
        <v>6700</v>
      </c>
      <c r="G135" s="216"/>
      <c r="H135" s="216"/>
      <c r="I135" s="216"/>
      <c r="J135" s="216"/>
      <c r="K135" s="216"/>
      <c r="L135" s="249" t="s">
        <v>1010</v>
      </c>
      <c r="M135" s="216"/>
      <c r="N135" s="216"/>
      <c r="O135" s="216"/>
      <c r="P135" s="216"/>
      <c r="Q135" s="217"/>
    </row>
    <row r="136" spans="1:17" x14ac:dyDescent="0.35">
      <c r="A136" s="234">
        <v>26581643</v>
      </c>
      <c r="B136" s="567" t="s">
        <v>1098</v>
      </c>
      <c r="C136" s="567"/>
      <c r="N136" s="270"/>
      <c r="Q136" s="219"/>
    </row>
    <row r="137" spans="1:17" x14ac:dyDescent="0.35">
      <c r="A137" s="218">
        <f>+A136*0.19</f>
        <v>5050512.17</v>
      </c>
      <c r="B137" s="567" t="s">
        <v>997</v>
      </c>
      <c r="C137" s="567"/>
      <c r="N137" s="267"/>
      <c r="Q137" s="219"/>
    </row>
    <row r="138" spans="1:17" x14ac:dyDescent="0.35">
      <c r="A138" s="220">
        <f>SUM(A136:A137)</f>
        <v>31632155.170000002</v>
      </c>
      <c r="B138" s="567" t="s">
        <v>998</v>
      </c>
      <c r="C138" s="567"/>
      <c r="F138" s="306"/>
      <c r="J138" s="270"/>
      <c r="Q138" s="219"/>
    </row>
    <row r="139" spans="1:17" x14ac:dyDescent="0.35">
      <c r="A139" s="221"/>
      <c r="E139" s="19"/>
      <c r="F139" s="202"/>
      <c r="J139" s="270"/>
      <c r="Q139" s="219"/>
    </row>
    <row r="140" spans="1:17" x14ac:dyDescent="0.35">
      <c r="A140" s="234">
        <f>+G153</f>
        <v>930357.50500000012</v>
      </c>
      <c r="B140" s="567" t="s">
        <v>1104</v>
      </c>
      <c r="C140" s="567"/>
      <c r="D140" s="208">
        <v>3.5000000000000003E-2</v>
      </c>
      <c r="E140" s="202">
        <f>+A136*D140</f>
        <v>930357.50500000012</v>
      </c>
      <c r="F140" s="452" t="s">
        <v>1316</v>
      </c>
      <c r="J140" s="270"/>
      <c r="Q140" s="219"/>
    </row>
    <row r="141" spans="1:17" x14ac:dyDescent="0.35">
      <c r="A141" s="218">
        <f>+G152</f>
        <v>256778.67138000001</v>
      </c>
      <c r="B141" s="567" t="s">
        <v>1105</v>
      </c>
      <c r="C141" s="567"/>
      <c r="D141" s="201">
        <v>9.7000000000000003E-3</v>
      </c>
      <c r="E141" s="202">
        <f>+A136*D141</f>
        <v>257841.93710000001</v>
      </c>
      <c r="G141" s="270"/>
      <c r="J141" s="270"/>
      <c r="Q141" s="219"/>
    </row>
    <row r="142" spans="1:17" x14ac:dyDescent="0.35">
      <c r="A142" s="284"/>
      <c r="E142" s="202"/>
      <c r="G142" s="202"/>
      <c r="Q142" s="219"/>
    </row>
    <row r="143" spans="1:17" x14ac:dyDescent="0.35">
      <c r="A143" s="284">
        <f>+A136+A137-A140-A141</f>
        <v>30445018.993620005</v>
      </c>
      <c r="B143" s="567" t="s">
        <v>1106</v>
      </c>
      <c r="C143" s="567"/>
      <c r="E143" s="202"/>
      <c r="F143" t="s">
        <v>1317</v>
      </c>
      <c r="G143" s="202"/>
      <c r="Q143" s="219"/>
    </row>
    <row r="144" spans="1:17" x14ac:dyDescent="0.35">
      <c r="A144" s="221"/>
      <c r="Q144" s="219"/>
    </row>
    <row r="145" spans="1:20" ht="26.5" customHeight="1" thickBot="1" x14ac:dyDescent="0.4">
      <c r="A145" s="568" t="s">
        <v>276</v>
      </c>
      <c r="B145" s="569"/>
      <c r="C145" s="569"/>
      <c r="D145" s="569"/>
      <c r="E145" s="569"/>
      <c r="F145" s="569"/>
      <c r="G145" s="569"/>
      <c r="H145" s="569"/>
      <c r="I145" s="569"/>
      <c r="J145" s="570"/>
      <c r="K145" s="571" t="s">
        <v>960</v>
      </c>
      <c r="L145" s="572"/>
      <c r="M145" s="572"/>
      <c r="N145" s="572"/>
      <c r="O145" s="572"/>
      <c r="P145" s="572"/>
      <c r="Q145" s="573"/>
    </row>
    <row r="146" spans="1:20" ht="26.5" thickBot="1" x14ac:dyDescent="0.4">
      <c r="A146" s="283" t="s">
        <v>1103</v>
      </c>
      <c r="B146" s="232" t="s">
        <v>266</v>
      </c>
      <c r="C146" s="231" t="s">
        <v>615</v>
      </c>
      <c r="D146" s="282" t="s">
        <v>1102</v>
      </c>
      <c r="E146" s="231" t="s">
        <v>988</v>
      </c>
      <c r="F146" s="231" t="s">
        <v>990</v>
      </c>
      <c r="G146" s="231" t="s">
        <v>991</v>
      </c>
      <c r="H146" s="232"/>
      <c r="I146" s="231" t="s">
        <v>989</v>
      </c>
      <c r="J146" s="231" t="s">
        <v>992</v>
      </c>
      <c r="K146" s="73" t="s">
        <v>615</v>
      </c>
      <c r="L146" s="74" t="s">
        <v>618</v>
      </c>
      <c r="M146" s="76" t="s">
        <v>619</v>
      </c>
      <c r="N146" s="76" t="s">
        <v>620</v>
      </c>
      <c r="O146" s="76" t="s">
        <v>621</v>
      </c>
      <c r="P146" s="77" t="s">
        <v>622</v>
      </c>
      <c r="Q146" s="222" t="s">
        <v>623</v>
      </c>
    </row>
    <row r="147" spans="1:20" x14ac:dyDescent="0.35">
      <c r="A147" s="311">
        <f>+B135</f>
        <v>207634</v>
      </c>
      <c r="B147" s="248" t="str">
        <f>+E135</f>
        <v>T075</v>
      </c>
      <c r="C147" s="248">
        <f>+F135</f>
        <v>6700</v>
      </c>
      <c r="D147" s="211">
        <v>208208</v>
      </c>
      <c r="E147" s="236">
        <v>1242100042</v>
      </c>
      <c r="F147" s="8" t="s">
        <v>983</v>
      </c>
      <c r="G147" s="304">
        <f>+G148+G149-G150+G151-G152-G153</f>
        <v>30445018.993620005</v>
      </c>
      <c r="H147" t="s">
        <v>984</v>
      </c>
      <c r="I147">
        <v>31</v>
      </c>
      <c r="J147" t="str">
        <f>+CONCATENATE($N$60," RF ",B147," ",C147)</f>
        <v>"04-2026" RF T075 6700</v>
      </c>
      <c r="K147" s="240">
        <f>+VLOOKUP(B147,PRORRATEO!C:K,4,0)</f>
        <v>6700</v>
      </c>
      <c r="L147" s="213">
        <f>+VLOOKUP(B147,PRORRATEO!C:M,6,0)</f>
        <v>24244695</v>
      </c>
      <c r="M147" s="213">
        <f>+VLOOKUP(B147,PRORRATEO!C:M,7,0)</f>
        <v>4606492.05</v>
      </c>
      <c r="N147" s="213">
        <f>+VLOOKUP(B147,PRORRATEO!C:M,8,0)</f>
        <v>488288.15729999996</v>
      </c>
      <c r="O147" s="213">
        <f>+VLOOKUP(B147,PRORRATEO!C:M,9,0)</f>
        <v>4118203.8926999997</v>
      </c>
      <c r="P147" s="193">
        <f>+VLOOKUP(B147,PRORRATEO!C:M,10,0)</f>
        <v>0.106</v>
      </c>
      <c r="Q147" s="224">
        <f>+VLOOKUP(B147,PRORRATEO!C:M,11,0)</f>
        <v>0.89400000000000002</v>
      </c>
      <c r="R147" s="212"/>
      <c r="T147" s="212"/>
    </row>
    <row r="148" spans="1:20" x14ac:dyDescent="0.35">
      <c r="A148" s="221"/>
      <c r="D148" s="211">
        <v>1245150017</v>
      </c>
      <c r="E148" s="237">
        <v>1245150017</v>
      </c>
      <c r="F148" s="8" t="s">
        <v>77</v>
      </c>
      <c r="G148" s="268">
        <f>+A136*B149</f>
        <v>26581643</v>
      </c>
      <c r="H148" s="237" t="s">
        <v>97</v>
      </c>
      <c r="I148" s="237">
        <v>40</v>
      </c>
      <c r="J148" t="str">
        <f>+J147</f>
        <v>"04-2026" RF T075 6700</v>
      </c>
      <c r="K148">
        <f>+K147</f>
        <v>6700</v>
      </c>
      <c r="L148" s="16"/>
      <c r="Q148" s="219"/>
    </row>
    <row r="149" spans="1:20" x14ac:dyDescent="0.35">
      <c r="A149" s="221"/>
      <c r="B149" s="247">
        <v>1</v>
      </c>
      <c r="D149" s="211">
        <v>1149120011</v>
      </c>
      <c r="E149" s="237">
        <v>1149120011</v>
      </c>
      <c r="F149" s="8" t="s">
        <v>96</v>
      </c>
      <c r="G149" s="268">
        <f>+N147</f>
        <v>488288.15729999996</v>
      </c>
      <c r="H149" s="237" t="s">
        <v>98</v>
      </c>
      <c r="I149" s="237">
        <v>40</v>
      </c>
      <c r="J149" t="str">
        <f>+J148</f>
        <v>"04-2026" RF T075 6700</v>
      </c>
      <c r="K149">
        <f>+K148</f>
        <v>6700</v>
      </c>
      <c r="L149" s="16">
        <f>+G148+G151</f>
        <v>31632155.170000002</v>
      </c>
      <c r="Q149" s="219"/>
    </row>
    <row r="150" spans="1:20" ht="15" thickBot="1" x14ac:dyDescent="0.4">
      <c r="A150" s="221"/>
      <c r="D150" s="211">
        <v>1149120011</v>
      </c>
      <c r="E150" s="237">
        <v>1149120011</v>
      </c>
      <c r="F150" s="8" t="s">
        <v>96</v>
      </c>
      <c r="G150" s="268">
        <f>+G149</f>
        <v>488288.15729999996</v>
      </c>
      <c r="H150" s="237" t="s">
        <v>97</v>
      </c>
      <c r="I150" s="237">
        <v>50</v>
      </c>
      <c r="J150" t="str">
        <f>+J149</f>
        <v>"04-2026" RF T075 6700</v>
      </c>
      <c r="K150">
        <f t="shared" ref="K150" si="7">+K149</f>
        <v>6700</v>
      </c>
      <c r="Q150" s="219"/>
    </row>
    <row r="151" spans="1:20" ht="15" thickBot="1" x14ac:dyDescent="0.4">
      <c r="A151" s="221"/>
      <c r="D151" s="211">
        <v>1149120011</v>
      </c>
      <c r="E151" s="236">
        <v>1149120011</v>
      </c>
      <c r="F151" s="8" t="s">
        <v>96</v>
      </c>
      <c r="G151" s="268">
        <f>+A137*B149</f>
        <v>5050512.17</v>
      </c>
      <c r="H151" t="s">
        <v>97</v>
      </c>
      <c r="I151">
        <v>40</v>
      </c>
      <c r="J151" t="str">
        <f>+J150</f>
        <v>"04-2026" RF T075 6700</v>
      </c>
      <c r="L151" s="16"/>
      <c r="Q151" s="219"/>
    </row>
    <row r="152" spans="1:20" ht="15" thickBot="1" x14ac:dyDescent="0.4">
      <c r="A152" s="221"/>
      <c r="D152" s="211">
        <v>1249100024</v>
      </c>
      <c r="E152" s="236">
        <v>1249100024</v>
      </c>
      <c r="F152" s="8" t="s">
        <v>981</v>
      </c>
      <c r="G152" s="268">
        <f>+G148*L152</f>
        <v>256778.67138000001</v>
      </c>
      <c r="I152">
        <v>50</v>
      </c>
      <c r="J152" t="str">
        <f>+J151</f>
        <v>"04-2026" RF T075 6700</v>
      </c>
      <c r="K152" s="305">
        <v>1</v>
      </c>
      <c r="L152" s="214">
        <v>9.6600000000000002E-3</v>
      </c>
      <c r="Q152" s="219"/>
    </row>
    <row r="153" spans="1:20" x14ac:dyDescent="0.35">
      <c r="A153" s="221"/>
      <c r="D153" s="211">
        <v>1246125027</v>
      </c>
      <c r="E153" s="236">
        <v>1246125027</v>
      </c>
      <c r="F153" s="8" t="s">
        <v>962</v>
      </c>
      <c r="G153" s="268">
        <f>+E140*B149</f>
        <v>930357.50500000012</v>
      </c>
      <c r="I153">
        <v>50</v>
      </c>
      <c r="J153" t="str">
        <f>+J152</f>
        <v>"04-2026" RF T075 6700</v>
      </c>
      <c r="K153" s="243" t="s">
        <v>857</v>
      </c>
      <c r="L153" s="214">
        <v>3.499995796447157E-2</v>
      </c>
      <c r="Q153" s="219"/>
    </row>
    <row r="154" spans="1:20" s="230" customFormat="1" x14ac:dyDescent="0.35"/>
    <row r="155" spans="1:20" s="230" customFormat="1" ht="15" thickBot="1" x14ac:dyDescent="0.4">
      <c r="A155" s="285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7"/>
    </row>
    <row r="156" spans="1:20" ht="34.5" customHeight="1" x14ac:dyDescent="0.45">
      <c r="A156" s="237" t="s">
        <v>995</v>
      </c>
      <c r="B156" s="235">
        <v>207634</v>
      </c>
      <c r="C156" s="574" t="s">
        <v>1143</v>
      </c>
      <c r="D156" s="575"/>
      <c r="E156" s="229" t="s">
        <v>581</v>
      </c>
      <c r="F156" s="229">
        <v>6717</v>
      </c>
      <c r="G156" s="216"/>
      <c r="H156" s="216"/>
      <c r="I156" s="216"/>
      <c r="J156" s="216"/>
      <c r="K156" s="216"/>
      <c r="L156" s="249" t="s">
        <v>1010</v>
      </c>
      <c r="M156" s="216"/>
      <c r="N156" s="216"/>
      <c r="O156" s="216"/>
      <c r="P156" s="216"/>
      <c r="Q156" s="217"/>
    </row>
    <row r="157" spans="1:20" x14ac:dyDescent="0.35">
      <c r="A157" s="234">
        <v>20540360</v>
      </c>
      <c r="B157" s="567" t="s">
        <v>1098</v>
      </c>
      <c r="C157" s="567"/>
      <c r="N157" s="270"/>
      <c r="Q157" s="219"/>
    </row>
    <row r="158" spans="1:20" x14ac:dyDescent="0.35">
      <c r="A158" s="218">
        <f>+A157*0.19</f>
        <v>3902668.4</v>
      </c>
      <c r="B158" s="567" t="s">
        <v>997</v>
      </c>
      <c r="C158" s="567"/>
      <c r="N158" s="267"/>
      <c r="Q158" s="219"/>
    </row>
    <row r="159" spans="1:20" x14ac:dyDescent="0.35">
      <c r="A159" s="220">
        <f>SUM(A157:A158)</f>
        <v>24443028.399999999</v>
      </c>
      <c r="B159" s="567" t="s">
        <v>998</v>
      </c>
      <c r="C159" s="567"/>
      <c r="F159" s="306"/>
      <c r="J159" s="270"/>
      <c r="Q159" s="219"/>
    </row>
    <row r="160" spans="1:20" x14ac:dyDescent="0.35">
      <c r="A160" s="221"/>
      <c r="E160" s="19"/>
      <c r="F160" s="202"/>
      <c r="J160" s="270"/>
      <c r="Q160" s="219"/>
    </row>
    <row r="161" spans="1:20" x14ac:dyDescent="0.35">
      <c r="A161" s="234">
        <f>+G174</f>
        <v>718912.60000000009</v>
      </c>
      <c r="B161" s="567" t="s">
        <v>1104</v>
      </c>
      <c r="C161" s="567"/>
      <c r="D161" s="208">
        <v>3.5000000000000003E-2</v>
      </c>
      <c r="E161" s="202">
        <f>+A157*D161</f>
        <v>718912.60000000009</v>
      </c>
      <c r="F161" s="270"/>
      <c r="J161" s="270">
        <f>+G169+996725</f>
        <v>21537085</v>
      </c>
      <c r="Q161" s="219"/>
    </row>
    <row r="162" spans="1:20" x14ac:dyDescent="0.35">
      <c r="A162" s="218">
        <f>+G173</f>
        <v>198419.87760000001</v>
      </c>
      <c r="B162" s="567" t="s">
        <v>1105</v>
      </c>
      <c r="C162" s="567"/>
      <c r="D162" s="201">
        <v>9.7000000000000003E-3</v>
      </c>
      <c r="E162" s="202">
        <f>+A157*D162</f>
        <v>199241.492</v>
      </c>
      <c r="F162" s="452" t="s">
        <v>1318</v>
      </c>
      <c r="G162" s="270"/>
      <c r="J162" s="270"/>
      <c r="Q162" s="219"/>
    </row>
    <row r="163" spans="1:20" x14ac:dyDescent="0.35">
      <c r="A163" s="284"/>
      <c r="E163" s="202"/>
      <c r="G163" s="202"/>
      <c r="J163" s="548">
        <f>+L174*J161</f>
        <v>753797.06967725116</v>
      </c>
      <c r="Q163" s="219"/>
    </row>
    <row r="164" spans="1:20" x14ac:dyDescent="0.35">
      <c r="A164" s="284">
        <f>+A157+A158-A161-A162</f>
        <v>23525695.922399998</v>
      </c>
      <c r="B164" s="567" t="s">
        <v>1106</v>
      </c>
      <c r="C164" s="567"/>
      <c r="E164" s="202"/>
      <c r="F164" t="s">
        <v>1729</v>
      </c>
      <c r="G164" s="270">
        <v>23490546</v>
      </c>
      <c r="J164" s="548">
        <f>+L173*J161</f>
        <v>208048.24110000001</v>
      </c>
      <c r="Q164" s="219"/>
    </row>
    <row r="165" spans="1:20" x14ac:dyDescent="0.35">
      <c r="A165" s="221"/>
      <c r="Q165" s="219"/>
    </row>
    <row r="166" spans="1:20" ht="26.5" customHeight="1" thickBot="1" x14ac:dyDescent="0.4">
      <c r="A166" s="568" t="s">
        <v>276</v>
      </c>
      <c r="B166" s="569"/>
      <c r="C166" s="569"/>
      <c r="D166" s="569"/>
      <c r="E166" s="569"/>
      <c r="F166" s="569"/>
      <c r="G166" s="569"/>
      <c r="H166" s="569"/>
      <c r="I166" s="569"/>
      <c r="J166" s="570"/>
      <c r="K166" s="571" t="s">
        <v>960</v>
      </c>
      <c r="L166" s="572"/>
      <c r="M166" s="572"/>
      <c r="N166" s="572"/>
      <c r="O166" s="572"/>
      <c r="P166" s="572"/>
      <c r="Q166" s="573"/>
    </row>
    <row r="167" spans="1:20" ht="26.5" thickBot="1" x14ac:dyDescent="0.4">
      <c r="A167" s="283" t="s">
        <v>1103</v>
      </c>
      <c r="B167" s="232" t="s">
        <v>266</v>
      </c>
      <c r="C167" s="231" t="s">
        <v>615</v>
      </c>
      <c r="D167" s="282" t="s">
        <v>1102</v>
      </c>
      <c r="E167" s="231" t="s">
        <v>988</v>
      </c>
      <c r="F167" s="231" t="s">
        <v>990</v>
      </c>
      <c r="G167" s="231" t="s">
        <v>991</v>
      </c>
      <c r="H167" s="232"/>
      <c r="I167" s="231" t="s">
        <v>989</v>
      </c>
      <c r="J167" s="231" t="s">
        <v>992</v>
      </c>
      <c r="K167" s="73" t="s">
        <v>615</v>
      </c>
      <c r="L167" s="74" t="s">
        <v>618</v>
      </c>
      <c r="M167" s="76" t="s">
        <v>619</v>
      </c>
      <c r="N167" s="76" t="s">
        <v>620</v>
      </c>
      <c r="O167" s="76" t="s">
        <v>621</v>
      </c>
      <c r="P167" s="77" t="s">
        <v>622</v>
      </c>
      <c r="Q167" s="222" t="s">
        <v>623</v>
      </c>
    </row>
    <row r="168" spans="1:20" x14ac:dyDescent="0.35">
      <c r="A168" s="311">
        <f>+B156</f>
        <v>207634</v>
      </c>
      <c r="B168" s="248" t="str">
        <f>+E156</f>
        <v>T082</v>
      </c>
      <c r="C168" s="248">
        <f>+F156</f>
        <v>6717</v>
      </c>
      <c r="D168" s="311">
        <v>208208</v>
      </c>
      <c r="E168" s="236">
        <v>1242100042</v>
      </c>
      <c r="F168" s="8" t="s">
        <v>983</v>
      </c>
      <c r="G168" s="304">
        <f>+G169+G170-G171+G172-G173-G174</f>
        <v>23525695.922399998</v>
      </c>
      <c r="H168" t="s">
        <v>984</v>
      </c>
      <c r="I168">
        <v>31</v>
      </c>
      <c r="J168" t="str">
        <f>+CONCATENATE($N$60," RF ",B168," ",C168)</f>
        <v>"04-2026" RF T082 6717</v>
      </c>
      <c r="K168" s="240">
        <f>+VLOOKUP(B168,PRORRATEO!C:K,4,0)</f>
        <v>6717</v>
      </c>
      <c r="L168" s="213">
        <f>+VLOOKUP(B168,PRORRATEO!C:M,6,0)</f>
        <v>18577600</v>
      </c>
      <c r="M168" s="213">
        <f>+VLOOKUP(B168,PRORRATEO!C:M,7,0)</f>
        <v>3529744</v>
      </c>
      <c r="N168" s="213">
        <f>+VLOOKUP(B168,PRORRATEO!C:M,8,0)</f>
        <v>363563.63199999998</v>
      </c>
      <c r="O168" s="213">
        <f>+VLOOKUP(B168,PRORRATEO!C:M,9,0)</f>
        <v>3166180.3680000002</v>
      </c>
      <c r="P168" s="193">
        <f>+VLOOKUP(B168,PRORRATEO!C:M,10,0)</f>
        <v>0.10299999999999999</v>
      </c>
      <c r="Q168" s="224">
        <f>+VLOOKUP(B168,PRORRATEO!C:M,11,0)</f>
        <v>0.89700000000000002</v>
      </c>
      <c r="R168" s="212"/>
      <c r="T168" s="212"/>
    </row>
    <row r="169" spans="1:20" x14ac:dyDescent="0.35">
      <c r="A169" s="221"/>
      <c r="D169" s="211">
        <v>1245150017</v>
      </c>
      <c r="E169" s="237">
        <v>1245150017</v>
      </c>
      <c r="F169" s="8" t="s">
        <v>77</v>
      </c>
      <c r="G169" s="268">
        <f>+A157*B170</f>
        <v>20540360</v>
      </c>
      <c r="H169" s="237" t="s">
        <v>97</v>
      </c>
      <c r="I169" s="237">
        <v>40</v>
      </c>
      <c r="J169" t="str">
        <f>+J168</f>
        <v>"04-2026" RF T082 6717</v>
      </c>
      <c r="K169">
        <f>+K168</f>
        <v>6717</v>
      </c>
      <c r="L169" s="16">
        <f>+G169+G172</f>
        <v>24443028.399999999</v>
      </c>
      <c r="Q169" s="219"/>
    </row>
    <row r="170" spans="1:20" x14ac:dyDescent="0.35">
      <c r="A170" s="221"/>
      <c r="B170" s="247">
        <v>1</v>
      </c>
      <c r="D170" s="211">
        <v>1149120011</v>
      </c>
      <c r="E170" s="237">
        <v>1149120011</v>
      </c>
      <c r="F170" s="8" t="s">
        <v>96</v>
      </c>
      <c r="G170" s="268">
        <f>+G172*P168</f>
        <v>401974.84519999998</v>
      </c>
      <c r="H170" s="237" t="s">
        <v>98</v>
      </c>
      <c r="I170" s="237">
        <v>40</v>
      </c>
      <c r="J170" t="str">
        <f>+J169</f>
        <v>"04-2026" RF T082 6717</v>
      </c>
      <c r="K170">
        <f>+K169</f>
        <v>6717</v>
      </c>
      <c r="L170" s="16">
        <f>+G173+G174</f>
        <v>917332.4776000001</v>
      </c>
      <c r="Q170" s="219"/>
    </row>
    <row r="171" spans="1:20" ht="15" thickBot="1" x14ac:dyDescent="0.4">
      <c r="A171" s="221"/>
      <c r="D171" s="211">
        <v>1149120011</v>
      </c>
      <c r="E171" s="237">
        <v>1149120011</v>
      </c>
      <c r="F171" s="8" t="s">
        <v>96</v>
      </c>
      <c r="G171" s="268">
        <f>+G170</f>
        <v>401974.84519999998</v>
      </c>
      <c r="H171" s="237" t="s">
        <v>97</v>
      </c>
      <c r="I171" s="237">
        <v>50</v>
      </c>
      <c r="J171" t="str">
        <f>+J170</f>
        <v>"04-2026" RF T082 6717</v>
      </c>
      <c r="K171">
        <f t="shared" ref="K171" si="8">+K170</f>
        <v>6717</v>
      </c>
      <c r="Q171" s="219"/>
    </row>
    <row r="172" spans="1:20" ht="15" thickBot="1" x14ac:dyDescent="0.4">
      <c r="A172" s="221"/>
      <c r="D172" s="211">
        <v>1149120011</v>
      </c>
      <c r="E172" s="236">
        <v>1149120011</v>
      </c>
      <c r="F172" s="8" t="s">
        <v>96</v>
      </c>
      <c r="G172" s="268">
        <f>+A158*B170</f>
        <v>3902668.4</v>
      </c>
      <c r="H172" t="s">
        <v>97</v>
      </c>
      <c r="I172">
        <v>40</v>
      </c>
      <c r="J172" t="str">
        <f>+J171</f>
        <v>"04-2026" RF T082 6717</v>
      </c>
      <c r="L172" s="16"/>
      <c r="Q172" s="219"/>
    </row>
    <row r="173" spans="1:20" ht="15" thickBot="1" x14ac:dyDescent="0.4">
      <c r="A173" s="221"/>
      <c r="D173" s="211">
        <v>1249100024</v>
      </c>
      <c r="E173" s="236">
        <v>1249100024</v>
      </c>
      <c r="F173" s="8" t="s">
        <v>981</v>
      </c>
      <c r="G173" s="268">
        <f>+G169*L173</f>
        <v>198419.87760000001</v>
      </c>
      <c r="I173">
        <v>50</v>
      </c>
      <c r="J173" t="str">
        <f>+J172</f>
        <v>"04-2026" RF T082 6717</v>
      </c>
      <c r="K173" s="305">
        <v>1</v>
      </c>
      <c r="L173" s="549">
        <v>9.6600000000000002E-3</v>
      </c>
      <c r="Q173" s="219"/>
    </row>
    <row r="174" spans="1:20" x14ac:dyDescent="0.35">
      <c r="A174" s="221"/>
      <c r="D174" s="211">
        <v>1246125027</v>
      </c>
      <c r="E174" s="236">
        <v>1246125027</v>
      </c>
      <c r="F174" s="8" t="s">
        <v>962</v>
      </c>
      <c r="G174" s="268">
        <f>+E161*B170</f>
        <v>718912.60000000009</v>
      </c>
      <c r="I174">
        <v>50</v>
      </c>
      <c r="J174" t="str">
        <f>+J173</f>
        <v>"04-2026" RF T082 6717</v>
      </c>
      <c r="K174" s="243" t="s">
        <v>857</v>
      </c>
      <c r="L174" s="214">
        <v>3.499995796447157E-2</v>
      </c>
      <c r="Q174" s="219"/>
    </row>
    <row r="175" spans="1:20" s="230" customFormat="1" x14ac:dyDescent="0.35"/>
    <row r="176" spans="1:20" s="230" customFormat="1" ht="15" thickBot="1" x14ac:dyDescent="0.4">
      <c r="A176" s="285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87"/>
    </row>
    <row r="177" spans="1:20" ht="34.5" customHeight="1" x14ac:dyDescent="0.45">
      <c r="A177" s="237" t="s">
        <v>995</v>
      </c>
      <c r="B177" s="235">
        <v>207634</v>
      </c>
      <c r="C177" s="574" t="s">
        <v>1143</v>
      </c>
      <c r="D177" s="575"/>
      <c r="E177" s="229" t="s">
        <v>590</v>
      </c>
      <c r="F177" s="229">
        <v>6760</v>
      </c>
      <c r="G177" s="216"/>
      <c r="H177" s="216"/>
      <c r="I177" s="216"/>
      <c r="J177" s="216"/>
      <c r="K177" s="216"/>
      <c r="L177" s="249" t="s">
        <v>1010</v>
      </c>
      <c r="M177" s="216"/>
      <c r="N177" s="216"/>
      <c r="O177" s="216"/>
      <c r="P177" s="216"/>
      <c r="Q177" s="217"/>
    </row>
    <row r="178" spans="1:20" x14ac:dyDescent="0.35">
      <c r="A178" s="234">
        <v>17558152</v>
      </c>
      <c r="B178" s="567" t="s">
        <v>1098</v>
      </c>
      <c r="C178" s="567"/>
      <c r="N178" s="270"/>
      <c r="Q178" s="219"/>
    </row>
    <row r="179" spans="1:20" x14ac:dyDescent="0.35">
      <c r="A179" s="218">
        <f>+A178*0.19</f>
        <v>3336048.88</v>
      </c>
      <c r="B179" s="567" t="s">
        <v>997</v>
      </c>
      <c r="C179" s="567"/>
      <c r="N179" s="267"/>
      <c r="Q179" s="219"/>
    </row>
    <row r="180" spans="1:20" x14ac:dyDescent="0.35">
      <c r="A180" s="220">
        <f>SUM(A178:A179)</f>
        <v>20894200.879999999</v>
      </c>
      <c r="B180" s="567" t="s">
        <v>998</v>
      </c>
      <c r="C180" s="567"/>
      <c r="F180" s="306"/>
      <c r="J180" s="270"/>
      <c r="Q180" s="219"/>
    </row>
    <row r="181" spans="1:20" x14ac:dyDescent="0.35">
      <c r="A181" s="221"/>
      <c r="E181" s="19"/>
      <c r="F181" s="202"/>
      <c r="J181" s="270"/>
      <c r="Q181" s="219"/>
    </row>
    <row r="182" spans="1:20" x14ac:dyDescent="0.35">
      <c r="A182" s="234">
        <f>+G195</f>
        <v>614535.32000000007</v>
      </c>
      <c r="B182" s="567" t="s">
        <v>1104</v>
      </c>
      <c r="C182" s="567"/>
      <c r="D182" s="208">
        <v>3.5000000000000003E-2</v>
      </c>
      <c r="E182" s="202">
        <f>+A178*D182</f>
        <v>614535.32000000007</v>
      </c>
      <c r="F182" s="270"/>
      <c r="J182" s="270"/>
      <c r="Q182" s="219"/>
    </row>
    <row r="183" spans="1:20" x14ac:dyDescent="0.35">
      <c r="A183" s="218">
        <f>+G194</f>
        <v>169611.74832000001</v>
      </c>
      <c r="B183" s="567" t="s">
        <v>1105</v>
      </c>
      <c r="C183" s="567"/>
      <c r="D183" s="201">
        <v>9.7000000000000003E-3</v>
      </c>
      <c r="E183" s="202">
        <f>+A178*D183</f>
        <v>170314.07440000001</v>
      </c>
      <c r="G183" s="270"/>
      <c r="J183" s="270"/>
      <c r="Q183" s="219"/>
    </row>
    <row r="184" spans="1:20" x14ac:dyDescent="0.35">
      <c r="A184" s="284"/>
      <c r="E184" s="202"/>
      <c r="F184" s="452" t="s">
        <v>1319</v>
      </c>
      <c r="G184" s="202"/>
      <c r="Q184" s="219"/>
    </row>
    <row r="185" spans="1:20" x14ac:dyDescent="0.35">
      <c r="A185" s="284">
        <f>+A178+A179-A182-A183</f>
        <v>20110053.81168</v>
      </c>
      <c r="B185" s="567" t="s">
        <v>1106</v>
      </c>
      <c r="C185" s="567"/>
      <c r="E185" s="202"/>
      <c r="F185" t="s">
        <v>1441</v>
      </c>
      <c r="G185" s="270">
        <v>19119655</v>
      </c>
      <c r="Q185" s="219"/>
    </row>
    <row r="186" spans="1:20" x14ac:dyDescent="0.35">
      <c r="A186" s="221"/>
      <c r="Q186" s="219"/>
    </row>
    <row r="187" spans="1:20" ht="26.5" customHeight="1" thickBot="1" x14ac:dyDescent="0.4">
      <c r="A187" s="568" t="s">
        <v>276</v>
      </c>
      <c r="B187" s="569"/>
      <c r="C187" s="569"/>
      <c r="D187" s="569"/>
      <c r="E187" s="569"/>
      <c r="F187" s="569"/>
      <c r="G187" s="569"/>
      <c r="H187" s="569"/>
      <c r="I187" s="569"/>
      <c r="J187" s="570"/>
      <c r="K187" s="571" t="s">
        <v>960</v>
      </c>
      <c r="L187" s="572"/>
      <c r="M187" s="572"/>
      <c r="N187" s="572"/>
      <c r="O187" s="572"/>
      <c r="P187" s="572"/>
      <c r="Q187" s="573"/>
    </row>
    <row r="188" spans="1:20" ht="26.5" thickBot="1" x14ac:dyDescent="0.4">
      <c r="A188" s="283" t="s">
        <v>1103</v>
      </c>
      <c r="B188" s="232" t="s">
        <v>266</v>
      </c>
      <c r="C188" s="231" t="s">
        <v>615</v>
      </c>
      <c r="D188" s="282" t="s">
        <v>1102</v>
      </c>
      <c r="E188" s="231" t="s">
        <v>988</v>
      </c>
      <c r="F188" s="231" t="s">
        <v>990</v>
      </c>
      <c r="G188" s="231" t="s">
        <v>991</v>
      </c>
      <c r="H188" s="232"/>
      <c r="I188" s="231" t="s">
        <v>989</v>
      </c>
      <c r="J188" s="231" t="s">
        <v>992</v>
      </c>
      <c r="K188" s="73" t="s">
        <v>615</v>
      </c>
      <c r="L188" s="74" t="s">
        <v>618</v>
      </c>
      <c r="M188" s="76" t="s">
        <v>619</v>
      </c>
      <c r="N188" s="76" t="s">
        <v>620</v>
      </c>
      <c r="O188" s="76" t="s">
        <v>621</v>
      </c>
      <c r="P188" s="77" t="s">
        <v>622</v>
      </c>
      <c r="Q188" s="222" t="s">
        <v>623</v>
      </c>
    </row>
    <row r="189" spans="1:20" x14ac:dyDescent="0.35">
      <c r="A189" s="311">
        <f>+B177</f>
        <v>207634</v>
      </c>
      <c r="B189" s="248" t="str">
        <f>+E177</f>
        <v>T088</v>
      </c>
      <c r="C189" s="248">
        <f>+F177</f>
        <v>6760</v>
      </c>
      <c r="D189" s="211">
        <v>208210</v>
      </c>
      <c r="E189" s="236">
        <v>1242100042</v>
      </c>
      <c r="F189" s="8" t="s">
        <v>983</v>
      </c>
      <c r="G189" s="304">
        <f>+G190+G191-G192+G193-G194-G195</f>
        <v>20110053.81168</v>
      </c>
      <c r="H189" t="s">
        <v>984</v>
      </c>
      <c r="I189">
        <v>31</v>
      </c>
      <c r="J189" t="str">
        <f>+CONCATENATE($N$60," RF ",B189," ",C189)</f>
        <v>"04-2026" RF T088 6760</v>
      </c>
      <c r="K189" s="240">
        <f>+VLOOKUP(B189,PRORRATEO!C:K,4,0)</f>
        <v>6760</v>
      </c>
      <c r="L189" s="213">
        <f>+VLOOKUP(B189,PRORRATEO!C:M,6,0)</f>
        <v>17558152</v>
      </c>
      <c r="M189" s="213">
        <f>+VLOOKUP(B189,PRORRATEO!C:M,7,0)</f>
        <v>3336048.88</v>
      </c>
      <c r="N189" s="213">
        <f>+VLOOKUP(B189,PRORRATEO!C:M,8,0)</f>
        <v>423678.20776000002</v>
      </c>
      <c r="O189" s="213">
        <f>+VLOOKUP(B189,PRORRATEO!C:M,9,0)</f>
        <v>2912370.6722399998</v>
      </c>
      <c r="P189" s="193">
        <f>+VLOOKUP(B189,PRORRATEO!C:M,10,0)</f>
        <v>0.127</v>
      </c>
      <c r="Q189" s="224">
        <f>+VLOOKUP(B189,PRORRATEO!C:M,11,0)</f>
        <v>0.873</v>
      </c>
      <c r="R189" s="212"/>
      <c r="T189" s="212"/>
    </row>
    <row r="190" spans="1:20" x14ac:dyDescent="0.35">
      <c r="A190" s="221"/>
      <c r="D190" s="211">
        <v>1245150017</v>
      </c>
      <c r="E190" s="237">
        <v>1245150017</v>
      </c>
      <c r="F190" s="8" t="s">
        <v>77</v>
      </c>
      <c r="G190" s="268">
        <f>+A178*B191</f>
        <v>17558152</v>
      </c>
      <c r="H190" s="237" t="s">
        <v>97</v>
      </c>
      <c r="I190" s="237">
        <v>40</v>
      </c>
      <c r="J190" t="str">
        <f>+J189</f>
        <v>"04-2026" RF T088 6760</v>
      </c>
      <c r="K190">
        <f>+K189</f>
        <v>6760</v>
      </c>
      <c r="L190" s="16"/>
      <c r="Q190" s="219"/>
    </row>
    <row r="191" spans="1:20" x14ac:dyDescent="0.35">
      <c r="A191" s="221"/>
      <c r="B191" s="247">
        <v>1</v>
      </c>
      <c r="D191" s="211">
        <v>1149120011</v>
      </c>
      <c r="E191" s="237">
        <v>1149120011</v>
      </c>
      <c r="F191" s="8" t="s">
        <v>96</v>
      </c>
      <c r="G191" s="268">
        <f>+N189</f>
        <v>423678.20776000002</v>
      </c>
      <c r="H191" s="237" t="s">
        <v>98</v>
      </c>
      <c r="I191" s="237">
        <v>40</v>
      </c>
      <c r="J191" t="str">
        <f>+J190</f>
        <v>"04-2026" RF T088 6760</v>
      </c>
      <c r="K191">
        <f>+K190</f>
        <v>6760</v>
      </c>
      <c r="L191" s="16">
        <f>+G190+G193-G194</f>
        <v>20724589.131680001</v>
      </c>
      <c r="Q191" s="219"/>
    </row>
    <row r="192" spans="1:20" ht="15" thickBot="1" x14ac:dyDescent="0.4">
      <c r="A192" s="221"/>
      <c r="D192" s="211">
        <v>1149120011</v>
      </c>
      <c r="E192" s="237">
        <v>1149120011</v>
      </c>
      <c r="F192" s="8" t="s">
        <v>96</v>
      </c>
      <c r="G192" s="268">
        <f>+G191</f>
        <v>423678.20776000002</v>
      </c>
      <c r="H192" s="237" t="s">
        <v>97</v>
      </c>
      <c r="I192" s="237">
        <v>50</v>
      </c>
      <c r="J192" t="str">
        <f>+J191</f>
        <v>"04-2026" RF T088 6760</v>
      </c>
      <c r="K192">
        <f t="shared" ref="K192" si="9">+K191</f>
        <v>6760</v>
      </c>
      <c r="Q192" s="219"/>
    </row>
    <row r="193" spans="1:17" ht="15" thickBot="1" x14ac:dyDescent="0.4">
      <c r="A193" s="221"/>
      <c r="D193" s="211">
        <v>1149120011</v>
      </c>
      <c r="E193" s="236">
        <v>1149120011</v>
      </c>
      <c r="F193" s="8" t="s">
        <v>96</v>
      </c>
      <c r="G193" s="268">
        <f>+A179*B191</f>
        <v>3336048.88</v>
      </c>
      <c r="H193" t="s">
        <v>97</v>
      </c>
      <c r="I193">
        <v>40</v>
      </c>
      <c r="J193" t="str">
        <f>+J192</f>
        <v>"04-2026" RF T088 6760</v>
      </c>
      <c r="L193" s="16"/>
      <c r="Q193" s="219"/>
    </row>
    <row r="194" spans="1:17" ht="15" thickBot="1" x14ac:dyDescent="0.4">
      <c r="A194" s="221"/>
      <c r="D194" s="211">
        <v>1249100024</v>
      </c>
      <c r="E194" s="236">
        <v>1249100024</v>
      </c>
      <c r="F194" s="8" t="s">
        <v>981</v>
      </c>
      <c r="G194" s="268">
        <f>+G190*L194</f>
        <v>169611.74832000001</v>
      </c>
      <c r="I194">
        <v>50</v>
      </c>
      <c r="J194" t="str">
        <f>+J193</f>
        <v>"04-2026" RF T088 6760</v>
      </c>
      <c r="K194" s="305">
        <v>1</v>
      </c>
      <c r="L194" s="214">
        <v>9.6600000000000002E-3</v>
      </c>
      <c r="Q194" s="219"/>
    </row>
    <row r="195" spans="1:17" x14ac:dyDescent="0.35">
      <c r="A195" s="221"/>
      <c r="D195" s="211">
        <v>1246125027</v>
      </c>
      <c r="E195" s="236">
        <v>1246125027</v>
      </c>
      <c r="F195" s="8" t="s">
        <v>962</v>
      </c>
      <c r="G195" s="268">
        <f>+E182*B191</f>
        <v>614535.32000000007</v>
      </c>
      <c r="I195">
        <v>50</v>
      </c>
      <c r="J195" t="str">
        <f>+J194</f>
        <v>"04-2026" RF T088 6760</v>
      </c>
      <c r="K195" s="243" t="s">
        <v>857</v>
      </c>
      <c r="L195" s="214">
        <v>3.499995796447157E-2</v>
      </c>
      <c r="Q195" s="219"/>
    </row>
    <row r="196" spans="1:17" s="230" customFormat="1" x14ac:dyDescent="0.35"/>
    <row r="197" spans="1:17" s="230" customFormat="1" ht="15" thickBot="1" x14ac:dyDescent="0.4">
      <c r="A197" s="285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7"/>
    </row>
    <row r="198" spans="1:17" ht="34.5" customHeight="1" x14ac:dyDescent="0.45">
      <c r="A198" s="237" t="s">
        <v>995</v>
      </c>
      <c r="B198" s="235">
        <v>207634</v>
      </c>
      <c r="C198" s="574" t="s">
        <v>1143</v>
      </c>
      <c r="D198" s="575"/>
      <c r="E198" s="229" t="s">
        <v>601</v>
      </c>
      <c r="F198" s="229">
        <v>6764</v>
      </c>
      <c r="G198" s="216"/>
      <c r="H198" s="216"/>
      <c r="I198" s="216"/>
      <c r="J198" s="216"/>
      <c r="K198" s="216"/>
      <c r="L198" s="249" t="s">
        <v>1010</v>
      </c>
      <c r="M198" s="216"/>
      <c r="N198" s="216"/>
      <c r="O198" s="216"/>
      <c r="P198" s="216"/>
      <c r="Q198" s="217"/>
    </row>
    <row r="199" spans="1:17" x14ac:dyDescent="0.35">
      <c r="A199" s="234">
        <v>14945133</v>
      </c>
      <c r="B199" s="567" t="s">
        <v>1098</v>
      </c>
      <c r="C199" s="567"/>
      <c r="N199" s="270"/>
      <c r="Q199" s="219"/>
    </row>
    <row r="200" spans="1:17" x14ac:dyDescent="0.35">
      <c r="A200" s="218">
        <f>+A199*0.19</f>
        <v>2839575.27</v>
      </c>
      <c r="B200" s="567" t="s">
        <v>997</v>
      </c>
      <c r="C200" s="567"/>
      <c r="N200" s="267"/>
      <c r="Q200" s="219"/>
    </row>
    <row r="201" spans="1:17" x14ac:dyDescent="0.35">
      <c r="A201" s="220">
        <f>SUM(A199:A200)</f>
        <v>17784708.27</v>
      </c>
      <c r="B201" s="567" t="s">
        <v>998</v>
      </c>
      <c r="C201" s="567"/>
      <c r="F201" s="306"/>
      <c r="J201" s="270"/>
      <c r="Q201" s="219"/>
    </row>
    <row r="202" spans="1:17" x14ac:dyDescent="0.35">
      <c r="A202" s="221"/>
      <c r="E202" s="19"/>
      <c r="F202" s="202"/>
      <c r="J202" s="270"/>
      <c r="Q202" s="219"/>
    </row>
    <row r="203" spans="1:17" x14ac:dyDescent="0.35">
      <c r="A203" s="234">
        <f>+G216</f>
        <v>523079.65500000003</v>
      </c>
      <c r="B203" s="567" t="s">
        <v>1104</v>
      </c>
      <c r="C203" s="567"/>
      <c r="D203" s="208">
        <v>3.5000000000000003E-2</v>
      </c>
      <c r="E203" s="202">
        <f>+A199*D203</f>
        <v>523079.65500000003</v>
      </c>
      <c r="F203" s="270"/>
      <c r="J203" s="270"/>
      <c r="Q203" s="219"/>
    </row>
    <row r="204" spans="1:17" x14ac:dyDescent="0.35">
      <c r="A204" s="218">
        <f>+G215</f>
        <v>144369.98478</v>
      </c>
      <c r="B204" s="567" t="s">
        <v>1105</v>
      </c>
      <c r="C204" s="567"/>
      <c r="D204" s="201">
        <v>9.7000000000000003E-3</v>
      </c>
      <c r="E204" s="202">
        <f>+A199*D204</f>
        <v>144967.79010000001</v>
      </c>
      <c r="J204" s="270"/>
      <c r="Q204" s="219"/>
    </row>
    <row r="205" spans="1:17" x14ac:dyDescent="0.35">
      <c r="A205" s="284"/>
      <c r="E205" s="202"/>
      <c r="F205" s="452" t="s">
        <v>1320</v>
      </c>
      <c r="G205" s="202"/>
      <c r="Q205" s="219"/>
    </row>
    <row r="206" spans="1:17" x14ac:dyDescent="0.35">
      <c r="A206" s="284">
        <f>+A199+A200-A203-A204</f>
        <v>17117258.63022</v>
      </c>
      <c r="B206" s="567" t="s">
        <v>1106</v>
      </c>
      <c r="C206" s="567"/>
      <c r="E206" s="202"/>
      <c r="F206" t="s">
        <v>1321</v>
      </c>
      <c r="G206" s="270">
        <v>19119655</v>
      </c>
      <c r="Q206" s="219"/>
    </row>
    <row r="207" spans="1:17" x14ac:dyDescent="0.35">
      <c r="A207" s="221"/>
      <c r="Q207" s="219"/>
    </row>
    <row r="208" spans="1:17" ht="26.5" customHeight="1" thickBot="1" x14ac:dyDescent="0.4">
      <c r="A208" s="568" t="s">
        <v>276</v>
      </c>
      <c r="B208" s="569"/>
      <c r="C208" s="569"/>
      <c r="D208" s="569"/>
      <c r="E208" s="569"/>
      <c r="F208" s="569"/>
      <c r="G208" s="569"/>
      <c r="H208" s="569"/>
      <c r="I208" s="569"/>
      <c r="J208" s="570"/>
      <c r="K208" s="571" t="s">
        <v>960</v>
      </c>
      <c r="L208" s="572"/>
      <c r="M208" s="572"/>
      <c r="N208" s="572"/>
      <c r="O208" s="572"/>
      <c r="P208" s="572"/>
      <c r="Q208" s="573"/>
    </row>
    <row r="209" spans="1:20" ht="26.5" thickBot="1" x14ac:dyDescent="0.4">
      <c r="A209" s="283" t="s">
        <v>1103</v>
      </c>
      <c r="B209" s="232" t="s">
        <v>266</v>
      </c>
      <c r="C209" s="231" t="s">
        <v>615</v>
      </c>
      <c r="D209" s="282" t="s">
        <v>1102</v>
      </c>
      <c r="E209" s="231" t="s">
        <v>988</v>
      </c>
      <c r="F209" s="231" t="s">
        <v>990</v>
      </c>
      <c r="G209" s="231" t="s">
        <v>991</v>
      </c>
      <c r="H209" s="232"/>
      <c r="I209" s="231" t="s">
        <v>989</v>
      </c>
      <c r="J209" s="231" t="s">
        <v>992</v>
      </c>
      <c r="K209" s="73" t="s">
        <v>615</v>
      </c>
      <c r="L209" s="74" t="s">
        <v>618</v>
      </c>
      <c r="M209" s="76" t="s">
        <v>619</v>
      </c>
      <c r="N209" s="76" t="s">
        <v>620</v>
      </c>
      <c r="O209" s="76" t="s">
        <v>621</v>
      </c>
      <c r="P209" s="77" t="s">
        <v>622</v>
      </c>
      <c r="Q209" s="222" t="s">
        <v>623</v>
      </c>
    </row>
    <row r="210" spans="1:20" x14ac:dyDescent="0.35">
      <c r="A210" s="311">
        <f>+B198</f>
        <v>207634</v>
      </c>
      <c r="B210" s="248" t="str">
        <f>+E198</f>
        <v>T092</v>
      </c>
      <c r="C210" s="248">
        <f>+F198</f>
        <v>6764</v>
      </c>
      <c r="D210" s="211">
        <v>208208</v>
      </c>
      <c r="E210" s="236">
        <v>1242100042</v>
      </c>
      <c r="F210" s="8" t="s">
        <v>983</v>
      </c>
      <c r="G210" s="304">
        <f>+G211+G212-G213+G214-G215-G216</f>
        <v>17117258.63022</v>
      </c>
      <c r="H210" t="s">
        <v>984</v>
      </c>
      <c r="I210">
        <v>31</v>
      </c>
      <c r="J210" t="str">
        <f>+CONCATENATE($N$60," RF ",B210," ",C210)</f>
        <v>"04-2026" RF T092 6764</v>
      </c>
      <c r="K210" s="240">
        <f>+VLOOKUP(B210,PRORRATEO!C:K,4,0)</f>
        <v>6764</v>
      </c>
      <c r="L210" s="213">
        <f>+VLOOKUP(B210,PRORRATEO!C:M,6,0)</f>
        <v>14395286</v>
      </c>
      <c r="M210" s="213">
        <f>+VLOOKUP(B210,PRORRATEO!C:M,7,0)</f>
        <v>2735104.34</v>
      </c>
      <c r="N210" s="213">
        <f>+VLOOKUP(B210,PRORRATEO!C:M,8,0)</f>
        <v>235218.97323999996</v>
      </c>
      <c r="O210" s="213">
        <f>+VLOOKUP(B210,PRORRATEO!C:M,9,0)</f>
        <v>2499885.3667600001</v>
      </c>
      <c r="P210" s="193">
        <f>+VLOOKUP(B210,PRORRATEO!C:M,10,0)</f>
        <v>8.5999999999999993E-2</v>
      </c>
      <c r="Q210" s="224">
        <f>+VLOOKUP(B210,PRORRATEO!C:M,11,0)</f>
        <v>0.91400000000000003</v>
      </c>
      <c r="R210" s="212"/>
      <c r="T210" s="212"/>
    </row>
    <row r="211" spans="1:20" x14ac:dyDescent="0.35">
      <c r="A211" s="221"/>
      <c r="D211" s="211">
        <v>1245150017</v>
      </c>
      <c r="E211" s="237">
        <v>1245150017</v>
      </c>
      <c r="F211" s="8" t="s">
        <v>77</v>
      </c>
      <c r="G211" s="268">
        <f>+A199*B212</f>
        <v>14945133</v>
      </c>
      <c r="H211" s="237" t="s">
        <v>97</v>
      </c>
      <c r="I211" s="237">
        <v>40</v>
      </c>
      <c r="J211" t="str">
        <f>+J210</f>
        <v>"04-2026" RF T092 6764</v>
      </c>
      <c r="K211">
        <f>+K210</f>
        <v>6764</v>
      </c>
      <c r="L211" s="16"/>
      <c r="Q211" s="219"/>
    </row>
    <row r="212" spans="1:20" x14ac:dyDescent="0.35">
      <c r="A212" s="221"/>
      <c r="B212" s="247">
        <v>1</v>
      </c>
      <c r="D212" s="211">
        <v>1149120011</v>
      </c>
      <c r="E212" s="237">
        <v>1149120011</v>
      </c>
      <c r="F212" s="8" t="s">
        <v>96</v>
      </c>
      <c r="G212" s="268">
        <f>+P210*G214</f>
        <v>244203.47321999999</v>
      </c>
      <c r="H212" s="237" t="s">
        <v>98</v>
      </c>
      <c r="I212" s="237">
        <v>40</v>
      </c>
      <c r="J212" t="str">
        <f>+J211</f>
        <v>"04-2026" RF T092 6764</v>
      </c>
      <c r="K212">
        <f>+K211</f>
        <v>6764</v>
      </c>
      <c r="L212" s="16"/>
      <c r="Q212" s="219"/>
    </row>
    <row r="213" spans="1:20" ht="15" thickBot="1" x14ac:dyDescent="0.4">
      <c r="A213" s="221"/>
      <c r="D213" s="211">
        <v>1149120011</v>
      </c>
      <c r="E213" s="237">
        <v>1149120011</v>
      </c>
      <c r="F213" s="8" t="s">
        <v>96</v>
      </c>
      <c r="G213" s="268">
        <f>+G212</f>
        <v>244203.47321999999</v>
      </c>
      <c r="H213" s="237" t="s">
        <v>97</v>
      </c>
      <c r="I213" s="237">
        <v>50</v>
      </c>
      <c r="J213" t="str">
        <f>+J212</f>
        <v>"04-2026" RF T092 6764</v>
      </c>
      <c r="K213">
        <f t="shared" ref="K213" si="10">+K212</f>
        <v>6764</v>
      </c>
      <c r="N213" s="397">
        <f>+G211+G214</f>
        <v>17784708.27</v>
      </c>
      <c r="Q213" s="219"/>
    </row>
    <row r="214" spans="1:20" ht="15" thickBot="1" x14ac:dyDescent="0.4">
      <c r="A214" s="221"/>
      <c r="D214" s="211">
        <v>1149120011</v>
      </c>
      <c r="E214" s="236">
        <v>1149120011</v>
      </c>
      <c r="F214" s="8" t="s">
        <v>96</v>
      </c>
      <c r="G214" s="268">
        <f>+A200*B212</f>
        <v>2839575.27</v>
      </c>
      <c r="H214" t="s">
        <v>97</v>
      </c>
      <c r="I214">
        <v>40</v>
      </c>
      <c r="J214" t="str">
        <f>+J213</f>
        <v>"04-2026" RF T092 6764</v>
      </c>
      <c r="L214" s="16"/>
      <c r="Q214" s="219"/>
    </row>
    <row r="215" spans="1:20" ht="15" thickBot="1" x14ac:dyDescent="0.4">
      <c r="A215" s="221"/>
      <c r="D215" s="211">
        <v>1249100024</v>
      </c>
      <c r="E215" s="236">
        <v>1249100024</v>
      </c>
      <c r="F215" s="8" t="s">
        <v>981</v>
      </c>
      <c r="G215" s="268">
        <f>+G211*L215</f>
        <v>144369.98478</v>
      </c>
      <c r="I215">
        <v>50</v>
      </c>
      <c r="J215" t="str">
        <f>+J214</f>
        <v>"04-2026" RF T092 6764</v>
      </c>
      <c r="K215" s="305">
        <v>1</v>
      </c>
      <c r="L215" s="214">
        <v>9.6600000000000002E-3</v>
      </c>
      <c r="Q215" s="219"/>
    </row>
    <row r="216" spans="1:20" x14ac:dyDescent="0.35">
      <c r="A216" s="221"/>
      <c r="D216" s="211">
        <v>1246125027</v>
      </c>
      <c r="E216" s="236">
        <v>1246125027</v>
      </c>
      <c r="F216" s="8" t="s">
        <v>962</v>
      </c>
      <c r="G216" s="268">
        <f>+E203*B212</f>
        <v>523079.65500000003</v>
      </c>
      <c r="I216">
        <v>50</v>
      </c>
      <c r="J216" t="str">
        <f>+J215</f>
        <v>"04-2026" RF T092 6764</v>
      </c>
      <c r="K216" s="243" t="s">
        <v>857</v>
      </c>
      <c r="L216" s="214">
        <v>3.499995796447157E-2</v>
      </c>
      <c r="Q216" s="219"/>
    </row>
    <row r="217" spans="1:20" s="230" customFormat="1" ht="15" thickBot="1" x14ac:dyDescent="0.4"/>
    <row r="218" spans="1:20" ht="34.5" customHeight="1" x14ac:dyDescent="0.45">
      <c r="A218" s="237" t="s">
        <v>995</v>
      </c>
      <c r="B218" s="235">
        <v>207634</v>
      </c>
      <c r="C218" s="574" t="s">
        <v>1143</v>
      </c>
      <c r="D218" s="575"/>
      <c r="E218" s="229" t="s">
        <v>546</v>
      </c>
      <c r="F218" s="229">
        <v>6688</v>
      </c>
      <c r="G218" s="216"/>
      <c r="H218" s="216"/>
      <c r="I218" s="216"/>
      <c r="J218" s="216"/>
      <c r="K218" s="216"/>
      <c r="L218" s="249" t="s">
        <v>1010</v>
      </c>
      <c r="M218" s="216"/>
      <c r="N218" s="216"/>
      <c r="O218" s="216"/>
      <c r="P218" s="216"/>
      <c r="Q218" s="217"/>
    </row>
    <row r="219" spans="1:20" x14ac:dyDescent="0.35">
      <c r="A219" s="234">
        <v>24388284</v>
      </c>
      <c r="B219" s="567" t="s">
        <v>1098</v>
      </c>
      <c r="C219" s="567"/>
      <c r="N219" s="270"/>
      <c r="Q219" s="219"/>
    </row>
    <row r="220" spans="1:20" x14ac:dyDescent="0.35">
      <c r="A220" s="218">
        <f>+A219*0.19</f>
        <v>4633773.96</v>
      </c>
      <c r="B220" s="567" t="s">
        <v>997</v>
      </c>
      <c r="C220" s="567"/>
      <c r="N220" s="267"/>
      <c r="Q220" s="219"/>
    </row>
    <row r="221" spans="1:20" x14ac:dyDescent="0.35">
      <c r="A221" s="220">
        <f>SUM(A219:A220)</f>
        <v>29022057.960000001</v>
      </c>
      <c r="B221" s="567" t="s">
        <v>998</v>
      </c>
      <c r="C221" s="567"/>
      <c r="F221" s="306"/>
      <c r="J221" s="270"/>
      <c r="Q221" s="219"/>
    </row>
    <row r="222" spans="1:20" x14ac:dyDescent="0.35">
      <c r="A222" s="221"/>
      <c r="E222" s="19"/>
      <c r="J222" s="270"/>
      <c r="Q222" s="219"/>
    </row>
    <row r="223" spans="1:20" x14ac:dyDescent="0.35">
      <c r="A223" s="234">
        <f>+G236+G241</f>
        <v>853589.94000000006</v>
      </c>
      <c r="B223" s="567" t="s">
        <v>1104</v>
      </c>
      <c r="C223" s="567"/>
      <c r="D223" s="208">
        <v>3.5000000000000003E-2</v>
      </c>
      <c r="E223" s="202">
        <f>+A219*D223</f>
        <v>853589.94000000006</v>
      </c>
      <c r="F223" s="270"/>
      <c r="J223" s="270"/>
      <c r="Q223" s="219"/>
    </row>
    <row r="224" spans="1:20" x14ac:dyDescent="0.35">
      <c r="A224" s="218">
        <f>+G235+G242</f>
        <v>235590.82344000001</v>
      </c>
      <c r="B224" s="567" t="s">
        <v>1105</v>
      </c>
      <c r="C224" s="567"/>
      <c r="D224" s="201">
        <v>9.7000000000000003E-3</v>
      </c>
      <c r="E224" s="202">
        <f>+A219*D224</f>
        <v>236566.3548</v>
      </c>
      <c r="F224" s="452" t="s">
        <v>1719</v>
      </c>
      <c r="G224" s="270"/>
      <c r="J224" s="270"/>
      <c r="Q224" s="219"/>
    </row>
    <row r="225" spans="1:20" x14ac:dyDescent="0.35">
      <c r="A225" s="284"/>
      <c r="E225" s="202"/>
      <c r="G225" s="202"/>
      <c r="Q225" s="219"/>
    </row>
    <row r="226" spans="1:20" x14ac:dyDescent="0.35">
      <c r="A226" s="284">
        <f>+A219+A220-A223-A224</f>
        <v>27932877.196559999</v>
      </c>
      <c r="B226" s="567" t="s">
        <v>1106</v>
      </c>
      <c r="C226" s="567"/>
      <c r="E226" s="202"/>
      <c r="F226" s="270" t="s">
        <v>1720</v>
      </c>
      <c r="G226" s="202"/>
      <c r="Q226" s="219"/>
    </row>
    <row r="227" spans="1:20" x14ac:dyDescent="0.35">
      <c r="A227" s="221"/>
      <c r="Q227" s="219"/>
    </row>
    <row r="228" spans="1:20" ht="26.5" customHeight="1" thickBot="1" x14ac:dyDescent="0.4">
      <c r="A228" s="568" t="s">
        <v>276</v>
      </c>
      <c r="B228" s="569"/>
      <c r="C228" s="569"/>
      <c r="D228" s="569"/>
      <c r="E228" s="569"/>
      <c r="F228" s="569"/>
      <c r="G228" s="569"/>
      <c r="H228" s="569"/>
      <c r="I228" s="569"/>
      <c r="J228" s="570"/>
      <c r="K228" s="571" t="s">
        <v>960</v>
      </c>
      <c r="L228" s="572"/>
      <c r="M228" s="572"/>
      <c r="N228" s="572"/>
      <c r="O228" s="572"/>
      <c r="P228" s="572"/>
      <c r="Q228" s="573"/>
    </row>
    <row r="229" spans="1:20" ht="26.5" thickBot="1" x14ac:dyDescent="0.4">
      <c r="A229" s="283" t="s">
        <v>1103</v>
      </c>
      <c r="B229" s="232" t="s">
        <v>266</v>
      </c>
      <c r="C229" s="231" t="s">
        <v>615</v>
      </c>
      <c r="D229" s="282" t="s">
        <v>1102</v>
      </c>
      <c r="E229" s="231" t="s">
        <v>988</v>
      </c>
      <c r="F229" s="231" t="s">
        <v>990</v>
      </c>
      <c r="G229" s="231" t="s">
        <v>991</v>
      </c>
      <c r="H229" s="232"/>
      <c r="I229" s="231" t="s">
        <v>989</v>
      </c>
      <c r="J229" s="231" t="s">
        <v>992</v>
      </c>
      <c r="K229" s="73" t="s">
        <v>615</v>
      </c>
      <c r="L229" s="74" t="s">
        <v>618</v>
      </c>
      <c r="M229" s="76" t="s">
        <v>619</v>
      </c>
      <c r="N229" s="76" t="s">
        <v>620</v>
      </c>
      <c r="O229" s="76" t="s">
        <v>621</v>
      </c>
      <c r="P229" s="77" t="s">
        <v>622</v>
      </c>
      <c r="Q229" s="222" t="s">
        <v>623</v>
      </c>
    </row>
    <row r="230" spans="1:20" x14ac:dyDescent="0.35">
      <c r="A230" s="311">
        <f>+B218</f>
        <v>207634</v>
      </c>
      <c r="B230" s="248" t="str">
        <f>+E218</f>
        <v>T066</v>
      </c>
      <c r="C230" s="248">
        <f>+F218</f>
        <v>6688</v>
      </c>
      <c r="D230" s="211">
        <v>208208</v>
      </c>
      <c r="E230" s="236">
        <v>1242100042</v>
      </c>
      <c r="F230" s="8" t="s">
        <v>983</v>
      </c>
      <c r="G230" s="304">
        <f>+G231+G232-G233+G234-G235-G236</f>
        <v>13966438.59828</v>
      </c>
      <c r="H230" t="s">
        <v>984</v>
      </c>
      <c r="I230">
        <v>31</v>
      </c>
      <c r="J230" t="str">
        <f>+CONCATENATE($N$60," RF/50% ",B230," ",C230)</f>
        <v>"04-2026" RF/50% T066 6688</v>
      </c>
      <c r="K230" s="240">
        <f>+VLOOKUP(B230,PRORRATEO!C:K,4,0)</f>
        <v>6688</v>
      </c>
      <c r="L230" s="213">
        <f>+VLOOKUP(B230,PRORRATEO!C:M,6,0)</f>
        <v>21214110</v>
      </c>
      <c r="M230" s="213">
        <f>+VLOOKUP(B230,PRORRATEO!C:M,7,0)</f>
        <v>4030680.9</v>
      </c>
      <c r="N230" s="213">
        <f>+VLOOKUP(B230,PRORRATEO!C:M,8,0)</f>
        <v>460797.17418111756</v>
      </c>
      <c r="O230" s="213">
        <f>+VLOOKUP(B230,PRORRATEO!C:M,9,0)</f>
        <v>3569883.7258188822</v>
      </c>
      <c r="P230" s="193">
        <f>+VLOOKUP(B230,PRORRATEO!C:M,10,0)</f>
        <v>0.11432241490044959</v>
      </c>
      <c r="Q230" s="224">
        <f>+VLOOKUP(B230,PRORRATEO!C:M,11,0)</f>
        <v>0.88567758509955041</v>
      </c>
      <c r="R230" s="212"/>
      <c r="T230" s="212"/>
    </row>
    <row r="231" spans="1:20" x14ac:dyDescent="0.35">
      <c r="A231" s="221"/>
      <c r="D231" s="211">
        <v>1245150017</v>
      </c>
      <c r="E231" s="237">
        <v>1245150017</v>
      </c>
      <c r="F231" s="8" t="s">
        <v>77</v>
      </c>
      <c r="G231" s="268">
        <f>+A219*B232</f>
        <v>12194142</v>
      </c>
      <c r="H231" s="237" t="s">
        <v>97</v>
      </c>
      <c r="I231" s="237">
        <v>40</v>
      </c>
      <c r="J231" t="str">
        <f>+J230</f>
        <v>"04-2026" RF/50% T066 6688</v>
      </c>
      <c r="K231">
        <f>+K230</f>
        <v>6688</v>
      </c>
      <c r="L231" s="16"/>
      <c r="Q231" s="219"/>
    </row>
    <row r="232" spans="1:20" x14ac:dyDescent="0.35">
      <c r="A232" s="221"/>
      <c r="B232" s="247">
        <v>0.5</v>
      </c>
      <c r="D232" s="211">
        <v>1149120011</v>
      </c>
      <c r="E232" s="237">
        <v>1149120011</v>
      </c>
      <c r="F232" s="8" t="s">
        <v>96</v>
      </c>
      <c r="G232" s="268">
        <f>+N230</f>
        <v>460797.17418111756</v>
      </c>
      <c r="H232" s="237" t="s">
        <v>98</v>
      </c>
      <c r="I232" s="237">
        <v>40</v>
      </c>
      <c r="J232" t="str">
        <f>+J231</f>
        <v>"04-2026" RF/50% T066 6688</v>
      </c>
      <c r="K232">
        <f>+K231</f>
        <v>6688</v>
      </c>
      <c r="L232" s="16"/>
      <c r="M232" s="397">
        <f>+G231+G234</f>
        <v>14511028.98</v>
      </c>
      <c r="Q232" s="219"/>
    </row>
    <row r="233" spans="1:20" ht="15" thickBot="1" x14ac:dyDescent="0.4">
      <c r="A233" s="221"/>
      <c r="D233" s="211">
        <v>1149120011</v>
      </c>
      <c r="E233" s="237">
        <v>1149120011</v>
      </c>
      <c r="F233" s="8" t="s">
        <v>96</v>
      </c>
      <c r="G233" s="268">
        <f>+G232</f>
        <v>460797.17418111756</v>
      </c>
      <c r="H233" s="237" t="s">
        <v>97</v>
      </c>
      <c r="I233" s="237">
        <v>50</v>
      </c>
      <c r="J233" t="str">
        <f>+J232</f>
        <v>"04-2026" RF/50% T066 6688</v>
      </c>
      <c r="K233">
        <f t="shared" ref="K233" si="11">+K232</f>
        <v>6688</v>
      </c>
      <c r="Q233" s="219"/>
    </row>
    <row r="234" spans="1:20" ht="15" thickBot="1" x14ac:dyDescent="0.4">
      <c r="A234" s="221"/>
      <c r="D234" s="211">
        <v>1149120011</v>
      </c>
      <c r="E234" s="236">
        <v>1149120011</v>
      </c>
      <c r="F234" s="8" t="s">
        <v>96</v>
      </c>
      <c r="G234" s="268">
        <f>+A220*B232</f>
        <v>2316886.98</v>
      </c>
      <c r="H234" t="s">
        <v>97</v>
      </c>
      <c r="I234">
        <v>40</v>
      </c>
      <c r="J234" t="str">
        <f>+J233</f>
        <v>"04-2026" RF/50% T066 6688</v>
      </c>
      <c r="L234" s="16"/>
      <c r="Q234" s="219"/>
    </row>
    <row r="235" spans="1:20" ht="15" thickBot="1" x14ac:dyDescent="0.4">
      <c r="A235" s="221"/>
      <c r="D235" s="211">
        <v>1249100024</v>
      </c>
      <c r="E235" s="236">
        <v>1249100024</v>
      </c>
      <c r="F235" s="8" t="s">
        <v>981</v>
      </c>
      <c r="G235" s="268">
        <f>+G231*L235</f>
        <v>117795.41172</v>
      </c>
      <c r="I235">
        <v>50</v>
      </c>
      <c r="J235" t="str">
        <f>+J234</f>
        <v>"04-2026" RF/50% T066 6688</v>
      </c>
      <c r="K235" s="305">
        <v>1</v>
      </c>
      <c r="L235" s="214">
        <v>9.6600000000000002E-3</v>
      </c>
      <c r="Q235" s="219"/>
    </row>
    <row r="236" spans="1:20" x14ac:dyDescent="0.35">
      <c r="A236" s="221"/>
      <c r="D236" s="211">
        <v>1246125027</v>
      </c>
      <c r="E236" s="236">
        <v>1246125027</v>
      </c>
      <c r="F236" s="8" t="s">
        <v>962</v>
      </c>
      <c r="G236" s="268">
        <f>+E223*B232</f>
        <v>426794.97000000003</v>
      </c>
      <c r="I236">
        <v>50</v>
      </c>
      <c r="J236" t="str">
        <f>+J235</f>
        <v>"04-2026" RF/50% T066 6688</v>
      </c>
      <c r="K236" s="243" t="s">
        <v>857</v>
      </c>
      <c r="L236" s="214">
        <v>3.499995796447157E-2</v>
      </c>
      <c r="Q236" s="219"/>
    </row>
    <row r="237" spans="1:20" s="245" customFormat="1" ht="15" thickBot="1" x14ac:dyDescent="0.4">
      <c r="A237" s="244"/>
      <c r="Q237" s="246"/>
    </row>
    <row r="238" spans="1:20" x14ac:dyDescent="0.35">
      <c r="A238" s="311">
        <f>+A230</f>
        <v>207634</v>
      </c>
      <c r="B238" s="248" t="str">
        <f>+B230</f>
        <v>T066</v>
      </c>
      <c r="C238" s="248">
        <f>+C230</f>
        <v>6688</v>
      </c>
      <c r="D238" s="211">
        <v>208210</v>
      </c>
      <c r="E238" s="236">
        <v>1242100042</v>
      </c>
      <c r="F238" s="8" t="s">
        <v>983</v>
      </c>
      <c r="G238" s="16">
        <f>+G239+G240-G241-G242</f>
        <v>13966438.59828</v>
      </c>
      <c r="H238" t="s">
        <v>97</v>
      </c>
      <c r="I238">
        <v>31</v>
      </c>
      <c r="J238" t="str">
        <f>+CONCATENATE($N$60," RF/50% ",B238," ",C238)</f>
        <v>"04-2026" RF/50% T066 6688</v>
      </c>
      <c r="K238">
        <f>+K231</f>
        <v>6688</v>
      </c>
      <c r="Q238" s="219"/>
    </row>
    <row r="239" spans="1:20" ht="15" thickBot="1" x14ac:dyDescent="0.4">
      <c r="A239" s="221"/>
      <c r="D239" s="211">
        <v>1245150017</v>
      </c>
      <c r="E239" s="237">
        <v>1245150017</v>
      </c>
      <c r="F239" s="8" t="s">
        <v>77</v>
      </c>
      <c r="G239" s="228">
        <f>+A219*B240</f>
        <v>12194142</v>
      </c>
      <c r="H239" s="237" t="s">
        <v>97</v>
      </c>
      <c r="I239" s="237">
        <v>40</v>
      </c>
      <c r="J239" t="str">
        <f>+J238</f>
        <v>"04-2026" RF/50% T066 6688</v>
      </c>
      <c r="K239">
        <f>+K238</f>
        <v>6688</v>
      </c>
      <c r="M239" s="16">
        <f>+G239+G240</f>
        <v>14511028.98</v>
      </c>
      <c r="Q239" s="219"/>
    </row>
    <row r="240" spans="1:20" ht="15" thickBot="1" x14ac:dyDescent="0.4">
      <c r="A240" s="307"/>
      <c r="B240" s="247">
        <f>1-B232</f>
        <v>0.5</v>
      </c>
      <c r="D240" s="211">
        <v>1149120011</v>
      </c>
      <c r="E240" s="236">
        <v>1149120011</v>
      </c>
      <c r="F240" s="8" t="s">
        <v>96</v>
      </c>
      <c r="G240" s="16">
        <f>+A220*B240</f>
        <v>2316886.98</v>
      </c>
      <c r="H240" t="s">
        <v>97</v>
      </c>
      <c r="I240">
        <v>40</v>
      </c>
      <c r="J240" t="str">
        <f>+J239</f>
        <v>"04-2026" RF/50% T066 6688</v>
      </c>
      <c r="K240">
        <f>+K239</f>
        <v>6688</v>
      </c>
      <c r="Q240" s="219"/>
    </row>
    <row r="241" spans="1:17" ht="17" thickBot="1" x14ac:dyDescent="0.4">
      <c r="A241" s="310">
        <f>+G230+G238</f>
        <v>27932877.196559999</v>
      </c>
      <c r="B241" s="238">
        <f>+B232+B240</f>
        <v>1</v>
      </c>
      <c r="D241" s="211">
        <v>1246125027</v>
      </c>
      <c r="E241" s="236">
        <v>1246125027</v>
      </c>
      <c r="F241" s="8" t="s">
        <v>962</v>
      </c>
      <c r="G241" s="268">
        <f>+E223*B240</f>
        <v>426794.97000000003</v>
      </c>
      <c r="I241">
        <v>50</v>
      </c>
      <c r="J241" t="str">
        <f>+J240</f>
        <v>"04-2026" RF/50% T066 6688</v>
      </c>
      <c r="K241" s="243" t="s">
        <v>857</v>
      </c>
      <c r="L241" s="214">
        <v>3.499995796447157E-2</v>
      </c>
      <c r="Q241" s="219"/>
    </row>
    <row r="242" spans="1:17" ht="16.5" x14ac:dyDescent="0.35">
      <c r="A242" s="308"/>
      <c r="B242" s="309"/>
      <c r="D242" s="211">
        <v>1249100024</v>
      </c>
      <c r="E242" s="236">
        <v>1249100024</v>
      </c>
      <c r="F242" s="8" t="s">
        <v>981</v>
      </c>
      <c r="G242" s="268">
        <f>+G239*L242</f>
        <v>117795.41172</v>
      </c>
      <c r="I242">
        <v>50</v>
      </c>
      <c r="J242" t="str">
        <f>+J241</f>
        <v>"04-2026" RF/50% T066 6688</v>
      </c>
      <c r="K242" s="305">
        <v>1</v>
      </c>
      <c r="L242" s="214">
        <v>9.6600000000000002E-3</v>
      </c>
      <c r="Q242" s="219"/>
    </row>
    <row r="243" spans="1:17" ht="15" thickBot="1" x14ac:dyDescent="0.4">
      <c r="A243" s="225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26"/>
      <c r="M243" s="226"/>
      <c r="N243" s="226"/>
      <c r="O243" s="226"/>
      <c r="P243" s="226"/>
      <c r="Q243" s="227"/>
    </row>
    <row r="244" spans="1:17" s="230" customFormat="1" x14ac:dyDescent="0.35"/>
    <row r="245" spans="1:17" s="230" customFormat="1" ht="15" thickBot="1" x14ac:dyDescent="0.4">
      <c r="A245" s="285"/>
      <c r="B245" s="286"/>
      <c r="C245" s="286"/>
      <c r="D245" s="286"/>
      <c r="E245" s="286"/>
      <c r="F245" s="286"/>
      <c r="G245" s="286"/>
      <c r="H245" s="286"/>
      <c r="I245" s="286"/>
      <c r="J245" s="286"/>
      <c r="K245" s="286"/>
      <c r="L245" s="286"/>
      <c r="M245" s="286"/>
      <c r="N245" s="286"/>
      <c r="O245" s="286"/>
      <c r="P245" s="286"/>
      <c r="Q245" s="287"/>
    </row>
    <row r="246" spans="1:17" ht="34.5" customHeight="1" x14ac:dyDescent="0.45">
      <c r="A246" s="237" t="s">
        <v>995</v>
      </c>
      <c r="B246" s="235">
        <v>207634</v>
      </c>
      <c r="C246" s="574" t="s">
        <v>1143</v>
      </c>
      <c r="D246" s="575"/>
      <c r="E246" s="229" t="s">
        <v>587</v>
      </c>
      <c r="F246" s="229">
        <v>6766</v>
      </c>
      <c r="G246" s="216"/>
      <c r="H246" s="216"/>
      <c r="I246" s="216"/>
      <c r="J246" s="216"/>
      <c r="K246" s="216"/>
      <c r="L246" s="249" t="s">
        <v>1010</v>
      </c>
      <c r="M246" s="216"/>
      <c r="N246" s="216"/>
      <c r="O246" s="216"/>
      <c r="P246" s="216"/>
      <c r="Q246" s="217"/>
    </row>
    <row r="247" spans="1:17" x14ac:dyDescent="0.35">
      <c r="A247" s="234">
        <v>20644033</v>
      </c>
      <c r="B247" s="567" t="s">
        <v>1098</v>
      </c>
      <c r="C247" s="567"/>
      <c r="N247" s="270"/>
      <c r="Q247" s="219"/>
    </row>
    <row r="248" spans="1:17" x14ac:dyDescent="0.35">
      <c r="A248" s="218">
        <f>+A247*0.19</f>
        <v>3922366.27</v>
      </c>
      <c r="B248" s="567" t="s">
        <v>997</v>
      </c>
      <c r="C248" s="567"/>
      <c r="N248" s="267"/>
      <c r="Q248" s="219"/>
    </row>
    <row r="249" spans="1:17" x14ac:dyDescent="0.35">
      <c r="A249" s="220">
        <f>SUM(A247:A248)</f>
        <v>24566399.27</v>
      </c>
      <c r="B249" s="567" t="s">
        <v>998</v>
      </c>
      <c r="C249" s="567"/>
      <c r="E249" s="12"/>
      <c r="F249" s="306"/>
      <c r="J249" s="270"/>
      <c r="Q249" s="219"/>
    </row>
    <row r="250" spans="1:17" x14ac:dyDescent="0.35">
      <c r="A250" s="221"/>
      <c r="E250" s="19"/>
      <c r="J250" s="270"/>
      <c r="Q250" s="219"/>
    </row>
    <row r="251" spans="1:17" x14ac:dyDescent="0.35">
      <c r="A251" s="234">
        <f>+G264+G269</f>
        <v>722541.15500000003</v>
      </c>
      <c r="B251" s="567" t="s">
        <v>1104</v>
      </c>
      <c r="C251" s="567"/>
      <c r="D251" s="208">
        <v>3.5000000000000003E-2</v>
      </c>
      <c r="E251" s="202">
        <f>+A247*D251</f>
        <v>722541.15500000003</v>
      </c>
      <c r="F251" s="270"/>
      <c r="J251" s="270"/>
      <c r="Q251" s="219"/>
    </row>
    <row r="252" spans="1:17" x14ac:dyDescent="0.35">
      <c r="A252" s="218">
        <f>+G263+G270</f>
        <v>199421.35878000001</v>
      </c>
      <c r="B252" s="567" t="s">
        <v>1105</v>
      </c>
      <c r="C252" s="567"/>
      <c r="D252" s="201">
        <v>9.7000000000000003E-3</v>
      </c>
      <c r="E252" s="202">
        <f>+A247*D252</f>
        <v>200247.1201</v>
      </c>
      <c r="F252" s="452" t="s">
        <v>1733</v>
      </c>
      <c r="G252" s="270"/>
      <c r="J252" s="270"/>
      <c r="Q252" s="219"/>
    </row>
    <row r="253" spans="1:17" x14ac:dyDescent="0.35">
      <c r="A253" s="284"/>
      <c r="E253" s="202"/>
      <c r="G253" s="202"/>
      <c r="Q253" s="219"/>
    </row>
    <row r="254" spans="1:17" x14ac:dyDescent="0.35">
      <c r="A254" s="284">
        <f>+A247+A248-A251-A252</f>
        <v>23644436.756219998</v>
      </c>
      <c r="B254" s="567" t="s">
        <v>1106</v>
      </c>
      <c r="C254" s="567"/>
      <c r="E254" s="202"/>
      <c r="F254" s="270" t="s">
        <v>1734</v>
      </c>
      <c r="G254" s="202"/>
      <c r="Q254" s="219"/>
    </row>
    <row r="255" spans="1:17" x14ac:dyDescent="0.35">
      <c r="A255" s="221"/>
      <c r="Q255" s="219"/>
    </row>
    <row r="256" spans="1:17" ht="26.5" customHeight="1" thickBot="1" x14ac:dyDescent="0.4">
      <c r="A256" s="568" t="s">
        <v>276</v>
      </c>
      <c r="B256" s="569"/>
      <c r="C256" s="569"/>
      <c r="D256" s="569"/>
      <c r="E256" s="569"/>
      <c r="F256" s="569"/>
      <c r="G256" s="569"/>
      <c r="H256" s="569"/>
      <c r="I256" s="569"/>
      <c r="J256" s="570"/>
      <c r="K256" s="571" t="s">
        <v>960</v>
      </c>
      <c r="L256" s="572"/>
      <c r="M256" s="572"/>
      <c r="N256" s="572"/>
      <c r="O256" s="572"/>
      <c r="P256" s="572"/>
      <c r="Q256" s="573"/>
    </row>
    <row r="257" spans="1:20" ht="26.5" thickBot="1" x14ac:dyDescent="0.4">
      <c r="A257" s="283" t="s">
        <v>1103</v>
      </c>
      <c r="B257" s="232" t="s">
        <v>266</v>
      </c>
      <c r="C257" s="231" t="s">
        <v>615</v>
      </c>
      <c r="D257" s="282" t="s">
        <v>1102</v>
      </c>
      <c r="E257" s="231" t="s">
        <v>988</v>
      </c>
      <c r="F257" s="231" t="s">
        <v>990</v>
      </c>
      <c r="G257" s="231" t="s">
        <v>991</v>
      </c>
      <c r="H257" s="232"/>
      <c r="I257" s="231" t="s">
        <v>989</v>
      </c>
      <c r="J257" s="231" t="s">
        <v>992</v>
      </c>
      <c r="K257" s="73" t="s">
        <v>615</v>
      </c>
      <c r="L257" s="74" t="s">
        <v>618</v>
      </c>
      <c r="M257" s="76" t="s">
        <v>619</v>
      </c>
      <c r="N257" s="76" t="s">
        <v>620</v>
      </c>
      <c r="O257" s="76" t="s">
        <v>621</v>
      </c>
      <c r="P257" s="77" t="s">
        <v>622</v>
      </c>
      <c r="Q257" s="222" t="s">
        <v>623</v>
      </c>
    </row>
    <row r="258" spans="1:20" x14ac:dyDescent="0.35">
      <c r="A258" s="311">
        <f>+B246</f>
        <v>207634</v>
      </c>
      <c r="B258" s="248" t="str">
        <f>+E246</f>
        <v>T087</v>
      </c>
      <c r="C258" s="248">
        <f>+F246</f>
        <v>6766</v>
      </c>
      <c r="D258" s="211">
        <v>208208</v>
      </c>
      <c r="E258" s="236">
        <v>1242100042</v>
      </c>
      <c r="F258" s="8" t="s">
        <v>983</v>
      </c>
      <c r="G258" s="304">
        <f>+G259+G260-G261+G262-G263-G264</f>
        <v>11822218.378109999</v>
      </c>
      <c r="H258" t="s">
        <v>984</v>
      </c>
      <c r="I258">
        <v>31</v>
      </c>
      <c r="J258" t="str">
        <f>+CONCATENATE($N$60," RF/50% ",B258," ",C258)</f>
        <v>"04-2026" RF/50% T087 6766</v>
      </c>
      <c r="K258" s="240">
        <f>+VLOOKUP(B258,PRORRATEO!C:K,4,0)</f>
        <v>6759</v>
      </c>
      <c r="L258" s="213">
        <f>+VLOOKUP(B258,PRORRATEO!C:M,6,0)</f>
        <v>16280378</v>
      </c>
      <c r="M258" s="213">
        <f>+VLOOKUP(B258,PRORRATEO!C:M,7,0)</f>
        <v>3093271.82</v>
      </c>
      <c r="N258" s="213">
        <f>+VLOOKUP(B258,PRORRATEO!C:M,8,0)</f>
        <v>191782.85283999998</v>
      </c>
      <c r="O258" s="213">
        <f>+VLOOKUP(B258,PRORRATEO!C:M,9,0)</f>
        <v>2901488.9671599995</v>
      </c>
      <c r="P258" s="193">
        <f>+VLOOKUP(B258,PRORRATEO!C:M,10,0)</f>
        <v>6.2E-2</v>
      </c>
      <c r="Q258" s="224">
        <f>+VLOOKUP(B258,PRORRATEO!C:M,11,0)</f>
        <v>0.93799999999999994</v>
      </c>
      <c r="R258" s="212"/>
      <c r="T258" s="212"/>
    </row>
    <row r="259" spans="1:20" x14ac:dyDescent="0.35">
      <c r="A259" s="221"/>
      <c r="D259" s="211">
        <v>1245150017</v>
      </c>
      <c r="E259" s="237">
        <v>1245150017</v>
      </c>
      <c r="F259" s="8" t="s">
        <v>77</v>
      </c>
      <c r="G259" s="268">
        <f>+A247*B260</f>
        <v>10322016.5</v>
      </c>
      <c r="H259" s="237" t="s">
        <v>97</v>
      </c>
      <c r="I259" s="237">
        <v>40</v>
      </c>
      <c r="J259" t="str">
        <f>+J258</f>
        <v>"04-2026" RF/50% T087 6766</v>
      </c>
      <c r="K259">
        <f>+K258</f>
        <v>6759</v>
      </c>
      <c r="L259" s="16"/>
      <c r="Q259" s="219"/>
    </row>
    <row r="260" spans="1:20" x14ac:dyDescent="0.35">
      <c r="A260" s="221"/>
      <c r="B260" s="247">
        <v>0.5</v>
      </c>
      <c r="D260" s="211">
        <v>1149120011</v>
      </c>
      <c r="E260" s="237">
        <v>1149120011</v>
      </c>
      <c r="F260" s="8" t="s">
        <v>96</v>
      </c>
      <c r="G260" s="268">
        <f>+N258</f>
        <v>191782.85283999998</v>
      </c>
      <c r="H260" s="237" t="s">
        <v>98</v>
      </c>
      <c r="I260" s="237">
        <v>40</v>
      </c>
      <c r="J260" t="str">
        <f>+J259</f>
        <v>"04-2026" RF/50% T087 6766</v>
      </c>
      <c r="K260">
        <f>+K259</f>
        <v>6759</v>
      </c>
      <c r="L260" s="16"/>
      <c r="M260" s="397">
        <f>+G259+G262</f>
        <v>12283199.635</v>
      </c>
      <c r="Q260" s="219"/>
    </row>
    <row r="261" spans="1:20" ht="15" thickBot="1" x14ac:dyDescent="0.4">
      <c r="A261" s="221"/>
      <c r="D261" s="211">
        <v>1149120011</v>
      </c>
      <c r="E261" s="237">
        <v>1149120011</v>
      </c>
      <c r="F261" s="8" t="s">
        <v>96</v>
      </c>
      <c r="G261" s="268">
        <f>+G260</f>
        <v>191782.85283999998</v>
      </c>
      <c r="H261" s="237" t="s">
        <v>97</v>
      </c>
      <c r="I261" s="237">
        <v>50</v>
      </c>
      <c r="J261" t="str">
        <f>+J260</f>
        <v>"04-2026" RF/50% T087 6766</v>
      </c>
      <c r="K261">
        <f t="shared" ref="K261" si="12">+K260</f>
        <v>6759</v>
      </c>
      <c r="Q261" s="219"/>
    </row>
    <row r="262" spans="1:20" ht="15" thickBot="1" x14ac:dyDescent="0.4">
      <c r="A262" s="221"/>
      <c r="D262" s="211">
        <v>1149120011</v>
      </c>
      <c r="E262" s="236">
        <v>1149120011</v>
      </c>
      <c r="F262" s="8" t="s">
        <v>96</v>
      </c>
      <c r="G262" s="268">
        <f>+A248*B260</f>
        <v>1961183.135</v>
      </c>
      <c r="H262" t="s">
        <v>97</v>
      </c>
      <c r="I262">
        <v>40</v>
      </c>
      <c r="J262" t="str">
        <f>+J261</f>
        <v>"04-2026" RF/50% T087 6766</v>
      </c>
      <c r="L262" s="16"/>
      <c r="Q262" s="219"/>
    </row>
    <row r="263" spans="1:20" ht="15" thickBot="1" x14ac:dyDescent="0.4">
      <c r="A263" s="221"/>
      <c r="D263" s="211">
        <v>1249100024</v>
      </c>
      <c r="E263" s="236">
        <v>1249100024</v>
      </c>
      <c r="F263" s="8" t="s">
        <v>981</v>
      </c>
      <c r="G263" s="268">
        <f>+G259*L263</f>
        <v>99710.679390000005</v>
      </c>
      <c r="I263">
        <v>50</v>
      </c>
      <c r="J263" t="str">
        <f>+J262</f>
        <v>"04-2026" RF/50% T087 6766</v>
      </c>
      <c r="K263" s="305">
        <v>1</v>
      </c>
      <c r="L263" s="214">
        <v>9.6600000000000002E-3</v>
      </c>
      <c r="Q263" s="219"/>
    </row>
    <row r="264" spans="1:20" x14ac:dyDescent="0.35">
      <c r="A264" s="221"/>
      <c r="D264" s="211">
        <v>1246125027</v>
      </c>
      <c r="E264" s="236">
        <v>1246125027</v>
      </c>
      <c r="F264" s="8" t="s">
        <v>962</v>
      </c>
      <c r="G264" s="268">
        <f>+E251*B260</f>
        <v>361270.57750000001</v>
      </c>
      <c r="I264">
        <v>50</v>
      </c>
      <c r="J264" t="str">
        <f>+J263</f>
        <v>"04-2026" RF/50% T087 6766</v>
      </c>
      <c r="K264" s="243" t="s">
        <v>857</v>
      </c>
      <c r="L264" s="214">
        <v>3.499995796447157E-2</v>
      </c>
      <c r="Q264" s="219"/>
    </row>
    <row r="265" spans="1:20" s="245" customFormat="1" ht="15" thickBot="1" x14ac:dyDescent="0.4">
      <c r="A265" s="244"/>
      <c r="Q265" s="246"/>
    </row>
    <row r="266" spans="1:20" x14ac:dyDescent="0.35">
      <c r="A266" s="311">
        <f>+A258</f>
        <v>207634</v>
      </c>
      <c r="B266" s="248" t="str">
        <f>+B258</f>
        <v>T087</v>
      </c>
      <c r="C266" s="248">
        <f>+C258</f>
        <v>6766</v>
      </c>
      <c r="D266" s="211">
        <v>208210</v>
      </c>
      <c r="E266" s="236">
        <v>1242100042</v>
      </c>
      <c r="F266" s="8" t="s">
        <v>983</v>
      </c>
      <c r="G266" s="16">
        <f>+G267+G268-G269-G270</f>
        <v>11822218.378109999</v>
      </c>
      <c r="H266" t="s">
        <v>97</v>
      </c>
      <c r="I266">
        <v>31</v>
      </c>
      <c r="J266" t="str">
        <f>+CONCATENATE($N$60," RF/50% ",B266," ",C266)</f>
        <v>"04-2026" RF/50% T087 6766</v>
      </c>
      <c r="K266">
        <f>+K259</f>
        <v>6759</v>
      </c>
      <c r="Q266" s="219"/>
    </row>
    <row r="267" spans="1:20" ht="15" thickBot="1" x14ac:dyDescent="0.4">
      <c r="A267" s="221"/>
      <c r="D267" s="211">
        <v>1245150017</v>
      </c>
      <c r="E267" s="237">
        <v>1245150017</v>
      </c>
      <c r="F267" s="8" t="s">
        <v>77</v>
      </c>
      <c r="G267" s="228">
        <f>+A247*B268</f>
        <v>10322016.5</v>
      </c>
      <c r="H267" s="237" t="s">
        <v>97</v>
      </c>
      <c r="I267" s="237">
        <v>40</v>
      </c>
      <c r="J267" t="str">
        <f>+J266</f>
        <v>"04-2026" RF/50% T087 6766</v>
      </c>
      <c r="K267">
        <f>+K266</f>
        <v>6759</v>
      </c>
      <c r="M267" s="16">
        <f>+G267+G268</f>
        <v>12283199.635</v>
      </c>
      <c r="Q267" s="219"/>
    </row>
    <row r="268" spans="1:20" ht="15" thickBot="1" x14ac:dyDescent="0.4">
      <c r="A268" s="307"/>
      <c r="B268" s="247">
        <f>1-B260</f>
        <v>0.5</v>
      </c>
      <c r="D268" s="211">
        <v>1149120011</v>
      </c>
      <c r="E268" s="236">
        <v>1149120011</v>
      </c>
      <c r="F268" s="8" t="s">
        <v>96</v>
      </c>
      <c r="G268" s="16">
        <f>+A248*B268</f>
        <v>1961183.135</v>
      </c>
      <c r="H268" t="s">
        <v>97</v>
      </c>
      <c r="I268">
        <v>40</v>
      </c>
      <c r="J268" t="str">
        <f>+J267</f>
        <v>"04-2026" RF/50% T087 6766</v>
      </c>
      <c r="K268">
        <f>+K267</f>
        <v>6759</v>
      </c>
      <c r="Q268" s="219"/>
    </row>
    <row r="269" spans="1:20" ht="17" thickBot="1" x14ac:dyDescent="0.4">
      <c r="A269" s="310">
        <f>+G258+G266</f>
        <v>23644436.756219998</v>
      </c>
      <c r="B269" s="238">
        <f>+B260+B268</f>
        <v>1</v>
      </c>
      <c r="D269" s="211">
        <v>1246125027</v>
      </c>
      <c r="E269" s="236">
        <v>1246125027</v>
      </c>
      <c r="F269" s="8" t="s">
        <v>962</v>
      </c>
      <c r="G269" s="268">
        <f>+E251*B268</f>
        <v>361270.57750000001</v>
      </c>
      <c r="I269">
        <v>50</v>
      </c>
      <c r="J269" t="str">
        <f>+J268</f>
        <v>"04-2026" RF/50% T087 6766</v>
      </c>
      <c r="K269" s="243" t="s">
        <v>857</v>
      </c>
      <c r="L269" s="214">
        <v>3.499995796447157E-2</v>
      </c>
      <c r="Q269" s="219"/>
    </row>
    <row r="270" spans="1:20" ht="16.5" x14ac:dyDescent="0.35">
      <c r="A270" s="308"/>
      <c r="B270" s="309"/>
      <c r="D270" s="211">
        <v>1249100024</v>
      </c>
      <c r="E270" s="236">
        <v>1249100024</v>
      </c>
      <c r="F270" s="8" t="s">
        <v>981</v>
      </c>
      <c r="G270" s="268">
        <f>+G267*L270</f>
        <v>99710.679390000005</v>
      </c>
      <c r="I270">
        <v>50</v>
      </c>
      <c r="J270" t="str">
        <f>+J269</f>
        <v>"04-2026" RF/50% T087 6766</v>
      </c>
      <c r="K270" s="305">
        <v>1</v>
      </c>
      <c r="L270" s="214">
        <v>9.6600000000000002E-3</v>
      </c>
      <c r="Q270" s="219"/>
    </row>
    <row r="271" spans="1:20" ht="15" thickBot="1" x14ac:dyDescent="0.4">
      <c r="A271" s="225"/>
      <c r="B271" s="226"/>
      <c r="C271" s="226"/>
      <c r="D271" s="226"/>
      <c r="E271" s="226"/>
      <c r="F271" s="226"/>
      <c r="G271" s="226"/>
      <c r="H271" s="226"/>
      <c r="I271" s="226"/>
      <c r="J271" s="226"/>
      <c r="K271" s="226"/>
      <c r="L271" s="226"/>
      <c r="M271" s="226"/>
      <c r="N271" s="226"/>
      <c r="O271" s="226"/>
      <c r="P271" s="226"/>
      <c r="Q271" s="227"/>
    </row>
    <row r="273" spans="3:4" ht="15" thickBot="1" x14ac:dyDescent="0.4"/>
    <row r="274" spans="3:4" x14ac:dyDescent="0.35">
      <c r="D274" s="282" t="s">
        <v>1102</v>
      </c>
    </row>
    <row r="275" spans="3:4" x14ac:dyDescent="0.35">
      <c r="C275" s="247">
        <v>0.5</v>
      </c>
      <c r="D275" s="211">
        <v>208208</v>
      </c>
    </row>
    <row r="276" spans="3:4" x14ac:dyDescent="0.35">
      <c r="C276" s="247">
        <v>0.5</v>
      </c>
      <c r="D276" s="211">
        <v>208210</v>
      </c>
    </row>
  </sheetData>
  <mergeCells count="99">
    <mergeCell ref="B252:C252"/>
    <mergeCell ref="B254:C254"/>
    <mergeCell ref="A256:J256"/>
    <mergeCell ref="K256:Q256"/>
    <mergeCell ref="C246:D246"/>
    <mergeCell ref="B247:C247"/>
    <mergeCell ref="B248:C248"/>
    <mergeCell ref="B249:C249"/>
    <mergeCell ref="B251:C251"/>
    <mergeCell ref="B224:C224"/>
    <mergeCell ref="B226:C226"/>
    <mergeCell ref="A228:J228"/>
    <mergeCell ref="K228:Q228"/>
    <mergeCell ref="C218:D218"/>
    <mergeCell ref="B219:C219"/>
    <mergeCell ref="B220:C220"/>
    <mergeCell ref="B221:C221"/>
    <mergeCell ref="B223:C223"/>
    <mergeCell ref="K208:Q208"/>
    <mergeCell ref="B201:C201"/>
    <mergeCell ref="B203:C203"/>
    <mergeCell ref="B204:C204"/>
    <mergeCell ref="B206:C206"/>
    <mergeCell ref="A208:J208"/>
    <mergeCell ref="A187:J187"/>
    <mergeCell ref="K187:Q187"/>
    <mergeCell ref="C198:D198"/>
    <mergeCell ref="B199:C199"/>
    <mergeCell ref="B200:C200"/>
    <mergeCell ref="B179:C179"/>
    <mergeCell ref="B180:C180"/>
    <mergeCell ref="B182:C182"/>
    <mergeCell ref="B183:C183"/>
    <mergeCell ref="B185:C185"/>
    <mergeCell ref="B164:C164"/>
    <mergeCell ref="A166:J166"/>
    <mergeCell ref="K166:Q166"/>
    <mergeCell ref="C177:D177"/>
    <mergeCell ref="B178:C178"/>
    <mergeCell ref="B157:C157"/>
    <mergeCell ref="B158:C158"/>
    <mergeCell ref="B159:C159"/>
    <mergeCell ref="B161:C161"/>
    <mergeCell ref="B162:C162"/>
    <mergeCell ref="B141:C141"/>
    <mergeCell ref="B143:C143"/>
    <mergeCell ref="A145:J145"/>
    <mergeCell ref="K145:Q145"/>
    <mergeCell ref="C156:D156"/>
    <mergeCell ref="C135:D135"/>
    <mergeCell ref="B136:C136"/>
    <mergeCell ref="B137:C137"/>
    <mergeCell ref="B138:C138"/>
    <mergeCell ref="B140:C140"/>
    <mergeCell ref="B113:C113"/>
    <mergeCell ref="B115:C115"/>
    <mergeCell ref="A117:J117"/>
    <mergeCell ref="K117:Q117"/>
    <mergeCell ref="C107:D107"/>
    <mergeCell ref="B108:C108"/>
    <mergeCell ref="B109:C109"/>
    <mergeCell ref="B110:C110"/>
    <mergeCell ref="B112:C112"/>
    <mergeCell ref="B3:C3"/>
    <mergeCell ref="K15:Q15"/>
    <mergeCell ref="A15:J15"/>
    <mergeCell ref="C5:D5"/>
    <mergeCell ref="B6:C6"/>
    <mergeCell ref="B7:C7"/>
    <mergeCell ref="B8:C8"/>
    <mergeCell ref="B10:C10"/>
    <mergeCell ref="B11:C11"/>
    <mergeCell ref="B13:C13"/>
    <mergeCell ref="B36:C36"/>
    <mergeCell ref="B80:C80"/>
    <mergeCell ref="B81:C81"/>
    <mergeCell ref="C78:D78"/>
    <mergeCell ref="B79:C79"/>
    <mergeCell ref="A68:J68"/>
    <mergeCell ref="C60:D60"/>
    <mergeCell ref="B61:C61"/>
    <mergeCell ref="B62:C62"/>
    <mergeCell ref="B63:C63"/>
    <mergeCell ref="B65:C65"/>
    <mergeCell ref="B66:C66"/>
    <mergeCell ref="B32:C32"/>
    <mergeCell ref="C30:D30"/>
    <mergeCell ref="B31:C31"/>
    <mergeCell ref="B33:C33"/>
    <mergeCell ref="B34:C34"/>
    <mergeCell ref="B83:C83"/>
    <mergeCell ref="B84:C84"/>
    <mergeCell ref="A86:J86"/>
    <mergeCell ref="K86:Q86"/>
    <mergeCell ref="B37:C37"/>
    <mergeCell ref="B39:C39"/>
    <mergeCell ref="A41:J41"/>
    <mergeCell ref="K41:Q41"/>
    <mergeCell ref="K68:Q68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B9B0E-E286-4243-BBD8-57B0A7A5671E}">
  <sheetPr codeName="Hoja9"/>
  <dimension ref="A1:CX1048567"/>
  <sheetViews>
    <sheetView topLeftCell="C1" zoomScale="130" zoomScaleNormal="130" workbookViewId="0">
      <selection activeCell="C1" sqref="C1:H27"/>
    </sheetView>
  </sheetViews>
  <sheetFormatPr baseColWidth="10" defaultColWidth="11.453125" defaultRowHeight="14.5" x14ac:dyDescent="0.35"/>
  <cols>
    <col min="1" max="1" width="15.7265625" customWidth="1"/>
    <col min="2" max="2" width="19.1796875" bestFit="1" customWidth="1"/>
    <col min="3" max="3" width="37.81640625" customWidth="1"/>
    <col min="4" max="4" width="17.453125" customWidth="1"/>
    <col min="5" max="5" width="11.453125" customWidth="1"/>
    <col min="6" max="6" width="41.54296875" customWidth="1"/>
    <col min="8" max="8" width="15.1796875" customWidth="1"/>
    <col min="9" max="9" width="14.26953125" customWidth="1"/>
    <col min="10" max="10" width="24.54296875" customWidth="1"/>
    <col min="11" max="11" width="22.54296875" customWidth="1"/>
    <col min="12" max="12" width="18.1796875" customWidth="1"/>
    <col min="13" max="13" width="11.81640625" customWidth="1"/>
    <col min="14" max="15" width="12.26953125" customWidth="1"/>
    <col min="16" max="16" width="17.26953125" customWidth="1"/>
    <col min="17" max="17" width="18.1796875" customWidth="1"/>
    <col min="19" max="19" width="12.26953125" customWidth="1"/>
    <col min="21" max="21" width="23.81640625" style="70" bestFit="1" customWidth="1"/>
    <col min="23" max="23" width="18.7265625" customWidth="1"/>
    <col min="24" max="24" width="18.1796875" customWidth="1"/>
    <col min="25" max="25" width="16" customWidth="1"/>
    <col min="26" max="26" width="19.1796875" customWidth="1"/>
    <col min="28" max="28" width="23.81640625" bestFit="1" customWidth="1"/>
    <col min="29" max="30" width="17.26953125" customWidth="1"/>
    <col min="31" max="31" width="18.1796875" customWidth="1"/>
    <col min="32" max="33" width="16" customWidth="1"/>
    <col min="34" max="34" width="19.1796875" customWidth="1"/>
    <col min="36" max="36" width="13.7265625" customWidth="1"/>
    <col min="37" max="37" width="17.26953125" customWidth="1"/>
    <col min="38" max="38" width="17.81640625" bestFit="1" customWidth="1"/>
    <col min="39" max="39" width="18.1796875" bestFit="1" customWidth="1"/>
    <col min="40" max="40" width="18.54296875" bestFit="1" customWidth="1"/>
    <col min="41" max="41" width="15.7265625" bestFit="1" customWidth="1"/>
    <col min="42" max="42" width="21.7265625" bestFit="1" customWidth="1"/>
    <col min="44" max="44" width="17.26953125" bestFit="1" customWidth="1"/>
    <col min="45" max="45" width="19.7265625" bestFit="1" customWidth="1"/>
    <col min="46" max="46" width="19.1796875" bestFit="1" customWidth="1"/>
    <col min="47" max="47" width="24.54296875" bestFit="1" customWidth="1"/>
    <col min="48" max="48" width="25" bestFit="1" customWidth="1"/>
    <col min="49" max="49" width="22.1796875" bestFit="1" customWidth="1"/>
    <col min="50" max="50" width="28.26953125" bestFit="1" customWidth="1"/>
    <col min="52" max="52" width="23.81640625" bestFit="1" customWidth="1"/>
    <col min="53" max="53" width="23" bestFit="1" customWidth="1"/>
    <col min="54" max="54" width="24.453125" bestFit="1" customWidth="1"/>
    <col min="55" max="55" width="24.54296875" bestFit="1" customWidth="1"/>
    <col min="56" max="56" width="25" bestFit="1" customWidth="1"/>
    <col min="58" max="58" width="28.26953125" bestFit="1" customWidth="1"/>
    <col min="60" max="60" width="23.81640625" bestFit="1" customWidth="1"/>
    <col min="62" max="62" width="26" bestFit="1" customWidth="1"/>
    <col min="63" max="63" width="24.54296875" bestFit="1" customWidth="1"/>
    <col min="64" max="64" width="25" bestFit="1" customWidth="1"/>
    <col min="68" max="68" width="23.81640625" bestFit="1" customWidth="1"/>
    <col min="71" max="71" width="24.54296875" bestFit="1" customWidth="1"/>
    <col min="74" max="74" width="28.26953125" bestFit="1" customWidth="1"/>
    <col min="76" max="76" width="23.81640625" bestFit="1" customWidth="1"/>
    <col min="79" max="79" width="24.54296875" bestFit="1" customWidth="1"/>
    <col min="80" max="80" width="25" bestFit="1" customWidth="1"/>
    <col min="81" max="81" width="22.1796875" bestFit="1" customWidth="1"/>
    <col min="82" max="82" width="28.26953125" bestFit="1" customWidth="1"/>
    <col min="84" max="84" width="23.81640625" bestFit="1" customWidth="1"/>
    <col min="85" max="85" width="23" bestFit="1" customWidth="1"/>
    <col min="87" max="87" width="24.54296875" bestFit="1" customWidth="1"/>
    <col min="93" max="93" width="23" bestFit="1" customWidth="1"/>
    <col min="95" max="95" width="24.54296875" bestFit="1" customWidth="1"/>
    <col min="97" max="97" width="22.1796875" bestFit="1" customWidth="1"/>
  </cols>
  <sheetData>
    <row r="1" spans="1:102" x14ac:dyDescent="0.35">
      <c r="A1" s="1" t="s">
        <v>0</v>
      </c>
      <c r="B1" s="1" t="s">
        <v>0</v>
      </c>
      <c r="C1" s="1" t="s">
        <v>1</v>
      </c>
      <c r="D1" s="1" t="s">
        <v>269</v>
      </c>
      <c r="E1" s="1" t="s">
        <v>266</v>
      </c>
      <c r="F1" s="543" t="s">
        <v>267</v>
      </c>
      <c r="G1" s="1" t="s">
        <v>268</v>
      </c>
      <c r="H1" s="71"/>
      <c r="I1" s="71"/>
      <c r="J1" s="28" t="s">
        <v>270</v>
      </c>
      <c r="K1" s="1" t="s">
        <v>271</v>
      </c>
      <c r="L1" s="1" t="s">
        <v>272</v>
      </c>
      <c r="M1" s="1" t="s">
        <v>273</v>
      </c>
      <c r="N1" s="29" t="s">
        <v>274</v>
      </c>
      <c r="O1" s="29" t="s">
        <v>275</v>
      </c>
      <c r="P1" s="29" t="s">
        <v>276</v>
      </c>
      <c r="Q1" s="28" t="s">
        <v>270</v>
      </c>
      <c r="R1" s="1" t="s">
        <v>271</v>
      </c>
      <c r="S1" s="1" t="s">
        <v>272</v>
      </c>
      <c r="T1" s="1" t="s">
        <v>273</v>
      </c>
      <c r="U1" s="30" t="s">
        <v>275</v>
      </c>
      <c r="V1" s="29" t="s">
        <v>274</v>
      </c>
      <c r="W1" s="29" t="s">
        <v>276</v>
      </c>
      <c r="X1" s="28" t="s">
        <v>270</v>
      </c>
      <c r="Y1" s="1" t="s">
        <v>271</v>
      </c>
      <c r="Z1" s="1" t="s">
        <v>272</v>
      </c>
      <c r="AA1" s="1" t="s">
        <v>273</v>
      </c>
      <c r="AB1" s="1" t="s">
        <v>275</v>
      </c>
      <c r="AC1" s="29" t="s">
        <v>274</v>
      </c>
      <c r="AD1" s="29" t="s">
        <v>276</v>
      </c>
      <c r="AE1" s="28" t="s">
        <v>270</v>
      </c>
      <c r="AF1" s="28" t="s">
        <v>271</v>
      </c>
      <c r="AG1" s="28" t="s">
        <v>277</v>
      </c>
      <c r="AH1" s="28" t="s">
        <v>272</v>
      </c>
      <c r="AI1" s="28" t="s">
        <v>273</v>
      </c>
      <c r="AJ1" s="28" t="s">
        <v>278</v>
      </c>
      <c r="AK1" s="31" t="s">
        <v>274</v>
      </c>
      <c r="AL1" s="32" t="s">
        <v>276</v>
      </c>
      <c r="AM1" s="28" t="s">
        <v>270</v>
      </c>
      <c r="AN1" s="28" t="s">
        <v>271</v>
      </c>
      <c r="AO1" s="28" t="s">
        <v>277</v>
      </c>
      <c r="AP1" s="28" t="s">
        <v>272</v>
      </c>
      <c r="AQ1" s="28" t="s">
        <v>273</v>
      </c>
      <c r="AR1" s="28" t="s">
        <v>278</v>
      </c>
      <c r="AS1" s="31" t="s">
        <v>274</v>
      </c>
      <c r="AT1" s="28" t="s">
        <v>276</v>
      </c>
      <c r="AU1" s="28" t="s">
        <v>270</v>
      </c>
      <c r="AV1" s="28" t="s">
        <v>271</v>
      </c>
      <c r="AW1" s="28" t="s">
        <v>277</v>
      </c>
      <c r="AX1" s="28" t="s">
        <v>272</v>
      </c>
      <c r="AY1" s="28" t="s">
        <v>273</v>
      </c>
      <c r="AZ1" s="28" t="s">
        <v>278</v>
      </c>
      <c r="BA1" s="31" t="s">
        <v>274</v>
      </c>
      <c r="BB1" s="28" t="s">
        <v>279</v>
      </c>
      <c r="BC1" s="28" t="s">
        <v>270</v>
      </c>
      <c r="BD1" s="28" t="s">
        <v>271</v>
      </c>
      <c r="BE1" s="28" t="s">
        <v>277</v>
      </c>
      <c r="BF1" s="28" t="s">
        <v>272</v>
      </c>
      <c r="BG1" s="28" t="s">
        <v>273</v>
      </c>
      <c r="BH1" s="28" t="s">
        <v>278</v>
      </c>
      <c r="BI1" s="31" t="s">
        <v>274</v>
      </c>
      <c r="BJ1" s="28" t="s">
        <v>279</v>
      </c>
      <c r="BK1" s="28" t="s">
        <v>270</v>
      </c>
      <c r="BL1" s="28" t="s">
        <v>271</v>
      </c>
      <c r="BM1" s="28" t="s">
        <v>277</v>
      </c>
      <c r="BN1" s="28" t="s">
        <v>272</v>
      </c>
      <c r="BO1" s="28" t="s">
        <v>273</v>
      </c>
      <c r="BP1" s="28" t="s">
        <v>278</v>
      </c>
      <c r="BQ1" s="31" t="s">
        <v>274</v>
      </c>
      <c r="BR1" s="28" t="s">
        <v>279</v>
      </c>
      <c r="BS1" s="28" t="s">
        <v>270</v>
      </c>
      <c r="BT1" s="28" t="s">
        <v>271</v>
      </c>
      <c r="BU1" s="28" t="s">
        <v>277</v>
      </c>
      <c r="BV1" s="28" t="s">
        <v>272</v>
      </c>
      <c r="BW1" s="28" t="s">
        <v>273</v>
      </c>
      <c r="BX1" s="28" t="s">
        <v>278</v>
      </c>
      <c r="BY1" s="31" t="s">
        <v>274</v>
      </c>
      <c r="BZ1" s="28" t="s">
        <v>276</v>
      </c>
      <c r="CA1" s="28" t="s">
        <v>270</v>
      </c>
      <c r="CB1" s="28" t="s">
        <v>271</v>
      </c>
      <c r="CC1" s="28" t="s">
        <v>277</v>
      </c>
      <c r="CD1" s="28" t="s">
        <v>272</v>
      </c>
      <c r="CE1" s="28" t="s">
        <v>273</v>
      </c>
      <c r="CF1" s="28" t="s">
        <v>278</v>
      </c>
      <c r="CG1" s="31" t="s">
        <v>274</v>
      </c>
      <c r="CH1" s="28" t="s">
        <v>276</v>
      </c>
      <c r="CI1" s="28" t="s">
        <v>270</v>
      </c>
      <c r="CJ1" s="28" t="s">
        <v>271</v>
      </c>
      <c r="CK1" s="28" t="s">
        <v>277</v>
      </c>
      <c r="CL1" s="28" t="s">
        <v>272</v>
      </c>
      <c r="CM1" s="28" t="s">
        <v>273</v>
      </c>
      <c r="CN1" s="28" t="s">
        <v>278</v>
      </c>
      <c r="CO1" s="31" t="s">
        <v>274</v>
      </c>
      <c r="CP1" s="28" t="s">
        <v>276</v>
      </c>
      <c r="CQ1" s="28" t="s">
        <v>270</v>
      </c>
      <c r="CR1" s="28" t="s">
        <v>271</v>
      </c>
      <c r="CS1" s="28" t="s">
        <v>277</v>
      </c>
      <c r="CT1" s="28" t="s">
        <v>272</v>
      </c>
      <c r="CU1" s="28" t="s">
        <v>273</v>
      </c>
      <c r="CV1" s="28" t="s">
        <v>278</v>
      </c>
      <c r="CW1" s="31" t="s">
        <v>274</v>
      </c>
      <c r="CX1" s="28" t="s">
        <v>276</v>
      </c>
    </row>
    <row r="2" spans="1:102" x14ac:dyDescent="0.35">
      <c r="A2" s="34">
        <v>238176</v>
      </c>
      <c r="B2" s="34">
        <v>238176</v>
      </c>
      <c r="C2" s="35" t="s">
        <v>92</v>
      </c>
      <c r="D2" s="36" t="s">
        <v>283</v>
      </c>
      <c r="E2" s="33" t="s">
        <v>280</v>
      </c>
      <c r="F2" s="5" t="s">
        <v>281</v>
      </c>
      <c r="G2" s="34" t="s">
        <v>282</v>
      </c>
      <c r="H2" s="37">
        <v>10134625</v>
      </c>
      <c r="I2" s="37">
        <v>9356205</v>
      </c>
      <c r="J2" s="38">
        <v>9255365</v>
      </c>
      <c r="K2" s="39">
        <f>I2-J2</f>
        <v>100840</v>
      </c>
      <c r="L2" s="5"/>
      <c r="M2" s="40">
        <v>0</v>
      </c>
      <c r="N2" s="9" t="s">
        <v>284</v>
      </c>
      <c r="O2" s="41">
        <v>44566</v>
      </c>
      <c r="P2" s="42"/>
      <c r="Q2" s="38">
        <v>9255365</v>
      </c>
      <c r="R2" s="39">
        <f>J2-Q2</f>
        <v>0</v>
      </c>
      <c r="S2" s="5"/>
      <c r="T2" s="40">
        <v>0</v>
      </c>
      <c r="U2" s="43">
        <v>44593</v>
      </c>
      <c r="V2" s="5" t="s">
        <v>284</v>
      </c>
      <c r="W2" s="42"/>
      <c r="X2" s="38">
        <v>11893145</v>
      </c>
      <c r="Y2" s="38">
        <f>Q2-X2</f>
        <v>-2637780</v>
      </c>
      <c r="Z2" s="5"/>
      <c r="AA2" s="40">
        <f>Y2/Q2</f>
        <v>-0.2850001053443057</v>
      </c>
      <c r="AB2" s="43">
        <v>44624</v>
      </c>
      <c r="AC2" s="5" t="s">
        <v>284</v>
      </c>
      <c r="AD2" s="42"/>
      <c r="AE2" s="38">
        <v>10134625</v>
      </c>
      <c r="AF2" s="38"/>
      <c r="AG2" s="38">
        <f>Q2-AE2</f>
        <v>-879260</v>
      </c>
      <c r="AH2" s="38"/>
      <c r="AI2" s="40">
        <f>AG2/Q2</f>
        <v>-9.5000035114768566E-2</v>
      </c>
      <c r="AJ2" s="44">
        <v>44655</v>
      </c>
      <c r="AK2" s="38" t="s">
        <v>284</v>
      </c>
      <c r="AL2" s="5"/>
      <c r="AM2" s="38">
        <v>10134625</v>
      </c>
      <c r="AN2" s="38">
        <f>AE2-AM2</f>
        <v>0</v>
      </c>
      <c r="AO2" s="38"/>
      <c r="AP2" s="38"/>
      <c r="AQ2" s="40">
        <v>0</v>
      </c>
      <c r="AR2" s="43">
        <v>44684</v>
      </c>
      <c r="AS2" s="5" t="s">
        <v>284</v>
      </c>
      <c r="AT2" s="5"/>
      <c r="AU2" s="38">
        <v>10134625</v>
      </c>
      <c r="AV2" s="38">
        <f>AM2-AU2</f>
        <v>0</v>
      </c>
      <c r="AW2" s="38"/>
      <c r="AX2" s="38"/>
      <c r="AY2" s="40">
        <v>0</v>
      </c>
      <c r="AZ2" s="44">
        <v>44715</v>
      </c>
      <c r="BA2" s="38" t="s">
        <v>284</v>
      </c>
      <c r="BB2" s="44">
        <v>44728</v>
      </c>
      <c r="BC2" s="38">
        <v>10134625</v>
      </c>
      <c r="BD2" s="38">
        <f>AU2-BC2</f>
        <v>0</v>
      </c>
      <c r="BE2" s="38"/>
      <c r="BF2" s="38"/>
      <c r="BG2" s="40">
        <v>0</v>
      </c>
      <c r="BH2" s="43">
        <v>44743</v>
      </c>
      <c r="BI2" s="5" t="s">
        <v>284</v>
      </c>
      <c r="BJ2" s="43">
        <v>44757</v>
      </c>
      <c r="BK2" s="38">
        <v>10134625</v>
      </c>
      <c r="BL2" s="38">
        <f>BK2-BC2</f>
        <v>0</v>
      </c>
      <c r="BM2" s="38"/>
      <c r="BN2" s="38"/>
      <c r="BO2" s="40">
        <v>0</v>
      </c>
      <c r="BP2" s="43">
        <v>44784</v>
      </c>
      <c r="BQ2" s="5" t="s">
        <v>284</v>
      </c>
      <c r="BR2" s="5"/>
      <c r="BS2" s="38"/>
      <c r="BT2" s="38"/>
      <c r="BU2" s="38"/>
      <c r="BV2" s="38"/>
      <c r="BW2" s="40"/>
      <c r="BX2" s="43"/>
      <c r="BY2" s="5"/>
      <c r="BZ2" s="5"/>
      <c r="CA2" s="38"/>
      <c r="CB2" s="38"/>
      <c r="CC2" s="38"/>
      <c r="CD2" s="38"/>
      <c r="CE2" s="40"/>
      <c r="CF2" s="43"/>
      <c r="CG2" s="5"/>
      <c r="CH2" s="5"/>
      <c r="CI2" s="38"/>
      <c r="CJ2" s="38"/>
      <c r="CK2" s="38"/>
      <c r="CL2" s="38"/>
      <c r="CM2" s="40"/>
      <c r="CN2" s="43"/>
      <c r="CO2" s="5"/>
      <c r="CP2" s="5"/>
      <c r="CQ2" s="38"/>
      <c r="CR2" s="38"/>
      <c r="CS2" s="38"/>
      <c r="CT2" s="38"/>
      <c r="CU2" s="40"/>
      <c r="CV2" s="43"/>
      <c r="CW2" s="5"/>
      <c r="CX2" s="5"/>
    </row>
    <row r="3" spans="1:102" x14ac:dyDescent="0.35">
      <c r="A3" s="34">
        <v>251769</v>
      </c>
      <c r="B3" s="34">
        <v>251769</v>
      </c>
      <c r="C3" s="35" t="s">
        <v>286</v>
      </c>
      <c r="D3" s="45">
        <v>800121696</v>
      </c>
      <c r="E3" s="33" t="s">
        <v>285</v>
      </c>
      <c r="F3" s="5" t="s">
        <v>285</v>
      </c>
      <c r="G3" s="34">
        <v>8525</v>
      </c>
      <c r="H3" s="38">
        <v>721004</v>
      </c>
      <c r="I3" s="37">
        <v>682640</v>
      </c>
      <c r="J3" s="38">
        <v>721004</v>
      </c>
      <c r="K3" s="39">
        <f>I3-J3</f>
        <v>-38364</v>
      </c>
      <c r="L3" s="5"/>
      <c r="M3" s="46">
        <f>K3/I3</f>
        <v>-5.6199460916442047E-2</v>
      </c>
      <c r="N3" s="9" t="s">
        <v>284</v>
      </c>
      <c r="O3" s="41">
        <v>44567</v>
      </c>
      <c r="P3" s="42"/>
      <c r="Q3" s="38">
        <v>721000</v>
      </c>
      <c r="R3" s="39">
        <f>J3-Q3</f>
        <v>4</v>
      </c>
      <c r="S3" s="5"/>
      <c r="T3" s="40">
        <f>R3/J3</f>
        <v>5.5478194295732064E-6</v>
      </c>
      <c r="U3" s="43">
        <v>44600</v>
      </c>
      <c r="V3" s="5" t="s">
        <v>284</v>
      </c>
      <c r="W3" s="42"/>
      <c r="X3" s="38">
        <v>721000</v>
      </c>
      <c r="Y3" s="38">
        <f>Q3-X3</f>
        <v>0</v>
      </c>
      <c r="Z3" s="5"/>
      <c r="AA3" s="40">
        <v>0</v>
      </c>
      <c r="AB3" s="43">
        <v>44624</v>
      </c>
      <c r="AC3" s="5" t="s">
        <v>284</v>
      </c>
      <c r="AD3" s="42"/>
      <c r="AE3" s="586" t="s">
        <v>287</v>
      </c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7"/>
      <c r="BL3" s="587"/>
      <c r="BM3" s="587"/>
      <c r="BN3" s="587"/>
      <c r="BO3" s="587"/>
      <c r="BP3" s="587"/>
      <c r="BQ3" s="587"/>
      <c r="BR3" s="587"/>
      <c r="BS3" s="587"/>
      <c r="BT3" s="587"/>
      <c r="BU3" s="587"/>
      <c r="BV3" s="587"/>
      <c r="BW3" s="587"/>
      <c r="BX3" s="587"/>
      <c r="BY3" s="587"/>
      <c r="BZ3" s="587"/>
      <c r="CA3" s="587"/>
      <c r="CB3" s="587"/>
      <c r="CC3" s="587"/>
      <c r="CD3" s="587"/>
      <c r="CE3" s="587"/>
      <c r="CF3" s="587"/>
      <c r="CG3" s="587"/>
      <c r="CH3" s="587"/>
      <c r="CI3" s="587"/>
      <c r="CJ3" s="587"/>
      <c r="CK3" s="587"/>
      <c r="CL3" s="587"/>
      <c r="CM3" s="587"/>
      <c r="CN3" s="587"/>
      <c r="CO3" s="587"/>
      <c r="CP3" s="587"/>
      <c r="CQ3" s="587"/>
      <c r="CR3" s="587"/>
      <c r="CS3" s="587"/>
      <c r="CT3" s="587"/>
      <c r="CU3" s="587"/>
      <c r="CV3" s="587"/>
      <c r="CW3" s="587"/>
      <c r="CX3" s="588"/>
    </row>
    <row r="4" spans="1:102" x14ac:dyDescent="0.35">
      <c r="A4" s="34">
        <v>204573</v>
      </c>
      <c r="B4" s="34">
        <v>204573</v>
      </c>
      <c r="C4" s="3" t="s">
        <v>290</v>
      </c>
      <c r="D4" s="48" t="s">
        <v>291</v>
      </c>
      <c r="E4" s="33" t="s">
        <v>288</v>
      </c>
      <c r="F4" s="47" t="s">
        <v>289</v>
      </c>
      <c r="G4" s="34">
        <v>9205</v>
      </c>
      <c r="H4" s="37">
        <v>1011805</v>
      </c>
      <c r="I4" s="37">
        <v>1011805</v>
      </c>
      <c r="J4" s="38">
        <v>1011805</v>
      </c>
      <c r="K4" s="39">
        <f>H4-J4</f>
        <v>0</v>
      </c>
      <c r="L4" s="5"/>
      <c r="M4" s="40">
        <v>0</v>
      </c>
      <c r="N4" s="9" t="s">
        <v>284</v>
      </c>
      <c r="O4" s="41">
        <v>44567</v>
      </c>
      <c r="P4" s="42"/>
      <c r="Q4" s="38">
        <v>1011805</v>
      </c>
      <c r="R4" s="39">
        <f>J4-Q4</f>
        <v>0</v>
      </c>
      <c r="S4" s="5"/>
      <c r="T4" s="40">
        <v>0</v>
      </c>
      <c r="U4" s="43">
        <v>44600</v>
      </c>
      <c r="V4" s="5" t="s">
        <v>284</v>
      </c>
      <c r="W4" s="42"/>
      <c r="X4" s="38">
        <v>1011805</v>
      </c>
      <c r="Y4" s="38">
        <f>Q4-X4</f>
        <v>0</v>
      </c>
      <c r="Z4" s="5"/>
      <c r="AA4" s="40">
        <v>0</v>
      </c>
      <c r="AB4" s="43">
        <v>44627</v>
      </c>
      <c r="AC4" s="5" t="s">
        <v>284</v>
      </c>
      <c r="AD4" s="42"/>
      <c r="AE4" s="38">
        <v>1011805</v>
      </c>
      <c r="AF4" s="38">
        <f>X4-AE4</f>
        <v>0</v>
      </c>
      <c r="AG4" s="38"/>
      <c r="AH4" s="38"/>
      <c r="AI4" s="40">
        <v>0</v>
      </c>
      <c r="AJ4" s="44">
        <v>44659</v>
      </c>
      <c r="AK4" s="38" t="s">
        <v>284</v>
      </c>
      <c r="AL4" s="5"/>
      <c r="AM4" s="38">
        <v>1011805</v>
      </c>
      <c r="AN4" s="38">
        <f>AE4-AM4</f>
        <v>0</v>
      </c>
      <c r="AO4" s="38"/>
      <c r="AP4" s="38"/>
      <c r="AQ4" s="40">
        <v>0</v>
      </c>
      <c r="AR4" s="43">
        <v>44687</v>
      </c>
      <c r="AS4" s="5" t="s">
        <v>284</v>
      </c>
      <c r="AT4" s="5"/>
      <c r="AU4" s="38">
        <v>1011805</v>
      </c>
      <c r="AV4" s="38">
        <f>AM4-AU4</f>
        <v>0</v>
      </c>
      <c r="AW4" s="38"/>
      <c r="AX4" s="38"/>
      <c r="AY4" s="40">
        <v>0</v>
      </c>
      <c r="AZ4" s="44">
        <v>44718</v>
      </c>
      <c r="BA4" s="38" t="s">
        <v>284</v>
      </c>
      <c r="BB4" s="44">
        <v>44728</v>
      </c>
      <c r="BC4" s="38">
        <v>1011805</v>
      </c>
      <c r="BD4" s="38">
        <f>AU4-BC4</f>
        <v>0</v>
      </c>
      <c r="BE4" s="38"/>
      <c r="BF4" s="38"/>
      <c r="BG4" s="40">
        <v>0</v>
      </c>
      <c r="BH4" s="43">
        <v>44750</v>
      </c>
      <c r="BI4" s="5" t="s">
        <v>284</v>
      </c>
      <c r="BJ4" s="43">
        <v>44768</v>
      </c>
      <c r="BK4" s="38">
        <v>1011805</v>
      </c>
      <c r="BL4" s="38">
        <f>BC4-BK4</f>
        <v>0</v>
      </c>
      <c r="BM4" s="38"/>
      <c r="BN4" s="38"/>
      <c r="BO4" s="40">
        <v>0</v>
      </c>
      <c r="BP4" s="43">
        <v>44778</v>
      </c>
      <c r="BQ4" s="5" t="s">
        <v>284</v>
      </c>
      <c r="BR4" s="5"/>
      <c r="BS4" s="38"/>
      <c r="BT4" s="38"/>
      <c r="BU4" s="38"/>
      <c r="BV4" s="38"/>
      <c r="BW4" s="40"/>
      <c r="BX4" s="43"/>
      <c r="BY4" s="5"/>
      <c r="BZ4" s="5"/>
      <c r="CA4" s="38"/>
      <c r="CB4" s="38"/>
      <c r="CC4" s="38"/>
      <c r="CD4" s="38"/>
      <c r="CE4" s="40"/>
      <c r="CF4" s="43"/>
      <c r="CG4" s="5"/>
      <c r="CH4" s="5"/>
      <c r="CI4" s="38"/>
      <c r="CJ4" s="38"/>
      <c r="CK4" s="38"/>
      <c r="CL4" s="38"/>
      <c r="CM4" s="40"/>
      <c r="CN4" s="43"/>
      <c r="CO4" s="5"/>
      <c r="CP4" s="5"/>
      <c r="CQ4" s="38"/>
      <c r="CR4" s="38"/>
      <c r="CS4" s="38"/>
      <c r="CT4" s="38"/>
      <c r="CU4" s="40"/>
      <c r="CV4" s="43"/>
      <c r="CW4" s="5"/>
      <c r="CX4" s="5"/>
    </row>
    <row r="5" spans="1:102" x14ac:dyDescent="0.35">
      <c r="A5" s="34">
        <v>204600</v>
      </c>
      <c r="B5" s="34">
        <v>204600</v>
      </c>
      <c r="C5" s="3" t="s">
        <v>294</v>
      </c>
      <c r="D5" s="48" t="s">
        <v>295</v>
      </c>
      <c r="E5" s="49" t="s">
        <v>292</v>
      </c>
      <c r="F5" s="47" t="s">
        <v>293</v>
      </c>
      <c r="G5" s="50">
        <v>9208</v>
      </c>
      <c r="H5" s="37">
        <v>1172387</v>
      </c>
      <c r="I5" s="37">
        <v>1172387</v>
      </c>
      <c r="J5" s="38">
        <v>1290447</v>
      </c>
      <c r="K5" s="39">
        <f>H5-J5</f>
        <v>-118060</v>
      </c>
      <c r="L5" s="5"/>
      <c r="M5" s="40">
        <f>K5/H5</f>
        <v>-0.10070053659755696</v>
      </c>
      <c r="N5" s="41" t="s">
        <v>284</v>
      </c>
      <c r="O5" s="41">
        <v>44565</v>
      </c>
      <c r="P5" s="42"/>
      <c r="Q5" s="586" t="s">
        <v>296</v>
      </c>
      <c r="R5" s="587"/>
      <c r="S5" s="587"/>
      <c r="T5" s="587"/>
      <c r="U5" s="587"/>
      <c r="V5" s="587"/>
      <c r="W5" s="587"/>
      <c r="X5" s="587"/>
      <c r="Y5" s="587"/>
      <c r="Z5" s="587"/>
      <c r="AA5" s="587"/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  <c r="AY5" s="587"/>
      <c r="AZ5" s="587"/>
      <c r="BA5" s="587"/>
      <c r="BB5" s="587"/>
      <c r="BC5" s="587"/>
      <c r="BD5" s="587"/>
      <c r="BE5" s="587"/>
      <c r="BF5" s="587"/>
      <c r="BG5" s="587"/>
      <c r="BH5" s="587"/>
      <c r="BI5" s="587"/>
      <c r="BJ5" s="587"/>
      <c r="BK5" s="587"/>
      <c r="BL5" s="587"/>
      <c r="BM5" s="587"/>
      <c r="BN5" s="587"/>
      <c r="BO5" s="587"/>
      <c r="BP5" s="587"/>
      <c r="BQ5" s="587"/>
      <c r="BR5" s="587"/>
      <c r="BS5" s="587"/>
      <c r="BT5" s="587"/>
      <c r="BU5" s="587"/>
      <c r="BV5" s="587"/>
      <c r="BW5" s="587"/>
      <c r="BX5" s="587"/>
      <c r="BY5" s="587"/>
      <c r="BZ5" s="587"/>
      <c r="CA5" s="587"/>
      <c r="CB5" s="587"/>
      <c r="CC5" s="587"/>
      <c r="CD5" s="587"/>
      <c r="CE5" s="587"/>
      <c r="CF5" s="587"/>
      <c r="CG5" s="587"/>
      <c r="CH5" s="587"/>
      <c r="CI5" s="587"/>
      <c r="CJ5" s="587"/>
      <c r="CK5" s="587"/>
      <c r="CL5" s="587"/>
      <c r="CM5" s="587"/>
      <c r="CN5" s="587"/>
      <c r="CO5" s="587"/>
      <c r="CP5" s="587"/>
      <c r="CQ5" s="587"/>
      <c r="CR5" s="587"/>
      <c r="CS5" s="587"/>
      <c r="CT5" s="587"/>
      <c r="CU5" s="587"/>
      <c r="CV5" s="587"/>
      <c r="CW5" s="587"/>
      <c r="CX5" s="588"/>
    </row>
    <row r="6" spans="1:102" x14ac:dyDescent="0.35">
      <c r="A6" s="34">
        <v>238175</v>
      </c>
      <c r="B6" s="34">
        <v>238175</v>
      </c>
      <c r="C6" s="9" t="s">
        <v>51</v>
      </c>
      <c r="D6" s="42">
        <v>901394357</v>
      </c>
      <c r="E6" s="33" t="s">
        <v>297</v>
      </c>
      <c r="F6" s="5" t="s">
        <v>298</v>
      </c>
      <c r="G6" s="34">
        <v>9264</v>
      </c>
      <c r="H6" s="37">
        <v>1365664</v>
      </c>
      <c r="I6" s="37">
        <v>1519694</v>
      </c>
      <c r="J6" s="38">
        <v>1672817</v>
      </c>
      <c r="K6" s="39">
        <f>I6-J6</f>
        <v>-153123</v>
      </c>
      <c r="L6" s="5"/>
      <c r="M6" s="40">
        <f>K6/I6</f>
        <v>-0.10075910018727455</v>
      </c>
      <c r="N6" s="9" t="s">
        <v>284</v>
      </c>
      <c r="O6" s="41">
        <v>44574</v>
      </c>
      <c r="P6" s="42"/>
      <c r="Q6" s="39">
        <v>1672727</v>
      </c>
      <c r="R6" s="39">
        <f>J6-Q6</f>
        <v>90</v>
      </c>
      <c r="S6" s="5"/>
      <c r="T6" s="40">
        <f>R6/J6</f>
        <v>5.3801461845497747E-5</v>
      </c>
      <c r="U6" s="43">
        <v>44600</v>
      </c>
      <c r="V6" s="5" t="s">
        <v>284</v>
      </c>
      <c r="W6" s="42"/>
      <c r="X6" s="38">
        <v>1672727</v>
      </c>
      <c r="Y6" s="38">
        <f>Q6-X6</f>
        <v>0</v>
      </c>
      <c r="Z6" s="5"/>
      <c r="AA6" s="40">
        <v>0</v>
      </c>
      <c r="AB6" s="51">
        <v>44628</v>
      </c>
      <c r="AC6" s="5" t="s">
        <v>284</v>
      </c>
      <c r="AD6" s="42"/>
      <c r="AE6" s="38">
        <v>1672727</v>
      </c>
      <c r="AF6" s="38">
        <f>X6-AE6</f>
        <v>0</v>
      </c>
      <c r="AG6" s="38"/>
      <c r="AH6" s="38"/>
      <c r="AI6" s="40">
        <v>0</v>
      </c>
      <c r="AJ6" s="44">
        <v>44659</v>
      </c>
      <c r="AK6" s="38" t="s">
        <v>284</v>
      </c>
      <c r="AL6" s="5"/>
      <c r="AM6" s="38">
        <v>1672727</v>
      </c>
      <c r="AN6" s="38">
        <f>AE6-AM6</f>
        <v>0</v>
      </c>
      <c r="AO6" s="38"/>
      <c r="AP6" s="38"/>
      <c r="AQ6" s="40">
        <v>0</v>
      </c>
      <c r="AR6" s="43">
        <v>44687</v>
      </c>
      <c r="AS6" s="5" t="s">
        <v>284</v>
      </c>
      <c r="AT6" s="5"/>
      <c r="AU6" s="38">
        <v>1672727</v>
      </c>
      <c r="AV6" s="38">
        <f>AM6-AU6</f>
        <v>0</v>
      </c>
      <c r="AW6" s="38"/>
      <c r="AX6" s="38"/>
      <c r="AY6" s="40">
        <v>0</v>
      </c>
      <c r="AZ6" s="44">
        <v>44719</v>
      </c>
      <c r="BA6" s="38" t="s">
        <v>284</v>
      </c>
      <c r="BB6" s="44">
        <v>44728</v>
      </c>
      <c r="BC6" s="38">
        <v>1672727</v>
      </c>
      <c r="BD6" s="38">
        <f>AU6-BC6</f>
        <v>0</v>
      </c>
      <c r="BE6" s="38"/>
      <c r="BF6" s="38"/>
      <c r="BG6" s="40">
        <v>0</v>
      </c>
      <c r="BH6" s="43">
        <v>44750</v>
      </c>
      <c r="BI6" s="5" t="s">
        <v>284</v>
      </c>
      <c r="BJ6" s="43">
        <v>44768</v>
      </c>
      <c r="BK6" s="38">
        <v>1672727</v>
      </c>
      <c r="BL6" s="38">
        <f>BC6-BK6</f>
        <v>0</v>
      </c>
      <c r="BM6" s="38"/>
      <c r="BN6" s="38"/>
      <c r="BO6" s="40">
        <v>0</v>
      </c>
      <c r="BP6" s="43">
        <v>44778</v>
      </c>
      <c r="BQ6" s="5" t="s">
        <v>284</v>
      </c>
      <c r="BR6" s="5"/>
      <c r="BS6" s="38"/>
      <c r="BT6" s="38"/>
      <c r="BU6" s="38"/>
      <c r="BV6" s="38"/>
      <c r="BW6" s="40"/>
      <c r="BX6" s="43"/>
      <c r="BY6" s="5"/>
      <c r="BZ6" s="5"/>
      <c r="CA6" s="38"/>
      <c r="CB6" s="38"/>
      <c r="CC6" s="38"/>
      <c r="CD6" s="38"/>
      <c r="CE6" s="40"/>
      <c r="CF6" s="43"/>
      <c r="CG6" s="5"/>
      <c r="CH6" s="5"/>
      <c r="CI6" s="38"/>
      <c r="CJ6" s="38"/>
      <c r="CK6" s="38"/>
      <c r="CL6" s="38"/>
      <c r="CM6" s="40"/>
      <c r="CN6" s="43"/>
      <c r="CO6" s="5"/>
      <c r="CP6" s="5"/>
      <c r="CQ6" s="38"/>
      <c r="CR6" s="38"/>
      <c r="CS6" s="38"/>
      <c r="CT6" s="38"/>
      <c r="CU6" s="40"/>
      <c r="CV6" s="43"/>
      <c r="CW6" s="5"/>
      <c r="CX6" s="5"/>
    </row>
    <row r="7" spans="1:102" x14ac:dyDescent="0.35">
      <c r="A7" s="34">
        <v>209888</v>
      </c>
      <c r="B7" s="34">
        <v>209888</v>
      </c>
      <c r="C7" s="35" t="s">
        <v>301</v>
      </c>
      <c r="D7" s="36" t="s">
        <v>302</v>
      </c>
      <c r="E7" s="33" t="s">
        <v>299</v>
      </c>
      <c r="F7" s="5" t="s">
        <v>300</v>
      </c>
      <c r="G7" s="34">
        <v>9355</v>
      </c>
      <c r="H7" s="37">
        <v>2722843</v>
      </c>
      <c r="I7" s="37">
        <v>2577961</v>
      </c>
      <c r="J7" s="38">
        <f>1266981+26404+1425499+19894</f>
        <v>2738778</v>
      </c>
      <c r="K7" s="38">
        <f>253396+5281+285100+3979</f>
        <v>547756</v>
      </c>
      <c r="L7" s="5"/>
      <c r="M7" s="40">
        <f>K7/J7</f>
        <v>0.20000014605053787</v>
      </c>
      <c r="N7" s="5" t="s">
        <v>284</v>
      </c>
      <c r="O7" s="43">
        <v>44574</v>
      </c>
      <c r="P7" s="42"/>
      <c r="Q7" s="38">
        <f>1252237+1408910+26097+19662</f>
        <v>2706906</v>
      </c>
      <c r="R7" s="38">
        <f>250447+281782+5219+3932</f>
        <v>541380</v>
      </c>
      <c r="S7" s="5"/>
      <c r="T7" s="40">
        <f>R7/Q7</f>
        <v>0.19999955668944544</v>
      </c>
      <c r="U7" s="43">
        <v>44593</v>
      </c>
      <c r="V7" s="5" t="s">
        <v>284</v>
      </c>
      <c r="W7" s="42"/>
      <c r="X7" s="38">
        <f>1259609+1417205+19778+26251</f>
        <v>2722843</v>
      </c>
      <c r="Y7" s="38">
        <f>283441+251922+5250+3956</f>
        <v>544569</v>
      </c>
      <c r="Z7" s="5"/>
      <c r="AA7" s="40">
        <f>Y7/X7</f>
        <v>0.20000014690527512</v>
      </c>
      <c r="AB7" s="51">
        <v>44622</v>
      </c>
      <c r="AC7" s="5" t="s">
        <v>284</v>
      </c>
      <c r="AD7" s="42"/>
      <c r="AE7" s="38">
        <f>1259609+1417205+19778+26251</f>
        <v>2722843</v>
      </c>
      <c r="AF7" s="38">
        <f>5250+3956+283441+251922</f>
        <v>544569</v>
      </c>
      <c r="AG7" s="38"/>
      <c r="AH7" s="38"/>
      <c r="AI7" s="40">
        <f>AF7/AE7</f>
        <v>0.20000014690527512</v>
      </c>
      <c r="AJ7" s="44">
        <v>44655</v>
      </c>
      <c r="AK7" s="38" t="s">
        <v>284</v>
      </c>
      <c r="AL7" s="5"/>
      <c r="AM7" s="38">
        <f>1417205+1259609+26251+19778</f>
        <v>2722843</v>
      </c>
      <c r="AN7" s="38">
        <f>251922+283441+5250+3956</f>
        <v>544569</v>
      </c>
      <c r="AO7" s="38"/>
      <c r="AP7" s="38"/>
      <c r="AQ7" s="40">
        <f>AN7/AM7</f>
        <v>0.20000014690527512</v>
      </c>
      <c r="AR7" s="43">
        <v>44683</v>
      </c>
      <c r="AS7" s="5" t="s">
        <v>284</v>
      </c>
      <c r="AT7" s="5"/>
      <c r="AU7" s="38">
        <f>1417205+1259609+26251+19778</f>
        <v>2722843</v>
      </c>
      <c r="AV7" s="38">
        <f>251922+283441+3956+5250</f>
        <v>544569</v>
      </c>
      <c r="AW7" s="38"/>
      <c r="AX7" s="38"/>
      <c r="AY7" s="40">
        <f>AV7/AU7</f>
        <v>0.20000014690527512</v>
      </c>
      <c r="AZ7" s="44">
        <v>44713</v>
      </c>
      <c r="BA7" s="38" t="s">
        <v>284</v>
      </c>
      <c r="BB7" s="44">
        <v>44728</v>
      </c>
      <c r="BC7" s="38">
        <f>1259609+1417205+26251</f>
        <v>2703065</v>
      </c>
      <c r="BD7" s="38">
        <f>283441+251922+5250</f>
        <v>540613</v>
      </c>
      <c r="BE7" s="38"/>
      <c r="BF7" s="38"/>
      <c r="BG7" s="40">
        <f>BD7/BC7</f>
        <v>0.2</v>
      </c>
      <c r="BH7" s="43">
        <v>44743</v>
      </c>
      <c r="BI7" s="5" t="s">
        <v>284</v>
      </c>
      <c r="BJ7" s="43">
        <v>44757</v>
      </c>
      <c r="BK7" s="38">
        <f>1417205+1259609+19778+26251</f>
        <v>2722843</v>
      </c>
      <c r="BL7" s="38">
        <f>283441+251922+3956+5250</f>
        <v>544569</v>
      </c>
      <c r="BM7" s="38"/>
      <c r="BN7" s="38"/>
      <c r="BO7" s="40">
        <f>BL7/BK7</f>
        <v>0.20000014690527512</v>
      </c>
      <c r="BP7" s="43">
        <v>44774</v>
      </c>
      <c r="BQ7" s="5" t="s">
        <v>284</v>
      </c>
      <c r="BR7" s="5"/>
      <c r="BS7" s="38"/>
      <c r="BT7" s="38"/>
      <c r="BU7" s="38"/>
      <c r="BV7" s="38"/>
      <c r="BW7" s="40"/>
      <c r="BX7" s="43"/>
      <c r="BY7" s="5"/>
      <c r="BZ7" s="5"/>
      <c r="CA7" s="38"/>
      <c r="CB7" s="38"/>
      <c r="CC7" s="38"/>
      <c r="CD7" s="38"/>
      <c r="CE7" s="40"/>
      <c r="CF7" s="43"/>
      <c r="CG7" s="5"/>
      <c r="CH7" s="5"/>
      <c r="CI7" s="38"/>
      <c r="CJ7" s="38"/>
      <c r="CK7" s="38"/>
      <c r="CL7" s="38"/>
      <c r="CM7" s="40"/>
      <c r="CN7" s="43"/>
      <c r="CO7" s="5"/>
      <c r="CP7" s="5"/>
      <c r="CQ7" s="38"/>
      <c r="CR7" s="38"/>
      <c r="CS7" s="38"/>
      <c r="CT7" s="38"/>
      <c r="CU7" s="40"/>
      <c r="CV7" s="43"/>
      <c r="CW7" s="5"/>
      <c r="CX7" s="5"/>
    </row>
    <row r="8" spans="1:102" x14ac:dyDescent="0.35">
      <c r="A8" s="6">
        <v>230440</v>
      </c>
      <c r="B8" s="6">
        <v>230440</v>
      </c>
      <c r="C8" s="9" t="s">
        <v>46</v>
      </c>
      <c r="D8" s="52">
        <v>830054539</v>
      </c>
      <c r="E8" s="6" t="s">
        <v>303</v>
      </c>
      <c r="F8" s="5" t="s">
        <v>304</v>
      </c>
      <c r="G8" s="6">
        <v>9596</v>
      </c>
      <c r="H8" s="53">
        <f>2642012+266051</f>
        <v>2908063</v>
      </c>
      <c r="I8" s="37">
        <v>2642012</v>
      </c>
      <c r="J8" s="53">
        <f>2642012+266051</f>
        <v>2908063</v>
      </c>
      <c r="K8" s="39">
        <f>I8-J8</f>
        <v>-266051</v>
      </c>
      <c r="L8" s="5"/>
      <c r="M8" s="40">
        <f>K8/I8</f>
        <v>-0.10070014822037145</v>
      </c>
      <c r="N8" s="9" t="s">
        <v>284</v>
      </c>
      <c r="O8" s="41">
        <v>44587</v>
      </c>
      <c r="P8" s="42"/>
      <c r="Q8" s="38">
        <v>2908063</v>
      </c>
      <c r="R8" s="39">
        <f t="shared" ref="R8:R17" si="0">J8-Q8</f>
        <v>0</v>
      </c>
      <c r="S8" s="5"/>
      <c r="T8" s="40">
        <v>0</v>
      </c>
      <c r="U8" s="43">
        <v>44600</v>
      </c>
      <c r="V8" s="5" t="s">
        <v>284</v>
      </c>
      <c r="W8" s="42"/>
      <c r="X8" s="38">
        <v>2908063</v>
      </c>
      <c r="Y8" s="38">
        <f t="shared" ref="Y8:Y17" si="1">Q8-X8</f>
        <v>0</v>
      </c>
      <c r="Z8" s="5"/>
      <c r="AA8" s="40">
        <v>0</v>
      </c>
      <c r="AB8" s="43">
        <v>44624</v>
      </c>
      <c r="AC8" s="5" t="s">
        <v>284</v>
      </c>
      <c r="AD8" s="42"/>
      <c r="AE8" s="38">
        <v>2908063</v>
      </c>
      <c r="AF8" s="38">
        <f>X8-AE8</f>
        <v>0</v>
      </c>
      <c r="AG8" s="38"/>
      <c r="AH8" s="38"/>
      <c r="AI8" s="40">
        <v>0</v>
      </c>
      <c r="AJ8" s="44">
        <v>44657</v>
      </c>
      <c r="AK8" s="38" t="s">
        <v>284</v>
      </c>
      <c r="AL8" s="5"/>
      <c r="AM8" s="38">
        <v>2908063</v>
      </c>
      <c r="AN8" s="38">
        <f t="shared" ref="AN8:AN17" si="2">AE8-AM8</f>
        <v>0</v>
      </c>
      <c r="AO8" s="38"/>
      <c r="AP8" s="38"/>
      <c r="AQ8" s="40">
        <v>0</v>
      </c>
      <c r="AR8" s="43">
        <v>44686</v>
      </c>
      <c r="AS8" s="5" t="s">
        <v>284</v>
      </c>
      <c r="AT8" s="5"/>
      <c r="AU8" s="38">
        <v>2908063</v>
      </c>
      <c r="AV8" s="38">
        <f>AM8-AU8</f>
        <v>0</v>
      </c>
      <c r="AW8" s="38"/>
      <c r="AX8" s="38"/>
      <c r="AY8" s="40">
        <v>0</v>
      </c>
      <c r="AZ8" s="44">
        <v>44721</v>
      </c>
      <c r="BA8" s="38" t="s">
        <v>284</v>
      </c>
      <c r="BB8" s="44">
        <v>44736</v>
      </c>
      <c r="BC8" s="38">
        <v>2908063</v>
      </c>
      <c r="BD8" s="38">
        <f>AU8-BC8</f>
        <v>0</v>
      </c>
      <c r="BE8" s="38"/>
      <c r="BF8" s="38"/>
      <c r="BG8" s="40">
        <v>0</v>
      </c>
      <c r="BH8" s="43">
        <v>44750</v>
      </c>
      <c r="BI8" s="5" t="s">
        <v>284</v>
      </c>
      <c r="BJ8" s="43">
        <v>44768</v>
      </c>
      <c r="BK8" s="38">
        <v>2908063</v>
      </c>
      <c r="BL8" s="38">
        <f t="shared" ref="BL8:BL16" si="3">BC8-BK8</f>
        <v>0</v>
      </c>
      <c r="BM8" s="38"/>
      <c r="BN8" s="38"/>
      <c r="BO8" s="40">
        <v>0</v>
      </c>
      <c r="BP8" s="43">
        <v>44778</v>
      </c>
      <c r="BQ8" s="5" t="s">
        <v>284</v>
      </c>
      <c r="BR8" s="5"/>
      <c r="BS8" s="38"/>
      <c r="BT8" s="38"/>
      <c r="BU8" s="38"/>
      <c r="BV8" s="38"/>
      <c r="BW8" s="40"/>
      <c r="BX8" s="43"/>
      <c r="BY8" s="5"/>
      <c r="BZ8" s="5"/>
      <c r="CA8" s="38"/>
      <c r="CB8" s="38"/>
      <c r="CC8" s="38"/>
      <c r="CD8" s="38"/>
      <c r="CE8" s="40"/>
      <c r="CF8" s="43"/>
      <c r="CG8" s="5"/>
      <c r="CH8" s="5"/>
      <c r="CI8" s="38"/>
      <c r="CJ8" s="38"/>
      <c r="CK8" s="38"/>
      <c r="CL8" s="38"/>
      <c r="CM8" s="40"/>
      <c r="CN8" s="43"/>
      <c r="CO8" s="5"/>
      <c r="CP8" s="5"/>
      <c r="CQ8" s="38"/>
      <c r="CR8" s="38"/>
      <c r="CS8" s="38"/>
      <c r="CT8" s="38"/>
      <c r="CU8" s="40"/>
      <c r="CV8" s="43"/>
      <c r="CW8" s="5"/>
      <c r="CX8" s="5"/>
    </row>
    <row r="9" spans="1:102" x14ac:dyDescent="0.35">
      <c r="A9" s="34">
        <v>238658</v>
      </c>
      <c r="B9" s="34">
        <v>238658</v>
      </c>
      <c r="C9" s="9" t="s">
        <v>307</v>
      </c>
      <c r="D9" s="42" t="s">
        <v>308</v>
      </c>
      <c r="E9" s="6" t="s">
        <v>305</v>
      </c>
      <c r="F9" s="5" t="s">
        <v>306</v>
      </c>
      <c r="G9" s="6" t="s">
        <v>207</v>
      </c>
      <c r="H9" s="37">
        <v>3107720</v>
      </c>
      <c r="I9" s="37">
        <v>2825200</v>
      </c>
      <c r="J9" s="38">
        <v>2825200</v>
      </c>
      <c r="K9" s="39">
        <f>I9-J9</f>
        <v>0</v>
      </c>
      <c r="L9" s="5"/>
      <c r="M9" s="40">
        <v>0</v>
      </c>
      <c r="N9" s="9" t="s">
        <v>284</v>
      </c>
      <c r="O9" s="41">
        <v>44567</v>
      </c>
      <c r="P9" s="42"/>
      <c r="Q9" s="38">
        <v>2825200</v>
      </c>
      <c r="R9" s="39">
        <f t="shared" si="0"/>
        <v>0</v>
      </c>
      <c r="S9" s="5"/>
      <c r="T9" s="40">
        <v>0</v>
      </c>
      <c r="U9" s="43">
        <v>44593</v>
      </c>
      <c r="V9" s="5" t="s">
        <v>284</v>
      </c>
      <c r="W9" s="42"/>
      <c r="X9" s="38">
        <v>2825200</v>
      </c>
      <c r="Y9" s="38">
        <f t="shared" si="1"/>
        <v>0</v>
      </c>
      <c r="Z9" s="5"/>
      <c r="AA9" s="40">
        <v>0</v>
      </c>
      <c r="AB9" s="43">
        <v>44622</v>
      </c>
      <c r="AC9" s="5" t="s">
        <v>284</v>
      </c>
      <c r="AD9" s="42"/>
      <c r="AE9" s="38">
        <v>3107720</v>
      </c>
      <c r="AF9" s="38"/>
      <c r="AG9" s="38">
        <f>AE9-X9</f>
        <v>282520</v>
      </c>
      <c r="AH9" s="38"/>
      <c r="AI9" s="40">
        <f>AG9/X9</f>
        <v>0.1</v>
      </c>
      <c r="AJ9" s="44">
        <v>44656</v>
      </c>
      <c r="AK9" s="38" t="s">
        <v>284</v>
      </c>
      <c r="AL9" s="5"/>
      <c r="AM9" s="38">
        <v>3107720</v>
      </c>
      <c r="AN9" s="38">
        <f t="shared" si="2"/>
        <v>0</v>
      </c>
      <c r="AO9" s="38"/>
      <c r="AP9" s="38"/>
      <c r="AQ9" s="40">
        <v>0</v>
      </c>
      <c r="AR9" s="43">
        <v>44683</v>
      </c>
      <c r="AS9" s="5" t="s">
        <v>284</v>
      </c>
      <c r="AT9" s="5"/>
      <c r="AU9" s="38">
        <v>3107720</v>
      </c>
      <c r="AV9" s="38">
        <f t="shared" ref="AV9:AV16" si="4">AM9-AU9</f>
        <v>0</v>
      </c>
      <c r="AW9" s="38"/>
      <c r="AX9" s="38"/>
      <c r="AY9" s="40">
        <v>0</v>
      </c>
      <c r="AZ9" s="44">
        <v>44713</v>
      </c>
      <c r="BA9" s="38" t="s">
        <v>284</v>
      </c>
      <c r="BB9" s="44">
        <v>44728</v>
      </c>
      <c r="BC9" s="38">
        <v>3107720</v>
      </c>
      <c r="BD9" s="38">
        <f>AU9-BC9</f>
        <v>0</v>
      </c>
      <c r="BE9" s="38"/>
      <c r="BF9" s="38"/>
      <c r="BG9" s="40">
        <v>0</v>
      </c>
      <c r="BH9" s="43">
        <v>44743</v>
      </c>
      <c r="BI9" s="5" t="s">
        <v>284</v>
      </c>
      <c r="BJ9" s="43">
        <v>44757</v>
      </c>
      <c r="BK9" s="38">
        <v>3107720</v>
      </c>
      <c r="BL9" s="38">
        <f t="shared" si="3"/>
        <v>0</v>
      </c>
      <c r="BM9" s="38"/>
      <c r="BN9" s="38"/>
      <c r="BO9" s="40">
        <v>0</v>
      </c>
      <c r="BP9" s="43">
        <v>44774</v>
      </c>
      <c r="BQ9" s="5" t="s">
        <v>284</v>
      </c>
      <c r="BR9" s="5"/>
      <c r="BS9" s="38"/>
      <c r="BT9" s="38"/>
      <c r="BU9" s="38"/>
      <c r="BV9" s="38"/>
      <c r="BW9" s="40"/>
      <c r="BX9" s="43"/>
      <c r="BY9" s="5"/>
      <c r="BZ9" s="5"/>
      <c r="CA9" s="38"/>
      <c r="CB9" s="39"/>
      <c r="CC9" s="38"/>
      <c r="CD9" s="38"/>
      <c r="CE9" s="40"/>
      <c r="CF9" s="43"/>
      <c r="CG9" s="5"/>
      <c r="CH9" s="5"/>
      <c r="CI9" s="38"/>
      <c r="CJ9" s="38"/>
      <c r="CK9" s="38"/>
      <c r="CL9" s="38"/>
      <c r="CM9" s="40"/>
      <c r="CN9" s="43"/>
      <c r="CO9" s="5"/>
      <c r="CP9" s="5"/>
      <c r="CQ9" s="38"/>
      <c r="CR9" s="38"/>
      <c r="CS9" s="38"/>
      <c r="CT9" s="38"/>
      <c r="CU9" s="40"/>
      <c r="CV9" s="43"/>
      <c r="CW9" s="5"/>
      <c r="CX9" s="5"/>
    </row>
    <row r="10" spans="1:102" x14ac:dyDescent="0.35">
      <c r="A10" s="34">
        <v>209631</v>
      </c>
      <c r="B10" s="34">
        <v>209631</v>
      </c>
      <c r="C10" s="3" t="s">
        <v>311</v>
      </c>
      <c r="D10" s="48" t="s">
        <v>312</v>
      </c>
      <c r="E10" s="49" t="s">
        <v>309</v>
      </c>
      <c r="F10" s="5" t="s">
        <v>310</v>
      </c>
      <c r="G10" s="34">
        <v>9058</v>
      </c>
      <c r="H10" s="37">
        <v>1510763</v>
      </c>
      <c r="I10" s="37">
        <v>1987846</v>
      </c>
      <c r="J10" s="38">
        <v>1510763</v>
      </c>
      <c r="K10" s="38">
        <f>H10-J10</f>
        <v>0</v>
      </c>
      <c r="L10" s="38"/>
      <c r="M10" s="40">
        <v>0</v>
      </c>
      <c r="N10" s="41" t="s">
        <v>284</v>
      </c>
      <c r="O10" s="41">
        <v>44564</v>
      </c>
      <c r="P10" s="42"/>
      <c r="Q10" s="39">
        <v>1510763</v>
      </c>
      <c r="R10" s="39">
        <f t="shared" si="0"/>
        <v>0</v>
      </c>
      <c r="S10" s="5"/>
      <c r="T10" s="40">
        <v>0</v>
      </c>
      <c r="U10" s="43">
        <v>44596</v>
      </c>
      <c r="V10" s="5" t="s">
        <v>284</v>
      </c>
      <c r="W10" s="42"/>
      <c r="X10" s="38">
        <f>1510763+477083</f>
        <v>1987846</v>
      </c>
      <c r="Y10" s="38">
        <f t="shared" si="1"/>
        <v>-477083</v>
      </c>
      <c r="Z10" s="5"/>
      <c r="AA10" s="40">
        <v>0</v>
      </c>
      <c r="AB10" s="51">
        <v>44638</v>
      </c>
      <c r="AC10" s="5" t="s">
        <v>284</v>
      </c>
      <c r="AD10" s="42"/>
      <c r="AE10" s="38">
        <f>589651+463297</f>
        <v>1052948</v>
      </c>
      <c r="AF10" s="38">
        <f>Q10-AE10</f>
        <v>457815</v>
      </c>
      <c r="AG10" s="38"/>
      <c r="AH10" s="38"/>
      <c r="AI10" s="40">
        <f>AF10/Q10</f>
        <v>0.30303561842592119</v>
      </c>
      <c r="AJ10" s="44">
        <v>44662</v>
      </c>
      <c r="AK10" s="38" t="s">
        <v>284</v>
      </c>
      <c r="AL10" s="5"/>
      <c r="AM10" s="38">
        <f>589651+463297</f>
        <v>1052948</v>
      </c>
      <c r="AN10" s="38">
        <f t="shared" si="2"/>
        <v>0</v>
      </c>
      <c r="AO10" s="38"/>
      <c r="AP10" s="38"/>
      <c r="AQ10" s="40">
        <v>0</v>
      </c>
      <c r="AR10" s="43">
        <v>44692</v>
      </c>
      <c r="AS10" s="5" t="s">
        <v>284</v>
      </c>
      <c r="AT10" s="5"/>
      <c r="AU10" s="38">
        <f>800240+252708</f>
        <v>1052948</v>
      </c>
      <c r="AV10" s="38">
        <f t="shared" si="4"/>
        <v>0</v>
      </c>
      <c r="AW10" s="38"/>
      <c r="AX10" s="38">
        <v>800240</v>
      </c>
      <c r="AY10" s="40">
        <f>AV10/AM10</f>
        <v>0</v>
      </c>
      <c r="AZ10" s="44">
        <v>44727</v>
      </c>
      <c r="BA10" s="38" t="s">
        <v>284</v>
      </c>
      <c r="BB10" s="44">
        <v>44728</v>
      </c>
      <c r="BC10" s="38">
        <v>800240</v>
      </c>
      <c r="BD10" s="38">
        <v>0</v>
      </c>
      <c r="BE10" s="38"/>
      <c r="BF10" s="38"/>
      <c r="BG10" s="40">
        <v>0</v>
      </c>
      <c r="BH10" s="43">
        <v>44747</v>
      </c>
      <c r="BI10" s="5" t="s">
        <v>284</v>
      </c>
      <c r="BJ10" s="43">
        <v>44757</v>
      </c>
      <c r="BK10" s="38">
        <v>800240</v>
      </c>
      <c r="BL10" s="38">
        <f t="shared" si="3"/>
        <v>0</v>
      </c>
      <c r="BM10" s="38"/>
      <c r="BN10" s="38"/>
      <c r="BO10" s="40">
        <v>0</v>
      </c>
      <c r="BP10" s="43">
        <v>44775</v>
      </c>
      <c r="BQ10" s="5" t="s">
        <v>284</v>
      </c>
      <c r="BR10" s="5"/>
      <c r="BS10" s="38"/>
      <c r="BT10" s="38"/>
      <c r="BU10" s="38"/>
      <c r="BV10" s="38"/>
      <c r="BW10" s="40"/>
      <c r="BX10" s="43"/>
      <c r="BY10" s="5"/>
      <c r="BZ10" s="5"/>
      <c r="CA10" s="38"/>
      <c r="CB10" s="38"/>
      <c r="CC10" s="38"/>
      <c r="CD10" s="38"/>
      <c r="CE10" s="40"/>
      <c r="CF10" s="43"/>
      <c r="CG10" s="5"/>
      <c r="CH10" s="5"/>
      <c r="CI10" s="38"/>
      <c r="CJ10" s="38"/>
      <c r="CK10" s="38"/>
      <c r="CL10" s="38"/>
      <c r="CM10" s="40"/>
      <c r="CN10" s="43"/>
      <c r="CO10" s="5"/>
      <c r="CP10" s="5"/>
      <c r="CQ10" s="38"/>
      <c r="CR10" s="38"/>
      <c r="CS10" s="38"/>
      <c r="CT10" s="38"/>
      <c r="CU10" s="40"/>
      <c r="CV10" s="43"/>
      <c r="CW10" s="5"/>
      <c r="CX10" s="5"/>
    </row>
    <row r="11" spans="1:102" x14ac:dyDescent="0.35">
      <c r="A11" s="2">
        <v>204573</v>
      </c>
      <c r="B11" s="2">
        <v>204573</v>
      </c>
      <c r="C11" s="3" t="s">
        <v>315</v>
      </c>
      <c r="D11" s="48" t="s">
        <v>291</v>
      </c>
      <c r="E11" s="34" t="s">
        <v>313</v>
      </c>
      <c r="F11" s="47" t="s">
        <v>314</v>
      </c>
      <c r="G11" s="50">
        <v>9104</v>
      </c>
      <c r="H11" s="37">
        <v>1463504</v>
      </c>
      <c r="I11" s="37">
        <v>1463504</v>
      </c>
      <c r="J11" s="53">
        <v>1463504</v>
      </c>
      <c r="K11" s="38">
        <f>H11-J11</f>
        <v>0</v>
      </c>
      <c r="L11" s="5"/>
      <c r="M11" s="40">
        <v>0</v>
      </c>
      <c r="N11" s="9" t="s">
        <v>284</v>
      </c>
      <c r="O11" s="41">
        <v>44566</v>
      </c>
      <c r="P11" s="42"/>
      <c r="Q11" s="38">
        <v>1463504</v>
      </c>
      <c r="R11" s="39">
        <f t="shared" si="0"/>
        <v>0</v>
      </c>
      <c r="S11" s="5"/>
      <c r="T11" s="40">
        <v>0</v>
      </c>
      <c r="U11" s="43">
        <v>44600</v>
      </c>
      <c r="V11" s="5" t="s">
        <v>284</v>
      </c>
      <c r="W11" s="42"/>
      <c r="X11" s="38">
        <v>1463504</v>
      </c>
      <c r="Y11" s="38">
        <f t="shared" si="1"/>
        <v>0</v>
      </c>
      <c r="Z11" s="5"/>
      <c r="AA11" s="40">
        <v>0</v>
      </c>
      <c r="AB11" s="43">
        <v>44627</v>
      </c>
      <c r="AC11" s="5" t="s">
        <v>284</v>
      </c>
      <c r="AD11" s="42"/>
      <c r="AE11" s="38">
        <v>1463504</v>
      </c>
      <c r="AF11" s="38">
        <f t="shared" ref="AF11:AF17" si="5">X11-AE11</f>
        <v>0</v>
      </c>
      <c r="AG11" s="38"/>
      <c r="AH11" s="38"/>
      <c r="AI11" s="40">
        <v>0</v>
      </c>
      <c r="AJ11" s="44">
        <v>44659</v>
      </c>
      <c r="AK11" s="38" t="s">
        <v>284</v>
      </c>
      <c r="AL11" s="5"/>
      <c r="AM11" s="38">
        <v>1463504</v>
      </c>
      <c r="AN11" s="38">
        <f t="shared" si="2"/>
        <v>0</v>
      </c>
      <c r="AO11" s="38"/>
      <c r="AP11" s="38"/>
      <c r="AQ11" s="40">
        <v>0</v>
      </c>
      <c r="AR11" s="43">
        <v>44687</v>
      </c>
      <c r="AS11" s="5" t="s">
        <v>284</v>
      </c>
      <c r="AT11" s="5"/>
      <c r="AU11" s="38">
        <v>1463504</v>
      </c>
      <c r="AV11" s="38">
        <f t="shared" si="4"/>
        <v>0</v>
      </c>
      <c r="AW11" s="38"/>
      <c r="AX11" s="38"/>
      <c r="AY11" s="40">
        <v>0</v>
      </c>
      <c r="AZ11" s="44">
        <v>44718</v>
      </c>
      <c r="BA11" s="38" t="s">
        <v>284</v>
      </c>
      <c r="BB11" s="44">
        <v>44728</v>
      </c>
      <c r="BC11" s="38">
        <v>1463504</v>
      </c>
      <c r="BD11" s="38">
        <f>AU11-BC11</f>
        <v>0</v>
      </c>
      <c r="BE11" s="38"/>
      <c r="BF11" s="38"/>
      <c r="BG11" s="40">
        <v>0</v>
      </c>
      <c r="BH11" s="43">
        <v>44750</v>
      </c>
      <c r="BI11" s="5" t="s">
        <v>284</v>
      </c>
      <c r="BJ11" s="43">
        <v>44768</v>
      </c>
      <c r="BK11" s="38">
        <v>1463504</v>
      </c>
      <c r="BL11" s="38">
        <f t="shared" si="3"/>
        <v>0</v>
      </c>
      <c r="BM11" s="38"/>
      <c r="BN11" s="38"/>
      <c r="BO11" s="40">
        <v>0</v>
      </c>
      <c r="BP11" s="43">
        <v>44778</v>
      </c>
      <c r="BQ11" s="5" t="s">
        <v>284</v>
      </c>
      <c r="BR11" s="5"/>
      <c r="BS11" s="38"/>
      <c r="BT11" s="38"/>
      <c r="BU11" s="38"/>
      <c r="BV11" s="38"/>
      <c r="BW11" s="40"/>
      <c r="BX11" s="43"/>
      <c r="BY11" s="5"/>
      <c r="BZ11" s="5"/>
      <c r="CA11" s="38"/>
      <c r="CB11" s="38"/>
      <c r="CC11" s="38"/>
      <c r="CD11" s="38"/>
      <c r="CE11" s="40"/>
      <c r="CF11" s="43"/>
      <c r="CG11" s="5"/>
      <c r="CH11" s="5"/>
      <c r="CI11" s="38"/>
      <c r="CJ11" s="38"/>
      <c r="CK11" s="38"/>
      <c r="CL11" s="38"/>
      <c r="CM11" s="40"/>
      <c r="CN11" s="43"/>
      <c r="CO11" s="5"/>
      <c r="CP11" s="5"/>
      <c r="CQ11" s="38"/>
      <c r="CR11" s="38"/>
      <c r="CS11" s="38"/>
      <c r="CT11" s="38"/>
      <c r="CU11" s="40"/>
      <c r="CV11" s="43"/>
      <c r="CW11" s="5"/>
      <c r="CX11" s="5"/>
    </row>
    <row r="12" spans="1:102" x14ac:dyDescent="0.35">
      <c r="A12" s="50" t="s">
        <v>318</v>
      </c>
      <c r="B12" s="50" t="s">
        <v>318</v>
      </c>
      <c r="C12" s="3" t="s">
        <v>294</v>
      </c>
      <c r="D12" s="48" t="s">
        <v>295</v>
      </c>
      <c r="E12" s="49" t="s">
        <v>316</v>
      </c>
      <c r="F12" s="47" t="s">
        <v>317</v>
      </c>
      <c r="G12" s="34">
        <v>9177</v>
      </c>
      <c r="H12" s="38">
        <v>1041114</v>
      </c>
      <c r="I12" s="37">
        <v>975577</v>
      </c>
      <c r="J12" s="38">
        <v>1073818</v>
      </c>
      <c r="K12" s="39">
        <f>J12-I12</f>
        <v>98241</v>
      </c>
      <c r="L12" s="5"/>
      <c r="M12" s="40">
        <f>K12/H12</f>
        <v>9.4361424397328253E-2</v>
      </c>
      <c r="N12" s="41" t="s">
        <v>284</v>
      </c>
      <c r="O12" s="41">
        <v>44565</v>
      </c>
      <c r="P12" s="42"/>
      <c r="Q12" s="38">
        <v>1073818</v>
      </c>
      <c r="R12" s="39">
        <f t="shared" si="0"/>
        <v>0</v>
      </c>
      <c r="S12" s="5"/>
      <c r="T12" s="40">
        <v>0</v>
      </c>
      <c r="U12" s="43">
        <v>44603</v>
      </c>
      <c r="V12" s="5" t="s">
        <v>284</v>
      </c>
      <c r="W12" s="42"/>
      <c r="X12" s="38">
        <v>1073818</v>
      </c>
      <c r="Y12" s="38">
        <f t="shared" si="1"/>
        <v>0</v>
      </c>
      <c r="Z12" s="5"/>
      <c r="AA12" s="40">
        <v>0</v>
      </c>
      <c r="AB12" s="51">
        <v>44622</v>
      </c>
      <c r="AC12" s="5" t="s">
        <v>284</v>
      </c>
      <c r="AD12" s="42"/>
      <c r="AE12" s="38">
        <v>1073818</v>
      </c>
      <c r="AF12" s="38">
        <f t="shared" si="5"/>
        <v>0</v>
      </c>
      <c r="AG12" s="38"/>
      <c r="AH12" s="38"/>
      <c r="AI12" s="40">
        <v>0</v>
      </c>
      <c r="AJ12" s="44">
        <v>44658</v>
      </c>
      <c r="AK12" s="38" t="s">
        <v>284</v>
      </c>
      <c r="AL12" s="5"/>
      <c r="AM12" s="38">
        <v>1073818</v>
      </c>
      <c r="AN12" s="38">
        <f t="shared" si="2"/>
        <v>0</v>
      </c>
      <c r="AO12" s="38"/>
      <c r="AP12" s="38"/>
      <c r="AQ12" s="40">
        <v>0</v>
      </c>
      <c r="AR12" s="43">
        <v>44684</v>
      </c>
      <c r="AS12" s="5" t="s">
        <v>284</v>
      </c>
      <c r="AT12" s="5"/>
      <c r="AU12" s="38">
        <v>1041114</v>
      </c>
      <c r="AV12" s="38">
        <f t="shared" si="4"/>
        <v>32704</v>
      </c>
      <c r="AW12" s="38"/>
      <c r="AX12" s="38"/>
      <c r="AY12" s="40">
        <f>AV12/AM12</f>
        <v>3.045581280999201E-2</v>
      </c>
      <c r="AZ12" s="44">
        <v>44719</v>
      </c>
      <c r="BA12" s="38" t="s">
        <v>284</v>
      </c>
      <c r="BB12" s="44">
        <v>44728</v>
      </c>
      <c r="BC12" s="38">
        <v>1041114</v>
      </c>
      <c r="BD12" s="38">
        <f>AU12-BC12</f>
        <v>0</v>
      </c>
      <c r="BE12" s="38"/>
      <c r="BF12" s="38"/>
      <c r="BG12" s="40">
        <v>0</v>
      </c>
      <c r="BH12" s="43">
        <v>44748</v>
      </c>
      <c r="BI12" s="5" t="s">
        <v>284</v>
      </c>
      <c r="BJ12" s="43">
        <v>44757</v>
      </c>
      <c r="BK12" s="38">
        <v>1041114</v>
      </c>
      <c r="BL12" s="38">
        <f t="shared" si="3"/>
        <v>0</v>
      </c>
      <c r="BM12" s="38"/>
      <c r="BN12" s="38"/>
      <c r="BO12" s="40">
        <v>0</v>
      </c>
      <c r="BP12" s="43">
        <v>44778</v>
      </c>
      <c r="BQ12" s="5" t="s">
        <v>284</v>
      </c>
      <c r="BR12" s="5"/>
      <c r="BS12" s="580"/>
      <c r="BT12" s="581"/>
      <c r="BU12" s="581"/>
      <c r="BV12" s="581"/>
      <c r="BW12" s="581"/>
      <c r="BX12" s="581"/>
      <c r="BY12" s="581"/>
      <c r="BZ12" s="582"/>
      <c r="CA12" s="38"/>
      <c r="CB12" s="38"/>
      <c r="CC12" s="38"/>
      <c r="CD12" s="38"/>
      <c r="CE12" s="40"/>
      <c r="CF12" s="43"/>
      <c r="CG12" s="5"/>
      <c r="CH12" s="5"/>
      <c r="CI12" s="38"/>
      <c r="CJ12" s="38"/>
      <c r="CK12" s="38"/>
      <c r="CL12" s="38"/>
      <c r="CM12" s="40"/>
      <c r="CN12" s="43"/>
      <c r="CO12" s="5"/>
      <c r="CP12" s="5"/>
      <c r="CQ12" s="38"/>
      <c r="CR12" s="38"/>
      <c r="CS12" s="38"/>
      <c r="CT12" s="38"/>
      <c r="CU12" s="40"/>
      <c r="CV12" s="43"/>
      <c r="CW12" s="5"/>
      <c r="CX12" s="5"/>
    </row>
    <row r="13" spans="1:102" x14ac:dyDescent="0.35">
      <c r="A13" s="50">
        <v>212833</v>
      </c>
      <c r="B13" s="50">
        <v>212833</v>
      </c>
      <c r="C13" s="35" t="s">
        <v>321</v>
      </c>
      <c r="D13" s="45">
        <v>901094453</v>
      </c>
      <c r="E13" s="49" t="s">
        <v>319</v>
      </c>
      <c r="F13" s="5" t="s">
        <v>320</v>
      </c>
      <c r="G13" s="34">
        <v>9302</v>
      </c>
      <c r="H13" s="37">
        <v>1402652</v>
      </c>
      <c r="I13" s="37">
        <v>1402652</v>
      </c>
      <c r="J13" s="38">
        <v>1402652</v>
      </c>
      <c r="K13" s="39">
        <f>H13-J13</f>
        <v>0</v>
      </c>
      <c r="L13" s="5"/>
      <c r="M13" s="40">
        <v>0</v>
      </c>
      <c r="N13" s="41" t="s">
        <v>284</v>
      </c>
      <c r="O13" s="41">
        <v>44565</v>
      </c>
      <c r="P13" s="42"/>
      <c r="Q13" s="38">
        <v>1402652</v>
      </c>
      <c r="R13" s="39">
        <f t="shared" si="0"/>
        <v>0</v>
      </c>
      <c r="S13" s="5"/>
      <c r="T13" s="40">
        <v>0</v>
      </c>
      <c r="U13" s="51">
        <v>44594</v>
      </c>
      <c r="V13" s="5" t="s">
        <v>284</v>
      </c>
      <c r="W13" s="42"/>
      <c r="X13" s="38">
        <v>1402652</v>
      </c>
      <c r="Y13" s="38">
        <f t="shared" si="1"/>
        <v>0</v>
      </c>
      <c r="Z13" s="5"/>
      <c r="AA13" s="40">
        <v>0</v>
      </c>
      <c r="AB13" s="51">
        <v>44621</v>
      </c>
      <c r="AC13" s="5" t="s">
        <v>284</v>
      </c>
      <c r="AD13" s="42"/>
      <c r="AE13" s="38">
        <v>1402652</v>
      </c>
      <c r="AF13" s="38">
        <f t="shared" si="5"/>
        <v>0</v>
      </c>
      <c r="AG13" s="38"/>
      <c r="AH13" s="38"/>
      <c r="AI13" s="40">
        <v>0</v>
      </c>
      <c r="AJ13" s="44">
        <v>44655</v>
      </c>
      <c r="AK13" s="38" t="s">
        <v>284</v>
      </c>
      <c r="AL13" s="5"/>
      <c r="AM13" s="38">
        <v>1402652</v>
      </c>
      <c r="AN13" s="38">
        <f t="shared" si="2"/>
        <v>0</v>
      </c>
      <c r="AO13" s="38"/>
      <c r="AP13" s="38"/>
      <c r="AQ13" s="40">
        <v>0</v>
      </c>
      <c r="AR13" s="43">
        <v>44683</v>
      </c>
      <c r="AS13" s="5" t="s">
        <v>284</v>
      </c>
      <c r="AT13" s="5"/>
      <c r="AU13" s="38">
        <v>1402652</v>
      </c>
      <c r="AV13" s="38">
        <f t="shared" si="4"/>
        <v>0</v>
      </c>
      <c r="AW13" s="38"/>
      <c r="AX13" s="38"/>
      <c r="AY13" s="40">
        <v>0</v>
      </c>
      <c r="AZ13" s="44">
        <v>44713</v>
      </c>
      <c r="BA13" s="38" t="s">
        <v>284</v>
      </c>
      <c r="BB13" s="44">
        <v>44728</v>
      </c>
      <c r="BC13" s="38">
        <v>1402652</v>
      </c>
      <c r="BD13" s="38">
        <f>AU13-BC13</f>
        <v>0</v>
      </c>
      <c r="BE13" s="38"/>
      <c r="BF13" s="38"/>
      <c r="BG13" s="40">
        <v>0</v>
      </c>
      <c r="BH13" s="43">
        <v>44743</v>
      </c>
      <c r="BI13" s="5" t="s">
        <v>284</v>
      </c>
      <c r="BJ13" s="43">
        <v>44757</v>
      </c>
      <c r="BK13" s="38">
        <v>1402652</v>
      </c>
      <c r="BL13" s="38">
        <f t="shared" si="3"/>
        <v>0</v>
      </c>
      <c r="BM13" s="38"/>
      <c r="BN13" s="38"/>
      <c r="BO13" s="40">
        <v>0</v>
      </c>
      <c r="BP13" s="43">
        <v>44776</v>
      </c>
      <c r="BQ13" s="5" t="s">
        <v>284</v>
      </c>
      <c r="BR13" s="5"/>
      <c r="BS13" s="583"/>
      <c r="BT13" s="584"/>
      <c r="BU13" s="584"/>
      <c r="BV13" s="584"/>
      <c r="BW13" s="584"/>
      <c r="BX13" s="584"/>
      <c r="BY13" s="584"/>
      <c r="BZ13" s="585"/>
      <c r="CA13" s="38"/>
      <c r="CB13" s="38"/>
      <c r="CC13" s="38"/>
      <c r="CD13" s="38"/>
      <c r="CE13" s="40"/>
      <c r="CF13" s="43"/>
      <c r="CG13" s="5"/>
      <c r="CH13" s="5"/>
      <c r="CI13" s="38"/>
      <c r="CJ13" s="38"/>
      <c r="CK13" s="38"/>
      <c r="CL13" s="38"/>
      <c r="CM13" s="40"/>
      <c r="CN13" s="43"/>
      <c r="CO13" s="5"/>
      <c r="CP13" s="5"/>
      <c r="CQ13" s="38"/>
      <c r="CR13" s="38"/>
      <c r="CS13" s="38"/>
      <c r="CT13" s="38"/>
      <c r="CU13" s="40"/>
      <c r="CV13" s="43"/>
      <c r="CW13" s="5"/>
      <c r="CX13" s="5"/>
    </row>
    <row r="14" spans="1:102" x14ac:dyDescent="0.35">
      <c r="A14" s="34">
        <v>217751</v>
      </c>
      <c r="B14" s="34">
        <v>217751</v>
      </c>
      <c r="C14" s="35" t="s">
        <v>324</v>
      </c>
      <c r="D14" s="45" t="s">
        <v>325</v>
      </c>
      <c r="E14" s="33" t="s">
        <v>322</v>
      </c>
      <c r="F14" s="5" t="s">
        <v>323</v>
      </c>
      <c r="G14" s="34">
        <v>9304</v>
      </c>
      <c r="H14" s="53">
        <v>789405</v>
      </c>
      <c r="I14" s="37">
        <v>717185</v>
      </c>
      <c r="J14" s="53">
        <v>789405</v>
      </c>
      <c r="K14" s="39">
        <f>I14-J14</f>
        <v>-72220</v>
      </c>
      <c r="L14" s="5"/>
      <c r="M14" s="40">
        <f>K14/I14</f>
        <v>-0.1006992616967728</v>
      </c>
      <c r="N14" s="9" t="s">
        <v>284</v>
      </c>
      <c r="O14" s="41">
        <v>44574</v>
      </c>
      <c r="P14" s="42"/>
      <c r="Q14" s="39">
        <v>789405</v>
      </c>
      <c r="R14" s="39">
        <f t="shared" si="0"/>
        <v>0</v>
      </c>
      <c r="S14" s="5"/>
      <c r="T14" s="40">
        <v>0</v>
      </c>
      <c r="U14" s="43">
        <v>44600</v>
      </c>
      <c r="V14" s="5" t="s">
        <v>284</v>
      </c>
      <c r="W14" s="42"/>
      <c r="X14" s="38">
        <v>789405</v>
      </c>
      <c r="Y14" s="38">
        <f t="shared" si="1"/>
        <v>0</v>
      </c>
      <c r="Z14" s="5"/>
      <c r="AA14" s="40">
        <v>0</v>
      </c>
      <c r="AB14" s="51">
        <v>44627</v>
      </c>
      <c r="AC14" s="5" t="s">
        <v>284</v>
      </c>
      <c r="AD14" s="42"/>
      <c r="AE14" s="38">
        <v>789405</v>
      </c>
      <c r="AF14" s="38">
        <f t="shared" si="5"/>
        <v>0</v>
      </c>
      <c r="AG14" s="38"/>
      <c r="AH14" s="38"/>
      <c r="AI14" s="40">
        <v>0</v>
      </c>
      <c r="AJ14" s="44">
        <v>44659</v>
      </c>
      <c r="AK14" s="38" t="s">
        <v>284</v>
      </c>
      <c r="AL14" s="5"/>
      <c r="AM14" s="38">
        <v>789405</v>
      </c>
      <c r="AN14" s="38">
        <f t="shared" si="2"/>
        <v>0</v>
      </c>
      <c r="AO14" s="38"/>
      <c r="AP14" s="38"/>
      <c r="AQ14" s="40">
        <v>0</v>
      </c>
      <c r="AR14" s="43">
        <v>44687</v>
      </c>
      <c r="AS14" s="5" t="s">
        <v>284</v>
      </c>
      <c r="AT14" s="5"/>
      <c r="AU14" s="38">
        <v>789268</v>
      </c>
      <c r="AV14" s="38">
        <f t="shared" si="4"/>
        <v>137</v>
      </c>
      <c r="AW14" s="38"/>
      <c r="AX14" s="38"/>
      <c r="AY14" s="40">
        <f>AV14/AM14</f>
        <v>1.7354843204692142E-4</v>
      </c>
      <c r="AZ14" s="44">
        <v>44719</v>
      </c>
      <c r="BA14" s="38" t="s">
        <v>284</v>
      </c>
      <c r="BB14" s="44">
        <v>44728</v>
      </c>
      <c r="BC14" s="38">
        <v>789405</v>
      </c>
      <c r="BD14" s="38">
        <f>AM14-BC14</f>
        <v>0</v>
      </c>
      <c r="BE14" s="38"/>
      <c r="BF14" s="38"/>
      <c r="BG14" s="40">
        <v>0</v>
      </c>
      <c r="BH14" s="43">
        <v>44750</v>
      </c>
      <c r="BI14" s="5" t="s">
        <v>284</v>
      </c>
      <c r="BJ14" s="43">
        <v>44768</v>
      </c>
      <c r="BK14" s="38">
        <v>789405</v>
      </c>
      <c r="BL14" s="38">
        <f t="shared" si="3"/>
        <v>0</v>
      </c>
      <c r="BM14" s="38"/>
      <c r="BN14" s="38"/>
      <c r="BO14" s="40">
        <v>0</v>
      </c>
      <c r="BP14" s="43">
        <v>44778</v>
      </c>
      <c r="BQ14" s="5" t="s">
        <v>284</v>
      </c>
      <c r="BR14" s="5"/>
      <c r="BS14" s="38"/>
      <c r="BT14" s="38"/>
      <c r="BU14" s="38"/>
      <c r="BV14" s="38"/>
      <c r="BW14" s="40"/>
      <c r="BX14" s="43"/>
      <c r="BY14" s="5"/>
      <c r="BZ14" s="5"/>
      <c r="CA14" s="38"/>
      <c r="CB14" s="38"/>
      <c r="CC14" s="38"/>
      <c r="CD14" s="38"/>
      <c r="CE14" s="40"/>
      <c r="CF14" s="43"/>
      <c r="CG14" s="5"/>
      <c r="CH14" s="5"/>
      <c r="CI14" s="38"/>
      <c r="CJ14" s="38"/>
      <c r="CK14" s="38"/>
      <c r="CL14" s="38"/>
      <c r="CM14" s="40"/>
      <c r="CN14" s="43"/>
      <c r="CO14" s="5"/>
      <c r="CP14" s="5"/>
      <c r="CQ14" s="38"/>
      <c r="CR14" s="38"/>
      <c r="CS14" s="38"/>
      <c r="CT14" s="38"/>
      <c r="CU14" s="40"/>
      <c r="CV14" s="43"/>
      <c r="CW14" s="5"/>
      <c r="CX14" s="5"/>
    </row>
    <row r="15" spans="1:102" x14ac:dyDescent="0.35">
      <c r="A15" s="54">
        <v>289666</v>
      </c>
      <c r="B15" s="54">
        <v>289666</v>
      </c>
      <c r="C15" s="35" t="s">
        <v>328</v>
      </c>
      <c r="D15" s="42" t="s">
        <v>329</v>
      </c>
      <c r="E15" s="33" t="s">
        <v>326</v>
      </c>
      <c r="F15" s="47" t="s">
        <v>327</v>
      </c>
      <c r="G15" s="34">
        <v>9303</v>
      </c>
      <c r="H15" s="38">
        <v>1188154</v>
      </c>
      <c r="I15" s="37">
        <v>1079453</v>
      </c>
      <c r="J15" s="38">
        <v>1188154</v>
      </c>
      <c r="K15" s="39">
        <f>I15-J15</f>
        <v>-108701</v>
      </c>
      <c r="L15" s="5"/>
      <c r="M15" s="40">
        <f>K15/I15</f>
        <v>-0.1007000767981561</v>
      </c>
      <c r="N15" s="9" t="s">
        <v>284</v>
      </c>
      <c r="O15" s="41">
        <v>44574</v>
      </c>
      <c r="P15" s="42"/>
      <c r="Q15" s="39">
        <v>1188154</v>
      </c>
      <c r="R15" s="39">
        <f t="shared" si="0"/>
        <v>0</v>
      </c>
      <c r="S15" s="5"/>
      <c r="T15" s="40">
        <v>0</v>
      </c>
      <c r="U15" s="43">
        <v>44600</v>
      </c>
      <c r="V15" s="5" t="s">
        <v>284</v>
      </c>
      <c r="W15" s="42"/>
      <c r="X15" s="38">
        <v>1188154</v>
      </c>
      <c r="Y15" s="38">
        <f t="shared" si="1"/>
        <v>0</v>
      </c>
      <c r="Z15" s="5"/>
      <c r="AA15" s="40">
        <v>0</v>
      </c>
      <c r="AB15" s="51">
        <v>44628</v>
      </c>
      <c r="AC15" s="5" t="s">
        <v>284</v>
      </c>
      <c r="AD15" s="42"/>
      <c r="AE15" s="38">
        <v>1188154</v>
      </c>
      <c r="AF15" s="38">
        <f t="shared" si="5"/>
        <v>0</v>
      </c>
      <c r="AG15" s="38"/>
      <c r="AH15" s="38"/>
      <c r="AI15" s="40">
        <v>0</v>
      </c>
      <c r="AJ15" s="44">
        <v>44659</v>
      </c>
      <c r="AK15" s="38" t="s">
        <v>284</v>
      </c>
      <c r="AL15" s="5"/>
      <c r="AM15" s="38">
        <v>1188154</v>
      </c>
      <c r="AN15" s="38">
        <f t="shared" si="2"/>
        <v>0</v>
      </c>
      <c r="AO15" s="38"/>
      <c r="AP15" s="38"/>
      <c r="AQ15" s="40">
        <v>0</v>
      </c>
      <c r="AR15" s="43">
        <v>44687</v>
      </c>
      <c r="AS15" s="5" t="s">
        <v>284</v>
      </c>
      <c r="AT15" s="5"/>
      <c r="AU15" s="38">
        <v>1188154</v>
      </c>
      <c r="AV15" s="38">
        <f t="shared" si="4"/>
        <v>0</v>
      </c>
      <c r="AW15" s="38"/>
      <c r="AX15" s="38"/>
      <c r="AY15" s="40">
        <v>0</v>
      </c>
      <c r="AZ15" s="44">
        <v>44719</v>
      </c>
      <c r="BA15" s="38" t="s">
        <v>284</v>
      </c>
      <c r="BB15" s="44">
        <v>44728</v>
      </c>
      <c r="BC15" s="38">
        <v>1188154</v>
      </c>
      <c r="BD15" s="38">
        <f>AU15-BC15</f>
        <v>0</v>
      </c>
      <c r="BE15" s="38"/>
      <c r="BF15" s="38"/>
      <c r="BG15" s="40">
        <v>0</v>
      </c>
      <c r="BH15" s="43">
        <v>44750</v>
      </c>
      <c r="BI15" s="5" t="s">
        <v>284</v>
      </c>
      <c r="BJ15" s="43">
        <v>44768</v>
      </c>
      <c r="BK15" s="38">
        <v>1188154</v>
      </c>
      <c r="BL15" s="38">
        <f t="shared" si="3"/>
        <v>0</v>
      </c>
      <c r="BM15" s="38"/>
      <c r="BN15" s="38"/>
      <c r="BO15" s="40">
        <v>0</v>
      </c>
      <c r="BP15" s="43">
        <v>44778</v>
      </c>
      <c r="BQ15" s="5" t="s">
        <v>284</v>
      </c>
      <c r="BR15" s="5"/>
      <c r="BS15" s="38"/>
      <c r="BT15" s="38"/>
      <c r="BU15" s="38"/>
      <c r="BV15" s="38"/>
      <c r="BW15" s="40"/>
      <c r="BX15" s="43"/>
      <c r="BY15" s="5"/>
      <c r="BZ15" s="5"/>
      <c r="CA15" s="38"/>
      <c r="CB15" s="38"/>
      <c r="CC15" s="38"/>
      <c r="CD15" s="38"/>
      <c r="CE15" s="40"/>
      <c r="CF15" s="43"/>
      <c r="CG15" s="5"/>
      <c r="CH15" s="5"/>
      <c r="CI15" s="38"/>
      <c r="CJ15" s="38"/>
      <c r="CK15" s="38"/>
      <c r="CL15" s="38"/>
      <c r="CM15" s="40"/>
      <c r="CN15" s="43"/>
      <c r="CO15" s="5"/>
      <c r="CP15" s="5"/>
      <c r="CQ15" s="38"/>
      <c r="CR15" s="38"/>
      <c r="CS15" s="38"/>
      <c r="CT15" s="38"/>
      <c r="CU15" s="40"/>
      <c r="CV15" s="43"/>
      <c r="CW15" s="5"/>
      <c r="CX15" s="5"/>
    </row>
    <row r="16" spans="1:102" x14ac:dyDescent="0.35">
      <c r="A16" s="34">
        <v>214089</v>
      </c>
      <c r="B16" s="34">
        <v>214089</v>
      </c>
      <c r="C16" s="35" t="s">
        <v>332</v>
      </c>
      <c r="D16" s="36" t="s">
        <v>333</v>
      </c>
      <c r="E16" s="6" t="s">
        <v>330</v>
      </c>
      <c r="F16" s="5" t="s">
        <v>331</v>
      </c>
      <c r="G16" s="34">
        <v>9305</v>
      </c>
      <c r="H16" s="39">
        <v>1514082</v>
      </c>
      <c r="I16" s="37">
        <v>1433518</v>
      </c>
      <c r="J16" s="38">
        <v>1433518</v>
      </c>
      <c r="K16" s="39">
        <f>I16-J16</f>
        <v>0</v>
      </c>
      <c r="L16" s="5"/>
      <c r="M16" s="40">
        <v>0</v>
      </c>
      <c r="N16" s="41" t="s">
        <v>284</v>
      </c>
      <c r="O16" s="41">
        <v>44564</v>
      </c>
      <c r="P16" s="42"/>
      <c r="Q16" s="39">
        <v>1514082</v>
      </c>
      <c r="R16" s="39">
        <f t="shared" si="0"/>
        <v>-80564</v>
      </c>
      <c r="S16" s="5"/>
      <c r="T16" s="40">
        <f>R16/J16</f>
        <v>-5.6200201183382419E-2</v>
      </c>
      <c r="U16" s="43">
        <v>44594</v>
      </c>
      <c r="V16" s="5" t="s">
        <v>284</v>
      </c>
      <c r="W16" s="42"/>
      <c r="X16" s="38">
        <v>1514082</v>
      </c>
      <c r="Y16" s="38">
        <f t="shared" si="1"/>
        <v>0</v>
      </c>
      <c r="Z16" s="5"/>
      <c r="AA16" s="40">
        <v>0</v>
      </c>
      <c r="AB16" s="51">
        <v>44621</v>
      </c>
      <c r="AC16" s="5" t="s">
        <v>284</v>
      </c>
      <c r="AD16" s="42"/>
      <c r="AE16" s="38">
        <v>1514082</v>
      </c>
      <c r="AF16" s="38">
        <f t="shared" si="5"/>
        <v>0</v>
      </c>
      <c r="AG16" s="38"/>
      <c r="AH16" s="38"/>
      <c r="AI16" s="40">
        <v>0</v>
      </c>
      <c r="AJ16" s="44">
        <v>44658</v>
      </c>
      <c r="AK16" s="38" t="s">
        <v>284</v>
      </c>
      <c r="AL16" s="5"/>
      <c r="AM16" s="38">
        <v>1514082</v>
      </c>
      <c r="AN16" s="38">
        <f t="shared" si="2"/>
        <v>0</v>
      </c>
      <c r="AO16" s="38"/>
      <c r="AP16" s="38"/>
      <c r="AQ16" s="40">
        <v>0</v>
      </c>
      <c r="AR16" s="43">
        <v>44686</v>
      </c>
      <c r="AS16" s="5" t="s">
        <v>284</v>
      </c>
      <c r="AT16" s="5"/>
      <c r="AU16" s="38">
        <v>1514082</v>
      </c>
      <c r="AV16" s="38">
        <f t="shared" si="4"/>
        <v>0</v>
      </c>
      <c r="AW16" s="38"/>
      <c r="AX16" s="38"/>
      <c r="AY16" s="40">
        <v>0</v>
      </c>
      <c r="AZ16" s="44">
        <v>44719</v>
      </c>
      <c r="BA16" s="38" t="s">
        <v>284</v>
      </c>
      <c r="BB16" s="44">
        <v>44728</v>
      </c>
      <c r="BC16" s="38">
        <v>1514082</v>
      </c>
      <c r="BD16" s="38">
        <f>AU16-BC16</f>
        <v>0</v>
      </c>
      <c r="BE16" s="38"/>
      <c r="BF16" s="38"/>
      <c r="BG16" s="40">
        <v>0</v>
      </c>
      <c r="BH16" s="43">
        <v>44743</v>
      </c>
      <c r="BI16" s="5" t="s">
        <v>284</v>
      </c>
      <c r="BJ16" s="43">
        <v>44757</v>
      </c>
      <c r="BK16" s="38">
        <v>1514082</v>
      </c>
      <c r="BL16" s="38">
        <f t="shared" si="3"/>
        <v>0</v>
      </c>
      <c r="BM16" s="38"/>
      <c r="BN16" s="38"/>
      <c r="BO16" s="40">
        <v>0</v>
      </c>
      <c r="BP16" s="43">
        <v>44775</v>
      </c>
      <c r="BQ16" s="5" t="s">
        <v>284</v>
      </c>
      <c r="BR16" s="5"/>
      <c r="BS16" s="38"/>
      <c r="BT16" s="38"/>
      <c r="BU16" s="38"/>
      <c r="BV16" s="38"/>
      <c r="BW16" s="40"/>
      <c r="BX16" s="43"/>
      <c r="BY16" s="5"/>
      <c r="BZ16" s="5"/>
      <c r="CA16" s="38"/>
      <c r="CB16" s="38"/>
      <c r="CC16" s="38"/>
      <c r="CD16" s="38"/>
      <c r="CE16" s="40"/>
      <c r="CF16" s="43"/>
      <c r="CG16" s="5"/>
      <c r="CH16" s="5"/>
      <c r="CI16" s="38"/>
      <c r="CJ16" s="38"/>
      <c r="CK16" s="38"/>
      <c r="CL16" s="38"/>
      <c r="CM16" s="40"/>
      <c r="CN16" s="43"/>
      <c r="CO16" s="5"/>
      <c r="CP16" s="5"/>
      <c r="CQ16" s="38"/>
      <c r="CR16" s="38"/>
      <c r="CS16" s="38"/>
      <c r="CT16" s="38"/>
      <c r="CU16" s="40"/>
      <c r="CV16" s="43"/>
      <c r="CW16" s="5"/>
      <c r="CX16" s="5"/>
    </row>
    <row r="17" spans="1:102" x14ac:dyDescent="0.35">
      <c r="A17" s="2">
        <v>204600</v>
      </c>
      <c r="B17" s="2">
        <v>204600</v>
      </c>
      <c r="C17" s="3" t="s">
        <v>294</v>
      </c>
      <c r="D17" s="48" t="s">
        <v>295</v>
      </c>
      <c r="E17" s="34" t="s">
        <v>334</v>
      </c>
      <c r="F17" s="47" t="s">
        <v>335</v>
      </c>
      <c r="G17" s="55">
        <v>6553</v>
      </c>
      <c r="H17" s="37">
        <v>2906913</v>
      </c>
      <c r="I17" s="37">
        <v>2718570</v>
      </c>
      <c r="J17" s="38">
        <f>1495202+1497128</f>
        <v>2992330</v>
      </c>
      <c r="K17" s="39">
        <f>H17-J17</f>
        <v>-85417</v>
      </c>
      <c r="L17" s="5"/>
      <c r="M17" s="40">
        <f>K17/H17</f>
        <v>-2.9384092334376707E-2</v>
      </c>
      <c r="N17" s="41" t="s">
        <v>284</v>
      </c>
      <c r="O17" s="41">
        <v>44565</v>
      </c>
      <c r="P17" s="42"/>
      <c r="Q17" s="38">
        <f>1495202+1497128</f>
        <v>2992330</v>
      </c>
      <c r="R17" s="39">
        <f t="shared" si="0"/>
        <v>0</v>
      </c>
      <c r="S17" s="5"/>
      <c r="T17" s="40">
        <v>0</v>
      </c>
      <c r="U17" s="43">
        <v>44600</v>
      </c>
      <c r="V17" s="5" t="s">
        <v>284</v>
      </c>
      <c r="W17" s="42"/>
      <c r="X17" s="38">
        <f>1495202+1497128</f>
        <v>2992330</v>
      </c>
      <c r="Y17" s="38">
        <f t="shared" si="1"/>
        <v>0</v>
      </c>
      <c r="Z17" s="5"/>
      <c r="AA17" s="40">
        <v>0</v>
      </c>
      <c r="AB17" s="51">
        <v>44622</v>
      </c>
      <c r="AC17" s="5" t="s">
        <v>284</v>
      </c>
      <c r="AD17" s="42"/>
      <c r="AE17" s="38">
        <f>1495202+1497128</f>
        <v>2992330</v>
      </c>
      <c r="AF17" s="38">
        <f t="shared" si="5"/>
        <v>0</v>
      </c>
      <c r="AG17" s="38"/>
      <c r="AH17" s="38"/>
      <c r="AI17" s="40">
        <v>0</v>
      </c>
      <c r="AJ17" s="44">
        <v>44658</v>
      </c>
      <c r="AK17" s="38" t="s">
        <v>284</v>
      </c>
      <c r="AL17" s="5"/>
      <c r="AM17" s="38">
        <f>1495202+1497128</f>
        <v>2992330</v>
      </c>
      <c r="AN17" s="38">
        <f t="shared" si="2"/>
        <v>0</v>
      </c>
      <c r="AO17" s="38"/>
      <c r="AP17" s="38"/>
      <c r="AQ17" s="40">
        <v>0</v>
      </c>
      <c r="AR17" s="43">
        <v>44687</v>
      </c>
      <c r="AS17" s="5" t="s">
        <v>284</v>
      </c>
      <c r="AT17" s="5"/>
      <c r="AU17" s="38">
        <f>1454902+1452011</f>
        <v>2906913</v>
      </c>
      <c r="AV17" s="38">
        <f>AM17-AU17</f>
        <v>85417</v>
      </c>
      <c r="AW17" s="38"/>
      <c r="AX17" s="38"/>
      <c r="AY17" s="40">
        <f>AV17/AM17</f>
        <v>2.8545314186603749E-2</v>
      </c>
      <c r="AZ17" s="44">
        <v>44721</v>
      </c>
      <c r="BA17" s="38" t="s">
        <v>284</v>
      </c>
      <c r="BB17" s="44">
        <v>44736</v>
      </c>
      <c r="BC17" s="38">
        <f>1452011+1454902</f>
        <v>2906913</v>
      </c>
      <c r="BD17" s="38">
        <f>AU17-BC17</f>
        <v>0</v>
      </c>
      <c r="BE17" s="38"/>
      <c r="BF17" s="38"/>
      <c r="BG17" s="40">
        <v>0</v>
      </c>
      <c r="BH17" s="43">
        <v>44748</v>
      </c>
      <c r="BI17" s="5" t="s">
        <v>284</v>
      </c>
      <c r="BJ17" s="43">
        <v>44757</v>
      </c>
      <c r="BK17" s="38">
        <f>1454902+1452011</f>
        <v>2906913</v>
      </c>
      <c r="BL17" s="38">
        <f>BC17-BK17</f>
        <v>0</v>
      </c>
      <c r="BM17" s="38"/>
      <c r="BN17" s="38"/>
      <c r="BO17" s="40">
        <v>0</v>
      </c>
      <c r="BP17" s="43">
        <v>44784</v>
      </c>
      <c r="BQ17" s="5" t="s">
        <v>284</v>
      </c>
      <c r="BR17" s="5"/>
      <c r="BS17" s="580"/>
      <c r="BT17" s="581"/>
      <c r="BU17" s="581"/>
      <c r="BV17" s="581"/>
      <c r="BW17" s="581"/>
      <c r="BX17" s="581"/>
      <c r="BY17" s="581"/>
      <c r="BZ17" s="582"/>
      <c r="CA17" s="38"/>
      <c r="CB17" s="38"/>
      <c r="CC17" s="38"/>
      <c r="CD17" s="38"/>
      <c r="CE17" s="40"/>
      <c r="CF17" s="43"/>
      <c r="CG17" s="5"/>
      <c r="CH17" s="5"/>
      <c r="CI17" s="38"/>
      <c r="CJ17" s="38"/>
      <c r="CK17" s="38"/>
      <c r="CL17" s="38"/>
      <c r="CM17" s="40"/>
      <c r="CN17" s="43"/>
      <c r="CO17" s="5"/>
      <c r="CP17" s="5"/>
      <c r="CQ17" s="38"/>
      <c r="CR17" s="38"/>
      <c r="CS17" s="38"/>
      <c r="CT17" s="38"/>
      <c r="CU17" s="40"/>
      <c r="CV17" s="43"/>
      <c r="CW17" s="5"/>
      <c r="CX17" s="5"/>
    </row>
    <row r="18" spans="1:102" x14ac:dyDescent="0.35">
      <c r="A18" s="2">
        <v>204526</v>
      </c>
      <c r="B18" s="2">
        <v>204526</v>
      </c>
      <c r="C18" s="3" t="s">
        <v>99</v>
      </c>
      <c r="D18" s="48" t="s">
        <v>338</v>
      </c>
      <c r="E18" s="34" t="s">
        <v>336</v>
      </c>
      <c r="F18" s="47" t="s">
        <v>337</v>
      </c>
      <c r="G18" s="55">
        <v>6554</v>
      </c>
      <c r="H18" s="38">
        <v>2508901</v>
      </c>
      <c r="I18" s="37">
        <v>2283391</v>
      </c>
      <c r="J18" s="38">
        <v>2411718</v>
      </c>
      <c r="K18" s="38">
        <v>482344</v>
      </c>
      <c r="L18" s="5"/>
      <c r="M18" s="40">
        <f>K18/J18</f>
        <v>0.2000001658568705</v>
      </c>
      <c r="N18" s="9" t="s">
        <v>284</v>
      </c>
      <c r="O18" s="41">
        <v>44568</v>
      </c>
      <c r="P18" s="42"/>
      <c r="Q18" s="38">
        <v>2411718</v>
      </c>
      <c r="R18" s="38">
        <v>482344</v>
      </c>
      <c r="S18" s="5"/>
      <c r="T18" s="40">
        <f>R18/Q18</f>
        <v>0.2000001658568705</v>
      </c>
      <c r="U18" s="51">
        <v>44594</v>
      </c>
      <c r="V18" s="5" t="s">
        <v>284</v>
      </c>
      <c r="W18" s="42"/>
      <c r="X18" s="38">
        <v>2411718</v>
      </c>
      <c r="Y18" s="38">
        <v>482344</v>
      </c>
      <c r="Z18" s="5"/>
      <c r="AA18" s="40">
        <f>Y18/X18</f>
        <v>0.2000001658568705</v>
      </c>
      <c r="AB18" s="51">
        <v>44621</v>
      </c>
      <c r="AC18" s="5" t="s">
        <v>284</v>
      </c>
      <c r="AD18" s="42"/>
      <c r="AE18" s="38">
        <v>2461703</v>
      </c>
      <c r="AF18" s="38">
        <v>492341</v>
      </c>
      <c r="AG18" s="38"/>
      <c r="AH18" s="38"/>
      <c r="AI18" s="40">
        <f>AF18/AE18</f>
        <v>0.20000016248913863</v>
      </c>
      <c r="AJ18" s="44">
        <v>44657</v>
      </c>
      <c r="AK18" s="38" t="s">
        <v>284</v>
      </c>
      <c r="AL18" s="5"/>
      <c r="AM18" s="38">
        <v>2461703</v>
      </c>
      <c r="AN18" s="38">
        <v>492341</v>
      </c>
      <c r="AO18" s="38"/>
      <c r="AP18" s="38"/>
      <c r="AQ18" s="40">
        <f>AN18/AM18</f>
        <v>0.20000016248913863</v>
      </c>
      <c r="AR18" s="43">
        <v>44684</v>
      </c>
      <c r="AS18" s="5" t="s">
        <v>284</v>
      </c>
      <c r="AT18" s="5"/>
      <c r="AU18" s="38">
        <v>2461703</v>
      </c>
      <c r="AV18" s="38">
        <v>492341</v>
      </c>
      <c r="AW18" s="38"/>
      <c r="AX18" s="38"/>
      <c r="AY18" s="40">
        <f>AV18/AU18</f>
        <v>0.20000016248913863</v>
      </c>
      <c r="AZ18" s="44">
        <v>44715</v>
      </c>
      <c r="BA18" s="38" t="s">
        <v>284</v>
      </c>
      <c r="BB18" s="44">
        <v>44728</v>
      </c>
      <c r="BC18" s="38">
        <v>2508901</v>
      </c>
      <c r="BD18" s="38">
        <v>501780</v>
      </c>
      <c r="BE18" s="38"/>
      <c r="BF18" s="38"/>
      <c r="BG18" s="40">
        <f>BD18/BC18</f>
        <v>0.19999992028382149</v>
      </c>
      <c r="BH18" s="43">
        <v>44743</v>
      </c>
      <c r="BI18" s="5" t="s">
        <v>284</v>
      </c>
      <c r="BJ18" s="43">
        <v>44757</v>
      </c>
      <c r="BK18" s="38">
        <v>2508901</v>
      </c>
      <c r="BL18" s="38">
        <v>501780</v>
      </c>
      <c r="BM18" s="38"/>
      <c r="BN18" s="38"/>
      <c r="BO18" s="40">
        <f>BL18/BK18</f>
        <v>0.19999992028382149</v>
      </c>
      <c r="BP18" s="43">
        <v>44774</v>
      </c>
      <c r="BQ18" s="5" t="s">
        <v>284</v>
      </c>
      <c r="BR18" s="5"/>
      <c r="BS18" s="38"/>
      <c r="BT18" s="38"/>
      <c r="BU18" s="38"/>
      <c r="BV18" s="38"/>
      <c r="BW18" s="40"/>
      <c r="BX18" s="43"/>
      <c r="BY18" s="5"/>
      <c r="BZ18" s="5"/>
      <c r="CA18" s="38"/>
      <c r="CB18" s="38"/>
      <c r="CC18" s="38"/>
      <c r="CD18" s="38"/>
      <c r="CE18" s="40"/>
      <c r="CF18" s="43"/>
      <c r="CG18" s="5"/>
      <c r="CH18" s="5"/>
      <c r="CI18" s="38"/>
      <c r="CJ18" s="38"/>
      <c r="CK18" s="38"/>
      <c r="CL18" s="38"/>
      <c r="CM18" s="40"/>
      <c r="CN18" s="43"/>
      <c r="CO18" s="5"/>
      <c r="CP18" s="5"/>
      <c r="CQ18" s="38"/>
      <c r="CR18" s="38"/>
      <c r="CS18" s="38"/>
      <c r="CT18" s="38"/>
      <c r="CU18" s="40"/>
      <c r="CV18" s="43"/>
      <c r="CW18" s="5"/>
      <c r="CX18" s="5"/>
    </row>
    <row r="19" spans="1:102" x14ac:dyDescent="0.35">
      <c r="A19" s="2">
        <v>204648</v>
      </c>
      <c r="B19" s="2">
        <v>204648</v>
      </c>
      <c r="C19" s="3" t="s">
        <v>341</v>
      </c>
      <c r="D19" s="48" t="s">
        <v>342</v>
      </c>
      <c r="E19" s="34" t="s">
        <v>339</v>
      </c>
      <c r="F19" s="47" t="s">
        <v>340</v>
      </c>
      <c r="G19" s="55">
        <v>6556</v>
      </c>
      <c r="H19" s="38">
        <v>707373</v>
      </c>
      <c r="I19" s="37">
        <v>669734</v>
      </c>
      <c r="J19" s="38">
        <v>707373</v>
      </c>
      <c r="K19" s="39">
        <f t="shared" ref="K19:K24" si="6">I19-J19</f>
        <v>-37639</v>
      </c>
      <c r="L19" s="5"/>
      <c r="M19" s="40">
        <f>K19/I19</f>
        <v>-5.6199924148990492E-2</v>
      </c>
      <c r="N19" s="9" t="s">
        <v>284</v>
      </c>
      <c r="O19" s="41">
        <v>44572</v>
      </c>
      <c r="P19" s="42"/>
      <c r="Q19" s="38">
        <v>707373</v>
      </c>
      <c r="R19" s="39">
        <f t="shared" ref="R19:R33" si="7">J19-Q19</f>
        <v>0</v>
      </c>
      <c r="S19" s="5"/>
      <c r="T19" s="40">
        <v>0</v>
      </c>
      <c r="U19" s="43">
        <v>44596</v>
      </c>
      <c r="V19" s="5" t="s">
        <v>284</v>
      </c>
      <c r="W19" s="42"/>
      <c r="X19" s="38">
        <v>707373</v>
      </c>
      <c r="Y19" s="38">
        <f>Q19-X19</f>
        <v>0</v>
      </c>
      <c r="Z19" s="5"/>
      <c r="AA19" s="40">
        <v>0</v>
      </c>
      <c r="AB19" s="43">
        <v>44624</v>
      </c>
      <c r="AC19" s="5" t="s">
        <v>284</v>
      </c>
      <c r="AD19" s="42"/>
      <c r="AE19" s="38">
        <v>707373</v>
      </c>
      <c r="AF19" s="38">
        <f>X19-AE19</f>
        <v>0</v>
      </c>
      <c r="AG19" s="38"/>
      <c r="AH19" s="38"/>
      <c r="AI19" s="40">
        <v>0</v>
      </c>
      <c r="AJ19" s="44">
        <v>44657</v>
      </c>
      <c r="AK19" s="38" t="s">
        <v>284</v>
      </c>
      <c r="AL19" s="5"/>
      <c r="AM19" s="38">
        <v>707373</v>
      </c>
      <c r="AN19" s="38">
        <f t="shared" ref="AN19:AN24" si="8">AE19-AM19</f>
        <v>0</v>
      </c>
      <c r="AO19" s="38"/>
      <c r="AP19" s="38">
        <v>58532</v>
      </c>
      <c r="AQ19" s="40">
        <v>0</v>
      </c>
      <c r="AR19" s="43">
        <v>44686</v>
      </c>
      <c r="AS19" s="5" t="s">
        <v>284</v>
      </c>
      <c r="AT19" s="5"/>
      <c r="AU19" s="38">
        <v>707373</v>
      </c>
      <c r="AV19" s="38">
        <f t="shared" ref="AV19:AV25" si="9">AM19-AU19</f>
        <v>0</v>
      </c>
      <c r="AW19" s="38"/>
      <c r="AX19" s="38"/>
      <c r="AY19" s="40">
        <v>0</v>
      </c>
      <c r="AZ19" s="44">
        <v>44718</v>
      </c>
      <c r="BA19" s="38" t="s">
        <v>284</v>
      </c>
      <c r="BB19" s="44">
        <v>44728</v>
      </c>
      <c r="BC19" s="38">
        <v>707373</v>
      </c>
      <c r="BD19" s="38">
        <f>AU19-BC19</f>
        <v>0</v>
      </c>
      <c r="BE19" s="38"/>
      <c r="BF19" s="38">
        <v>58532</v>
      </c>
      <c r="BG19" s="40">
        <v>0</v>
      </c>
      <c r="BH19" s="43">
        <v>44748</v>
      </c>
      <c r="BI19" s="5" t="s">
        <v>284</v>
      </c>
      <c r="BJ19" s="43">
        <v>44757</v>
      </c>
      <c r="BK19" s="38">
        <v>707373</v>
      </c>
      <c r="BL19" s="38">
        <f>BC19-BK19</f>
        <v>0</v>
      </c>
      <c r="BM19" s="38"/>
      <c r="BN19" s="38"/>
      <c r="BO19" s="40">
        <v>0</v>
      </c>
      <c r="BP19" s="43">
        <v>44777</v>
      </c>
      <c r="BQ19" s="5" t="s">
        <v>284</v>
      </c>
      <c r="BR19" s="5"/>
      <c r="BS19" s="38"/>
      <c r="BT19" s="38"/>
      <c r="BU19" s="38"/>
      <c r="BV19" s="38"/>
      <c r="BW19" s="40"/>
      <c r="BX19" s="43"/>
      <c r="BY19" s="5"/>
      <c r="BZ19" s="5"/>
      <c r="CA19" s="38"/>
      <c r="CB19" s="38"/>
      <c r="CC19" s="38"/>
      <c r="CD19" s="38"/>
      <c r="CE19" s="40"/>
      <c r="CF19" s="43"/>
      <c r="CG19" s="5"/>
      <c r="CH19" s="5"/>
      <c r="CI19" s="38"/>
      <c r="CJ19" s="38"/>
      <c r="CK19" s="38"/>
      <c r="CL19" s="38"/>
      <c r="CM19" s="40"/>
      <c r="CN19" s="43"/>
      <c r="CO19" s="5"/>
      <c r="CP19" s="5"/>
      <c r="CQ19" s="38"/>
      <c r="CR19" s="38"/>
      <c r="CS19" s="38"/>
      <c r="CT19" s="38"/>
      <c r="CU19" s="40"/>
      <c r="CV19" s="43"/>
      <c r="CW19" s="5"/>
      <c r="CX19" s="5"/>
    </row>
    <row r="20" spans="1:102" x14ac:dyDescent="0.35">
      <c r="A20" s="2">
        <v>205635</v>
      </c>
      <c r="B20" s="2">
        <v>205635</v>
      </c>
      <c r="C20" s="3" t="s">
        <v>345</v>
      </c>
      <c r="D20" s="56" t="s">
        <v>346</v>
      </c>
      <c r="E20" s="34" t="s">
        <v>343</v>
      </c>
      <c r="F20" s="47" t="s">
        <v>344</v>
      </c>
      <c r="G20" s="55">
        <v>6561</v>
      </c>
      <c r="H20" s="38">
        <v>2642672</v>
      </c>
      <c r="I20" s="37">
        <v>2477420</v>
      </c>
      <c r="J20" s="38">
        <v>2642672</v>
      </c>
      <c r="K20" s="39">
        <f>I20-J20</f>
        <v>-165252</v>
      </c>
      <c r="L20" s="5"/>
      <c r="M20" s="40">
        <f>K20/H20</f>
        <v>-6.253216441540986E-2</v>
      </c>
      <c r="N20" s="9" t="s">
        <v>284</v>
      </c>
      <c r="O20" s="41">
        <v>44568</v>
      </c>
      <c r="P20" s="42"/>
      <c r="Q20" s="39">
        <v>2642672</v>
      </c>
      <c r="R20" s="39">
        <f t="shared" si="7"/>
        <v>0</v>
      </c>
      <c r="S20" s="5"/>
      <c r="T20" s="40">
        <v>0</v>
      </c>
      <c r="U20" s="43">
        <v>44600</v>
      </c>
      <c r="V20" s="5" t="s">
        <v>284</v>
      </c>
      <c r="W20" s="42"/>
      <c r="X20" s="38">
        <v>2486670</v>
      </c>
      <c r="Y20" s="38">
        <f>Q20-X20</f>
        <v>156002</v>
      </c>
      <c r="Z20" s="5"/>
      <c r="AA20" s="40">
        <f>Y20/Q20</f>
        <v>5.9031919209042966E-2</v>
      </c>
      <c r="AB20" s="43">
        <v>44624</v>
      </c>
      <c r="AC20" s="5" t="s">
        <v>284</v>
      </c>
      <c r="AD20" s="42"/>
      <c r="AE20" s="38">
        <v>2642672</v>
      </c>
      <c r="AF20" s="38">
        <f>Q20-AE20</f>
        <v>0</v>
      </c>
      <c r="AG20" s="38"/>
      <c r="AH20" s="38"/>
      <c r="AI20" s="40">
        <v>0</v>
      </c>
      <c r="AJ20" s="44">
        <v>44656</v>
      </c>
      <c r="AK20" s="38" t="s">
        <v>284</v>
      </c>
      <c r="AL20" s="5"/>
      <c r="AM20" s="38">
        <v>2642672</v>
      </c>
      <c r="AN20" s="38">
        <f t="shared" si="8"/>
        <v>0</v>
      </c>
      <c r="AO20" s="38"/>
      <c r="AP20" s="38"/>
      <c r="AQ20" s="40">
        <v>0</v>
      </c>
      <c r="AR20" s="43">
        <v>44687</v>
      </c>
      <c r="AS20" s="5" t="s">
        <v>284</v>
      </c>
      <c r="AT20" s="5"/>
      <c r="AU20" s="38">
        <v>2550842</v>
      </c>
      <c r="AV20" s="38">
        <f t="shared" si="9"/>
        <v>91830</v>
      </c>
      <c r="AW20" s="38"/>
      <c r="AX20" s="38"/>
      <c r="AY20" s="40">
        <f>AV20/AM20</f>
        <v>3.4748920789261777E-2</v>
      </c>
      <c r="AZ20" s="44">
        <v>44718</v>
      </c>
      <c r="BA20" s="38" t="s">
        <v>284</v>
      </c>
      <c r="BB20" s="44">
        <v>44728</v>
      </c>
      <c r="BC20" s="38">
        <v>2711274</v>
      </c>
      <c r="BD20" s="38"/>
      <c r="BE20" s="38">
        <f>AM20-BC20</f>
        <v>-68602</v>
      </c>
      <c r="BF20" s="38"/>
      <c r="BG20" s="40">
        <f>BE20/AM20</f>
        <v>-2.5959332069965549E-2</v>
      </c>
      <c r="BH20" s="43">
        <v>44750</v>
      </c>
      <c r="BI20" s="5" t="s">
        <v>284</v>
      </c>
      <c r="BJ20" s="43">
        <v>44768</v>
      </c>
      <c r="BK20" s="38">
        <v>2642672</v>
      </c>
      <c r="BL20" s="38">
        <f>AM20-BK20</f>
        <v>0</v>
      </c>
      <c r="BM20" s="38"/>
      <c r="BN20" s="38"/>
      <c r="BO20" s="40">
        <v>0</v>
      </c>
      <c r="BP20" s="43">
        <v>44781</v>
      </c>
      <c r="BQ20" s="5" t="s">
        <v>284</v>
      </c>
      <c r="BR20" s="5"/>
      <c r="BS20" s="38"/>
      <c r="BT20" s="38"/>
      <c r="BU20" s="38"/>
      <c r="BV20" s="38"/>
      <c r="BW20" s="40"/>
      <c r="BX20" s="43"/>
      <c r="BY20" s="5"/>
      <c r="BZ20" s="5"/>
      <c r="CA20" s="38"/>
      <c r="CB20" s="38"/>
      <c r="CC20" s="38"/>
      <c r="CD20" s="38"/>
      <c r="CE20" s="40"/>
      <c r="CF20" s="43"/>
      <c r="CG20" s="5"/>
      <c r="CH20" s="5"/>
      <c r="CI20" s="38"/>
      <c r="CJ20" s="38"/>
      <c r="CK20" s="38"/>
      <c r="CL20" s="38"/>
      <c r="CM20" s="40"/>
      <c r="CN20" s="43"/>
      <c r="CO20" s="5"/>
      <c r="CP20" s="5"/>
      <c r="CQ20" s="38"/>
      <c r="CR20" s="38"/>
      <c r="CS20" s="38"/>
      <c r="CT20" s="38"/>
      <c r="CU20" s="40"/>
      <c r="CV20" s="43"/>
      <c r="CW20" s="5"/>
      <c r="CX20" s="5"/>
    </row>
    <row r="21" spans="1:102" x14ac:dyDescent="0.35">
      <c r="A21" s="2">
        <v>208501</v>
      </c>
      <c r="B21" s="2">
        <v>208501</v>
      </c>
      <c r="C21" s="3" t="s">
        <v>62</v>
      </c>
      <c r="D21" s="48" t="s">
        <v>349</v>
      </c>
      <c r="E21" s="34" t="s">
        <v>347</v>
      </c>
      <c r="F21" s="47" t="s">
        <v>348</v>
      </c>
      <c r="G21" s="55">
        <v>6563</v>
      </c>
      <c r="H21" s="38">
        <v>3830042</v>
      </c>
      <c r="I21" s="37">
        <v>3466615</v>
      </c>
      <c r="J21" s="38">
        <v>3830042</v>
      </c>
      <c r="K21" s="39">
        <f t="shared" si="6"/>
        <v>-363427</v>
      </c>
      <c r="L21" s="5"/>
      <c r="M21" s="40">
        <f>K21/I21</f>
        <v>-0.10483627400216061</v>
      </c>
      <c r="N21" s="9" t="s">
        <v>284</v>
      </c>
      <c r="O21" s="41">
        <v>44578</v>
      </c>
      <c r="P21" s="42"/>
      <c r="Q21" s="38">
        <v>3779297</v>
      </c>
      <c r="R21" s="39">
        <f t="shared" si="7"/>
        <v>50745</v>
      </c>
      <c r="S21" s="5"/>
      <c r="T21" s="40">
        <f>R21/J21</f>
        <v>1.3249201966975819E-2</v>
      </c>
      <c r="U21" s="43">
        <v>44602</v>
      </c>
      <c r="V21" s="5" t="s">
        <v>284</v>
      </c>
      <c r="W21" s="42"/>
      <c r="X21" s="38">
        <v>3894297</v>
      </c>
      <c r="Y21" s="38">
        <f>J21-X21</f>
        <v>-64255</v>
      </c>
      <c r="Z21" s="5"/>
      <c r="AA21" s="40">
        <f>Y21/J21</f>
        <v>-1.677657842916605E-2</v>
      </c>
      <c r="AB21" s="43">
        <v>44629</v>
      </c>
      <c r="AC21" s="5" t="s">
        <v>284</v>
      </c>
      <c r="AD21" s="42"/>
      <c r="AE21" s="38">
        <v>3894297</v>
      </c>
      <c r="AF21" s="38">
        <f>X21-AE21</f>
        <v>0</v>
      </c>
      <c r="AG21" s="38"/>
      <c r="AH21" s="38"/>
      <c r="AI21" s="40">
        <v>0</v>
      </c>
      <c r="AJ21" s="44">
        <v>44655</v>
      </c>
      <c r="AK21" s="38" t="s">
        <v>284</v>
      </c>
      <c r="AL21" s="5"/>
      <c r="AM21" s="38">
        <v>3894297</v>
      </c>
      <c r="AN21" s="38">
        <f t="shared" si="8"/>
        <v>0</v>
      </c>
      <c r="AO21" s="38"/>
      <c r="AP21" s="38"/>
      <c r="AQ21" s="40">
        <v>0</v>
      </c>
      <c r="AR21" s="43">
        <v>44684</v>
      </c>
      <c r="AS21" s="5" t="s">
        <v>284</v>
      </c>
      <c r="AT21" s="5"/>
      <c r="AU21" s="38">
        <v>3894297</v>
      </c>
      <c r="AV21" s="38">
        <f t="shared" si="9"/>
        <v>0</v>
      </c>
      <c r="AW21" s="38"/>
      <c r="AX21" s="38"/>
      <c r="AY21" s="40">
        <v>0</v>
      </c>
      <c r="AZ21" s="44">
        <v>44715</v>
      </c>
      <c r="BA21" s="38" t="s">
        <v>284</v>
      </c>
      <c r="BB21" s="44">
        <v>44728</v>
      </c>
      <c r="BC21" s="38">
        <v>3894297</v>
      </c>
      <c r="BD21" s="38">
        <f>AU21-BC21</f>
        <v>0</v>
      </c>
      <c r="BE21" s="38"/>
      <c r="BF21" s="38"/>
      <c r="BG21" s="40">
        <v>0</v>
      </c>
      <c r="BH21" s="43">
        <v>44748</v>
      </c>
      <c r="BI21" s="5" t="s">
        <v>284</v>
      </c>
      <c r="BJ21" s="43">
        <v>44757</v>
      </c>
      <c r="BK21" s="38">
        <v>3894297</v>
      </c>
      <c r="BL21" s="38">
        <f>BC21-BK21</f>
        <v>0</v>
      </c>
      <c r="BM21" s="38"/>
      <c r="BN21" s="38"/>
      <c r="BO21" s="40">
        <v>0</v>
      </c>
      <c r="BP21" s="43">
        <v>44777</v>
      </c>
      <c r="BQ21" s="5" t="s">
        <v>284</v>
      </c>
      <c r="BR21" s="5"/>
      <c r="BS21" s="38"/>
      <c r="BT21" s="38"/>
      <c r="BU21" s="38"/>
      <c r="BV21" s="38"/>
      <c r="BW21" s="40"/>
      <c r="BX21" s="43"/>
      <c r="BY21" s="5"/>
      <c r="BZ21" s="5"/>
      <c r="CA21" s="38"/>
      <c r="CB21" s="38"/>
      <c r="CC21" s="38"/>
      <c r="CD21" s="38"/>
      <c r="CE21" s="40"/>
      <c r="CF21" s="43"/>
      <c r="CG21" s="5"/>
      <c r="CH21" s="5"/>
      <c r="CI21" s="38"/>
      <c r="CJ21" s="38"/>
      <c r="CK21" s="38"/>
      <c r="CL21" s="38"/>
      <c r="CM21" s="40"/>
      <c r="CN21" s="43"/>
      <c r="CO21" s="5"/>
      <c r="CP21" s="5"/>
      <c r="CQ21" s="38"/>
      <c r="CR21" s="38"/>
      <c r="CS21" s="38"/>
      <c r="CT21" s="38"/>
      <c r="CU21" s="40"/>
      <c r="CV21" s="43"/>
      <c r="CW21" s="5"/>
      <c r="CX21" s="5"/>
    </row>
    <row r="22" spans="1:102" x14ac:dyDescent="0.35">
      <c r="A22" s="2">
        <v>204606</v>
      </c>
      <c r="B22" s="2">
        <v>204606</v>
      </c>
      <c r="C22" s="3" t="s">
        <v>352</v>
      </c>
      <c r="D22" s="48" t="s">
        <v>353</v>
      </c>
      <c r="E22" s="34" t="s">
        <v>350</v>
      </c>
      <c r="F22" s="47" t="s">
        <v>351</v>
      </c>
      <c r="G22" s="55">
        <v>6564</v>
      </c>
      <c r="H22" s="37">
        <v>1313296</v>
      </c>
      <c r="I22" s="39">
        <v>1250758</v>
      </c>
      <c r="J22" s="38">
        <v>1250758</v>
      </c>
      <c r="K22" s="39">
        <f t="shared" si="6"/>
        <v>0</v>
      </c>
      <c r="L22" s="5"/>
      <c r="M22" s="40">
        <v>0</v>
      </c>
      <c r="N22" s="41" t="s">
        <v>284</v>
      </c>
      <c r="O22" s="41">
        <v>44565</v>
      </c>
      <c r="P22" s="42"/>
      <c r="Q22" s="38">
        <v>1250758</v>
      </c>
      <c r="R22" s="39">
        <f t="shared" si="7"/>
        <v>0</v>
      </c>
      <c r="S22" s="5"/>
      <c r="T22" s="40">
        <v>0</v>
      </c>
      <c r="U22" s="43">
        <v>44595</v>
      </c>
      <c r="V22" s="5" t="s">
        <v>284</v>
      </c>
      <c r="W22" s="42"/>
      <c r="X22" s="38">
        <v>1250758</v>
      </c>
      <c r="Y22" s="38">
        <f t="shared" ref="Y22:Y37" si="10">Q22-X22</f>
        <v>0</v>
      </c>
      <c r="Z22" s="5"/>
      <c r="AA22" s="40">
        <v>0</v>
      </c>
      <c r="AB22" s="51">
        <v>44621</v>
      </c>
      <c r="AC22" s="5" t="s">
        <v>284</v>
      </c>
      <c r="AD22" s="42"/>
      <c r="AE22" s="38">
        <v>1313296</v>
      </c>
      <c r="AF22" s="38"/>
      <c r="AG22" s="38">
        <f>X22-AE22</f>
        <v>-62538</v>
      </c>
      <c r="AH22" s="38"/>
      <c r="AI22" s="40">
        <f>AG22/X22</f>
        <v>-5.0000079951517402E-2</v>
      </c>
      <c r="AJ22" s="44">
        <v>44658</v>
      </c>
      <c r="AK22" s="38" t="s">
        <v>284</v>
      </c>
      <c r="AL22" s="5"/>
      <c r="AM22" s="38">
        <v>1313296</v>
      </c>
      <c r="AN22" s="38">
        <f t="shared" si="8"/>
        <v>0</v>
      </c>
      <c r="AO22" s="38"/>
      <c r="AP22" s="38"/>
      <c r="AQ22" s="40">
        <v>0</v>
      </c>
      <c r="AR22" s="43">
        <v>44686</v>
      </c>
      <c r="AS22" s="5" t="s">
        <v>284</v>
      </c>
      <c r="AT22" s="5"/>
      <c r="AU22" s="38">
        <v>1313297</v>
      </c>
      <c r="AV22" s="38">
        <f t="shared" si="9"/>
        <v>-1</v>
      </c>
      <c r="AW22" s="38"/>
      <c r="AX22" s="38"/>
      <c r="AY22" s="40">
        <v>0</v>
      </c>
      <c r="AZ22" s="44">
        <v>44721</v>
      </c>
      <c r="BA22" s="38" t="s">
        <v>284</v>
      </c>
      <c r="BB22" s="44">
        <v>44736</v>
      </c>
      <c r="BC22" s="38">
        <v>1313297</v>
      </c>
      <c r="BD22" s="38">
        <f>AU22-BC22</f>
        <v>0</v>
      </c>
      <c r="BE22" s="38"/>
      <c r="BF22" s="38"/>
      <c r="BG22" s="40">
        <v>0</v>
      </c>
      <c r="BH22" s="43">
        <v>44743</v>
      </c>
      <c r="BI22" s="5" t="s">
        <v>284</v>
      </c>
      <c r="BJ22" s="43">
        <v>44757</v>
      </c>
      <c r="BK22" s="38">
        <v>1313297</v>
      </c>
      <c r="BL22" s="38">
        <f>BC22-BK22</f>
        <v>0</v>
      </c>
      <c r="BM22" s="38"/>
      <c r="BN22" s="38"/>
      <c r="BO22" s="40">
        <v>0</v>
      </c>
      <c r="BP22" s="43">
        <v>44775</v>
      </c>
      <c r="BQ22" s="5" t="s">
        <v>284</v>
      </c>
      <c r="BR22" s="5"/>
      <c r="BS22" s="38"/>
      <c r="BT22" s="38"/>
      <c r="BU22" s="38"/>
      <c r="BV22" s="38"/>
      <c r="BW22" s="40"/>
      <c r="BX22" s="43"/>
      <c r="BY22" s="5"/>
      <c r="BZ22" s="5"/>
      <c r="CA22" s="38"/>
      <c r="CB22" s="38"/>
      <c r="CC22" s="38"/>
      <c r="CD22" s="38"/>
      <c r="CE22" s="40"/>
      <c r="CF22" s="43"/>
      <c r="CG22" s="5"/>
      <c r="CH22" s="5"/>
      <c r="CI22" s="38"/>
      <c r="CJ22" s="38"/>
      <c r="CK22" s="38"/>
      <c r="CL22" s="38"/>
      <c r="CM22" s="40"/>
      <c r="CN22" s="43"/>
      <c r="CO22" s="5"/>
      <c r="CP22" s="5"/>
      <c r="CQ22" s="38"/>
      <c r="CR22" s="38"/>
      <c r="CS22" s="38"/>
      <c r="CT22" s="38"/>
      <c r="CU22" s="40"/>
      <c r="CV22" s="43"/>
      <c r="CW22" s="5"/>
      <c r="CX22" s="5"/>
    </row>
    <row r="23" spans="1:102" x14ac:dyDescent="0.35">
      <c r="A23" s="2">
        <v>204589</v>
      </c>
      <c r="B23" s="2">
        <v>204589</v>
      </c>
      <c r="C23" s="3" t="s">
        <v>2</v>
      </c>
      <c r="D23" s="48" t="s">
        <v>356</v>
      </c>
      <c r="E23" s="34" t="s">
        <v>354</v>
      </c>
      <c r="F23" s="47" t="s">
        <v>355</v>
      </c>
      <c r="G23" s="55">
        <v>6568</v>
      </c>
      <c r="H23" s="38">
        <v>2847927</v>
      </c>
      <c r="I23" s="37">
        <v>2485550</v>
      </c>
      <c r="J23" s="38">
        <v>2735843</v>
      </c>
      <c r="K23" s="39">
        <f t="shared" si="6"/>
        <v>-250293</v>
      </c>
      <c r="L23" s="5"/>
      <c r="M23" s="40">
        <f>K23/I23</f>
        <v>-0.10069924161654362</v>
      </c>
      <c r="N23" s="9" t="s">
        <v>284</v>
      </c>
      <c r="O23" s="41">
        <v>44566</v>
      </c>
      <c r="P23" s="42"/>
      <c r="Q23" s="38">
        <v>2735843</v>
      </c>
      <c r="R23" s="39">
        <f t="shared" si="7"/>
        <v>0</v>
      </c>
      <c r="S23" s="5"/>
      <c r="T23" s="40">
        <v>0</v>
      </c>
      <c r="U23" s="43">
        <v>44595</v>
      </c>
      <c r="V23" s="5" t="s">
        <v>284</v>
      </c>
      <c r="W23" s="42"/>
      <c r="X23" s="38">
        <v>2735843</v>
      </c>
      <c r="Y23" s="38">
        <f t="shared" si="10"/>
        <v>0</v>
      </c>
      <c r="Z23" s="5"/>
      <c r="AA23" s="40">
        <v>0</v>
      </c>
      <c r="AB23" s="43">
        <v>44624</v>
      </c>
      <c r="AC23" s="5" t="s">
        <v>284</v>
      </c>
      <c r="AD23" s="42"/>
      <c r="AE23" s="38">
        <v>2847927</v>
      </c>
      <c r="AF23" s="38"/>
      <c r="AG23" s="38">
        <f>X23-AE23</f>
        <v>-112084</v>
      </c>
      <c r="AH23" s="38"/>
      <c r="AI23" s="40">
        <f>AG23/X23</f>
        <v>-4.0968725179039878E-2</v>
      </c>
      <c r="AJ23" s="44">
        <v>44656</v>
      </c>
      <c r="AK23" s="38" t="s">
        <v>284</v>
      </c>
      <c r="AL23" s="5"/>
      <c r="AM23" s="38">
        <v>2847927</v>
      </c>
      <c r="AN23" s="38">
        <f t="shared" si="8"/>
        <v>0</v>
      </c>
      <c r="AO23" s="38"/>
      <c r="AP23" s="38"/>
      <c r="AQ23" s="40">
        <v>0</v>
      </c>
      <c r="AR23" s="43">
        <v>44687</v>
      </c>
      <c r="AS23" s="5" t="s">
        <v>284</v>
      </c>
      <c r="AT23" s="5"/>
      <c r="AU23" s="38">
        <v>2847927</v>
      </c>
      <c r="AV23" s="38">
        <f t="shared" si="9"/>
        <v>0</v>
      </c>
      <c r="AW23" s="38"/>
      <c r="AX23" s="38"/>
      <c r="AY23" s="40">
        <v>0</v>
      </c>
      <c r="AZ23" s="44">
        <v>44718</v>
      </c>
      <c r="BA23" s="38" t="s">
        <v>284</v>
      </c>
      <c r="BB23" s="44">
        <v>44728</v>
      </c>
      <c r="BC23" s="38">
        <v>2847927</v>
      </c>
      <c r="BD23" s="38">
        <f>AU23-BC23</f>
        <v>0</v>
      </c>
      <c r="BE23" s="38"/>
      <c r="BF23" s="38"/>
      <c r="BG23" s="40">
        <v>0</v>
      </c>
      <c r="BH23" s="43">
        <v>44748</v>
      </c>
      <c r="BI23" s="5" t="s">
        <v>284</v>
      </c>
      <c r="BJ23" s="43">
        <v>44757</v>
      </c>
      <c r="BK23" s="38">
        <v>2847927</v>
      </c>
      <c r="BL23" s="38">
        <f>BC23-BK23</f>
        <v>0</v>
      </c>
      <c r="BM23" s="38"/>
      <c r="BN23" s="38"/>
      <c r="BO23" s="40">
        <v>0</v>
      </c>
      <c r="BP23" s="43">
        <v>44778</v>
      </c>
      <c r="BQ23" s="5" t="s">
        <v>284</v>
      </c>
      <c r="BR23" s="5"/>
      <c r="BS23" s="38"/>
      <c r="BT23" s="38"/>
      <c r="BU23" s="38"/>
      <c r="BV23" s="38"/>
      <c r="BW23" s="40"/>
      <c r="BX23" s="43"/>
      <c r="BY23" s="5"/>
      <c r="BZ23" s="5"/>
      <c r="CA23" s="38"/>
      <c r="CB23" s="38"/>
      <c r="CC23" s="38"/>
      <c r="CD23" s="38"/>
      <c r="CE23" s="40"/>
      <c r="CF23" s="43"/>
      <c r="CG23" s="5"/>
      <c r="CH23" s="5"/>
      <c r="CI23" s="38"/>
      <c r="CJ23" s="38"/>
      <c r="CK23" s="38"/>
      <c r="CL23" s="38"/>
      <c r="CM23" s="40"/>
      <c r="CN23" s="43"/>
      <c r="CO23" s="5"/>
      <c r="CP23" s="5"/>
      <c r="CQ23" s="38"/>
      <c r="CR23" s="38"/>
      <c r="CS23" s="38"/>
      <c r="CT23" s="38"/>
      <c r="CU23" s="40"/>
      <c r="CV23" s="43"/>
      <c r="CW23" s="5"/>
      <c r="CX23" s="5"/>
    </row>
    <row r="24" spans="1:102" x14ac:dyDescent="0.35">
      <c r="A24" s="2">
        <v>204887</v>
      </c>
      <c r="B24" s="2">
        <v>204887</v>
      </c>
      <c r="C24" s="3" t="s">
        <v>359</v>
      </c>
      <c r="D24" s="48" t="s">
        <v>360</v>
      </c>
      <c r="E24" s="34" t="s">
        <v>357</v>
      </c>
      <c r="F24" s="47" t="s">
        <v>358</v>
      </c>
      <c r="G24" s="50">
        <v>6767</v>
      </c>
      <c r="H24" s="37">
        <v>1391868</v>
      </c>
      <c r="I24" s="37">
        <v>1317807</v>
      </c>
      <c r="J24" s="38">
        <v>1317807</v>
      </c>
      <c r="K24" s="39">
        <f t="shared" si="6"/>
        <v>0</v>
      </c>
      <c r="L24" s="5"/>
      <c r="M24" s="40">
        <v>0</v>
      </c>
      <c r="N24" s="5" t="s">
        <v>284</v>
      </c>
      <c r="O24" s="43">
        <v>44574</v>
      </c>
      <c r="P24" s="42"/>
      <c r="Q24" s="38">
        <v>1317807</v>
      </c>
      <c r="R24" s="39">
        <f t="shared" si="7"/>
        <v>0</v>
      </c>
      <c r="S24" s="5"/>
      <c r="T24" s="40">
        <v>0</v>
      </c>
      <c r="U24" s="43">
        <v>44603</v>
      </c>
      <c r="V24" s="5" t="s">
        <v>284</v>
      </c>
      <c r="W24" s="42"/>
      <c r="X24" s="38">
        <v>1391868</v>
      </c>
      <c r="Y24" s="38">
        <f t="shared" si="10"/>
        <v>-74061</v>
      </c>
      <c r="Z24" s="5"/>
      <c r="AA24" s="40">
        <f>Y24/Q24</f>
        <v>-5.6200187129071252E-2</v>
      </c>
      <c r="AB24" s="51">
        <v>44630</v>
      </c>
      <c r="AC24" s="5" t="s">
        <v>284</v>
      </c>
      <c r="AD24" s="42"/>
      <c r="AE24" s="38">
        <v>1391868</v>
      </c>
      <c r="AF24" s="38">
        <f>X24-AE24</f>
        <v>0</v>
      </c>
      <c r="AG24" s="38"/>
      <c r="AH24" s="38"/>
      <c r="AI24" s="40">
        <v>0</v>
      </c>
      <c r="AJ24" s="44">
        <v>44664</v>
      </c>
      <c r="AK24" s="38" t="s">
        <v>284</v>
      </c>
      <c r="AL24" s="5"/>
      <c r="AM24" s="38">
        <v>1391868</v>
      </c>
      <c r="AN24" s="38">
        <f t="shared" si="8"/>
        <v>0</v>
      </c>
      <c r="AO24" s="38"/>
      <c r="AP24" s="38"/>
      <c r="AQ24" s="40">
        <v>0</v>
      </c>
      <c r="AR24" s="43">
        <v>44694</v>
      </c>
      <c r="AS24" s="5" t="s">
        <v>284</v>
      </c>
      <c r="AT24" s="5"/>
      <c r="AU24" s="38">
        <v>1391868</v>
      </c>
      <c r="AV24" s="38">
        <f t="shared" si="9"/>
        <v>0</v>
      </c>
      <c r="AW24" s="38"/>
      <c r="AX24" s="38"/>
      <c r="AY24" s="40">
        <v>0</v>
      </c>
      <c r="AZ24" s="44">
        <v>44725</v>
      </c>
      <c r="BA24" s="38" t="s">
        <v>284</v>
      </c>
      <c r="BB24" s="44">
        <v>44755</v>
      </c>
      <c r="BC24" s="38">
        <v>1391868</v>
      </c>
      <c r="BD24" s="38">
        <f>AU24-BC24</f>
        <v>0</v>
      </c>
      <c r="BE24" s="38"/>
      <c r="BF24" s="38"/>
      <c r="BG24" s="40">
        <v>0</v>
      </c>
      <c r="BH24" s="43">
        <v>44753</v>
      </c>
      <c r="BI24" s="5" t="s">
        <v>284</v>
      </c>
      <c r="BJ24" s="43">
        <v>44768</v>
      </c>
      <c r="BK24" s="38">
        <v>1391868</v>
      </c>
      <c r="BL24" s="38">
        <f>BC24-BK24</f>
        <v>0</v>
      </c>
      <c r="BM24" s="38"/>
      <c r="BN24" s="38"/>
      <c r="BO24" s="40">
        <v>0</v>
      </c>
      <c r="BP24" s="43">
        <v>44785</v>
      </c>
      <c r="BQ24" s="5" t="s">
        <v>284</v>
      </c>
      <c r="BR24" s="5"/>
      <c r="BS24" s="38"/>
      <c r="BT24" s="38"/>
      <c r="BU24" s="38"/>
      <c r="BV24" s="38"/>
      <c r="BW24" s="40"/>
      <c r="BX24" s="43"/>
      <c r="BY24" s="5"/>
      <c r="BZ24" s="5"/>
      <c r="CA24" s="38"/>
      <c r="CB24" s="38"/>
      <c r="CC24" s="38"/>
      <c r="CD24" s="38"/>
      <c r="CE24" s="40"/>
      <c r="CF24" s="43"/>
      <c r="CG24" s="5"/>
      <c r="CH24" s="5"/>
      <c r="CI24" s="38"/>
      <c r="CJ24" s="38"/>
      <c r="CK24" s="38"/>
      <c r="CL24" s="38"/>
      <c r="CM24" s="40"/>
      <c r="CN24" s="43"/>
      <c r="CO24" s="5"/>
      <c r="CP24" s="5"/>
      <c r="CQ24" s="38"/>
      <c r="CR24" s="38"/>
      <c r="CS24" s="38"/>
      <c r="CT24" s="38"/>
      <c r="CU24" s="40"/>
      <c r="CV24" s="43"/>
      <c r="CW24" s="5"/>
      <c r="CX24" s="5"/>
    </row>
    <row r="25" spans="1:102" x14ac:dyDescent="0.35">
      <c r="A25" s="2">
        <v>204984</v>
      </c>
      <c r="B25" s="2">
        <v>204984</v>
      </c>
      <c r="C25" s="3" t="s">
        <v>86</v>
      </c>
      <c r="D25" s="48" t="s">
        <v>363</v>
      </c>
      <c r="E25" s="34" t="s">
        <v>361</v>
      </c>
      <c r="F25" s="47" t="s">
        <v>362</v>
      </c>
      <c r="G25" s="50">
        <v>6776</v>
      </c>
      <c r="H25" s="37">
        <v>1638420</v>
      </c>
      <c r="I25" s="37">
        <v>1551239</v>
      </c>
      <c r="J25" s="38">
        <f>878191+673048</f>
        <v>1551239</v>
      </c>
      <c r="K25" s="39">
        <f>I25-J25</f>
        <v>0</v>
      </c>
      <c r="L25" s="5"/>
      <c r="M25" s="40">
        <v>0</v>
      </c>
      <c r="N25" s="9" t="s">
        <v>284</v>
      </c>
      <c r="O25" s="41">
        <v>44566</v>
      </c>
      <c r="P25" s="42"/>
      <c r="Q25" s="38">
        <f>878191+673048</f>
        <v>1551239</v>
      </c>
      <c r="R25" s="39">
        <f t="shared" si="7"/>
        <v>0</v>
      </c>
      <c r="S25" s="5"/>
      <c r="T25" s="40">
        <v>0</v>
      </c>
      <c r="U25" s="51">
        <v>44594</v>
      </c>
      <c r="V25" s="5" t="s">
        <v>284</v>
      </c>
      <c r="W25" s="42"/>
      <c r="X25" s="38">
        <f>710874+927546</f>
        <v>1638420</v>
      </c>
      <c r="Y25" s="38">
        <f t="shared" si="10"/>
        <v>-87181</v>
      </c>
      <c r="Z25" s="5"/>
      <c r="AA25" s="40">
        <f>Y25/Q25</f>
        <v>-5.6200882004642738E-2</v>
      </c>
      <c r="AB25" s="43">
        <v>44643</v>
      </c>
      <c r="AC25" s="5" t="s">
        <v>284</v>
      </c>
      <c r="AD25" s="42"/>
      <c r="AE25" s="38">
        <v>710874</v>
      </c>
      <c r="AF25" s="38"/>
      <c r="AG25" s="38"/>
      <c r="AH25" s="38"/>
      <c r="AI25" s="38"/>
      <c r="AJ25" s="44">
        <v>44656</v>
      </c>
      <c r="AK25" s="38" t="s">
        <v>284</v>
      </c>
      <c r="AL25" s="5"/>
      <c r="AM25" s="38">
        <f>927546+710874</f>
        <v>1638420</v>
      </c>
      <c r="AN25" s="38">
        <f>X25-AM25</f>
        <v>0</v>
      </c>
      <c r="AO25" s="38"/>
      <c r="AP25" s="38"/>
      <c r="AQ25" s="40">
        <v>0</v>
      </c>
      <c r="AR25" s="43">
        <v>44683</v>
      </c>
      <c r="AS25" s="5" t="s">
        <v>284</v>
      </c>
      <c r="AT25" s="5"/>
      <c r="AU25" s="38">
        <f>927546+710874</f>
        <v>1638420</v>
      </c>
      <c r="AV25" s="38">
        <f t="shared" si="9"/>
        <v>0</v>
      </c>
      <c r="AW25" s="38"/>
      <c r="AX25" s="38"/>
      <c r="AY25" s="40">
        <v>0</v>
      </c>
      <c r="AZ25" s="44">
        <v>44725</v>
      </c>
      <c r="BA25" s="38" t="s">
        <v>284</v>
      </c>
      <c r="BB25" s="44">
        <v>44755</v>
      </c>
      <c r="BC25" s="38">
        <f>710874+927546</f>
        <v>1638420</v>
      </c>
      <c r="BD25" s="38">
        <f t="shared" ref="BD25:BD32" si="11">AU25-BC25</f>
        <v>0</v>
      </c>
      <c r="BE25" s="38"/>
      <c r="BF25" s="38"/>
      <c r="BG25" s="40">
        <v>0</v>
      </c>
      <c r="BH25" s="43">
        <v>44743</v>
      </c>
      <c r="BI25" s="5" t="s">
        <v>284</v>
      </c>
      <c r="BJ25" s="43">
        <v>44757</v>
      </c>
      <c r="BK25" s="38">
        <f>710874+927546</f>
        <v>1638420</v>
      </c>
      <c r="BL25" s="38">
        <f t="shared" ref="BL25:BL32" si="12">BC25-BK25</f>
        <v>0</v>
      </c>
      <c r="BM25" s="38"/>
      <c r="BN25" s="38"/>
      <c r="BO25" s="40">
        <v>0</v>
      </c>
      <c r="BP25" s="43">
        <v>44776</v>
      </c>
      <c r="BQ25" s="5" t="s">
        <v>284</v>
      </c>
      <c r="BR25" s="5"/>
      <c r="BS25" s="38"/>
      <c r="BT25" s="38"/>
      <c r="BU25" s="38"/>
      <c r="BV25" s="38"/>
      <c r="BW25" s="40"/>
      <c r="BX25" s="43"/>
      <c r="BY25" s="5"/>
      <c r="BZ25" s="5"/>
      <c r="CA25" s="38"/>
      <c r="CB25" s="38"/>
      <c r="CC25" s="38"/>
      <c r="CD25" s="38"/>
      <c r="CE25" s="40"/>
      <c r="CF25" s="43"/>
      <c r="CG25" s="5"/>
      <c r="CH25" s="5"/>
      <c r="CI25" s="38"/>
      <c r="CJ25" s="38"/>
      <c r="CK25" s="38"/>
      <c r="CL25" s="38"/>
      <c r="CM25" s="40"/>
      <c r="CN25" s="43"/>
      <c r="CO25" s="5"/>
      <c r="CP25" s="5"/>
      <c r="CQ25" s="38"/>
      <c r="CR25" s="38"/>
      <c r="CS25" s="38"/>
      <c r="CT25" s="38"/>
      <c r="CU25" s="40"/>
      <c r="CV25" s="43"/>
      <c r="CW25" s="5"/>
      <c r="CX25" s="5"/>
    </row>
    <row r="26" spans="1:102" x14ac:dyDescent="0.35">
      <c r="A26" s="2">
        <v>205547</v>
      </c>
      <c r="B26" s="2">
        <v>205547</v>
      </c>
      <c r="C26" s="3" t="s">
        <v>366</v>
      </c>
      <c r="D26" s="48" t="s">
        <v>367</v>
      </c>
      <c r="E26" s="34" t="s">
        <v>364</v>
      </c>
      <c r="F26" s="47" t="s">
        <v>365</v>
      </c>
      <c r="G26" s="50">
        <v>8580</v>
      </c>
      <c r="H26" s="37">
        <v>1938574</v>
      </c>
      <c r="I26" s="37">
        <v>1809722</v>
      </c>
      <c r="J26" s="38">
        <v>1809722</v>
      </c>
      <c r="K26" s="39">
        <f>I26-J26</f>
        <v>0</v>
      </c>
      <c r="L26" s="5"/>
      <c r="M26" s="40">
        <v>0</v>
      </c>
      <c r="N26" s="9" t="s">
        <v>284</v>
      </c>
      <c r="O26" s="41">
        <v>44566</v>
      </c>
      <c r="P26" s="42"/>
      <c r="Q26" s="38">
        <v>2067426</v>
      </c>
      <c r="R26" s="39">
        <f t="shared" si="7"/>
        <v>-257704</v>
      </c>
      <c r="S26" s="5"/>
      <c r="T26" s="40">
        <f>R26/J26</f>
        <v>-0.14239977189866732</v>
      </c>
      <c r="U26" s="43">
        <v>44595</v>
      </c>
      <c r="V26" s="5" t="s">
        <v>284</v>
      </c>
      <c r="W26" s="42"/>
      <c r="X26" s="38">
        <v>1938574</v>
      </c>
      <c r="Y26" s="38">
        <f t="shared" si="10"/>
        <v>128852</v>
      </c>
      <c r="Z26" s="5"/>
      <c r="AA26" s="40">
        <f>Y26/Q26</f>
        <v>6.2324842582031956E-2</v>
      </c>
      <c r="AB26" s="51">
        <v>44622</v>
      </c>
      <c r="AC26" s="5" t="s">
        <v>284</v>
      </c>
      <c r="AD26" s="42"/>
      <c r="AE26" s="38">
        <v>1938574</v>
      </c>
      <c r="AF26" s="38">
        <f>X26-AE26</f>
        <v>0</v>
      </c>
      <c r="AG26" s="38"/>
      <c r="AH26" s="38"/>
      <c r="AI26" s="40">
        <v>0</v>
      </c>
      <c r="AJ26" s="44">
        <v>44659</v>
      </c>
      <c r="AK26" s="38" t="s">
        <v>284</v>
      </c>
      <c r="AL26" s="5"/>
      <c r="AM26" s="38">
        <f>1027118+911456</f>
        <v>1938574</v>
      </c>
      <c r="AN26" s="39">
        <f t="shared" ref="AN26:AN32" si="13">AE26-AM26</f>
        <v>0</v>
      </c>
      <c r="AO26" s="5"/>
      <c r="AP26" s="5"/>
      <c r="AQ26" s="40">
        <v>0</v>
      </c>
      <c r="AR26" s="43">
        <v>44686</v>
      </c>
      <c r="AS26" s="5" t="s">
        <v>284</v>
      </c>
      <c r="AT26" s="5"/>
      <c r="AU26" s="38">
        <v>1938574</v>
      </c>
      <c r="AV26" s="38">
        <f>AM26-AU26</f>
        <v>0</v>
      </c>
      <c r="AW26" s="38"/>
      <c r="AX26" s="38"/>
      <c r="AY26" s="40">
        <v>0</v>
      </c>
      <c r="AZ26" s="44">
        <v>44734</v>
      </c>
      <c r="BA26" s="38" t="s">
        <v>284</v>
      </c>
      <c r="BB26" s="44">
        <v>44753</v>
      </c>
      <c r="BC26" s="38">
        <v>1938574</v>
      </c>
      <c r="BD26" s="38">
        <f t="shared" si="11"/>
        <v>0</v>
      </c>
      <c r="BE26" s="38"/>
      <c r="BF26" s="38"/>
      <c r="BG26" s="40">
        <v>0</v>
      </c>
      <c r="BH26" s="43">
        <v>44749</v>
      </c>
      <c r="BI26" s="5" t="s">
        <v>284</v>
      </c>
      <c r="BJ26" s="43">
        <v>44768</v>
      </c>
      <c r="BK26" s="38">
        <v>1938574</v>
      </c>
      <c r="BL26" s="38">
        <f t="shared" si="12"/>
        <v>0</v>
      </c>
      <c r="BM26" s="38"/>
      <c r="BN26" s="38"/>
      <c r="BO26" s="40">
        <v>0</v>
      </c>
      <c r="BP26" s="43">
        <v>44775</v>
      </c>
      <c r="BQ26" s="5" t="s">
        <v>284</v>
      </c>
      <c r="BR26" s="5"/>
      <c r="BS26" s="38"/>
      <c r="BT26" s="38"/>
      <c r="BU26" s="38"/>
      <c r="BV26" s="38"/>
      <c r="BW26" s="40"/>
      <c r="BX26" s="43"/>
      <c r="BY26" s="5"/>
      <c r="BZ26" s="5"/>
      <c r="CA26" s="38"/>
      <c r="CB26" s="38"/>
      <c r="CC26" s="38"/>
      <c r="CD26" s="38"/>
      <c r="CE26" s="40"/>
      <c r="CF26" s="43"/>
      <c r="CG26" s="5"/>
      <c r="CH26" s="5"/>
      <c r="CI26" s="38"/>
      <c r="CJ26" s="38"/>
      <c r="CK26" s="38"/>
      <c r="CL26" s="38"/>
      <c r="CM26" s="40"/>
      <c r="CN26" s="43"/>
      <c r="CO26" s="5"/>
      <c r="CP26" s="5"/>
      <c r="CQ26" s="38"/>
      <c r="CR26" s="38"/>
      <c r="CS26" s="38"/>
      <c r="CT26" s="38"/>
      <c r="CU26" s="40"/>
      <c r="CV26" s="43"/>
      <c r="CW26" s="5"/>
      <c r="CX26" s="5"/>
    </row>
    <row r="27" spans="1:102" x14ac:dyDescent="0.35">
      <c r="A27" s="2">
        <v>204996</v>
      </c>
      <c r="B27" s="2">
        <v>204996</v>
      </c>
      <c r="C27" s="3" t="s">
        <v>370</v>
      </c>
      <c r="D27" s="48" t="s">
        <v>371</v>
      </c>
      <c r="E27" s="34" t="s">
        <v>368</v>
      </c>
      <c r="F27" s="47" t="s">
        <v>369</v>
      </c>
      <c r="G27" s="50">
        <v>8581</v>
      </c>
      <c r="H27" s="37">
        <v>1412233</v>
      </c>
      <c r="I27" s="37">
        <v>999800</v>
      </c>
      <c r="J27" s="38">
        <v>999800</v>
      </c>
      <c r="K27" s="38">
        <f>H27-J27</f>
        <v>412433</v>
      </c>
      <c r="L27" s="5"/>
      <c r="M27" s="40">
        <f>K27/H27</f>
        <v>0.29204316851397749</v>
      </c>
      <c r="N27" s="9" t="s">
        <v>284</v>
      </c>
      <c r="O27" s="41">
        <v>44565</v>
      </c>
      <c r="P27" s="42"/>
      <c r="Q27" s="39">
        <v>999800</v>
      </c>
      <c r="R27" s="39">
        <f t="shared" si="7"/>
        <v>0</v>
      </c>
      <c r="S27" s="5"/>
      <c r="T27" s="40">
        <v>0</v>
      </c>
      <c r="U27" s="43">
        <v>44594</v>
      </c>
      <c r="V27" s="5" t="s">
        <v>284</v>
      </c>
      <c r="W27" s="42"/>
      <c r="X27" s="38">
        <v>999800</v>
      </c>
      <c r="Y27" s="38">
        <f t="shared" si="10"/>
        <v>0</v>
      </c>
      <c r="Z27" s="5"/>
      <c r="AA27" s="40">
        <v>0</v>
      </c>
      <c r="AB27" s="43">
        <v>44622</v>
      </c>
      <c r="AC27" s="5" t="s">
        <v>284</v>
      </c>
      <c r="AD27" s="42"/>
      <c r="AE27" s="38">
        <v>999800</v>
      </c>
      <c r="AF27" s="38">
        <f>X27-AE27</f>
        <v>0</v>
      </c>
      <c r="AG27" s="38"/>
      <c r="AH27" s="38"/>
      <c r="AI27" s="40">
        <v>0</v>
      </c>
      <c r="AJ27" s="44">
        <v>44658</v>
      </c>
      <c r="AK27" s="38" t="s">
        <v>284</v>
      </c>
      <c r="AL27" s="5"/>
      <c r="AM27" s="38">
        <v>999800</v>
      </c>
      <c r="AN27" s="38">
        <f t="shared" si="13"/>
        <v>0</v>
      </c>
      <c r="AO27" s="38"/>
      <c r="AP27" s="38"/>
      <c r="AQ27" s="40">
        <v>0</v>
      </c>
      <c r="AR27" s="43">
        <v>44683</v>
      </c>
      <c r="AS27" s="5" t="s">
        <v>284</v>
      </c>
      <c r="AT27" s="5"/>
      <c r="AU27" s="38">
        <v>999800</v>
      </c>
      <c r="AV27" s="38">
        <f t="shared" ref="AV27:AV32" si="14">AM27-AU27</f>
        <v>0</v>
      </c>
      <c r="AW27" s="38"/>
      <c r="AX27" s="38"/>
      <c r="AY27" s="40">
        <v>0</v>
      </c>
      <c r="AZ27" s="44">
        <v>44715</v>
      </c>
      <c r="BA27" s="38" t="s">
        <v>284</v>
      </c>
      <c r="BB27" s="44">
        <v>44728</v>
      </c>
      <c r="BC27" s="38">
        <v>999800</v>
      </c>
      <c r="BD27" s="38">
        <f t="shared" si="11"/>
        <v>0</v>
      </c>
      <c r="BE27" s="38"/>
      <c r="BF27" s="38"/>
      <c r="BG27" s="40">
        <v>0</v>
      </c>
      <c r="BH27" s="43">
        <v>44743</v>
      </c>
      <c r="BI27" s="5" t="s">
        <v>284</v>
      </c>
      <c r="BJ27" s="43">
        <v>44757</v>
      </c>
      <c r="BK27" s="38">
        <v>999800</v>
      </c>
      <c r="BL27" s="38">
        <f t="shared" si="12"/>
        <v>0</v>
      </c>
      <c r="BM27" s="38"/>
      <c r="BN27" s="38"/>
      <c r="BO27" s="40">
        <v>0</v>
      </c>
      <c r="BP27" s="43">
        <v>44775</v>
      </c>
      <c r="BQ27" s="5" t="s">
        <v>284</v>
      </c>
      <c r="BR27" s="5"/>
      <c r="BS27" s="38"/>
      <c r="BT27" s="38"/>
      <c r="BU27" s="38"/>
      <c r="BV27" s="38"/>
      <c r="BW27" s="40"/>
      <c r="BX27" s="43"/>
      <c r="BY27" s="5"/>
      <c r="BZ27" s="5"/>
      <c r="CA27" s="38"/>
      <c r="CB27" s="38"/>
      <c r="CC27" s="38"/>
      <c r="CD27" s="38"/>
      <c r="CE27" s="40"/>
      <c r="CF27" s="43"/>
      <c r="CG27" s="5"/>
      <c r="CH27" s="5"/>
      <c r="CI27" s="38"/>
      <c r="CJ27" s="38"/>
      <c r="CK27" s="38"/>
      <c r="CL27" s="38"/>
      <c r="CM27" s="40"/>
      <c r="CN27" s="43"/>
      <c r="CO27" s="5"/>
      <c r="CP27" s="5"/>
      <c r="CQ27" s="38"/>
      <c r="CR27" s="38"/>
      <c r="CS27" s="38"/>
      <c r="CT27" s="38"/>
      <c r="CU27" s="40"/>
      <c r="CV27" s="43"/>
      <c r="CW27" s="5"/>
      <c r="CX27" s="5"/>
    </row>
    <row r="28" spans="1:102" x14ac:dyDescent="0.35">
      <c r="A28" s="2">
        <v>205022</v>
      </c>
      <c r="B28" s="2">
        <v>205022</v>
      </c>
      <c r="C28" s="3" t="s">
        <v>374</v>
      </c>
      <c r="D28" s="48" t="s">
        <v>375</v>
      </c>
      <c r="E28" s="34" t="s">
        <v>372</v>
      </c>
      <c r="F28" s="47" t="s">
        <v>373</v>
      </c>
      <c r="G28" s="50">
        <v>8582</v>
      </c>
      <c r="H28" s="53">
        <v>1453268</v>
      </c>
      <c r="I28" s="37">
        <v>1375940</v>
      </c>
      <c r="J28" s="53">
        <v>1453268</v>
      </c>
      <c r="K28" s="53">
        <f>I28-J28</f>
        <v>-77328</v>
      </c>
      <c r="L28" s="5"/>
      <c r="M28" s="40">
        <f t="shared" ref="M28:M33" si="15">K28/I28</f>
        <v>-5.6200125005450817E-2</v>
      </c>
      <c r="N28" s="9" t="s">
        <v>284</v>
      </c>
      <c r="O28" s="41">
        <v>44574</v>
      </c>
      <c r="P28" s="42"/>
      <c r="Q28" s="39">
        <v>1453268</v>
      </c>
      <c r="R28" s="39">
        <f t="shared" si="7"/>
        <v>0</v>
      </c>
      <c r="S28" s="5"/>
      <c r="T28" s="40">
        <v>0</v>
      </c>
      <c r="U28" s="43">
        <v>44600</v>
      </c>
      <c r="V28" s="5" t="s">
        <v>284</v>
      </c>
      <c r="W28" s="42"/>
      <c r="X28" s="38">
        <v>1453268</v>
      </c>
      <c r="Y28" s="38">
        <f t="shared" si="10"/>
        <v>0</v>
      </c>
      <c r="Z28" s="5"/>
      <c r="AA28" s="40">
        <v>0</v>
      </c>
      <c r="AB28" s="51">
        <v>44628</v>
      </c>
      <c r="AC28" s="5" t="s">
        <v>284</v>
      </c>
      <c r="AD28" s="42"/>
      <c r="AE28" s="38">
        <v>1453268</v>
      </c>
      <c r="AF28" s="38">
        <f>X28-AE28</f>
        <v>0</v>
      </c>
      <c r="AG28" s="38"/>
      <c r="AH28" s="38"/>
      <c r="AI28" s="40">
        <v>0</v>
      </c>
      <c r="AJ28" s="44">
        <v>44659</v>
      </c>
      <c r="AK28" s="38" t="s">
        <v>284</v>
      </c>
      <c r="AL28" s="5"/>
      <c r="AM28" s="38">
        <v>1453268</v>
      </c>
      <c r="AN28" s="38">
        <f t="shared" si="13"/>
        <v>0</v>
      </c>
      <c r="AO28" s="38"/>
      <c r="AP28" s="38"/>
      <c r="AQ28" s="40">
        <v>0</v>
      </c>
      <c r="AR28" s="43">
        <v>44687</v>
      </c>
      <c r="AS28" s="5" t="s">
        <v>284</v>
      </c>
      <c r="AT28" s="5"/>
      <c r="AU28" s="38">
        <v>1453268</v>
      </c>
      <c r="AV28" s="38">
        <f t="shared" si="14"/>
        <v>0</v>
      </c>
      <c r="AW28" s="38"/>
      <c r="AX28" s="38"/>
      <c r="AY28" s="40">
        <v>0</v>
      </c>
      <c r="AZ28" s="44">
        <v>44719</v>
      </c>
      <c r="BA28" s="38" t="s">
        <v>284</v>
      </c>
      <c r="BB28" s="44">
        <v>44728</v>
      </c>
      <c r="BC28" s="38">
        <v>1453268</v>
      </c>
      <c r="BD28" s="38">
        <f t="shared" si="11"/>
        <v>0</v>
      </c>
      <c r="BE28" s="38"/>
      <c r="BF28" s="38"/>
      <c r="BG28" s="40">
        <v>0</v>
      </c>
      <c r="BH28" s="43">
        <v>44750</v>
      </c>
      <c r="BI28" s="5" t="s">
        <v>284</v>
      </c>
      <c r="BJ28" s="43">
        <v>44768</v>
      </c>
      <c r="BK28" s="38">
        <v>1453268</v>
      </c>
      <c r="BL28" s="38">
        <f t="shared" si="12"/>
        <v>0</v>
      </c>
      <c r="BM28" s="38"/>
      <c r="BN28" s="38"/>
      <c r="BO28" s="40">
        <v>0</v>
      </c>
      <c r="BP28" s="43">
        <v>44778</v>
      </c>
      <c r="BQ28" s="5" t="s">
        <v>284</v>
      </c>
      <c r="BR28" s="5"/>
      <c r="BS28" s="38"/>
      <c r="BT28" s="38"/>
      <c r="BU28" s="38"/>
      <c r="BV28" s="38"/>
      <c r="BW28" s="40"/>
      <c r="BX28" s="43"/>
      <c r="BY28" s="5"/>
      <c r="BZ28" s="5"/>
      <c r="CA28" s="38"/>
      <c r="CB28" s="38"/>
      <c r="CC28" s="38"/>
      <c r="CD28" s="38"/>
      <c r="CE28" s="40"/>
      <c r="CF28" s="43"/>
      <c r="CG28" s="5"/>
      <c r="CH28" s="5"/>
      <c r="CI28" s="38"/>
      <c r="CJ28" s="38"/>
      <c r="CK28" s="38"/>
      <c r="CL28" s="38"/>
      <c r="CM28" s="40"/>
      <c r="CN28" s="43"/>
      <c r="CO28" s="5"/>
      <c r="CP28" s="5"/>
      <c r="CQ28" s="38"/>
      <c r="CR28" s="38"/>
      <c r="CS28" s="38"/>
      <c r="CT28" s="38"/>
      <c r="CU28" s="40"/>
      <c r="CV28" s="43"/>
      <c r="CW28" s="5"/>
      <c r="CX28" s="5"/>
    </row>
    <row r="29" spans="1:102" x14ac:dyDescent="0.35">
      <c r="A29" s="2">
        <v>206169</v>
      </c>
      <c r="B29" s="2">
        <v>206169</v>
      </c>
      <c r="C29" s="3" t="s">
        <v>11</v>
      </c>
      <c r="D29" s="48" t="s">
        <v>378</v>
      </c>
      <c r="E29" s="34" t="s">
        <v>376</v>
      </c>
      <c r="F29" s="47" t="s">
        <v>377</v>
      </c>
      <c r="G29" s="50">
        <v>8583</v>
      </c>
      <c r="H29" s="38">
        <v>1503077</v>
      </c>
      <c r="I29" s="37">
        <v>1423099</v>
      </c>
      <c r="J29" s="38">
        <v>1503077</v>
      </c>
      <c r="K29" s="39">
        <f>I29-J29</f>
        <v>-79978</v>
      </c>
      <c r="L29" s="5"/>
      <c r="M29" s="40">
        <f t="shared" si="15"/>
        <v>-5.6199884899082918E-2</v>
      </c>
      <c r="N29" s="9" t="s">
        <v>284</v>
      </c>
      <c r="O29" s="41">
        <v>44568</v>
      </c>
      <c r="P29" s="42"/>
      <c r="Q29" s="38">
        <v>1503077</v>
      </c>
      <c r="R29" s="39">
        <f t="shared" si="7"/>
        <v>0</v>
      </c>
      <c r="S29" s="5"/>
      <c r="T29" s="40">
        <v>0</v>
      </c>
      <c r="U29" s="51">
        <v>44588</v>
      </c>
      <c r="V29" s="5" t="s">
        <v>284</v>
      </c>
      <c r="W29" s="42"/>
      <c r="X29" s="38">
        <v>1503077</v>
      </c>
      <c r="Y29" s="38">
        <f t="shared" si="10"/>
        <v>0</v>
      </c>
      <c r="Z29" s="38"/>
      <c r="AA29" s="40">
        <v>0</v>
      </c>
      <c r="AB29" s="51">
        <v>44620</v>
      </c>
      <c r="AC29" s="5" t="s">
        <v>284</v>
      </c>
      <c r="AD29" s="42"/>
      <c r="AE29" s="38">
        <v>1503077</v>
      </c>
      <c r="AF29" s="38">
        <f>X29-AE29</f>
        <v>0</v>
      </c>
      <c r="AG29" s="38"/>
      <c r="AH29" s="38"/>
      <c r="AI29" s="40">
        <v>0</v>
      </c>
      <c r="AJ29" s="44">
        <v>44645</v>
      </c>
      <c r="AK29" s="38" t="s">
        <v>284</v>
      </c>
      <c r="AL29" s="5"/>
      <c r="AM29" s="38">
        <v>1503077</v>
      </c>
      <c r="AN29" s="38">
        <f t="shared" si="13"/>
        <v>0</v>
      </c>
      <c r="AO29" s="38"/>
      <c r="AP29" s="38"/>
      <c r="AQ29" s="40">
        <v>0</v>
      </c>
      <c r="AR29" s="43">
        <v>44677</v>
      </c>
      <c r="AS29" s="5" t="s">
        <v>284</v>
      </c>
      <c r="AT29" s="5"/>
      <c r="AU29" s="38">
        <v>1503077</v>
      </c>
      <c r="AV29" s="38">
        <f t="shared" si="14"/>
        <v>0</v>
      </c>
      <c r="AW29" s="38"/>
      <c r="AX29" s="38"/>
      <c r="AY29" s="40">
        <v>0</v>
      </c>
      <c r="AZ29" s="44">
        <v>44712</v>
      </c>
      <c r="BA29" s="38" t="s">
        <v>284</v>
      </c>
      <c r="BB29" s="44">
        <v>44728</v>
      </c>
      <c r="BC29" s="38">
        <v>1503077</v>
      </c>
      <c r="BD29" s="38">
        <f t="shared" si="11"/>
        <v>0</v>
      </c>
      <c r="BE29" s="38"/>
      <c r="BF29" s="38"/>
      <c r="BG29" s="40">
        <v>0</v>
      </c>
      <c r="BH29" s="43">
        <v>44741</v>
      </c>
      <c r="BI29" s="5" t="s">
        <v>284</v>
      </c>
      <c r="BJ29" s="43">
        <v>44757</v>
      </c>
      <c r="BK29" s="38">
        <v>1503077</v>
      </c>
      <c r="BL29" s="38">
        <f t="shared" si="12"/>
        <v>0</v>
      </c>
      <c r="BM29" s="38"/>
      <c r="BN29" s="38"/>
      <c r="BO29" s="40">
        <v>0</v>
      </c>
      <c r="BP29" s="43">
        <v>44774</v>
      </c>
      <c r="BQ29" s="5" t="s">
        <v>284</v>
      </c>
      <c r="BR29" s="5"/>
      <c r="BS29" s="38"/>
      <c r="BT29" s="38"/>
      <c r="BU29" s="38"/>
      <c r="BV29" s="38"/>
      <c r="BW29" s="40"/>
      <c r="BX29" s="43"/>
      <c r="BY29" s="5"/>
      <c r="BZ29" s="5"/>
      <c r="CA29" s="38"/>
      <c r="CB29" s="38"/>
      <c r="CC29" s="38"/>
      <c r="CD29" s="38"/>
      <c r="CE29" s="40"/>
      <c r="CF29" s="43"/>
      <c r="CG29" s="5"/>
      <c r="CH29" s="5"/>
      <c r="CI29" s="38"/>
      <c r="CJ29" s="38"/>
      <c r="CK29" s="38"/>
      <c r="CL29" s="38"/>
      <c r="CM29" s="40"/>
      <c r="CN29" s="43"/>
      <c r="CO29" s="5"/>
      <c r="CP29" s="5"/>
      <c r="CQ29" s="38"/>
      <c r="CR29" s="38"/>
      <c r="CS29" s="38"/>
      <c r="CT29" s="38"/>
      <c r="CU29" s="40"/>
      <c r="CV29" s="43"/>
      <c r="CW29" s="5"/>
      <c r="CX29" s="5"/>
    </row>
    <row r="30" spans="1:102" x14ac:dyDescent="0.35">
      <c r="A30" s="2">
        <v>206207</v>
      </c>
      <c r="B30" s="2">
        <v>206207</v>
      </c>
      <c r="C30" s="3" t="s">
        <v>381</v>
      </c>
      <c r="D30" s="48" t="s">
        <v>382</v>
      </c>
      <c r="E30" s="34" t="s">
        <v>379</v>
      </c>
      <c r="F30" s="47" t="s">
        <v>380</v>
      </c>
      <c r="G30" s="50">
        <v>8584</v>
      </c>
      <c r="H30" s="38">
        <v>1114018</v>
      </c>
      <c r="I30" s="37">
        <v>1012849</v>
      </c>
      <c r="J30" s="38">
        <v>1069771</v>
      </c>
      <c r="K30" s="39">
        <f>J30-I30</f>
        <v>56922</v>
      </c>
      <c r="L30" s="5"/>
      <c r="M30" s="40">
        <f t="shared" si="15"/>
        <v>5.6199887643666527E-2</v>
      </c>
      <c r="N30" s="9" t="s">
        <v>284</v>
      </c>
      <c r="O30" s="41">
        <v>44568</v>
      </c>
      <c r="P30" s="42"/>
      <c r="Q30" s="38">
        <v>1069771</v>
      </c>
      <c r="R30" s="39">
        <f t="shared" si="7"/>
        <v>0</v>
      </c>
      <c r="S30" s="5"/>
      <c r="T30" s="40">
        <v>0</v>
      </c>
      <c r="U30" s="51">
        <v>44594</v>
      </c>
      <c r="V30" s="5" t="s">
        <v>284</v>
      </c>
      <c r="W30" s="42"/>
      <c r="X30" s="38">
        <v>1069771</v>
      </c>
      <c r="Y30" s="38">
        <f t="shared" si="10"/>
        <v>0</v>
      </c>
      <c r="Z30" s="39"/>
      <c r="AA30" s="40">
        <v>0</v>
      </c>
      <c r="AB30" s="51">
        <v>44622</v>
      </c>
      <c r="AC30" s="5" t="s">
        <v>284</v>
      </c>
      <c r="AD30" s="42"/>
      <c r="AE30" s="38">
        <v>1114018</v>
      </c>
      <c r="AF30" s="38"/>
      <c r="AG30" s="38">
        <f>X30-AE30</f>
        <v>-44247</v>
      </c>
      <c r="AH30" s="38"/>
      <c r="AI30" s="40">
        <f>AG30/X30</f>
        <v>-4.1361188516046893E-2</v>
      </c>
      <c r="AJ30" s="44">
        <v>44676</v>
      </c>
      <c r="AK30" s="38" t="s">
        <v>284</v>
      </c>
      <c r="AL30" s="5"/>
      <c r="AM30" s="38">
        <v>1114018</v>
      </c>
      <c r="AN30" s="38">
        <f t="shared" si="13"/>
        <v>0</v>
      </c>
      <c r="AO30" s="38"/>
      <c r="AP30" s="38"/>
      <c r="AQ30" s="40">
        <v>0</v>
      </c>
      <c r="AR30" s="43">
        <v>44704</v>
      </c>
      <c r="AS30" s="5" t="s">
        <v>284</v>
      </c>
      <c r="AT30" s="5"/>
      <c r="AU30" s="38">
        <v>1114018</v>
      </c>
      <c r="AV30" s="38">
        <f t="shared" si="14"/>
        <v>0</v>
      </c>
      <c r="AW30" s="38"/>
      <c r="AX30" s="38"/>
      <c r="AY30" s="40">
        <v>0</v>
      </c>
      <c r="AZ30" s="44">
        <v>44713</v>
      </c>
      <c r="BA30" s="38" t="s">
        <v>284</v>
      </c>
      <c r="BB30" s="44">
        <v>44728</v>
      </c>
      <c r="BC30" s="38">
        <v>1114018</v>
      </c>
      <c r="BD30" s="38">
        <f t="shared" si="11"/>
        <v>0</v>
      </c>
      <c r="BE30" s="38"/>
      <c r="BF30" s="38"/>
      <c r="BG30" s="40">
        <v>0</v>
      </c>
      <c r="BH30" s="43">
        <v>44750</v>
      </c>
      <c r="BI30" s="5" t="s">
        <v>284</v>
      </c>
      <c r="BJ30" s="43">
        <v>44768</v>
      </c>
      <c r="BK30" s="38">
        <v>1114018</v>
      </c>
      <c r="BL30" s="38">
        <f t="shared" si="12"/>
        <v>0</v>
      </c>
      <c r="BM30" s="38"/>
      <c r="BN30" s="38"/>
      <c r="BO30" s="40">
        <v>0</v>
      </c>
      <c r="BP30" s="43">
        <v>44778</v>
      </c>
      <c r="BQ30" s="5" t="s">
        <v>284</v>
      </c>
      <c r="BR30" s="5"/>
      <c r="BS30" s="38"/>
      <c r="BT30" s="38"/>
      <c r="BU30" s="38"/>
      <c r="BV30" s="38"/>
      <c r="BW30" s="40"/>
      <c r="BX30" s="43"/>
      <c r="BY30" s="5"/>
      <c r="BZ30" s="5"/>
      <c r="CA30" s="38"/>
      <c r="CB30" s="38"/>
      <c r="CC30" s="38"/>
      <c r="CD30" s="38"/>
      <c r="CE30" s="40"/>
      <c r="CF30" s="43"/>
      <c r="CG30" s="5"/>
      <c r="CH30" s="5"/>
      <c r="CI30" s="38"/>
      <c r="CJ30" s="38"/>
      <c r="CK30" s="38"/>
      <c r="CL30" s="38"/>
      <c r="CM30" s="40"/>
      <c r="CN30" s="43"/>
      <c r="CO30" s="5"/>
      <c r="CP30" s="5"/>
      <c r="CQ30" s="38"/>
      <c r="CR30" s="38"/>
      <c r="CS30" s="38"/>
      <c r="CT30" s="38"/>
      <c r="CU30" s="40"/>
      <c r="CV30" s="43"/>
      <c r="CW30" s="5"/>
      <c r="CX30" s="5"/>
    </row>
    <row r="31" spans="1:102" x14ac:dyDescent="0.35">
      <c r="A31" s="2">
        <v>205016</v>
      </c>
      <c r="B31" s="2">
        <v>205016</v>
      </c>
      <c r="C31" s="3" t="s">
        <v>385</v>
      </c>
      <c r="D31" s="48" t="s">
        <v>386</v>
      </c>
      <c r="E31" s="34" t="s">
        <v>383</v>
      </c>
      <c r="F31" s="47" t="s">
        <v>384</v>
      </c>
      <c r="G31" s="50">
        <v>8585</v>
      </c>
      <c r="H31" s="38">
        <v>1822722</v>
      </c>
      <c r="I31" s="37">
        <v>1698391</v>
      </c>
      <c r="J31" s="38">
        <v>1725735</v>
      </c>
      <c r="K31" s="39">
        <f>J31-I31</f>
        <v>27344</v>
      </c>
      <c r="L31" s="5"/>
      <c r="M31" s="40">
        <f t="shared" si="15"/>
        <v>1.6099944005826691E-2</v>
      </c>
      <c r="N31" s="9" t="s">
        <v>284</v>
      </c>
      <c r="O31" s="41">
        <v>44568</v>
      </c>
      <c r="P31" s="42"/>
      <c r="Q31" s="38">
        <v>1777461</v>
      </c>
      <c r="R31" s="39">
        <f t="shared" si="7"/>
        <v>-51726</v>
      </c>
      <c r="S31" s="5"/>
      <c r="T31" s="40">
        <f>R31/J31</f>
        <v>-2.9973315717650741E-2</v>
      </c>
      <c r="U31" s="51">
        <v>44588</v>
      </c>
      <c r="V31" s="5" t="s">
        <v>284</v>
      </c>
      <c r="W31" s="42"/>
      <c r="X31" s="38">
        <v>1822722</v>
      </c>
      <c r="Y31" s="38">
        <f t="shared" si="10"/>
        <v>-45261</v>
      </c>
      <c r="Z31" s="5"/>
      <c r="AA31" s="40">
        <f>Y31/Q31</f>
        <v>-2.546384983974332E-2</v>
      </c>
      <c r="AB31" s="51">
        <v>44620</v>
      </c>
      <c r="AC31" s="5" t="s">
        <v>284</v>
      </c>
      <c r="AD31" s="42"/>
      <c r="AE31" s="38">
        <v>1822722</v>
      </c>
      <c r="AF31" s="38">
        <f>X31-AE31</f>
        <v>0</v>
      </c>
      <c r="AG31" s="38"/>
      <c r="AH31" s="38"/>
      <c r="AI31" s="40">
        <v>0</v>
      </c>
      <c r="AJ31" s="44">
        <v>44645</v>
      </c>
      <c r="AK31" s="38" t="s">
        <v>284</v>
      </c>
      <c r="AL31" s="5"/>
      <c r="AM31" s="38">
        <v>1822722</v>
      </c>
      <c r="AN31" s="38">
        <f t="shared" si="13"/>
        <v>0</v>
      </c>
      <c r="AO31" s="38"/>
      <c r="AP31" s="38"/>
      <c r="AQ31" s="40">
        <v>0</v>
      </c>
      <c r="AR31" s="43">
        <v>44677</v>
      </c>
      <c r="AS31" s="5" t="s">
        <v>284</v>
      </c>
      <c r="AT31" s="5"/>
      <c r="AU31" s="38">
        <v>1822722</v>
      </c>
      <c r="AV31" s="38">
        <f t="shared" si="14"/>
        <v>0</v>
      </c>
      <c r="AW31" s="38"/>
      <c r="AX31" s="38"/>
      <c r="AY31" s="40">
        <v>0</v>
      </c>
      <c r="AZ31" s="44">
        <v>44712</v>
      </c>
      <c r="BA31" s="38" t="s">
        <v>284</v>
      </c>
      <c r="BB31" s="44">
        <v>44728</v>
      </c>
      <c r="BC31" s="38">
        <v>1822722</v>
      </c>
      <c r="BD31" s="38">
        <f t="shared" si="11"/>
        <v>0</v>
      </c>
      <c r="BE31" s="38"/>
      <c r="BF31" s="38"/>
      <c r="BG31" s="40">
        <v>0</v>
      </c>
      <c r="BH31" s="43">
        <v>44741</v>
      </c>
      <c r="BI31" s="5" t="s">
        <v>284</v>
      </c>
      <c r="BJ31" s="43">
        <v>44757</v>
      </c>
      <c r="BK31" s="38">
        <v>1822722</v>
      </c>
      <c r="BL31" s="38">
        <f t="shared" si="12"/>
        <v>0</v>
      </c>
      <c r="BM31" s="38"/>
      <c r="BN31" s="38"/>
      <c r="BO31" s="40">
        <v>0</v>
      </c>
      <c r="BP31" s="43">
        <v>44774</v>
      </c>
      <c r="BQ31" s="5" t="s">
        <v>284</v>
      </c>
      <c r="BR31" s="5"/>
      <c r="BS31" s="38"/>
      <c r="BT31" s="38"/>
      <c r="BU31" s="38"/>
      <c r="BV31" s="38"/>
      <c r="BW31" s="40"/>
      <c r="BX31" s="43"/>
      <c r="BY31" s="5"/>
      <c r="BZ31" s="5"/>
      <c r="CA31" s="38"/>
      <c r="CB31" s="38"/>
      <c r="CC31" s="38"/>
      <c r="CD31" s="38"/>
      <c r="CE31" s="40"/>
      <c r="CF31" s="43"/>
      <c r="CG31" s="5"/>
      <c r="CH31" s="5"/>
      <c r="CI31" s="38"/>
      <c r="CJ31" s="38"/>
      <c r="CK31" s="38"/>
      <c r="CL31" s="38"/>
      <c r="CM31" s="40"/>
      <c r="CN31" s="43"/>
      <c r="CO31" s="5"/>
      <c r="CP31" s="5"/>
      <c r="CQ31" s="38"/>
      <c r="CR31" s="38"/>
      <c r="CS31" s="38"/>
      <c r="CT31" s="38"/>
      <c r="CU31" s="40"/>
      <c r="CV31" s="43"/>
      <c r="CW31" s="5"/>
      <c r="CX31" s="5"/>
    </row>
    <row r="32" spans="1:102" x14ac:dyDescent="0.35">
      <c r="A32" s="2">
        <v>206202</v>
      </c>
      <c r="B32" s="2">
        <v>206202</v>
      </c>
      <c r="C32" s="3" t="s">
        <v>389</v>
      </c>
      <c r="D32" s="48" t="s">
        <v>386</v>
      </c>
      <c r="E32" s="34" t="s">
        <v>387</v>
      </c>
      <c r="F32" s="47" t="s">
        <v>388</v>
      </c>
      <c r="G32" s="50">
        <v>8714</v>
      </c>
      <c r="H32" s="38">
        <v>1146792</v>
      </c>
      <c r="I32" s="37">
        <v>1068568</v>
      </c>
      <c r="J32" s="38">
        <v>1085772</v>
      </c>
      <c r="K32" s="39">
        <f>I32-J32</f>
        <v>-17204</v>
      </c>
      <c r="L32" s="5"/>
      <c r="M32" s="40">
        <f t="shared" si="15"/>
        <v>-1.6100051657919758E-2</v>
      </c>
      <c r="N32" s="9" t="s">
        <v>284</v>
      </c>
      <c r="O32" s="41">
        <v>44568</v>
      </c>
      <c r="P32" s="42"/>
      <c r="Q32" s="38">
        <v>1085772</v>
      </c>
      <c r="R32" s="39">
        <f t="shared" si="7"/>
        <v>0</v>
      </c>
      <c r="S32" s="5"/>
      <c r="T32" s="40">
        <v>0</v>
      </c>
      <c r="U32" s="51">
        <v>44588</v>
      </c>
      <c r="V32" s="5" t="s">
        <v>284</v>
      </c>
      <c r="W32" s="42"/>
      <c r="X32" s="38">
        <v>1085772</v>
      </c>
      <c r="Y32" s="38">
        <f t="shared" si="10"/>
        <v>0</v>
      </c>
      <c r="Z32" s="5"/>
      <c r="AA32" s="40">
        <v>0</v>
      </c>
      <c r="AB32" s="51">
        <v>44617</v>
      </c>
      <c r="AC32" s="5" t="s">
        <v>284</v>
      </c>
      <c r="AD32" s="42"/>
      <c r="AE32" s="38">
        <v>1146792</v>
      </c>
      <c r="AF32" s="38"/>
      <c r="AG32" s="38">
        <f>X32-AE32</f>
        <v>-61020</v>
      </c>
      <c r="AH32" s="38"/>
      <c r="AI32" s="40">
        <f>AG32/X32</f>
        <v>-5.619964412418077E-2</v>
      </c>
      <c r="AJ32" s="44">
        <v>44645</v>
      </c>
      <c r="AK32" s="38" t="s">
        <v>284</v>
      </c>
      <c r="AL32" s="5"/>
      <c r="AM32" s="38">
        <v>1146792</v>
      </c>
      <c r="AN32" s="38">
        <f t="shared" si="13"/>
        <v>0</v>
      </c>
      <c r="AO32" s="38"/>
      <c r="AP32" s="38"/>
      <c r="AQ32" s="40">
        <v>0</v>
      </c>
      <c r="AR32" s="43">
        <v>44677</v>
      </c>
      <c r="AS32" s="5" t="s">
        <v>284</v>
      </c>
      <c r="AT32" s="5"/>
      <c r="AU32" s="38">
        <v>1146792</v>
      </c>
      <c r="AV32" s="38">
        <f t="shared" si="14"/>
        <v>0</v>
      </c>
      <c r="AW32" s="38"/>
      <c r="AX32" s="38"/>
      <c r="AY32" s="40">
        <v>0</v>
      </c>
      <c r="AZ32" s="44">
        <v>44712</v>
      </c>
      <c r="BA32" s="38" t="s">
        <v>284</v>
      </c>
      <c r="BB32" s="44">
        <v>44728</v>
      </c>
      <c r="BC32" s="38">
        <v>1146792</v>
      </c>
      <c r="BD32" s="38">
        <f t="shared" si="11"/>
        <v>0</v>
      </c>
      <c r="BE32" s="38"/>
      <c r="BF32" s="38"/>
      <c r="BG32" s="40">
        <v>0</v>
      </c>
      <c r="BH32" s="43">
        <v>44742</v>
      </c>
      <c r="BI32" s="5" t="s">
        <v>284</v>
      </c>
      <c r="BJ32" s="43">
        <v>44757</v>
      </c>
      <c r="BK32" s="38">
        <v>1146792</v>
      </c>
      <c r="BL32" s="38">
        <f t="shared" si="12"/>
        <v>0</v>
      </c>
      <c r="BM32" s="38"/>
      <c r="BN32" s="38"/>
      <c r="BO32" s="40">
        <v>0</v>
      </c>
      <c r="BP32" s="43">
        <v>44774</v>
      </c>
      <c r="BQ32" s="5" t="s">
        <v>284</v>
      </c>
      <c r="BR32" s="5"/>
      <c r="BS32" s="38"/>
      <c r="BT32" s="38"/>
      <c r="BU32" s="38"/>
      <c r="BV32" s="38"/>
      <c r="BW32" s="40"/>
      <c r="BX32" s="43"/>
      <c r="BY32" s="5"/>
      <c r="BZ32" s="5"/>
      <c r="CA32" s="38"/>
      <c r="CB32" s="38"/>
      <c r="CC32" s="38"/>
      <c r="CD32" s="38"/>
      <c r="CE32" s="40"/>
      <c r="CF32" s="43"/>
      <c r="CG32" s="5"/>
      <c r="CH32" s="5"/>
      <c r="CI32" s="38"/>
      <c r="CJ32" s="38"/>
      <c r="CK32" s="38"/>
      <c r="CL32" s="38"/>
      <c r="CM32" s="40"/>
      <c r="CN32" s="43"/>
      <c r="CO32" s="5"/>
      <c r="CP32" s="5"/>
      <c r="CQ32" s="38"/>
      <c r="CR32" s="38"/>
      <c r="CS32" s="38"/>
      <c r="CT32" s="38"/>
      <c r="CU32" s="40"/>
      <c r="CV32" s="43"/>
      <c r="CW32" s="5"/>
      <c r="CX32" s="5"/>
    </row>
    <row r="33" spans="1:102" x14ac:dyDescent="0.35">
      <c r="A33" s="2">
        <v>204620</v>
      </c>
      <c r="B33" s="2">
        <v>204620</v>
      </c>
      <c r="C33" s="3" t="s">
        <v>392</v>
      </c>
      <c r="D33" s="48" t="s">
        <v>393</v>
      </c>
      <c r="E33" s="34" t="s">
        <v>390</v>
      </c>
      <c r="F33" s="47" t="s">
        <v>391</v>
      </c>
      <c r="G33" s="55">
        <v>6570</v>
      </c>
      <c r="H33" s="38">
        <v>841642</v>
      </c>
      <c r="I33" s="37">
        <v>786581</v>
      </c>
      <c r="J33" s="38">
        <v>841642</v>
      </c>
      <c r="K33" s="39">
        <f>I33-J33</f>
        <v>-55061</v>
      </c>
      <c r="L33" s="5"/>
      <c r="M33" s="40">
        <f t="shared" si="15"/>
        <v>-7.0000419537212311E-2</v>
      </c>
      <c r="N33" s="9" t="s">
        <v>284</v>
      </c>
      <c r="O33" s="41">
        <v>44581</v>
      </c>
      <c r="P33" s="42"/>
      <c r="Q33" s="38">
        <v>841642</v>
      </c>
      <c r="R33" s="39">
        <f t="shared" si="7"/>
        <v>0</v>
      </c>
      <c r="S33" s="5"/>
      <c r="T33" s="40">
        <v>0</v>
      </c>
      <c r="U33" s="51">
        <v>44594</v>
      </c>
      <c r="V33" s="5" t="s">
        <v>284</v>
      </c>
      <c r="W33" s="42"/>
      <c r="X33" s="38">
        <v>841642</v>
      </c>
      <c r="Y33" s="38">
        <f t="shared" si="10"/>
        <v>0</v>
      </c>
      <c r="Z33" s="5"/>
      <c r="AA33" s="40">
        <v>0</v>
      </c>
      <c r="AB33" s="51">
        <v>44622</v>
      </c>
      <c r="AC33" s="5" t="s">
        <v>284</v>
      </c>
      <c r="AD33" s="42"/>
      <c r="AE33" s="586" t="s">
        <v>287</v>
      </c>
      <c r="AF33" s="587"/>
      <c r="AG33" s="587"/>
      <c r="AH33" s="587"/>
      <c r="AI33" s="587"/>
      <c r="AJ33" s="587"/>
      <c r="AK33" s="587"/>
      <c r="AL33" s="587"/>
      <c r="AM33" s="587"/>
      <c r="AN33" s="587"/>
      <c r="AO33" s="587"/>
      <c r="AP33" s="587"/>
      <c r="AQ33" s="587"/>
      <c r="AR33" s="587"/>
      <c r="AS33" s="587"/>
      <c r="AT33" s="587"/>
      <c r="AU33" s="587"/>
      <c r="AV33" s="587"/>
      <c r="AW33" s="587"/>
      <c r="AX33" s="587"/>
      <c r="AY33" s="587"/>
      <c r="AZ33" s="587"/>
      <c r="BA33" s="587"/>
      <c r="BB33" s="587"/>
      <c r="BC33" s="587"/>
      <c r="BD33" s="587"/>
      <c r="BE33" s="587"/>
      <c r="BF33" s="587"/>
      <c r="BG33" s="587"/>
      <c r="BH33" s="587"/>
      <c r="BI33" s="587"/>
      <c r="BJ33" s="587"/>
      <c r="BK33" s="587"/>
      <c r="BL33" s="587"/>
      <c r="BM33" s="587"/>
      <c r="BN33" s="587"/>
      <c r="BO33" s="587"/>
      <c r="BP33" s="587"/>
      <c r="BQ33" s="587"/>
      <c r="BR33" s="587"/>
      <c r="BS33" s="587"/>
      <c r="BT33" s="587"/>
      <c r="BU33" s="587"/>
      <c r="BV33" s="587"/>
      <c r="BW33" s="587"/>
      <c r="BX33" s="587"/>
      <c r="BY33" s="587"/>
      <c r="BZ33" s="587"/>
      <c r="CA33" s="587"/>
      <c r="CB33" s="587"/>
      <c r="CC33" s="587"/>
      <c r="CD33" s="587"/>
      <c r="CE33" s="587"/>
      <c r="CF33" s="587"/>
      <c r="CG33" s="587"/>
      <c r="CH33" s="587"/>
      <c r="CI33" s="587"/>
      <c r="CJ33" s="587"/>
      <c r="CK33" s="587"/>
      <c r="CL33" s="587"/>
      <c r="CM33" s="587"/>
      <c r="CN33" s="587"/>
      <c r="CO33" s="587"/>
      <c r="CP33" s="587"/>
      <c r="CQ33" s="587"/>
      <c r="CR33" s="587"/>
      <c r="CS33" s="587"/>
      <c r="CT33" s="587"/>
      <c r="CU33" s="587"/>
      <c r="CV33" s="587"/>
      <c r="CW33" s="587"/>
      <c r="CX33" s="588"/>
    </row>
    <row r="34" spans="1:102" x14ac:dyDescent="0.35">
      <c r="A34" s="2">
        <v>206377</v>
      </c>
      <c r="B34" s="2">
        <v>206377</v>
      </c>
      <c r="C34" s="3" t="s">
        <v>396</v>
      </c>
      <c r="D34" s="48" t="s">
        <v>397</v>
      </c>
      <c r="E34" s="34" t="s">
        <v>394</v>
      </c>
      <c r="F34" s="47" t="s">
        <v>395</v>
      </c>
      <c r="G34" s="50">
        <v>8712</v>
      </c>
      <c r="H34" s="37">
        <v>2054000</v>
      </c>
      <c r="I34" s="38">
        <v>2019000</v>
      </c>
      <c r="J34" s="580" t="s">
        <v>398</v>
      </c>
      <c r="K34" s="581"/>
      <c r="L34" s="581"/>
      <c r="M34" s="581"/>
      <c r="N34" s="581"/>
      <c r="O34" s="581"/>
      <c r="P34" s="582"/>
      <c r="Q34" s="38">
        <v>2222000</v>
      </c>
      <c r="R34" s="39">
        <f>I34-Q34</f>
        <v>-203000</v>
      </c>
      <c r="S34" s="5"/>
      <c r="T34" s="40">
        <f>R34/I34</f>
        <v>-0.10054482417038138</v>
      </c>
      <c r="U34" s="51">
        <v>44608</v>
      </c>
      <c r="V34" s="5" t="s">
        <v>284</v>
      </c>
      <c r="W34" s="42"/>
      <c r="X34" s="38">
        <v>2222000</v>
      </c>
      <c r="Y34" s="38">
        <f t="shared" si="10"/>
        <v>0</v>
      </c>
      <c r="Z34" s="5"/>
      <c r="AA34" s="40">
        <v>0</v>
      </c>
      <c r="AB34" s="43">
        <v>44624</v>
      </c>
      <c r="AC34" s="5" t="s">
        <v>284</v>
      </c>
      <c r="AD34" s="42"/>
      <c r="AE34" s="38">
        <v>1549060</v>
      </c>
      <c r="AF34" s="38">
        <f>X34-AE34</f>
        <v>672940</v>
      </c>
      <c r="AG34" s="38"/>
      <c r="AH34" s="38"/>
      <c r="AI34" s="40">
        <f>AF34/X34</f>
        <v>0.30285328532853284</v>
      </c>
      <c r="AJ34" s="44">
        <v>44657</v>
      </c>
      <c r="AK34" s="38" t="s">
        <v>284</v>
      </c>
      <c r="AL34" s="5"/>
      <c r="AM34" s="38">
        <v>2054000</v>
      </c>
      <c r="AN34" s="38">
        <f>X34-AM34</f>
        <v>168000</v>
      </c>
      <c r="AO34" s="38"/>
      <c r="AP34" s="38">
        <v>513500</v>
      </c>
      <c r="AQ34" s="40">
        <f>AN34/X34</f>
        <v>7.5607560756075609E-2</v>
      </c>
      <c r="AR34" s="43">
        <v>44687</v>
      </c>
      <c r="AS34" s="5" t="s">
        <v>284</v>
      </c>
      <c r="AT34" s="5"/>
      <c r="AU34" s="38">
        <v>2054000</v>
      </c>
      <c r="AV34" s="38">
        <f t="shared" ref="AV34:AV42" si="16">AM34-AU34</f>
        <v>0</v>
      </c>
      <c r="AW34" s="38"/>
      <c r="AX34" s="38">
        <v>513500</v>
      </c>
      <c r="AY34" s="40">
        <v>0</v>
      </c>
      <c r="AZ34" s="44">
        <v>44718</v>
      </c>
      <c r="BA34" s="38" t="s">
        <v>284</v>
      </c>
      <c r="BB34" s="44">
        <v>44728</v>
      </c>
      <c r="BC34" s="38">
        <v>2054000</v>
      </c>
      <c r="BD34" s="38">
        <f t="shared" ref="BD34:BD42" si="17">AU34-BC34</f>
        <v>0</v>
      </c>
      <c r="BE34" s="38"/>
      <c r="BF34" s="38">
        <v>513500</v>
      </c>
      <c r="BG34" s="40">
        <v>0</v>
      </c>
      <c r="BH34" s="43">
        <v>44747</v>
      </c>
      <c r="BI34" s="5" t="s">
        <v>284</v>
      </c>
      <c r="BJ34" s="43">
        <v>44757</v>
      </c>
      <c r="BK34" s="38">
        <v>2054000</v>
      </c>
      <c r="BL34" s="38">
        <f t="shared" ref="BL34:BL51" si="18">BC34-BK34</f>
        <v>0</v>
      </c>
      <c r="BM34" s="38"/>
      <c r="BN34" s="38"/>
      <c r="BO34" s="40">
        <v>0</v>
      </c>
      <c r="BP34" s="43">
        <v>44778</v>
      </c>
      <c r="BQ34" s="5" t="s">
        <v>284</v>
      </c>
      <c r="BR34" s="5"/>
      <c r="BS34" s="580"/>
      <c r="BT34" s="581"/>
      <c r="BU34" s="581"/>
      <c r="BV34" s="581"/>
      <c r="BW34" s="581"/>
      <c r="BX34" s="581"/>
      <c r="BY34" s="581"/>
      <c r="BZ34" s="582"/>
      <c r="CA34" s="580"/>
      <c r="CB34" s="581"/>
      <c r="CC34" s="581"/>
      <c r="CD34" s="581"/>
      <c r="CE34" s="581"/>
      <c r="CF34" s="581"/>
      <c r="CG34" s="581"/>
      <c r="CH34" s="582"/>
      <c r="CI34" s="580"/>
      <c r="CJ34" s="581"/>
      <c r="CK34" s="581"/>
      <c r="CL34" s="581"/>
      <c r="CM34" s="581"/>
      <c r="CN34" s="581"/>
      <c r="CO34" s="581"/>
      <c r="CP34" s="582"/>
      <c r="CQ34" s="580"/>
      <c r="CR34" s="581"/>
      <c r="CS34" s="581"/>
      <c r="CT34" s="581"/>
      <c r="CU34" s="581"/>
      <c r="CV34" s="581"/>
      <c r="CW34" s="581"/>
      <c r="CX34" s="582"/>
    </row>
    <row r="35" spans="1:102" x14ac:dyDescent="0.35">
      <c r="A35" s="2">
        <v>206868</v>
      </c>
      <c r="B35" s="2">
        <v>206868</v>
      </c>
      <c r="C35" s="3" t="s">
        <v>401</v>
      </c>
      <c r="D35" s="48" t="s">
        <v>402</v>
      </c>
      <c r="E35" s="34" t="s">
        <v>399</v>
      </c>
      <c r="F35" s="47" t="s">
        <v>400</v>
      </c>
      <c r="G35" s="50">
        <v>8751</v>
      </c>
      <c r="H35" s="37">
        <v>2500681</v>
      </c>
      <c r="I35" s="37">
        <v>2370518</v>
      </c>
      <c r="J35" s="38">
        <v>2370518</v>
      </c>
      <c r="K35" s="39">
        <f>I35-J35</f>
        <v>0</v>
      </c>
      <c r="L35" s="5"/>
      <c r="M35" s="40">
        <v>0</v>
      </c>
      <c r="N35" s="9" t="s">
        <v>284</v>
      </c>
      <c r="O35" s="41">
        <v>44566</v>
      </c>
      <c r="P35" s="42"/>
      <c r="Q35" s="38">
        <v>2370518</v>
      </c>
      <c r="R35" s="39">
        <f>J35-Q35</f>
        <v>0</v>
      </c>
      <c r="S35" s="5"/>
      <c r="T35" s="40">
        <v>0</v>
      </c>
      <c r="U35" s="43">
        <v>44595</v>
      </c>
      <c r="V35" s="5" t="s">
        <v>284</v>
      </c>
      <c r="W35" s="42"/>
      <c r="X35" s="38">
        <v>2370518</v>
      </c>
      <c r="Y35" s="38">
        <f t="shared" si="10"/>
        <v>0</v>
      </c>
      <c r="Z35" s="5"/>
      <c r="AA35" s="40">
        <v>0</v>
      </c>
      <c r="AB35" s="51">
        <v>44622</v>
      </c>
      <c r="AC35" s="5" t="s">
        <v>284</v>
      </c>
      <c r="AD35" s="42"/>
      <c r="AE35" s="38">
        <v>2500681</v>
      </c>
      <c r="AF35" s="38"/>
      <c r="AG35" s="38">
        <f>X35-AE35</f>
        <v>-130163</v>
      </c>
      <c r="AH35" s="38"/>
      <c r="AI35" s="40">
        <f>AG35/X35</f>
        <v>-5.4909095817876091E-2</v>
      </c>
      <c r="AJ35" s="44">
        <v>44658</v>
      </c>
      <c r="AK35" s="38" t="s">
        <v>284</v>
      </c>
      <c r="AL35" s="5"/>
      <c r="AM35" s="38">
        <v>2500681</v>
      </c>
      <c r="AN35" s="38">
        <f t="shared" ref="AN35:AN48" si="19">AE35-AM35</f>
        <v>0</v>
      </c>
      <c r="AO35" s="38"/>
      <c r="AP35" s="38"/>
      <c r="AQ35" s="40">
        <v>0</v>
      </c>
      <c r="AR35" s="43">
        <v>44690</v>
      </c>
      <c r="AS35" s="5" t="s">
        <v>284</v>
      </c>
      <c r="AT35" s="5"/>
      <c r="AU35" s="38">
        <v>2500681</v>
      </c>
      <c r="AV35" s="38">
        <f t="shared" si="16"/>
        <v>0</v>
      </c>
      <c r="AW35" s="38"/>
      <c r="AX35" s="38"/>
      <c r="AY35" s="40">
        <v>0</v>
      </c>
      <c r="AZ35" s="44">
        <v>44715</v>
      </c>
      <c r="BA35" s="38" t="s">
        <v>284</v>
      </c>
      <c r="BB35" s="44">
        <v>44728</v>
      </c>
      <c r="BC35" s="38">
        <v>2500681</v>
      </c>
      <c r="BD35" s="38">
        <f t="shared" si="17"/>
        <v>0</v>
      </c>
      <c r="BE35" s="38"/>
      <c r="BF35" s="38"/>
      <c r="BG35" s="40">
        <v>0</v>
      </c>
      <c r="BH35" s="43">
        <v>44743</v>
      </c>
      <c r="BI35" s="5" t="s">
        <v>284</v>
      </c>
      <c r="BJ35" s="43">
        <v>44757</v>
      </c>
      <c r="BK35" s="38">
        <v>2500681</v>
      </c>
      <c r="BL35" s="38">
        <f t="shared" si="18"/>
        <v>0</v>
      </c>
      <c r="BM35" s="38"/>
      <c r="BN35" s="38"/>
      <c r="BO35" s="40">
        <v>0</v>
      </c>
      <c r="BP35" s="43">
        <v>44778</v>
      </c>
      <c r="BQ35" s="5" t="s">
        <v>284</v>
      </c>
      <c r="BR35" s="5"/>
      <c r="BS35" s="38"/>
      <c r="BT35" s="38"/>
      <c r="BU35" s="38"/>
      <c r="BV35" s="38"/>
      <c r="BW35" s="40"/>
      <c r="BX35" s="43"/>
      <c r="BY35" s="5"/>
      <c r="BZ35" s="5"/>
      <c r="CA35" s="38"/>
      <c r="CB35" s="38"/>
      <c r="CC35" s="38"/>
      <c r="CD35" s="38"/>
      <c r="CE35" s="40"/>
      <c r="CF35" s="43"/>
      <c r="CG35" s="5"/>
      <c r="CH35" s="5"/>
      <c r="CI35" s="38"/>
      <c r="CJ35" s="38"/>
      <c r="CK35" s="38"/>
      <c r="CL35" s="38"/>
      <c r="CM35" s="40"/>
      <c r="CN35" s="43"/>
      <c r="CO35" s="5"/>
      <c r="CP35" s="5"/>
      <c r="CQ35" s="38"/>
      <c r="CR35" s="38"/>
      <c r="CS35" s="38"/>
      <c r="CT35" s="38"/>
      <c r="CU35" s="40"/>
      <c r="CV35" s="43"/>
      <c r="CW35" s="5"/>
      <c r="CX35" s="5"/>
    </row>
    <row r="36" spans="1:102" x14ac:dyDescent="0.35">
      <c r="A36" s="2">
        <v>206753</v>
      </c>
      <c r="B36" s="2">
        <v>206753</v>
      </c>
      <c r="C36" s="3" t="s">
        <v>405</v>
      </c>
      <c r="D36" s="48" t="s">
        <v>406</v>
      </c>
      <c r="E36" s="34" t="s">
        <v>403</v>
      </c>
      <c r="F36" s="47" t="s">
        <v>404</v>
      </c>
      <c r="G36" s="50">
        <v>8749</v>
      </c>
      <c r="H36" s="37">
        <v>686570</v>
      </c>
      <c r="I36" s="37">
        <v>635713</v>
      </c>
      <c r="J36" s="38">
        <v>699729</v>
      </c>
      <c r="K36" s="39">
        <f>I36-J36</f>
        <v>-64016</v>
      </c>
      <c r="L36" s="5"/>
      <c r="M36" s="40">
        <f>K36/H36</f>
        <v>-9.3240310529152159E-2</v>
      </c>
      <c r="N36" s="9" t="s">
        <v>284</v>
      </c>
      <c r="O36" s="41">
        <v>44564</v>
      </c>
      <c r="P36" s="42"/>
      <c r="Q36" s="38">
        <v>699729</v>
      </c>
      <c r="R36" s="39">
        <f>J36-Q36</f>
        <v>0</v>
      </c>
      <c r="S36" s="5"/>
      <c r="T36" s="40">
        <v>0</v>
      </c>
      <c r="U36" s="51">
        <v>44594</v>
      </c>
      <c r="V36" s="5" t="s">
        <v>284</v>
      </c>
      <c r="W36" s="42"/>
      <c r="X36" s="38">
        <v>699729</v>
      </c>
      <c r="Y36" s="38">
        <f t="shared" si="10"/>
        <v>0</v>
      </c>
      <c r="Z36" s="5"/>
      <c r="AA36" s="40">
        <v>0</v>
      </c>
      <c r="AB36" s="51">
        <v>44622</v>
      </c>
      <c r="AC36" s="5" t="s">
        <v>284</v>
      </c>
      <c r="AD36" s="42"/>
      <c r="AE36" s="38">
        <v>686570</v>
      </c>
      <c r="AF36" s="38">
        <f>X36-AE36</f>
        <v>13159</v>
      </c>
      <c r="AG36" s="38"/>
      <c r="AH36" s="38"/>
      <c r="AI36" s="40">
        <f>AF36/X36</f>
        <v>1.8805851979837907E-2</v>
      </c>
      <c r="AJ36" s="44">
        <v>44655</v>
      </c>
      <c r="AK36" s="38" t="s">
        <v>284</v>
      </c>
      <c r="AL36" s="5"/>
      <c r="AM36" s="38">
        <v>686570</v>
      </c>
      <c r="AN36" s="38">
        <f t="shared" si="19"/>
        <v>0</v>
      </c>
      <c r="AO36" s="38"/>
      <c r="AP36" s="38"/>
      <c r="AQ36" s="40">
        <v>0</v>
      </c>
      <c r="AR36" s="43">
        <v>44684</v>
      </c>
      <c r="AS36" s="5" t="s">
        <v>284</v>
      </c>
      <c r="AT36" s="5"/>
      <c r="AU36" s="38">
        <v>686570</v>
      </c>
      <c r="AV36" s="38">
        <f t="shared" si="16"/>
        <v>0</v>
      </c>
      <c r="AW36" s="38"/>
      <c r="AX36" s="38"/>
      <c r="AY36" s="40">
        <v>0</v>
      </c>
      <c r="AZ36" s="44">
        <v>44715</v>
      </c>
      <c r="BA36" s="38" t="s">
        <v>284</v>
      </c>
      <c r="BB36" s="44">
        <v>44728</v>
      </c>
      <c r="BC36" s="38">
        <v>686570</v>
      </c>
      <c r="BD36" s="38">
        <f t="shared" si="17"/>
        <v>0</v>
      </c>
      <c r="BE36" s="38"/>
      <c r="BF36" s="38"/>
      <c r="BG36" s="40">
        <v>0</v>
      </c>
      <c r="BH36" s="43">
        <v>44743</v>
      </c>
      <c r="BI36" s="5" t="s">
        <v>284</v>
      </c>
      <c r="BJ36" s="43">
        <v>44757</v>
      </c>
      <c r="BK36" s="38">
        <v>686570</v>
      </c>
      <c r="BL36" s="38">
        <f t="shared" si="18"/>
        <v>0</v>
      </c>
      <c r="BM36" s="38"/>
      <c r="BN36" s="38"/>
      <c r="BO36" s="40">
        <v>0</v>
      </c>
      <c r="BP36" s="43">
        <v>44774</v>
      </c>
      <c r="BQ36" s="5" t="s">
        <v>284</v>
      </c>
      <c r="BR36" s="5"/>
      <c r="BS36" s="580"/>
      <c r="BT36" s="581"/>
      <c r="BU36" s="581"/>
      <c r="BV36" s="581"/>
      <c r="BW36" s="581"/>
      <c r="BX36" s="581"/>
      <c r="BY36" s="581"/>
      <c r="BZ36" s="582"/>
      <c r="CA36" s="57"/>
      <c r="CB36" s="57"/>
      <c r="CC36" s="57"/>
      <c r="CD36" s="57"/>
      <c r="CE36" s="57"/>
      <c r="CF36" s="58"/>
      <c r="CG36" s="57"/>
      <c r="CH36" s="57"/>
      <c r="CI36" s="57"/>
      <c r="CJ36" s="57"/>
      <c r="CK36" s="57"/>
      <c r="CL36" s="57"/>
      <c r="CM36" s="57"/>
      <c r="CN36" s="58"/>
      <c r="CO36" s="57"/>
      <c r="CP36" s="57"/>
      <c r="CQ36" s="57"/>
      <c r="CR36" s="57"/>
      <c r="CS36" s="57"/>
      <c r="CT36" s="57"/>
      <c r="CU36" s="57"/>
      <c r="CV36" s="58"/>
      <c r="CW36" s="57"/>
      <c r="CX36" s="57"/>
    </row>
    <row r="37" spans="1:102" x14ac:dyDescent="0.35">
      <c r="A37" s="2">
        <v>207689</v>
      </c>
      <c r="B37" s="2">
        <v>207689</v>
      </c>
      <c r="C37" s="3" t="s">
        <v>366</v>
      </c>
      <c r="D37" s="48" t="s">
        <v>367</v>
      </c>
      <c r="E37" s="34" t="s">
        <v>407</v>
      </c>
      <c r="F37" s="47" t="s">
        <v>408</v>
      </c>
      <c r="G37" s="50">
        <v>8860</v>
      </c>
      <c r="H37" s="37">
        <v>1885213</v>
      </c>
      <c r="I37" s="37">
        <v>1759908</v>
      </c>
      <c r="J37" s="38">
        <v>1759908</v>
      </c>
      <c r="K37" s="39">
        <f>I37-J37</f>
        <v>0</v>
      </c>
      <c r="L37" s="5"/>
      <c r="M37" s="40">
        <v>0</v>
      </c>
      <c r="N37" s="9" t="s">
        <v>284</v>
      </c>
      <c r="O37" s="41">
        <v>44566</v>
      </c>
      <c r="P37" s="42"/>
      <c r="Q37" s="38">
        <v>2010518</v>
      </c>
      <c r="R37" s="39">
        <f>J37-Q37</f>
        <v>-250610</v>
      </c>
      <c r="S37" s="5"/>
      <c r="T37" s="40">
        <f>R37/J37</f>
        <v>-0.14239948906420108</v>
      </c>
      <c r="U37" s="43">
        <v>44595</v>
      </c>
      <c r="V37" s="5" t="s">
        <v>284</v>
      </c>
      <c r="W37" s="42"/>
      <c r="X37" s="38">
        <v>1885213</v>
      </c>
      <c r="Y37" s="38">
        <f t="shared" si="10"/>
        <v>125305</v>
      </c>
      <c r="Z37" s="5"/>
      <c r="AA37" s="40">
        <f>Y37/Q37</f>
        <v>6.2324734222722701E-2</v>
      </c>
      <c r="AB37" s="51">
        <v>44622</v>
      </c>
      <c r="AC37" s="5" t="s">
        <v>284</v>
      </c>
      <c r="AD37" s="42"/>
      <c r="AE37" s="38">
        <v>1885213</v>
      </c>
      <c r="AF37" s="38">
        <f>X37-AE37</f>
        <v>0</v>
      </c>
      <c r="AG37" s="38"/>
      <c r="AH37" s="38"/>
      <c r="AI37" s="40">
        <v>0</v>
      </c>
      <c r="AJ37" s="44">
        <v>44657</v>
      </c>
      <c r="AK37" s="38" t="s">
        <v>284</v>
      </c>
      <c r="AL37" s="5"/>
      <c r="AM37" s="38">
        <v>1885213</v>
      </c>
      <c r="AN37" s="38">
        <f t="shared" si="19"/>
        <v>0</v>
      </c>
      <c r="AO37" s="38"/>
      <c r="AP37" s="38"/>
      <c r="AQ37" s="40">
        <v>0</v>
      </c>
      <c r="AR37" s="43">
        <v>44686</v>
      </c>
      <c r="AS37" s="5" t="s">
        <v>284</v>
      </c>
      <c r="AT37" s="5"/>
      <c r="AU37" s="38">
        <v>1885213</v>
      </c>
      <c r="AV37" s="38">
        <f t="shared" si="16"/>
        <v>0</v>
      </c>
      <c r="AW37" s="38"/>
      <c r="AX37" s="38"/>
      <c r="AY37" s="40">
        <v>0</v>
      </c>
      <c r="AZ37" s="44">
        <v>44719</v>
      </c>
      <c r="BA37" s="38" t="s">
        <v>284</v>
      </c>
      <c r="BB37" s="44">
        <v>44728</v>
      </c>
      <c r="BC37" s="38">
        <v>1885213</v>
      </c>
      <c r="BD37" s="38">
        <f t="shared" si="17"/>
        <v>0</v>
      </c>
      <c r="BE37" s="38"/>
      <c r="BF37" s="38"/>
      <c r="BG37" s="40">
        <v>0</v>
      </c>
      <c r="BH37" s="43">
        <v>44748</v>
      </c>
      <c r="BI37" s="5" t="s">
        <v>284</v>
      </c>
      <c r="BJ37" s="43">
        <v>44757</v>
      </c>
      <c r="BK37" s="38">
        <v>1885213</v>
      </c>
      <c r="BL37" s="38">
        <f t="shared" si="18"/>
        <v>0</v>
      </c>
      <c r="BM37" s="38"/>
      <c r="BN37" s="38"/>
      <c r="BO37" s="40">
        <v>0</v>
      </c>
      <c r="BP37" s="43">
        <v>44776</v>
      </c>
      <c r="BQ37" s="5" t="s">
        <v>284</v>
      </c>
      <c r="BR37" s="5"/>
      <c r="BS37" s="38"/>
      <c r="BT37" s="38"/>
      <c r="BU37" s="38"/>
      <c r="BV37" s="38"/>
      <c r="BW37" s="40"/>
      <c r="BX37" s="43"/>
      <c r="BY37" s="5"/>
      <c r="BZ37" s="5"/>
      <c r="CA37" s="38"/>
      <c r="CB37" s="38"/>
      <c r="CC37" s="38"/>
      <c r="CD37" s="38"/>
      <c r="CE37" s="40"/>
      <c r="CF37" s="43"/>
      <c r="CG37" s="5"/>
      <c r="CH37" s="5"/>
      <c r="CI37" s="38"/>
      <c r="CJ37" s="38"/>
      <c r="CK37" s="38"/>
      <c r="CL37" s="38"/>
      <c r="CM37" s="40"/>
      <c r="CN37" s="43"/>
      <c r="CO37" s="5"/>
      <c r="CP37" s="5"/>
      <c r="CQ37" s="38"/>
      <c r="CR37" s="38"/>
      <c r="CS37" s="38"/>
      <c r="CT37" s="38"/>
      <c r="CU37" s="40"/>
      <c r="CV37" s="43"/>
      <c r="CW37" s="5"/>
      <c r="CX37" s="5"/>
    </row>
    <row r="38" spans="1:102" x14ac:dyDescent="0.35">
      <c r="A38" s="2">
        <v>208093</v>
      </c>
      <c r="B38" s="2">
        <v>208093</v>
      </c>
      <c r="C38" s="35" t="s">
        <v>328</v>
      </c>
      <c r="D38" s="48" t="s">
        <v>329</v>
      </c>
      <c r="E38" s="34" t="s">
        <v>409</v>
      </c>
      <c r="F38" s="47" t="s">
        <v>410</v>
      </c>
      <c r="G38" s="50">
        <v>8859</v>
      </c>
      <c r="H38" s="38">
        <v>2580492</v>
      </c>
      <c r="I38" s="37">
        <v>2344410</v>
      </c>
      <c r="J38" s="38">
        <v>2580492</v>
      </c>
      <c r="K38" s="39">
        <f>I38-J38</f>
        <v>-236082</v>
      </c>
      <c r="L38" s="5"/>
      <c r="M38" s="40">
        <f>K38/I38</f>
        <v>-0.10069996289045005</v>
      </c>
      <c r="N38" s="9" t="s">
        <v>284</v>
      </c>
      <c r="O38" s="41">
        <v>44574</v>
      </c>
      <c r="P38" s="42"/>
      <c r="Q38" s="39">
        <v>2580492</v>
      </c>
      <c r="R38" s="39">
        <f>J38-Q38</f>
        <v>0</v>
      </c>
      <c r="S38" s="5"/>
      <c r="T38" s="40">
        <v>0</v>
      </c>
      <c r="U38" s="43">
        <v>44600</v>
      </c>
      <c r="V38" s="5" t="s">
        <v>284</v>
      </c>
      <c r="W38" s="42"/>
      <c r="X38" s="38">
        <v>2580492</v>
      </c>
      <c r="Y38" s="38">
        <f>Q38-X38</f>
        <v>0</v>
      </c>
      <c r="Z38" s="5"/>
      <c r="AA38" s="40">
        <v>0</v>
      </c>
      <c r="AB38" s="51">
        <v>44628</v>
      </c>
      <c r="AC38" s="5" t="s">
        <v>284</v>
      </c>
      <c r="AD38" s="42"/>
      <c r="AE38" s="38">
        <v>2580492</v>
      </c>
      <c r="AF38" s="38">
        <f>X38-AE38</f>
        <v>0</v>
      </c>
      <c r="AG38" s="38"/>
      <c r="AH38" s="38"/>
      <c r="AI38" s="40">
        <v>0</v>
      </c>
      <c r="AJ38" s="44">
        <v>44659</v>
      </c>
      <c r="AK38" s="38" t="s">
        <v>284</v>
      </c>
      <c r="AL38" s="5"/>
      <c r="AM38" s="38">
        <v>2580492</v>
      </c>
      <c r="AN38" s="38">
        <f t="shared" si="19"/>
        <v>0</v>
      </c>
      <c r="AO38" s="38"/>
      <c r="AP38" s="38"/>
      <c r="AQ38" s="40">
        <v>0</v>
      </c>
      <c r="AR38" s="43">
        <v>44687</v>
      </c>
      <c r="AS38" s="5" t="s">
        <v>284</v>
      </c>
      <c r="AT38" s="5"/>
      <c r="AU38" s="38">
        <v>2580492</v>
      </c>
      <c r="AV38" s="38">
        <f t="shared" si="16"/>
        <v>0</v>
      </c>
      <c r="AW38" s="38"/>
      <c r="AX38" s="38"/>
      <c r="AY38" s="40">
        <v>0</v>
      </c>
      <c r="AZ38" s="44">
        <v>44719</v>
      </c>
      <c r="BA38" s="38" t="s">
        <v>284</v>
      </c>
      <c r="BB38" s="44">
        <v>44728</v>
      </c>
      <c r="BC38" s="38">
        <v>2580492</v>
      </c>
      <c r="BD38" s="38">
        <f t="shared" si="17"/>
        <v>0</v>
      </c>
      <c r="BE38" s="38"/>
      <c r="BF38" s="38"/>
      <c r="BG38" s="40">
        <v>0</v>
      </c>
      <c r="BH38" s="43">
        <v>44753</v>
      </c>
      <c r="BI38" s="5" t="s">
        <v>284</v>
      </c>
      <c r="BJ38" s="43">
        <v>44768</v>
      </c>
      <c r="BK38" s="38">
        <v>2580492</v>
      </c>
      <c r="BL38" s="38">
        <f t="shared" si="18"/>
        <v>0</v>
      </c>
      <c r="BM38" s="38"/>
      <c r="BN38" s="38"/>
      <c r="BO38" s="40">
        <v>0</v>
      </c>
      <c r="BP38" s="43">
        <v>44778</v>
      </c>
      <c r="BQ38" s="5" t="s">
        <v>284</v>
      </c>
      <c r="BR38" s="5"/>
      <c r="BS38" s="38"/>
      <c r="BT38" s="38"/>
      <c r="BU38" s="38"/>
      <c r="BV38" s="38"/>
      <c r="BW38" s="40"/>
      <c r="BX38" s="43"/>
      <c r="BY38" s="5"/>
      <c r="BZ38" s="5"/>
      <c r="CA38" s="38"/>
      <c r="CB38" s="38"/>
      <c r="CC38" s="38"/>
      <c r="CD38" s="38"/>
      <c r="CE38" s="40"/>
      <c r="CF38" s="43"/>
      <c r="CG38" s="5"/>
      <c r="CH38" s="5"/>
      <c r="CI38" s="38"/>
      <c r="CJ38" s="38"/>
      <c r="CK38" s="38"/>
      <c r="CL38" s="38"/>
      <c r="CM38" s="40"/>
      <c r="CN38" s="43"/>
      <c r="CO38" s="5"/>
      <c r="CP38" s="5"/>
      <c r="CQ38" s="38"/>
      <c r="CR38" s="38"/>
      <c r="CS38" s="38"/>
      <c r="CT38" s="38"/>
      <c r="CU38" s="40"/>
      <c r="CV38" s="43"/>
      <c r="CW38" s="5"/>
      <c r="CX38" s="5"/>
    </row>
    <row r="39" spans="1:102" x14ac:dyDescent="0.35">
      <c r="A39" s="2">
        <v>219333</v>
      </c>
      <c r="B39" s="2">
        <v>219333</v>
      </c>
      <c r="C39" s="59" t="s">
        <v>413</v>
      </c>
      <c r="D39" s="48" t="s">
        <v>414</v>
      </c>
      <c r="E39" s="49" t="s">
        <v>411</v>
      </c>
      <c r="F39" s="47" t="s">
        <v>412</v>
      </c>
      <c r="G39" s="50" t="s">
        <v>176</v>
      </c>
      <c r="H39" s="37">
        <v>2128323</v>
      </c>
      <c r="I39" s="37">
        <v>2015040</v>
      </c>
      <c r="J39" s="53">
        <v>2128323</v>
      </c>
      <c r="K39" s="53">
        <f>I39-J39</f>
        <v>-113283</v>
      </c>
      <c r="L39" s="5"/>
      <c r="M39" s="40">
        <f>K39/I39</f>
        <v>-5.6218735111958074E-2</v>
      </c>
      <c r="N39" s="5" t="s">
        <v>284</v>
      </c>
      <c r="O39" s="41">
        <v>44637</v>
      </c>
      <c r="P39" s="42"/>
      <c r="Q39" s="39">
        <v>2128323</v>
      </c>
      <c r="R39" s="39">
        <f>J39-Q39</f>
        <v>0</v>
      </c>
      <c r="S39" s="5"/>
      <c r="T39" s="40">
        <v>0</v>
      </c>
      <c r="U39" s="43">
        <v>44637</v>
      </c>
      <c r="V39" s="5" t="s">
        <v>284</v>
      </c>
      <c r="W39" s="42"/>
      <c r="X39" s="38">
        <v>2128323</v>
      </c>
      <c r="Y39" s="38">
        <f>I39-X39</f>
        <v>-113283</v>
      </c>
      <c r="Z39" s="5"/>
      <c r="AA39" s="40">
        <f>Y39/I39</f>
        <v>-5.6218735111958074E-2</v>
      </c>
      <c r="AB39" s="51">
        <v>44634</v>
      </c>
      <c r="AC39" s="5" t="s">
        <v>284</v>
      </c>
      <c r="AD39" s="42"/>
      <c r="AE39" s="38">
        <v>2128323</v>
      </c>
      <c r="AF39" s="38">
        <f>X39-AE39</f>
        <v>0</v>
      </c>
      <c r="AG39" s="38"/>
      <c r="AH39" s="38"/>
      <c r="AI39" s="40">
        <v>0</v>
      </c>
      <c r="AJ39" s="44">
        <v>44669</v>
      </c>
      <c r="AK39" s="38" t="s">
        <v>284</v>
      </c>
      <c r="AL39" s="5"/>
      <c r="AM39" s="38">
        <v>2128323</v>
      </c>
      <c r="AN39" s="38">
        <f t="shared" si="19"/>
        <v>0</v>
      </c>
      <c r="AO39" s="38"/>
      <c r="AP39" s="38"/>
      <c r="AQ39" s="40">
        <v>0</v>
      </c>
      <c r="AR39" s="43">
        <v>44692</v>
      </c>
      <c r="AS39" s="5" t="s">
        <v>284</v>
      </c>
      <c r="AT39" s="5"/>
      <c r="AU39" s="38">
        <v>2128323</v>
      </c>
      <c r="AV39" s="38">
        <f t="shared" si="16"/>
        <v>0</v>
      </c>
      <c r="AW39" s="38"/>
      <c r="AX39" s="38"/>
      <c r="AY39" s="40">
        <v>0</v>
      </c>
      <c r="AZ39" s="44">
        <v>44727</v>
      </c>
      <c r="BA39" s="38" t="s">
        <v>284</v>
      </c>
      <c r="BB39" s="44">
        <v>44755</v>
      </c>
      <c r="BC39" s="38">
        <v>2128323</v>
      </c>
      <c r="BD39" s="38">
        <f t="shared" si="17"/>
        <v>0</v>
      </c>
      <c r="BE39" s="38"/>
      <c r="BF39" s="38"/>
      <c r="BG39" s="40">
        <v>0</v>
      </c>
      <c r="BH39" s="43">
        <v>44756</v>
      </c>
      <c r="BI39" s="5" t="s">
        <v>284</v>
      </c>
      <c r="BJ39" s="43">
        <v>44768</v>
      </c>
      <c r="BK39" s="38">
        <v>2128323</v>
      </c>
      <c r="BL39" s="38">
        <f t="shared" si="18"/>
        <v>0</v>
      </c>
      <c r="BM39" s="38"/>
      <c r="BN39" s="38"/>
      <c r="BO39" s="40">
        <v>0</v>
      </c>
      <c r="BP39" s="43">
        <v>44789</v>
      </c>
      <c r="BQ39" s="5" t="s">
        <v>284</v>
      </c>
      <c r="BR39" s="5"/>
      <c r="BS39" s="57"/>
      <c r="BT39" s="57"/>
      <c r="BU39" s="57"/>
      <c r="BV39" s="57"/>
      <c r="BW39" s="57"/>
      <c r="BX39" s="57"/>
      <c r="BY39" s="57"/>
      <c r="BZ39" s="57"/>
      <c r="CA39" s="580"/>
      <c r="CB39" s="581"/>
      <c r="CC39" s="581"/>
      <c r="CD39" s="581"/>
      <c r="CE39" s="581"/>
      <c r="CF39" s="581"/>
      <c r="CG39" s="581"/>
      <c r="CH39" s="582"/>
      <c r="CI39" s="580"/>
      <c r="CJ39" s="581"/>
      <c r="CK39" s="581"/>
      <c r="CL39" s="581"/>
      <c r="CM39" s="581"/>
      <c r="CN39" s="581"/>
      <c r="CO39" s="581"/>
      <c r="CP39" s="582"/>
      <c r="CQ39" s="580"/>
      <c r="CR39" s="581"/>
      <c r="CS39" s="581"/>
      <c r="CT39" s="581"/>
      <c r="CU39" s="581"/>
      <c r="CV39" s="581"/>
      <c r="CW39" s="581"/>
      <c r="CX39" s="582"/>
    </row>
    <row r="40" spans="1:102" x14ac:dyDescent="0.35">
      <c r="A40" s="2">
        <v>210358</v>
      </c>
      <c r="B40" s="2">
        <v>210358</v>
      </c>
      <c r="C40" s="5" t="s">
        <v>72</v>
      </c>
      <c r="D40" s="42" t="s">
        <v>417</v>
      </c>
      <c r="E40" s="34" t="s">
        <v>415</v>
      </c>
      <c r="F40" s="47" t="s">
        <v>416</v>
      </c>
      <c r="G40" s="50">
        <v>9053</v>
      </c>
      <c r="H40" s="37">
        <v>2087039</v>
      </c>
      <c r="I40" s="37">
        <v>2087039</v>
      </c>
      <c r="J40" s="38">
        <v>2087039</v>
      </c>
      <c r="K40" s="39">
        <f>J40-I40</f>
        <v>0</v>
      </c>
      <c r="L40" s="5"/>
      <c r="M40" s="40">
        <v>0</v>
      </c>
      <c r="N40" s="9" t="s">
        <v>284</v>
      </c>
      <c r="O40" s="41">
        <v>44564</v>
      </c>
      <c r="P40" s="42"/>
      <c r="Q40" s="38">
        <v>2087039</v>
      </c>
      <c r="R40" s="39">
        <f t="shared" ref="R40:R46" si="20">J40-Q40</f>
        <v>0</v>
      </c>
      <c r="S40" s="5"/>
      <c r="T40" s="40">
        <v>0</v>
      </c>
      <c r="U40" s="51">
        <v>44594</v>
      </c>
      <c r="V40" s="5" t="s">
        <v>284</v>
      </c>
      <c r="W40" s="42"/>
      <c r="X40" s="38"/>
      <c r="Y40" s="38"/>
      <c r="Z40" s="5"/>
      <c r="AA40" s="5"/>
      <c r="AB40" s="5"/>
      <c r="AC40" s="5"/>
      <c r="AD40" s="42"/>
      <c r="AE40" s="38">
        <v>2087039</v>
      </c>
      <c r="AF40" s="38">
        <f>Q40-AE40</f>
        <v>0</v>
      </c>
      <c r="AG40" s="38"/>
      <c r="AH40" s="38"/>
      <c r="AI40" s="40">
        <v>0</v>
      </c>
      <c r="AJ40" s="44">
        <v>44656</v>
      </c>
      <c r="AK40" s="38" t="s">
        <v>284</v>
      </c>
      <c r="AL40" s="5"/>
      <c r="AM40" s="38">
        <v>2087039</v>
      </c>
      <c r="AN40" s="38">
        <f t="shared" si="19"/>
        <v>0</v>
      </c>
      <c r="AO40" s="38"/>
      <c r="AP40" s="38"/>
      <c r="AQ40" s="40">
        <v>0</v>
      </c>
      <c r="AR40" s="43">
        <v>44683</v>
      </c>
      <c r="AS40" s="5" t="s">
        <v>284</v>
      </c>
      <c r="AT40" s="5"/>
      <c r="AU40" s="38">
        <v>2087039</v>
      </c>
      <c r="AV40" s="38">
        <f t="shared" si="16"/>
        <v>0</v>
      </c>
      <c r="AW40" s="38"/>
      <c r="AX40" s="38"/>
      <c r="AY40" s="40">
        <v>0</v>
      </c>
      <c r="AZ40" s="44">
        <v>44713</v>
      </c>
      <c r="BA40" s="38" t="s">
        <v>284</v>
      </c>
      <c r="BB40" s="44">
        <v>44728</v>
      </c>
      <c r="BC40" s="38">
        <v>2087039</v>
      </c>
      <c r="BD40" s="38">
        <f t="shared" si="17"/>
        <v>0</v>
      </c>
      <c r="BE40" s="38"/>
      <c r="BF40" s="38"/>
      <c r="BG40" s="40">
        <v>0</v>
      </c>
      <c r="BH40" s="43">
        <v>44743</v>
      </c>
      <c r="BI40" s="5" t="s">
        <v>284</v>
      </c>
      <c r="BJ40" s="43">
        <v>44757</v>
      </c>
      <c r="BK40" s="38">
        <v>2087039</v>
      </c>
      <c r="BL40" s="38">
        <f t="shared" si="18"/>
        <v>0</v>
      </c>
      <c r="BM40" s="38"/>
      <c r="BN40" s="38"/>
      <c r="BO40" s="40">
        <v>0</v>
      </c>
      <c r="BP40" s="43">
        <v>44774</v>
      </c>
      <c r="BQ40" s="5" t="s">
        <v>284</v>
      </c>
      <c r="BR40" s="5"/>
      <c r="BS40" s="38"/>
      <c r="BT40" s="38"/>
      <c r="BU40" s="38"/>
      <c r="BV40" s="38"/>
      <c r="BW40" s="40"/>
      <c r="BX40" s="43"/>
      <c r="BY40" s="5"/>
      <c r="BZ40" s="5"/>
      <c r="CA40" s="38"/>
      <c r="CB40" s="38"/>
      <c r="CC40" s="38"/>
      <c r="CD40" s="38"/>
      <c r="CE40" s="40"/>
      <c r="CF40" s="43"/>
      <c r="CG40" s="5"/>
      <c r="CH40" s="5"/>
      <c r="CI40" s="38"/>
      <c r="CJ40" s="38"/>
      <c r="CK40" s="38"/>
      <c r="CL40" s="38"/>
      <c r="CM40" s="40"/>
      <c r="CN40" s="43"/>
      <c r="CO40" s="5"/>
      <c r="CP40" s="5"/>
      <c r="CQ40" s="38"/>
      <c r="CR40" s="38"/>
      <c r="CS40" s="38"/>
      <c r="CT40" s="38"/>
      <c r="CU40" s="40"/>
      <c r="CV40" s="43"/>
      <c r="CW40" s="5"/>
      <c r="CX40" s="5"/>
    </row>
    <row r="41" spans="1:102" x14ac:dyDescent="0.35">
      <c r="A41" s="2">
        <v>208872</v>
      </c>
      <c r="B41" s="2">
        <v>208872</v>
      </c>
      <c r="C41" s="3" t="s">
        <v>69</v>
      </c>
      <c r="D41" s="48" t="s">
        <v>386</v>
      </c>
      <c r="E41" s="49" t="s">
        <v>418</v>
      </c>
      <c r="F41" s="47" t="s">
        <v>419</v>
      </c>
      <c r="G41" s="50">
        <v>8968</v>
      </c>
      <c r="H41" s="38">
        <v>1054383</v>
      </c>
      <c r="I41" s="37">
        <v>982462</v>
      </c>
      <c r="J41" s="38">
        <v>998280</v>
      </c>
      <c r="K41" s="39">
        <f>I41-J41</f>
        <v>-15818</v>
      </c>
      <c r="L41" s="5"/>
      <c r="M41" s="40">
        <f>K41/I41</f>
        <v>-1.6100368258517888E-2</v>
      </c>
      <c r="N41" s="9" t="s">
        <v>284</v>
      </c>
      <c r="O41" s="41">
        <v>44568</v>
      </c>
      <c r="P41" s="42"/>
      <c r="Q41" s="38">
        <v>1054383</v>
      </c>
      <c r="R41" s="39">
        <f t="shared" si="20"/>
        <v>-56103</v>
      </c>
      <c r="S41" s="5"/>
      <c r="T41" s="40">
        <f>R41/J41</f>
        <v>-5.6199663421084262E-2</v>
      </c>
      <c r="U41" s="51">
        <v>44588</v>
      </c>
      <c r="V41" s="5" t="s">
        <v>284</v>
      </c>
      <c r="W41" s="42"/>
      <c r="X41" s="38">
        <v>1054383</v>
      </c>
      <c r="Y41" s="38">
        <f t="shared" ref="Y41:Y60" si="21">Q41-X41</f>
        <v>0</v>
      </c>
      <c r="Z41" s="5"/>
      <c r="AA41" s="40">
        <v>0</v>
      </c>
      <c r="AB41" s="51">
        <v>44617</v>
      </c>
      <c r="AC41" s="5" t="s">
        <v>284</v>
      </c>
      <c r="AD41" s="42"/>
      <c r="AE41" s="38">
        <v>1054383</v>
      </c>
      <c r="AF41" s="38">
        <f>X41-AE41</f>
        <v>0</v>
      </c>
      <c r="AG41" s="38"/>
      <c r="AH41" s="38"/>
      <c r="AI41" s="40">
        <v>0</v>
      </c>
      <c r="AJ41" s="44">
        <v>44645</v>
      </c>
      <c r="AK41" s="38" t="s">
        <v>284</v>
      </c>
      <c r="AL41" s="5"/>
      <c r="AM41" s="38">
        <v>1054383</v>
      </c>
      <c r="AN41" s="38">
        <f t="shared" si="19"/>
        <v>0</v>
      </c>
      <c r="AO41" s="38"/>
      <c r="AP41" s="38"/>
      <c r="AQ41" s="40">
        <v>0</v>
      </c>
      <c r="AR41" s="43">
        <v>44677</v>
      </c>
      <c r="AS41" s="5" t="s">
        <v>284</v>
      </c>
      <c r="AT41" s="5"/>
      <c r="AU41" s="38">
        <v>1054383</v>
      </c>
      <c r="AV41" s="38">
        <f t="shared" si="16"/>
        <v>0</v>
      </c>
      <c r="AW41" s="38"/>
      <c r="AX41" s="38"/>
      <c r="AY41" s="40">
        <v>0</v>
      </c>
      <c r="AZ41" s="44">
        <v>44712</v>
      </c>
      <c r="BA41" s="38" t="s">
        <v>284</v>
      </c>
      <c r="BB41" s="44">
        <v>44728</v>
      </c>
      <c r="BC41" s="38">
        <v>1054383</v>
      </c>
      <c r="BD41" s="38">
        <f t="shared" si="17"/>
        <v>0</v>
      </c>
      <c r="BE41" s="38"/>
      <c r="BF41" s="38"/>
      <c r="BG41" s="40">
        <v>0</v>
      </c>
      <c r="BH41" s="43">
        <v>44742</v>
      </c>
      <c r="BI41" s="5" t="s">
        <v>284</v>
      </c>
      <c r="BJ41" s="43">
        <v>44757</v>
      </c>
      <c r="BK41" s="38">
        <v>1054383</v>
      </c>
      <c r="BL41" s="38">
        <f t="shared" si="18"/>
        <v>0</v>
      </c>
      <c r="BM41" s="38"/>
      <c r="BN41" s="38"/>
      <c r="BO41" s="40">
        <v>0</v>
      </c>
      <c r="BP41" s="43">
        <v>44771</v>
      </c>
      <c r="BQ41" s="5" t="s">
        <v>284</v>
      </c>
      <c r="BR41" s="5"/>
      <c r="BS41" s="38"/>
      <c r="BT41" s="38"/>
      <c r="BU41" s="38"/>
      <c r="BV41" s="38"/>
      <c r="BW41" s="40"/>
      <c r="BX41" s="43"/>
      <c r="BY41" s="5"/>
      <c r="BZ41" s="5"/>
      <c r="CA41" s="38"/>
      <c r="CB41" s="38"/>
      <c r="CC41" s="38"/>
      <c r="CD41" s="38"/>
      <c r="CE41" s="40"/>
      <c r="CF41" s="43"/>
      <c r="CG41" s="5"/>
      <c r="CH41" s="5"/>
      <c r="CI41" s="38"/>
      <c r="CJ41" s="38"/>
      <c r="CK41" s="38"/>
      <c r="CL41" s="38"/>
      <c r="CM41" s="40"/>
      <c r="CN41" s="43"/>
      <c r="CO41" s="5"/>
      <c r="CP41" s="5"/>
      <c r="CQ41" s="38"/>
      <c r="CR41" s="38"/>
      <c r="CS41" s="38"/>
      <c r="CT41" s="38"/>
      <c r="CU41" s="40"/>
      <c r="CV41" s="43"/>
      <c r="CW41" s="5"/>
      <c r="CX41" s="5"/>
    </row>
    <row r="42" spans="1:102" x14ac:dyDescent="0.35">
      <c r="A42" s="34">
        <v>208873</v>
      </c>
      <c r="B42" s="34">
        <v>208873</v>
      </c>
      <c r="C42" s="3" t="s">
        <v>422</v>
      </c>
      <c r="D42" s="48" t="s">
        <v>386</v>
      </c>
      <c r="E42" s="49" t="s">
        <v>420</v>
      </c>
      <c r="F42" s="47" t="s">
        <v>421</v>
      </c>
      <c r="G42" s="50">
        <v>8969</v>
      </c>
      <c r="H42" s="38">
        <v>1158137</v>
      </c>
      <c r="I42" s="37">
        <v>1079139</v>
      </c>
      <c r="J42" s="38">
        <v>1096513</v>
      </c>
      <c r="K42" s="39">
        <v>-17374</v>
      </c>
      <c r="L42" s="5"/>
      <c r="M42" s="40">
        <f>K42/I42</f>
        <v>-1.6099872212940132E-2</v>
      </c>
      <c r="N42" s="9" t="s">
        <v>284</v>
      </c>
      <c r="O42" s="41">
        <v>44568</v>
      </c>
      <c r="P42" s="42"/>
      <c r="Q42" s="38">
        <v>1158137</v>
      </c>
      <c r="R42" s="39">
        <f t="shared" si="20"/>
        <v>-61624</v>
      </c>
      <c r="S42" s="5"/>
      <c r="T42" s="40">
        <f>R42/J42</f>
        <v>-5.6199972093354117E-2</v>
      </c>
      <c r="U42" s="51">
        <v>44588</v>
      </c>
      <c r="V42" s="5" t="s">
        <v>284</v>
      </c>
      <c r="W42" s="42"/>
      <c r="X42" s="38">
        <v>1158137</v>
      </c>
      <c r="Y42" s="38">
        <f t="shared" si="21"/>
        <v>0</v>
      </c>
      <c r="Z42" s="5"/>
      <c r="AA42" s="40">
        <v>0</v>
      </c>
      <c r="AB42" s="51">
        <v>44617</v>
      </c>
      <c r="AC42" s="5" t="s">
        <v>284</v>
      </c>
      <c r="AD42" s="42"/>
      <c r="AE42" s="38">
        <v>1158137</v>
      </c>
      <c r="AF42" s="38">
        <f>X42-AE42</f>
        <v>0</v>
      </c>
      <c r="AG42" s="38"/>
      <c r="AH42" s="38"/>
      <c r="AI42" s="40">
        <v>0</v>
      </c>
      <c r="AJ42" s="44">
        <v>44645</v>
      </c>
      <c r="AK42" s="38" t="s">
        <v>284</v>
      </c>
      <c r="AL42" s="5"/>
      <c r="AM42" s="38">
        <v>1158137</v>
      </c>
      <c r="AN42" s="38">
        <f t="shared" si="19"/>
        <v>0</v>
      </c>
      <c r="AO42" s="38"/>
      <c r="AP42" s="38"/>
      <c r="AQ42" s="40">
        <v>0</v>
      </c>
      <c r="AR42" s="43">
        <v>44677</v>
      </c>
      <c r="AS42" s="5" t="s">
        <v>284</v>
      </c>
      <c r="AT42" s="5"/>
      <c r="AU42" s="38">
        <v>1158137</v>
      </c>
      <c r="AV42" s="38">
        <f t="shared" si="16"/>
        <v>0</v>
      </c>
      <c r="AW42" s="38"/>
      <c r="AX42" s="38"/>
      <c r="AY42" s="40">
        <v>0</v>
      </c>
      <c r="AZ42" s="44">
        <v>44712</v>
      </c>
      <c r="BA42" s="38" t="s">
        <v>284</v>
      </c>
      <c r="BB42" s="44">
        <v>44728</v>
      </c>
      <c r="BC42" s="38">
        <v>1158137</v>
      </c>
      <c r="BD42" s="38">
        <f t="shared" si="17"/>
        <v>0</v>
      </c>
      <c r="BE42" s="38"/>
      <c r="BF42" s="38"/>
      <c r="BG42" s="40">
        <v>0</v>
      </c>
      <c r="BH42" s="43">
        <v>44742</v>
      </c>
      <c r="BI42" s="5" t="s">
        <v>284</v>
      </c>
      <c r="BJ42" s="43">
        <v>44757</v>
      </c>
      <c r="BK42" s="38">
        <v>1158137</v>
      </c>
      <c r="BL42" s="38">
        <f t="shared" si="18"/>
        <v>0</v>
      </c>
      <c r="BM42" s="38"/>
      <c r="BN42" s="38"/>
      <c r="BO42" s="40">
        <v>0</v>
      </c>
      <c r="BP42" s="43">
        <v>44774</v>
      </c>
      <c r="BQ42" s="5" t="s">
        <v>284</v>
      </c>
      <c r="BR42" s="5"/>
      <c r="BS42" s="38"/>
      <c r="BT42" s="38"/>
      <c r="BU42" s="38"/>
      <c r="BV42" s="38"/>
      <c r="BW42" s="40"/>
      <c r="BX42" s="43"/>
      <c r="BY42" s="5"/>
      <c r="BZ42" s="5"/>
      <c r="CA42" s="38"/>
      <c r="CB42" s="38"/>
      <c r="CC42" s="38"/>
      <c r="CD42" s="38"/>
      <c r="CE42" s="40"/>
      <c r="CF42" s="43"/>
      <c r="CG42" s="5"/>
      <c r="CH42" s="5"/>
      <c r="CI42" s="38"/>
      <c r="CJ42" s="38"/>
      <c r="CK42" s="38"/>
      <c r="CL42" s="38"/>
      <c r="CM42" s="40"/>
      <c r="CN42" s="43"/>
      <c r="CO42" s="5"/>
      <c r="CP42" s="5"/>
      <c r="CQ42" s="38"/>
      <c r="CR42" s="38"/>
      <c r="CS42" s="38"/>
      <c r="CT42" s="38"/>
      <c r="CU42" s="40"/>
      <c r="CV42" s="43"/>
      <c r="CW42" s="5"/>
      <c r="CX42" s="5"/>
    </row>
    <row r="43" spans="1:102" x14ac:dyDescent="0.35">
      <c r="A43" s="2">
        <v>210304</v>
      </c>
      <c r="B43" s="2">
        <v>210304</v>
      </c>
      <c r="C43" s="3" t="s">
        <v>425</v>
      </c>
      <c r="D43" s="48" t="s">
        <v>386</v>
      </c>
      <c r="E43" s="34" t="s">
        <v>423</v>
      </c>
      <c r="F43" s="47" t="s">
        <v>424</v>
      </c>
      <c r="G43" s="50">
        <v>9072</v>
      </c>
      <c r="H43" s="38">
        <v>1770161</v>
      </c>
      <c r="I43" s="37">
        <v>1691416</v>
      </c>
      <c r="J43" s="38">
        <v>1718648</v>
      </c>
      <c r="K43" s="39">
        <f>I43-J43</f>
        <v>-27232</v>
      </c>
      <c r="L43" s="5"/>
      <c r="M43" s="40">
        <f>K43/I43</f>
        <v>-1.6100119663051551E-2</v>
      </c>
      <c r="N43" s="9" t="s">
        <v>284</v>
      </c>
      <c r="O43" s="41">
        <v>44568</v>
      </c>
      <c r="P43" s="42"/>
      <c r="Q43" s="38">
        <v>1718648</v>
      </c>
      <c r="R43" s="39">
        <f t="shared" si="20"/>
        <v>0</v>
      </c>
      <c r="S43" s="5"/>
      <c r="T43" s="40">
        <v>0</v>
      </c>
      <c r="U43" s="51">
        <v>44588</v>
      </c>
      <c r="V43" s="5" t="s">
        <v>284</v>
      </c>
      <c r="W43" s="42"/>
      <c r="X43" s="38">
        <v>1718648</v>
      </c>
      <c r="Y43" s="38">
        <f t="shared" si="21"/>
        <v>0</v>
      </c>
      <c r="Z43" s="5"/>
      <c r="AA43" s="40">
        <v>0</v>
      </c>
      <c r="AB43" s="51">
        <v>44617</v>
      </c>
      <c r="AC43" s="5" t="s">
        <v>284</v>
      </c>
      <c r="AD43" s="42"/>
      <c r="AE43" s="38">
        <v>1718648</v>
      </c>
      <c r="AF43" s="38">
        <f>X43-AE43</f>
        <v>0</v>
      </c>
      <c r="AG43" s="38"/>
      <c r="AH43" s="38"/>
      <c r="AI43" s="40">
        <v>0</v>
      </c>
      <c r="AJ43" s="44">
        <v>44645</v>
      </c>
      <c r="AK43" s="38" t="s">
        <v>284</v>
      </c>
      <c r="AL43" s="5"/>
      <c r="AM43" s="38">
        <v>1718648</v>
      </c>
      <c r="AN43" s="38">
        <f t="shared" si="19"/>
        <v>0</v>
      </c>
      <c r="AO43" s="38"/>
      <c r="AP43" s="38"/>
      <c r="AQ43" s="40">
        <v>0</v>
      </c>
      <c r="AR43" s="43">
        <v>44677</v>
      </c>
      <c r="AS43" s="5" t="s">
        <v>284</v>
      </c>
      <c r="AT43" s="5"/>
      <c r="AU43" s="38">
        <v>1770161</v>
      </c>
      <c r="AV43" s="38"/>
      <c r="AW43" s="38">
        <f>AM43-AU43</f>
        <v>-51513</v>
      </c>
      <c r="AX43" s="38"/>
      <c r="AY43" s="40">
        <f>AW43/AM43</f>
        <v>-2.9972978760048598E-2</v>
      </c>
      <c r="AZ43" s="44">
        <v>44712</v>
      </c>
      <c r="BA43" s="38" t="s">
        <v>284</v>
      </c>
      <c r="BB43" s="44">
        <v>44728</v>
      </c>
      <c r="BC43" s="38">
        <v>1815236</v>
      </c>
      <c r="BD43" s="38"/>
      <c r="BE43" s="38">
        <f>AU43-BC43</f>
        <v>-45075</v>
      </c>
      <c r="BF43" s="38"/>
      <c r="BG43" s="40">
        <v>0</v>
      </c>
      <c r="BH43" s="43">
        <v>44742</v>
      </c>
      <c r="BI43" s="5" t="s">
        <v>284</v>
      </c>
      <c r="BJ43" s="43">
        <v>44757</v>
      </c>
      <c r="BK43" s="38">
        <v>1815236</v>
      </c>
      <c r="BL43" s="38">
        <f t="shared" si="18"/>
        <v>0</v>
      </c>
      <c r="BM43" s="38"/>
      <c r="BN43" s="38"/>
      <c r="BO43" s="40">
        <v>0</v>
      </c>
      <c r="BP43" s="43">
        <v>44774</v>
      </c>
      <c r="BQ43" s="5" t="s">
        <v>284</v>
      </c>
      <c r="BR43" s="5"/>
      <c r="BS43" s="38"/>
      <c r="BT43" s="38"/>
      <c r="BU43" s="38"/>
      <c r="BV43" s="38"/>
      <c r="BW43" s="40"/>
      <c r="BX43" s="43"/>
      <c r="BY43" s="5"/>
      <c r="BZ43" s="5"/>
      <c r="CA43" s="38"/>
      <c r="CB43" s="38"/>
      <c r="CC43" s="38"/>
      <c r="CD43" s="38"/>
      <c r="CE43" s="40"/>
      <c r="CF43" s="43"/>
      <c r="CG43" s="5"/>
      <c r="CH43" s="5"/>
      <c r="CI43" s="38"/>
      <c r="CJ43" s="38"/>
      <c r="CK43" s="38"/>
      <c r="CL43" s="38"/>
      <c r="CM43" s="40"/>
      <c r="CN43" s="43"/>
      <c r="CO43" s="5"/>
      <c r="CP43" s="5"/>
      <c r="CQ43" s="38"/>
      <c r="CR43" s="38"/>
      <c r="CS43" s="38"/>
      <c r="CT43" s="38"/>
      <c r="CU43" s="40"/>
      <c r="CV43" s="43"/>
      <c r="CW43" s="5"/>
      <c r="CX43" s="5"/>
    </row>
    <row r="44" spans="1:102" x14ac:dyDescent="0.35">
      <c r="A44" s="2"/>
      <c r="B44" s="2"/>
      <c r="C44" s="3" t="s">
        <v>428</v>
      </c>
      <c r="D44" s="48"/>
      <c r="E44" s="34" t="s">
        <v>426</v>
      </c>
      <c r="F44" s="47" t="s">
        <v>427</v>
      </c>
      <c r="G44" s="50">
        <v>9096</v>
      </c>
      <c r="H44" s="37">
        <v>1848159</v>
      </c>
      <c r="I44" s="37">
        <v>1679000</v>
      </c>
      <c r="J44" s="39">
        <v>1848159</v>
      </c>
      <c r="K44" s="39">
        <f>I44-J44</f>
        <v>-169159</v>
      </c>
      <c r="L44" s="5"/>
      <c r="M44" s="40">
        <f>K44/H44</f>
        <v>-9.1528380404499829E-2</v>
      </c>
      <c r="N44" s="9" t="s">
        <v>284</v>
      </c>
      <c r="O44" s="41">
        <v>44566</v>
      </c>
      <c r="P44" s="42"/>
      <c r="Q44" s="39">
        <v>1848159</v>
      </c>
      <c r="R44" s="39">
        <f t="shared" si="20"/>
        <v>0</v>
      </c>
      <c r="S44" s="5"/>
      <c r="T44" s="40">
        <v>0</v>
      </c>
      <c r="U44" s="43">
        <v>44595</v>
      </c>
      <c r="V44" s="5" t="s">
        <v>284</v>
      </c>
      <c r="W44" s="42"/>
      <c r="X44" s="38">
        <v>1848159</v>
      </c>
      <c r="Y44" s="38">
        <f t="shared" si="21"/>
        <v>0</v>
      </c>
      <c r="Z44" s="5"/>
      <c r="AA44" s="46">
        <v>0</v>
      </c>
      <c r="AB44" s="51">
        <v>44621</v>
      </c>
      <c r="AC44" s="5" t="s">
        <v>284</v>
      </c>
      <c r="AD44" s="42"/>
      <c r="AE44" s="38">
        <v>1848159</v>
      </c>
      <c r="AF44" s="38">
        <f>X44-AE44</f>
        <v>0</v>
      </c>
      <c r="AG44" s="38"/>
      <c r="AH44" s="38"/>
      <c r="AI44" s="40">
        <v>0</v>
      </c>
      <c r="AJ44" s="44">
        <v>44656</v>
      </c>
      <c r="AK44" s="38" t="s">
        <v>284</v>
      </c>
      <c r="AL44" s="5"/>
      <c r="AM44" s="38">
        <v>1848159</v>
      </c>
      <c r="AN44" s="38">
        <f t="shared" si="19"/>
        <v>0</v>
      </c>
      <c r="AO44" s="38"/>
      <c r="AP44" s="38"/>
      <c r="AQ44" s="40">
        <v>0</v>
      </c>
      <c r="AR44" s="43">
        <v>44684</v>
      </c>
      <c r="AS44" s="5" t="s">
        <v>284</v>
      </c>
      <c r="AT44" s="5"/>
      <c r="AU44" s="38">
        <v>1848159</v>
      </c>
      <c r="AV44" s="38">
        <f>AM44-AU44</f>
        <v>0</v>
      </c>
      <c r="AW44" s="38"/>
      <c r="AX44" s="38"/>
      <c r="AY44" s="40">
        <v>0</v>
      </c>
      <c r="AZ44" s="44">
        <v>44715</v>
      </c>
      <c r="BA44" s="38" t="s">
        <v>284</v>
      </c>
      <c r="BB44" s="44">
        <v>44728</v>
      </c>
      <c r="BC44" s="38">
        <v>1848159</v>
      </c>
      <c r="BD44" s="38">
        <f t="shared" ref="BD44:BD65" si="22">AU44-BC44</f>
        <v>0</v>
      </c>
      <c r="BE44" s="38"/>
      <c r="BF44" s="38"/>
      <c r="BG44" s="40">
        <v>0</v>
      </c>
      <c r="BH44" s="43">
        <v>44747</v>
      </c>
      <c r="BI44" s="5" t="s">
        <v>284</v>
      </c>
      <c r="BJ44" s="43">
        <v>44757</v>
      </c>
      <c r="BK44" s="38">
        <v>1848159</v>
      </c>
      <c r="BL44" s="38">
        <f t="shared" si="18"/>
        <v>0</v>
      </c>
      <c r="BM44" s="38"/>
      <c r="BN44" s="38"/>
      <c r="BO44" s="40">
        <v>0</v>
      </c>
      <c r="BP44" s="43">
        <v>44776</v>
      </c>
      <c r="BQ44" s="5" t="s">
        <v>284</v>
      </c>
      <c r="BR44" s="5"/>
      <c r="BS44" s="38"/>
      <c r="BT44" s="38"/>
      <c r="BU44" s="38"/>
      <c r="BV44" s="38"/>
      <c r="BW44" s="40"/>
      <c r="BX44" s="43"/>
      <c r="BY44" s="5"/>
      <c r="BZ44" s="5"/>
      <c r="CA44" s="38"/>
      <c r="CB44" s="38"/>
      <c r="CC44" s="38"/>
      <c r="CD44" s="38"/>
      <c r="CE44" s="40"/>
      <c r="CF44" s="43"/>
      <c r="CG44" s="5"/>
      <c r="CH44" s="5"/>
      <c r="CI44" s="38"/>
      <c r="CJ44" s="38"/>
      <c r="CK44" s="38"/>
      <c r="CL44" s="38"/>
      <c r="CM44" s="40"/>
      <c r="CN44" s="43"/>
      <c r="CO44" s="5"/>
      <c r="CP44" s="5"/>
      <c r="CQ44" s="38"/>
      <c r="CR44" s="38"/>
      <c r="CS44" s="38"/>
      <c r="CT44" s="38"/>
      <c r="CU44" s="40"/>
      <c r="CV44" s="43"/>
      <c r="CW44" s="5"/>
      <c r="CX44" s="5"/>
    </row>
    <row r="45" spans="1:102" x14ac:dyDescent="0.35">
      <c r="A45" s="50" t="s">
        <v>431</v>
      </c>
      <c r="B45" s="50" t="s">
        <v>431</v>
      </c>
      <c r="C45" s="3" t="s">
        <v>432</v>
      </c>
      <c r="D45" s="48" t="s">
        <v>433</v>
      </c>
      <c r="E45" s="49" t="s">
        <v>429</v>
      </c>
      <c r="F45" s="5" t="s">
        <v>430</v>
      </c>
      <c r="G45" s="50">
        <v>9100</v>
      </c>
      <c r="H45" s="38">
        <v>3609563</v>
      </c>
      <c r="I45" s="39">
        <v>2636813</v>
      </c>
      <c r="J45" s="38">
        <v>2507427</v>
      </c>
      <c r="K45" s="39">
        <f>J45-I45</f>
        <v>-129386</v>
      </c>
      <c r="L45" s="5"/>
      <c r="M45" s="40">
        <f>K45/I45</f>
        <v>-4.9069084535004949E-2</v>
      </c>
      <c r="N45" s="9" t="s">
        <v>284</v>
      </c>
      <c r="O45" s="41">
        <v>44568</v>
      </c>
      <c r="P45" s="42"/>
      <c r="Q45" s="39">
        <v>2505687</v>
      </c>
      <c r="R45" s="39">
        <f t="shared" si="20"/>
        <v>1740</v>
      </c>
      <c r="S45" s="5"/>
      <c r="T45" s="40">
        <f>R45/J45</f>
        <v>6.9393844765969258E-4</v>
      </c>
      <c r="U45" s="43">
        <v>44594</v>
      </c>
      <c r="V45" s="5" t="s">
        <v>284</v>
      </c>
      <c r="W45" s="42"/>
      <c r="X45" s="38">
        <v>2389287</v>
      </c>
      <c r="Y45" s="38">
        <f t="shared" si="21"/>
        <v>116400</v>
      </c>
      <c r="Z45" s="5"/>
      <c r="AA45" s="40">
        <f>Y45/Q45</f>
        <v>4.6454325699897873E-2</v>
      </c>
      <c r="AB45" s="51">
        <v>44622</v>
      </c>
      <c r="AC45" s="5" t="s">
        <v>284</v>
      </c>
      <c r="AD45" s="42"/>
      <c r="AE45" s="38">
        <v>2404342</v>
      </c>
      <c r="AF45" s="38">
        <f>Q45-AE45</f>
        <v>101345</v>
      </c>
      <c r="AG45" s="38"/>
      <c r="AH45" s="38"/>
      <c r="AI45" s="40">
        <f>AF45/Q45</f>
        <v>4.0445993454090633E-2</v>
      </c>
      <c r="AJ45" s="44">
        <v>44655</v>
      </c>
      <c r="AK45" s="38" t="s">
        <v>284</v>
      </c>
      <c r="AL45" s="5"/>
      <c r="AM45" s="38">
        <v>2397985</v>
      </c>
      <c r="AN45" s="38">
        <f t="shared" si="19"/>
        <v>6357</v>
      </c>
      <c r="AO45" s="38"/>
      <c r="AP45" s="38"/>
      <c r="AQ45" s="40">
        <f>AN45/AE45</f>
        <v>2.6439666237165929E-3</v>
      </c>
      <c r="AR45" s="43">
        <v>44687</v>
      </c>
      <c r="AS45" s="5" t="s">
        <v>284</v>
      </c>
      <c r="AT45" s="5"/>
      <c r="AU45" s="38">
        <v>3609563</v>
      </c>
      <c r="AV45" s="38"/>
      <c r="AW45" s="38">
        <f>Q45-AU45</f>
        <v>-1103876</v>
      </c>
      <c r="AX45" s="38"/>
      <c r="AY45" s="40">
        <f>AW45/Q45</f>
        <v>-0.44054824086168781</v>
      </c>
      <c r="AZ45" s="44">
        <v>44715</v>
      </c>
      <c r="BA45" s="38" t="s">
        <v>284</v>
      </c>
      <c r="BB45" s="44">
        <v>44728</v>
      </c>
      <c r="BC45" s="38">
        <v>2402721</v>
      </c>
      <c r="BD45" s="38">
        <f t="shared" si="22"/>
        <v>1206842</v>
      </c>
      <c r="BE45" s="38"/>
      <c r="BF45" s="38"/>
      <c r="BG45" s="40">
        <f>BD45/AU45</f>
        <v>0.33434573658916605</v>
      </c>
      <c r="BH45" s="43">
        <v>44747</v>
      </c>
      <c r="BI45" s="5" t="s">
        <v>284</v>
      </c>
      <c r="BJ45" s="43">
        <v>44757</v>
      </c>
      <c r="BK45" s="38">
        <v>2405368</v>
      </c>
      <c r="BL45" s="38">
        <f t="shared" si="18"/>
        <v>-2647</v>
      </c>
      <c r="BM45" s="38"/>
      <c r="BN45" s="38"/>
      <c r="BO45" s="40">
        <f>BL45/BC45</f>
        <v>-1.1016676509673824E-3</v>
      </c>
      <c r="BP45" s="43">
        <v>44776</v>
      </c>
      <c r="BQ45" s="5" t="s">
        <v>284</v>
      </c>
      <c r="BR45" s="5"/>
      <c r="BS45" s="38"/>
      <c r="BT45" s="38"/>
      <c r="BU45" s="38"/>
      <c r="BV45" s="38"/>
      <c r="BW45" s="40"/>
      <c r="BX45" s="43"/>
      <c r="BY45" s="5"/>
      <c r="BZ45" s="5"/>
      <c r="CA45" s="38"/>
      <c r="CB45" s="38"/>
      <c r="CC45" s="38"/>
      <c r="CD45" s="38"/>
      <c r="CE45" s="40"/>
      <c r="CF45" s="43"/>
      <c r="CG45" s="5"/>
      <c r="CH45" s="5"/>
      <c r="CI45" s="38"/>
      <c r="CJ45" s="38"/>
      <c r="CK45" s="38"/>
      <c r="CL45" s="38"/>
      <c r="CM45" s="40"/>
      <c r="CN45" s="43"/>
      <c r="CO45" s="5"/>
      <c r="CP45" s="5"/>
      <c r="CQ45" s="38"/>
      <c r="CR45" s="38"/>
      <c r="CS45" s="38"/>
      <c r="CT45" s="38"/>
      <c r="CU45" s="40"/>
      <c r="CV45" s="43"/>
      <c r="CW45" s="5"/>
      <c r="CX45" s="5"/>
    </row>
    <row r="46" spans="1:102" x14ac:dyDescent="0.35">
      <c r="A46" s="2">
        <v>210622</v>
      </c>
      <c r="B46" s="2">
        <v>210622</v>
      </c>
      <c r="C46" s="3" t="s">
        <v>67</v>
      </c>
      <c r="D46" s="60">
        <v>900089075</v>
      </c>
      <c r="E46" s="49" t="s">
        <v>434</v>
      </c>
      <c r="F46" s="47" t="s">
        <v>435</v>
      </c>
      <c r="G46" s="50">
        <v>9101</v>
      </c>
      <c r="H46" s="38">
        <f>817514+1334111</f>
        <v>2151625</v>
      </c>
      <c r="I46" s="37">
        <v>1954779</v>
      </c>
      <c r="J46" s="38">
        <f>817514+1334111</f>
        <v>2151625</v>
      </c>
      <c r="K46" s="39">
        <f>I46-J46</f>
        <v>-196846</v>
      </c>
      <c r="L46" s="5"/>
      <c r="M46" s="40">
        <f>K46/I46</f>
        <v>-0.10069987451266869</v>
      </c>
      <c r="N46" s="9" t="s">
        <v>284</v>
      </c>
      <c r="O46" s="41">
        <v>44566</v>
      </c>
      <c r="P46" s="42"/>
      <c r="Q46" s="38">
        <f>1334111+817514</f>
        <v>2151625</v>
      </c>
      <c r="R46" s="39">
        <f t="shared" si="20"/>
        <v>0</v>
      </c>
      <c r="S46" s="5"/>
      <c r="T46" s="40">
        <v>0</v>
      </c>
      <c r="U46" s="51">
        <v>44594</v>
      </c>
      <c r="V46" s="5" t="s">
        <v>284</v>
      </c>
      <c r="W46" s="42"/>
      <c r="X46" s="38">
        <f>817514+1334111</f>
        <v>2151625</v>
      </c>
      <c r="Y46" s="38">
        <f t="shared" si="21"/>
        <v>0</v>
      </c>
      <c r="Z46" s="5"/>
      <c r="AA46" s="40">
        <v>0</v>
      </c>
      <c r="AB46" s="51">
        <v>44621</v>
      </c>
      <c r="AC46" s="5" t="s">
        <v>284</v>
      </c>
      <c r="AD46" s="42"/>
      <c r="AE46" s="38">
        <f>817514+1334111</f>
        <v>2151625</v>
      </c>
      <c r="AF46" s="38">
        <f>X46-AE46</f>
        <v>0</v>
      </c>
      <c r="AG46" s="38"/>
      <c r="AH46" s="38"/>
      <c r="AI46" s="40">
        <v>0</v>
      </c>
      <c r="AJ46" s="44">
        <v>44655</v>
      </c>
      <c r="AK46" s="38" t="s">
        <v>284</v>
      </c>
      <c r="AL46" s="5"/>
      <c r="AM46" s="38">
        <f>1334111+817514</f>
        <v>2151625</v>
      </c>
      <c r="AN46" s="38">
        <f t="shared" si="19"/>
        <v>0</v>
      </c>
      <c r="AO46" s="38"/>
      <c r="AP46" s="38"/>
      <c r="AQ46" s="40">
        <v>0</v>
      </c>
      <c r="AR46" s="43">
        <v>44683</v>
      </c>
      <c r="AS46" s="5" t="s">
        <v>284</v>
      </c>
      <c r="AT46" s="5"/>
      <c r="AU46" s="38">
        <f>817514+1334111</f>
        <v>2151625</v>
      </c>
      <c r="AV46" s="38">
        <f t="shared" ref="AV46:AV62" si="23">AM46-AU46</f>
        <v>0</v>
      </c>
      <c r="AW46" s="38"/>
      <c r="AX46" s="38"/>
      <c r="AY46" s="40">
        <v>0</v>
      </c>
      <c r="AZ46" s="44">
        <v>44713</v>
      </c>
      <c r="BA46" s="38" t="s">
        <v>284</v>
      </c>
      <c r="BB46" s="44">
        <v>44728</v>
      </c>
      <c r="BC46" s="38">
        <f>1334111+817514</f>
        <v>2151625</v>
      </c>
      <c r="BD46" s="38">
        <f t="shared" si="22"/>
        <v>0</v>
      </c>
      <c r="BE46" s="38"/>
      <c r="BF46" s="38"/>
      <c r="BG46" s="40">
        <v>0</v>
      </c>
      <c r="BH46" s="43">
        <v>44743</v>
      </c>
      <c r="BI46" s="5" t="s">
        <v>284</v>
      </c>
      <c r="BJ46" s="43">
        <v>44757</v>
      </c>
      <c r="BK46" s="38">
        <f>817514+1334111</f>
        <v>2151625</v>
      </c>
      <c r="BL46" s="38">
        <f t="shared" si="18"/>
        <v>0</v>
      </c>
      <c r="BM46" s="38"/>
      <c r="BN46" s="38"/>
      <c r="BO46" s="40">
        <v>0</v>
      </c>
      <c r="BP46" s="43">
        <v>44774</v>
      </c>
      <c r="BQ46" s="5" t="s">
        <v>284</v>
      </c>
      <c r="BR46" s="5"/>
      <c r="BS46" s="38"/>
      <c r="BT46" s="38"/>
      <c r="BU46" s="38"/>
      <c r="BV46" s="38"/>
      <c r="BW46" s="40"/>
      <c r="BX46" s="43"/>
      <c r="BY46" s="5"/>
      <c r="BZ46" s="5"/>
      <c r="CA46" s="38"/>
      <c r="CB46" s="38"/>
      <c r="CC46" s="38"/>
      <c r="CD46" s="38"/>
      <c r="CE46" s="40"/>
      <c r="CF46" s="43"/>
      <c r="CG46" s="5"/>
      <c r="CH46" s="5"/>
      <c r="CI46" s="38"/>
      <c r="CJ46" s="38"/>
      <c r="CK46" s="38"/>
      <c r="CL46" s="38"/>
      <c r="CM46" s="40"/>
      <c r="CN46" s="43"/>
      <c r="CO46" s="5"/>
      <c r="CP46" s="5"/>
      <c r="CQ46" s="38"/>
      <c r="CR46" s="38"/>
      <c r="CS46" s="38"/>
      <c r="CT46" s="38"/>
      <c r="CU46" s="40"/>
      <c r="CV46" s="43"/>
      <c r="CW46" s="5"/>
      <c r="CX46" s="5"/>
    </row>
    <row r="47" spans="1:102" x14ac:dyDescent="0.35">
      <c r="A47" s="50" t="s">
        <v>438</v>
      </c>
      <c r="B47" s="50" t="s">
        <v>438</v>
      </c>
      <c r="C47" s="3" t="s">
        <v>439</v>
      </c>
      <c r="D47" s="48" t="s">
        <v>291</v>
      </c>
      <c r="E47" s="49" t="s">
        <v>436</v>
      </c>
      <c r="F47" s="47" t="s">
        <v>437</v>
      </c>
      <c r="G47" s="50">
        <v>9102</v>
      </c>
      <c r="H47" s="37">
        <v>2014577</v>
      </c>
      <c r="I47" s="37">
        <v>2014577</v>
      </c>
      <c r="J47" s="52">
        <v>2014577</v>
      </c>
      <c r="K47" s="38">
        <f>H47-J47</f>
        <v>0</v>
      </c>
      <c r="L47" s="5"/>
      <c r="M47" s="40">
        <v>0</v>
      </c>
      <c r="N47" s="9" t="s">
        <v>284</v>
      </c>
      <c r="O47" s="41">
        <v>44566</v>
      </c>
      <c r="P47" s="42"/>
      <c r="Q47" s="38">
        <v>2014577</v>
      </c>
      <c r="R47" s="39">
        <f>J47-Q47</f>
        <v>0</v>
      </c>
      <c r="S47" s="5"/>
      <c r="T47" s="40">
        <v>0</v>
      </c>
      <c r="U47" s="43">
        <v>44600</v>
      </c>
      <c r="V47" s="5" t="s">
        <v>284</v>
      </c>
      <c r="W47" s="42"/>
      <c r="X47" s="38">
        <v>2014577</v>
      </c>
      <c r="Y47" s="38">
        <f t="shared" si="21"/>
        <v>0</v>
      </c>
      <c r="Z47" s="5"/>
      <c r="AA47" s="40">
        <v>0</v>
      </c>
      <c r="AB47" s="43">
        <v>44627</v>
      </c>
      <c r="AC47" s="5" t="s">
        <v>284</v>
      </c>
      <c r="AD47" s="42"/>
      <c r="AE47" s="38">
        <v>2014577</v>
      </c>
      <c r="AF47" s="38">
        <f>X47-AE47</f>
        <v>0</v>
      </c>
      <c r="AG47" s="38"/>
      <c r="AH47" s="38"/>
      <c r="AI47" s="40">
        <v>0</v>
      </c>
      <c r="AJ47" s="44">
        <v>44658</v>
      </c>
      <c r="AK47" s="38" t="s">
        <v>284</v>
      </c>
      <c r="AL47" s="5"/>
      <c r="AM47" s="38">
        <v>2014577</v>
      </c>
      <c r="AN47" s="38">
        <f t="shared" si="19"/>
        <v>0</v>
      </c>
      <c r="AO47" s="38"/>
      <c r="AP47" s="38"/>
      <c r="AQ47" s="40">
        <v>0</v>
      </c>
      <c r="AR47" s="43">
        <v>44687</v>
      </c>
      <c r="AS47" s="5" t="s">
        <v>284</v>
      </c>
      <c r="AT47" s="5"/>
      <c r="AU47" s="38">
        <v>2014577</v>
      </c>
      <c r="AV47" s="38">
        <f t="shared" si="23"/>
        <v>0</v>
      </c>
      <c r="AW47" s="38"/>
      <c r="AX47" s="38"/>
      <c r="AY47" s="40">
        <v>0</v>
      </c>
      <c r="AZ47" s="44">
        <v>44718</v>
      </c>
      <c r="BA47" s="38" t="s">
        <v>284</v>
      </c>
      <c r="BB47" s="44">
        <v>44728</v>
      </c>
      <c r="BC47" s="38">
        <v>2014577</v>
      </c>
      <c r="BD47" s="38">
        <f t="shared" si="22"/>
        <v>0</v>
      </c>
      <c r="BE47" s="38"/>
      <c r="BF47" s="38"/>
      <c r="BG47" s="40">
        <v>0</v>
      </c>
      <c r="BH47" s="43">
        <v>44750</v>
      </c>
      <c r="BI47" s="5" t="s">
        <v>284</v>
      </c>
      <c r="BJ47" s="43">
        <v>44768</v>
      </c>
      <c r="BK47" s="38">
        <v>2014577</v>
      </c>
      <c r="BL47" s="38">
        <f t="shared" si="18"/>
        <v>0</v>
      </c>
      <c r="BM47" s="38"/>
      <c r="BN47" s="38"/>
      <c r="BO47" s="40">
        <v>0</v>
      </c>
      <c r="BP47" s="43">
        <v>44778</v>
      </c>
      <c r="BQ47" s="5" t="s">
        <v>284</v>
      </c>
      <c r="BR47" s="5"/>
      <c r="BS47" s="38"/>
      <c r="BT47" s="38"/>
      <c r="BU47" s="38"/>
      <c r="BV47" s="38"/>
      <c r="BW47" s="40"/>
      <c r="BX47" s="43"/>
      <c r="BY47" s="5"/>
      <c r="BZ47" s="5"/>
      <c r="CA47" s="38"/>
      <c r="CB47" s="38"/>
      <c r="CC47" s="38"/>
      <c r="CD47" s="38"/>
      <c r="CE47" s="40"/>
      <c r="CF47" s="43"/>
      <c r="CG47" s="5"/>
      <c r="CH47" s="5"/>
      <c r="CI47" s="38"/>
      <c r="CJ47" s="38"/>
      <c r="CK47" s="38"/>
      <c r="CL47" s="38"/>
      <c r="CM47" s="40"/>
      <c r="CN47" s="43"/>
      <c r="CO47" s="5"/>
      <c r="CP47" s="5"/>
      <c r="CQ47" s="38"/>
      <c r="CR47" s="38"/>
      <c r="CS47" s="38"/>
      <c r="CT47" s="38"/>
      <c r="CU47" s="40"/>
      <c r="CV47" s="43"/>
      <c r="CW47" s="5"/>
      <c r="CX47" s="5"/>
    </row>
    <row r="48" spans="1:102" x14ac:dyDescent="0.35">
      <c r="A48" s="50">
        <v>212833</v>
      </c>
      <c r="B48" s="50">
        <v>212833</v>
      </c>
      <c r="C48" s="3" t="s">
        <v>321</v>
      </c>
      <c r="D48" s="45">
        <v>901094453</v>
      </c>
      <c r="E48" s="49" t="s">
        <v>440</v>
      </c>
      <c r="F48" s="47" t="s">
        <v>441</v>
      </c>
      <c r="G48" s="50">
        <v>9120</v>
      </c>
      <c r="H48" s="37">
        <v>3526286</v>
      </c>
      <c r="I48" s="37">
        <v>3526286</v>
      </c>
      <c r="J48" s="53">
        <v>3526286</v>
      </c>
      <c r="K48" s="39">
        <f>I48-J48</f>
        <v>0</v>
      </c>
      <c r="L48" s="5"/>
      <c r="M48" s="40">
        <v>0</v>
      </c>
      <c r="N48" s="41" t="s">
        <v>284</v>
      </c>
      <c r="O48" s="41">
        <v>44565</v>
      </c>
      <c r="P48" s="42"/>
      <c r="Q48" s="38">
        <v>3526286</v>
      </c>
      <c r="R48" s="39">
        <f t="shared" ref="R48:R68" si="24">J48-Q48</f>
        <v>0</v>
      </c>
      <c r="S48" s="5"/>
      <c r="T48" s="40">
        <v>0</v>
      </c>
      <c r="U48" s="51">
        <v>44594</v>
      </c>
      <c r="V48" s="5" t="s">
        <v>284</v>
      </c>
      <c r="W48" s="42"/>
      <c r="X48" s="38">
        <v>3526286</v>
      </c>
      <c r="Y48" s="38">
        <f t="shared" si="21"/>
        <v>0</v>
      </c>
      <c r="Z48" s="5"/>
      <c r="AA48" s="40">
        <v>0</v>
      </c>
      <c r="AB48" s="51">
        <v>44621</v>
      </c>
      <c r="AC48" s="5" t="s">
        <v>284</v>
      </c>
      <c r="AD48" s="42"/>
      <c r="AE48" s="38">
        <v>3526286</v>
      </c>
      <c r="AF48" s="38">
        <f>X48-AE48</f>
        <v>0</v>
      </c>
      <c r="AG48" s="38"/>
      <c r="AH48" s="38"/>
      <c r="AI48" s="40">
        <v>0</v>
      </c>
      <c r="AJ48" s="44">
        <v>44655</v>
      </c>
      <c r="AK48" s="38" t="s">
        <v>284</v>
      </c>
      <c r="AL48" s="5"/>
      <c r="AM48" s="38">
        <v>3526286</v>
      </c>
      <c r="AN48" s="38">
        <f t="shared" si="19"/>
        <v>0</v>
      </c>
      <c r="AO48" s="38"/>
      <c r="AP48" s="38"/>
      <c r="AQ48" s="40">
        <v>0</v>
      </c>
      <c r="AR48" s="43">
        <v>44683</v>
      </c>
      <c r="AS48" s="5" t="s">
        <v>284</v>
      </c>
      <c r="AT48" s="5"/>
      <c r="AU48" s="38">
        <v>3526286</v>
      </c>
      <c r="AV48" s="38">
        <f t="shared" si="23"/>
        <v>0</v>
      </c>
      <c r="AW48" s="38"/>
      <c r="AX48" s="38"/>
      <c r="AY48" s="40">
        <v>0</v>
      </c>
      <c r="AZ48" s="44">
        <v>44713</v>
      </c>
      <c r="BA48" s="38" t="s">
        <v>284</v>
      </c>
      <c r="BB48" s="44">
        <v>44728</v>
      </c>
      <c r="BC48" s="38">
        <v>3526286</v>
      </c>
      <c r="BD48" s="38">
        <f t="shared" si="22"/>
        <v>0</v>
      </c>
      <c r="BE48" s="38"/>
      <c r="BF48" s="38"/>
      <c r="BG48" s="40">
        <v>0</v>
      </c>
      <c r="BH48" s="43">
        <v>44743</v>
      </c>
      <c r="BI48" s="5" t="s">
        <v>284</v>
      </c>
      <c r="BJ48" s="43">
        <v>44757</v>
      </c>
      <c r="BK48" s="38">
        <v>3526286</v>
      </c>
      <c r="BL48" s="38">
        <f t="shared" si="18"/>
        <v>0</v>
      </c>
      <c r="BM48" s="38"/>
      <c r="BN48" s="38"/>
      <c r="BO48" s="40">
        <v>0</v>
      </c>
      <c r="BP48" s="43">
        <v>44776</v>
      </c>
      <c r="BQ48" s="5" t="s">
        <v>284</v>
      </c>
      <c r="BR48" s="5"/>
      <c r="BS48" s="583"/>
      <c r="BT48" s="584"/>
      <c r="BU48" s="584"/>
      <c r="BV48" s="584"/>
      <c r="BW48" s="584"/>
      <c r="BX48" s="584"/>
      <c r="BY48" s="584"/>
      <c r="BZ48" s="585"/>
      <c r="CA48" s="38"/>
      <c r="CB48" s="38"/>
      <c r="CC48" s="38"/>
      <c r="CD48" s="38"/>
      <c r="CE48" s="40"/>
      <c r="CF48" s="43"/>
      <c r="CG48" s="5"/>
      <c r="CH48" s="5"/>
      <c r="CI48" s="38"/>
      <c r="CJ48" s="38"/>
      <c r="CK48" s="38"/>
      <c r="CL48" s="38"/>
      <c r="CM48" s="40"/>
      <c r="CN48" s="43"/>
      <c r="CO48" s="5"/>
      <c r="CP48" s="5"/>
      <c r="CQ48" s="38"/>
      <c r="CR48" s="38"/>
      <c r="CS48" s="38"/>
      <c r="CT48" s="38"/>
      <c r="CU48" s="40"/>
      <c r="CV48" s="43"/>
      <c r="CW48" s="5"/>
      <c r="CX48" s="5"/>
    </row>
    <row r="49" spans="1:102" x14ac:dyDescent="0.35">
      <c r="A49" s="50" t="s">
        <v>444</v>
      </c>
      <c r="B49" s="50" t="s">
        <v>444</v>
      </c>
      <c r="C49" s="3" t="s">
        <v>445</v>
      </c>
      <c r="D49" s="48" t="s">
        <v>446</v>
      </c>
      <c r="E49" s="49" t="s">
        <v>442</v>
      </c>
      <c r="F49" s="47" t="s">
        <v>443</v>
      </c>
      <c r="G49" s="50">
        <v>9103</v>
      </c>
      <c r="H49" s="38">
        <v>1216300</v>
      </c>
      <c r="I49" s="38">
        <v>1105000</v>
      </c>
      <c r="J49" s="38">
        <v>1216300</v>
      </c>
      <c r="K49" s="39">
        <f>I49-J49</f>
        <v>-111300</v>
      </c>
      <c r="L49" s="5"/>
      <c r="M49" s="40">
        <f>K49/I49</f>
        <v>-0.10072398190045249</v>
      </c>
      <c r="N49" s="9" t="s">
        <v>284</v>
      </c>
      <c r="O49" s="41">
        <v>44566</v>
      </c>
      <c r="P49" s="42"/>
      <c r="Q49" s="38">
        <v>1216300</v>
      </c>
      <c r="R49" s="39">
        <f t="shared" si="24"/>
        <v>0</v>
      </c>
      <c r="S49" s="5"/>
      <c r="T49" s="40">
        <v>0</v>
      </c>
      <c r="U49" s="51">
        <v>44594</v>
      </c>
      <c r="V49" s="5" t="s">
        <v>284</v>
      </c>
      <c r="W49" s="42"/>
      <c r="X49" s="38">
        <v>1068700</v>
      </c>
      <c r="Y49" s="38">
        <f t="shared" si="21"/>
        <v>147600</v>
      </c>
      <c r="Z49" s="5"/>
      <c r="AA49" s="40">
        <f>Y49/Q49</f>
        <v>0.12135164022034038</v>
      </c>
      <c r="AB49" s="43">
        <v>44624</v>
      </c>
      <c r="AC49" s="5" t="s">
        <v>284</v>
      </c>
      <c r="AD49" s="42"/>
      <c r="AE49" s="38">
        <v>1167100</v>
      </c>
      <c r="AF49" s="38">
        <f>Q49-AE49</f>
        <v>49200</v>
      </c>
      <c r="AG49" s="38"/>
      <c r="AH49" s="38"/>
      <c r="AI49" s="40">
        <f>AF49/Q49</f>
        <v>4.0450546740113461E-2</v>
      </c>
      <c r="AJ49" s="44">
        <v>44655</v>
      </c>
      <c r="AK49" s="38" t="s">
        <v>284</v>
      </c>
      <c r="AL49" s="5"/>
      <c r="AM49" s="38">
        <v>1167100</v>
      </c>
      <c r="AN49" s="38">
        <v>0</v>
      </c>
      <c r="AO49" s="38"/>
      <c r="AP49" s="38"/>
      <c r="AQ49" s="40">
        <v>0</v>
      </c>
      <c r="AR49" s="43">
        <v>44683</v>
      </c>
      <c r="AS49" s="5" t="s">
        <v>284</v>
      </c>
      <c r="AT49" s="5"/>
      <c r="AU49" s="38">
        <v>1167100</v>
      </c>
      <c r="AV49" s="38">
        <f t="shared" si="23"/>
        <v>0</v>
      </c>
      <c r="AW49" s="38"/>
      <c r="AX49" s="38"/>
      <c r="AY49" s="40">
        <v>0</v>
      </c>
      <c r="AZ49" s="44">
        <v>44718</v>
      </c>
      <c r="BA49" s="38" t="s">
        <v>284</v>
      </c>
      <c r="BB49" s="44">
        <v>44728</v>
      </c>
      <c r="BC49" s="38">
        <v>1167100</v>
      </c>
      <c r="BD49" s="38">
        <f t="shared" si="22"/>
        <v>0</v>
      </c>
      <c r="BE49" s="38"/>
      <c r="BF49" s="38"/>
      <c r="BG49" s="40">
        <v>0</v>
      </c>
      <c r="BH49" s="43">
        <v>44743</v>
      </c>
      <c r="BI49" s="5" t="s">
        <v>284</v>
      </c>
      <c r="BJ49" s="43">
        <v>44757</v>
      </c>
      <c r="BK49" s="38">
        <v>1167100</v>
      </c>
      <c r="BL49" s="38">
        <f t="shared" si="18"/>
        <v>0</v>
      </c>
      <c r="BM49" s="38"/>
      <c r="BN49" s="38"/>
      <c r="BO49" s="40">
        <v>0</v>
      </c>
      <c r="BP49" s="43">
        <v>44775</v>
      </c>
      <c r="BQ49" s="5" t="s">
        <v>284</v>
      </c>
      <c r="BR49" s="5"/>
      <c r="BS49" s="38"/>
      <c r="BT49" s="38"/>
      <c r="BU49" s="38"/>
      <c r="BV49" s="38"/>
      <c r="BW49" s="40"/>
      <c r="BX49" s="43"/>
      <c r="BY49" s="5"/>
      <c r="BZ49" s="5"/>
      <c r="CA49" s="38"/>
      <c r="CB49" s="38"/>
      <c r="CC49" s="38"/>
      <c r="CD49" s="38"/>
      <c r="CE49" s="40"/>
      <c r="CF49" s="43"/>
      <c r="CG49" s="5"/>
      <c r="CH49" s="5"/>
      <c r="CI49" s="38"/>
      <c r="CJ49" s="38"/>
      <c r="CK49" s="38"/>
      <c r="CL49" s="38"/>
      <c r="CM49" s="40"/>
      <c r="CN49" s="43"/>
      <c r="CO49" s="5"/>
      <c r="CP49" s="5"/>
      <c r="CQ49" s="38"/>
      <c r="CR49" s="38"/>
      <c r="CS49" s="38"/>
      <c r="CT49" s="38"/>
      <c r="CU49" s="40"/>
      <c r="CV49" s="43"/>
      <c r="CW49" s="5"/>
      <c r="CX49" s="5"/>
    </row>
    <row r="50" spans="1:102" x14ac:dyDescent="0.35">
      <c r="A50" s="2">
        <v>204532</v>
      </c>
      <c r="B50" s="2">
        <v>204532</v>
      </c>
      <c r="C50" s="3" t="s">
        <v>449</v>
      </c>
      <c r="D50" s="48" t="s">
        <v>450</v>
      </c>
      <c r="E50" s="49" t="s">
        <v>447</v>
      </c>
      <c r="F50" s="47" t="s">
        <v>448</v>
      </c>
      <c r="G50" s="50">
        <v>8974</v>
      </c>
      <c r="H50" s="37">
        <v>2407956</v>
      </c>
      <c r="I50" s="37">
        <v>2237636</v>
      </c>
      <c r="J50" s="38">
        <v>2237636</v>
      </c>
      <c r="K50" s="39">
        <f>I50-J50</f>
        <v>0</v>
      </c>
      <c r="L50" s="5"/>
      <c r="M50" s="40">
        <v>0</v>
      </c>
      <c r="N50" s="9" t="s">
        <v>284</v>
      </c>
      <c r="O50" s="41">
        <v>44566</v>
      </c>
      <c r="P50" s="42"/>
      <c r="Q50" s="39">
        <v>2363387</v>
      </c>
      <c r="R50" s="39">
        <f t="shared" si="24"/>
        <v>-125751</v>
      </c>
      <c r="S50" s="5"/>
      <c r="T50" s="40">
        <f>R50/J50</f>
        <v>-5.6198148403046787E-2</v>
      </c>
      <c r="U50" s="43">
        <v>44594</v>
      </c>
      <c r="V50" s="5" t="s">
        <v>284</v>
      </c>
      <c r="W50" s="42"/>
      <c r="X50" s="38">
        <v>2363387</v>
      </c>
      <c r="Y50" s="38">
        <f t="shared" si="21"/>
        <v>0</v>
      </c>
      <c r="Z50" s="5"/>
      <c r="AA50" s="40">
        <v>0</v>
      </c>
      <c r="AB50" s="51">
        <v>44622</v>
      </c>
      <c r="AC50" s="5" t="s">
        <v>284</v>
      </c>
      <c r="AD50" s="42"/>
      <c r="AE50" s="38">
        <f>2363387+248467</f>
        <v>2611854</v>
      </c>
      <c r="AF50" s="38"/>
      <c r="AG50" s="38">
        <f>X50-AE50</f>
        <v>-248467</v>
      </c>
      <c r="AH50" s="38"/>
      <c r="AI50" s="40">
        <f>AG50/X50</f>
        <v>-0.10513174524527723</v>
      </c>
      <c r="AJ50" s="44">
        <v>44664</v>
      </c>
      <c r="AK50" s="38" t="s">
        <v>284</v>
      </c>
      <c r="AL50" s="5"/>
      <c r="AM50" s="38">
        <f>2363387+44569</f>
        <v>2407956</v>
      </c>
      <c r="AN50" s="38">
        <f>X50-AM50</f>
        <v>-44569</v>
      </c>
      <c r="AO50" s="38"/>
      <c r="AP50" s="38">
        <f>59415+18586</f>
        <v>78001</v>
      </c>
      <c r="AQ50" s="40">
        <v>0</v>
      </c>
      <c r="AR50" s="43">
        <v>44713</v>
      </c>
      <c r="AS50" s="5" t="s">
        <v>284</v>
      </c>
      <c r="AT50" s="5"/>
      <c r="AU50" s="38">
        <v>2407956</v>
      </c>
      <c r="AV50" s="38">
        <f t="shared" si="23"/>
        <v>0</v>
      </c>
      <c r="AW50" s="38"/>
      <c r="AX50" s="38"/>
      <c r="AY50" s="40">
        <v>0</v>
      </c>
      <c r="AZ50" s="44">
        <v>44715</v>
      </c>
      <c r="BA50" s="38" t="s">
        <v>284</v>
      </c>
      <c r="BB50" s="44">
        <v>44728</v>
      </c>
      <c r="BC50" s="38">
        <v>2407956</v>
      </c>
      <c r="BD50" s="38">
        <f t="shared" si="22"/>
        <v>0</v>
      </c>
      <c r="BE50" s="38"/>
      <c r="BF50" s="38">
        <v>14740</v>
      </c>
      <c r="BG50" s="40">
        <v>0</v>
      </c>
      <c r="BH50" s="43">
        <v>44747</v>
      </c>
      <c r="BI50" s="5" t="s">
        <v>284</v>
      </c>
      <c r="BJ50" s="43">
        <v>44757</v>
      </c>
      <c r="BK50" s="38">
        <v>2393220</v>
      </c>
      <c r="BL50" s="38">
        <f t="shared" si="18"/>
        <v>14736</v>
      </c>
      <c r="BM50" s="38"/>
      <c r="BN50" s="38"/>
      <c r="BO50" s="40">
        <f>BL50/BC50</f>
        <v>6.1197131509047511E-3</v>
      </c>
      <c r="BP50" s="43">
        <v>44776</v>
      </c>
      <c r="BQ50" s="5" t="s">
        <v>284</v>
      </c>
      <c r="BR50" s="5"/>
      <c r="BS50" s="38"/>
      <c r="BT50" s="38"/>
      <c r="BU50" s="38"/>
      <c r="BV50" s="38"/>
      <c r="BW50" s="40"/>
      <c r="BX50" s="43"/>
      <c r="BY50" s="5"/>
      <c r="BZ50" s="5"/>
      <c r="CA50" s="38"/>
      <c r="CB50" s="38"/>
      <c r="CC50" s="38"/>
      <c r="CD50" s="38"/>
      <c r="CE50" s="40"/>
      <c r="CF50" s="43"/>
      <c r="CG50" s="5"/>
      <c r="CH50" s="5"/>
      <c r="CI50" s="38"/>
      <c r="CJ50" s="38"/>
      <c r="CK50" s="38"/>
      <c r="CL50" s="38"/>
      <c r="CM50" s="40"/>
      <c r="CN50" s="43"/>
      <c r="CO50" s="5"/>
      <c r="CP50" s="5"/>
      <c r="CQ50" s="38"/>
      <c r="CR50" s="38"/>
      <c r="CS50" s="38"/>
      <c r="CT50" s="38"/>
      <c r="CU50" s="40"/>
      <c r="CV50" s="43"/>
      <c r="CW50" s="5"/>
      <c r="CX50" s="5"/>
    </row>
    <row r="51" spans="1:102" x14ac:dyDescent="0.35">
      <c r="A51" s="2">
        <v>204606</v>
      </c>
      <c r="B51" s="2">
        <v>204606</v>
      </c>
      <c r="C51" s="3" t="s">
        <v>352</v>
      </c>
      <c r="D51" s="48" t="s">
        <v>353</v>
      </c>
      <c r="E51" s="34" t="s">
        <v>451</v>
      </c>
      <c r="F51" s="3" t="s">
        <v>452</v>
      </c>
      <c r="G51" s="55">
        <v>6573</v>
      </c>
      <c r="H51" s="37">
        <v>1313296</v>
      </c>
      <c r="I51" s="37">
        <v>1250758</v>
      </c>
      <c r="J51" s="38">
        <v>1250758</v>
      </c>
      <c r="K51" s="39">
        <f>I51-J51</f>
        <v>0</v>
      </c>
      <c r="L51" s="5"/>
      <c r="M51" s="40">
        <v>0</v>
      </c>
      <c r="N51" s="9" t="s">
        <v>284</v>
      </c>
      <c r="O51" s="41">
        <v>44565</v>
      </c>
      <c r="P51" s="42"/>
      <c r="Q51" s="38">
        <v>1250758</v>
      </c>
      <c r="R51" s="39">
        <f t="shared" si="24"/>
        <v>0</v>
      </c>
      <c r="S51" s="5"/>
      <c r="T51" s="40">
        <v>0</v>
      </c>
      <c r="U51" s="43">
        <v>44595</v>
      </c>
      <c r="V51" s="5" t="s">
        <v>284</v>
      </c>
      <c r="W51" s="42"/>
      <c r="X51" s="38">
        <v>1250758</v>
      </c>
      <c r="Y51" s="38">
        <f t="shared" si="21"/>
        <v>0</v>
      </c>
      <c r="Z51" s="5"/>
      <c r="AA51" s="40">
        <v>0</v>
      </c>
      <c r="AB51" s="51">
        <v>44621</v>
      </c>
      <c r="AC51" s="5" t="s">
        <v>284</v>
      </c>
      <c r="AD51" s="42"/>
      <c r="AE51" s="38">
        <v>1313296</v>
      </c>
      <c r="AF51" s="38"/>
      <c r="AG51" s="38">
        <f>X51-AE51</f>
        <v>-62538</v>
      </c>
      <c r="AH51" s="38"/>
      <c r="AI51" s="40">
        <f>AG51/X51</f>
        <v>-5.0000079951517402E-2</v>
      </c>
      <c r="AJ51" s="44">
        <v>44658</v>
      </c>
      <c r="AK51" s="38" t="s">
        <v>284</v>
      </c>
      <c r="AL51" s="5"/>
      <c r="AM51" s="38">
        <v>1313296</v>
      </c>
      <c r="AN51" s="38">
        <f>AE51-AM51</f>
        <v>0</v>
      </c>
      <c r="AO51" s="38"/>
      <c r="AP51" s="38"/>
      <c r="AQ51" s="40">
        <v>0</v>
      </c>
      <c r="AR51" s="43">
        <v>44686</v>
      </c>
      <c r="AS51" s="5" t="s">
        <v>284</v>
      </c>
      <c r="AT51" s="5"/>
      <c r="AU51" s="38">
        <v>1313297</v>
      </c>
      <c r="AV51" s="38">
        <f t="shared" si="23"/>
        <v>-1</v>
      </c>
      <c r="AW51" s="38"/>
      <c r="AX51" s="38"/>
      <c r="AY51" s="40">
        <v>0</v>
      </c>
      <c r="AZ51" s="44">
        <v>44721</v>
      </c>
      <c r="BA51" s="38" t="s">
        <v>284</v>
      </c>
      <c r="BB51" s="44">
        <v>44736</v>
      </c>
      <c r="BC51" s="38">
        <v>1313297</v>
      </c>
      <c r="BD51" s="38">
        <f t="shared" si="22"/>
        <v>0</v>
      </c>
      <c r="BE51" s="38"/>
      <c r="BF51" s="38"/>
      <c r="BG51" s="40">
        <v>0</v>
      </c>
      <c r="BH51" s="43">
        <v>44743</v>
      </c>
      <c r="BI51" s="5" t="s">
        <v>284</v>
      </c>
      <c r="BJ51" s="43">
        <v>44757</v>
      </c>
      <c r="BK51" s="38">
        <v>1313297</v>
      </c>
      <c r="BL51" s="38">
        <f t="shared" si="18"/>
        <v>0</v>
      </c>
      <c r="BM51" s="38"/>
      <c r="BN51" s="38"/>
      <c r="BO51" s="40">
        <v>0</v>
      </c>
      <c r="BP51" s="43">
        <v>44775</v>
      </c>
      <c r="BQ51" s="5" t="s">
        <v>284</v>
      </c>
      <c r="BR51" s="5"/>
      <c r="BS51" s="38"/>
      <c r="BT51" s="38"/>
      <c r="BU51" s="38"/>
      <c r="BV51" s="38"/>
      <c r="BW51" s="40"/>
      <c r="BX51" s="43"/>
      <c r="BY51" s="5"/>
      <c r="BZ51" s="5"/>
      <c r="CA51" s="38"/>
      <c r="CB51" s="38"/>
      <c r="CC51" s="38"/>
      <c r="CD51" s="38"/>
      <c r="CE51" s="40"/>
      <c r="CF51" s="43"/>
      <c r="CG51" s="5"/>
      <c r="CH51" s="5"/>
      <c r="CI51" s="38"/>
      <c r="CJ51" s="38"/>
      <c r="CK51" s="38"/>
      <c r="CL51" s="38"/>
      <c r="CM51" s="40"/>
      <c r="CN51" s="43"/>
      <c r="CO51" s="5"/>
      <c r="CP51" s="5"/>
      <c r="CQ51" s="38"/>
      <c r="CR51" s="38"/>
      <c r="CS51" s="38"/>
      <c r="CT51" s="38"/>
      <c r="CU51" s="40"/>
      <c r="CV51" s="43"/>
      <c r="CW51" s="5"/>
      <c r="CX51" s="5"/>
    </row>
    <row r="52" spans="1:102" x14ac:dyDescent="0.35">
      <c r="A52" s="50" t="s">
        <v>455</v>
      </c>
      <c r="B52" s="50" t="s">
        <v>455</v>
      </c>
      <c r="C52" s="35" t="s">
        <v>456</v>
      </c>
      <c r="D52" s="36" t="s">
        <v>457</v>
      </c>
      <c r="E52" s="33" t="s">
        <v>453</v>
      </c>
      <c r="F52" s="5" t="s">
        <v>454</v>
      </c>
      <c r="G52" s="34">
        <v>9209</v>
      </c>
      <c r="H52" s="37">
        <v>1118101</v>
      </c>
      <c r="I52" s="37">
        <v>1118101</v>
      </c>
      <c r="J52" s="38">
        <f>600104+517997</f>
        <v>1118101</v>
      </c>
      <c r="K52" s="39">
        <f>I52-J52</f>
        <v>0</v>
      </c>
      <c r="L52" s="5"/>
      <c r="M52" s="40">
        <v>0</v>
      </c>
      <c r="N52" s="9" t="s">
        <v>284</v>
      </c>
      <c r="O52" s="41">
        <v>44568</v>
      </c>
      <c r="P52" s="42"/>
      <c r="Q52" s="38">
        <f>517997+600104</f>
        <v>1118101</v>
      </c>
      <c r="R52" s="39">
        <f t="shared" si="24"/>
        <v>0</v>
      </c>
      <c r="S52" s="5"/>
      <c r="T52" s="40">
        <v>0</v>
      </c>
      <c r="U52" s="43">
        <v>44596</v>
      </c>
      <c r="V52" s="5" t="s">
        <v>284</v>
      </c>
      <c r="W52" s="42"/>
      <c r="X52" s="38">
        <f>600104+517997</f>
        <v>1118101</v>
      </c>
      <c r="Y52" s="38">
        <f t="shared" si="21"/>
        <v>0</v>
      </c>
      <c r="Z52" s="5"/>
      <c r="AA52" s="40">
        <v>0</v>
      </c>
      <c r="AB52" s="43">
        <v>44627</v>
      </c>
      <c r="AC52" s="5" t="s">
        <v>284</v>
      </c>
      <c r="AD52" s="42"/>
      <c r="AE52" s="38">
        <f>600104+517997</f>
        <v>1118101</v>
      </c>
      <c r="AF52" s="38">
        <f>X52-AE52</f>
        <v>0</v>
      </c>
      <c r="AG52" s="38"/>
      <c r="AH52" s="38"/>
      <c r="AI52" s="40">
        <v>0</v>
      </c>
      <c r="AJ52" s="44">
        <v>44659</v>
      </c>
      <c r="AK52" s="38" t="s">
        <v>284</v>
      </c>
      <c r="AL52" s="5"/>
      <c r="AM52" s="38">
        <f>600104+517997</f>
        <v>1118101</v>
      </c>
      <c r="AN52" s="38">
        <f>AE52-AM52</f>
        <v>0</v>
      </c>
      <c r="AO52" s="38"/>
      <c r="AP52" s="38"/>
      <c r="AQ52" s="40">
        <v>0</v>
      </c>
      <c r="AR52" s="43">
        <v>44687</v>
      </c>
      <c r="AS52" s="5" t="s">
        <v>284</v>
      </c>
      <c r="AT52" s="5"/>
      <c r="AU52" s="38">
        <f>600104+517997</f>
        <v>1118101</v>
      </c>
      <c r="AV52" s="38">
        <f t="shared" si="23"/>
        <v>0</v>
      </c>
      <c r="AW52" s="38"/>
      <c r="AX52" s="38"/>
      <c r="AY52" s="40">
        <v>0</v>
      </c>
      <c r="AZ52" s="44">
        <v>44721</v>
      </c>
      <c r="BA52" s="38" t="s">
        <v>284</v>
      </c>
      <c r="BB52" s="44">
        <v>44736</v>
      </c>
      <c r="BC52" s="38">
        <f>600104+517997</f>
        <v>1118101</v>
      </c>
      <c r="BD52" s="38">
        <f t="shared" si="22"/>
        <v>0</v>
      </c>
      <c r="BE52" s="38"/>
      <c r="BF52" s="38"/>
      <c r="BG52" s="40">
        <v>0</v>
      </c>
      <c r="BH52" s="43">
        <v>44748</v>
      </c>
      <c r="BI52" s="5" t="s">
        <v>284</v>
      </c>
      <c r="BJ52" s="43">
        <v>44757</v>
      </c>
      <c r="BK52" s="38">
        <f>600104+517997</f>
        <v>1118101</v>
      </c>
      <c r="BL52" s="38">
        <f>BC52-BK52</f>
        <v>0</v>
      </c>
      <c r="BM52" s="38"/>
      <c r="BN52" s="38"/>
      <c r="BO52" s="40">
        <v>0</v>
      </c>
      <c r="BP52" s="43">
        <v>44785</v>
      </c>
      <c r="BQ52" s="5" t="s">
        <v>284</v>
      </c>
      <c r="BR52" s="5"/>
      <c r="BS52" s="38"/>
      <c r="BT52" s="38"/>
      <c r="BU52" s="38"/>
      <c r="BV52" s="38"/>
      <c r="BW52" s="40"/>
      <c r="BX52" s="43"/>
      <c r="BY52" s="5"/>
      <c r="BZ52" s="5"/>
      <c r="CA52" s="38"/>
      <c r="CB52" s="38"/>
      <c r="CC52" s="38"/>
      <c r="CD52" s="38"/>
      <c r="CE52" s="40"/>
      <c r="CF52" s="43"/>
      <c r="CG52" s="5"/>
      <c r="CH52" s="5"/>
      <c r="CI52" s="38"/>
      <c r="CJ52" s="38"/>
      <c r="CK52" s="38"/>
      <c r="CL52" s="38"/>
      <c r="CM52" s="40"/>
      <c r="CN52" s="43"/>
      <c r="CO52" s="5"/>
      <c r="CP52" s="5"/>
      <c r="CQ52" s="38"/>
      <c r="CR52" s="38"/>
      <c r="CS52" s="38"/>
      <c r="CT52" s="38"/>
      <c r="CU52" s="40"/>
      <c r="CV52" s="43"/>
      <c r="CW52" s="5"/>
      <c r="CX52" s="5"/>
    </row>
    <row r="53" spans="1:102" x14ac:dyDescent="0.35">
      <c r="A53" s="61">
        <v>206286</v>
      </c>
      <c r="B53" s="61">
        <v>206286</v>
      </c>
      <c r="C53" s="62" t="s">
        <v>460</v>
      </c>
      <c r="D53" s="63" t="s">
        <v>461</v>
      </c>
      <c r="E53" s="61" t="s">
        <v>458</v>
      </c>
      <c r="F53" s="5" t="s">
        <v>459</v>
      </c>
      <c r="G53" s="61">
        <v>9458</v>
      </c>
      <c r="H53" s="37">
        <v>1841371</v>
      </c>
      <c r="I53" s="37">
        <v>1841371</v>
      </c>
      <c r="J53" s="38">
        <v>1841371</v>
      </c>
      <c r="K53" s="39">
        <f>H53-J53</f>
        <v>0</v>
      </c>
      <c r="L53" s="5"/>
      <c r="M53" s="40">
        <v>0</v>
      </c>
      <c r="N53" s="9" t="s">
        <v>284</v>
      </c>
      <c r="O53" s="41">
        <v>44565</v>
      </c>
      <c r="P53" s="42"/>
      <c r="Q53" s="39">
        <v>1841371</v>
      </c>
      <c r="R53" s="39">
        <f t="shared" si="24"/>
        <v>0</v>
      </c>
      <c r="S53" s="5"/>
      <c r="T53" s="40">
        <v>0</v>
      </c>
      <c r="U53" s="43">
        <v>44593</v>
      </c>
      <c r="V53" s="5" t="s">
        <v>284</v>
      </c>
      <c r="W53" s="42"/>
      <c r="X53" s="38">
        <v>1841371</v>
      </c>
      <c r="Y53" s="38">
        <f t="shared" si="21"/>
        <v>0</v>
      </c>
      <c r="Z53" s="38"/>
      <c r="AA53" s="40">
        <v>0</v>
      </c>
      <c r="AB53" s="51">
        <v>44621</v>
      </c>
      <c r="AC53" s="5" t="s">
        <v>284</v>
      </c>
      <c r="AD53" s="42"/>
      <c r="AE53" s="38">
        <v>1841371</v>
      </c>
      <c r="AF53" s="38">
        <f>X53-AE53</f>
        <v>0</v>
      </c>
      <c r="AG53" s="38"/>
      <c r="AH53" s="38"/>
      <c r="AI53" s="40">
        <v>0</v>
      </c>
      <c r="AJ53" s="44">
        <v>44658</v>
      </c>
      <c r="AK53" s="38" t="s">
        <v>284</v>
      </c>
      <c r="AL53" s="5"/>
      <c r="AM53" s="38">
        <v>1841371</v>
      </c>
      <c r="AN53" s="38">
        <f>AE53-AM53</f>
        <v>0</v>
      </c>
      <c r="AO53" s="38"/>
      <c r="AP53" s="38"/>
      <c r="AQ53" s="40">
        <v>0</v>
      </c>
      <c r="AR53" s="43">
        <v>44684</v>
      </c>
      <c r="AS53" s="5" t="s">
        <v>284</v>
      </c>
      <c r="AT53" s="5"/>
      <c r="AU53" s="38">
        <v>1841371</v>
      </c>
      <c r="AV53" s="38">
        <f t="shared" si="23"/>
        <v>0</v>
      </c>
      <c r="AW53" s="38"/>
      <c r="AX53" s="38"/>
      <c r="AY53" s="40">
        <v>0</v>
      </c>
      <c r="AZ53" s="44">
        <v>44719</v>
      </c>
      <c r="BA53" s="38" t="s">
        <v>284</v>
      </c>
      <c r="BB53" s="44">
        <v>44734</v>
      </c>
      <c r="BC53" s="38">
        <v>1841371</v>
      </c>
      <c r="BD53" s="38">
        <f t="shared" si="22"/>
        <v>0</v>
      </c>
      <c r="BE53" s="38"/>
      <c r="BF53" s="38"/>
      <c r="BG53" s="40">
        <v>0</v>
      </c>
      <c r="BH53" s="43">
        <v>44743</v>
      </c>
      <c r="BI53" s="5" t="s">
        <v>284</v>
      </c>
      <c r="BJ53" s="43">
        <v>44757</v>
      </c>
      <c r="BK53" s="38">
        <v>1841371</v>
      </c>
      <c r="BL53" s="38">
        <f>BC53-BK53</f>
        <v>0</v>
      </c>
      <c r="BM53" s="38"/>
      <c r="BN53" s="38"/>
      <c r="BO53" s="40">
        <v>0</v>
      </c>
      <c r="BP53" s="43">
        <v>44790</v>
      </c>
      <c r="BQ53" s="5" t="s">
        <v>284</v>
      </c>
      <c r="BR53" s="5"/>
      <c r="BS53" s="38"/>
      <c r="BT53" s="38"/>
      <c r="BU53" s="38"/>
      <c r="BV53" s="38"/>
      <c r="BW53" s="40"/>
      <c r="BX53" s="43"/>
      <c r="BY53" s="5"/>
      <c r="BZ53" s="5"/>
      <c r="CA53" s="38"/>
      <c r="CB53" s="38"/>
      <c r="CC53" s="38"/>
      <c r="CD53" s="38"/>
      <c r="CE53" s="40"/>
      <c r="CF53" s="43"/>
      <c r="CG53" s="5"/>
      <c r="CH53" s="5"/>
      <c r="CI53" s="38"/>
      <c r="CJ53" s="38"/>
      <c r="CK53" s="38"/>
      <c r="CL53" s="38"/>
      <c r="CM53" s="40"/>
      <c r="CN53" s="43"/>
      <c r="CO53" s="5"/>
      <c r="CP53" s="5"/>
      <c r="CQ53" s="38"/>
      <c r="CR53" s="38"/>
      <c r="CS53" s="38"/>
      <c r="CT53" s="38"/>
      <c r="CU53" s="40"/>
      <c r="CV53" s="43"/>
      <c r="CW53" s="5"/>
      <c r="CX53" s="5"/>
    </row>
    <row r="54" spans="1:102" x14ac:dyDescent="0.35">
      <c r="A54" s="61">
        <v>204606</v>
      </c>
      <c r="B54" s="61">
        <v>204606</v>
      </c>
      <c r="C54" s="62" t="s">
        <v>464</v>
      </c>
      <c r="D54" s="48" t="s">
        <v>353</v>
      </c>
      <c r="E54" s="61" t="s">
        <v>462</v>
      </c>
      <c r="F54" s="5" t="s">
        <v>463</v>
      </c>
      <c r="G54" s="61">
        <v>9216</v>
      </c>
      <c r="H54" s="37">
        <v>2074158</v>
      </c>
      <c r="I54" s="37">
        <v>1975390</v>
      </c>
      <c r="J54" s="38">
        <v>1975390</v>
      </c>
      <c r="K54" s="39">
        <f>I54-J54</f>
        <v>0</v>
      </c>
      <c r="L54" s="5"/>
      <c r="M54" s="40">
        <v>0</v>
      </c>
      <c r="N54" s="9" t="s">
        <v>284</v>
      </c>
      <c r="O54" s="41">
        <v>44565</v>
      </c>
      <c r="P54" s="42"/>
      <c r="Q54" s="38">
        <v>1975390</v>
      </c>
      <c r="R54" s="39">
        <f t="shared" si="24"/>
        <v>0</v>
      </c>
      <c r="S54" s="5"/>
      <c r="T54" s="40">
        <v>0</v>
      </c>
      <c r="U54" s="43">
        <v>44595</v>
      </c>
      <c r="V54" s="5" t="s">
        <v>284</v>
      </c>
      <c r="W54" s="42"/>
      <c r="X54" s="38">
        <v>1975390</v>
      </c>
      <c r="Y54" s="38">
        <f t="shared" si="21"/>
        <v>0</v>
      </c>
      <c r="Z54" s="5"/>
      <c r="AA54" s="40">
        <v>0</v>
      </c>
      <c r="AB54" s="51">
        <v>44621</v>
      </c>
      <c r="AC54" s="5" t="s">
        <v>284</v>
      </c>
      <c r="AD54" s="42"/>
      <c r="AE54" s="38">
        <v>2074158</v>
      </c>
      <c r="AF54" s="38"/>
      <c r="AG54" s="38">
        <f>X54-AE54</f>
        <v>-98768</v>
      </c>
      <c r="AH54" s="38"/>
      <c r="AI54" s="40">
        <f>AG54/X54</f>
        <v>-4.9999240656275472E-2</v>
      </c>
      <c r="AJ54" s="44">
        <v>44658</v>
      </c>
      <c r="AK54" s="38" t="s">
        <v>284</v>
      </c>
      <c r="AL54" s="5"/>
      <c r="AM54" s="38">
        <v>2074158</v>
      </c>
      <c r="AN54" s="38">
        <f>AE54-AM54</f>
        <v>0</v>
      </c>
      <c r="AO54" s="38"/>
      <c r="AP54" s="38"/>
      <c r="AQ54" s="40">
        <v>0</v>
      </c>
      <c r="AR54" s="43">
        <v>44686</v>
      </c>
      <c r="AS54" s="5" t="s">
        <v>284</v>
      </c>
      <c r="AT54" s="5"/>
      <c r="AU54" s="38">
        <v>2074160</v>
      </c>
      <c r="AV54" s="38">
        <f t="shared" si="23"/>
        <v>-2</v>
      </c>
      <c r="AW54" s="38"/>
      <c r="AX54" s="38"/>
      <c r="AY54" s="40">
        <f>AV54/AM54</f>
        <v>-9.6424669673187861E-7</v>
      </c>
      <c r="AZ54" s="44">
        <v>44721</v>
      </c>
      <c r="BA54" s="38" t="s">
        <v>284</v>
      </c>
      <c r="BB54" s="44">
        <v>44736</v>
      </c>
      <c r="BC54" s="38">
        <v>2074160</v>
      </c>
      <c r="BD54" s="38">
        <f t="shared" si="22"/>
        <v>0</v>
      </c>
      <c r="BE54" s="38"/>
      <c r="BF54" s="38"/>
      <c r="BG54" s="40">
        <v>0</v>
      </c>
      <c r="BH54" s="43">
        <v>44743</v>
      </c>
      <c r="BI54" s="5" t="s">
        <v>284</v>
      </c>
      <c r="BJ54" s="43">
        <v>44757</v>
      </c>
      <c r="BK54" s="38">
        <v>2074160</v>
      </c>
      <c r="BL54" s="38">
        <f t="shared" ref="BL54:BL65" si="25">BC54-BK54</f>
        <v>0</v>
      </c>
      <c r="BM54" s="38"/>
      <c r="BN54" s="38"/>
      <c r="BO54" s="40">
        <v>0</v>
      </c>
      <c r="BP54" s="43">
        <v>44775</v>
      </c>
      <c r="BQ54" s="5" t="s">
        <v>284</v>
      </c>
      <c r="BR54" s="5"/>
      <c r="BS54" s="38"/>
      <c r="BT54" s="38"/>
      <c r="BU54" s="38"/>
      <c r="BV54" s="38"/>
      <c r="BW54" s="40"/>
      <c r="BX54" s="43"/>
      <c r="BY54" s="5"/>
      <c r="BZ54" s="5"/>
      <c r="CA54" s="38"/>
      <c r="CB54" s="38"/>
      <c r="CC54" s="38"/>
      <c r="CD54" s="38"/>
      <c r="CE54" s="40"/>
      <c r="CF54" s="43"/>
      <c r="CG54" s="5"/>
      <c r="CH54" s="5"/>
      <c r="CI54" s="38"/>
      <c r="CJ54" s="38"/>
      <c r="CK54" s="38"/>
      <c r="CL54" s="38"/>
      <c r="CM54" s="40"/>
      <c r="CN54" s="43"/>
      <c r="CO54" s="5"/>
      <c r="CP54" s="5"/>
      <c r="CQ54" s="38"/>
      <c r="CR54" s="38"/>
      <c r="CS54" s="38"/>
      <c r="CT54" s="38"/>
      <c r="CU54" s="40"/>
      <c r="CV54" s="43"/>
      <c r="CW54" s="5"/>
      <c r="CX54" s="5"/>
    </row>
    <row r="55" spans="1:102" x14ac:dyDescent="0.35">
      <c r="A55" s="61">
        <v>204547</v>
      </c>
      <c r="B55" s="61">
        <v>204547</v>
      </c>
      <c r="C55" s="62" t="s">
        <v>15</v>
      </c>
      <c r="D55" s="56" t="s">
        <v>467</v>
      </c>
      <c r="E55" s="61" t="s">
        <v>465</v>
      </c>
      <c r="F55" s="5" t="s">
        <v>466</v>
      </c>
      <c r="G55" s="61">
        <v>9575</v>
      </c>
      <c r="H55" s="37">
        <v>1761758</v>
      </c>
      <c r="I55" s="37">
        <v>1740899</v>
      </c>
      <c r="J55" s="38">
        <v>1740899</v>
      </c>
      <c r="K55" s="39">
        <f>I55-J55</f>
        <v>0</v>
      </c>
      <c r="L55" s="5"/>
      <c r="M55" s="40">
        <v>0</v>
      </c>
      <c r="N55" s="9" t="s">
        <v>284</v>
      </c>
      <c r="O55" s="41">
        <v>44564</v>
      </c>
      <c r="P55" s="42"/>
      <c r="Q55" s="39">
        <v>1740899</v>
      </c>
      <c r="R55" s="39">
        <f t="shared" si="24"/>
        <v>0</v>
      </c>
      <c r="S55" s="5"/>
      <c r="T55" s="40">
        <v>0</v>
      </c>
      <c r="U55" s="43">
        <v>44593</v>
      </c>
      <c r="V55" s="5" t="s">
        <v>284</v>
      </c>
      <c r="W55" s="42"/>
      <c r="X55" s="38">
        <v>1740899</v>
      </c>
      <c r="Y55" s="38">
        <f t="shared" si="21"/>
        <v>0</v>
      </c>
      <c r="Z55" s="5"/>
      <c r="AA55" s="40">
        <v>0</v>
      </c>
      <c r="AB55" s="43">
        <v>44621</v>
      </c>
      <c r="AC55" s="5" t="s">
        <v>284</v>
      </c>
      <c r="AD55" s="42"/>
      <c r="AE55" s="38">
        <v>1740899</v>
      </c>
      <c r="AF55" s="38">
        <f>X55-AE55</f>
        <v>0</v>
      </c>
      <c r="AG55" s="38"/>
      <c r="AH55" s="38"/>
      <c r="AI55" s="40">
        <v>0</v>
      </c>
      <c r="AJ55" s="44">
        <v>44655</v>
      </c>
      <c r="AK55" s="38" t="s">
        <v>284</v>
      </c>
      <c r="AL55" s="5"/>
      <c r="AM55" s="38">
        <v>1761758</v>
      </c>
      <c r="AN55" s="38"/>
      <c r="AO55" s="38">
        <f>AE55-AM55</f>
        <v>-20859</v>
      </c>
      <c r="AP55" s="38"/>
      <c r="AQ55" s="40">
        <f>AO55/AE55</f>
        <v>-1.1981740468573995E-2</v>
      </c>
      <c r="AR55" s="43">
        <v>44683</v>
      </c>
      <c r="AS55" s="5" t="s">
        <v>284</v>
      </c>
      <c r="AT55" s="5"/>
      <c r="AU55" s="38">
        <v>1761758</v>
      </c>
      <c r="AV55" s="38">
        <f t="shared" si="23"/>
        <v>0</v>
      </c>
      <c r="AW55" s="38"/>
      <c r="AX55" s="38"/>
      <c r="AY55" s="40">
        <v>0</v>
      </c>
      <c r="AZ55" s="44">
        <v>44713</v>
      </c>
      <c r="BA55" s="38" t="s">
        <v>284</v>
      </c>
      <c r="BB55" s="43">
        <v>44728</v>
      </c>
      <c r="BC55" s="38">
        <v>1761758</v>
      </c>
      <c r="BD55" s="38">
        <f t="shared" si="22"/>
        <v>0</v>
      </c>
      <c r="BE55" s="38"/>
      <c r="BF55" s="38"/>
      <c r="BG55" s="40">
        <v>0</v>
      </c>
      <c r="BH55" s="43">
        <v>44743</v>
      </c>
      <c r="BI55" s="5" t="s">
        <v>284</v>
      </c>
      <c r="BJ55" s="43">
        <v>44757</v>
      </c>
      <c r="BK55" s="38">
        <v>1761758</v>
      </c>
      <c r="BL55" s="38">
        <f t="shared" si="25"/>
        <v>0</v>
      </c>
      <c r="BM55" s="38"/>
      <c r="BN55" s="38"/>
      <c r="BO55" s="40">
        <v>0</v>
      </c>
      <c r="BP55" s="43">
        <v>44774</v>
      </c>
      <c r="BQ55" s="5" t="s">
        <v>284</v>
      </c>
      <c r="BR55" s="5"/>
      <c r="BS55" s="38"/>
      <c r="BT55" s="38"/>
      <c r="BU55" s="38"/>
      <c r="BV55" s="38"/>
      <c r="BW55" s="40"/>
      <c r="BX55" s="43"/>
      <c r="BY55" s="5"/>
      <c r="BZ55" s="5"/>
      <c r="CA55" s="38"/>
      <c r="CB55" s="38"/>
      <c r="CC55" s="38"/>
      <c r="CD55" s="38"/>
      <c r="CE55" s="40"/>
      <c r="CF55" s="43"/>
      <c r="CG55" s="5"/>
      <c r="CH55" s="5"/>
      <c r="CI55" s="38"/>
      <c r="CJ55" s="38"/>
      <c r="CK55" s="38"/>
      <c r="CL55" s="38"/>
      <c r="CM55" s="40"/>
      <c r="CN55" s="43"/>
      <c r="CO55" s="5"/>
      <c r="CP55" s="5"/>
      <c r="CQ55" s="38"/>
      <c r="CR55" s="38"/>
      <c r="CS55" s="38"/>
      <c r="CT55" s="38"/>
      <c r="CU55" s="40"/>
      <c r="CV55" s="43"/>
      <c r="CW55" s="5"/>
      <c r="CX55" s="5"/>
    </row>
    <row r="56" spans="1:102" x14ac:dyDescent="0.35">
      <c r="A56" s="50" t="s">
        <v>470</v>
      </c>
      <c r="B56" s="50" t="s">
        <v>470</v>
      </c>
      <c r="C56" s="35" t="s">
        <v>471</v>
      </c>
      <c r="D56" s="36" t="s">
        <v>472</v>
      </c>
      <c r="E56" s="6" t="s">
        <v>468</v>
      </c>
      <c r="F56" s="5" t="s">
        <v>469</v>
      </c>
      <c r="G56" s="6">
        <v>9636</v>
      </c>
      <c r="H56" s="37">
        <v>5727916</v>
      </c>
      <c r="I56" s="37">
        <v>5203487</v>
      </c>
      <c r="J56" s="53">
        <f>5203487+523991</f>
        <v>5727478</v>
      </c>
      <c r="K56" s="39">
        <f>J56-I56</f>
        <v>523991</v>
      </c>
      <c r="L56" s="5"/>
      <c r="M56" s="40">
        <f>K56/I56</f>
        <v>0.10069997292200403</v>
      </c>
      <c r="N56" s="9" t="s">
        <v>284</v>
      </c>
      <c r="O56" s="41">
        <v>44588</v>
      </c>
      <c r="P56" s="42"/>
      <c r="Q56" s="38">
        <v>5727478</v>
      </c>
      <c r="R56" s="39">
        <f t="shared" si="24"/>
        <v>0</v>
      </c>
      <c r="S56" s="5"/>
      <c r="T56" s="40">
        <v>0</v>
      </c>
      <c r="U56" s="43">
        <v>44600</v>
      </c>
      <c r="V56" s="5" t="s">
        <v>284</v>
      </c>
      <c r="W56" s="42"/>
      <c r="X56" s="38">
        <v>5727478</v>
      </c>
      <c r="Y56" s="38">
        <f t="shared" si="21"/>
        <v>0</v>
      </c>
      <c r="Z56" s="5"/>
      <c r="AA56" s="40">
        <v>0</v>
      </c>
      <c r="AB56" s="43">
        <v>44624</v>
      </c>
      <c r="AC56" s="5" t="s">
        <v>284</v>
      </c>
      <c r="AD56" s="42"/>
      <c r="AE56" s="38">
        <v>5727478</v>
      </c>
      <c r="AF56" s="38">
        <f>X56-AE56</f>
        <v>0</v>
      </c>
      <c r="AG56" s="38"/>
      <c r="AH56" s="38"/>
      <c r="AI56" s="40">
        <v>0</v>
      </c>
      <c r="AJ56" s="44">
        <v>44657</v>
      </c>
      <c r="AK56" s="38" t="s">
        <v>284</v>
      </c>
      <c r="AL56" s="5"/>
      <c r="AM56" s="38">
        <v>5727478</v>
      </c>
      <c r="AN56" s="38">
        <f>AE56-AM56</f>
        <v>0</v>
      </c>
      <c r="AO56" s="38"/>
      <c r="AP56" s="38"/>
      <c r="AQ56" s="40">
        <v>0</v>
      </c>
      <c r="AR56" s="43">
        <v>44686</v>
      </c>
      <c r="AS56" s="5" t="s">
        <v>284</v>
      </c>
      <c r="AT56" s="5"/>
      <c r="AU56" s="38">
        <v>5727478</v>
      </c>
      <c r="AV56" s="38">
        <f t="shared" si="23"/>
        <v>0</v>
      </c>
      <c r="AW56" s="38"/>
      <c r="AX56" s="38"/>
      <c r="AY56" s="40">
        <v>0</v>
      </c>
      <c r="AZ56" s="44">
        <v>44719</v>
      </c>
      <c r="BA56" s="38" t="s">
        <v>284</v>
      </c>
      <c r="BB56" s="44">
        <v>44736</v>
      </c>
      <c r="BC56" s="38">
        <v>5727478</v>
      </c>
      <c r="BD56" s="38">
        <f t="shared" si="22"/>
        <v>0</v>
      </c>
      <c r="BE56" s="38"/>
      <c r="BF56" s="38"/>
      <c r="BG56" s="40">
        <v>0</v>
      </c>
      <c r="BH56" s="43">
        <v>44750</v>
      </c>
      <c r="BI56" s="5" t="s">
        <v>284</v>
      </c>
      <c r="BJ56" s="43">
        <v>44768</v>
      </c>
      <c r="BK56" s="38">
        <v>5727916</v>
      </c>
      <c r="BL56" s="38">
        <f t="shared" si="25"/>
        <v>-438</v>
      </c>
      <c r="BM56" s="38"/>
      <c r="BN56" s="38"/>
      <c r="BO56" s="40">
        <f>BL56/BC56</f>
        <v>-7.6473449570648718E-5</v>
      </c>
      <c r="BP56" s="43">
        <v>44778</v>
      </c>
      <c r="BQ56" s="5" t="s">
        <v>284</v>
      </c>
      <c r="BR56" s="5"/>
      <c r="BS56" s="38"/>
      <c r="BT56" s="38"/>
      <c r="BU56" s="38"/>
      <c r="BV56" s="38"/>
      <c r="BW56" s="40"/>
      <c r="BX56" s="43"/>
      <c r="BY56" s="5"/>
      <c r="BZ56" s="5"/>
      <c r="CA56" s="38"/>
      <c r="CB56" s="38"/>
      <c r="CC56" s="38"/>
      <c r="CD56" s="38"/>
      <c r="CE56" s="40"/>
      <c r="CF56" s="43"/>
      <c r="CG56" s="5"/>
      <c r="CH56" s="5"/>
      <c r="CI56" s="38"/>
      <c r="CJ56" s="38"/>
      <c r="CK56" s="38"/>
      <c r="CL56" s="38"/>
      <c r="CM56" s="40"/>
      <c r="CN56" s="43"/>
      <c r="CO56" s="5"/>
      <c r="CP56" s="5"/>
      <c r="CQ56" s="38"/>
      <c r="CR56" s="38"/>
      <c r="CS56" s="38"/>
      <c r="CT56" s="38"/>
      <c r="CU56" s="40"/>
      <c r="CV56" s="43"/>
      <c r="CW56" s="5"/>
      <c r="CX56" s="5"/>
    </row>
    <row r="57" spans="1:102" x14ac:dyDescent="0.35">
      <c r="A57" s="34">
        <v>214089</v>
      </c>
      <c r="B57" s="34">
        <v>214089</v>
      </c>
      <c r="C57" s="5" t="s">
        <v>332</v>
      </c>
      <c r="D57" s="36" t="s">
        <v>333</v>
      </c>
      <c r="E57" s="6" t="s">
        <v>473</v>
      </c>
      <c r="F57" s="5" t="s">
        <v>474</v>
      </c>
      <c r="G57" s="6" t="s">
        <v>201</v>
      </c>
      <c r="H57" s="39">
        <v>2462133</v>
      </c>
      <c r="I57" s="37">
        <v>2331124</v>
      </c>
      <c r="J57" s="38">
        <v>2331124</v>
      </c>
      <c r="K57" s="39">
        <f>I57-J57</f>
        <v>0</v>
      </c>
      <c r="L57" s="5"/>
      <c r="M57" s="40">
        <v>0</v>
      </c>
      <c r="N57" s="9" t="s">
        <v>284</v>
      </c>
      <c r="O57" s="41">
        <v>44564</v>
      </c>
      <c r="P57" s="42"/>
      <c r="Q57" s="39">
        <v>2462133</v>
      </c>
      <c r="R57" s="39">
        <f t="shared" si="24"/>
        <v>-131009</v>
      </c>
      <c r="S57" s="5"/>
      <c r="T57" s="40">
        <f>R57/J57</f>
        <v>-5.6199927588579585E-2</v>
      </c>
      <c r="U57" s="43">
        <v>44594</v>
      </c>
      <c r="V57" s="5" t="s">
        <v>284</v>
      </c>
      <c r="W57" s="42"/>
      <c r="X57" s="38">
        <v>2380062</v>
      </c>
      <c r="Y57" s="38">
        <f t="shared" si="21"/>
        <v>82071</v>
      </c>
      <c r="Z57" s="5"/>
      <c r="AA57" s="40">
        <v>0</v>
      </c>
      <c r="AB57" s="51">
        <v>44621</v>
      </c>
      <c r="AC57" s="5" t="s">
        <v>284</v>
      </c>
      <c r="AD57" s="42"/>
      <c r="AE57" s="38">
        <v>1514082</v>
      </c>
      <c r="AF57" s="38">
        <f t="shared" ref="AF57" si="26">X57-AE57</f>
        <v>865980</v>
      </c>
      <c r="AG57" s="38"/>
      <c r="AH57" s="38"/>
      <c r="AI57" s="40">
        <v>0</v>
      </c>
      <c r="AJ57" s="44">
        <v>44658</v>
      </c>
      <c r="AK57" s="38" t="s">
        <v>284</v>
      </c>
      <c r="AL57" s="5"/>
      <c r="AM57" s="38">
        <v>2462133</v>
      </c>
      <c r="AN57" s="38">
        <f>Q57-AM57</f>
        <v>0</v>
      </c>
      <c r="AO57" s="38"/>
      <c r="AP57" s="38"/>
      <c r="AQ57" s="40">
        <v>0</v>
      </c>
      <c r="AR57" s="43">
        <v>44694</v>
      </c>
      <c r="AS57" s="5" t="s">
        <v>284</v>
      </c>
      <c r="AT57" s="5"/>
      <c r="AU57" s="38">
        <v>2462133</v>
      </c>
      <c r="AV57" s="38">
        <f t="shared" si="23"/>
        <v>0</v>
      </c>
      <c r="AW57" s="38"/>
      <c r="AX57" s="38"/>
      <c r="AY57" s="40">
        <v>0</v>
      </c>
      <c r="AZ57" s="44">
        <v>44719</v>
      </c>
      <c r="BA57" s="38" t="s">
        <v>284</v>
      </c>
      <c r="BB57" s="44">
        <v>44728</v>
      </c>
      <c r="BC57" s="38">
        <v>2462133</v>
      </c>
      <c r="BD57" s="38">
        <f t="shared" si="22"/>
        <v>0</v>
      </c>
      <c r="BE57" s="38"/>
      <c r="BF57" s="38"/>
      <c r="BG57" s="40">
        <v>0</v>
      </c>
      <c r="BH57" s="43">
        <v>44743</v>
      </c>
      <c r="BI57" s="5" t="s">
        <v>284</v>
      </c>
      <c r="BJ57" s="43">
        <v>44757</v>
      </c>
      <c r="BK57" s="38">
        <v>2462133</v>
      </c>
      <c r="BL57" s="38">
        <f t="shared" si="25"/>
        <v>0</v>
      </c>
      <c r="BM57" s="38"/>
      <c r="BN57" s="38"/>
      <c r="BO57" s="40">
        <v>0</v>
      </c>
      <c r="BP57" s="43">
        <v>44775</v>
      </c>
      <c r="BQ57" s="5" t="s">
        <v>284</v>
      </c>
      <c r="BR57" s="5"/>
      <c r="BS57" s="38"/>
      <c r="BT57" s="38"/>
      <c r="BU57" s="38"/>
      <c r="BV57" s="38"/>
      <c r="BW57" s="40"/>
      <c r="BX57" s="43"/>
      <c r="BY57" s="5"/>
      <c r="BZ57" s="5"/>
      <c r="CA57" s="38"/>
      <c r="CB57" s="38"/>
      <c r="CC57" s="38"/>
      <c r="CD57" s="38"/>
      <c r="CE57" s="40"/>
      <c r="CF57" s="43"/>
      <c r="CG57" s="5"/>
      <c r="CH57" s="5"/>
      <c r="CI57" s="38"/>
      <c r="CJ57" s="38"/>
      <c r="CK57" s="38"/>
      <c r="CL57" s="38"/>
      <c r="CM57" s="40"/>
      <c r="CN57" s="43"/>
      <c r="CO57" s="5"/>
      <c r="CP57" s="5"/>
      <c r="CQ57" s="38"/>
      <c r="CR57" s="38"/>
      <c r="CS57" s="38"/>
      <c r="CT57" s="38"/>
      <c r="CU57" s="40"/>
      <c r="CV57" s="43"/>
      <c r="CW57" s="5"/>
      <c r="CX57" s="5"/>
    </row>
    <row r="58" spans="1:102" x14ac:dyDescent="0.35">
      <c r="A58" s="2">
        <v>204741</v>
      </c>
      <c r="B58" s="2">
        <v>204741</v>
      </c>
      <c r="C58" s="3" t="s">
        <v>477</v>
      </c>
      <c r="D58" s="48" t="s">
        <v>478</v>
      </c>
      <c r="E58" s="34" t="s">
        <v>475</v>
      </c>
      <c r="F58" s="47" t="s">
        <v>476</v>
      </c>
      <c r="G58" s="55">
        <v>6598</v>
      </c>
      <c r="H58" s="38">
        <v>1200742</v>
      </c>
      <c r="I58" s="37">
        <v>1081750</v>
      </c>
      <c r="J58" s="38">
        <v>1142544</v>
      </c>
      <c r="K58" s="39">
        <f>I58-J58</f>
        <v>-60794</v>
      </c>
      <c r="L58" s="5"/>
      <c r="M58" s="40">
        <f>K58/I58</f>
        <v>-5.619967645019644E-2</v>
      </c>
      <c r="N58" s="9" t="s">
        <v>284</v>
      </c>
      <c r="O58" s="41">
        <v>44568</v>
      </c>
      <c r="P58" s="42"/>
      <c r="Q58" s="38">
        <v>1142544</v>
      </c>
      <c r="R58" s="39">
        <f t="shared" si="24"/>
        <v>0</v>
      </c>
      <c r="S58" s="5"/>
      <c r="T58" s="40">
        <v>0</v>
      </c>
      <c r="U58" s="43">
        <v>44600</v>
      </c>
      <c r="V58" s="5" t="s">
        <v>284</v>
      </c>
      <c r="W58" s="42"/>
      <c r="X58" s="38">
        <v>1142544</v>
      </c>
      <c r="Y58" s="38">
        <f t="shared" si="21"/>
        <v>0</v>
      </c>
      <c r="Z58" s="5"/>
      <c r="AA58" s="40">
        <v>0</v>
      </c>
      <c r="AB58" s="43">
        <v>44624</v>
      </c>
      <c r="AC58" s="5" t="s">
        <v>284</v>
      </c>
      <c r="AD58" s="42"/>
      <c r="AE58" s="38">
        <v>1200742</v>
      </c>
      <c r="AF58" s="39"/>
      <c r="AG58" s="38">
        <f>AE58-X58</f>
        <v>58198</v>
      </c>
      <c r="AH58" s="38"/>
      <c r="AI58" s="40">
        <f>AG58/X58</f>
        <v>5.0937206794661738E-2</v>
      </c>
      <c r="AJ58" s="44">
        <v>44657</v>
      </c>
      <c r="AK58" s="38" t="s">
        <v>284</v>
      </c>
      <c r="AL58" s="5"/>
      <c r="AM58" s="38">
        <v>1200742</v>
      </c>
      <c r="AN58" s="38">
        <f t="shared" ref="AN58:AN75" si="27">AE58-AM58</f>
        <v>0</v>
      </c>
      <c r="AO58" s="38"/>
      <c r="AP58" s="38"/>
      <c r="AQ58" s="40">
        <v>0</v>
      </c>
      <c r="AR58" s="43">
        <v>44687</v>
      </c>
      <c r="AS58" s="5" t="s">
        <v>284</v>
      </c>
      <c r="AT58" s="5"/>
      <c r="AU58" s="38">
        <v>1200742</v>
      </c>
      <c r="AV58" s="38">
        <f t="shared" si="23"/>
        <v>0</v>
      </c>
      <c r="AW58" s="38"/>
      <c r="AX58" s="38"/>
      <c r="AY58" s="40">
        <v>0</v>
      </c>
      <c r="AZ58" s="44">
        <v>44715</v>
      </c>
      <c r="BA58" s="38" t="s">
        <v>284</v>
      </c>
      <c r="BB58" s="44">
        <v>44728</v>
      </c>
      <c r="BC58" s="38">
        <v>1200742</v>
      </c>
      <c r="BD58" s="38">
        <f t="shared" si="22"/>
        <v>0</v>
      </c>
      <c r="BE58" s="38"/>
      <c r="BF58" s="38"/>
      <c r="BG58" s="40">
        <v>0</v>
      </c>
      <c r="BH58" s="43">
        <v>44749</v>
      </c>
      <c r="BI58" s="5" t="s">
        <v>284</v>
      </c>
      <c r="BJ58" s="43">
        <v>44768</v>
      </c>
      <c r="BK58" s="38">
        <v>1200742</v>
      </c>
      <c r="BL58" s="38">
        <f t="shared" si="25"/>
        <v>0</v>
      </c>
      <c r="BM58" s="38"/>
      <c r="BN58" s="38"/>
      <c r="BO58" s="40">
        <v>0</v>
      </c>
      <c r="BP58" s="43">
        <v>44778</v>
      </c>
      <c r="BQ58" s="5" t="s">
        <v>284</v>
      </c>
      <c r="BR58" s="5"/>
      <c r="BS58" s="38"/>
      <c r="BT58" s="38"/>
      <c r="BU58" s="38"/>
      <c r="BV58" s="38"/>
      <c r="BW58" s="40"/>
      <c r="BX58" s="43"/>
      <c r="BY58" s="5"/>
      <c r="BZ58" s="5"/>
      <c r="CA58" s="38"/>
      <c r="CB58" s="38"/>
      <c r="CC58" s="38"/>
      <c r="CD58" s="38"/>
      <c r="CE58" s="40"/>
      <c r="CF58" s="43"/>
      <c r="CG58" s="5"/>
      <c r="CH58" s="5"/>
      <c r="CI58" s="38"/>
      <c r="CJ58" s="38"/>
      <c r="CK58" s="38"/>
      <c r="CL58" s="38"/>
      <c r="CM58" s="40"/>
      <c r="CN58" s="43"/>
      <c r="CO58" s="5"/>
      <c r="CP58" s="5"/>
      <c r="CQ58" s="38"/>
      <c r="CR58" s="38"/>
      <c r="CS58" s="38"/>
      <c r="CT58" s="38"/>
      <c r="CU58" s="40"/>
      <c r="CV58" s="43"/>
      <c r="CW58" s="5"/>
      <c r="CX58" s="5"/>
    </row>
    <row r="59" spans="1:102" x14ac:dyDescent="0.35">
      <c r="A59" s="2">
        <v>204546</v>
      </c>
      <c r="B59" s="2">
        <v>204546</v>
      </c>
      <c r="C59" s="3" t="s">
        <v>481</v>
      </c>
      <c r="D59" s="48" t="s">
        <v>482</v>
      </c>
      <c r="E59" s="34" t="s">
        <v>479</v>
      </c>
      <c r="F59" s="47" t="s">
        <v>480</v>
      </c>
      <c r="G59" s="55">
        <v>6600</v>
      </c>
      <c r="H59" s="38">
        <v>795250</v>
      </c>
      <c r="I59" s="37">
        <v>736342</v>
      </c>
      <c r="J59" s="38">
        <f>394907+382818</f>
        <v>777725</v>
      </c>
      <c r="K59" s="39">
        <f>I59-J59</f>
        <v>-41383</v>
      </c>
      <c r="L59" s="5"/>
      <c r="M59" s="40">
        <f>K59/I59</f>
        <v>-5.6200787134239254E-2</v>
      </c>
      <c r="N59" s="5" t="s">
        <v>284</v>
      </c>
      <c r="O59" s="43">
        <v>44574</v>
      </c>
      <c r="P59" s="42"/>
      <c r="Q59" s="38">
        <f>382818+394907</f>
        <v>777725</v>
      </c>
      <c r="R59" s="39">
        <f t="shared" si="24"/>
        <v>0</v>
      </c>
      <c r="S59" s="5"/>
      <c r="T59" s="40">
        <v>0</v>
      </c>
      <c r="U59" s="43">
        <v>44595</v>
      </c>
      <c r="V59" s="5" t="s">
        <v>284</v>
      </c>
      <c r="W59" s="42"/>
      <c r="X59" s="38">
        <f>394907+382818</f>
        <v>777725</v>
      </c>
      <c r="Y59" s="38">
        <f t="shared" si="21"/>
        <v>0</v>
      </c>
      <c r="Z59" s="5"/>
      <c r="AA59" s="40">
        <v>0</v>
      </c>
      <c r="AB59" s="43">
        <v>44624</v>
      </c>
      <c r="AC59" s="5" t="s">
        <v>284</v>
      </c>
      <c r="AD59" s="42"/>
      <c r="AE59" s="38">
        <f>391444+403806</f>
        <v>795250</v>
      </c>
      <c r="AF59" s="38"/>
      <c r="AG59" s="38">
        <f>X59-AE59</f>
        <v>-17525</v>
      </c>
      <c r="AH59" s="38"/>
      <c r="AI59" s="40">
        <f>AG59/X59</f>
        <v>-2.2533671927737954E-2</v>
      </c>
      <c r="AJ59" s="44">
        <v>44657</v>
      </c>
      <c r="AK59" s="38" t="s">
        <v>284</v>
      </c>
      <c r="AL59" s="5"/>
      <c r="AM59" s="38">
        <f>391444+403806</f>
        <v>795250</v>
      </c>
      <c r="AN59" s="38">
        <f t="shared" si="27"/>
        <v>0</v>
      </c>
      <c r="AO59" s="38"/>
      <c r="AP59" s="38"/>
      <c r="AQ59" s="40">
        <v>0</v>
      </c>
      <c r="AR59" s="43">
        <v>44686</v>
      </c>
      <c r="AS59" s="5" t="s">
        <v>284</v>
      </c>
      <c r="AT59" s="5"/>
      <c r="AU59" s="38">
        <f>391444+403806</f>
        <v>795250</v>
      </c>
      <c r="AV59" s="38">
        <f t="shared" si="23"/>
        <v>0</v>
      </c>
      <c r="AW59" s="38"/>
      <c r="AX59" s="38"/>
      <c r="AY59" s="40">
        <v>0</v>
      </c>
      <c r="AZ59" s="44">
        <v>44715</v>
      </c>
      <c r="BA59" s="38" t="s">
        <v>284</v>
      </c>
      <c r="BB59" s="44">
        <v>44728</v>
      </c>
      <c r="BC59" s="38">
        <f>391444+403806</f>
        <v>795250</v>
      </c>
      <c r="BD59" s="38">
        <f t="shared" si="22"/>
        <v>0</v>
      </c>
      <c r="BE59" s="38"/>
      <c r="BF59" s="38"/>
      <c r="BG59" s="40">
        <v>0</v>
      </c>
      <c r="BH59" s="43">
        <v>44750</v>
      </c>
      <c r="BI59" s="5" t="s">
        <v>284</v>
      </c>
      <c r="BJ59" s="43">
        <v>44768</v>
      </c>
      <c r="BK59" s="38">
        <f>391444+403806</f>
        <v>795250</v>
      </c>
      <c r="BL59" s="38">
        <f t="shared" si="25"/>
        <v>0</v>
      </c>
      <c r="BM59" s="38"/>
      <c r="BN59" s="38"/>
      <c r="BO59" s="40">
        <v>0</v>
      </c>
      <c r="BP59" s="43">
        <v>44778</v>
      </c>
      <c r="BQ59" s="5" t="s">
        <v>284</v>
      </c>
      <c r="BR59" s="5"/>
      <c r="BS59" s="38"/>
      <c r="BT59" s="38"/>
      <c r="BU59" s="38"/>
      <c r="BV59" s="38"/>
      <c r="BW59" s="40"/>
      <c r="BX59" s="43"/>
      <c r="BY59" s="5"/>
      <c r="BZ59" s="5"/>
      <c r="CA59" s="38"/>
      <c r="CB59" s="38"/>
      <c r="CC59" s="38"/>
      <c r="CD59" s="38"/>
      <c r="CE59" s="40"/>
      <c r="CF59" s="43"/>
      <c r="CG59" s="5"/>
      <c r="CH59" s="5"/>
      <c r="CI59" s="38"/>
      <c r="CJ59" s="38"/>
      <c r="CK59" s="38"/>
      <c r="CL59" s="38"/>
      <c r="CM59" s="40"/>
      <c r="CN59" s="43"/>
      <c r="CO59" s="5"/>
      <c r="CP59" s="5"/>
      <c r="CQ59" s="38"/>
      <c r="CR59" s="38"/>
      <c r="CS59" s="38"/>
      <c r="CT59" s="38"/>
      <c r="CU59" s="40"/>
      <c r="CV59" s="43"/>
      <c r="CW59" s="5"/>
      <c r="CX59" s="5"/>
    </row>
    <row r="60" spans="1:102" x14ac:dyDescent="0.35">
      <c r="A60" s="2">
        <v>204592</v>
      </c>
      <c r="B60" s="2">
        <v>204592</v>
      </c>
      <c r="C60" s="3" t="s">
        <v>66</v>
      </c>
      <c r="D60" s="48" t="s">
        <v>485</v>
      </c>
      <c r="E60" s="34" t="s">
        <v>483</v>
      </c>
      <c r="F60" s="47" t="s">
        <v>484</v>
      </c>
      <c r="G60" s="55">
        <v>6602</v>
      </c>
      <c r="H60" s="38">
        <v>3248938</v>
      </c>
      <c r="I60" s="37">
        <v>3076064</v>
      </c>
      <c r="J60" s="38">
        <v>3248938</v>
      </c>
      <c r="K60" s="64">
        <f>I60-J60</f>
        <v>-172874</v>
      </c>
      <c r="L60" s="5"/>
      <c r="M60" s="40">
        <f>K60/I60</f>
        <v>-5.6199740967678179E-2</v>
      </c>
      <c r="N60" s="9" t="s">
        <v>284</v>
      </c>
      <c r="O60" s="41">
        <v>44568</v>
      </c>
      <c r="P60" s="42"/>
      <c r="Q60" s="38">
        <v>3248938</v>
      </c>
      <c r="R60" s="39">
        <f t="shared" si="24"/>
        <v>0</v>
      </c>
      <c r="S60" s="5"/>
      <c r="T60" s="40">
        <v>0</v>
      </c>
      <c r="U60" s="43">
        <v>44593</v>
      </c>
      <c r="V60" s="5" t="s">
        <v>284</v>
      </c>
      <c r="W60" s="42"/>
      <c r="X60" s="38">
        <v>3248938</v>
      </c>
      <c r="Y60" s="38">
        <f t="shared" si="21"/>
        <v>0</v>
      </c>
      <c r="Z60" s="5"/>
      <c r="AA60" s="40">
        <v>0</v>
      </c>
      <c r="AB60" s="51">
        <v>44621</v>
      </c>
      <c r="AC60" s="5" t="s">
        <v>284</v>
      </c>
      <c r="AD60" s="42"/>
      <c r="AE60" s="38">
        <v>3248938</v>
      </c>
      <c r="AF60" s="38">
        <f t="shared" ref="AF60:AF65" si="28">X60-AE60</f>
        <v>0</v>
      </c>
      <c r="AG60" s="38"/>
      <c r="AH60" s="38"/>
      <c r="AI60" s="40">
        <v>0</v>
      </c>
      <c r="AJ60" s="44">
        <v>44655</v>
      </c>
      <c r="AK60" s="38" t="s">
        <v>284</v>
      </c>
      <c r="AL60" s="5"/>
      <c r="AM60" s="38">
        <v>3248938</v>
      </c>
      <c r="AN60" s="38">
        <f t="shared" si="27"/>
        <v>0</v>
      </c>
      <c r="AO60" s="38"/>
      <c r="AP60" s="38"/>
      <c r="AQ60" s="40">
        <v>0</v>
      </c>
      <c r="AR60" s="43">
        <v>44683</v>
      </c>
      <c r="AS60" s="5" t="s">
        <v>284</v>
      </c>
      <c r="AT60" s="5"/>
      <c r="AU60" s="38">
        <v>3248938</v>
      </c>
      <c r="AV60" s="38">
        <f t="shared" si="23"/>
        <v>0</v>
      </c>
      <c r="AW60" s="38"/>
      <c r="AX60" s="38"/>
      <c r="AY60" s="40">
        <v>0</v>
      </c>
      <c r="AZ60" s="44">
        <v>44713</v>
      </c>
      <c r="BA60" s="38" t="s">
        <v>284</v>
      </c>
      <c r="BB60" s="44">
        <v>44728</v>
      </c>
      <c r="BC60" s="38">
        <v>3248938</v>
      </c>
      <c r="BD60" s="38">
        <f t="shared" si="22"/>
        <v>0</v>
      </c>
      <c r="BE60" s="38"/>
      <c r="BF60" s="38"/>
      <c r="BG60" s="40">
        <v>0</v>
      </c>
      <c r="BH60" s="43">
        <v>44743</v>
      </c>
      <c r="BI60" s="5" t="s">
        <v>284</v>
      </c>
      <c r="BJ60" s="43">
        <v>44757</v>
      </c>
      <c r="BK60" s="38">
        <v>3248938</v>
      </c>
      <c r="BL60" s="38">
        <f t="shared" si="25"/>
        <v>0</v>
      </c>
      <c r="BM60" s="38"/>
      <c r="BN60" s="38"/>
      <c r="BO60" s="40">
        <v>0</v>
      </c>
      <c r="BP60" s="43">
        <v>44774</v>
      </c>
      <c r="BQ60" s="5" t="s">
        <v>284</v>
      </c>
      <c r="BR60" s="5"/>
      <c r="BS60" s="38"/>
      <c r="BT60" s="38"/>
      <c r="BU60" s="38"/>
      <c r="BV60" s="38"/>
      <c r="BW60" s="40"/>
      <c r="BX60" s="43"/>
      <c r="BY60" s="5"/>
      <c r="BZ60" s="5"/>
      <c r="CA60" s="38"/>
      <c r="CB60" s="38"/>
      <c r="CC60" s="38"/>
      <c r="CD60" s="38"/>
      <c r="CE60" s="40"/>
      <c r="CF60" s="43"/>
      <c r="CG60" s="5"/>
      <c r="CH60" s="5"/>
      <c r="CI60" s="38"/>
      <c r="CJ60" s="38"/>
      <c r="CK60" s="38"/>
      <c r="CL60" s="38"/>
      <c r="CM60" s="40"/>
      <c r="CN60" s="43"/>
      <c r="CO60" s="5"/>
      <c r="CP60" s="5"/>
      <c r="CQ60" s="38"/>
      <c r="CR60" s="38"/>
      <c r="CS60" s="38"/>
      <c r="CT60" s="38"/>
      <c r="CU60" s="40"/>
      <c r="CV60" s="43"/>
      <c r="CW60" s="5"/>
      <c r="CX60" s="5"/>
    </row>
    <row r="61" spans="1:102" x14ac:dyDescent="0.35">
      <c r="A61" s="2">
        <v>204573</v>
      </c>
      <c r="B61" s="2">
        <v>204573</v>
      </c>
      <c r="C61" s="3" t="s">
        <v>290</v>
      </c>
      <c r="D61" s="48" t="s">
        <v>291</v>
      </c>
      <c r="E61" s="34" t="s">
        <v>486</v>
      </c>
      <c r="F61" s="47" t="s">
        <v>487</v>
      </c>
      <c r="G61" s="55">
        <v>6603</v>
      </c>
      <c r="H61" s="37">
        <v>858228</v>
      </c>
      <c r="I61" s="37">
        <v>858228</v>
      </c>
      <c r="J61" s="53">
        <v>858228</v>
      </c>
      <c r="K61" s="39">
        <f>I61-J61</f>
        <v>0</v>
      </c>
      <c r="L61" s="5"/>
      <c r="M61" s="40">
        <v>0</v>
      </c>
      <c r="N61" s="9" t="s">
        <v>284</v>
      </c>
      <c r="O61" s="41">
        <v>44566</v>
      </c>
      <c r="P61" s="42"/>
      <c r="Q61" s="38">
        <v>858228</v>
      </c>
      <c r="R61" s="39">
        <f t="shared" si="24"/>
        <v>0</v>
      </c>
      <c r="S61" s="5"/>
      <c r="T61" s="40">
        <v>0</v>
      </c>
      <c r="U61" s="43">
        <v>44600</v>
      </c>
      <c r="V61" s="5" t="s">
        <v>284</v>
      </c>
      <c r="W61" s="42"/>
      <c r="X61" s="38">
        <v>858228</v>
      </c>
      <c r="Y61" s="38">
        <f>Q61-X61</f>
        <v>0</v>
      </c>
      <c r="Z61" s="5"/>
      <c r="AA61" s="40">
        <v>0</v>
      </c>
      <c r="AB61" s="43">
        <v>44627</v>
      </c>
      <c r="AC61" s="5" t="s">
        <v>284</v>
      </c>
      <c r="AD61" s="42"/>
      <c r="AE61" s="38">
        <v>858228</v>
      </c>
      <c r="AF61" s="38">
        <f t="shared" si="28"/>
        <v>0</v>
      </c>
      <c r="AG61" s="38"/>
      <c r="AH61" s="38"/>
      <c r="AI61" s="40">
        <v>0</v>
      </c>
      <c r="AJ61" s="44">
        <v>44659</v>
      </c>
      <c r="AK61" s="38" t="s">
        <v>284</v>
      </c>
      <c r="AL61" s="5"/>
      <c r="AM61" s="38">
        <v>858228</v>
      </c>
      <c r="AN61" s="38">
        <f t="shared" si="27"/>
        <v>0</v>
      </c>
      <c r="AO61" s="38"/>
      <c r="AP61" s="38"/>
      <c r="AQ61" s="40">
        <v>0</v>
      </c>
      <c r="AR61" s="43">
        <v>44687</v>
      </c>
      <c r="AS61" s="5" t="s">
        <v>284</v>
      </c>
      <c r="AT61" s="5"/>
      <c r="AU61" s="38">
        <v>858228</v>
      </c>
      <c r="AV61" s="38">
        <f t="shared" si="23"/>
        <v>0</v>
      </c>
      <c r="AW61" s="38"/>
      <c r="AX61" s="38"/>
      <c r="AY61" s="40">
        <v>0</v>
      </c>
      <c r="AZ61" s="44">
        <v>44718</v>
      </c>
      <c r="BA61" s="38" t="s">
        <v>284</v>
      </c>
      <c r="BB61" s="44">
        <v>44728</v>
      </c>
      <c r="BC61" s="38">
        <v>858228</v>
      </c>
      <c r="BD61" s="38">
        <f t="shared" si="22"/>
        <v>0</v>
      </c>
      <c r="BE61" s="38"/>
      <c r="BF61" s="38"/>
      <c r="BG61" s="40">
        <v>0</v>
      </c>
      <c r="BH61" s="43">
        <v>44750</v>
      </c>
      <c r="BI61" s="5" t="s">
        <v>284</v>
      </c>
      <c r="BJ61" s="43">
        <v>44768</v>
      </c>
      <c r="BK61" s="38">
        <v>858228</v>
      </c>
      <c r="BL61" s="38">
        <f t="shared" si="25"/>
        <v>0</v>
      </c>
      <c r="BM61" s="38"/>
      <c r="BN61" s="38"/>
      <c r="BO61" s="40">
        <v>0</v>
      </c>
      <c r="BP61" s="43">
        <v>44778</v>
      </c>
      <c r="BQ61" s="5" t="s">
        <v>284</v>
      </c>
      <c r="BR61" s="5"/>
      <c r="BS61" s="38"/>
      <c r="BT61" s="38"/>
      <c r="BU61" s="38"/>
      <c r="BV61" s="38"/>
      <c r="BW61" s="40"/>
      <c r="BX61" s="43"/>
      <c r="BY61" s="5"/>
      <c r="BZ61" s="5"/>
      <c r="CA61" s="38"/>
      <c r="CB61" s="38"/>
      <c r="CC61" s="38"/>
      <c r="CD61" s="38"/>
      <c r="CE61" s="40"/>
      <c r="CF61" s="43"/>
      <c r="CG61" s="5"/>
      <c r="CH61" s="5"/>
      <c r="CI61" s="38"/>
      <c r="CJ61" s="38"/>
      <c r="CK61" s="38"/>
      <c r="CL61" s="38"/>
      <c r="CM61" s="40"/>
      <c r="CN61" s="43"/>
      <c r="CO61" s="5"/>
      <c r="CP61" s="5"/>
      <c r="CQ61" s="38"/>
      <c r="CR61" s="38"/>
      <c r="CS61" s="38"/>
      <c r="CT61" s="38"/>
      <c r="CU61" s="40"/>
      <c r="CV61" s="43"/>
      <c r="CW61" s="5"/>
      <c r="CX61" s="5"/>
    </row>
    <row r="62" spans="1:102" x14ac:dyDescent="0.35">
      <c r="A62" s="2">
        <v>204573</v>
      </c>
      <c r="B62" s="2">
        <v>204573</v>
      </c>
      <c r="C62" s="3" t="s">
        <v>290</v>
      </c>
      <c r="D62" s="48" t="s">
        <v>291</v>
      </c>
      <c r="E62" s="34" t="s">
        <v>486</v>
      </c>
      <c r="F62" s="47" t="s">
        <v>488</v>
      </c>
      <c r="G62" s="55">
        <v>6603</v>
      </c>
      <c r="H62" s="37">
        <v>1833897</v>
      </c>
      <c r="I62" s="37">
        <v>1833897</v>
      </c>
      <c r="J62" s="38">
        <v>1833897</v>
      </c>
      <c r="K62" s="39">
        <f>H62-J62</f>
        <v>0</v>
      </c>
      <c r="L62" s="5"/>
      <c r="M62" s="40">
        <v>0</v>
      </c>
      <c r="N62" s="9" t="s">
        <v>284</v>
      </c>
      <c r="O62" s="41">
        <v>44566</v>
      </c>
      <c r="P62" s="42"/>
      <c r="Q62" s="38">
        <v>1833897</v>
      </c>
      <c r="R62" s="39">
        <f t="shared" si="24"/>
        <v>0</v>
      </c>
      <c r="S62" s="5"/>
      <c r="T62" s="40">
        <v>0</v>
      </c>
      <c r="U62" s="43">
        <v>44600</v>
      </c>
      <c r="V62" s="5" t="s">
        <v>284</v>
      </c>
      <c r="W62" s="42"/>
      <c r="X62" s="38">
        <v>1833897</v>
      </c>
      <c r="Y62" s="38">
        <f>Q62-X62</f>
        <v>0</v>
      </c>
      <c r="Z62" s="5"/>
      <c r="AA62" s="40">
        <v>0</v>
      </c>
      <c r="AB62" s="43">
        <v>44627</v>
      </c>
      <c r="AC62" s="5" t="s">
        <v>284</v>
      </c>
      <c r="AD62" s="42"/>
      <c r="AE62" s="38">
        <v>1833897</v>
      </c>
      <c r="AF62" s="38">
        <f t="shared" si="28"/>
        <v>0</v>
      </c>
      <c r="AG62" s="38"/>
      <c r="AH62" s="38"/>
      <c r="AI62" s="40">
        <v>0</v>
      </c>
      <c r="AJ62" s="44">
        <v>44659</v>
      </c>
      <c r="AK62" s="38" t="s">
        <v>284</v>
      </c>
      <c r="AL62" s="5"/>
      <c r="AM62" s="38">
        <v>1833897</v>
      </c>
      <c r="AN62" s="38">
        <f t="shared" si="27"/>
        <v>0</v>
      </c>
      <c r="AO62" s="38"/>
      <c r="AP62" s="38"/>
      <c r="AQ62" s="40">
        <v>0</v>
      </c>
      <c r="AR62" s="43">
        <v>44687</v>
      </c>
      <c r="AS62" s="5" t="s">
        <v>284</v>
      </c>
      <c r="AT62" s="5"/>
      <c r="AU62" s="38">
        <v>1833897</v>
      </c>
      <c r="AV62" s="38">
        <f t="shared" si="23"/>
        <v>0</v>
      </c>
      <c r="AW62" s="38"/>
      <c r="AX62" s="38"/>
      <c r="AY62" s="40">
        <v>0</v>
      </c>
      <c r="AZ62" s="44">
        <v>44718</v>
      </c>
      <c r="BA62" s="38" t="s">
        <v>284</v>
      </c>
      <c r="BB62" s="44">
        <v>44728</v>
      </c>
      <c r="BC62" s="38">
        <v>1833897</v>
      </c>
      <c r="BD62" s="38">
        <f t="shared" si="22"/>
        <v>0</v>
      </c>
      <c r="BE62" s="38"/>
      <c r="BF62" s="38"/>
      <c r="BG62" s="40">
        <v>0</v>
      </c>
      <c r="BH62" s="43">
        <v>44750</v>
      </c>
      <c r="BI62" s="5" t="s">
        <v>284</v>
      </c>
      <c r="BJ62" s="43">
        <v>44768</v>
      </c>
      <c r="BK62" s="38">
        <v>1833897</v>
      </c>
      <c r="BL62" s="38">
        <f t="shared" si="25"/>
        <v>0</v>
      </c>
      <c r="BM62" s="38"/>
      <c r="BN62" s="38"/>
      <c r="BO62" s="40">
        <v>0</v>
      </c>
      <c r="BP62" s="43">
        <v>44778</v>
      </c>
      <c r="BQ62" s="5" t="s">
        <v>284</v>
      </c>
      <c r="BR62" s="5"/>
      <c r="BS62" s="38"/>
      <c r="BT62" s="38"/>
      <c r="BU62" s="38"/>
      <c r="BV62" s="38"/>
      <c r="BW62" s="40"/>
      <c r="BX62" s="43"/>
      <c r="BY62" s="5"/>
      <c r="BZ62" s="5"/>
      <c r="CA62" s="38"/>
      <c r="CB62" s="38"/>
      <c r="CC62" s="38"/>
      <c r="CD62" s="38"/>
      <c r="CE62" s="40"/>
      <c r="CF62" s="43"/>
      <c r="CG62" s="5"/>
      <c r="CH62" s="5"/>
      <c r="CI62" s="38"/>
      <c r="CJ62" s="38"/>
      <c r="CK62" s="38"/>
      <c r="CL62" s="38"/>
      <c r="CM62" s="40"/>
      <c r="CN62" s="43"/>
      <c r="CO62" s="5"/>
      <c r="CP62" s="5"/>
      <c r="CQ62" s="38"/>
      <c r="CR62" s="38"/>
      <c r="CS62" s="38"/>
      <c r="CT62" s="38"/>
      <c r="CU62" s="40"/>
      <c r="CV62" s="43"/>
      <c r="CW62" s="5"/>
      <c r="CX62" s="5"/>
    </row>
    <row r="63" spans="1:102" x14ac:dyDescent="0.35">
      <c r="A63" s="2">
        <v>204591</v>
      </c>
      <c r="B63" s="2">
        <v>204591</v>
      </c>
      <c r="C63" s="3" t="s">
        <v>491</v>
      </c>
      <c r="D63" s="48" t="s">
        <v>492</v>
      </c>
      <c r="E63" s="34" t="s">
        <v>489</v>
      </c>
      <c r="F63" s="47" t="s">
        <v>490</v>
      </c>
      <c r="G63" s="55" t="s">
        <v>134</v>
      </c>
      <c r="H63" s="38">
        <v>698564</v>
      </c>
      <c r="I63" s="37">
        <v>688018</v>
      </c>
      <c r="J63" s="38">
        <f>695656+55330</f>
        <v>750986</v>
      </c>
      <c r="K63" s="39">
        <f t="shared" ref="K63:K68" si="29">I63-J63</f>
        <v>-62968</v>
      </c>
      <c r="L63" s="5"/>
      <c r="M63" s="40">
        <f>K63/I63</f>
        <v>-9.1520861372812914E-2</v>
      </c>
      <c r="N63" s="9" t="s">
        <v>284</v>
      </c>
      <c r="O63" s="41">
        <v>44567</v>
      </c>
      <c r="P63" s="42"/>
      <c r="Q63" s="38">
        <f>55330+695656</f>
        <v>750986</v>
      </c>
      <c r="R63" s="39">
        <f t="shared" si="24"/>
        <v>0</v>
      </c>
      <c r="S63" s="5"/>
      <c r="T63" s="40">
        <v>0</v>
      </c>
      <c r="U63" s="51">
        <v>44594</v>
      </c>
      <c r="V63" s="5" t="s">
        <v>284</v>
      </c>
      <c r="W63" s="42"/>
      <c r="X63" s="38">
        <f>55330+695656</f>
        <v>750986</v>
      </c>
      <c r="Y63" s="38">
        <f>Q63-X63</f>
        <v>0</v>
      </c>
      <c r="Z63" s="5"/>
      <c r="AA63" s="40">
        <v>0</v>
      </c>
      <c r="AB63" s="51">
        <v>44621</v>
      </c>
      <c r="AC63" s="5" t="s">
        <v>284</v>
      </c>
      <c r="AD63" s="42"/>
      <c r="AE63" s="38">
        <v>695656</v>
      </c>
      <c r="AF63" s="38">
        <f t="shared" si="28"/>
        <v>55330</v>
      </c>
      <c r="AG63" s="38"/>
      <c r="AH63" s="38"/>
      <c r="AI63" s="40">
        <f>AF63/X63</f>
        <v>7.3676473329729181E-2</v>
      </c>
      <c r="AJ63" s="44">
        <v>44676</v>
      </c>
      <c r="AK63" s="44" t="s">
        <v>284</v>
      </c>
      <c r="AL63" s="5"/>
      <c r="AM63" s="38">
        <v>695656</v>
      </c>
      <c r="AN63" s="38">
        <f t="shared" si="27"/>
        <v>0</v>
      </c>
      <c r="AO63" s="38"/>
      <c r="AP63" s="38"/>
      <c r="AQ63" s="40">
        <v>0</v>
      </c>
      <c r="AR63" s="43">
        <v>44704</v>
      </c>
      <c r="AS63" s="5" t="s">
        <v>284</v>
      </c>
      <c r="AT63" s="5"/>
      <c r="AU63" s="38">
        <v>698155</v>
      </c>
      <c r="AV63" s="38"/>
      <c r="AW63" s="38">
        <f>AM63-AU63</f>
        <v>-2499</v>
      </c>
      <c r="AX63" s="38"/>
      <c r="AY63" s="40">
        <f>AW63/AM63</f>
        <v>-3.5922927423899169E-3</v>
      </c>
      <c r="AZ63" s="44">
        <v>44715</v>
      </c>
      <c r="BA63" s="38" t="s">
        <v>284</v>
      </c>
      <c r="BB63" s="44">
        <v>44728</v>
      </c>
      <c r="BC63" s="38">
        <v>698155</v>
      </c>
      <c r="BD63" s="38">
        <f t="shared" si="22"/>
        <v>0</v>
      </c>
      <c r="BE63" s="38"/>
      <c r="BF63" s="38"/>
      <c r="BG63" s="40">
        <v>0</v>
      </c>
      <c r="BH63" s="43">
        <v>44743</v>
      </c>
      <c r="BI63" s="5" t="s">
        <v>284</v>
      </c>
      <c r="BJ63" s="43">
        <v>44757</v>
      </c>
      <c r="BK63" s="38">
        <v>698564</v>
      </c>
      <c r="BL63" s="38">
        <f t="shared" si="25"/>
        <v>-409</v>
      </c>
      <c r="BM63" s="38"/>
      <c r="BN63" s="38"/>
      <c r="BO63" s="40">
        <f>BL63/BC63</f>
        <v>-5.8582979424339865E-4</v>
      </c>
      <c r="BP63" s="43">
        <v>44778</v>
      </c>
      <c r="BQ63" s="5" t="s">
        <v>284</v>
      </c>
      <c r="BR63" s="5"/>
      <c r="BS63" s="38"/>
      <c r="BT63" s="38"/>
      <c r="BU63" s="38"/>
      <c r="BV63" s="38"/>
      <c r="BW63" s="40"/>
      <c r="BX63" s="43"/>
      <c r="BY63" s="5"/>
      <c r="BZ63" s="5"/>
      <c r="CA63" s="38"/>
      <c r="CB63" s="38"/>
      <c r="CC63" s="38"/>
      <c r="CD63" s="38"/>
      <c r="CE63" s="40"/>
      <c r="CF63" s="43"/>
      <c r="CG63" s="5"/>
      <c r="CH63" s="5"/>
      <c r="CI63" s="38"/>
      <c r="CJ63" s="38"/>
      <c r="CK63" s="38"/>
      <c r="CL63" s="38"/>
      <c r="CM63" s="40"/>
      <c r="CN63" s="43"/>
      <c r="CO63" s="5"/>
      <c r="CP63" s="5"/>
      <c r="CQ63" s="38"/>
      <c r="CR63" s="38"/>
      <c r="CS63" s="38"/>
      <c r="CT63" s="38"/>
      <c r="CU63" s="40"/>
      <c r="CV63" s="43"/>
      <c r="CW63" s="5"/>
      <c r="CX63" s="5"/>
    </row>
    <row r="64" spans="1:102" x14ac:dyDescent="0.35">
      <c r="A64" s="2">
        <v>204586</v>
      </c>
      <c r="B64" s="2">
        <v>204586</v>
      </c>
      <c r="C64" s="3" t="s">
        <v>495</v>
      </c>
      <c r="D64" s="48" t="s">
        <v>496</v>
      </c>
      <c r="E64" s="34" t="s">
        <v>493</v>
      </c>
      <c r="F64" s="47" t="s">
        <v>494</v>
      </c>
      <c r="G64" s="55">
        <v>6610</v>
      </c>
      <c r="H64" s="38">
        <v>2357930</v>
      </c>
      <c r="I64" s="37">
        <v>2176703</v>
      </c>
      <c r="J64" s="38">
        <v>2299026</v>
      </c>
      <c r="K64" s="39">
        <f t="shared" si="29"/>
        <v>-122323</v>
      </c>
      <c r="L64" s="5"/>
      <c r="M64" s="40">
        <f>K64/I64</f>
        <v>-5.6196458588976081E-2</v>
      </c>
      <c r="N64" s="9" t="s">
        <v>284</v>
      </c>
      <c r="O64" s="41">
        <v>44568</v>
      </c>
      <c r="P64" s="42"/>
      <c r="Q64" s="38">
        <v>2299026</v>
      </c>
      <c r="R64" s="39">
        <f t="shared" si="24"/>
        <v>0</v>
      </c>
      <c r="S64" s="5"/>
      <c r="T64" s="40">
        <v>0</v>
      </c>
      <c r="U64" s="43">
        <v>44596</v>
      </c>
      <c r="V64" s="5" t="s">
        <v>284</v>
      </c>
      <c r="W64" s="42"/>
      <c r="X64" s="38">
        <v>2299026</v>
      </c>
      <c r="Y64" s="38">
        <f>Q64-X64</f>
        <v>0</v>
      </c>
      <c r="Z64" s="5"/>
      <c r="AA64" s="40">
        <v>0</v>
      </c>
      <c r="AB64" s="51">
        <v>44622</v>
      </c>
      <c r="AC64" s="5" t="s">
        <v>284</v>
      </c>
      <c r="AD64" s="42"/>
      <c r="AE64" s="38">
        <v>2357930</v>
      </c>
      <c r="AF64" s="38">
        <f t="shared" si="28"/>
        <v>-58904</v>
      </c>
      <c r="AG64" s="38"/>
      <c r="AH64" s="38"/>
      <c r="AI64" s="40">
        <f>AF64/X64</f>
        <v>-2.5621284839753879E-2</v>
      </c>
      <c r="AJ64" s="44">
        <v>44655</v>
      </c>
      <c r="AK64" s="38" t="s">
        <v>284</v>
      </c>
      <c r="AL64" s="5"/>
      <c r="AM64" s="38">
        <v>2357930</v>
      </c>
      <c r="AN64" s="38">
        <f t="shared" si="27"/>
        <v>0</v>
      </c>
      <c r="AO64" s="38"/>
      <c r="AP64" s="38"/>
      <c r="AQ64" s="40">
        <v>0</v>
      </c>
      <c r="AR64" s="43">
        <v>44684</v>
      </c>
      <c r="AS64" s="5" t="s">
        <v>284</v>
      </c>
      <c r="AT64" s="5"/>
      <c r="AU64" s="38">
        <v>2357930</v>
      </c>
      <c r="AV64" s="38">
        <f t="shared" ref="AV64:AV74" si="30">AM64-AU64</f>
        <v>0</v>
      </c>
      <c r="AW64" s="38"/>
      <c r="AX64" s="38"/>
      <c r="AY64" s="40">
        <v>0</v>
      </c>
      <c r="AZ64" s="44">
        <v>44715</v>
      </c>
      <c r="BA64" s="38" t="s">
        <v>284</v>
      </c>
      <c r="BB64" s="44">
        <v>44728</v>
      </c>
      <c r="BC64" s="38">
        <v>2357930</v>
      </c>
      <c r="BD64" s="38">
        <f t="shared" si="22"/>
        <v>0</v>
      </c>
      <c r="BE64" s="38"/>
      <c r="BF64" s="38"/>
      <c r="BG64" s="40">
        <v>0</v>
      </c>
      <c r="BH64" s="43">
        <v>44743</v>
      </c>
      <c r="BI64" s="5" t="s">
        <v>284</v>
      </c>
      <c r="BJ64" s="43">
        <v>44757</v>
      </c>
      <c r="BK64" s="38">
        <v>2357930</v>
      </c>
      <c r="BL64" s="38">
        <f t="shared" si="25"/>
        <v>0</v>
      </c>
      <c r="BM64" s="38"/>
      <c r="BN64" s="38"/>
      <c r="BO64" s="40">
        <v>0</v>
      </c>
      <c r="BP64" s="43">
        <v>44775</v>
      </c>
      <c r="BQ64" s="5" t="s">
        <v>284</v>
      </c>
      <c r="BR64" s="5"/>
      <c r="BS64" s="38"/>
      <c r="BT64" s="38"/>
      <c r="BU64" s="38"/>
      <c r="BV64" s="38"/>
      <c r="BW64" s="40"/>
      <c r="BX64" s="43"/>
      <c r="BY64" s="5"/>
      <c r="BZ64" s="5"/>
      <c r="CA64" s="38"/>
      <c r="CB64" s="38"/>
      <c r="CC64" s="38"/>
      <c r="CD64" s="38"/>
      <c r="CE64" s="40"/>
      <c r="CF64" s="43"/>
      <c r="CG64" s="5"/>
      <c r="CH64" s="5"/>
      <c r="CI64" s="38"/>
      <c r="CJ64" s="38"/>
      <c r="CK64" s="38"/>
      <c r="CL64" s="38"/>
      <c r="CM64" s="40"/>
      <c r="CN64" s="43"/>
      <c r="CO64" s="5"/>
      <c r="CP64" s="5"/>
      <c r="CQ64" s="38"/>
      <c r="CR64" s="38"/>
      <c r="CS64" s="38"/>
      <c r="CT64" s="38"/>
      <c r="CU64" s="40"/>
      <c r="CV64" s="43"/>
      <c r="CW64" s="5"/>
      <c r="CX64" s="5"/>
    </row>
    <row r="65" spans="1:102" x14ac:dyDescent="0.35">
      <c r="A65" s="2">
        <v>204845</v>
      </c>
      <c r="B65" s="2">
        <v>204845</v>
      </c>
      <c r="C65" s="3" t="s">
        <v>499</v>
      </c>
      <c r="D65" s="48" t="s">
        <v>500</v>
      </c>
      <c r="E65" s="34" t="s">
        <v>497</v>
      </c>
      <c r="F65" s="47" t="s">
        <v>498</v>
      </c>
      <c r="G65" s="55">
        <v>6616</v>
      </c>
      <c r="H65" s="37">
        <v>391000</v>
      </c>
      <c r="I65" s="37">
        <v>372000</v>
      </c>
      <c r="J65" s="38">
        <v>372000</v>
      </c>
      <c r="K65" s="39">
        <f t="shared" si="29"/>
        <v>0</v>
      </c>
      <c r="L65" s="5"/>
      <c r="M65" s="40">
        <v>0</v>
      </c>
      <c r="N65" s="9" t="s">
        <v>284</v>
      </c>
      <c r="O65" s="41">
        <v>44578</v>
      </c>
      <c r="P65" s="42"/>
      <c r="Q65" s="38">
        <v>391000</v>
      </c>
      <c r="R65" s="39">
        <f t="shared" si="24"/>
        <v>-19000</v>
      </c>
      <c r="S65" s="5"/>
      <c r="T65" s="40">
        <f>R65/J65</f>
        <v>-5.1075268817204304E-2</v>
      </c>
      <c r="U65" s="51">
        <v>44589</v>
      </c>
      <c r="V65" s="5" t="s">
        <v>284</v>
      </c>
      <c r="W65" s="42"/>
      <c r="X65" s="38">
        <v>391000</v>
      </c>
      <c r="Y65" s="38">
        <v>0</v>
      </c>
      <c r="Z65" s="39"/>
      <c r="AA65" s="40">
        <v>0</v>
      </c>
      <c r="AB65" s="51">
        <v>44630</v>
      </c>
      <c r="AC65" s="5" t="s">
        <v>284</v>
      </c>
      <c r="AD65" s="42"/>
      <c r="AE65" s="38">
        <v>391000</v>
      </c>
      <c r="AF65" s="38">
        <f t="shared" si="28"/>
        <v>0</v>
      </c>
      <c r="AG65" s="38"/>
      <c r="AH65" s="38"/>
      <c r="AI65" s="40">
        <v>0</v>
      </c>
      <c r="AJ65" s="44">
        <v>44664</v>
      </c>
      <c r="AK65" s="38" t="s">
        <v>284</v>
      </c>
      <c r="AL65" s="5"/>
      <c r="AM65" s="38">
        <v>391000</v>
      </c>
      <c r="AN65" s="38">
        <f t="shared" si="27"/>
        <v>0</v>
      </c>
      <c r="AO65" s="38"/>
      <c r="AP65" s="38"/>
      <c r="AQ65" s="40">
        <v>0</v>
      </c>
      <c r="AR65" s="43">
        <v>44690</v>
      </c>
      <c r="AS65" s="5" t="s">
        <v>284</v>
      </c>
      <c r="AT65" s="5"/>
      <c r="AU65" s="38">
        <v>391000</v>
      </c>
      <c r="AV65" s="38">
        <f t="shared" si="30"/>
        <v>0</v>
      </c>
      <c r="AW65" s="38"/>
      <c r="AX65" s="38"/>
      <c r="AY65" s="40">
        <v>0</v>
      </c>
      <c r="AZ65" s="44">
        <v>44719</v>
      </c>
      <c r="BA65" s="38" t="s">
        <v>284</v>
      </c>
      <c r="BB65" s="44">
        <v>44728</v>
      </c>
      <c r="BC65" s="38">
        <v>391000</v>
      </c>
      <c r="BD65" s="38">
        <f t="shared" si="22"/>
        <v>0</v>
      </c>
      <c r="BE65" s="38"/>
      <c r="BF65" s="38"/>
      <c r="BG65" s="40">
        <v>0</v>
      </c>
      <c r="BH65" s="43">
        <v>44750</v>
      </c>
      <c r="BI65" s="5" t="s">
        <v>284</v>
      </c>
      <c r="BJ65" s="43">
        <v>44768</v>
      </c>
      <c r="BK65" s="38">
        <v>391000</v>
      </c>
      <c r="BL65" s="38">
        <f t="shared" si="25"/>
        <v>0</v>
      </c>
      <c r="BM65" s="38"/>
      <c r="BN65" s="38"/>
      <c r="BO65" s="40">
        <v>0</v>
      </c>
      <c r="BP65" s="43">
        <v>44781</v>
      </c>
      <c r="BQ65" s="5" t="s">
        <v>284</v>
      </c>
      <c r="BR65" s="5"/>
      <c r="BS65" s="38"/>
      <c r="BT65" s="38"/>
      <c r="BU65" s="38"/>
      <c r="BV65" s="38"/>
      <c r="BW65" s="40"/>
      <c r="BX65" s="43"/>
      <c r="BY65" s="5"/>
      <c r="BZ65" s="5"/>
      <c r="CA65" s="38"/>
      <c r="CB65" s="38"/>
      <c r="CC65" s="38"/>
      <c r="CD65" s="38"/>
      <c r="CE65" s="40"/>
      <c r="CF65" s="43"/>
      <c r="CG65" s="5"/>
      <c r="CH65" s="5"/>
      <c r="CI65" s="38"/>
      <c r="CJ65" s="38"/>
      <c r="CK65" s="38"/>
      <c r="CL65" s="38"/>
      <c r="CM65" s="40"/>
      <c r="CN65" s="43"/>
      <c r="CO65" s="5"/>
      <c r="CP65" s="5"/>
      <c r="CQ65" s="38"/>
      <c r="CR65" s="38"/>
      <c r="CS65" s="38"/>
      <c r="CT65" s="38"/>
      <c r="CU65" s="40"/>
      <c r="CV65" s="43"/>
      <c r="CW65" s="5"/>
      <c r="CX65" s="5"/>
    </row>
    <row r="66" spans="1:102" x14ac:dyDescent="0.35">
      <c r="A66" s="2">
        <v>204531</v>
      </c>
      <c r="B66" s="2">
        <v>204531</v>
      </c>
      <c r="C66" s="3" t="s">
        <v>503</v>
      </c>
      <c r="D66" s="48" t="s">
        <v>504</v>
      </c>
      <c r="E66" s="34" t="s">
        <v>501</v>
      </c>
      <c r="F66" s="47" t="s">
        <v>502</v>
      </c>
      <c r="G66" s="55">
        <v>6617</v>
      </c>
      <c r="H66" s="37">
        <v>1123439</v>
      </c>
      <c r="I66" s="37">
        <v>1063661</v>
      </c>
      <c r="J66" s="38">
        <v>1063661</v>
      </c>
      <c r="K66" s="39">
        <f t="shared" si="29"/>
        <v>0</v>
      </c>
      <c r="L66" s="5"/>
      <c r="M66" s="40">
        <v>0</v>
      </c>
      <c r="N66" s="9" t="s">
        <v>284</v>
      </c>
      <c r="O66" s="41">
        <v>44574</v>
      </c>
      <c r="P66" s="42"/>
      <c r="Q66" s="38">
        <v>1063661</v>
      </c>
      <c r="R66" s="39">
        <f t="shared" si="24"/>
        <v>0</v>
      </c>
      <c r="S66" s="5"/>
      <c r="T66" s="40">
        <v>0</v>
      </c>
      <c r="U66" s="43">
        <v>44601</v>
      </c>
      <c r="V66" s="5" t="s">
        <v>284</v>
      </c>
      <c r="W66" s="42"/>
      <c r="X66" s="38">
        <v>1063661</v>
      </c>
      <c r="Y66" s="38">
        <f t="shared" ref="Y66:Y73" si="31">Q66-X66</f>
        <v>0</v>
      </c>
      <c r="Z66" s="5"/>
      <c r="AA66" s="40">
        <v>0</v>
      </c>
      <c r="AB66" s="43">
        <v>44634</v>
      </c>
      <c r="AC66" s="5" t="s">
        <v>284</v>
      </c>
      <c r="AD66" s="42"/>
      <c r="AE66" s="38">
        <v>1123439</v>
      </c>
      <c r="AF66" s="38"/>
      <c r="AG66" s="38">
        <f>X66-AE66</f>
        <v>-59778</v>
      </c>
      <c r="AH66" s="38"/>
      <c r="AI66" s="40">
        <f>AG66/X66</f>
        <v>-5.6200236729559511E-2</v>
      </c>
      <c r="AJ66" s="44">
        <v>44662</v>
      </c>
      <c r="AK66" s="38" t="s">
        <v>284</v>
      </c>
      <c r="AL66" s="5"/>
      <c r="AM66" s="38">
        <v>1123439</v>
      </c>
      <c r="AN66" s="38">
        <f t="shared" si="27"/>
        <v>0</v>
      </c>
      <c r="AO66" s="38"/>
      <c r="AP66" s="38"/>
      <c r="AQ66" s="40">
        <v>0</v>
      </c>
      <c r="AR66" s="43">
        <v>44690</v>
      </c>
      <c r="AS66" s="5" t="s">
        <v>284</v>
      </c>
      <c r="AT66" s="5"/>
      <c r="AU66" s="38">
        <v>1123439</v>
      </c>
      <c r="AV66" s="38">
        <f t="shared" si="30"/>
        <v>0</v>
      </c>
      <c r="AW66" s="38"/>
      <c r="AX66" s="38"/>
      <c r="AY66" s="40">
        <v>0</v>
      </c>
      <c r="AZ66" s="44">
        <v>44718</v>
      </c>
      <c r="BA66" s="38" t="s">
        <v>284</v>
      </c>
      <c r="BB66" s="44">
        <v>44728</v>
      </c>
      <c r="BC66" s="38">
        <v>1123439</v>
      </c>
      <c r="BD66" s="38">
        <f>AU66-BC66</f>
        <v>0</v>
      </c>
      <c r="BE66" s="38"/>
      <c r="BF66" s="38"/>
      <c r="BG66" s="40">
        <v>0</v>
      </c>
      <c r="BH66" s="43">
        <v>44753</v>
      </c>
      <c r="BI66" s="5" t="s">
        <v>284</v>
      </c>
      <c r="BJ66" s="43">
        <v>44768</v>
      </c>
      <c r="BK66" s="38">
        <v>1123439</v>
      </c>
      <c r="BL66" s="38">
        <f>BC66-BK66</f>
        <v>0</v>
      </c>
      <c r="BM66" s="38"/>
      <c r="BN66" s="38"/>
      <c r="BO66" s="40">
        <v>0</v>
      </c>
      <c r="BP66" s="43">
        <v>44783</v>
      </c>
      <c r="BQ66" s="5" t="s">
        <v>284</v>
      </c>
      <c r="BR66" s="5"/>
      <c r="BS66" s="38"/>
      <c r="BT66" s="38"/>
      <c r="BU66" s="38"/>
      <c r="BV66" s="38"/>
      <c r="BW66" s="40"/>
      <c r="BX66" s="43"/>
      <c r="BY66" s="5"/>
      <c r="BZ66" s="5"/>
      <c r="CA66" s="38"/>
      <c r="CB66" s="38"/>
      <c r="CC66" s="38"/>
      <c r="CD66" s="38"/>
      <c r="CE66" s="40"/>
      <c r="CF66" s="43"/>
      <c r="CG66" s="5"/>
      <c r="CH66" s="5"/>
      <c r="CI66" s="38"/>
      <c r="CJ66" s="38"/>
      <c r="CK66" s="38"/>
      <c r="CL66" s="38"/>
      <c r="CM66" s="40"/>
      <c r="CN66" s="43"/>
      <c r="CO66" s="5"/>
      <c r="CP66" s="5"/>
      <c r="CQ66" s="38"/>
      <c r="CR66" s="38"/>
      <c r="CS66" s="38"/>
      <c r="CT66" s="38"/>
      <c r="CU66" s="40"/>
      <c r="CV66" s="43"/>
      <c r="CW66" s="5"/>
      <c r="CX66" s="5"/>
    </row>
    <row r="67" spans="1:102" x14ac:dyDescent="0.35">
      <c r="A67" s="2">
        <v>204694</v>
      </c>
      <c r="B67" s="2">
        <v>204694</v>
      </c>
      <c r="C67" s="3" t="s">
        <v>75</v>
      </c>
      <c r="D67" s="48" t="s">
        <v>507</v>
      </c>
      <c r="E67" s="34" t="s">
        <v>505</v>
      </c>
      <c r="F67" s="47" t="s">
        <v>506</v>
      </c>
      <c r="G67" s="55">
        <v>6619</v>
      </c>
      <c r="H67" s="38">
        <v>1494830</v>
      </c>
      <c r="I67" s="37">
        <v>1384699</v>
      </c>
      <c r="J67" s="38">
        <v>1524138</v>
      </c>
      <c r="K67" s="39">
        <f t="shared" si="29"/>
        <v>-139439</v>
      </c>
      <c r="L67" s="5"/>
      <c r="M67" s="40">
        <f>K67/I67</f>
        <v>-0.100699863291589</v>
      </c>
      <c r="N67" s="9" t="s">
        <v>284</v>
      </c>
      <c r="O67" s="41">
        <v>44566</v>
      </c>
      <c r="P67" s="42"/>
      <c r="Q67" s="38">
        <v>1524138</v>
      </c>
      <c r="R67" s="39">
        <f t="shared" si="24"/>
        <v>0</v>
      </c>
      <c r="S67" s="5"/>
      <c r="T67" s="40">
        <v>0</v>
      </c>
      <c r="U67" s="51">
        <v>44594</v>
      </c>
      <c r="V67" s="5" t="s">
        <v>284</v>
      </c>
      <c r="W67" s="42"/>
      <c r="X67" s="38">
        <v>1494830</v>
      </c>
      <c r="Y67" s="38">
        <f t="shared" si="31"/>
        <v>29308</v>
      </c>
      <c r="Z67" s="5"/>
      <c r="AA67" s="40">
        <f>Y67/Q67</f>
        <v>1.9229229899129868E-2</v>
      </c>
      <c r="AB67" s="43">
        <v>44624</v>
      </c>
      <c r="AC67" s="5" t="s">
        <v>284</v>
      </c>
      <c r="AD67" s="42"/>
      <c r="AE67" s="38">
        <v>1494830</v>
      </c>
      <c r="AF67" s="38">
        <f t="shared" ref="AF67:AF75" si="32">X67-AE67</f>
        <v>0</v>
      </c>
      <c r="AG67" s="38"/>
      <c r="AH67" s="38"/>
      <c r="AI67" s="40">
        <v>0</v>
      </c>
      <c r="AJ67" s="44">
        <v>44656</v>
      </c>
      <c r="AK67" s="38" t="s">
        <v>284</v>
      </c>
      <c r="AL67" s="5"/>
      <c r="AM67" s="38">
        <v>1494830</v>
      </c>
      <c r="AN67" s="38">
        <f t="shared" si="27"/>
        <v>0</v>
      </c>
      <c r="AO67" s="38"/>
      <c r="AP67" s="38"/>
      <c r="AQ67" s="40">
        <v>0</v>
      </c>
      <c r="AR67" s="43">
        <v>44684</v>
      </c>
      <c r="AS67" s="5" t="s">
        <v>284</v>
      </c>
      <c r="AT67" s="5"/>
      <c r="AU67" s="38">
        <v>1494830</v>
      </c>
      <c r="AV67" s="38">
        <f t="shared" si="30"/>
        <v>0</v>
      </c>
      <c r="AW67" s="38"/>
      <c r="AX67" s="38"/>
      <c r="AY67" s="40">
        <v>0</v>
      </c>
      <c r="AZ67" s="44">
        <v>44715</v>
      </c>
      <c r="BA67" s="38" t="s">
        <v>284</v>
      </c>
      <c r="BB67" s="44">
        <v>44728</v>
      </c>
      <c r="BC67" s="38">
        <v>1494830</v>
      </c>
      <c r="BD67" s="38">
        <f t="shared" ref="BD67:BD84" si="33">AU67-BC67</f>
        <v>0</v>
      </c>
      <c r="BE67" s="38"/>
      <c r="BF67" s="38"/>
      <c r="BG67" s="40">
        <v>0</v>
      </c>
      <c r="BH67" s="43">
        <v>44743</v>
      </c>
      <c r="BI67" s="5" t="s">
        <v>284</v>
      </c>
      <c r="BJ67" s="43">
        <v>44757</v>
      </c>
      <c r="BK67" s="38">
        <v>1494830</v>
      </c>
      <c r="BL67" s="38">
        <f t="shared" ref="BL67:BL84" si="34">BC67-BK67</f>
        <v>0</v>
      </c>
      <c r="BM67" s="38"/>
      <c r="BN67" s="38"/>
      <c r="BO67" s="40">
        <v>0</v>
      </c>
      <c r="BP67" s="43">
        <v>44778</v>
      </c>
      <c r="BQ67" s="5" t="s">
        <v>284</v>
      </c>
      <c r="BR67" s="5"/>
      <c r="BS67" s="38"/>
      <c r="BT67" s="38"/>
      <c r="BU67" s="38"/>
      <c r="BV67" s="38"/>
      <c r="BW67" s="40"/>
      <c r="BX67" s="43"/>
      <c r="BY67" s="5"/>
      <c r="BZ67" s="5"/>
      <c r="CA67" s="38"/>
      <c r="CB67" s="38"/>
      <c r="CC67" s="38"/>
      <c r="CD67" s="38"/>
      <c r="CE67" s="40"/>
      <c r="CF67" s="43"/>
      <c r="CG67" s="5"/>
      <c r="CH67" s="5"/>
      <c r="CI67" s="38"/>
      <c r="CJ67" s="38"/>
      <c r="CK67" s="38"/>
      <c r="CL67" s="38"/>
      <c r="CM67" s="40"/>
      <c r="CN67" s="43"/>
      <c r="CO67" s="5"/>
      <c r="CP67" s="5"/>
      <c r="CQ67" s="38"/>
      <c r="CR67" s="38"/>
      <c r="CS67" s="38"/>
      <c r="CT67" s="38"/>
      <c r="CU67" s="40"/>
      <c r="CV67" s="43"/>
      <c r="CW67" s="5"/>
      <c r="CX67" s="5"/>
    </row>
    <row r="68" spans="1:102" x14ac:dyDescent="0.35">
      <c r="A68" s="2">
        <v>204616</v>
      </c>
      <c r="B68" s="2">
        <v>204616</v>
      </c>
      <c r="C68" s="3" t="s">
        <v>510</v>
      </c>
      <c r="D68" s="60">
        <v>900250796</v>
      </c>
      <c r="E68" s="34" t="s">
        <v>508</v>
      </c>
      <c r="F68" s="47" t="s">
        <v>509</v>
      </c>
      <c r="G68" s="65">
        <v>6620</v>
      </c>
      <c r="H68" s="38">
        <v>1608558</v>
      </c>
      <c r="I68" s="37">
        <f>781921+750039</f>
        <v>1531960</v>
      </c>
      <c r="J68" s="38">
        <f>810042+844474</f>
        <v>1654516</v>
      </c>
      <c r="K68" s="38">
        <f t="shared" si="29"/>
        <v>-122556</v>
      </c>
      <c r="L68" s="5"/>
      <c r="M68" s="40">
        <f>K68/I68</f>
        <v>-7.9999477793153861E-2</v>
      </c>
      <c r="N68" s="5" t="s">
        <v>284</v>
      </c>
      <c r="O68" s="43">
        <v>44574</v>
      </c>
      <c r="P68" s="42"/>
      <c r="Q68" s="38">
        <f>844474+810042</f>
        <v>1654516</v>
      </c>
      <c r="R68" s="39">
        <f t="shared" si="24"/>
        <v>0</v>
      </c>
      <c r="S68" s="5"/>
      <c r="T68" s="40">
        <v>0</v>
      </c>
      <c r="U68" s="43">
        <v>44600</v>
      </c>
      <c r="V68" s="5" t="s">
        <v>284</v>
      </c>
      <c r="W68" s="42"/>
      <c r="X68" s="38">
        <f>821017+787541</f>
        <v>1608558</v>
      </c>
      <c r="Y68" s="38">
        <f t="shared" si="31"/>
        <v>45958</v>
      </c>
      <c r="Z68" s="5"/>
      <c r="AA68" s="40">
        <f>Y68/Q68</f>
        <v>2.777730768393899E-2</v>
      </c>
      <c r="AB68" s="51">
        <v>44635</v>
      </c>
      <c r="AC68" s="5" t="s">
        <v>284</v>
      </c>
      <c r="AD68" s="42"/>
      <c r="AE68" s="38">
        <f>787541+821017</f>
        <v>1608558</v>
      </c>
      <c r="AF68" s="38">
        <f t="shared" si="32"/>
        <v>0</v>
      </c>
      <c r="AG68" s="38"/>
      <c r="AH68" s="38"/>
      <c r="AI68" s="40">
        <v>0</v>
      </c>
      <c r="AJ68" s="44">
        <v>44658</v>
      </c>
      <c r="AK68" s="38" t="s">
        <v>284</v>
      </c>
      <c r="AL68" s="5"/>
      <c r="AM68" s="38">
        <f>787541+821017</f>
        <v>1608558</v>
      </c>
      <c r="AN68" s="38">
        <f t="shared" si="27"/>
        <v>0</v>
      </c>
      <c r="AO68" s="38"/>
      <c r="AP68" s="38"/>
      <c r="AQ68" s="40">
        <v>0</v>
      </c>
      <c r="AR68" s="43">
        <v>44687</v>
      </c>
      <c r="AS68" s="5" t="s">
        <v>284</v>
      </c>
      <c r="AT68" s="5"/>
      <c r="AU68" s="38">
        <f>787541+821017</f>
        <v>1608558</v>
      </c>
      <c r="AV68" s="38">
        <f t="shared" si="30"/>
        <v>0</v>
      </c>
      <c r="AW68" s="38"/>
      <c r="AX68" s="38"/>
      <c r="AY68" s="40">
        <v>0</v>
      </c>
      <c r="AZ68" s="44">
        <v>44719</v>
      </c>
      <c r="BA68" s="38" t="s">
        <v>284</v>
      </c>
      <c r="BB68" s="44">
        <v>44728</v>
      </c>
      <c r="BC68" s="38">
        <f>821017+787541</f>
        <v>1608558</v>
      </c>
      <c r="BD68" s="38">
        <f t="shared" si="33"/>
        <v>0</v>
      </c>
      <c r="BE68" s="38"/>
      <c r="BF68" s="38"/>
      <c r="BG68" s="40">
        <v>0</v>
      </c>
      <c r="BH68" s="43">
        <v>44750</v>
      </c>
      <c r="BI68" s="5" t="s">
        <v>284</v>
      </c>
      <c r="BJ68" s="43">
        <v>44768</v>
      </c>
      <c r="BK68" s="38">
        <f>787541+821017</f>
        <v>1608558</v>
      </c>
      <c r="BL68" s="38">
        <f t="shared" si="34"/>
        <v>0</v>
      </c>
      <c r="BM68" s="38"/>
      <c r="BN68" s="38"/>
      <c r="BO68" s="40">
        <v>0</v>
      </c>
      <c r="BP68" s="43">
        <v>44781</v>
      </c>
      <c r="BQ68" s="5" t="s">
        <v>284</v>
      </c>
      <c r="BR68" s="5"/>
      <c r="BS68" s="38"/>
      <c r="BT68" s="38"/>
      <c r="BU68" s="38"/>
      <c r="BV68" s="38"/>
      <c r="BW68" s="40"/>
      <c r="BX68" s="43"/>
      <c r="BY68" s="5"/>
      <c r="BZ68" s="5"/>
      <c r="CA68" s="38"/>
      <c r="CB68" s="38"/>
      <c r="CC68" s="38"/>
      <c r="CD68" s="38"/>
      <c r="CE68" s="40"/>
      <c r="CF68" s="43"/>
      <c r="CG68" s="5"/>
      <c r="CH68" s="5"/>
      <c r="CI68" s="38"/>
      <c r="CJ68" s="38"/>
      <c r="CK68" s="38"/>
      <c r="CL68" s="38"/>
      <c r="CM68" s="40"/>
      <c r="CN68" s="43"/>
      <c r="CO68" s="5"/>
      <c r="CP68" s="5"/>
      <c r="CQ68" s="38"/>
      <c r="CR68" s="38"/>
      <c r="CS68" s="38"/>
      <c r="CT68" s="38"/>
      <c r="CU68" s="40"/>
      <c r="CV68" s="43"/>
      <c r="CW68" s="5"/>
      <c r="CX68" s="5"/>
    </row>
    <row r="69" spans="1:102" x14ac:dyDescent="0.35">
      <c r="A69" s="66">
        <v>206218</v>
      </c>
      <c r="B69" s="66">
        <v>206218</v>
      </c>
      <c r="C69" s="3" t="s">
        <v>9</v>
      </c>
      <c r="D69" s="48" t="s">
        <v>513</v>
      </c>
      <c r="E69" s="34" t="s">
        <v>511</v>
      </c>
      <c r="F69" s="47" t="s">
        <v>512</v>
      </c>
      <c r="G69" s="55">
        <v>6621</v>
      </c>
      <c r="H69" s="37">
        <v>787644</v>
      </c>
      <c r="I69" s="37">
        <v>718700</v>
      </c>
      <c r="J69" s="38">
        <v>359350</v>
      </c>
      <c r="K69" s="39">
        <v>0</v>
      </c>
      <c r="L69" s="5"/>
      <c r="M69" s="40">
        <v>0</v>
      </c>
      <c r="N69" s="9" t="s">
        <v>284</v>
      </c>
      <c r="O69" s="41">
        <v>44566</v>
      </c>
      <c r="P69" s="42"/>
      <c r="Q69" s="39">
        <v>787644</v>
      </c>
      <c r="R69" s="39">
        <f>I69-Q69</f>
        <v>-68944</v>
      </c>
      <c r="S69" s="5"/>
      <c r="T69" s="40">
        <f>R69/I69</f>
        <v>-9.592876026158341E-2</v>
      </c>
      <c r="U69" s="43">
        <v>44595</v>
      </c>
      <c r="V69" s="5" t="s">
        <v>284</v>
      </c>
      <c r="W69" s="42"/>
      <c r="X69" s="38">
        <v>787644</v>
      </c>
      <c r="Y69" s="38">
        <f t="shared" si="31"/>
        <v>0</v>
      </c>
      <c r="Z69" s="5"/>
      <c r="AA69" s="40">
        <v>0</v>
      </c>
      <c r="AB69" s="51">
        <v>44594</v>
      </c>
      <c r="AC69" s="5" t="s">
        <v>284</v>
      </c>
      <c r="AD69" s="42"/>
      <c r="AE69" s="38">
        <v>787644</v>
      </c>
      <c r="AF69" s="38">
        <f t="shared" si="32"/>
        <v>0</v>
      </c>
      <c r="AG69" s="38"/>
      <c r="AH69" s="38"/>
      <c r="AI69" s="40">
        <v>0</v>
      </c>
      <c r="AJ69" s="44">
        <v>44656</v>
      </c>
      <c r="AK69" s="38" t="s">
        <v>284</v>
      </c>
      <c r="AL69" s="5"/>
      <c r="AM69" s="38">
        <v>787644</v>
      </c>
      <c r="AN69" s="38">
        <f t="shared" si="27"/>
        <v>0</v>
      </c>
      <c r="AO69" s="38"/>
      <c r="AP69" s="38"/>
      <c r="AQ69" s="40">
        <v>0</v>
      </c>
      <c r="AR69" s="43">
        <v>44684</v>
      </c>
      <c r="AS69" s="5" t="s">
        <v>284</v>
      </c>
      <c r="AT69" s="5"/>
      <c r="AU69" s="38">
        <v>787644</v>
      </c>
      <c r="AV69" s="38">
        <f t="shared" si="30"/>
        <v>0</v>
      </c>
      <c r="AW69" s="38"/>
      <c r="AX69" s="38"/>
      <c r="AY69" s="40">
        <v>0</v>
      </c>
      <c r="AZ69" s="44">
        <v>44713</v>
      </c>
      <c r="BA69" s="38" t="s">
        <v>284</v>
      </c>
      <c r="BB69" s="44">
        <v>44728</v>
      </c>
      <c r="BC69" s="38">
        <v>787644</v>
      </c>
      <c r="BD69" s="38">
        <f t="shared" si="33"/>
        <v>0</v>
      </c>
      <c r="BE69" s="38"/>
      <c r="BF69" s="38"/>
      <c r="BG69" s="40">
        <v>0</v>
      </c>
      <c r="BH69" s="43">
        <v>44747</v>
      </c>
      <c r="BI69" s="5" t="s">
        <v>284</v>
      </c>
      <c r="BJ69" s="43">
        <v>44757</v>
      </c>
      <c r="BK69" s="38">
        <v>787644</v>
      </c>
      <c r="BL69" s="38">
        <f t="shared" si="34"/>
        <v>0</v>
      </c>
      <c r="BM69" s="38"/>
      <c r="BN69" s="38"/>
      <c r="BO69" s="40">
        <v>0</v>
      </c>
      <c r="BP69" s="43">
        <v>44775</v>
      </c>
      <c r="BQ69" s="5" t="s">
        <v>284</v>
      </c>
      <c r="BR69" s="5"/>
      <c r="BS69" s="38"/>
      <c r="BT69" s="38"/>
      <c r="BU69" s="38"/>
      <c r="BV69" s="38"/>
      <c r="BW69" s="40"/>
      <c r="BX69" s="43"/>
      <c r="BY69" s="5"/>
      <c r="BZ69" s="5"/>
      <c r="CA69" s="38"/>
      <c r="CB69" s="38"/>
      <c r="CC69" s="38"/>
      <c r="CD69" s="38"/>
      <c r="CE69" s="40"/>
      <c r="CF69" s="43"/>
      <c r="CG69" s="5"/>
      <c r="CH69" s="5"/>
      <c r="CI69" s="38"/>
      <c r="CJ69" s="38"/>
      <c r="CK69" s="38"/>
      <c r="CL69" s="38"/>
      <c r="CM69" s="40"/>
      <c r="CN69" s="43"/>
      <c r="CO69" s="5"/>
      <c r="CP69" s="5"/>
      <c r="CQ69" s="38"/>
      <c r="CR69" s="38"/>
      <c r="CS69" s="38"/>
      <c r="CT69" s="38"/>
      <c r="CU69" s="40"/>
      <c r="CV69" s="43"/>
      <c r="CW69" s="5"/>
      <c r="CX69" s="5"/>
    </row>
    <row r="70" spans="1:102" x14ac:dyDescent="0.35">
      <c r="A70" s="2">
        <v>204556</v>
      </c>
      <c r="B70" s="2">
        <v>204556</v>
      </c>
      <c r="C70" s="3" t="s">
        <v>516</v>
      </c>
      <c r="D70" s="48" t="s">
        <v>517</v>
      </c>
      <c r="E70" s="34" t="s">
        <v>514</v>
      </c>
      <c r="F70" s="47" t="s">
        <v>515</v>
      </c>
      <c r="G70" s="65">
        <v>6623</v>
      </c>
      <c r="H70" s="38">
        <v>1135564</v>
      </c>
      <c r="I70" s="37">
        <v>1135564</v>
      </c>
      <c r="J70" s="38">
        <v>1135564</v>
      </c>
      <c r="K70" s="39">
        <f>J70-H70</f>
        <v>0</v>
      </c>
      <c r="L70" s="5"/>
      <c r="M70" s="40">
        <v>0</v>
      </c>
      <c r="N70" s="9" t="s">
        <v>284</v>
      </c>
      <c r="O70" s="41">
        <v>44567</v>
      </c>
      <c r="P70" s="42"/>
      <c r="Q70" s="38">
        <v>1135564</v>
      </c>
      <c r="R70" s="39">
        <f>J70-Q70</f>
        <v>0</v>
      </c>
      <c r="S70" s="38"/>
      <c r="T70" s="40">
        <v>0</v>
      </c>
      <c r="U70" s="43">
        <v>44595</v>
      </c>
      <c r="V70" s="5" t="s">
        <v>284</v>
      </c>
      <c r="W70" s="42"/>
      <c r="X70" s="38">
        <v>1135564</v>
      </c>
      <c r="Y70" s="38">
        <f t="shared" si="31"/>
        <v>0</v>
      </c>
      <c r="Z70" s="5"/>
      <c r="AA70" s="40">
        <v>0</v>
      </c>
      <c r="AB70" s="43">
        <v>44624</v>
      </c>
      <c r="AC70" s="5" t="s">
        <v>284</v>
      </c>
      <c r="AD70" s="42"/>
      <c r="AE70" s="38">
        <v>1135564</v>
      </c>
      <c r="AF70" s="38">
        <f t="shared" si="32"/>
        <v>0</v>
      </c>
      <c r="AG70" s="38"/>
      <c r="AH70" s="38"/>
      <c r="AI70" s="40">
        <v>0</v>
      </c>
      <c r="AJ70" s="44">
        <v>44657</v>
      </c>
      <c r="AK70" s="38" t="s">
        <v>284</v>
      </c>
      <c r="AL70" s="5"/>
      <c r="AM70" s="38">
        <v>1135564</v>
      </c>
      <c r="AN70" s="38">
        <f t="shared" si="27"/>
        <v>0</v>
      </c>
      <c r="AO70" s="38"/>
      <c r="AP70" s="38"/>
      <c r="AQ70" s="40">
        <v>0</v>
      </c>
      <c r="AR70" s="43">
        <v>44686</v>
      </c>
      <c r="AS70" s="5" t="s">
        <v>284</v>
      </c>
      <c r="AT70" s="5"/>
      <c r="AU70" s="38">
        <v>1135564</v>
      </c>
      <c r="AV70" s="38">
        <f t="shared" si="30"/>
        <v>0</v>
      </c>
      <c r="AW70" s="38"/>
      <c r="AX70" s="38"/>
      <c r="AY70" s="40">
        <v>0</v>
      </c>
      <c r="AZ70" s="44">
        <v>44715</v>
      </c>
      <c r="BA70" s="38" t="s">
        <v>284</v>
      </c>
      <c r="BB70" s="44">
        <v>44728</v>
      </c>
      <c r="BC70" s="38">
        <v>1135564</v>
      </c>
      <c r="BD70" s="38">
        <f t="shared" si="33"/>
        <v>0</v>
      </c>
      <c r="BE70" s="38"/>
      <c r="BF70" s="38"/>
      <c r="BG70" s="40">
        <v>0</v>
      </c>
      <c r="BH70" s="43">
        <v>44748</v>
      </c>
      <c r="BI70" s="5" t="s">
        <v>284</v>
      </c>
      <c r="BJ70" s="43">
        <v>44757</v>
      </c>
      <c r="BK70" s="38">
        <v>1135564</v>
      </c>
      <c r="BL70" s="38">
        <f t="shared" si="34"/>
        <v>0</v>
      </c>
      <c r="BM70" s="38"/>
      <c r="BN70" s="38"/>
      <c r="BO70" s="40">
        <v>0</v>
      </c>
      <c r="BP70" s="43">
        <v>44777</v>
      </c>
      <c r="BQ70" s="5" t="s">
        <v>284</v>
      </c>
      <c r="BR70" s="5"/>
      <c r="BS70" s="57"/>
      <c r="BT70" s="57"/>
      <c r="BU70" s="57"/>
      <c r="BV70" s="57"/>
      <c r="BW70" s="57"/>
      <c r="BX70" s="58"/>
      <c r="BY70" s="57"/>
      <c r="BZ70" s="57"/>
      <c r="CA70" s="57"/>
      <c r="CB70" s="57"/>
      <c r="CC70" s="57"/>
      <c r="CD70" s="57"/>
      <c r="CE70" s="57"/>
      <c r="CF70" s="58"/>
      <c r="CG70" s="57"/>
      <c r="CH70" s="57"/>
      <c r="CI70" s="57"/>
      <c r="CJ70" s="57"/>
      <c r="CK70" s="57"/>
      <c r="CL70" s="57"/>
      <c r="CM70" s="67"/>
      <c r="CN70" s="58"/>
      <c r="CO70" s="57"/>
      <c r="CP70" s="57"/>
      <c r="CQ70" s="57"/>
      <c r="CR70" s="57"/>
      <c r="CS70" s="57"/>
      <c r="CT70" s="57"/>
      <c r="CU70" s="67"/>
      <c r="CV70" s="58"/>
      <c r="CW70" s="57"/>
      <c r="CX70" s="57"/>
    </row>
    <row r="71" spans="1:102" x14ac:dyDescent="0.35">
      <c r="A71" s="2">
        <v>204613</v>
      </c>
      <c r="B71" s="2">
        <v>204613</v>
      </c>
      <c r="C71" s="3" t="s">
        <v>94</v>
      </c>
      <c r="D71" s="48" t="s">
        <v>520</v>
      </c>
      <c r="E71" s="34" t="s">
        <v>518</v>
      </c>
      <c r="F71" s="47" t="s">
        <v>519</v>
      </c>
      <c r="G71" s="55">
        <v>6626</v>
      </c>
      <c r="H71" s="38">
        <v>1809306</v>
      </c>
      <c r="I71" s="37">
        <v>1809306</v>
      </c>
      <c r="J71" s="38">
        <v>1991504</v>
      </c>
      <c r="K71" s="39">
        <f>I71-J71</f>
        <v>-182198</v>
      </c>
      <c r="L71" s="5"/>
      <c r="M71" s="40">
        <f>K71/I71</f>
        <v>-0.10070048957998261</v>
      </c>
      <c r="N71" s="9" t="s">
        <v>284</v>
      </c>
      <c r="O71" s="41">
        <v>44572</v>
      </c>
      <c r="P71" s="42"/>
      <c r="Q71" s="38">
        <v>1991504</v>
      </c>
      <c r="R71" s="39">
        <f>J71-Q71</f>
        <v>0</v>
      </c>
      <c r="S71" s="5"/>
      <c r="T71" s="40">
        <v>0</v>
      </c>
      <c r="U71" s="43">
        <v>44596</v>
      </c>
      <c r="V71" s="5" t="s">
        <v>284</v>
      </c>
      <c r="W71" s="42"/>
      <c r="X71" s="38">
        <v>1991504</v>
      </c>
      <c r="Y71" s="38">
        <f t="shared" si="31"/>
        <v>0</v>
      </c>
      <c r="Z71" s="5"/>
      <c r="AA71" s="40">
        <v>0</v>
      </c>
      <c r="AB71" s="43">
        <v>44624</v>
      </c>
      <c r="AC71" s="5" t="s">
        <v>284</v>
      </c>
      <c r="AD71" s="42"/>
      <c r="AE71" s="38">
        <v>1809306</v>
      </c>
      <c r="AF71" s="38">
        <f t="shared" si="32"/>
        <v>182198</v>
      </c>
      <c r="AG71" s="38"/>
      <c r="AH71" s="38"/>
      <c r="AI71" s="40">
        <f>AF71/X71</f>
        <v>9.1487639492564415E-2</v>
      </c>
      <c r="AJ71" s="44">
        <v>44657</v>
      </c>
      <c r="AK71" s="38" t="s">
        <v>284</v>
      </c>
      <c r="AL71" s="5"/>
      <c r="AM71" s="38">
        <v>1809306</v>
      </c>
      <c r="AN71" s="38">
        <f t="shared" si="27"/>
        <v>0</v>
      </c>
      <c r="AO71" s="38"/>
      <c r="AP71" s="38"/>
      <c r="AQ71" s="40">
        <v>0</v>
      </c>
      <c r="AR71" s="43">
        <v>44687</v>
      </c>
      <c r="AS71" s="5" t="s">
        <v>284</v>
      </c>
      <c r="AT71" s="5"/>
      <c r="AU71" s="38">
        <v>1809306</v>
      </c>
      <c r="AV71" s="38">
        <f t="shared" si="30"/>
        <v>0</v>
      </c>
      <c r="AW71" s="38"/>
      <c r="AX71" s="38"/>
      <c r="AY71" s="40">
        <v>0</v>
      </c>
      <c r="AZ71" s="44">
        <v>44715</v>
      </c>
      <c r="BA71" s="38" t="s">
        <v>284</v>
      </c>
      <c r="BB71" s="44">
        <v>44728</v>
      </c>
      <c r="BC71" s="38">
        <v>1809306</v>
      </c>
      <c r="BD71" s="38">
        <f t="shared" si="33"/>
        <v>0</v>
      </c>
      <c r="BE71" s="38"/>
      <c r="BF71" s="38"/>
      <c r="BG71" s="40">
        <v>0</v>
      </c>
      <c r="BH71" s="43">
        <v>44747</v>
      </c>
      <c r="BI71" s="5" t="s">
        <v>284</v>
      </c>
      <c r="BJ71" s="43">
        <v>44757</v>
      </c>
      <c r="BK71" s="38">
        <v>1809306</v>
      </c>
      <c r="BL71" s="38">
        <f t="shared" si="34"/>
        <v>0</v>
      </c>
      <c r="BM71" s="38"/>
      <c r="BN71" s="38"/>
      <c r="BO71" s="40">
        <v>0</v>
      </c>
      <c r="BP71" s="43">
        <v>44778</v>
      </c>
      <c r="BQ71" s="5" t="s">
        <v>284</v>
      </c>
      <c r="BR71" s="5"/>
      <c r="BS71" s="38"/>
      <c r="BT71" s="38"/>
      <c r="BU71" s="38"/>
      <c r="BV71" s="38"/>
      <c r="BW71" s="40"/>
      <c r="BX71" s="43"/>
      <c r="BY71" s="5"/>
      <c r="BZ71" s="5"/>
      <c r="CA71" s="38"/>
      <c r="CB71" s="38"/>
      <c r="CC71" s="38"/>
      <c r="CD71" s="38"/>
      <c r="CE71" s="40"/>
      <c r="CF71" s="43"/>
      <c r="CG71" s="5"/>
      <c r="CH71" s="5"/>
      <c r="CI71" s="38"/>
      <c r="CJ71" s="38"/>
      <c r="CK71" s="38"/>
      <c r="CL71" s="38"/>
      <c r="CM71" s="40"/>
      <c r="CN71" s="43"/>
      <c r="CO71" s="5"/>
      <c r="CP71" s="5"/>
      <c r="CQ71" s="38"/>
      <c r="CR71" s="38"/>
      <c r="CS71" s="38"/>
      <c r="CT71" s="38"/>
      <c r="CU71" s="40"/>
      <c r="CV71" s="43"/>
      <c r="CW71" s="5"/>
      <c r="CX71" s="5"/>
    </row>
    <row r="72" spans="1:102" x14ac:dyDescent="0.35">
      <c r="A72" s="2">
        <v>204556</v>
      </c>
      <c r="B72" s="2">
        <v>204556</v>
      </c>
      <c r="C72" s="3" t="s">
        <v>516</v>
      </c>
      <c r="D72" s="48" t="s">
        <v>517</v>
      </c>
      <c r="E72" s="34" t="s">
        <v>521</v>
      </c>
      <c r="F72" s="47" t="s">
        <v>522</v>
      </c>
      <c r="G72" s="55" t="s">
        <v>1038</v>
      </c>
      <c r="H72" s="37">
        <v>1358529</v>
      </c>
      <c r="I72" s="37">
        <v>1358529</v>
      </c>
      <c r="J72" s="38">
        <v>1358529</v>
      </c>
      <c r="K72" s="39">
        <f>H72-J72</f>
        <v>0</v>
      </c>
      <c r="L72" s="5"/>
      <c r="M72" s="40">
        <v>0</v>
      </c>
      <c r="N72" s="9" t="s">
        <v>284</v>
      </c>
      <c r="O72" s="41">
        <v>44567</v>
      </c>
      <c r="P72" s="42"/>
      <c r="Q72" s="38">
        <v>1358529</v>
      </c>
      <c r="R72" s="39">
        <f>J72-Q72</f>
        <v>0</v>
      </c>
      <c r="S72" s="38"/>
      <c r="T72" s="40">
        <v>0</v>
      </c>
      <c r="U72" s="43">
        <v>44595</v>
      </c>
      <c r="V72" s="5" t="s">
        <v>284</v>
      </c>
      <c r="W72" s="42"/>
      <c r="X72" s="38">
        <v>1358529</v>
      </c>
      <c r="Y72" s="38">
        <f t="shared" si="31"/>
        <v>0</v>
      </c>
      <c r="Z72" s="5"/>
      <c r="AA72" s="40">
        <v>0</v>
      </c>
      <c r="AB72" s="43">
        <v>44624</v>
      </c>
      <c r="AC72" s="5" t="s">
        <v>284</v>
      </c>
      <c r="AD72" s="42"/>
      <c r="AE72" s="38">
        <v>1358529</v>
      </c>
      <c r="AF72" s="38">
        <f t="shared" si="32"/>
        <v>0</v>
      </c>
      <c r="AG72" s="38"/>
      <c r="AH72" s="38"/>
      <c r="AI72" s="40">
        <v>0</v>
      </c>
      <c r="AJ72" s="44">
        <v>44657</v>
      </c>
      <c r="AK72" s="38" t="s">
        <v>284</v>
      </c>
      <c r="AL72" s="5"/>
      <c r="AM72" s="38">
        <v>1358529</v>
      </c>
      <c r="AN72" s="38">
        <f t="shared" si="27"/>
        <v>0</v>
      </c>
      <c r="AO72" s="38"/>
      <c r="AP72" s="38"/>
      <c r="AQ72" s="40">
        <v>0</v>
      </c>
      <c r="AR72" s="43">
        <v>44686</v>
      </c>
      <c r="AS72" s="5" t="s">
        <v>284</v>
      </c>
      <c r="AT72" s="5"/>
      <c r="AU72" s="38">
        <v>1358529</v>
      </c>
      <c r="AV72" s="38">
        <f t="shared" si="30"/>
        <v>0</v>
      </c>
      <c r="AW72" s="38"/>
      <c r="AX72" s="38"/>
      <c r="AY72" s="40">
        <v>0</v>
      </c>
      <c r="AZ72" s="44">
        <v>44715</v>
      </c>
      <c r="BA72" s="38" t="s">
        <v>284</v>
      </c>
      <c r="BB72" s="44">
        <v>44728</v>
      </c>
      <c r="BC72" s="38">
        <v>1358529</v>
      </c>
      <c r="BD72" s="38">
        <f t="shared" si="33"/>
        <v>0</v>
      </c>
      <c r="BE72" s="38"/>
      <c r="BF72" s="38"/>
      <c r="BG72" s="40">
        <v>0</v>
      </c>
      <c r="BH72" s="43">
        <v>44748</v>
      </c>
      <c r="BI72" s="5" t="s">
        <v>284</v>
      </c>
      <c r="BJ72" s="43">
        <v>44757</v>
      </c>
      <c r="BK72" s="38">
        <v>1358529</v>
      </c>
      <c r="BL72" s="38">
        <f t="shared" si="34"/>
        <v>0</v>
      </c>
      <c r="BM72" s="38"/>
      <c r="BN72" s="38"/>
      <c r="BO72" s="40">
        <v>0</v>
      </c>
      <c r="BP72" s="43">
        <v>44777</v>
      </c>
      <c r="BQ72" s="5" t="s">
        <v>284</v>
      </c>
      <c r="BR72" s="5"/>
      <c r="BS72" s="57"/>
      <c r="BT72" s="57"/>
      <c r="BU72" s="57"/>
      <c r="BV72" s="57"/>
      <c r="BW72" s="57"/>
      <c r="BX72" s="58"/>
      <c r="BY72" s="57"/>
      <c r="BZ72" s="57"/>
      <c r="CA72" s="57"/>
      <c r="CB72" s="57"/>
      <c r="CC72" s="57"/>
      <c r="CD72" s="57"/>
      <c r="CE72" s="57"/>
      <c r="CF72" s="58"/>
      <c r="CG72" s="57"/>
      <c r="CH72" s="57"/>
      <c r="CI72" s="57"/>
      <c r="CJ72" s="57"/>
      <c r="CK72" s="57"/>
      <c r="CL72" s="57"/>
      <c r="CM72" s="67"/>
      <c r="CN72" s="58"/>
      <c r="CO72" s="57"/>
      <c r="CP72" s="57"/>
      <c r="CQ72" s="57"/>
      <c r="CR72" s="57"/>
      <c r="CS72" s="57"/>
      <c r="CT72" s="57"/>
      <c r="CU72" s="67"/>
      <c r="CV72" s="58"/>
      <c r="CW72" s="57"/>
      <c r="CX72" s="57"/>
    </row>
    <row r="73" spans="1:102" x14ac:dyDescent="0.35">
      <c r="A73" s="2">
        <v>206755</v>
      </c>
      <c r="B73" s="2">
        <v>206755</v>
      </c>
      <c r="C73" s="3" t="s">
        <v>65</v>
      </c>
      <c r="D73" s="48" t="s">
        <v>525</v>
      </c>
      <c r="E73" s="34" t="s">
        <v>523</v>
      </c>
      <c r="F73" s="47" t="s">
        <v>524</v>
      </c>
      <c r="G73" s="55">
        <v>6629</v>
      </c>
      <c r="H73" s="37">
        <v>428895</v>
      </c>
      <c r="I73" s="37">
        <v>428895</v>
      </c>
      <c r="J73" s="38">
        <v>428895</v>
      </c>
      <c r="K73" s="39">
        <f>I73-J73</f>
        <v>0</v>
      </c>
      <c r="L73" s="5"/>
      <c r="M73" s="40">
        <v>0</v>
      </c>
      <c r="N73" s="9" t="s">
        <v>284</v>
      </c>
      <c r="O73" s="41">
        <v>44567</v>
      </c>
      <c r="P73" s="42"/>
      <c r="Q73" s="38">
        <v>428895</v>
      </c>
      <c r="R73" s="39">
        <f>J73-Q73</f>
        <v>0</v>
      </c>
      <c r="S73" s="5"/>
      <c r="T73" s="40">
        <v>0</v>
      </c>
      <c r="U73" s="43">
        <v>44600</v>
      </c>
      <c r="V73" s="5" t="s">
        <v>284</v>
      </c>
      <c r="W73" s="42"/>
      <c r="X73" s="38">
        <v>428895</v>
      </c>
      <c r="Y73" s="38">
        <f t="shared" si="31"/>
        <v>0</v>
      </c>
      <c r="Z73" s="5"/>
      <c r="AA73" s="40">
        <v>0</v>
      </c>
      <c r="AB73" s="51">
        <v>44624</v>
      </c>
      <c r="AC73" s="5" t="s">
        <v>284</v>
      </c>
      <c r="AD73" s="42"/>
      <c r="AE73" s="38">
        <v>428895</v>
      </c>
      <c r="AF73" s="38">
        <f t="shared" si="32"/>
        <v>0</v>
      </c>
      <c r="AG73" s="38"/>
      <c r="AH73" s="38"/>
      <c r="AI73" s="40">
        <v>0</v>
      </c>
      <c r="AJ73" s="44">
        <v>44657</v>
      </c>
      <c r="AK73" s="38" t="s">
        <v>284</v>
      </c>
      <c r="AL73" s="5"/>
      <c r="AM73" s="38">
        <v>428895</v>
      </c>
      <c r="AN73" s="38">
        <f t="shared" si="27"/>
        <v>0</v>
      </c>
      <c r="AO73" s="38"/>
      <c r="AP73" s="38"/>
      <c r="AQ73" s="40">
        <v>0</v>
      </c>
      <c r="AR73" s="43">
        <v>44687</v>
      </c>
      <c r="AS73" s="5" t="s">
        <v>284</v>
      </c>
      <c r="AT73" s="5"/>
      <c r="AU73" s="38">
        <v>428895</v>
      </c>
      <c r="AV73" s="38">
        <f t="shared" si="30"/>
        <v>0</v>
      </c>
      <c r="AW73" s="38"/>
      <c r="AX73" s="38"/>
      <c r="AY73" s="40">
        <v>0</v>
      </c>
      <c r="AZ73" s="44">
        <v>44715</v>
      </c>
      <c r="BA73" s="38" t="s">
        <v>284</v>
      </c>
      <c r="BB73" s="44">
        <v>44728</v>
      </c>
      <c r="BC73" s="38">
        <v>428895</v>
      </c>
      <c r="BD73" s="38">
        <f t="shared" si="33"/>
        <v>0</v>
      </c>
      <c r="BE73" s="38"/>
      <c r="BF73" s="38"/>
      <c r="BG73" s="40">
        <v>0</v>
      </c>
      <c r="BH73" s="43">
        <v>44747</v>
      </c>
      <c r="BI73" s="5" t="s">
        <v>284</v>
      </c>
      <c r="BJ73" s="43">
        <v>44757</v>
      </c>
      <c r="BK73" s="38">
        <v>428895</v>
      </c>
      <c r="BL73" s="38">
        <f t="shared" si="34"/>
        <v>0</v>
      </c>
      <c r="BM73" s="38"/>
      <c r="BN73" s="38"/>
      <c r="BO73" s="40">
        <v>0</v>
      </c>
      <c r="BP73" s="43">
        <v>44776</v>
      </c>
      <c r="BQ73" s="5" t="s">
        <v>284</v>
      </c>
      <c r="BR73" s="5"/>
      <c r="BS73" s="38"/>
      <c r="BT73" s="38"/>
      <c r="BU73" s="38"/>
      <c r="BV73" s="38"/>
      <c r="BW73" s="40"/>
      <c r="BX73" s="43"/>
      <c r="BY73" s="5"/>
      <c r="BZ73" s="5"/>
      <c r="CA73" s="38"/>
      <c r="CB73" s="38"/>
      <c r="CC73" s="38"/>
      <c r="CD73" s="38"/>
      <c r="CE73" s="40"/>
      <c r="CF73" s="43"/>
      <c r="CG73" s="5"/>
      <c r="CH73" s="5"/>
      <c r="CI73" s="38"/>
      <c r="CJ73" s="38"/>
      <c r="CK73" s="38"/>
      <c r="CL73" s="38"/>
      <c r="CM73" s="40"/>
      <c r="CN73" s="43"/>
      <c r="CO73" s="5"/>
      <c r="CP73" s="5"/>
      <c r="CQ73" s="38"/>
      <c r="CR73" s="38"/>
      <c r="CS73" s="38"/>
      <c r="CT73" s="38"/>
      <c r="CU73" s="40"/>
      <c r="CV73" s="43"/>
      <c r="CW73" s="5"/>
      <c r="CX73" s="5"/>
    </row>
    <row r="74" spans="1:102" x14ac:dyDescent="0.35">
      <c r="A74" s="2">
        <v>204652</v>
      </c>
      <c r="B74" s="2">
        <v>204652</v>
      </c>
      <c r="C74" s="3" t="s">
        <v>528</v>
      </c>
      <c r="D74" s="48" t="s">
        <v>461</v>
      </c>
      <c r="E74" s="34" t="s">
        <v>526</v>
      </c>
      <c r="F74" s="47" t="s">
        <v>527</v>
      </c>
      <c r="G74" s="55">
        <v>6632</v>
      </c>
      <c r="H74" s="37">
        <v>1139007</v>
      </c>
      <c r="I74" s="37">
        <v>1139007</v>
      </c>
      <c r="J74" s="38">
        <v>1139007</v>
      </c>
      <c r="K74" s="39">
        <f t="shared" ref="K74:K79" si="35">H74-J74</f>
        <v>0</v>
      </c>
      <c r="L74" s="5"/>
      <c r="M74" s="40">
        <v>0</v>
      </c>
      <c r="N74" s="9" t="s">
        <v>284</v>
      </c>
      <c r="O74" s="41">
        <v>44565</v>
      </c>
      <c r="P74" s="42"/>
      <c r="Q74" s="38">
        <f>1139007+3701</f>
        <v>1142708</v>
      </c>
      <c r="R74" s="39">
        <f t="shared" ref="R74:R79" si="36">J74-Q74</f>
        <v>-3701</v>
      </c>
      <c r="S74" s="5"/>
      <c r="T74" s="40">
        <v>0</v>
      </c>
      <c r="U74" s="51">
        <v>44608</v>
      </c>
      <c r="V74" s="5" t="s">
        <v>284</v>
      </c>
      <c r="W74" s="42"/>
      <c r="X74" s="38">
        <v>1139007</v>
      </c>
      <c r="Y74" s="38">
        <f>J74-X74</f>
        <v>0</v>
      </c>
      <c r="Z74" s="38"/>
      <c r="AA74" s="40">
        <v>0</v>
      </c>
      <c r="AB74" s="51">
        <v>44621</v>
      </c>
      <c r="AC74" s="5" t="s">
        <v>284</v>
      </c>
      <c r="AD74" s="42"/>
      <c r="AE74" s="38">
        <v>1139007</v>
      </c>
      <c r="AF74" s="38">
        <f t="shared" si="32"/>
        <v>0</v>
      </c>
      <c r="AG74" s="38"/>
      <c r="AH74" s="38"/>
      <c r="AI74" s="40">
        <v>0</v>
      </c>
      <c r="AJ74" s="44">
        <v>44658</v>
      </c>
      <c r="AK74" s="38" t="s">
        <v>284</v>
      </c>
      <c r="AL74" s="5"/>
      <c r="AM74" s="38">
        <v>1139007</v>
      </c>
      <c r="AN74" s="38">
        <f t="shared" si="27"/>
        <v>0</v>
      </c>
      <c r="AO74" s="38"/>
      <c r="AP74" s="38"/>
      <c r="AQ74" s="40">
        <v>0</v>
      </c>
      <c r="AR74" s="43">
        <v>44684</v>
      </c>
      <c r="AS74" s="5" t="s">
        <v>284</v>
      </c>
      <c r="AT74" s="5"/>
      <c r="AU74" s="38">
        <v>1139007</v>
      </c>
      <c r="AV74" s="38">
        <f t="shared" si="30"/>
        <v>0</v>
      </c>
      <c r="AW74" s="38"/>
      <c r="AX74" s="38"/>
      <c r="AY74" s="40">
        <v>0</v>
      </c>
      <c r="AZ74" s="44">
        <v>44719</v>
      </c>
      <c r="BA74" s="38" t="s">
        <v>284</v>
      </c>
      <c r="BB74" s="44">
        <v>44728</v>
      </c>
      <c r="BC74" s="38">
        <v>1139007</v>
      </c>
      <c r="BD74" s="38">
        <f t="shared" si="33"/>
        <v>0</v>
      </c>
      <c r="BE74" s="38"/>
      <c r="BF74" s="38"/>
      <c r="BG74" s="40">
        <v>0</v>
      </c>
      <c r="BH74" s="43">
        <v>44743</v>
      </c>
      <c r="BI74" s="5" t="s">
        <v>284</v>
      </c>
      <c r="BJ74" s="43">
        <v>44757</v>
      </c>
      <c r="BK74" s="38">
        <v>1139007</v>
      </c>
      <c r="BL74" s="38">
        <f t="shared" si="34"/>
        <v>0</v>
      </c>
      <c r="BM74" s="38"/>
      <c r="BN74" s="38"/>
      <c r="BO74" s="40">
        <v>0</v>
      </c>
      <c r="BP74" s="43">
        <v>44775</v>
      </c>
      <c r="BQ74" s="5" t="s">
        <v>284</v>
      </c>
      <c r="BR74" s="5"/>
      <c r="BS74" s="38"/>
      <c r="BT74" s="38"/>
      <c r="BU74" s="38"/>
      <c r="BV74" s="38"/>
      <c r="BW74" s="40"/>
      <c r="BX74" s="43"/>
      <c r="BY74" s="5"/>
      <c r="BZ74" s="5"/>
      <c r="CA74" s="38"/>
      <c r="CB74" s="38"/>
      <c r="CC74" s="38"/>
      <c r="CD74" s="38"/>
      <c r="CE74" s="40"/>
      <c r="CF74" s="43"/>
      <c r="CG74" s="5"/>
      <c r="CH74" s="5"/>
      <c r="CI74" s="38"/>
      <c r="CJ74" s="38"/>
      <c r="CK74" s="38"/>
      <c r="CL74" s="38"/>
      <c r="CM74" s="40"/>
      <c r="CN74" s="43"/>
      <c r="CO74" s="5"/>
      <c r="CP74" s="5"/>
      <c r="CQ74" s="38"/>
      <c r="CR74" s="38"/>
      <c r="CS74" s="38"/>
      <c r="CT74" s="38"/>
      <c r="CU74" s="40"/>
      <c r="CV74" s="43"/>
      <c r="CW74" s="5"/>
      <c r="CX74" s="5"/>
    </row>
    <row r="75" spans="1:102" x14ac:dyDescent="0.35">
      <c r="A75" s="2">
        <v>204588</v>
      </c>
      <c r="B75" s="2">
        <v>204588</v>
      </c>
      <c r="C75" s="3" t="s">
        <v>19</v>
      </c>
      <c r="D75" s="48" t="s">
        <v>531</v>
      </c>
      <c r="E75" s="34" t="s">
        <v>529</v>
      </c>
      <c r="F75" s="47" t="s">
        <v>530</v>
      </c>
      <c r="G75" s="55">
        <v>6636</v>
      </c>
      <c r="H75" s="37">
        <v>2508638</v>
      </c>
      <c r="I75" s="37">
        <v>2270261</v>
      </c>
      <c r="J75" s="38">
        <v>2270261</v>
      </c>
      <c r="K75" s="39">
        <f>I75-J75</f>
        <v>0</v>
      </c>
      <c r="L75" s="5"/>
      <c r="M75" s="40">
        <v>0</v>
      </c>
      <c r="N75" s="41" t="s">
        <v>284</v>
      </c>
      <c r="O75" s="41">
        <v>44565</v>
      </c>
      <c r="P75" s="42"/>
      <c r="Q75" s="38">
        <v>2270261</v>
      </c>
      <c r="R75" s="39">
        <f t="shared" si="36"/>
        <v>0</v>
      </c>
      <c r="S75" s="5"/>
      <c r="T75" s="40">
        <v>0</v>
      </c>
      <c r="U75" s="51">
        <v>44594</v>
      </c>
      <c r="V75" s="5" t="s">
        <v>284</v>
      </c>
      <c r="W75" s="42"/>
      <c r="X75" s="38">
        <v>2985393</v>
      </c>
      <c r="Y75" s="38">
        <f>Q75-X75</f>
        <v>-715132</v>
      </c>
      <c r="Z75" s="38"/>
      <c r="AA75" s="40">
        <f>Y75/Q75</f>
        <v>-0.31499990529723232</v>
      </c>
      <c r="AB75" s="51">
        <v>44621</v>
      </c>
      <c r="AC75" s="5" t="s">
        <v>284</v>
      </c>
      <c r="AD75" s="42"/>
      <c r="AE75" s="38">
        <v>2508638</v>
      </c>
      <c r="AF75" s="38">
        <f t="shared" si="32"/>
        <v>476755</v>
      </c>
      <c r="AG75" s="38"/>
      <c r="AH75" s="38"/>
      <c r="AI75" s="40">
        <f>AF75/X75</f>
        <v>0.15969589263457107</v>
      </c>
      <c r="AJ75" s="44">
        <v>44658</v>
      </c>
      <c r="AK75" s="38" t="s">
        <v>284</v>
      </c>
      <c r="AL75" s="5"/>
      <c r="AM75" s="38">
        <f>2508638+33448</f>
        <v>2542086</v>
      </c>
      <c r="AN75" s="38">
        <f t="shared" si="27"/>
        <v>-33448</v>
      </c>
      <c r="AO75" s="38"/>
      <c r="AP75" s="38"/>
      <c r="AQ75" s="40">
        <v>0</v>
      </c>
      <c r="AR75" s="43">
        <v>44692</v>
      </c>
      <c r="AS75" s="5" t="s">
        <v>284</v>
      </c>
      <c r="AT75" s="5"/>
      <c r="AU75" s="38">
        <v>2508638</v>
      </c>
      <c r="AV75" s="38">
        <f>AE75-AU75</f>
        <v>0</v>
      </c>
      <c r="AW75" s="38"/>
      <c r="AX75" s="38"/>
      <c r="AY75" s="40">
        <v>0</v>
      </c>
      <c r="AZ75" s="44">
        <v>44721</v>
      </c>
      <c r="BA75" s="38" t="s">
        <v>284</v>
      </c>
      <c r="BB75" s="44">
        <v>44728</v>
      </c>
      <c r="BC75" s="38">
        <v>2508638</v>
      </c>
      <c r="BD75" s="38">
        <f t="shared" si="33"/>
        <v>0</v>
      </c>
      <c r="BE75" s="38"/>
      <c r="BF75" s="38"/>
      <c r="BG75" s="40">
        <v>0</v>
      </c>
      <c r="BH75" s="43">
        <v>44743</v>
      </c>
      <c r="BI75" s="5" t="s">
        <v>284</v>
      </c>
      <c r="BJ75" s="43">
        <v>44757</v>
      </c>
      <c r="BK75" s="38">
        <v>2508638</v>
      </c>
      <c r="BL75" s="38">
        <f t="shared" si="34"/>
        <v>0</v>
      </c>
      <c r="BM75" s="38"/>
      <c r="BN75" s="38"/>
      <c r="BO75" s="40">
        <v>0</v>
      </c>
      <c r="BP75" s="43">
        <v>44775</v>
      </c>
      <c r="BQ75" s="5" t="s">
        <v>284</v>
      </c>
      <c r="BR75" s="5"/>
      <c r="BS75" s="38"/>
      <c r="BT75" s="38"/>
      <c r="BU75" s="38"/>
      <c r="BV75" s="38"/>
      <c r="BW75" s="40"/>
      <c r="BX75" s="43"/>
      <c r="BY75" s="5"/>
      <c r="BZ75" s="5"/>
      <c r="CA75" s="38"/>
      <c r="CB75" s="38"/>
      <c r="CC75" s="38"/>
      <c r="CD75" s="38"/>
      <c r="CE75" s="40"/>
      <c r="CF75" s="43"/>
      <c r="CG75" s="5"/>
      <c r="CH75" s="5"/>
      <c r="CI75" s="38"/>
      <c r="CJ75" s="38"/>
      <c r="CK75" s="38"/>
      <c r="CL75" s="38"/>
      <c r="CM75" s="40"/>
      <c r="CN75" s="43"/>
      <c r="CO75" s="5"/>
      <c r="CP75" s="5"/>
      <c r="CQ75" s="38"/>
      <c r="CR75" s="38"/>
      <c r="CS75" s="38"/>
      <c r="CT75" s="38"/>
      <c r="CU75" s="40"/>
      <c r="CV75" s="43"/>
      <c r="CW75" s="5"/>
      <c r="CX75" s="5"/>
    </row>
    <row r="76" spans="1:102" x14ac:dyDescent="0.35">
      <c r="A76" s="2">
        <v>204549</v>
      </c>
      <c r="B76" s="2">
        <v>204549</v>
      </c>
      <c r="C76" s="3" t="s">
        <v>90</v>
      </c>
      <c r="D76" s="48" t="s">
        <v>534</v>
      </c>
      <c r="E76" s="34" t="s">
        <v>532</v>
      </c>
      <c r="F76" s="47" t="s">
        <v>533</v>
      </c>
      <c r="G76" s="55">
        <v>6640</v>
      </c>
      <c r="H76" s="37">
        <v>1294406</v>
      </c>
      <c r="I76" s="37">
        <v>1281590</v>
      </c>
      <c r="J76" s="38">
        <v>1281590</v>
      </c>
      <c r="K76" s="39">
        <f>I76-J76</f>
        <v>0</v>
      </c>
      <c r="L76" s="5"/>
      <c r="M76" s="40">
        <v>0</v>
      </c>
      <c r="N76" s="9" t="s">
        <v>284</v>
      </c>
      <c r="O76" s="41">
        <v>44568</v>
      </c>
      <c r="P76" s="42"/>
      <c r="Q76" s="38">
        <v>1281590</v>
      </c>
      <c r="R76" s="39">
        <f t="shared" si="36"/>
        <v>0</v>
      </c>
      <c r="S76" s="5"/>
      <c r="T76" s="40">
        <v>0</v>
      </c>
      <c r="U76" s="43">
        <v>44596</v>
      </c>
      <c r="V76" s="5" t="s">
        <v>284</v>
      </c>
      <c r="W76" s="42"/>
      <c r="X76" s="38">
        <v>1281590</v>
      </c>
      <c r="Y76" s="38">
        <f>Q76-X76</f>
        <v>0</v>
      </c>
      <c r="Z76" s="5"/>
      <c r="AA76" s="40">
        <v>0</v>
      </c>
      <c r="AB76" s="43">
        <v>44624</v>
      </c>
      <c r="AC76" s="5" t="s">
        <v>284</v>
      </c>
      <c r="AD76" s="42"/>
      <c r="AE76" s="38">
        <v>1332854</v>
      </c>
      <c r="AF76" s="38"/>
      <c r="AG76" s="38">
        <f>X76-AE76</f>
        <v>-51264</v>
      </c>
      <c r="AH76" s="38"/>
      <c r="AI76" s="40">
        <f>AG76/X76</f>
        <v>-4.0000312112298007E-2</v>
      </c>
      <c r="AJ76" s="44">
        <v>44658</v>
      </c>
      <c r="AK76" s="38" t="s">
        <v>284</v>
      </c>
      <c r="AL76" s="5"/>
      <c r="AM76" s="38">
        <v>1294406</v>
      </c>
      <c r="AN76" s="38">
        <f>AE76-AM76</f>
        <v>38448</v>
      </c>
      <c r="AO76" s="38"/>
      <c r="AP76" s="38"/>
      <c r="AQ76" s="40">
        <f>AN76/AE76</f>
        <v>2.8846370270112106E-2</v>
      </c>
      <c r="AR76" s="43">
        <v>44697</v>
      </c>
      <c r="AS76" s="5" t="s">
        <v>284</v>
      </c>
      <c r="AT76" s="5"/>
      <c r="AU76" s="38">
        <v>1294406</v>
      </c>
      <c r="AV76" s="38">
        <f t="shared" ref="AV76:AV81" si="37">AM76-AU76</f>
        <v>0</v>
      </c>
      <c r="AW76" s="38"/>
      <c r="AX76" s="38"/>
      <c r="AY76" s="40">
        <v>0</v>
      </c>
      <c r="AZ76" s="44">
        <v>44718</v>
      </c>
      <c r="BA76" s="38" t="s">
        <v>284</v>
      </c>
      <c r="BB76" s="44">
        <v>44728</v>
      </c>
      <c r="BC76" s="38">
        <v>1294406</v>
      </c>
      <c r="BD76" s="38">
        <f t="shared" si="33"/>
        <v>0</v>
      </c>
      <c r="BE76" s="38"/>
      <c r="BF76" s="38"/>
      <c r="BG76" s="40">
        <v>0</v>
      </c>
      <c r="BH76" s="43">
        <v>44747</v>
      </c>
      <c r="BI76" s="5" t="s">
        <v>284</v>
      </c>
      <c r="BJ76" s="43">
        <v>44757</v>
      </c>
      <c r="BK76" s="38">
        <v>1294406</v>
      </c>
      <c r="BL76" s="38">
        <f t="shared" si="34"/>
        <v>0</v>
      </c>
      <c r="BM76" s="38"/>
      <c r="BN76" s="38"/>
      <c r="BO76" s="40">
        <v>0</v>
      </c>
      <c r="BP76" s="43">
        <v>44778</v>
      </c>
      <c r="BQ76" s="5" t="s">
        <v>284</v>
      </c>
      <c r="BR76" s="5"/>
      <c r="BS76" s="38"/>
      <c r="BT76" s="38"/>
      <c r="BU76" s="38"/>
      <c r="BV76" s="38"/>
      <c r="BW76" s="40"/>
      <c r="BX76" s="43"/>
      <c r="BY76" s="5"/>
      <c r="BZ76" s="5"/>
      <c r="CA76" s="38"/>
      <c r="CB76" s="38"/>
      <c r="CC76" s="38"/>
      <c r="CD76" s="38"/>
      <c r="CE76" s="40"/>
      <c r="CF76" s="43"/>
      <c r="CG76" s="5"/>
      <c r="CH76" s="5"/>
      <c r="CI76" s="38"/>
      <c r="CJ76" s="38"/>
      <c r="CK76" s="38"/>
      <c r="CL76" s="38"/>
      <c r="CM76" s="40"/>
      <c r="CN76" s="43"/>
      <c r="CO76" s="5"/>
      <c r="CP76" s="5"/>
      <c r="CQ76" s="38"/>
      <c r="CR76" s="38"/>
      <c r="CS76" s="38"/>
      <c r="CT76" s="38"/>
      <c r="CU76" s="40"/>
      <c r="CV76" s="43"/>
      <c r="CW76" s="5"/>
      <c r="CX76" s="5"/>
    </row>
    <row r="77" spans="1:102" x14ac:dyDescent="0.35">
      <c r="A77" s="2">
        <v>204565</v>
      </c>
      <c r="B77" s="2">
        <v>204565</v>
      </c>
      <c r="C77" s="3" t="s">
        <v>537</v>
      </c>
      <c r="D77" s="48" t="s">
        <v>538</v>
      </c>
      <c r="E77" s="34" t="s">
        <v>535</v>
      </c>
      <c r="F77" s="47" t="s">
        <v>536</v>
      </c>
      <c r="G77" s="55">
        <v>6652</v>
      </c>
      <c r="H77" s="37">
        <v>1680351</v>
      </c>
      <c r="I77" s="37">
        <v>1680351</v>
      </c>
      <c r="J77" s="38">
        <v>1680351</v>
      </c>
      <c r="K77" s="39">
        <f t="shared" si="35"/>
        <v>0</v>
      </c>
      <c r="L77" s="5"/>
      <c r="M77" s="40">
        <v>0</v>
      </c>
      <c r="N77" s="9" t="s">
        <v>284</v>
      </c>
      <c r="O77" s="41">
        <v>44566</v>
      </c>
      <c r="P77" s="42"/>
      <c r="Q77" s="38">
        <v>1680351</v>
      </c>
      <c r="R77" s="39">
        <f t="shared" si="36"/>
        <v>0</v>
      </c>
      <c r="S77" s="5"/>
      <c r="T77" s="40">
        <v>0</v>
      </c>
      <c r="U77" s="51">
        <v>44594</v>
      </c>
      <c r="V77" s="5" t="s">
        <v>284</v>
      </c>
      <c r="W77" s="42"/>
      <c r="X77" s="38">
        <v>1680351</v>
      </c>
      <c r="Y77" s="38">
        <f>Q77-X77</f>
        <v>0</v>
      </c>
      <c r="Z77" s="5"/>
      <c r="AA77" s="40">
        <v>0</v>
      </c>
      <c r="AB77" s="51">
        <v>44622</v>
      </c>
      <c r="AC77" s="5" t="s">
        <v>284</v>
      </c>
      <c r="AD77" s="42"/>
      <c r="AE77" s="38">
        <v>1680351</v>
      </c>
      <c r="AF77" s="38">
        <f>X77-AE77</f>
        <v>0</v>
      </c>
      <c r="AG77" s="38"/>
      <c r="AH77" s="38"/>
      <c r="AI77" s="40">
        <v>0</v>
      </c>
      <c r="AJ77" s="44">
        <v>44657</v>
      </c>
      <c r="AK77" s="38" t="s">
        <v>284</v>
      </c>
      <c r="AL77" s="5"/>
      <c r="AM77" s="38">
        <v>1680351</v>
      </c>
      <c r="AN77" s="38">
        <f>AE77-AM77</f>
        <v>0</v>
      </c>
      <c r="AO77" s="38"/>
      <c r="AP77" s="38"/>
      <c r="AQ77" s="40">
        <v>0</v>
      </c>
      <c r="AR77" s="43">
        <v>44686</v>
      </c>
      <c r="AS77" s="5" t="s">
        <v>284</v>
      </c>
      <c r="AT77" s="5"/>
      <c r="AU77" s="38">
        <v>1680351</v>
      </c>
      <c r="AV77" s="38">
        <f t="shared" si="37"/>
        <v>0</v>
      </c>
      <c r="AW77" s="38"/>
      <c r="AX77" s="38"/>
      <c r="AY77" s="40">
        <v>0</v>
      </c>
      <c r="AZ77" s="44">
        <v>44713</v>
      </c>
      <c r="BA77" s="38" t="s">
        <v>284</v>
      </c>
      <c r="BB77" s="44">
        <v>44728</v>
      </c>
      <c r="BC77" s="38">
        <v>1680351</v>
      </c>
      <c r="BD77" s="38">
        <f t="shared" si="33"/>
        <v>0</v>
      </c>
      <c r="BE77" s="38"/>
      <c r="BF77" s="38"/>
      <c r="BG77" s="40">
        <v>0</v>
      </c>
      <c r="BH77" s="43">
        <v>44743</v>
      </c>
      <c r="BI77" s="5" t="s">
        <v>284</v>
      </c>
      <c r="BJ77" s="43">
        <v>44757</v>
      </c>
      <c r="BK77" s="38">
        <v>1680351</v>
      </c>
      <c r="BL77" s="38">
        <f t="shared" si="34"/>
        <v>0</v>
      </c>
      <c r="BM77" s="38"/>
      <c r="BN77" s="38"/>
      <c r="BO77" s="40">
        <v>0</v>
      </c>
      <c r="BP77" s="43">
        <v>44776</v>
      </c>
      <c r="BQ77" s="5" t="s">
        <v>284</v>
      </c>
      <c r="BR77" s="5"/>
      <c r="BS77" s="38"/>
      <c r="BT77" s="38"/>
      <c r="BU77" s="38"/>
      <c r="BV77" s="38"/>
      <c r="BW77" s="40"/>
      <c r="BX77" s="43"/>
      <c r="BY77" s="5"/>
      <c r="BZ77" s="5"/>
      <c r="CA77" s="38"/>
      <c r="CB77" s="38"/>
      <c r="CC77" s="38"/>
      <c r="CD77" s="38"/>
      <c r="CE77" s="40"/>
      <c r="CF77" s="43"/>
      <c r="CG77" s="5"/>
      <c r="CH77" s="5"/>
      <c r="CI77" s="38"/>
      <c r="CJ77" s="38"/>
      <c r="CK77" s="38"/>
      <c r="CL77" s="38"/>
      <c r="CM77" s="40"/>
      <c r="CN77" s="43"/>
      <c r="CO77" s="5"/>
      <c r="CP77" s="5"/>
      <c r="CQ77" s="38"/>
      <c r="CR77" s="38"/>
      <c r="CS77" s="38"/>
      <c r="CT77" s="38"/>
      <c r="CU77" s="40"/>
      <c r="CV77" s="43"/>
      <c r="CW77" s="5"/>
      <c r="CX77" s="5"/>
    </row>
    <row r="78" spans="1:102" x14ac:dyDescent="0.35">
      <c r="A78" s="2">
        <v>204618</v>
      </c>
      <c r="B78" s="2">
        <v>204618</v>
      </c>
      <c r="C78" s="3" t="s">
        <v>71</v>
      </c>
      <c r="D78" s="48" t="s">
        <v>541</v>
      </c>
      <c r="E78" s="34" t="s">
        <v>539</v>
      </c>
      <c r="F78" s="47" t="s">
        <v>540</v>
      </c>
      <c r="G78" s="55">
        <v>6660</v>
      </c>
      <c r="H78" s="37">
        <v>2096681</v>
      </c>
      <c r="I78" s="37">
        <v>2010240</v>
      </c>
      <c r="J78" s="38">
        <v>2010240</v>
      </c>
      <c r="K78" s="39">
        <f>I78-J78</f>
        <v>0</v>
      </c>
      <c r="L78" s="5"/>
      <c r="M78" s="40">
        <v>0</v>
      </c>
      <c r="N78" s="9" t="s">
        <v>284</v>
      </c>
      <c r="O78" s="41">
        <v>44572</v>
      </c>
      <c r="P78" s="42"/>
      <c r="Q78" s="38">
        <v>2010240</v>
      </c>
      <c r="R78" s="39">
        <f t="shared" si="36"/>
        <v>0</v>
      </c>
      <c r="S78" s="5"/>
      <c r="T78" s="40">
        <v>0</v>
      </c>
      <c r="U78" s="51">
        <v>44594</v>
      </c>
      <c r="V78" s="5" t="s">
        <v>284</v>
      </c>
      <c r="W78" s="42"/>
      <c r="X78" s="38">
        <v>2096681</v>
      </c>
      <c r="Y78" s="38">
        <f>Q78-X78</f>
        <v>-86441</v>
      </c>
      <c r="Z78" s="38"/>
      <c r="AA78" s="40">
        <f>Y78/Q78</f>
        <v>-4.3000338268067498E-2</v>
      </c>
      <c r="AB78" s="51">
        <v>44664</v>
      </c>
      <c r="AC78" s="5" t="s">
        <v>284</v>
      </c>
      <c r="AD78" s="42"/>
      <c r="AE78" s="38">
        <v>2096681</v>
      </c>
      <c r="AF78" s="38">
        <f>X78-AE78</f>
        <v>0</v>
      </c>
      <c r="AG78" s="38"/>
      <c r="AH78" s="38"/>
      <c r="AI78" s="40">
        <v>0</v>
      </c>
      <c r="AJ78" s="44">
        <v>44657</v>
      </c>
      <c r="AK78" s="38" t="s">
        <v>284</v>
      </c>
      <c r="AL78" s="5"/>
      <c r="AM78" s="38">
        <v>2096681</v>
      </c>
      <c r="AN78" s="38">
        <f>AE78-AM78</f>
        <v>0</v>
      </c>
      <c r="AO78" s="38"/>
      <c r="AP78" s="38"/>
      <c r="AQ78" s="40">
        <v>0</v>
      </c>
      <c r="AR78" s="43">
        <v>44684</v>
      </c>
      <c r="AS78" s="5" t="s">
        <v>284</v>
      </c>
      <c r="AT78" s="5"/>
      <c r="AU78" s="38">
        <v>2096681</v>
      </c>
      <c r="AV78" s="38">
        <f t="shared" si="37"/>
        <v>0</v>
      </c>
      <c r="AW78" s="38"/>
      <c r="AX78" s="38"/>
      <c r="AY78" s="40">
        <v>0</v>
      </c>
      <c r="AZ78" s="44">
        <v>44715</v>
      </c>
      <c r="BA78" s="38" t="s">
        <v>284</v>
      </c>
      <c r="BB78" s="44">
        <v>44728</v>
      </c>
      <c r="BC78" s="38">
        <v>2096681</v>
      </c>
      <c r="BD78" s="38">
        <f t="shared" si="33"/>
        <v>0</v>
      </c>
      <c r="BE78" s="38"/>
      <c r="BF78" s="38"/>
      <c r="BG78" s="40">
        <v>0</v>
      </c>
      <c r="BH78" s="43">
        <v>44747</v>
      </c>
      <c r="BI78" s="5" t="s">
        <v>284</v>
      </c>
      <c r="BJ78" s="43">
        <v>44757</v>
      </c>
      <c r="BK78" s="38">
        <v>2096681</v>
      </c>
      <c r="BL78" s="38">
        <f t="shared" si="34"/>
        <v>0</v>
      </c>
      <c r="BM78" s="38"/>
      <c r="BN78" s="38"/>
      <c r="BO78" s="40">
        <v>0</v>
      </c>
      <c r="BP78" s="43">
        <v>44776</v>
      </c>
      <c r="BQ78" s="5" t="s">
        <v>284</v>
      </c>
      <c r="BR78" s="5"/>
      <c r="BS78" s="38"/>
      <c r="BT78" s="38"/>
      <c r="BU78" s="38"/>
      <c r="BV78" s="38"/>
      <c r="BW78" s="40"/>
      <c r="BX78" s="43"/>
      <c r="BY78" s="5"/>
      <c r="BZ78" s="5"/>
      <c r="CA78" s="38"/>
      <c r="CB78" s="38"/>
      <c r="CC78" s="38"/>
      <c r="CD78" s="38"/>
      <c r="CE78" s="40"/>
      <c r="CF78" s="43"/>
      <c r="CG78" s="5"/>
      <c r="CH78" s="5"/>
      <c r="CI78" s="38"/>
      <c r="CJ78" s="38"/>
      <c r="CK78" s="38"/>
      <c r="CL78" s="38"/>
      <c r="CM78" s="40"/>
      <c r="CN78" s="43"/>
      <c r="CO78" s="5"/>
      <c r="CP78" s="5"/>
      <c r="CQ78" s="38"/>
      <c r="CR78" s="38"/>
      <c r="CS78" s="38"/>
      <c r="CT78" s="38"/>
      <c r="CU78" s="40"/>
      <c r="CV78" s="43"/>
      <c r="CW78" s="5"/>
      <c r="CX78" s="5"/>
    </row>
    <row r="79" spans="1:102" x14ac:dyDescent="0.35">
      <c r="A79" s="2">
        <v>204596</v>
      </c>
      <c r="B79" s="2">
        <v>204596</v>
      </c>
      <c r="C79" s="3" t="s">
        <v>544</v>
      </c>
      <c r="D79" s="48" t="s">
        <v>545</v>
      </c>
      <c r="E79" s="34" t="s">
        <v>542</v>
      </c>
      <c r="F79" s="47" t="s">
        <v>543</v>
      </c>
      <c r="G79" s="55">
        <v>6687</v>
      </c>
      <c r="H79" s="37">
        <v>1346000</v>
      </c>
      <c r="I79" s="37">
        <v>1346000</v>
      </c>
      <c r="J79" s="38">
        <v>1346000</v>
      </c>
      <c r="K79" s="39">
        <f t="shared" si="35"/>
        <v>0</v>
      </c>
      <c r="L79" s="5"/>
      <c r="M79" s="40">
        <v>0</v>
      </c>
      <c r="N79" s="9" t="s">
        <v>284</v>
      </c>
      <c r="O79" s="41">
        <v>44564</v>
      </c>
      <c r="P79" s="42"/>
      <c r="Q79" s="38">
        <v>1346000</v>
      </c>
      <c r="R79" s="39">
        <f t="shared" si="36"/>
        <v>0</v>
      </c>
      <c r="S79" s="5"/>
      <c r="T79" s="40">
        <v>0</v>
      </c>
      <c r="U79" s="43">
        <v>44595</v>
      </c>
      <c r="V79" s="5" t="s">
        <v>284</v>
      </c>
      <c r="W79" s="42"/>
      <c r="X79" s="38">
        <v>1346000</v>
      </c>
      <c r="Y79" s="38">
        <f t="shared" ref="Y79:Y84" si="38">Q79-X79</f>
        <v>0</v>
      </c>
      <c r="Z79" s="5"/>
      <c r="AA79" s="40">
        <v>0</v>
      </c>
      <c r="AB79" s="43">
        <v>44624</v>
      </c>
      <c r="AC79" s="5" t="s">
        <v>284</v>
      </c>
      <c r="AD79" s="42"/>
      <c r="AE79" s="38">
        <v>1346000</v>
      </c>
      <c r="AF79" s="38">
        <f>X79-AE79</f>
        <v>0</v>
      </c>
      <c r="AG79" s="38"/>
      <c r="AH79" s="38"/>
      <c r="AI79" s="40">
        <v>0</v>
      </c>
      <c r="AJ79" s="44">
        <v>44656</v>
      </c>
      <c r="AK79" s="38" t="s">
        <v>284</v>
      </c>
      <c r="AL79" s="5"/>
      <c r="AM79" s="38">
        <v>1346000</v>
      </c>
      <c r="AN79" s="38">
        <f>AE79-AM79</f>
        <v>0</v>
      </c>
      <c r="AO79" s="38"/>
      <c r="AP79" s="38"/>
      <c r="AQ79" s="40">
        <v>0</v>
      </c>
      <c r="AR79" s="43">
        <v>44683</v>
      </c>
      <c r="AS79" s="5" t="s">
        <v>284</v>
      </c>
      <c r="AT79" s="5"/>
      <c r="AU79" s="38">
        <v>1346000</v>
      </c>
      <c r="AV79" s="38">
        <f t="shared" si="37"/>
        <v>0</v>
      </c>
      <c r="AW79" s="38"/>
      <c r="AX79" s="38"/>
      <c r="AY79" s="40">
        <v>0</v>
      </c>
      <c r="AZ79" s="44">
        <v>44713</v>
      </c>
      <c r="BA79" s="38" t="s">
        <v>284</v>
      </c>
      <c r="BB79" s="44">
        <v>44728</v>
      </c>
      <c r="BC79" s="38">
        <v>1346000</v>
      </c>
      <c r="BD79" s="38">
        <f t="shared" si="33"/>
        <v>0</v>
      </c>
      <c r="BE79" s="38"/>
      <c r="BF79" s="38"/>
      <c r="BG79" s="40">
        <v>0</v>
      </c>
      <c r="BH79" s="43">
        <v>44743</v>
      </c>
      <c r="BI79" s="5" t="s">
        <v>284</v>
      </c>
      <c r="BJ79" s="43">
        <v>44757</v>
      </c>
      <c r="BK79" s="38">
        <v>1346000</v>
      </c>
      <c r="BL79" s="38">
        <f t="shared" si="34"/>
        <v>0</v>
      </c>
      <c r="BM79" s="38"/>
      <c r="BN79" s="38"/>
      <c r="BO79" s="40">
        <v>0</v>
      </c>
      <c r="BP79" s="43">
        <v>44776</v>
      </c>
      <c r="BQ79" s="5" t="s">
        <v>284</v>
      </c>
      <c r="BR79" s="43">
        <v>44784</v>
      </c>
      <c r="BS79" s="38"/>
      <c r="BT79" s="38"/>
      <c r="BU79" s="38"/>
      <c r="BV79" s="38"/>
      <c r="BW79" s="40"/>
      <c r="BX79" s="43"/>
      <c r="BY79" s="5"/>
      <c r="BZ79" s="5"/>
      <c r="CA79" s="38"/>
      <c r="CB79" s="38"/>
      <c r="CC79" s="38"/>
      <c r="CD79" s="38"/>
      <c r="CE79" s="40"/>
      <c r="CF79" s="43"/>
      <c r="CG79" s="5"/>
      <c r="CH79" s="5"/>
      <c r="CI79" s="38"/>
      <c r="CJ79" s="38"/>
      <c r="CK79" s="38"/>
      <c r="CL79" s="38"/>
      <c r="CM79" s="40"/>
      <c r="CN79" s="43"/>
      <c r="CO79" s="5"/>
      <c r="CP79" s="5"/>
      <c r="CQ79" s="38"/>
      <c r="CR79" s="38"/>
      <c r="CS79" s="38"/>
      <c r="CT79" s="38"/>
      <c r="CU79" s="40"/>
      <c r="CV79" s="43"/>
      <c r="CW79" s="5"/>
      <c r="CX79" s="5"/>
    </row>
    <row r="80" spans="1:102" x14ac:dyDescent="0.35">
      <c r="A80" s="2">
        <v>204614</v>
      </c>
      <c r="B80" s="2">
        <v>204614</v>
      </c>
      <c r="C80" s="3" t="s">
        <v>548</v>
      </c>
      <c r="D80" s="48" t="s">
        <v>549</v>
      </c>
      <c r="E80" s="34" t="s">
        <v>546</v>
      </c>
      <c r="F80" s="47" t="s">
        <v>547</v>
      </c>
      <c r="G80" s="55">
        <v>6688</v>
      </c>
      <c r="H80" s="37">
        <v>1433273</v>
      </c>
      <c r="I80" s="37">
        <v>1358811</v>
      </c>
      <c r="J80" s="38">
        <v>1358811</v>
      </c>
      <c r="K80" s="39">
        <f>I80-J80</f>
        <v>0</v>
      </c>
      <c r="L80" s="5"/>
      <c r="M80" s="40">
        <v>0</v>
      </c>
      <c r="N80" s="41" t="s">
        <v>284</v>
      </c>
      <c r="O80" s="41">
        <v>44565</v>
      </c>
      <c r="P80" s="42"/>
      <c r="Q80" s="38">
        <v>1358811</v>
      </c>
      <c r="R80" s="39">
        <f>J80-Q80</f>
        <v>0</v>
      </c>
      <c r="S80" s="5"/>
      <c r="T80" s="40">
        <v>0</v>
      </c>
      <c r="U80" s="51">
        <v>44608</v>
      </c>
      <c r="V80" s="5" t="s">
        <v>284</v>
      </c>
      <c r="W80" s="42"/>
      <c r="X80" s="38">
        <v>1358811</v>
      </c>
      <c r="Y80" s="38">
        <f t="shared" si="38"/>
        <v>0</v>
      </c>
      <c r="Z80" s="5"/>
      <c r="AA80" s="40">
        <v>0</v>
      </c>
      <c r="AB80" s="51">
        <v>44622</v>
      </c>
      <c r="AC80" s="5" t="s">
        <v>284</v>
      </c>
      <c r="AD80" s="42"/>
      <c r="AE80" s="38">
        <v>1433273</v>
      </c>
      <c r="AF80" s="38"/>
      <c r="AG80" s="38">
        <f>X80-AE80</f>
        <v>-74462</v>
      </c>
      <c r="AH80" s="38"/>
      <c r="AI80" s="40">
        <f>AG80/X80</f>
        <v>-5.4799379751856586E-2</v>
      </c>
      <c r="AJ80" s="44">
        <v>44658</v>
      </c>
      <c r="AK80" s="38" t="s">
        <v>284</v>
      </c>
      <c r="AL80" s="5"/>
      <c r="AM80" s="38">
        <v>1433273</v>
      </c>
      <c r="AN80" s="38">
        <f>AE80-AM80</f>
        <v>0</v>
      </c>
      <c r="AO80" s="38"/>
      <c r="AP80" s="38"/>
      <c r="AQ80" s="40">
        <v>0</v>
      </c>
      <c r="AR80" s="43">
        <v>44686</v>
      </c>
      <c r="AS80" s="5" t="s">
        <v>284</v>
      </c>
      <c r="AT80" s="5"/>
      <c r="AU80" s="38">
        <v>1433273</v>
      </c>
      <c r="AV80" s="38">
        <f t="shared" si="37"/>
        <v>0</v>
      </c>
      <c r="AW80" s="38"/>
      <c r="AX80" s="38"/>
      <c r="AY80" s="40">
        <v>0</v>
      </c>
      <c r="AZ80" s="44">
        <v>44719</v>
      </c>
      <c r="BA80" s="38" t="s">
        <v>284</v>
      </c>
      <c r="BB80" s="44">
        <v>44736</v>
      </c>
      <c r="BC80" s="38">
        <v>1433273</v>
      </c>
      <c r="BD80" s="38">
        <f t="shared" si="33"/>
        <v>0</v>
      </c>
      <c r="BE80" s="38"/>
      <c r="BF80" s="38"/>
      <c r="BG80" s="40">
        <v>0</v>
      </c>
      <c r="BH80" s="43">
        <v>44748</v>
      </c>
      <c r="BI80" s="5" t="s">
        <v>284</v>
      </c>
      <c r="BJ80" s="43">
        <v>44757</v>
      </c>
      <c r="BK80" s="38">
        <v>1433273</v>
      </c>
      <c r="BL80" s="38">
        <f t="shared" si="34"/>
        <v>0</v>
      </c>
      <c r="BM80" s="38"/>
      <c r="BN80" s="38"/>
      <c r="BO80" s="40">
        <v>0</v>
      </c>
      <c r="BP80" s="43">
        <v>44775</v>
      </c>
      <c r="BQ80" s="5" t="s">
        <v>284</v>
      </c>
      <c r="BR80" s="5"/>
      <c r="BS80" s="38"/>
      <c r="BT80" s="38"/>
      <c r="BU80" s="38"/>
      <c r="BV80" s="38"/>
      <c r="BW80" s="40"/>
      <c r="BX80" s="43"/>
      <c r="BY80" s="5"/>
      <c r="BZ80" s="5"/>
      <c r="CA80" s="38"/>
      <c r="CB80" s="38"/>
      <c r="CC80" s="38"/>
      <c r="CD80" s="38"/>
      <c r="CE80" s="40"/>
      <c r="CF80" s="43"/>
      <c r="CG80" s="5"/>
      <c r="CH80" s="5"/>
      <c r="CI80" s="38"/>
      <c r="CJ80" s="38"/>
      <c r="CK80" s="38"/>
      <c r="CL80" s="38"/>
      <c r="CM80" s="40"/>
      <c r="CN80" s="43"/>
      <c r="CO80" s="5"/>
      <c r="CP80" s="5"/>
      <c r="CQ80" s="38"/>
      <c r="CR80" s="38"/>
      <c r="CS80" s="38"/>
      <c r="CT80" s="38"/>
      <c r="CU80" s="40"/>
      <c r="CV80" s="43"/>
      <c r="CW80" s="5"/>
      <c r="CX80" s="5"/>
    </row>
    <row r="81" spans="1:102" x14ac:dyDescent="0.35">
      <c r="A81" s="68">
        <v>204942</v>
      </c>
      <c r="B81" s="68">
        <v>204942</v>
      </c>
      <c r="C81" s="3" t="s">
        <v>7</v>
      </c>
      <c r="D81" s="48" t="s">
        <v>552</v>
      </c>
      <c r="E81" s="34" t="s">
        <v>550</v>
      </c>
      <c r="F81" s="47" t="s">
        <v>551</v>
      </c>
      <c r="G81" s="55">
        <v>6692</v>
      </c>
      <c r="H81" s="38">
        <v>2248854</v>
      </c>
      <c r="I81" s="37">
        <v>2043113</v>
      </c>
      <c r="J81" s="38">
        <v>2248854</v>
      </c>
      <c r="K81" s="39">
        <f>I81-J81</f>
        <v>-205741</v>
      </c>
      <c r="L81" s="5"/>
      <c r="M81" s="40">
        <f>K81/I81</f>
        <v>-0.10069976550489376</v>
      </c>
      <c r="N81" s="9" t="s">
        <v>284</v>
      </c>
      <c r="O81" s="41">
        <v>44603</v>
      </c>
      <c r="P81" s="42"/>
      <c r="Q81" s="38">
        <v>2248854</v>
      </c>
      <c r="R81" s="39">
        <f>J81-Q81</f>
        <v>0</v>
      </c>
      <c r="S81" s="5"/>
      <c r="T81" s="40">
        <v>0</v>
      </c>
      <c r="U81" s="43">
        <v>44603</v>
      </c>
      <c r="V81" s="5" t="s">
        <v>284</v>
      </c>
      <c r="W81" s="42"/>
      <c r="X81" s="38">
        <v>2248854</v>
      </c>
      <c r="Y81" s="38">
        <f t="shared" si="38"/>
        <v>0</v>
      </c>
      <c r="Z81" s="5"/>
      <c r="AA81" s="40">
        <v>0</v>
      </c>
      <c r="AB81" s="51">
        <v>44621</v>
      </c>
      <c r="AC81" s="5" t="s">
        <v>284</v>
      </c>
      <c r="AD81" s="42"/>
      <c r="AE81" s="38">
        <f>2248854+129502</f>
        <v>2378356</v>
      </c>
      <c r="AF81" s="38">
        <f>X81-AE81</f>
        <v>-129502</v>
      </c>
      <c r="AG81" s="38"/>
      <c r="AH81" s="38"/>
      <c r="AI81" s="40">
        <v>0</v>
      </c>
      <c r="AJ81" s="44">
        <v>44673</v>
      </c>
      <c r="AK81" s="38" t="s">
        <v>284</v>
      </c>
      <c r="AL81" s="5"/>
      <c r="AM81" s="38">
        <v>2248854</v>
      </c>
      <c r="AN81" s="38">
        <f>X81-AM81</f>
        <v>0</v>
      </c>
      <c r="AO81" s="38"/>
      <c r="AP81" s="38"/>
      <c r="AQ81" s="40">
        <v>0</v>
      </c>
      <c r="AR81" s="43">
        <v>44687</v>
      </c>
      <c r="AS81" s="5" t="s">
        <v>284</v>
      </c>
      <c r="AT81" s="5"/>
      <c r="AU81" s="38">
        <v>2248854</v>
      </c>
      <c r="AV81" s="38">
        <f t="shared" si="37"/>
        <v>0</v>
      </c>
      <c r="AW81" s="38"/>
      <c r="AX81" s="38"/>
      <c r="AY81" s="40">
        <v>0</v>
      </c>
      <c r="AZ81" s="44">
        <v>44713</v>
      </c>
      <c r="BA81" s="38" t="s">
        <v>284</v>
      </c>
      <c r="BB81" s="44">
        <v>44728</v>
      </c>
      <c r="BC81" s="38">
        <v>2248854</v>
      </c>
      <c r="BD81" s="38">
        <f t="shared" si="33"/>
        <v>0</v>
      </c>
      <c r="BE81" s="38"/>
      <c r="BF81" s="38"/>
      <c r="BG81" s="40">
        <v>0</v>
      </c>
      <c r="BH81" s="43">
        <v>44747</v>
      </c>
      <c r="BI81" s="5" t="s">
        <v>284</v>
      </c>
      <c r="BJ81" s="43">
        <v>44757</v>
      </c>
      <c r="BK81" s="38">
        <v>2248854</v>
      </c>
      <c r="BL81" s="38">
        <f t="shared" si="34"/>
        <v>0</v>
      </c>
      <c r="BM81" s="38"/>
      <c r="BN81" s="38"/>
      <c r="BO81" s="40">
        <v>0</v>
      </c>
      <c r="BP81" s="43">
        <v>44777</v>
      </c>
      <c r="BQ81" s="5" t="s">
        <v>284</v>
      </c>
      <c r="BR81" s="5"/>
      <c r="BS81" s="38"/>
      <c r="BT81" s="38"/>
      <c r="BU81" s="38"/>
      <c r="BV81" s="38"/>
      <c r="BW81" s="40"/>
      <c r="BX81" s="43"/>
      <c r="BY81" s="5"/>
      <c r="BZ81" s="5"/>
      <c r="CA81" s="580"/>
      <c r="CB81" s="581"/>
      <c r="CC81" s="581"/>
      <c r="CD81" s="581"/>
      <c r="CE81" s="581"/>
      <c r="CF81" s="581"/>
      <c r="CG81" s="581"/>
      <c r="CH81" s="582"/>
      <c r="CI81" s="580"/>
      <c r="CJ81" s="581"/>
      <c r="CK81" s="581"/>
      <c r="CL81" s="581"/>
      <c r="CM81" s="581"/>
      <c r="CN81" s="581"/>
      <c r="CO81" s="581"/>
      <c r="CP81" s="582"/>
      <c r="CQ81" s="580"/>
      <c r="CR81" s="581"/>
      <c r="CS81" s="581"/>
      <c r="CT81" s="581"/>
      <c r="CU81" s="581"/>
      <c r="CV81" s="581"/>
      <c r="CW81" s="581"/>
      <c r="CX81" s="582"/>
    </row>
    <row r="82" spans="1:102" x14ac:dyDescent="0.35">
      <c r="A82" s="2">
        <v>204630</v>
      </c>
      <c r="B82" s="2">
        <v>204630</v>
      </c>
      <c r="C82" s="3" t="s">
        <v>555</v>
      </c>
      <c r="D82" s="48" t="s">
        <v>556</v>
      </c>
      <c r="E82" s="34" t="s">
        <v>553</v>
      </c>
      <c r="F82" s="47" t="s">
        <v>554</v>
      </c>
      <c r="G82" s="55">
        <v>6693</v>
      </c>
      <c r="H82" s="38">
        <v>880700</v>
      </c>
      <c r="I82" s="37">
        <v>830300</v>
      </c>
      <c r="J82" s="38">
        <v>880700</v>
      </c>
      <c r="K82" s="39">
        <f t="shared" ref="K82:K87" si="39">I82-J82</f>
        <v>-50400</v>
      </c>
      <c r="L82" s="5"/>
      <c r="M82" s="40">
        <f>K82/I82</f>
        <v>-6.0700951463326505E-2</v>
      </c>
      <c r="N82" s="9" t="s">
        <v>284</v>
      </c>
      <c r="O82" s="41">
        <v>44566</v>
      </c>
      <c r="P82" s="42"/>
      <c r="Q82" s="38">
        <v>880700</v>
      </c>
      <c r="R82" s="39">
        <f>J82-Q82</f>
        <v>0</v>
      </c>
      <c r="S82" s="5"/>
      <c r="T82" s="40">
        <v>0</v>
      </c>
      <c r="U82" s="51">
        <v>44594</v>
      </c>
      <c r="V82" s="5" t="s">
        <v>284</v>
      </c>
      <c r="W82" s="42"/>
      <c r="X82" s="38">
        <v>880700</v>
      </c>
      <c r="Y82" s="38">
        <f t="shared" si="38"/>
        <v>0</v>
      </c>
      <c r="Z82" s="5"/>
      <c r="AA82" s="40">
        <v>0</v>
      </c>
      <c r="AB82" s="51">
        <v>44622</v>
      </c>
      <c r="AC82" s="5" t="s">
        <v>284</v>
      </c>
      <c r="AD82" s="42"/>
      <c r="AE82" s="38">
        <v>880700</v>
      </c>
      <c r="AF82" s="38">
        <f>X82-AE82</f>
        <v>0</v>
      </c>
      <c r="AG82" s="38"/>
      <c r="AH82" s="38"/>
      <c r="AI82" s="40">
        <v>0</v>
      </c>
      <c r="AJ82" s="44">
        <v>44656</v>
      </c>
      <c r="AK82" s="38" t="s">
        <v>284</v>
      </c>
      <c r="AL82" s="5"/>
      <c r="AM82" s="38">
        <v>880700</v>
      </c>
      <c r="AN82" s="38">
        <f>AE82-AM82</f>
        <v>0</v>
      </c>
      <c r="AO82" s="38"/>
      <c r="AP82" s="38"/>
      <c r="AQ82" s="40">
        <v>0</v>
      </c>
      <c r="AR82" s="43">
        <v>44684</v>
      </c>
      <c r="AS82" s="5" t="s">
        <v>284</v>
      </c>
      <c r="AT82" s="5"/>
      <c r="AU82" s="38">
        <v>880700</v>
      </c>
      <c r="AV82" s="38">
        <f>AM82-AU82</f>
        <v>0</v>
      </c>
      <c r="AW82" s="38"/>
      <c r="AX82" s="38"/>
      <c r="AY82" s="40">
        <v>0</v>
      </c>
      <c r="AZ82" s="44">
        <v>44733</v>
      </c>
      <c r="BA82" s="38" t="s">
        <v>284</v>
      </c>
      <c r="BB82" s="44">
        <v>44757</v>
      </c>
      <c r="BC82" s="38">
        <v>880700</v>
      </c>
      <c r="BD82" s="38">
        <f t="shared" si="33"/>
        <v>0</v>
      </c>
      <c r="BE82" s="38"/>
      <c r="BF82" s="38"/>
      <c r="BG82" s="40">
        <v>0</v>
      </c>
      <c r="BH82" s="43">
        <v>44747</v>
      </c>
      <c r="BI82" s="5" t="s">
        <v>284</v>
      </c>
      <c r="BJ82" s="43">
        <v>44757</v>
      </c>
      <c r="BK82" s="38">
        <v>880700</v>
      </c>
      <c r="BL82" s="38">
        <f t="shared" si="34"/>
        <v>0</v>
      </c>
      <c r="BM82" s="38"/>
      <c r="BN82" s="38"/>
      <c r="BO82" s="40">
        <v>0</v>
      </c>
      <c r="BP82" s="43">
        <v>44777</v>
      </c>
      <c r="BQ82" s="5" t="s">
        <v>284</v>
      </c>
      <c r="BR82" s="5"/>
      <c r="BS82" s="38"/>
      <c r="BT82" s="38"/>
      <c r="BU82" s="38"/>
      <c r="BV82" s="38"/>
      <c r="BW82" s="40"/>
      <c r="BX82" s="43"/>
      <c r="BY82" s="5"/>
      <c r="BZ82" s="5"/>
      <c r="CA82" s="38"/>
      <c r="CB82" s="38"/>
      <c r="CC82" s="38"/>
      <c r="CD82" s="38"/>
      <c r="CE82" s="40"/>
      <c r="CF82" s="43"/>
      <c r="CG82" s="5"/>
      <c r="CH82" s="5"/>
      <c r="CI82" s="38"/>
      <c r="CJ82" s="38"/>
      <c r="CK82" s="38"/>
      <c r="CL82" s="38"/>
      <c r="CM82" s="40"/>
      <c r="CN82" s="43"/>
      <c r="CO82" s="5"/>
      <c r="CP82" s="5"/>
      <c r="CQ82" s="38"/>
      <c r="CR82" s="38"/>
      <c r="CS82" s="38"/>
      <c r="CT82" s="38"/>
      <c r="CU82" s="40"/>
      <c r="CV82" s="43"/>
      <c r="CW82" s="5"/>
      <c r="CX82" s="5"/>
    </row>
    <row r="83" spans="1:102" x14ac:dyDescent="0.35">
      <c r="A83" s="2">
        <v>204626</v>
      </c>
      <c r="B83" s="2">
        <v>204626</v>
      </c>
      <c r="C83" s="3" t="s">
        <v>559</v>
      </c>
      <c r="D83" s="48" t="s">
        <v>560</v>
      </c>
      <c r="E83" s="34" t="s">
        <v>557</v>
      </c>
      <c r="F83" s="47" t="s">
        <v>558</v>
      </c>
      <c r="G83" s="55">
        <v>6699</v>
      </c>
      <c r="H83" s="38">
        <v>1368214</v>
      </c>
      <c r="I83" s="37">
        <v>1513229</v>
      </c>
      <c r="J83" s="38">
        <v>1437977</v>
      </c>
      <c r="K83" s="39">
        <f t="shared" si="39"/>
        <v>75252</v>
      </c>
      <c r="L83" s="5"/>
      <c r="M83" s="40">
        <f>K83/H83</f>
        <v>5.5000168102358256E-2</v>
      </c>
      <c r="N83" s="9" t="s">
        <v>284</v>
      </c>
      <c r="O83" s="41">
        <v>44566</v>
      </c>
      <c r="P83" s="42"/>
      <c r="Q83" s="38">
        <v>1437977</v>
      </c>
      <c r="R83" s="39">
        <f>J83-Q83</f>
        <v>0</v>
      </c>
      <c r="S83" s="38"/>
      <c r="T83" s="40">
        <v>0</v>
      </c>
      <c r="U83" s="43">
        <v>44593</v>
      </c>
      <c r="V83" s="5" t="s">
        <v>284</v>
      </c>
      <c r="W83" s="42"/>
      <c r="X83" s="38">
        <v>1368214</v>
      </c>
      <c r="Y83" s="38">
        <f t="shared" si="38"/>
        <v>69763</v>
      </c>
      <c r="Z83" s="5"/>
      <c r="AA83" s="40">
        <f>Y83/Q83</f>
        <v>4.8514684170887293E-2</v>
      </c>
      <c r="AB83" s="51">
        <v>44621</v>
      </c>
      <c r="AC83" s="5" t="s">
        <v>284</v>
      </c>
      <c r="AD83" s="42"/>
      <c r="AE83" s="38">
        <v>1368214</v>
      </c>
      <c r="AF83" s="38">
        <f>X83-AE83</f>
        <v>0</v>
      </c>
      <c r="AG83" s="38"/>
      <c r="AH83" s="38"/>
      <c r="AI83" s="40">
        <v>0</v>
      </c>
      <c r="AJ83" s="44">
        <v>44656</v>
      </c>
      <c r="AK83" s="38" t="s">
        <v>284</v>
      </c>
      <c r="AL83" s="5"/>
      <c r="AM83" s="38">
        <f>1368214+689921</f>
        <v>2058135</v>
      </c>
      <c r="AN83" s="38"/>
      <c r="AO83" s="38">
        <f>AE83-AM83</f>
        <v>-689921</v>
      </c>
      <c r="AP83" s="38"/>
      <c r="AQ83" s="40">
        <f>AO83/AE83</f>
        <v>-0.50424933526480509</v>
      </c>
      <c r="AR83" s="43">
        <v>44692</v>
      </c>
      <c r="AS83" s="5" t="s">
        <v>284</v>
      </c>
      <c r="AT83" s="5"/>
      <c r="AU83" s="38">
        <v>1368214</v>
      </c>
      <c r="AV83" s="38">
        <f>AE83-AU83</f>
        <v>0</v>
      </c>
      <c r="AW83" s="38"/>
      <c r="AX83" s="38"/>
      <c r="AY83" s="40">
        <v>0</v>
      </c>
      <c r="AZ83" s="44">
        <v>44719</v>
      </c>
      <c r="BA83" s="38" t="s">
        <v>284</v>
      </c>
      <c r="BB83" s="44">
        <v>44736</v>
      </c>
      <c r="BC83" s="38">
        <v>1368214</v>
      </c>
      <c r="BD83" s="38">
        <f t="shared" si="33"/>
        <v>0</v>
      </c>
      <c r="BE83" s="38"/>
      <c r="BF83" s="38"/>
      <c r="BG83" s="40">
        <v>0</v>
      </c>
      <c r="BH83" s="43">
        <v>44743</v>
      </c>
      <c r="BI83" s="5" t="s">
        <v>284</v>
      </c>
      <c r="BJ83" s="43">
        <v>44757</v>
      </c>
      <c r="BK83" s="38">
        <v>1368214</v>
      </c>
      <c r="BL83" s="38">
        <f t="shared" si="34"/>
        <v>0</v>
      </c>
      <c r="BM83" s="38"/>
      <c r="BN83" s="38"/>
      <c r="BO83" s="40">
        <v>0</v>
      </c>
      <c r="BP83" s="43">
        <v>44774</v>
      </c>
      <c r="BQ83" s="5" t="s">
        <v>284</v>
      </c>
      <c r="BR83" s="5"/>
      <c r="BS83" s="38"/>
      <c r="BT83" s="38"/>
      <c r="BU83" s="38"/>
      <c r="BV83" s="38"/>
      <c r="BW83" s="40"/>
      <c r="BX83" s="43"/>
      <c r="BY83" s="5"/>
      <c r="BZ83" s="5"/>
      <c r="CA83" s="38"/>
      <c r="CB83" s="38"/>
      <c r="CC83" s="38"/>
      <c r="CD83" s="38"/>
      <c r="CE83" s="40"/>
      <c r="CF83" s="43"/>
      <c r="CG83" s="5"/>
      <c r="CH83" s="5"/>
      <c r="CI83" s="38"/>
      <c r="CJ83" s="38"/>
      <c r="CK83" s="38"/>
      <c r="CL83" s="38"/>
      <c r="CM83" s="40"/>
      <c r="CN83" s="43"/>
      <c r="CO83" s="5"/>
      <c r="CP83" s="5"/>
      <c r="CQ83" s="38"/>
      <c r="CR83" s="38"/>
      <c r="CS83" s="38"/>
      <c r="CT83" s="38"/>
      <c r="CU83" s="40"/>
      <c r="CV83" s="43"/>
      <c r="CW83" s="5"/>
      <c r="CX83" s="5"/>
    </row>
    <row r="84" spans="1:102" x14ac:dyDescent="0.35">
      <c r="A84" s="2">
        <v>204625</v>
      </c>
      <c r="B84" s="2">
        <v>204625</v>
      </c>
      <c r="C84" s="3" t="s">
        <v>563</v>
      </c>
      <c r="D84" s="48" t="s">
        <v>564</v>
      </c>
      <c r="E84" s="34" t="s">
        <v>561</v>
      </c>
      <c r="F84" s="47" t="s">
        <v>562</v>
      </c>
      <c r="G84" s="55">
        <v>6700</v>
      </c>
      <c r="H84" s="38">
        <v>1265216</v>
      </c>
      <c r="I84" s="37">
        <v>1197893</v>
      </c>
      <c r="J84" s="38">
        <v>1318522</v>
      </c>
      <c r="K84" s="39">
        <f t="shared" si="39"/>
        <v>-120629</v>
      </c>
      <c r="L84" s="5"/>
      <c r="M84" s="40">
        <f>K84/I84</f>
        <v>-0.10070098080546426</v>
      </c>
      <c r="N84" s="9" t="s">
        <v>284</v>
      </c>
      <c r="O84" s="41">
        <v>44567</v>
      </c>
      <c r="P84" s="42"/>
      <c r="Q84" s="38">
        <v>1318522</v>
      </c>
      <c r="R84" s="39">
        <f>J84-Q84</f>
        <v>0</v>
      </c>
      <c r="S84" s="5"/>
      <c r="T84" s="40">
        <v>0</v>
      </c>
      <c r="U84" s="51">
        <v>44594</v>
      </c>
      <c r="V84" s="5" t="s">
        <v>284</v>
      </c>
      <c r="W84" s="42"/>
      <c r="X84" s="38">
        <v>1318522</v>
      </c>
      <c r="Y84" s="38">
        <f t="shared" si="38"/>
        <v>0</v>
      </c>
      <c r="Z84" s="5"/>
      <c r="AA84" s="40">
        <v>0</v>
      </c>
      <c r="AB84" s="43">
        <v>44624</v>
      </c>
      <c r="AC84" s="5" t="s">
        <v>284</v>
      </c>
      <c r="AD84" s="42"/>
      <c r="AE84" s="38">
        <v>1265216</v>
      </c>
      <c r="AF84" s="38">
        <f>X84-AE84</f>
        <v>53306</v>
      </c>
      <c r="AG84" s="38"/>
      <c r="AH84" s="38"/>
      <c r="AI84" s="40">
        <f>AF84/X84</f>
        <v>4.0428601115491437E-2</v>
      </c>
      <c r="AJ84" s="44">
        <v>44656</v>
      </c>
      <c r="AK84" s="38" t="s">
        <v>284</v>
      </c>
      <c r="AL84" s="5"/>
      <c r="AM84" s="38">
        <v>1265216</v>
      </c>
      <c r="AN84" s="38">
        <f>AE84-AM84</f>
        <v>0</v>
      </c>
      <c r="AO84" s="38"/>
      <c r="AP84" s="38"/>
      <c r="AQ84" s="40">
        <v>0</v>
      </c>
      <c r="AR84" s="43">
        <v>44686</v>
      </c>
      <c r="AS84" s="5" t="s">
        <v>284</v>
      </c>
      <c r="AT84" s="5"/>
      <c r="AU84" s="38">
        <v>1265216</v>
      </c>
      <c r="AV84" s="38">
        <f>AM84-AU84</f>
        <v>0</v>
      </c>
      <c r="AW84" s="38"/>
      <c r="AX84" s="38"/>
      <c r="AY84" s="40">
        <v>0</v>
      </c>
      <c r="AZ84" s="44">
        <v>44715</v>
      </c>
      <c r="BA84" s="38" t="s">
        <v>284</v>
      </c>
      <c r="BB84" s="44">
        <v>44728</v>
      </c>
      <c r="BC84" s="38">
        <v>1265216</v>
      </c>
      <c r="BD84" s="38">
        <f t="shared" si="33"/>
        <v>0</v>
      </c>
      <c r="BE84" s="38"/>
      <c r="BF84" s="38"/>
      <c r="BG84" s="40">
        <v>0</v>
      </c>
      <c r="BH84" s="43">
        <v>44749</v>
      </c>
      <c r="BI84" s="5" t="s">
        <v>284</v>
      </c>
      <c r="BJ84" s="43">
        <v>44768</v>
      </c>
      <c r="BK84" s="38">
        <v>1265216</v>
      </c>
      <c r="BL84" s="38">
        <f t="shared" si="34"/>
        <v>0</v>
      </c>
      <c r="BM84" s="38"/>
      <c r="BN84" s="38"/>
      <c r="BO84" s="40">
        <v>0</v>
      </c>
      <c r="BP84" s="43">
        <v>44776</v>
      </c>
      <c r="BQ84" s="5" t="s">
        <v>284</v>
      </c>
      <c r="BR84" s="5"/>
      <c r="BS84" s="580"/>
      <c r="BT84" s="581"/>
      <c r="BU84" s="581"/>
      <c r="BV84" s="581"/>
      <c r="BW84" s="581"/>
      <c r="BX84" s="581"/>
      <c r="BY84" s="581"/>
      <c r="BZ84" s="582"/>
      <c r="CA84" s="38"/>
      <c r="CB84" s="38"/>
      <c r="CC84" s="38"/>
      <c r="CD84" s="38"/>
      <c r="CE84" s="40"/>
      <c r="CF84" s="43"/>
      <c r="CG84" s="5"/>
      <c r="CH84" s="5"/>
      <c r="CI84" s="38"/>
      <c r="CJ84" s="38"/>
      <c r="CK84" s="38"/>
      <c r="CL84" s="38"/>
      <c r="CM84" s="40"/>
      <c r="CN84" s="43"/>
      <c r="CO84" s="5"/>
      <c r="CP84" s="5"/>
      <c r="CQ84" s="38"/>
      <c r="CR84" s="38"/>
      <c r="CS84" s="38"/>
      <c r="CT84" s="38"/>
      <c r="CU84" s="40"/>
      <c r="CV84" s="43"/>
      <c r="CW84" s="5"/>
      <c r="CX84" s="5"/>
    </row>
    <row r="85" spans="1:102" x14ac:dyDescent="0.35">
      <c r="A85" s="2">
        <v>204603</v>
      </c>
      <c r="B85" s="2">
        <v>204603</v>
      </c>
      <c r="C85" s="3" t="s">
        <v>20</v>
      </c>
      <c r="D85" s="48" t="s">
        <v>567</v>
      </c>
      <c r="E85" s="34" t="s">
        <v>565</v>
      </c>
      <c r="F85" s="47" t="s">
        <v>566</v>
      </c>
      <c r="G85" s="55">
        <v>6701</v>
      </c>
      <c r="H85" s="37">
        <v>3157397</v>
      </c>
      <c r="I85" s="37">
        <v>3031742</v>
      </c>
      <c r="J85" s="38">
        <v>2870995</v>
      </c>
      <c r="K85" s="39">
        <f t="shared" si="39"/>
        <v>160747</v>
      </c>
      <c r="L85" s="5"/>
      <c r="M85" s="40">
        <f>K85/I85</f>
        <v>5.3021332290148701E-2</v>
      </c>
      <c r="N85" s="9" t="s">
        <v>284</v>
      </c>
      <c r="O85" s="41">
        <v>44586</v>
      </c>
      <c r="P85" s="42"/>
      <c r="Q85" s="38">
        <v>3049051</v>
      </c>
      <c r="R85" s="39">
        <f>I85-Q85</f>
        <v>-17309</v>
      </c>
      <c r="S85" s="5"/>
      <c r="T85" s="40">
        <f>R85/I85</f>
        <v>-5.70925890131812E-3</v>
      </c>
      <c r="U85" s="51">
        <v>44620</v>
      </c>
      <c r="V85" s="5" t="s">
        <v>284</v>
      </c>
      <c r="W85" s="42"/>
      <c r="X85" s="38">
        <v>2875189</v>
      </c>
      <c r="Y85" s="38">
        <f>Q85-X85</f>
        <v>173862</v>
      </c>
      <c r="Z85" s="5"/>
      <c r="AA85" s="40">
        <f>Y85/Q85</f>
        <v>5.7021676580680351E-2</v>
      </c>
      <c r="AB85" s="51">
        <v>44648</v>
      </c>
      <c r="AC85" s="5" t="s">
        <v>284</v>
      </c>
      <c r="AD85" s="42"/>
      <c r="AE85" s="38">
        <v>3581165</v>
      </c>
      <c r="AF85" s="38"/>
      <c r="AG85" s="38">
        <f>I85-AE85</f>
        <v>-549423</v>
      </c>
      <c r="AH85" s="38"/>
      <c r="AI85" s="40">
        <f>AG85/I85</f>
        <v>-0.18122353419255333</v>
      </c>
      <c r="AJ85" s="44">
        <v>44683</v>
      </c>
      <c r="AK85" s="38" t="s">
        <v>284</v>
      </c>
      <c r="AL85" s="5"/>
      <c r="AM85" s="38">
        <v>3002711</v>
      </c>
      <c r="AN85" s="38">
        <f>AE85-AM85</f>
        <v>578454</v>
      </c>
      <c r="AO85" s="38"/>
      <c r="AP85" s="38"/>
      <c r="AQ85" s="40">
        <f>AN85/AE85</f>
        <v>0.16152676573126343</v>
      </c>
      <c r="AR85" s="43">
        <v>44712</v>
      </c>
      <c r="AS85" s="5" t="s">
        <v>284</v>
      </c>
      <c r="AT85" s="42"/>
      <c r="AU85" s="38">
        <v>3243743</v>
      </c>
      <c r="AV85" s="38"/>
      <c r="AW85" s="38">
        <f>AM85-AU85</f>
        <v>-241032</v>
      </c>
      <c r="AX85" s="38"/>
      <c r="AY85" s="40">
        <f>AW85/AM85</f>
        <v>-8.0271461356087884E-2</v>
      </c>
      <c r="AZ85" s="44">
        <v>44725</v>
      </c>
      <c r="BA85" s="38" t="s">
        <v>284</v>
      </c>
      <c r="BB85" s="44">
        <v>44755</v>
      </c>
      <c r="BC85" s="38">
        <v>3044629</v>
      </c>
      <c r="BD85" s="38">
        <f>AU85-BC85</f>
        <v>199114</v>
      </c>
      <c r="BE85" s="38"/>
      <c r="BF85" s="38"/>
      <c r="BG85" s="40">
        <f>BD85/AU85</f>
        <v>6.1384024566681149E-2</v>
      </c>
      <c r="BH85" s="43">
        <v>44753</v>
      </c>
      <c r="BI85" s="5" t="s">
        <v>284</v>
      </c>
      <c r="BJ85" s="43">
        <v>44768</v>
      </c>
      <c r="BK85" s="38">
        <v>3157397</v>
      </c>
      <c r="BL85" s="38">
        <f>AU85-BK85</f>
        <v>86346</v>
      </c>
      <c r="BM85" s="38"/>
      <c r="BN85" s="38"/>
      <c r="BO85" s="40">
        <f>BL85/AU85</f>
        <v>2.6619248195680113E-2</v>
      </c>
      <c r="BP85" s="43">
        <v>44785</v>
      </c>
      <c r="BQ85" s="5" t="s">
        <v>284</v>
      </c>
      <c r="BR85" s="5"/>
      <c r="BS85" s="38"/>
      <c r="BT85" s="38"/>
      <c r="BU85" s="38"/>
      <c r="BV85" s="38"/>
      <c r="BW85" s="40"/>
      <c r="BX85" s="43"/>
      <c r="BY85" s="5"/>
      <c r="BZ85" s="5"/>
      <c r="CA85" s="38"/>
      <c r="CB85" s="38"/>
      <c r="CC85" s="38"/>
      <c r="CD85" s="38"/>
      <c r="CE85" s="40"/>
      <c r="CF85" s="43"/>
      <c r="CG85" s="5"/>
      <c r="CH85" s="5"/>
      <c r="CI85" s="38"/>
      <c r="CJ85" s="38"/>
      <c r="CK85" s="38"/>
      <c r="CL85" s="38"/>
      <c r="CM85" s="40"/>
      <c r="CN85" s="43"/>
      <c r="CO85" s="5"/>
      <c r="CP85" s="5"/>
      <c r="CQ85" s="38"/>
      <c r="CR85" s="38"/>
      <c r="CS85" s="38"/>
      <c r="CT85" s="38"/>
      <c r="CU85" s="40"/>
      <c r="CV85" s="58"/>
      <c r="CW85" s="57"/>
      <c r="CX85" s="5"/>
    </row>
    <row r="86" spans="1:102" x14ac:dyDescent="0.35">
      <c r="A86" s="2">
        <v>204608</v>
      </c>
      <c r="B86" s="2">
        <v>204608</v>
      </c>
      <c r="C86" s="3" t="s">
        <v>84</v>
      </c>
      <c r="D86" s="48" t="s">
        <v>570</v>
      </c>
      <c r="E86" s="34" t="s">
        <v>568</v>
      </c>
      <c r="F86" s="47" t="s">
        <v>569</v>
      </c>
      <c r="G86" s="55">
        <v>6711</v>
      </c>
      <c r="H86" s="38">
        <v>2653578</v>
      </c>
      <c r="I86" s="37">
        <v>2440963</v>
      </c>
      <c r="J86" s="38">
        <v>2686768</v>
      </c>
      <c r="K86" s="39">
        <f t="shared" si="39"/>
        <v>-245805</v>
      </c>
      <c r="L86" s="5"/>
      <c r="M86" s="40">
        <f>K86/I86</f>
        <v>-0.10070001061056641</v>
      </c>
      <c r="N86" s="9" t="s">
        <v>284</v>
      </c>
      <c r="O86" s="41">
        <v>44567</v>
      </c>
      <c r="P86" s="42"/>
      <c r="Q86" s="38">
        <v>2686768</v>
      </c>
      <c r="R86" s="39">
        <f t="shared" ref="R86:R96" si="40">J86-Q86</f>
        <v>0</v>
      </c>
      <c r="S86" s="5"/>
      <c r="T86" s="40">
        <v>0</v>
      </c>
      <c r="U86" s="51">
        <v>44594</v>
      </c>
      <c r="V86" s="5" t="s">
        <v>284</v>
      </c>
      <c r="W86" s="42"/>
      <c r="X86" s="38">
        <v>2686768</v>
      </c>
      <c r="Y86" s="38">
        <f t="shared" ref="Y86:Y94" si="41">Q86-X86</f>
        <v>0</v>
      </c>
      <c r="Z86" s="5"/>
      <c r="AA86" s="40">
        <v>0</v>
      </c>
      <c r="AB86" s="51">
        <v>44622</v>
      </c>
      <c r="AC86" s="5" t="s">
        <v>284</v>
      </c>
      <c r="AD86" s="42"/>
      <c r="AE86" s="38">
        <v>2554009</v>
      </c>
      <c r="AF86" s="38">
        <f t="shared" ref="AF86:AF97" si="42">X86-AE86</f>
        <v>132759</v>
      </c>
      <c r="AG86" s="38"/>
      <c r="AH86" s="38"/>
      <c r="AI86" s="40">
        <f>AF86/X86</f>
        <v>4.9412156166814554E-2</v>
      </c>
      <c r="AJ86" s="44">
        <v>44656</v>
      </c>
      <c r="AK86" s="38" t="s">
        <v>284</v>
      </c>
      <c r="AL86" s="5"/>
      <c r="AM86" s="38">
        <v>2653578</v>
      </c>
      <c r="AN86" s="38">
        <f>X86-AM86</f>
        <v>33190</v>
      </c>
      <c r="AO86" s="38"/>
      <c r="AP86" s="38"/>
      <c r="AQ86" s="40">
        <f>AN86/X86</f>
        <v>1.2353132090303294E-2</v>
      </c>
      <c r="AR86" s="43">
        <v>44684</v>
      </c>
      <c r="AS86" s="5" t="s">
        <v>284</v>
      </c>
      <c r="AT86" s="5"/>
      <c r="AU86" s="38">
        <v>2653578</v>
      </c>
      <c r="AV86" s="38">
        <f>AM86-AU86</f>
        <v>0</v>
      </c>
      <c r="AW86" s="38"/>
      <c r="AX86" s="38"/>
      <c r="AY86" s="40">
        <v>0</v>
      </c>
      <c r="AZ86" s="44">
        <v>44715</v>
      </c>
      <c r="BA86" s="38" t="s">
        <v>284</v>
      </c>
      <c r="BB86" s="44">
        <v>44728</v>
      </c>
      <c r="BC86" s="38">
        <v>2653578</v>
      </c>
      <c r="BD86" s="38">
        <f t="shared" ref="BD86:BD92" si="43">AU86-BC86</f>
        <v>0</v>
      </c>
      <c r="BE86" s="38"/>
      <c r="BF86" s="38"/>
      <c r="BG86" s="40">
        <v>0</v>
      </c>
      <c r="BH86" s="43">
        <v>44743</v>
      </c>
      <c r="BI86" s="5" t="s">
        <v>284</v>
      </c>
      <c r="BJ86" s="43">
        <v>44757</v>
      </c>
      <c r="BK86" s="38">
        <v>2653578</v>
      </c>
      <c r="BL86" s="38">
        <f>BC86-BK86</f>
        <v>0</v>
      </c>
      <c r="BM86" s="38"/>
      <c r="BN86" s="38"/>
      <c r="BO86" s="40">
        <v>0</v>
      </c>
      <c r="BP86" s="43">
        <v>44775</v>
      </c>
      <c r="BQ86" s="5" t="s">
        <v>284</v>
      </c>
      <c r="BR86" s="5"/>
      <c r="BS86" s="38"/>
      <c r="BT86" s="38"/>
      <c r="BU86" s="38"/>
      <c r="BV86" s="38"/>
      <c r="BW86" s="40"/>
      <c r="BX86" s="43"/>
      <c r="BY86" s="5"/>
      <c r="BZ86" s="5"/>
      <c r="CA86" s="38"/>
      <c r="CB86" s="38"/>
      <c r="CC86" s="38"/>
      <c r="CD86" s="38"/>
      <c r="CE86" s="40"/>
      <c r="CF86" s="43"/>
      <c r="CG86" s="5"/>
      <c r="CH86" s="5"/>
      <c r="CI86" s="38"/>
      <c r="CJ86" s="38"/>
      <c r="CK86" s="38"/>
      <c r="CL86" s="38"/>
      <c r="CM86" s="40"/>
      <c r="CN86" s="43"/>
      <c r="CO86" s="5"/>
      <c r="CP86" s="5"/>
      <c r="CQ86" s="38"/>
      <c r="CR86" s="38"/>
      <c r="CS86" s="38"/>
      <c r="CT86" s="38"/>
      <c r="CU86" s="40"/>
      <c r="CV86" s="43"/>
      <c r="CW86" s="5"/>
      <c r="CX86" s="5"/>
    </row>
    <row r="87" spans="1:102" x14ac:dyDescent="0.35">
      <c r="A87" s="2">
        <v>204611</v>
      </c>
      <c r="B87" s="2">
        <v>204611</v>
      </c>
      <c r="C87" s="3" t="s">
        <v>89</v>
      </c>
      <c r="D87" s="48" t="s">
        <v>573</v>
      </c>
      <c r="E87" s="34" t="s">
        <v>571</v>
      </c>
      <c r="F87" s="47" t="s">
        <v>572</v>
      </c>
      <c r="G87" s="55">
        <v>6714</v>
      </c>
      <c r="H87" s="38">
        <v>1106138</v>
      </c>
      <c r="I87" s="37">
        <v>1033774</v>
      </c>
      <c r="J87" s="38">
        <v>1137875</v>
      </c>
      <c r="K87" s="39">
        <f t="shared" si="39"/>
        <v>-104101</v>
      </c>
      <c r="L87" s="5"/>
      <c r="M87" s="40">
        <f>K87/I87</f>
        <v>-0.1006999595656304</v>
      </c>
      <c r="N87" s="9" t="s">
        <v>284</v>
      </c>
      <c r="O87" s="41">
        <v>44568</v>
      </c>
      <c r="P87" s="42"/>
      <c r="Q87" s="38">
        <v>1137875</v>
      </c>
      <c r="R87" s="39">
        <f t="shared" si="40"/>
        <v>0</v>
      </c>
      <c r="S87" s="5"/>
      <c r="T87" s="40">
        <v>0</v>
      </c>
      <c r="U87" s="43">
        <v>44600</v>
      </c>
      <c r="V87" s="5" t="s">
        <v>284</v>
      </c>
      <c r="W87" s="42"/>
      <c r="X87" s="38">
        <v>1137875</v>
      </c>
      <c r="Y87" s="38">
        <f t="shared" si="41"/>
        <v>0</v>
      </c>
      <c r="Z87" s="5"/>
      <c r="AA87" s="40">
        <v>0</v>
      </c>
      <c r="AB87" s="43">
        <v>44624</v>
      </c>
      <c r="AC87" s="5" t="s">
        <v>284</v>
      </c>
      <c r="AD87" s="42"/>
      <c r="AE87" s="38">
        <v>1106138</v>
      </c>
      <c r="AF87" s="38">
        <f t="shared" si="42"/>
        <v>31737</v>
      </c>
      <c r="AG87" s="38"/>
      <c r="AH87" s="38"/>
      <c r="AI87" s="40">
        <f>AF87/X87</f>
        <v>2.7891464352411292E-2</v>
      </c>
      <c r="AJ87" s="44">
        <v>44658</v>
      </c>
      <c r="AK87" s="38" t="s">
        <v>284</v>
      </c>
      <c r="AL87" s="5"/>
      <c r="AM87" s="38">
        <v>1106138</v>
      </c>
      <c r="AN87" s="38">
        <f>AE87-AM87</f>
        <v>0</v>
      </c>
      <c r="AO87" s="38"/>
      <c r="AP87" s="38"/>
      <c r="AQ87" s="40">
        <v>0</v>
      </c>
      <c r="AR87" s="43">
        <v>44690</v>
      </c>
      <c r="AS87" s="5" t="s">
        <v>284</v>
      </c>
      <c r="AT87" s="5"/>
      <c r="AU87" s="38">
        <v>1106138</v>
      </c>
      <c r="AV87" s="38">
        <f>AM87-AU87</f>
        <v>0</v>
      </c>
      <c r="AW87" s="38"/>
      <c r="AX87" s="38"/>
      <c r="AY87" s="40">
        <v>0</v>
      </c>
      <c r="AZ87" s="44">
        <v>44719</v>
      </c>
      <c r="BA87" s="38" t="s">
        <v>284</v>
      </c>
      <c r="BB87" s="44">
        <v>44736</v>
      </c>
      <c r="BC87" s="38">
        <v>1106138</v>
      </c>
      <c r="BD87" s="38">
        <f t="shared" si="43"/>
        <v>0</v>
      </c>
      <c r="BE87" s="38"/>
      <c r="BF87" s="38"/>
      <c r="BG87" s="40">
        <v>0</v>
      </c>
      <c r="BH87" s="43">
        <v>44748</v>
      </c>
      <c r="BI87" s="5" t="s">
        <v>284</v>
      </c>
      <c r="BJ87" s="43">
        <v>44757</v>
      </c>
      <c r="BK87" s="38">
        <v>1106138</v>
      </c>
      <c r="BL87" s="38">
        <f>BC87-BK87</f>
        <v>0</v>
      </c>
      <c r="BM87" s="38"/>
      <c r="BN87" s="38"/>
      <c r="BO87" s="40">
        <v>0</v>
      </c>
      <c r="BP87" s="43">
        <v>44778</v>
      </c>
      <c r="BQ87" s="5" t="s">
        <v>284</v>
      </c>
      <c r="BR87" s="5"/>
      <c r="BS87" s="38"/>
      <c r="BT87" s="38"/>
      <c r="BU87" s="38"/>
      <c r="BV87" s="38"/>
      <c r="BW87" s="40"/>
      <c r="BX87" s="43"/>
      <c r="BY87" s="5"/>
      <c r="BZ87" s="5"/>
      <c r="CA87" s="38"/>
      <c r="CB87" s="38"/>
      <c r="CC87" s="38"/>
      <c r="CD87" s="38"/>
      <c r="CE87" s="40"/>
      <c r="CF87" s="43"/>
      <c r="CG87" s="5"/>
      <c r="CH87" s="5"/>
      <c r="CI87" s="38"/>
      <c r="CJ87" s="38"/>
      <c r="CK87" s="38"/>
      <c r="CL87" s="38"/>
      <c r="CM87" s="40"/>
      <c r="CN87" s="43"/>
      <c r="CO87" s="5"/>
      <c r="CP87" s="5"/>
      <c r="CQ87" s="38"/>
      <c r="CR87" s="38"/>
      <c r="CS87" s="38"/>
      <c r="CT87" s="38"/>
      <c r="CU87" s="40"/>
      <c r="CV87" s="43"/>
      <c r="CW87" s="5"/>
      <c r="CX87" s="5"/>
    </row>
    <row r="88" spans="1:102" x14ac:dyDescent="0.35">
      <c r="A88" s="2">
        <v>204633</v>
      </c>
      <c r="B88" s="2">
        <v>204633</v>
      </c>
      <c r="C88" s="3" t="s">
        <v>576</v>
      </c>
      <c r="D88" s="48" t="s">
        <v>577</v>
      </c>
      <c r="E88" s="34" t="s">
        <v>574</v>
      </c>
      <c r="F88" s="47" t="s">
        <v>575</v>
      </c>
      <c r="G88" s="55">
        <v>6715</v>
      </c>
      <c r="H88" s="37">
        <v>1173620</v>
      </c>
      <c r="I88" s="37">
        <v>1111200</v>
      </c>
      <c r="J88" s="38">
        <v>1111200</v>
      </c>
      <c r="K88" s="39">
        <f>I88-J88</f>
        <v>0</v>
      </c>
      <c r="L88" s="5"/>
      <c r="M88" s="40">
        <v>0</v>
      </c>
      <c r="N88" s="41" t="s">
        <v>284</v>
      </c>
      <c r="O88" s="41">
        <v>44565</v>
      </c>
      <c r="P88" s="42"/>
      <c r="Q88" s="38">
        <v>1111200</v>
      </c>
      <c r="R88" s="39">
        <f t="shared" si="40"/>
        <v>0</v>
      </c>
      <c r="S88" s="5"/>
      <c r="T88" s="40">
        <v>0</v>
      </c>
      <c r="U88" s="43">
        <v>44596</v>
      </c>
      <c r="V88" s="5" t="s">
        <v>284</v>
      </c>
      <c r="W88" s="42"/>
      <c r="X88" s="38">
        <v>1298516</v>
      </c>
      <c r="Y88" s="38">
        <f t="shared" si="41"/>
        <v>-187316</v>
      </c>
      <c r="Z88" s="5"/>
      <c r="AA88" s="40">
        <f>Y88/Q88</f>
        <v>-0.16857091432685384</v>
      </c>
      <c r="AB88" s="43">
        <v>44624</v>
      </c>
      <c r="AC88" s="5" t="s">
        <v>284</v>
      </c>
      <c r="AD88" s="42"/>
      <c r="AE88" s="38">
        <v>1173620</v>
      </c>
      <c r="AF88" s="38">
        <f t="shared" si="42"/>
        <v>124896</v>
      </c>
      <c r="AG88" s="38"/>
      <c r="AH88" s="38"/>
      <c r="AI88" s="46">
        <f>AF88/X88</f>
        <v>9.6183643482252043E-2</v>
      </c>
      <c r="AJ88" s="44">
        <v>44656</v>
      </c>
      <c r="AK88" s="38" t="s">
        <v>284</v>
      </c>
      <c r="AL88" s="5"/>
      <c r="AM88" s="38">
        <v>1173620</v>
      </c>
      <c r="AN88" s="38">
        <f>AE88-AM88</f>
        <v>0</v>
      </c>
      <c r="AO88" s="38"/>
      <c r="AP88" s="38"/>
      <c r="AQ88" s="40">
        <v>0</v>
      </c>
      <c r="AR88" s="43">
        <v>44683</v>
      </c>
      <c r="AS88" s="5" t="s">
        <v>284</v>
      </c>
      <c r="AT88" s="5"/>
      <c r="AU88" s="38">
        <v>1173620</v>
      </c>
      <c r="AV88" s="38">
        <f>AM88-AU88</f>
        <v>0</v>
      </c>
      <c r="AW88" s="38"/>
      <c r="AX88" s="38"/>
      <c r="AY88" s="40">
        <v>0</v>
      </c>
      <c r="AZ88" s="44">
        <v>44715</v>
      </c>
      <c r="BA88" s="38" t="s">
        <v>284</v>
      </c>
      <c r="BB88" s="44">
        <v>44728</v>
      </c>
      <c r="BC88" s="38">
        <v>1173620</v>
      </c>
      <c r="BD88" s="38">
        <f t="shared" si="43"/>
        <v>0</v>
      </c>
      <c r="BE88" s="38"/>
      <c r="BF88" s="38"/>
      <c r="BG88" s="40">
        <v>0</v>
      </c>
      <c r="BH88" s="43">
        <v>44748</v>
      </c>
      <c r="BI88" s="5" t="s">
        <v>284</v>
      </c>
      <c r="BJ88" s="43">
        <v>44757</v>
      </c>
      <c r="BK88" s="38">
        <v>1173620</v>
      </c>
      <c r="BL88" s="38">
        <f>BC88-BK88</f>
        <v>0</v>
      </c>
      <c r="BM88" s="38"/>
      <c r="BN88" s="38"/>
      <c r="BO88" s="40">
        <v>0</v>
      </c>
      <c r="BP88" s="43">
        <v>44775</v>
      </c>
      <c r="BQ88" s="5" t="s">
        <v>284</v>
      </c>
      <c r="BR88" s="5"/>
      <c r="BS88" s="38"/>
      <c r="BT88" s="38"/>
      <c r="BU88" s="38"/>
      <c r="BV88" s="38"/>
      <c r="BW88" s="40"/>
      <c r="BX88" s="43"/>
      <c r="BY88" s="5"/>
      <c r="BZ88" s="5"/>
      <c r="CA88" s="38"/>
      <c r="CB88" s="38"/>
      <c r="CC88" s="38"/>
      <c r="CD88" s="38"/>
      <c r="CE88" s="40"/>
      <c r="CF88" s="43"/>
      <c r="CG88" s="5"/>
      <c r="CH88" s="5"/>
      <c r="CI88" s="38"/>
      <c r="CJ88" s="38"/>
      <c r="CK88" s="38"/>
      <c r="CL88" s="38"/>
      <c r="CM88" s="40"/>
      <c r="CN88" s="43"/>
      <c r="CO88" s="5"/>
      <c r="CP88" s="5"/>
      <c r="CQ88" s="38"/>
      <c r="CR88" s="38"/>
      <c r="CS88" s="38"/>
      <c r="CT88" s="38"/>
      <c r="CU88" s="40"/>
      <c r="CV88" s="43"/>
      <c r="CW88" s="5"/>
      <c r="CX88" s="5"/>
    </row>
    <row r="89" spans="1:102" x14ac:dyDescent="0.35">
      <c r="A89" s="2">
        <v>204629</v>
      </c>
      <c r="B89" s="2">
        <v>204629</v>
      </c>
      <c r="C89" s="3" t="s">
        <v>88</v>
      </c>
      <c r="D89" s="48" t="s">
        <v>580</v>
      </c>
      <c r="E89" s="34" t="s">
        <v>578</v>
      </c>
      <c r="F89" s="47" t="s">
        <v>579</v>
      </c>
      <c r="G89" s="55" t="s">
        <v>153</v>
      </c>
      <c r="H89" s="38">
        <v>2614301</v>
      </c>
      <c r="I89" s="37">
        <v>2477711</v>
      </c>
      <c r="J89" s="38">
        <v>2559400</v>
      </c>
      <c r="K89" s="39">
        <f t="shared" ref="K89:K94" si="44">I89-J89</f>
        <v>-81689</v>
      </c>
      <c r="L89" s="5"/>
      <c r="M89" s="40">
        <f>K89/H89</f>
        <v>-3.1246975769048783E-2</v>
      </c>
      <c r="N89" s="41" t="s">
        <v>284</v>
      </c>
      <c r="O89" s="41">
        <v>44565</v>
      </c>
      <c r="P89" s="42"/>
      <c r="Q89" s="38">
        <v>2559400</v>
      </c>
      <c r="R89" s="39">
        <f t="shared" si="40"/>
        <v>0</v>
      </c>
      <c r="S89" s="5"/>
      <c r="T89" s="40">
        <v>0</v>
      </c>
      <c r="U89" s="43">
        <v>44593</v>
      </c>
      <c r="V89" s="5" t="s">
        <v>284</v>
      </c>
      <c r="W89" s="42"/>
      <c r="X89" s="38">
        <v>2614301</v>
      </c>
      <c r="Y89" s="38">
        <f t="shared" si="41"/>
        <v>-54901</v>
      </c>
      <c r="Z89" s="38"/>
      <c r="AA89" s="40">
        <f>Y89/Q89</f>
        <v>-2.145073063999375E-2</v>
      </c>
      <c r="AB89" s="51">
        <v>44622</v>
      </c>
      <c r="AC89" s="5" t="s">
        <v>284</v>
      </c>
      <c r="AD89" s="42"/>
      <c r="AE89" s="38">
        <v>2614301</v>
      </c>
      <c r="AF89" s="38">
        <f t="shared" si="42"/>
        <v>0</v>
      </c>
      <c r="AG89" s="38"/>
      <c r="AH89" s="38"/>
      <c r="AI89" s="40">
        <v>0</v>
      </c>
      <c r="AJ89" s="44">
        <v>44658</v>
      </c>
      <c r="AK89" s="38" t="s">
        <v>284</v>
      </c>
      <c r="AL89" s="5"/>
      <c r="AM89" s="38">
        <v>2614301</v>
      </c>
      <c r="AN89" s="38">
        <f>AE89-AM89</f>
        <v>0</v>
      </c>
      <c r="AO89" s="38"/>
      <c r="AP89" s="38"/>
      <c r="AQ89" s="40">
        <v>0</v>
      </c>
      <c r="AR89" s="43">
        <v>44684</v>
      </c>
      <c r="AS89" s="5" t="s">
        <v>284</v>
      </c>
      <c r="AT89" s="5"/>
      <c r="AU89" s="38">
        <v>2614301</v>
      </c>
      <c r="AV89" s="38">
        <f>AM89-AU89</f>
        <v>0</v>
      </c>
      <c r="AW89" s="38"/>
      <c r="AX89" s="38"/>
      <c r="AY89" s="40">
        <v>0</v>
      </c>
      <c r="AZ89" s="44">
        <v>44719</v>
      </c>
      <c r="BA89" s="38" t="s">
        <v>284</v>
      </c>
      <c r="BB89" s="44">
        <v>44736</v>
      </c>
      <c r="BC89" s="38">
        <v>2614301</v>
      </c>
      <c r="BD89" s="38">
        <f t="shared" si="43"/>
        <v>0</v>
      </c>
      <c r="BE89" s="38"/>
      <c r="BF89" s="38"/>
      <c r="BG89" s="40">
        <v>0</v>
      </c>
      <c r="BH89" s="43">
        <v>44748</v>
      </c>
      <c r="BI89" s="5" t="s">
        <v>284</v>
      </c>
      <c r="BJ89" s="43">
        <v>44757</v>
      </c>
      <c r="BK89" s="38">
        <v>2614301</v>
      </c>
      <c r="BL89" s="38">
        <f>BC89-BK89</f>
        <v>0</v>
      </c>
      <c r="BM89" s="38"/>
      <c r="BN89" s="38"/>
      <c r="BO89" s="40">
        <v>0</v>
      </c>
      <c r="BP89" s="43">
        <v>44775</v>
      </c>
      <c r="BQ89" s="5" t="s">
        <v>284</v>
      </c>
      <c r="BR89" s="5"/>
      <c r="BS89" s="38"/>
      <c r="BT89" s="38"/>
      <c r="BU89" s="38"/>
      <c r="BV89" s="38"/>
      <c r="BW89" s="40"/>
      <c r="BX89" s="43"/>
      <c r="BY89" s="5"/>
      <c r="BZ89" s="5"/>
      <c r="CA89" s="38"/>
      <c r="CB89" s="38"/>
      <c r="CC89" s="38"/>
      <c r="CD89" s="38"/>
      <c r="CE89" s="40"/>
      <c r="CF89" s="43"/>
      <c r="CG89" s="5"/>
      <c r="CH89" s="5"/>
      <c r="CI89" s="38"/>
      <c r="CJ89" s="38"/>
      <c r="CK89" s="38"/>
      <c r="CL89" s="38"/>
      <c r="CM89" s="40"/>
      <c r="CN89" s="43"/>
      <c r="CO89" s="5"/>
      <c r="CP89" s="5"/>
      <c r="CQ89" s="38"/>
      <c r="CR89" s="38"/>
      <c r="CS89" s="38"/>
      <c r="CT89" s="38"/>
      <c r="CU89" s="40"/>
      <c r="CV89" s="43"/>
      <c r="CW89" s="5"/>
      <c r="CX89" s="5"/>
    </row>
    <row r="90" spans="1:102" x14ac:dyDescent="0.35">
      <c r="A90" s="2">
        <v>204625</v>
      </c>
      <c r="B90" s="2">
        <v>204625</v>
      </c>
      <c r="C90" s="3" t="s">
        <v>563</v>
      </c>
      <c r="D90" s="48" t="s">
        <v>564</v>
      </c>
      <c r="E90" s="34" t="s">
        <v>581</v>
      </c>
      <c r="F90" s="47" t="s">
        <v>582</v>
      </c>
      <c r="G90" s="55">
        <v>6717</v>
      </c>
      <c r="H90" s="38">
        <v>797315</v>
      </c>
      <c r="I90" s="37">
        <v>754890</v>
      </c>
      <c r="J90" s="38">
        <v>830908</v>
      </c>
      <c r="K90" s="39">
        <f t="shared" si="44"/>
        <v>-76018</v>
      </c>
      <c r="L90" s="5"/>
      <c r="M90" s="40">
        <f>K90/I90</f>
        <v>-0.10070076434977282</v>
      </c>
      <c r="N90" s="9" t="s">
        <v>284</v>
      </c>
      <c r="O90" s="41">
        <v>44567</v>
      </c>
      <c r="P90" s="42"/>
      <c r="Q90" s="38">
        <v>830908</v>
      </c>
      <c r="R90" s="39">
        <f t="shared" si="40"/>
        <v>0</v>
      </c>
      <c r="S90" s="5"/>
      <c r="T90" s="40">
        <v>0</v>
      </c>
      <c r="U90" s="51">
        <v>44594</v>
      </c>
      <c r="V90" s="5" t="s">
        <v>284</v>
      </c>
      <c r="W90" s="42"/>
      <c r="X90" s="38">
        <v>830908</v>
      </c>
      <c r="Y90" s="38">
        <f t="shared" si="41"/>
        <v>0</v>
      </c>
      <c r="Z90" s="5"/>
      <c r="AA90" s="40">
        <v>0</v>
      </c>
      <c r="AB90" s="43">
        <v>44624</v>
      </c>
      <c r="AC90" s="5" t="s">
        <v>284</v>
      </c>
      <c r="AD90" s="42"/>
      <c r="AE90" s="38">
        <v>797315</v>
      </c>
      <c r="AF90" s="38">
        <f t="shared" si="42"/>
        <v>33593</v>
      </c>
      <c r="AG90" s="38"/>
      <c r="AH90" s="38"/>
      <c r="AI90" s="40">
        <f>AF90/X90</f>
        <v>4.0429265333827569E-2</v>
      </c>
      <c r="AJ90" s="44">
        <v>44656</v>
      </c>
      <c r="AK90" s="38" t="s">
        <v>284</v>
      </c>
      <c r="AL90" s="5"/>
      <c r="AM90" s="38">
        <v>797315</v>
      </c>
      <c r="AN90" s="38">
        <f>AE90-AM90</f>
        <v>0</v>
      </c>
      <c r="AO90" s="38"/>
      <c r="AP90" s="38"/>
      <c r="AQ90" s="40">
        <v>0</v>
      </c>
      <c r="AR90" s="43">
        <v>44686</v>
      </c>
      <c r="AS90" s="5" t="s">
        <v>284</v>
      </c>
      <c r="AT90" s="5"/>
      <c r="AU90" s="38">
        <v>797315</v>
      </c>
      <c r="AV90" s="38">
        <f>AM90-AU90</f>
        <v>0</v>
      </c>
      <c r="AW90" s="38"/>
      <c r="AX90" s="38"/>
      <c r="AY90" s="40">
        <v>0</v>
      </c>
      <c r="AZ90" s="44">
        <v>44715</v>
      </c>
      <c r="BA90" s="38" t="s">
        <v>284</v>
      </c>
      <c r="BB90" s="44">
        <v>44728</v>
      </c>
      <c r="BC90" s="38">
        <v>797315</v>
      </c>
      <c r="BD90" s="38">
        <f t="shared" si="43"/>
        <v>0</v>
      </c>
      <c r="BE90" s="38"/>
      <c r="BF90" s="38"/>
      <c r="BG90" s="40">
        <v>0</v>
      </c>
      <c r="BH90" s="43">
        <v>44749</v>
      </c>
      <c r="BI90" s="5" t="s">
        <v>284</v>
      </c>
      <c r="BJ90" s="43">
        <v>44768</v>
      </c>
      <c r="BK90" s="38">
        <v>797315</v>
      </c>
      <c r="BL90" s="38">
        <f>BC90-BK90</f>
        <v>0</v>
      </c>
      <c r="BM90" s="38"/>
      <c r="BN90" s="38"/>
      <c r="BO90" s="40">
        <v>0</v>
      </c>
      <c r="BP90" s="43">
        <v>44776</v>
      </c>
      <c r="BQ90" s="5" t="s">
        <v>284</v>
      </c>
      <c r="BR90" s="5"/>
      <c r="BS90" s="580"/>
      <c r="BT90" s="581"/>
      <c r="BU90" s="581"/>
      <c r="BV90" s="581"/>
      <c r="BW90" s="581"/>
      <c r="BX90" s="581"/>
      <c r="BY90" s="581"/>
      <c r="BZ90" s="582"/>
      <c r="CA90" s="38"/>
      <c r="CB90" s="38"/>
      <c r="CC90" s="38"/>
      <c r="CD90" s="38"/>
      <c r="CE90" s="40"/>
      <c r="CF90" s="43"/>
      <c r="CG90" s="5"/>
      <c r="CH90" s="5"/>
      <c r="CI90" s="38"/>
      <c r="CJ90" s="38"/>
      <c r="CK90" s="38"/>
      <c r="CL90" s="38"/>
      <c r="CM90" s="40"/>
      <c r="CN90" s="43"/>
      <c r="CO90" s="5"/>
      <c r="CP90" s="5"/>
      <c r="CQ90" s="38"/>
      <c r="CR90" s="38"/>
      <c r="CS90" s="38"/>
      <c r="CT90" s="38"/>
      <c r="CU90" s="40"/>
      <c r="CV90" s="43"/>
      <c r="CW90" s="5"/>
      <c r="CX90" s="5"/>
    </row>
    <row r="91" spans="1:102" x14ac:dyDescent="0.35">
      <c r="A91" s="2">
        <v>204577</v>
      </c>
      <c r="B91" s="2">
        <v>204577</v>
      </c>
      <c r="C91" s="3" t="s">
        <v>585</v>
      </c>
      <c r="D91" s="48" t="s">
        <v>586</v>
      </c>
      <c r="E91" s="34" t="s">
        <v>583</v>
      </c>
      <c r="F91" s="47" t="s">
        <v>584</v>
      </c>
      <c r="G91" s="55">
        <v>6718</v>
      </c>
      <c r="H91" s="38">
        <v>1291000</v>
      </c>
      <c r="I91" s="37">
        <v>1174000</v>
      </c>
      <c r="J91" s="38">
        <v>1291000</v>
      </c>
      <c r="K91" s="39">
        <f t="shared" si="44"/>
        <v>-117000</v>
      </c>
      <c r="L91" s="5"/>
      <c r="M91" s="40">
        <f>K91/I91</f>
        <v>-9.9659284497444628E-2</v>
      </c>
      <c r="N91" s="9" t="s">
        <v>284</v>
      </c>
      <c r="O91" s="41">
        <v>44578</v>
      </c>
      <c r="P91" s="42"/>
      <c r="Q91" s="38">
        <v>1291000</v>
      </c>
      <c r="R91" s="39">
        <f t="shared" si="40"/>
        <v>0</v>
      </c>
      <c r="S91" s="5"/>
      <c r="T91" s="40">
        <v>0</v>
      </c>
      <c r="U91" s="51">
        <v>44608</v>
      </c>
      <c r="V91" s="5" t="s">
        <v>284</v>
      </c>
      <c r="W91" s="42"/>
      <c r="X91" s="38">
        <v>1291000</v>
      </c>
      <c r="Y91" s="38">
        <f t="shared" si="41"/>
        <v>0</v>
      </c>
      <c r="Z91" s="5"/>
      <c r="AA91" s="40">
        <v>0</v>
      </c>
      <c r="AB91" s="43">
        <v>44624</v>
      </c>
      <c r="AC91" s="5" t="s">
        <v>284</v>
      </c>
      <c r="AD91" s="42"/>
      <c r="AE91" s="38">
        <v>1291000</v>
      </c>
      <c r="AF91" s="38">
        <f t="shared" si="42"/>
        <v>0</v>
      </c>
      <c r="AG91" s="38"/>
      <c r="AH91" s="38"/>
      <c r="AI91" s="40">
        <v>0</v>
      </c>
      <c r="AJ91" s="44">
        <v>44659</v>
      </c>
      <c r="AK91" s="38" t="s">
        <v>284</v>
      </c>
      <c r="AL91" s="5"/>
      <c r="AM91" s="38">
        <v>851600</v>
      </c>
      <c r="AN91" s="38">
        <f>AE91-AM91</f>
        <v>439400</v>
      </c>
      <c r="AO91" s="38"/>
      <c r="AP91" s="38"/>
      <c r="AQ91" s="40">
        <f>AN91/AE91</f>
        <v>0.34035631293570873</v>
      </c>
      <c r="AR91" s="43">
        <v>44713</v>
      </c>
      <c r="AS91" s="5" t="s">
        <v>284</v>
      </c>
      <c r="AT91" s="5"/>
      <c r="AU91" s="38">
        <v>1291000</v>
      </c>
      <c r="AV91" s="38">
        <f>AE91-AU91</f>
        <v>0</v>
      </c>
      <c r="AW91" s="38"/>
      <c r="AX91" s="38"/>
      <c r="AY91" s="40">
        <v>0</v>
      </c>
      <c r="AZ91" s="44">
        <v>44718</v>
      </c>
      <c r="BA91" s="38" t="s">
        <v>284</v>
      </c>
      <c r="BB91" s="44">
        <v>44728</v>
      </c>
      <c r="BC91" s="38">
        <v>1291000</v>
      </c>
      <c r="BD91" s="38">
        <f t="shared" si="43"/>
        <v>0</v>
      </c>
      <c r="BE91" s="38"/>
      <c r="BF91" s="38"/>
      <c r="BG91" s="40">
        <v>0</v>
      </c>
      <c r="BH91" s="43">
        <v>44750</v>
      </c>
      <c r="BI91" s="5" t="s">
        <v>284</v>
      </c>
      <c r="BJ91" s="43">
        <v>44768</v>
      </c>
      <c r="BK91" s="38"/>
      <c r="BL91" s="38"/>
      <c r="BM91" s="38"/>
      <c r="BN91" s="38"/>
      <c r="BO91" s="40"/>
      <c r="BP91" s="43"/>
      <c r="BQ91" s="5"/>
      <c r="BR91" s="5"/>
      <c r="BS91" s="38"/>
      <c r="BT91" s="38"/>
      <c r="BU91" s="38"/>
      <c r="BV91" s="38"/>
      <c r="BW91" s="40"/>
      <c r="BX91" s="43"/>
      <c r="BY91" s="5"/>
      <c r="BZ91" s="5"/>
      <c r="CA91" s="38"/>
      <c r="CB91" s="38"/>
      <c r="CC91" s="38"/>
      <c r="CD91" s="38"/>
      <c r="CE91" s="40"/>
      <c r="CF91" s="43"/>
      <c r="CG91" s="5"/>
      <c r="CH91" s="5"/>
      <c r="CI91" s="38"/>
      <c r="CJ91" s="38"/>
      <c r="CK91" s="38"/>
      <c r="CL91" s="38"/>
      <c r="CM91" s="40"/>
      <c r="CN91" s="43"/>
      <c r="CO91" s="5"/>
      <c r="CP91" s="5"/>
      <c r="CQ91" s="38"/>
      <c r="CR91" s="38"/>
      <c r="CS91" s="38"/>
      <c r="CT91" s="38"/>
      <c r="CU91" s="40"/>
      <c r="CV91" s="43"/>
      <c r="CW91" s="5"/>
      <c r="CX91" s="5"/>
    </row>
    <row r="92" spans="1:102" x14ac:dyDescent="0.35">
      <c r="A92" s="2">
        <v>204601</v>
      </c>
      <c r="B92" s="2">
        <v>204601</v>
      </c>
      <c r="C92" s="3" t="s">
        <v>95</v>
      </c>
      <c r="D92" s="48" t="s">
        <v>589</v>
      </c>
      <c r="E92" s="34" t="s">
        <v>587</v>
      </c>
      <c r="F92" s="47" t="s">
        <v>588</v>
      </c>
      <c r="G92" s="55">
        <v>6759</v>
      </c>
      <c r="H92" s="38">
        <v>2624530</v>
      </c>
      <c r="I92" s="37">
        <v>2407388</v>
      </c>
      <c r="J92" s="38">
        <v>2624530</v>
      </c>
      <c r="K92" s="39">
        <f t="shared" si="44"/>
        <v>-217142</v>
      </c>
      <c r="L92" s="5"/>
      <c r="M92" s="40">
        <f>K92/H92</f>
        <v>-8.2735575512567966E-2</v>
      </c>
      <c r="N92" s="41" t="s">
        <v>284</v>
      </c>
      <c r="O92" s="41">
        <v>44565</v>
      </c>
      <c r="P92" s="42"/>
      <c r="Q92" s="38">
        <v>2624530</v>
      </c>
      <c r="R92" s="39">
        <f t="shared" si="40"/>
        <v>0</v>
      </c>
      <c r="S92" s="5"/>
      <c r="T92" s="40">
        <v>0</v>
      </c>
      <c r="U92" s="43">
        <v>44593</v>
      </c>
      <c r="V92" s="5" t="s">
        <v>284</v>
      </c>
      <c r="W92" s="42"/>
      <c r="X92" s="38">
        <v>2624530</v>
      </c>
      <c r="Y92" s="38">
        <f t="shared" si="41"/>
        <v>0</v>
      </c>
      <c r="Z92" s="5"/>
      <c r="AA92" s="40">
        <v>0</v>
      </c>
      <c r="AB92" s="51">
        <v>44621</v>
      </c>
      <c r="AC92" s="5" t="s">
        <v>284</v>
      </c>
      <c r="AD92" s="42"/>
      <c r="AE92" s="38">
        <v>2624530</v>
      </c>
      <c r="AF92" s="38">
        <f t="shared" si="42"/>
        <v>0</v>
      </c>
      <c r="AG92" s="38"/>
      <c r="AH92" s="38"/>
      <c r="AI92" s="40">
        <v>0</v>
      </c>
      <c r="AJ92" s="44">
        <v>44658</v>
      </c>
      <c r="AK92" s="38" t="s">
        <v>284</v>
      </c>
      <c r="AL92" s="5"/>
      <c r="AM92" s="38">
        <v>2624530</v>
      </c>
      <c r="AN92" s="38">
        <f t="shared" ref="AN92:AN97" si="45">AE92-AM92</f>
        <v>0</v>
      </c>
      <c r="AO92" s="38"/>
      <c r="AP92" s="38"/>
      <c r="AQ92" s="40">
        <v>0</v>
      </c>
      <c r="AR92" s="43">
        <v>44684</v>
      </c>
      <c r="AS92" s="5" t="s">
        <v>284</v>
      </c>
      <c r="AT92" s="5"/>
      <c r="AU92" s="38">
        <v>2624530</v>
      </c>
      <c r="AV92" s="38">
        <f>AM92-AU92</f>
        <v>0</v>
      </c>
      <c r="AW92" s="38"/>
      <c r="AX92" s="38"/>
      <c r="AY92" s="40">
        <v>0</v>
      </c>
      <c r="AZ92" s="44">
        <v>44719</v>
      </c>
      <c r="BA92" s="38" t="s">
        <v>284</v>
      </c>
      <c r="BB92" s="44">
        <v>44736</v>
      </c>
      <c r="BC92" s="38">
        <v>2624530</v>
      </c>
      <c r="BD92" s="38">
        <f t="shared" si="43"/>
        <v>0</v>
      </c>
      <c r="BE92" s="38"/>
      <c r="BF92" s="38"/>
      <c r="BG92" s="40">
        <v>0</v>
      </c>
      <c r="BH92" s="43">
        <v>44743</v>
      </c>
      <c r="BI92" s="5" t="s">
        <v>284</v>
      </c>
      <c r="BJ92" s="43">
        <v>44757</v>
      </c>
      <c r="BK92" s="38">
        <v>2624530</v>
      </c>
      <c r="BL92" s="38">
        <f t="shared" ref="BL92:BL97" si="46">BC92-BK92</f>
        <v>0</v>
      </c>
      <c r="BM92" s="38"/>
      <c r="BN92" s="38"/>
      <c r="BO92" s="40">
        <v>0</v>
      </c>
      <c r="BP92" s="43">
        <v>44775</v>
      </c>
      <c r="BQ92" s="5" t="s">
        <v>284</v>
      </c>
      <c r="BR92" s="5"/>
      <c r="BS92" s="38"/>
      <c r="BT92" s="38"/>
      <c r="BU92" s="38"/>
      <c r="BV92" s="38"/>
      <c r="BW92" s="40"/>
      <c r="BX92" s="43"/>
      <c r="BY92" s="5"/>
      <c r="BZ92" s="5"/>
      <c r="CA92" s="38"/>
      <c r="CB92" s="38"/>
      <c r="CC92" s="38"/>
      <c r="CD92" s="38"/>
      <c r="CE92" s="40"/>
      <c r="CF92" s="43"/>
      <c r="CG92" s="5"/>
      <c r="CH92" s="5"/>
      <c r="CI92" s="38"/>
      <c r="CJ92" s="38"/>
      <c r="CK92" s="38"/>
      <c r="CL92" s="38"/>
      <c r="CM92" s="40"/>
      <c r="CN92" s="43"/>
      <c r="CO92" s="5"/>
      <c r="CP92" s="5"/>
      <c r="CQ92" s="38"/>
      <c r="CR92" s="38"/>
      <c r="CS92" s="38"/>
      <c r="CT92" s="38"/>
      <c r="CU92" s="40"/>
      <c r="CV92" s="43"/>
      <c r="CW92" s="5"/>
      <c r="CX92" s="5"/>
    </row>
    <row r="93" spans="1:102" x14ac:dyDescent="0.35">
      <c r="A93" s="2">
        <v>204544</v>
      </c>
      <c r="B93" s="2">
        <v>204544</v>
      </c>
      <c r="C93" s="3" t="s">
        <v>68</v>
      </c>
      <c r="D93" s="48" t="s">
        <v>592</v>
      </c>
      <c r="E93" s="34" t="s">
        <v>590</v>
      </c>
      <c r="F93" s="47" t="s">
        <v>591</v>
      </c>
      <c r="G93" s="55">
        <v>6760</v>
      </c>
      <c r="H93" s="38">
        <v>1699585</v>
      </c>
      <c r="I93" s="37">
        <v>1510742</v>
      </c>
      <c r="J93" s="38">
        <v>1699585</v>
      </c>
      <c r="K93" s="39">
        <f>I93-J93</f>
        <v>-188843</v>
      </c>
      <c r="L93" s="5"/>
      <c r="M93" s="40">
        <f>K93/I93</f>
        <v>-0.12500016548159779</v>
      </c>
      <c r="N93" s="9" t="s">
        <v>284</v>
      </c>
      <c r="O93" s="41">
        <v>44567</v>
      </c>
      <c r="P93" s="42"/>
      <c r="Q93" s="38">
        <v>1699585</v>
      </c>
      <c r="R93" s="39">
        <f t="shared" si="40"/>
        <v>0</v>
      </c>
      <c r="S93" s="5"/>
      <c r="T93" s="40">
        <v>0</v>
      </c>
      <c r="U93" s="43">
        <v>44596</v>
      </c>
      <c r="V93" s="5" t="s">
        <v>284</v>
      </c>
      <c r="W93" s="42"/>
      <c r="X93" s="38">
        <v>1699585</v>
      </c>
      <c r="Y93" s="38">
        <f t="shared" si="41"/>
        <v>0</v>
      </c>
      <c r="Z93" s="5"/>
      <c r="AA93" s="40">
        <v>0</v>
      </c>
      <c r="AB93" s="43">
        <v>44624</v>
      </c>
      <c r="AC93" s="5" t="s">
        <v>284</v>
      </c>
      <c r="AD93" s="42"/>
      <c r="AE93" s="38">
        <v>1699585</v>
      </c>
      <c r="AF93" s="38">
        <f t="shared" si="42"/>
        <v>0</v>
      </c>
      <c r="AG93" s="38"/>
      <c r="AH93" s="38"/>
      <c r="AI93" s="40">
        <v>0</v>
      </c>
      <c r="AJ93" s="44">
        <v>44656</v>
      </c>
      <c r="AK93" s="38" t="s">
        <v>284</v>
      </c>
      <c r="AL93" s="5"/>
      <c r="AM93" s="38">
        <v>1699585</v>
      </c>
      <c r="AN93" s="38">
        <f t="shared" si="45"/>
        <v>0</v>
      </c>
      <c r="AO93" s="38"/>
      <c r="AP93" s="38"/>
      <c r="AQ93" s="40">
        <v>0</v>
      </c>
      <c r="AR93" s="43">
        <v>44684</v>
      </c>
      <c r="AS93" s="5" t="s">
        <v>284</v>
      </c>
      <c r="AT93" s="42"/>
      <c r="AU93" s="38">
        <v>1699585</v>
      </c>
      <c r="AV93" s="38">
        <f>AM93-AU93</f>
        <v>0</v>
      </c>
      <c r="AW93" s="38"/>
      <c r="AX93" s="38"/>
      <c r="AY93" s="40">
        <v>0</v>
      </c>
      <c r="AZ93" s="44">
        <v>44725</v>
      </c>
      <c r="BA93" s="38" t="s">
        <v>284</v>
      </c>
      <c r="BB93" s="44">
        <v>44755</v>
      </c>
      <c r="BC93" s="38">
        <v>1699585</v>
      </c>
      <c r="BD93" s="38">
        <f>AU93-BC93</f>
        <v>0</v>
      </c>
      <c r="BE93" s="38"/>
      <c r="BF93" s="38"/>
      <c r="BG93" s="40">
        <v>0</v>
      </c>
      <c r="BH93" s="43">
        <v>44753</v>
      </c>
      <c r="BI93" s="5" t="s">
        <v>284</v>
      </c>
      <c r="BJ93" s="43">
        <v>44768</v>
      </c>
      <c r="BK93" s="38">
        <v>1699585</v>
      </c>
      <c r="BL93" s="38">
        <f t="shared" si="46"/>
        <v>0</v>
      </c>
      <c r="BM93" s="38"/>
      <c r="BN93" s="38"/>
      <c r="BO93" s="40">
        <v>0</v>
      </c>
      <c r="BP93" s="43">
        <v>44778</v>
      </c>
      <c r="BQ93" s="5" t="s">
        <v>284</v>
      </c>
      <c r="BR93" s="5"/>
      <c r="BS93" s="580"/>
      <c r="BT93" s="581"/>
      <c r="BU93" s="581"/>
      <c r="BV93" s="581"/>
      <c r="BW93" s="581"/>
      <c r="BX93" s="581"/>
      <c r="BY93" s="581"/>
      <c r="BZ93" s="582"/>
      <c r="CA93" s="38"/>
      <c r="CB93" s="38"/>
      <c r="CC93" s="38"/>
      <c r="CD93" s="38"/>
      <c r="CE93" s="40"/>
      <c r="CF93" s="43"/>
      <c r="CG93" s="5"/>
      <c r="CH93" s="5"/>
      <c r="CI93" s="38"/>
      <c r="CJ93" s="38"/>
      <c r="CK93" s="38"/>
      <c r="CL93" s="38"/>
      <c r="CM93" s="40"/>
      <c r="CN93" s="43"/>
      <c r="CO93" s="5"/>
      <c r="CP93" s="5"/>
      <c r="CQ93" s="38"/>
      <c r="CR93" s="38"/>
      <c r="CS93" s="38"/>
      <c r="CT93" s="38"/>
      <c r="CU93" s="40"/>
      <c r="CV93" s="43"/>
      <c r="CW93" s="5"/>
      <c r="CX93" s="5"/>
    </row>
    <row r="94" spans="1:102" x14ac:dyDescent="0.35">
      <c r="A94" s="2">
        <v>204779</v>
      </c>
      <c r="B94" s="2">
        <v>204779</v>
      </c>
      <c r="C94" s="3" t="s">
        <v>595</v>
      </c>
      <c r="D94" s="48" t="s">
        <v>596</v>
      </c>
      <c r="E94" s="34" t="s">
        <v>593</v>
      </c>
      <c r="F94" s="47" t="s">
        <v>594</v>
      </c>
      <c r="G94" s="55">
        <v>6762</v>
      </c>
      <c r="H94" s="38">
        <v>3781389</v>
      </c>
      <c r="I94" s="37">
        <v>3580183</v>
      </c>
      <c r="J94" s="38">
        <v>3781389</v>
      </c>
      <c r="K94" s="39">
        <f t="shared" si="44"/>
        <v>-201206</v>
      </c>
      <c r="L94" s="5"/>
      <c r="M94" s="40">
        <f>K94/I94</f>
        <v>-5.6199920506856772E-2</v>
      </c>
      <c r="N94" s="9" t="s">
        <v>284</v>
      </c>
      <c r="O94" s="41">
        <v>44575</v>
      </c>
      <c r="P94" s="42"/>
      <c r="Q94" s="38">
        <v>3781389</v>
      </c>
      <c r="R94" s="39">
        <f t="shared" si="40"/>
        <v>0</v>
      </c>
      <c r="S94" s="5"/>
      <c r="T94" s="40">
        <v>0</v>
      </c>
      <c r="U94" s="43">
        <v>44593</v>
      </c>
      <c r="V94" s="5" t="s">
        <v>284</v>
      </c>
      <c r="W94" s="42"/>
      <c r="X94" s="38">
        <v>3781389</v>
      </c>
      <c r="Y94" s="38">
        <f t="shared" si="41"/>
        <v>0</v>
      </c>
      <c r="Z94" s="5"/>
      <c r="AA94" s="40">
        <v>0</v>
      </c>
      <c r="AB94" s="51">
        <v>44621</v>
      </c>
      <c r="AC94" s="5" t="s">
        <v>284</v>
      </c>
      <c r="AD94" s="42"/>
      <c r="AE94" s="38">
        <v>3781389</v>
      </c>
      <c r="AF94" s="38">
        <f t="shared" si="42"/>
        <v>0</v>
      </c>
      <c r="AG94" s="38"/>
      <c r="AH94" s="38"/>
      <c r="AI94" s="40">
        <v>0</v>
      </c>
      <c r="AJ94" s="44">
        <v>44655</v>
      </c>
      <c r="AK94" s="38" t="s">
        <v>284</v>
      </c>
      <c r="AL94" s="5"/>
      <c r="AM94" s="38">
        <v>3781389</v>
      </c>
      <c r="AN94" s="38">
        <f t="shared" si="45"/>
        <v>0</v>
      </c>
      <c r="AO94" s="38"/>
      <c r="AP94" s="38"/>
      <c r="AQ94" s="40">
        <v>0</v>
      </c>
      <c r="AR94" s="43">
        <v>44686</v>
      </c>
      <c r="AS94" s="5" t="s">
        <v>284</v>
      </c>
      <c r="AT94" s="5"/>
      <c r="AU94" s="38">
        <v>3781389</v>
      </c>
      <c r="AV94" s="38">
        <f>AM94-AU94</f>
        <v>0</v>
      </c>
      <c r="AW94" s="38"/>
      <c r="AX94" s="38"/>
      <c r="AY94" s="40">
        <v>0</v>
      </c>
      <c r="AZ94" s="44">
        <v>44715</v>
      </c>
      <c r="BA94" s="38" t="s">
        <v>284</v>
      </c>
      <c r="BB94" s="44">
        <v>44728</v>
      </c>
      <c r="BC94" s="38">
        <v>3781389</v>
      </c>
      <c r="BD94" s="38">
        <f>AU94-BC94</f>
        <v>0</v>
      </c>
      <c r="BE94" s="38"/>
      <c r="BF94" s="38"/>
      <c r="BG94" s="40">
        <v>0</v>
      </c>
      <c r="BH94" s="43">
        <v>44747</v>
      </c>
      <c r="BI94" s="5" t="s">
        <v>284</v>
      </c>
      <c r="BJ94" s="43">
        <v>44757</v>
      </c>
      <c r="BK94" s="38">
        <v>3781389</v>
      </c>
      <c r="BL94" s="38">
        <f t="shared" si="46"/>
        <v>0</v>
      </c>
      <c r="BM94" s="38"/>
      <c r="BN94" s="38"/>
      <c r="BO94" s="40">
        <v>0</v>
      </c>
      <c r="BP94" s="43">
        <v>44777</v>
      </c>
      <c r="BQ94" s="5" t="s">
        <v>284</v>
      </c>
      <c r="BR94" s="5"/>
      <c r="BS94" s="38"/>
      <c r="BT94" s="38"/>
      <c r="BU94" s="38"/>
      <c r="BV94" s="38"/>
      <c r="BW94" s="40"/>
      <c r="BX94" s="43"/>
      <c r="BY94" s="5"/>
      <c r="BZ94" s="5"/>
      <c r="CA94" s="38"/>
      <c r="CB94" s="38"/>
      <c r="CC94" s="38"/>
      <c r="CD94" s="38"/>
      <c r="CE94" s="40"/>
      <c r="CF94" s="43"/>
      <c r="CG94" s="5"/>
      <c r="CH94" s="5"/>
      <c r="CI94" s="38"/>
      <c r="CJ94" s="38"/>
      <c r="CK94" s="38"/>
      <c r="CL94" s="38"/>
      <c r="CM94" s="40"/>
      <c r="CN94" s="43"/>
      <c r="CO94" s="5"/>
      <c r="CP94" s="5"/>
      <c r="CQ94" s="38"/>
      <c r="CR94" s="38"/>
      <c r="CS94" s="38"/>
      <c r="CT94" s="38"/>
      <c r="CU94" s="40"/>
      <c r="CV94" s="43"/>
      <c r="CW94" s="5"/>
      <c r="CX94" s="5"/>
    </row>
    <row r="95" spans="1:102" x14ac:dyDescent="0.35">
      <c r="A95" s="2">
        <v>205766</v>
      </c>
      <c r="B95" s="2">
        <v>205766</v>
      </c>
      <c r="C95" s="3" t="s">
        <v>599</v>
      </c>
      <c r="D95" s="48" t="s">
        <v>600</v>
      </c>
      <c r="E95" s="34" t="s">
        <v>597</v>
      </c>
      <c r="F95" s="47" t="s">
        <v>598</v>
      </c>
      <c r="G95" s="55">
        <v>6763</v>
      </c>
      <c r="H95" s="37">
        <v>1825921</v>
      </c>
      <c r="I95" s="37">
        <v>1825921</v>
      </c>
      <c r="J95" s="38">
        <f>919442+906479</f>
        <v>1825921</v>
      </c>
      <c r="K95" s="39">
        <f>H95-J95</f>
        <v>0</v>
      </c>
      <c r="L95" s="5"/>
      <c r="M95" s="40">
        <v>0</v>
      </c>
      <c r="N95" s="9" t="s">
        <v>284</v>
      </c>
      <c r="O95" s="41">
        <v>44566</v>
      </c>
      <c r="P95" s="42"/>
      <c r="Q95" s="38">
        <f>919442+906479</f>
        <v>1825921</v>
      </c>
      <c r="R95" s="39">
        <f t="shared" si="40"/>
        <v>0</v>
      </c>
      <c r="S95" s="38">
        <f>91944+90648</f>
        <v>182592</v>
      </c>
      <c r="T95" s="40">
        <v>0</v>
      </c>
      <c r="U95" s="51">
        <v>44620</v>
      </c>
      <c r="V95" s="5" t="s">
        <v>284</v>
      </c>
      <c r="W95" s="42"/>
      <c r="X95" s="38">
        <f>919442+906479</f>
        <v>1825921</v>
      </c>
      <c r="Y95" s="38">
        <f>Q95-X95</f>
        <v>0</v>
      </c>
      <c r="Z95" s="38"/>
      <c r="AA95" s="40">
        <v>0</v>
      </c>
      <c r="AB95" s="43">
        <v>44627</v>
      </c>
      <c r="AC95" s="5" t="s">
        <v>284</v>
      </c>
      <c r="AD95" s="42"/>
      <c r="AE95" s="38">
        <f>919442+906479</f>
        <v>1825921</v>
      </c>
      <c r="AF95" s="38">
        <f t="shared" si="42"/>
        <v>0</v>
      </c>
      <c r="AG95" s="38"/>
      <c r="AH95" s="38">
        <f>27193+27583+91944+90648</f>
        <v>237368</v>
      </c>
      <c r="AI95" s="40">
        <v>0</v>
      </c>
      <c r="AJ95" s="44">
        <v>44683</v>
      </c>
      <c r="AK95" s="38" t="s">
        <v>284</v>
      </c>
      <c r="AL95" s="5"/>
      <c r="AM95" s="38">
        <f>919442+906479</f>
        <v>1825921</v>
      </c>
      <c r="AN95" s="38">
        <f t="shared" si="45"/>
        <v>0</v>
      </c>
      <c r="AO95" s="38"/>
      <c r="AP95" s="38">
        <f>91944+90648</f>
        <v>182592</v>
      </c>
      <c r="AQ95" s="40">
        <v>0</v>
      </c>
      <c r="AR95" s="43">
        <v>44712</v>
      </c>
      <c r="AS95" s="5" t="s">
        <v>284</v>
      </c>
      <c r="AT95" s="5"/>
      <c r="AU95" s="38">
        <f>906479+919442</f>
        <v>1825921</v>
      </c>
      <c r="AV95" s="38">
        <f>AM95-AU95</f>
        <v>0</v>
      </c>
      <c r="AW95" s="38"/>
      <c r="AX95" s="38">
        <f>91944+90648</f>
        <v>182592</v>
      </c>
      <c r="AY95" s="40">
        <v>0</v>
      </c>
      <c r="AZ95" s="44">
        <v>44715</v>
      </c>
      <c r="BA95" s="38" t="s">
        <v>284</v>
      </c>
      <c r="BB95" s="44">
        <v>44728</v>
      </c>
      <c r="BC95" s="38">
        <f>906479+919442</f>
        <v>1825921</v>
      </c>
      <c r="BD95" s="38">
        <f>AU95-BC95</f>
        <v>0</v>
      </c>
      <c r="BE95" s="38"/>
      <c r="BF95" s="38">
        <f>90648+91944</f>
        <v>182592</v>
      </c>
      <c r="BG95" s="40">
        <v>0</v>
      </c>
      <c r="BH95" s="43">
        <v>44747</v>
      </c>
      <c r="BI95" s="5" t="s">
        <v>284</v>
      </c>
      <c r="BJ95" s="43">
        <v>44757</v>
      </c>
      <c r="BK95" s="38">
        <f>919442+906479</f>
        <v>1825921</v>
      </c>
      <c r="BL95" s="38">
        <f t="shared" si="46"/>
        <v>0</v>
      </c>
      <c r="BM95" s="38"/>
      <c r="BN95" s="38"/>
      <c r="BO95" s="40">
        <v>0</v>
      </c>
      <c r="BP95" s="43">
        <v>44778</v>
      </c>
      <c r="BQ95" s="5" t="s">
        <v>284</v>
      </c>
      <c r="BR95" s="5"/>
      <c r="BS95" s="38"/>
      <c r="BT95" s="38"/>
      <c r="BU95" s="38"/>
      <c r="BV95" s="38"/>
      <c r="BW95" s="40"/>
      <c r="BX95" s="43"/>
      <c r="BY95" s="5"/>
      <c r="BZ95" s="5"/>
      <c r="CA95" s="38"/>
      <c r="CB95" s="38"/>
      <c r="CC95" s="38"/>
      <c r="CD95" s="38"/>
      <c r="CE95" s="40"/>
      <c r="CF95" s="43"/>
      <c r="CG95" s="5"/>
      <c r="CH95" s="5"/>
      <c r="CI95" s="38"/>
      <c r="CJ95" s="38"/>
      <c r="CK95" s="38"/>
      <c r="CL95" s="38"/>
      <c r="CM95" s="40"/>
      <c r="CN95" s="43"/>
      <c r="CO95" s="5"/>
      <c r="CP95" s="5"/>
      <c r="CQ95" s="38"/>
      <c r="CR95" s="38"/>
      <c r="CS95" s="38"/>
      <c r="CT95" s="38"/>
      <c r="CU95" s="40"/>
      <c r="CV95" s="43"/>
      <c r="CW95" s="5"/>
      <c r="CX95" s="5"/>
    </row>
    <row r="96" spans="1:102" x14ac:dyDescent="0.35">
      <c r="A96" s="2">
        <v>205843</v>
      </c>
      <c r="B96" s="2">
        <v>205843</v>
      </c>
      <c r="C96" s="3" t="s">
        <v>603</v>
      </c>
      <c r="D96" s="48" t="s">
        <v>604</v>
      </c>
      <c r="E96" s="34" t="s">
        <v>601</v>
      </c>
      <c r="F96" s="47" t="s">
        <v>602</v>
      </c>
      <c r="G96" s="55">
        <v>6764</v>
      </c>
      <c r="H96" s="37">
        <v>1966475</v>
      </c>
      <c r="I96" s="37">
        <v>1966475</v>
      </c>
      <c r="J96" s="38">
        <v>1966475</v>
      </c>
      <c r="K96" s="39">
        <f>I96-J96</f>
        <v>0</v>
      </c>
      <c r="L96" s="5"/>
      <c r="M96" s="40">
        <v>0</v>
      </c>
      <c r="N96" s="41" t="s">
        <v>284</v>
      </c>
      <c r="O96" s="41">
        <v>44565</v>
      </c>
      <c r="P96" s="42"/>
      <c r="Q96" s="38">
        <v>1966475</v>
      </c>
      <c r="R96" s="39">
        <f t="shared" si="40"/>
        <v>0</v>
      </c>
      <c r="S96" s="5"/>
      <c r="T96" s="40">
        <v>0</v>
      </c>
      <c r="U96" s="43">
        <v>44596</v>
      </c>
      <c r="V96" s="5" t="s">
        <v>284</v>
      </c>
      <c r="W96" s="42"/>
      <c r="X96" s="38">
        <v>1966475</v>
      </c>
      <c r="Y96" s="38">
        <f>Q96-X96</f>
        <v>0</v>
      </c>
      <c r="Z96" s="5"/>
      <c r="AA96" s="40">
        <v>0</v>
      </c>
      <c r="AB96" s="51">
        <v>44622</v>
      </c>
      <c r="AC96" s="5" t="s">
        <v>284</v>
      </c>
      <c r="AD96" s="42"/>
      <c r="AE96" s="38">
        <v>1966475</v>
      </c>
      <c r="AF96" s="38">
        <f t="shared" si="42"/>
        <v>0</v>
      </c>
      <c r="AG96" s="38"/>
      <c r="AH96" s="38"/>
      <c r="AI96" s="40">
        <v>0</v>
      </c>
      <c r="AJ96" s="44">
        <v>44656</v>
      </c>
      <c r="AK96" s="38" t="s">
        <v>284</v>
      </c>
      <c r="AL96" s="5"/>
      <c r="AM96" s="38">
        <v>1966475</v>
      </c>
      <c r="AN96" s="38">
        <f t="shared" si="45"/>
        <v>0</v>
      </c>
      <c r="AO96" s="38"/>
      <c r="AP96" s="38"/>
      <c r="AQ96" s="40">
        <v>0</v>
      </c>
      <c r="AR96" s="43">
        <v>44687</v>
      </c>
      <c r="AS96" s="5" t="s">
        <v>284</v>
      </c>
      <c r="AT96" s="5"/>
      <c r="AU96" s="38">
        <v>2006855</v>
      </c>
      <c r="AV96" s="38"/>
      <c r="AW96" s="38">
        <f>AM96-AU96</f>
        <v>-40380</v>
      </c>
      <c r="AX96" s="38"/>
      <c r="AY96" s="40">
        <f>AW96/AM96</f>
        <v>-2.0534204604686052E-2</v>
      </c>
      <c r="AZ96" s="44">
        <v>44715</v>
      </c>
      <c r="BA96" s="38" t="s">
        <v>284</v>
      </c>
      <c r="BB96" s="44">
        <v>44728</v>
      </c>
      <c r="BC96" s="38">
        <v>1966475</v>
      </c>
      <c r="BD96" s="38">
        <f>AM96-BC96</f>
        <v>0</v>
      </c>
      <c r="BE96" s="38"/>
      <c r="BF96" s="38"/>
      <c r="BG96" s="40">
        <v>0</v>
      </c>
      <c r="BH96" s="43">
        <v>44747</v>
      </c>
      <c r="BI96" s="5" t="s">
        <v>284</v>
      </c>
      <c r="BJ96" s="43">
        <v>44757</v>
      </c>
      <c r="BK96" s="38">
        <v>1966475</v>
      </c>
      <c r="BL96" s="38">
        <f t="shared" si="46"/>
        <v>0</v>
      </c>
      <c r="BM96" s="38"/>
      <c r="BN96" s="38"/>
      <c r="BO96" s="40">
        <v>0</v>
      </c>
      <c r="BP96" s="43">
        <v>44775</v>
      </c>
      <c r="BQ96" s="5" t="s">
        <v>284</v>
      </c>
      <c r="BR96" s="5"/>
      <c r="BS96" s="38"/>
      <c r="BT96" s="38"/>
      <c r="BU96" s="38"/>
      <c r="BV96" s="38"/>
      <c r="BW96" s="40"/>
      <c r="BX96" s="43"/>
      <c r="BY96" s="5"/>
      <c r="BZ96" s="5"/>
      <c r="CA96" s="38"/>
      <c r="CB96" s="38"/>
      <c r="CC96" s="38"/>
      <c r="CD96" s="38"/>
      <c r="CE96" s="40"/>
      <c r="CF96" s="43"/>
      <c r="CG96" s="5"/>
      <c r="CH96" s="5"/>
      <c r="CI96" s="38"/>
      <c r="CJ96" s="38"/>
      <c r="CK96" s="38"/>
      <c r="CL96" s="38"/>
      <c r="CM96" s="40"/>
      <c r="CN96" s="43"/>
      <c r="CO96" s="5"/>
      <c r="CP96" s="5"/>
      <c r="CQ96" s="38"/>
      <c r="CR96" s="38"/>
      <c r="CS96" s="38"/>
      <c r="CT96" s="38"/>
      <c r="CU96" s="40"/>
      <c r="CV96" s="43"/>
      <c r="CW96" s="5"/>
      <c r="CX96" s="5"/>
    </row>
    <row r="97" spans="1:102" x14ac:dyDescent="0.35">
      <c r="A97" s="2">
        <v>204600</v>
      </c>
      <c r="B97" s="2">
        <v>204600</v>
      </c>
      <c r="C97" s="3" t="s">
        <v>294</v>
      </c>
      <c r="D97" s="48" t="s">
        <v>295</v>
      </c>
      <c r="E97" s="34" t="s">
        <v>605</v>
      </c>
      <c r="F97" s="47" t="s">
        <v>606</v>
      </c>
      <c r="G97" s="55">
        <v>6766</v>
      </c>
      <c r="H97" s="37">
        <v>1244255</v>
      </c>
      <c r="I97" s="37">
        <v>1194318</v>
      </c>
      <c r="J97" s="38"/>
      <c r="K97" s="5"/>
      <c r="L97" s="5"/>
      <c r="M97" s="5"/>
      <c r="N97" s="9"/>
      <c r="O97" s="9"/>
      <c r="P97" s="42"/>
      <c r="Q97" s="38">
        <v>1314585</v>
      </c>
      <c r="R97" s="39">
        <f>I97-Q97</f>
        <v>-120267</v>
      </c>
      <c r="S97" s="5"/>
      <c r="T97" s="40">
        <f>R97/I97</f>
        <v>-0.10069931123871531</v>
      </c>
      <c r="U97" s="43">
        <v>44600</v>
      </c>
      <c r="V97" s="5" t="s">
        <v>284</v>
      </c>
      <c r="W97" s="42"/>
      <c r="X97" s="38">
        <v>1314585</v>
      </c>
      <c r="Y97" s="38">
        <f>Q97-X97</f>
        <v>0</v>
      </c>
      <c r="Z97" s="5"/>
      <c r="AA97" s="40">
        <v>0</v>
      </c>
      <c r="AB97" s="51">
        <v>44622</v>
      </c>
      <c r="AC97" s="5" t="s">
        <v>284</v>
      </c>
      <c r="AD97" s="42"/>
      <c r="AE97" s="38">
        <v>1314585</v>
      </c>
      <c r="AF97" s="38">
        <f t="shared" si="42"/>
        <v>0</v>
      </c>
      <c r="AG97" s="38"/>
      <c r="AH97" s="38"/>
      <c r="AI97" s="40">
        <v>0</v>
      </c>
      <c r="AJ97" s="44">
        <v>44658</v>
      </c>
      <c r="AK97" s="38" t="s">
        <v>284</v>
      </c>
      <c r="AL97" s="5"/>
      <c r="AM97" s="38">
        <v>1314585</v>
      </c>
      <c r="AN97" s="38">
        <f t="shared" si="45"/>
        <v>0</v>
      </c>
      <c r="AO97" s="38"/>
      <c r="AP97" s="38"/>
      <c r="AQ97" s="40">
        <v>0</v>
      </c>
      <c r="AR97" s="43">
        <v>44687</v>
      </c>
      <c r="AS97" s="5" t="s">
        <v>284</v>
      </c>
      <c r="AT97" s="42"/>
      <c r="AU97" s="38">
        <v>1244255</v>
      </c>
      <c r="AV97" s="38">
        <f>AM97-AU97</f>
        <v>70330</v>
      </c>
      <c r="AW97" s="38"/>
      <c r="AX97" s="38"/>
      <c r="AY97" s="40">
        <f>AV97/AM97</f>
        <v>5.3499773692838426E-2</v>
      </c>
      <c r="AZ97" s="44">
        <v>44721</v>
      </c>
      <c r="BA97" s="38" t="s">
        <v>284</v>
      </c>
      <c r="BB97" s="44">
        <v>44736</v>
      </c>
      <c r="BC97" s="38">
        <v>1244255</v>
      </c>
      <c r="BD97" s="38">
        <f>AU97-BC97</f>
        <v>0</v>
      </c>
      <c r="BE97" s="38"/>
      <c r="BF97" s="38"/>
      <c r="BG97" s="40">
        <v>0</v>
      </c>
      <c r="BH97" s="43">
        <v>44748</v>
      </c>
      <c r="BI97" s="5" t="s">
        <v>284</v>
      </c>
      <c r="BJ97" s="43">
        <v>44757</v>
      </c>
      <c r="BK97" s="38">
        <v>1244255</v>
      </c>
      <c r="BL97" s="38">
        <f t="shared" si="46"/>
        <v>0</v>
      </c>
      <c r="BM97" s="38"/>
      <c r="BN97" s="38"/>
      <c r="BO97" s="40">
        <v>0</v>
      </c>
      <c r="BP97" s="43">
        <v>44778</v>
      </c>
      <c r="BQ97" s="5" t="s">
        <v>284</v>
      </c>
      <c r="BR97" s="5"/>
      <c r="BS97" s="580"/>
      <c r="BT97" s="581"/>
      <c r="BU97" s="581"/>
      <c r="BV97" s="581"/>
      <c r="BW97" s="581"/>
      <c r="BX97" s="581"/>
      <c r="BY97" s="581"/>
      <c r="BZ97" s="582"/>
      <c r="CA97" s="38"/>
      <c r="CB97" s="38"/>
      <c r="CC97" s="38"/>
      <c r="CD97" s="38"/>
      <c r="CE97" s="40"/>
      <c r="CF97" s="43"/>
      <c r="CG97" s="5"/>
      <c r="CH97" s="5"/>
      <c r="CI97" s="38"/>
      <c r="CJ97" s="38"/>
      <c r="CK97" s="38"/>
      <c r="CL97" s="38"/>
      <c r="CM97" s="40"/>
      <c r="CN97" s="43"/>
      <c r="CO97" s="5"/>
      <c r="CP97" s="5"/>
      <c r="CQ97" s="38"/>
      <c r="CR97" s="38"/>
      <c r="CS97" s="38"/>
      <c r="CT97" s="38"/>
      <c r="CU97" s="40"/>
      <c r="CV97" s="43"/>
      <c r="CW97" s="5"/>
      <c r="CX97" s="5"/>
    </row>
    <row r="98" spans="1:102" x14ac:dyDescent="0.35">
      <c r="A98" s="2">
        <v>231462</v>
      </c>
      <c r="B98" s="2">
        <v>231462</v>
      </c>
      <c r="C98" s="3" t="s">
        <v>609</v>
      </c>
      <c r="D98" s="48">
        <v>830053812</v>
      </c>
      <c r="E98" s="6" t="s">
        <v>607</v>
      </c>
      <c r="F98" s="5" t="s">
        <v>608</v>
      </c>
      <c r="G98" s="6" t="s">
        <v>222</v>
      </c>
      <c r="H98" s="5"/>
      <c r="I98" s="5"/>
      <c r="J98" s="5"/>
      <c r="K98" s="5"/>
      <c r="L98" s="5"/>
      <c r="M98" s="5"/>
      <c r="N98" s="9"/>
      <c r="O98" s="9"/>
      <c r="P98" s="5"/>
      <c r="Q98" s="69"/>
      <c r="R98" s="5"/>
      <c r="S98" s="5"/>
      <c r="T98" s="5"/>
      <c r="U98" s="43"/>
      <c r="V98" s="5"/>
      <c r="W98" s="5"/>
      <c r="X98" s="38"/>
      <c r="Y98" s="38"/>
      <c r="Z98" s="5"/>
      <c r="AA98" s="40"/>
      <c r="AB98" s="40"/>
      <c r="AC98" s="5"/>
      <c r="AD98" s="5"/>
      <c r="AE98" s="38"/>
      <c r="AF98" s="38"/>
      <c r="AG98" s="38"/>
      <c r="AH98" s="38"/>
      <c r="AI98" s="40"/>
      <c r="AJ98" s="44"/>
      <c r="AK98" s="38"/>
      <c r="AL98" s="5"/>
      <c r="AM98" s="38"/>
      <c r="AN98" s="38"/>
      <c r="AO98" s="38"/>
      <c r="AP98" s="38"/>
      <c r="AQ98" s="40"/>
      <c r="AR98" s="43"/>
      <c r="AS98" s="5"/>
      <c r="AT98" s="5"/>
      <c r="AU98" s="38"/>
      <c r="AV98" s="38"/>
      <c r="AW98" s="38"/>
      <c r="AX98" s="38"/>
      <c r="AY98" s="40"/>
      <c r="AZ98" s="44"/>
      <c r="BA98" s="38"/>
      <c r="BB98" s="38"/>
      <c r="BC98" s="38"/>
      <c r="BD98" s="38"/>
      <c r="BE98" s="38"/>
      <c r="BF98" s="38"/>
      <c r="BG98" s="40"/>
      <c r="BH98" s="43"/>
      <c r="BI98" s="5"/>
      <c r="BJ98" s="5"/>
      <c r="BK98" s="38"/>
      <c r="BL98" s="38"/>
      <c r="BM98" s="38"/>
      <c r="BN98" s="38"/>
      <c r="BO98" s="40"/>
      <c r="BP98" s="43"/>
      <c r="BQ98" s="5"/>
      <c r="BR98" s="5"/>
      <c r="BS98" s="580"/>
      <c r="BT98" s="581"/>
      <c r="BU98" s="581"/>
      <c r="BV98" s="581"/>
      <c r="BW98" s="581"/>
      <c r="BX98" s="581"/>
      <c r="BY98" s="581"/>
      <c r="BZ98" s="582"/>
      <c r="CA98" s="580"/>
      <c r="CB98" s="581"/>
      <c r="CC98" s="581"/>
      <c r="CD98" s="581"/>
      <c r="CE98" s="581"/>
      <c r="CF98" s="581"/>
      <c r="CG98" s="581"/>
      <c r="CH98" s="582"/>
      <c r="CI98" s="580"/>
      <c r="CJ98" s="581"/>
      <c r="CK98" s="581"/>
      <c r="CL98" s="581"/>
      <c r="CM98" s="581"/>
      <c r="CN98" s="581"/>
      <c r="CO98" s="581"/>
      <c r="CP98" s="582"/>
      <c r="CQ98" s="580"/>
      <c r="CR98" s="581"/>
      <c r="CS98" s="581"/>
      <c r="CT98" s="581"/>
      <c r="CU98" s="581"/>
      <c r="CV98" s="581"/>
      <c r="CW98" s="581"/>
      <c r="CX98" s="582"/>
    </row>
    <row r="99" spans="1:102" x14ac:dyDescent="0.35">
      <c r="A99" s="2">
        <v>348824</v>
      </c>
      <c r="B99" s="2">
        <v>348824</v>
      </c>
      <c r="C99" s="3" t="s">
        <v>52</v>
      </c>
      <c r="D99" s="48" t="s">
        <v>612</v>
      </c>
      <c r="E99" s="6" t="s">
        <v>610</v>
      </c>
      <c r="F99" s="5" t="s">
        <v>611</v>
      </c>
      <c r="G99" s="6" t="s">
        <v>225</v>
      </c>
      <c r="H99" s="38">
        <v>1926082</v>
      </c>
      <c r="I99" s="37">
        <v>1749870</v>
      </c>
      <c r="J99" s="38">
        <v>1926082</v>
      </c>
      <c r="K99" s="39">
        <f>I99-J99</f>
        <v>-176212</v>
      </c>
      <c r="L99" s="5"/>
      <c r="M99" s="40">
        <f>K99/I99</f>
        <v>-0.10070005200386314</v>
      </c>
      <c r="N99" s="9" t="s">
        <v>284</v>
      </c>
      <c r="O99" s="41">
        <v>44574</v>
      </c>
      <c r="P99" s="5"/>
      <c r="Q99" s="69">
        <v>1926082</v>
      </c>
      <c r="R99" s="39">
        <f>J99-Q99</f>
        <v>0</v>
      </c>
      <c r="S99" s="5"/>
      <c r="T99" s="40">
        <v>0</v>
      </c>
      <c r="U99" s="43">
        <v>44600</v>
      </c>
      <c r="V99" s="5" t="s">
        <v>284</v>
      </c>
      <c r="W99" s="5"/>
      <c r="X99" s="38">
        <v>1926082</v>
      </c>
      <c r="Y99" s="38">
        <f>Q99-X99</f>
        <v>0</v>
      </c>
      <c r="Z99" s="5"/>
      <c r="AA99" s="40">
        <v>0</v>
      </c>
      <c r="AB99" s="51">
        <v>44628</v>
      </c>
      <c r="AC99" s="5" t="s">
        <v>284</v>
      </c>
      <c r="AD99" s="5"/>
      <c r="AE99" s="38">
        <v>1926082</v>
      </c>
      <c r="AF99" s="38">
        <f>X99-AE99</f>
        <v>0</v>
      </c>
      <c r="AG99" s="38"/>
      <c r="AH99" s="38"/>
      <c r="AI99" s="40">
        <v>0</v>
      </c>
      <c r="AJ99" s="44">
        <v>44659</v>
      </c>
      <c r="AK99" s="38" t="s">
        <v>284</v>
      </c>
      <c r="AL99" s="5"/>
      <c r="AM99" s="38">
        <v>1926082</v>
      </c>
      <c r="AN99" s="38">
        <f>AE99-AM99</f>
        <v>0</v>
      </c>
      <c r="AO99" s="38"/>
      <c r="AP99" s="38"/>
      <c r="AQ99" s="40">
        <v>0</v>
      </c>
      <c r="AR99" s="43">
        <v>44687</v>
      </c>
      <c r="AS99" s="5" t="s">
        <v>284</v>
      </c>
      <c r="AT99" s="5"/>
      <c r="AU99" s="38">
        <v>1926082</v>
      </c>
      <c r="AV99" s="38">
        <f>AM99-AU99</f>
        <v>0</v>
      </c>
      <c r="AW99" s="38"/>
      <c r="AX99" s="38"/>
      <c r="AY99" s="40">
        <v>0</v>
      </c>
      <c r="AZ99" s="44">
        <v>44719</v>
      </c>
      <c r="BA99" s="38" t="s">
        <v>284</v>
      </c>
      <c r="BB99" s="44">
        <v>44728</v>
      </c>
      <c r="BC99" s="38">
        <v>1926082</v>
      </c>
      <c r="BD99" s="38">
        <f>AU99-BC99</f>
        <v>0</v>
      </c>
      <c r="BE99" s="38"/>
      <c r="BF99" s="38"/>
      <c r="BG99" s="40">
        <v>0</v>
      </c>
      <c r="BH99" s="43">
        <v>44750</v>
      </c>
      <c r="BI99" s="5" t="s">
        <v>284</v>
      </c>
      <c r="BJ99" s="43">
        <v>44768</v>
      </c>
      <c r="BK99" s="38">
        <v>1926082</v>
      </c>
      <c r="BL99" s="38">
        <f>BC99-BK99</f>
        <v>0</v>
      </c>
      <c r="BM99" s="38"/>
      <c r="BN99" s="38"/>
      <c r="BO99" s="40">
        <v>0</v>
      </c>
      <c r="BP99" s="43">
        <v>44781</v>
      </c>
      <c r="BQ99" s="5" t="s">
        <v>284</v>
      </c>
      <c r="BR99" s="5"/>
      <c r="BS99" s="38"/>
      <c r="BT99" s="38"/>
      <c r="BU99" s="38"/>
      <c r="BV99" s="38"/>
      <c r="BW99" s="40"/>
      <c r="BX99" s="43"/>
      <c r="BY99" s="5"/>
      <c r="BZ99" s="5"/>
      <c r="CA99" s="38"/>
      <c r="CB99" s="38"/>
      <c r="CC99" s="38"/>
      <c r="CD99" s="38"/>
      <c r="CE99" s="40"/>
      <c r="CF99" s="43"/>
      <c r="CG99" s="5"/>
      <c r="CH99" s="5"/>
      <c r="CI99" s="38"/>
      <c r="CJ99" s="38"/>
      <c r="CK99" s="38"/>
      <c r="CL99" s="38"/>
      <c r="CM99" s="40"/>
      <c r="CN99" s="43"/>
      <c r="CO99" s="5"/>
      <c r="CP99" s="5"/>
      <c r="CQ99" s="38"/>
      <c r="CR99" s="38"/>
      <c r="CS99" s="38"/>
      <c r="CT99" s="38"/>
      <c r="CU99" s="40"/>
      <c r="CV99" s="43"/>
      <c r="CW99" s="5"/>
      <c r="CX99" s="5"/>
    </row>
    <row r="1048567" spans="14:14" x14ac:dyDescent="0.35">
      <c r="N1048567" s="5" t="s">
        <v>284</v>
      </c>
    </row>
  </sheetData>
  <autoFilter ref="A1:CX99" xr:uid="{61AB9B0E-E286-4243-BBD8-57B0A7A5671E}"/>
  <mergeCells count="27">
    <mergeCell ref="AE3:CX3"/>
    <mergeCell ref="Q5:CX5"/>
    <mergeCell ref="BS12:BZ12"/>
    <mergeCell ref="J34:P34"/>
    <mergeCell ref="BS34:BZ34"/>
    <mergeCell ref="CA34:CH34"/>
    <mergeCell ref="CI34:CP34"/>
    <mergeCell ref="CQ34:CX34"/>
    <mergeCell ref="CA81:CH81"/>
    <mergeCell ref="CI81:CP81"/>
    <mergeCell ref="CQ81:CX81"/>
    <mergeCell ref="BS13:BZ13"/>
    <mergeCell ref="BS17:BZ17"/>
    <mergeCell ref="AE33:CX33"/>
    <mergeCell ref="BS36:BZ36"/>
    <mergeCell ref="CA39:CH39"/>
    <mergeCell ref="CI39:CP39"/>
    <mergeCell ref="CQ39:CX39"/>
    <mergeCell ref="BS48:BZ48"/>
    <mergeCell ref="CI98:CP98"/>
    <mergeCell ref="CQ98:CX98"/>
    <mergeCell ref="BS84:BZ84"/>
    <mergeCell ref="BS90:BZ90"/>
    <mergeCell ref="BS93:BZ93"/>
    <mergeCell ref="BS97:BZ97"/>
    <mergeCell ref="BS98:BZ98"/>
    <mergeCell ref="CA98:CH98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0024-7F7E-4D10-8DE9-E6613926EF7E}">
  <sheetPr codeName="Hoja10"/>
  <dimension ref="A1:O150"/>
  <sheetViews>
    <sheetView topLeftCell="C1" workbookViewId="0">
      <selection activeCell="J25" sqref="J25"/>
    </sheetView>
  </sheetViews>
  <sheetFormatPr baseColWidth="10" defaultColWidth="12" defaultRowHeight="13" x14ac:dyDescent="0.35"/>
  <cols>
    <col min="1" max="1" width="11.81640625" style="124" customWidth="1"/>
    <col min="2" max="2" width="35.54296875" style="125" customWidth="1"/>
    <col min="3" max="3" width="10.54296875" style="124" customWidth="1"/>
    <col min="4" max="4" width="19.81640625" style="125" customWidth="1"/>
    <col min="5" max="5" width="14.81640625" style="124" customWidth="1"/>
    <col min="6" max="6" width="8" style="124" bestFit="1" customWidth="1"/>
    <col min="7" max="7" width="21.08984375" style="125" customWidth="1"/>
    <col min="8" max="8" width="14.453125" style="126" bestFit="1" customWidth="1"/>
    <col min="9" max="9" width="14.453125" style="126" customWidth="1"/>
    <col min="10" max="10" width="14.1796875" style="86" customWidth="1"/>
    <col min="11" max="11" width="17" style="86" customWidth="1"/>
    <col min="12" max="12" width="13.7265625" style="128" customWidth="1"/>
    <col min="13" max="13" width="14.54296875" style="128" customWidth="1"/>
    <col min="14" max="14" width="12.90625" style="86" bestFit="1" customWidth="1"/>
    <col min="15" max="15" width="12.81640625" style="86" bestFit="1" customWidth="1"/>
    <col min="16" max="16384" width="12" style="86"/>
  </cols>
  <sheetData>
    <row r="1" spans="1:15" s="78" customFormat="1" ht="25.5" customHeight="1" thickBot="1" x14ac:dyDescent="0.4">
      <c r="A1" s="73" t="s">
        <v>616</v>
      </c>
      <c r="B1" s="73" t="s">
        <v>617</v>
      </c>
      <c r="C1" s="72" t="s">
        <v>266</v>
      </c>
      <c r="D1" s="73" t="s">
        <v>613</v>
      </c>
      <c r="E1" s="73" t="s">
        <v>614</v>
      </c>
      <c r="F1" s="73" t="s">
        <v>615</v>
      </c>
      <c r="G1" s="73" t="s">
        <v>269</v>
      </c>
      <c r="H1" s="74" t="s">
        <v>618</v>
      </c>
      <c r="I1" s="75" t="s">
        <v>619</v>
      </c>
      <c r="J1" s="76" t="s">
        <v>620</v>
      </c>
      <c r="K1" s="76" t="s">
        <v>621</v>
      </c>
      <c r="L1" s="77" t="s">
        <v>622</v>
      </c>
      <c r="M1" s="77" t="s">
        <v>623</v>
      </c>
    </row>
    <row r="2" spans="1:15" x14ac:dyDescent="0.35">
      <c r="A2" s="81">
        <v>246135</v>
      </c>
      <c r="B2" s="80" t="s">
        <v>626</v>
      </c>
      <c r="C2" s="79" t="s">
        <v>280</v>
      </c>
      <c r="D2" s="80" t="s">
        <v>624</v>
      </c>
      <c r="E2" s="81" t="s">
        <v>625</v>
      </c>
      <c r="F2" s="81">
        <v>8140074</v>
      </c>
      <c r="G2" s="80" t="s">
        <v>627</v>
      </c>
      <c r="H2" s="82">
        <v>70594906</v>
      </c>
      <c r="I2" s="83">
        <f t="shared" ref="I2:I65" si="0">+H2*19%</f>
        <v>13413032.140000001</v>
      </c>
      <c r="J2" s="84">
        <f t="shared" ref="J2:J65" si="1">+I2*L2</f>
        <v>0</v>
      </c>
      <c r="K2" s="84">
        <f t="shared" ref="K2:K65" si="2">+I2*M2</f>
        <v>13413032.140000001</v>
      </c>
      <c r="L2" s="85">
        <v>0</v>
      </c>
      <c r="M2" s="85">
        <v>1</v>
      </c>
      <c r="N2" s="86">
        <f>+VLOOKUP(PRORRATEO!F2,TODOS!H:T,8,0)</f>
        <v>70594906</v>
      </c>
      <c r="O2" s="126">
        <f>+N2-H2</f>
        <v>0</v>
      </c>
    </row>
    <row r="3" spans="1:15" x14ac:dyDescent="0.35">
      <c r="A3" s="89">
        <v>366495</v>
      </c>
      <c r="B3" s="88" t="s">
        <v>37</v>
      </c>
      <c r="C3" s="87" t="s">
        <v>288</v>
      </c>
      <c r="D3" s="88" t="s">
        <v>628</v>
      </c>
      <c r="E3" s="89" t="s">
        <v>625</v>
      </c>
      <c r="F3" s="89">
        <v>9205</v>
      </c>
      <c r="G3" s="88">
        <v>800200760</v>
      </c>
      <c r="H3" s="90">
        <v>42915064</v>
      </c>
      <c r="I3" s="91">
        <f t="shared" si="0"/>
        <v>8153862.1600000001</v>
      </c>
      <c r="J3" s="92">
        <f t="shared" si="1"/>
        <v>8153862.1600000001</v>
      </c>
      <c r="K3" s="92">
        <f t="shared" si="2"/>
        <v>0</v>
      </c>
      <c r="L3" s="93">
        <v>1</v>
      </c>
      <c r="M3" s="93">
        <v>0</v>
      </c>
      <c r="N3" s="86">
        <f>+VLOOKUP(PRORRATEO!F3,TODOS!H:T,8,0)</f>
        <v>42915064</v>
      </c>
      <c r="O3" s="126">
        <f t="shared" ref="O3:O66" si="3">+N3-H3</f>
        <v>0</v>
      </c>
    </row>
    <row r="4" spans="1:15" x14ac:dyDescent="0.35">
      <c r="A4" s="89">
        <v>289666</v>
      </c>
      <c r="B4" s="88" t="s">
        <v>630</v>
      </c>
      <c r="C4" s="87" t="s">
        <v>297</v>
      </c>
      <c r="D4" s="88" t="s">
        <v>629</v>
      </c>
      <c r="E4" s="89" t="s">
        <v>625</v>
      </c>
      <c r="F4" s="89">
        <v>9264</v>
      </c>
      <c r="G4" s="88" t="s">
        <v>631</v>
      </c>
      <c r="H4" s="90">
        <v>16580922</v>
      </c>
      <c r="I4" s="91">
        <f t="shared" si="0"/>
        <v>3150375.18</v>
      </c>
      <c r="J4" s="92">
        <f t="shared" si="1"/>
        <v>3150375.18</v>
      </c>
      <c r="K4" s="92">
        <f t="shared" si="2"/>
        <v>0</v>
      </c>
      <c r="L4" s="93">
        <v>1</v>
      </c>
      <c r="M4" s="93">
        <v>0</v>
      </c>
      <c r="N4" s="86">
        <f>+VLOOKUP(PRORRATEO!F4,TODOS!H:T,8,0)</f>
        <v>16580922</v>
      </c>
      <c r="O4" s="126">
        <f t="shared" si="3"/>
        <v>0</v>
      </c>
    </row>
    <row r="5" spans="1:15" x14ac:dyDescent="0.35">
      <c r="A5" s="89"/>
      <c r="B5" s="88" t="s">
        <v>633</v>
      </c>
      <c r="C5" s="87" t="s">
        <v>299</v>
      </c>
      <c r="D5" s="88" t="s">
        <v>632</v>
      </c>
      <c r="E5" s="89" t="s">
        <v>625</v>
      </c>
      <c r="F5" s="89">
        <v>9355</v>
      </c>
      <c r="G5" s="88">
        <v>860001743</v>
      </c>
      <c r="H5" s="90">
        <v>49094705</v>
      </c>
      <c r="I5" s="91">
        <f t="shared" si="0"/>
        <v>9327993.9499999993</v>
      </c>
      <c r="J5" s="92">
        <f t="shared" si="1"/>
        <v>9327993.9499999993</v>
      </c>
      <c r="K5" s="92">
        <f t="shared" si="2"/>
        <v>0</v>
      </c>
      <c r="L5" s="93">
        <v>1</v>
      </c>
      <c r="M5" s="93">
        <v>0</v>
      </c>
      <c r="N5" s="86">
        <f>+VLOOKUP(PRORRATEO!F5,TODOS!H:T,8,0)</f>
        <v>49094705</v>
      </c>
      <c r="O5" s="126">
        <f t="shared" si="3"/>
        <v>0</v>
      </c>
    </row>
    <row r="6" spans="1:15" x14ac:dyDescent="0.35">
      <c r="A6" s="89">
        <v>230440</v>
      </c>
      <c r="B6" s="88" t="s">
        <v>636</v>
      </c>
      <c r="C6" s="87" t="s">
        <v>303</v>
      </c>
      <c r="D6" s="88" t="s">
        <v>634</v>
      </c>
      <c r="E6" s="89" t="s">
        <v>635</v>
      </c>
      <c r="F6" s="89">
        <v>9596</v>
      </c>
      <c r="G6" s="88">
        <v>830054539</v>
      </c>
      <c r="H6" s="90">
        <v>12509050</v>
      </c>
      <c r="I6" s="91">
        <f t="shared" si="0"/>
        <v>2376719.5</v>
      </c>
      <c r="J6" s="92">
        <f t="shared" si="1"/>
        <v>2376719.5</v>
      </c>
      <c r="K6" s="92">
        <f t="shared" si="2"/>
        <v>0</v>
      </c>
      <c r="L6" s="93">
        <v>1</v>
      </c>
      <c r="M6" s="93">
        <v>0</v>
      </c>
      <c r="N6" s="86">
        <f>+VLOOKUP(PRORRATEO!F6,TODOS!H:T,8,0)</f>
        <v>12509050</v>
      </c>
      <c r="O6" s="126">
        <f t="shared" si="3"/>
        <v>0</v>
      </c>
    </row>
    <row r="7" spans="1:15" x14ac:dyDescent="0.35">
      <c r="A7" s="89" t="s">
        <v>639</v>
      </c>
      <c r="B7" s="88" t="s">
        <v>640</v>
      </c>
      <c r="C7" s="87" t="s">
        <v>305</v>
      </c>
      <c r="D7" s="88" t="s">
        <v>637</v>
      </c>
      <c r="E7" s="89" t="s">
        <v>638</v>
      </c>
      <c r="F7" s="89" t="s">
        <v>207</v>
      </c>
      <c r="G7" s="88" t="s">
        <v>641</v>
      </c>
      <c r="H7" s="90">
        <v>14162516</v>
      </c>
      <c r="I7" s="91">
        <f t="shared" si="0"/>
        <v>2690878.04</v>
      </c>
      <c r="J7" s="92">
        <f t="shared" si="1"/>
        <v>2690878.04</v>
      </c>
      <c r="K7" s="92">
        <f t="shared" si="2"/>
        <v>0</v>
      </c>
      <c r="L7" s="93">
        <v>1</v>
      </c>
      <c r="M7" s="93">
        <v>0</v>
      </c>
      <c r="N7" s="86">
        <f>+VLOOKUP(PRORRATEO!F7,TODOS!H:T,8,0)</f>
        <v>14162516</v>
      </c>
      <c r="O7" s="126">
        <f t="shared" si="3"/>
        <v>0</v>
      </c>
    </row>
    <row r="8" spans="1:15" x14ac:dyDescent="0.35">
      <c r="A8" s="89">
        <v>332321</v>
      </c>
      <c r="B8" s="88" t="s">
        <v>644</v>
      </c>
      <c r="C8" s="87" t="s">
        <v>607</v>
      </c>
      <c r="D8" s="88" t="s">
        <v>642</v>
      </c>
      <c r="E8" s="89" t="s">
        <v>643</v>
      </c>
      <c r="F8" s="89" t="s">
        <v>222</v>
      </c>
      <c r="G8" s="88" t="s">
        <v>645</v>
      </c>
      <c r="H8" s="90">
        <v>16500000</v>
      </c>
      <c r="I8" s="91">
        <f t="shared" si="0"/>
        <v>3135000</v>
      </c>
      <c r="J8" s="92">
        <f t="shared" si="1"/>
        <v>3135000</v>
      </c>
      <c r="K8" s="92">
        <f t="shared" si="2"/>
        <v>0</v>
      </c>
      <c r="L8" s="93">
        <v>1</v>
      </c>
      <c r="M8" s="93">
        <v>0</v>
      </c>
      <c r="N8" s="86">
        <f>+VLOOKUP(PRORRATEO!F8,TODOS!H:T,8,0)</f>
        <v>16500000</v>
      </c>
      <c r="O8" s="126">
        <f t="shared" si="3"/>
        <v>0</v>
      </c>
    </row>
    <row r="9" spans="1:15" x14ac:dyDescent="0.35">
      <c r="A9" s="89">
        <v>209631</v>
      </c>
      <c r="B9" s="88" t="s">
        <v>648</v>
      </c>
      <c r="C9" s="87" t="s">
        <v>646</v>
      </c>
      <c r="D9" s="88" t="s">
        <v>647</v>
      </c>
      <c r="E9" s="89" t="s">
        <v>625</v>
      </c>
      <c r="F9" s="89">
        <v>9058</v>
      </c>
      <c r="G9" s="88" t="s">
        <v>649</v>
      </c>
      <c r="H9" s="90">
        <v>33947300</v>
      </c>
      <c r="I9" s="91">
        <f t="shared" si="0"/>
        <v>6449987</v>
      </c>
      <c r="J9" s="92">
        <f t="shared" si="1"/>
        <v>6449987</v>
      </c>
      <c r="K9" s="92">
        <f t="shared" si="2"/>
        <v>0</v>
      </c>
      <c r="L9" s="93">
        <v>1</v>
      </c>
      <c r="M9" s="93">
        <v>0</v>
      </c>
      <c r="N9" s="86">
        <f>+VLOOKUP(PRORRATEO!F9,TODOS!H:T,8,0)</f>
        <v>33947300</v>
      </c>
      <c r="O9" s="126">
        <f t="shared" si="3"/>
        <v>0</v>
      </c>
    </row>
    <row r="10" spans="1:15" x14ac:dyDescent="0.35">
      <c r="A10" s="89">
        <v>210118</v>
      </c>
      <c r="B10" s="88" t="s">
        <v>35</v>
      </c>
      <c r="C10" s="87" t="s">
        <v>650</v>
      </c>
      <c r="D10" s="88" t="s">
        <v>651</v>
      </c>
      <c r="E10" s="89" t="s">
        <v>625</v>
      </c>
      <c r="F10" s="89">
        <v>9104</v>
      </c>
      <c r="G10" s="88" t="s">
        <v>652</v>
      </c>
      <c r="H10" s="90">
        <v>48028276</v>
      </c>
      <c r="I10" s="91">
        <f t="shared" si="0"/>
        <v>9125372.4399999995</v>
      </c>
      <c r="J10" s="92">
        <f t="shared" si="1"/>
        <v>9125372.4399999995</v>
      </c>
      <c r="K10" s="92">
        <f t="shared" si="2"/>
        <v>0</v>
      </c>
      <c r="L10" s="93">
        <v>1</v>
      </c>
      <c r="M10" s="93">
        <v>0</v>
      </c>
      <c r="N10" s="86">
        <f>+VLOOKUP(PRORRATEO!F10,TODOS!H:T,8,0)</f>
        <v>48028276</v>
      </c>
      <c r="O10" s="126">
        <f t="shared" si="3"/>
        <v>0</v>
      </c>
    </row>
    <row r="11" spans="1:15" x14ac:dyDescent="0.35">
      <c r="A11" s="89">
        <v>211510</v>
      </c>
      <c r="B11" s="88" t="s">
        <v>655</v>
      </c>
      <c r="C11" s="87" t="s">
        <v>653</v>
      </c>
      <c r="D11" s="88" t="s">
        <v>654</v>
      </c>
      <c r="E11" s="89" t="s">
        <v>625</v>
      </c>
      <c r="F11" s="89">
        <v>9302</v>
      </c>
      <c r="G11" s="88">
        <v>900536058</v>
      </c>
      <c r="H11" s="90">
        <v>7483348</v>
      </c>
      <c r="I11" s="91">
        <f t="shared" si="0"/>
        <v>1421836.12</v>
      </c>
      <c r="J11" s="92">
        <f t="shared" si="1"/>
        <v>1421836.12</v>
      </c>
      <c r="K11" s="92">
        <f t="shared" si="2"/>
        <v>0</v>
      </c>
      <c r="L11" s="93">
        <v>1</v>
      </c>
      <c r="M11" s="93">
        <v>0</v>
      </c>
      <c r="N11" s="86">
        <f>+VLOOKUP(PRORRATEO!F11,TODOS!H:T,8,0)</f>
        <v>7483348</v>
      </c>
      <c r="O11" s="126">
        <f t="shared" si="3"/>
        <v>0</v>
      </c>
    </row>
    <row r="12" spans="1:15" x14ac:dyDescent="0.35">
      <c r="A12" s="89">
        <v>217751</v>
      </c>
      <c r="B12" s="88" t="s">
        <v>328</v>
      </c>
      <c r="C12" s="87" t="s">
        <v>656</v>
      </c>
      <c r="D12" s="88" t="s">
        <v>657</v>
      </c>
      <c r="E12" s="89" t="s">
        <v>625</v>
      </c>
      <c r="F12" s="89">
        <v>9304</v>
      </c>
      <c r="G12" s="88" t="s">
        <v>329</v>
      </c>
      <c r="H12" s="90">
        <v>5240611</v>
      </c>
      <c r="I12" s="91">
        <f t="shared" si="0"/>
        <v>995716.09</v>
      </c>
      <c r="J12" s="92">
        <f t="shared" si="1"/>
        <v>995716.09</v>
      </c>
      <c r="K12" s="92">
        <f t="shared" si="2"/>
        <v>0</v>
      </c>
      <c r="L12" s="93">
        <v>1</v>
      </c>
      <c r="M12" s="93">
        <v>0</v>
      </c>
      <c r="N12" s="86">
        <f>+VLOOKUP(PRORRATEO!F12,TODOS!H:T,8,0)</f>
        <v>16580922</v>
      </c>
      <c r="O12" s="126">
        <f t="shared" si="3"/>
        <v>11340311</v>
      </c>
    </row>
    <row r="13" spans="1:15" x14ac:dyDescent="0.35">
      <c r="A13" s="89">
        <v>289666</v>
      </c>
      <c r="B13" s="88" t="s">
        <v>630</v>
      </c>
      <c r="C13" s="87" t="s">
        <v>658</v>
      </c>
      <c r="D13" s="88" t="s">
        <v>659</v>
      </c>
      <c r="E13" s="89" t="s">
        <v>625</v>
      </c>
      <c r="F13" s="89">
        <v>9303</v>
      </c>
      <c r="G13" s="88" t="s">
        <v>631</v>
      </c>
      <c r="H13" s="90">
        <v>16580922</v>
      </c>
      <c r="I13" s="91">
        <f t="shared" si="0"/>
        <v>3150375.18</v>
      </c>
      <c r="J13" s="92">
        <f t="shared" si="1"/>
        <v>3150375.18</v>
      </c>
      <c r="K13" s="92">
        <f t="shared" si="2"/>
        <v>0</v>
      </c>
      <c r="L13" s="93">
        <v>1</v>
      </c>
      <c r="M13" s="93">
        <v>0</v>
      </c>
      <c r="N13" s="261">
        <f>+VLOOKUP(PRORRATEO!F13,TODOS!H:T,8,0)</f>
        <v>16580922</v>
      </c>
      <c r="O13" s="261">
        <f t="shared" si="3"/>
        <v>0</v>
      </c>
    </row>
    <row r="14" spans="1:15" x14ac:dyDescent="0.35">
      <c r="A14" s="89">
        <v>205547</v>
      </c>
      <c r="B14" s="88" t="s">
        <v>662</v>
      </c>
      <c r="C14" s="87" t="s">
        <v>660</v>
      </c>
      <c r="D14" s="88" t="s">
        <v>661</v>
      </c>
      <c r="E14" s="89" t="s">
        <v>625</v>
      </c>
      <c r="F14" s="89">
        <v>9301</v>
      </c>
      <c r="G14" s="88">
        <v>830054539</v>
      </c>
      <c r="H14" s="90">
        <v>22377460</v>
      </c>
      <c r="I14" s="91">
        <f t="shared" si="0"/>
        <v>4251717.4000000004</v>
      </c>
      <c r="J14" s="92">
        <f t="shared" si="1"/>
        <v>4251717.4000000004</v>
      </c>
      <c r="K14" s="92">
        <f t="shared" si="2"/>
        <v>0</v>
      </c>
      <c r="L14" s="93">
        <v>1</v>
      </c>
      <c r="M14" s="93">
        <v>0</v>
      </c>
      <c r="N14" s="86">
        <f>+VLOOKUP(PRORRATEO!F14,TODOS!H:T,8,0)</f>
        <v>22377460</v>
      </c>
      <c r="O14" s="126">
        <f t="shared" si="3"/>
        <v>0</v>
      </c>
    </row>
    <row r="15" spans="1:15" x14ac:dyDescent="0.35">
      <c r="A15" s="89">
        <v>214089</v>
      </c>
      <c r="B15" s="88" t="s">
        <v>665</v>
      </c>
      <c r="C15" s="87" t="s">
        <v>663</v>
      </c>
      <c r="D15" s="88" t="s">
        <v>664</v>
      </c>
      <c r="E15" s="89" t="s">
        <v>625</v>
      </c>
      <c r="F15" s="89">
        <v>9305</v>
      </c>
      <c r="G15" s="88" t="s">
        <v>36</v>
      </c>
      <c r="H15" s="90">
        <v>15918945</v>
      </c>
      <c r="I15" s="91">
        <f t="shared" si="0"/>
        <v>3024599.55</v>
      </c>
      <c r="J15" s="92">
        <f t="shared" si="1"/>
        <v>3024599.55</v>
      </c>
      <c r="K15" s="92">
        <f t="shared" si="2"/>
        <v>0</v>
      </c>
      <c r="L15" s="93">
        <v>1</v>
      </c>
      <c r="M15" s="93">
        <v>0</v>
      </c>
      <c r="N15" s="86">
        <f>+VLOOKUP(PRORRATEO!F15,TODOS!H:T,8,0)</f>
        <v>15918945</v>
      </c>
      <c r="O15" s="126">
        <f t="shared" si="3"/>
        <v>0</v>
      </c>
    </row>
    <row r="16" spans="1:15" x14ac:dyDescent="0.35">
      <c r="A16" s="89">
        <v>243073</v>
      </c>
      <c r="B16" s="88" t="s">
        <v>669</v>
      </c>
      <c r="C16" s="87" t="s">
        <v>666</v>
      </c>
      <c r="D16" s="88" t="s">
        <v>667</v>
      </c>
      <c r="E16" s="89" t="s">
        <v>643</v>
      </c>
      <c r="F16" s="89" t="s">
        <v>668</v>
      </c>
      <c r="G16" s="88" t="s">
        <v>670</v>
      </c>
      <c r="H16" s="90">
        <v>30575345</v>
      </c>
      <c r="I16" s="91">
        <f t="shared" si="0"/>
        <v>5809315.5499999998</v>
      </c>
      <c r="J16" s="92">
        <f t="shared" si="1"/>
        <v>5809315.5499999998</v>
      </c>
      <c r="K16" s="92">
        <f t="shared" si="2"/>
        <v>0</v>
      </c>
      <c r="L16" s="93">
        <v>1</v>
      </c>
      <c r="M16" s="93">
        <v>0</v>
      </c>
      <c r="N16" s="86">
        <f>+VLOOKUP(PRORRATEO!F16,TODOS!H:T,8,0)</f>
        <v>30575345</v>
      </c>
      <c r="O16" s="126">
        <f t="shared" si="3"/>
        <v>0</v>
      </c>
    </row>
    <row r="17" spans="1:15" x14ac:dyDescent="0.35">
      <c r="A17" s="89">
        <v>205547</v>
      </c>
      <c r="B17" s="88" t="s">
        <v>662</v>
      </c>
      <c r="C17" s="87" t="s">
        <v>671</v>
      </c>
      <c r="D17" s="88" t="s">
        <v>661</v>
      </c>
      <c r="E17" s="89" t="s">
        <v>625</v>
      </c>
      <c r="F17" s="89" t="s">
        <v>228</v>
      </c>
      <c r="G17" s="88">
        <v>830054539</v>
      </c>
      <c r="H17" s="90">
        <v>28000000</v>
      </c>
      <c r="I17" s="91">
        <f t="shared" si="0"/>
        <v>5320000</v>
      </c>
      <c r="J17" s="92">
        <f t="shared" si="1"/>
        <v>5320000</v>
      </c>
      <c r="K17" s="92">
        <f t="shared" si="2"/>
        <v>0</v>
      </c>
      <c r="L17" s="93">
        <v>1</v>
      </c>
      <c r="M17" s="93">
        <v>0</v>
      </c>
      <c r="N17" s="261">
        <f>+VLOOKUP(PRORRATEO!F17,TODOS!H:T,8,0)</f>
        <v>28000000</v>
      </c>
      <c r="O17" s="261">
        <f t="shared" si="3"/>
        <v>0</v>
      </c>
    </row>
    <row r="18" spans="1:15" x14ac:dyDescent="0.35">
      <c r="A18" s="96">
        <v>208094</v>
      </c>
      <c r="B18" s="95" t="s">
        <v>61</v>
      </c>
      <c r="C18" s="94" t="s">
        <v>334</v>
      </c>
      <c r="D18" s="95" t="s">
        <v>672</v>
      </c>
      <c r="E18" s="96" t="s">
        <v>625</v>
      </c>
      <c r="F18" s="96">
        <v>6553</v>
      </c>
      <c r="G18" s="95">
        <v>900699834</v>
      </c>
      <c r="H18" s="97">
        <v>33513583</v>
      </c>
      <c r="I18" s="98">
        <f t="shared" si="0"/>
        <v>6367580.7700000005</v>
      </c>
      <c r="J18" s="99">
        <f t="shared" si="1"/>
        <v>432995.49236000009</v>
      </c>
      <c r="K18" s="99">
        <f t="shared" si="2"/>
        <v>5934585.2776400009</v>
      </c>
      <c r="L18" s="100">
        <v>6.8000000000000005E-2</v>
      </c>
      <c r="M18" s="100">
        <v>0.93200000000000005</v>
      </c>
      <c r="N18" s="86">
        <f>+VLOOKUP(PRORRATEO!F18,TODOS!H:T,8,0)</f>
        <v>33513583</v>
      </c>
      <c r="O18" s="126">
        <f t="shared" si="3"/>
        <v>0</v>
      </c>
    </row>
    <row r="19" spans="1:15" x14ac:dyDescent="0.35">
      <c r="A19" s="96">
        <v>204532</v>
      </c>
      <c r="B19" s="95" t="s">
        <v>674</v>
      </c>
      <c r="C19" s="94" t="s">
        <v>336</v>
      </c>
      <c r="D19" s="95" t="s">
        <v>673</v>
      </c>
      <c r="E19" s="96" t="s">
        <v>643</v>
      </c>
      <c r="F19" s="96">
        <v>6554</v>
      </c>
      <c r="G19" s="95" t="s">
        <v>675</v>
      </c>
      <c r="H19" s="97">
        <v>24000000</v>
      </c>
      <c r="I19" s="98">
        <f t="shared" si="0"/>
        <v>4560000</v>
      </c>
      <c r="J19" s="99">
        <f t="shared" si="1"/>
        <v>173280</v>
      </c>
      <c r="K19" s="99">
        <f t="shared" si="2"/>
        <v>4386720</v>
      </c>
      <c r="L19" s="100">
        <v>3.7999999999999999E-2</v>
      </c>
      <c r="M19" s="100">
        <v>0.96199999999999997</v>
      </c>
      <c r="N19" s="86">
        <f>+VLOOKUP(PRORRATEO!F19,TODOS!H:T,8,0)</f>
        <v>24000000</v>
      </c>
      <c r="O19" s="126">
        <f t="shared" si="3"/>
        <v>0</v>
      </c>
    </row>
    <row r="20" spans="1:15" x14ac:dyDescent="0.35">
      <c r="A20" s="96">
        <v>204535</v>
      </c>
      <c r="B20" s="95" t="s">
        <v>678</v>
      </c>
      <c r="C20" s="94" t="s">
        <v>339</v>
      </c>
      <c r="D20" s="95" t="s">
        <v>676</v>
      </c>
      <c r="E20" s="96" t="s">
        <v>677</v>
      </c>
      <c r="F20" s="96">
        <v>6556</v>
      </c>
      <c r="G20" s="95" t="s">
        <v>679</v>
      </c>
      <c r="H20" s="97">
        <v>8427956</v>
      </c>
      <c r="I20" s="98">
        <f t="shared" si="0"/>
        <v>1601311.6400000001</v>
      </c>
      <c r="J20" s="99">
        <f t="shared" si="1"/>
        <v>147320.67088000002</v>
      </c>
      <c r="K20" s="99">
        <f t="shared" si="2"/>
        <v>1453990.9691200003</v>
      </c>
      <c r="L20" s="100">
        <v>9.1999999999999998E-2</v>
      </c>
      <c r="M20" s="100">
        <v>0.90800000000000003</v>
      </c>
      <c r="N20" s="86">
        <f>+VLOOKUP(PRORRATEO!F20,TODOS!H:T,8,0)</f>
        <v>8427956</v>
      </c>
      <c r="O20" s="126">
        <f t="shared" si="3"/>
        <v>0</v>
      </c>
    </row>
    <row r="21" spans="1:15" x14ac:dyDescent="0.35">
      <c r="A21" s="96">
        <v>205635</v>
      </c>
      <c r="B21" s="95" t="s">
        <v>8</v>
      </c>
      <c r="C21" s="94" t="s">
        <v>343</v>
      </c>
      <c r="D21" s="95" t="s">
        <v>680</v>
      </c>
      <c r="E21" s="96" t="s">
        <v>643</v>
      </c>
      <c r="F21" s="96">
        <v>6561</v>
      </c>
      <c r="G21" s="95" t="s">
        <v>681</v>
      </c>
      <c r="H21" s="97">
        <v>16368010</v>
      </c>
      <c r="I21" s="98">
        <f t="shared" si="0"/>
        <v>3109921.9</v>
      </c>
      <c r="J21" s="99">
        <f t="shared" si="1"/>
        <v>202144.9235</v>
      </c>
      <c r="K21" s="99">
        <f t="shared" si="2"/>
        <v>2907776.9764999999</v>
      </c>
      <c r="L21" s="100">
        <v>6.5000000000000002E-2</v>
      </c>
      <c r="M21" s="100">
        <v>0.93500000000000005</v>
      </c>
      <c r="N21" s="86">
        <f>+VLOOKUP(PRORRATEO!F21,TODOS!H:T,8,0)</f>
        <v>16368010</v>
      </c>
      <c r="O21" s="126">
        <f t="shared" si="3"/>
        <v>0</v>
      </c>
    </row>
    <row r="22" spans="1:15" x14ac:dyDescent="0.35">
      <c r="A22" s="103">
        <v>208501</v>
      </c>
      <c r="B22" s="102" t="s">
        <v>62</v>
      </c>
      <c r="C22" s="101" t="s">
        <v>347</v>
      </c>
      <c r="D22" s="102" t="s">
        <v>682</v>
      </c>
      <c r="E22" s="103" t="s">
        <v>643</v>
      </c>
      <c r="F22" s="103">
        <v>6563</v>
      </c>
      <c r="G22" s="102" t="s">
        <v>683</v>
      </c>
      <c r="H22" s="104">
        <v>13109640</v>
      </c>
      <c r="I22" s="105">
        <f t="shared" si="0"/>
        <v>2490831.6</v>
      </c>
      <c r="J22" s="106">
        <f t="shared" si="1"/>
        <v>0</v>
      </c>
      <c r="K22" s="106">
        <f t="shared" si="2"/>
        <v>0</v>
      </c>
      <c r="L22" s="107"/>
      <c r="M22" s="107"/>
      <c r="N22" s="261">
        <f>+VLOOKUP(PRORRATEO!F22,TODOS!H:T,8,0)</f>
        <v>13109640</v>
      </c>
      <c r="O22" s="261">
        <f t="shared" si="3"/>
        <v>0</v>
      </c>
    </row>
    <row r="23" spans="1:15" x14ac:dyDescent="0.35">
      <c r="A23" s="96">
        <v>204623</v>
      </c>
      <c r="B23" s="95" t="s">
        <v>685</v>
      </c>
      <c r="C23" s="94" t="s">
        <v>350</v>
      </c>
      <c r="D23" s="95" t="s">
        <v>684</v>
      </c>
      <c r="E23" s="96" t="s">
        <v>625</v>
      </c>
      <c r="F23" s="96">
        <v>6564</v>
      </c>
      <c r="G23" s="95" t="s">
        <v>686</v>
      </c>
      <c r="H23" s="97">
        <v>17875017</v>
      </c>
      <c r="I23" s="98">
        <f t="shared" si="0"/>
        <v>3396253.23</v>
      </c>
      <c r="J23" s="99">
        <f t="shared" si="1"/>
        <v>353210.33591999998</v>
      </c>
      <c r="K23" s="99">
        <f t="shared" si="2"/>
        <v>3043042.89408</v>
      </c>
      <c r="L23" s="100">
        <v>0.104</v>
      </c>
      <c r="M23" s="100">
        <v>0.89600000000000002</v>
      </c>
      <c r="N23" s="86">
        <f>+VLOOKUP(PRORRATEO!F23,TODOS!H:T,8,0)</f>
        <v>17875017</v>
      </c>
      <c r="O23" s="126">
        <f t="shared" si="3"/>
        <v>0</v>
      </c>
    </row>
    <row r="24" spans="1:15" x14ac:dyDescent="0.35">
      <c r="A24" s="103">
        <v>209683</v>
      </c>
      <c r="B24" s="102" t="s">
        <v>55</v>
      </c>
      <c r="C24" s="101" t="s">
        <v>354</v>
      </c>
      <c r="D24" s="102" t="s">
        <v>687</v>
      </c>
      <c r="E24" s="103" t="s">
        <v>643</v>
      </c>
      <c r="F24" s="103">
        <v>6568</v>
      </c>
      <c r="G24" s="102" t="s">
        <v>688</v>
      </c>
      <c r="H24" s="104">
        <v>20790000</v>
      </c>
      <c r="I24" s="105">
        <f t="shared" si="0"/>
        <v>3950100</v>
      </c>
      <c r="J24" s="106">
        <f t="shared" si="1"/>
        <v>0</v>
      </c>
      <c r="K24" s="106">
        <f t="shared" si="2"/>
        <v>0</v>
      </c>
      <c r="L24" s="107"/>
      <c r="M24" s="107"/>
      <c r="N24" s="86">
        <f>+VLOOKUP(PRORRATEO!F24,TODOS!H:T,8,0)</f>
        <v>20790000</v>
      </c>
      <c r="O24" s="126">
        <f t="shared" si="3"/>
        <v>0</v>
      </c>
    </row>
    <row r="25" spans="1:15" x14ac:dyDescent="0.35">
      <c r="A25" s="96">
        <v>204609</v>
      </c>
      <c r="B25" s="95" t="s">
        <v>64</v>
      </c>
      <c r="C25" s="94" t="s">
        <v>689</v>
      </c>
      <c r="D25" s="95" t="s">
        <v>690</v>
      </c>
      <c r="E25" s="96" t="s">
        <v>625</v>
      </c>
      <c r="F25" s="96">
        <v>6572</v>
      </c>
      <c r="G25" s="95">
        <v>9001641085</v>
      </c>
      <c r="H25" s="97">
        <v>13950658</v>
      </c>
      <c r="I25" s="98">
        <f t="shared" si="0"/>
        <v>2650625.02</v>
      </c>
      <c r="J25" s="99">
        <f t="shared" si="1"/>
        <v>121928.75092000001</v>
      </c>
      <c r="K25" s="99">
        <f t="shared" si="2"/>
        <v>2528696.26908</v>
      </c>
      <c r="L25" s="100">
        <v>4.5999999999999999E-2</v>
      </c>
      <c r="M25" s="100">
        <v>0.95399999999999996</v>
      </c>
      <c r="N25" s="86">
        <f>+VLOOKUP(PRORRATEO!F25,TODOS!H:T,8,0)</f>
        <v>13950658</v>
      </c>
      <c r="O25" s="126">
        <f t="shared" si="3"/>
        <v>0</v>
      </c>
    </row>
    <row r="26" spans="1:15" x14ac:dyDescent="0.35">
      <c r="A26" s="96">
        <v>204635</v>
      </c>
      <c r="B26" s="95" t="s">
        <v>24</v>
      </c>
      <c r="C26" s="94" t="s">
        <v>451</v>
      </c>
      <c r="D26" s="95" t="s">
        <v>691</v>
      </c>
      <c r="E26" s="96" t="s">
        <v>625</v>
      </c>
      <c r="F26" s="96">
        <v>6573</v>
      </c>
      <c r="G26" s="95" t="s">
        <v>692</v>
      </c>
      <c r="H26" s="97">
        <v>15500009</v>
      </c>
      <c r="I26" s="98">
        <f t="shared" si="0"/>
        <v>2945001.71</v>
      </c>
      <c r="J26" s="99">
        <f t="shared" si="1"/>
        <v>203205.11799000003</v>
      </c>
      <c r="K26" s="99">
        <f t="shared" si="2"/>
        <v>2741796.5920100003</v>
      </c>
      <c r="L26" s="100">
        <v>6.9000000000000006E-2</v>
      </c>
      <c r="M26" s="100">
        <v>0.93100000000000005</v>
      </c>
      <c r="N26" s="86">
        <f>+VLOOKUP(PRORRATEO!F26,TODOS!H:T,8,0)</f>
        <v>15500009</v>
      </c>
      <c r="O26" s="126">
        <f t="shared" si="3"/>
        <v>0</v>
      </c>
    </row>
    <row r="27" spans="1:15" x14ac:dyDescent="0.35">
      <c r="A27" s="96">
        <v>219814</v>
      </c>
      <c r="B27" s="95" t="s">
        <v>696</v>
      </c>
      <c r="C27" s="94" t="s">
        <v>693</v>
      </c>
      <c r="D27" s="95" t="s">
        <v>694</v>
      </c>
      <c r="E27" s="96" t="s">
        <v>695</v>
      </c>
      <c r="F27" s="96">
        <v>6574</v>
      </c>
      <c r="G27" s="95" t="s">
        <v>697</v>
      </c>
      <c r="H27" s="97">
        <v>10354344</v>
      </c>
      <c r="I27" s="98">
        <f t="shared" si="0"/>
        <v>1967325.36</v>
      </c>
      <c r="J27" s="99">
        <f t="shared" si="1"/>
        <v>96398.942640000008</v>
      </c>
      <c r="K27" s="99">
        <f t="shared" si="2"/>
        <v>1870926.4173600001</v>
      </c>
      <c r="L27" s="100">
        <v>4.9000000000000002E-2</v>
      </c>
      <c r="M27" s="100">
        <v>0.95099999999999996</v>
      </c>
      <c r="N27" s="86">
        <f>+VLOOKUP(PRORRATEO!F27,TODOS!H:T,8,0)</f>
        <v>10354344</v>
      </c>
      <c r="O27" s="126">
        <f t="shared" si="3"/>
        <v>0</v>
      </c>
    </row>
    <row r="28" spans="1:15" x14ac:dyDescent="0.35">
      <c r="A28" s="96">
        <v>204518</v>
      </c>
      <c r="B28" s="95" t="s">
        <v>10</v>
      </c>
      <c r="C28" s="94" t="s">
        <v>475</v>
      </c>
      <c r="D28" s="95" t="s">
        <v>698</v>
      </c>
      <c r="E28" s="96" t="s">
        <v>699</v>
      </c>
      <c r="F28" s="96">
        <v>6598</v>
      </c>
      <c r="G28" s="95" t="s">
        <v>700</v>
      </c>
      <c r="H28" s="97">
        <v>19543600</v>
      </c>
      <c r="I28" s="98">
        <f t="shared" si="0"/>
        <v>3713284</v>
      </c>
      <c r="J28" s="99">
        <f t="shared" si="1"/>
        <v>497580.05600000004</v>
      </c>
      <c r="K28" s="99">
        <f t="shared" si="2"/>
        <v>3215703.9440000001</v>
      </c>
      <c r="L28" s="100">
        <v>0.13400000000000001</v>
      </c>
      <c r="M28" s="100">
        <v>0.86599999999999999</v>
      </c>
      <c r="N28" s="86">
        <f>+VLOOKUP(PRORRATEO!F28,TODOS!H:T,8,0)</f>
        <v>19543600</v>
      </c>
      <c r="O28" s="126">
        <f t="shared" si="3"/>
        <v>0</v>
      </c>
    </row>
    <row r="29" spans="1:15" x14ac:dyDescent="0.35">
      <c r="A29" s="96">
        <v>204517</v>
      </c>
      <c r="B29" s="95" t="s">
        <v>702</v>
      </c>
      <c r="C29" s="94" t="s">
        <v>479</v>
      </c>
      <c r="D29" s="95" t="s">
        <v>701</v>
      </c>
      <c r="E29" s="96" t="s">
        <v>699</v>
      </c>
      <c r="F29" s="96">
        <v>6600</v>
      </c>
      <c r="G29" s="95" t="s">
        <v>703</v>
      </c>
      <c r="H29" s="97">
        <v>33369425</v>
      </c>
      <c r="I29" s="98">
        <f t="shared" si="0"/>
        <v>6340190.75</v>
      </c>
      <c r="J29" s="99">
        <f t="shared" si="1"/>
        <v>779843.46224999998</v>
      </c>
      <c r="K29" s="99">
        <f t="shared" si="2"/>
        <v>5560347.2877500001</v>
      </c>
      <c r="L29" s="100">
        <v>0.123</v>
      </c>
      <c r="M29" s="100">
        <v>0.877</v>
      </c>
      <c r="N29" s="86">
        <f>+VLOOKUP(PRORRATEO!F29,TODOS!H:T,8,0)</f>
        <v>33369425</v>
      </c>
      <c r="O29" s="126">
        <f t="shared" si="3"/>
        <v>0</v>
      </c>
    </row>
    <row r="30" spans="1:15" x14ac:dyDescent="0.35">
      <c r="A30" s="96" t="s">
        <v>39</v>
      </c>
      <c r="B30" s="95" t="s">
        <v>706</v>
      </c>
      <c r="C30" s="94" t="s">
        <v>704</v>
      </c>
      <c r="D30" s="95" t="s">
        <v>705</v>
      </c>
      <c r="E30" s="96" t="s">
        <v>695</v>
      </c>
      <c r="F30" s="96">
        <v>6601</v>
      </c>
      <c r="G30" s="95" t="s">
        <v>707</v>
      </c>
      <c r="H30" s="97">
        <v>15668000</v>
      </c>
      <c r="I30" s="98">
        <f t="shared" si="0"/>
        <v>2976920</v>
      </c>
      <c r="J30" s="99">
        <f t="shared" si="1"/>
        <v>166707.51999999999</v>
      </c>
      <c r="K30" s="99">
        <f t="shared" si="2"/>
        <v>2810212.48</v>
      </c>
      <c r="L30" s="100">
        <v>5.6000000000000001E-2</v>
      </c>
      <c r="M30" s="100">
        <v>0.94399999999999995</v>
      </c>
      <c r="N30" s="86" t="e">
        <f>+VLOOKUP(PRORRATEO!F30,TODOS!H:T,8,0)</f>
        <v>#N/A</v>
      </c>
      <c r="O30" s="126" t="e">
        <f t="shared" si="3"/>
        <v>#N/A</v>
      </c>
    </row>
    <row r="31" spans="1:15" x14ac:dyDescent="0.35">
      <c r="A31" s="96">
        <v>204884</v>
      </c>
      <c r="B31" s="95" t="s">
        <v>59</v>
      </c>
      <c r="C31" s="94" t="s">
        <v>483</v>
      </c>
      <c r="D31" s="95" t="s">
        <v>708</v>
      </c>
      <c r="E31" s="96" t="s">
        <v>699</v>
      </c>
      <c r="F31" s="96">
        <v>6602</v>
      </c>
      <c r="G31" s="95" t="s">
        <v>709</v>
      </c>
      <c r="H31" s="97">
        <v>9759288</v>
      </c>
      <c r="I31" s="98">
        <f t="shared" si="0"/>
        <v>1854264.72</v>
      </c>
      <c r="J31" s="99">
        <f t="shared" si="1"/>
        <v>64899.265200000002</v>
      </c>
      <c r="K31" s="99">
        <f t="shared" si="2"/>
        <v>1789365.4547999999</v>
      </c>
      <c r="L31" s="100">
        <v>3.5000000000000003E-2</v>
      </c>
      <c r="M31" s="100">
        <v>0.96499999999999997</v>
      </c>
      <c r="N31" s="86">
        <f>+VLOOKUP(PRORRATEO!F31,TODOS!H:T,8,0)</f>
        <v>9759288</v>
      </c>
      <c r="O31" s="126">
        <f t="shared" si="3"/>
        <v>0</v>
      </c>
    </row>
    <row r="32" spans="1:15" x14ac:dyDescent="0.35">
      <c r="A32" s="96">
        <v>204816</v>
      </c>
      <c r="B32" s="95" t="s">
        <v>26</v>
      </c>
      <c r="C32" s="94" t="s">
        <v>710</v>
      </c>
      <c r="D32" s="95" t="s">
        <v>711</v>
      </c>
      <c r="E32" s="96" t="s">
        <v>625</v>
      </c>
      <c r="F32" s="96">
        <v>6603</v>
      </c>
      <c r="G32" s="95">
        <v>1026261501</v>
      </c>
      <c r="H32" s="97">
        <v>13354740</v>
      </c>
      <c r="I32" s="98">
        <f t="shared" si="0"/>
        <v>2537400.6</v>
      </c>
      <c r="J32" s="99">
        <f t="shared" si="1"/>
        <v>167468.43960000001</v>
      </c>
      <c r="K32" s="99">
        <f t="shared" si="2"/>
        <v>2369932.1604000004</v>
      </c>
      <c r="L32" s="100">
        <v>6.6000000000000003E-2</v>
      </c>
      <c r="M32" s="100">
        <v>0.93400000000000005</v>
      </c>
      <c r="N32" s="261">
        <f>+VLOOKUP(PRORRATEO!F32,TODOS!H:T,8,0)</f>
        <v>20626238</v>
      </c>
      <c r="O32" s="261">
        <f t="shared" si="3"/>
        <v>7271498</v>
      </c>
    </row>
    <row r="33" spans="1:15" x14ac:dyDescent="0.35">
      <c r="A33" s="96">
        <v>204815</v>
      </c>
      <c r="B33" s="95" t="s">
        <v>5</v>
      </c>
      <c r="C33" s="94" t="s">
        <v>710</v>
      </c>
      <c r="D33" s="95" t="s">
        <v>711</v>
      </c>
      <c r="E33" s="96" t="s">
        <v>625</v>
      </c>
      <c r="F33" s="96">
        <v>6603</v>
      </c>
      <c r="G33" s="95">
        <v>1019012543</v>
      </c>
      <c r="H33" s="97">
        <v>13354740</v>
      </c>
      <c r="I33" s="98">
        <f t="shared" si="0"/>
        <v>2537400.6</v>
      </c>
      <c r="J33" s="99">
        <f t="shared" si="1"/>
        <v>167468.43960000001</v>
      </c>
      <c r="K33" s="99">
        <f t="shared" si="2"/>
        <v>2369932.1604000004</v>
      </c>
      <c r="L33" s="100">
        <v>6.6000000000000003E-2</v>
      </c>
      <c r="M33" s="100">
        <v>0.93400000000000005</v>
      </c>
      <c r="N33" s="261">
        <f>+VLOOKUP(PRORRATEO!F33,TODOS!H:T,8,0)</f>
        <v>20626238</v>
      </c>
      <c r="O33" s="261">
        <f t="shared" si="3"/>
        <v>7271498</v>
      </c>
    </row>
    <row r="34" spans="1:15" x14ac:dyDescent="0.35">
      <c r="A34" s="96">
        <v>204522</v>
      </c>
      <c r="B34" s="95" t="s">
        <v>6</v>
      </c>
      <c r="C34" s="94" t="s">
        <v>710</v>
      </c>
      <c r="D34" s="95" t="s">
        <v>711</v>
      </c>
      <c r="E34" s="96" t="s">
        <v>625</v>
      </c>
      <c r="F34" s="96">
        <v>6603</v>
      </c>
      <c r="G34" s="95">
        <v>52415336</v>
      </c>
      <c r="H34" s="97">
        <v>20626238</v>
      </c>
      <c r="I34" s="98">
        <f>+H34*19%</f>
        <v>3918985.22</v>
      </c>
      <c r="J34" s="99">
        <f t="shared" si="1"/>
        <v>258653.02452000004</v>
      </c>
      <c r="K34" s="99">
        <f t="shared" si="2"/>
        <v>3660332.1954800002</v>
      </c>
      <c r="L34" s="100">
        <v>6.6000000000000003E-2</v>
      </c>
      <c r="M34" s="100">
        <v>0.93400000000000005</v>
      </c>
      <c r="N34" s="86">
        <f>+VLOOKUP(PRORRATEO!F34,TODOS!H:T,8,0)</f>
        <v>20626238</v>
      </c>
      <c r="O34" s="126">
        <f t="shared" si="3"/>
        <v>0</v>
      </c>
    </row>
    <row r="35" spans="1:15" x14ac:dyDescent="0.35">
      <c r="A35" s="96">
        <v>366703</v>
      </c>
      <c r="B35" s="95" t="s">
        <v>57</v>
      </c>
      <c r="C35" s="94" t="s">
        <v>710</v>
      </c>
      <c r="D35" s="95" t="s">
        <v>711</v>
      </c>
      <c r="E35" s="96" t="s">
        <v>625</v>
      </c>
      <c r="F35" s="96">
        <v>6603</v>
      </c>
      <c r="G35" s="95">
        <v>901200161</v>
      </c>
      <c r="H35" s="97">
        <v>20626238</v>
      </c>
      <c r="I35" s="98">
        <f t="shared" si="0"/>
        <v>3918985.22</v>
      </c>
      <c r="J35" s="99">
        <f t="shared" si="1"/>
        <v>258653.02452000004</v>
      </c>
      <c r="K35" s="99">
        <f t="shared" si="2"/>
        <v>3660332.1954800002</v>
      </c>
      <c r="L35" s="100">
        <v>6.6000000000000003E-2</v>
      </c>
      <c r="M35" s="100">
        <v>0.93400000000000005</v>
      </c>
      <c r="N35" s="86">
        <f>+VLOOKUP(PRORRATEO!F35,TODOS!H:T,8,0)</f>
        <v>20626238</v>
      </c>
      <c r="O35" s="126">
        <f t="shared" si="3"/>
        <v>0</v>
      </c>
    </row>
    <row r="36" spans="1:15" x14ac:dyDescent="0.35">
      <c r="A36" s="96">
        <v>204617</v>
      </c>
      <c r="B36" s="95" t="s">
        <v>712</v>
      </c>
      <c r="C36" s="94" t="s">
        <v>710</v>
      </c>
      <c r="D36" s="95" t="s">
        <v>711</v>
      </c>
      <c r="E36" s="96" t="s">
        <v>625</v>
      </c>
      <c r="F36" s="96">
        <v>6603</v>
      </c>
      <c r="G36" s="95" t="s">
        <v>713</v>
      </c>
      <c r="H36" s="97">
        <v>41252476</v>
      </c>
      <c r="I36" s="98">
        <f t="shared" si="0"/>
        <v>7837970.4400000004</v>
      </c>
      <c r="J36" s="99">
        <f t="shared" si="1"/>
        <v>517306.04904000007</v>
      </c>
      <c r="K36" s="99">
        <f t="shared" si="2"/>
        <v>7320664.3909600005</v>
      </c>
      <c r="L36" s="100">
        <v>6.6000000000000003E-2</v>
      </c>
      <c r="M36" s="100">
        <v>0.93400000000000005</v>
      </c>
      <c r="N36" s="261">
        <f>+VLOOKUP(PRORRATEO!F36,TODOS!H:T,8,0)</f>
        <v>20626238</v>
      </c>
      <c r="O36" s="261">
        <f t="shared" si="3"/>
        <v>-20626238</v>
      </c>
    </row>
    <row r="37" spans="1:15" x14ac:dyDescent="0.35">
      <c r="A37" s="96">
        <v>208141</v>
      </c>
      <c r="B37" s="95" t="s">
        <v>32</v>
      </c>
      <c r="C37" s="94" t="s">
        <v>489</v>
      </c>
      <c r="D37" s="95" t="s">
        <v>714</v>
      </c>
      <c r="E37" s="96" t="s">
        <v>715</v>
      </c>
      <c r="F37" s="96">
        <v>6606</v>
      </c>
      <c r="G37" s="95" t="s">
        <v>33</v>
      </c>
      <c r="H37" s="97">
        <v>17205112</v>
      </c>
      <c r="I37" s="98">
        <f t="shared" si="0"/>
        <v>3268971.2800000003</v>
      </c>
      <c r="J37" s="99">
        <f t="shared" si="1"/>
        <v>209214.16192000001</v>
      </c>
      <c r="K37" s="99">
        <f t="shared" si="2"/>
        <v>3059757.1180800004</v>
      </c>
      <c r="L37" s="100">
        <v>6.4000000000000001E-2</v>
      </c>
      <c r="M37" s="100">
        <v>0.93600000000000005</v>
      </c>
      <c r="N37" s="86">
        <f>+VLOOKUP(PRORRATEO!F37,TODOS!H:T,8,0)</f>
        <v>17205112</v>
      </c>
      <c r="O37" s="126">
        <f t="shared" si="3"/>
        <v>0</v>
      </c>
    </row>
    <row r="38" spans="1:15" x14ac:dyDescent="0.35">
      <c r="A38" s="96">
        <v>204531</v>
      </c>
      <c r="B38" s="95" t="s">
        <v>717</v>
      </c>
      <c r="C38" s="94" t="s">
        <v>501</v>
      </c>
      <c r="D38" s="95" t="s">
        <v>716</v>
      </c>
      <c r="E38" s="96" t="s">
        <v>625</v>
      </c>
      <c r="F38" s="96">
        <v>6617</v>
      </c>
      <c r="G38" s="95" t="s">
        <v>718</v>
      </c>
      <c r="H38" s="97">
        <v>9086819</v>
      </c>
      <c r="I38" s="98">
        <f t="shared" si="0"/>
        <v>1726495.61</v>
      </c>
      <c r="J38" s="99">
        <f t="shared" si="1"/>
        <v>86324.780500000008</v>
      </c>
      <c r="K38" s="99">
        <f t="shared" si="2"/>
        <v>1640170.8295</v>
      </c>
      <c r="L38" s="100">
        <v>0.05</v>
      </c>
      <c r="M38" s="100">
        <v>0.95</v>
      </c>
      <c r="N38" s="86">
        <f>+VLOOKUP(PRORRATEO!F38,TODOS!H:T,8,0)</f>
        <v>9086819</v>
      </c>
      <c r="O38" s="126">
        <f t="shared" si="3"/>
        <v>0</v>
      </c>
    </row>
    <row r="39" spans="1:15" x14ac:dyDescent="0.35">
      <c r="A39" s="96">
        <v>205529</v>
      </c>
      <c r="B39" s="95" t="s">
        <v>12</v>
      </c>
      <c r="C39" s="94" t="s">
        <v>505</v>
      </c>
      <c r="D39" s="95" t="s">
        <v>719</v>
      </c>
      <c r="E39" s="96" t="s">
        <v>643</v>
      </c>
      <c r="F39" s="96">
        <v>6619</v>
      </c>
      <c r="G39" s="95">
        <v>9002479436</v>
      </c>
      <c r="H39" s="97">
        <v>11540440</v>
      </c>
      <c r="I39" s="98">
        <f t="shared" si="0"/>
        <v>2192683.6</v>
      </c>
      <c r="J39" s="99">
        <f t="shared" si="1"/>
        <v>120597.59800000001</v>
      </c>
      <c r="K39" s="99">
        <f t="shared" si="2"/>
        <v>2072086.0020000001</v>
      </c>
      <c r="L39" s="100">
        <v>5.5E-2</v>
      </c>
      <c r="M39" s="100">
        <v>0.94499999999999995</v>
      </c>
      <c r="N39" s="86">
        <f>+VLOOKUP(PRORRATEO!F39,TODOS!H:T,8,0)</f>
        <v>11540440</v>
      </c>
      <c r="O39" s="126">
        <f t="shared" si="3"/>
        <v>0</v>
      </c>
    </row>
    <row r="40" spans="1:15" x14ac:dyDescent="0.35">
      <c r="A40" s="96" t="s">
        <v>40</v>
      </c>
      <c r="B40" s="95" t="s">
        <v>721</v>
      </c>
      <c r="C40" s="94" t="s">
        <v>508</v>
      </c>
      <c r="D40" s="95" t="s">
        <v>720</v>
      </c>
      <c r="E40" s="96" t="s">
        <v>715</v>
      </c>
      <c r="F40" s="96">
        <v>6620</v>
      </c>
      <c r="G40" s="95" t="s">
        <v>722</v>
      </c>
      <c r="H40" s="97">
        <v>11894700</v>
      </c>
      <c r="I40" s="98">
        <f t="shared" si="0"/>
        <v>2259993</v>
      </c>
      <c r="J40" s="99">
        <f t="shared" si="1"/>
        <v>171759.46799999999</v>
      </c>
      <c r="K40" s="99">
        <f t="shared" si="2"/>
        <v>2088233.5320000001</v>
      </c>
      <c r="L40" s="100">
        <v>7.5999999999999998E-2</v>
      </c>
      <c r="M40" s="100">
        <v>0.92400000000000004</v>
      </c>
      <c r="N40" s="86">
        <f>+VLOOKUP(PRORRATEO!F40,TODOS!H:T,8,0)</f>
        <v>11894700</v>
      </c>
      <c r="O40" s="126">
        <f t="shared" si="3"/>
        <v>0</v>
      </c>
    </row>
    <row r="41" spans="1:15" x14ac:dyDescent="0.35">
      <c r="A41" s="96">
        <v>206218</v>
      </c>
      <c r="B41" s="95" t="s">
        <v>9</v>
      </c>
      <c r="C41" s="94" t="s">
        <v>511</v>
      </c>
      <c r="D41" s="95" t="s">
        <v>723</v>
      </c>
      <c r="E41" s="96" t="s">
        <v>715</v>
      </c>
      <c r="F41" s="96">
        <v>6621</v>
      </c>
      <c r="G41" s="95" t="s">
        <v>724</v>
      </c>
      <c r="H41" s="97">
        <v>8412379</v>
      </c>
      <c r="I41" s="98">
        <f t="shared" si="0"/>
        <v>1598352.01</v>
      </c>
      <c r="J41" s="99">
        <f t="shared" si="1"/>
        <v>121474.75276</v>
      </c>
      <c r="K41" s="99">
        <f t="shared" si="2"/>
        <v>1476877.2572400002</v>
      </c>
      <c r="L41" s="100">
        <v>7.5999999999999998E-2</v>
      </c>
      <c r="M41" s="100">
        <v>0.92400000000000004</v>
      </c>
      <c r="N41" s="86">
        <f>+VLOOKUP(PRORRATEO!F41,TODOS!H:T,8,0)</f>
        <v>8412379</v>
      </c>
      <c r="O41" s="126">
        <f t="shared" si="3"/>
        <v>0</v>
      </c>
    </row>
    <row r="42" spans="1:15" x14ac:dyDescent="0.35">
      <c r="A42" s="96">
        <v>204516</v>
      </c>
      <c r="B42" s="95" t="s">
        <v>726</v>
      </c>
      <c r="C42" s="94" t="s">
        <v>514</v>
      </c>
      <c r="D42" s="95" t="s">
        <v>725</v>
      </c>
      <c r="E42" s="96" t="s">
        <v>625</v>
      </c>
      <c r="F42" s="96">
        <v>6623</v>
      </c>
      <c r="G42" s="95"/>
      <c r="H42" s="97">
        <v>6337200</v>
      </c>
      <c r="I42" s="98">
        <f t="shared" si="0"/>
        <v>1204068</v>
      </c>
      <c r="J42" s="99">
        <f t="shared" si="1"/>
        <v>101141.712</v>
      </c>
      <c r="K42" s="99">
        <f t="shared" si="2"/>
        <v>1102926.2879999999</v>
      </c>
      <c r="L42" s="100">
        <v>8.4000000000000005E-2</v>
      </c>
      <c r="M42" s="100">
        <v>0.91600000000000004</v>
      </c>
      <c r="N42" s="86">
        <f>+VLOOKUP(PRORRATEO!F42,TODOS!H:T,8,0)</f>
        <v>6337200</v>
      </c>
      <c r="O42" s="126">
        <f t="shared" si="3"/>
        <v>0</v>
      </c>
    </row>
    <row r="43" spans="1:15" x14ac:dyDescent="0.35">
      <c r="A43" s="96">
        <v>204519</v>
      </c>
      <c r="B43" s="95" t="s">
        <v>727</v>
      </c>
      <c r="C43" s="94" t="s">
        <v>514</v>
      </c>
      <c r="D43" s="95" t="s">
        <v>725</v>
      </c>
      <c r="E43" s="96" t="s">
        <v>625</v>
      </c>
      <c r="F43" s="96">
        <v>6623</v>
      </c>
      <c r="G43" s="95">
        <v>41437669</v>
      </c>
      <c r="H43" s="97">
        <v>6337200</v>
      </c>
      <c r="I43" s="98">
        <f t="shared" si="0"/>
        <v>1204068</v>
      </c>
      <c r="J43" s="99">
        <f t="shared" si="1"/>
        <v>101141.712</v>
      </c>
      <c r="K43" s="99">
        <f t="shared" si="2"/>
        <v>1102926.2879999999</v>
      </c>
      <c r="L43" s="100">
        <v>8.4000000000000005E-2</v>
      </c>
      <c r="M43" s="100">
        <v>0.91600000000000004</v>
      </c>
      <c r="N43" s="86">
        <f>+VLOOKUP(PRORRATEO!F43,TODOS!H:T,8,0)</f>
        <v>6337200</v>
      </c>
      <c r="O43" s="126">
        <f t="shared" si="3"/>
        <v>0</v>
      </c>
    </row>
    <row r="44" spans="1:15" x14ac:dyDescent="0.35">
      <c r="A44" s="96">
        <v>204545</v>
      </c>
      <c r="B44" s="95" t="s">
        <v>729</v>
      </c>
      <c r="C44" s="94" t="s">
        <v>518</v>
      </c>
      <c r="D44" s="95" t="s">
        <v>728</v>
      </c>
      <c r="E44" s="96" t="s">
        <v>625</v>
      </c>
      <c r="F44" s="96">
        <v>6626</v>
      </c>
      <c r="G44" s="95" t="s">
        <v>730</v>
      </c>
      <c r="H44" s="97">
        <v>15101403</v>
      </c>
      <c r="I44" s="98">
        <f t="shared" si="0"/>
        <v>2869266.57</v>
      </c>
      <c r="J44" s="99">
        <f t="shared" si="1"/>
        <v>229541.32559999998</v>
      </c>
      <c r="K44" s="99">
        <f t="shared" si="2"/>
        <v>2639725.2443999997</v>
      </c>
      <c r="L44" s="100">
        <v>0.08</v>
      </c>
      <c r="M44" s="100">
        <v>0.92</v>
      </c>
      <c r="N44" s="86">
        <f>+VLOOKUP(PRORRATEO!F44,TODOS!H:T,8,0)</f>
        <v>15101403</v>
      </c>
      <c r="O44" s="126">
        <f t="shared" si="3"/>
        <v>0</v>
      </c>
    </row>
    <row r="45" spans="1:15" x14ac:dyDescent="0.35">
      <c r="A45" s="96">
        <v>204515</v>
      </c>
      <c r="B45" s="95" t="s">
        <v>4</v>
      </c>
      <c r="C45" s="94" t="s">
        <v>521</v>
      </c>
      <c r="D45" s="95" t="s">
        <v>731</v>
      </c>
      <c r="E45" s="96" t="s">
        <v>625</v>
      </c>
      <c r="F45" s="96">
        <v>6627</v>
      </c>
      <c r="G45" s="95" t="s">
        <v>732</v>
      </c>
      <c r="H45" s="97">
        <v>14489143</v>
      </c>
      <c r="I45" s="98">
        <f t="shared" si="0"/>
        <v>2752937.17</v>
      </c>
      <c r="J45" s="99">
        <f t="shared" si="1"/>
        <v>352375.95776000002</v>
      </c>
      <c r="K45" s="99">
        <f t="shared" si="2"/>
        <v>2400561.2122399998</v>
      </c>
      <c r="L45" s="100">
        <v>0.128</v>
      </c>
      <c r="M45" s="100">
        <v>0.872</v>
      </c>
      <c r="N45" s="86">
        <f>+VLOOKUP(PRORRATEO!F45,TODOS!H:T,8,0)</f>
        <v>14489143</v>
      </c>
      <c r="O45" s="126">
        <f t="shared" si="3"/>
        <v>0</v>
      </c>
    </row>
    <row r="46" spans="1:15" x14ac:dyDescent="0.35">
      <c r="A46" s="96">
        <v>206755</v>
      </c>
      <c r="B46" s="95" t="s">
        <v>65</v>
      </c>
      <c r="C46" s="94" t="s">
        <v>523</v>
      </c>
      <c r="D46" s="95" t="s">
        <v>733</v>
      </c>
      <c r="E46" s="96" t="s">
        <v>625</v>
      </c>
      <c r="F46" s="96">
        <v>6629</v>
      </c>
      <c r="G46" s="95" t="s">
        <v>734</v>
      </c>
      <c r="H46" s="97">
        <v>8141716</v>
      </c>
      <c r="I46" s="98">
        <f t="shared" si="0"/>
        <v>1546926.04</v>
      </c>
      <c r="J46" s="99">
        <f t="shared" si="1"/>
        <v>67460.517265300994</v>
      </c>
      <c r="K46" s="99">
        <f t="shared" si="2"/>
        <v>1479465.5227346993</v>
      </c>
      <c r="L46" s="100">
        <v>4.3609400527837128E-2</v>
      </c>
      <c r="M46" s="100">
        <v>0.95639059947216298</v>
      </c>
      <c r="N46" s="86">
        <f>+VLOOKUP(PRORRATEO!F46,TODOS!H:T,8,0)</f>
        <v>8141716</v>
      </c>
      <c r="O46" s="126">
        <f t="shared" si="3"/>
        <v>0</v>
      </c>
    </row>
    <row r="47" spans="1:15" x14ac:dyDescent="0.35">
      <c r="A47" s="96">
        <v>206286</v>
      </c>
      <c r="B47" s="95" t="s">
        <v>460</v>
      </c>
      <c r="C47" s="96" t="s">
        <v>526</v>
      </c>
      <c r="D47" s="95" t="s">
        <v>735</v>
      </c>
      <c r="E47" s="96" t="s">
        <v>625</v>
      </c>
      <c r="F47" s="96">
        <v>6632</v>
      </c>
      <c r="G47" s="95" t="s">
        <v>31</v>
      </c>
      <c r="H47" s="99">
        <v>25832541</v>
      </c>
      <c r="I47" s="99">
        <f t="shared" si="0"/>
        <v>4908182.79</v>
      </c>
      <c r="J47" s="99">
        <f t="shared" si="1"/>
        <v>389888.62090827333</v>
      </c>
      <c r="K47" s="99">
        <f t="shared" si="2"/>
        <v>4518294.1690917267</v>
      </c>
      <c r="L47" s="100">
        <v>7.9436450839328529E-2</v>
      </c>
      <c r="M47" s="100">
        <v>0.9205635491606714</v>
      </c>
      <c r="N47" s="261">
        <f>+VLOOKUP(PRORRATEO!F47,TODOS!H:T,8,0)</f>
        <v>25832541</v>
      </c>
      <c r="O47" s="261">
        <f t="shared" si="3"/>
        <v>0</v>
      </c>
    </row>
    <row r="48" spans="1:15" x14ac:dyDescent="0.35">
      <c r="A48" s="110">
        <v>204588</v>
      </c>
      <c r="B48" s="109" t="s">
        <v>19</v>
      </c>
      <c r="C48" s="108" t="s">
        <v>529</v>
      </c>
      <c r="D48" s="109" t="s">
        <v>736</v>
      </c>
      <c r="E48" s="110" t="s">
        <v>643</v>
      </c>
      <c r="F48" s="110">
        <v>6636</v>
      </c>
      <c r="G48" s="109" t="s">
        <v>737</v>
      </c>
      <c r="H48" s="98">
        <v>16023627</v>
      </c>
      <c r="I48" s="98">
        <f t="shared" si="0"/>
        <v>3044489.13</v>
      </c>
      <c r="J48" s="111">
        <f t="shared" si="1"/>
        <v>191717.36649950134</v>
      </c>
      <c r="K48" s="111">
        <f t="shared" si="2"/>
        <v>2852771.7635004986</v>
      </c>
      <c r="L48" s="112">
        <v>6.29719333238353E-2</v>
      </c>
      <c r="M48" s="113">
        <v>0.93702806667616478</v>
      </c>
      <c r="N48" s="261">
        <f>+VLOOKUP(PRORRATEO!F48,TODOS!H:T,8,0)</f>
        <v>16023627</v>
      </c>
      <c r="O48" s="261">
        <f t="shared" si="3"/>
        <v>0</v>
      </c>
    </row>
    <row r="49" spans="1:15" x14ac:dyDescent="0.35">
      <c r="A49" s="96">
        <v>204631</v>
      </c>
      <c r="B49" s="95" t="s">
        <v>741</v>
      </c>
      <c r="C49" s="94" t="s">
        <v>738</v>
      </c>
      <c r="D49" s="95" t="s">
        <v>739</v>
      </c>
      <c r="E49" s="96" t="s">
        <v>740</v>
      </c>
      <c r="F49" s="96">
        <v>6638</v>
      </c>
      <c r="G49" s="95" t="s">
        <v>742</v>
      </c>
      <c r="H49" s="97">
        <v>17000000</v>
      </c>
      <c r="I49" s="98">
        <f t="shared" si="0"/>
        <v>3230000</v>
      </c>
      <c r="J49" s="99">
        <f>+I49*L49</f>
        <v>131793.4306569343</v>
      </c>
      <c r="K49" s="99">
        <f t="shared" si="2"/>
        <v>3098206.5693430658</v>
      </c>
      <c r="L49" s="100">
        <v>4.0802919708029198E-2</v>
      </c>
      <c r="M49" s="100">
        <v>0.95919708029197082</v>
      </c>
      <c r="N49" s="86">
        <f>+VLOOKUP(PRORRATEO!F49,TODOS!H:T,8,0)</f>
        <v>17000000</v>
      </c>
      <c r="O49" s="126">
        <f t="shared" si="3"/>
        <v>0</v>
      </c>
    </row>
    <row r="50" spans="1:15" x14ac:dyDescent="0.35">
      <c r="A50" s="96">
        <v>204900</v>
      </c>
      <c r="B50" s="95" t="s">
        <v>27</v>
      </c>
      <c r="C50" s="94" t="s">
        <v>532</v>
      </c>
      <c r="D50" s="95" t="s">
        <v>743</v>
      </c>
      <c r="E50" s="96" t="s">
        <v>744</v>
      </c>
      <c r="F50" s="96">
        <v>6640</v>
      </c>
      <c r="G50" s="95" t="s">
        <v>745</v>
      </c>
      <c r="H50" s="97">
        <v>5649396</v>
      </c>
      <c r="I50" s="98">
        <f t="shared" si="0"/>
        <v>1073385.24</v>
      </c>
      <c r="J50" s="99">
        <f t="shared" si="1"/>
        <v>94890.773637943901</v>
      </c>
      <c r="K50" s="99">
        <f t="shared" si="2"/>
        <v>978494.46636205621</v>
      </c>
      <c r="L50" s="100">
        <v>8.8403277874348166E-2</v>
      </c>
      <c r="M50" s="100">
        <v>0.9115967221256519</v>
      </c>
      <c r="N50" s="86">
        <f>+VLOOKUP(PRORRATEO!F50,TODOS!H:T,8,0)</f>
        <v>5649396</v>
      </c>
      <c r="O50" s="126">
        <f t="shared" si="3"/>
        <v>0</v>
      </c>
    </row>
    <row r="51" spans="1:15" ht="14.5" x14ac:dyDescent="0.35">
      <c r="A51" s="96">
        <v>204578</v>
      </c>
      <c r="B51" s="95" t="s">
        <v>3</v>
      </c>
      <c r="C51" s="94" t="s">
        <v>535</v>
      </c>
      <c r="D51" s="95" t="s">
        <v>746</v>
      </c>
      <c r="E51" s="96" t="s">
        <v>625</v>
      </c>
      <c r="F51" s="96">
        <v>6652</v>
      </c>
      <c r="G51" s="95" t="s">
        <v>747</v>
      </c>
      <c r="H51" s="97">
        <v>15871587</v>
      </c>
      <c r="I51" s="98">
        <f t="shared" si="0"/>
        <v>3015601.5300000003</v>
      </c>
      <c r="J51" s="99">
        <f t="shared" si="1"/>
        <v>160005.1278447978</v>
      </c>
      <c r="K51" s="99">
        <f t="shared" si="2"/>
        <v>2855596.4021552023</v>
      </c>
      <c r="L51" s="114">
        <v>5.3059108192188037E-2</v>
      </c>
      <c r="M51" s="100">
        <v>0.94694089180781194</v>
      </c>
      <c r="N51" s="86">
        <f>+VLOOKUP(PRORRATEO!F51,TODOS!H:T,8,0)</f>
        <v>15871587</v>
      </c>
      <c r="O51" s="126">
        <f t="shared" si="3"/>
        <v>0</v>
      </c>
    </row>
    <row r="52" spans="1:15" ht="14.5" x14ac:dyDescent="0.35">
      <c r="A52" s="96">
        <v>204583</v>
      </c>
      <c r="B52" s="95" t="s">
        <v>749</v>
      </c>
      <c r="C52" s="94" t="s">
        <v>539</v>
      </c>
      <c r="D52" s="95" t="s">
        <v>748</v>
      </c>
      <c r="E52" s="96" t="s">
        <v>635</v>
      </c>
      <c r="F52" s="96">
        <v>6660</v>
      </c>
      <c r="G52" s="95" t="s">
        <v>750</v>
      </c>
      <c r="H52" s="97">
        <v>11518362</v>
      </c>
      <c r="I52" s="98">
        <f t="shared" si="0"/>
        <v>2188488.7799999998</v>
      </c>
      <c r="J52" s="99">
        <f t="shared" si="1"/>
        <v>204784.43739406776</v>
      </c>
      <c r="K52" s="99">
        <f t="shared" si="2"/>
        <v>1983704.3426059322</v>
      </c>
      <c r="L52" s="114">
        <v>9.3573446327683607E-2</v>
      </c>
      <c r="M52" s="100">
        <v>0.90642655367231639</v>
      </c>
      <c r="N52" s="86">
        <f>+VLOOKUP(PRORRATEO!F52,TODOS!H:T,8,0)</f>
        <v>11518362</v>
      </c>
      <c r="O52" s="126">
        <f t="shared" si="3"/>
        <v>0</v>
      </c>
    </row>
    <row r="53" spans="1:15" x14ac:dyDescent="0.35">
      <c r="A53" s="96">
        <v>204593</v>
      </c>
      <c r="B53" s="95" t="s">
        <v>753</v>
      </c>
      <c r="C53" s="94" t="s">
        <v>751</v>
      </c>
      <c r="D53" s="95" t="s">
        <v>752</v>
      </c>
      <c r="E53" s="96" t="s">
        <v>638</v>
      </c>
      <c r="F53" s="96">
        <v>6686</v>
      </c>
      <c r="G53" s="95" t="s">
        <v>754</v>
      </c>
      <c r="H53" s="98">
        <v>10645227</v>
      </c>
      <c r="I53" s="98">
        <f>+H53*19%</f>
        <v>2022593.1300000001</v>
      </c>
      <c r="J53" s="99">
        <f t="shared" si="1"/>
        <v>139963.44459600002</v>
      </c>
      <c r="K53" s="99">
        <f t="shared" si="2"/>
        <v>1882629.6854040003</v>
      </c>
      <c r="L53" s="100">
        <v>6.9199999999999998E-2</v>
      </c>
      <c r="M53" s="100">
        <v>0.93080000000000007</v>
      </c>
      <c r="N53" s="86">
        <f>+VLOOKUP(PRORRATEO!F53,TODOS!H:T,8,0)</f>
        <v>10645227</v>
      </c>
      <c r="O53" s="126">
        <f t="shared" si="3"/>
        <v>0</v>
      </c>
    </row>
    <row r="54" spans="1:15" x14ac:dyDescent="0.35">
      <c r="A54" s="96">
        <v>204570</v>
      </c>
      <c r="B54" s="95" t="s">
        <v>17</v>
      </c>
      <c r="C54" s="94" t="s">
        <v>542</v>
      </c>
      <c r="D54" s="95" t="s">
        <v>755</v>
      </c>
      <c r="E54" s="96" t="s">
        <v>625</v>
      </c>
      <c r="F54" s="96">
        <v>6687</v>
      </c>
      <c r="G54" s="95" t="s">
        <v>756</v>
      </c>
      <c r="H54" s="97">
        <v>18492205</v>
      </c>
      <c r="I54" s="98">
        <f t="shared" si="0"/>
        <v>3513518.95</v>
      </c>
      <c r="J54" s="99">
        <f t="shared" si="1"/>
        <v>337838.36057692312</v>
      </c>
      <c r="K54" s="99">
        <f t="shared" si="2"/>
        <v>3175680.5894230772</v>
      </c>
      <c r="L54" s="100">
        <v>9.6153846153846159E-2</v>
      </c>
      <c r="M54" s="100">
        <v>0.90384615384615385</v>
      </c>
      <c r="N54" s="86">
        <f>+VLOOKUP(PRORRATEO!F54,TODOS!H:T,8,0)</f>
        <v>18492205</v>
      </c>
      <c r="O54" s="126">
        <f t="shared" si="3"/>
        <v>0</v>
      </c>
    </row>
    <row r="55" spans="1:15" x14ac:dyDescent="0.35">
      <c r="A55" s="96">
        <v>207634</v>
      </c>
      <c r="B55" s="95" t="s">
        <v>758</v>
      </c>
      <c r="C55" s="94" t="s">
        <v>546</v>
      </c>
      <c r="D55" s="95" t="s">
        <v>757</v>
      </c>
      <c r="E55" s="96" t="s">
        <v>638</v>
      </c>
      <c r="F55" s="96">
        <v>6688</v>
      </c>
      <c r="G55" s="95" t="s">
        <v>759</v>
      </c>
      <c r="H55" s="97">
        <v>21214110</v>
      </c>
      <c r="I55" s="98">
        <f t="shared" si="0"/>
        <v>4030680.9</v>
      </c>
      <c r="J55" s="99">
        <f t="shared" si="1"/>
        <v>460797.17418111756</v>
      </c>
      <c r="K55" s="99">
        <f t="shared" si="2"/>
        <v>3569883.7258188822</v>
      </c>
      <c r="L55" s="100">
        <v>0.11432241490044959</v>
      </c>
      <c r="M55" s="100">
        <v>0.88567758509955041</v>
      </c>
      <c r="N55" s="86">
        <f>+VLOOKUP(PRORRATEO!F55,TODOS!H:T,8,0)</f>
        <v>21214110</v>
      </c>
      <c r="O55" s="126">
        <f t="shared" si="3"/>
        <v>0</v>
      </c>
    </row>
    <row r="56" spans="1:15" x14ac:dyDescent="0.35">
      <c r="A56" s="96">
        <v>204942</v>
      </c>
      <c r="B56" s="95" t="s">
        <v>63</v>
      </c>
      <c r="C56" s="94" t="s">
        <v>550</v>
      </c>
      <c r="D56" s="95" t="s">
        <v>760</v>
      </c>
      <c r="E56" s="96" t="s">
        <v>699</v>
      </c>
      <c r="F56" s="96">
        <v>6692</v>
      </c>
      <c r="G56" s="95">
        <v>8050305871</v>
      </c>
      <c r="H56" s="97">
        <v>15240965</v>
      </c>
      <c r="I56" s="98">
        <f t="shared" si="0"/>
        <v>2895783.35</v>
      </c>
      <c r="J56" s="99">
        <f t="shared" si="1"/>
        <v>266659.5561540777</v>
      </c>
      <c r="K56" s="99">
        <f t="shared" si="2"/>
        <v>2629123.7938459227</v>
      </c>
      <c r="L56" s="100">
        <v>9.2085464941318099E-2</v>
      </c>
      <c r="M56" s="100">
        <v>0.90791453505868203</v>
      </c>
      <c r="N56" s="86">
        <f>+VLOOKUP(PRORRATEO!F56,TODOS!H:T,8,0)</f>
        <v>15240965</v>
      </c>
      <c r="O56" s="126">
        <f t="shared" si="3"/>
        <v>0</v>
      </c>
    </row>
    <row r="57" spans="1:15" x14ac:dyDescent="0.35">
      <c r="A57" s="96">
        <v>208499</v>
      </c>
      <c r="B57" s="95" t="s">
        <v>762</v>
      </c>
      <c r="C57" s="94" t="s">
        <v>553</v>
      </c>
      <c r="D57" s="95" t="s">
        <v>761</v>
      </c>
      <c r="E57" s="96" t="s">
        <v>625</v>
      </c>
      <c r="F57" s="96">
        <v>6693</v>
      </c>
      <c r="G57" s="95" t="s">
        <v>763</v>
      </c>
      <c r="H57" s="97">
        <v>23669640</v>
      </c>
      <c r="I57" s="98">
        <f t="shared" si="0"/>
        <v>4497231.5999999996</v>
      </c>
      <c r="J57" s="99">
        <f t="shared" si="1"/>
        <v>218113.55581800579</v>
      </c>
      <c r="K57" s="99">
        <f t="shared" si="2"/>
        <v>4279118.0441819942</v>
      </c>
      <c r="L57" s="100">
        <v>4.849951597289448E-2</v>
      </c>
      <c r="M57" s="100">
        <v>0.95150048402710552</v>
      </c>
      <c r="N57" s="261">
        <f>+VLOOKUP(PRORRATEO!F57,TODOS!H:T,8,0)</f>
        <v>23669640</v>
      </c>
      <c r="O57" s="261">
        <f t="shared" si="3"/>
        <v>0</v>
      </c>
    </row>
    <row r="58" spans="1:15" x14ac:dyDescent="0.35">
      <c r="A58" s="96">
        <v>207634</v>
      </c>
      <c r="B58" s="95" t="s">
        <v>765</v>
      </c>
      <c r="C58" s="94" t="s">
        <v>557</v>
      </c>
      <c r="D58" s="95" t="s">
        <v>764</v>
      </c>
      <c r="E58" s="96" t="s">
        <v>643</v>
      </c>
      <c r="F58" s="96">
        <v>6699</v>
      </c>
      <c r="G58" s="95" t="s">
        <v>759</v>
      </c>
      <c r="H58" s="97">
        <v>29641526</v>
      </c>
      <c r="I58" s="98">
        <f t="shared" si="0"/>
        <v>5631889.9400000004</v>
      </c>
      <c r="J58" s="99">
        <f t="shared" si="1"/>
        <v>309753.94670000003</v>
      </c>
      <c r="K58" s="99">
        <f t="shared" si="2"/>
        <v>5322135.9933000002</v>
      </c>
      <c r="L58" s="100">
        <v>5.5E-2</v>
      </c>
      <c r="M58" s="100">
        <v>0.94499999999999995</v>
      </c>
      <c r="N58" s="261">
        <f>+VLOOKUP(PRORRATEO!F58,TODOS!H:T,8,0)</f>
        <v>29641526</v>
      </c>
      <c r="O58" s="261">
        <f t="shared" si="3"/>
        <v>0</v>
      </c>
    </row>
    <row r="59" spans="1:15" x14ac:dyDescent="0.35">
      <c r="A59" s="96">
        <v>207634</v>
      </c>
      <c r="B59" s="95" t="s">
        <v>767</v>
      </c>
      <c r="C59" s="94" t="s">
        <v>561</v>
      </c>
      <c r="D59" s="95" t="s">
        <v>766</v>
      </c>
      <c r="E59" s="96" t="s">
        <v>625</v>
      </c>
      <c r="F59" s="96">
        <v>6700</v>
      </c>
      <c r="G59" s="95" t="s">
        <v>759</v>
      </c>
      <c r="H59" s="97">
        <v>24244695</v>
      </c>
      <c r="I59" s="98">
        <f t="shared" si="0"/>
        <v>4606492.05</v>
      </c>
      <c r="J59" s="99">
        <f t="shared" si="1"/>
        <v>488288.15729999996</v>
      </c>
      <c r="K59" s="99">
        <f t="shared" si="2"/>
        <v>4118203.8926999997</v>
      </c>
      <c r="L59" s="100">
        <v>0.106</v>
      </c>
      <c r="M59" s="100">
        <v>0.89400000000000002</v>
      </c>
      <c r="N59" s="261">
        <f>+VLOOKUP(PRORRATEO!F59,TODOS!H:T,8,0)</f>
        <v>24244695</v>
      </c>
      <c r="O59" s="261">
        <f t="shared" si="3"/>
        <v>0</v>
      </c>
    </row>
    <row r="60" spans="1:15" x14ac:dyDescent="0.35">
      <c r="A60" s="96">
        <v>204603</v>
      </c>
      <c r="B60" s="95" t="s">
        <v>20</v>
      </c>
      <c r="C60" s="94" t="s">
        <v>565</v>
      </c>
      <c r="D60" s="95" t="s">
        <v>768</v>
      </c>
      <c r="E60" s="96" t="s">
        <v>625</v>
      </c>
      <c r="F60" s="96">
        <v>6701</v>
      </c>
      <c r="G60" s="95" t="s">
        <v>769</v>
      </c>
      <c r="H60" s="97">
        <v>14889000</v>
      </c>
      <c r="I60" s="98">
        <f t="shared" si="0"/>
        <v>2828910</v>
      </c>
      <c r="J60" s="99">
        <f t="shared" si="1"/>
        <v>115985.31</v>
      </c>
      <c r="K60" s="99">
        <f t="shared" si="2"/>
        <v>2712924.69</v>
      </c>
      <c r="L60" s="100">
        <v>4.1000000000000002E-2</v>
      </c>
      <c r="M60" s="100">
        <v>0.95899999999999996</v>
      </c>
      <c r="N60" s="86">
        <f>+VLOOKUP(PRORRATEO!F60,TODOS!H:T,8,0)</f>
        <v>14889000</v>
      </c>
      <c r="O60" s="126">
        <f t="shared" si="3"/>
        <v>0</v>
      </c>
    </row>
    <row r="61" spans="1:15" x14ac:dyDescent="0.35">
      <c r="A61" s="96">
        <v>204551</v>
      </c>
      <c r="B61" s="95" t="s">
        <v>772</v>
      </c>
      <c r="C61" s="94" t="s">
        <v>568</v>
      </c>
      <c r="D61" s="95" t="s">
        <v>770</v>
      </c>
      <c r="E61" s="96" t="s">
        <v>771</v>
      </c>
      <c r="F61" s="96">
        <v>6711</v>
      </c>
      <c r="G61" s="95">
        <v>8110355281</v>
      </c>
      <c r="H61" s="97">
        <v>12101549</v>
      </c>
      <c r="I61" s="98">
        <f t="shared" si="0"/>
        <v>2299294.31</v>
      </c>
      <c r="J61" s="99">
        <f t="shared" si="1"/>
        <v>158651.30739000003</v>
      </c>
      <c r="K61" s="99">
        <f t="shared" si="2"/>
        <v>2140643.0026100003</v>
      </c>
      <c r="L61" s="100">
        <v>6.9000000000000006E-2</v>
      </c>
      <c r="M61" s="100">
        <v>0.93100000000000005</v>
      </c>
      <c r="N61" s="86">
        <f>+VLOOKUP(PRORRATEO!F61,TODOS!H:T,8,0)</f>
        <v>12101549</v>
      </c>
      <c r="O61" s="126">
        <f t="shared" si="3"/>
        <v>0</v>
      </c>
    </row>
    <row r="62" spans="1:15" x14ac:dyDescent="0.35">
      <c r="A62" s="96">
        <v>204634</v>
      </c>
      <c r="B62" s="95" t="s">
        <v>774</v>
      </c>
      <c r="C62" s="94" t="s">
        <v>571</v>
      </c>
      <c r="D62" s="95" t="s">
        <v>773</v>
      </c>
      <c r="E62" s="96" t="s">
        <v>635</v>
      </c>
      <c r="F62" s="96">
        <v>6714</v>
      </c>
      <c r="G62" s="95" t="s">
        <v>775</v>
      </c>
      <c r="H62" s="97">
        <v>11203043</v>
      </c>
      <c r="I62" s="98">
        <f t="shared" si="0"/>
        <v>2128578.17</v>
      </c>
      <c r="J62" s="99">
        <f>+I62*L62</f>
        <v>170286.2536</v>
      </c>
      <c r="K62" s="99">
        <f t="shared" si="2"/>
        <v>1958291.9164</v>
      </c>
      <c r="L62" s="100">
        <v>0.08</v>
      </c>
      <c r="M62" s="100">
        <v>0.92</v>
      </c>
      <c r="N62" s="86">
        <f>+VLOOKUP(PRORRATEO!F62,TODOS!H:T,8,0)</f>
        <v>11203043</v>
      </c>
      <c r="O62" s="126">
        <f t="shared" si="3"/>
        <v>0</v>
      </c>
    </row>
    <row r="63" spans="1:15" x14ac:dyDescent="0.35">
      <c r="A63" s="96">
        <v>204523</v>
      </c>
      <c r="B63" s="95" t="s">
        <v>42</v>
      </c>
      <c r="C63" s="94" t="s">
        <v>574</v>
      </c>
      <c r="D63" s="95" t="s">
        <v>776</v>
      </c>
      <c r="E63" s="96" t="s">
        <v>777</v>
      </c>
      <c r="F63" s="96">
        <v>6715</v>
      </c>
      <c r="G63" s="95" t="s">
        <v>778</v>
      </c>
      <c r="H63" s="97">
        <v>17158194</v>
      </c>
      <c r="I63" s="98">
        <f t="shared" si="0"/>
        <v>3260056.86</v>
      </c>
      <c r="J63" s="99">
        <f t="shared" si="1"/>
        <v>166262.89985999998</v>
      </c>
      <c r="K63" s="99">
        <f t="shared" si="2"/>
        <v>3093793.9601399996</v>
      </c>
      <c r="L63" s="100">
        <v>5.0999999999999997E-2</v>
      </c>
      <c r="M63" s="100">
        <v>0.94899999999999995</v>
      </c>
      <c r="N63" s="86">
        <f>+VLOOKUP(PRORRATEO!F63,TODOS!H:T,8,0)</f>
        <v>17158194</v>
      </c>
      <c r="O63" s="126">
        <f t="shared" si="3"/>
        <v>0</v>
      </c>
    </row>
    <row r="64" spans="1:15" x14ac:dyDescent="0.35">
      <c r="A64" s="103">
        <v>204550</v>
      </c>
      <c r="B64" s="102" t="s">
        <v>58</v>
      </c>
      <c r="C64" s="101" t="s">
        <v>578</v>
      </c>
      <c r="D64" s="102" t="s">
        <v>779</v>
      </c>
      <c r="E64" s="103" t="s">
        <v>744</v>
      </c>
      <c r="F64" s="103">
        <v>6716</v>
      </c>
      <c r="G64" s="102" t="s">
        <v>780</v>
      </c>
      <c r="H64" s="104">
        <v>12654187</v>
      </c>
      <c r="I64" s="105">
        <f t="shared" si="0"/>
        <v>2404295.5300000003</v>
      </c>
      <c r="J64" s="106">
        <f t="shared" si="1"/>
        <v>0</v>
      </c>
      <c r="K64" s="106">
        <f t="shared" si="2"/>
        <v>0</v>
      </c>
      <c r="L64" s="107"/>
      <c r="M64" s="107"/>
      <c r="N64" s="86">
        <f>+VLOOKUP(PRORRATEO!F64,TODOS!H:T,8,0)</f>
        <v>12654187</v>
      </c>
      <c r="O64" s="126">
        <f t="shared" si="3"/>
        <v>0</v>
      </c>
    </row>
    <row r="65" spans="1:15" x14ac:dyDescent="0.35">
      <c r="A65" s="96">
        <v>207634</v>
      </c>
      <c r="B65" s="95" t="s">
        <v>782</v>
      </c>
      <c r="C65" s="94" t="s">
        <v>581</v>
      </c>
      <c r="D65" s="95" t="s">
        <v>781</v>
      </c>
      <c r="E65" s="96" t="s">
        <v>625</v>
      </c>
      <c r="F65" s="96">
        <v>6717</v>
      </c>
      <c r="G65" s="95" t="s">
        <v>759</v>
      </c>
      <c r="H65" s="97">
        <v>18577600</v>
      </c>
      <c r="I65" s="98">
        <f t="shared" si="0"/>
        <v>3529744</v>
      </c>
      <c r="J65" s="99">
        <f t="shared" si="1"/>
        <v>363563.63199999998</v>
      </c>
      <c r="K65" s="99">
        <f t="shared" si="2"/>
        <v>3166180.3680000002</v>
      </c>
      <c r="L65" s="100">
        <v>0.10299999999999999</v>
      </c>
      <c r="M65" s="100">
        <v>0.89700000000000002</v>
      </c>
      <c r="N65" s="86">
        <f>+VLOOKUP(PRORRATEO!F65,TODOS!H:T,8,0)</f>
        <v>18577600</v>
      </c>
      <c r="O65" s="126">
        <f t="shared" si="3"/>
        <v>0</v>
      </c>
    </row>
    <row r="66" spans="1:15" x14ac:dyDescent="0.35">
      <c r="A66" s="96">
        <v>207634</v>
      </c>
      <c r="B66" s="95" t="s">
        <v>784</v>
      </c>
      <c r="C66" s="94" t="s">
        <v>587</v>
      </c>
      <c r="D66" s="95" t="s">
        <v>783</v>
      </c>
      <c r="E66" s="96" t="s">
        <v>643</v>
      </c>
      <c r="F66" s="96">
        <v>6759</v>
      </c>
      <c r="G66" s="95" t="s">
        <v>759</v>
      </c>
      <c r="H66" s="97">
        <v>16280378</v>
      </c>
      <c r="I66" s="98">
        <f t="shared" ref="I66:I103" si="4">+H66*19%</f>
        <v>3093271.82</v>
      </c>
      <c r="J66" s="99">
        <f t="shared" ref="J66:J103" si="5">+I66*L66</f>
        <v>191782.85283999998</v>
      </c>
      <c r="K66" s="99">
        <f t="shared" ref="K66:K103" si="6">+I66*M66</f>
        <v>2901488.9671599995</v>
      </c>
      <c r="L66" s="100">
        <v>6.2E-2</v>
      </c>
      <c r="M66" s="100">
        <v>0.93799999999999994</v>
      </c>
      <c r="N66" s="86">
        <f>+VLOOKUP(PRORRATEO!F66,TODOS!H:T,8,0)</f>
        <v>16280378</v>
      </c>
      <c r="O66" s="126">
        <f t="shared" si="3"/>
        <v>0</v>
      </c>
    </row>
    <row r="67" spans="1:15" x14ac:dyDescent="0.35">
      <c r="A67" s="96">
        <v>207634</v>
      </c>
      <c r="B67" s="95" t="s">
        <v>786</v>
      </c>
      <c r="C67" s="94" t="s">
        <v>590</v>
      </c>
      <c r="D67" s="95" t="s">
        <v>785</v>
      </c>
      <c r="E67" s="96" t="s">
        <v>635</v>
      </c>
      <c r="F67" s="96">
        <v>6760</v>
      </c>
      <c r="G67" s="95" t="s">
        <v>759</v>
      </c>
      <c r="H67" s="97">
        <v>17558152</v>
      </c>
      <c r="I67" s="98">
        <f t="shared" si="4"/>
        <v>3336048.88</v>
      </c>
      <c r="J67" s="99">
        <f t="shared" si="5"/>
        <v>423678.20776000002</v>
      </c>
      <c r="K67" s="99">
        <f t="shared" si="6"/>
        <v>2912370.6722399998</v>
      </c>
      <c r="L67" s="100">
        <v>0.127</v>
      </c>
      <c r="M67" s="100">
        <v>0.873</v>
      </c>
      <c r="N67" s="261">
        <f>+VLOOKUP(PRORRATEO!F67,TODOS!H:T,8,0)</f>
        <v>17558152</v>
      </c>
      <c r="O67" s="261">
        <f t="shared" ref="O67:O103" si="7">+N67-H67</f>
        <v>0</v>
      </c>
    </row>
    <row r="68" spans="1:15" x14ac:dyDescent="0.35">
      <c r="A68" s="96">
        <v>254545</v>
      </c>
      <c r="B68" s="95" t="s">
        <v>595</v>
      </c>
      <c r="C68" s="94" t="s">
        <v>593</v>
      </c>
      <c r="D68" s="95" t="s">
        <v>787</v>
      </c>
      <c r="E68" s="96" t="s">
        <v>625</v>
      </c>
      <c r="F68" s="96">
        <v>6762</v>
      </c>
      <c r="G68" s="95" t="s">
        <v>596</v>
      </c>
      <c r="H68" s="97">
        <v>30667760</v>
      </c>
      <c r="I68" s="98">
        <f t="shared" si="4"/>
        <v>5826874.4000000004</v>
      </c>
      <c r="J68" s="99">
        <f t="shared" si="5"/>
        <v>629302.43520000007</v>
      </c>
      <c r="K68" s="99">
        <f t="shared" si="6"/>
        <v>5197571.9648000002</v>
      </c>
      <c r="L68" s="100">
        <v>0.108</v>
      </c>
      <c r="M68" s="100">
        <v>0.89200000000000002</v>
      </c>
      <c r="N68" s="86" t="e">
        <f>+VLOOKUP(PRORRATEO!F68,TODOS!H:T,8,0)</f>
        <v>#N/A</v>
      </c>
      <c r="O68" s="126" t="e">
        <f t="shared" si="7"/>
        <v>#N/A</v>
      </c>
    </row>
    <row r="69" spans="1:15" x14ac:dyDescent="0.35">
      <c r="A69" s="96">
        <v>205763</v>
      </c>
      <c r="B69" s="95" t="s">
        <v>70</v>
      </c>
      <c r="C69" s="94" t="s">
        <v>597</v>
      </c>
      <c r="D69" s="95" t="s">
        <v>788</v>
      </c>
      <c r="E69" s="96" t="s">
        <v>625</v>
      </c>
      <c r="F69" s="96">
        <v>6763</v>
      </c>
      <c r="G69" s="95" t="s">
        <v>789</v>
      </c>
      <c r="H69" s="97">
        <v>6551428</v>
      </c>
      <c r="I69" s="98">
        <f t="shared" si="4"/>
        <v>1244771.32</v>
      </c>
      <c r="J69" s="99">
        <f t="shared" si="5"/>
        <v>102071.24824000002</v>
      </c>
      <c r="K69" s="99">
        <f t="shared" si="6"/>
        <v>1142700.0717600002</v>
      </c>
      <c r="L69" s="100">
        <v>8.2000000000000003E-2</v>
      </c>
      <c r="M69" s="100">
        <v>0.91800000000000004</v>
      </c>
      <c r="N69" s="86">
        <f>+VLOOKUP(PRORRATEO!F69,TODOS!H:T,8,0)</f>
        <v>6551428</v>
      </c>
      <c r="O69" s="126">
        <f t="shared" si="7"/>
        <v>0</v>
      </c>
    </row>
    <row r="70" spans="1:15" x14ac:dyDescent="0.35">
      <c r="A70" s="96">
        <v>205762</v>
      </c>
      <c r="B70" s="95" t="s">
        <v>790</v>
      </c>
      <c r="C70" s="94" t="s">
        <v>597</v>
      </c>
      <c r="D70" s="95" t="s">
        <v>788</v>
      </c>
      <c r="E70" s="96" t="s">
        <v>625</v>
      </c>
      <c r="F70" s="96">
        <v>6763</v>
      </c>
      <c r="G70" s="95">
        <v>900699834</v>
      </c>
      <c r="H70" s="97">
        <v>15206566</v>
      </c>
      <c r="I70" s="98">
        <f t="shared" si="4"/>
        <v>2889247.54</v>
      </c>
      <c r="J70" s="99">
        <f t="shared" si="5"/>
        <v>236918.29828000002</v>
      </c>
      <c r="K70" s="99">
        <f t="shared" si="6"/>
        <v>2652329.2417200003</v>
      </c>
      <c r="L70" s="100">
        <v>8.2000000000000003E-2</v>
      </c>
      <c r="M70" s="100">
        <v>0.91800000000000004</v>
      </c>
      <c r="N70" s="261">
        <f>+VLOOKUP(PRORRATEO!F70,TODOS!H:T,8,0)</f>
        <v>6551428</v>
      </c>
      <c r="O70" s="261">
        <f t="shared" si="7"/>
        <v>-8655138</v>
      </c>
    </row>
    <row r="71" spans="1:15" x14ac:dyDescent="0.35">
      <c r="A71" s="96">
        <v>205764</v>
      </c>
      <c r="B71" s="95" t="s">
        <v>56</v>
      </c>
      <c r="C71" s="94" t="s">
        <v>597</v>
      </c>
      <c r="D71" s="95" t="s">
        <v>788</v>
      </c>
      <c r="E71" s="96" t="s">
        <v>625</v>
      </c>
      <c r="F71" s="96">
        <v>6763</v>
      </c>
      <c r="G71" s="95" t="s">
        <v>791</v>
      </c>
      <c r="H71" s="97">
        <v>6551428</v>
      </c>
      <c r="I71" s="98">
        <f t="shared" si="4"/>
        <v>1244771.32</v>
      </c>
      <c r="J71" s="99">
        <f t="shared" si="5"/>
        <v>102071.24824000002</v>
      </c>
      <c r="K71" s="99">
        <f t="shared" si="6"/>
        <v>1142700.0717600002</v>
      </c>
      <c r="L71" s="100">
        <v>8.2000000000000003E-2</v>
      </c>
      <c r="M71" s="100">
        <v>0.91800000000000004</v>
      </c>
      <c r="N71" s="86">
        <f>+VLOOKUP(PRORRATEO!F71,TODOS!H:T,8,0)</f>
        <v>6551428</v>
      </c>
      <c r="O71" s="126">
        <f t="shared" si="7"/>
        <v>0</v>
      </c>
    </row>
    <row r="72" spans="1:15" x14ac:dyDescent="0.35">
      <c r="A72" s="96">
        <v>207634</v>
      </c>
      <c r="B72" s="95" t="s">
        <v>793</v>
      </c>
      <c r="C72" s="94" t="s">
        <v>601</v>
      </c>
      <c r="D72" s="95" t="s">
        <v>792</v>
      </c>
      <c r="E72" s="96" t="s">
        <v>777</v>
      </c>
      <c r="F72" s="96">
        <v>6764</v>
      </c>
      <c r="G72" s="95" t="s">
        <v>759</v>
      </c>
      <c r="H72" s="97">
        <v>14395286</v>
      </c>
      <c r="I72" s="98">
        <f t="shared" si="4"/>
        <v>2735104.34</v>
      </c>
      <c r="J72" s="99">
        <f t="shared" si="5"/>
        <v>235218.97323999996</v>
      </c>
      <c r="K72" s="99">
        <f t="shared" si="6"/>
        <v>2499885.3667600001</v>
      </c>
      <c r="L72" s="100">
        <v>8.5999999999999993E-2</v>
      </c>
      <c r="M72" s="100">
        <v>0.91400000000000003</v>
      </c>
      <c r="N72" s="86">
        <f>+VLOOKUP(PRORRATEO!F72,TODOS!H:T,8,0)</f>
        <v>14395286</v>
      </c>
      <c r="O72" s="126">
        <f t="shared" si="7"/>
        <v>0</v>
      </c>
    </row>
    <row r="73" spans="1:15" x14ac:dyDescent="0.35">
      <c r="A73" s="96">
        <v>207634</v>
      </c>
      <c r="B73" s="95" t="s">
        <v>795</v>
      </c>
      <c r="C73" s="94" t="s">
        <v>605</v>
      </c>
      <c r="D73" s="95" t="s">
        <v>794</v>
      </c>
      <c r="E73" s="96" t="s">
        <v>625</v>
      </c>
      <c r="F73" s="96">
        <v>6766</v>
      </c>
      <c r="G73" s="95" t="s">
        <v>759</v>
      </c>
      <c r="H73" s="97">
        <v>28412800</v>
      </c>
      <c r="I73" s="98">
        <f t="shared" si="4"/>
        <v>5398432</v>
      </c>
      <c r="J73" s="99">
        <f t="shared" si="5"/>
        <v>685600.86400000006</v>
      </c>
      <c r="K73" s="99">
        <f t="shared" si="6"/>
        <v>4712831.1359999999</v>
      </c>
      <c r="L73" s="100">
        <v>0.127</v>
      </c>
      <c r="M73" s="100">
        <v>0.873</v>
      </c>
      <c r="N73" s="86">
        <f>+VLOOKUP(PRORRATEO!F73,TODOS!H:T,8,0)</f>
        <v>28412800</v>
      </c>
      <c r="O73" s="126">
        <f t="shared" si="7"/>
        <v>0</v>
      </c>
    </row>
    <row r="74" spans="1:15" x14ac:dyDescent="0.35">
      <c r="A74" s="96">
        <v>204883</v>
      </c>
      <c r="B74" s="95" t="s">
        <v>43</v>
      </c>
      <c r="C74" s="94" t="s">
        <v>357</v>
      </c>
      <c r="D74" s="95" t="s">
        <v>796</v>
      </c>
      <c r="E74" s="96" t="s">
        <v>797</v>
      </c>
      <c r="F74" s="96">
        <v>6767</v>
      </c>
      <c r="G74" s="95" t="s">
        <v>798</v>
      </c>
      <c r="H74" s="97">
        <v>3986803</v>
      </c>
      <c r="I74" s="98">
        <f t="shared" si="4"/>
        <v>757492.57000000007</v>
      </c>
      <c r="J74" s="99">
        <f t="shared" si="5"/>
        <v>65144.361020000004</v>
      </c>
      <c r="K74" s="99">
        <f t="shared" si="6"/>
        <v>692348.20898000011</v>
      </c>
      <c r="L74" s="100">
        <v>8.5999999999999993E-2</v>
      </c>
      <c r="M74" s="100">
        <v>0.91400000000000003</v>
      </c>
      <c r="N74" s="86">
        <f>+VLOOKUP(PRORRATEO!F74,TODOS!H:T,8,0)</f>
        <v>3986803</v>
      </c>
      <c r="O74" s="126">
        <f t="shared" si="7"/>
        <v>0</v>
      </c>
    </row>
    <row r="75" spans="1:15" x14ac:dyDescent="0.35">
      <c r="A75" s="96">
        <v>206033</v>
      </c>
      <c r="B75" s="95" t="s">
        <v>799</v>
      </c>
      <c r="C75" s="94" t="s">
        <v>357</v>
      </c>
      <c r="D75" s="95" t="s">
        <v>796</v>
      </c>
      <c r="E75" s="96" t="s">
        <v>797</v>
      </c>
      <c r="F75" s="96">
        <v>6767</v>
      </c>
      <c r="G75" s="95" t="s">
        <v>800</v>
      </c>
      <c r="H75" s="97">
        <v>8516410</v>
      </c>
      <c r="I75" s="98">
        <f t="shared" si="4"/>
        <v>1618117.9</v>
      </c>
      <c r="J75" s="99">
        <f t="shared" si="5"/>
        <v>139158.13939999999</v>
      </c>
      <c r="K75" s="99">
        <f t="shared" si="6"/>
        <v>1478959.7605999999</v>
      </c>
      <c r="L75" s="100">
        <v>8.5999999999999993E-2</v>
      </c>
      <c r="M75" s="100">
        <v>0.91400000000000003</v>
      </c>
      <c r="N75" s="86">
        <f>+VLOOKUP(PRORRATEO!F75,TODOS!H:T,8,0)</f>
        <v>3986803</v>
      </c>
      <c r="O75" s="126">
        <f t="shared" si="7"/>
        <v>-4529607</v>
      </c>
    </row>
    <row r="76" spans="1:15" x14ac:dyDescent="0.35">
      <c r="A76" s="96">
        <v>204970</v>
      </c>
      <c r="B76" s="95" t="s">
        <v>802</v>
      </c>
      <c r="C76" s="94" t="s">
        <v>361</v>
      </c>
      <c r="D76" s="95" t="s">
        <v>801</v>
      </c>
      <c r="E76" s="96" t="s">
        <v>801</v>
      </c>
      <c r="F76" s="96">
        <v>6776</v>
      </c>
      <c r="G76" s="95" t="s">
        <v>803</v>
      </c>
      <c r="H76" s="97">
        <v>14343037</v>
      </c>
      <c r="I76" s="98">
        <f t="shared" si="4"/>
        <v>2725177.0300000003</v>
      </c>
      <c r="J76" s="99">
        <f t="shared" si="5"/>
        <v>196212.74616000001</v>
      </c>
      <c r="K76" s="99">
        <f t="shared" si="6"/>
        <v>2528964.2838400002</v>
      </c>
      <c r="L76" s="100">
        <v>7.1999999999999995E-2</v>
      </c>
      <c r="M76" s="100">
        <v>0.92800000000000005</v>
      </c>
      <c r="N76" s="86">
        <f>+VLOOKUP(PRORRATEO!F76,TODOS!H:T,8,0)</f>
        <v>14343037</v>
      </c>
      <c r="O76" s="126">
        <f t="shared" si="7"/>
        <v>0</v>
      </c>
    </row>
    <row r="77" spans="1:15" x14ac:dyDescent="0.35">
      <c r="A77" s="96">
        <v>205547</v>
      </c>
      <c r="B77" s="95" t="s">
        <v>805</v>
      </c>
      <c r="C77" s="94" t="s">
        <v>364</v>
      </c>
      <c r="D77" s="95" t="s">
        <v>804</v>
      </c>
      <c r="E77" s="96" t="s">
        <v>635</v>
      </c>
      <c r="F77" s="96">
        <v>8580</v>
      </c>
      <c r="G77" s="95" t="s">
        <v>806</v>
      </c>
      <c r="H77" s="97">
        <v>8623865</v>
      </c>
      <c r="I77" s="98">
        <f t="shared" si="4"/>
        <v>1638534.35</v>
      </c>
      <c r="J77" s="99">
        <f t="shared" si="5"/>
        <v>135998.35105000003</v>
      </c>
      <c r="K77" s="99">
        <f t="shared" si="6"/>
        <v>1502535.9989500002</v>
      </c>
      <c r="L77" s="100">
        <v>8.3000000000000004E-2</v>
      </c>
      <c r="M77" s="100">
        <v>0.91700000000000004</v>
      </c>
      <c r="N77" s="86">
        <f>+VLOOKUP(PRORRATEO!F77,TODOS!H:T,8,0)</f>
        <v>22377460</v>
      </c>
      <c r="O77" s="126">
        <f t="shared" si="7"/>
        <v>13753595</v>
      </c>
    </row>
    <row r="78" spans="1:15" x14ac:dyDescent="0.35">
      <c r="A78" s="96">
        <v>289666</v>
      </c>
      <c r="B78" s="95" t="s">
        <v>630</v>
      </c>
      <c r="C78" s="94" t="s">
        <v>372</v>
      </c>
      <c r="D78" s="95" t="s">
        <v>807</v>
      </c>
      <c r="E78" s="96" t="s">
        <v>715</v>
      </c>
      <c r="F78" s="96">
        <v>8582</v>
      </c>
      <c r="G78" s="95" t="s">
        <v>631</v>
      </c>
      <c r="H78" s="97">
        <v>16580922</v>
      </c>
      <c r="I78" s="98">
        <f t="shared" si="4"/>
        <v>3150375.18</v>
      </c>
      <c r="J78" s="99">
        <f>+I78*L78</f>
        <v>308736.76764000003</v>
      </c>
      <c r="K78" s="99">
        <f t="shared" si="6"/>
        <v>2841638.4123600004</v>
      </c>
      <c r="L78" s="100">
        <v>9.8000000000000004E-2</v>
      </c>
      <c r="M78" s="100">
        <v>0.90200000000000002</v>
      </c>
      <c r="N78" s="261">
        <f>+VLOOKUP(PRORRATEO!F78,TODOS!H:T,8,0)</f>
        <v>16580922</v>
      </c>
      <c r="O78" s="261">
        <f t="shared" si="7"/>
        <v>0</v>
      </c>
    </row>
    <row r="79" spans="1:15" x14ac:dyDescent="0.35">
      <c r="A79" s="96">
        <v>206169</v>
      </c>
      <c r="B79" s="95" t="s">
        <v>30</v>
      </c>
      <c r="C79" s="94" t="s">
        <v>376</v>
      </c>
      <c r="D79" s="95" t="s">
        <v>808</v>
      </c>
      <c r="E79" s="96" t="s">
        <v>809</v>
      </c>
      <c r="F79" s="96">
        <v>8583</v>
      </c>
      <c r="G79" s="95" t="s">
        <v>810</v>
      </c>
      <c r="H79" s="97">
        <v>9715141</v>
      </c>
      <c r="I79" s="98">
        <f t="shared" si="4"/>
        <v>1845876.79</v>
      </c>
      <c r="J79" s="99">
        <f t="shared" si="5"/>
        <v>177204.17184</v>
      </c>
      <c r="K79" s="99">
        <f t="shared" si="6"/>
        <v>1668672.6181600001</v>
      </c>
      <c r="L79" s="100">
        <v>9.6000000000000002E-2</v>
      </c>
      <c r="M79" s="100">
        <v>0.90400000000000003</v>
      </c>
      <c r="N79" s="86">
        <f>+VLOOKUP(PRORRATEO!F79,TODOS!H:T,8,0)</f>
        <v>9715141</v>
      </c>
      <c r="O79" s="126">
        <f t="shared" si="7"/>
        <v>0</v>
      </c>
    </row>
    <row r="80" spans="1:15" x14ac:dyDescent="0.35">
      <c r="A80" s="96">
        <v>205547</v>
      </c>
      <c r="B80" s="95" t="s">
        <v>813</v>
      </c>
      <c r="C80" s="94" t="s">
        <v>379</v>
      </c>
      <c r="D80" s="95" t="s">
        <v>811</v>
      </c>
      <c r="E80" s="96" t="s">
        <v>812</v>
      </c>
      <c r="F80" s="96">
        <v>8584</v>
      </c>
      <c r="G80" s="95">
        <v>830054539</v>
      </c>
      <c r="H80" s="97">
        <v>9592714</v>
      </c>
      <c r="I80" s="98">
        <f t="shared" si="4"/>
        <v>1822615.66</v>
      </c>
      <c r="J80" s="99">
        <f t="shared" si="5"/>
        <v>176793.71901999999</v>
      </c>
      <c r="K80" s="99">
        <f t="shared" si="6"/>
        <v>1645821.94098</v>
      </c>
      <c r="L80" s="100">
        <v>9.7000000000000003E-2</v>
      </c>
      <c r="M80" s="100">
        <v>0.90300000000000002</v>
      </c>
      <c r="N80" s="86">
        <f>+VLOOKUP(PRORRATEO!F80,TODOS!H:T,8,0)</f>
        <v>22377460</v>
      </c>
      <c r="O80" s="126">
        <f t="shared" si="7"/>
        <v>12784746</v>
      </c>
    </row>
    <row r="81" spans="1:15" x14ac:dyDescent="0.35">
      <c r="A81" s="96">
        <v>231456</v>
      </c>
      <c r="B81" s="95" t="s">
        <v>69</v>
      </c>
      <c r="C81" s="94" t="s">
        <v>383</v>
      </c>
      <c r="D81" s="95" t="s">
        <v>808</v>
      </c>
      <c r="E81" s="96" t="s">
        <v>699</v>
      </c>
      <c r="F81" s="96">
        <v>8585</v>
      </c>
      <c r="G81" s="95">
        <v>9006121181</v>
      </c>
      <c r="H81" s="97">
        <v>20151876</v>
      </c>
      <c r="I81" s="98">
        <f t="shared" si="4"/>
        <v>3828856.44</v>
      </c>
      <c r="J81" s="99">
        <f t="shared" si="5"/>
        <v>264191.09436000005</v>
      </c>
      <c r="K81" s="99">
        <f t="shared" si="6"/>
        <v>3564665.34564</v>
      </c>
      <c r="L81" s="100">
        <v>6.9000000000000006E-2</v>
      </c>
      <c r="M81" s="100">
        <v>0.93100000000000005</v>
      </c>
      <c r="N81" s="86">
        <f>+VLOOKUP(PRORRATEO!F81,TODOS!H:T,8,0)</f>
        <v>20151876</v>
      </c>
      <c r="O81" s="126">
        <f t="shared" si="7"/>
        <v>0</v>
      </c>
    </row>
    <row r="82" spans="1:15" x14ac:dyDescent="0.35">
      <c r="A82" s="96">
        <v>231457</v>
      </c>
      <c r="B82" s="95" t="s">
        <v>69</v>
      </c>
      <c r="C82" s="94" t="s">
        <v>387</v>
      </c>
      <c r="D82" s="95" t="s">
        <v>808</v>
      </c>
      <c r="E82" s="96" t="s">
        <v>812</v>
      </c>
      <c r="F82" s="96">
        <v>8714</v>
      </c>
      <c r="G82" s="95">
        <v>9006121181</v>
      </c>
      <c r="H82" s="97">
        <v>9464576</v>
      </c>
      <c r="I82" s="98">
        <f t="shared" si="4"/>
        <v>1798269.44</v>
      </c>
      <c r="J82" s="99">
        <f t="shared" si="5"/>
        <v>120484.05248</v>
      </c>
      <c r="K82" s="99">
        <f t="shared" si="6"/>
        <v>1677785.3875200001</v>
      </c>
      <c r="L82" s="100">
        <v>6.7000000000000004E-2</v>
      </c>
      <c r="M82" s="100">
        <v>0.93300000000000005</v>
      </c>
      <c r="N82" s="86">
        <f>+VLOOKUP(PRORRATEO!F82,TODOS!H:T,8,0)</f>
        <v>9464576</v>
      </c>
      <c r="O82" s="126">
        <f t="shared" si="7"/>
        <v>0</v>
      </c>
    </row>
    <row r="83" spans="1:15" x14ac:dyDescent="0.35">
      <c r="A83" s="96">
        <v>206707</v>
      </c>
      <c r="B83" s="95" t="s">
        <v>47</v>
      </c>
      <c r="C83" s="94" t="s">
        <v>394</v>
      </c>
      <c r="D83" s="95" t="s">
        <v>814</v>
      </c>
      <c r="E83" s="96" t="s">
        <v>797</v>
      </c>
      <c r="F83" s="96">
        <v>8712</v>
      </c>
      <c r="G83" s="95" t="s">
        <v>815</v>
      </c>
      <c r="H83" s="97">
        <v>1815944</v>
      </c>
      <c r="I83" s="98">
        <f t="shared" si="4"/>
        <v>345029.36</v>
      </c>
      <c r="J83" s="99">
        <f t="shared" si="5"/>
        <v>34847.965360000002</v>
      </c>
      <c r="K83" s="99">
        <f t="shared" si="6"/>
        <v>310181.39464000001</v>
      </c>
      <c r="L83" s="100">
        <v>0.10100000000000001</v>
      </c>
      <c r="M83" s="100">
        <v>0.89900000000000002</v>
      </c>
      <c r="N83" s="86">
        <f>+VLOOKUP(PRORRATEO!F83,TODOS!H:T,8,0)</f>
        <v>1815944</v>
      </c>
      <c r="O83" s="126">
        <f t="shared" si="7"/>
        <v>0</v>
      </c>
    </row>
    <row r="84" spans="1:15" x14ac:dyDescent="0.35">
      <c r="A84" s="96">
        <v>206706</v>
      </c>
      <c r="B84" s="95" t="s">
        <v>816</v>
      </c>
      <c r="C84" s="94" t="s">
        <v>394</v>
      </c>
      <c r="D84" s="95" t="s">
        <v>814</v>
      </c>
      <c r="E84" s="96" t="s">
        <v>797</v>
      </c>
      <c r="F84" s="96">
        <v>8712</v>
      </c>
      <c r="G84" s="95" t="s">
        <v>817</v>
      </c>
      <c r="H84" s="97">
        <v>1815944</v>
      </c>
      <c r="I84" s="98">
        <f t="shared" si="4"/>
        <v>345029.36</v>
      </c>
      <c r="J84" s="99">
        <f t="shared" si="5"/>
        <v>34847.965360000002</v>
      </c>
      <c r="K84" s="99">
        <f t="shared" si="6"/>
        <v>310181.39464000001</v>
      </c>
      <c r="L84" s="100">
        <v>0.10100000000000001</v>
      </c>
      <c r="M84" s="100">
        <v>0.89900000000000002</v>
      </c>
      <c r="N84" s="86">
        <f>+VLOOKUP(PRORRATEO!F84,TODOS!H:T,8,0)</f>
        <v>1815944</v>
      </c>
      <c r="O84" s="126">
        <f t="shared" si="7"/>
        <v>0</v>
      </c>
    </row>
    <row r="85" spans="1:15" x14ac:dyDescent="0.35">
      <c r="A85" s="96">
        <v>285926</v>
      </c>
      <c r="B85" s="95" t="s">
        <v>819</v>
      </c>
      <c r="C85" s="94" t="s">
        <v>399</v>
      </c>
      <c r="D85" s="95" t="s">
        <v>818</v>
      </c>
      <c r="E85" s="96" t="s">
        <v>638</v>
      </c>
      <c r="F85" s="96">
        <v>8751</v>
      </c>
      <c r="G85" s="95" t="s">
        <v>820</v>
      </c>
      <c r="H85" s="97">
        <v>13676000</v>
      </c>
      <c r="I85" s="98">
        <f t="shared" si="4"/>
        <v>2598440</v>
      </c>
      <c r="J85" s="99">
        <f t="shared" si="5"/>
        <v>142914.20000000001</v>
      </c>
      <c r="K85" s="99">
        <f t="shared" si="6"/>
        <v>2455525.7999999998</v>
      </c>
      <c r="L85" s="100">
        <v>5.5E-2</v>
      </c>
      <c r="M85" s="100">
        <v>0.94499999999999995</v>
      </c>
      <c r="N85" s="86">
        <f>+VLOOKUP(PRORRATEO!F85,TODOS!H:T,8,0)</f>
        <v>13676000</v>
      </c>
      <c r="O85" s="126">
        <f t="shared" si="7"/>
        <v>0</v>
      </c>
    </row>
    <row r="86" spans="1:15" x14ac:dyDescent="0.3">
      <c r="A86" s="96">
        <v>289666</v>
      </c>
      <c r="B86" s="95" t="s">
        <v>630</v>
      </c>
      <c r="C86" s="94" t="s">
        <v>409</v>
      </c>
      <c r="D86" s="95" t="s">
        <v>821</v>
      </c>
      <c r="E86" s="96" t="s">
        <v>625</v>
      </c>
      <c r="F86" s="96">
        <v>8859</v>
      </c>
      <c r="G86" s="95" t="s">
        <v>631</v>
      </c>
      <c r="H86" s="115">
        <v>21608861</v>
      </c>
      <c r="I86" s="98">
        <f t="shared" si="4"/>
        <v>4105683.59</v>
      </c>
      <c r="J86" s="99">
        <f t="shared" si="5"/>
        <v>229918.28104</v>
      </c>
      <c r="K86" s="99">
        <f t="shared" si="6"/>
        <v>3875765.3089599996</v>
      </c>
      <c r="L86" s="100">
        <v>5.6000000000000001E-2</v>
      </c>
      <c r="M86" s="116">
        <v>0.94399999999999995</v>
      </c>
      <c r="N86" s="261">
        <f>+VLOOKUP(PRORRATEO!F86,TODOS!H:T,8,0)</f>
        <v>16580922</v>
      </c>
      <c r="O86" s="261">
        <f t="shared" si="7"/>
        <v>-5027939</v>
      </c>
    </row>
    <row r="87" spans="1:15" x14ac:dyDescent="0.35">
      <c r="A87" s="96">
        <v>219333</v>
      </c>
      <c r="B87" s="95" t="s">
        <v>823</v>
      </c>
      <c r="C87" s="94" t="s">
        <v>411</v>
      </c>
      <c r="D87" s="95" t="s">
        <v>822</v>
      </c>
      <c r="E87" s="96" t="s">
        <v>638</v>
      </c>
      <c r="F87" s="96">
        <v>8976</v>
      </c>
      <c r="G87" s="95">
        <v>9011209433</v>
      </c>
      <c r="H87" s="97">
        <v>23498968</v>
      </c>
      <c r="I87" s="98">
        <f t="shared" si="4"/>
        <v>4464803.92</v>
      </c>
      <c r="J87" s="99">
        <f t="shared" si="5"/>
        <v>361649.11752000003</v>
      </c>
      <c r="K87" s="99">
        <f t="shared" si="6"/>
        <v>4103154.8024800001</v>
      </c>
      <c r="L87" s="100">
        <v>8.1000000000000003E-2</v>
      </c>
      <c r="M87" s="100">
        <v>0.91900000000000004</v>
      </c>
      <c r="N87" s="261">
        <f>+VLOOKUP(PRORRATEO!F87,TODOS!H:T,8,0)</f>
        <v>23498968</v>
      </c>
      <c r="O87" s="261">
        <f t="shared" si="7"/>
        <v>0</v>
      </c>
    </row>
    <row r="88" spans="1:15" x14ac:dyDescent="0.35">
      <c r="A88" s="96">
        <v>210056</v>
      </c>
      <c r="B88" s="95" t="s">
        <v>72</v>
      </c>
      <c r="C88" s="94" t="s">
        <v>415</v>
      </c>
      <c r="D88" s="95" t="s">
        <v>824</v>
      </c>
      <c r="E88" s="96" t="s">
        <v>625</v>
      </c>
      <c r="F88" s="96">
        <v>9053</v>
      </c>
      <c r="G88" s="95" t="s">
        <v>825</v>
      </c>
      <c r="H88" s="97">
        <v>15558951.35</v>
      </c>
      <c r="I88" s="98">
        <f t="shared" si="4"/>
        <v>2956200.7565000001</v>
      </c>
      <c r="J88" s="99">
        <f t="shared" si="5"/>
        <v>130072.83328599999</v>
      </c>
      <c r="K88" s="99">
        <f t="shared" si="6"/>
        <v>2826127.9232140002</v>
      </c>
      <c r="L88" s="100">
        <v>4.3999999999999997E-2</v>
      </c>
      <c r="M88" s="100">
        <v>0.95599999999999996</v>
      </c>
      <c r="N88" s="86">
        <f>+VLOOKUP(PRORRATEO!F88,TODOS!H:T,8,0)</f>
        <v>15558951.35</v>
      </c>
      <c r="O88" s="126">
        <f t="shared" si="7"/>
        <v>0</v>
      </c>
    </row>
    <row r="89" spans="1:15" x14ac:dyDescent="0.35">
      <c r="A89" s="96">
        <v>231459</v>
      </c>
      <c r="B89" s="95" t="s">
        <v>69</v>
      </c>
      <c r="C89" s="94" t="s">
        <v>418</v>
      </c>
      <c r="D89" s="95" t="s">
        <v>826</v>
      </c>
      <c r="E89" s="96" t="s">
        <v>699</v>
      </c>
      <c r="F89" s="96">
        <v>8968</v>
      </c>
      <c r="G89" s="95">
        <v>9006121181</v>
      </c>
      <c r="H89" s="97">
        <v>5115034</v>
      </c>
      <c r="I89" s="98">
        <f t="shared" si="4"/>
        <v>971856.46</v>
      </c>
      <c r="J89" s="99">
        <f t="shared" si="5"/>
        <v>74832.947419999997</v>
      </c>
      <c r="K89" s="99">
        <f t="shared" si="6"/>
        <v>897023.51257999998</v>
      </c>
      <c r="L89" s="100">
        <v>7.6999999999999999E-2</v>
      </c>
      <c r="M89" s="100">
        <v>0.92300000000000004</v>
      </c>
      <c r="N89" s="86">
        <f>+VLOOKUP(PRORRATEO!F89,TODOS!H:T,8,0)</f>
        <v>5115034</v>
      </c>
      <c r="O89" s="126">
        <f t="shared" si="7"/>
        <v>0</v>
      </c>
    </row>
    <row r="90" spans="1:15" x14ac:dyDescent="0.35">
      <c r="A90" s="96">
        <v>231458</v>
      </c>
      <c r="B90" s="95" t="s">
        <v>69</v>
      </c>
      <c r="C90" s="94" t="s">
        <v>420</v>
      </c>
      <c r="D90" s="95" t="s">
        <v>827</v>
      </c>
      <c r="E90" s="96" t="s">
        <v>828</v>
      </c>
      <c r="F90" s="96">
        <v>8969</v>
      </c>
      <c r="G90" s="95">
        <v>9006121181</v>
      </c>
      <c r="H90" s="97">
        <v>8037911</v>
      </c>
      <c r="I90" s="98">
        <f t="shared" si="4"/>
        <v>1527203.09</v>
      </c>
      <c r="J90" s="99">
        <f t="shared" si="5"/>
        <v>97740.997760000013</v>
      </c>
      <c r="K90" s="99">
        <f t="shared" si="6"/>
        <v>1429462.0922400001</v>
      </c>
      <c r="L90" s="100">
        <v>6.4000000000000001E-2</v>
      </c>
      <c r="M90" s="100">
        <v>0.93600000000000005</v>
      </c>
      <c r="N90" s="86">
        <f>+VLOOKUP(PRORRATEO!F90,TODOS!H:T,8,0)</f>
        <v>8037911</v>
      </c>
      <c r="O90" s="126">
        <f t="shared" si="7"/>
        <v>0</v>
      </c>
    </row>
    <row r="91" spans="1:15" x14ac:dyDescent="0.35">
      <c r="A91" s="96">
        <v>231460</v>
      </c>
      <c r="B91" s="95" t="s">
        <v>69</v>
      </c>
      <c r="C91" s="94" t="s">
        <v>423</v>
      </c>
      <c r="D91" s="95" t="s">
        <v>829</v>
      </c>
      <c r="E91" s="96" t="s">
        <v>635</v>
      </c>
      <c r="F91" s="96">
        <v>9072</v>
      </c>
      <c r="G91" s="95">
        <v>9006121181</v>
      </c>
      <c r="H91" s="97">
        <v>15417759</v>
      </c>
      <c r="I91" s="98">
        <f t="shared" si="4"/>
        <v>2929374.21</v>
      </c>
      <c r="J91" s="99">
        <f t="shared" si="5"/>
        <v>137680.58786999999</v>
      </c>
      <c r="K91" s="99">
        <f t="shared" si="6"/>
        <v>2791693.62213</v>
      </c>
      <c r="L91" s="100">
        <v>4.7E-2</v>
      </c>
      <c r="M91" s="100">
        <v>0.95299999999999996</v>
      </c>
      <c r="N91" s="86">
        <f>+VLOOKUP(PRORRATEO!F91,TODOS!H:T,8,0)</f>
        <v>13411113</v>
      </c>
      <c r="O91" s="126">
        <f t="shared" si="7"/>
        <v>-2006646</v>
      </c>
    </row>
    <row r="92" spans="1:15" x14ac:dyDescent="0.35">
      <c r="A92" s="96">
        <v>204970</v>
      </c>
      <c r="B92" s="95" t="s">
        <v>831</v>
      </c>
      <c r="C92" s="94" t="s">
        <v>434</v>
      </c>
      <c r="D92" s="95" t="s">
        <v>830</v>
      </c>
      <c r="E92" s="96" t="s">
        <v>812</v>
      </c>
      <c r="F92" s="96">
        <v>9101</v>
      </c>
      <c r="G92" s="95">
        <v>8301134776</v>
      </c>
      <c r="H92" s="97">
        <v>15609400</v>
      </c>
      <c r="I92" s="98">
        <f t="shared" si="4"/>
        <v>2965786</v>
      </c>
      <c r="J92" s="99">
        <f t="shared" si="5"/>
        <v>172015.58800000002</v>
      </c>
      <c r="K92" s="99">
        <f t="shared" si="6"/>
        <v>2793770.412</v>
      </c>
      <c r="L92" s="100">
        <v>5.8000000000000003E-2</v>
      </c>
      <c r="M92" s="100">
        <v>0.94199999999999995</v>
      </c>
      <c r="N92" s="261">
        <f>+VLOOKUP(PRORRATEO!F92,TODOS!H:T,8,0)</f>
        <v>14343037</v>
      </c>
      <c r="O92" s="261">
        <f t="shared" si="7"/>
        <v>-1266363</v>
      </c>
    </row>
    <row r="93" spans="1:15" x14ac:dyDescent="0.35">
      <c r="A93" s="96">
        <v>209672</v>
      </c>
      <c r="B93" s="95" t="s">
        <v>833</v>
      </c>
      <c r="C93" s="94" t="s">
        <v>436</v>
      </c>
      <c r="D93" s="95" t="s">
        <v>832</v>
      </c>
      <c r="E93" s="96" t="s">
        <v>625</v>
      </c>
      <c r="F93" s="96">
        <v>9102</v>
      </c>
      <c r="G93" s="95" t="s">
        <v>834</v>
      </c>
      <c r="H93" s="97">
        <v>93440962</v>
      </c>
      <c r="I93" s="98">
        <f>+H93*19%</f>
        <v>17753782.780000001</v>
      </c>
      <c r="J93" s="99">
        <f>+I93*L93</f>
        <v>1136242.0979200001</v>
      </c>
      <c r="K93" s="99">
        <f t="shared" si="6"/>
        <v>16617540.682080003</v>
      </c>
      <c r="L93" s="100">
        <v>6.4000000000000001E-2</v>
      </c>
      <c r="M93" s="100">
        <v>0.93600000000000005</v>
      </c>
      <c r="N93" s="86">
        <f>+VLOOKUP(PRORRATEO!F93,TODOS!H:T,8,0)</f>
        <v>93440962</v>
      </c>
      <c r="O93" s="126">
        <f t="shared" si="7"/>
        <v>0</v>
      </c>
    </row>
    <row r="94" spans="1:15" x14ac:dyDescent="0.35">
      <c r="A94" s="96">
        <v>211510</v>
      </c>
      <c r="B94" s="95" t="s">
        <v>655</v>
      </c>
      <c r="C94" s="94" t="s">
        <v>440</v>
      </c>
      <c r="D94" s="95" t="s">
        <v>835</v>
      </c>
      <c r="E94" s="96" t="s">
        <v>625</v>
      </c>
      <c r="F94" s="96">
        <v>9120</v>
      </c>
      <c r="G94" s="95">
        <v>9005360582</v>
      </c>
      <c r="H94" s="97">
        <v>28006112</v>
      </c>
      <c r="I94" s="98">
        <f t="shared" si="4"/>
        <v>5321161.28</v>
      </c>
      <c r="J94" s="99">
        <f t="shared" si="5"/>
        <v>271379.22528000001</v>
      </c>
      <c r="K94" s="99">
        <f t="shared" si="6"/>
        <v>5049782.0547200004</v>
      </c>
      <c r="L94" s="100">
        <v>5.0999999999999997E-2</v>
      </c>
      <c r="M94" s="100">
        <v>0.94899999999999995</v>
      </c>
      <c r="N94" s="86">
        <f>+VLOOKUP(PRORRATEO!F94,TODOS!H:T,8,0)</f>
        <v>7483348</v>
      </c>
      <c r="O94" s="126">
        <f t="shared" si="7"/>
        <v>-20522764</v>
      </c>
    </row>
    <row r="95" spans="1:15" x14ac:dyDescent="0.35">
      <c r="A95" s="96">
        <v>243147</v>
      </c>
      <c r="B95" s="95" t="s">
        <v>837</v>
      </c>
      <c r="C95" s="94" t="s">
        <v>442</v>
      </c>
      <c r="D95" s="95" t="s">
        <v>836</v>
      </c>
      <c r="E95" s="96" t="s">
        <v>740</v>
      </c>
      <c r="F95" s="96">
        <v>9103</v>
      </c>
      <c r="G95" s="95">
        <v>9004868496</v>
      </c>
      <c r="H95" s="97">
        <v>11637519</v>
      </c>
      <c r="I95" s="98">
        <f t="shared" si="4"/>
        <v>2211128.61</v>
      </c>
      <c r="J95" s="99">
        <f t="shared" si="5"/>
        <v>179101.41740999999</v>
      </c>
      <c r="K95" s="99">
        <f t="shared" si="6"/>
        <v>2032027.1925899999</v>
      </c>
      <c r="L95" s="100">
        <v>8.1000000000000003E-2</v>
      </c>
      <c r="M95" s="100">
        <v>0.91900000000000004</v>
      </c>
      <c r="N95" s="86">
        <f>+VLOOKUP(PRORRATEO!F95,TODOS!H:T,8,0)</f>
        <v>11637519</v>
      </c>
      <c r="O95" s="126">
        <f t="shared" si="7"/>
        <v>0</v>
      </c>
    </row>
    <row r="96" spans="1:15" x14ac:dyDescent="0.35">
      <c r="A96" s="96">
        <v>204532</v>
      </c>
      <c r="B96" s="95" t="s">
        <v>674</v>
      </c>
      <c r="C96" s="94" t="s">
        <v>447</v>
      </c>
      <c r="D96" s="95" t="s">
        <v>838</v>
      </c>
      <c r="E96" s="96" t="s">
        <v>643</v>
      </c>
      <c r="F96" s="96">
        <v>8974</v>
      </c>
      <c r="G96" s="95" t="s">
        <v>675</v>
      </c>
      <c r="H96" s="98">
        <v>17003283</v>
      </c>
      <c r="I96" s="98">
        <f t="shared" si="4"/>
        <v>3230623.77</v>
      </c>
      <c r="J96" s="99">
        <f t="shared" si="5"/>
        <v>184145.55489</v>
      </c>
      <c r="K96" s="99">
        <f t="shared" si="6"/>
        <v>3046478.2151099998</v>
      </c>
      <c r="L96" s="100">
        <v>5.7000000000000002E-2</v>
      </c>
      <c r="M96" s="100">
        <v>0.94299999999999995</v>
      </c>
      <c r="N96" s="261">
        <f>+VLOOKUP(PRORRATEO!F96,TODOS!H:T,8,0)</f>
        <v>24000000</v>
      </c>
      <c r="O96" s="261">
        <f t="shared" si="7"/>
        <v>6996717</v>
      </c>
    </row>
    <row r="97" spans="1:15" x14ac:dyDescent="0.35">
      <c r="A97" s="96">
        <v>217037</v>
      </c>
      <c r="B97" s="95" t="s">
        <v>840</v>
      </c>
      <c r="C97" s="94" t="s">
        <v>453</v>
      </c>
      <c r="D97" s="95" t="s">
        <v>839</v>
      </c>
      <c r="E97" s="96" t="s">
        <v>625</v>
      </c>
      <c r="F97" s="96">
        <v>9209</v>
      </c>
      <c r="G97" s="95" t="s">
        <v>841</v>
      </c>
      <c r="H97" s="97">
        <v>101940</v>
      </c>
      <c r="I97" s="98">
        <f t="shared" si="4"/>
        <v>19368.599999999999</v>
      </c>
      <c r="J97" s="99">
        <f t="shared" si="5"/>
        <v>1549.4879999999998</v>
      </c>
      <c r="K97" s="99">
        <f t="shared" si="6"/>
        <v>17819.112000000001</v>
      </c>
      <c r="L97" s="100">
        <v>0.08</v>
      </c>
      <c r="M97" s="100">
        <v>0.92</v>
      </c>
      <c r="N97" s="86">
        <f>+VLOOKUP(PRORRATEO!F97,TODOS!H:T,8,0)</f>
        <v>101940</v>
      </c>
      <c r="O97" s="126">
        <f t="shared" si="7"/>
        <v>0</v>
      </c>
    </row>
    <row r="98" spans="1:15" x14ac:dyDescent="0.35">
      <c r="A98" s="96">
        <v>206286</v>
      </c>
      <c r="B98" s="95" t="s">
        <v>843</v>
      </c>
      <c r="C98" s="94" t="s">
        <v>458</v>
      </c>
      <c r="D98" s="95" t="s">
        <v>842</v>
      </c>
      <c r="E98" s="96" t="s">
        <v>625</v>
      </c>
      <c r="F98" s="96">
        <v>9458</v>
      </c>
      <c r="G98" s="95" t="s">
        <v>31</v>
      </c>
      <c r="H98" s="97">
        <v>16289886</v>
      </c>
      <c r="I98" s="98">
        <f t="shared" si="4"/>
        <v>3095078.34</v>
      </c>
      <c r="J98" s="99">
        <f t="shared" si="5"/>
        <v>207370.24877999999</v>
      </c>
      <c r="K98" s="99">
        <f t="shared" si="6"/>
        <v>2887708.0912199998</v>
      </c>
      <c r="L98" s="100">
        <v>6.7000000000000004E-2</v>
      </c>
      <c r="M98" s="100">
        <v>0.93300000000000005</v>
      </c>
      <c r="N98" s="261">
        <f>+VLOOKUP(PRORRATEO!F98,TODOS!H:T,8,0)</f>
        <v>16289886</v>
      </c>
      <c r="O98" s="261">
        <f t="shared" si="7"/>
        <v>0</v>
      </c>
    </row>
    <row r="99" spans="1:15" x14ac:dyDescent="0.35">
      <c r="A99" s="96">
        <v>246683</v>
      </c>
      <c r="B99" s="95" t="s">
        <v>60</v>
      </c>
      <c r="C99" s="94" t="s">
        <v>462</v>
      </c>
      <c r="D99" s="95" t="s">
        <v>844</v>
      </c>
      <c r="E99" s="96" t="s">
        <v>625</v>
      </c>
      <c r="F99" s="96">
        <v>9216</v>
      </c>
      <c r="G99" s="95">
        <v>8303534506</v>
      </c>
      <c r="H99" s="97">
        <v>44092975</v>
      </c>
      <c r="I99" s="98">
        <f t="shared" si="4"/>
        <v>8377665.25</v>
      </c>
      <c r="J99" s="99">
        <f t="shared" si="5"/>
        <v>494282.24974999996</v>
      </c>
      <c r="K99" s="99">
        <f t="shared" si="6"/>
        <v>7883383.0002499996</v>
      </c>
      <c r="L99" s="100">
        <v>5.8999999999999997E-2</v>
      </c>
      <c r="M99" s="100">
        <v>0.94099999999999995</v>
      </c>
      <c r="N99" s="86">
        <f>+VLOOKUP(PRORRATEO!F99,TODOS!H:T,8,0)</f>
        <v>44092975</v>
      </c>
      <c r="O99" s="126">
        <f t="shared" si="7"/>
        <v>0</v>
      </c>
    </row>
    <row r="100" spans="1:15" x14ac:dyDescent="0.35">
      <c r="A100" s="96">
        <v>204547</v>
      </c>
      <c r="B100" s="95" t="s">
        <v>15</v>
      </c>
      <c r="C100" s="94" t="s">
        <v>465</v>
      </c>
      <c r="D100" s="95" t="s">
        <v>845</v>
      </c>
      <c r="E100" s="96" t="s">
        <v>715</v>
      </c>
      <c r="F100" s="96">
        <v>9575</v>
      </c>
      <c r="G100" s="95" t="s">
        <v>722</v>
      </c>
      <c r="H100" s="97">
        <v>14238800</v>
      </c>
      <c r="I100" s="98">
        <f t="shared" si="4"/>
        <v>2705372</v>
      </c>
      <c r="J100" s="99">
        <f t="shared" si="5"/>
        <v>254304.96799999999</v>
      </c>
      <c r="K100" s="99">
        <f t="shared" si="6"/>
        <v>2451067.0320000001</v>
      </c>
      <c r="L100" s="100">
        <v>9.4E-2</v>
      </c>
      <c r="M100" s="100">
        <v>0.90600000000000003</v>
      </c>
      <c r="N100" s="86">
        <f>+VLOOKUP(PRORRATEO!F100,TODOS!H:T,8,0)</f>
        <v>14238800</v>
      </c>
      <c r="O100" s="126">
        <f t="shared" si="7"/>
        <v>0</v>
      </c>
    </row>
    <row r="101" spans="1:15" x14ac:dyDescent="0.35">
      <c r="A101" s="96">
        <v>228274</v>
      </c>
      <c r="B101" s="95" t="s">
        <v>848</v>
      </c>
      <c r="C101" s="94" t="s">
        <v>468</v>
      </c>
      <c r="D101" s="95" t="s">
        <v>846</v>
      </c>
      <c r="E101" s="96" t="s">
        <v>847</v>
      </c>
      <c r="F101" s="96">
        <v>9636</v>
      </c>
      <c r="G101" s="95" t="s">
        <v>849</v>
      </c>
      <c r="H101" s="97">
        <v>15892835</v>
      </c>
      <c r="I101" s="98">
        <f t="shared" si="4"/>
        <v>3019638.65</v>
      </c>
      <c r="J101" s="99">
        <f t="shared" si="5"/>
        <v>217413.98279999997</v>
      </c>
      <c r="K101" s="99">
        <f t="shared" si="6"/>
        <v>2802224.6672</v>
      </c>
      <c r="L101" s="100">
        <v>7.1999999999999995E-2</v>
      </c>
      <c r="M101" s="100">
        <v>0.92800000000000005</v>
      </c>
      <c r="N101" s="261">
        <f>+VLOOKUP(PRORRATEO!F101,TODOS!H:T,8,0)</f>
        <v>15892835</v>
      </c>
      <c r="O101" s="261">
        <f t="shared" si="7"/>
        <v>0</v>
      </c>
    </row>
    <row r="102" spans="1:15" ht="13.5" thickBot="1" x14ac:dyDescent="0.4">
      <c r="A102" s="119">
        <v>214089</v>
      </c>
      <c r="B102" s="118" t="s">
        <v>332</v>
      </c>
      <c r="C102" s="117" t="s">
        <v>473</v>
      </c>
      <c r="D102" s="118" t="s">
        <v>850</v>
      </c>
      <c r="E102" s="119" t="s">
        <v>677</v>
      </c>
      <c r="F102" s="119" t="s">
        <v>201</v>
      </c>
      <c r="G102" s="118" t="s">
        <v>36</v>
      </c>
      <c r="H102" s="120">
        <v>23961662</v>
      </c>
      <c r="I102" s="98">
        <f t="shared" si="4"/>
        <v>4552715.78</v>
      </c>
      <c r="J102" s="99">
        <f t="shared" si="5"/>
        <v>409744.42019999999</v>
      </c>
      <c r="K102" s="99">
        <f t="shared" si="6"/>
        <v>4147524.0755800004</v>
      </c>
      <c r="L102" s="100">
        <v>0.09</v>
      </c>
      <c r="M102" s="100">
        <v>0.91100000000000003</v>
      </c>
      <c r="N102" s="261">
        <f>+VLOOKUP(PRORRATEO!F102,TODOS!H:T,8,0)</f>
        <v>15918945</v>
      </c>
      <c r="O102" s="261">
        <f t="shared" si="7"/>
        <v>-8042717</v>
      </c>
    </row>
    <row r="103" spans="1:15" x14ac:dyDescent="0.35">
      <c r="A103" s="121">
        <v>348824</v>
      </c>
      <c r="B103" s="122" t="s">
        <v>52</v>
      </c>
      <c r="C103" s="121" t="s">
        <v>610</v>
      </c>
      <c r="D103" s="122" t="s">
        <v>611</v>
      </c>
      <c r="E103" s="121" t="s">
        <v>851</v>
      </c>
      <c r="F103" s="121" t="s">
        <v>225</v>
      </c>
      <c r="G103" s="122" t="s">
        <v>612</v>
      </c>
      <c r="H103" s="123">
        <v>9355925</v>
      </c>
      <c r="I103" s="123">
        <f t="shared" si="4"/>
        <v>1777625.75</v>
      </c>
      <c r="J103" s="99">
        <f t="shared" si="5"/>
        <v>179540.20075000002</v>
      </c>
      <c r="K103" s="99">
        <f t="shared" si="6"/>
        <v>1598085.5492499999</v>
      </c>
      <c r="L103" s="112">
        <v>0.10100000000000001</v>
      </c>
      <c r="M103" s="112">
        <v>0.89900000000000002</v>
      </c>
      <c r="N103" s="261">
        <f>+VLOOKUP(PRORRATEO!F103,TODOS!H:T,8,0)</f>
        <v>9355925</v>
      </c>
      <c r="O103" s="261">
        <f t="shared" si="7"/>
        <v>0</v>
      </c>
    </row>
    <row r="104" spans="1:15" x14ac:dyDescent="0.35">
      <c r="I104" s="127">
        <f>SUM(I2:I103)</f>
        <v>352431515.1564998</v>
      </c>
      <c r="J104" s="127">
        <f>SUM(J2:J103)</f>
        <v>88065248.884028971</v>
      </c>
      <c r="K104" s="127">
        <f>SUM(K2:K103)</f>
        <v>255525591.85825107</v>
      </c>
    </row>
    <row r="105" spans="1:15" x14ac:dyDescent="0.35">
      <c r="H105" s="126" t="s">
        <v>852</v>
      </c>
    </row>
    <row r="106" spans="1:15" x14ac:dyDescent="0.35">
      <c r="A106" s="96">
        <v>452333</v>
      </c>
      <c r="B106" s="95" t="s">
        <v>823</v>
      </c>
      <c r="C106" s="94" t="s">
        <v>411</v>
      </c>
      <c r="D106" s="95" t="s">
        <v>822</v>
      </c>
      <c r="E106" s="96" t="s">
        <v>638</v>
      </c>
      <c r="F106" s="96">
        <v>8976</v>
      </c>
      <c r="G106" s="95">
        <v>9011209433</v>
      </c>
      <c r="H106" s="97">
        <v>23498968</v>
      </c>
      <c r="I106" s="98">
        <f t="shared" ref="I106" si="8">+H106*19%</f>
        <v>4464803.92</v>
      </c>
      <c r="J106" s="99">
        <f t="shared" ref="J106" si="9">+I106*L106</f>
        <v>4464803.92</v>
      </c>
      <c r="K106" s="99">
        <f t="shared" ref="K106" si="10">+I106*M106</f>
        <v>0</v>
      </c>
      <c r="L106" s="100">
        <v>1</v>
      </c>
      <c r="M106" s="100">
        <v>0</v>
      </c>
      <c r="N106" s="261">
        <f>+VLOOKUP(PRORRATEO!F106,TODOS!H:T,8,0)</f>
        <v>23498968</v>
      </c>
      <c r="O106" s="261">
        <f t="shared" ref="O106" si="11">+N106-H106</f>
        <v>0</v>
      </c>
    </row>
    <row r="150" spans="9:9" ht="14.5" x14ac:dyDescent="0.35">
      <c r="I150" s="10">
        <f>+H148</f>
        <v>0</v>
      </c>
    </row>
  </sheetData>
  <autoFilter ref="A1:O106" xr:uid="{064A0024-7F7E-4D10-8DE9-E6613926EF7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6DBF8-9D26-4EEF-9C5F-3E8C5D8D5FA1}">
  <sheetPr codeName="Hoja11"/>
  <dimension ref="A1:DJ1048568"/>
  <sheetViews>
    <sheetView topLeftCell="A118" workbookViewId="0">
      <selection activeCell="B11" sqref="B11"/>
    </sheetView>
  </sheetViews>
  <sheetFormatPr baseColWidth="10" defaultColWidth="11.453125" defaultRowHeight="14.5" x14ac:dyDescent="0.35"/>
  <cols>
    <col min="1" max="1" width="12.6328125" customWidth="1"/>
    <col min="2" max="2" width="41.7265625" customWidth="1"/>
    <col min="3" max="3" width="15.1796875" customWidth="1"/>
    <col min="4" max="4" width="25.81640625" customWidth="1"/>
    <col min="5" max="5" width="15.1796875" customWidth="1"/>
    <col min="7" max="7" width="28.54296875" style="191" customWidth="1"/>
    <col min="8" max="8" width="14.81640625" customWidth="1"/>
    <col min="9" max="9" width="18.1796875" customWidth="1"/>
    <col min="10" max="11" width="18.1796875" style="180" customWidth="1"/>
    <col min="12" max="13" width="16" style="180" customWidth="1"/>
    <col min="14" max="14" width="19.1796875" style="180" customWidth="1"/>
    <col min="15" max="15" width="11.453125" style="198"/>
    <col min="16" max="16" width="23.81640625" style="70" bestFit="1" customWidth="1"/>
    <col min="17" max="18" width="17.26953125" customWidth="1"/>
    <col min="19" max="19" width="20.1796875" customWidth="1"/>
    <col min="20" max="20" width="18" customWidth="1"/>
    <col min="21" max="21" width="29.7265625" customWidth="1"/>
    <col min="23" max="23" width="23.81640625" style="70" bestFit="1" customWidth="1"/>
    <col min="25" max="25" width="18.453125" customWidth="1"/>
    <col min="27" max="27" width="20.1796875" customWidth="1"/>
    <col min="28" max="28" width="25.54296875" customWidth="1"/>
    <col min="29" max="29" width="22" customWidth="1"/>
    <col min="30" max="31" width="12.81640625" customWidth="1"/>
    <col min="32" max="33" width="20.1796875" customWidth="1"/>
    <col min="34" max="34" width="13.54296875" customWidth="1"/>
    <col min="35" max="35" width="24.54296875" customWidth="1"/>
    <col min="36" max="37" width="22.54296875" customWidth="1"/>
    <col min="38" max="38" width="25.7265625" customWidth="1"/>
    <col min="40" max="40" width="13.26953125" customWidth="1"/>
    <col min="42" max="42" width="18.26953125" bestFit="1" customWidth="1"/>
    <col min="43" max="43" width="11.453125" style="194"/>
    <col min="44" max="44" width="24.54296875" bestFit="1" customWidth="1"/>
    <col min="45" max="45" width="22.54296875" bestFit="1" customWidth="1"/>
    <col min="46" max="46" width="19.7265625" bestFit="1" customWidth="1"/>
    <col min="47" max="47" width="25.7265625" bestFit="1" customWidth="1"/>
    <col min="48" max="48" width="14.81640625" bestFit="1" customWidth="1"/>
    <col min="49" max="49" width="15.1796875" customWidth="1"/>
    <col min="51" max="51" width="19.1796875" bestFit="1" customWidth="1"/>
    <col min="53" max="53" width="24.54296875" bestFit="1" customWidth="1"/>
    <col min="54" max="54" width="22.54296875" bestFit="1" customWidth="1"/>
    <col min="55" max="55" width="19.7265625" bestFit="1" customWidth="1"/>
    <col min="56" max="56" width="25.7265625" bestFit="1" customWidth="1"/>
    <col min="58" max="58" width="21.453125" bestFit="1" customWidth="1"/>
    <col min="59" max="59" width="23.81640625" bestFit="1" customWidth="1"/>
    <col min="60" max="60" width="23.54296875" bestFit="1" customWidth="1"/>
    <col min="62" max="62" width="24.54296875" bestFit="1" customWidth="1"/>
    <col min="63" max="63" width="22.54296875" bestFit="1" customWidth="1"/>
    <col min="64" max="64" width="19.7265625" bestFit="1" customWidth="1"/>
    <col min="65" max="65" width="25.7265625" bestFit="1" customWidth="1"/>
    <col min="67" max="67" width="21.453125" bestFit="1" customWidth="1"/>
    <col min="69" max="69" width="23.54296875" bestFit="1" customWidth="1"/>
    <col min="71" max="71" width="24.54296875" bestFit="1" customWidth="1"/>
    <col min="72" max="72" width="22.54296875" bestFit="1" customWidth="1"/>
    <col min="73" max="73" width="19.7265625" bestFit="1" customWidth="1"/>
    <col min="74" max="74" width="25.7265625" bestFit="1" customWidth="1"/>
    <col min="76" max="76" width="21.453125" bestFit="1" customWidth="1"/>
    <col min="78" max="78" width="19.1796875" bestFit="1" customWidth="1"/>
    <col min="80" max="80" width="24.54296875" bestFit="1" customWidth="1"/>
    <col min="81" max="81" width="22.54296875" bestFit="1" customWidth="1"/>
    <col min="82" max="82" width="19.7265625" bestFit="1" customWidth="1"/>
    <col min="83" max="83" width="25.7265625" bestFit="1" customWidth="1"/>
    <col min="85" max="85" width="21.453125" bestFit="1" customWidth="1"/>
    <col min="89" max="89" width="24.54296875" bestFit="1" customWidth="1"/>
    <col min="90" max="90" width="22.54296875" bestFit="1" customWidth="1"/>
    <col min="91" max="91" width="19.7265625" bestFit="1" customWidth="1"/>
    <col min="94" max="94" width="21.453125" bestFit="1" customWidth="1"/>
    <col min="98" max="98" width="24.54296875" bestFit="1" customWidth="1"/>
    <col min="99" max="99" width="22.54296875" customWidth="1"/>
    <col min="100" max="100" width="19.7265625" bestFit="1" customWidth="1"/>
    <col min="103" max="103" width="21.453125" style="70" bestFit="1" customWidth="1"/>
    <col min="104" max="104" width="23.81640625" bestFit="1" customWidth="1"/>
    <col min="107" max="107" width="24.54296875" bestFit="1" customWidth="1"/>
    <col min="108" max="108" width="22.54296875" bestFit="1" customWidth="1"/>
    <col min="109" max="109" width="19.7265625" bestFit="1" customWidth="1"/>
    <col min="110" max="110" width="25.7265625" bestFit="1" customWidth="1"/>
  </cols>
  <sheetData>
    <row r="1" spans="1:114" ht="13.5" customHeight="1" x14ac:dyDescent="0.35">
      <c r="A1" s="1" t="s">
        <v>616</v>
      </c>
      <c r="B1" s="1" t="s">
        <v>617</v>
      </c>
      <c r="C1" s="1" t="s">
        <v>266</v>
      </c>
      <c r="D1" s="1" t="s">
        <v>860</v>
      </c>
      <c r="E1" s="1" t="s">
        <v>614</v>
      </c>
      <c r="F1" s="1" t="s">
        <v>861</v>
      </c>
      <c r="G1" s="133" t="s">
        <v>269</v>
      </c>
      <c r="H1" s="134"/>
      <c r="I1" s="28"/>
      <c r="J1" s="28" t="s">
        <v>862</v>
      </c>
      <c r="K1" s="28" t="s">
        <v>270</v>
      </c>
      <c r="L1" s="28" t="s">
        <v>271</v>
      </c>
      <c r="M1" s="28" t="s">
        <v>277</v>
      </c>
      <c r="N1" s="28" t="s">
        <v>272</v>
      </c>
      <c r="O1" s="135" t="s">
        <v>273</v>
      </c>
      <c r="P1" s="30" t="s">
        <v>275</v>
      </c>
      <c r="Q1" s="1" t="s">
        <v>274</v>
      </c>
      <c r="R1" s="1" t="s">
        <v>276</v>
      </c>
      <c r="S1" s="28" t="s">
        <v>270</v>
      </c>
      <c r="T1" s="1" t="s">
        <v>271</v>
      </c>
      <c r="U1" s="1" t="s">
        <v>272</v>
      </c>
      <c r="V1" s="1" t="s">
        <v>273</v>
      </c>
      <c r="W1" s="30" t="s">
        <v>275</v>
      </c>
      <c r="X1" s="1" t="s">
        <v>274</v>
      </c>
      <c r="Y1" s="1" t="s">
        <v>276</v>
      </c>
      <c r="Z1" s="1" t="s">
        <v>863</v>
      </c>
      <c r="AA1" s="28" t="s">
        <v>270</v>
      </c>
      <c r="AB1" s="1" t="s">
        <v>271</v>
      </c>
      <c r="AC1" s="1" t="s">
        <v>272</v>
      </c>
      <c r="AD1" s="1" t="s">
        <v>273</v>
      </c>
      <c r="AE1" s="1" t="s">
        <v>275</v>
      </c>
      <c r="AF1" s="1" t="s">
        <v>274</v>
      </c>
      <c r="AG1" s="1" t="s">
        <v>276</v>
      </c>
      <c r="AH1" s="1" t="s">
        <v>863</v>
      </c>
      <c r="AI1" s="28" t="s">
        <v>270</v>
      </c>
      <c r="AJ1" s="1" t="s">
        <v>271</v>
      </c>
      <c r="AK1" s="1" t="s">
        <v>277</v>
      </c>
      <c r="AL1" s="1" t="s">
        <v>272</v>
      </c>
      <c r="AM1" s="1" t="s">
        <v>273</v>
      </c>
      <c r="AN1" s="1" t="s">
        <v>278</v>
      </c>
      <c r="AO1" s="1" t="s">
        <v>274</v>
      </c>
      <c r="AP1" s="1" t="s">
        <v>276</v>
      </c>
      <c r="AQ1" s="135" t="s">
        <v>863</v>
      </c>
      <c r="AR1" s="28" t="s">
        <v>270</v>
      </c>
      <c r="AS1" s="1" t="s">
        <v>271</v>
      </c>
      <c r="AT1" s="1" t="s">
        <v>277</v>
      </c>
      <c r="AU1" s="1" t="s">
        <v>272</v>
      </c>
      <c r="AV1" s="1" t="s">
        <v>273</v>
      </c>
      <c r="AW1" s="1" t="s">
        <v>278</v>
      </c>
      <c r="AX1" s="1" t="s">
        <v>274</v>
      </c>
      <c r="AY1" s="1" t="s">
        <v>279</v>
      </c>
      <c r="AZ1" s="135" t="s">
        <v>863</v>
      </c>
      <c r="BA1" s="28" t="s">
        <v>270</v>
      </c>
      <c r="BB1" s="1" t="s">
        <v>271</v>
      </c>
      <c r="BC1" s="1" t="s">
        <v>277</v>
      </c>
      <c r="BD1" s="1" t="s">
        <v>272</v>
      </c>
      <c r="BE1" s="1" t="s">
        <v>273</v>
      </c>
      <c r="BF1" s="1" t="s">
        <v>278</v>
      </c>
      <c r="BG1" s="1" t="s">
        <v>274</v>
      </c>
      <c r="BH1" s="1" t="s">
        <v>279</v>
      </c>
      <c r="BI1" s="135" t="s">
        <v>863</v>
      </c>
      <c r="BJ1" s="28" t="s">
        <v>270</v>
      </c>
      <c r="BK1" s="1" t="s">
        <v>271</v>
      </c>
      <c r="BL1" s="1" t="s">
        <v>277</v>
      </c>
      <c r="BM1" s="1" t="s">
        <v>272</v>
      </c>
      <c r="BN1" s="1" t="s">
        <v>273</v>
      </c>
      <c r="BO1" s="1" t="s">
        <v>278</v>
      </c>
      <c r="BP1" s="1" t="s">
        <v>274</v>
      </c>
      <c r="BQ1" s="1" t="s">
        <v>279</v>
      </c>
      <c r="BR1" s="135" t="s">
        <v>863</v>
      </c>
      <c r="BS1" s="28" t="s">
        <v>270</v>
      </c>
      <c r="BT1" s="1" t="s">
        <v>271</v>
      </c>
      <c r="BU1" s="1" t="s">
        <v>277</v>
      </c>
      <c r="BV1" s="1" t="s">
        <v>272</v>
      </c>
      <c r="BW1" s="1" t="s">
        <v>273</v>
      </c>
      <c r="BX1" s="1" t="s">
        <v>278</v>
      </c>
      <c r="BY1" s="1" t="s">
        <v>274</v>
      </c>
      <c r="BZ1" s="1" t="s">
        <v>276</v>
      </c>
      <c r="CA1" s="135" t="s">
        <v>863</v>
      </c>
      <c r="CB1" s="28" t="s">
        <v>270</v>
      </c>
      <c r="CC1" s="1" t="s">
        <v>271</v>
      </c>
      <c r="CD1" s="1" t="s">
        <v>277</v>
      </c>
      <c r="CE1" s="1" t="s">
        <v>272</v>
      </c>
      <c r="CF1" s="1" t="s">
        <v>273</v>
      </c>
      <c r="CG1" s="1" t="s">
        <v>278</v>
      </c>
      <c r="CH1" s="1" t="s">
        <v>274</v>
      </c>
      <c r="CI1" s="1" t="s">
        <v>276</v>
      </c>
      <c r="CJ1" s="135" t="s">
        <v>863</v>
      </c>
      <c r="CK1" s="28" t="s">
        <v>270</v>
      </c>
      <c r="CL1" s="1" t="s">
        <v>271</v>
      </c>
      <c r="CM1" s="1" t="s">
        <v>277</v>
      </c>
      <c r="CN1" s="1" t="s">
        <v>272</v>
      </c>
      <c r="CO1" s="1" t="s">
        <v>273</v>
      </c>
      <c r="CP1" s="1" t="s">
        <v>278</v>
      </c>
      <c r="CQ1" s="1" t="s">
        <v>274</v>
      </c>
      <c r="CR1" s="1" t="s">
        <v>276</v>
      </c>
      <c r="CS1" s="135" t="s">
        <v>863</v>
      </c>
      <c r="CT1" s="28" t="s">
        <v>270</v>
      </c>
      <c r="CU1" s="1" t="s">
        <v>271</v>
      </c>
      <c r="CV1" s="1" t="s">
        <v>277</v>
      </c>
      <c r="CW1" s="1" t="s">
        <v>272</v>
      </c>
      <c r="CX1" s="1" t="s">
        <v>273</v>
      </c>
      <c r="CY1" s="30" t="s">
        <v>278</v>
      </c>
      <c r="CZ1" s="1" t="s">
        <v>274</v>
      </c>
      <c r="DA1" s="136" t="s">
        <v>276</v>
      </c>
      <c r="DB1" s="135" t="s">
        <v>863</v>
      </c>
      <c r="DC1" s="28" t="s">
        <v>270</v>
      </c>
      <c r="DD1" s="1" t="s">
        <v>271</v>
      </c>
      <c r="DE1" s="1" t="s">
        <v>277</v>
      </c>
      <c r="DF1" s="1" t="s">
        <v>272</v>
      </c>
      <c r="DG1" s="1" t="s">
        <v>273</v>
      </c>
      <c r="DH1" s="1" t="s">
        <v>278</v>
      </c>
      <c r="DI1" s="1" t="s">
        <v>274</v>
      </c>
      <c r="DJ1" s="1" t="s">
        <v>276</v>
      </c>
    </row>
    <row r="2" spans="1:114" x14ac:dyDescent="0.35">
      <c r="A2" s="137">
        <v>251070</v>
      </c>
      <c r="B2" s="137" t="s">
        <v>864</v>
      </c>
      <c r="C2" s="138" t="s">
        <v>285</v>
      </c>
      <c r="D2" s="137" t="s">
        <v>285</v>
      </c>
      <c r="E2" s="5" t="s">
        <v>625</v>
      </c>
      <c r="F2" s="138">
        <v>8525</v>
      </c>
      <c r="G2" s="139">
        <v>901037129</v>
      </c>
      <c r="H2" s="38">
        <v>7977970</v>
      </c>
      <c r="I2" s="38">
        <v>7977970</v>
      </c>
      <c r="J2" s="38"/>
      <c r="K2" s="37">
        <v>7977970</v>
      </c>
      <c r="L2" s="37">
        <f>H2-K2</f>
        <v>0</v>
      </c>
      <c r="M2" s="37"/>
      <c r="N2" s="37"/>
      <c r="O2" s="140">
        <v>0</v>
      </c>
      <c r="P2" s="43">
        <v>44567</v>
      </c>
      <c r="Q2" s="43" t="s">
        <v>284</v>
      </c>
      <c r="R2" s="42"/>
      <c r="S2" s="37">
        <v>7977970</v>
      </c>
      <c r="T2" s="39">
        <f>K2-S2</f>
        <v>0</v>
      </c>
      <c r="U2" s="5"/>
      <c r="V2" s="140">
        <v>0</v>
      </c>
      <c r="W2" s="43">
        <v>44594</v>
      </c>
      <c r="X2" s="5" t="s">
        <v>284</v>
      </c>
      <c r="Y2" s="42"/>
      <c r="Z2" s="5"/>
      <c r="AA2" s="37">
        <v>7977970</v>
      </c>
      <c r="AB2" s="37">
        <f>S2-AA2</f>
        <v>0</v>
      </c>
      <c r="AC2" s="5"/>
      <c r="AD2" s="140">
        <v>0</v>
      </c>
      <c r="AE2" s="43">
        <v>44624</v>
      </c>
      <c r="AF2" s="5" t="s">
        <v>284</v>
      </c>
      <c r="AG2" s="42"/>
      <c r="AH2" s="626" t="s">
        <v>287</v>
      </c>
      <c r="AI2" s="627"/>
      <c r="AJ2" s="627"/>
      <c r="AK2" s="627"/>
      <c r="AL2" s="627"/>
      <c r="AM2" s="627"/>
      <c r="AN2" s="627"/>
      <c r="AO2" s="627"/>
      <c r="AP2" s="627"/>
      <c r="AQ2" s="627"/>
      <c r="AR2" s="627"/>
      <c r="AS2" s="627"/>
      <c r="AT2" s="627"/>
      <c r="AU2" s="627"/>
      <c r="AV2" s="627"/>
      <c r="AW2" s="627"/>
      <c r="AX2" s="627"/>
      <c r="AY2" s="627"/>
      <c r="AZ2" s="627"/>
      <c r="BA2" s="627"/>
      <c r="BB2" s="627"/>
      <c r="BC2" s="627"/>
      <c r="BD2" s="627"/>
      <c r="BE2" s="627"/>
      <c r="BF2" s="627"/>
      <c r="BG2" s="627"/>
      <c r="BH2" s="627"/>
      <c r="BI2" s="627"/>
      <c r="BJ2" s="627"/>
      <c r="BK2" s="627"/>
      <c r="BL2" s="627"/>
      <c r="BM2" s="627"/>
      <c r="BN2" s="627"/>
      <c r="BO2" s="627"/>
      <c r="BP2" s="627"/>
      <c r="BQ2" s="627"/>
      <c r="BR2" s="627"/>
      <c r="BS2" s="627"/>
      <c r="BT2" s="627"/>
      <c r="BU2" s="627"/>
      <c r="BV2" s="627"/>
      <c r="BW2" s="627"/>
      <c r="BX2" s="627"/>
      <c r="BY2" s="627"/>
      <c r="BZ2" s="627"/>
      <c r="CA2" s="627"/>
      <c r="CB2" s="627"/>
      <c r="CC2" s="627"/>
      <c r="CD2" s="627"/>
      <c r="CE2" s="627"/>
      <c r="CF2" s="627"/>
      <c r="CG2" s="627"/>
      <c r="CH2" s="627"/>
      <c r="CI2" s="627"/>
      <c r="CJ2" s="627"/>
      <c r="CK2" s="627"/>
      <c r="CL2" s="627"/>
      <c r="CM2" s="627"/>
      <c r="CN2" s="627"/>
      <c r="CO2" s="627"/>
      <c r="CP2" s="627"/>
      <c r="CQ2" s="627"/>
      <c r="CR2" s="627"/>
      <c r="CS2" s="627"/>
      <c r="CT2" s="627"/>
      <c r="CU2" s="627"/>
      <c r="CV2" s="627"/>
      <c r="CW2" s="627"/>
      <c r="CX2" s="627"/>
      <c r="CY2" s="627"/>
      <c r="CZ2" s="627"/>
      <c r="DA2" s="627"/>
      <c r="DB2" s="627"/>
      <c r="DC2" s="627"/>
      <c r="DD2" s="627"/>
      <c r="DE2" s="627"/>
      <c r="DF2" s="627"/>
      <c r="DG2" s="627"/>
      <c r="DH2" s="627"/>
      <c r="DI2" s="627"/>
      <c r="DJ2" s="628"/>
    </row>
    <row r="3" spans="1:114" x14ac:dyDescent="0.35">
      <c r="A3" s="9">
        <v>246135</v>
      </c>
      <c r="B3" s="9" t="s">
        <v>626</v>
      </c>
      <c r="C3" s="34" t="s">
        <v>280</v>
      </c>
      <c r="D3" s="5" t="s">
        <v>624</v>
      </c>
      <c r="E3" s="5" t="s">
        <v>625</v>
      </c>
      <c r="F3" s="6" t="s">
        <v>865</v>
      </c>
      <c r="G3" s="141" t="s">
        <v>627</v>
      </c>
      <c r="H3" s="37">
        <v>65596455</v>
      </c>
      <c r="I3" s="37">
        <v>65596455</v>
      </c>
      <c r="J3" s="37"/>
      <c r="K3" s="37">
        <v>65596455</v>
      </c>
      <c r="L3" s="37">
        <f>I3-K3</f>
        <v>0</v>
      </c>
      <c r="M3" s="37"/>
      <c r="N3" s="37"/>
      <c r="O3" s="140">
        <v>0</v>
      </c>
      <c r="P3" s="142">
        <v>44579</v>
      </c>
      <c r="Q3" s="9" t="s">
        <v>284</v>
      </c>
      <c r="R3" s="42"/>
      <c r="S3" s="37">
        <v>65596455</v>
      </c>
      <c r="T3" s="39">
        <f>K3-S3</f>
        <v>0</v>
      </c>
      <c r="U3" s="5"/>
      <c r="V3" s="140">
        <v>0</v>
      </c>
      <c r="W3" s="43">
        <v>44603</v>
      </c>
      <c r="X3" s="5" t="s">
        <v>284</v>
      </c>
      <c r="Y3" s="42"/>
      <c r="Z3" s="5"/>
      <c r="AA3" s="37">
        <v>65596455</v>
      </c>
      <c r="AB3" s="37">
        <f>S3-AA3</f>
        <v>0</v>
      </c>
      <c r="AC3" s="5"/>
      <c r="AD3" s="140">
        <v>0</v>
      </c>
      <c r="AE3" s="43">
        <v>44638</v>
      </c>
      <c r="AF3" s="5" t="s">
        <v>284</v>
      </c>
      <c r="AG3" s="5"/>
      <c r="AH3" s="5"/>
      <c r="AI3" s="37">
        <v>65596455</v>
      </c>
      <c r="AJ3" s="37">
        <f>AA3-AI3</f>
        <v>0</v>
      </c>
      <c r="AK3" s="37"/>
      <c r="AL3" s="37"/>
      <c r="AM3" s="140">
        <v>0</v>
      </c>
      <c r="AN3" s="43">
        <v>44673</v>
      </c>
      <c r="AO3" s="5" t="s">
        <v>284</v>
      </c>
      <c r="AP3" s="5"/>
      <c r="AQ3" s="40"/>
      <c r="AR3" s="37">
        <v>65596455</v>
      </c>
      <c r="AS3" s="37">
        <f>AI3-AR3</f>
        <v>0</v>
      </c>
      <c r="AT3" s="37"/>
      <c r="AU3" s="37"/>
      <c r="AV3" s="140">
        <v>0</v>
      </c>
      <c r="AW3" s="43">
        <v>44697</v>
      </c>
      <c r="AX3" s="5" t="s">
        <v>284</v>
      </c>
      <c r="AY3" s="5"/>
      <c r="AZ3" s="140"/>
      <c r="BA3" s="37">
        <v>65596455</v>
      </c>
      <c r="BB3" s="37">
        <f>AR3-BA3</f>
        <v>0</v>
      </c>
      <c r="BC3" s="37"/>
      <c r="BD3" s="37"/>
      <c r="BE3" s="140">
        <v>0</v>
      </c>
      <c r="BF3" s="43">
        <v>44715</v>
      </c>
      <c r="BG3" s="5" t="s">
        <v>284</v>
      </c>
      <c r="BH3" s="43">
        <v>44728</v>
      </c>
      <c r="BI3" s="140"/>
      <c r="BJ3" s="37">
        <v>65596455</v>
      </c>
      <c r="BK3" s="37">
        <f>BA3-BJ3</f>
        <v>0</v>
      </c>
      <c r="BL3" s="37"/>
      <c r="BM3" s="37"/>
      <c r="BN3" s="140">
        <v>0</v>
      </c>
      <c r="BO3" s="43">
        <v>44750</v>
      </c>
      <c r="BP3" s="5" t="s">
        <v>284</v>
      </c>
      <c r="BQ3" s="43">
        <v>44768</v>
      </c>
      <c r="BR3" s="140"/>
      <c r="BS3" s="37">
        <v>65596455</v>
      </c>
      <c r="BT3" s="37">
        <f>BJ3-BS3</f>
        <v>0</v>
      </c>
      <c r="BU3" s="37"/>
      <c r="BV3" s="37"/>
      <c r="BW3" s="140">
        <v>0</v>
      </c>
      <c r="BX3" s="43">
        <v>44790</v>
      </c>
      <c r="BY3" s="5" t="s">
        <v>284</v>
      </c>
      <c r="BZ3" s="5"/>
      <c r="CA3" s="140"/>
      <c r="CB3" s="37"/>
      <c r="CC3" s="37"/>
      <c r="CD3" s="37"/>
      <c r="CE3" s="37"/>
      <c r="CF3" s="140"/>
      <c r="CG3" s="43"/>
      <c r="CH3" s="5"/>
      <c r="CI3" s="5"/>
      <c r="CJ3" s="140"/>
      <c r="CK3" s="37"/>
      <c r="CL3" s="37"/>
      <c r="CM3" s="37"/>
      <c r="CN3" s="37"/>
      <c r="CO3" s="140"/>
      <c r="CP3" s="43"/>
      <c r="CQ3" s="5"/>
      <c r="CR3" s="5"/>
      <c r="CS3" s="140"/>
      <c r="CT3" s="37"/>
      <c r="CU3" s="37"/>
      <c r="CV3" s="37"/>
      <c r="CW3" s="37"/>
      <c r="CX3" s="140"/>
      <c r="CY3" s="43"/>
      <c r="CZ3" s="5"/>
      <c r="DA3" s="143"/>
      <c r="DB3" s="140"/>
      <c r="DC3" s="37"/>
      <c r="DD3" s="37"/>
      <c r="DE3" s="37"/>
      <c r="DF3" s="37"/>
      <c r="DG3" s="140"/>
      <c r="DH3" s="43"/>
      <c r="DI3" s="5"/>
      <c r="DJ3" s="5"/>
    </row>
    <row r="4" spans="1:114" x14ac:dyDescent="0.35">
      <c r="A4" s="9">
        <v>366495</v>
      </c>
      <c r="B4" s="9" t="s">
        <v>37</v>
      </c>
      <c r="C4" s="34" t="s">
        <v>288</v>
      </c>
      <c r="D4" s="5" t="s">
        <v>628</v>
      </c>
      <c r="E4" s="5" t="s">
        <v>625</v>
      </c>
      <c r="F4" s="6">
        <v>9205</v>
      </c>
      <c r="G4" s="141">
        <v>800200760</v>
      </c>
      <c r="H4" s="37">
        <v>33000000</v>
      </c>
      <c r="I4" s="37">
        <v>27200000</v>
      </c>
      <c r="J4" s="37"/>
      <c r="K4" s="37">
        <f>27926240+709920</f>
        <v>28636160</v>
      </c>
      <c r="L4" s="37"/>
      <c r="M4" s="37">
        <f>I4-K4</f>
        <v>-1436160</v>
      </c>
      <c r="N4" s="37"/>
      <c r="O4" s="140">
        <f>M4/I4</f>
        <v>-5.28E-2</v>
      </c>
      <c r="P4" s="142">
        <v>44586</v>
      </c>
      <c r="Q4" s="5" t="s">
        <v>284</v>
      </c>
      <c r="R4" s="42"/>
      <c r="S4" s="37">
        <v>27926240</v>
      </c>
      <c r="T4" s="39">
        <f>K4-S4</f>
        <v>709920</v>
      </c>
      <c r="U4" s="5"/>
      <c r="V4" s="140">
        <f>T4/K4</f>
        <v>2.4791033434650455E-2</v>
      </c>
      <c r="W4" s="43">
        <v>44595</v>
      </c>
      <c r="X4" s="5" t="s">
        <v>284</v>
      </c>
      <c r="Y4" s="42"/>
      <c r="Z4" s="144"/>
      <c r="AA4" s="37">
        <v>36516201</v>
      </c>
      <c r="AB4" s="37">
        <f>K4-AA4</f>
        <v>-7880041</v>
      </c>
      <c r="AC4" s="37">
        <v>36516201</v>
      </c>
      <c r="AD4" s="140">
        <f>AB4/K4</f>
        <v>-0.27517799174190954</v>
      </c>
      <c r="AE4" s="142">
        <v>44637</v>
      </c>
      <c r="AF4" s="5" t="s">
        <v>284</v>
      </c>
      <c r="AG4" s="42"/>
      <c r="AH4" s="144"/>
      <c r="AI4" s="37">
        <v>27000000</v>
      </c>
      <c r="AJ4" s="37">
        <v>0</v>
      </c>
      <c r="AK4" s="37"/>
      <c r="AL4" s="37"/>
      <c r="AM4" s="140">
        <v>0</v>
      </c>
      <c r="AN4" s="43">
        <v>44656</v>
      </c>
      <c r="AO4" s="5" t="s">
        <v>284</v>
      </c>
      <c r="AP4" s="5"/>
      <c r="AQ4" s="40"/>
      <c r="AR4" s="37">
        <v>33000000</v>
      </c>
      <c r="AS4" s="37"/>
      <c r="AT4" s="37">
        <f>AI4-AR4</f>
        <v>-6000000</v>
      </c>
      <c r="AU4" s="37"/>
      <c r="AV4" s="140">
        <f>AT4/AI4</f>
        <v>-0.22222222222222221</v>
      </c>
      <c r="AW4" s="43">
        <v>44683</v>
      </c>
      <c r="AX4" s="5" t="s">
        <v>284</v>
      </c>
      <c r="AY4" s="5"/>
      <c r="AZ4" s="140"/>
      <c r="BA4" s="37">
        <v>33000000</v>
      </c>
      <c r="BB4" s="37">
        <f>AR4-BA4</f>
        <v>0</v>
      </c>
      <c r="BC4" s="37"/>
      <c r="BD4" s="37"/>
      <c r="BE4" s="140">
        <v>0</v>
      </c>
      <c r="BF4" s="43">
        <v>44713</v>
      </c>
      <c r="BG4" s="5" t="s">
        <v>284</v>
      </c>
      <c r="BH4" s="43">
        <v>44736</v>
      </c>
      <c r="BI4" s="140"/>
      <c r="BJ4" s="37">
        <v>33000000</v>
      </c>
      <c r="BK4" s="37">
        <f>BA4-BJ4</f>
        <v>0</v>
      </c>
      <c r="BL4" s="37"/>
      <c r="BM4" s="37"/>
      <c r="BN4" s="140">
        <v>0</v>
      </c>
      <c r="BO4" s="43">
        <v>44747</v>
      </c>
      <c r="BP4" s="5" t="s">
        <v>284</v>
      </c>
      <c r="BQ4" s="43">
        <v>44757</v>
      </c>
      <c r="BR4" s="140"/>
      <c r="BS4" s="37">
        <v>33000000</v>
      </c>
      <c r="BT4" s="37">
        <f>BJ4-BS4</f>
        <v>0</v>
      </c>
      <c r="BU4" s="37"/>
      <c r="BV4" s="37"/>
      <c r="BW4" s="140">
        <v>0</v>
      </c>
      <c r="BX4" s="43">
        <v>44774</v>
      </c>
      <c r="BY4" s="5" t="s">
        <v>284</v>
      </c>
      <c r="BZ4" s="5"/>
      <c r="CA4" s="140"/>
      <c r="CB4" s="37"/>
      <c r="CC4" s="37"/>
      <c r="CD4" s="37"/>
      <c r="CE4" s="37"/>
      <c r="CF4" s="140"/>
      <c r="CG4" s="43"/>
      <c r="CH4" s="5"/>
      <c r="CI4" s="5"/>
      <c r="CJ4" s="140"/>
      <c r="CK4" s="37"/>
      <c r="CL4" s="37"/>
      <c r="CM4" s="37"/>
      <c r="CN4" s="37"/>
      <c r="CO4" s="140"/>
      <c r="CP4" s="43"/>
      <c r="CQ4" s="5"/>
      <c r="CR4" s="5"/>
      <c r="CS4" s="140"/>
      <c r="CT4" s="37"/>
      <c r="CU4" s="37"/>
      <c r="CV4" s="37"/>
      <c r="CW4" s="37"/>
      <c r="CX4" s="140"/>
      <c r="CY4" s="43"/>
      <c r="CZ4" s="5"/>
      <c r="DA4" s="143"/>
      <c r="DB4" s="140"/>
      <c r="DC4" s="37"/>
      <c r="DD4" s="37"/>
      <c r="DE4" s="37"/>
      <c r="DF4" s="37"/>
      <c r="DG4" s="140"/>
      <c r="DH4" s="43"/>
      <c r="DI4" s="5"/>
      <c r="DJ4" s="5"/>
    </row>
    <row r="5" spans="1:114" x14ac:dyDescent="0.35">
      <c r="A5" s="9">
        <v>210943</v>
      </c>
      <c r="B5" s="9" t="s">
        <v>866</v>
      </c>
      <c r="C5" s="34" t="s">
        <v>292</v>
      </c>
      <c r="D5" s="5" t="s">
        <v>293</v>
      </c>
      <c r="E5" s="5" t="s">
        <v>625</v>
      </c>
      <c r="F5" s="6">
        <v>9208</v>
      </c>
      <c r="G5" s="145" t="s">
        <v>867</v>
      </c>
      <c r="H5" s="37">
        <v>22435796</v>
      </c>
      <c r="I5" s="37">
        <v>22435796</v>
      </c>
      <c r="J5" s="37"/>
      <c r="K5" s="37">
        <v>11217898</v>
      </c>
      <c r="L5" s="37">
        <f>I5-K5</f>
        <v>11217898</v>
      </c>
      <c r="M5" s="37"/>
      <c r="N5" s="37"/>
      <c r="O5" s="140">
        <f>L5/I5</f>
        <v>0.5</v>
      </c>
      <c r="P5" s="43">
        <v>44572</v>
      </c>
      <c r="Q5" s="9" t="s">
        <v>284</v>
      </c>
      <c r="R5" s="42"/>
      <c r="S5" s="586" t="s">
        <v>296</v>
      </c>
      <c r="T5" s="587"/>
      <c r="U5" s="587"/>
      <c r="V5" s="587"/>
      <c r="W5" s="587"/>
      <c r="X5" s="587"/>
      <c r="Y5" s="587"/>
      <c r="Z5" s="587"/>
      <c r="AA5" s="587"/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  <c r="AY5" s="587"/>
      <c r="AZ5" s="587"/>
      <c r="BA5" s="587"/>
      <c r="BB5" s="587"/>
      <c r="BC5" s="587"/>
      <c r="BD5" s="587"/>
      <c r="BE5" s="587"/>
      <c r="BF5" s="587"/>
      <c r="BG5" s="587"/>
      <c r="BH5" s="587"/>
      <c r="BI5" s="587"/>
      <c r="BJ5" s="587"/>
      <c r="BK5" s="587"/>
      <c r="BL5" s="587"/>
      <c r="BM5" s="587"/>
      <c r="BN5" s="587"/>
      <c r="BO5" s="587"/>
      <c r="BP5" s="587"/>
      <c r="BQ5" s="587"/>
      <c r="BR5" s="587"/>
      <c r="BS5" s="587"/>
      <c r="BT5" s="587"/>
      <c r="BU5" s="587"/>
      <c r="BV5" s="587"/>
      <c r="BW5" s="587"/>
      <c r="BX5" s="587"/>
      <c r="BY5" s="587"/>
      <c r="BZ5" s="587"/>
      <c r="CA5" s="587"/>
      <c r="CB5" s="587"/>
      <c r="CC5" s="587"/>
      <c r="CD5" s="587"/>
      <c r="CE5" s="587"/>
      <c r="CF5" s="587"/>
      <c r="CG5" s="587"/>
      <c r="CH5" s="587"/>
      <c r="CI5" s="587"/>
      <c r="CJ5" s="587"/>
      <c r="CK5" s="587"/>
      <c r="CL5" s="587"/>
      <c r="CM5" s="587"/>
      <c r="CN5" s="587"/>
      <c r="CO5" s="587"/>
      <c r="CP5" s="587"/>
      <c r="CQ5" s="587"/>
      <c r="CR5" s="587"/>
      <c r="CS5" s="587"/>
      <c r="CT5" s="587"/>
      <c r="CU5" s="587"/>
      <c r="CV5" s="587"/>
      <c r="CW5" s="587"/>
      <c r="CX5" s="587"/>
      <c r="CY5" s="587"/>
      <c r="CZ5" s="587"/>
      <c r="DA5" s="587"/>
      <c r="DB5" s="587"/>
      <c r="DC5" s="587"/>
      <c r="DD5" s="587"/>
      <c r="DE5" s="587"/>
      <c r="DF5" s="587"/>
      <c r="DG5" s="587"/>
      <c r="DH5" s="587"/>
      <c r="DI5" s="587"/>
      <c r="DJ5" s="588"/>
    </row>
    <row r="6" spans="1:114" x14ac:dyDescent="0.35">
      <c r="A6" s="9">
        <v>289666</v>
      </c>
      <c r="B6" s="9" t="s">
        <v>630</v>
      </c>
      <c r="C6" s="34" t="s">
        <v>297</v>
      </c>
      <c r="D6" s="5" t="s">
        <v>629</v>
      </c>
      <c r="E6" s="5" t="s">
        <v>625</v>
      </c>
      <c r="F6" s="6">
        <v>9264</v>
      </c>
      <c r="G6" s="145" t="s">
        <v>631</v>
      </c>
      <c r="H6" s="37">
        <v>14657817</v>
      </c>
      <c r="I6" s="37">
        <v>13877880</v>
      </c>
      <c r="J6" s="37"/>
      <c r="K6" s="37">
        <v>14657817</v>
      </c>
      <c r="L6" s="37"/>
      <c r="M6" s="37">
        <f>I6-K6</f>
        <v>-779937</v>
      </c>
      <c r="N6" s="37"/>
      <c r="O6" s="140">
        <f>M6/I6</f>
        <v>-5.6200010376224609E-2</v>
      </c>
      <c r="P6" s="43">
        <v>44574</v>
      </c>
      <c r="Q6" s="5" t="s">
        <v>284</v>
      </c>
      <c r="R6" s="42"/>
      <c r="S6" s="37">
        <v>14657817</v>
      </c>
      <c r="T6" s="39">
        <f>K6-S6</f>
        <v>0</v>
      </c>
      <c r="U6" s="37"/>
      <c r="V6" s="140">
        <v>0</v>
      </c>
      <c r="W6" s="142">
        <v>44600</v>
      </c>
      <c r="X6" s="5" t="s">
        <v>284</v>
      </c>
      <c r="Y6" s="42"/>
      <c r="Z6" s="5"/>
      <c r="AA6" s="37">
        <v>14657817</v>
      </c>
      <c r="AB6" s="37">
        <f>S6-AA6</f>
        <v>0</v>
      </c>
      <c r="AC6" s="5"/>
      <c r="AD6" s="140">
        <v>0</v>
      </c>
      <c r="AE6" s="142">
        <v>44628</v>
      </c>
      <c r="AF6" s="5" t="s">
        <v>284</v>
      </c>
      <c r="AG6" s="5"/>
      <c r="AH6" s="5"/>
      <c r="AI6" s="37">
        <v>14657817</v>
      </c>
      <c r="AJ6" s="37">
        <f>AA6-AI6</f>
        <v>0</v>
      </c>
      <c r="AK6" s="37"/>
      <c r="AL6" s="37"/>
      <c r="AM6" s="140">
        <v>0</v>
      </c>
      <c r="AN6" s="142">
        <v>44659</v>
      </c>
      <c r="AO6" s="5" t="s">
        <v>284</v>
      </c>
      <c r="AP6" s="5"/>
      <c r="AQ6" s="40"/>
      <c r="AR6" s="37">
        <v>14657817</v>
      </c>
      <c r="AS6" s="37">
        <f>AI6-AR6</f>
        <v>0</v>
      </c>
      <c r="AT6" s="37"/>
      <c r="AU6" s="37"/>
      <c r="AV6" s="140">
        <v>0</v>
      </c>
      <c r="AW6" s="43">
        <v>44687</v>
      </c>
      <c r="AX6" s="5" t="s">
        <v>284</v>
      </c>
      <c r="AY6" s="5"/>
      <c r="AZ6" s="140"/>
      <c r="BA6" s="37">
        <v>14657817</v>
      </c>
      <c r="BB6" s="37">
        <f>AR6-BA6</f>
        <v>0</v>
      </c>
      <c r="BC6" s="37"/>
      <c r="BD6" s="37"/>
      <c r="BE6" s="140">
        <v>0</v>
      </c>
      <c r="BF6" s="43">
        <v>44719</v>
      </c>
      <c r="BG6" s="5" t="s">
        <v>284</v>
      </c>
      <c r="BH6" s="43">
        <v>44728</v>
      </c>
      <c r="BI6" s="140"/>
      <c r="BJ6" s="37">
        <v>14657817</v>
      </c>
      <c r="BK6" s="37">
        <f>BA6-BJ6</f>
        <v>0</v>
      </c>
      <c r="BL6" s="37"/>
      <c r="BM6" s="37"/>
      <c r="BN6" s="140">
        <v>0</v>
      </c>
      <c r="BO6" s="43">
        <v>44750</v>
      </c>
      <c r="BP6" s="5" t="s">
        <v>284</v>
      </c>
      <c r="BQ6" s="43">
        <v>44768</v>
      </c>
      <c r="BR6" s="140"/>
      <c r="BS6" s="37">
        <v>14657817</v>
      </c>
      <c r="BT6" s="37">
        <f>BJ6-BS6</f>
        <v>0</v>
      </c>
      <c r="BU6" s="37"/>
      <c r="BV6" s="37"/>
      <c r="BW6" s="140">
        <v>0</v>
      </c>
      <c r="BX6" s="43">
        <v>44778</v>
      </c>
      <c r="BY6" s="5" t="s">
        <v>284</v>
      </c>
      <c r="BZ6" s="5"/>
      <c r="CA6" s="140"/>
      <c r="CB6" s="37"/>
      <c r="CC6" s="37"/>
      <c r="CD6" s="37"/>
      <c r="CE6" s="37"/>
      <c r="CF6" s="140"/>
      <c r="CG6" s="43"/>
      <c r="CH6" s="5"/>
      <c r="CI6" s="5"/>
      <c r="CJ6" s="140"/>
      <c r="CK6" s="37"/>
      <c r="CL6" s="37"/>
      <c r="CM6" s="37"/>
      <c r="CN6" s="37"/>
      <c r="CO6" s="140"/>
      <c r="CP6" s="43"/>
      <c r="CQ6" s="5"/>
      <c r="CR6" s="5"/>
      <c r="CS6" s="140"/>
      <c r="CT6" s="37"/>
      <c r="CU6" s="37"/>
      <c r="CV6" s="37"/>
      <c r="CW6" s="37"/>
      <c r="CX6" s="140"/>
      <c r="CY6" s="43"/>
      <c r="CZ6" s="5"/>
      <c r="DA6" s="143"/>
      <c r="DB6" s="140"/>
      <c r="DC6" s="37"/>
      <c r="DD6" s="37"/>
      <c r="DE6" s="37"/>
      <c r="DF6" s="37"/>
      <c r="DG6" s="140"/>
      <c r="DH6" s="43"/>
      <c r="DI6" s="5"/>
      <c r="DJ6" s="5"/>
    </row>
    <row r="7" spans="1:114" x14ac:dyDescent="0.35">
      <c r="A7" s="9">
        <v>210421</v>
      </c>
      <c r="B7" s="9" t="s">
        <v>868</v>
      </c>
      <c r="C7" s="34" t="s">
        <v>299</v>
      </c>
      <c r="D7" s="5" t="s">
        <v>632</v>
      </c>
      <c r="E7" s="5" t="s">
        <v>625</v>
      </c>
      <c r="F7" s="6">
        <v>9355</v>
      </c>
      <c r="G7" s="141" t="s">
        <v>869</v>
      </c>
      <c r="H7" s="37">
        <v>20336501</v>
      </c>
      <c r="I7" s="37">
        <v>19140236</v>
      </c>
      <c r="J7" s="37"/>
      <c r="K7" s="37">
        <v>19140236</v>
      </c>
      <c r="L7" s="37">
        <f>I7-K7</f>
        <v>0</v>
      </c>
      <c r="M7" s="37"/>
      <c r="N7" s="37"/>
      <c r="O7" s="140">
        <v>0</v>
      </c>
      <c r="P7" s="43">
        <v>44574</v>
      </c>
      <c r="Q7" s="5" t="s">
        <v>284</v>
      </c>
      <c r="R7" s="42"/>
      <c r="S7" s="37">
        <v>20336501</v>
      </c>
      <c r="T7" s="39">
        <f>K7-S7</f>
        <v>-1196265</v>
      </c>
      <c r="U7" s="5"/>
      <c r="V7" s="140">
        <f>T7/K7</f>
        <v>-6.2500013061489945E-2</v>
      </c>
      <c r="W7" s="142">
        <v>44593</v>
      </c>
      <c r="X7" s="5" t="s">
        <v>284</v>
      </c>
      <c r="Y7" s="42"/>
      <c r="Z7" s="5"/>
      <c r="AA7" s="37">
        <v>20336501</v>
      </c>
      <c r="AB7" s="37">
        <f>S7-AA7</f>
        <v>0</v>
      </c>
      <c r="AC7" s="5"/>
      <c r="AD7" s="140">
        <v>0</v>
      </c>
      <c r="AE7" s="142">
        <v>44621</v>
      </c>
      <c r="AF7" s="5" t="s">
        <v>284</v>
      </c>
      <c r="AG7" s="42"/>
      <c r="AH7" s="5"/>
      <c r="AI7" s="37">
        <v>20336501</v>
      </c>
      <c r="AJ7" s="37">
        <f>AA7-AI7</f>
        <v>0</v>
      </c>
      <c r="AK7" s="37"/>
      <c r="AL7" s="37"/>
      <c r="AM7" s="140">
        <v>0</v>
      </c>
      <c r="AN7" s="43">
        <v>44655</v>
      </c>
      <c r="AO7" s="5" t="s">
        <v>284</v>
      </c>
      <c r="AP7" s="5"/>
      <c r="AQ7" s="40"/>
      <c r="AR7" s="37">
        <v>20336501</v>
      </c>
      <c r="AS7" s="37">
        <f>AI7-AR7</f>
        <v>0</v>
      </c>
      <c r="AT7" s="37"/>
      <c r="AU7" s="37"/>
      <c r="AV7" s="140">
        <v>0</v>
      </c>
      <c r="AW7" s="43">
        <v>44683</v>
      </c>
      <c r="AX7" s="5" t="s">
        <v>284</v>
      </c>
      <c r="AY7" s="5"/>
      <c r="AZ7" s="140"/>
      <c r="BA7" s="37">
        <v>20336501</v>
      </c>
      <c r="BB7" s="37">
        <f>AR7-BA7</f>
        <v>0</v>
      </c>
      <c r="BC7" s="37"/>
      <c r="BD7" s="37"/>
      <c r="BE7" s="140">
        <v>0</v>
      </c>
      <c r="BF7" s="43">
        <v>44713</v>
      </c>
      <c r="BG7" s="5" t="s">
        <v>284</v>
      </c>
      <c r="BH7" s="43">
        <v>44728</v>
      </c>
      <c r="BI7" s="140"/>
      <c r="BJ7" s="37">
        <v>20336501</v>
      </c>
      <c r="BK7" s="37">
        <f>BA7-BJ7</f>
        <v>0</v>
      </c>
      <c r="BL7" s="37"/>
      <c r="BM7" s="37"/>
      <c r="BN7" s="140">
        <v>0</v>
      </c>
      <c r="BO7" s="43">
        <v>44743</v>
      </c>
      <c r="BP7" s="5" t="s">
        <v>284</v>
      </c>
      <c r="BQ7" s="43">
        <v>44757</v>
      </c>
      <c r="BR7" s="140"/>
      <c r="BS7" s="37">
        <v>20336501</v>
      </c>
      <c r="BT7" s="37">
        <f>BJ7-BS7</f>
        <v>0</v>
      </c>
      <c r="BU7" s="37"/>
      <c r="BV7" s="37"/>
      <c r="BW7" s="140">
        <v>0</v>
      </c>
      <c r="BX7" s="43">
        <v>44789</v>
      </c>
      <c r="BY7" s="5" t="s">
        <v>284</v>
      </c>
      <c r="BZ7" s="5"/>
      <c r="CA7" s="140"/>
      <c r="CB7" s="37"/>
      <c r="CC7" s="37"/>
      <c r="CD7" s="37"/>
      <c r="CE7" s="37"/>
      <c r="CF7" s="140"/>
      <c r="CG7" s="43"/>
      <c r="CH7" s="5"/>
      <c r="CI7" s="5"/>
      <c r="CJ7" s="140"/>
      <c r="CK7" s="37"/>
      <c r="CL7" s="37"/>
      <c r="CM7" s="37"/>
      <c r="CN7" s="37"/>
      <c r="CO7" s="140"/>
      <c r="CP7" s="43"/>
      <c r="CQ7" s="5"/>
      <c r="CR7" s="5"/>
      <c r="CS7" s="140"/>
      <c r="CT7" s="37"/>
      <c r="CU7" s="37"/>
      <c r="CV7" s="37"/>
      <c r="CW7" s="37"/>
      <c r="CX7" s="140"/>
      <c r="CY7" s="43"/>
      <c r="CZ7" s="5"/>
      <c r="DA7" s="143"/>
      <c r="DB7" s="140"/>
      <c r="DC7" s="37"/>
      <c r="DD7" s="37"/>
      <c r="DE7" s="37"/>
      <c r="DF7" s="37"/>
      <c r="DG7" s="140"/>
      <c r="DH7" s="43"/>
      <c r="DI7" s="5"/>
      <c r="DJ7" s="5"/>
    </row>
    <row r="8" spans="1:114" x14ac:dyDescent="0.35">
      <c r="A8" s="9">
        <v>210420</v>
      </c>
      <c r="B8" s="9" t="s">
        <v>870</v>
      </c>
      <c r="C8" s="34" t="s">
        <v>299</v>
      </c>
      <c r="D8" s="5" t="s">
        <v>632</v>
      </c>
      <c r="E8" s="5" t="s">
        <v>625</v>
      </c>
      <c r="F8" s="6">
        <v>9355</v>
      </c>
      <c r="G8" s="141" t="s">
        <v>871</v>
      </c>
      <c r="H8" s="37">
        <v>20336501</v>
      </c>
      <c r="I8" s="37">
        <v>19140236</v>
      </c>
      <c r="J8" s="37"/>
      <c r="K8" s="37">
        <v>19140236</v>
      </c>
      <c r="L8" s="37">
        <f>I8-K8</f>
        <v>0</v>
      </c>
      <c r="M8" s="37"/>
      <c r="N8" s="37"/>
      <c r="O8" s="140">
        <v>0</v>
      </c>
      <c r="P8" s="142">
        <v>44564</v>
      </c>
      <c r="Q8" s="9" t="s">
        <v>284</v>
      </c>
      <c r="R8" s="42"/>
      <c r="S8" s="37">
        <v>20336501</v>
      </c>
      <c r="T8" s="39">
        <f>K8-S8</f>
        <v>-1196265</v>
      </c>
      <c r="U8" s="5"/>
      <c r="V8" s="140">
        <f>T8/K8</f>
        <v>-6.2500013061489945E-2</v>
      </c>
      <c r="W8" s="43">
        <v>44594</v>
      </c>
      <c r="X8" s="5" t="s">
        <v>284</v>
      </c>
      <c r="Y8" s="42"/>
      <c r="Z8" s="5"/>
      <c r="AA8" s="37">
        <v>20336501</v>
      </c>
      <c r="AB8" s="37">
        <f>S8-AA8</f>
        <v>0</v>
      </c>
      <c r="AC8" s="5"/>
      <c r="AD8" s="140">
        <v>0</v>
      </c>
      <c r="AE8" s="142">
        <v>44621</v>
      </c>
      <c r="AF8" s="5" t="s">
        <v>284</v>
      </c>
      <c r="AG8" s="42"/>
      <c r="AH8" s="140"/>
      <c r="AI8" s="37">
        <v>20336501</v>
      </c>
      <c r="AJ8" s="37">
        <f>AA8-AI8</f>
        <v>0</v>
      </c>
      <c r="AK8" s="37"/>
      <c r="AL8" s="37"/>
      <c r="AM8" s="140">
        <v>0</v>
      </c>
      <c r="AN8" s="43">
        <v>44655</v>
      </c>
      <c r="AO8" s="5" t="s">
        <v>284</v>
      </c>
      <c r="AP8" s="5"/>
      <c r="AQ8" s="40"/>
      <c r="AR8" s="37">
        <v>20336501</v>
      </c>
      <c r="AS8" s="37">
        <f>AI8-AR8</f>
        <v>0</v>
      </c>
      <c r="AT8" s="37"/>
      <c r="AU8" s="37"/>
      <c r="AV8" s="140">
        <v>0</v>
      </c>
      <c r="AW8" s="43">
        <v>44683</v>
      </c>
      <c r="AX8" s="5" t="s">
        <v>284</v>
      </c>
      <c r="AY8" s="5"/>
      <c r="AZ8" s="140"/>
      <c r="BA8" s="37">
        <v>20336501</v>
      </c>
      <c r="BB8" s="37">
        <f>AR8-BA8</f>
        <v>0</v>
      </c>
      <c r="BC8" s="37"/>
      <c r="BD8" s="37"/>
      <c r="BE8" s="140">
        <v>0</v>
      </c>
      <c r="BF8" s="43">
        <v>44713</v>
      </c>
      <c r="BG8" s="5" t="s">
        <v>284</v>
      </c>
      <c r="BH8" s="43">
        <v>44728</v>
      </c>
      <c r="BI8" s="140"/>
      <c r="BJ8" s="37">
        <v>20336501</v>
      </c>
      <c r="BK8" s="37">
        <f>BA8-BJ8</f>
        <v>0</v>
      </c>
      <c r="BL8" s="37"/>
      <c r="BM8" s="37"/>
      <c r="BN8" s="140">
        <v>0</v>
      </c>
      <c r="BO8" s="43">
        <v>44743</v>
      </c>
      <c r="BP8" s="5" t="s">
        <v>284</v>
      </c>
      <c r="BQ8" s="43">
        <v>44757</v>
      </c>
      <c r="BR8" s="140"/>
      <c r="BS8" s="37">
        <v>20336501</v>
      </c>
      <c r="BT8" s="37">
        <f>BJ8-BS8</f>
        <v>0</v>
      </c>
      <c r="BU8" s="37"/>
      <c r="BV8" s="37"/>
      <c r="BW8" s="140">
        <v>0</v>
      </c>
      <c r="BX8" s="43">
        <v>44774</v>
      </c>
      <c r="BY8" s="5" t="s">
        <v>284</v>
      </c>
      <c r="BZ8" s="5"/>
      <c r="CA8" s="140"/>
      <c r="CB8" s="37"/>
      <c r="CC8" s="37"/>
      <c r="CD8" s="37"/>
      <c r="CE8" s="37"/>
      <c r="CF8" s="140"/>
      <c r="CG8" s="43"/>
      <c r="CH8" s="5"/>
      <c r="CI8" s="5"/>
      <c r="CJ8" s="140"/>
      <c r="CK8" s="37"/>
      <c r="CL8" s="37"/>
      <c r="CM8" s="37"/>
      <c r="CN8" s="37"/>
      <c r="CO8" s="140"/>
      <c r="CP8" s="43"/>
      <c r="CQ8" s="5"/>
      <c r="CR8" s="5"/>
      <c r="CS8" s="140"/>
      <c r="CT8" s="37"/>
      <c r="CU8" s="37"/>
      <c r="CV8" s="37"/>
      <c r="CW8" s="37"/>
      <c r="CX8" s="140"/>
      <c r="CY8" s="43"/>
      <c r="CZ8" s="5"/>
      <c r="DA8" s="143"/>
      <c r="DB8" s="140"/>
      <c r="DC8" s="37"/>
      <c r="DD8" s="37"/>
      <c r="DE8" s="37"/>
      <c r="DF8" s="37"/>
      <c r="DG8" s="140"/>
      <c r="DH8" s="43"/>
      <c r="DI8" s="5"/>
      <c r="DJ8" s="5"/>
    </row>
    <row r="9" spans="1:114" x14ac:dyDescent="0.35">
      <c r="A9" s="9">
        <v>230440</v>
      </c>
      <c r="B9" s="9" t="s">
        <v>872</v>
      </c>
      <c r="C9" s="34" t="s">
        <v>303</v>
      </c>
      <c r="D9" s="5" t="s">
        <v>634</v>
      </c>
      <c r="E9" s="5" t="s">
        <v>635</v>
      </c>
      <c r="F9" s="6" t="s">
        <v>873</v>
      </c>
      <c r="G9" s="145">
        <v>830054539</v>
      </c>
      <c r="H9" s="589" t="s">
        <v>873</v>
      </c>
      <c r="I9" s="590"/>
      <c r="J9" s="37"/>
      <c r="K9" s="37">
        <f>177488+6056825</f>
        <v>6234313</v>
      </c>
      <c r="L9" s="37">
        <v>0</v>
      </c>
      <c r="M9" s="37"/>
      <c r="N9" s="37"/>
      <c r="O9" s="140">
        <v>0</v>
      </c>
      <c r="P9" s="142">
        <v>44587</v>
      </c>
      <c r="Q9" s="5" t="s">
        <v>284</v>
      </c>
      <c r="R9" s="42"/>
      <c r="S9" s="37">
        <v>2824188</v>
      </c>
      <c r="T9" s="37">
        <v>0</v>
      </c>
      <c r="U9" s="5"/>
      <c r="V9" s="140">
        <v>0</v>
      </c>
      <c r="W9" s="43">
        <v>44616</v>
      </c>
      <c r="X9" s="5" t="s">
        <v>284</v>
      </c>
      <c r="Y9" s="42"/>
      <c r="Z9" s="5"/>
      <c r="AA9" s="37">
        <v>719814</v>
      </c>
      <c r="AB9" s="37">
        <v>0</v>
      </c>
      <c r="AC9" s="5"/>
      <c r="AD9" s="140">
        <v>0</v>
      </c>
      <c r="AE9" s="43">
        <v>44643</v>
      </c>
      <c r="AF9" s="5" t="s">
        <v>284</v>
      </c>
      <c r="AG9" s="42"/>
      <c r="AH9" s="140"/>
      <c r="AI9" s="37">
        <v>1894911</v>
      </c>
      <c r="AJ9" s="37">
        <v>0</v>
      </c>
      <c r="AK9" s="37"/>
      <c r="AL9" s="37"/>
      <c r="AM9" s="140">
        <v>0</v>
      </c>
      <c r="AN9" s="142">
        <v>44672</v>
      </c>
      <c r="AO9" s="5" t="s">
        <v>284</v>
      </c>
      <c r="AP9" s="5"/>
      <c r="AQ9" s="40"/>
      <c r="AR9" s="37">
        <v>2266815</v>
      </c>
      <c r="AS9" s="37">
        <v>0</v>
      </c>
      <c r="AT9" s="37"/>
      <c r="AU9" s="37"/>
      <c r="AV9" s="140">
        <v>0</v>
      </c>
      <c r="AW9" s="43">
        <v>44704</v>
      </c>
      <c r="AX9" s="5" t="s">
        <v>284</v>
      </c>
      <c r="AY9" s="5"/>
      <c r="AZ9" s="591" t="s">
        <v>874</v>
      </c>
      <c r="BA9" s="592"/>
      <c r="BB9" s="592"/>
      <c r="BC9" s="592"/>
      <c r="BD9" s="592"/>
      <c r="BE9" s="592"/>
      <c r="BF9" s="592"/>
      <c r="BG9" s="592"/>
      <c r="BH9" s="593"/>
      <c r="BI9" s="591" t="s">
        <v>874</v>
      </c>
      <c r="BJ9" s="592"/>
      <c r="BK9" s="592"/>
      <c r="BL9" s="592"/>
      <c r="BM9" s="592"/>
      <c r="BN9" s="592"/>
      <c r="BO9" s="592"/>
      <c r="BP9" s="592"/>
      <c r="BQ9" s="593"/>
      <c r="BR9" s="140"/>
      <c r="BS9" s="37"/>
      <c r="BT9" s="37"/>
      <c r="BU9" s="37"/>
      <c r="BV9" s="37"/>
      <c r="BW9" s="140"/>
      <c r="BX9" s="43"/>
      <c r="BY9" s="5"/>
      <c r="BZ9" s="5"/>
      <c r="CA9" s="140"/>
      <c r="CB9" s="37"/>
      <c r="CC9" s="37"/>
      <c r="CD9" s="37"/>
      <c r="CE9" s="37"/>
      <c r="CF9" s="140"/>
      <c r="CG9" s="43"/>
      <c r="CH9" s="5"/>
      <c r="CI9" s="5"/>
      <c r="CJ9" s="591"/>
      <c r="CK9" s="592"/>
      <c r="CL9" s="592"/>
      <c r="CM9" s="592"/>
      <c r="CN9" s="592"/>
      <c r="CO9" s="592"/>
      <c r="CP9" s="592"/>
      <c r="CQ9" s="592"/>
      <c r="CR9" s="593"/>
      <c r="CS9" s="140"/>
      <c r="CT9" s="37"/>
      <c r="CU9" s="37"/>
      <c r="CV9" s="37"/>
      <c r="CW9" s="37"/>
      <c r="CX9" s="140"/>
      <c r="CY9" s="43"/>
      <c r="CZ9" s="5"/>
      <c r="DA9" s="143"/>
      <c r="DB9" s="140"/>
      <c r="DC9" s="37"/>
      <c r="DD9" s="37"/>
      <c r="DE9" s="37"/>
      <c r="DF9" s="37"/>
      <c r="DG9" s="140"/>
      <c r="DH9" s="43"/>
      <c r="DI9" s="5"/>
      <c r="DJ9" s="5"/>
    </row>
    <row r="10" spans="1:114" x14ac:dyDescent="0.35">
      <c r="A10" s="9">
        <v>230440</v>
      </c>
      <c r="B10" s="9" t="s">
        <v>636</v>
      </c>
      <c r="C10" s="34" t="s">
        <v>303</v>
      </c>
      <c r="D10" s="5" t="s">
        <v>634</v>
      </c>
      <c r="E10" s="5" t="s">
        <v>635</v>
      </c>
      <c r="F10" s="6">
        <v>9596</v>
      </c>
      <c r="G10" s="145">
        <v>830054539</v>
      </c>
      <c r="H10" s="37">
        <v>10008106</v>
      </c>
      <c r="I10" s="37">
        <v>9965819</v>
      </c>
      <c r="J10" s="37"/>
      <c r="K10" s="37">
        <v>10008106</v>
      </c>
      <c r="L10" s="37">
        <f>I10-K10</f>
        <v>-42287</v>
      </c>
      <c r="M10" s="37"/>
      <c r="N10" s="37"/>
      <c r="O10" s="140">
        <f>L10/I10</f>
        <v>-4.2432036945483356E-3</v>
      </c>
      <c r="P10" s="142">
        <v>44575</v>
      </c>
      <c r="Q10" s="5" t="s">
        <v>284</v>
      </c>
      <c r="R10" s="42"/>
      <c r="S10" s="37">
        <v>10008106</v>
      </c>
      <c r="T10" s="39">
        <f>K10-S10</f>
        <v>0</v>
      </c>
      <c r="U10" s="5"/>
      <c r="V10" s="140">
        <v>0</v>
      </c>
      <c r="W10" s="142">
        <v>44600</v>
      </c>
      <c r="X10" s="5" t="s">
        <v>284</v>
      </c>
      <c r="Y10" s="42"/>
      <c r="Z10" s="5"/>
      <c r="AA10" s="38">
        <v>10008106</v>
      </c>
      <c r="AB10" s="38">
        <f>S10-AA10</f>
        <v>0</v>
      </c>
      <c r="AC10" s="5"/>
      <c r="AD10" s="40">
        <v>0</v>
      </c>
      <c r="AE10" s="43">
        <v>44624</v>
      </c>
      <c r="AF10" s="5" t="s">
        <v>284</v>
      </c>
      <c r="AG10" s="5"/>
      <c r="AH10" s="5"/>
      <c r="AI10" s="57">
        <v>10008106</v>
      </c>
      <c r="AJ10" s="39">
        <f>AA10-AI10</f>
        <v>0</v>
      </c>
      <c r="AK10" s="5"/>
      <c r="AL10" s="5"/>
      <c r="AM10" s="67">
        <v>0</v>
      </c>
      <c r="AN10" s="43">
        <v>44657</v>
      </c>
      <c r="AO10" s="5" t="s">
        <v>284</v>
      </c>
      <c r="AP10" s="5"/>
      <c r="AQ10" s="5"/>
      <c r="AR10" s="57">
        <v>10008106</v>
      </c>
      <c r="AS10" s="57">
        <f>AI10-AR10</f>
        <v>0</v>
      </c>
      <c r="AT10" s="5"/>
      <c r="AU10" s="5"/>
      <c r="AV10" s="67">
        <v>0</v>
      </c>
      <c r="AW10" s="43">
        <v>44687</v>
      </c>
      <c r="AX10" s="5" t="s">
        <v>284</v>
      </c>
      <c r="AY10" s="5"/>
      <c r="AZ10" s="140"/>
      <c r="BA10" s="37">
        <v>10008106</v>
      </c>
      <c r="BB10" s="37">
        <f>AR10-BA10</f>
        <v>0</v>
      </c>
      <c r="BC10" s="37"/>
      <c r="BD10" s="37"/>
      <c r="BE10" s="140">
        <v>0</v>
      </c>
      <c r="BF10" s="43">
        <v>44721</v>
      </c>
      <c r="BG10" s="5" t="s">
        <v>284</v>
      </c>
      <c r="BH10" s="43">
        <v>44728</v>
      </c>
      <c r="BI10" s="5"/>
      <c r="BJ10" s="57">
        <v>10008106</v>
      </c>
      <c r="BK10" s="39">
        <f>BA10-BJ10</f>
        <v>0</v>
      </c>
      <c r="BL10" s="5"/>
      <c r="BM10" s="5"/>
      <c r="BN10" s="67">
        <v>0</v>
      </c>
      <c r="BO10" s="43">
        <v>44750</v>
      </c>
      <c r="BP10" s="5" t="s">
        <v>284</v>
      </c>
      <c r="BQ10" s="43">
        <v>44757</v>
      </c>
      <c r="BR10" s="5"/>
      <c r="BS10" s="57">
        <v>10008106</v>
      </c>
      <c r="BT10" s="39">
        <f>BJ10-BS10</f>
        <v>0</v>
      </c>
      <c r="BU10" s="5"/>
      <c r="BV10" s="5"/>
      <c r="BW10" s="67">
        <v>0</v>
      </c>
      <c r="BX10" s="43">
        <v>44778</v>
      </c>
      <c r="BY10" s="5" t="s">
        <v>284</v>
      </c>
      <c r="BZ10" s="5"/>
      <c r="CA10" s="140"/>
      <c r="CB10" s="37"/>
      <c r="CC10" s="37"/>
      <c r="CD10" s="37"/>
      <c r="CE10" s="37"/>
      <c r="CF10" s="140"/>
      <c r="CG10" s="43"/>
      <c r="CH10" s="5"/>
      <c r="CI10" s="5"/>
      <c r="CJ10" s="140"/>
      <c r="CK10" s="37"/>
      <c r="CL10" s="37"/>
      <c r="CM10" s="37"/>
      <c r="CN10" s="37"/>
      <c r="CO10" s="140"/>
      <c r="CP10" s="43"/>
      <c r="CQ10" s="5"/>
      <c r="CR10" s="5"/>
      <c r="CS10" s="140"/>
      <c r="CT10" s="37"/>
      <c r="CU10" s="37"/>
      <c r="CV10" s="37"/>
      <c r="CW10" s="37"/>
      <c r="CX10" s="140"/>
      <c r="CY10" s="43"/>
      <c r="CZ10" s="5"/>
      <c r="DA10" s="143"/>
      <c r="DB10" s="140"/>
      <c r="DC10" s="37"/>
      <c r="DD10" s="37"/>
      <c r="DE10" s="37"/>
      <c r="DF10" s="37"/>
      <c r="DG10" s="140"/>
      <c r="DH10" s="43"/>
      <c r="DI10" s="5"/>
      <c r="DJ10" s="5"/>
    </row>
    <row r="11" spans="1:114" x14ac:dyDescent="0.35">
      <c r="A11" s="9" t="s">
        <v>639</v>
      </c>
      <c r="B11" s="9" t="s">
        <v>640</v>
      </c>
      <c r="C11" s="34" t="s">
        <v>305</v>
      </c>
      <c r="D11" s="5" t="s">
        <v>637</v>
      </c>
      <c r="E11" s="5" t="s">
        <v>638</v>
      </c>
      <c r="F11" s="6" t="s">
        <v>207</v>
      </c>
      <c r="G11" s="141" t="s">
        <v>641</v>
      </c>
      <c r="H11" s="37">
        <v>14162516</v>
      </c>
      <c r="I11" s="37">
        <v>13408964</v>
      </c>
      <c r="J11" s="37"/>
      <c r="K11" s="37">
        <v>13408964</v>
      </c>
      <c r="L11" s="37">
        <f>I11-K11</f>
        <v>0</v>
      </c>
      <c r="M11" s="37"/>
      <c r="N11" s="37"/>
      <c r="O11" s="140">
        <v>0</v>
      </c>
      <c r="P11" s="43">
        <v>44567</v>
      </c>
      <c r="Q11" s="43" t="s">
        <v>284</v>
      </c>
      <c r="R11" s="42"/>
      <c r="S11" s="37">
        <f>13408964+77402</f>
        <v>13486366</v>
      </c>
      <c r="T11" s="39">
        <f>K11-S11</f>
        <v>-77402</v>
      </c>
      <c r="U11" s="5"/>
      <c r="V11" s="140">
        <v>0</v>
      </c>
      <c r="W11" s="142">
        <v>44606</v>
      </c>
      <c r="X11" s="5" t="s">
        <v>284</v>
      </c>
      <c r="Y11" s="42"/>
      <c r="Z11" s="5"/>
      <c r="AA11" s="38">
        <v>13408964</v>
      </c>
      <c r="AB11" s="38">
        <f>K11-AA11</f>
        <v>0</v>
      </c>
      <c r="AC11" s="5"/>
      <c r="AD11" s="40">
        <v>0</v>
      </c>
      <c r="AE11" s="51">
        <v>44622</v>
      </c>
      <c r="AF11" s="5" t="s">
        <v>284</v>
      </c>
      <c r="AG11" s="5"/>
      <c r="AH11" s="5"/>
      <c r="AI11" s="57">
        <v>13760622</v>
      </c>
      <c r="AJ11" s="39"/>
      <c r="AK11" s="39">
        <f>AA11-AI11</f>
        <v>-351658</v>
      </c>
      <c r="AL11" s="5"/>
      <c r="AM11" s="67">
        <f>AK11/AA11</f>
        <v>-2.6225590582538667E-2</v>
      </c>
      <c r="AN11" s="43">
        <v>44656</v>
      </c>
      <c r="AO11" s="5" t="s">
        <v>284</v>
      </c>
      <c r="AP11" s="5"/>
      <c r="AQ11" s="5"/>
      <c r="AR11" s="57">
        <f>14162516+108286</f>
        <v>14270802</v>
      </c>
      <c r="AS11" s="5"/>
      <c r="AT11" s="39">
        <f>AI11-AR11</f>
        <v>-510180</v>
      </c>
      <c r="AU11" s="5"/>
      <c r="AV11" s="67">
        <f>AT11/AI11</f>
        <v>-3.7075358948163828E-2</v>
      </c>
      <c r="AW11" s="43">
        <v>44693</v>
      </c>
      <c r="AX11" s="5" t="s">
        <v>284</v>
      </c>
      <c r="AY11" s="5"/>
      <c r="AZ11" s="5"/>
      <c r="BA11" s="57">
        <v>14162516</v>
      </c>
      <c r="BB11" s="39">
        <f>AR11-BA11</f>
        <v>108286</v>
      </c>
      <c r="BC11" s="5"/>
      <c r="BD11" s="5"/>
      <c r="BE11" s="67">
        <f>BB11/AR11</f>
        <v>7.5879407478290292E-3</v>
      </c>
      <c r="BF11" s="43">
        <v>44713</v>
      </c>
      <c r="BG11" s="5" t="s">
        <v>284</v>
      </c>
      <c r="BH11" s="43">
        <v>44728</v>
      </c>
      <c r="BI11" s="140"/>
      <c r="BJ11" s="37">
        <v>14162516</v>
      </c>
      <c r="BK11" s="37">
        <f>BA11-BJ11</f>
        <v>0</v>
      </c>
      <c r="BL11" s="37"/>
      <c r="BM11" s="37"/>
      <c r="BN11" s="140">
        <v>0</v>
      </c>
      <c r="BO11" s="43">
        <v>44743</v>
      </c>
      <c r="BP11" s="5" t="s">
        <v>284</v>
      </c>
      <c r="BQ11" s="43">
        <v>44757</v>
      </c>
      <c r="BR11" s="140"/>
      <c r="BS11" s="37">
        <v>14162516</v>
      </c>
      <c r="BT11" s="37">
        <f>BJ11-BS11</f>
        <v>0</v>
      </c>
      <c r="BU11" s="37"/>
      <c r="BV11" s="37"/>
      <c r="BW11" s="140">
        <v>0</v>
      </c>
      <c r="BX11" s="43">
        <v>44774</v>
      </c>
      <c r="BY11" s="5" t="s">
        <v>284</v>
      </c>
      <c r="CA11" s="140"/>
      <c r="CB11" s="37"/>
      <c r="CC11" s="37"/>
      <c r="CD11" s="37"/>
      <c r="CE11" s="37"/>
      <c r="CF11" s="140"/>
      <c r="CG11" s="43"/>
      <c r="CH11" s="5"/>
      <c r="CI11" s="5"/>
      <c r="CJ11" s="140"/>
      <c r="CK11" s="37"/>
      <c r="CL11" s="37"/>
      <c r="CM11" s="37"/>
      <c r="CN11" s="37"/>
      <c r="CO11" s="140"/>
      <c r="CP11" s="43"/>
      <c r="CQ11" s="5"/>
      <c r="CR11" s="5"/>
      <c r="CS11" s="140"/>
      <c r="CT11" s="37"/>
      <c r="CU11" s="37"/>
      <c r="CV11" s="37"/>
      <c r="CW11" s="37"/>
      <c r="CX11" s="140"/>
      <c r="CY11" s="43"/>
      <c r="CZ11" s="5"/>
      <c r="DA11" s="143"/>
      <c r="DB11" s="140"/>
      <c r="DC11" s="37"/>
      <c r="DD11" s="37"/>
      <c r="DE11" s="37"/>
      <c r="DF11" s="37"/>
      <c r="DG11" s="140"/>
      <c r="DH11" s="43"/>
      <c r="DI11" s="5"/>
      <c r="DJ11" s="5"/>
    </row>
    <row r="12" spans="1:114" x14ac:dyDescent="0.35">
      <c r="A12" s="9" t="s">
        <v>639</v>
      </c>
      <c r="B12" s="9" t="s">
        <v>640</v>
      </c>
      <c r="C12" s="34" t="s">
        <v>305</v>
      </c>
      <c r="D12" s="5" t="s">
        <v>637</v>
      </c>
      <c r="E12" s="5" t="s">
        <v>638</v>
      </c>
      <c r="F12" s="6" t="s">
        <v>873</v>
      </c>
      <c r="G12" s="141" t="s">
        <v>641</v>
      </c>
      <c r="H12" s="589" t="s">
        <v>873</v>
      </c>
      <c r="I12" s="590"/>
      <c r="J12" s="37"/>
      <c r="K12" s="37">
        <v>3887336</v>
      </c>
      <c r="L12" s="37">
        <v>0</v>
      </c>
      <c r="M12" s="37"/>
      <c r="N12" s="37"/>
      <c r="O12" s="140">
        <v>0</v>
      </c>
      <c r="P12" s="43">
        <v>44573</v>
      </c>
      <c r="Q12" s="43" t="s">
        <v>284</v>
      </c>
      <c r="R12" s="42"/>
      <c r="S12" s="37">
        <v>3570574</v>
      </c>
      <c r="T12" s="39">
        <v>0</v>
      </c>
      <c r="U12" s="5"/>
      <c r="V12" s="140">
        <v>0</v>
      </c>
      <c r="W12" s="43">
        <v>44603</v>
      </c>
      <c r="X12" s="5" t="s">
        <v>284</v>
      </c>
      <c r="Y12" s="42"/>
      <c r="Z12" s="597" t="s">
        <v>875</v>
      </c>
      <c r="AA12" s="598"/>
      <c r="AB12" s="598"/>
      <c r="AC12" s="598"/>
      <c r="AD12" s="598"/>
      <c r="AE12" s="598"/>
      <c r="AF12" s="598"/>
      <c r="AG12" s="599"/>
      <c r="AH12" s="140"/>
      <c r="AI12" s="37">
        <v>457074</v>
      </c>
      <c r="AJ12" s="37">
        <v>0</v>
      </c>
      <c r="AK12" s="37"/>
      <c r="AL12" s="37"/>
      <c r="AM12" s="140">
        <v>0</v>
      </c>
      <c r="AN12" s="43">
        <v>44662</v>
      </c>
      <c r="AO12" s="5" t="s">
        <v>284</v>
      </c>
      <c r="AP12" s="5"/>
      <c r="AQ12" s="40"/>
      <c r="AR12" s="37"/>
      <c r="AS12" s="37"/>
      <c r="AT12" s="37"/>
      <c r="AU12" s="37"/>
      <c r="AV12" s="140"/>
      <c r="AW12" s="43"/>
      <c r="AX12" s="5"/>
      <c r="AY12" s="5"/>
      <c r="AZ12" s="140"/>
      <c r="BA12" s="37">
        <v>1989923</v>
      </c>
      <c r="BB12" s="37">
        <v>0</v>
      </c>
      <c r="BC12" s="37"/>
      <c r="BD12" s="37"/>
      <c r="BE12" s="140">
        <v>0</v>
      </c>
      <c r="BF12" s="43">
        <v>44718</v>
      </c>
      <c r="BG12" s="5" t="s">
        <v>284</v>
      </c>
      <c r="BH12" s="43">
        <v>44728</v>
      </c>
      <c r="BI12" s="140"/>
      <c r="BJ12" s="37">
        <v>500133</v>
      </c>
      <c r="BK12" s="37">
        <v>0</v>
      </c>
      <c r="BL12" s="37"/>
      <c r="BM12" s="37"/>
      <c r="BN12" s="140">
        <v>0</v>
      </c>
      <c r="BO12" s="43">
        <v>44753</v>
      </c>
      <c r="BP12" s="5" t="s">
        <v>284</v>
      </c>
      <c r="BQ12" s="43">
        <v>44768</v>
      </c>
      <c r="BR12" s="140"/>
      <c r="BS12" s="37">
        <v>389101</v>
      </c>
      <c r="BT12" s="37">
        <v>0</v>
      </c>
      <c r="BU12" s="37"/>
      <c r="BV12" s="37"/>
      <c r="BW12" s="140">
        <v>0</v>
      </c>
      <c r="BX12" s="43">
        <v>44784</v>
      </c>
      <c r="BY12" s="5" t="s">
        <v>284</v>
      </c>
      <c r="BZ12" s="5"/>
      <c r="CA12" s="140"/>
      <c r="CB12" s="37"/>
      <c r="CC12" s="37"/>
      <c r="CD12" s="37"/>
      <c r="CE12" s="37"/>
      <c r="CF12" s="140"/>
      <c r="CG12" s="43"/>
      <c r="CH12" s="5"/>
      <c r="CI12" s="5"/>
      <c r="CJ12" s="140"/>
      <c r="CK12" s="37"/>
      <c r="CL12" s="37"/>
      <c r="CM12" s="37"/>
      <c r="CN12" s="37"/>
      <c r="CO12" s="140"/>
      <c r="CP12" s="43"/>
      <c r="CQ12" s="5"/>
      <c r="CR12" s="5"/>
      <c r="CS12" s="140"/>
      <c r="CT12" s="37"/>
      <c r="CU12" s="37"/>
      <c r="CV12" s="37"/>
      <c r="CW12" s="37"/>
      <c r="CX12" s="140"/>
      <c r="CY12" s="43"/>
      <c r="CZ12" s="5"/>
      <c r="DA12" s="143"/>
      <c r="DB12" s="140"/>
      <c r="DC12" s="37"/>
      <c r="DD12" s="37"/>
      <c r="DE12" s="37"/>
      <c r="DF12" s="37"/>
      <c r="DG12" s="140"/>
      <c r="DH12" s="43"/>
      <c r="DI12" s="5"/>
      <c r="DJ12" s="5"/>
    </row>
    <row r="13" spans="1:114" x14ac:dyDescent="0.35">
      <c r="A13" s="9">
        <v>209631</v>
      </c>
      <c r="B13" s="9" t="s">
        <v>648</v>
      </c>
      <c r="C13" s="34" t="s">
        <v>646</v>
      </c>
      <c r="D13" s="5" t="s">
        <v>647</v>
      </c>
      <c r="E13" s="5" t="s">
        <v>625</v>
      </c>
      <c r="F13" s="6">
        <v>9058</v>
      </c>
      <c r="G13" s="141" t="s">
        <v>649</v>
      </c>
      <c r="H13" s="37">
        <v>26104050</v>
      </c>
      <c r="I13" s="37">
        <v>24715050</v>
      </c>
      <c r="J13" s="37"/>
      <c r="K13" s="37">
        <v>24715050</v>
      </c>
      <c r="L13" s="37">
        <f>I13-K13</f>
        <v>0</v>
      </c>
      <c r="M13" s="37"/>
      <c r="N13" s="37"/>
      <c r="O13" s="140">
        <v>0</v>
      </c>
      <c r="P13" s="142">
        <v>44564</v>
      </c>
      <c r="Q13" s="9" t="s">
        <v>284</v>
      </c>
      <c r="R13" s="42"/>
      <c r="S13" s="37">
        <v>24715050</v>
      </c>
      <c r="T13" s="39">
        <f>K13-S13</f>
        <v>0</v>
      </c>
      <c r="U13" s="5"/>
      <c r="V13" s="140">
        <v>0</v>
      </c>
      <c r="W13" s="142">
        <v>44596</v>
      </c>
      <c r="X13" s="5" t="s">
        <v>284</v>
      </c>
      <c r="Y13" s="42"/>
      <c r="Z13" s="40"/>
      <c r="AA13" s="38">
        <v>24715050</v>
      </c>
      <c r="AB13" s="38">
        <f>S13-AA13</f>
        <v>0</v>
      </c>
      <c r="AC13" s="5"/>
      <c r="AD13" s="40">
        <v>0</v>
      </c>
      <c r="AE13" s="51">
        <v>44622</v>
      </c>
      <c r="AF13" s="5" t="s">
        <v>284</v>
      </c>
      <c r="AG13" s="42"/>
      <c r="AH13" s="140"/>
      <c r="AI13" s="37">
        <v>24715050</v>
      </c>
      <c r="AJ13" s="37">
        <f>AA13-AI13</f>
        <v>0</v>
      </c>
      <c r="AK13" s="37"/>
      <c r="AL13" s="37"/>
      <c r="AM13" s="140">
        <v>0</v>
      </c>
      <c r="AN13" s="43">
        <v>44656</v>
      </c>
      <c r="AO13" s="5" t="s">
        <v>284</v>
      </c>
      <c r="AP13" s="5"/>
      <c r="AQ13" s="40"/>
      <c r="AR13" s="37">
        <v>24715050</v>
      </c>
      <c r="AS13" s="37">
        <f>AI13-AR13</f>
        <v>0</v>
      </c>
      <c r="AT13" s="37"/>
      <c r="AU13" s="37"/>
      <c r="AV13" s="140">
        <v>0</v>
      </c>
      <c r="AW13" s="43">
        <v>44686</v>
      </c>
      <c r="AX13" s="5" t="s">
        <v>284</v>
      </c>
      <c r="AY13" s="5"/>
      <c r="AZ13" s="140"/>
      <c r="BA13" s="37">
        <v>26104050</v>
      </c>
      <c r="BB13" s="37"/>
      <c r="BC13" s="37">
        <f>AR13-BA13</f>
        <v>-1389000</v>
      </c>
      <c r="BD13" s="37">
        <v>26351200</v>
      </c>
      <c r="BE13" s="140">
        <f>BC13/AR13</f>
        <v>-5.6200574144094385E-2</v>
      </c>
      <c r="BF13" s="43">
        <v>44721</v>
      </c>
      <c r="BG13" s="5" t="s">
        <v>284</v>
      </c>
      <c r="BH13" s="43">
        <v>44728</v>
      </c>
      <c r="BI13" s="140"/>
      <c r="BJ13" s="37">
        <v>26104050</v>
      </c>
      <c r="BK13" s="37">
        <f>BA13-BJ13</f>
        <v>0</v>
      </c>
      <c r="BL13" s="37"/>
      <c r="BM13" s="37"/>
      <c r="BN13" s="140">
        <v>0</v>
      </c>
      <c r="BO13" s="43">
        <v>44747</v>
      </c>
      <c r="BP13" s="5" t="s">
        <v>284</v>
      </c>
      <c r="BQ13" s="43">
        <v>44757</v>
      </c>
      <c r="BR13" s="140"/>
      <c r="BS13" s="37">
        <v>26104050</v>
      </c>
      <c r="BT13" s="37">
        <f>BJ13-BS13</f>
        <v>0</v>
      </c>
      <c r="BU13" s="37"/>
      <c r="BV13" s="37"/>
      <c r="BW13" s="140">
        <v>0</v>
      </c>
      <c r="BX13" s="43">
        <v>44775</v>
      </c>
      <c r="BY13" s="5" t="s">
        <v>284</v>
      </c>
      <c r="BZ13" s="5"/>
      <c r="CA13" s="140"/>
      <c r="CB13" s="37"/>
      <c r="CC13" s="37"/>
      <c r="CD13" s="37"/>
      <c r="CE13" s="37"/>
      <c r="CF13" s="140"/>
      <c r="CG13" s="43"/>
      <c r="CH13" s="5"/>
      <c r="CI13" s="5"/>
      <c r="CJ13" s="140"/>
      <c r="CK13" s="37"/>
      <c r="CL13" s="37"/>
      <c r="CM13" s="37"/>
      <c r="CN13" s="37"/>
      <c r="CO13" s="140"/>
      <c r="CP13" s="43"/>
      <c r="CQ13" s="5"/>
      <c r="CR13" s="5"/>
      <c r="CS13" s="140"/>
      <c r="CT13" s="37"/>
      <c r="CU13" s="37"/>
      <c r="CV13" s="37"/>
      <c r="CW13" s="37"/>
      <c r="CX13" s="140"/>
      <c r="CY13" s="43"/>
      <c r="CZ13" s="5"/>
      <c r="DA13" s="143"/>
      <c r="DB13" s="140"/>
      <c r="DC13" s="37"/>
      <c r="DD13" s="37"/>
      <c r="DE13" s="37"/>
      <c r="DF13" s="37"/>
      <c r="DG13" s="140"/>
      <c r="DH13" s="43"/>
      <c r="DI13" s="5"/>
      <c r="DJ13" s="5"/>
    </row>
    <row r="14" spans="1:114" x14ac:dyDescent="0.35">
      <c r="A14" s="9">
        <v>210118</v>
      </c>
      <c r="B14" s="9" t="s">
        <v>35</v>
      </c>
      <c r="C14" s="34" t="s">
        <v>650</v>
      </c>
      <c r="D14" s="5" t="s">
        <v>651</v>
      </c>
      <c r="E14" s="5" t="s">
        <v>625</v>
      </c>
      <c r="F14" s="6">
        <v>9104</v>
      </c>
      <c r="G14" s="141" t="s">
        <v>652</v>
      </c>
      <c r="H14" s="37">
        <v>36967000</v>
      </c>
      <c r="I14" s="37">
        <v>36000000</v>
      </c>
      <c r="J14" s="37"/>
      <c r="K14" s="37">
        <v>45000000</v>
      </c>
      <c r="L14" s="37">
        <f>H14-K14</f>
        <v>-8033000</v>
      </c>
      <c r="M14" s="37"/>
      <c r="N14" s="37"/>
      <c r="O14" s="140">
        <v>0</v>
      </c>
      <c r="P14" s="43">
        <v>44566</v>
      </c>
      <c r="Q14" s="5" t="s">
        <v>284</v>
      </c>
      <c r="R14" s="42"/>
      <c r="S14" s="37">
        <v>37000000</v>
      </c>
      <c r="T14" s="39">
        <f>K14-S14</f>
        <v>8000000</v>
      </c>
      <c r="U14" s="5"/>
      <c r="V14" s="140">
        <f>T14/K14</f>
        <v>0.17777777777777778</v>
      </c>
      <c r="W14" s="142">
        <v>44620</v>
      </c>
      <c r="X14" s="5" t="s">
        <v>284</v>
      </c>
      <c r="Y14" s="42"/>
      <c r="Z14" s="146"/>
      <c r="AA14" s="38">
        <v>37000000</v>
      </c>
      <c r="AB14" s="38">
        <f>S14-AA14</f>
        <v>0</v>
      </c>
      <c r="AC14" s="5"/>
      <c r="AD14" s="40">
        <v>0</v>
      </c>
      <c r="AE14" s="51">
        <v>44621</v>
      </c>
      <c r="AF14" s="5" t="s">
        <v>284</v>
      </c>
      <c r="AG14" s="42"/>
      <c r="AH14" s="146"/>
      <c r="AI14" s="37">
        <v>35000000</v>
      </c>
      <c r="AJ14" s="37">
        <f>AA14-AI14</f>
        <v>2000000</v>
      </c>
      <c r="AK14" s="37"/>
      <c r="AL14" s="37"/>
      <c r="AM14" s="147">
        <f>AJ14/AA14</f>
        <v>5.4054054054054057E-2</v>
      </c>
      <c r="AN14" s="43">
        <v>44655</v>
      </c>
      <c r="AO14" s="5" t="s">
        <v>284</v>
      </c>
      <c r="AP14" s="5"/>
      <c r="AQ14" s="46"/>
      <c r="AR14" s="37">
        <v>35000000</v>
      </c>
      <c r="AS14" s="37">
        <f>AI14-AR14</f>
        <v>0</v>
      </c>
      <c r="AT14" s="37"/>
      <c r="AU14" s="37"/>
      <c r="AV14" s="140">
        <v>0</v>
      </c>
      <c r="AW14" s="43">
        <v>44683</v>
      </c>
      <c r="AX14" s="5" t="s">
        <v>284</v>
      </c>
      <c r="AY14" s="5"/>
      <c r="AZ14" s="147"/>
      <c r="BA14" s="37">
        <v>35000000</v>
      </c>
      <c r="BB14" s="37">
        <f>AR14-BA14</f>
        <v>0</v>
      </c>
      <c r="BC14" s="37"/>
      <c r="BD14" s="37"/>
      <c r="BE14" s="147">
        <v>0</v>
      </c>
      <c r="BF14" s="43">
        <v>44715</v>
      </c>
      <c r="BG14" s="5" t="s">
        <v>284</v>
      </c>
      <c r="BH14" s="43">
        <v>44728</v>
      </c>
      <c r="BI14" s="147"/>
      <c r="BJ14" s="37">
        <v>35000000</v>
      </c>
      <c r="BK14" s="37">
        <f>BA14-BJ14</f>
        <v>0</v>
      </c>
      <c r="BL14" s="37"/>
      <c r="BM14" s="37"/>
      <c r="BN14" s="147">
        <v>0</v>
      </c>
      <c r="BO14" s="43">
        <v>44747</v>
      </c>
      <c r="BP14" s="5" t="s">
        <v>284</v>
      </c>
      <c r="BQ14" s="43">
        <v>44757</v>
      </c>
      <c r="BR14" s="147"/>
      <c r="BS14" s="37">
        <v>36967000</v>
      </c>
      <c r="BT14" s="37"/>
      <c r="BU14" s="37">
        <f>BJ14-BS14</f>
        <v>-1967000</v>
      </c>
      <c r="BV14" s="37"/>
      <c r="BW14" s="147">
        <f>BU14/BJ14</f>
        <v>-5.62E-2</v>
      </c>
      <c r="BX14" s="43">
        <v>44774</v>
      </c>
      <c r="BY14" s="5" t="s">
        <v>284</v>
      </c>
      <c r="BZ14" s="5"/>
      <c r="CA14" s="147"/>
      <c r="CB14" s="37"/>
      <c r="CC14" s="37"/>
      <c r="CD14" s="37"/>
      <c r="CE14" s="37"/>
      <c r="CF14" s="147"/>
      <c r="CG14" s="43"/>
      <c r="CH14" s="5"/>
      <c r="CI14" s="5"/>
      <c r="CJ14" s="147"/>
      <c r="CK14" s="37"/>
      <c r="CL14" s="37"/>
      <c r="CM14" s="37"/>
      <c r="CN14" s="37"/>
      <c r="CO14" s="147"/>
      <c r="CP14" s="43"/>
      <c r="CQ14" s="5"/>
      <c r="CR14" s="5"/>
      <c r="CS14" s="140"/>
      <c r="CT14" s="37"/>
      <c r="CU14" s="37"/>
      <c r="CV14" s="37"/>
      <c r="CW14" s="37"/>
      <c r="CX14" s="147"/>
      <c r="CY14" s="43"/>
      <c r="CZ14" s="5"/>
      <c r="DA14" s="143"/>
      <c r="DB14" s="140"/>
      <c r="DC14" s="37"/>
      <c r="DD14" s="37"/>
      <c r="DE14" s="37"/>
      <c r="DF14" s="37"/>
      <c r="DG14" s="140"/>
      <c r="DH14" s="43"/>
      <c r="DI14" s="5"/>
      <c r="DJ14" s="5"/>
    </row>
    <row r="15" spans="1:114" x14ac:dyDescent="0.35">
      <c r="A15" s="9">
        <v>210301</v>
      </c>
      <c r="B15" s="9" t="s">
        <v>876</v>
      </c>
      <c r="C15" s="34" t="s">
        <v>877</v>
      </c>
      <c r="D15" s="5" t="s">
        <v>878</v>
      </c>
      <c r="E15" s="5" t="s">
        <v>625</v>
      </c>
      <c r="F15" s="6">
        <v>9177</v>
      </c>
      <c r="G15" s="141" t="s">
        <v>879</v>
      </c>
      <c r="H15" s="37">
        <v>10500000</v>
      </c>
      <c r="I15" s="37">
        <v>12056700</v>
      </c>
      <c r="J15" s="37"/>
      <c r="K15" s="37">
        <v>10500000</v>
      </c>
      <c r="L15" s="37"/>
      <c r="M15" s="37">
        <f>I15-K15</f>
        <v>1556700</v>
      </c>
      <c r="N15" s="37"/>
      <c r="O15" s="140">
        <f>M15/I15</f>
        <v>0.12911493194655255</v>
      </c>
      <c r="P15" s="43">
        <v>44572</v>
      </c>
      <c r="Q15" s="9" t="s">
        <v>284</v>
      </c>
      <c r="R15" s="42"/>
      <c r="S15" s="37">
        <v>10500000</v>
      </c>
      <c r="T15" s="39">
        <f>K15-S15</f>
        <v>0</v>
      </c>
      <c r="U15" s="5"/>
      <c r="V15" s="140">
        <f>T15/I15</f>
        <v>0</v>
      </c>
      <c r="W15" s="142">
        <v>44600</v>
      </c>
      <c r="X15" s="5" t="s">
        <v>284</v>
      </c>
      <c r="Y15" s="42"/>
      <c r="Z15" s="144"/>
      <c r="AA15" s="38">
        <v>10500000</v>
      </c>
      <c r="AB15" s="38">
        <f>AA15-S15</f>
        <v>0</v>
      </c>
      <c r="AC15" s="5"/>
      <c r="AD15" s="40">
        <v>0</v>
      </c>
      <c r="AE15" s="43">
        <v>44624</v>
      </c>
      <c r="AF15" s="5" t="s">
        <v>284</v>
      </c>
      <c r="AG15" s="5"/>
      <c r="AH15" s="144"/>
      <c r="AI15" s="37">
        <v>10500000</v>
      </c>
      <c r="AJ15" s="37">
        <f>AA15-AI15</f>
        <v>0</v>
      </c>
      <c r="AK15" s="37"/>
      <c r="AL15" s="37"/>
      <c r="AM15" s="140">
        <v>0</v>
      </c>
      <c r="AN15" s="43">
        <v>44657</v>
      </c>
      <c r="AO15" s="5" t="s">
        <v>284</v>
      </c>
      <c r="AP15" s="5"/>
      <c r="AQ15" s="40"/>
      <c r="AR15" s="37">
        <v>10500000</v>
      </c>
      <c r="AS15" s="37">
        <f>AI15-AR15</f>
        <v>0</v>
      </c>
      <c r="AT15" s="37"/>
      <c r="AU15" s="37"/>
      <c r="AV15" s="140">
        <v>0</v>
      </c>
      <c r="AW15" s="43">
        <v>44690</v>
      </c>
      <c r="AX15" s="5" t="s">
        <v>284</v>
      </c>
      <c r="AY15" s="5"/>
      <c r="AZ15" s="140"/>
      <c r="BA15" s="37">
        <v>10500000</v>
      </c>
      <c r="BB15" s="37">
        <f>AR15-BA15</f>
        <v>0</v>
      </c>
      <c r="BC15" s="37"/>
      <c r="BD15" s="37"/>
      <c r="BE15" s="140">
        <v>0</v>
      </c>
      <c r="BF15" s="43">
        <v>44718</v>
      </c>
      <c r="BG15" s="5" t="s">
        <v>284</v>
      </c>
      <c r="BH15" s="43">
        <v>44728</v>
      </c>
      <c r="BI15" s="140"/>
      <c r="BJ15" s="37">
        <v>10500000</v>
      </c>
      <c r="BK15" s="37">
        <f>BA15-BJ15</f>
        <v>0</v>
      </c>
      <c r="BL15" s="37"/>
      <c r="BM15" s="37"/>
      <c r="BN15" s="140">
        <v>0</v>
      </c>
      <c r="BO15" s="43">
        <v>44748</v>
      </c>
      <c r="BP15" s="5" t="s">
        <v>284</v>
      </c>
      <c r="BQ15" s="43">
        <v>44757</v>
      </c>
      <c r="BR15" s="140"/>
      <c r="BS15" s="37">
        <v>10500000</v>
      </c>
      <c r="BT15" s="37">
        <f>BJ15-BS15</f>
        <v>0</v>
      </c>
      <c r="BU15" s="37"/>
      <c r="BV15" s="37"/>
      <c r="BW15" s="140">
        <v>0</v>
      </c>
      <c r="BX15" s="43">
        <v>44778</v>
      </c>
      <c r="BY15" s="5" t="s">
        <v>284</v>
      </c>
      <c r="BZ15" s="5"/>
      <c r="CA15" s="140"/>
      <c r="CB15" s="37"/>
      <c r="CC15" s="37"/>
      <c r="CD15" s="37"/>
      <c r="CE15" s="37"/>
      <c r="CF15" s="140"/>
      <c r="CG15" s="43"/>
      <c r="CH15" s="5"/>
      <c r="CI15" s="5"/>
      <c r="CJ15" s="140"/>
      <c r="CK15" s="37"/>
      <c r="CL15" s="37"/>
      <c r="CM15" s="37"/>
      <c r="CN15" s="37"/>
      <c r="CO15" s="140"/>
      <c r="CP15" s="43"/>
      <c r="CQ15" s="5"/>
      <c r="CR15" s="5"/>
      <c r="CS15" s="140"/>
      <c r="CT15" s="37"/>
      <c r="CU15" s="37"/>
      <c r="CV15" s="37"/>
      <c r="CW15" s="37"/>
      <c r="CX15" s="140"/>
      <c r="CY15" s="43"/>
      <c r="CZ15" s="5"/>
      <c r="DA15" s="143"/>
      <c r="DB15" s="140"/>
      <c r="DC15" s="37"/>
      <c r="DD15" s="37"/>
      <c r="DE15" s="37"/>
      <c r="DF15" s="37"/>
      <c r="DG15" s="140"/>
      <c r="DH15" s="43"/>
      <c r="DI15" s="5"/>
      <c r="DJ15" s="5"/>
    </row>
    <row r="16" spans="1:114" x14ac:dyDescent="0.35">
      <c r="A16" s="9">
        <v>211510</v>
      </c>
      <c r="B16" s="9" t="s">
        <v>655</v>
      </c>
      <c r="C16" s="34" t="s">
        <v>653</v>
      </c>
      <c r="D16" s="5" t="s">
        <v>654</v>
      </c>
      <c r="E16" s="5" t="s">
        <v>625</v>
      </c>
      <c r="F16" s="6">
        <v>9302</v>
      </c>
      <c r="G16" s="148">
        <v>900536058</v>
      </c>
      <c r="H16" s="37">
        <v>7018710</v>
      </c>
      <c r="I16" s="37">
        <v>6953249</v>
      </c>
      <c r="J16" s="37"/>
      <c r="K16" s="37">
        <v>7018710</v>
      </c>
      <c r="L16" s="37"/>
      <c r="M16" s="37">
        <f>I16-K16</f>
        <v>-65461</v>
      </c>
      <c r="N16" s="37"/>
      <c r="O16" s="140">
        <f>M16/H16</f>
        <v>-9.3266426451584401E-3</v>
      </c>
      <c r="P16" s="142">
        <v>44200</v>
      </c>
      <c r="Q16" s="9" t="s">
        <v>284</v>
      </c>
      <c r="R16" s="42"/>
      <c r="S16" s="37">
        <v>7018710</v>
      </c>
      <c r="T16" s="39">
        <f>K16-S16</f>
        <v>0</v>
      </c>
      <c r="U16" s="5"/>
      <c r="V16" s="140">
        <v>0</v>
      </c>
      <c r="W16" s="43">
        <v>44594</v>
      </c>
      <c r="X16" s="5" t="s">
        <v>284</v>
      </c>
      <c r="Y16" s="42"/>
      <c r="Z16" s="5"/>
      <c r="AA16" s="38">
        <v>7018710</v>
      </c>
      <c r="AB16" s="38">
        <f>S16-AA16</f>
        <v>0</v>
      </c>
      <c r="AC16" s="5"/>
      <c r="AD16" s="40">
        <v>0</v>
      </c>
      <c r="AE16" s="51">
        <v>44621</v>
      </c>
      <c r="AF16" s="5" t="s">
        <v>284</v>
      </c>
      <c r="AG16" s="42"/>
      <c r="AH16" s="5"/>
      <c r="AI16" s="37">
        <v>7018710</v>
      </c>
      <c r="AJ16" s="37">
        <f>AA16-AI16</f>
        <v>0</v>
      </c>
      <c r="AK16" s="37"/>
      <c r="AL16" s="37"/>
      <c r="AM16" s="140">
        <v>0</v>
      </c>
      <c r="AN16" s="43">
        <v>44655</v>
      </c>
      <c r="AO16" s="5" t="s">
        <v>284</v>
      </c>
      <c r="AP16" s="5"/>
      <c r="AQ16" s="40"/>
      <c r="AR16" s="37">
        <v>7018710</v>
      </c>
      <c r="AS16" s="37">
        <f>AI16-AR16</f>
        <v>0</v>
      </c>
      <c r="AT16" s="37"/>
      <c r="AU16" s="37"/>
      <c r="AV16" s="140">
        <v>0</v>
      </c>
      <c r="AW16" s="43">
        <v>44683</v>
      </c>
      <c r="AX16" s="5" t="s">
        <v>284</v>
      </c>
      <c r="AY16" s="5"/>
      <c r="AZ16" s="140"/>
      <c r="BA16" s="37">
        <v>7018710</v>
      </c>
      <c r="BB16" s="37">
        <f>AR16-BA16</f>
        <v>0</v>
      </c>
      <c r="BC16" s="37"/>
      <c r="BD16" s="37"/>
      <c r="BE16" s="140">
        <v>0</v>
      </c>
      <c r="BF16" s="43">
        <v>44713</v>
      </c>
      <c r="BG16" s="5" t="s">
        <v>284</v>
      </c>
      <c r="BH16" s="43">
        <v>44728</v>
      </c>
      <c r="BI16" s="140"/>
      <c r="BJ16" s="37">
        <v>7018710</v>
      </c>
      <c r="BK16" s="37">
        <f>BA16-BJ16</f>
        <v>0</v>
      </c>
      <c r="BL16" s="37"/>
      <c r="BM16" s="37"/>
      <c r="BN16" s="140">
        <v>0</v>
      </c>
      <c r="BO16" s="43">
        <v>44743</v>
      </c>
      <c r="BP16" s="5" t="s">
        <v>284</v>
      </c>
      <c r="BQ16" s="43">
        <v>44757</v>
      </c>
      <c r="BR16" s="140"/>
      <c r="BS16" s="37">
        <v>7018710</v>
      </c>
      <c r="BT16" s="37">
        <f>BJ16-BS16</f>
        <v>0</v>
      </c>
      <c r="BU16" s="37"/>
      <c r="BV16" s="37"/>
      <c r="BW16" s="140">
        <v>0</v>
      </c>
      <c r="BX16" s="43">
        <v>44775</v>
      </c>
      <c r="BY16" s="5" t="s">
        <v>284</v>
      </c>
      <c r="BZ16" s="5"/>
      <c r="CA16" s="594"/>
      <c r="CB16" s="595"/>
      <c r="CC16" s="595"/>
      <c r="CD16" s="595"/>
      <c r="CE16" s="595"/>
      <c r="CF16" s="595"/>
      <c r="CG16" s="595"/>
      <c r="CH16" s="595"/>
      <c r="CI16" s="596"/>
      <c r="CJ16" s="140"/>
      <c r="CK16" s="37"/>
      <c r="CL16" s="37"/>
      <c r="CM16" s="37"/>
      <c r="CN16" s="37"/>
      <c r="CO16" s="140"/>
      <c r="CP16" s="43"/>
      <c r="CQ16" s="5"/>
      <c r="CR16" s="5"/>
      <c r="CS16" s="140"/>
      <c r="CT16" s="37"/>
      <c r="CU16" s="37"/>
      <c r="CV16" s="37"/>
      <c r="CW16" s="37"/>
      <c r="CX16" s="140"/>
      <c r="CY16" s="43"/>
      <c r="CZ16" s="5"/>
      <c r="DA16" s="143"/>
      <c r="DB16" s="140"/>
      <c r="DC16" s="37"/>
      <c r="DD16" s="37"/>
      <c r="DE16" s="37"/>
      <c r="DF16" s="37"/>
      <c r="DG16" s="140"/>
      <c r="DH16" s="43"/>
      <c r="DI16" s="5"/>
      <c r="DJ16" s="5"/>
    </row>
    <row r="17" spans="1:114" x14ac:dyDescent="0.35">
      <c r="A17" s="9">
        <v>217751</v>
      </c>
      <c r="B17" s="35" t="s">
        <v>328</v>
      </c>
      <c r="C17" s="34" t="s">
        <v>656</v>
      </c>
      <c r="D17" s="5" t="s">
        <v>657</v>
      </c>
      <c r="E17" s="47" t="s">
        <v>625</v>
      </c>
      <c r="F17" s="6">
        <v>9304</v>
      </c>
      <c r="G17" s="42" t="s">
        <v>329</v>
      </c>
      <c r="H17" s="37">
        <v>4632678</v>
      </c>
      <c r="I17" s="37">
        <v>8772350</v>
      </c>
      <c r="J17" s="37"/>
      <c r="K17" s="37">
        <v>4632678</v>
      </c>
      <c r="L17" s="37"/>
      <c r="M17" s="37">
        <v>-246503</v>
      </c>
      <c r="N17" s="37"/>
      <c r="O17" s="140">
        <f>M17/H17</f>
        <v>-5.3209612237241612E-2</v>
      </c>
      <c r="P17" s="43">
        <v>44574</v>
      </c>
      <c r="Q17" s="5" t="s">
        <v>284</v>
      </c>
      <c r="R17" s="42"/>
      <c r="S17" s="37">
        <v>4632678</v>
      </c>
      <c r="T17" s="39">
        <f>K17-S17</f>
        <v>0</v>
      </c>
      <c r="U17" s="5"/>
      <c r="V17" s="140">
        <v>0</v>
      </c>
      <c r="W17" s="142">
        <v>44600</v>
      </c>
      <c r="X17" s="5" t="s">
        <v>284</v>
      </c>
      <c r="Y17" s="42"/>
      <c r="Z17" s="5"/>
      <c r="AA17" s="38">
        <v>4632678</v>
      </c>
      <c r="AB17" s="38">
        <f>S17-AA17</f>
        <v>0</v>
      </c>
      <c r="AC17" s="5"/>
      <c r="AD17" s="40">
        <v>0</v>
      </c>
      <c r="AE17" s="142">
        <v>44627</v>
      </c>
      <c r="AF17" s="5" t="s">
        <v>284</v>
      </c>
      <c r="AG17" s="5"/>
      <c r="AH17" s="5"/>
      <c r="AI17" s="37">
        <v>4632678</v>
      </c>
      <c r="AJ17" s="37">
        <f>AA17-AI17</f>
        <v>0</v>
      </c>
      <c r="AK17" s="37"/>
      <c r="AL17" s="37"/>
      <c r="AM17" s="140">
        <v>0</v>
      </c>
      <c r="AN17" s="142">
        <v>44659</v>
      </c>
      <c r="AO17" s="5" t="s">
        <v>284</v>
      </c>
      <c r="AP17" s="5"/>
      <c r="AQ17" s="40"/>
      <c r="AR17" s="37">
        <v>4632678</v>
      </c>
      <c r="AS17" s="37">
        <f>AI17-AR17</f>
        <v>0</v>
      </c>
      <c r="AT17" s="37"/>
      <c r="AU17" s="37"/>
      <c r="AV17" s="140">
        <v>0</v>
      </c>
      <c r="AW17" s="43">
        <v>44687</v>
      </c>
      <c r="AX17" s="5" t="s">
        <v>284</v>
      </c>
      <c r="AY17" s="5"/>
      <c r="AZ17" s="140"/>
      <c r="BA17" s="37">
        <v>4632678</v>
      </c>
      <c r="BB17" s="37">
        <f>AR17-BA17</f>
        <v>0</v>
      </c>
      <c r="BC17" s="37"/>
      <c r="BD17" s="37"/>
      <c r="BE17" s="140">
        <v>0</v>
      </c>
      <c r="BF17" s="43">
        <v>44719</v>
      </c>
      <c r="BG17" s="5" t="s">
        <v>284</v>
      </c>
      <c r="BH17" s="43">
        <v>44728</v>
      </c>
      <c r="BI17" s="140"/>
      <c r="BJ17" s="37">
        <v>4632678</v>
      </c>
      <c r="BK17" s="37">
        <f>BA17-BJ17</f>
        <v>0</v>
      </c>
      <c r="BL17" s="37"/>
      <c r="BM17" s="37"/>
      <c r="BN17" s="140">
        <v>0</v>
      </c>
      <c r="BO17" s="43">
        <v>44750</v>
      </c>
      <c r="BP17" s="5" t="s">
        <v>284</v>
      </c>
      <c r="BQ17" s="43">
        <v>44768</v>
      </c>
      <c r="BR17" s="140"/>
      <c r="BS17" s="37">
        <v>4632678</v>
      </c>
      <c r="BT17" s="37">
        <f>BJ17-BS17</f>
        <v>0</v>
      </c>
      <c r="BU17" s="37"/>
      <c r="BV17" s="37"/>
      <c r="BW17" s="140">
        <v>0</v>
      </c>
      <c r="BX17" s="43">
        <v>44778</v>
      </c>
      <c r="BY17" s="5" t="s">
        <v>284</v>
      </c>
      <c r="BZ17" s="5"/>
      <c r="CA17" s="140"/>
      <c r="CB17" s="37"/>
      <c r="CC17" s="37"/>
      <c r="CD17" s="37"/>
      <c r="CE17" s="37"/>
      <c r="CF17" s="140"/>
      <c r="CG17" s="43"/>
      <c r="CH17" s="5"/>
      <c r="CI17" s="5"/>
      <c r="CJ17" s="140"/>
      <c r="CK17" s="37"/>
      <c r="CL17" s="37"/>
      <c r="CM17" s="37"/>
      <c r="CN17" s="37"/>
      <c r="CO17" s="140"/>
      <c r="CP17" s="43"/>
      <c r="CQ17" s="5"/>
      <c r="CR17" s="5"/>
      <c r="CS17" s="140"/>
      <c r="CT17" s="37"/>
      <c r="CU17" s="37"/>
      <c r="CV17" s="37"/>
      <c r="CW17" s="37"/>
      <c r="CX17" s="140"/>
      <c r="CY17" s="43"/>
      <c r="CZ17" s="5"/>
      <c r="DA17" s="143"/>
      <c r="DB17" s="140"/>
      <c r="DC17" s="37"/>
      <c r="DD17" s="37"/>
      <c r="DE17" s="37"/>
      <c r="DF17" s="37"/>
      <c r="DG17" s="140"/>
      <c r="DH17" s="43"/>
      <c r="DI17" s="5"/>
      <c r="DJ17" s="5"/>
    </row>
    <row r="18" spans="1:114" x14ac:dyDescent="0.35">
      <c r="A18" s="9">
        <v>238175</v>
      </c>
      <c r="B18" s="35" t="s">
        <v>328</v>
      </c>
      <c r="C18" s="34" t="s">
        <v>656</v>
      </c>
      <c r="D18" s="5" t="s">
        <v>657</v>
      </c>
      <c r="E18" s="47" t="s">
        <v>625</v>
      </c>
      <c r="F18" s="6" t="s">
        <v>873</v>
      </c>
      <c r="G18" s="42" t="s">
        <v>329</v>
      </c>
      <c r="H18" s="589" t="s">
        <v>873</v>
      </c>
      <c r="I18" s="590"/>
      <c r="J18" s="37"/>
      <c r="K18" s="37">
        <v>5037548</v>
      </c>
      <c r="L18" s="37">
        <v>0</v>
      </c>
      <c r="M18" s="37"/>
      <c r="N18" s="37"/>
      <c r="O18" s="140">
        <v>0</v>
      </c>
      <c r="P18" s="142">
        <v>44581</v>
      </c>
      <c r="Q18" s="5" t="s">
        <v>284</v>
      </c>
      <c r="R18" s="42"/>
      <c r="S18" s="37">
        <v>1023610</v>
      </c>
      <c r="T18" s="39">
        <v>0</v>
      </c>
      <c r="U18" s="5"/>
      <c r="V18" s="140">
        <v>0</v>
      </c>
      <c r="W18" s="142">
        <v>44609</v>
      </c>
      <c r="X18" s="5" t="s">
        <v>284</v>
      </c>
      <c r="Y18" s="42"/>
      <c r="Z18" s="597" t="s">
        <v>875</v>
      </c>
      <c r="AA18" s="598"/>
      <c r="AB18" s="598"/>
      <c r="AC18" s="598"/>
      <c r="AD18" s="598"/>
      <c r="AE18" s="598"/>
      <c r="AF18" s="598"/>
      <c r="AG18" s="599"/>
      <c r="AH18" s="5"/>
      <c r="AI18" s="57">
        <v>69205</v>
      </c>
      <c r="AJ18" s="57">
        <v>0</v>
      </c>
      <c r="AK18" s="5"/>
      <c r="AL18" s="5"/>
      <c r="AM18" s="67">
        <v>0</v>
      </c>
      <c r="AN18" s="43">
        <v>44670</v>
      </c>
      <c r="AO18" s="5" t="s">
        <v>284</v>
      </c>
      <c r="AP18" s="5"/>
      <c r="AQ18" s="5"/>
      <c r="AR18" s="57">
        <v>436699</v>
      </c>
      <c r="AS18" s="57">
        <v>0</v>
      </c>
      <c r="AT18" s="5"/>
      <c r="AU18" s="5"/>
      <c r="AV18" s="67">
        <v>0</v>
      </c>
      <c r="AW18" s="43">
        <v>44700</v>
      </c>
      <c r="AX18" s="5" t="s">
        <v>284</v>
      </c>
      <c r="AY18" s="5"/>
      <c r="AZ18" s="5"/>
      <c r="BA18" s="57">
        <v>1310584</v>
      </c>
      <c r="BB18" s="57">
        <v>0</v>
      </c>
      <c r="BC18" s="5"/>
      <c r="BD18" s="5"/>
      <c r="BE18" s="67">
        <v>0</v>
      </c>
      <c r="BF18" s="43">
        <v>44729</v>
      </c>
      <c r="BG18" s="5" t="s">
        <v>284</v>
      </c>
      <c r="BH18" s="43">
        <v>44753</v>
      </c>
      <c r="BI18" s="140"/>
      <c r="BJ18" s="37">
        <v>1427276</v>
      </c>
      <c r="BK18" s="37">
        <v>0</v>
      </c>
      <c r="BL18" s="37"/>
      <c r="BM18" s="37"/>
      <c r="BN18" s="140">
        <v>0</v>
      </c>
      <c r="BO18" s="43">
        <v>44761</v>
      </c>
      <c r="BP18" s="5" t="s">
        <v>284</v>
      </c>
      <c r="BQ18" s="43">
        <v>44769</v>
      </c>
      <c r="BR18" s="140"/>
      <c r="BS18" s="37">
        <v>3671591</v>
      </c>
      <c r="BT18" s="37">
        <v>0</v>
      </c>
      <c r="BU18" s="37"/>
      <c r="BV18" s="37"/>
      <c r="BW18" s="140">
        <v>0</v>
      </c>
      <c r="BX18" s="43">
        <v>44785</v>
      </c>
      <c r="BY18" s="5" t="s">
        <v>284</v>
      </c>
      <c r="BZ18" s="5"/>
      <c r="CA18" s="140"/>
      <c r="CB18" s="37"/>
      <c r="CC18" s="37"/>
      <c r="CD18" s="37"/>
      <c r="CE18" s="37"/>
      <c r="CF18" s="140"/>
      <c r="CG18" s="43"/>
      <c r="CH18" s="5"/>
      <c r="CI18" s="5"/>
      <c r="CJ18" s="140"/>
      <c r="CK18" s="37"/>
      <c r="CL18" s="37"/>
      <c r="CM18" s="37"/>
      <c r="CN18" s="37"/>
      <c r="CO18" s="140"/>
      <c r="CP18" s="43"/>
      <c r="CQ18" s="5"/>
      <c r="CR18" s="5"/>
      <c r="CS18" s="591"/>
      <c r="CT18" s="592"/>
      <c r="CU18" s="592"/>
      <c r="CV18" s="592"/>
      <c r="CW18" s="592"/>
      <c r="CX18" s="592"/>
      <c r="CY18" s="592"/>
      <c r="CZ18" s="592"/>
      <c r="DA18" s="593"/>
      <c r="DB18" s="140"/>
      <c r="DC18" s="37"/>
      <c r="DD18" s="37"/>
      <c r="DE18" s="37"/>
      <c r="DF18" s="37"/>
      <c r="DG18" s="140"/>
      <c r="DH18" s="43"/>
      <c r="DI18" s="5"/>
      <c r="DJ18" s="5"/>
    </row>
    <row r="19" spans="1:114" x14ac:dyDescent="0.35">
      <c r="A19" s="9">
        <v>204900</v>
      </c>
      <c r="B19" s="9" t="s">
        <v>880</v>
      </c>
      <c r="C19" s="34" t="s">
        <v>532</v>
      </c>
      <c r="D19" s="5" t="s">
        <v>881</v>
      </c>
      <c r="E19" s="5" t="s">
        <v>744</v>
      </c>
      <c r="F19" s="6">
        <v>6640</v>
      </c>
      <c r="G19" s="145" t="s">
        <v>745</v>
      </c>
      <c r="H19" s="37">
        <v>5032378</v>
      </c>
      <c r="I19" s="37">
        <v>5032378</v>
      </c>
      <c r="J19" s="37"/>
      <c r="K19" s="37">
        <v>5032378</v>
      </c>
      <c r="L19" s="37">
        <v>754856</v>
      </c>
      <c r="M19" s="37"/>
      <c r="N19" s="37"/>
      <c r="O19" s="140">
        <f>L19/K19</f>
        <v>0.1499998609007511</v>
      </c>
      <c r="P19" s="43">
        <v>44566</v>
      </c>
      <c r="Q19" s="5" t="s">
        <v>284</v>
      </c>
      <c r="R19" s="42"/>
      <c r="S19" s="37">
        <v>5032378</v>
      </c>
      <c r="T19" s="39">
        <v>754856</v>
      </c>
      <c r="U19" s="5"/>
      <c r="V19" s="140">
        <f>T19/S19</f>
        <v>0.1499998609007511</v>
      </c>
      <c r="W19" s="43">
        <v>44594</v>
      </c>
      <c r="X19" s="5" t="s">
        <v>284</v>
      </c>
      <c r="Y19" s="42"/>
      <c r="Z19" s="144"/>
      <c r="AA19" s="38">
        <v>5032378</v>
      </c>
      <c r="AB19" s="38">
        <v>754856</v>
      </c>
      <c r="AC19" s="5"/>
      <c r="AD19" s="40">
        <f>AB19/AA19</f>
        <v>0.1499998609007511</v>
      </c>
      <c r="AE19" s="51">
        <v>44634</v>
      </c>
      <c r="AF19" s="5" t="s">
        <v>284</v>
      </c>
      <c r="AG19" s="5"/>
      <c r="AH19" s="144">
        <v>0.15</v>
      </c>
      <c r="AI19" s="37">
        <v>5032378</v>
      </c>
      <c r="AJ19" s="37">
        <v>754856</v>
      </c>
      <c r="AK19" s="37"/>
      <c r="AL19" s="37"/>
      <c r="AM19" s="140">
        <f>AJ19/AI19</f>
        <v>0.1499998609007511</v>
      </c>
      <c r="AN19" s="43">
        <v>44657</v>
      </c>
      <c r="AO19" s="5" t="s">
        <v>284</v>
      </c>
      <c r="AP19" s="5"/>
      <c r="AQ19" s="40"/>
      <c r="AR19" s="37">
        <v>5032378</v>
      </c>
      <c r="AS19" s="37">
        <v>754856</v>
      </c>
      <c r="AT19" s="37"/>
      <c r="AU19" s="37"/>
      <c r="AV19" s="140">
        <f>AS19/AR19</f>
        <v>0.1499998609007511</v>
      </c>
      <c r="AW19" s="43">
        <v>44686</v>
      </c>
      <c r="AX19" s="5" t="s">
        <v>284</v>
      </c>
      <c r="AY19" s="5"/>
      <c r="AZ19" s="140"/>
      <c r="BA19" s="37">
        <v>5032378</v>
      </c>
      <c r="BB19" s="37">
        <v>754856</v>
      </c>
      <c r="BC19" s="37"/>
      <c r="BD19" s="37"/>
      <c r="BE19" s="140">
        <f>BB19/BA19</f>
        <v>0.1499998609007511</v>
      </c>
      <c r="BF19" s="43">
        <v>44725</v>
      </c>
      <c r="BG19" s="5" t="s">
        <v>284</v>
      </c>
      <c r="BH19" s="43">
        <v>44755</v>
      </c>
      <c r="BI19" s="140"/>
      <c r="BJ19" s="37">
        <v>5032378</v>
      </c>
      <c r="BK19" s="37">
        <v>754856</v>
      </c>
      <c r="BL19" s="37"/>
      <c r="BM19" s="37"/>
      <c r="BN19" s="140">
        <f>BK19/BJ19</f>
        <v>0.1499998609007511</v>
      </c>
      <c r="BO19" s="43">
        <v>44747</v>
      </c>
      <c r="BP19" s="5" t="s">
        <v>284</v>
      </c>
      <c r="BQ19" s="43">
        <v>44757</v>
      </c>
      <c r="BR19" s="140"/>
      <c r="BS19" s="37">
        <v>5032378</v>
      </c>
      <c r="BT19" s="37">
        <f>BJ19-BS19</f>
        <v>0</v>
      </c>
      <c r="BU19" s="37"/>
      <c r="BV19" s="37"/>
      <c r="BW19" s="140">
        <v>0</v>
      </c>
      <c r="BX19" s="43">
        <v>44781</v>
      </c>
      <c r="BY19" s="5" t="s">
        <v>284</v>
      </c>
      <c r="BZ19" s="5"/>
      <c r="CA19" s="140"/>
      <c r="CB19" s="37"/>
      <c r="CC19" s="37"/>
      <c r="CD19" s="37"/>
      <c r="CE19" s="37"/>
      <c r="CF19" s="140"/>
      <c r="CG19" s="43"/>
      <c r="CH19" s="5"/>
      <c r="CI19" s="5"/>
      <c r="CJ19" s="140"/>
      <c r="CK19" s="37"/>
      <c r="CL19" s="37"/>
      <c r="CM19" s="37"/>
      <c r="CN19" s="37"/>
      <c r="CO19" s="140"/>
      <c r="CP19" s="43"/>
      <c r="CQ19" s="5"/>
      <c r="CR19" s="5"/>
      <c r="CS19" s="140"/>
      <c r="CT19" s="37"/>
      <c r="CU19" s="37"/>
      <c r="CV19" s="37"/>
      <c r="CW19" s="37"/>
      <c r="CX19" s="140"/>
      <c r="CY19" s="43"/>
      <c r="CZ19" s="5"/>
      <c r="DA19" s="143"/>
      <c r="DB19" s="140"/>
      <c r="DC19" s="37"/>
      <c r="DD19" s="37"/>
      <c r="DE19" s="37"/>
      <c r="DF19" s="37"/>
      <c r="DG19" s="140"/>
      <c r="DH19" s="43"/>
      <c r="DI19" s="5"/>
      <c r="DJ19" s="5"/>
    </row>
    <row r="20" spans="1:114" x14ac:dyDescent="0.35">
      <c r="A20" s="9">
        <v>289666</v>
      </c>
      <c r="B20" s="9" t="s">
        <v>630</v>
      </c>
      <c r="C20" s="34" t="s">
        <v>882</v>
      </c>
      <c r="D20" s="5" t="s">
        <v>659</v>
      </c>
      <c r="E20" s="47" t="s">
        <v>625</v>
      </c>
      <c r="F20" s="6">
        <v>9303</v>
      </c>
      <c r="G20" s="145" t="s">
        <v>631</v>
      </c>
      <c r="H20" s="37">
        <v>9172113</v>
      </c>
      <c r="I20" s="37">
        <v>8684069</v>
      </c>
      <c r="J20" s="37"/>
      <c r="K20" s="37">
        <v>9172113</v>
      </c>
      <c r="L20" s="37"/>
      <c r="M20" s="37">
        <f>I20-K20</f>
        <v>-488044</v>
      </c>
      <c r="N20" s="37"/>
      <c r="O20" s="140">
        <f>M20/I20</f>
        <v>-5.6199921949031034E-2</v>
      </c>
      <c r="P20" s="43">
        <v>44574</v>
      </c>
      <c r="Q20" s="5" t="s">
        <v>284</v>
      </c>
      <c r="R20" s="42"/>
      <c r="S20" s="37">
        <v>9172113</v>
      </c>
      <c r="T20" s="39">
        <f>K20-S20</f>
        <v>0</v>
      </c>
      <c r="U20" s="37"/>
      <c r="V20" s="140">
        <v>0</v>
      </c>
      <c r="W20" s="142">
        <v>44600</v>
      </c>
      <c r="X20" s="5" t="s">
        <v>284</v>
      </c>
      <c r="Y20" s="42"/>
      <c r="Z20" s="5"/>
      <c r="AA20" s="38">
        <v>9172113</v>
      </c>
      <c r="AB20" s="38">
        <f>S20-AA20</f>
        <v>0</v>
      </c>
      <c r="AC20" s="5"/>
      <c r="AD20" s="40">
        <v>0</v>
      </c>
      <c r="AE20" s="142">
        <v>44628</v>
      </c>
      <c r="AF20" s="5" t="s">
        <v>284</v>
      </c>
      <c r="AG20" s="5"/>
      <c r="AH20" s="5"/>
      <c r="AI20" s="37">
        <v>9172113</v>
      </c>
      <c r="AJ20" s="37">
        <f>AA20-AI20</f>
        <v>0</v>
      </c>
      <c r="AK20" s="37"/>
      <c r="AL20" s="37"/>
      <c r="AM20" s="140">
        <v>0</v>
      </c>
      <c r="AN20" s="142">
        <v>44659</v>
      </c>
      <c r="AO20" s="5" t="s">
        <v>284</v>
      </c>
      <c r="AP20" s="5"/>
      <c r="AQ20" s="46"/>
      <c r="AR20" s="37">
        <v>9172113</v>
      </c>
      <c r="AS20" s="37">
        <f>AI20-AR20</f>
        <v>0</v>
      </c>
      <c r="AT20" s="37"/>
      <c r="AU20" s="37"/>
      <c r="AV20" s="140">
        <v>0</v>
      </c>
      <c r="AW20" s="43">
        <v>44687</v>
      </c>
      <c r="AX20" s="5" t="s">
        <v>284</v>
      </c>
      <c r="AY20" s="5"/>
      <c r="AZ20" s="140"/>
      <c r="BA20" s="37">
        <v>9172113</v>
      </c>
      <c r="BB20" s="37">
        <f>AR20-BA20</f>
        <v>0</v>
      </c>
      <c r="BC20" s="37"/>
      <c r="BD20" s="37"/>
      <c r="BE20" s="140">
        <v>0</v>
      </c>
      <c r="BF20" s="43">
        <v>44719</v>
      </c>
      <c r="BG20" s="5" t="s">
        <v>284</v>
      </c>
      <c r="BH20" s="43">
        <v>44728</v>
      </c>
      <c r="BI20" s="140"/>
      <c r="BJ20" s="37">
        <v>9172113</v>
      </c>
      <c r="BK20" s="37">
        <f>BA20-BJ20</f>
        <v>0</v>
      </c>
      <c r="BL20" s="37"/>
      <c r="BM20" s="37"/>
      <c r="BN20" s="140">
        <v>0</v>
      </c>
      <c r="BO20" s="43">
        <v>44750</v>
      </c>
      <c r="BP20" s="5" t="s">
        <v>284</v>
      </c>
      <c r="BQ20" s="43">
        <v>44768</v>
      </c>
      <c r="BR20" s="140"/>
      <c r="BS20" s="37">
        <v>9172113</v>
      </c>
      <c r="BT20" s="37">
        <f>BJ20-BS20</f>
        <v>0</v>
      </c>
      <c r="BU20" s="37"/>
      <c r="BV20" s="37"/>
      <c r="BW20" s="140">
        <v>0</v>
      </c>
      <c r="BX20" s="43">
        <v>44778</v>
      </c>
      <c r="BY20" s="5" t="s">
        <v>284</v>
      </c>
      <c r="BZ20" s="5"/>
      <c r="CA20" s="140"/>
      <c r="CB20" s="37"/>
      <c r="CC20" s="37"/>
      <c r="CD20" s="37"/>
      <c r="CE20" s="37"/>
      <c r="CF20" s="140"/>
      <c r="CG20" s="43"/>
      <c r="CH20" s="5"/>
      <c r="CI20" s="5"/>
      <c r="CJ20" s="140"/>
      <c r="CK20" s="37"/>
      <c r="CL20" s="37"/>
      <c r="CM20" s="37"/>
      <c r="CN20" s="37"/>
      <c r="CO20" s="140"/>
      <c r="CP20" s="43"/>
      <c r="CQ20" s="5"/>
      <c r="CR20" s="5"/>
      <c r="CS20" s="140"/>
      <c r="CT20" s="37"/>
      <c r="CU20" s="37"/>
      <c r="CV20" s="37"/>
      <c r="CW20" s="37"/>
      <c r="CX20" s="140"/>
      <c r="CY20" s="43"/>
      <c r="CZ20" s="5"/>
      <c r="DA20" s="143"/>
      <c r="DB20" s="140"/>
      <c r="DC20" s="37"/>
      <c r="DD20" s="37"/>
      <c r="DE20" s="37"/>
      <c r="DF20" s="37"/>
      <c r="DG20" s="140"/>
      <c r="DH20" s="43"/>
      <c r="DI20" s="5"/>
      <c r="DJ20" s="5"/>
    </row>
    <row r="21" spans="1:114" x14ac:dyDescent="0.35">
      <c r="A21" s="9">
        <v>205547</v>
      </c>
      <c r="B21" s="9" t="s">
        <v>662</v>
      </c>
      <c r="C21" s="34" t="s">
        <v>660</v>
      </c>
      <c r="D21" s="5" t="s">
        <v>661</v>
      </c>
      <c r="E21" s="47" t="s">
        <v>625</v>
      </c>
      <c r="F21" s="6">
        <v>9301</v>
      </c>
      <c r="G21" s="145">
        <v>830054539</v>
      </c>
      <c r="H21" s="149">
        <v>19782055</v>
      </c>
      <c r="I21" s="37">
        <v>30243463</v>
      </c>
      <c r="J21" s="37"/>
      <c r="K21" s="149">
        <f>19782055+518804</f>
        <v>20300859</v>
      </c>
      <c r="L21" s="37">
        <v>-1571400</v>
      </c>
      <c r="M21" s="37"/>
      <c r="N21" s="37"/>
      <c r="O21" s="140">
        <f>L21/H21</f>
        <v>-7.9435629918125292E-2</v>
      </c>
      <c r="P21" s="142">
        <v>44575</v>
      </c>
      <c r="Q21" s="5" t="s">
        <v>284</v>
      </c>
      <c r="R21" s="42"/>
      <c r="S21" s="37">
        <v>19782055</v>
      </c>
      <c r="T21" s="39">
        <f>K21-S21</f>
        <v>518804</v>
      </c>
      <c r="U21" s="5"/>
      <c r="V21" s="140">
        <f>T21/K21</f>
        <v>2.5555765891482719E-2</v>
      </c>
      <c r="W21" s="142">
        <v>44600</v>
      </c>
      <c r="X21" s="5" t="s">
        <v>284</v>
      </c>
      <c r="Y21" s="42"/>
      <c r="Z21" s="5"/>
      <c r="AA21" s="38">
        <f>19782055+327744</f>
        <v>20109799</v>
      </c>
      <c r="AB21" s="38">
        <f>S21-AA21</f>
        <v>-327744</v>
      </c>
      <c r="AC21" s="38"/>
      <c r="AD21" s="40">
        <f>AB21/S21</f>
        <v>-1.656774283561541E-2</v>
      </c>
      <c r="AE21" s="43">
        <v>44630</v>
      </c>
      <c r="AF21" s="5" t="s">
        <v>284</v>
      </c>
      <c r="AG21" s="42"/>
      <c r="AH21" s="5"/>
      <c r="AI21" s="57">
        <f>19782055+54710</f>
        <v>19836765</v>
      </c>
      <c r="AJ21" s="39">
        <f>S21-AI21</f>
        <v>-54710</v>
      </c>
      <c r="AK21" s="5"/>
      <c r="AL21" s="5"/>
      <c r="AM21" s="67">
        <v>0</v>
      </c>
      <c r="AN21" s="43">
        <v>44669</v>
      </c>
      <c r="AO21" s="5" t="s">
        <v>284</v>
      </c>
      <c r="AP21" s="5"/>
      <c r="AQ21" s="5"/>
      <c r="AR21" s="57">
        <f>19782055+826879</f>
        <v>20608934</v>
      </c>
      <c r="AS21" s="39">
        <f>S21-AR21</f>
        <v>-826879</v>
      </c>
      <c r="AT21" s="5"/>
      <c r="AU21" s="5"/>
      <c r="AV21" s="67">
        <v>0</v>
      </c>
      <c r="AW21" s="43">
        <v>44693</v>
      </c>
      <c r="AX21" s="5" t="s">
        <v>284</v>
      </c>
      <c r="AY21" s="5"/>
      <c r="AZ21" s="5"/>
      <c r="BA21" s="57">
        <v>19782055</v>
      </c>
      <c r="BB21" s="39">
        <f>S21-BA21</f>
        <v>0</v>
      </c>
      <c r="BC21" s="5"/>
      <c r="BD21" s="5"/>
      <c r="BE21" s="67">
        <v>0</v>
      </c>
      <c r="BF21" s="43">
        <v>44718</v>
      </c>
      <c r="BG21" s="5" t="s">
        <v>284</v>
      </c>
      <c r="BH21" s="43">
        <v>44728</v>
      </c>
      <c r="BI21" s="5"/>
      <c r="BJ21" s="57">
        <v>19782055</v>
      </c>
      <c r="BK21" s="57">
        <f>BA21-BJ21</f>
        <v>0</v>
      </c>
      <c r="BL21" s="5"/>
      <c r="BM21" s="5"/>
      <c r="BN21" s="67">
        <v>0</v>
      </c>
      <c r="BO21" s="43">
        <v>44750</v>
      </c>
      <c r="BP21" s="5" t="s">
        <v>284</v>
      </c>
      <c r="BQ21" s="43">
        <v>44768</v>
      </c>
      <c r="BR21" s="140"/>
      <c r="BS21" s="37">
        <v>19782055</v>
      </c>
      <c r="BT21" s="37">
        <f>BJ21-BS21</f>
        <v>0</v>
      </c>
      <c r="BU21" s="37"/>
      <c r="BV21" s="37"/>
      <c r="BW21" s="140">
        <v>0</v>
      </c>
      <c r="BX21" s="43">
        <v>44778</v>
      </c>
      <c r="BY21" s="5" t="s">
        <v>284</v>
      </c>
      <c r="BZ21" s="5"/>
      <c r="CA21" s="140"/>
      <c r="CB21" s="37"/>
      <c r="CC21" s="37"/>
      <c r="CD21" s="37"/>
      <c r="CE21" s="37"/>
      <c r="CF21" s="140"/>
      <c r="CG21" s="43"/>
      <c r="CH21" s="5"/>
      <c r="CI21" s="5"/>
      <c r="CJ21" s="140"/>
      <c r="CK21" s="37"/>
      <c r="CL21" s="37"/>
      <c r="CM21" s="37"/>
      <c r="CN21" s="37"/>
      <c r="CO21" s="140"/>
      <c r="CP21" s="43"/>
      <c r="CQ21" s="5"/>
      <c r="CR21" s="5"/>
      <c r="CS21" s="140"/>
      <c r="CT21" s="37"/>
      <c r="CU21" s="37"/>
      <c r="CV21" s="37"/>
      <c r="CW21" s="37"/>
      <c r="CX21" s="140"/>
      <c r="CY21" s="43"/>
      <c r="CZ21" s="5"/>
      <c r="DA21" s="143"/>
      <c r="DB21" s="140"/>
      <c r="DC21" s="37"/>
      <c r="DD21" s="37"/>
      <c r="DE21" s="37"/>
      <c r="DF21" s="37"/>
      <c r="DG21" s="140"/>
      <c r="DH21" s="43"/>
      <c r="DI21" s="5"/>
      <c r="DJ21" s="5"/>
    </row>
    <row r="22" spans="1:114" x14ac:dyDescent="0.35">
      <c r="A22" s="9">
        <v>205547</v>
      </c>
      <c r="B22" s="9" t="s">
        <v>662</v>
      </c>
      <c r="C22" s="34" t="s">
        <v>660</v>
      </c>
      <c r="D22" s="5" t="s">
        <v>661</v>
      </c>
      <c r="E22" s="47" t="s">
        <v>625</v>
      </c>
      <c r="F22" s="6" t="s">
        <v>873</v>
      </c>
      <c r="G22" s="145">
        <v>830054539</v>
      </c>
      <c r="H22" s="589" t="s">
        <v>873</v>
      </c>
      <c r="I22" s="590"/>
      <c r="J22" s="37"/>
      <c r="K22" s="149">
        <v>4635485</v>
      </c>
      <c r="L22" s="37">
        <v>0</v>
      </c>
      <c r="M22" s="37"/>
      <c r="N22" s="37"/>
      <c r="O22" s="140">
        <v>0</v>
      </c>
      <c r="P22" s="43">
        <v>44574</v>
      </c>
      <c r="Q22" s="5" t="s">
        <v>284</v>
      </c>
      <c r="R22" s="42"/>
      <c r="S22" s="37">
        <v>3632912</v>
      </c>
      <c r="T22" s="37">
        <v>0</v>
      </c>
      <c r="U22" s="5"/>
      <c r="V22" s="140">
        <v>0</v>
      </c>
      <c r="W22" s="43">
        <v>44613</v>
      </c>
      <c r="X22" s="5" t="s">
        <v>284</v>
      </c>
      <c r="Y22" s="42"/>
      <c r="Z22" s="597" t="s">
        <v>875</v>
      </c>
      <c r="AA22" s="598"/>
      <c r="AB22" s="598"/>
      <c r="AC22" s="598"/>
      <c r="AD22" s="598"/>
      <c r="AE22" s="598"/>
      <c r="AF22" s="598"/>
      <c r="AG22" s="599"/>
      <c r="AH22" s="5"/>
      <c r="AI22" s="37">
        <v>1816073</v>
      </c>
      <c r="AJ22" s="37">
        <v>0</v>
      </c>
      <c r="AK22" s="37"/>
      <c r="AL22" s="37"/>
      <c r="AM22" s="140">
        <v>0</v>
      </c>
      <c r="AN22" s="43">
        <v>44677</v>
      </c>
      <c r="AO22" s="5" t="s">
        <v>284</v>
      </c>
      <c r="AP22" s="5"/>
      <c r="AQ22" s="40"/>
      <c r="AR22" s="37">
        <v>3824383</v>
      </c>
      <c r="AS22" s="37">
        <v>0</v>
      </c>
      <c r="AT22" s="37"/>
      <c r="AU22" s="37"/>
      <c r="AV22" s="140">
        <v>0</v>
      </c>
      <c r="AW22" s="43">
        <v>44705</v>
      </c>
      <c r="AX22" s="5" t="s">
        <v>284</v>
      </c>
      <c r="AY22" s="5"/>
      <c r="AZ22" s="140"/>
      <c r="BA22" s="37">
        <v>12612589</v>
      </c>
      <c r="BB22" s="37">
        <v>0</v>
      </c>
      <c r="BC22" s="37"/>
      <c r="BD22" s="37"/>
      <c r="BE22" s="140">
        <v>0</v>
      </c>
      <c r="BF22" s="43">
        <v>44734</v>
      </c>
      <c r="BG22" s="5" t="s">
        <v>284</v>
      </c>
      <c r="BH22" s="43">
        <v>44757</v>
      </c>
      <c r="BI22" s="140"/>
      <c r="BJ22" s="37">
        <v>6572351</v>
      </c>
      <c r="BK22" s="37">
        <v>0</v>
      </c>
      <c r="BL22" s="37"/>
      <c r="BM22" s="37"/>
      <c r="BN22" s="140">
        <v>0</v>
      </c>
      <c r="BO22" s="43">
        <v>44761</v>
      </c>
      <c r="BP22" s="5" t="s">
        <v>284</v>
      </c>
      <c r="BQ22" s="43">
        <v>44770</v>
      </c>
      <c r="BR22" s="140"/>
      <c r="BS22" s="37"/>
      <c r="BT22" s="37"/>
      <c r="BU22" s="37"/>
      <c r="BV22" s="37"/>
      <c r="BW22" s="140"/>
      <c r="BX22" s="43"/>
      <c r="BY22" s="5"/>
      <c r="BZ22" s="5"/>
      <c r="CA22" s="140"/>
      <c r="CB22" s="37"/>
      <c r="CC22" s="37"/>
      <c r="CD22" s="37"/>
      <c r="CE22" s="37"/>
      <c r="CF22" s="140"/>
      <c r="CG22" s="43"/>
      <c r="CH22" s="5"/>
      <c r="CI22" s="5"/>
      <c r="CJ22" s="591"/>
      <c r="CK22" s="592"/>
      <c r="CL22" s="592"/>
      <c r="CM22" s="592"/>
      <c r="CN22" s="592"/>
      <c r="CO22" s="592"/>
      <c r="CP22" s="592"/>
      <c r="CQ22" s="592"/>
      <c r="CR22" s="593"/>
      <c r="CS22" s="591"/>
      <c r="CT22" s="592"/>
      <c r="CU22" s="592"/>
      <c r="CV22" s="592"/>
      <c r="CW22" s="592"/>
      <c r="CX22" s="592"/>
      <c r="CY22" s="592"/>
      <c r="CZ22" s="592"/>
      <c r="DA22" s="593"/>
      <c r="DB22" s="140"/>
      <c r="DC22" s="37"/>
      <c r="DD22" s="37"/>
      <c r="DE22" s="37"/>
      <c r="DF22" s="37"/>
      <c r="DG22" s="140"/>
      <c r="DH22" s="43"/>
      <c r="DI22" s="5"/>
      <c r="DJ22" s="5"/>
    </row>
    <row r="23" spans="1:114" x14ac:dyDescent="0.35">
      <c r="A23" s="9">
        <v>214089</v>
      </c>
      <c r="B23" s="9" t="s">
        <v>665</v>
      </c>
      <c r="C23" s="34" t="s">
        <v>883</v>
      </c>
      <c r="D23" s="5" t="s">
        <v>664</v>
      </c>
      <c r="E23" s="5" t="s">
        <v>625</v>
      </c>
      <c r="F23" s="6">
        <v>9305</v>
      </c>
      <c r="G23" s="141" t="s">
        <v>36</v>
      </c>
      <c r="H23" s="37">
        <v>10272861</v>
      </c>
      <c r="I23" s="37">
        <v>10272861</v>
      </c>
      <c r="J23" s="37"/>
      <c r="K23" s="37">
        <v>10272861</v>
      </c>
      <c r="L23" s="37">
        <f>I23-K23</f>
        <v>0</v>
      </c>
      <c r="M23" s="37"/>
      <c r="N23" s="37"/>
      <c r="O23" s="140">
        <v>0</v>
      </c>
      <c r="P23" s="142">
        <v>44564</v>
      </c>
      <c r="Q23" s="9" t="s">
        <v>284</v>
      </c>
      <c r="R23" s="42"/>
      <c r="S23" s="37">
        <v>10272861</v>
      </c>
      <c r="T23" s="39">
        <f>K23-S23</f>
        <v>0</v>
      </c>
      <c r="U23" s="37"/>
      <c r="V23" s="140">
        <v>0</v>
      </c>
      <c r="W23" s="43">
        <v>44594</v>
      </c>
      <c r="X23" s="5" t="s">
        <v>284</v>
      </c>
      <c r="Y23" s="42"/>
      <c r="Z23" s="5"/>
      <c r="AA23" s="38">
        <v>10272861</v>
      </c>
      <c r="AB23" s="38">
        <f>S23-AA23</f>
        <v>0</v>
      </c>
      <c r="AC23" s="5"/>
      <c r="AD23" s="40">
        <v>0</v>
      </c>
      <c r="AE23" s="51">
        <v>44621</v>
      </c>
      <c r="AF23" s="5" t="s">
        <v>284</v>
      </c>
      <c r="AG23" s="42"/>
      <c r="AH23" s="5"/>
      <c r="AI23" s="37">
        <f>9492535+1369715</f>
        <v>10862250</v>
      </c>
      <c r="AJ23" s="37">
        <f>AA23-AI23</f>
        <v>-589389</v>
      </c>
      <c r="AK23" s="37"/>
      <c r="AL23" s="37"/>
      <c r="AM23" s="140">
        <f>AJ23/AA23</f>
        <v>-5.7373403572772957E-2</v>
      </c>
      <c r="AN23" s="142">
        <v>44658</v>
      </c>
      <c r="AO23" s="5" t="s">
        <v>284</v>
      </c>
      <c r="AP23" s="5"/>
      <c r="AQ23" s="40"/>
      <c r="AR23" s="37">
        <v>10952925</v>
      </c>
      <c r="AS23" s="37"/>
      <c r="AT23" s="37">
        <f>AA23-AR23</f>
        <v>-680064</v>
      </c>
      <c r="AU23" s="37"/>
      <c r="AV23" s="140">
        <f>AT23/AA23</f>
        <v>-6.6200058581538282E-2</v>
      </c>
      <c r="AW23" s="43">
        <v>44686</v>
      </c>
      <c r="AX23" s="5" t="s">
        <v>284</v>
      </c>
      <c r="AY23" s="5"/>
      <c r="AZ23" s="140"/>
      <c r="BA23" s="37">
        <v>10952925</v>
      </c>
      <c r="BB23" s="37">
        <f>AR23-BA23</f>
        <v>0</v>
      </c>
      <c r="BC23" s="37"/>
      <c r="BD23" s="37"/>
      <c r="BE23" s="140">
        <v>0</v>
      </c>
      <c r="BF23" s="43">
        <v>44719</v>
      </c>
      <c r="BG23" s="5" t="s">
        <v>284</v>
      </c>
      <c r="BH23" s="43">
        <v>44728</v>
      </c>
      <c r="BI23" s="140"/>
      <c r="BJ23" s="37">
        <v>10952925</v>
      </c>
      <c r="BK23" s="37">
        <f>BA23-BJ23</f>
        <v>0</v>
      </c>
      <c r="BL23" s="37"/>
      <c r="BM23" s="37"/>
      <c r="BN23" s="140">
        <v>0</v>
      </c>
      <c r="BO23" s="43">
        <v>44743</v>
      </c>
      <c r="BP23" s="5" t="s">
        <v>284</v>
      </c>
      <c r="BQ23" s="43">
        <v>44757</v>
      </c>
      <c r="BR23" s="140"/>
      <c r="BS23" s="37">
        <v>10952925</v>
      </c>
      <c r="BT23" s="37">
        <f>BJ23-BS23</f>
        <v>0</v>
      </c>
      <c r="BU23" s="37"/>
      <c r="BV23" s="37"/>
      <c r="BW23" s="140">
        <v>0</v>
      </c>
      <c r="BX23" s="43">
        <v>44775</v>
      </c>
      <c r="BY23" s="5" t="s">
        <v>284</v>
      </c>
      <c r="BZ23" s="5"/>
      <c r="CA23" s="140"/>
      <c r="CB23" s="37"/>
      <c r="CC23" s="37"/>
      <c r="CD23" s="37"/>
      <c r="CE23" s="37"/>
      <c r="CF23" s="140"/>
      <c r="CG23" s="43"/>
      <c r="CH23" s="5"/>
      <c r="CI23" s="5"/>
      <c r="CJ23" s="140"/>
      <c r="CK23" s="37"/>
      <c r="CL23" s="37"/>
      <c r="CM23" s="37"/>
      <c r="CN23" s="37"/>
      <c r="CO23" s="140"/>
      <c r="CP23" s="43"/>
      <c r="CQ23" s="5"/>
      <c r="CR23" s="5"/>
      <c r="CS23" s="140"/>
      <c r="CT23" s="37"/>
      <c r="CU23" s="37"/>
      <c r="CV23" s="37"/>
      <c r="CW23" s="37"/>
      <c r="CX23" s="140"/>
      <c r="CY23" s="43"/>
      <c r="CZ23" s="5"/>
      <c r="DA23" s="143"/>
      <c r="DB23" s="140"/>
      <c r="DC23" s="37"/>
      <c r="DD23" s="37"/>
      <c r="DE23" s="37"/>
      <c r="DF23" s="37"/>
      <c r="DG23" s="140"/>
      <c r="DH23" s="43"/>
      <c r="DI23" s="5"/>
      <c r="DJ23" s="5"/>
    </row>
    <row r="24" spans="1:114" x14ac:dyDescent="0.35">
      <c r="A24" s="9">
        <v>208094</v>
      </c>
      <c r="B24" s="9" t="s">
        <v>884</v>
      </c>
      <c r="C24" s="34" t="s">
        <v>334</v>
      </c>
      <c r="D24" s="5" t="s">
        <v>672</v>
      </c>
      <c r="E24" s="5" t="s">
        <v>625</v>
      </c>
      <c r="F24" s="6" t="s">
        <v>873</v>
      </c>
      <c r="G24" s="145">
        <v>900699834</v>
      </c>
      <c r="H24" s="37">
        <v>17825586</v>
      </c>
      <c r="I24" s="5"/>
      <c r="J24" s="606" t="s">
        <v>875</v>
      </c>
      <c r="K24" s="607"/>
      <c r="L24" s="607"/>
      <c r="M24" s="607"/>
      <c r="N24" s="607"/>
      <c r="O24" s="607"/>
      <c r="P24" s="607"/>
      <c r="Q24" s="607"/>
      <c r="R24" s="608"/>
      <c r="S24" s="597" t="s">
        <v>875</v>
      </c>
      <c r="T24" s="598"/>
      <c r="U24" s="598"/>
      <c r="V24" s="598"/>
      <c r="W24" s="598"/>
      <c r="X24" s="598"/>
      <c r="Y24" s="599"/>
      <c r="Z24" s="597" t="s">
        <v>875</v>
      </c>
      <c r="AA24" s="598"/>
      <c r="AB24" s="598"/>
      <c r="AC24" s="598"/>
      <c r="AD24" s="598"/>
      <c r="AE24" s="598"/>
      <c r="AF24" s="598"/>
      <c r="AG24" s="599"/>
      <c r="AH24" s="597" t="s">
        <v>875</v>
      </c>
      <c r="AI24" s="598"/>
      <c r="AJ24" s="598"/>
      <c r="AK24" s="598"/>
      <c r="AL24" s="598"/>
      <c r="AM24" s="598"/>
      <c r="AN24" s="598"/>
      <c r="AO24" s="598"/>
      <c r="AP24" s="599"/>
      <c r="AQ24" s="597"/>
      <c r="AR24" s="598"/>
      <c r="AS24" s="598"/>
      <c r="AT24" s="598"/>
      <c r="AU24" s="598"/>
      <c r="AV24" s="598"/>
      <c r="AW24" s="598"/>
      <c r="AX24" s="598"/>
      <c r="AY24" s="599"/>
      <c r="AZ24" s="597"/>
      <c r="BA24" s="598"/>
      <c r="BB24" s="598"/>
      <c r="BC24" s="598"/>
      <c r="BD24" s="598"/>
      <c r="BE24" s="598"/>
      <c r="BF24" s="598"/>
      <c r="BG24" s="598"/>
      <c r="BH24" s="599"/>
      <c r="BI24" s="597"/>
      <c r="BJ24" s="598"/>
      <c r="BK24" s="598"/>
      <c r="BL24" s="598"/>
      <c r="BM24" s="598"/>
      <c r="BN24" s="598"/>
      <c r="BO24" s="598"/>
      <c r="BP24" s="598"/>
      <c r="BQ24" s="599"/>
      <c r="BR24" s="597"/>
      <c r="BS24" s="598"/>
      <c r="BT24" s="598"/>
      <c r="BU24" s="598"/>
      <c r="BV24" s="598"/>
      <c r="BW24" s="598"/>
      <c r="BX24" s="598"/>
      <c r="BY24" s="598"/>
      <c r="BZ24" s="599"/>
      <c r="CA24" s="140"/>
      <c r="CB24" s="37"/>
      <c r="CC24" s="37"/>
      <c r="CD24" s="37"/>
      <c r="CE24" s="37"/>
      <c r="CF24" s="140"/>
      <c r="CG24" s="43"/>
      <c r="CH24" s="5"/>
      <c r="CI24" s="5"/>
      <c r="CJ24" s="591"/>
      <c r="CK24" s="592"/>
      <c r="CL24" s="592"/>
      <c r="CM24" s="592"/>
      <c r="CN24" s="592"/>
      <c r="CO24" s="592"/>
      <c r="CP24" s="592"/>
      <c r="CQ24" s="592"/>
      <c r="CR24" s="593"/>
      <c r="CS24" s="591"/>
      <c r="CT24" s="592"/>
      <c r="CU24" s="592"/>
      <c r="CV24" s="592"/>
      <c r="CW24" s="592"/>
      <c r="CX24" s="592"/>
      <c r="CY24" s="592"/>
      <c r="CZ24" s="592"/>
      <c r="DA24" s="593"/>
      <c r="DB24" s="140"/>
      <c r="DC24" s="37"/>
      <c r="DD24" s="37"/>
      <c r="DE24" s="37"/>
      <c r="DF24" s="37"/>
      <c r="DG24" s="140"/>
      <c r="DH24" s="43"/>
      <c r="DI24" s="5"/>
      <c r="DJ24" s="5"/>
    </row>
    <row r="25" spans="1:114" ht="15" customHeight="1" x14ac:dyDescent="0.35">
      <c r="A25" s="9">
        <v>208094</v>
      </c>
      <c r="B25" s="9" t="s">
        <v>61</v>
      </c>
      <c r="C25" s="34" t="s">
        <v>334</v>
      </c>
      <c r="D25" s="5" t="s">
        <v>672</v>
      </c>
      <c r="E25" s="5" t="s">
        <v>625</v>
      </c>
      <c r="F25" s="6">
        <v>6553</v>
      </c>
      <c r="G25" s="145">
        <v>900699834</v>
      </c>
      <c r="H25" s="37">
        <v>25436450</v>
      </c>
      <c r="I25" s="37">
        <v>24097689</v>
      </c>
      <c r="J25" s="37"/>
      <c r="K25" s="37">
        <v>25436450</v>
      </c>
      <c r="L25" s="37">
        <f>I25-K25</f>
        <v>-1338761</v>
      </c>
      <c r="M25" s="37"/>
      <c r="N25" s="37"/>
      <c r="O25" s="140">
        <f>L25/K25</f>
        <v>-5.2631597569629408E-2</v>
      </c>
      <c r="P25" s="142">
        <v>44200</v>
      </c>
      <c r="Q25" s="9" t="s">
        <v>284</v>
      </c>
      <c r="R25" s="42"/>
      <c r="S25" s="37">
        <v>25436450</v>
      </c>
      <c r="T25" s="39">
        <f>K25-S25</f>
        <v>0</v>
      </c>
      <c r="U25" s="37"/>
      <c r="V25" s="140">
        <v>0</v>
      </c>
      <c r="W25" s="142">
        <v>44634</v>
      </c>
      <c r="X25" s="5" t="s">
        <v>284</v>
      </c>
      <c r="Y25" s="42"/>
      <c r="Z25" s="144"/>
      <c r="AA25" s="38">
        <v>25436450</v>
      </c>
      <c r="AB25" s="38">
        <f>K25-AA25</f>
        <v>0</v>
      </c>
      <c r="AC25" s="5"/>
      <c r="AD25" s="40">
        <v>0</v>
      </c>
      <c r="AE25" s="51">
        <v>44621</v>
      </c>
      <c r="AF25" s="5" t="s">
        <v>284</v>
      </c>
      <c r="AG25" s="42"/>
      <c r="AH25" s="144"/>
      <c r="AI25" s="37">
        <v>25436450</v>
      </c>
      <c r="AJ25" s="37">
        <f>AA25-AI25</f>
        <v>0</v>
      </c>
      <c r="AK25" s="37"/>
      <c r="AL25" s="37"/>
      <c r="AM25" s="140">
        <v>0</v>
      </c>
      <c r="AN25" s="43">
        <v>44656</v>
      </c>
      <c r="AO25" s="5" t="s">
        <v>284</v>
      </c>
      <c r="AP25" s="5"/>
      <c r="AQ25" s="40"/>
      <c r="AR25" s="37">
        <v>25436450</v>
      </c>
      <c r="AS25" s="37">
        <f>AI25-AR25</f>
        <v>0</v>
      </c>
      <c r="AT25" s="37"/>
      <c r="AU25" s="37"/>
      <c r="AV25" s="140">
        <v>0</v>
      </c>
      <c r="AW25" s="43">
        <v>44684</v>
      </c>
      <c r="AX25" s="5" t="s">
        <v>284</v>
      </c>
      <c r="AY25" s="5"/>
      <c r="AZ25" s="140"/>
      <c r="BA25" s="37">
        <v>25436450</v>
      </c>
      <c r="BB25" s="37">
        <f>AR25-BA25</f>
        <v>0</v>
      </c>
      <c r="BC25" s="37"/>
      <c r="BD25" s="37"/>
      <c r="BE25" s="140">
        <v>0</v>
      </c>
      <c r="BF25" s="43">
        <v>44713</v>
      </c>
      <c r="BG25" s="5" t="s">
        <v>284</v>
      </c>
      <c r="BH25" s="43">
        <v>44728</v>
      </c>
      <c r="BI25" s="140"/>
      <c r="BJ25" s="37">
        <v>25436450</v>
      </c>
      <c r="BK25" s="37">
        <f>BA25-BJ25</f>
        <v>0</v>
      </c>
      <c r="BL25" s="37"/>
      <c r="BM25" s="37"/>
      <c r="BN25" s="140">
        <v>0</v>
      </c>
      <c r="BO25" s="43">
        <v>44747</v>
      </c>
      <c r="BP25" s="5" t="s">
        <v>284</v>
      </c>
      <c r="BQ25" s="43">
        <v>44757</v>
      </c>
      <c r="BR25" s="140"/>
      <c r="BS25" s="37">
        <v>25436450</v>
      </c>
      <c r="BT25" s="37">
        <f>BJ25-BS25</f>
        <v>0</v>
      </c>
      <c r="BU25" s="37"/>
      <c r="BV25" s="37"/>
      <c r="BW25" s="140">
        <v>0</v>
      </c>
      <c r="BX25" s="43">
        <v>44774</v>
      </c>
      <c r="BY25" s="5" t="s">
        <v>284</v>
      </c>
      <c r="BZ25" s="5"/>
      <c r="CA25" s="140"/>
      <c r="CB25" s="37"/>
      <c r="CC25" s="37"/>
      <c r="CD25" s="37"/>
      <c r="CE25" s="37"/>
      <c r="CF25" s="140"/>
      <c r="CG25" s="43"/>
      <c r="CH25" s="5"/>
      <c r="CI25" s="5"/>
      <c r="CJ25" s="140"/>
      <c r="CK25" s="37"/>
      <c r="CL25" s="37"/>
      <c r="CM25" s="37"/>
      <c r="CN25" s="37"/>
      <c r="CO25" s="140"/>
      <c r="CP25" s="43"/>
      <c r="CQ25" s="5"/>
      <c r="CR25" s="5"/>
      <c r="CS25" s="140"/>
      <c r="CT25" s="37"/>
      <c r="CU25" s="37"/>
      <c r="CV25" s="37"/>
      <c r="CW25" s="37"/>
      <c r="CX25" s="140"/>
      <c r="CY25" s="43"/>
      <c r="CZ25" s="5"/>
      <c r="DA25" s="143"/>
      <c r="DB25" s="140"/>
      <c r="DC25" s="37"/>
      <c r="DD25" s="37"/>
      <c r="DE25" s="37"/>
      <c r="DF25" s="37"/>
      <c r="DG25" s="140"/>
      <c r="DH25" s="43"/>
      <c r="DI25" s="5"/>
      <c r="DJ25" s="5"/>
    </row>
    <row r="26" spans="1:114" ht="15" customHeight="1" x14ac:dyDescent="0.35">
      <c r="A26" s="9">
        <v>204532</v>
      </c>
      <c r="B26" s="9" t="s">
        <v>674</v>
      </c>
      <c r="C26" s="34" t="s">
        <v>336</v>
      </c>
      <c r="D26" s="5" t="s">
        <v>673</v>
      </c>
      <c r="E26" s="5" t="s">
        <v>643</v>
      </c>
      <c r="F26" s="6">
        <v>6554</v>
      </c>
      <c r="G26" s="145" t="s">
        <v>675</v>
      </c>
      <c r="H26" s="37">
        <v>21732293</v>
      </c>
      <c r="I26" s="37">
        <v>21732293</v>
      </c>
      <c r="J26" s="37"/>
      <c r="K26" s="37">
        <f>5759057+4998427+7062995+1303938+1303938+1303938</f>
        <v>21732293</v>
      </c>
      <c r="L26" s="37">
        <f>H26-K26</f>
        <v>0</v>
      </c>
      <c r="M26" s="37"/>
      <c r="N26" s="37"/>
      <c r="O26" s="140">
        <v>0</v>
      </c>
      <c r="P26" s="43">
        <v>44566</v>
      </c>
      <c r="Q26" s="5" t="s">
        <v>284</v>
      </c>
      <c r="R26" s="42"/>
      <c r="S26" s="37">
        <f>7062995+4998427+1303938+1303938+1303938+5759057</f>
        <v>21732293</v>
      </c>
      <c r="T26" s="39">
        <f>K26-S26</f>
        <v>0</v>
      </c>
      <c r="U26" s="5"/>
      <c r="V26" s="140">
        <v>0</v>
      </c>
      <c r="W26" s="43">
        <v>44594</v>
      </c>
      <c r="X26" s="5" t="s">
        <v>284</v>
      </c>
      <c r="Y26" s="42"/>
      <c r="Z26" s="5"/>
      <c r="AA26" s="38">
        <f>4998427+7062995+5759057+1303938+1303938+1303938</f>
        <v>21732293</v>
      </c>
      <c r="AB26" s="38">
        <f>S26-AA26</f>
        <v>0</v>
      </c>
      <c r="AC26" s="5"/>
      <c r="AD26" s="40">
        <f>AB26/S26</f>
        <v>0</v>
      </c>
      <c r="AE26" s="51">
        <v>44622</v>
      </c>
      <c r="AF26" s="5" t="s">
        <v>284</v>
      </c>
      <c r="AG26" s="5"/>
      <c r="AH26" s="144"/>
      <c r="AI26" s="37">
        <f>1303938+1303938+1303938+4998427+5759057+7062995</f>
        <v>21732293</v>
      </c>
      <c r="AJ26" s="37">
        <f>AA26-AI26</f>
        <v>0</v>
      </c>
      <c r="AK26" s="37"/>
      <c r="AL26" s="37"/>
      <c r="AM26" s="140">
        <v>0</v>
      </c>
      <c r="AN26" s="43">
        <v>44656</v>
      </c>
      <c r="AO26" s="5" t="s">
        <v>284</v>
      </c>
      <c r="AP26" s="5"/>
      <c r="AQ26" s="40"/>
      <c r="AR26" s="37">
        <f>7062995+5759057+1303938+1303938+1303938+4998427</f>
        <v>21732293</v>
      </c>
      <c r="AS26" s="37">
        <f>AI26-AR26</f>
        <v>0</v>
      </c>
      <c r="AT26" s="37"/>
      <c r="AU26" s="37"/>
      <c r="AV26" s="140">
        <v>0</v>
      </c>
      <c r="AW26" s="43">
        <v>44683</v>
      </c>
      <c r="AX26" s="5" t="s">
        <v>284</v>
      </c>
      <c r="AY26" s="5"/>
      <c r="AZ26" s="140"/>
      <c r="BA26" s="37">
        <f>5759057+7062995+4998427+1303938+1303938+1303938</f>
        <v>21732293</v>
      </c>
      <c r="BB26" s="37">
        <f>AR26-BA26</f>
        <v>0</v>
      </c>
      <c r="BC26" s="37"/>
      <c r="BD26" s="37"/>
      <c r="BE26" s="140">
        <v>0</v>
      </c>
      <c r="BF26" s="43">
        <v>44715</v>
      </c>
      <c r="BG26" s="5" t="s">
        <v>284</v>
      </c>
      <c r="BH26" s="43">
        <v>44728</v>
      </c>
      <c r="BI26" s="140"/>
      <c r="BJ26" s="37">
        <f>5759057+7062995+1303938+4998427+1303938+1303938</f>
        <v>21732293</v>
      </c>
      <c r="BK26" s="37">
        <f>BA26-BJ26</f>
        <v>0</v>
      </c>
      <c r="BL26" s="37"/>
      <c r="BM26" s="37"/>
      <c r="BN26" s="140">
        <v>0</v>
      </c>
      <c r="BO26" s="43">
        <v>44747</v>
      </c>
      <c r="BP26" s="5" t="s">
        <v>284</v>
      </c>
      <c r="BQ26" s="43">
        <v>44757</v>
      </c>
      <c r="BR26" s="140"/>
      <c r="BS26" s="37">
        <f>5759057+7062995+4998427+1303938+1303938+1303938</f>
        <v>21732293</v>
      </c>
      <c r="BT26" s="37">
        <f>BJ26-BS26</f>
        <v>0</v>
      </c>
      <c r="BU26" s="37"/>
      <c r="BV26" s="37"/>
      <c r="BW26" s="140">
        <v>0</v>
      </c>
      <c r="BX26" s="43">
        <v>44777</v>
      </c>
      <c r="BY26" s="5" t="s">
        <v>284</v>
      </c>
      <c r="BZ26" s="5"/>
      <c r="CA26" s="140"/>
      <c r="CB26" s="37"/>
      <c r="CC26" s="37"/>
      <c r="CD26" s="37"/>
      <c r="CE26" s="37"/>
      <c r="CF26" s="140"/>
      <c r="CG26" s="43"/>
      <c r="CH26" s="5"/>
      <c r="CI26" s="5"/>
      <c r="CJ26" s="140"/>
      <c r="CK26" s="37"/>
      <c r="CL26" s="37"/>
      <c r="CM26" s="37"/>
      <c r="CN26" s="37"/>
      <c r="CO26" s="140"/>
      <c r="CP26" s="43"/>
      <c r="CQ26" s="5"/>
      <c r="CR26" s="5"/>
      <c r="CS26" s="140"/>
      <c r="CT26" s="37"/>
      <c r="CU26" s="37"/>
      <c r="CV26" s="37"/>
      <c r="CW26" s="37"/>
      <c r="CX26" s="140"/>
      <c r="CY26" s="43"/>
      <c r="CZ26" s="5"/>
      <c r="DA26" s="143"/>
      <c r="DB26" s="140"/>
      <c r="DC26" s="37"/>
      <c r="DD26" s="37"/>
      <c r="DE26" s="37"/>
      <c r="DF26" s="37"/>
      <c r="DG26" s="140"/>
      <c r="DH26" s="43"/>
      <c r="DI26" s="5"/>
      <c r="DJ26" s="5"/>
    </row>
    <row r="27" spans="1:114" ht="15" customHeight="1" x14ac:dyDescent="0.35">
      <c r="A27" s="150">
        <v>204535</v>
      </c>
      <c r="B27" s="150" t="s">
        <v>678</v>
      </c>
      <c r="C27" s="151" t="s">
        <v>339</v>
      </c>
      <c r="D27" s="152" t="s">
        <v>676</v>
      </c>
      <c r="E27" s="152" t="s">
        <v>677</v>
      </c>
      <c r="F27" s="153">
        <v>6556</v>
      </c>
      <c r="G27" s="154" t="s">
        <v>679</v>
      </c>
      <c r="H27" s="155">
        <v>8866120</v>
      </c>
      <c r="I27" s="155">
        <v>8866120</v>
      </c>
      <c r="J27" s="155"/>
      <c r="K27" s="155">
        <v>8866120</v>
      </c>
      <c r="L27" s="155">
        <v>1773224</v>
      </c>
      <c r="M27" s="155"/>
      <c r="N27" s="155"/>
      <c r="O27" s="156">
        <f>L27/K27</f>
        <v>0.2</v>
      </c>
      <c r="P27" s="43">
        <v>44566</v>
      </c>
      <c r="Q27" s="5" t="s">
        <v>284</v>
      </c>
      <c r="R27" s="42"/>
      <c r="S27" s="155">
        <v>8866120</v>
      </c>
      <c r="T27" s="157">
        <v>1773224</v>
      </c>
      <c r="U27" s="155">
        <v>8866120</v>
      </c>
      <c r="V27" s="156">
        <f>T27/S27</f>
        <v>0.2</v>
      </c>
      <c r="W27" s="43">
        <v>44610</v>
      </c>
      <c r="X27" s="5" t="s">
        <v>284</v>
      </c>
      <c r="Y27" s="158"/>
      <c r="Z27" s="159"/>
      <c r="AA27" s="38">
        <v>8866120</v>
      </c>
      <c r="AB27" s="38">
        <v>1773224</v>
      </c>
      <c r="AC27" s="5"/>
      <c r="AD27" s="40">
        <f>AB27/AA27</f>
        <v>0.2</v>
      </c>
      <c r="AE27" s="51">
        <v>44621</v>
      </c>
      <c r="AF27" s="5" t="s">
        <v>284</v>
      </c>
      <c r="AG27" s="42"/>
      <c r="AH27" s="144"/>
      <c r="AI27" s="37">
        <v>8866120</v>
      </c>
      <c r="AJ27" s="37">
        <v>1773324</v>
      </c>
      <c r="AK27" s="37"/>
      <c r="AL27" s="37"/>
      <c r="AM27" s="140">
        <f>AJ27/AI27</f>
        <v>0.200011278890879</v>
      </c>
      <c r="AN27" s="43">
        <v>44655</v>
      </c>
      <c r="AO27" s="5" t="s">
        <v>284</v>
      </c>
      <c r="AP27" s="5"/>
      <c r="AQ27" s="40"/>
      <c r="AR27" s="37">
        <v>8866120</v>
      </c>
      <c r="AS27" s="37">
        <v>1773224</v>
      </c>
      <c r="AT27" s="37"/>
      <c r="AU27" s="37"/>
      <c r="AV27" s="140">
        <f>AS27/AR27</f>
        <v>0.2</v>
      </c>
      <c r="AW27" s="43">
        <v>44683</v>
      </c>
      <c r="AX27" s="5" t="s">
        <v>284</v>
      </c>
      <c r="AY27" s="5"/>
      <c r="AZ27" s="140"/>
      <c r="BA27" s="37">
        <v>8866120</v>
      </c>
      <c r="BB27" s="37">
        <v>1773224</v>
      </c>
      <c r="BC27" s="37"/>
      <c r="BD27" s="37"/>
      <c r="BE27" s="140">
        <f>BB27/BA27</f>
        <v>0.2</v>
      </c>
      <c r="BF27" s="43">
        <v>44713</v>
      </c>
      <c r="BG27" s="5" t="s">
        <v>284</v>
      </c>
      <c r="BH27" s="43">
        <v>44728</v>
      </c>
      <c r="BI27" s="140"/>
      <c r="BJ27" s="37">
        <v>8866120</v>
      </c>
      <c r="BK27" s="37">
        <v>1773224</v>
      </c>
      <c r="BL27" s="37"/>
      <c r="BM27" s="37"/>
      <c r="BN27" s="140">
        <f>BK27/BJ27</f>
        <v>0.2</v>
      </c>
      <c r="BO27" s="43">
        <v>44743</v>
      </c>
      <c r="BP27" s="5" t="s">
        <v>284</v>
      </c>
      <c r="BQ27" s="43">
        <v>44757</v>
      </c>
      <c r="BR27" s="140"/>
      <c r="BS27" s="37">
        <v>8866120</v>
      </c>
      <c r="BT27" s="37">
        <v>1773224</v>
      </c>
      <c r="BU27" s="37"/>
      <c r="BV27" s="37"/>
      <c r="BW27" s="140">
        <f>BT27/BS27</f>
        <v>0.2</v>
      </c>
      <c r="BX27" s="43">
        <v>44774</v>
      </c>
      <c r="BY27" s="5" t="s">
        <v>284</v>
      </c>
      <c r="BZ27" s="5"/>
      <c r="CA27" s="140"/>
      <c r="CB27" s="37"/>
      <c r="CC27" s="37"/>
      <c r="CD27" s="37"/>
      <c r="CE27" s="37"/>
      <c r="CF27" s="140"/>
      <c r="CG27" s="43"/>
      <c r="CH27" s="5"/>
      <c r="CI27" s="5"/>
      <c r="CJ27" s="140"/>
      <c r="CK27" s="37"/>
      <c r="CL27" s="37"/>
      <c r="CM27" s="37"/>
      <c r="CN27" s="37"/>
      <c r="CO27" s="140"/>
      <c r="CP27" s="43"/>
      <c r="CQ27" s="5"/>
      <c r="CR27" s="5"/>
      <c r="CS27" s="140"/>
      <c r="CT27" s="37"/>
      <c r="CU27" s="37"/>
      <c r="CV27" s="37"/>
      <c r="CW27" s="37"/>
      <c r="CX27" s="140"/>
      <c r="CY27" s="43"/>
      <c r="CZ27" s="5"/>
      <c r="DA27" s="143"/>
      <c r="DB27" s="140"/>
      <c r="DC27" s="37"/>
      <c r="DD27" s="37"/>
      <c r="DE27" s="37"/>
      <c r="DF27" s="37"/>
      <c r="DG27" s="140"/>
      <c r="DH27" s="43"/>
      <c r="DI27" s="5"/>
      <c r="DJ27" s="5"/>
    </row>
    <row r="28" spans="1:114" ht="15" customHeight="1" x14ac:dyDescent="0.35">
      <c r="A28" s="9">
        <v>205635</v>
      </c>
      <c r="B28" s="9" t="s">
        <v>8</v>
      </c>
      <c r="C28" s="34" t="s">
        <v>343</v>
      </c>
      <c r="D28" s="5" t="s">
        <v>680</v>
      </c>
      <c r="E28" s="5" t="s">
        <v>643</v>
      </c>
      <c r="F28" s="6">
        <v>6561</v>
      </c>
      <c r="G28" s="145" t="s">
        <v>681</v>
      </c>
      <c r="H28" s="37">
        <v>14218216</v>
      </c>
      <c r="I28" s="37">
        <v>13211500</v>
      </c>
      <c r="J28" s="37"/>
      <c r="K28" s="37">
        <v>13211500</v>
      </c>
      <c r="L28" s="37">
        <f>I28-K28</f>
        <v>0</v>
      </c>
      <c r="M28" s="37"/>
      <c r="N28" s="37"/>
      <c r="O28" s="140">
        <v>0</v>
      </c>
      <c r="P28" s="43">
        <v>44572</v>
      </c>
      <c r="Q28" s="9" t="s">
        <v>284</v>
      </c>
      <c r="R28" s="42"/>
      <c r="S28" s="37">
        <v>13211500</v>
      </c>
      <c r="T28" s="39">
        <f>K28-S28</f>
        <v>0</v>
      </c>
      <c r="U28" s="5"/>
      <c r="V28" s="140">
        <v>0</v>
      </c>
      <c r="W28" s="142">
        <v>44600</v>
      </c>
      <c r="X28" s="5" t="s">
        <v>284</v>
      </c>
      <c r="Y28" s="42"/>
      <c r="Z28" s="5"/>
      <c r="AA28" s="38">
        <v>14218216</v>
      </c>
      <c r="AB28" s="38">
        <f>S28-AA28</f>
        <v>-1006716</v>
      </c>
      <c r="AC28" s="5"/>
      <c r="AD28" s="40">
        <f>AB28/S28</f>
        <v>-7.619997729251031E-2</v>
      </c>
      <c r="AE28" s="43">
        <v>44624</v>
      </c>
      <c r="AF28" s="5" t="s">
        <v>284</v>
      </c>
      <c r="AG28" s="42"/>
      <c r="AH28" s="144"/>
      <c r="AI28" s="37">
        <v>14218216</v>
      </c>
      <c r="AJ28" s="37">
        <f t="shared" ref="AJ28:AJ33" si="0">AA28-AI28</f>
        <v>0</v>
      </c>
      <c r="AK28" s="37"/>
      <c r="AL28" s="37"/>
      <c r="AM28" s="140">
        <v>0</v>
      </c>
      <c r="AN28" s="43">
        <v>44656</v>
      </c>
      <c r="AO28" s="5" t="s">
        <v>284</v>
      </c>
      <c r="AP28" s="5"/>
      <c r="AQ28" s="40"/>
      <c r="AR28" s="37">
        <v>14218216</v>
      </c>
      <c r="AS28" s="37">
        <f t="shared" ref="AS28:AS35" si="1">AI28-AR28</f>
        <v>0</v>
      </c>
      <c r="AT28" s="37"/>
      <c r="AU28" s="37"/>
      <c r="AV28" s="140">
        <v>0</v>
      </c>
      <c r="AW28" s="43">
        <v>44687</v>
      </c>
      <c r="AX28" s="5" t="s">
        <v>284</v>
      </c>
      <c r="AY28" s="5"/>
      <c r="AZ28" s="140"/>
      <c r="BA28" s="37">
        <v>14218216</v>
      </c>
      <c r="BB28" s="37">
        <f t="shared" ref="BB28:BB35" si="2">AR28-BA28</f>
        <v>0</v>
      </c>
      <c r="BC28" s="37"/>
      <c r="BD28" s="37"/>
      <c r="BE28" s="140">
        <v>0</v>
      </c>
      <c r="BF28" s="43">
        <v>44718</v>
      </c>
      <c r="BG28" s="5" t="s">
        <v>284</v>
      </c>
      <c r="BH28" s="43">
        <v>44728</v>
      </c>
      <c r="BI28" s="140"/>
      <c r="BJ28" s="37">
        <v>14218216</v>
      </c>
      <c r="BK28" s="37">
        <f>BA28-BJ28</f>
        <v>0</v>
      </c>
      <c r="BL28" s="37"/>
      <c r="BM28" s="37"/>
      <c r="BN28" s="140">
        <v>0</v>
      </c>
      <c r="BO28" s="43">
        <v>44750</v>
      </c>
      <c r="BP28" s="5" t="s">
        <v>284</v>
      </c>
      <c r="BQ28" s="43">
        <v>44768</v>
      </c>
      <c r="BR28" s="140"/>
      <c r="BS28" s="37">
        <v>14218216</v>
      </c>
      <c r="BT28" s="37">
        <f>BJ28-BS28</f>
        <v>0</v>
      </c>
      <c r="BU28" s="37"/>
      <c r="BV28" s="37"/>
      <c r="BW28" s="140">
        <v>0</v>
      </c>
      <c r="BX28" s="43">
        <v>44781</v>
      </c>
      <c r="BY28" s="5" t="s">
        <v>284</v>
      </c>
      <c r="BZ28" s="5"/>
      <c r="CA28" s="140"/>
      <c r="CB28" s="37">
        <v>14218216</v>
      </c>
      <c r="CC28" s="37">
        <f>BS28-CB28</f>
        <v>0</v>
      </c>
      <c r="CD28" s="37"/>
      <c r="CE28" s="37"/>
      <c r="CF28" s="140">
        <v>0</v>
      </c>
      <c r="CG28" s="43"/>
      <c r="CH28" s="5"/>
      <c r="CI28" s="5"/>
      <c r="CJ28" s="140"/>
      <c r="CK28" s="37"/>
      <c r="CL28" s="37"/>
      <c r="CM28" s="37"/>
      <c r="CN28" s="37"/>
      <c r="CO28" s="140"/>
      <c r="CP28" s="43"/>
      <c r="CQ28" s="5"/>
      <c r="CR28" s="5"/>
      <c r="CS28" s="140"/>
      <c r="CT28" s="37"/>
      <c r="CU28" s="37"/>
      <c r="CV28" s="37"/>
      <c r="CW28" s="37"/>
      <c r="CX28" s="140"/>
      <c r="CY28" s="43"/>
      <c r="CZ28" s="5"/>
      <c r="DA28" s="143"/>
      <c r="DB28" s="140"/>
      <c r="DC28" s="37"/>
      <c r="DD28" s="37"/>
      <c r="DE28" s="37"/>
      <c r="DF28" s="37"/>
      <c r="DG28" s="140"/>
      <c r="DH28" s="43"/>
      <c r="DI28" s="5"/>
      <c r="DJ28" s="5"/>
    </row>
    <row r="29" spans="1:114" ht="15" customHeight="1" x14ac:dyDescent="0.35">
      <c r="A29" s="9">
        <v>208501</v>
      </c>
      <c r="B29" s="9" t="s">
        <v>62</v>
      </c>
      <c r="C29" s="34" t="s">
        <v>347</v>
      </c>
      <c r="D29" s="5" t="s">
        <v>682</v>
      </c>
      <c r="E29" s="5" t="s">
        <v>643</v>
      </c>
      <c r="F29" s="6">
        <v>6563</v>
      </c>
      <c r="G29" s="145" t="s">
        <v>683</v>
      </c>
      <c r="H29" s="37">
        <v>10596000</v>
      </c>
      <c r="I29" s="37">
        <v>10220000</v>
      </c>
      <c r="J29" s="37"/>
      <c r="K29" s="37">
        <v>10596000</v>
      </c>
      <c r="L29" s="37"/>
      <c r="M29" s="37">
        <f>I29-K29</f>
        <v>-376000</v>
      </c>
      <c r="N29" s="37"/>
      <c r="O29" s="140">
        <f>M29/I29</f>
        <v>-3.6790606653620349E-2</v>
      </c>
      <c r="P29" s="43">
        <v>44578</v>
      </c>
      <c r="Q29" s="9" t="s">
        <v>284</v>
      </c>
      <c r="R29" s="42"/>
      <c r="S29" s="37">
        <v>10596000</v>
      </c>
      <c r="T29" s="39">
        <f>K29-S29</f>
        <v>0</v>
      </c>
      <c r="U29" s="5"/>
      <c r="V29" s="140">
        <v>0</v>
      </c>
      <c r="W29" s="43">
        <v>44602</v>
      </c>
      <c r="X29" s="5" t="s">
        <v>284</v>
      </c>
      <c r="Y29" s="42"/>
      <c r="Z29" s="5"/>
      <c r="AA29" s="38">
        <v>10596000</v>
      </c>
      <c r="AB29" s="38">
        <f>S29-AA29</f>
        <v>0</v>
      </c>
      <c r="AC29" s="5"/>
      <c r="AD29" s="40">
        <v>0</v>
      </c>
      <c r="AE29" s="43">
        <v>44629</v>
      </c>
      <c r="AF29" s="5" t="s">
        <v>284</v>
      </c>
      <c r="AG29" s="42"/>
      <c r="AH29" s="144"/>
      <c r="AI29" s="37">
        <v>10596000</v>
      </c>
      <c r="AJ29" s="37">
        <f t="shared" si="0"/>
        <v>0</v>
      </c>
      <c r="AK29" s="37"/>
      <c r="AL29" s="37"/>
      <c r="AM29" s="140">
        <v>0</v>
      </c>
      <c r="AN29" s="43">
        <v>44655</v>
      </c>
      <c r="AO29" s="5" t="s">
        <v>284</v>
      </c>
      <c r="AP29" s="5"/>
      <c r="AQ29" s="40"/>
      <c r="AR29" s="37">
        <v>10596000</v>
      </c>
      <c r="AS29" s="37">
        <f t="shared" si="1"/>
        <v>0</v>
      </c>
      <c r="AT29" s="37"/>
      <c r="AU29" s="37"/>
      <c r="AV29" s="140">
        <v>0</v>
      </c>
      <c r="AW29" s="43">
        <v>44684</v>
      </c>
      <c r="AX29" s="5" t="s">
        <v>284</v>
      </c>
      <c r="AY29" s="5"/>
      <c r="AZ29" s="140"/>
      <c r="BA29" s="37">
        <v>10596000</v>
      </c>
      <c r="BB29" s="37">
        <f t="shared" si="2"/>
        <v>0</v>
      </c>
      <c r="BC29" s="37"/>
      <c r="BD29" s="37"/>
      <c r="BE29" s="140">
        <v>0</v>
      </c>
      <c r="BF29" s="43">
        <v>44715</v>
      </c>
      <c r="BG29" s="5" t="s">
        <v>284</v>
      </c>
      <c r="BH29" s="43">
        <v>44728</v>
      </c>
      <c r="BI29" s="140"/>
      <c r="BJ29" s="37">
        <v>10596000</v>
      </c>
      <c r="BK29" s="37">
        <f>BA29-BJ29</f>
        <v>0</v>
      </c>
      <c r="BL29" s="37"/>
      <c r="BM29" s="37"/>
      <c r="BN29" s="140">
        <v>0</v>
      </c>
      <c r="BO29" s="43">
        <v>44748</v>
      </c>
      <c r="BP29" s="5" t="s">
        <v>284</v>
      </c>
      <c r="BQ29" s="43">
        <v>44757</v>
      </c>
      <c r="BR29" s="140"/>
      <c r="BS29" s="37">
        <v>10596000</v>
      </c>
      <c r="BT29" s="37">
        <f>BJ29-BS29</f>
        <v>0</v>
      </c>
      <c r="BU29" s="37"/>
      <c r="BV29" s="37"/>
      <c r="BW29" s="140">
        <v>0</v>
      </c>
      <c r="BX29" s="43">
        <v>44777</v>
      </c>
      <c r="BY29" s="5" t="s">
        <v>284</v>
      </c>
      <c r="BZ29" s="5"/>
      <c r="CA29" s="140"/>
      <c r="CB29" s="37"/>
      <c r="CC29" s="37"/>
      <c r="CD29" s="37"/>
      <c r="CE29" s="37"/>
      <c r="CF29" s="140"/>
      <c r="CG29" s="43"/>
      <c r="CH29" s="5"/>
      <c r="CI29" s="5"/>
      <c r="CJ29" s="140"/>
      <c r="CK29" s="37"/>
      <c r="CL29" s="37"/>
      <c r="CM29" s="37"/>
      <c r="CN29" s="37"/>
      <c r="CO29" s="140"/>
      <c r="CP29" s="43"/>
      <c r="CQ29" s="5"/>
      <c r="CR29" s="5"/>
      <c r="CS29" s="140"/>
      <c r="CT29" s="37"/>
      <c r="CU29" s="37"/>
      <c r="CV29" s="37"/>
      <c r="CW29" s="37"/>
      <c r="CX29" s="140"/>
      <c r="CY29" s="43"/>
      <c r="CZ29" s="5"/>
      <c r="DA29" s="143"/>
      <c r="DB29" s="140"/>
      <c r="DC29" s="37"/>
      <c r="DD29" s="37"/>
      <c r="DE29" s="37"/>
      <c r="DF29" s="37"/>
      <c r="DG29" s="140"/>
      <c r="DH29" s="43"/>
      <c r="DI29" s="5"/>
      <c r="DJ29" s="5"/>
    </row>
    <row r="30" spans="1:114" ht="15" customHeight="1" x14ac:dyDescent="0.35">
      <c r="A30" s="9">
        <v>204623</v>
      </c>
      <c r="B30" s="9" t="s">
        <v>685</v>
      </c>
      <c r="C30" s="34" t="s">
        <v>350</v>
      </c>
      <c r="D30" s="5" t="s">
        <v>684</v>
      </c>
      <c r="E30" s="5" t="s">
        <v>625</v>
      </c>
      <c r="F30" s="6">
        <v>6564</v>
      </c>
      <c r="G30" s="145" t="s">
        <v>686</v>
      </c>
      <c r="H30" s="37">
        <v>17875017</v>
      </c>
      <c r="I30" s="37">
        <v>19861130</v>
      </c>
      <c r="J30" s="37"/>
      <c r="K30" s="37">
        <v>17875017</v>
      </c>
      <c r="L30" s="37">
        <f>I30-K30</f>
        <v>1986113</v>
      </c>
      <c r="M30" s="37"/>
      <c r="N30" s="37"/>
      <c r="O30" s="140">
        <f>L30/I30</f>
        <v>0.1</v>
      </c>
      <c r="P30" s="142">
        <v>44586</v>
      </c>
      <c r="Q30" s="5" t="s">
        <v>284</v>
      </c>
      <c r="R30" s="42"/>
      <c r="S30" s="37">
        <v>17875017</v>
      </c>
      <c r="T30" s="39">
        <f>K30-S30</f>
        <v>0</v>
      </c>
      <c r="U30" s="5"/>
      <c r="V30" s="140">
        <f>T30/I30</f>
        <v>0</v>
      </c>
      <c r="W30" s="142">
        <v>44593</v>
      </c>
      <c r="X30" s="5" t="s">
        <v>284</v>
      </c>
      <c r="Y30" s="42"/>
      <c r="Z30" s="5"/>
      <c r="AA30" s="38">
        <v>17875017</v>
      </c>
      <c r="AB30" s="38">
        <f>AA30-S30</f>
        <v>0</v>
      </c>
      <c r="AC30" s="5"/>
      <c r="AD30" s="40">
        <v>0</v>
      </c>
      <c r="AE30" s="51">
        <v>44621</v>
      </c>
      <c r="AF30" s="5" t="s">
        <v>284</v>
      </c>
      <c r="AG30" s="5"/>
      <c r="AH30" s="144"/>
      <c r="AI30" s="37">
        <v>17875017</v>
      </c>
      <c r="AJ30" s="37">
        <f t="shared" si="0"/>
        <v>0</v>
      </c>
      <c r="AK30" s="37"/>
      <c r="AL30" s="37"/>
      <c r="AM30" s="140">
        <v>0</v>
      </c>
      <c r="AN30" s="43">
        <v>44655</v>
      </c>
      <c r="AO30" s="5" t="s">
        <v>284</v>
      </c>
      <c r="AP30" s="5"/>
      <c r="AQ30" s="40"/>
      <c r="AR30" s="37">
        <v>17875017</v>
      </c>
      <c r="AS30" s="37">
        <f t="shared" si="1"/>
        <v>0</v>
      </c>
      <c r="AT30" s="37"/>
      <c r="AU30" s="37"/>
      <c r="AV30" s="140">
        <v>0</v>
      </c>
      <c r="AW30" s="43">
        <v>44686</v>
      </c>
      <c r="AX30" s="5" t="s">
        <v>284</v>
      </c>
      <c r="AY30" s="5"/>
      <c r="AZ30" s="140"/>
      <c r="BA30" s="37">
        <v>17875017</v>
      </c>
      <c r="BB30" s="37">
        <f t="shared" si="2"/>
        <v>0</v>
      </c>
      <c r="BC30" s="37"/>
      <c r="BD30" s="37"/>
      <c r="BE30" s="140">
        <v>0</v>
      </c>
      <c r="BF30" s="43">
        <v>44713</v>
      </c>
      <c r="BG30" s="5" t="s">
        <v>284</v>
      </c>
      <c r="BH30" s="43">
        <v>44728</v>
      </c>
      <c r="BI30" s="140"/>
      <c r="BJ30" s="37">
        <v>17875017</v>
      </c>
      <c r="BK30" s="37">
        <f>BA30-BJ30</f>
        <v>0</v>
      </c>
      <c r="BL30" s="37"/>
      <c r="BM30" s="37"/>
      <c r="BN30" s="140">
        <v>0</v>
      </c>
      <c r="BO30" s="43">
        <v>44743</v>
      </c>
      <c r="BP30" s="5" t="s">
        <v>284</v>
      </c>
      <c r="BQ30" s="43">
        <v>44757</v>
      </c>
      <c r="BR30" s="140"/>
      <c r="BS30" s="37">
        <v>17875017</v>
      </c>
      <c r="BT30" s="37">
        <f>BJ30-BS30</f>
        <v>0</v>
      </c>
      <c r="BU30" s="37"/>
      <c r="BV30" s="37"/>
      <c r="BW30" s="140">
        <v>0</v>
      </c>
      <c r="BX30" s="43">
        <v>44774</v>
      </c>
      <c r="BY30" s="5" t="s">
        <v>284</v>
      </c>
      <c r="BZ30" s="5"/>
      <c r="CA30" s="140"/>
      <c r="CB30" s="37"/>
      <c r="CC30" s="37"/>
      <c r="CD30" s="37"/>
      <c r="CE30" s="37"/>
      <c r="CF30" s="140"/>
      <c r="CG30" s="43"/>
      <c r="CH30" s="5"/>
      <c r="CI30" s="5"/>
      <c r="CJ30" s="140"/>
      <c r="CK30" s="37"/>
      <c r="CL30" s="37"/>
      <c r="CM30" s="37"/>
      <c r="CN30" s="37"/>
      <c r="CO30" s="140"/>
      <c r="CP30" s="43"/>
      <c r="CQ30" s="5"/>
      <c r="CR30" s="5"/>
      <c r="CS30" s="140"/>
      <c r="CT30" s="37"/>
      <c r="CU30" s="37"/>
      <c r="CV30" s="37"/>
      <c r="CW30" s="37"/>
      <c r="CX30" s="140"/>
      <c r="CY30" s="43"/>
      <c r="CZ30" s="5"/>
      <c r="DA30" s="143"/>
      <c r="DB30" s="140"/>
      <c r="DC30" s="37"/>
      <c r="DD30" s="37"/>
      <c r="DE30" s="37"/>
      <c r="DF30" s="37"/>
      <c r="DG30" s="140"/>
      <c r="DH30" s="43"/>
      <c r="DI30" s="5"/>
      <c r="DJ30" s="5"/>
    </row>
    <row r="31" spans="1:114" ht="15" customHeight="1" x14ac:dyDescent="0.35">
      <c r="A31" s="9">
        <v>209683</v>
      </c>
      <c r="B31" s="9" t="s">
        <v>55</v>
      </c>
      <c r="C31" s="34" t="s">
        <v>354</v>
      </c>
      <c r="D31" s="5" t="s">
        <v>687</v>
      </c>
      <c r="E31" s="5" t="s">
        <v>643</v>
      </c>
      <c r="F31" s="6">
        <v>6568</v>
      </c>
      <c r="G31" s="145" t="s">
        <v>688</v>
      </c>
      <c r="H31" s="37">
        <v>29498575</v>
      </c>
      <c r="I31" s="37">
        <v>29498575</v>
      </c>
      <c r="J31" s="37"/>
      <c r="K31" s="37">
        <v>29498575</v>
      </c>
      <c r="L31" s="160">
        <f>I31-K31</f>
        <v>0</v>
      </c>
      <c r="M31" s="161"/>
      <c r="N31" s="37"/>
      <c r="O31" s="140">
        <v>0</v>
      </c>
      <c r="P31" s="43">
        <v>44567</v>
      </c>
      <c r="Q31" s="43" t="s">
        <v>284</v>
      </c>
      <c r="R31" s="42"/>
      <c r="S31" s="37">
        <v>29498575</v>
      </c>
      <c r="T31" s="39">
        <f>K31-S31</f>
        <v>0</v>
      </c>
      <c r="U31" s="5"/>
      <c r="V31" s="140">
        <v>0</v>
      </c>
      <c r="W31" s="142">
        <v>44596</v>
      </c>
      <c r="X31" s="5" t="s">
        <v>284</v>
      </c>
      <c r="Y31" s="42"/>
      <c r="Z31" s="5"/>
      <c r="AA31" s="38">
        <v>29498575</v>
      </c>
      <c r="AB31" s="38">
        <f>S31-AA31</f>
        <v>0</v>
      </c>
      <c r="AC31" s="5"/>
      <c r="AD31" s="40">
        <v>0</v>
      </c>
      <c r="AE31" s="51">
        <v>44621</v>
      </c>
      <c r="AF31" s="5" t="s">
        <v>284</v>
      </c>
      <c r="AG31" s="5"/>
      <c r="AH31" s="5"/>
      <c r="AI31" s="37">
        <v>29498575</v>
      </c>
      <c r="AJ31" s="37">
        <f t="shared" si="0"/>
        <v>0</v>
      </c>
      <c r="AK31" s="37"/>
      <c r="AL31" s="37"/>
      <c r="AM31" s="140">
        <v>0</v>
      </c>
      <c r="AN31" s="43">
        <v>44655</v>
      </c>
      <c r="AO31" s="5" t="s">
        <v>284</v>
      </c>
      <c r="AP31" s="5"/>
      <c r="AQ31" s="40"/>
      <c r="AR31" s="37">
        <v>29498575</v>
      </c>
      <c r="AS31" s="37">
        <f t="shared" si="1"/>
        <v>0</v>
      </c>
      <c r="AT31" s="37"/>
      <c r="AU31" s="37"/>
      <c r="AV31" s="140">
        <v>0</v>
      </c>
      <c r="AW31" s="43">
        <v>44683</v>
      </c>
      <c r="AX31" s="5" t="s">
        <v>284</v>
      </c>
      <c r="AY31" s="5"/>
      <c r="AZ31" s="140"/>
      <c r="BA31" s="37">
        <v>29498575</v>
      </c>
      <c r="BB31" s="37">
        <f t="shared" si="2"/>
        <v>0</v>
      </c>
      <c r="BC31" s="37"/>
      <c r="BD31" s="37"/>
      <c r="BE31" s="140">
        <v>0</v>
      </c>
      <c r="BF31" s="43">
        <v>44715</v>
      </c>
      <c r="BG31" s="5" t="s">
        <v>284</v>
      </c>
      <c r="BH31" s="43">
        <v>44728</v>
      </c>
      <c r="BI31" s="140"/>
      <c r="BJ31" s="37">
        <v>29498575</v>
      </c>
      <c r="BK31" s="37">
        <f>BA31-BJ31</f>
        <v>0</v>
      </c>
      <c r="BL31" s="37"/>
      <c r="BM31" s="37"/>
      <c r="BN31" s="140">
        <v>0</v>
      </c>
      <c r="BO31" s="43">
        <v>44743</v>
      </c>
      <c r="BP31" s="5" t="s">
        <v>284</v>
      </c>
      <c r="BQ31" s="43">
        <v>44757</v>
      </c>
      <c r="BR31" s="140"/>
      <c r="BS31" s="37">
        <v>29498575</v>
      </c>
      <c r="BT31" s="37">
        <f>BJ31-BS31</f>
        <v>0</v>
      </c>
      <c r="BU31" s="37"/>
      <c r="BV31" s="37"/>
      <c r="BW31" s="140">
        <v>0</v>
      </c>
      <c r="BX31" s="43">
        <v>44774</v>
      </c>
      <c r="BY31" s="5" t="s">
        <v>284</v>
      </c>
      <c r="BZ31" s="5"/>
      <c r="CA31" s="140"/>
      <c r="CB31" s="37"/>
      <c r="CC31" s="37"/>
      <c r="CD31" s="37"/>
      <c r="CE31" s="37"/>
      <c r="CF31" s="140"/>
      <c r="CG31" s="43"/>
      <c r="CH31" s="5"/>
      <c r="CI31" s="5"/>
      <c r="CJ31" s="140"/>
      <c r="CK31" s="37"/>
      <c r="CL31" s="37"/>
      <c r="CM31" s="37"/>
      <c r="CN31" s="37"/>
      <c r="CO31" s="140"/>
      <c r="CP31" s="43"/>
      <c r="CQ31" s="5"/>
      <c r="CR31" s="5"/>
      <c r="CS31" s="140"/>
      <c r="CT31" s="37"/>
      <c r="CU31" s="37"/>
      <c r="CV31" s="37"/>
      <c r="CW31" s="37"/>
      <c r="CX31" s="140"/>
      <c r="CY31" s="43"/>
      <c r="CZ31" s="5"/>
      <c r="DA31" s="143"/>
      <c r="DB31" s="140"/>
      <c r="DC31" s="37"/>
      <c r="DD31" s="37"/>
      <c r="DE31" s="37"/>
      <c r="DF31" s="37"/>
      <c r="DG31" s="140"/>
      <c r="DH31" s="43"/>
      <c r="DI31" s="5"/>
      <c r="DJ31" s="5"/>
    </row>
    <row r="32" spans="1:114" x14ac:dyDescent="0.35">
      <c r="A32" s="9">
        <v>204883</v>
      </c>
      <c r="B32" s="9" t="s">
        <v>43</v>
      </c>
      <c r="C32" s="34" t="s">
        <v>357</v>
      </c>
      <c r="D32" s="5" t="s">
        <v>885</v>
      </c>
      <c r="E32" s="5" t="s">
        <v>797</v>
      </c>
      <c r="F32" s="6">
        <v>6767</v>
      </c>
      <c r="G32" s="145" t="s">
        <v>798</v>
      </c>
      <c r="H32" s="149">
        <v>2848419</v>
      </c>
      <c r="I32" s="37">
        <v>2848419</v>
      </c>
      <c r="J32" s="37"/>
      <c r="K32" s="37">
        <v>2848419</v>
      </c>
      <c r="L32" s="37">
        <f>H32-K32</f>
        <v>0</v>
      </c>
      <c r="M32" s="37"/>
      <c r="N32" s="37"/>
      <c r="O32" s="140">
        <v>0</v>
      </c>
      <c r="P32" s="142">
        <v>44568</v>
      </c>
      <c r="Q32" s="5" t="s">
        <v>284</v>
      </c>
      <c r="R32" s="162"/>
      <c r="S32" s="37"/>
      <c r="T32" s="37"/>
      <c r="U32" s="37">
        <v>3389619</v>
      </c>
      <c r="V32" s="140"/>
      <c r="W32" s="142"/>
      <c r="X32" s="5"/>
      <c r="Y32" s="5"/>
      <c r="Z32" s="5"/>
      <c r="AA32" s="38">
        <v>2848419</v>
      </c>
      <c r="AB32" s="38">
        <f>K32-AA32</f>
        <v>0</v>
      </c>
      <c r="AC32" s="5"/>
      <c r="AD32" s="40">
        <v>0</v>
      </c>
      <c r="AE32" s="51">
        <v>44622</v>
      </c>
      <c r="AF32" s="5" t="s">
        <v>284</v>
      </c>
      <c r="AG32" s="5"/>
      <c r="AH32" s="5"/>
      <c r="AI32" s="57">
        <v>2848419</v>
      </c>
      <c r="AJ32" s="57">
        <f t="shared" si="0"/>
        <v>0</v>
      </c>
      <c r="AK32" s="5"/>
      <c r="AL32" s="5"/>
      <c r="AM32" s="67">
        <v>0</v>
      </c>
      <c r="AN32" s="43">
        <v>44664</v>
      </c>
      <c r="AO32" s="5" t="s">
        <v>284</v>
      </c>
      <c r="AP32" s="5"/>
      <c r="AQ32" s="40"/>
      <c r="AR32" s="37">
        <v>2848419</v>
      </c>
      <c r="AS32" s="37">
        <f t="shared" si="1"/>
        <v>0</v>
      </c>
      <c r="AT32" s="37"/>
      <c r="AU32" s="37"/>
      <c r="AV32" s="140">
        <v>0</v>
      </c>
      <c r="AW32" s="43">
        <v>44683</v>
      </c>
      <c r="AX32" s="5" t="s">
        <v>284</v>
      </c>
      <c r="AY32" s="5"/>
      <c r="AZ32" s="140"/>
      <c r="BA32" s="37">
        <v>2848419</v>
      </c>
      <c r="BB32" s="37">
        <f t="shared" si="2"/>
        <v>0</v>
      </c>
      <c r="BC32" s="37"/>
      <c r="BD32" s="37"/>
      <c r="BE32" s="140">
        <v>0</v>
      </c>
      <c r="BF32" s="43">
        <v>44733</v>
      </c>
      <c r="BG32" s="5" t="s">
        <v>284</v>
      </c>
      <c r="BH32" s="43">
        <v>44757</v>
      </c>
      <c r="BI32" s="140"/>
      <c r="BJ32" s="37">
        <v>2848419</v>
      </c>
      <c r="BK32" s="37">
        <f>BA32-BJ32</f>
        <v>0</v>
      </c>
      <c r="BL32" s="37"/>
      <c r="BM32" s="37"/>
      <c r="BN32" s="140">
        <v>0</v>
      </c>
      <c r="BO32" s="43">
        <v>44761</v>
      </c>
      <c r="BP32" s="5" t="s">
        <v>284</v>
      </c>
      <c r="BQ32" s="43">
        <v>44770</v>
      </c>
      <c r="BR32" s="140"/>
      <c r="BS32" s="37">
        <v>2848419</v>
      </c>
      <c r="BT32" s="37">
        <f>BS32-BJ32</f>
        <v>0</v>
      </c>
      <c r="BU32" s="37"/>
      <c r="BV32" s="37"/>
      <c r="BW32" s="140">
        <f>BT32/BJ32</f>
        <v>0</v>
      </c>
      <c r="BX32" s="43">
        <v>44777</v>
      </c>
      <c r="BY32" s="5" t="s">
        <v>284</v>
      </c>
      <c r="BZ32" s="5"/>
      <c r="CA32" s="140"/>
      <c r="CB32" s="37"/>
      <c r="CC32" s="37"/>
      <c r="CD32" s="37"/>
      <c r="CE32" s="37"/>
      <c r="CF32" s="140"/>
      <c r="CG32" s="43"/>
      <c r="CH32" s="5"/>
      <c r="CI32" s="5"/>
      <c r="CJ32" s="140"/>
      <c r="CK32" s="37"/>
      <c r="CL32" s="37"/>
      <c r="CM32" s="37"/>
      <c r="CN32" s="37"/>
      <c r="CO32" s="140"/>
      <c r="CP32" s="43"/>
      <c r="CQ32" s="5"/>
      <c r="CR32" s="5"/>
      <c r="CS32" s="140"/>
      <c r="CT32" s="37"/>
      <c r="CU32" s="37"/>
      <c r="CV32" s="37"/>
      <c r="CW32" s="37"/>
      <c r="CX32" s="140"/>
      <c r="CY32" s="43"/>
      <c r="CZ32" s="5"/>
      <c r="DA32" s="143"/>
      <c r="DB32" s="140"/>
      <c r="DC32" s="37"/>
      <c r="DD32" s="37"/>
      <c r="DE32" s="37"/>
      <c r="DF32" s="37"/>
      <c r="DG32" s="140"/>
      <c r="DH32" s="43"/>
      <c r="DI32" s="5"/>
      <c r="DJ32" s="5"/>
    </row>
    <row r="33" spans="1:114" x14ac:dyDescent="0.35">
      <c r="A33" s="9">
        <v>206033</v>
      </c>
      <c r="B33" s="9" t="s">
        <v>799</v>
      </c>
      <c r="C33" s="34" t="s">
        <v>357</v>
      </c>
      <c r="D33" s="5" t="s">
        <v>885</v>
      </c>
      <c r="E33" s="5" t="s">
        <v>797</v>
      </c>
      <c r="F33" s="6">
        <v>6767</v>
      </c>
      <c r="G33" s="145" t="s">
        <v>800</v>
      </c>
      <c r="H33" s="37">
        <v>6084648</v>
      </c>
      <c r="I33" s="37">
        <v>6084648</v>
      </c>
      <c r="J33" s="37"/>
      <c r="K33" s="37"/>
      <c r="L33" s="37"/>
      <c r="M33" s="37"/>
      <c r="N33" s="37"/>
      <c r="O33" s="140"/>
      <c r="P33" s="142"/>
      <c r="Q33" s="5"/>
      <c r="R33" s="42"/>
      <c r="S33" s="37">
        <v>6084648</v>
      </c>
      <c r="T33" s="39">
        <f>I33-S33</f>
        <v>0</v>
      </c>
      <c r="U33" s="5"/>
      <c r="V33" s="140">
        <v>0</v>
      </c>
      <c r="W33" s="142">
        <v>44600</v>
      </c>
      <c r="X33" s="5" t="s">
        <v>284</v>
      </c>
      <c r="Y33" s="42"/>
      <c r="Z33" s="5"/>
      <c r="AA33" s="38">
        <v>6084648</v>
      </c>
      <c r="AB33" s="38">
        <f>S33-AA33</f>
        <v>0</v>
      </c>
      <c r="AC33" s="5"/>
      <c r="AD33" s="40">
        <v>0</v>
      </c>
      <c r="AE33" s="142">
        <v>44637</v>
      </c>
      <c r="AF33" s="5" t="s">
        <v>284</v>
      </c>
      <c r="AG33" s="5"/>
      <c r="AH33" s="144"/>
      <c r="AI33" s="37">
        <v>6084648</v>
      </c>
      <c r="AJ33" s="37">
        <f t="shared" si="0"/>
        <v>0</v>
      </c>
      <c r="AK33" s="37"/>
      <c r="AL33" s="37"/>
      <c r="AM33" s="140">
        <v>0</v>
      </c>
      <c r="AN33" s="142">
        <v>44676</v>
      </c>
      <c r="AO33" s="5" t="s">
        <v>284</v>
      </c>
      <c r="AP33" s="5"/>
      <c r="AQ33" s="40"/>
      <c r="AR33" s="37">
        <v>6084648</v>
      </c>
      <c r="AS33" s="37">
        <f t="shared" si="1"/>
        <v>0</v>
      </c>
      <c r="AT33" s="37"/>
      <c r="AU33" s="37"/>
      <c r="AV33" s="140">
        <v>0</v>
      </c>
      <c r="AW33" s="43">
        <v>44704</v>
      </c>
      <c r="AX33" s="5" t="s">
        <v>284</v>
      </c>
      <c r="AY33" s="5"/>
      <c r="AZ33" s="140"/>
      <c r="BA33" s="37">
        <v>6084648</v>
      </c>
      <c r="BB33" s="37">
        <f t="shared" si="2"/>
        <v>0</v>
      </c>
      <c r="BC33" s="37"/>
      <c r="BD33" s="37"/>
      <c r="BE33" s="140">
        <v>0</v>
      </c>
      <c r="BF33" s="43">
        <v>44740</v>
      </c>
      <c r="BG33" s="5" t="s">
        <v>284</v>
      </c>
      <c r="BH33" s="43">
        <v>44757</v>
      </c>
      <c r="BI33" s="140"/>
      <c r="BJ33" s="37"/>
      <c r="BK33" s="37"/>
      <c r="BL33" s="37"/>
      <c r="BM33" s="37"/>
      <c r="BN33" s="140"/>
      <c r="BO33" s="43"/>
      <c r="BP33" s="5"/>
      <c r="BQ33" s="5"/>
      <c r="BR33" s="140"/>
      <c r="BS33" s="37"/>
      <c r="BT33" s="37"/>
      <c r="BU33" s="37"/>
      <c r="BV33" s="37"/>
      <c r="BW33" s="140"/>
      <c r="BX33" s="43"/>
      <c r="BY33" s="5"/>
      <c r="BZ33" s="5"/>
      <c r="CA33" s="140"/>
      <c r="CB33" s="37"/>
      <c r="CC33" s="37"/>
      <c r="CD33" s="37"/>
      <c r="CE33" s="37"/>
      <c r="CF33" s="140"/>
      <c r="CG33" s="43"/>
      <c r="CH33" s="5"/>
      <c r="CI33" s="5"/>
      <c r="CJ33" s="140"/>
      <c r="CK33" s="37"/>
      <c r="CL33" s="37"/>
      <c r="CM33" s="37"/>
      <c r="CN33" s="37"/>
      <c r="CO33" s="140"/>
      <c r="CP33" s="43"/>
      <c r="CQ33" s="5"/>
      <c r="CR33" s="5"/>
      <c r="CS33" s="140"/>
      <c r="CT33" s="37"/>
      <c r="CU33" s="37"/>
      <c r="CV33" s="37"/>
      <c r="CW33" s="37"/>
      <c r="CX33" s="140"/>
      <c r="CY33" s="43"/>
      <c r="CZ33" s="5"/>
      <c r="DA33" s="143"/>
      <c r="DB33" s="140"/>
      <c r="DC33" s="37"/>
      <c r="DD33" s="37"/>
      <c r="DE33" s="37"/>
      <c r="DF33" s="37"/>
      <c r="DG33" s="140"/>
      <c r="DH33" s="43"/>
      <c r="DI33" s="5"/>
      <c r="DJ33" s="5"/>
    </row>
    <row r="34" spans="1:114" x14ac:dyDescent="0.35">
      <c r="A34" s="9">
        <v>204970</v>
      </c>
      <c r="B34" s="9" t="s">
        <v>802</v>
      </c>
      <c r="C34" s="34" t="s">
        <v>361</v>
      </c>
      <c r="D34" s="5" t="s">
        <v>886</v>
      </c>
      <c r="E34" s="5" t="s">
        <v>801</v>
      </c>
      <c r="F34" s="6">
        <v>6776</v>
      </c>
      <c r="G34" s="145" t="s">
        <v>803</v>
      </c>
      <c r="H34" s="37">
        <v>12099020</v>
      </c>
      <c r="I34" s="37">
        <v>11099000</v>
      </c>
      <c r="J34" s="37"/>
      <c r="K34" s="37">
        <v>11099000</v>
      </c>
      <c r="L34" s="37">
        <f>I34-K34</f>
        <v>0</v>
      </c>
      <c r="M34" s="37"/>
      <c r="N34" s="37"/>
      <c r="O34" s="140">
        <f>L34/H34</f>
        <v>0</v>
      </c>
      <c r="P34" s="142">
        <v>44564</v>
      </c>
      <c r="Q34" s="9" t="s">
        <v>284</v>
      </c>
      <c r="R34" s="42"/>
      <c r="S34" s="37">
        <v>11099000</v>
      </c>
      <c r="T34" s="39">
        <f>K34-S34</f>
        <v>0</v>
      </c>
      <c r="U34" s="5"/>
      <c r="V34" s="140">
        <f>T34/H34</f>
        <v>0</v>
      </c>
      <c r="W34" s="43">
        <v>44595</v>
      </c>
      <c r="X34" s="5" t="s">
        <v>284</v>
      </c>
      <c r="Y34" s="42"/>
      <c r="Z34" s="5"/>
      <c r="AA34" s="38">
        <v>11699012</v>
      </c>
      <c r="AB34" s="38">
        <f>S34-AA34</f>
        <v>-600012</v>
      </c>
      <c r="AC34" s="5"/>
      <c r="AD34" s="40">
        <f>AB34/S34</f>
        <v>-5.4060005405892425E-2</v>
      </c>
      <c r="AE34" s="43">
        <v>44630</v>
      </c>
      <c r="AF34" s="5" t="s">
        <v>284</v>
      </c>
      <c r="AG34" s="42"/>
      <c r="AH34" s="144"/>
      <c r="AI34" s="37">
        <v>12099020</v>
      </c>
      <c r="AJ34" s="37"/>
      <c r="AK34" s="37">
        <f>AA34-AI34</f>
        <v>-400008</v>
      </c>
      <c r="AL34" s="37"/>
      <c r="AM34" s="140">
        <f>AK34/AA34</f>
        <v>-3.4191605239827089E-2</v>
      </c>
      <c r="AN34" s="43">
        <v>44655</v>
      </c>
      <c r="AO34" s="5" t="s">
        <v>284</v>
      </c>
      <c r="AP34" s="5"/>
      <c r="AQ34" s="40"/>
      <c r="AR34" s="37">
        <v>12099020</v>
      </c>
      <c r="AS34" s="37">
        <f t="shared" si="1"/>
        <v>0</v>
      </c>
      <c r="AT34" s="37"/>
      <c r="AU34" s="37"/>
      <c r="AV34" s="140">
        <v>0</v>
      </c>
      <c r="AW34" s="43">
        <v>44683</v>
      </c>
      <c r="AX34" s="5" t="s">
        <v>284</v>
      </c>
      <c r="AY34" s="5"/>
      <c r="AZ34" s="140"/>
      <c r="BA34" s="37">
        <v>12099020</v>
      </c>
      <c r="BB34" s="37">
        <f t="shared" si="2"/>
        <v>0</v>
      </c>
      <c r="BC34" s="37"/>
      <c r="BD34" s="37"/>
      <c r="BE34" s="140">
        <v>0</v>
      </c>
      <c r="BF34" s="43">
        <v>44713</v>
      </c>
      <c r="BG34" s="5" t="s">
        <v>284</v>
      </c>
      <c r="BH34" s="43">
        <v>44728</v>
      </c>
      <c r="BI34" s="140"/>
      <c r="BJ34" s="37">
        <v>12099020</v>
      </c>
      <c r="BK34" s="37">
        <f>BA34-BJ34</f>
        <v>0</v>
      </c>
      <c r="BL34" s="37"/>
      <c r="BM34" s="37"/>
      <c r="BN34" s="140">
        <v>0</v>
      </c>
      <c r="BO34" s="43">
        <v>44743</v>
      </c>
      <c r="BP34" s="5" t="s">
        <v>284</v>
      </c>
      <c r="BQ34" s="43">
        <v>44757</v>
      </c>
      <c r="BR34" s="140"/>
      <c r="BS34" s="37">
        <v>12099020</v>
      </c>
      <c r="BT34" s="37">
        <f>BJ34-BS34</f>
        <v>0</v>
      </c>
      <c r="BU34" s="37"/>
      <c r="BV34" s="37"/>
      <c r="BW34" s="140">
        <v>0</v>
      </c>
      <c r="BX34" s="43">
        <v>44774</v>
      </c>
      <c r="BY34" s="5" t="s">
        <v>284</v>
      </c>
      <c r="BZ34" s="5"/>
      <c r="CA34" s="140"/>
      <c r="CB34" s="37"/>
      <c r="CC34" s="37"/>
      <c r="CD34" s="37"/>
      <c r="CE34" s="37"/>
      <c r="CF34" s="140"/>
      <c r="CG34" s="43"/>
      <c r="CH34" s="5"/>
      <c r="CI34" s="5"/>
      <c r="CJ34" s="140"/>
      <c r="CK34" s="37"/>
      <c r="CL34" s="37"/>
      <c r="CM34" s="37"/>
      <c r="CN34" s="37"/>
      <c r="CO34" s="140"/>
      <c r="CP34" s="43"/>
      <c r="CQ34" s="5"/>
      <c r="CR34" s="5"/>
      <c r="CS34" s="140"/>
      <c r="CT34" s="37"/>
      <c r="CU34" s="37"/>
      <c r="CV34" s="37"/>
      <c r="CW34" s="37"/>
      <c r="CX34" s="140"/>
      <c r="CY34" s="43"/>
      <c r="CZ34" s="5"/>
      <c r="DA34" s="143"/>
      <c r="DB34" s="140"/>
      <c r="DC34" s="37"/>
      <c r="DD34" s="37"/>
      <c r="DE34" s="37"/>
      <c r="DF34" s="37"/>
      <c r="DG34" s="140"/>
      <c r="DH34" s="43"/>
      <c r="DI34" s="5"/>
      <c r="DJ34" s="5"/>
    </row>
    <row r="35" spans="1:114" x14ac:dyDescent="0.35">
      <c r="A35" s="9">
        <v>205547</v>
      </c>
      <c r="B35" s="9" t="s">
        <v>887</v>
      </c>
      <c r="C35" s="34" t="s">
        <v>364</v>
      </c>
      <c r="D35" s="5" t="s">
        <v>888</v>
      </c>
      <c r="E35" s="5" t="s">
        <v>635</v>
      </c>
      <c r="F35" s="6">
        <v>8580</v>
      </c>
      <c r="G35" s="145" t="s">
        <v>806</v>
      </c>
      <c r="H35" s="37">
        <v>6886820</v>
      </c>
      <c r="I35" s="37">
        <v>6520382</v>
      </c>
      <c r="J35" s="37"/>
      <c r="K35" s="37">
        <v>6520382</v>
      </c>
      <c r="L35" s="37">
        <f>I35-K35</f>
        <v>0</v>
      </c>
      <c r="M35" s="37"/>
      <c r="N35" s="37"/>
      <c r="O35" s="140">
        <v>0</v>
      </c>
      <c r="P35" s="43">
        <v>44566</v>
      </c>
      <c r="Q35" s="5" t="s">
        <v>284</v>
      </c>
      <c r="R35" s="42"/>
      <c r="S35" s="37">
        <v>7253258</v>
      </c>
      <c r="T35" s="39">
        <f>K35-S35</f>
        <v>-732876</v>
      </c>
      <c r="U35" s="5"/>
      <c r="V35" s="140">
        <f>T35/K35</f>
        <v>-0.11239770921396937</v>
      </c>
      <c r="W35" s="43">
        <v>44595</v>
      </c>
      <c r="X35" s="5" t="s">
        <v>284</v>
      </c>
      <c r="Y35" s="42"/>
      <c r="Z35" s="5"/>
      <c r="AA35" s="38">
        <v>6886820</v>
      </c>
      <c r="AB35" s="38">
        <f>S35-AA35</f>
        <v>366438</v>
      </c>
      <c r="AC35" s="5"/>
      <c r="AD35" s="40">
        <f>AB35/S35</f>
        <v>5.0520469560023921E-2</v>
      </c>
      <c r="AE35" s="43">
        <v>44630</v>
      </c>
      <c r="AF35" s="5" t="s">
        <v>284</v>
      </c>
      <c r="AG35" s="5"/>
      <c r="AH35" s="5"/>
      <c r="AI35" s="37">
        <v>6886820</v>
      </c>
      <c r="AJ35" s="37">
        <f>AA35-AI35</f>
        <v>0</v>
      </c>
      <c r="AK35" s="37"/>
      <c r="AL35" s="37"/>
      <c r="AM35" s="140">
        <v>0</v>
      </c>
      <c r="AN35" s="142">
        <v>44659</v>
      </c>
      <c r="AO35" s="5" t="s">
        <v>284</v>
      </c>
      <c r="AP35" s="5"/>
      <c r="AQ35" s="40"/>
      <c r="AR35" s="37">
        <v>6886820</v>
      </c>
      <c r="AS35" s="37">
        <f t="shared" si="1"/>
        <v>0</v>
      </c>
      <c r="AT35" s="37"/>
      <c r="AU35" s="37"/>
      <c r="AV35" s="140">
        <v>0</v>
      </c>
      <c r="AW35" s="43">
        <v>44686</v>
      </c>
      <c r="AX35" s="5" t="s">
        <v>284</v>
      </c>
      <c r="AY35" s="5"/>
      <c r="AZ35" s="140"/>
      <c r="BA35" s="37">
        <v>6886820</v>
      </c>
      <c r="BB35" s="37">
        <f t="shared" si="2"/>
        <v>0</v>
      </c>
      <c r="BC35" s="37"/>
      <c r="BD35" s="37"/>
      <c r="BE35" s="140">
        <v>0</v>
      </c>
      <c r="BF35" s="43">
        <v>44734</v>
      </c>
      <c r="BG35" s="5" t="s">
        <v>284</v>
      </c>
      <c r="BH35" s="43">
        <v>44757</v>
      </c>
      <c r="BI35" s="140"/>
      <c r="BJ35" s="37">
        <v>6886820</v>
      </c>
      <c r="BK35" s="37">
        <f>BA35-BJ35</f>
        <v>0</v>
      </c>
      <c r="BL35" s="37"/>
      <c r="BM35" s="37"/>
      <c r="BN35" s="140">
        <v>0</v>
      </c>
      <c r="BO35" s="43">
        <v>44748</v>
      </c>
      <c r="BP35" s="5" t="s">
        <v>284</v>
      </c>
      <c r="BQ35" s="43">
        <v>44757</v>
      </c>
      <c r="BR35" s="140"/>
      <c r="BS35" s="37">
        <v>6886820</v>
      </c>
      <c r="BT35" s="37">
        <f>BJ35-BS35</f>
        <v>0</v>
      </c>
      <c r="BU35" s="37"/>
      <c r="BV35" s="37"/>
      <c r="BW35" s="140">
        <v>0</v>
      </c>
      <c r="BX35" s="43">
        <v>44777</v>
      </c>
      <c r="BY35" s="5" t="s">
        <v>284</v>
      </c>
      <c r="BZ35" s="5"/>
      <c r="CA35" s="140"/>
      <c r="CB35" s="37"/>
      <c r="CC35" s="37"/>
      <c r="CD35" s="37"/>
      <c r="CE35" s="37"/>
      <c r="CF35" s="140"/>
      <c r="CG35" s="43"/>
      <c r="CH35" s="5"/>
      <c r="CI35" s="5"/>
      <c r="CJ35" s="140"/>
      <c r="CK35" s="37"/>
      <c r="CL35" s="37"/>
      <c r="CM35" s="37"/>
      <c r="CN35" s="37"/>
      <c r="CO35" s="140"/>
      <c r="CP35" s="43"/>
      <c r="CQ35" s="5"/>
      <c r="CR35" s="5"/>
      <c r="CS35" s="140"/>
      <c r="CT35" s="37"/>
      <c r="CU35" s="37"/>
      <c r="CV35" s="37"/>
      <c r="CW35" s="37"/>
      <c r="CX35" s="140"/>
      <c r="CY35" s="43"/>
      <c r="CZ35" s="5"/>
      <c r="DA35" s="143"/>
      <c r="DB35" s="140"/>
      <c r="DC35" s="37"/>
      <c r="DD35" s="37"/>
      <c r="DE35" s="37"/>
      <c r="DF35" s="37"/>
      <c r="DG35" s="140"/>
      <c r="DH35" s="43"/>
      <c r="DI35" s="5"/>
      <c r="DJ35" s="5"/>
    </row>
    <row r="36" spans="1:114" x14ac:dyDescent="0.35">
      <c r="A36" s="9">
        <v>204996</v>
      </c>
      <c r="B36" s="9" t="s">
        <v>370</v>
      </c>
      <c r="C36" s="34" t="s">
        <v>368</v>
      </c>
      <c r="D36" s="5" t="s">
        <v>889</v>
      </c>
      <c r="E36" s="5" t="s">
        <v>699</v>
      </c>
      <c r="F36" s="6">
        <v>8581</v>
      </c>
      <c r="G36" s="145" t="s">
        <v>890</v>
      </c>
      <c r="H36" s="37">
        <v>6134535</v>
      </c>
      <c r="I36" s="37">
        <v>5700181</v>
      </c>
      <c r="J36" s="37"/>
      <c r="K36" s="37">
        <v>5700181</v>
      </c>
      <c r="L36" s="37">
        <f>I36-K36</f>
        <v>0</v>
      </c>
      <c r="M36" s="37"/>
      <c r="N36" s="37"/>
      <c r="O36" s="140">
        <v>0</v>
      </c>
      <c r="P36" s="142">
        <v>44200</v>
      </c>
      <c r="Q36" s="9" t="s">
        <v>284</v>
      </c>
      <c r="R36" s="42"/>
      <c r="S36" s="37">
        <f>6134535+719429</f>
        <v>6853964</v>
      </c>
      <c r="T36" s="39">
        <f>K36-S36</f>
        <v>-1153783</v>
      </c>
      <c r="U36" s="5"/>
      <c r="V36" s="163">
        <f>T36/K36</f>
        <v>-0.20241164271801193</v>
      </c>
      <c r="W36" s="142">
        <v>44620</v>
      </c>
      <c r="X36" s="5" t="s">
        <v>284</v>
      </c>
      <c r="Y36" s="42"/>
      <c r="Z36" s="5"/>
      <c r="AA36" s="38">
        <f>6134535+719429</f>
        <v>6853964</v>
      </c>
      <c r="AB36" s="38">
        <f>H36-AA36</f>
        <v>-719429</v>
      </c>
      <c r="AC36" s="5"/>
      <c r="AD36" s="40">
        <v>0</v>
      </c>
      <c r="AE36" s="51">
        <v>44644</v>
      </c>
      <c r="AF36" s="5" t="s">
        <v>284</v>
      </c>
      <c r="AG36" s="42"/>
      <c r="AH36" s="5"/>
      <c r="AI36" s="37">
        <f>6134535+599524</f>
        <v>6734059</v>
      </c>
      <c r="AJ36" s="37">
        <f>H36-AI36</f>
        <v>-599524</v>
      </c>
      <c r="AK36" s="37"/>
      <c r="AL36" s="37"/>
      <c r="AM36" s="140">
        <v>0</v>
      </c>
      <c r="AN36" s="142">
        <v>44683</v>
      </c>
      <c r="AO36" s="5" t="s">
        <v>284</v>
      </c>
      <c r="AP36" s="5"/>
      <c r="AQ36" s="40"/>
      <c r="AR36" s="37">
        <f>6134535+599524</f>
        <v>6734059</v>
      </c>
      <c r="AS36" s="37">
        <v>0</v>
      </c>
      <c r="AT36" s="37"/>
      <c r="AU36" s="37"/>
      <c r="AV36" s="140">
        <v>0</v>
      </c>
      <c r="AW36" s="43">
        <v>44699</v>
      </c>
      <c r="AX36" s="5" t="s">
        <v>284</v>
      </c>
      <c r="AY36" s="5"/>
      <c r="AZ36" s="140"/>
      <c r="BA36" s="37">
        <v>6134535</v>
      </c>
      <c r="BB36" s="37">
        <v>0</v>
      </c>
      <c r="BC36" s="37"/>
      <c r="BD36" s="37"/>
      <c r="BE36" s="140">
        <v>0</v>
      </c>
      <c r="BF36" s="43">
        <v>44715</v>
      </c>
      <c r="BG36" s="5" t="s">
        <v>284</v>
      </c>
      <c r="BH36" s="43">
        <v>44728</v>
      </c>
      <c r="BI36" s="140"/>
      <c r="BJ36" s="37">
        <v>6134535</v>
      </c>
      <c r="BK36" s="37">
        <f>BA36-BJ36</f>
        <v>0</v>
      </c>
      <c r="BL36" s="37"/>
      <c r="BM36" s="37"/>
      <c r="BN36" s="140">
        <v>0</v>
      </c>
      <c r="BO36" s="43">
        <v>44743</v>
      </c>
      <c r="BP36" s="5" t="s">
        <v>284</v>
      </c>
      <c r="BQ36" s="43">
        <v>44757</v>
      </c>
      <c r="BR36" s="140"/>
      <c r="BS36" s="37">
        <v>6134535</v>
      </c>
      <c r="BT36" s="37">
        <f>BJ36-BS36</f>
        <v>0</v>
      </c>
      <c r="BU36" s="37"/>
      <c r="BV36" s="37"/>
      <c r="BW36" s="140">
        <v>0</v>
      </c>
      <c r="BX36" s="43">
        <v>44775</v>
      </c>
      <c r="BY36" s="5" t="s">
        <v>284</v>
      </c>
      <c r="BZ36" s="5"/>
      <c r="CA36" s="140"/>
      <c r="CB36" s="164">
        <v>6134535</v>
      </c>
      <c r="CC36" s="37"/>
      <c r="CD36" s="37"/>
      <c r="CE36" s="37"/>
      <c r="CF36" s="140"/>
      <c r="CG36" s="43"/>
      <c r="CH36" s="5"/>
      <c r="CI36" s="5"/>
      <c r="CJ36" s="140"/>
      <c r="CK36" s="37"/>
      <c r="CL36" s="37"/>
      <c r="CM36" s="37"/>
      <c r="CN36" s="37"/>
      <c r="CO36" s="140"/>
      <c r="CP36" s="43"/>
      <c r="CQ36" s="5"/>
      <c r="CR36" s="5"/>
      <c r="CS36" s="140"/>
      <c r="CT36" s="37"/>
      <c r="CU36" s="37"/>
      <c r="CV36" s="37"/>
      <c r="CW36" s="37"/>
      <c r="CX36" s="140"/>
      <c r="CY36" s="43"/>
      <c r="CZ36" s="5"/>
      <c r="DA36" s="143"/>
      <c r="DB36" s="140"/>
      <c r="DC36" s="37"/>
      <c r="DD36" s="37"/>
      <c r="DE36" s="37"/>
      <c r="DF36" s="37"/>
      <c r="DG36" s="140"/>
      <c r="DH36" s="43"/>
      <c r="DI36" s="5"/>
      <c r="DJ36" s="5"/>
    </row>
    <row r="37" spans="1:114" x14ac:dyDescent="0.35">
      <c r="A37" s="9">
        <v>289666</v>
      </c>
      <c r="B37" s="9" t="s">
        <v>630</v>
      </c>
      <c r="C37" s="34" t="s">
        <v>372</v>
      </c>
      <c r="D37" s="5" t="s">
        <v>807</v>
      </c>
      <c r="E37" s="5" t="s">
        <v>715</v>
      </c>
      <c r="F37" s="6">
        <v>8582</v>
      </c>
      <c r="G37" s="145" t="s">
        <v>631</v>
      </c>
      <c r="H37" s="37">
        <v>6609193</v>
      </c>
      <c r="I37" s="37">
        <v>6257520</v>
      </c>
      <c r="J37" s="37"/>
      <c r="K37" s="37">
        <v>6609193</v>
      </c>
      <c r="L37" s="37"/>
      <c r="M37" s="37">
        <f>I37-K37</f>
        <v>-351673</v>
      </c>
      <c r="N37" s="37"/>
      <c r="O37" s="140">
        <f>M37/I37</f>
        <v>-5.6200060087702473E-2</v>
      </c>
      <c r="P37" s="43">
        <v>44574</v>
      </c>
      <c r="Q37" s="5" t="s">
        <v>284</v>
      </c>
      <c r="R37" s="42"/>
      <c r="S37" s="37">
        <v>6609193</v>
      </c>
      <c r="T37" s="39">
        <f>K37-S37</f>
        <v>0</v>
      </c>
      <c r="U37" s="37"/>
      <c r="V37" s="140">
        <v>0</v>
      </c>
      <c r="W37" s="142">
        <v>44600</v>
      </c>
      <c r="X37" s="5" t="s">
        <v>284</v>
      </c>
      <c r="Y37" s="42"/>
      <c r="Z37" s="5"/>
      <c r="AA37" s="38">
        <v>6609193</v>
      </c>
      <c r="AB37" s="38">
        <f>S37-AA37</f>
        <v>0</v>
      </c>
      <c r="AC37" s="5"/>
      <c r="AD37" s="40">
        <v>0</v>
      </c>
      <c r="AE37" s="142">
        <v>44628</v>
      </c>
      <c r="AF37" s="5" t="s">
        <v>284</v>
      </c>
      <c r="AG37" s="5"/>
      <c r="AH37" s="5"/>
      <c r="AI37" s="37">
        <v>6609193</v>
      </c>
      <c r="AJ37" s="37">
        <f>AA37-AI37</f>
        <v>0</v>
      </c>
      <c r="AK37" s="37"/>
      <c r="AL37" s="37"/>
      <c r="AM37" s="140">
        <v>0</v>
      </c>
      <c r="AN37" s="142">
        <v>44659</v>
      </c>
      <c r="AO37" s="5" t="s">
        <v>284</v>
      </c>
      <c r="AP37" s="5"/>
      <c r="AQ37" s="40"/>
      <c r="AR37" s="37">
        <v>6609193</v>
      </c>
      <c r="AS37" s="37">
        <f>AI37-AR37</f>
        <v>0</v>
      </c>
      <c r="AT37" s="37"/>
      <c r="AU37" s="37"/>
      <c r="AV37" s="140">
        <v>0</v>
      </c>
      <c r="AW37" s="43">
        <v>44687</v>
      </c>
      <c r="AX37" s="5" t="s">
        <v>284</v>
      </c>
      <c r="AY37" s="5"/>
      <c r="AZ37" s="140"/>
      <c r="BA37" s="37">
        <v>6609193</v>
      </c>
      <c r="BB37" s="37">
        <f>AR37-BA37</f>
        <v>0</v>
      </c>
      <c r="BC37" s="37"/>
      <c r="BD37" s="37"/>
      <c r="BE37" s="140">
        <v>0</v>
      </c>
      <c r="BF37" s="43">
        <v>44719</v>
      </c>
      <c r="BG37" s="5" t="s">
        <v>284</v>
      </c>
      <c r="BH37" s="43">
        <v>44728</v>
      </c>
      <c r="BI37" s="140"/>
      <c r="BJ37" s="37">
        <v>6609193</v>
      </c>
      <c r="BK37" s="37">
        <f>BA37-BJ37</f>
        <v>0</v>
      </c>
      <c r="BL37" s="37"/>
      <c r="BM37" s="37"/>
      <c r="BN37" s="140">
        <v>0</v>
      </c>
      <c r="BO37" s="43">
        <v>44750</v>
      </c>
      <c r="BP37" s="5" t="s">
        <v>284</v>
      </c>
      <c r="BQ37" s="43">
        <v>44768</v>
      </c>
      <c r="BR37" s="140"/>
      <c r="BS37" s="37">
        <v>6609193</v>
      </c>
      <c r="BT37" s="37">
        <f>BJ37-BS37</f>
        <v>0</v>
      </c>
      <c r="BU37" s="37"/>
      <c r="BV37" s="37"/>
      <c r="BW37" s="140">
        <v>0</v>
      </c>
      <c r="BX37" s="43">
        <v>44778</v>
      </c>
      <c r="BY37" s="5" t="s">
        <v>284</v>
      </c>
      <c r="BZ37" s="5"/>
      <c r="CA37" s="140"/>
      <c r="CB37" s="37"/>
      <c r="CC37" s="37"/>
      <c r="CD37" s="37"/>
      <c r="CE37" s="37"/>
      <c r="CF37" s="140"/>
      <c r="CG37" s="43"/>
      <c r="CH37" s="5"/>
      <c r="CI37" s="5"/>
      <c r="CJ37" s="140"/>
      <c r="CK37" s="37"/>
      <c r="CL37" s="37"/>
      <c r="CM37" s="37"/>
      <c r="CN37" s="37"/>
      <c r="CO37" s="140"/>
      <c r="CP37" s="43"/>
      <c r="CQ37" s="5"/>
      <c r="CR37" s="5"/>
      <c r="CS37" s="140"/>
      <c r="CT37" s="37"/>
      <c r="CU37" s="37"/>
      <c r="CV37" s="37"/>
      <c r="CW37" s="37"/>
      <c r="CX37" s="140"/>
      <c r="CY37" s="43"/>
      <c r="CZ37" s="5"/>
      <c r="DA37" s="143"/>
      <c r="DB37" s="140"/>
      <c r="DC37" s="37"/>
      <c r="DD37" s="37"/>
      <c r="DE37" s="37"/>
      <c r="DF37" s="37"/>
      <c r="DG37" s="140"/>
      <c r="DH37" s="43"/>
      <c r="DI37" s="5"/>
      <c r="DJ37" s="5"/>
    </row>
    <row r="38" spans="1:114" x14ac:dyDescent="0.35">
      <c r="A38" s="9">
        <v>205022</v>
      </c>
      <c r="B38" s="9" t="s">
        <v>891</v>
      </c>
      <c r="C38" s="34" t="s">
        <v>372</v>
      </c>
      <c r="D38" s="5" t="s">
        <v>807</v>
      </c>
      <c r="E38" s="5" t="s">
        <v>715</v>
      </c>
      <c r="F38" s="6" t="s">
        <v>873</v>
      </c>
      <c r="G38" s="145" t="s">
        <v>892</v>
      </c>
      <c r="H38" s="589" t="s">
        <v>873</v>
      </c>
      <c r="I38" s="590"/>
      <c r="J38" s="606" t="s">
        <v>875</v>
      </c>
      <c r="K38" s="607"/>
      <c r="L38" s="607"/>
      <c r="M38" s="607"/>
      <c r="N38" s="607"/>
      <c r="O38" s="607"/>
      <c r="P38" s="607"/>
      <c r="Q38" s="607"/>
      <c r="R38" s="608"/>
      <c r="S38" s="37">
        <v>817539</v>
      </c>
      <c r="T38" s="37">
        <v>0</v>
      </c>
      <c r="U38" s="37"/>
      <c r="V38" s="140">
        <v>0</v>
      </c>
      <c r="W38" s="142">
        <v>44609</v>
      </c>
      <c r="X38" s="5" t="s">
        <v>284</v>
      </c>
      <c r="Y38" s="42"/>
      <c r="Z38" s="597" t="s">
        <v>875</v>
      </c>
      <c r="AA38" s="598"/>
      <c r="AB38" s="598"/>
      <c r="AC38" s="598"/>
      <c r="AD38" s="598"/>
      <c r="AE38" s="598"/>
      <c r="AF38" s="598"/>
      <c r="AG38" s="599"/>
      <c r="AH38" s="597" t="s">
        <v>875</v>
      </c>
      <c r="AI38" s="598"/>
      <c r="AJ38" s="598"/>
      <c r="AK38" s="598"/>
      <c r="AL38" s="598"/>
      <c r="AM38" s="598"/>
      <c r="AN38" s="598"/>
      <c r="AO38" s="598"/>
      <c r="AP38" s="599"/>
      <c r="AQ38" s="591" t="s">
        <v>893</v>
      </c>
      <c r="AR38" s="592"/>
      <c r="AS38" s="592"/>
      <c r="AT38" s="592"/>
      <c r="AU38" s="592"/>
      <c r="AV38" s="592"/>
      <c r="AW38" s="592"/>
      <c r="AX38" s="592"/>
      <c r="AY38" s="593"/>
      <c r="AZ38" s="5"/>
      <c r="BA38" s="57">
        <v>388095</v>
      </c>
      <c r="BB38" s="57">
        <v>0</v>
      </c>
      <c r="BC38" s="5"/>
      <c r="BD38" s="5"/>
      <c r="BE38" s="67">
        <v>0</v>
      </c>
      <c r="BF38" s="43">
        <v>44729</v>
      </c>
      <c r="BG38" s="5" t="s">
        <v>284</v>
      </c>
      <c r="BH38" s="43">
        <v>44753</v>
      </c>
      <c r="BI38" s="5"/>
      <c r="BJ38" s="57">
        <v>1838550</v>
      </c>
      <c r="BK38" s="57">
        <v>0</v>
      </c>
      <c r="BL38" s="5"/>
      <c r="BM38" s="5"/>
      <c r="BN38" s="67">
        <v>0</v>
      </c>
      <c r="BO38" s="43">
        <v>44761</v>
      </c>
      <c r="BP38" s="5" t="s">
        <v>284</v>
      </c>
      <c r="BQ38" s="43">
        <v>44769</v>
      </c>
      <c r="BR38" s="5"/>
      <c r="BS38" s="57">
        <v>2620387</v>
      </c>
      <c r="BT38" s="57">
        <v>0</v>
      </c>
      <c r="BU38" s="5"/>
      <c r="BV38" s="5"/>
      <c r="BW38" s="67">
        <v>0</v>
      </c>
      <c r="BX38" s="43">
        <v>44785</v>
      </c>
      <c r="BY38" s="5" t="s">
        <v>284</v>
      </c>
      <c r="BZ38" s="5"/>
      <c r="CA38" s="140"/>
      <c r="CB38" s="37"/>
      <c r="CC38" s="37"/>
      <c r="CD38" s="37"/>
      <c r="CE38" s="37"/>
      <c r="CF38" s="140"/>
      <c r="CG38" s="43"/>
      <c r="CH38" s="5"/>
      <c r="CI38" s="5"/>
      <c r="CJ38" s="140"/>
      <c r="CK38" s="37"/>
      <c r="CL38" s="37"/>
      <c r="CM38" s="37"/>
      <c r="CN38" s="37"/>
      <c r="CO38" s="140"/>
      <c r="CP38" s="43"/>
      <c r="CQ38" s="5"/>
      <c r="CR38" s="5"/>
      <c r="CS38" s="591"/>
      <c r="CT38" s="592"/>
      <c r="CU38" s="592"/>
      <c r="CV38" s="592"/>
      <c r="CW38" s="592"/>
      <c r="CX38" s="592"/>
      <c r="CY38" s="592"/>
      <c r="CZ38" s="592"/>
      <c r="DA38" s="593"/>
      <c r="DB38" s="140"/>
      <c r="DC38" s="37"/>
      <c r="DD38" s="37"/>
      <c r="DE38" s="37"/>
      <c r="DF38" s="37"/>
      <c r="DG38" s="140"/>
      <c r="DH38" s="43"/>
      <c r="DI38" s="5"/>
      <c r="DJ38" s="5"/>
    </row>
    <row r="39" spans="1:114" x14ac:dyDescent="0.35">
      <c r="A39" s="9">
        <v>206169</v>
      </c>
      <c r="B39" s="9" t="s">
        <v>894</v>
      </c>
      <c r="C39" s="34" t="s">
        <v>376</v>
      </c>
      <c r="D39" s="5" t="s">
        <v>808</v>
      </c>
      <c r="E39" s="5" t="s">
        <v>809</v>
      </c>
      <c r="F39" s="6" t="s">
        <v>873</v>
      </c>
      <c r="G39" s="145" t="s">
        <v>810</v>
      </c>
      <c r="H39" s="589" t="s">
        <v>873</v>
      </c>
      <c r="I39" s="590"/>
      <c r="J39" s="37"/>
      <c r="K39" s="37">
        <f>9270303+18134</f>
        <v>9288437</v>
      </c>
      <c r="L39" s="37">
        <v>0</v>
      </c>
      <c r="M39" s="37"/>
      <c r="N39" s="37"/>
      <c r="O39" s="140">
        <v>0</v>
      </c>
      <c r="P39" s="43">
        <v>44578</v>
      </c>
      <c r="Q39" s="9" t="s">
        <v>284</v>
      </c>
      <c r="R39" s="42"/>
      <c r="S39" s="37">
        <v>4678824</v>
      </c>
      <c r="T39" s="37">
        <v>0</v>
      </c>
      <c r="U39" s="37">
        <v>302917</v>
      </c>
      <c r="V39" s="140">
        <v>0</v>
      </c>
      <c r="W39" s="142">
        <v>44606</v>
      </c>
      <c r="X39" s="5" t="s">
        <v>284</v>
      </c>
      <c r="Y39" s="42"/>
      <c r="Z39" s="5"/>
      <c r="AA39" s="38">
        <f>5267047+10208</f>
        <v>5277255</v>
      </c>
      <c r="AB39" s="38">
        <v>0</v>
      </c>
      <c r="AC39" s="5"/>
      <c r="AD39" s="40">
        <v>0</v>
      </c>
      <c r="AE39" s="51">
        <v>44634</v>
      </c>
      <c r="AF39" s="5" t="s">
        <v>284</v>
      </c>
      <c r="AG39" s="42"/>
      <c r="AH39" s="5"/>
      <c r="AI39" s="37">
        <v>5072585</v>
      </c>
      <c r="AJ39" s="37">
        <v>0</v>
      </c>
      <c r="AK39" s="37"/>
      <c r="AL39" s="37">
        <v>20870</v>
      </c>
      <c r="AM39" s="140">
        <v>0</v>
      </c>
      <c r="AN39" s="43">
        <v>44662</v>
      </c>
      <c r="AO39" s="5" t="s">
        <v>284</v>
      </c>
      <c r="AP39" s="5"/>
      <c r="AQ39" s="40"/>
      <c r="AR39" s="37">
        <f>4069097+30300</f>
        <v>4099397</v>
      </c>
      <c r="AS39" s="37">
        <v>0</v>
      </c>
      <c r="AT39" s="37"/>
      <c r="AU39" s="37"/>
      <c r="AV39" s="140">
        <v>0</v>
      </c>
      <c r="AW39" s="43">
        <v>44692</v>
      </c>
      <c r="AX39" s="5" t="s">
        <v>284</v>
      </c>
      <c r="AY39" s="5"/>
      <c r="AZ39" s="140"/>
      <c r="BA39" s="37">
        <v>5999308</v>
      </c>
      <c r="BB39" s="37">
        <v>0</v>
      </c>
      <c r="BC39" s="37"/>
      <c r="BD39" s="37">
        <v>87526</v>
      </c>
      <c r="BE39" s="140">
        <v>0</v>
      </c>
      <c r="BF39" s="43">
        <v>44715</v>
      </c>
      <c r="BG39" s="5" t="s">
        <v>284</v>
      </c>
      <c r="BH39" s="43">
        <v>44728</v>
      </c>
      <c r="BI39" s="140"/>
      <c r="BJ39" s="37">
        <f>2194975+602464</f>
        <v>2797439</v>
      </c>
      <c r="BK39" s="37">
        <v>0</v>
      </c>
      <c r="BL39" s="37"/>
      <c r="BM39" s="37"/>
      <c r="BN39" s="140">
        <v>0</v>
      </c>
      <c r="BO39" s="43">
        <v>44755</v>
      </c>
      <c r="BP39" s="5" t="s">
        <v>284</v>
      </c>
      <c r="BQ39" s="43">
        <v>44768</v>
      </c>
      <c r="BR39" s="140"/>
      <c r="BS39" s="37">
        <v>10301610</v>
      </c>
      <c r="BT39" s="37">
        <v>0</v>
      </c>
      <c r="BU39" s="37"/>
      <c r="BV39" s="37">
        <v>78451</v>
      </c>
      <c r="BW39" s="140">
        <v>0</v>
      </c>
      <c r="BX39" s="43">
        <v>44778</v>
      </c>
      <c r="BY39" s="5" t="s">
        <v>284</v>
      </c>
      <c r="BZ39" s="5"/>
      <c r="CA39" s="140"/>
      <c r="CB39" s="37"/>
      <c r="CC39" s="37"/>
      <c r="CD39" s="37"/>
      <c r="CE39" s="37"/>
      <c r="CF39" s="140"/>
      <c r="CG39" s="43"/>
      <c r="CH39" s="5"/>
      <c r="CI39" s="5"/>
      <c r="CJ39" s="140"/>
      <c r="CK39" s="37"/>
      <c r="CL39" s="37"/>
      <c r="CM39" s="37"/>
      <c r="CN39" s="37"/>
      <c r="CO39" s="140"/>
      <c r="CP39" s="43"/>
      <c r="CQ39" s="5"/>
      <c r="CR39" s="5"/>
      <c r="CS39" s="140"/>
      <c r="CT39" s="37"/>
      <c r="CU39" s="37"/>
      <c r="CV39" s="37"/>
      <c r="CW39" s="37"/>
      <c r="CX39" s="140"/>
      <c r="CY39" s="43"/>
      <c r="CZ39" s="5"/>
      <c r="DA39" s="143"/>
      <c r="DB39" s="140"/>
      <c r="DC39" s="37"/>
      <c r="DD39" s="37"/>
      <c r="DE39" s="37"/>
      <c r="DF39" s="37"/>
      <c r="DG39" s="140"/>
      <c r="DH39" s="43"/>
      <c r="DI39" s="5"/>
      <c r="DJ39" s="5"/>
    </row>
    <row r="40" spans="1:114" x14ac:dyDescent="0.35">
      <c r="A40" s="9">
        <v>206169</v>
      </c>
      <c r="B40" s="9" t="s">
        <v>30</v>
      </c>
      <c r="C40" s="34" t="s">
        <v>376</v>
      </c>
      <c r="D40" s="5" t="s">
        <v>808</v>
      </c>
      <c r="E40" s="5" t="s">
        <v>809</v>
      </c>
      <c r="F40" s="6">
        <v>8583</v>
      </c>
      <c r="G40" s="145" t="s">
        <v>810</v>
      </c>
      <c r="H40" s="37">
        <v>7372027</v>
      </c>
      <c r="I40" s="37">
        <v>6979765</v>
      </c>
      <c r="J40" s="37"/>
      <c r="K40" s="37">
        <v>7372027</v>
      </c>
      <c r="L40" s="37">
        <f>H40-K40</f>
        <v>0</v>
      </c>
      <c r="M40" s="37"/>
      <c r="N40" s="37"/>
      <c r="O40" s="140">
        <f>M40/I40</f>
        <v>0</v>
      </c>
      <c r="P40" s="142">
        <v>44568</v>
      </c>
      <c r="Q40" s="5" t="s">
        <v>284</v>
      </c>
      <c r="R40" s="42"/>
      <c r="S40" s="37">
        <v>7372027</v>
      </c>
      <c r="T40" s="39">
        <f>K40-S40</f>
        <v>0</v>
      </c>
      <c r="U40" s="5"/>
      <c r="V40" s="140">
        <v>0</v>
      </c>
      <c r="W40" s="142">
        <v>44588</v>
      </c>
      <c r="X40" s="5" t="s">
        <v>284</v>
      </c>
      <c r="Y40" s="42"/>
      <c r="Z40" s="144"/>
      <c r="AA40" s="38">
        <v>7372027</v>
      </c>
      <c r="AB40" s="38">
        <f>S40-AA40</f>
        <v>0</v>
      </c>
      <c r="AC40" s="38">
        <v>7372027</v>
      </c>
      <c r="AD40" s="40">
        <v>0</v>
      </c>
      <c r="AE40" s="43">
        <v>44624</v>
      </c>
      <c r="AF40" s="5" t="s">
        <v>284</v>
      </c>
      <c r="AG40" s="42"/>
      <c r="AH40" s="147"/>
      <c r="AI40" s="37">
        <v>7372027</v>
      </c>
      <c r="AJ40" s="37">
        <f>AA40-AI40</f>
        <v>0</v>
      </c>
      <c r="AK40" s="37"/>
      <c r="AL40" s="37"/>
      <c r="AM40" s="140">
        <v>0</v>
      </c>
      <c r="AN40" s="142">
        <v>44645</v>
      </c>
      <c r="AO40" s="5" t="s">
        <v>284</v>
      </c>
      <c r="AP40" s="5"/>
      <c r="AQ40" s="40"/>
      <c r="AR40" s="37">
        <v>7372027</v>
      </c>
      <c r="AS40" s="37">
        <f>AI40-AR40</f>
        <v>0</v>
      </c>
      <c r="AT40" s="37"/>
      <c r="AU40" s="37"/>
      <c r="AV40" s="140">
        <v>0</v>
      </c>
      <c r="AW40" s="43">
        <v>44677</v>
      </c>
      <c r="AX40" s="5" t="s">
        <v>284</v>
      </c>
      <c r="AY40" s="5"/>
      <c r="AZ40" s="140"/>
      <c r="BA40" s="37">
        <v>7372027</v>
      </c>
      <c r="BB40" s="37">
        <f>AR40-BA40</f>
        <v>0</v>
      </c>
      <c r="BC40" s="37"/>
      <c r="BD40" s="37"/>
      <c r="BE40" s="140">
        <v>0</v>
      </c>
      <c r="BF40" s="43">
        <v>44712</v>
      </c>
      <c r="BG40" s="5" t="s">
        <v>284</v>
      </c>
      <c r="BH40" s="43">
        <v>44728</v>
      </c>
      <c r="BI40" s="140"/>
      <c r="BJ40" s="37">
        <v>7372027</v>
      </c>
      <c r="BK40" s="37">
        <f>BA40-BJ40</f>
        <v>0</v>
      </c>
      <c r="BL40" s="37"/>
      <c r="BM40" s="37"/>
      <c r="BN40" s="140">
        <v>0</v>
      </c>
      <c r="BO40" s="43">
        <v>44741</v>
      </c>
      <c r="BP40" s="5" t="s">
        <v>284</v>
      </c>
      <c r="BQ40" s="43">
        <v>44757</v>
      </c>
      <c r="BR40" s="140"/>
      <c r="BS40" s="37">
        <v>7372027</v>
      </c>
      <c r="BT40" s="37">
        <f>BJ40-BS40</f>
        <v>0</v>
      </c>
      <c r="BU40" s="37"/>
      <c r="BV40" s="37"/>
      <c r="BW40" s="140">
        <v>0</v>
      </c>
      <c r="BX40" s="43">
        <v>44774</v>
      </c>
      <c r="BY40" s="5" t="s">
        <v>284</v>
      </c>
      <c r="BZ40" s="5"/>
      <c r="CA40" s="140"/>
      <c r="CB40" s="37"/>
      <c r="CC40" s="37"/>
      <c r="CD40" s="37"/>
      <c r="CE40" s="37"/>
      <c r="CF40" s="140"/>
      <c r="CG40" s="43"/>
      <c r="CH40" s="5"/>
      <c r="CI40" s="5"/>
      <c r="CJ40" s="140"/>
      <c r="CK40" s="37"/>
      <c r="CL40" s="37"/>
      <c r="CM40" s="37"/>
      <c r="CN40" s="37"/>
      <c r="CO40" s="140"/>
      <c r="CP40" s="43"/>
      <c r="CQ40" s="5"/>
      <c r="CR40" s="5"/>
      <c r="CS40" s="140"/>
      <c r="CT40" s="37"/>
      <c r="CU40" s="37"/>
      <c r="CV40" s="37"/>
      <c r="CW40" s="37"/>
      <c r="CX40" s="140"/>
      <c r="CY40" s="43"/>
      <c r="CZ40" s="5"/>
      <c r="DA40" s="143"/>
      <c r="DB40" s="140"/>
      <c r="DC40" s="37"/>
      <c r="DD40" s="37"/>
      <c r="DE40" s="37"/>
      <c r="DF40" s="37"/>
      <c r="DG40" s="140"/>
      <c r="DH40" s="43"/>
      <c r="DI40" s="5"/>
      <c r="DJ40" s="5"/>
    </row>
    <row r="41" spans="1:114" x14ac:dyDescent="0.35">
      <c r="A41" s="9">
        <v>205547</v>
      </c>
      <c r="B41" s="9" t="s">
        <v>895</v>
      </c>
      <c r="C41" s="34" t="s">
        <v>379</v>
      </c>
      <c r="D41" s="5" t="s">
        <v>811</v>
      </c>
      <c r="E41" s="5" t="s">
        <v>812</v>
      </c>
      <c r="F41" s="6" t="s">
        <v>873</v>
      </c>
      <c r="G41" s="145" t="s">
        <v>806</v>
      </c>
      <c r="H41" s="589" t="s">
        <v>873</v>
      </c>
      <c r="I41" s="590"/>
      <c r="J41" s="37"/>
      <c r="K41" s="37">
        <v>1729847</v>
      </c>
      <c r="L41" s="37">
        <v>0</v>
      </c>
      <c r="M41" s="37"/>
      <c r="N41" s="37"/>
      <c r="O41" s="140">
        <v>0</v>
      </c>
      <c r="P41" s="142">
        <v>44586</v>
      </c>
      <c r="Q41" s="5" t="s">
        <v>284</v>
      </c>
      <c r="R41" s="42"/>
      <c r="S41" s="37">
        <v>400531</v>
      </c>
      <c r="T41" s="37">
        <v>0</v>
      </c>
      <c r="U41" s="5"/>
      <c r="V41" s="140">
        <v>0</v>
      </c>
      <c r="W41" s="43">
        <v>44616</v>
      </c>
      <c r="X41" s="5" t="s">
        <v>284</v>
      </c>
      <c r="Y41" s="42"/>
      <c r="Z41" s="597" t="s">
        <v>875</v>
      </c>
      <c r="AA41" s="598"/>
      <c r="AB41" s="598"/>
      <c r="AC41" s="598"/>
      <c r="AD41" s="598"/>
      <c r="AE41" s="598"/>
      <c r="AF41" s="598"/>
      <c r="AG41" s="599"/>
      <c r="AH41" s="597" t="s">
        <v>875</v>
      </c>
      <c r="AI41" s="598"/>
      <c r="AJ41" s="598"/>
      <c r="AK41" s="598"/>
      <c r="AL41" s="598"/>
      <c r="AM41" s="598"/>
      <c r="AN41" s="598"/>
      <c r="AO41" s="598"/>
      <c r="AP41" s="599"/>
      <c r="AQ41" s="591" t="s">
        <v>893</v>
      </c>
      <c r="AR41" s="592"/>
      <c r="AS41" s="592"/>
      <c r="AT41" s="592"/>
      <c r="AU41" s="592"/>
      <c r="AV41" s="592"/>
      <c r="AW41" s="592"/>
      <c r="AX41" s="592"/>
      <c r="AY41" s="593"/>
      <c r="AZ41" s="591" t="s">
        <v>874</v>
      </c>
      <c r="BA41" s="592"/>
      <c r="BB41" s="592"/>
      <c r="BC41" s="592"/>
      <c r="BD41" s="592"/>
      <c r="BE41" s="592"/>
      <c r="BF41" s="592"/>
      <c r="BG41" s="592"/>
      <c r="BH41" s="593"/>
      <c r="BI41" s="591" t="s">
        <v>874</v>
      </c>
      <c r="BJ41" s="592"/>
      <c r="BK41" s="592"/>
      <c r="BL41" s="592"/>
      <c r="BM41" s="592"/>
      <c r="BN41" s="592"/>
      <c r="BO41" s="592"/>
      <c r="BP41" s="592"/>
      <c r="BQ41" s="593"/>
      <c r="BR41" s="140"/>
      <c r="BS41" s="37"/>
      <c r="BT41" s="37"/>
      <c r="BU41" s="37"/>
      <c r="BV41" s="37"/>
      <c r="BW41" s="140"/>
      <c r="BX41" s="43"/>
      <c r="BY41" s="5"/>
      <c r="BZ41" s="5"/>
      <c r="CA41" s="140"/>
      <c r="CB41" s="37"/>
      <c r="CC41" s="37"/>
      <c r="CD41" s="37"/>
      <c r="CE41" s="37"/>
      <c r="CF41" s="140"/>
      <c r="CG41" s="43"/>
      <c r="CH41" s="5"/>
      <c r="CI41" s="5"/>
      <c r="CJ41" s="591"/>
      <c r="CK41" s="592"/>
      <c r="CL41" s="592"/>
      <c r="CM41" s="592"/>
      <c r="CN41" s="592"/>
      <c r="CO41" s="592"/>
      <c r="CP41" s="592"/>
      <c r="CQ41" s="592"/>
      <c r="CR41" s="593"/>
      <c r="CS41" s="591"/>
      <c r="CT41" s="592"/>
      <c r="CU41" s="592"/>
      <c r="CV41" s="592"/>
      <c r="CW41" s="592"/>
      <c r="CX41" s="592"/>
      <c r="CY41" s="592"/>
      <c r="CZ41" s="592"/>
      <c r="DA41" s="593"/>
      <c r="DB41" s="140"/>
      <c r="DC41" s="37"/>
      <c r="DD41" s="37"/>
      <c r="DE41" s="37"/>
      <c r="DF41" s="37"/>
      <c r="DG41" s="140"/>
      <c r="DH41" s="43"/>
      <c r="DI41" s="5"/>
      <c r="DJ41" s="5"/>
    </row>
    <row r="42" spans="1:114" x14ac:dyDescent="0.35">
      <c r="A42" s="9">
        <v>205547</v>
      </c>
      <c r="B42" s="9" t="s">
        <v>813</v>
      </c>
      <c r="C42" s="34" t="s">
        <v>379</v>
      </c>
      <c r="D42" s="5" t="s">
        <v>811</v>
      </c>
      <c r="E42" s="5" t="s">
        <v>812</v>
      </c>
      <c r="F42" s="6">
        <v>8584</v>
      </c>
      <c r="G42" s="145">
        <v>830054539</v>
      </c>
      <c r="H42" s="37">
        <v>7759995</v>
      </c>
      <c r="I42" s="37">
        <v>7347089</v>
      </c>
      <c r="J42" s="37"/>
      <c r="K42" s="37">
        <v>7347089</v>
      </c>
      <c r="L42" s="37">
        <f>I42-K42</f>
        <v>0</v>
      </c>
      <c r="M42" s="37"/>
      <c r="N42" s="37"/>
      <c r="O42" s="140">
        <v>0</v>
      </c>
      <c r="P42" s="43">
        <v>44574</v>
      </c>
      <c r="Q42" s="5" t="s">
        <v>284</v>
      </c>
      <c r="R42" s="42"/>
      <c r="S42" s="37">
        <v>7759995</v>
      </c>
      <c r="T42" s="39">
        <f>K42-S42</f>
        <v>-412906</v>
      </c>
      <c r="U42" s="5"/>
      <c r="V42" s="140">
        <f>T42/K42</f>
        <v>-5.6199945311673778E-2</v>
      </c>
      <c r="W42" s="142">
        <v>44600</v>
      </c>
      <c r="X42" s="5" t="s">
        <v>284</v>
      </c>
      <c r="Y42" s="42"/>
      <c r="Z42" s="5"/>
      <c r="AA42" s="38">
        <v>7759995</v>
      </c>
      <c r="AB42" s="38">
        <f>S42-AA42</f>
        <v>0</v>
      </c>
      <c r="AC42" s="5"/>
      <c r="AD42" s="40">
        <v>0</v>
      </c>
      <c r="AE42" s="43">
        <v>44624</v>
      </c>
      <c r="AF42" s="5" t="s">
        <v>284</v>
      </c>
      <c r="AG42" s="5"/>
      <c r="AH42" s="5"/>
      <c r="AI42" s="37">
        <v>7759995</v>
      </c>
      <c r="AJ42" s="37">
        <f>AA42-AI42</f>
        <v>0</v>
      </c>
      <c r="AK42" s="37"/>
      <c r="AL42" s="37"/>
      <c r="AM42" s="140">
        <v>0</v>
      </c>
      <c r="AN42" s="43">
        <v>44657</v>
      </c>
      <c r="AO42" s="5" t="s">
        <v>284</v>
      </c>
      <c r="AP42" s="5"/>
      <c r="AQ42" s="40"/>
      <c r="AR42" s="37">
        <v>7759995</v>
      </c>
      <c r="AS42" s="37">
        <f>AI42-AR42</f>
        <v>0</v>
      </c>
      <c r="AT42" s="37"/>
      <c r="AU42" s="37"/>
      <c r="AV42" s="140">
        <v>0</v>
      </c>
      <c r="AW42" s="43">
        <v>44686</v>
      </c>
      <c r="AX42" s="5" t="s">
        <v>284</v>
      </c>
      <c r="AY42" s="5"/>
      <c r="AZ42" s="140"/>
      <c r="BA42" s="37">
        <v>7759995</v>
      </c>
      <c r="BB42" s="37">
        <f>AR42-BA42</f>
        <v>0</v>
      </c>
      <c r="BC42" s="37"/>
      <c r="BD42" s="37"/>
      <c r="BE42" s="140">
        <v>0</v>
      </c>
      <c r="BF42" s="43">
        <v>44721</v>
      </c>
      <c r="BG42" s="5" t="s">
        <v>284</v>
      </c>
      <c r="BH42" s="43">
        <v>44728</v>
      </c>
      <c r="BI42" s="5"/>
      <c r="BJ42" s="57">
        <v>7759995</v>
      </c>
      <c r="BK42" s="39">
        <f>BA42-BJ42</f>
        <v>0</v>
      </c>
      <c r="BL42" s="5"/>
      <c r="BM42" s="5"/>
      <c r="BN42" s="67">
        <v>0</v>
      </c>
      <c r="BO42" s="43">
        <v>44750</v>
      </c>
      <c r="BP42" s="5" t="s">
        <v>284</v>
      </c>
      <c r="BQ42" s="43">
        <v>44768</v>
      </c>
      <c r="BR42" s="5"/>
      <c r="BS42" s="57">
        <v>7759995</v>
      </c>
      <c r="BT42" s="39">
        <f>BJ42-BS42</f>
        <v>0</v>
      </c>
      <c r="BU42" s="5"/>
      <c r="BV42" s="5"/>
      <c r="BW42" s="67">
        <v>0</v>
      </c>
      <c r="BX42" s="43">
        <v>44778</v>
      </c>
      <c r="BY42" s="5" t="s">
        <v>284</v>
      </c>
      <c r="BZ42" s="5"/>
      <c r="CA42" s="140"/>
      <c r="CB42" s="37"/>
      <c r="CC42" s="37"/>
      <c r="CD42" s="37"/>
      <c r="CE42" s="37"/>
      <c r="CF42" s="140"/>
      <c r="CG42" s="43"/>
      <c r="CH42" s="5"/>
      <c r="CI42" s="5"/>
      <c r="CJ42" s="140"/>
      <c r="CK42" s="37"/>
      <c r="CL42" s="37"/>
      <c r="CM42" s="37"/>
      <c r="CN42" s="37"/>
      <c r="CO42" s="140"/>
      <c r="CP42" s="43"/>
      <c r="CQ42" s="5"/>
      <c r="CR42" s="5"/>
      <c r="CS42" s="140"/>
      <c r="CT42" s="37"/>
      <c r="CU42" s="37"/>
      <c r="CV42" s="37"/>
      <c r="CW42" s="37"/>
      <c r="CX42" s="140"/>
      <c r="CY42" s="43"/>
      <c r="CZ42" s="5"/>
      <c r="DA42" s="143"/>
      <c r="DB42" s="140"/>
      <c r="DC42" s="37"/>
      <c r="DD42" s="37"/>
      <c r="DE42" s="37"/>
      <c r="DF42" s="37"/>
      <c r="DG42" s="140"/>
      <c r="DH42" s="43"/>
      <c r="DI42" s="5"/>
      <c r="DJ42" s="5"/>
    </row>
    <row r="43" spans="1:114" x14ac:dyDescent="0.35">
      <c r="A43" s="9">
        <v>231456</v>
      </c>
      <c r="B43" s="9" t="s">
        <v>69</v>
      </c>
      <c r="C43" s="34" t="s">
        <v>383</v>
      </c>
      <c r="D43" s="5" t="s">
        <v>808</v>
      </c>
      <c r="E43" s="5" t="s">
        <v>699</v>
      </c>
      <c r="F43" s="6" t="s">
        <v>873</v>
      </c>
      <c r="G43" s="145">
        <v>9006121181</v>
      </c>
      <c r="H43" s="580" t="s">
        <v>873</v>
      </c>
      <c r="I43" s="582"/>
      <c r="J43" s="38"/>
      <c r="K43" s="38">
        <v>2277923</v>
      </c>
      <c r="L43" s="38">
        <v>0</v>
      </c>
      <c r="M43" s="38"/>
      <c r="N43" s="38">
        <v>95209</v>
      </c>
      <c r="O43" s="40">
        <v>0</v>
      </c>
      <c r="P43" s="43">
        <v>44578</v>
      </c>
      <c r="Q43" s="9" t="s">
        <v>284</v>
      </c>
      <c r="R43" s="162"/>
      <c r="S43" s="609" t="s">
        <v>875</v>
      </c>
      <c r="T43" s="610"/>
      <c r="U43" s="610"/>
      <c r="V43" s="610"/>
      <c r="W43" s="610"/>
      <c r="X43" s="610"/>
      <c r="Y43" s="611"/>
      <c r="Z43" s="609" t="s">
        <v>875</v>
      </c>
      <c r="AA43" s="610"/>
      <c r="AB43" s="610"/>
      <c r="AC43" s="610"/>
      <c r="AD43" s="610"/>
      <c r="AE43" s="610"/>
      <c r="AF43" s="610"/>
      <c r="AG43" s="611"/>
      <c r="AH43" s="609" t="s">
        <v>875</v>
      </c>
      <c r="AI43" s="610"/>
      <c r="AJ43" s="610"/>
      <c r="AK43" s="610"/>
      <c r="AL43" s="610"/>
      <c r="AM43" s="610"/>
      <c r="AN43" s="610"/>
      <c r="AO43" s="610"/>
      <c r="AP43" s="611"/>
      <c r="AQ43" s="603" t="s">
        <v>893</v>
      </c>
      <c r="AR43" s="604"/>
      <c r="AS43" s="604"/>
      <c r="AT43" s="604"/>
      <c r="AU43" s="604"/>
      <c r="AV43" s="604"/>
      <c r="AW43" s="604"/>
      <c r="AX43" s="604"/>
      <c r="AY43" s="605"/>
      <c r="AZ43" s="609" t="s">
        <v>874</v>
      </c>
      <c r="BA43" s="610"/>
      <c r="BB43" s="610"/>
      <c r="BC43" s="610"/>
      <c r="BD43" s="610"/>
      <c r="BE43" s="610"/>
      <c r="BF43" s="610"/>
      <c r="BG43" s="610"/>
      <c r="BH43" s="611"/>
      <c r="BI43" s="603" t="s">
        <v>874</v>
      </c>
      <c r="BJ43" s="604"/>
      <c r="BK43" s="604"/>
      <c r="BL43" s="604"/>
      <c r="BM43" s="604"/>
      <c r="BN43" s="604"/>
      <c r="BO43" s="604"/>
      <c r="BP43" s="604"/>
      <c r="BQ43" s="605"/>
      <c r="BR43" s="40"/>
      <c r="BS43" s="38"/>
      <c r="BT43" s="38"/>
      <c r="BU43" s="38"/>
      <c r="BV43" s="38"/>
      <c r="BW43" s="40"/>
      <c r="BX43" s="43"/>
      <c r="BY43" s="5"/>
      <c r="BZ43" s="5"/>
      <c r="CA43" s="40"/>
      <c r="CB43" s="38"/>
      <c r="CC43" s="38"/>
      <c r="CD43" s="38"/>
      <c r="CE43" s="38"/>
      <c r="CF43" s="40"/>
      <c r="CG43" s="43"/>
      <c r="CH43" s="5"/>
      <c r="CI43" s="5"/>
      <c r="CJ43" s="40"/>
      <c r="CK43" s="38"/>
      <c r="CL43" s="38"/>
      <c r="CM43" s="38"/>
      <c r="CN43" s="38"/>
      <c r="CO43" s="40"/>
      <c r="CP43" s="43"/>
      <c r="CQ43" s="5"/>
      <c r="CR43" s="5"/>
      <c r="CS43" s="603"/>
      <c r="CT43" s="604"/>
      <c r="CU43" s="604"/>
      <c r="CV43" s="604"/>
      <c r="CW43" s="604"/>
      <c r="CX43" s="604"/>
      <c r="CY43" s="604"/>
      <c r="CZ43" s="604"/>
      <c r="DA43" s="605"/>
      <c r="DB43" s="40"/>
      <c r="DC43" s="38"/>
      <c r="DD43" s="38"/>
      <c r="DE43" s="38"/>
      <c r="DF43" s="38"/>
      <c r="DG43" s="40"/>
      <c r="DH43" s="43"/>
      <c r="DI43" s="5"/>
      <c r="DJ43" s="5"/>
    </row>
    <row r="44" spans="1:114" x14ac:dyDescent="0.35">
      <c r="A44" s="9">
        <v>231456</v>
      </c>
      <c r="B44" s="9" t="s">
        <v>69</v>
      </c>
      <c r="C44" s="34" t="s">
        <v>383</v>
      </c>
      <c r="D44" s="5" t="s">
        <v>808</v>
      </c>
      <c r="E44" s="5" t="s">
        <v>699</v>
      </c>
      <c r="F44" s="6">
        <v>8585</v>
      </c>
      <c r="G44" s="145">
        <v>9006121181</v>
      </c>
      <c r="H44" s="38">
        <v>14744055</v>
      </c>
      <c r="I44" s="38">
        <v>12563576</v>
      </c>
      <c r="J44" s="38"/>
      <c r="K44" s="38">
        <v>13959529</v>
      </c>
      <c r="L44" s="38">
        <v>0</v>
      </c>
      <c r="M44" s="38"/>
      <c r="N44" s="38"/>
      <c r="O44" s="40">
        <f>L44/H44</f>
        <v>0</v>
      </c>
      <c r="P44" s="51">
        <v>44568</v>
      </c>
      <c r="Q44" s="5" t="s">
        <v>284</v>
      </c>
      <c r="R44" s="42"/>
      <c r="S44" s="38">
        <v>14377943</v>
      </c>
      <c r="T44" s="39">
        <f>K44-S44</f>
        <v>-418414</v>
      </c>
      <c r="U44" s="5"/>
      <c r="V44" s="40">
        <f>T44/K44</f>
        <v>-2.9973360849065895E-2</v>
      </c>
      <c r="W44" s="51">
        <v>44588</v>
      </c>
      <c r="X44" s="5" t="s">
        <v>284</v>
      </c>
      <c r="Y44" s="42"/>
      <c r="Z44" s="144"/>
      <c r="AA44" s="38">
        <v>14744055</v>
      </c>
      <c r="AB44" s="38">
        <f>S44-AA44</f>
        <v>-366112</v>
      </c>
      <c r="AC44" s="5"/>
      <c r="AD44" s="40">
        <f>AB44/S44</f>
        <v>-2.5463447726841035E-2</v>
      </c>
      <c r="AE44" s="51">
        <v>44617</v>
      </c>
      <c r="AF44" s="5" t="s">
        <v>284</v>
      </c>
      <c r="AG44" s="158"/>
      <c r="AH44" s="46"/>
      <c r="AI44" s="38">
        <v>14744055</v>
      </c>
      <c r="AJ44" s="38">
        <f>AA44-AI44</f>
        <v>0</v>
      </c>
      <c r="AK44" s="38"/>
      <c r="AL44" s="38"/>
      <c r="AM44" s="40">
        <v>0</v>
      </c>
      <c r="AN44" s="51">
        <v>44645</v>
      </c>
      <c r="AO44" s="5" t="s">
        <v>284</v>
      </c>
      <c r="AP44" s="5"/>
      <c r="AQ44" s="40"/>
      <c r="AR44" s="38">
        <v>14744055</v>
      </c>
      <c r="AS44" s="38">
        <f>AI44-AR44</f>
        <v>0</v>
      </c>
      <c r="AT44" s="38"/>
      <c r="AU44" s="38"/>
      <c r="AV44" s="40">
        <v>0</v>
      </c>
      <c r="AW44" s="43">
        <v>44676</v>
      </c>
      <c r="AX44" s="5" t="s">
        <v>284</v>
      </c>
      <c r="AY44" s="5"/>
      <c r="AZ44" s="40"/>
      <c r="BA44" s="38">
        <v>14744055</v>
      </c>
      <c r="BB44" s="38">
        <f>AR44-BA44</f>
        <v>0</v>
      </c>
      <c r="BC44" s="38"/>
      <c r="BD44" s="38"/>
      <c r="BE44" s="40">
        <v>0</v>
      </c>
      <c r="BF44" s="43">
        <v>44712</v>
      </c>
      <c r="BG44" s="5" t="s">
        <v>284</v>
      </c>
      <c r="BH44" s="43">
        <v>44728</v>
      </c>
      <c r="BI44" s="40"/>
      <c r="BJ44" s="38">
        <v>14744055</v>
      </c>
      <c r="BK44" s="38">
        <f>BA44-BJ44</f>
        <v>0</v>
      </c>
      <c r="BL44" s="38"/>
      <c r="BM44" s="38"/>
      <c r="BN44" s="40">
        <v>0</v>
      </c>
      <c r="BO44" s="43">
        <v>44740</v>
      </c>
      <c r="BP44" s="5" t="s">
        <v>284</v>
      </c>
      <c r="BQ44" s="43">
        <v>44757</v>
      </c>
      <c r="BR44" s="40"/>
      <c r="BS44" s="38">
        <v>14744055</v>
      </c>
      <c r="BT44" s="38">
        <f>BJ44-BS44</f>
        <v>0</v>
      </c>
      <c r="BU44" s="38"/>
      <c r="BV44" s="38"/>
      <c r="BW44" s="40">
        <v>0</v>
      </c>
      <c r="BX44" s="43">
        <v>44771</v>
      </c>
      <c r="BY44" s="5" t="s">
        <v>284</v>
      </c>
      <c r="BZ44" s="5"/>
      <c r="CA44" s="40"/>
      <c r="CB44" s="38"/>
      <c r="CC44" s="38"/>
      <c r="CD44" s="38"/>
      <c r="CE44" s="38"/>
      <c r="CF44" s="40"/>
      <c r="CG44" s="43"/>
      <c r="CH44" s="5"/>
      <c r="CI44" s="5"/>
      <c r="CJ44" s="40"/>
      <c r="CK44" s="38"/>
      <c r="CL44" s="38"/>
      <c r="CM44" s="38"/>
      <c r="CN44" s="38"/>
      <c r="CO44" s="40"/>
      <c r="CP44" s="43"/>
      <c r="CQ44" s="5"/>
      <c r="CR44" s="5"/>
      <c r="CS44" s="40"/>
      <c r="CT44" s="38"/>
      <c r="CU44" s="38"/>
      <c r="CV44" s="38"/>
      <c r="CW44" s="38"/>
      <c r="CX44" s="40"/>
      <c r="CY44" s="43"/>
      <c r="CZ44" s="5"/>
      <c r="DA44" s="143"/>
      <c r="DB44" s="40"/>
      <c r="DC44" s="38"/>
      <c r="DD44" s="38"/>
      <c r="DE44" s="38"/>
      <c r="DF44" s="38"/>
      <c r="DG44" s="40"/>
      <c r="DH44" s="43"/>
      <c r="DI44" s="5"/>
      <c r="DJ44" s="5"/>
    </row>
    <row r="45" spans="1:114" x14ac:dyDescent="0.35">
      <c r="A45" s="9">
        <v>231457</v>
      </c>
      <c r="B45" s="9" t="s">
        <v>69</v>
      </c>
      <c r="C45" s="34" t="s">
        <v>387</v>
      </c>
      <c r="D45" s="5" t="s">
        <v>808</v>
      </c>
      <c r="E45" s="5" t="s">
        <v>812</v>
      </c>
      <c r="F45" s="6" t="s">
        <v>873</v>
      </c>
      <c r="G45" s="145">
        <v>9006121181</v>
      </c>
      <c r="H45" s="580" t="s">
        <v>873</v>
      </c>
      <c r="I45" s="582"/>
      <c r="J45" s="580" t="s">
        <v>875</v>
      </c>
      <c r="K45" s="581"/>
      <c r="L45" s="581"/>
      <c r="M45" s="581"/>
      <c r="N45" s="581"/>
      <c r="O45" s="581"/>
      <c r="P45" s="581"/>
      <c r="Q45" s="581"/>
      <c r="R45" s="582"/>
      <c r="S45" s="609" t="s">
        <v>875</v>
      </c>
      <c r="T45" s="610"/>
      <c r="U45" s="610"/>
      <c r="V45" s="610"/>
      <c r="W45" s="610"/>
      <c r="X45" s="610"/>
      <c r="Y45" s="611"/>
      <c r="Z45" s="609" t="s">
        <v>875</v>
      </c>
      <c r="AA45" s="610"/>
      <c r="AB45" s="610"/>
      <c r="AC45" s="610"/>
      <c r="AD45" s="610"/>
      <c r="AE45" s="610"/>
      <c r="AF45" s="610"/>
      <c r="AG45" s="611"/>
      <c r="AH45" s="609" t="s">
        <v>875</v>
      </c>
      <c r="AI45" s="610"/>
      <c r="AJ45" s="610"/>
      <c r="AK45" s="610"/>
      <c r="AL45" s="610"/>
      <c r="AM45" s="610"/>
      <c r="AN45" s="610"/>
      <c r="AO45" s="610"/>
      <c r="AP45" s="611"/>
      <c r="AQ45" s="609"/>
      <c r="AR45" s="610"/>
      <c r="AS45" s="610"/>
      <c r="AT45" s="610"/>
      <c r="AU45" s="610"/>
      <c r="AV45" s="610"/>
      <c r="AW45" s="610"/>
      <c r="AX45" s="610"/>
      <c r="AY45" s="611"/>
      <c r="AZ45" s="609" t="s">
        <v>874</v>
      </c>
      <c r="BA45" s="610"/>
      <c r="BB45" s="610"/>
      <c r="BC45" s="610"/>
      <c r="BD45" s="610"/>
      <c r="BE45" s="610"/>
      <c r="BF45" s="610"/>
      <c r="BG45" s="610"/>
      <c r="BH45" s="611"/>
      <c r="BI45" s="609"/>
      <c r="BJ45" s="610"/>
      <c r="BK45" s="610"/>
      <c r="BL45" s="610"/>
      <c r="BM45" s="610"/>
      <c r="BN45" s="610"/>
      <c r="BO45" s="610"/>
      <c r="BP45" s="610"/>
      <c r="BQ45" s="611"/>
      <c r="BR45" s="609"/>
      <c r="BS45" s="610"/>
      <c r="BT45" s="610"/>
      <c r="BU45" s="610"/>
      <c r="BV45" s="610"/>
      <c r="BW45" s="610"/>
      <c r="BX45" s="610"/>
      <c r="BY45" s="610"/>
      <c r="BZ45" s="611"/>
      <c r="CA45" s="40"/>
      <c r="CB45" s="38"/>
      <c r="CC45" s="38"/>
      <c r="CD45" s="38"/>
      <c r="CE45" s="38"/>
      <c r="CF45" s="40"/>
      <c r="CG45" s="43"/>
      <c r="CH45" s="5"/>
      <c r="CI45" s="5"/>
      <c r="CJ45" s="603"/>
      <c r="CK45" s="604"/>
      <c r="CL45" s="604"/>
      <c r="CM45" s="604"/>
      <c r="CN45" s="604"/>
      <c r="CO45" s="604"/>
      <c r="CP45" s="604"/>
      <c r="CQ45" s="604"/>
      <c r="CR45" s="605"/>
      <c r="CS45" s="603"/>
      <c r="CT45" s="604"/>
      <c r="CU45" s="604"/>
      <c r="CV45" s="604"/>
      <c r="CW45" s="604"/>
      <c r="CX45" s="604"/>
      <c r="CY45" s="604"/>
      <c r="CZ45" s="604"/>
      <c r="DA45" s="605"/>
      <c r="DB45" s="40"/>
      <c r="DC45" s="38"/>
      <c r="DD45" s="38"/>
      <c r="DE45" s="38"/>
      <c r="DF45" s="38"/>
      <c r="DG45" s="40"/>
      <c r="DH45" s="43"/>
      <c r="DI45" s="5"/>
      <c r="DJ45" s="5"/>
    </row>
    <row r="46" spans="1:114" x14ac:dyDescent="0.35">
      <c r="A46" s="9">
        <v>231457</v>
      </c>
      <c r="B46" s="9" t="s">
        <v>69</v>
      </c>
      <c r="C46" s="34" t="s">
        <v>387</v>
      </c>
      <c r="D46" s="5" t="s">
        <v>808</v>
      </c>
      <c r="E46" s="5" t="s">
        <v>812</v>
      </c>
      <c r="F46" s="6">
        <v>8714</v>
      </c>
      <c r="G46" s="145">
        <v>9006121181</v>
      </c>
      <c r="H46" s="38">
        <v>7273521</v>
      </c>
      <c r="I46" s="38">
        <v>6524052</v>
      </c>
      <c r="J46" s="38"/>
      <c r="K46" s="38">
        <v>7248947</v>
      </c>
      <c r="L46" s="38">
        <v>0</v>
      </c>
      <c r="M46" s="38"/>
      <c r="N46" s="38"/>
      <c r="O46" s="40">
        <f>M46/H46</f>
        <v>0</v>
      </c>
      <c r="P46" s="51">
        <v>44568</v>
      </c>
      <c r="Q46" s="5" t="s">
        <v>284</v>
      </c>
      <c r="R46" s="42"/>
      <c r="S46" s="38">
        <v>7248947</v>
      </c>
      <c r="T46" s="39">
        <f>K46-S46</f>
        <v>0</v>
      </c>
      <c r="U46" s="5"/>
      <c r="V46" s="40">
        <v>0</v>
      </c>
      <c r="W46" s="51">
        <v>44588</v>
      </c>
      <c r="X46" s="5" t="s">
        <v>284</v>
      </c>
      <c r="Y46" s="42"/>
      <c r="Z46" s="144"/>
      <c r="AA46" s="38">
        <v>7248947</v>
      </c>
      <c r="AB46" s="38">
        <f>S46-AA46</f>
        <v>0</v>
      </c>
      <c r="AC46" s="5"/>
      <c r="AD46" s="40">
        <v>0</v>
      </c>
      <c r="AE46" s="51">
        <v>44617</v>
      </c>
      <c r="AF46" s="5" t="s">
        <v>284</v>
      </c>
      <c r="AG46" s="42"/>
      <c r="AH46" s="40"/>
      <c r="AI46" s="38">
        <v>7656338</v>
      </c>
      <c r="AJ46" s="38"/>
      <c r="AK46" s="38">
        <f>AA46-AI46</f>
        <v>-407391</v>
      </c>
      <c r="AL46" s="38"/>
      <c r="AM46" s="46">
        <f>AK46/AA46</f>
        <v>-5.6200024638061223E-2</v>
      </c>
      <c r="AN46" s="51">
        <v>44645</v>
      </c>
      <c r="AO46" s="5" t="s">
        <v>284</v>
      </c>
      <c r="AP46" s="5"/>
      <c r="AQ46" s="40"/>
      <c r="AR46" s="38">
        <v>7656338</v>
      </c>
      <c r="AS46" s="38">
        <f>AI46-AR46</f>
        <v>0</v>
      </c>
      <c r="AT46" s="38"/>
      <c r="AU46" s="38"/>
      <c r="AV46" s="40">
        <v>0</v>
      </c>
      <c r="AW46" s="43">
        <v>44676</v>
      </c>
      <c r="AX46" s="5" t="s">
        <v>284</v>
      </c>
      <c r="AY46" s="5"/>
      <c r="AZ46" s="40"/>
      <c r="BA46" s="38">
        <v>7273521</v>
      </c>
      <c r="BB46" s="38">
        <f>AR46-BA46</f>
        <v>382817</v>
      </c>
      <c r="BC46" s="38"/>
      <c r="BD46" s="38"/>
      <c r="BE46" s="40">
        <f>BB46/BA46</f>
        <v>5.2631593419473183E-2</v>
      </c>
      <c r="BF46" s="43">
        <v>44712</v>
      </c>
      <c r="BG46" s="5" t="s">
        <v>284</v>
      </c>
      <c r="BH46" s="43">
        <v>44728</v>
      </c>
      <c r="BI46" s="40"/>
      <c r="BJ46" s="38">
        <v>7273521</v>
      </c>
      <c r="BK46" s="38">
        <f>BA46-BJ46</f>
        <v>0</v>
      </c>
      <c r="BL46" s="38"/>
      <c r="BM46" s="38"/>
      <c r="BN46" s="40">
        <v>0</v>
      </c>
      <c r="BO46" s="43">
        <v>44740</v>
      </c>
      <c r="BP46" s="5" t="s">
        <v>284</v>
      </c>
      <c r="BQ46" s="43">
        <v>44757</v>
      </c>
      <c r="BR46" s="40"/>
      <c r="BS46" s="38">
        <v>7273521</v>
      </c>
      <c r="BT46" s="38">
        <f>BJ46-BS46</f>
        <v>0</v>
      </c>
      <c r="BU46" s="38"/>
      <c r="BV46" s="38"/>
      <c r="BW46" s="40">
        <v>0</v>
      </c>
      <c r="BX46" s="43">
        <v>44771</v>
      </c>
      <c r="BY46" s="5" t="s">
        <v>284</v>
      </c>
      <c r="BZ46" s="5"/>
      <c r="CA46" s="40"/>
      <c r="CB46" s="38"/>
      <c r="CC46" s="38"/>
      <c r="CD46" s="38"/>
      <c r="CE46" s="38"/>
      <c r="CF46" s="40"/>
      <c r="CG46" s="43"/>
      <c r="CH46" s="5"/>
      <c r="CI46" s="5"/>
      <c r="CJ46" s="40"/>
      <c r="CK46" s="38"/>
      <c r="CL46" s="38"/>
      <c r="CM46" s="38"/>
      <c r="CN46" s="38"/>
      <c r="CO46" s="40"/>
      <c r="CP46" s="43"/>
      <c r="CQ46" s="5"/>
      <c r="CR46" s="5"/>
      <c r="CS46" s="40"/>
      <c r="CT46" s="38"/>
      <c r="CU46" s="38"/>
      <c r="CV46" s="38"/>
      <c r="CW46" s="38"/>
      <c r="CX46" s="40"/>
      <c r="CY46" s="43"/>
      <c r="CZ46" s="5"/>
      <c r="DA46" s="143"/>
      <c r="DB46" s="40"/>
      <c r="DC46" s="38"/>
      <c r="DD46" s="38"/>
      <c r="DE46" s="38"/>
      <c r="DF46" s="38"/>
      <c r="DG46" s="40"/>
      <c r="DH46" s="43"/>
      <c r="DI46" s="5"/>
      <c r="DJ46" s="5"/>
    </row>
    <row r="47" spans="1:114" x14ac:dyDescent="0.35">
      <c r="A47" s="9">
        <v>204572</v>
      </c>
      <c r="B47" s="9" t="s">
        <v>896</v>
      </c>
      <c r="C47" s="34" t="s">
        <v>390</v>
      </c>
      <c r="D47" s="5" t="s">
        <v>897</v>
      </c>
      <c r="E47" s="5" t="s">
        <v>625</v>
      </c>
      <c r="F47" s="6">
        <v>6570</v>
      </c>
      <c r="G47" s="145" t="s">
        <v>898</v>
      </c>
      <c r="H47" s="37">
        <v>11133896</v>
      </c>
      <c r="I47" s="37">
        <v>11133896</v>
      </c>
      <c r="J47" s="37"/>
      <c r="K47" s="37">
        <v>11133896</v>
      </c>
      <c r="L47" s="37">
        <f>H47-K47</f>
        <v>0</v>
      </c>
      <c r="M47" s="37"/>
      <c r="N47" s="37"/>
      <c r="O47" s="140">
        <v>0</v>
      </c>
      <c r="P47" s="142">
        <v>44564</v>
      </c>
      <c r="Q47" s="9" t="s">
        <v>284</v>
      </c>
      <c r="R47" s="42"/>
      <c r="S47" s="37">
        <v>11133896</v>
      </c>
      <c r="T47" s="39">
        <f>K47-S47</f>
        <v>0</v>
      </c>
      <c r="U47" s="5"/>
      <c r="V47" s="140">
        <v>0</v>
      </c>
      <c r="W47" s="142">
        <v>44593</v>
      </c>
      <c r="X47" s="5" t="s">
        <v>284</v>
      </c>
      <c r="Y47" s="42"/>
      <c r="Z47" s="5"/>
      <c r="AA47" s="38">
        <f>11133896+55669480</f>
        <v>66803376</v>
      </c>
      <c r="AB47" s="38">
        <v>0</v>
      </c>
      <c r="AC47" s="5"/>
      <c r="AD47" s="40">
        <v>0</v>
      </c>
      <c r="AE47" s="43">
        <v>44624</v>
      </c>
      <c r="AF47" s="5" t="s">
        <v>284</v>
      </c>
      <c r="AG47" s="42"/>
      <c r="AH47" s="623" t="s">
        <v>287</v>
      </c>
      <c r="AI47" s="624"/>
      <c r="AJ47" s="624"/>
      <c r="AK47" s="624"/>
      <c r="AL47" s="624"/>
      <c r="AM47" s="624"/>
      <c r="AN47" s="624"/>
      <c r="AO47" s="624"/>
      <c r="AP47" s="624"/>
      <c r="AQ47" s="624"/>
      <c r="AR47" s="624"/>
      <c r="AS47" s="624"/>
      <c r="AT47" s="624"/>
      <c r="AU47" s="624"/>
      <c r="AV47" s="624"/>
      <c r="AW47" s="624"/>
      <c r="AX47" s="624"/>
      <c r="AY47" s="624"/>
      <c r="AZ47" s="624"/>
      <c r="BA47" s="624"/>
      <c r="BB47" s="624"/>
      <c r="BC47" s="624"/>
      <c r="BD47" s="624"/>
      <c r="BE47" s="624"/>
      <c r="BF47" s="624"/>
      <c r="BG47" s="624"/>
      <c r="BH47" s="624"/>
      <c r="BI47" s="624"/>
      <c r="BJ47" s="624"/>
      <c r="BK47" s="624"/>
      <c r="BL47" s="624"/>
      <c r="BM47" s="624"/>
      <c r="BN47" s="624"/>
      <c r="BO47" s="624"/>
      <c r="BP47" s="624"/>
      <c r="BQ47" s="624"/>
      <c r="BR47" s="624"/>
      <c r="BS47" s="624"/>
      <c r="BT47" s="624"/>
      <c r="BU47" s="624"/>
      <c r="BV47" s="624"/>
      <c r="BW47" s="624"/>
      <c r="BX47" s="624"/>
      <c r="BY47" s="624"/>
      <c r="BZ47" s="624"/>
      <c r="CA47" s="624"/>
      <c r="CB47" s="624"/>
      <c r="CC47" s="624"/>
      <c r="CD47" s="624"/>
      <c r="CE47" s="624"/>
      <c r="CF47" s="624"/>
      <c r="CG47" s="624"/>
      <c r="CH47" s="624"/>
      <c r="CI47" s="624"/>
      <c r="CJ47" s="624"/>
      <c r="CK47" s="624"/>
      <c r="CL47" s="624"/>
      <c r="CM47" s="624"/>
      <c r="CN47" s="624"/>
      <c r="CO47" s="624"/>
      <c r="CP47" s="624"/>
      <c r="CQ47" s="624"/>
      <c r="CR47" s="624"/>
      <c r="CS47" s="624"/>
      <c r="CT47" s="624"/>
      <c r="CU47" s="624"/>
      <c r="CV47" s="624"/>
      <c r="CW47" s="624"/>
      <c r="CX47" s="624"/>
      <c r="CY47" s="624"/>
      <c r="CZ47" s="624"/>
      <c r="DA47" s="624"/>
      <c r="DB47" s="624"/>
      <c r="DC47" s="624"/>
      <c r="DD47" s="624"/>
      <c r="DE47" s="624"/>
      <c r="DF47" s="624"/>
      <c r="DG47" s="624"/>
      <c r="DH47" s="624"/>
      <c r="DI47" s="624"/>
      <c r="DJ47" s="625"/>
    </row>
    <row r="48" spans="1:114" x14ac:dyDescent="0.35">
      <c r="A48" s="9" t="s">
        <v>899</v>
      </c>
      <c r="B48" s="9" t="s">
        <v>47</v>
      </c>
      <c r="C48" s="34" t="s">
        <v>394</v>
      </c>
      <c r="D48" s="5" t="s">
        <v>814</v>
      </c>
      <c r="E48" s="5" t="s">
        <v>797</v>
      </c>
      <c r="F48" s="6">
        <v>8712</v>
      </c>
      <c r="G48" s="145" t="s">
        <v>815</v>
      </c>
      <c r="H48" s="37">
        <v>1719319</v>
      </c>
      <c r="I48" s="37">
        <v>2022729</v>
      </c>
      <c r="J48" s="37"/>
      <c r="K48" s="37">
        <v>1719319</v>
      </c>
      <c r="L48" s="37">
        <f>I48-K48</f>
        <v>303410</v>
      </c>
      <c r="M48" s="37"/>
      <c r="N48" s="37"/>
      <c r="O48" s="140">
        <f>L48/I48</f>
        <v>0.1500003213480402</v>
      </c>
      <c r="P48" s="43">
        <v>44585</v>
      </c>
      <c r="Q48" s="9" t="s">
        <v>284</v>
      </c>
      <c r="R48" s="42"/>
      <c r="S48" s="37">
        <v>1719319</v>
      </c>
      <c r="T48" s="39">
        <f>I48-S48</f>
        <v>303410</v>
      </c>
      <c r="U48" s="5"/>
      <c r="V48" s="140">
        <f>T48/I48</f>
        <v>0.1500003213480402</v>
      </c>
      <c r="W48" s="142">
        <v>44596</v>
      </c>
      <c r="X48" s="5" t="s">
        <v>284</v>
      </c>
      <c r="Y48" s="42"/>
      <c r="Z48" s="5"/>
      <c r="AA48" s="38">
        <v>1719319</v>
      </c>
      <c r="AB48" s="38">
        <f>S48-AA48</f>
        <v>0</v>
      </c>
      <c r="AC48" s="5"/>
      <c r="AD48" s="40">
        <v>0</v>
      </c>
      <c r="AE48" s="43">
        <v>44648</v>
      </c>
      <c r="AF48" s="5" t="s">
        <v>284</v>
      </c>
      <c r="AG48" s="42"/>
      <c r="AH48" s="140"/>
      <c r="AI48" s="37"/>
      <c r="AJ48" s="37"/>
      <c r="AK48" s="37"/>
      <c r="AL48" s="37"/>
      <c r="AM48" s="5"/>
      <c r="AN48" s="142"/>
      <c r="AO48" s="5"/>
      <c r="AP48" s="5"/>
      <c r="AQ48" s="40"/>
      <c r="AR48" s="37">
        <v>1719319</v>
      </c>
      <c r="AS48" s="37">
        <f>AA48-AR48</f>
        <v>0</v>
      </c>
      <c r="AT48" s="37"/>
      <c r="AU48" s="37"/>
      <c r="AV48" s="140">
        <v>0</v>
      </c>
      <c r="AW48" s="43">
        <v>44687</v>
      </c>
      <c r="AX48" s="5" t="s">
        <v>284</v>
      </c>
      <c r="AY48" s="5"/>
      <c r="AZ48" s="140"/>
      <c r="BA48" s="37">
        <v>1719319</v>
      </c>
      <c r="BB48" s="37">
        <f>AR48-BA48</f>
        <v>0</v>
      </c>
      <c r="BC48" s="37"/>
      <c r="BD48" s="37"/>
      <c r="BE48" s="140">
        <v>0</v>
      </c>
      <c r="BF48" s="43">
        <v>44719</v>
      </c>
      <c r="BG48" s="5" t="s">
        <v>284</v>
      </c>
      <c r="BH48" s="43">
        <v>44728</v>
      </c>
      <c r="BI48" s="140"/>
      <c r="BJ48" s="37">
        <v>1719319</v>
      </c>
      <c r="BK48" s="37">
        <f>BA48-BJ48</f>
        <v>0</v>
      </c>
      <c r="BL48" s="37"/>
      <c r="BM48" s="37"/>
      <c r="BN48" s="140">
        <v>0</v>
      </c>
      <c r="BO48" s="43">
        <v>44767</v>
      </c>
      <c r="BP48" s="5" t="s">
        <v>284</v>
      </c>
      <c r="BQ48" s="5"/>
      <c r="BR48" s="140"/>
      <c r="BS48" s="37">
        <v>1719319</v>
      </c>
      <c r="BT48" s="37">
        <f>BJ48-BS48</f>
        <v>0</v>
      </c>
      <c r="BU48" s="37"/>
      <c r="BV48" s="37"/>
      <c r="BW48" s="140">
        <v>0</v>
      </c>
      <c r="BX48" s="43">
        <v>44781</v>
      </c>
      <c r="BY48" s="5" t="s">
        <v>284</v>
      </c>
      <c r="BZ48" s="5"/>
      <c r="CA48" s="140"/>
      <c r="CB48" s="37"/>
      <c r="CC48" s="37"/>
      <c r="CD48" s="37"/>
      <c r="CE48" s="37"/>
      <c r="CF48" s="140"/>
      <c r="CG48" s="43"/>
      <c r="CH48" s="5"/>
      <c r="CI48" s="5"/>
      <c r="CJ48" s="140"/>
      <c r="CK48" s="37"/>
      <c r="CL48" s="37"/>
      <c r="CM48" s="37"/>
      <c r="CN48" s="37"/>
      <c r="CO48" s="140"/>
      <c r="CP48" s="43"/>
      <c r="CQ48" s="5"/>
      <c r="CR48" s="5"/>
      <c r="CS48" s="140"/>
      <c r="CT48" s="37"/>
      <c r="CU48" s="37"/>
      <c r="CV48" s="37"/>
      <c r="CW48" s="37"/>
      <c r="CX48" s="140"/>
      <c r="CY48" s="43"/>
      <c r="CZ48" s="5"/>
      <c r="DA48" s="143"/>
      <c r="DB48" s="140"/>
      <c r="DC48" s="37"/>
      <c r="DD48" s="37"/>
      <c r="DE48" s="37"/>
      <c r="DF48" s="37"/>
      <c r="DG48" s="140"/>
      <c r="DH48" s="43"/>
      <c r="DI48" s="5"/>
      <c r="DJ48" s="5"/>
    </row>
    <row r="49" spans="1:114" x14ac:dyDescent="0.35">
      <c r="A49" s="9">
        <v>206706</v>
      </c>
      <c r="B49" s="9" t="s">
        <v>816</v>
      </c>
      <c r="C49" s="34" t="s">
        <v>394</v>
      </c>
      <c r="D49" s="5" t="s">
        <v>814</v>
      </c>
      <c r="E49" s="5" t="s">
        <v>797</v>
      </c>
      <c r="F49" s="6">
        <v>8712</v>
      </c>
      <c r="G49" s="145" t="s">
        <v>817</v>
      </c>
      <c r="H49" s="37">
        <v>1719319</v>
      </c>
      <c r="I49" s="37">
        <v>2022729</v>
      </c>
      <c r="J49" s="37"/>
      <c r="K49" s="37">
        <v>1719319</v>
      </c>
      <c r="L49" s="37">
        <f>I49-K49</f>
        <v>303410</v>
      </c>
      <c r="M49" s="37"/>
      <c r="N49" s="37"/>
      <c r="O49" s="140">
        <f>L49/I49</f>
        <v>0.1500003213480402</v>
      </c>
      <c r="P49" s="43">
        <v>44585</v>
      </c>
      <c r="Q49" s="9" t="s">
        <v>284</v>
      </c>
      <c r="R49" s="42"/>
      <c r="S49" s="37">
        <v>1719319</v>
      </c>
      <c r="T49" s="39">
        <f>I49-S49</f>
        <v>303410</v>
      </c>
      <c r="U49" s="5"/>
      <c r="V49" s="140">
        <f>T49/I49</f>
        <v>0.1500003213480402</v>
      </c>
      <c r="W49" s="142">
        <v>44596</v>
      </c>
      <c r="X49" s="5" t="s">
        <v>284</v>
      </c>
      <c r="Y49" s="42"/>
      <c r="Z49" s="5"/>
      <c r="AA49" s="38">
        <v>1719319</v>
      </c>
      <c r="AB49" s="38">
        <f>S49-AA49</f>
        <v>0</v>
      </c>
      <c r="AC49" s="5"/>
      <c r="AD49" s="40">
        <v>0</v>
      </c>
      <c r="AE49" s="43">
        <v>44624</v>
      </c>
      <c r="AF49" s="5" t="s">
        <v>284</v>
      </c>
      <c r="AG49" s="42"/>
      <c r="AH49" s="5"/>
      <c r="AI49" s="37"/>
      <c r="AJ49" s="37"/>
      <c r="AK49" s="37"/>
      <c r="AL49" s="37"/>
      <c r="AM49" s="5"/>
      <c r="AN49" s="142"/>
      <c r="AO49" s="5"/>
      <c r="AP49" s="5"/>
      <c r="AQ49" s="40"/>
      <c r="AR49" s="37">
        <v>1719319</v>
      </c>
      <c r="AS49" s="37">
        <f>AA49-AR49</f>
        <v>0</v>
      </c>
      <c r="AT49" s="37"/>
      <c r="AU49" s="37"/>
      <c r="AV49" s="140">
        <v>0</v>
      </c>
      <c r="AW49" s="43">
        <v>44687</v>
      </c>
      <c r="AX49" s="5" t="s">
        <v>284</v>
      </c>
      <c r="AY49" s="5"/>
      <c r="AZ49" s="140"/>
      <c r="BA49" s="37">
        <v>1719319</v>
      </c>
      <c r="BB49" s="37">
        <f>AR49-BA49</f>
        <v>0</v>
      </c>
      <c r="BC49" s="37"/>
      <c r="BD49" s="37"/>
      <c r="BE49" s="140">
        <v>0</v>
      </c>
      <c r="BF49" s="43">
        <v>44719</v>
      </c>
      <c r="BG49" s="5" t="s">
        <v>284</v>
      </c>
      <c r="BH49" s="43">
        <v>44728</v>
      </c>
      <c r="BI49" s="140"/>
      <c r="BJ49" s="37">
        <v>1719319</v>
      </c>
      <c r="BK49" s="37">
        <f>BA49-BJ49</f>
        <v>0</v>
      </c>
      <c r="BL49" s="37"/>
      <c r="BM49" s="37"/>
      <c r="BN49" s="140">
        <v>0</v>
      </c>
      <c r="BO49" s="43">
        <v>44767</v>
      </c>
      <c r="BP49" s="5" t="s">
        <v>284</v>
      </c>
      <c r="BQ49" s="5"/>
      <c r="BR49" s="140"/>
      <c r="BS49" s="37">
        <v>1719319</v>
      </c>
      <c r="BT49" s="37">
        <f>BJ49-BS49</f>
        <v>0</v>
      </c>
      <c r="BU49" s="37"/>
      <c r="BV49" s="37"/>
      <c r="BW49" s="140">
        <v>0</v>
      </c>
      <c r="BX49" s="43">
        <v>44781</v>
      </c>
      <c r="BY49" s="5" t="s">
        <v>284</v>
      </c>
      <c r="BZ49" s="5"/>
      <c r="CA49" s="140"/>
      <c r="CB49" s="37"/>
      <c r="CC49" s="37"/>
      <c r="CD49" s="37"/>
      <c r="CE49" s="37"/>
      <c r="CF49" s="140"/>
      <c r="CG49" s="43"/>
      <c r="CH49" s="5"/>
      <c r="CI49" s="5"/>
      <c r="CJ49" s="140"/>
      <c r="CK49" s="37"/>
      <c r="CL49" s="37"/>
      <c r="CM49" s="37"/>
      <c r="CN49" s="37"/>
      <c r="CO49" s="140"/>
      <c r="CP49" s="43"/>
      <c r="CQ49" s="5"/>
      <c r="CR49" s="5"/>
      <c r="CS49" s="140"/>
      <c r="CT49" s="37"/>
      <c r="CU49" s="37"/>
      <c r="CV49" s="37"/>
      <c r="CW49" s="37"/>
      <c r="CX49" s="140"/>
      <c r="CY49" s="43"/>
      <c r="CZ49" s="5"/>
      <c r="DA49" s="143"/>
      <c r="DB49" s="140"/>
      <c r="DC49" s="37"/>
      <c r="DD49" s="37"/>
      <c r="DE49" s="37"/>
      <c r="DF49" s="37"/>
      <c r="DG49" s="140"/>
      <c r="DH49" s="43"/>
      <c r="DI49" s="5"/>
      <c r="DJ49" s="5"/>
    </row>
    <row r="50" spans="1:114" x14ac:dyDescent="0.35">
      <c r="A50" s="9">
        <v>285926</v>
      </c>
      <c r="B50" s="9" t="s">
        <v>819</v>
      </c>
      <c r="C50" s="34" t="s">
        <v>399</v>
      </c>
      <c r="D50" s="5" t="s">
        <v>818</v>
      </c>
      <c r="E50" s="5" t="s">
        <v>638</v>
      </c>
      <c r="F50" s="6">
        <v>8751</v>
      </c>
      <c r="G50" s="145" t="s">
        <v>820</v>
      </c>
      <c r="H50" s="37">
        <v>8748621</v>
      </c>
      <c r="I50" s="37">
        <v>8748621</v>
      </c>
      <c r="J50" s="37"/>
      <c r="K50" s="37">
        <v>8748621</v>
      </c>
      <c r="L50" s="37">
        <v>2187155</v>
      </c>
      <c r="M50" s="37"/>
      <c r="N50" s="37"/>
      <c r="O50" s="140">
        <f>L50/K50</f>
        <v>0.24999997142406785</v>
      </c>
      <c r="P50" s="43">
        <v>44574</v>
      </c>
      <c r="Q50" s="5" t="s">
        <v>284</v>
      </c>
      <c r="R50" s="42"/>
      <c r="S50" s="37">
        <v>8748621</v>
      </c>
      <c r="T50" s="39">
        <v>2187155</v>
      </c>
      <c r="U50" s="5"/>
      <c r="V50" s="140">
        <f>T50/S50</f>
        <v>0.24999997142406785</v>
      </c>
      <c r="W50" s="43">
        <v>44595</v>
      </c>
      <c r="X50" s="5" t="s">
        <v>284</v>
      </c>
      <c r="Y50" s="42"/>
      <c r="Z50" s="144"/>
      <c r="AA50" s="38">
        <v>8748621</v>
      </c>
      <c r="AB50" s="38">
        <v>2187155</v>
      </c>
      <c r="AC50" s="5"/>
      <c r="AD50" s="40">
        <f>AB50/AA50</f>
        <v>0.24999997142406785</v>
      </c>
      <c r="AE50" s="142">
        <v>44628</v>
      </c>
      <c r="AF50" s="5" t="s">
        <v>284</v>
      </c>
      <c r="AG50" s="42"/>
      <c r="AH50" s="144">
        <v>0.25</v>
      </c>
      <c r="AI50" s="37">
        <v>8748621</v>
      </c>
      <c r="AJ50" s="37">
        <v>2187155</v>
      </c>
      <c r="AK50" s="37"/>
      <c r="AL50" s="37"/>
      <c r="AM50" s="140">
        <f>AJ50/AI50</f>
        <v>0.24999997142406785</v>
      </c>
      <c r="AN50" s="43">
        <v>44657</v>
      </c>
      <c r="AO50" s="5" t="s">
        <v>284</v>
      </c>
      <c r="AP50" s="5"/>
      <c r="AQ50" s="40"/>
      <c r="AR50" s="37">
        <v>8748621</v>
      </c>
      <c r="AS50" s="37">
        <v>2187155</v>
      </c>
      <c r="AT50" s="37"/>
      <c r="AU50" s="37"/>
      <c r="AV50" s="140">
        <f>AS50/AR50</f>
        <v>0.24999997142406785</v>
      </c>
      <c r="AW50" s="43">
        <v>44686</v>
      </c>
      <c r="AX50" s="5" t="s">
        <v>284</v>
      </c>
      <c r="AY50" s="5"/>
      <c r="AZ50" s="140"/>
      <c r="BA50" s="37">
        <v>8748621</v>
      </c>
      <c r="BB50" s="37">
        <v>2187155</v>
      </c>
      <c r="BC50" s="37"/>
      <c r="BD50" s="37"/>
      <c r="BE50" s="140">
        <f>BB50/BA50</f>
        <v>0.24999997142406785</v>
      </c>
      <c r="BF50" s="43">
        <v>44719</v>
      </c>
      <c r="BG50" s="5" t="s">
        <v>284</v>
      </c>
      <c r="BH50" s="43">
        <v>44728</v>
      </c>
      <c r="BI50" s="140"/>
      <c r="BJ50" s="37">
        <v>8748621</v>
      </c>
      <c r="BK50" s="37">
        <v>2187155</v>
      </c>
      <c r="BL50" s="37"/>
      <c r="BM50" s="37"/>
      <c r="BN50" s="140">
        <f>BK50/BJ50</f>
        <v>0.24999997142406785</v>
      </c>
      <c r="BO50" s="43">
        <v>44748</v>
      </c>
      <c r="BP50" s="5" t="s">
        <v>284</v>
      </c>
      <c r="BQ50" s="43">
        <v>44757</v>
      </c>
      <c r="BR50" s="140"/>
      <c r="BS50" s="37">
        <v>8748621</v>
      </c>
      <c r="BT50" s="37">
        <v>2187155</v>
      </c>
      <c r="BU50" s="37"/>
      <c r="BV50" s="37"/>
      <c r="BW50" s="140">
        <f>BT50/BS50</f>
        <v>0.24999997142406785</v>
      </c>
      <c r="BX50" s="43">
        <v>44782</v>
      </c>
      <c r="BY50" s="5" t="s">
        <v>284</v>
      </c>
      <c r="BZ50" s="5"/>
      <c r="CA50" s="140"/>
      <c r="CB50" s="37"/>
      <c r="CC50" s="37"/>
      <c r="CD50" s="37"/>
      <c r="CE50" s="37"/>
      <c r="CF50" s="140"/>
      <c r="CG50" s="43"/>
      <c r="CH50" s="5"/>
      <c r="CI50" s="5"/>
      <c r="CJ50" s="140"/>
      <c r="CK50" s="37"/>
      <c r="CL50" s="37"/>
      <c r="CM50" s="37"/>
      <c r="CN50" s="37"/>
      <c r="CO50" s="140"/>
      <c r="CP50" s="43"/>
      <c r="CQ50" s="5"/>
      <c r="CR50" s="5"/>
      <c r="CS50" s="140"/>
      <c r="CT50" s="37"/>
      <c r="CU50" s="37"/>
      <c r="CV50" s="37"/>
      <c r="CW50" s="37"/>
      <c r="CX50" s="140"/>
      <c r="CY50" s="43"/>
      <c r="CZ50" s="5"/>
      <c r="DA50" s="143"/>
      <c r="DB50" s="140"/>
      <c r="DC50" s="37"/>
      <c r="DD50" s="37"/>
      <c r="DE50" s="37"/>
      <c r="DF50" s="37"/>
      <c r="DG50" s="140"/>
      <c r="DH50" s="43"/>
      <c r="DI50" s="5"/>
      <c r="DJ50" s="5"/>
    </row>
    <row r="51" spans="1:114" x14ac:dyDescent="0.35">
      <c r="A51" s="9">
        <v>206511</v>
      </c>
      <c r="B51" s="9" t="s">
        <v>900</v>
      </c>
      <c r="C51" s="34" t="s">
        <v>403</v>
      </c>
      <c r="D51" s="5" t="s">
        <v>901</v>
      </c>
      <c r="E51" s="5" t="s">
        <v>695</v>
      </c>
      <c r="F51" s="6" t="s">
        <v>873</v>
      </c>
      <c r="G51" s="145">
        <v>80502876</v>
      </c>
      <c r="H51" s="149" t="s">
        <v>873</v>
      </c>
      <c r="I51" s="5"/>
      <c r="J51" s="606" t="s">
        <v>875</v>
      </c>
      <c r="K51" s="607"/>
      <c r="L51" s="607"/>
      <c r="M51" s="607"/>
      <c r="N51" s="607"/>
      <c r="O51" s="607"/>
      <c r="P51" s="607"/>
      <c r="Q51" s="607"/>
      <c r="R51" s="608"/>
      <c r="S51" s="597" t="s">
        <v>875</v>
      </c>
      <c r="T51" s="598"/>
      <c r="U51" s="598"/>
      <c r="V51" s="598"/>
      <c r="W51" s="598"/>
      <c r="X51" s="598"/>
      <c r="Y51" s="599"/>
      <c r="Z51" s="597" t="s">
        <v>875</v>
      </c>
      <c r="AA51" s="598"/>
      <c r="AB51" s="598"/>
      <c r="AC51" s="598"/>
      <c r="AD51" s="598"/>
      <c r="AE51" s="598"/>
      <c r="AF51" s="598"/>
      <c r="AG51" s="599"/>
      <c r="AH51" s="597" t="s">
        <v>875</v>
      </c>
      <c r="AI51" s="598"/>
      <c r="AJ51" s="598"/>
      <c r="AK51" s="598"/>
      <c r="AL51" s="598"/>
      <c r="AM51" s="598"/>
      <c r="AN51" s="598"/>
      <c r="AO51" s="598"/>
      <c r="AP51" s="599"/>
      <c r="AQ51" s="591" t="s">
        <v>893</v>
      </c>
      <c r="AR51" s="592"/>
      <c r="AS51" s="592"/>
      <c r="AT51" s="592"/>
      <c r="AU51" s="592"/>
      <c r="AV51" s="592"/>
      <c r="AW51" s="592"/>
      <c r="AX51" s="592"/>
      <c r="AY51" s="593"/>
      <c r="AZ51" s="597" t="s">
        <v>874</v>
      </c>
      <c r="BA51" s="598"/>
      <c r="BB51" s="598"/>
      <c r="BC51" s="598"/>
      <c r="BD51" s="598"/>
      <c r="BE51" s="598"/>
      <c r="BF51" s="598"/>
      <c r="BG51" s="598"/>
      <c r="BH51" s="599"/>
      <c r="BI51" s="591" t="s">
        <v>874</v>
      </c>
      <c r="BJ51" s="592"/>
      <c r="BK51" s="592"/>
      <c r="BL51" s="592"/>
      <c r="BM51" s="592"/>
      <c r="BN51" s="592"/>
      <c r="BO51" s="592"/>
      <c r="BP51" s="592"/>
      <c r="BQ51" s="593"/>
      <c r="BR51" s="5"/>
      <c r="BS51" s="5"/>
      <c r="BT51" s="5"/>
      <c r="BU51" s="5"/>
      <c r="BV51" s="5"/>
      <c r="BW51" s="5"/>
      <c r="BX51" s="5"/>
      <c r="BY51" s="5"/>
      <c r="BZ51" s="5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40"/>
      <c r="DC51" s="38"/>
      <c r="DD51" s="38"/>
      <c r="DE51" s="38"/>
      <c r="DF51" s="38"/>
      <c r="DG51" s="40"/>
      <c r="DH51" s="43"/>
      <c r="DI51" s="5"/>
      <c r="DJ51" s="5"/>
    </row>
    <row r="52" spans="1:114" x14ac:dyDescent="0.35">
      <c r="A52" s="9">
        <v>206511</v>
      </c>
      <c r="B52" s="9" t="s">
        <v>902</v>
      </c>
      <c r="C52" s="34" t="s">
        <v>403</v>
      </c>
      <c r="D52" s="5" t="s">
        <v>901</v>
      </c>
      <c r="E52" s="5" t="s">
        <v>695</v>
      </c>
      <c r="F52" s="6">
        <v>8749</v>
      </c>
      <c r="G52" s="145">
        <v>80502876</v>
      </c>
      <c r="H52" s="37">
        <v>3667218</v>
      </c>
      <c r="I52" s="37">
        <v>3667218</v>
      </c>
      <c r="J52" s="37"/>
      <c r="K52" s="37">
        <v>3667218</v>
      </c>
      <c r="L52" s="37">
        <f>H52-K52</f>
        <v>0</v>
      </c>
      <c r="M52" s="37"/>
      <c r="N52" s="37"/>
      <c r="O52" s="140">
        <v>0</v>
      </c>
      <c r="P52" s="142">
        <v>44200</v>
      </c>
      <c r="Q52" s="9" t="s">
        <v>284</v>
      </c>
      <c r="R52" s="42"/>
      <c r="S52" s="37">
        <v>3667218</v>
      </c>
      <c r="T52" s="37">
        <v>0</v>
      </c>
      <c r="U52" s="39"/>
      <c r="V52" s="140">
        <v>0</v>
      </c>
      <c r="W52" s="142">
        <v>44593</v>
      </c>
      <c r="X52" s="5" t="s">
        <v>284</v>
      </c>
      <c r="Y52" s="42"/>
      <c r="Z52" s="5"/>
      <c r="AA52" s="38">
        <v>3667218</v>
      </c>
      <c r="AB52" s="38">
        <f>S52-AA52</f>
        <v>0</v>
      </c>
      <c r="AC52" s="5"/>
      <c r="AD52" s="40">
        <v>0</v>
      </c>
      <c r="AE52" s="51">
        <v>44621</v>
      </c>
      <c r="AF52" s="5" t="s">
        <v>284</v>
      </c>
      <c r="AG52" s="158"/>
      <c r="AH52" s="5"/>
      <c r="AI52" s="37">
        <v>3667218</v>
      </c>
      <c r="AJ52" s="37">
        <f>AA52-AI52</f>
        <v>0</v>
      </c>
      <c r="AK52" s="37"/>
      <c r="AL52" s="37"/>
      <c r="AM52" s="140">
        <v>0</v>
      </c>
      <c r="AN52" s="43">
        <v>44655</v>
      </c>
      <c r="AO52" s="5" t="s">
        <v>284</v>
      </c>
      <c r="AP52" s="5"/>
      <c r="AQ52" s="40"/>
      <c r="AR52" s="37">
        <v>3667218</v>
      </c>
      <c r="AS52" s="37">
        <f>AI52-AR52</f>
        <v>0</v>
      </c>
      <c r="AT52" s="37"/>
      <c r="AU52" s="37"/>
      <c r="AV52" s="140">
        <v>0</v>
      </c>
      <c r="AW52" s="43">
        <v>44683</v>
      </c>
      <c r="AX52" s="5" t="s">
        <v>284</v>
      </c>
      <c r="AY52" s="5"/>
      <c r="AZ52" s="140"/>
      <c r="BA52" s="37">
        <v>3667218</v>
      </c>
      <c r="BB52" s="37">
        <f>AR52-BA52</f>
        <v>0</v>
      </c>
      <c r="BC52" s="37"/>
      <c r="BD52" s="37"/>
      <c r="BE52" s="140">
        <v>0</v>
      </c>
      <c r="BF52" s="43">
        <v>44713</v>
      </c>
      <c r="BG52" s="5" t="s">
        <v>284</v>
      </c>
      <c r="BH52" s="43">
        <v>44728</v>
      </c>
      <c r="BI52" s="140"/>
      <c r="BJ52" s="37">
        <v>3667218</v>
      </c>
      <c r="BK52" s="37">
        <f>BA52-BJ52</f>
        <v>0</v>
      </c>
      <c r="BL52" s="37"/>
      <c r="BM52" s="37"/>
      <c r="BN52" s="140">
        <v>0</v>
      </c>
      <c r="BO52" s="43">
        <v>44743</v>
      </c>
      <c r="BP52" s="5" t="s">
        <v>284</v>
      </c>
      <c r="BQ52" s="43">
        <v>44757</v>
      </c>
      <c r="BR52" s="140"/>
      <c r="BS52" s="37">
        <v>3667218</v>
      </c>
      <c r="BT52" s="37">
        <f>BJ52-BS52</f>
        <v>0</v>
      </c>
      <c r="BU52" s="37"/>
      <c r="BV52" s="37"/>
      <c r="BW52" s="140">
        <v>0</v>
      </c>
      <c r="BX52" s="43">
        <v>44774</v>
      </c>
      <c r="BY52" s="5" t="s">
        <v>284</v>
      </c>
      <c r="BZ52" s="5"/>
      <c r="CA52" s="140"/>
      <c r="CB52" s="37"/>
      <c r="CC52" s="37"/>
      <c r="CD52" s="37"/>
      <c r="CE52" s="37"/>
      <c r="CF52" s="140"/>
      <c r="CG52" s="43"/>
      <c r="CH52" s="5"/>
      <c r="CI52" s="5"/>
      <c r="CJ52" s="140"/>
      <c r="CK52" s="37"/>
      <c r="CL52" s="37"/>
      <c r="CM52" s="37"/>
      <c r="CN52" s="37"/>
      <c r="CO52" s="140"/>
      <c r="CP52" s="43"/>
      <c r="CQ52" s="5"/>
      <c r="CR52" s="5"/>
      <c r="CS52" s="140"/>
      <c r="CT52" s="37"/>
      <c r="CU52" s="37"/>
      <c r="CV52" s="37"/>
      <c r="CW52" s="37"/>
      <c r="CX52" s="140"/>
      <c r="CY52" s="43"/>
      <c r="CZ52" s="5"/>
      <c r="DA52" s="143"/>
      <c r="DB52" s="140"/>
      <c r="DC52" s="37"/>
      <c r="DD52" s="37"/>
      <c r="DE52" s="37"/>
      <c r="DF52" s="37"/>
      <c r="DG52" s="140"/>
      <c r="DH52" s="43"/>
      <c r="DI52" s="5"/>
      <c r="DJ52" s="5"/>
    </row>
    <row r="53" spans="1:114" x14ac:dyDescent="0.35">
      <c r="A53" s="9">
        <v>207689</v>
      </c>
      <c r="B53" s="9" t="s">
        <v>903</v>
      </c>
      <c r="C53" s="34" t="s">
        <v>407</v>
      </c>
      <c r="D53" s="5" t="s">
        <v>904</v>
      </c>
      <c r="E53" s="5" t="s">
        <v>625</v>
      </c>
      <c r="F53" s="6" t="s">
        <v>873</v>
      </c>
      <c r="G53" s="145" t="s">
        <v>806</v>
      </c>
      <c r="H53" s="621" t="s">
        <v>873</v>
      </c>
      <c r="I53" s="622"/>
      <c r="J53" s="606" t="s">
        <v>875</v>
      </c>
      <c r="K53" s="607"/>
      <c r="L53" s="607"/>
      <c r="M53" s="607"/>
      <c r="N53" s="607"/>
      <c r="O53" s="607"/>
      <c r="P53" s="607"/>
      <c r="Q53" s="607"/>
      <c r="R53" s="608"/>
      <c r="S53" s="597" t="s">
        <v>875</v>
      </c>
      <c r="T53" s="598"/>
      <c r="U53" s="598"/>
      <c r="V53" s="598"/>
      <c r="W53" s="598"/>
      <c r="X53" s="598"/>
      <c r="Y53" s="599"/>
      <c r="Z53" s="597" t="s">
        <v>875</v>
      </c>
      <c r="AA53" s="598"/>
      <c r="AB53" s="598"/>
      <c r="AC53" s="598"/>
      <c r="AD53" s="598"/>
      <c r="AE53" s="598"/>
      <c r="AF53" s="598"/>
      <c r="AG53" s="599"/>
      <c r="AH53" s="597" t="s">
        <v>875</v>
      </c>
      <c r="AI53" s="598"/>
      <c r="AJ53" s="598"/>
      <c r="AK53" s="598"/>
      <c r="AL53" s="598"/>
      <c r="AM53" s="598"/>
      <c r="AN53" s="598"/>
      <c r="AO53" s="598"/>
      <c r="AP53" s="599"/>
      <c r="AQ53" s="591" t="s">
        <v>893</v>
      </c>
      <c r="AR53" s="592"/>
      <c r="AS53" s="592"/>
      <c r="AT53" s="592"/>
      <c r="AU53" s="592"/>
      <c r="AV53" s="592"/>
      <c r="AW53" s="592"/>
      <c r="AX53" s="592"/>
      <c r="AY53" s="593"/>
      <c r="AZ53" s="597"/>
      <c r="BA53" s="598"/>
      <c r="BB53" s="598"/>
      <c r="BC53" s="598"/>
      <c r="BD53" s="598"/>
      <c r="BE53" s="598"/>
      <c r="BF53" s="598"/>
      <c r="BG53" s="598"/>
      <c r="BH53" s="599"/>
      <c r="BI53" s="591" t="s">
        <v>874</v>
      </c>
      <c r="BJ53" s="592"/>
      <c r="BK53" s="592"/>
      <c r="BL53" s="592"/>
      <c r="BM53" s="592"/>
      <c r="BN53" s="592"/>
      <c r="BO53" s="592"/>
      <c r="BP53" s="592"/>
      <c r="BQ53" s="593"/>
      <c r="BR53" s="5"/>
      <c r="BS53" s="5"/>
      <c r="BT53" s="5"/>
      <c r="BU53" s="5"/>
      <c r="BV53" s="5"/>
      <c r="BW53" s="5"/>
      <c r="BX53" s="5"/>
      <c r="BY53" s="5"/>
      <c r="BZ53" s="5"/>
      <c r="CA53" s="40"/>
      <c r="CB53" s="38"/>
      <c r="CC53" s="38"/>
      <c r="CD53" s="38"/>
      <c r="CE53" s="38"/>
      <c r="CF53" s="40"/>
      <c r="CG53" s="43"/>
      <c r="CH53" s="5"/>
      <c r="CI53" s="5"/>
      <c r="CJ53" s="67"/>
      <c r="CK53" s="67"/>
      <c r="CL53" s="67"/>
      <c r="CM53" s="67"/>
      <c r="CN53" s="67"/>
      <c r="CO53" s="67"/>
      <c r="CP53" s="67"/>
      <c r="CQ53" s="67"/>
      <c r="CR53" s="67"/>
      <c r="CS53" s="591"/>
      <c r="CT53" s="592"/>
      <c r="CU53" s="592"/>
      <c r="CV53" s="592"/>
      <c r="CW53" s="592"/>
      <c r="CX53" s="592"/>
      <c r="CY53" s="592"/>
      <c r="CZ53" s="592"/>
      <c r="DA53" s="593"/>
      <c r="DB53" s="140"/>
      <c r="DC53" s="37"/>
      <c r="DD53" s="37"/>
      <c r="DE53" s="37"/>
      <c r="DF53" s="37"/>
      <c r="DG53" s="140"/>
      <c r="DH53" s="43"/>
      <c r="DI53" s="5"/>
      <c r="DJ53" s="5"/>
    </row>
    <row r="54" spans="1:114" x14ac:dyDescent="0.35">
      <c r="A54" s="9">
        <v>207689</v>
      </c>
      <c r="B54" s="9" t="s">
        <v>366</v>
      </c>
      <c r="C54" s="34" t="s">
        <v>407</v>
      </c>
      <c r="D54" s="5" t="s">
        <v>904</v>
      </c>
      <c r="E54" s="5" t="s">
        <v>625</v>
      </c>
      <c r="F54" s="6">
        <v>8860</v>
      </c>
      <c r="G54" s="145" t="s">
        <v>806</v>
      </c>
      <c r="H54" s="37">
        <v>7467141</v>
      </c>
      <c r="I54" s="37">
        <v>7069825</v>
      </c>
      <c r="J54" s="37"/>
      <c r="K54" s="37">
        <v>7069825</v>
      </c>
      <c r="L54" s="37">
        <f>I54-K54</f>
        <v>0</v>
      </c>
      <c r="M54" s="37"/>
      <c r="N54" s="37"/>
      <c r="O54" s="140">
        <v>0</v>
      </c>
      <c r="P54" s="43">
        <v>44567</v>
      </c>
      <c r="Q54" s="43" t="s">
        <v>284</v>
      </c>
      <c r="R54" s="42"/>
      <c r="S54" s="37">
        <v>7864457</v>
      </c>
      <c r="T54" s="39">
        <f>K54-S54</f>
        <v>-794632</v>
      </c>
      <c r="U54" s="5"/>
      <c r="V54" s="140">
        <f>T54/K54</f>
        <v>-0.11239769018327894</v>
      </c>
      <c r="W54" s="43">
        <v>44595</v>
      </c>
      <c r="X54" s="5" t="s">
        <v>284</v>
      </c>
      <c r="Y54" s="42"/>
      <c r="Z54" s="5"/>
      <c r="AA54" s="38">
        <v>7467141</v>
      </c>
      <c r="AB54" s="38">
        <f>S54-AA54</f>
        <v>397316</v>
      </c>
      <c r="AC54" s="5"/>
      <c r="AD54" s="40">
        <f>AB54/S54</f>
        <v>5.0520461870412668E-2</v>
      </c>
      <c r="AE54" s="43">
        <v>44650</v>
      </c>
      <c r="AF54" s="5" t="s">
        <v>284</v>
      </c>
      <c r="AG54" s="158"/>
      <c r="AH54" s="5"/>
      <c r="AI54" s="37">
        <v>7467141</v>
      </c>
      <c r="AJ54" s="37">
        <f>AA54-AI54</f>
        <v>0</v>
      </c>
      <c r="AK54" s="37"/>
      <c r="AL54" s="37"/>
      <c r="AM54" s="140">
        <v>0</v>
      </c>
      <c r="AN54" s="43">
        <v>44657</v>
      </c>
      <c r="AO54" s="5" t="s">
        <v>284</v>
      </c>
      <c r="AP54" s="5"/>
      <c r="AQ54" s="40"/>
      <c r="AR54" s="37">
        <v>7467141</v>
      </c>
      <c r="AS54" s="37">
        <f>AI54-AR54</f>
        <v>0</v>
      </c>
      <c r="AT54" s="37"/>
      <c r="AU54" s="37"/>
      <c r="AV54" s="140">
        <v>0</v>
      </c>
      <c r="AW54" s="43">
        <v>44686</v>
      </c>
      <c r="AX54" s="5" t="s">
        <v>284</v>
      </c>
      <c r="AY54" s="5"/>
      <c r="AZ54" s="140"/>
      <c r="BA54" s="37">
        <v>7467141</v>
      </c>
      <c r="BB54" s="37">
        <f>AR54-BA54</f>
        <v>0</v>
      </c>
      <c r="BC54" s="37"/>
      <c r="BD54" s="37"/>
      <c r="BE54" s="140">
        <v>0</v>
      </c>
      <c r="BF54" s="43">
        <v>44715</v>
      </c>
      <c r="BG54" s="5" t="s">
        <v>284</v>
      </c>
      <c r="BH54" s="43">
        <v>44728</v>
      </c>
      <c r="BI54" s="140"/>
      <c r="BJ54" s="37">
        <v>7467141</v>
      </c>
      <c r="BK54" s="37">
        <f>BA54-BJ54</f>
        <v>0</v>
      </c>
      <c r="BL54" s="37"/>
      <c r="BM54" s="37"/>
      <c r="BN54" s="140">
        <v>0</v>
      </c>
      <c r="BO54" s="43">
        <v>44748</v>
      </c>
      <c r="BP54" s="5" t="s">
        <v>284</v>
      </c>
      <c r="BQ54" s="43">
        <v>44757</v>
      </c>
      <c r="BR54" s="140"/>
      <c r="BS54" s="37">
        <v>7467141</v>
      </c>
      <c r="BT54" s="37">
        <f>BJ54-BS54</f>
        <v>0</v>
      </c>
      <c r="BU54" s="37"/>
      <c r="BV54" s="37"/>
      <c r="BW54" s="140">
        <v>0</v>
      </c>
      <c r="BX54" s="43">
        <v>44777</v>
      </c>
      <c r="BY54" s="5" t="s">
        <v>284</v>
      </c>
      <c r="BZ54" s="5"/>
      <c r="CA54" s="140"/>
      <c r="CB54" s="37"/>
      <c r="CC54" s="37"/>
      <c r="CD54" s="37"/>
      <c r="CE54" s="37"/>
      <c r="CF54" s="140"/>
      <c r="CG54" s="43"/>
      <c r="CH54" s="5"/>
      <c r="CI54" s="5"/>
      <c r="CJ54" s="140"/>
      <c r="CK54" s="37"/>
      <c r="CL54" s="37"/>
      <c r="CM54" s="37"/>
      <c r="CN54" s="37"/>
      <c r="CO54" s="140"/>
      <c r="CP54" s="43"/>
      <c r="CQ54" s="5"/>
      <c r="CR54" s="5"/>
      <c r="CS54" s="140"/>
      <c r="CT54" s="37"/>
      <c r="CU54" s="37"/>
      <c r="CV54" s="37"/>
      <c r="CW54" s="37"/>
      <c r="CX54" s="140"/>
      <c r="CY54" s="43"/>
      <c r="CZ54" s="5"/>
      <c r="DA54" s="143"/>
      <c r="DB54" s="140"/>
      <c r="DC54" s="37"/>
      <c r="DD54" s="37"/>
      <c r="DE54" s="37"/>
      <c r="DF54" s="37"/>
      <c r="DG54" s="140"/>
      <c r="DH54" s="43"/>
      <c r="DI54" s="5"/>
      <c r="DJ54" s="5"/>
    </row>
    <row r="55" spans="1:114" s="7" customFormat="1" x14ac:dyDescent="0.35">
      <c r="A55" s="165">
        <v>289666</v>
      </c>
      <c r="B55" s="165" t="s">
        <v>630</v>
      </c>
      <c r="C55" s="166" t="s">
        <v>409</v>
      </c>
      <c r="D55" s="167" t="s">
        <v>821</v>
      </c>
      <c r="E55" s="167" t="s">
        <v>625</v>
      </c>
      <c r="F55" s="168" t="s">
        <v>873</v>
      </c>
      <c r="G55" s="169" t="s">
        <v>631</v>
      </c>
      <c r="H55" s="612" t="s">
        <v>873</v>
      </c>
      <c r="I55" s="613"/>
      <c r="J55" s="612" t="s">
        <v>875</v>
      </c>
      <c r="K55" s="614"/>
      <c r="L55" s="614"/>
      <c r="M55" s="614"/>
      <c r="N55" s="614"/>
      <c r="O55" s="614"/>
      <c r="P55" s="614"/>
      <c r="Q55" s="614"/>
      <c r="R55" s="613"/>
      <c r="S55" s="615" t="s">
        <v>875</v>
      </c>
      <c r="T55" s="616"/>
      <c r="U55" s="616"/>
      <c r="V55" s="616"/>
      <c r="W55" s="616"/>
      <c r="X55" s="616"/>
      <c r="Y55" s="617"/>
      <c r="Z55" s="615" t="s">
        <v>875</v>
      </c>
      <c r="AA55" s="616"/>
      <c r="AB55" s="616"/>
      <c r="AC55" s="616"/>
      <c r="AD55" s="616"/>
      <c r="AE55" s="616"/>
      <c r="AF55" s="616"/>
      <c r="AG55" s="617"/>
      <c r="AH55" s="615" t="s">
        <v>875</v>
      </c>
      <c r="AI55" s="616"/>
      <c r="AJ55" s="616"/>
      <c r="AK55" s="616"/>
      <c r="AL55" s="616"/>
      <c r="AM55" s="616"/>
      <c r="AN55" s="616"/>
      <c r="AO55" s="616"/>
      <c r="AP55" s="617"/>
      <c r="AQ55" s="167"/>
      <c r="AR55" s="170">
        <v>1688433</v>
      </c>
      <c r="AS55" s="170">
        <v>0</v>
      </c>
      <c r="AT55" s="167"/>
      <c r="AU55" s="167"/>
      <c r="AV55" s="171">
        <v>0</v>
      </c>
      <c r="AW55" s="172">
        <v>44700</v>
      </c>
      <c r="AX55" s="167" t="s">
        <v>284</v>
      </c>
      <c r="AY55" s="167"/>
      <c r="AZ55" s="173"/>
      <c r="BA55" s="174">
        <v>6024716</v>
      </c>
      <c r="BB55" s="174">
        <v>0</v>
      </c>
      <c r="BC55" s="174"/>
      <c r="BD55" s="174"/>
      <c r="BE55" s="173">
        <v>0</v>
      </c>
      <c r="BF55" s="172">
        <v>44729</v>
      </c>
      <c r="BG55" s="167" t="s">
        <v>284</v>
      </c>
      <c r="BH55" s="172">
        <v>44753</v>
      </c>
      <c r="BI55" s="173"/>
      <c r="BJ55" s="174">
        <v>1665604</v>
      </c>
      <c r="BK55" s="174">
        <v>0</v>
      </c>
      <c r="BL55" s="174"/>
      <c r="BM55" s="174"/>
      <c r="BN55" s="173">
        <v>0</v>
      </c>
      <c r="BO55" s="172">
        <v>44761</v>
      </c>
      <c r="BP55" s="167" t="s">
        <v>284</v>
      </c>
      <c r="BQ55" s="172">
        <v>44769</v>
      </c>
      <c r="BR55" s="173"/>
      <c r="BS55" s="174">
        <v>2521856</v>
      </c>
      <c r="BT55" s="174">
        <v>0</v>
      </c>
      <c r="BU55" s="174"/>
      <c r="BV55" s="174"/>
      <c r="BW55" s="173">
        <v>0</v>
      </c>
      <c r="BX55" s="172">
        <v>44785</v>
      </c>
      <c r="BY55" s="167" t="s">
        <v>284</v>
      </c>
      <c r="BZ55" s="167"/>
      <c r="CA55" s="173"/>
      <c r="CB55" s="174"/>
      <c r="CC55" s="174"/>
      <c r="CD55" s="174"/>
      <c r="CE55" s="174"/>
      <c r="CF55" s="173"/>
      <c r="CG55" s="172"/>
      <c r="CH55" s="167"/>
      <c r="CI55" s="167"/>
      <c r="CJ55" s="173"/>
      <c r="CK55" s="174"/>
      <c r="CL55" s="174"/>
      <c r="CM55" s="174"/>
      <c r="CN55" s="174"/>
      <c r="CO55" s="173"/>
      <c r="CP55" s="172"/>
      <c r="CQ55" s="167"/>
      <c r="CR55" s="167"/>
      <c r="CS55" s="618"/>
      <c r="CT55" s="619"/>
      <c r="CU55" s="619"/>
      <c r="CV55" s="619"/>
      <c r="CW55" s="619"/>
      <c r="CX55" s="619"/>
      <c r="CY55" s="619"/>
      <c r="CZ55" s="619"/>
      <c r="DA55" s="620"/>
      <c r="DB55" s="173"/>
      <c r="DC55" s="174"/>
      <c r="DD55" s="174"/>
      <c r="DE55" s="174"/>
      <c r="DF55" s="174"/>
      <c r="DG55" s="173"/>
      <c r="DH55" s="172"/>
      <c r="DI55" s="167"/>
      <c r="DJ55" s="167"/>
    </row>
    <row r="56" spans="1:114" s="7" customFormat="1" x14ac:dyDescent="0.35">
      <c r="A56" s="165">
        <v>289666</v>
      </c>
      <c r="B56" s="165" t="s">
        <v>630</v>
      </c>
      <c r="C56" s="166" t="s">
        <v>409</v>
      </c>
      <c r="D56" s="167" t="s">
        <v>821</v>
      </c>
      <c r="E56" s="167" t="s">
        <v>625</v>
      </c>
      <c r="F56" s="168">
        <v>8859</v>
      </c>
      <c r="G56" s="169" t="s">
        <v>631</v>
      </c>
      <c r="H56" s="174">
        <v>19102600</v>
      </c>
      <c r="I56" s="174">
        <v>28653900</v>
      </c>
      <c r="J56" s="174"/>
      <c r="K56" s="174">
        <v>19102600</v>
      </c>
      <c r="L56" s="174">
        <f>H56-K56</f>
        <v>0</v>
      </c>
      <c r="M56" s="174"/>
      <c r="N56" s="174"/>
      <c r="O56" s="173">
        <v>0</v>
      </c>
      <c r="P56" s="172">
        <v>44574</v>
      </c>
      <c r="Q56" s="167" t="s">
        <v>284</v>
      </c>
      <c r="R56" s="175"/>
      <c r="S56" s="174">
        <v>19102600</v>
      </c>
      <c r="T56" s="176">
        <f>K56-S56</f>
        <v>0</v>
      </c>
      <c r="U56" s="174"/>
      <c r="V56" s="173">
        <v>0</v>
      </c>
      <c r="W56" s="177">
        <v>44600</v>
      </c>
      <c r="X56" s="167" t="s">
        <v>284</v>
      </c>
      <c r="Y56" s="175"/>
      <c r="Z56" s="167"/>
      <c r="AA56" s="174">
        <v>19102600</v>
      </c>
      <c r="AB56" s="174">
        <f>S56-AA56</f>
        <v>0</v>
      </c>
      <c r="AC56" s="167"/>
      <c r="AD56" s="173">
        <v>0</v>
      </c>
      <c r="AE56" s="177">
        <v>44628</v>
      </c>
      <c r="AF56" s="167" t="s">
        <v>284</v>
      </c>
      <c r="AG56" s="175"/>
      <c r="AH56" s="167"/>
      <c r="AI56" s="174">
        <v>19102600</v>
      </c>
      <c r="AJ56" s="174">
        <f>AA56-AI56</f>
        <v>0</v>
      </c>
      <c r="AK56" s="174"/>
      <c r="AL56" s="174"/>
      <c r="AM56" s="173">
        <v>0</v>
      </c>
      <c r="AN56" s="177">
        <v>44659</v>
      </c>
      <c r="AO56" s="167" t="s">
        <v>284</v>
      </c>
      <c r="AP56" s="167"/>
      <c r="AQ56" s="173"/>
      <c r="AR56" s="174">
        <v>19102600</v>
      </c>
      <c r="AS56" s="174">
        <f>AI56-AR56</f>
        <v>0</v>
      </c>
      <c r="AT56" s="174"/>
      <c r="AU56" s="174"/>
      <c r="AV56" s="173">
        <v>0</v>
      </c>
      <c r="AW56" s="172">
        <v>44687</v>
      </c>
      <c r="AX56" s="167" t="s">
        <v>284</v>
      </c>
      <c r="AY56" s="167"/>
      <c r="AZ56" s="173"/>
      <c r="BA56" s="174">
        <v>19102600</v>
      </c>
      <c r="BB56" s="174">
        <f>AR56-BA56</f>
        <v>0</v>
      </c>
      <c r="BC56" s="174"/>
      <c r="BD56" s="174"/>
      <c r="BE56" s="173">
        <v>0</v>
      </c>
      <c r="BF56" s="172">
        <v>44719</v>
      </c>
      <c r="BG56" s="167" t="s">
        <v>284</v>
      </c>
      <c r="BH56" s="172">
        <v>44728</v>
      </c>
      <c r="BI56" s="173"/>
      <c r="BJ56" s="174">
        <v>19102600</v>
      </c>
      <c r="BK56" s="174">
        <f>BA56-BJ56</f>
        <v>0</v>
      </c>
      <c r="BL56" s="174"/>
      <c r="BM56" s="174"/>
      <c r="BN56" s="173">
        <v>0</v>
      </c>
      <c r="BO56" s="172">
        <v>44753</v>
      </c>
      <c r="BP56" s="167" t="s">
        <v>284</v>
      </c>
      <c r="BQ56" s="172">
        <v>44768</v>
      </c>
      <c r="BR56" s="173"/>
      <c r="BS56" s="174">
        <v>19102600</v>
      </c>
      <c r="BT56" s="174">
        <f>BJ56-BS56</f>
        <v>0</v>
      </c>
      <c r="BU56" s="174"/>
      <c r="BV56" s="174"/>
      <c r="BW56" s="173">
        <v>0</v>
      </c>
      <c r="BX56" s="172">
        <v>44778</v>
      </c>
      <c r="BY56" s="167" t="s">
        <v>284</v>
      </c>
      <c r="BZ56" s="167"/>
      <c r="CA56" s="173"/>
      <c r="CB56" s="174"/>
      <c r="CC56" s="174"/>
      <c r="CD56" s="174"/>
      <c r="CE56" s="174"/>
      <c r="CF56" s="173"/>
      <c r="CG56" s="172"/>
      <c r="CH56" s="167"/>
      <c r="CI56" s="167"/>
      <c r="CJ56" s="173"/>
      <c r="CK56" s="174"/>
      <c r="CL56" s="174"/>
      <c r="CM56" s="174"/>
      <c r="CN56" s="174"/>
      <c r="CO56" s="173"/>
      <c r="CP56" s="172"/>
      <c r="CQ56" s="167"/>
      <c r="CR56" s="167"/>
      <c r="CS56" s="173"/>
      <c r="CT56" s="174"/>
      <c r="CU56" s="174"/>
      <c r="CV56" s="174"/>
      <c r="CW56" s="174"/>
      <c r="CX56" s="173"/>
      <c r="CY56" s="172"/>
      <c r="CZ56" s="167"/>
      <c r="DA56" s="178"/>
      <c r="DB56" s="173"/>
      <c r="DC56" s="174"/>
      <c r="DD56" s="174"/>
      <c r="DE56" s="174"/>
      <c r="DF56" s="174"/>
      <c r="DG56" s="173"/>
      <c r="DH56" s="172"/>
      <c r="DI56" s="167"/>
      <c r="DJ56" s="167"/>
    </row>
    <row r="57" spans="1:114" x14ac:dyDescent="0.35">
      <c r="A57" s="9">
        <v>219333</v>
      </c>
      <c r="B57" s="9" t="s">
        <v>823</v>
      </c>
      <c r="C57" s="34" t="s">
        <v>411</v>
      </c>
      <c r="D57" s="5" t="s">
        <v>822</v>
      </c>
      <c r="E57" s="5" t="s">
        <v>638</v>
      </c>
      <c r="F57" s="6">
        <v>8976</v>
      </c>
      <c r="G57" s="145">
        <v>9011209433</v>
      </c>
      <c r="H57" s="37">
        <v>10283655</v>
      </c>
      <c r="I57" s="37">
        <v>9639070</v>
      </c>
      <c r="J57" s="37"/>
      <c r="K57" s="37">
        <v>10283655</v>
      </c>
      <c r="L57" s="37">
        <f>I57-K57</f>
        <v>-644585</v>
      </c>
      <c r="M57" s="37"/>
      <c r="N57" s="37"/>
      <c r="O57" s="140">
        <f>L57/I57</f>
        <v>-6.6872115255932368E-2</v>
      </c>
      <c r="P57" s="142">
        <v>44637</v>
      </c>
      <c r="Q57" s="5" t="s">
        <v>284</v>
      </c>
      <c r="R57" s="42"/>
      <c r="S57" s="37">
        <v>10283655</v>
      </c>
      <c r="T57" s="39">
        <f>K57-S57</f>
        <v>0</v>
      </c>
      <c r="U57" s="5"/>
      <c r="V57" s="140">
        <v>0</v>
      </c>
      <c r="W57" s="43">
        <v>44637</v>
      </c>
      <c r="X57" s="5" t="s">
        <v>284</v>
      </c>
      <c r="Y57" s="42"/>
      <c r="Z57" s="5"/>
      <c r="AA57" s="38">
        <v>10283655</v>
      </c>
      <c r="AB57" s="38">
        <f>I57-AA57</f>
        <v>-644585</v>
      </c>
      <c r="AC57" s="5"/>
      <c r="AD57" s="40">
        <f>AB57/I57</f>
        <v>-6.6872115255932368E-2</v>
      </c>
      <c r="AE57" s="51">
        <v>44634</v>
      </c>
      <c r="AF57" s="5" t="s">
        <v>284</v>
      </c>
      <c r="AG57" s="42"/>
      <c r="AH57" s="5"/>
      <c r="AI57" s="37">
        <v>10283655</v>
      </c>
      <c r="AJ57" s="37">
        <f>AA57-AI57</f>
        <v>0</v>
      </c>
      <c r="AK57" s="37"/>
      <c r="AL57" s="37"/>
      <c r="AM57" s="140">
        <v>0</v>
      </c>
      <c r="AN57" s="43">
        <v>44669</v>
      </c>
      <c r="AO57" s="5" t="s">
        <v>284</v>
      </c>
      <c r="AP57" s="5"/>
      <c r="AQ57" s="40"/>
      <c r="AR57" s="37">
        <v>10283655</v>
      </c>
      <c r="AS57" s="37">
        <f>AI57-AR57</f>
        <v>0</v>
      </c>
      <c r="AT57" s="37"/>
      <c r="AU57" s="37"/>
      <c r="AV57" s="140">
        <v>0</v>
      </c>
      <c r="AW57" s="43">
        <v>44692</v>
      </c>
      <c r="AX57" s="5" t="s">
        <v>284</v>
      </c>
      <c r="AY57" s="5"/>
      <c r="AZ57" s="140"/>
      <c r="BA57" s="37">
        <v>10283655</v>
      </c>
      <c r="BB57" s="37">
        <f>AR57-BA57</f>
        <v>0</v>
      </c>
      <c r="BC57" s="37"/>
      <c r="BD57" s="37"/>
      <c r="BE57" s="140">
        <v>0</v>
      </c>
      <c r="BF57" s="43">
        <v>44727</v>
      </c>
      <c r="BG57" s="5" t="s">
        <v>284</v>
      </c>
      <c r="BH57" s="43">
        <v>44755</v>
      </c>
      <c r="BI57" s="140"/>
      <c r="BJ57" s="37">
        <v>10283655</v>
      </c>
      <c r="BK57" s="37">
        <f>BA57-BJ57</f>
        <v>0</v>
      </c>
      <c r="BL57" s="37"/>
      <c r="BM57" s="37"/>
      <c r="BN57" s="140">
        <v>0</v>
      </c>
      <c r="BO57" s="43">
        <v>44756</v>
      </c>
      <c r="BP57" s="5" t="s">
        <v>284</v>
      </c>
      <c r="BQ57" s="43">
        <v>44768</v>
      </c>
      <c r="BR57" s="140"/>
      <c r="BS57" s="37">
        <v>10283655</v>
      </c>
      <c r="BT57" s="37">
        <f>BJ57-BS57</f>
        <v>0</v>
      </c>
      <c r="BU57" s="37"/>
      <c r="BV57" s="37"/>
      <c r="BW57" s="140">
        <v>0</v>
      </c>
      <c r="BX57" s="43">
        <v>44789</v>
      </c>
      <c r="BY57" s="5" t="s">
        <v>284</v>
      </c>
      <c r="BZ57" s="5"/>
      <c r="CA57" s="594"/>
      <c r="CB57" s="595"/>
      <c r="CC57" s="595"/>
      <c r="CD57" s="595"/>
      <c r="CE57" s="595"/>
      <c r="CF57" s="595"/>
      <c r="CG57" s="595"/>
      <c r="CH57" s="595"/>
      <c r="CI57" s="596"/>
      <c r="CJ57" s="594"/>
      <c r="CK57" s="595"/>
      <c r="CL57" s="595"/>
      <c r="CM57" s="595"/>
      <c r="CN57" s="595"/>
      <c r="CO57" s="595"/>
      <c r="CP57" s="595"/>
      <c r="CQ57" s="595"/>
      <c r="CR57" s="596"/>
      <c r="CS57" s="594"/>
      <c r="CT57" s="595"/>
      <c r="CU57" s="595"/>
      <c r="CV57" s="595"/>
      <c r="CW57" s="595"/>
      <c r="CX57" s="595"/>
      <c r="CY57" s="595"/>
      <c r="CZ57" s="595"/>
      <c r="DA57" s="596"/>
      <c r="DB57" s="140"/>
      <c r="DC57" s="37"/>
      <c r="DD57" s="37"/>
      <c r="DE57" s="37"/>
      <c r="DF57" s="37"/>
      <c r="DG57" s="140"/>
      <c r="DH57" s="43"/>
      <c r="DI57" s="5"/>
      <c r="DJ57" s="5"/>
    </row>
    <row r="58" spans="1:114" x14ac:dyDescent="0.35">
      <c r="A58" s="9">
        <v>210056</v>
      </c>
      <c r="B58" s="9" t="s">
        <v>72</v>
      </c>
      <c r="C58" s="34" t="s">
        <v>415</v>
      </c>
      <c r="D58" s="5" t="s">
        <v>824</v>
      </c>
      <c r="E58" s="5" t="s">
        <v>625</v>
      </c>
      <c r="F58" s="6">
        <v>9053</v>
      </c>
      <c r="G58" s="145" t="s">
        <v>825</v>
      </c>
      <c r="H58" s="37">
        <v>11964223</v>
      </c>
      <c r="I58" s="37">
        <v>11327611</v>
      </c>
      <c r="J58" s="37"/>
      <c r="K58" s="37">
        <v>11327611</v>
      </c>
      <c r="L58" s="37">
        <f>I58-K58</f>
        <v>0</v>
      </c>
      <c r="M58" s="37"/>
      <c r="N58" s="37"/>
      <c r="O58" s="140">
        <v>0</v>
      </c>
      <c r="P58" s="142">
        <v>44564</v>
      </c>
      <c r="Q58" s="9" t="s">
        <v>284</v>
      </c>
      <c r="R58" s="42"/>
      <c r="S58" s="37">
        <v>11327611</v>
      </c>
      <c r="T58" s="39">
        <f>K58-S58</f>
        <v>0</v>
      </c>
      <c r="U58" s="5"/>
      <c r="V58" s="140">
        <v>0</v>
      </c>
      <c r="W58" s="142">
        <v>44593</v>
      </c>
      <c r="X58" s="5" t="s">
        <v>284</v>
      </c>
      <c r="Y58" s="42"/>
      <c r="Z58" s="5"/>
      <c r="AA58" s="38">
        <v>11327611</v>
      </c>
      <c r="AB58" s="38">
        <f>S58-AA58</f>
        <v>0</v>
      </c>
      <c r="AC58" s="5"/>
      <c r="AD58" s="40">
        <v>0</v>
      </c>
      <c r="AE58" s="51">
        <v>44621</v>
      </c>
      <c r="AF58" s="5" t="s">
        <v>284</v>
      </c>
      <c r="AG58" s="42"/>
      <c r="AH58" s="5"/>
      <c r="AI58" s="37">
        <v>11327611</v>
      </c>
      <c r="AJ58" s="37">
        <f>AA58-AI58</f>
        <v>0</v>
      </c>
      <c r="AK58" s="37"/>
      <c r="AL58" s="37"/>
      <c r="AM58" s="140">
        <v>0</v>
      </c>
      <c r="AN58" s="43">
        <v>44656</v>
      </c>
      <c r="AO58" s="5" t="s">
        <v>284</v>
      </c>
      <c r="AP58" s="5"/>
      <c r="AQ58" s="40"/>
      <c r="AR58" s="37">
        <v>11327611</v>
      </c>
      <c r="AS58" s="37">
        <f>AI58-AR58</f>
        <v>0</v>
      </c>
      <c r="AT58" s="37"/>
      <c r="AU58" s="37"/>
      <c r="AV58" s="140">
        <v>0</v>
      </c>
      <c r="AW58" s="43">
        <v>44684</v>
      </c>
      <c r="AX58" s="5" t="s">
        <v>284</v>
      </c>
      <c r="AY58" s="5"/>
      <c r="AZ58" s="140"/>
      <c r="BA58" s="37">
        <v>11879341</v>
      </c>
      <c r="BB58" s="37"/>
      <c r="BC58" s="37">
        <f>AR58-BA58</f>
        <v>-551730</v>
      </c>
      <c r="BD58" s="37"/>
      <c r="BE58" s="140">
        <f>BC58/AR58</f>
        <v>-4.8706651384833044E-2</v>
      </c>
      <c r="BF58" s="43">
        <v>44713</v>
      </c>
      <c r="BG58" s="5" t="s">
        <v>284</v>
      </c>
      <c r="BH58" s="43">
        <v>44728</v>
      </c>
      <c r="BI58" s="140"/>
      <c r="BJ58" s="37">
        <v>11964223</v>
      </c>
      <c r="BK58" s="37">
        <f>BA58-BJ58</f>
        <v>-84882</v>
      </c>
      <c r="BL58" s="37"/>
      <c r="BM58" s="37"/>
      <c r="BN58" s="140">
        <f>BK58/BA58</f>
        <v>-7.1453458571481363E-3</v>
      </c>
      <c r="BO58" s="43">
        <v>44747</v>
      </c>
      <c r="BP58" s="5" t="s">
        <v>284</v>
      </c>
      <c r="BQ58" s="43">
        <v>44757</v>
      </c>
      <c r="BR58" s="140"/>
      <c r="BS58" s="37">
        <v>11964223</v>
      </c>
      <c r="BT58" s="37">
        <f>BJ58-BS58</f>
        <v>0</v>
      </c>
      <c r="BU58" s="37"/>
      <c r="BV58" s="37"/>
      <c r="BW58" s="140">
        <v>0</v>
      </c>
      <c r="BX58" s="43">
        <v>44777</v>
      </c>
      <c r="BY58" s="5" t="s">
        <v>284</v>
      </c>
      <c r="BZ58" s="5"/>
      <c r="CA58" s="140"/>
      <c r="CB58" s="37"/>
      <c r="CC58" s="37"/>
      <c r="CD58" s="37"/>
      <c r="CE58" s="37"/>
      <c r="CF58" s="140"/>
      <c r="CG58" s="43"/>
      <c r="CH58" s="5"/>
      <c r="CI58" s="5"/>
      <c r="CJ58" s="140"/>
      <c r="CK58" s="37"/>
      <c r="CL58" s="37"/>
      <c r="CM58" s="37"/>
      <c r="CN58" s="37"/>
      <c r="CO58" s="140"/>
      <c r="CP58" s="43"/>
      <c r="CQ58" s="5"/>
      <c r="CR58" s="5"/>
      <c r="CS58" s="140"/>
      <c r="CT58" s="37"/>
      <c r="CU58" s="37"/>
      <c r="CV58" s="37"/>
      <c r="CW58" s="37"/>
      <c r="CX58" s="140"/>
      <c r="CY58" s="43"/>
      <c r="CZ58" s="5"/>
      <c r="DA58" s="143"/>
      <c r="DB58" s="140"/>
      <c r="DC58" s="37"/>
      <c r="DD58" s="37"/>
      <c r="DE58" s="37"/>
      <c r="DF58" s="37"/>
      <c r="DG58" s="140"/>
      <c r="DH58" s="43"/>
      <c r="DI58" s="5"/>
      <c r="DJ58" s="5"/>
    </row>
    <row r="59" spans="1:114" x14ac:dyDescent="0.35">
      <c r="A59" s="9">
        <v>231459</v>
      </c>
      <c r="B59" s="9" t="s">
        <v>69</v>
      </c>
      <c r="C59" s="34" t="s">
        <v>418</v>
      </c>
      <c r="D59" s="5" t="s">
        <v>826</v>
      </c>
      <c r="E59" s="5" t="s">
        <v>699</v>
      </c>
      <c r="F59" s="6" t="s">
        <v>873</v>
      </c>
      <c r="G59" s="145">
        <v>9006121181</v>
      </c>
      <c r="H59" s="580" t="s">
        <v>873</v>
      </c>
      <c r="I59" s="582"/>
      <c r="J59" s="580" t="s">
        <v>875</v>
      </c>
      <c r="K59" s="581"/>
      <c r="L59" s="581"/>
      <c r="M59" s="581"/>
      <c r="N59" s="581"/>
      <c r="O59" s="581"/>
      <c r="P59" s="581"/>
      <c r="Q59" s="581"/>
      <c r="R59" s="582"/>
      <c r="S59" s="609" t="s">
        <v>875</v>
      </c>
      <c r="T59" s="610"/>
      <c r="U59" s="610"/>
      <c r="V59" s="610"/>
      <c r="W59" s="610"/>
      <c r="X59" s="610"/>
      <c r="Y59" s="611"/>
      <c r="Z59" s="609" t="s">
        <v>875</v>
      </c>
      <c r="AA59" s="610"/>
      <c r="AB59" s="610"/>
      <c r="AC59" s="610"/>
      <c r="AD59" s="610"/>
      <c r="AE59" s="610"/>
      <c r="AF59" s="610"/>
      <c r="AG59" s="611"/>
      <c r="AH59" s="609" t="s">
        <v>875</v>
      </c>
      <c r="AI59" s="610"/>
      <c r="AJ59" s="610"/>
      <c r="AK59" s="610"/>
      <c r="AL59" s="610"/>
      <c r="AM59" s="610"/>
      <c r="AN59" s="610"/>
      <c r="AO59" s="610"/>
      <c r="AP59" s="611"/>
      <c r="AQ59" s="603" t="s">
        <v>893</v>
      </c>
      <c r="AR59" s="604"/>
      <c r="AS59" s="604"/>
      <c r="AT59" s="604"/>
      <c r="AU59" s="604"/>
      <c r="AV59" s="604"/>
      <c r="AW59" s="604"/>
      <c r="AX59" s="604"/>
      <c r="AY59" s="605"/>
      <c r="AZ59" s="609" t="s">
        <v>874</v>
      </c>
      <c r="BA59" s="610"/>
      <c r="BB59" s="610"/>
      <c r="BC59" s="610"/>
      <c r="BD59" s="610"/>
      <c r="BE59" s="610"/>
      <c r="BF59" s="610"/>
      <c r="BG59" s="610"/>
      <c r="BH59" s="611"/>
      <c r="BI59" s="603" t="s">
        <v>874</v>
      </c>
      <c r="BJ59" s="604"/>
      <c r="BK59" s="604"/>
      <c r="BL59" s="604"/>
      <c r="BM59" s="604"/>
      <c r="BN59" s="604"/>
      <c r="BO59" s="604"/>
      <c r="BP59" s="604"/>
      <c r="BQ59" s="605"/>
      <c r="BR59" s="5"/>
      <c r="BS59" s="5"/>
      <c r="BT59" s="5"/>
      <c r="BU59" s="5"/>
      <c r="BV59" s="5"/>
      <c r="BW59" s="5"/>
      <c r="BX59" s="5"/>
      <c r="BY59" s="5"/>
      <c r="BZ59" s="5"/>
      <c r="CA59" s="40"/>
      <c r="CB59" s="38"/>
      <c r="CC59" s="38"/>
      <c r="CD59" s="38"/>
      <c r="CE59" s="38"/>
      <c r="CF59" s="40"/>
      <c r="CG59" s="43"/>
      <c r="CH59" s="5"/>
      <c r="CI59" s="5"/>
      <c r="CJ59" s="603"/>
      <c r="CK59" s="604"/>
      <c r="CL59" s="604"/>
      <c r="CM59" s="604"/>
      <c r="CN59" s="604"/>
      <c r="CO59" s="604"/>
      <c r="CP59" s="604"/>
      <c r="CQ59" s="604"/>
      <c r="CR59" s="605"/>
      <c r="CS59" s="603"/>
      <c r="CT59" s="604"/>
      <c r="CU59" s="604"/>
      <c r="CV59" s="604"/>
      <c r="CW59" s="604"/>
      <c r="CX59" s="604"/>
      <c r="CY59" s="604"/>
      <c r="CZ59" s="604"/>
      <c r="DA59" s="605"/>
      <c r="DB59" s="40"/>
      <c r="DC59" s="38"/>
      <c r="DD59" s="38"/>
      <c r="DE59" s="38"/>
      <c r="DF59" s="38"/>
      <c r="DG59" s="40"/>
      <c r="DH59" s="43"/>
      <c r="DI59" s="5"/>
      <c r="DJ59" s="5"/>
    </row>
    <row r="60" spans="1:114" x14ac:dyDescent="0.35">
      <c r="A60" s="9">
        <v>231459</v>
      </c>
      <c r="B60" s="9" t="s">
        <v>69</v>
      </c>
      <c r="C60" s="34" t="s">
        <v>418</v>
      </c>
      <c r="D60" s="5" t="s">
        <v>826</v>
      </c>
      <c r="E60" s="5" t="s">
        <v>699</v>
      </c>
      <c r="F60" s="6">
        <v>8968</v>
      </c>
      <c r="G60" s="145">
        <v>9006121181</v>
      </c>
      <c r="H60" s="38">
        <v>3617422</v>
      </c>
      <c r="I60" s="38">
        <v>4281175</v>
      </c>
      <c r="J60" s="38"/>
      <c r="K60" s="38">
        <v>4281175</v>
      </c>
      <c r="L60" s="38">
        <v>0</v>
      </c>
      <c r="M60" s="38"/>
      <c r="N60" s="38"/>
      <c r="O60" s="40">
        <v>0</v>
      </c>
      <c r="P60" s="51">
        <v>44568</v>
      </c>
      <c r="Q60" s="5" t="s">
        <v>284</v>
      </c>
      <c r="R60" s="42"/>
      <c r="S60" s="38">
        <v>4607401</v>
      </c>
      <c r="T60" s="39">
        <f>K60-S60</f>
        <v>-326226</v>
      </c>
      <c r="U60" s="38">
        <v>85624</v>
      </c>
      <c r="V60" s="40">
        <f>T60/K60</f>
        <v>-7.6200108615041437E-2</v>
      </c>
      <c r="W60" s="51">
        <v>44601</v>
      </c>
      <c r="X60" s="5" t="s">
        <v>284</v>
      </c>
      <c r="Y60" s="42"/>
      <c r="Z60" s="144"/>
      <c r="AA60" s="38">
        <v>4521777</v>
      </c>
      <c r="AB60" s="38">
        <f>S60-AA60</f>
        <v>85624</v>
      </c>
      <c r="AC60" s="5"/>
      <c r="AD60" s="40">
        <f>AB60/S60</f>
        <v>1.8584012982590402E-2</v>
      </c>
      <c r="AE60" s="51">
        <v>44617</v>
      </c>
      <c r="AF60" s="5" t="s">
        <v>284</v>
      </c>
      <c r="AG60" s="42"/>
      <c r="AH60" s="40"/>
      <c r="AI60" s="38">
        <v>4521777</v>
      </c>
      <c r="AJ60" s="38">
        <f t="shared" ref="AJ60:AJ65" si="3">AA60-AI60</f>
        <v>0</v>
      </c>
      <c r="AK60" s="38"/>
      <c r="AL60" s="38"/>
      <c r="AM60" s="40">
        <v>0</v>
      </c>
      <c r="AN60" s="51">
        <v>44645</v>
      </c>
      <c r="AO60" s="5" t="s">
        <v>284</v>
      </c>
      <c r="AP60" s="5"/>
      <c r="AQ60" s="40"/>
      <c r="AR60" s="38">
        <v>4521777</v>
      </c>
      <c r="AS60" s="38">
        <f>AI60-AR60</f>
        <v>0</v>
      </c>
      <c r="AT60" s="38"/>
      <c r="AU60" s="38"/>
      <c r="AV60" s="40">
        <v>0</v>
      </c>
      <c r="AW60" s="43">
        <v>44676</v>
      </c>
      <c r="AX60" s="5" t="s">
        <v>284</v>
      </c>
      <c r="AY60" s="5"/>
      <c r="AZ60" s="40"/>
      <c r="BA60" s="38">
        <v>3617422</v>
      </c>
      <c r="BB60" s="38">
        <f>AR60-BA60</f>
        <v>904355</v>
      </c>
      <c r="BC60" s="38"/>
      <c r="BD60" s="38"/>
      <c r="BE60" s="40">
        <f>BB60/BA60</f>
        <v>0.24999986178001904</v>
      </c>
      <c r="BF60" s="43">
        <v>44707</v>
      </c>
      <c r="BG60" s="5" t="s">
        <v>284</v>
      </c>
      <c r="BH60" s="43">
        <v>44722</v>
      </c>
      <c r="BI60" s="40"/>
      <c r="BJ60" s="38">
        <v>3617422</v>
      </c>
      <c r="BK60" s="38">
        <f>BA60-BJ60</f>
        <v>0</v>
      </c>
      <c r="BL60" s="38"/>
      <c r="BM60" s="38"/>
      <c r="BN60" s="40">
        <v>0</v>
      </c>
      <c r="BO60" s="43">
        <v>44740</v>
      </c>
      <c r="BP60" s="5" t="s">
        <v>284</v>
      </c>
      <c r="BQ60" s="43">
        <v>44757</v>
      </c>
      <c r="BR60" s="40"/>
      <c r="BS60" s="38">
        <v>3617422</v>
      </c>
      <c r="BT60" s="38">
        <f>BJ60-BS60</f>
        <v>0</v>
      </c>
      <c r="BU60" s="38"/>
      <c r="BV60" s="38"/>
      <c r="BW60" s="40">
        <v>0</v>
      </c>
      <c r="BX60" s="43">
        <v>44770</v>
      </c>
      <c r="BY60" s="5" t="s">
        <v>284</v>
      </c>
      <c r="BZ60" s="5"/>
      <c r="CA60" s="40"/>
      <c r="CB60" s="38"/>
      <c r="CC60" s="38"/>
      <c r="CD60" s="38"/>
      <c r="CE60" s="38"/>
      <c r="CF60" s="40"/>
      <c r="CG60" s="43"/>
      <c r="CH60" s="5"/>
      <c r="CI60" s="5"/>
      <c r="CJ60" s="40"/>
      <c r="CK60" s="38"/>
      <c r="CL60" s="38"/>
      <c r="CM60" s="38"/>
      <c r="CN60" s="38"/>
      <c r="CO60" s="40"/>
      <c r="CP60" s="43"/>
      <c r="CQ60" s="5"/>
      <c r="CR60" s="5"/>
      <c r="CS60" s="40"/>
      <c r="CT60" s="38"/>
      <c r="CU60" s="38"/>
      <c r="CV60" s="38"/>
      <c r="CW60" s="38"/>
      <c r="CX60" s="40"/>
      <c r="CY60" s="43"/>
      <c r="CZ60" s="5"/>
      <c r="DA60" s="143"/>
      <c r="DB60" s="40"/>
      <c r="DC60" s="38"/>
      <c r="DD60" s="38"/>
      <c r="DE60" s="38"/>
      <c r="DF60" s="38"/>
      <c r="DG60" s="40"/>
      <c r="DH60" s="43"/>
      <c r="DI60" s="5"/>
      <c r="DJ60" s="5"/>
    </row>
    <row r="61" spans="1:114" x14ac:dyDescent="0.35">
      <c r="A61" s="9">
        <v>204609</v>
      </c>
      <c r="B61" s="9" t="s">
        <v>64</v>
      </c>
      <c r="C61" s="34" t="s">
        <v>689</v>
      </c>
      <c r="D61" s="5" t="s">
        <v>690</v>
      </c>
      <c r="E61" s="5" t="s">
        <v>625</v>
      </c>
      <c r="F61" s="6">
        <v>6572</v>
      </c>
      <c r="G61" s="145">
        <v>9001641085</v>
      </c>
      <c r="H61" s="37">
        <v>10541138</v>
      </c>
      <c r="I61" s="37">
        <v>12903679</v>
      </c>
      <c r="J61" s="37"/>
      <c r="K61" s="37">
        <v>12903679</v>
      </c>
      <c r="L61" s="37">
        <f t="shared" ref="L61:L64" si="4">H61-K61</f>
        <v>-2362541</v>
      </c>
      <c r="M61" s="37"/>
      <c r="N61" s="37"/>
      <c r="O61" s="140">
        <f>L61/H61</f>
        <v>-0.22412580121804684</v>
      </c>
      <c r="P61" s="43">
        <v>44566</v>
      </c>
      <c r="Q61" s="5" t="s">
        <v>284</v>
      </c>
      <c r="R61" s="42"/>
      <c r="S61" s="37">
        <v>12903679</v>
      </c>
      <c r="T61" s="39">
        <f>K61-S61</f>
        <v>0</v>
      </c>
      <c r="U61" s="5"/>
      <c r="V61" s="140">
        <v>0</v>
      </c>
      <c r="W61" s="142">
        <v>44593</v>
      </c>
      <c r="X61" s="5" t="s">
        <v>284</v>
      </c>
      <c r="Y61" s="42"/>
      <c r="Z61" s="5"/>
      <c r="AA61" s="38">
        <v>12903679</v>
      </c>
      <c r="AB61" s="38">
        <f>S61-AA61</f>
        <v>0</v>
      </c>
      <c r="AC61" s="5"/>
      <c r="AD61" s="40">
        <v>0</v>
      </c>
      <c r="AE61" s="43">
        <v>44624</v>
      </c>
      <c r="AF61" s="5" t="s">
        <v>284</v>
      </c>
      <c r="AG61" s="42"/>
      <c r="AH61" s="140"/>
      <c r="AI61" s="37">
        <v>12903679</v>
      </c>
      <c r="AJ61" s="37">
        <f t="shared" si="3"/>
        <v>0</v>
      </c>
      <c r="AK61" s="37"/>
      <c r="AL61" s="37"/>
      <c r="AM61" s="140">
        <v>0</v>
      </c>
      <c r="AN61" s="43">
        <v>44655</v>
      </c>
      <c r="AO61" s="5" t="s">
        <v>284</v>
      </c>
      <c r="AP61" s="5"/>
      <c r="AQ61" s="40"/>
      <c r="AR61" s="37">
        <v>12903679</v>
      </c>
      <c r="AS61" s="37">
        <f>AI61-AR61</f>
        <v>0</v>
      </c>
      <c r="AT61" s="37"/>
      <c r="AU61" s="37"/>
      <c r="AV61" s="140">
        <v>0</v>
      </c>
      <c r="AW61" s="43">
        <v>44683</v>
      </c>
      <c r="AX61" s="5" t="s">
        <v>284</v>
      </c>
      <c r="AY61" s="5"/>
      <c r="AZ61" s="140"/>
      <c r="BA61" s="37">
        <v>12903679</v>
      </c>
      <c r="BB61" s="37">
        <f>AR61-BA61</f>
        <v>0</v>
      </c>
      <c r="BC61" s="37"/>
      <c r="BD61" s="37">
        <v>2811423</v>
      </c>
      <c r="BE61" s="140">
        <v>0</v>
      </c>
      <c r="BF61" s="43">
        <v>44713</v>
      </c>
      <c r="BG61" s="5" t="s">
        <v>284</v>
      </c>
      <c r="BH61" s="43">
        <v>44728</v>
      </c>
      <c r="BI61" s="140"/>
      <c r="BJ61" s="37">
        <v>10541138</v>
      </c>
      <c r="BK61" s="37">
        <f>BA61-BJ61</f>
        <v>2362541</v>
      </c>
      <c r="BL61" s="37"/>
      <c r="BM61" s="37"/>
      <c r="BN61" s="140">
        <f>BK61/BA61</f>
        <v>0.18309049690402249</v>
      </c>
      <c r="BO61" s="43">
        <v>44747</v>
      </c>
      <c r="BP61" s="5" t="s">
        <v>284</v>
      </c>
      <c r="BQ61" s="43">
        <v>44757</v>
      </c>
      <c r="BR61" s="140"/>
      <c r="BS61" s="37">
        <v>10541138</v>
      </c>
      <c r="BT61" s="37">
        <f>BJ61-BS61</f>
        <v>0</v>
      </c>
      <c r="BU61" s="37"/>
      <c r="BV61" s="37"/>
      <c r="BW61" s="140">
        <v>0</v>
      </c>
      <c r="BX61" s="43">
        <v>44775</v>
      </c>
      <c r="BY61" s="5" t="s">
        <v>284</v>
      </c>
      <c r="BZ61" s="5"/>
      <c r="CA61" s="140"/>
      <c r="CB61" s="37"/>
      <c r="CC61" s="37"/>
      <c r="CD61" s="37"/>
      <c r="CE61" s="37"/>
      <c r="CF61" s="140"/>
      <c r="CG61" s="43"/>
      <c r="CH61" s="5"/>
      <c r="CI61" s="5"/>
      <c r="CJ61" s="140"/>
      <c r="CK61" s="37"/>
      <c r="CL61" s="37"/>
      <c r="CM61" s="37"/>
      <c r="CN61" s="37"/>
      <c r="CO61" s="140"/>
      <c r="CP61" s="43"/>
      <c r="CQ61" s="5"/>
      <c r="CR61" s="5"/>
      <c r="CS61" s="140"/>
      <c r="CT61" s="37"/>
      <c r="CU61" s="37"/>
      <c r="CV61" s="37"/>
      <c r="CW61" s="37"/>
      <c r="CX61" s="140"/>
      <c r="CY61" s="43"/>
      <c r="CZ61" s="5"/>
      <c r="DA61" s="143"/>
      <c r="DB61" s="140"/>
      <c r="DC61" s="37"/>
      <c r="DD61" s="37"/>
      <c r="DE61" s="37"/>
      <c r="DF61" s="37"/>
      <c r="DG61" s="140"/>
      <c r="DH61" s="43"/>
      <c r="DI61" s="5"/>
      <c r="DJ61" s="5"/>
    </row>
    <row r="62" spans="1:114" x14ac:dyDescent="0.35">
      <c r="A62" s="9">
        <v>231458</v>
      </c>
      <c r="B62" s="9" t="s">
        <v>69</v>
      </c>
      <c r="C62" s="34" t="s">
        <v>420</v>
      </c>
      <c r="D62" s="5" t="s">
        <v>827</v>
      </c>
      <c r="E62" s="5" t="s">
        <v>828</v>
      </c>
      <c r="F62" s="6">
        <v>8969</v>
      </c>
      <c r="G62" s="145">
        <v>9006121181</v>
      </c>
      <c r="H62" s="38">
        <v>6750367</v>
      </c>
      <c r="I62" s="38">
        <v>6727561</v>
      </c>
      <c r="J62" s="38"/>
      <c r="K62" s="38">
        <v>6727561</v>
      </c>
      <c r="L62" s="38">
        <v>0</v>
      </c>
      <c r="M62" s="38"/>
      <c r="N62" s="38"/>
      <c r="O62" s="40">
        <v>0</v>
      </c>
      <c r="P62" s="51">
        <v>44568</v>
      </c>
      <c r="Q62" s="5" t="s">
        <v>284</v>
      </c>
      <c r="R62" s="42"/>
      <c r="S62" s="38">
        <v>7240201</v>
      </c>
      <c r="T62" s="39">
        <f>K62-S62</f>
        <v>-512640</v>
      </c>
      <c r="U62" s="38">
        <v>134551</v>
      </c>
      <c r="V62" s="40">
        <f>T62/K62</f>
        <v>-7.6199977971214236E-2</v>
      </c>
      <c r="W62" s="51">
        <v>44601</v>
      </c>
      <c r="X62" s="5" t="s">
        <v>284</v>
      </c>
      <c r="Y62" s="42"/>
      <c r="Z62" s="144"/>
      <c r="AA62" s="38">
        <v>7105650</v>
      </c>
      <c r="AB62" s="38">
        <f>S62-AA62</f>
        <v>134551</v>
      </c>
      <c r="AC62" s="5"/>
      <c r="AD62" s="40">
        <f>AB62/S62</f>
        <v>1.8583876331610131E-2</v>
      </c>
      <c r="AE62" s="51">
        <v>44617</v>
      </c>
      <c r="AF62" s="5" t="s">
        <v>284</v>
      </c>
      <c r="AG62" s="42"/>
      <c r="AH62" s="40"/>
      <c r="AI62" s="38">
        <v>7105650</v>
      </c>
      <c r="AJ62" s="38">
        <f t="shared" si="3"/>
        <v>0</v>
      </c>
      <c r="AK62" s="38"/>
      <c r="AL62" s="38"/>
      <c r="AM62" s="40">
        <v>0</v>
      </c>
      <c r="AN62" s="51">
        <v>44645</v>
      </c>
      <c r="AO62" s="5" t="s">
        <v>284</v>
      </c>
      <c r="AP62" s="5"/>
      <c r="AQ62" s="40"/>
      <c r="AR62" s="38">
        <v>7105650</v>
      </c>
      <c r="AS62" s="38">
        <f>AI62-AR62</f>
        <v>0</v>
      </c>
      <c r="AT62" s="38"/>
      <c r="AU62" s="38"/>
      <c r="AV62" s="40">
        <v>0</v>
      </c>
      <c r="AW62" s="43">
        <v>44676</v>
      </c>
      <c r="AX62" s="5" t="s">
        <v>284</v>
      </c>
      <c r="AY62" s="5"/>
      <c r="AZ62" s="40"/>
      <c r="BA62" s="38">
        <v>6750367</v>
      </c>
      <c r="BB62" s="38">
        <f>AR62-BA62</f>
        <v>355283</v>
      </c>
      <c r="BC62" s="38"/>
      <c r="BD62" s="38"/>
      <c r="BE62" s="40">
        <f>BB62/AR62</f>
        <v>5.0000070366539306E-2</v>
      </c>
      <c r="BF62" s="43">
        <v>44712</v>
      </c>
      <c r="BG62" s="5" t="s">
        <v>284</v>
      </c>
      <c r="BH62" s="43">
        <v>44736</v>
      </c>
      <c r="BI62" s="40"/>
      <c r="BJ62" s="38">
        <v>6750367</v>
      </c>
      <c r="BK62" s="38">
        <f>BA62-BJ62</f>
        <v>0</v>
      </c>
      <c r="BL62" s="38"/>
      <c r="BM62" s="38"/>
      <c r="BN62" s="40">
        <v>0</v>
      </c>
      <c r="BO62" s="43">
        <v>44740</v>
      </c>
      <c r="BP62" s="5" t="s">
        <v>284</v>
      </c>
      <c r="BQ62" s="43">
        <v>44757</v>
      </c>
      <c r="BR62" s="40"/>
      <c r="BS62" s="38">
        <v>6750367</v>
      </c>
      <c r="BT62" s="38">
        <f>BJ62-BS62</f>
        <v>0</v>
      </c>
      <c r="BU62" s="38"/>
      <c r="BV62" s="38"/>
      <c r="BW62" s="40">
        <v>0</v>
      </c>
      <c r="BX62" s="43">
        <v>44771</v>
      </c>
      <c r="BY62" s="5" t="s">
        <v>284</v>
      </c>
      <c r="BZ62" s="5"/>
      <c r="CA62" s="40"/>
      <c r="CB62" s="38"/>
      <c r="CC62" s="38"/>
      <c r="CD62" s="38"/>
      <c r="CE62" s="38"/>
      <c r="CF62" s="40"/>
      <c r="CG62" s="43"/>
      <c r="CH62" s="5"/>
      <c r="CI62" s="5"/>
      <c r="CJ62" s="40"/>
      <c r="CK62" s="38"/>
      <c r="CL62" s="38"/>
      <c r="CM62" s="38"/>
      <c r="CN62" s="38"/>
      <c r="CO62" s="40"/>
      <c r="CP62" s="43"/>
      <c r="CQ62" s="5"/>
      <c r="CR62" s="5"/>
      <c r="CS62" s="40"/>
      <c r="CT62" s="38"/>
      <c r="CU62" s="38"/>
      <c r="CV62" s="38"/>
      <c r="CW62" s="38"/>
      <c r="CX62" s="40"/>
      <c r="CY62" s="43"/>
      <c r="CZ62" s="5"/>
      <c r="DA62" s="143"/>
      <c r="DB62" s="40"/>
      <c r="DC62" s="38"/>
      <c r="DD62" s="38"/>
      <c r="DE62" s="38"/>
      <c r="DF62" s="38"/>
      <c r="DG62" s="40"/>
      <c r="DH62" s="43"/>
      <c r="DI62" s="5"/>
      <c r="DJ62" s="5"/>
    </row>
    <row r="63" spans="1:114" x14ac:dyDescent="0.35">
      <c r="A63" s="9">
        <v>231460</v>
      </c>
      <c r="B63" s="9" t="s">
        <v>69</v>
      </c>
      <c r="C63" s="34" t="s">
        <v>423</v>
      </c>
      <c r="D63" s="5" t="s">
        <v>829</v>
      </c>
      <c r="E63" s="5" t="s">
        <v>635</v>
      </c>
      <c r="F63" s="6">
        <v>9072</v>
      </c>
      <c r="G63" s="145">
        <v>9006121181</v>
      </c>
      <c r="H63" s="38">
        <v>11855652</v>
      </c>
      <c r="I63" s="38">
        <v>11224817</v>
      </c>
      <c r="J63" s="38"/>
      <c r="K63" s="38">
        <v>11224817</v>
      </c>
      <c r="L63" s="38">
        <f>I63-K63</f>
        <v>0</v>
      </c>
      <c r="M63" s="38"/>
      <c r="N63" s="38"/>
      <c r="O63" s="40">
        <v>0</v>
      </c>
      <c r="P63" s="51">
        <v>44568</v>
      </c>
      <c r="Q63" s="5" t="s">
        <v>284</v>
      </c>
      <c r="R63" s="42"/>
      <c r="S63" s="38">
        <v>11224817</v>
      </c>
      <c r="T63" s="39">
        <f>K63-S63</f>
        <v>0</v>
      </c>
      <c r="U63" s="5"/>
      <c r="V63" s="40">
        <v>0</v>
      </c>
      <c r="W63" s="51">
        <v>44588</v>
      </c>
      <c r="X63" s="5" t="s">
        <v>284</v>
      </c>
      <c r="Y63" s="42"/>
      <c r="Z63" s="144"/>
      <c r="AA63" s="38">
        <v>11224817</v>
      </c>
      <c r="AB63" s="38">
        <f>S63-AA63</f>
        <v>0</v>
      </c>
      <c r="AC63" s="5"/>
      <c r="AD63" s="40">
        <v>0</v>
      </c>
      <c r="AE63" s="51">
        <v>44617</v>
      </c>
      <c r="AF63" s="5" t="s">
        <v>284</v>
      </c>
      <c r="AG63" s="42"/>
      <c r="AH63" s="5"/>
      <c r="AI63" s="38">
        <v>11224817</v>
      </c>
      <c r="AJ63" s="38">
        <f t="shared" si="3"/>
        <v>0</v>
      </c>
      <c r="AK63" s="38"/>
      <c r="AL63" s="38"/>
      <c r="AM63" s="40">
        <v>0</v>
      </c>
      <c r="AN63" s="51">
        <v>44645</v>
      </c>
      <c r="AO63" s="5" t="s">
        <v>284</v>
      </c>
      <c r="AP63" s="5"/>
      <c r="AQ63" s="40"/>
      <c r="AR63" s="38">
        <v>11224817</v>
      </c>
      <c r="AS63" s="38">
        <f>AI63-AR63</f>
        <v>0</v>
      </c>
      <c r="AT63" s="38"/>
      <c r="AU63" s="38"/>
      <c r="AV63" s="40">
        <v>0</v>
      </c>
      <c r="AW63" s="43">
        <v>44676</v>
      </c>
      <c r="AX63" s="5" t="s">
        <v>284</v>
      </c>
      <c r="AY63" s="5"/>
      <c r="AZ63" s="40"/>
      <c r="BA63" s="38">
        <v>11561262</v>
      </c>
      <c r="BB63" s="38"/>
      <c r="BC63" s="38">
        <f>AR63-BA63</f>
        <v>-336445</v>
      </c>
      <c r="BD63" s="38"/>
      <c r="BE63" s="40">
        <f>BC63/AR63</f>
        <v>-2.9973317159647236E-2</v>
      </c>
      <c r="BF63" s="43">
        <v>44712</v>
      </c>
      <c r="BG63" s="5" t="s">
        <v>284</v>
      </c>
      <c r="BH63" s="43">
        <v>44736</v>
      </c>
      <c r="BI63" s="40"/>
      <c r="BJ63" s="38">
        <v>11855652</v>
      </c>
      <c r="BK63" s="38">
        <f>BA63-BJ63</f>
        <v>-294390</v>
      </c>
      <c r="BL63" s="38"/>
      <c r="BM63" s="38"/>
      <c r="BN63" s="40">
        <f>BK63/BA63</f>
        <v>-2.5463483138778449E-2</v>
      </c>
      <c r="BO63" s="43">
        <v>44740</v>
      </c>
      <c r="BP63" s="5" t="s">
        <v>284</v>
      </c>
      <c r="BQ63" s="43">
        <v>44757</v>
      </c>
      <c r="BR63" s="40"/>
      <c r="BS63" s="38">
        <v>11855652</v>
      </c>
      <c r="BT63" s="38">
        <f>BJ63-BS63</f>
        <v>0</v>
      </c>
      <c r="BU63" s="38"/>
      <c r="BV63" s="38"/>
      <c r="BW63" s="40">
        <v>0</v>
      </c>
      <c r="BX63" s="43">
        <v>44771</v>
      </c>
      <c r="BY63" s="5" t="s">
        <v>284</v>
      </c>
      <c r="BZ63" s="5"/>
      <c r="CA63" s="40"/>
      <c r="CB63" s="38"/>
      <c r="CC63" s="38"/>
      <c r="CD63" s="38"/>
      <c r="CE63" s="38"/>
      <c r="CF63" s="40"/>
      <c r="CG63" s="43"/>
      <c r="CH63" s="5"/>
      <c r="CI63" s="5"/>
      <c r="CJ63" s="40"/>
      <c r="CK63" s="38"/>
      <c r="CL63" s="38"/>
      <c r="CM63" s="38"/>
      <c r="CN63" s="38"/>
      <c r="CO63" s="40"/>
      <c r="CP63" s="43"/>
      <c r="CQ63" s="5"/>
      <c r="CR63" s="5"/>
      <c r="CS63" s="40"/>
      <c r="CT63" s="38"/>
      <c r="CU63" s="38"/>
      <c r="CV63" s="38"/>
      <c r="CW63" s="38"/>
      <c r="CX63" s="40"/>
      <c r="CY63" s="43"/>
      <c r="CZ63" s="5"/>
      <c r="DA63" s="143"/>
      <c r="DB63" s="40"/>
      <c r="DC63" s="38"/>
      <c r="DD63" s="38"/>
      <c r="DE63" s="38"/>
      <c r="DF63" s="38"/>
      <c r="DG63" s="40"/>
      <c r="DH63" s="43"/>
      <c r="DI63" s="5"/>
      <c r="DJ63" s="5"/>
    </row>
    <row r="64" spans="1:114" x14ac:dyDescent="0.35">
      <c r="A64" s="9">
        <v>254027</v>
      </c>
      <c r="B64" s="9" t="s">
        <v>905</v>
      </c>
      <c r="C64" s="34" t="s">
        <v>426</v>
      </c>
      <c r="D64" s="5" t="s">
        <v>906</v>
      </c>
      <c r="E64" s="5" t="s">
        <v>643</v>
      </c>
      <c r="F64" s="6">
        <v>9096</v>
      </c>
      <c r="G64" s="145">
        <v>98543118</v>
      </c>
      <c r="H64" s="37">
        <v>5893572</v>
      </c>
      <c r="I64" s="37">
        <v>6141714</v>
      </c>
      <c r="J64" s="37"/>
      <c r="K64" s="37">
        <v>5020554</v>
      </c>
      <c r="L64" s="37">
        <f t="shared" si="4"/>
        <v>873018</v>
      </c>
      <c r="M64" s="37"/>
      <c r="N64" s="37"/>
      <c r="O64" s="140">
        <f>L64/H64</f>
        <v>0.14813053950982527</v>
      </c>
      <c r="P64" s="43">
        <v>44566</v>
      </c>
      <c r="Q64" s="5" t="s">
        <v>284</v>
      </c>
      <c r="R64" s="42"/>
      <c r="S64" s="37">
        <v>5020554</v>
      </c>
      <c r="T64" s="39">
        <f>K64-S64</f>
        <v>0</v>
      </c>
      <c r="U64" s="5"/>
      <c r="V64" s="140">
        <f>T64/I64</f>
        <v>0</v>
      </c>
      <c r="W64" s="43">
        <v>44595</v>
      </c>
      <c r="X64" s="5" t="s">
        <v>284</v>
      </c>
      <c r="Y64" s="42"/>
      <c r="Z64" s="5"/>
      <c r="AA64" s="38">
        <v>5578393</v>
      </c>
      <c r="AB64" s="38">
        <f>S64-AA64</f>
        <v>-557839</v>
      </c>
      <c r="AC64" s="5"/>
      <c r="AD64" s="40">
        <f>AB64/S64</f>
        <v>-0.11111104471737582</v>
      </c>
      <c r="AE64" s="51">
        <v>44621</v>
      </c>
      <c r="AF64" s="5" t="s">
        <v>284</v>
      </c>
      <c r="AG64" s="42"/>
      <c r="AH64" s="5"/>
      <c r="AI64" s="37">
        <v>5578393</v>
      </c>
      <c r="AJ64" s="37">
        <f t="shared" si="3"/>
        <v>0</v>
      </c>
      <c r="AK64" s="37"/>
      <c r="AL64" s="37"/>
      <c r="AM64" s="140">
        <v>0</v>
      </c>
      <c r="AN64" s="43">
        <v>44656</v>
      </c>
      <c r="AO64" s="5" t="s">
        <v>284</v>
      </c>
      <c r="AP64" s="5"/>
      <c r="AQ64" s="40"/>
      <c r="AR64" s="37">
        <v>5578393</v>
      </c>
      <c r="AS64" s="37">
        <f>AI64-AR64</f>
        <v>0</v>
      </c>
      <c r="AT64" s="37"/>
      <c r="AU64" s="37"/>
      <c r="AV64" s="140">
        <v>0</v>
      </c>
      <c r="AW64" s="43">
        <v>44684</v>
      </c>
      <c r="AX64" s="5" t="s">
        <v>284</v>
      </c>
      <c r="AY64" s="5"/>
      <c r="AZ64" s="140"/>
      <c r="BA64" s="37">
        <v>5578393</v>
      </c>
      <c r="BB64" s="37">
        <f>AR64-BA64</f>
        <v>0</v>
      </c>
      <c r="BC64" s="37"/>
      <c r="BD64" s="37"/>
      <c r="BE64" s="140">
        <v>0</v>
      </c>
      <c r="BF64" s="43">
        <v>44715</v>
      </c>
      <c r="BG64" s="5" t="s">
        <v>284</v>
      </c>
      <c r="BH64" s="43">
        <v>44728</v>
      </c>
      <c r="BI64" s="140"/>
      <c r="BJ64" s="37">
        <v>5893572</v>
      </c>
      <c r="BK64" s="37"/>
      <c r="BL64" s="37">
        <f>BA64-BJ64</f>
        <v>-315179</v>
      </c>
      <c r="BM64" s="37"/>
      <c r="BN64" s="140">
        <f>BL64/BA64</f>
        <v>-5.6499963340696867E-2</v>
      </c>
      <c r="BO64" s="43">
        <v>44747</v>
      </c>
      <c r="BP64" s="5" t="s">
        <v>284</v>
      </c>
      <c r="BQ64" s="43">
        <v>44757</v>
      </c>
      <c r="BR64" s="140"/>
      <c r="BS64" s="37">
        <v>5893572</v>
      </c>
      <c r="BT64" s="37">
        <f>BJ64-BS64</f>
        <v>0</v>
      </c>
      <c r="BU64" s="37"/>
      <c r="BV64" s="37"/>
      <c r="BW64" s="140">
        <v>0</v>
      </c>
      <c r="BX64" s="43">
        <v>44777</v>
      </c>
      <c r="BY64" s="5" t="s">
        <v>284</v>
      </c>
      <c r="BZ64" s="5"/>
      <c r="CA64" s="140"/>
      <c r="CB64" s="37"/>
      <c r="CC64" s="37"/>
      <c r="CD64" s="37"/>
      <c r="CE64" s="37"/>
      <c r="CF64" s="140"/>
      <c r="CG64" s="43"/>
      <c r="CH64" s="5"/>
      <c r="CI64" s="5"/>
      <c r="CJ64" s="140"/>
      <c r="CK64" s="37"/>
      <c r="CL64" s="37"/>
      <c r="CM64" s="37"/>
      <c r="CN64" s="37"/>
      <c r="CO64" s="140"/>
      <c r="CP64" s="43"/>
      <c r="CQ64" s="5"/>
      <c r="CR64" s="5"/>
      <c r="CS64" s="140"/>
      <c r="CT64" s="37"/>
      <c r="CU64" s="37"/>
      <c r="CV64" s="37"/>
      <c r="CW64" s="37"/>
      <c r="CX64" s="140"/>
      <c r="CY64" s="43"/>
      <c r="CZ64" s="5"/>
      <c r="DA64" s="143"/>
      <c r="DB64" s="140"/>
      <c r="DC64" s="37"/>
      <c r="DD64" s="37"/>
      <c r="DE64" s="37"/>
      <c r="DF64" s="37"/>
      <c r="DG64" s="140"/>
      <c r="DH64" s="43"/>
      <c r="DI64" s="5"/>
      <c r="DJ64" s="5"/>
    </row>
    <row r="65" spans="1:114" x14ac:dyDescent="0.35">
      <c r="A65" s="9">
        <v>210438</v>
      </c>
      <c r="B65" s="9" t="s">
        <v>432</v>
      </c>
      <c r="C65" s="34" t="s">
        <v>429</v>
      </c>
      <c r="D65" s="5" t="s">
        <v>907</v>
      </c>
      <c r="E65" s="5" t="s">
        <v>643</v>
      </c>
      <c r="F65" s="6">
        <v>9100</v>
      </c>
      <c r="G65" s="145" t="s">
        <v>908</v>
      </c>
      <c r="H65" s="37">
        <v>20758902</v>
      </c>
      <c r="I65" s="37">
        <v>19654329</v>
      </c>
      <c r="J65" s="37"/>
      <c r="K65" s="38">
        <f>19654329+438780</f>
        <v>20093109</v>
      </c>
      <c r="L65" s="37"/>
      <c r="M65" s="37">
        <f>K65-I65</f>
        <v>438780</v>
      </c>
      <c r="N65" s="37"/>
      <c r="O65" s="140">
        <f>L65/I65</f>
        <v>0</v>
      </c>
      <c r="P65" s="142">
        <v>44769</v>
      </c>
      <c r="Q65" s="5" t="s">
        <v>284</v>
      </c>
      <c r="R65" s="42"/>
      <c r="S65" s="37">
        <f>19654329+412906</f>
        <v>20067235</v>
      </c>
      <c r="T65" s="39">
        <f>I65-S65</f>
        <v>-412906</v>
      </c>
      <c r="U65" s="5"/>
      <c r="V65" s="140">
        <v>0</v>
      </c>
      <c r="W65" s="43">
        <v>44613</v>
      </c>
      <c r="X65" s="5" t="s">
        <v>284</v>
      </c>
      <c r="Y65" s="42"/>
      <c r="Z65" s="5"/>
      <c r="AA65" s="38">
        <v>19654329</v>
      </c>
      <c r="AB65" s="38">
        <f>I65-AA65</f>
        <v>0</v>
      </c>
      <c r="AC65" s="5"/>
      <c r="AD65" s="40">
        <v>0</v>
      </c>
      <c r="AE65" s="51">
        <v>44622</v>
      </c>
      <c r="AF65" s="5" t="s">
        <v>284</v>
      </c>
      <c r="AG65" s="42"/>
      <c r="AH65" s="5"/>
      <c r="AI65" s="37">
        <f>19654329+940008</f>
        <v>20594337</v>
      </c>
      <c r="AJ65" s="37">
        <f t="shared" si="3"/>
        <v>-940008</v>
      </c>
      <c r="AK65" s="37"/>
      <c r="AL65" s="37"/>
      <c r="AM65" s="140">
        <v>0</v>
      </c>
      <c r="AN65" s="142">
        <v>44683</v>
      </c>
      <c r="AO65" s="5" t="s">
        <v>284</v>
      </c>
      <c r="AP65" s="5"/>
      <c r="AQ65" s="40"/>
      <c r="AR65" s="37">
        <f>19654329+412906</f>
        <v>20067235</v>
      </c>
      <c r="AS65" s="37">
        <f>AA65-AR65</f>
        <v>-412906</v>
      </c>
      <c r="AT65" s="37"/>
      <c r="AU65" s="37"/>
      <c r="AV65" s="140">
        <v>0</v>
      </c>
      <c r="AW65" s="43">
        <v>44707</v>
      </c>
      <c r="AX65" s="5" t="s">
        <v>284</v>
      </c>
      <c r="AY65" s="5"/>
      <c r="AZ65" s="140"/>
      <c r="BA65" s="37">
        <v>19654329</v>
      </c>
      <c r="BB65" s="37">
        <f>AA65-BA65</f>
        <v>0</v>
      </c>
      <c r="BC65" s="37"/>
      <c r="BD65" s="37"/>
      <c r="BE65" s="140">
        <v>0</v>
      </c>
      <c r="BF65" s="43">
        <v>44715</v>
      </c>
      <c r="BG65" s="5" t="s">
        <v>284</v>
      </c>
      <c r="BH65" s="43">
        <v>44728</v>
      </c>
      <c r="BI65" s="140"/>
      <c r="BJ65" s="37">
        <v>19654329</v>
      </c>
      <c r="BK65" s="37">
        <f>BA65-BJ65</f>
        <v>0</v>
      </c>
      <c r="BL65" s="37"/>
      <c r="BM65" s="37"/>
      <c r="BN65" s="140">
        <v>0</v>
      </c>
      <c r="BO65" s="43">
        <v>44747</v>
      </c>
      <c r="BP65" s="5" t="s">
        <v>284</v>
      </c>
      <c r="BQ65" s="43">
        <v>44757</v>
      </c>
      <c r="BR65" s="140"/>
      <c r="BS65" s="37">
        <v>20758902</v>
      </c>
      <c r="BT65" s="37"/>
      <c r="BU65" s="37">
        <f>BS65-BJ65</f>
        <v>1104573</v>
      </c>
      <c r="BV65" s="37"/>
      <c r="BW65" s="147">
        <f>BU65/BJ65</f>
        <v>5.6199985255156765E-2</v>
      </c>
      <c r="BX65" s="43">
        <v>44777</v>
      </c>
      <c r="BY65" s="5" t="s">
        <v>284</v>
      </c>
      <c r="BZ65" s="5"/>
      <c r="CA65" s="140"/>
      <c r="CB65" s="37"/>
      <c r="CC65" s="37"/>
      <c r="CD65" s="37"/>
      <c r="CE65" s="37"/>
      <c r="CF65" s="140"/>
      <c r="CG65" s="43"/>
      <c r="CH65" s="5"/>
      <c r="CI65" s="5"/>
      <c r="CJ65" s="140"/>
      <c r="CK65" s="37"/>
      <c r="CL65" s="37"/>
      <c r="CM65" s="37"/>
      <c r="CN65" s="37"/>
      <c r="CO65" s="140"/>
      <c r="CP65" s="43"/>
      <c r="CQ65" s="5"/>
      <c r="CR65" s="5"/>
      <c r="CS65" s="140"/>
      <c r="CT65" s="37"/>
      <c r="CU65" s="37"/>
      <c r="CV65" s="37"/>
      <c r="CW65" s="37"/>
      <c r="CX65" s="140"/>
      <c r="CY65" s="43"/>
      <c r="CZ65" s="5"/>
      <c r="DA65" s="143"/>
      <c r="DB65" s="140"/>
      <c r="DC65" s="37"/>
      <c r="DD65" s="37"/>
      <c r="DE65" s="37"/>
      <c r="DF65" s="37"/>
      <c r="DG65" s="140"/>
      <c r="DH65" s="43"/>
      <c r="DI65" s="5"/>
      <c r="DJ65" s="5"/>
    </row>
    <row r="66" spans="1:114" x14ac:dyDescent="0.35">
      <c r="A66" s="9">
        <v>204970</v>
      </c>
      <c r="B66" s="9" t="s">
        <v>831</v>
      </c>
      <c r="C66" s="34" t="s">
        <v>434</v>
      </c>
      <c r="D66" s="5" t="s">
        <v>830</v>
      </c>
      <c r="E66" s="5" t="s">
        <v>812</v>
      </c>
      <c r="F66" s="6" t="s">
        <v>873</v>
      </c>
      <c r="G66" s="145">
        <v>8301134776</v>
      </c>
      <c r="H66" s="149" t="s">
        <v>873</v>
      </c>
      <c r="I66" s="5"/>
      <c r="J66" s="606" t="s">
        <v>875</v>
      </c>
      <c r="K66" s="607"/>
      <c r="L66" s="607"/>
      <c r="M66" s="607"/>
      <c r="N66" s="607"/>
      <c r="O66" s="607"/>
      <c r="P66" s="607"/>
      <c r="Q66" s="607"/>
      <c r="R66" s="608"/>
      <c r="S66" s="597" t="s">
        <v>875</v>
      </c>
      <c r="T66" s="598"/>
      <c r="U66" s="598"/>
      <c r="V66" s="598"/>
      <c r="W66" s="598"/>
      <c r="X66" s="598"/>
      <c r="Y66" s="599"/>
      <c r="Z66" s="597" t="s">
        <v>875</v>
      </c>
      <c r="AA66" s="598"/>
      <c r="AB66" s="598"/>
      <c r="AC66" s="598"/>
      <c r="AD66" s="598"/>
      <c r="AE66" s="598"/>
      <c r="AF66" s="598"/>
      <c r="AG66" s="599"/>
      <c r="AH66" s="597" t="s">
        <v>875</v>
      </c>
      <c r="AI66" s="598"/>
      <c r="AJ66" s="598"/>
      <c r="AK66" s="598"/>
      <c r="AL66" s="598"/>
      <c r="AM66" s="598"/>
      <c r="AN66" s="598"/>
      <c r="AO66" s="598"/>
      <c r="AP66" s="599"/>
      <c r="AQ66" s="591" t="s">
        <v>893</v>
      </c>
      <c r="AR66" s="592"/>
      <c r="AS66" s="592"/>
      <c r="AT66" s="592"/>
      <c r="AU66" s="592"/>
      <c r="AV66" s="592"/>
      <c r="AW66" s="592"/>
      <c r="AX66" s="592"/>
      <c r="AY66" s="593"/>
      <c r="AZ66" s="597" t="s">
        <v>874</v>
      </c>
      <c r="BA66" s="598"/>
      <c r="BB66" s="598"/>
      <c r="BC66" s="598"/>
      <c r="BD66" s="598"/>
      <c r="BE66" s="598"/>
      <c r="BF66" s="598"/>
      <c r="BG66" s="598"/>
      <c r="BH66" s="599"/>
      <c r="BI66" s="591" t="s">
        <v>874</v>
      </c>
      <c r="BJ66" s="592"/>
      <c r="BK66" s="592"/>
      <c r="BL66" s="592"/>
      <c r="BM66" s="592"/>
      <c r="BN66" s="592"/>
      <c r="BO66" s="592"/>
      <c r="BP66" s="592"/>
      <c r="BQ66" s="593"/>
      <c r="BR66" s="5"/>
      <c r="BS66" s="5"/>
      <c r="BT66" s="5"/>
      <c r="BU66" s="5"/>
      <c r="BV66" s="5"/>
      <c r="BW66" s="5"/>
      <c r="BX66" s="5"/>
      <c r="BY66" s="5"/>
      <c r="BZ66" s="5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40"/>
      <c r="DC66" s="38"/>
      <c r="DD66" s="38"/>
      <c r="DE66" s="38"/>
      <c r="DF66" s="38"/>
      <c r="DG66" s="40"/>
      <c r="DH66" s="43"/>
      <c r="DI66" s="5"/>
      <c r="DJ66" s="5"/>
    </row>
    <row r="67" spans="1:114" x14ac:dyDescent="0.35">
      <c r="A67" s="9">
        <v>204970</v>
      </c>
      <c r="B67" s="9" t="s">
        <v>831</v>
      </c>
      <c r="C67" s="34" t="s">
        <v>434</v>
      </c>
      <c r="D67" s="5" t="s">
        <v>830</v>
      </c>
      <c r="E67" s="5" t="s">
        <v>812</v>
      </c>
      <c r="F67" s="6">
        <v>9101</v>
      </c>
      <c r="G67" s="145">
        <v>8301134776</v>
      </c>
      <c r="H67" s="37">
        <v>12492913</v>
      </c>
      <c r="I67" s="37">
        <v>11288437</v>
      </c>
      <c r="J67" s="37"/>
      <c r="K67" s="37">
        <v>11288437</v>
      </c>
      <c r="L67" s="37">
        <f>I67-K67</f>
        <v>0</v>
      </c>
      <c r="M67" s="37"/>
      <c r="N67" s="37"/>
      <c r="O67" s="140">
        <v>0</v>
      </c>
      <c r="P67" s="142">
        <v>44564</v>
      </c>
      <c r="Q67" s="9" t="s">
        <v>284</v>
      </c>
      <c r="R67" s="42"/>
      <c r="S67" s="37">
        <v>11288437</v>
      </c>
      <c r="T67" s="39">
        <f>K67-S67</f>
        <v>0</v>
      </c>
      <c r="U67" s="5"/>
      <c r="V67" s="140">
        <v>0</v>
      </c>
      <c r="W67" s="43">
        <v>44595</v>
      </c>
      <c r="X67" s="5" t="s">
        <v>284</v>
      </c>
      <c r="Y67" s="42"/>
      <c r="Z67" s="5"/>
      <c r="AA67" s="38">
        <v>11288437</v>
      </c>
      <c r="AB67" s="38">
        <f t="shared" ref="AB67:AB73" si="5">S67-AA67</f>
        <v>0</v>
      </c>
      <c r="AC67" s="5"/>
      <c r="AD67" s="40">
        <v>0</v>
      </c>
      <c r="AE67" s="51">
        <v>44622</v>
      </c>
      <c r="AF67" s="5" t="s">
        <v>284</v>
      </c>
      <c r="AG67" s="158"/>
      <c r="AH67" s="5"/>
      <c r="AI67" s="37">
        <v>11288437</v>
      </c>
      <c r="AJ67" s="37">
        <f t="shared" ref="AJ67:AJ73" si="6">AA67-AI67</f>
        <v>0</v>
      </c>
      <c r="AK67" s="37"/>
      <c r="AL67" s="37"/>
      <c r="AM67" s="140">
        <v>0</v>
      </c>
      <c r="AN67" s="43">
        <v>44655</v>
      </c>
      <c r="AO67" s="5" t="s">
        <v>284</v>
      </c>
      <c r="AP67" s="5"/>
      <c r="AQ67" s="40"/>
      <c r="AR67" s="37">
        <v>11288437</v>
      </c>
      <c r="AS67" s="37">
        <f t="shared" ref="AS67:AS76" si="7">AI67-AR67</f>
        <v>0</v>
      </c>
      <c r="AT67" s="37"/>
      <c r="AU67" s="37"/>
      <c r="AV67" s="140">
        <v>0</v>
      </c>
      <c r="AW67" s="43">
        <v>44683</v>
      </c>
      <c r="AX67" s="5" t="s">
        <v>284</v>
      </c>
      <c r="AY67" s="5"/>
      <c r="AZ67" s="140"/>
      <c r="BA67" s="37">
        <v>11288437</v>
      </c>
      <c r="BB67" s="37">
        <f t="shared" ref="BB67:BB73" si="8">AR67-BA67</f>
        <v>0</v>
      </c>
      <c r="BC67" s="37"/>
      <c r="BD67" s="37"/>
      <c r="BE67" s="140">
        <v>0</v>
      </c>
      <c r="BF67" s="43">
        <v>44713</v>
      </c>
      <c r="BG67" s="5" t="s">
        <v>284</v>
      </c>
      <c r="BH67" s="43">
        <v>44728</v>
      </c>
      <c r="BI67" s="140"/>
      <c r="BJ67" s="37">
        <v>12492913</v>
      </c>
      <c r="BK67" s="37"/>
      <c r="BL67" s="37">
        <f>BA67-BJ67</f>
        <v>-1204476</v>
      </c>
      <c r="BM67" s="37"/>
      <c r="BN67" s="147">
        <f>BL67/BA67</f>
        <v>-0.10669997981119973</v>
      </c>
      <c r="BO67" s="43">
        <v>44767</v>
      </c>
      <c r="BP67" s="5" t="s">
        <v>284</v>
      </c>
      <c r="BQ67" s="5"/>
      <c r="BR67" s="140"/>
      <c r="BS67" s="37">
        <v>12492913</v>
      </c>
      <c r="BT67" s="37">
        <f>BJ67-BS67</f>
        <v>0</v>
      </c>
      <c r="BU67" s="37"/>
      <c r="BV67" s="37"/>
      <c r="BW67" s="140">
        <v>0</v>
      </c>
      <c r="BX67" s="43">
        <v>44774</v>
      </c>
      <c r="BY67" s="5" t="s">
        <v>284</v>
      </c>
      <c r="BZ67" s="5"/>
      <c r="CA67" s="140"/>
      <c r="CB67" s="37"/>
      <c r="CC67" s="37"/>
      <c r="CD67" s="37"/>
      <c r="CE67" s="37"/>
      <c r="CF67" s="140"/>
      <c r="CG67" s="43"/>
      <c r="CH67" s="5"/>
      <c r="CI67" s="5"/>
      <c r="CJ67" s="140"/>
      <c r="CK67" s="37"/>
      <c r="CL67" s="37"/>
      <c r="CM67" s="37"/>
      <c r="CN67" s="37"/>
      <c r="CO67" s="140"/>
      <c r="CP67" s="43"/>
      <c r="CQ67" s="5"/>
      <c r="CR67" s="5"/>
      <c r="CS67" s="140"/>
      <c r="CT67" s="37"/>
      <c r="CU67" s="37"/>
      <c r="CV67" s="37"/>
      <c r="CW67" s="37"/>
      <c r="CX67" s="140"/>
      <c r="CY67" s="43"/>
      <c r="CZ67" s="5"/>
      <c r="DA67" s="143"/>
      <c r="DB67" s="140"/>
      <c r="DC67" s="37"/>
      <c r="DD67" s="37"/>
      <c r="DE67" s="37"/>
      <c r="DF67" s="37"/>
      <c r="DG67" s="140"/>
      <c r="DH67" s="43"/>
      <c r="DI67" s="5"/>
      <c r="DJ67" s="5"/>
    </row>
    <row r="68" spans="1:114" x14ac:dyDescent="0.35">
      <c r="A68" s="9">
        <v>209672</v>
      </c>
      <c r="B68" s="9" t="s">
        <v>833</v>
      </c>
      <c r="C68" s="34" t="s">
        <v>436</v>
      </c>
      <c r="D68" s="5" t="s">
        <v>832</v>
      </c>
      <c r="E68" s="5" t="s">
        <v>625</v>
      </c>
      <c r="F68" s="6">
        <v>9102</v>
      </c>
      <c r="G68" s="145" t="s">
        <v>834</v>
      </c>
      <c r="H68" s="37">
        <v>71852433</v>
      </c>
      <c r="I68" s="37">
        <v>55000000</v>
      </c>
      <c r="J68" s="37"/>
      <c r="K68" s="37">
        <f>55000000+3091000</f>
        <v>58091000</v>
      </c>
      <c r="L68" s="37">
        <f>I68-K68</f>
        <v>-3091000</v>
      </c>
      <c r="M68" s="37"/>
      <c r="N68" s="37"/>
      <c r="O68" s="140">
        <f>L68/H68</f>
        <v>-4.3018724223298048E-2</v>
      </c>
      <c r="P68" s="43">
        <v>44572</v>
      </c>
      <c r="Q68" s="9" t="s">
        <v>284</v>
      </c>
      <c r="R68" s="42"/>
      <c r="S68" s="37">
        <v>58091000</v>
      </c>
      <c r="T68" s="39">
        <f>K68-S68</f>
        <v>0</v>
      </c>
      <c r="U68" s="5"/>
      <c r="V68" s="140">
        <v>0</v>
      </c>
      <c r="W68" s="142">
        <v>44593</v>
      </c>
      <c r="X68" s="5" t="s">
        <v>284</v>
      </c>
      <c r="Y68" s="42"/>
      <c r="Z68" s="5"/>
      <c r="AA68" s="38">
        <v>58091000</v>
      </c>
      <c r="AB68" s="38">
        <f t="shared" si="5"/>
        <v>0</v>
      </c>
      <c r="AC68" s="5"/>
      <c r="AD68" s="40">
        <v>0</v>
      </c>
      <c r="AE68" s="51">
        <v>44621</v>
      </c>
      <c r="AF68" s="5" t="s">
        <v>284</v>
      </c>
      <c r="AG68" s="42"/>
      <c r="AH68" s="140"/>
      <c r="AI68" s="37">
        <v>58091000</v>
      </c>
      <c r="AJ68" s="37">
        <f t="shared" si="6"/>
        <v>0</v>
      </c>
      <c r="AK68" s="37"/>
      <c r="AL68" s="37"/>
      <c r="AM68" s="140">
        <v>0</v>
      </c>
      <c r="AN68" s="43">
        <v>44655</v>
      </c>
      <c r="AO68" s="5" t="s">
        <v>284</v>
      </c>
      <c r="AP68" s="5"/>
      <c r="AQ68" s="46"/>
      <c r="AR68" s="37">
        <v>58091000</v>
      </c>
      <c r="AS68" s="37">
        <f t="shared" si="7"/>
        <v>0</v>
      </c>
      <c r="AT68" s="37"/>
      <c r="AU68" s="37"/>
      <c r="AV68" s="140">
        <v>0</v>
      </c>
      <c r="AW68" s="43">
        <v>44683</v>
      </c>
      <c r="AX68" s="5" t="s">
        <v>284</v>
      </c>
      <c r="AY68" s="5"/>
      <c r="AZ68" s="147"/>
      <c r="BA68" s="37">
        <v>58091000</v>
      </c>
      <c r="BB68" s="37">
        <f t="shared" si="8"/>
        <v>0</v>
      </c>
      <c r="BC68" s="37"/>
      <c r="BD68" s="37"/>
      <c r="BE68" s="140">
        <v>0</v>
      </c>
      <c r="BF68" s="43">
        <v>44713</v>
      </c>
      <c r="BG68" s="5" t="s">
        <v>284</v>
      </c>
      <c r="BH68" s="43">
        <v>44728</v>
      </c>
      <c r="BI68" s="147"/>
      <c r="BJ68" s="37">
        <v>58091000</v>
      </c>
      <c r="BK68" s="37">
        <f t="shared" ref="BK68:BK76" si="9">BA68-BJ68</f>
        <v>0</v>
      </c>
      <c r="BL68" s="37"/>
      <c r="BM68" s="37"/>
      <c r="BN68" s="140">
        <v>0</v>
      </c>
      <c r="BO68" s="43">
        <v>44743</v>
      </c>
      <c r="BP68" s="5" t="s">
        <v>284</v>
      </c>
      <c r="BQ68" s="43">
        <v>44757</v>
      </c>
      <c r="BR68" s="140"/>
      <c r="BS68" s="37">
        <v>71852433</v>
      </c>
      <c r="BT68" s="37"/>
      <c r="BU68" s="37">
        <f>BS68-BJ68</f>
        <v>13761433</v>
      </c>
      <c r="BV68" s="37"/>
      <c r="BW68" s="140">
        <f>BU68/BJ68</f>
        <v>0.23689440705100617</v>
      </c>
      <c r="BX68" s="43">
        <v>44774</v>
      </c>
      <c r="BY68" s="5" t="s">
        <v>284</v>
      </c>
      <c r="BZ68" s="5"/>
      <c r="CA68" s="147"/>
      <c r="CB68" s="37"/>
      <c r="CC68" s="37"/>
      <c r="CD68" s="37"/>
      <c r="CE68" s="37"/>
      <c r="CF68" s="140"/>
      <c r="CG68" s="43"/>
      <c r="CH68" s="5"/>
      <c r="CI68" s="5"/>
      <c r="CJ68" s="147"/>
      <c r="CK68" s="37"/>
      <c r="CL68" s="37"/>
      <c r="CM68" s="37"/>
      <c r="CN68" s="37"/>
      <c r="CO68" s="140"/>
      <c r="CP68" s="43"/>
      <c r="CQ68" s="5"/>
      <c r="CR68" s="5"/>
      <c r="CS68" s="140"/>
      <c r="CT68" s="37"/>
      <c r="CU68" s="37"/>
      <c r="CV68" s="37"/>
      <c r="CW68" s="37"/>
      <c r="CX68" s="140"/>
      <c r="CY68" s="43"/>
      <c r="CZ68" s="5"/>
      <c r="DA68" s="143"/>
      <c r="DB68" s="140"/>
      <c r="DC68" s="37"/>
      <c r="DD68" s="37"/>
      <c r="DE68" s="37"/>
      <c r="DF68" s="37"/>
      <c r="DG68" s="140"/>
      <c r="DH68" s="43"/>
      <c r="DI68" s="5"/>
      <c r="DJ68" s="5"/>
    </row>
    <row r="69" spans="1:114" x14ac:dyDescent="0.35">
      <c r="A69" s="9">
        <v>211510</v>
      </c>
      <c r="B69" s="9" t="s">
        <v>655</v>
      </c>
      <c r="C69" s="34" t="s">
        <v>440</v>
      </c>
      <c r="D69" s="5" t="s">
        <v>835</v>
      </c>
      <c r="E69" s="5" t="s">
        <v>625</v>
      </c>
      <c r="F69" s="6">
        <v>9120</v>
      </c>
      <c r="G69" s="145">
        <v>9005360582</v>
      </c>
      <c r="H69" s="37">
        <v>20389700</v>
      </c>
      <c r="I69" s="37">
        <v>20389700</v>
      </c>
      <c r="J69" s="37"/>
      <c r="K69" s="37">
        <v>20389700</v>
      </c>
      <c r="L69" s="37">
        <f>H69-K69</f>
        <v>0</v>
      </c>
      <c r="M69" s="37"/>
      <c r="N69" s="37"/>
      <c r="O69" s="140">
        <v>0</v>
      </c>
      <c r="P69" s="142">
        <v>44200</v>
      </c>
      <c r="Q69" s="9" t="s">
        <v>284</v>
      </c>
      <c r="R69" s="42"/>
      <c r="S69" s="37">
        <v>20389700</v>
      </c>
      <c r="T69" s="39">
        <f>K69-S69</f>
        <v>0</v>
      </c>
      <c r="U69" s="5"/>
      <c r="V69" s="140">
        <v>0</v>
      </c>
      <c r="W69" s="43">
        <v>44594</v>
      </c>
      <c r="X69" s="5" t="s">
        <v>284</v>
      </c>
      <c r="Y69" s="42"/>
      <c r="Z69" s="5"/>
      <c r="AA69" s="38">
        <v>20389700</v>
      </c>
      <c r="AB69" s="38">
        <f t="shared" si="5"/>
        <v>0</v>
      </c>
      <c r="AC69" s="5"/>
      <c r="AD69" s="40">
        <v>0</v>
      </c>
      <c r="AE69" s="51">
        <v>44621</v>
      </c>
      <c r="AF69" s="5" t="s">
        <v>284</v>
      </c>
      <c r="AG69" s="42"/>
      <c r="AH69" s="5"/>
      <c r="AI69" s="37">
        <v>20389700</v>
      </c>
      <c r="AJ69" s="37">
        <f t="shared" si="6"/>
        <v>0</v>
      </c>
      <c r="AK69" s="37"/>
      <c r="AL69" s="37"/>
      <c r="AM69" s="140">
        <v>0</v>
      </c>
      <c r="AN69" s="43">
        <v>44655</v>
      </c>
      <c r="AO69" s="5" t="s">
        <v>284</v>
      </c>
      <c r="AP69" s="5"/>
      <c r="AQ69" s="40"/>
      <c r="AR69" s="37">
        <v>20389700</v>
      </c>
      <c r="AS69" s="37">
        <f t="shared" si="7"/>
        <v>0</v>
      </c>
      <c r="AT69" s="37"/>
      <c r="AU69" s="37"/>
      <c r="AV69" s="140">
        <v>0</v>
      </c>
      <c r="AW69" s="43">
        <v>44683</v>
      </c>
      <c r="AX69" s="5" t="s">
        <v>284</v>
      </c>
      <c r="AY69" s="5"/>
      <c r="AZ69" s="140"/>
      <c r="BA69" s="37">
        <v>20389700</v>
      </c>
      <c r="BB69" s="37">
        <f t="shared" si="8"/>
        <v>0</v>
      </c>
      <c r="BC69" s="37"/>
      <c r="BD69" s="37"/>
      <c r="BE69" s="140">
        <v>0</v>
      </c>
      <c r="BF69" s="43">
        <v>44713</v>
      </c>
      <c r="BG69" s="5" t="s">
        <v>284</v>
      </c>
      <c r="BH69" s="43">
        <v>44728</v>
      </c>
      <c r="BI69" s="140"/>
      <c r="BJ69" s="37">
        <v>20389700</v>
      </c>
      <c r="BK69" s="37">
        <f t="shared" si="9"/>
        <v>0</v>
      </c>
      <c r="BL69" s="37"/>
      <c r="BM69" s="37"/>
      <c r="BN69" s="140">
        <v>0</v>
      </c>
      <c r="BO69" s="43">
        <v>44743</v>
      </c>
      <c r="BP69" s="5" t="s">
        <v>284</v>
      </c>
      <c r="BQ69" s="43">
        <v>44757</v>
      </c>
      <c r="BR69" s="140"/>
      <c r="BS69" s="37">
        <v>20389700</v>
      </c>
      <c r="BT69" s="37">
        <f>BJ69-BS69</f>
        <v>0</v>
      </c>
      <c r="BU69" s="37"/>
      <c r="BV69" s="37"/>
      <c r="BW69" s="140">
        <v>0</v>
      </c>
      <c r="BX69" s="43">
        <v>44775</v>
      </c>
      <c r="BY69" s="5" t="s">
        <v>284</v>
      </c>
      <c r="BZ69" s="5"/>
      <c r="CA69" s="594"/>
      <c r="CB69" s="595"/>
      <c r="CC69" s="595"/>
      <c r="CD69" s="595"/>
      <c r="CE69" s="595"/>
      <c r="CF69" s="595"/>
      <c r="CG69" s="595"/>
      <c r="CH69" s="595"/>
      <c r="CI69" s="596"/>
      <c r="CJ69" s="140"/>
      <c r="CK69" s="37"/>
      <c r="CL69" s="37"/>
      <c r="CM69" s="37"/>
      <c r="CN69" s="37"/>
      <c r="CO69" s="140"/>
      <c r="CP69" s="43"/>
      <c r="CQ69" s="5"/>
      <c r="CR69" s="5"/>
      <c r="CS69" s="140"/>
      <c r="CT69" s="37"/>
      <c r="CU69" s="37"/>
      <c r="CV69" s="37"/>
      <c r="CW69" s="37"/>
      <c r="CX69" s="140"/>
      <c r="CY69" s="43"/>
      <c r="CZ69" s="5"/>
      <c r="DA69" s="143"/>
      <c r="DB69" s="140"/>
      <c r="DC69" s="37"/>
      <c r="DD69" s="37"/>
      <c r="DE69" s="37"/>
      <c r="DF69" s="37"/>
      <c r="DG69" s="140"/>
      <c r="DH69" s="43"/>
      <c r="DI69" s="5"/>
      <c r="DJ69" s="5"/>
    </row>
    <row r="70" spans="1:114" x14ac:dyDescent="0.35">
      <c r="A70" s="9">
        <v>243147</v>
      </c>
      <c r="B70" s="9" t="s">
        <v>837</v>
      </c>
      <c r="C70" s="34" t="s">
        <v>442</v>
      </c>
      <c r="D70" s="5" t="s">
        <v>836</v>
      </c>
      <c r="E70" s="5" t="s">
        <v>740</v>
      </c>
      <c r="F70" s="6">
        <v>9103</v>
      </c>
      <c r="G70" s="145">
        <v>9004868496</v>
      </c>
      <c r="H70" s="37">
        <v>8241282</v>
      </c>
      <c r="I70" s="37">
        <v>8241282</v>
      </c>
      <c r="J70" s="37"/>
      <c r="K70" s="37">
        <v>8241282</v>
      </c>
      <c r="L70" s="37">
        <f>I70-K70</f>
        <v>0</v>
      </c>
      <c r="M70" s="37"/>
      <c r="N70" s="37"/>
      <c r="O70" s="140">
        <f>L70/I70</f>
        <v>0</v>
      </c>
      <c r="P70" s="43">
        <v>44578</v>
      </c>
      <c r="Q70" s="9" t="s">
        <v>284</v>
      </c>
      <c r="R70" s="42"/>
      <c r="S70" s="37">
        <v>8241282</v>
      </c>
      <c r="T70" s="39">
        <f>K70-S70</f>
        <v>0</v>
      </c>
      <c r="U70" s="5"/>
      <c r="V70" s="140">
        <v>0</v>
      </c>
      <c r="W70" s="142">
        <v>44606</v>
      </c>
      <c r="X70" s="5" t="s">
        <v>284</v>
      </c>
      <c r="Y70" s="42"/>
      <c r="Z70" s="5"/>
      <c r="AA70" s="38">
        <v>8241282</v>
      </c>
      <c r="AB70" s="38">
        <f t="shared" si="5"/>
        <v>0</v>
      </c>
      <c r="AC70" s="5"/>
      <c r="AD70" s="40">
        <v>0</v>
      </c>
      <c r="AE70" s="51">
        <v>44621</v>
      </c>
      <c r="AF70" s="5" t="s">
        <v>284</v>
      </c>
      <c r="AG70" s="42"/>
      <c r="AH70" s="140"/>
      <c r="AI70" s="37">
        <v>8241282</v>
      </c>
      <c r="AJ70" s="37">
        <f t="shared" si="6"/>
        <v>0</v>
      </c>
      <c r="AK70" s="37"/>
      <c r="AL70" s="37"/>
      <c r="AM70" s="140">
        <v>0</v>
      </c>
      <c r="AN70" s="43">
        <v>44655</v>
      </c>
      <c r="AO70" s="5" t="s">
        <v>284</v>
      </c>
      <c r="AP70" s="5"/>
      <c r="AQ70" s="40"/>
      <c r="AR70" s="37">
        <v>8241282</v>
      </c>
      <c r="AS70" s="37">
        <f t="shared" si="7"/>
        <v>0</v>
      </c>
      <c r="AT70" s="37"/>
      <c r="AU70" s="37"/>
      <c r="AV70" s="140">
        <v>0</v>
      </c>
      <c r="AW70" s="43">
        <v>44683</v>
      </c>
      <c r="AX70" s="5" t="s">
        <v>284</v>
      </c>
      <c r="AY70" s="5"/>
      <c r="AZ70" s="140"/>
      <c r="BA70" s="37">
        <v>8241282</v>
      </c>
      <c r="BB70" s="37">
        <f t="shared" si="8"/>
        <v>0</v>
      </c>
      <c r="BC70" s="37"/>
      <c r="BD70" s="37"/>
      <c r="BE70" s="140">
        <v>0</v>
      </c>
      <c r="BF70" s="43">
        <v>44715</v>
      </c>
      <c r="BG70" s="5" t="s">
        <v>284</v>
      </c>
      <c r="BH70" s="43">
        <v>44728</v>
      </c>
      <c r="BI70" s="140"/>
      <c r="BJ70" s="37">
        <v>8241282</v>
      </c>
      <c r="BK70" s="37">
        <f t="shared" si="9"/>
        <v>0</v>
      </c>
      <c r="BL70" s="37"/>
      <c r="BM70" s="37"/>
      <c r="BN70" s="140">
        <v>0</v>
      </c>
      <c r="BO70" s="43">
        <v>44743</v>
      </c>
      <c r="BP70" s="5" t="s">
        <v>284</v>
      </c>
      <c r="BQ70" s="43">
        <v>44757</v>
      </c>
      <c r="BR70" s="140"/>
      <c r="BS70" s="37">
        <v>8241282</v>
      </c>
      <c r="BT70" s="37">
        <f>BJ70-BS70</f>
        <v>0</v>
      </c>
      <c r="BU70" s="37"/>
      <c r="BV70" s="37"/>
      <c r="BW70" s="140">
        <v>0</v>
      </c>
      <c r="BX70" s="43">
        <v>44777</v>
      </c>
      <c r="BY70" s="5" t="s">
        <v>284</v>
      </c>
      <c r="BZ70" s="5"/>
      <c r="CA70" s="140"/>
      <c r="CB70" s="37"/>
      <c r="CC70" s="37"/>
      <c r="CD70" s="37"/>
      <c r="CE70" s="37"/>
      <c r="CF70" s="140"/>
      <c r="CG70" s="43"/>
      <c r="CH70" s="5"/>
      <c r="CI70" s="5"/>
      <c r="CJ70" s="140"/>
      <c r="CK70" s="37"/>
      <c r="CL70" s="37"/>
      <c r="CM70" s="37"/>
      <c r="CN70" s="37"/>
      <c r="CO70" s="140"/>
      <c r="CP70" s="43"/>
      <c r="CQ70" s="5"/>
      <c r="CR70" s="5"/>
      <c r="CS70" s="140"/>
      <c r="CT70" s="37"/>
      <c r="CU70" s="37"/>
      <c r="CV70" s="37"/>
      <c r="CW70" s="37"/>
      <c r="CX70" s="140"/>
      <c r="CY70" s="43"/>
      <c r="CZ70" s="5"/>
      <c r="DA70" s="143"/>
      <c r="DB70" s="140"/>
      <c r="DC70" s="37"/>
      <c r="DD70" s="37"/>
      <c r="DE70" s="37"/>
      <c r="DF70" s="37"/>
      <c r="DG70" s="140"/>
      <c r="DH70" s="43"/>
      <c r="DI70" s="5"/>
      <c r="DJ70" s="5"/>
    </row>
    <row r="71" spans="1:114" x14ac:dyDescent="0.35">
      <c r="A71" s="9">
        <v>204532</v>
      </c>
      <c r="B71" s="9" t="s">
        <v>674</v>
      </c>
      <c r="C71" s="34" t="s">
        <v>447</v>
      </c>
      <c r="D71" s="5" t="s">
        <v>838</v>
      </c>
      <c r="E71" s="5" t="s">
        <v>643</v>
      </c>
      <c r="F71" s="6">
        <v>8974</v>
      </c>
      <c r="G71" s="145" t="s">
        <v>675</v>
      </c>
      <c r="H71" s="37">
        <v>12843524</v>
      </c>
      <c r="I71" s="37">
        <v>12843524</v>
      </c>
      <c r="J71" s="37"/>
      <c r="K71" s="37">
        <f>12843524+125751</f>
        <v>12969275</v>
      </c>
      <c r="L71" s="37"/>
      <c r="M71" s="37">
        <f>I71-K71</f>
        <v>-125751</v>
      </c>
      <c r="N71" s="37"/>
      <c r="O71" s="140">
        <f>M71/I71</f>
        <v>-9.7910044003499345E-3</v>
      </c>
      <c r="P71" s="43">
        <v>44580</v>
      </c>
      <c r="Q71" s="5" t="s">
        <v>284</v>
      </c>
      <c r="R71" s="42"/>
      <c r="S71" s="37">
        <v>12843524</v>
      </c>
      <c r="T71" s="39">
        <f>H71-S71</f>
        <v>0</v>
      </c>
      <c r="U71" s="5"/>
      <c r="V71" s="140">
        <v>0</v>
      </c>
      <c r="W71" s="43">
        <v>44594</v>
      </c>
      <c r="X71" s="5" t="s">
        <v>284</v>
      </c>
      <c r="Y71" s="42"/>
      <c r="Z71" s="5"/>
      <c r="AA71" s="38">
        <v>12843524</v>
      </c>
      <c r="AB71" s="38">
        <f t="shared" si="5"/>
        <v>0</v>
      </c>
      <c r="AC71" s="5"/>
      <c r="AD71" s="40">
        <v>0</v>
      </c>
      <c r="AE71" s="51">
        <v>44622</v>
      </c>
      <c r="AF71" s="5" t="s">
        <v>284</v>
      </c>
      <c r="AG71" s="42"/>
      <c r="AH71" s="140"/>
      <c r="AI71" s="37">
        <v>12843524</v>
      </c>
      <c r="AJ71" s="37">
        <f t="shared" si="6"/>
        <v>0</v>
      </c>
      <c r="AK71" s="37"/>
      <c r="AL71" s="37"/>
      <c r="AM71" s="140">
        <v>0</v>
      </c>
      <c r="AN71" s="43">
        <v>44656</v>
      </c>
      <c r="AO71" s="5" t="s">
        <v>284</v>
      </c>
      <c r="AP71" s="5"/>
      <c r="AQ71" s="40"/>
      <c r="AR71" s="37">
        <v>12843524</v>
      </c>
      <c r="AS71" s="37">
        <f t="shared" si="7"/>
        <v>0</v>
      </c>
      <c r="AT71" s="37"/>
      <c r="AU71" s="37"/>
      <c r="AV71" s="140">
        <v>0</v>
      </c>
      <c r="AW71" s="43">
        <v>44683</v>
      </c>
      <c r="AX71" s="5" t="s">
        <v>284</v>
      </c>
      <c r="AY71" s="5"/>
      <c r="AZ71" s="140"/>
      <c r="BA71" s="37">
        <v>12843524</v>
      </c>
      <c r="BB71" s="37">
        <f t="shared" si="8"/>
        <v>0</v>
      </c>
      <c r="BC71" s="37"/>
      <c r="BD71" s="37"/>
      <c r="BE71" s="140">
        <v>0</v>
      </c>
      <c r="BF71" s="43">
        <v>44715</v>
      </c>
      <c r="BG71" s="5" t="s">
        <v>284</v>
      </c>
      <c r="BH71" s="43">
        <v>44728</v>
      </c>
      <c r="BI71" s="140"/>
      <c r="BJ71" s="37">
        <v>12843524</v>
      </c>
      <c r="BK71" s="37">
        <f t="shared" si="9"/>
        <v>0</v>
      </c>
      <c r="BL71" s="37"/>
      <c r="BM71" s="37"/>
      <c r="BN71" s="140">
        <v>0</v>
      </c>
      <c r="BO71" s="43">
        <v>44747</v>
      </c>
      <c r="BP71" s="5" t="s">
        <v>284</v>
      </c>
      <c r="BQ71" s="43">
        <v>44757</v>
      </c>
      <c r="BR71" s="140"/>
      <c r="BS71" s="37">
        <v>12843524</v>
      </c>
      <c r="BT71" s="37">
        <f>BJ71-BS71</f>
        <v>0</v>
      </c>
      <c r="BU71" s="37"/>
      <c r="BV71" s="37"/>
      <c r="BW71" s="140">
        <v>0</v>
      </c>
      <c r="BX71" s="43">
        <v>44777</v>
      </c>
      <c r="BY71" s="5" t="s">
        <v>284</v>
      </c>
      <c r="BZ71" s="5"/>
      <c r="CA71" s="140"/>
      <c r="CB71" s="37"/>
      <c r="CC71" s="37"/>
      <c r="CD71" s="37"/>
      <c r="CE71" s="37"/>
      <c r="CF71" s="140"/>
      <c r="CG71" s="43"/>
      <c r="CH71" s="5"/>
      <c r="CI71" s="5"/>
      <c r="CJ71" s="140"/>
      <c r="CK71" s="37"/>
      <c r="CL71" s="37"/>
      <c r="CM71" s="37"/>
      <c r="CN71" s="37"/>
      <c r="CO71" s="140"/>
      <c r="CP71" s="43"/>
      <c r="CQ71" s="5"/>
      <c r="CR71" s="5"/>
      <c r="CS71" s="140"/>
      <c r="CT71" s="37"/>
      <c r="CU71" s="37"/>
      <c r="CV71" s="37"/>
      <c r="CW71" s="37"/>
      <c r="CX71" s="140"/>
      <c r="CY71" s="43"/>
      <c r="CZ71" s="5"/>
      <c r="DA71" s="143"/>
      <c r="DB71" s="140"/>
      <c r="DC71" s="37"/>
      <c r="DD71" s="37"/>
      <c r="DE71" s="37"/>
      <c r="DF71" s="37"/>
      <c r="DG71" s="140"/>
      <c r="DH71" s="43"/>
      <c r="DI71" s="5"/>
      <c r="DJ71" s="5"/>
    </row>
    <row r="72" spans="1:114" x14ac:dyDescent="0.35">
      <c r="A72" s="150">
        <v>204635</v>
      </c>
      <c r="B72" s="150" t="s">
        <v>24</v>
      </c>
      <c r="C72" s="151" t="s">
        <v>451</v>
      </c>
      <c r="D72" s="152" t="s">
        <v>691</v>
      </c>
      <c r="E72" s="152" t="s">
        <v>625</v>
      </c>
      <c r="F72" s="153">
        <v>6573</v>
      </c>
      <c r="G72" s="154" t="s">
        <v>692</v>
      </c>
      <c r="H72" s="155">
        <v>18000000</v>
      </c>
      <c r="I72" s="155">
        <v>18000000</v>
      </c>
      <c r="J72" s="155"/>
      <c r="K72" s="155">
        <v>18000000</v>
      </c>
      <c r="L72" s="155">
        <f>H72-K72</f>
        <v>0</v>
      </c>
      <c r="M72" s="155"/>
      <c r="N72" s="155"/>
      <c r="O72" s="156">
        <v>0</v>
      </c>
      <c r="P72" s="43">
        <v>44585</v>
      </c>
      <c r="Q72" s="9" t="s">
        <v>284</v>
      </c>
      <c r="R72" s="42"/>
      <c r="S72" s="155">
        <v>18000000</v>
      </c>
      <c r="T72" s="157">
        <f>K72-S72</f>
        <v>0</v>
      </c>
      <c r="U72" s="152"/>
      <c r="V72" s="156">
        <v>0</v>
      </c>
      <c r="W72" s="179">
        <v>44608</v>
      </c>
      <c r="X72" s="5" t="s">
        <v>284</v>
      </c>
      <c r="Y72" s="42"/>
      <c r="Z72" s="5"/>
      <c r="AA72" s="38">
        <v>18000000</v>
      </c>
      <c r="AB72" s="38">
        <f t="shared" si="5"/>
        <v>0</v>
      </c>
      <c r="AC72" s="5"/>
      <c r="AD72" s="40">
        <v>0</v>
      </c>
      <c r="AE72" s="43">
        <v>44624</v>
      </c>
      <c r="AF72" s="5" t="s">
        <v>284</v>
      </c>
      <c r="AG72" s="42"/>
      <c r="AH72" s="140"/>
      <c r="AI72" s="37">
        <v>18000000</v>
      </c>
      <c r="AJ72" s="37">
        <f t="shared" si="6"/>
        <v>0</v>
      </c>
      <c r="AK72" s="37"/>
      <c r="AL72" s="37"/>
      <c r="AM72" s="140">
        <v>0</v>
      </c>
      <c r="AN72" s="43">
        <v>44656</v>
      </c>
      <c r="AO72" s="5" t="s">
        <v>284</v>
      </c>
      <c r="AP72" s="5"/>
      <c r="AQ72" s="40"/>
      <c r="AR72" s="37">
        <v>18000000</v>
      </c>
      <c r="AS72" s="37">
        <f t="shared" si="7"/>
        <v>0</v>
      </c>
      <c r="AT72" s="37"/>
      <c r="AU72" s="37"/>
      <c r="AV72" s="140">
        <v>0</v>
      </c>
      <c r="AW72" s="43">
        <v>44699</v>
      </c>
      <c r="AX72" s="5" t="s">
        <v>284</v>
      </c>
      <c r="AY72" s="5"/>
      <c r="AZ72" s="140"/>
      <c r="BA72" s="37">
        <v>18000000</v>
      </c>
      <c r="BB72" s="37">
        <f t="shared" si="8"/>
        <v>0</v>
      </c>
      <c r="BC72" s="37"/>
      <c r="BD72" s="37"/>
      <c r="BE72" s="140">
        <v>0</v>
      </c>
      <c r="BF72" s="43">
        <v>44715</v>
      </c>
      <c r="BG72" s="5" t="s">
        <v>284</v>
      </c>
      <c r="BH72" s="43">
        <v>44728</v>
      </c>
      <c r="BI72" s="140"/>
      <c r="BJ72" s="37">
        <v>18000000</v>
      </c>
      <c r="BK72" s="37">
        <f t="shared" si="9"/>
        <v>0</v>
      </c>
      <c r="BL72" s="37"/>
      <c r="BM72" s="37"/>
      <c r="BN72" s="140">
        <v>0</v>
      </c>
      <c r="BO72" s="43">
        <v>44749</v>
      </c>
      <c r="BP72" s="5" t="s">
        <v>284</v>
      </c>
      <c r="BQ72" s="43">
        <v>44757</v>
      </c>
      <c r="BR72" s="140"/>
      <c r="BS72" s="37"/>
      <c r="BT72" s="37"/>
      <c r="BU72" s="37"/>
      <c r="BV72" s="37"/>
      <c r="BW72" s="140"/>
      <c r="BX72" s="43"/>
      <c r="BY72" s="5"/>
      <c r="BZ72" s="5"/>
      <c r="CA72" s="140"/>
      <c r="CB72" s="37"/>
      <c r="CC72" s="37"/>
      <c r="CD72" s="37"/>
      <c r="CE72" s="37"/>
      <c r="CF72" s="140"/>
      <c r="CG72" s="43"/>
      <c r="CH72" s="5"/>
      <c r="CI72" s="5"/>
      <c r="CJ72" s="140"/>
      <c r="CK72" s="37"/>
      <c r="CL72" s="37"/>
      <c r="CM72" s="37"/>
      <c r="CN72" s="37"/>
      <c r="CO72" s="140"/>
      <c r="CP72" s="43"/>
      <c r="CQ72" s="5"/>
      <c r="CR72" s="5"/>
      <c r="CS72" s="140"/>
      <c r="CT72" s="37"/>
      <c r="CU72" s="37"/>
      <c r="CV72" s="37"/>
      <c r="CW72" s="37"/>
      <c r="CX72" s="140"/>
      <c r="CY72" s="43"/>
      <c r="CZ72" s="5"/>
      <c r="DA72" s="143"/>
      <c r="DB72" s="140"/>
      <c r="DC72" s="37"/>
      <c r="DD72" s="37"/>
      <c r="DE72" s="37"/>
      <c r="DF72" s="37"/>
      <c r="DG72" s="140"/>
      <c r="DH72" s="43"/>
      <c r="DI72" s="5"/>
      <c r="DJ72" s="5"/>
    </row>
    <row r="73" spans="1:114" x14ac:dyDescent="0.35">
      <c r="A73" s="9">
        <v>217037</v>
      </c>
      <c r="B73" s="9" t="s">
        <v>909</v>
      </c>
      <c r="C73" s="34" t="s">
        <v>453</v>
      </c>
      <c r="D73" s="5" t="s">
        <v>839</v>
      </c>
      <c r="E73" s="5" t="s">
        <v>625</v>
      </c>
      <c r="F73" s="6">
        <v>9209</v>
      </c>
      <c r="G73" s="145" t="s">
        <v>910</v>
      </c>
      <c r="H73" s="37">
        <v>12885372</v>
      </c>
      <c r="I73" s="37">
        <v>11862799</v>
      </c>
      <c r="J73" s="37"/>
      <c r="K73" s="37">
        <f>12941527+393845</f>
        <v>13335372</v>
      </c>
      <c r="L73" s="161"/>
      <c r="M73" s="160">
        <f>H73-K73</f>
        <v>-450000</v>
      </c>
      <c r="N73" s="37"/>
      <c r="O73" s="140">
        <f>M73/K73</f>
        <v>-3.3744840413900717E-2</v>
      </c>
      <c r="P73" s="43">
        <v>44572</v>
      </c>
      <c r="Q73" s="9" t="s">
        <v>284</v>
      </c>
      <c r="R73" s="42"/>
      <c r="S73" s="37">
        <v>12885372</v>
      </c>
      <c r="T73" s="39">
        <f>H73-S73</f>
        <v>0</v>
      </c>
      <c r="U73" s="5"/>
      <c r="V73" s="147">
        <f>T73/H73</f>
        <v>0</v>
      </c>
      <c r="W73" s="142">
        <v>44593</v>
      </c>
      <c r="X73" s="5" t="s">
        <v>284</v>
      </c>
      <c r="Y73" s="42"/>
      <c r="Z73" s="5"/>
      <c r="AA73" s="38">
        <v>12885372</v>
      </c>
      <c r="AB73" s="38">
        <f t="shared" si="5"/>
        <v>0</v>
      </c>
      <c r="AC73" s="5"/>
      <c r="AD73" s="40">
        <v>0</v>
      </c>
      <c r="AE73" s="51">
        <v>44621</v>
      </c>
      <c r="AF73" s="5" t="s">
        <v>284</v>
      </c>
      <c r="AG73" s="42"/>
      <c r="AH73" s="5"/>
      <c r="AI73" s="37">
        <v>12885372</v>
      </c>
      <c r="AJ73" s="37">
        <f t="shared" si="6"/>
        <v>0</v>
      </c>
      <c r="AK73" s="37"/>
      <c r="AL73" s="37"/>
      <c r="AM73" s="140">
        <v>0</v>
      </c>
      <c r="AN73" s="43">
        <v>44655</v>
      </c>
      <c r="AO73" s="5" t="s">
        <v>284</v>
      </c>
      <c r="AP73" s="5"/>
      <c r="AQ73" s="40"/>
      <c r="AR73" s="37">
        <v>12885372</v>
      </c>
      <c r="AS73" s="37">
        <f t="shared" si="7"/>
        <v>0</v>
      </c>
      <c r="AT73" s="37"/>
      <c r="AU73" s="37"/>
      <c r="AV73" s="140">
        <v>0</v>
      </c>
      <c r="AW73" s="43">
        <v>44683</v>
      </c>
      <c r="AX73" s="5" t="s">
        <v>284</v>
      </c>
      <c r="AY73" s="5"/>
      <c r="AZ73" s="140"/>
      <c r="BA73" s="37">
        <v>12885372</v>
      </c>
      <c r="BB73" s="37">
        <f t="shared" si="8"/>
        <v>0</v>
      </c>
      <c r="BC73" s="37"/>
      <c r="BD73" s="37"/>
      <c r="BE73" s="140">
        <v>0</v>
      </c>
      <c r="BF73" s="43">
        <v>44715</v>
      </c>
      <c r="BG73" s="5" t="s">
        <v>284</v>
      </c>
      <c r="BH73" s="43">
        <v>44728</v>
      </c>
      <c r="BI73" s="140"/>
      <c r="BJ73" s="37">
        <v>12885372</v>
      </c>
      <c r="BK73" s="37">
        <f t="shared" si="9"/>
        <v>0</v>
      </c>
      <c r="BL73" s="37"/>
      <c r="BM73" s="37"/>
      <c r="BN73" s="140">
        <v>0</v>
      </c>
      <c r="BO73" s="43">
        <v>44747</v>
      </c>
      <c r="BP73" s="5" t="s">
        <v>284</v>
      </c>
      <c r="BQ73" s="43">
        <v>44757</v>
      </c>
      <c r="BR73" s="140"/>
      <c r="BS73" s="37">
        <v>12885372</v>
      </c>
      <c r="BT73" s="37">
        <f>BJ73-BS73</f>
        <v>0</v>
      </c>
      <c r="BU73" s="37"/>
      <c r="BV73" s="37"/>
      <c r="BW73" s="140">
        <v>0</v>
      </c>
      <c r="BX73" s="43">
        <v>44774</v>
      </c>
      <c r="BY73" s="5" t="s">
        <v>284</v>
      </c>
      <c r="BZ73" s="5"/>
      <c r="CA73" s="140"/>
      <c r="CB73" s="37"/>
      <c r="CC73" s="37"/>
      <c r="CD73" s="37"/>
      <c r="CE73" s="37"/>
      <c r="CF73" s="140"/>
      <c r="CG73" s="43"/>
      <c r="CH73" s="5"/>
      <c r="CI73" s="5"/>
      <c r="CJ73" s="140"/>
      <c r="CK73" s="37"/>
      <c r="CL73" s="37"/>
      <c r="CM73" s="37"/>
      <c r="CN73" s="37"/>
      <c r="CO73" s="140"/>
      <c r="CP73" s="43"/>
      <c r="CQ73" s="5"/>
      <c r="CR73" s="5"/>
      <c r="CS73" s="140"/>
      <c r="CT73" s="37"/>
      <c r="CU73" s="37"/>
      <c r="CV73" s="37"/>
      <c r="CW73" s="37"/>
      <c r="CX73" s="140"/>
      <c r="CY73" s="43"/>
      <c r="CZ73" s="5"/>
      <c r="DA73" s="143"/>
      <c r="DB73" s="140"/>
      <c r="DC73" s="37"/>
      <c r="DD73" s="37"/>
      <c r="DE73" s="37"/>
      <c r="DF73" s="37"/>
      <c r="DG73" s="140"/>
      <c r="DH73" s="43"/>
      <c r="DI73" s="5"/>
      <c r="DJ73" s="5"/>
    </row>
    <row r="74" spans="1:114" x14ac:dyDescent="0.35">
      <c r="A74" s="9">
        <v>206286</v>
      </c>
      <c r="B74" s="9" t="s">
        <v>843</v>
      </c>
      <c r="C74" s="34" t="s">
        <v>458</v>
      </c>
      <c r="D74" s="5" t="s">
        <v>842</v>
      </c>
      <c r="E74" s="5" t="s">
        <v>625</v>
      </c>
      <c r="F74" s="6">
        <v>9458</v>
      </c>
      <c r="G74" s="145" t="s">
        <v>31</v>
      </c>
      <c r="H74" s="37">
        <v>12408334</v>
      </c>
      <c r="I74" s="37">
        <v>12198323</v>
      </c>
      <c r="J74" s="37"/>
      <c r="K74" s="37">
        <f>11529371+668557</f>
        <v>12197928</v>
      </c>
      <c r="L74" s="37">
        <f>I74-K74</f>
        <v>395</v>
      </c>
      <c r="M74" s="37"/>
      <c r="N74" s="37"/>
      <c r="O74" s="140">
        <f>L74/H74</f>
        <v>3.183344355495266E-5</v>
      </c>
      <c r="P74" s="43">
        <v>44578</v>
      </c>
      <c r="Q74" s="9" t="s">
        <v>284</v>
      </c>
      <c r="R74" s="42"/>
      <c r="S74" s="37">
        <f>11529766+668557</f>
        <v>12198323</v>
      </c>
      <c r="T74" s="39">
        <f>I74-S74</f>
        <v>0</v>
      </c>
      <c r="U74" s="5"/>
      <c r="V74" s="140">
        <v>0</v>
      </c>
      <c r="W74" s="43">
        <v>44613</v>
      </c>
      <c r="X74" s="5" t="s">
        <v>284</v>
      </c>
      <c r="Y74" s="42"/>
      <c r="Z74" s="40"/>
      <c r="AA74" s="38">
        <f>11529766+1464696</f>
        <v>12994462</v>
      </c>
      <c r="AB74" s="38">
        <f>H74-AA74</f>
        <v>-586128</v>
      </c>
      <c r="AC74" s="38"/>
      <c r="AD74" s="40">
        <v>0</v>
      </c>
      <c r="AE74" s="51">
        <v>44649</v>
      </c>
      <c r="AF74" s="5" t="s">
        <v>284</v>
      </c>
      <c r="AG74" s="5"/>
      <c r="AH74" s="140"/>
      <c r="AI74" s="37">
        <v>11529766</v>
      </c>
      <c r="AJ74" s="37">
        <f>S74-AI74</f>
        <v>668557</v>
      </c>
      <c r="AK74" s="37"/>
      <c r="AL74" s="37"/>
      <c r="AM74" s="140">
        <v>0</v>
      </c>
      <c r="AN74" s="142">
        <v>44658</v>
      </c>
      <c r="AO74" s="5" t="s">
        <v>284</v>
      </c>
      <c r="AP74" s="5"/>
      <c r="AQ74" s="40"/>
      <c r="AR74" s="37">
        <v>11529766</v>
      </c>
      <c r="AS74" s="37">
        <f t="shared" si="7"/>
        <v>0</v>
      </c>
      <c r="AT74" s="37"/>
      <c r="AU74" s="37"/>
      <c r="AV74" s="140">
        <v>0</v>
      </c>
      <c r="AW74" s="43">
        <v>44684</v>
      </c>
      <c r="AX74" s="5" t="s">
        <v>284</v>
      </c>
      <c r="AY74" s="5"/>
      <c r="AZ74" s="140"/>
      <c r="BA74" s="37">
        <v>12408334</v>
      </c>
      <c r="BB74" s="37"/>
      <c r="BC74" s="37">
        <f>AR74-BA74</f>
        <v>-878568</v>
      </c>
      <c r="BD74" s="37"/>
      <c r="BE74" s="140">
        <f>BC74/AR74</f>
        <v>-7.6199985324940683E-2</v>
      </c>
      <c r="BF74" s="43">
        <v>44719</v>
      </c>
      <c r="BG74" s="5" t="s">
        <v>284</v>
      </c>
      <c r="BH74" s="43">
        <v>44734</v>
      </c>
      <c r="BI74" s="140"/>
      <c r="BJ74" s="37">
        <v>12408334</v>
      </c>
      <c r="BK74" s="37">
        <f t="shared" si="9"/>
        <v>0</v>
      </c>
      <c r="BL74" s="37"/>
      <c r="BM74" s="37"/>
      <c r="BN74" s="140">
        <v>0</v>
      </c>
      <c r="BO74" s="43">
        <v>44743</v>
      </c>
      <c r="BP74" s="5" t="s">
        <v>284</v>
      </c>
      <c r="BQ74" s="43">
        <v>44757</v>
      </c>
      <c r="BR74" s="140"/>
      <c r="BS74" s="37">
        <v>12408334</v>
      </c>
      <c r="BT74" s="37">
        <f>BJ74-BS74</f>
        <v>0</v>
      </c>
      <c r="BU74" s="37"/>
      <c r="BV74" s="37"/>
      <c r="BW74" s="140">
        <v>0</v>
      </c>
      <c r="BX74" s="43">
        <v>44790</v>
      </c>
      <c r="BY74" s="5" t="s">
        <v>284</v>
      </c>
      <c r="BZ74" s="5"/>
      <c r="CA74" s="140"/>
      <c r="CB74" s="37"/>
      <c r="CC74" s="37"/>
      <c r="CD74" s="37"/>
      <c r="CE74" s="37"/>
      <c r="CF74" s="140"/>
      <c r="CG74" s="43"/>
      <c r="CH74" s="5"/>
      <c r="CI74" s="5"/>
      <c r="CJ74" s="140"/>
      <c r="CK74" s="37"/>
      <c r="CL74" s="37"/>
      <c r="CM74" s="37"/>
      <c r="CN74" s="37"/>
      <c r="CO74" s="140"/>
      <c r="CP74" s="43"/>
      <c r="CQ74" s="5"/>
      <c r="CR74" s="5"/>
      <c r="CS74" s="140"/>
      <c r="CT74" s="37"/>
      <c r="CU74" s="37"/>
      <c r="CV74" s="37"/>
      <c r="CW74" s="37"/>
      <c r="CX74" s="140"/>
      <c r="CY74" s="43"/>
      <c r="CZ74" s="5"/>
      <c r="DA74" s="143"/>
      <c r="DB74" s="140"/>
      <c r="DC74" s="37"/>
      <c r="DD74" s="37"/>
      <c r="DE74" s="37"/>
      <c r="DF74" s="37"/>
      <c r="DG74" s="140"/>
      <c r="DH74" s="43"/>
      <c r="DI74" s="5"/>
      <c r="DJ74" s="5"/>
    </row>
    <row r="75" spans="1:114" x14ac:dyDescent="0.35">
      <c r="A75" s="9">
        <v>246683</v>
      </c>
      <c r="B75" s="9" t="s">
        <v>60</v>
      </c>
      <c r="C75" s="34" t="s">
        <v>462</v>
      </c>
      <c r="D75" s="5" t="s">
        <v>844</v>
      </c>
      <c r="E75" s="5" t="s">
        <v>625</v>
      </c>
      <c r="F75" s="6">
        <v>9216</v>
      </c>
      <c r="G75" s="145">
        <v>8303534506</v>
      </c>
      <c r="H75" s="37">
        <v>31368471</v>
      </c>
      <c r="I75" s="37">
        <v>29170400</v>
      </c>
      <c r="J75" s="37"/>
      <c r="K75" s="37">
        <v>31368471</v>
      </c>
      <c r="L75" s="37">
        <f>I75-K75</f>
        <v>-2198071</v>
      </c>
      <c r="M75" s="37"/>
      <c r="N75" s="37"/>
      <c r="O75" s="163">
        <f>L75/H75</f>
        <v>-7.0072621646110833E-2</v>
      </c>
      <c r="P75" s="43">
        <v>44573</v>
      </c>
      <c r="Q75" s="43" t="s">
        <v>284</v>
      </c>
      <c r="R75" s="42"/>
      <c r="S75" s="37">
        <v>31368471</v>
      </c>
      <c r="T75" s="39">
        <f>K75-S75</f>
        <v>0</v>
      </c>
      <c r="U75" s="5"/>
      <c r="V75" s="140">
        <v>0</v>
      </c>
      <c r="W75" s="179">
        <v>44608</v>
      </c>
      <c r="X75" s="5" t="s">
        <v>284</v>
      </c>
      <c r="Y75" s="42"/>
      <c r="Z75" s="5"/>
      <c r="AA75" s="38">
        <v>31368471</v>
      </c>
      <c r="AB75" s="38">
        <f>S75-AA75</f>
        <v>0</v>
      </c>
      <c r="AC75" s="5"/>
      <c r="AD75" s="40">
        <v>0</v>
      </c>
      <c r="AE75" s="51">
        <v>44622</v>
      </c>
      <c r="AF75" s="5" t="s">
        <v>284</v>
      </c>
      <c r="AG75" s="42"/>
      <c r="AH75" s="5"/>
      <c r="AI75" s="37">
        <v>31368471</v>
      </c>
      <c r="AJ75" s="37">
        <f>AA75-AI75</f>
        <v>0</v>
      </c>
      <c r="AK75" s="37"/>
      <c r="AL75" s="37"/>
      <c r="AM75" s="140">
        <v>0</v>
      </c>
      <c r="AN75" s="43">
        <v>44657</v>
      </c>
      <c r="AO75" s="5" t="s">
        <v>284</v>
      </c>
      <c r="AP75" s="5"/>
      <c r="AQ75" s="40"/>
      <c r="AR75" s="37">
        <v>31368471</v>
      </c>
      <c r="AS75" s="37">
        <f t="shared" si="7"/>
        <v>0</v>
      </c>
      <c r="AT75" s="37"/>
      <c r="AU75" s="37"/>
      <c r="AV75" s="140">
        <v>0</v>
      </c>
      <c r="AW75" s="43">
        <v>44686</v>
      </c>
      <c r="AX75" s="5" t="s">
        <v>284</v>
      </c>
      <c r="AY75" s="5"/>
      <c r="AZ75" s="140"/>
      <c r="BA75" s="37">
        <v>31368471</v>
      </c>
      <c r="BB75" s="37">
        <f>AR75-BA75</f>
        <v>0</v>
      </c>
      <c r="BC75" s="37"/>
      <c r="BD75" s="37"/>
      <c r="BE75" s="140">
        <v>0</v>
      </c>
      <c r="BF75" s="43">
        <v>44715</v>
      </c>
      <c r="BG75" s="5" t="s">
        <v>284</v>
      </c>
      <c r="BH75" s="43">
        <v>44728</v>
      </c>
      <c r="BI75" s="140"/>
      <c r="BJ75" s="37">
        <v>31368471</v>
      </c>
      <c r="BK75" s="37">
        <f t="shared" si="9"/>
        <v>0</v>
      </c>
      <c r="BL75" s="37"/>
      <c r="BM75" s="37"/>
      <c r="BN75" s="140">
        <v>0</v>
      </c>
      <c r="BO75" s="43">
        <v>44748</v>
      </c>
      <c r="BP75" s="5" t="s">
        <v>284</v>
      </c>
      <c r="BQ75" s="43">
        <v>44757</v>
      </c>
      <c r="BR75" s="140"/>
      <c r="BS75" s="37">
        <v>31368471</v>
      </c>
      <c r="BT75" s="37">
        <f>BJ75-BS75</f>
        <v>0</v>
      </c>
      <c r="BU75" s="37"/>
      <c r="BV75" s="37"/>
      <c r="BW75" s="140">
        <v>0</v>
      </c>
      <c r="BX75" s="43">
        <v>44777</v>
      </c>
      <c r="BY75" s="5" t="s">
        <v>284</v>
      </c>
      <c r="BZ75" s="5"/>
      <c r="CA75" s="140"/>
      <c r="CB75" s="37"/>
      <c r="CC75" s="37"/>
      <c r="CD75" s="37"/>
      <c r="CE75" s="37"/>
      <c r="CF75" s="140"/>
      <c r="CG75" s="43"/>
      <c r="CH75" s="5"/>
      <c r="CI75" s="5"/>
      <c r="CJ75" s="140"/>
      <c r="CK75" s="37"/>
      <c r="CL75" s="37"/>
      <c r="CM75" s="37"/>
      <c r="CN75" s="37"/>
      <c r="CO75" s="140"/>
      <c r="CP75" s="43"/>
      <c r="CQ75" s="5"/>
      <c r="CR75" s="5"/>
      <c r="CS75" s="140"/>
      <c r="CT75" s="37"/>
      <c r="CU75" s="37"/>
      <c r="CV75" s="37"/>
      <c r="CW75" s="37"/>
      <c r="CX75" s="140"/>
      <c r="CY75" s="43"/>
      <c r="CZ75" s="5"/>
      <c r="DA75" s="143"/>
      <c r="DB75" s="140"/>
      <c r="DC75" s="37"/>
      <c r="DD75" s="37"/>
      <c r="DE75" s="37"/>
      <c r="DF75" s="37"/>
      <c r="DG75" s="140"/>
      <c r="DH75" s="43"/>
      <c r="DI75" s="5"/>
      <c r="DJ75" s="5"/>
    </row>
    <row r="76" spans="1:114" x14ac:dyDescent="0.35">
      <c r="A76" s="9">
        <v>204547</v>
      </c>
      <c r="B76" s="9" t="s">
        <v>15</v>
      </c>
      <c r="C76" s="34" t="s">
        <v>465</v>
      </c>
      <c r="D76" s="5" t="s">
        <v>845</v>
      </c>
      <c r="E76" s="5" t="s">
        <v>715</v>
      </c>
      <c r="F76" s="6">
        <v>9575</v>
      </c>
      <c r="G76" s="145" t="s">
        <v>722</v>
      </c>
      <c r="H76" s="37">
        <v>12814920</v>
      </c>
      <c r="I76" s="37">
        <v>14468000</v>
      </c>
      <c r="J76" s="37"/>
      <c r="K76" s="37">
        <v>12814920</v>
      </c>
      <c r="L76" s="37">
        <f>H76-K76</f>
        <v>0</v>
      </c>
      <c r="M76" s="37"/>
      <c r="N76" s="37"/>
      <c r="O76" s="140">
        <f>L76/H76</f>
        <v>0</v>
      </c>
      <c r="P76" s="142">
        <v>44564</v>
      </c>
      <c r="Q76" s="9" t="s">
        <v>284</v>
      </c>
      <c r="R76" s="42"/>
      <c r="S76" s="37">
        <v>12814920</v>
      </c>
      <c r="T76" s="39">
        <f>K76-S76</f>
        <v>0</v>
      </c>
      <c r="U76" s="5"/>
      <c r="V76" s="140">
        <v>0</v>
      </c>
      <c r="W76" s="142">
        <v>44593</v>
      </c>
      <c r="X76" s="5" t="s">
        <v>284</v>
      </c>
      <c r="Y76" s="42"/>
      <c r="Z76" s="5"/>
      <c r="AA76" s="38">
        <v>12814920</v>
      </c>
      <c r="AB76" s="38">
        <f>S76-AA76</f>
        <v>0</v>
      </c>
      <c r="AC76" s="5"/>
      <c r="AD76" s="40">
        <v>0</v>
      </c>
      <c r="AE76" s="51">
        <v>44621</v>
      </c>
      <c r="AF76" s="5" t="s">
        <v>284</v>
      </c>
      <c r="AG76" s="42"/>
      <c r="AH76" s="5"/>
      <c r="AI76" s="37">
        <v>12814920</v>
      </c>
      <c r="AJ76" s="37">
        <f>AA76-AI76</f>
        <v>0</v>
      </c>
      <c r="AK76" s="37"/>
      <c r="AL76" s="37"/>
      <c r="AM76" s="140">
        <v>0</v>
      </c>
      <c r="AN76" s="43">
        <v>44655</v>
      </c>
      <c r="AO76" s="5" t="s">
        <v>284</v>
      </c>
      <c r="AP76" s="5"/>
      <c r="AQ76" s="40"/>
      <c r="AR76" s="37">
        <v>12814920</v>
      </c>
      <c r="AS76" s="37">
        <f t="shared" si="7"/>
        <v>0</v>
      </c>
      <c r="AT76" s="37"/>
      <c r="AU76" s="37"/>
      <c r="AV76" s="140">
        <v>0</v>
      </c>
      <c r="AW76" s="43">
        <v>44683</v>
      </c>
      <c r="AX76" s="5" t="s">
        <v>284</v>
      </c>
      <c r="AY76" s="5"/>
      <c r="AZ76" s="140"/>
      <c r="BA76" s="37">
        <v>12814920</v>
      </c>
      <c r="BB76" s="37">
        <f>AR76-BA76</f>
        <v>0</v>
      </c>
      <c r="BC76" s="37"/>
      <c r="BD76" s="37"/>
      <c r="BE76" s="140">
        <v>0</v>
      </c>
      <c r="BF76" s="43">
        <v>44713</v>
      </c>
      <c r="BG76" s="5" t="s">
        <v>284</v>
      </c>
      <c r="BH76" s="43">
        <v>44728</v>
      </c>
      <c r="BI76" s="140"/>
      <c r="BJ76" s="37">
        <v>12814920</v>
      </c>
      <c r="BK76" s="37">
        <f t="shared" si="9"/>
        <v>0</v>
      </c>
      <c r="BL76" s="37"/>
      <c r="BM76" s="37"/>
      <c r="BN76" s="140">
        <v>0</v>
      </c>
      <c r="BO76" s="43">
        <v>44743</v>
      </c>
      <c r="BP76" s="5" t="s">
        <v>284</v>
      </c>
      <c r="BQ76" s="43">
        <v>44757</v>
      </c>
      <c r="BR76" s="140"/>
      <c r="BS76" s="37">
        <v>12814920</v>
      </c>
      <c r="BT76" s="37">
        <f>BJ76-BS76</f>
        <v>0</v>
      </c>
      <c r="BU76" s="37"/>
      <c r="BV76" s="37"/>
      <c r="BW76" s="140">
        <v>0</v>
      </c>
      <c r="BX76" s="43">
        <v>44774</v>
      </c>
      <c r="BY76" s="5" t="s">
        <v>284</v>
      </c>
      <c r="BZ76" s="5"/>
      <c r="CA76" s="140"/>
      <c r="CB76" s="37"/>
      <c r="CC76" s="37"/>
      <c r="CD76" s="37"/>
      <c r="CE76" s="37"/>
      <c r="CF76" s="140"/>
      <c r="CG76" s="43"/>
      <c r="CH76" s="5"/>
      <c r="CI76" s="5"/>
      <c r="CJ76" s="140"/>
      <c r="CK76" s="37"/>
      <c r="CL76" s="37"/>
      <c r="CM76" s="37"/>
      <c r="CN76" s="37"/>
      <c r="CO76" s="140"/>
      <c r="CP76" s="43"/>
      <c r="CQ76" s="5"/>
      <c r="CR76" s="5"/>
      <c r="CS76" s="140"/>
      <c r="CT76" s="37"/>
      <c r="CU76" s="37"/>
      <c r="CV76" s="37"/>
      <c r="CW76" s="37"/>
      <c r="CX76" s="140"/>
      <c r="CY76" s="43"/>
      <c r="CZ76" s="5"/>
      <c r="DA76" s="143"/>
      <c r="DB76" s="140"/>
      <c r="DC76" s="37"/>
      <c r="DD76" s="37"/>
      <c r="DE76" s="37"/>
      <c r="DF76" s="37"/>
      <c r="DG76" s="140"/>
      <c r="DH76" s="43"/>
      <c r="DI76" s="5"/>
      <c r="DJ76" s="5"/>
    </row>
    <row r="77" spans="1:114" x14ac:dyDescent="0.35">
      <c r="A77" s="9">
        <v>228274</v>
      </c>
      <c r="B77" s="9" t="s">
        <v>911</v>
      </c>
      <c r="C77" s="34" t="s">
        <v>468</v>
      </c>
      <c r="D77" s="5" t="s">
        <v>846</v>
      </c>
      <c r="E77" s="5" t="s">
        <v>847</v>
      </c>
      <c r="F77" s="6" t="s">
        <v>873</v>
      </c>
      <c r="G77" s="145" t="s">
        <v>849</v>
      </c>
      <c r="H77" s="149" t="s">
        <v>873</v>
      </c>
      <c r="I77" s="37"/>
      <c r="J77" s="606" t="s">
        <v>875</v>
      </c>
      <c r="K77" s="607"/>
      <c r="L77" s="607"/>
      <c r="M77" s="607"/>
      <c r="N77" s="607"/>
      <c r="O77" s="607"/>
      <c r="P77" s="607"/>
      <c r="Q77" s="607"/>
      <c r="R77" s="608"/>
      <c r="S77" s="597" t="s">
        <v>875</v>
      </c>
      <c r="T77" s="598"/>
      <c r="U77" s="598"/>
      <c r="V77" s="598"/>
      <c r="W77" s="598"/>
      <c r="X77" s="598"/>
      <c r="Y77" s="599"/>
      <c r="Z77" s="597" t="s">
        <v>875</v>
      </c>
      <c r="AA77" s="598"/>
      <c r="AB77" s="598"/>
      <c r="AC77" s="598"/>
      <c r="AD77" s="598"/>
      <c r="AE77" s="598"/>
      <c r="AF77" s="598"/>
      <c r="AG77" s="599"/>
      <c r="AH77" s="597" t="s">
        <v>875</v>
      </c>
      <c r="AI77" s="598"/>
      <c r="AJ77" s="598"/>
      <c r="AK77" s="598"/>
      <c r="AL77" s="598"/>
      <c r="AM77" s="598"/>
      <c r="AN77" s="598"/>
      <c r="AO77" s="598"/>
      <c r="AP77" s="599"/>
      <c r="AQ77" s="591" t="s">
        <v>893</v>
      </c>
      <c r="AR77" s="592"/>
      <c r="AS77" s="592"/>
      <c r="AT77" s="592"/>
      <c r="AU77" s="592"/>
      <c r="AV77" s="592"/>
      <c r="AW77" s="592"/>
      <c r="AX77" s="592"/>
      <c r="AY77" s="593"/>
      <c r="AZ77" s="591" t="s">
        <v>874</v>
      </c>
      <c r="BA77" s="592"/>
      <c r="BB77" s="592"/>
      <c r="BC77" s="592"/>
      <c r="BD77" s="592"/>
      <c r="BE77" s="592"/>
      <c r="BF77" s="592"/>
      <c r="BG77" s="592"/>
      <c r="BH77" s="593"/>
      <c r="BI77" s="591" t="s">
        <v>874</v>
      </c>
      <c r="BJ77" s="592"/>
      <c r="BK77" s="592"/>
      <c r="BL77" s="592"/>
      <c r="BM77" s="592"/>
      <c r="BN77" s="592"/>
      <c r="BO77" s="592"/>
      <c r="BP77" s="592"/>
      <c r="BQ77" s="593"/>
      <c r="BR77" s="140"/>
      <c r="BS77" s="37"/>
      <c r="BT77" s="37"/>
      <c r="BU77" s="37"/>
      <c r="BV77" s="37"/>
      <c r="BW77" s="140"/>
      <c r="BX77" s="43"/>
      <c r="BY77" s="5"/>
      <c r="BZ77" s="5"/>
      <c r="CA77" s="140"/>
      <c r="CB77" s="37"/>
      <c r="CC77" s="37"/>
      <c r="CD77" s="37"/>
      <c r="CE77" s="37"/>
      <c r="CF77" s="140"/>
      <c r="CG77" s="43"/>
      <c r="CH77" s="5"/>
      <c r="CI77" s="5"/>
      <c r="CJ77" s="591"/>
      <c r="CK77" s="592"/>
      <c r="CL77" s="592"/>
      <c r="CM77" s="592"/>
      <c r="CN77" s="592"/>
      <c r="CO77" s="592"/>
      <c r="CP77" s="592"/>
      <c r="CQ77" s="592"/>
      <c r="CR77" s="593"/>
      <c r="CS77" s="591"/>
      <c r="CT77" s="592"/>
      <c r="CU77" s="592"/>
      <c r="CV77" s="592"/>
      <c r="CW77" s="592"/>
      <c r="CX77" s="592"/>
      <c r="CY77" s="592"/>
      <c r="CZ77" s="592"/>
      <c r="DA77" s="593"/>
      <c r="DB77" s="140"/>
      <c r="DC77" s="37"/>
      <c r="DD77" s="37"/>
      <c r="DE77" s="37"/>
      <c r="DF77" s="37"/>
      <c r="DG77" s="140"/>
      <c r="DH77" s="43"/>
      <c r="DI77" s="5"/>
      <c r="DJ77" s="5"/>
    </row>
    <row r="78" spans="1:114" x14ac:dyDescent="0.35">
      <c r="A78" s="9">
        <v>228274</v>
      </c>
      <c r="B78" s="9" t="s">
        <v>848</v>
      </c>
      <c r="C78" s="34" t="s">
        <v>468</v>
      </c>
      <c r="D78" s="5" t="s">
        <v>846</v>
      </c>
      <c r="E78" s="5" t="s">
        <v>847</v>
      </c>
      <c r="F78" s="6">
        <v>9636</v>
      </c>
      <c r="G78" s="145" t="s">
        <v>849</v>
      </c>
      <c r="H78" s="37">
        <v>17255309</v>
      </c>
      <c r="I78" s="37">
        <v>17191513</v>
      </c>
      <c r="J78" s="37"/>
      <c r="K78" s="37">
        <v>17255309</v>
      </c>
      <c r="L78" s="37"/>
      <c r="M78" s="37">
        <f>I78-K78</f>
        <v>-63796</v>
      </c>
      <c r="N78" s="37"/>
      <c r="O78" s="140">
        <f>M78/I78</f>
        <v>-3.7109008381054072E-3</v>
      </c>
      <c r="P78" s="142">
        <v>44568</v>
      </c>
      <c r="Q78" s="5" t="s">
        <v>284</v>
      </c>
      <c r="R78" s="42"/>
      <c r="S78" s="37">
        <v>17255309</v>
      </c>
      <c r="T78" s="39">
        <f>K78-S78</f>
        <v>0</v>
      </c>
      <c r="U78" s="5"/>
      <c r="V78" s="140">
        <v>0</v>
      </c>
      <c r="W78" s="142">
        <v>44600</v>
      </c>
      <c r="X78" s="5" t="s">
        <v>284</v>
      </c>
      <c r="Y78" s="42"/>
      <c r="Z78" s="5"/>
      <c r="AA78" s="38">
        <v>17255309</v>
      </c>
      <c r="AB78" s="38">
        <f>S78-AA78</f>
        <v>0</v>
      </c>
      <c r="AC78" s="5"/>
      <c r="AD78" s="40">
        <v>0</v>
      </c>
      <c r="AE78" s="43">
        <v>44624</v>
      </c>
      <c r="AF78" s="5" t="s">
        <v>284</v>
      </c>
      <c r="AG78" s="42"/>
      <c r="AH78" s="5"/>
      <c r="AI78" s="57">
        <v>17255309</v>
      </c>
      <c r="AJ78" s="39">
        <f>AA78-AI78</f>
        <v>0</v>
      </c>
      <c r="AK78" s="5"/>
      <c r="AL78" s="5"/>
      <c r="AM78" s="67">
        <v>0</v>
      </c>
      <c r="AN78" s="43">
        <v>44657</v>
      </c>
      <c r="AO78" s="5" t="s">
        <v>284</v>
      </c>
      <c r="AP78" s="5"/>
      <c r="AQ78" s="5"/>
      <c r="AR78" s="57">
        <v>17255309</v>
      </c>
      <c r="AS78" s="39">
        <f>AI78-AR78</f>
        <v>0</v>
      </c>
      <c r="AT78" s="5"/>
      <c r="AU78" s="57"/>
      <c r="AV78" s="67">
        <v>0</v>
      </c>
      <c r="AW78" s="43">
        <v>44686</v>
      </c>
      <c r="AX78" s="5" t="s">
        <v>284</v>
      </c>
      <c r="AY78" s="5"/>
      <c r="AZ78" s="140"/>
      <c r="BA78" s="37">
        <v>17255309</v>
      </c>
      <c r="BB78" s="37">
        <f>AR78-BA78</f>
        <v>0</v>
      </c>
      <c r="BC78" s="37"/>
      <c r="BD78" s="37"/>
      <c r="BE78" s="140">
        <v>0</v>
      </c>
      <c r="BF78" s="43">
        <v>44719</v>
      </c>
      <c r="BG78" s="5" t="s">
        <v>284</v>
      </c>
      <c r="BH78" s="43">
        <v>44728</v>
      </c>
      <c r="BI78" s="5"/>
      <c r="BJ78" s="57">
        <v>17255309</v>
      </c>
      <c r="BK78" s="39">
        <f t="shared" ref="BK78:BK100" si="10">BA78-BJ78</f>
        <v>0</v>
      </c>
      <c r="BL78" s="5"/>
      <c r="BM78" s="5"/>
      <c r="BN78" s="67">
        <v>0</v>
      </c>
      <c r="BO78" s="43">
        <v>44750</v>
      </c>
      <c r="BP78" s="5" t="s">
        <v>284</v>
      </c>
      <c r="BQ78" s="43">
        <v>44768</v>
      </c>
      <c r="BR78" s="5"/>
      <c r="BS78" s="57">
        <v>17255309</v>
      </c>
      <c r="BT78" s="39">
        <f>BJ78-BS78</f>
        <v>0</v>
      </c>
      <c r="BU78" s="5"/>
      <c r="BV78" s="5"/>
      <c r="BW78" s="67">
        <v>0</v>
      </c>
      <c r="BX78" s="43">
        <v>44778</v>
      </c>
      <c r="BY78" s="5" t="s">
        <v>284</v>
      </c>
      <c r="BZ78" s="5"/>
      <c r="CA78" s="140"/>
      <c r="CB78" s="37"/>
      <c r="CC78" s="37"/>
      <c r="CD78" s="37"/>
      <c r="CE78" s="37"/>
      <c r="CF78" s="140"/>
      <c r="CG78" s="43"/>
      <c r="CH78" s="5"/>
      <c r="CI78" s="5"/>
      <c r="CJ78" s="140"/>
      <c r="CK78" s="37"/>
      <c r="CL78" s="37"/>
      <c r="CM78" s="37"/>
      <c r="CN78" s="37"/>
      <c r="CO78" s="140"/>
      <c r="CP78" s="43"/>
      <c r="CQ78" s="5"/>
      <c r="CR78" s="5"/>
      <c r="CS78" s="140"/>
      <c r="CT78" s="37"/>
      <c r="CU78" s="37"/>
      <c r="CV78" s="37"/>
      <c r="CW78" s="37"/>
      <c r="CX78" s="140"/>
      <c r="CY78" s="43"/>
      <c r="CZ78" s="5"/>
      <c r="DA78" s="143"/>
      <c r="DB78" s="140"/>
      <c r="DC78" s="37"/>
      <c r="DD78" s="37"/>
      <c r="DE78" s="37"/>
      <c r="DF78" s="37"/>
      <c r="DG78" s="140"/>
      <c r="DH78" s="43"/>
      <c r="DI78" s="5"/>
      <c r="DJ78" s="5"/>
    </row>
    <row r="79" spans="1:114" x14ac:dyDescent="0.35">
      <c r="A79" s="9">
        <v>214089</v>
      </c>
      <c r="B79" s="9" t="s">
        <v>332</v>
      </c>
      <c r="C79" s="34" t="s">
        <v>473</v>
      </c>
      <c r="D79" s="5" t="s">
        <v>850</v>
      </c>
      <c r="E79" s="5" t="s">
        <v>677</v>
      </c>
      <c r="F79" s="6" t="s">
        <v>201</v>
      </c>
      <c r="G79" s="145" t="s">
        <v>36</v>
      </c>
      <c r="H79" s="37">
        <v>17825586</v>
      </c>
      <c r="I79" s="37">
        <v>17825586</v>
      </c>
      <c r="J79" s="37"/>
      <c r="K79" s="37">
        <v>17825586</v>
      </c>
      <c r="L79" s="37">
        <f>I79-K79</f>
        <v>0</v>
      </c>
      <c r="M79" s="37"/>
      <c r="N79" s="37"/>
      <c r="O79" s="140">
        <v>0</v>
      </c>
      <c r="P79" s="142">
        <v>44564</v>
      </c>
      <c r="Q79" s="9" t="s">
        <v>284</v>
      </c>
      <c r="R79" s="42"/>
      <c r="S79" s="37">
        <v>17825586</v>
      </c>
      <c r="T79" s="39">
        <f>K79-S79</f>
        <v>0</v>
      </c>
      <c r="U79" s="37"/>
      <c r="V79" s="140">
        <v>0</v>
      </c>
      <c r="W79" s="43">
        <v>44594</v>
      </c>
      <c r="X79" s="5" t="s">
        <v>284</v>
      </c>
      <c r="Y79" s="42"/>
      <c r="Z79" s="5"/>
      <c r="AA79" s="38">
        <v>17231400</v>
      </c>
      <c r="AB79" s="38">
        <f>S79-AA79</f>
        <v>594186</v>
      </c>
      <c r="AC79" s="5"/>
      <c r="AD79" s="40">
        <f>AB79/S79</f>
        <v>3.3333322113505835E-2</v>
      </c>
      <c r="AE79" s="51">
        <v>44621</v>
      </c>
      <c r="AF79" s="5" t="s">
        <v>284</v>
      </c>
      <c r="AG79" s="42"/>
      <c r="AH79" s="5"/>
      <c r="AI79" s="37">
        <v>9492535</v>
      </c>
      <c r="AJ79" s="37">
        <f>AA79-AI79</f>
        <v>7738865</v>
      </c>
      <c r="AK79" s="37"/>
      <c r="AL79" s="37"/>
      <c r="AM79" s="140">
        <f>AJ79/AA79</f>
        <v>0.44911411725106493</v>
      </c>
      <c r="AN79" s="142">
        <v>44658</v>
      </c>
      <c r="AO79" s="5" t="s">
        <v>284</v>
      </c>
      <c r="AP79" s="5"/>
      <c r="AQ79" s="40"/>
      <c r="AR79" s="37">
        <v>20996900</v>
      </c>
      <c r="AS79" s="37"/>
      <c r="AT79" s="37">
        <f>AR79-AA79</f>
        <v>3765500</v>
      </c>
      <c r="AU79" s="37"/>
      <c r="AV79" s="140">
        <f>AT79/AA79</f>
        <v>0.21852548254929954</v>
      </c>
      <c r="AW79" s="43">
        <v>44694</v>
      </c>
      <c r="AX79" s="5" t="s">
        <v>284</v>
      </c>
      <c r="AY79" s="5"/>
      <c r="AZ79" s="140"/>
      <c r="BA79" s="37">
        <v>20996900</v>
      </c>
      <c r="BB79" s="37">
        <f>AR79-BA79</f>
        <v>0</v>
      </c>
      <c r="BC79" s="37"/>
      <c r="BD79" s="37"/>
      <c r="BE79" s="140">
        <v>0</v>
      </c>
      <c r="BF79" s="43">
        <v>44719</v>
      </c>
      <c r="BG79" s="5" t="s">
        <v>284</v>
      </c>
      <c r="BH79" s="43">
        <v>44728</v>
      </c>
      <c r="BI79" s="140"/>
      <c r="BJ79" s="37">
        <v>20996900</v>
      </c>
      <c r="BK79" s="37">
        <f t="shared" si="10"/>
        <v>0</v>
      </c>
      <c r="BL79" s="37"/>
      <c r="BM79" s="37"/>
      <c r="BN79" s="140">
        <v>0</v>
      </c>
      <c r="BO79" s="43">
        <v>44743</v>
      </c>
      <c r="BP79" s="5" t="s">
        <v>284</v>
      </c>
      <c r="BQ79" s="43">
        <v>44757</v>
      </c>
      <c r="BR79" s="140"/>
      <c r="BS79" s="37">
        <v>20996900</v>
      </c>
      <c r="BT79" s="37">
        <f>BJ79-BS79</f>
        <v>0</v>
      </c>
      <c r="BU79" s="37"/>
      <c r="BV79" s="37"/>
      <c r="BW79" s="140">
        <v>0</v>
      </c>
      <c r="BX79" s="43">
        <v>44775</v>
      </c>
      <c r="BY79" s="5" t="s">
        <v>284</v>
      </c>
      <c r="BZ79" s="5"/>
      <c r="CA79" s="140"/>
      <c r="CB79" s="37"/>
      <c r="CC79" s="37"/>
      <c r="CD79" s="37"/>
      <c r="CE79" s="37"/>
      <c r="CF79" s="140"/>
      <c r="CG79" s="43"/>
      <c r="CH79" s="5"/>
      <c r="CI79" s="5"/>
      <c r="CJ79" s="140"/>
      <c r="CK79" s="37"/>
      <c r="CL79" s="37"/>
      <c r="CM79" s="37"/>
      <c r="CN79" s="37"/>
      <c r="CO79" s="140"/>
      <c r="CP79" s="43"/>
      <c r="CQ79" s="5"/>
      <c r="CR79" s="5"/>
      <c r="CS79" s="140"/>
      <c r="CT79" s="37"/>
      <c r="CU79" s="37"/>
      <c r="CV79" s="37"/>
      <c r="CW79" s="37"/>
      <c r="CX79" s="140"/>
      <c r="CY79" s="43"/>
      <c r="CZ79" s="5"/>
      <c r="DA79" s="143"/>
      <c r="DB79" s="140"/>
      <c r="DC79" s="37"/>
      <c r="DD79" s="37"/>
      <c r="DE79" s="37"/>
      <c r="DF79" s="37"/>
      <c r="DG79" s="140"/>
      <c r="DH79" s="43"/>
      <c r="DI79" s="5"/>
      <c r="DJ79" s="5"/>
    </row>
    <row r="80" spans="1:114" x14ac:dyDescent="0.35">
      <c r="A80" s="9">
        <v>219814</v>
      </c>
      <c r="B80" s="9" t="s">
        <v>696</v>
      </c>
      <c r="C80" s="34" t="s">
        <v>693</v>
      </c>
      <c r="D80" s="5" t="s">
        <v>694</v>
      </c>
      <c r="E80" s="5" t="s">
        <v>695</v>
      </c>
      <c r="F80" s="6">
        <v>6574</v>
      </c>
      <c r="G80" s="145" t="s">
        <v>697</v>
      </c>
      <c r="H80" s="37">
        <v>8685835</v>
      </c>
      <c r="I80" s="37">
        <v>8070837</v>
      </c>
      <c r="J80" s="37"/>
      <c r="K80" s="37">
        <v>8070837</v>
      </c>
      <c r="L80" s="37">
        <f>I80-K80</f>
        <v>0</v>
      </c>
      <c r="M80" s="37"/>
      <c r="N80" s="37"/>
      <c r="O80" s="140">
        <v>0</v>
      </c>
      <c r="P80" s="43">
        <v>44566</v>
      </c>
      <c r="Q80" s="5" t="s">
        <v>284</v>
      </c>
      <c r="R80" s="42"/>
      <c r="S80" s="37">
        <v>8685835</v>
      </c>
      <c r="T80" s="39">
        <f>K80-S80</f>
        <v>-614998</v>
      </c>
      <c r="U80" s="5"/>
      <c r="V80" s="163">
        <f>T80/K80</f>
        <v>-7.6200027332976747E-2</v>
      </c>
      <c r="W80" s="142">
        <v>44589</v>
      </c>
      <c r="X80" s="5" t="s">
        <v>284</v>
      </c>
      <c r="Y80" s="42"/>
      <c r="Z80" s="5"/>
      <c r="AA80" s="38">
        <v>8685835</v>
      </c>
      <c r="AB80" s="38">
        <f>S80-AA80</f>
        <v>0</v>
      </c>
      <c r="AC80" s="5"/>
      <c r="AD80" s="40">
        <v>0</v>
      </c>
      <c r="AE80" s="43">
        <v>44620</v>
      </c>
      <c r="AF80" s="5" t="s">
        <v>284</v>
      </c>
      <c r="AG80" s="42"/>
      <c r="AH80" s="144"/>
      <c r="AI80" s="37">
        <v>8685835</v>
      </c>
      <c r="AJ80" s="37">
        <f>AA80-AI80</f>
        <v>0</v>
      </c>
      <c r="AK80" s="37"/>
      <c r="AL80" s="37"/>
      <c r="AM80" s="140">
        <v>0</v>
      </c>
      <c r="AN80" s="142">
        <v>44650</v>
      </c>
      <c r="AO80" s="5" t="s">
        <v>284</v>
      </c>
      <c r="AP80" s="5"/>
      <c r="AQ80" s="40"/>
      <c r="AR80" s="37">
        <v>8685835</v>
      </c>
      <c r="AS80" s="37">
        <f t="shared" ref="AS80:AS91" si="11">AI80-AR80</f>
        <v>0</v>
      </c>
      <c r="AT80" s="37"/>
      <c r="AU80" s="37"/>
      <c r="AV80" s="140">
        <v>0</v>
      </c>
      <c r="AW80" s="43">
        <v>44679</v>
      </c>
      <c r="AX80" s="5" t="s">
        <v>284</v>
      </c>
      <c r="AY80" s="5"/>
      <c r="AZ80" s="140"/>
      <c r="BA80" s="37">
        <v>8685835</v>
      </c>
      <c r="BB80" s="37">
        <f t="shared" ref="BB80:BB89" si="12">AR80-BA80</f>
        <v>0</v>
      </c>
      <c r="BC80" s="37"/>
      <c r="BD80" s="37"/>
      <c r="BE80" s="140">
        <v>0</v>
      </c>
      <c r="BF80" s="43">
        <v>44712</v>
      </c>
      <c r="BG80" s="5" t="s">
        <v>284</v>
      </c>
      <c r="BH80" s="43">
        <v>44722</v>
      </c>
      <c r="BI80" s="140"/>
      <c r="BJ80" s="37">
        <v>8685835</v>
      </c>
      <c r="BK80" s="37">
        <f t="shared" si="10"/>
        <v>0</v>
      </c>
      <c r="BL80" s="37"/>
      <c r="BM80" s="37"/>
      <c r="BN80" s="140">
        <v>0</v>
      </c>
      <c r="BO80" s="43">
        <v>44741</v>
      </c>
      <c r="BP80" s="5" t="s">
        <v>284</v>
      </c>
      <c r="BQ80" s="5"/>
      <c r="BR80" s="140"/>
      <c r="BS80" s="37">
        <v>8685835</v>
      </c>
      <c r="BT80" s="37">
        <f>BJ80-BS80</f>
        <v>0</v>
      </c>
      <c r="BU80" s="37"/>
      <c r="BV80" s="37"/>
      <c r="BW80" s="140">
        <v>0</v>
      </c>
      <c r="BX80" s="43">
        <v>44774</v>
      </c>
      <c r="BY80" s="5" t="s">
        <v>284</v>
      </c>
      <c r="BZ80" s="5"/>
      <c r="CA80" s="140"/>
      <c r="CB80" s="37"/>
      <c r="CC80" s="37"/>
      <c r="CD80" s="37"/>
      <c r="CE80" s="37"/>
      <c r="CF80" s="140"/>
      <c r="CG80" s="43"/>
      <c r="CH80" s="5"/>
      <c r="CI80" s="5"/>
      <c r="CJ80" s="140"/>
      <c r="CK80" s="37"/>
      <c r="CL80" s="37"/>
      <c r="CM80" s="37"/>
      <c r="CN80" s="37"/>
      <c r="CO80" s="140"/>
      <c r="CP80" s="43"/>
      <c r="CQ80" s="5"/>
      <c r="CR80" s="5"/>
      <c r="CS80" s="140"/>
      <c r="CT80" s="37"/>
      <c r="CU80" s="37"/>
      <c r="CV80" s="37"/>
      <c r="CW80" s="37"/>
      <c r="CX80" s="140"/>
      <c r="CY80" s="43"/>
      <c r="CZ80" s="5"/>
      <c r="DA80" s="143"/>
      <c r="DB80" s="140"/>
      <c r="DC80" s="37"/>
      <c r="DD80" s="37"/>
      <c r="DE80" s="37"/>
      <c r="DF80" s="37"/>
      <c r="DG80" s="140"/>
      <c r="DH80" s="43"/>
      <c r="DI80" s="5"/>
      <c r="DJ80" s="5"/>
    </row>
    <row r="81" spans="1:114" x14ac:dyDescent="0.35">
      <c r="A81" s="9">
        <v>204518</v>
      </c>
      <c r="B81" s="9" t="s">
        <v>10</v>
      </c>
      <c r="C81" s="34" t="s">
        <v>475</v>
      </c>
      <c r="D81" s="5" t="s">
        <v>698</v>
      </c>
      <c r="E81" s="5" t="s">
        <v>699</v>
      </c>
      <c r="F81" s="6">
        <v>6598</v>
      </c>
      <c r="G81" s="145" t="s">
        <v>700</v>
      </c>
      <c r="H81" s="37">
        <v>16607000</v>
      </c>
      <c r="I81" s="37">
        <v>16607000</v>
      </c>
      <c r="J81" s="37"/>
      <c r="K81" s="37">
        <v>16607000</v>
      </c>
      <c r="L81" s="37">
        <f>K81-H81</f>
        <v>0</v>
      </c>
      <c r="M81" s="37"/>
      <c r="N81" s="37"/>
      <c r="O81" s="140">
        <v>0</v>
      </c>
      <c r="P81" s="142">
        <v>44564</v>
      </c>
      <c r="Q81" s="9" t="s">
        <v>284</v>
      </c>
      <c r="R81" s="42"/>
      <c r="S81" s="37">
        <v>16607000</v>
      </c>
      <c r="T81" s="39">
        <f>K81-S81</f>
        <v>0</v>
      </c>
      <c r="U81" s="5"/>
      <c r="V81" s="140">
        <v>0</v>
      </c>
      <c r="W81" s="43">
        <v>44594</v>
      </c>
      <c r="X81" s="5" t="s">
        <v>284</v>
      </c>
      <c r="Y81" s="42"/>
      <c r="Z81" s="5"/>
      <c r="AA81" s="38">
        <v>16607000</v>
      </c>
      <c r="AB81" s="38">
        <f>S81-AA81</f>
        <v>0</v>
      </c>
      <c r="AC81" s="5"/>
      <c r="AD81" s="40">
        <v>0</v>
      </c>
      <c r="AE81" s="43">
        <v>44624</v>
      </c>
      <c r="AF81" s="5" t="s">
        <v>284</v>
      </c>
      <c r="AG81" s="42"/>
      <c r="AH81" s="5"/>
      <c r="AI81" s="37">
        <v>16607000</v>
      </c>
      <c r="AJ81" s="37">
        <f>AA81-AI81</f>
        <v>0</v>
      </c>
      <c r="AK81" s="37"/>
      <c r="AL81" s="37"/>
      <c r="AM81" s="140">
        <v>0</v>
      </c>
      <c r="AN81" s="43">
        <v>44655</v>
      </c>
      <c r="AO81" s="5" t="s">
        <v>284</v>
      </c>
      <c r="AP81" s="5"/>
      <c r="AQ81" s="40"/>
      <c r="AR81" s="37">
        <v>16607000</v>
      </c>
      <c r="AS81" s="37">
        <f t="shared" si="11"/>
        <v>0</v>
      </c>
      <c r="AT81" s="37"/>
      <c r="AU81" s="37"/>
      <c r="AV81" s="140">
        <v>0</v>
      </c>
      <c r="AW81" s="43">
        <v>44683</v>
      </c>
      <c r="AX81" s="5" t="s">
        <v>284</v>
      </c>
      <c r="AY81" s="5"/>
      <c r="AZ81" s="140"/>
      <c r="BA81" s="37">
        <v>16607000</v>
      </c>
      <c r="BB81" s="37">
        <f t="shared" si="12"/>
        <v>0</v>
      </c>
      <c r="BC81" s="37"/>
      <c r="BD81" s="37"/>
      <c r="BE81" s="140">
        <v>0</v>
      </c>
      <c r="BF81" s="43">
        <v>44713</v>
      </c>
      <c r="BG81" s="5" t="s">
        <v>284</v>
      </c>
      <c r="BH81" s="43">
        <v>44728</v>
      </c>
      <c r="BI81" s="140"/>
      <c r="BJ81" s="37">
        <v>16607000</v>
      </c>
      <c r="BK81" s="37">
        <f t="shared" si="10"/>
        <v>0</v>
      </c>
      <c r="BL81" s="37"/>
      <c r="BM81" s="37"/>
      <c r="BN81" s="140">
        <v>0</v>
      </c>
      <c r="BO81" s="43">
        <v>44743</v>
      </c>
      <c r="BP81" s="5" t="s">
        <v>284</v>
      </c>
      <c r="BQ81" s="43">
        <v>44757</v>
      </c>
      <c r="BR81" s="140"/>
      <c r="BS81" s="37">
        <v>18038500</v>
      </c>
      <c r="BT81" s="37"/>
      <c r="BU81" s="37">
        <f>BJ81-BS81</f>
        <v>-1431500</v>
      </c>
      <c r="BV81" s="37"/>
      <c r="BW81" s="140">
        <f>BU81/BJ81</f>
        <v>-8.6198590955621129E-2</v>
      </c>
      <c r="BX81" s="43">
        <v>44774</v>
      </c>
      <c r="BY81" s="5" t="s">
        <v>284</v>
      </c>
      <c r="BZ81" s="5"/>
      <c r="CA81" s="140"/>
      <c r="CB81" s="37"/>
      <c r="CC81" s="37"/>
      <c r="CD81" s="37"/>
      <c r="CE81" s="37"/>
      <c r="CF81" s="140"/>
      <c r="CG81" s="43"/>
      <c r="CH81" s="5"/>
      <c r="CI81" s="5"/>
      <c r="CJ81" s="140"/>
      <c r="CK81" s="37"/>
      <c r="CL81" s="37"/>
      <c r="CM81" s="37"/>
      <c r="CN81" s="37"/>
      <c r="CO81" s="140"/>
      <c r="CP81" s="43"/>
      <c r="CQ81" s="5"/>
      <c r="CR81" s="5"/>
      <c r="CS81" s="140"/>
      <c r="CT81" s="37"/>
      <c r="CU81" s="37"/>
      <c r="CV81" s="37"/>
      <c r="CW81" s="37"/>
      <c r="CX81" s="140"/>
      <c r="CY81" s="43"/>
      <c r="CZ81" s="5"/>
      <c r="DA81" s="143"/>
      <c r="DB81" s="140"/>
      <c r="DC81" s="37"/>
      <c r="DD81" s="37"/>
      <c r="DE81" s="37"/>
      <c r="DF81" s="37"/>
      <c r="DG81" s="140"/>
      <c r="DH81" s="43"/>
      <c r="DI81" s="5"/>
      <c r="DJ81" s="5"/>
    </row>
    <row r="82" spans="1:114" x14ac:dyDescent="0.35">
      <c r="A82" s="9">
        <v>204517</v>
      </c>
      <c r="B82" s="9" t="s">
        <v>702</v>
      </c>
      <c r="C82" s="34" t="s">
        <v>479</v>
      </c>
      <c r="D82" s="5" t="s">
        <v>701</v>
      </c>
      <c r="E82" s="5" t="s">
        <v>699</v>
      </c>
      <c r="F82" s="6">
        <v>6600</v>
      </c>
      <c r="G82" s="145" t="s">
        <v>703</v>
      </c>
      <c r="H82" s="37">
        <v>23524146</v>
      </c>
      <c r="I82" s="37">
        <v>22272435</v>
      </c>
      <c r="J82" s="37"/>
      <c r="K82" s="37">
        <v>22272435</v>
      </c>
      <c r="L82" s="37">
        <f>I82-K82</f>
        <v>0</v>
      </c>
      <c r="M82" s="37"/>
      <c r="N82" s="37"/>
      <c r="O82" s="140">
        <f>L82/K82</f>
        <v>0</v>
      </c>
      <c r="P82" s="142">
        <v>44560</v>
      </c>
      <c r="Q82" s="9" t="s">
        <v>284</v>
      </c>
      <c r="R82" s="42"/>
      <c r="S82" s="37">
        <v>22272435</v>
      </c>
      <c r="T82" s="39">
        <f>K82-S82</f>
        <v>0</v>
      </c>
      <c r="U82" s="5"/>
      <c r="V82" s="140">
        <f>T82/S82</f>
        <v>0</v>
      </c>
      <c r="W82" s="43">
        <v>44592</v>
      </c>
      <c r="X82" s="5" t="s">
        <v>284</v>
      </c>
      <c r="Y82" s="42"/>
      <c r="Z82" s="5"/>
      <c r="AA82" s="38">
        <v>22272435</v>
      </c>
      <c r="AB82" s="38">
        <f>S82-AA82</f>
        <v>0</v>
      </c>
      <c r="AC82" s="5"/>
      <c r="AD82" s="40">
        <f>AB82/AA82</f>
        <v>0</v>
      </c>
      <c r="AE82" s="51">
        <v>44622</v>
      </c>
      <c r="AF82" s="5" t="s">
        <v>284</v>
      </c>
      <c r="AG82" s="42"/>
      <c r="AH82" s="140"/>
      <c r="AI82" s="37">
        <v>23524146</v>
      </c>
      <c r="AJ82" s="37"/>
      <c r="AK82" s="37">
        <f>AA82-AI82</f>
        <v>-1251711</v>
      </c>
      <c r="AL82" s="37"/>
      <c r="AM82" s="163">
        <f>AK82/AA82</f>
        <v>-5.6200006869477896E-2</v>
      </c>
      <c r="AN82" s="43">
        <v>44655</v>
      </c>
      <c r="AO82" s="5" t="s">
        <v>284</v>
      </c>
      <c r="AP82" s="5"/>
      <c r="AQ82" s="40"/>
      <c r="AR82" s="37">
        <v>23524146</v>
      </c>
      <c r="AS82" s="37">
        <f t="shared" si="11"/>
        <v>0</v>
      </c>
      <c r="AT82" s="37"/>
      <c r="AU82" s="37"/>
      <c r="AV82" s="140">
        <v>0</v>
      </c>
      <c r="AW82" s="43">
        <v>44683</v>
      </c>
      <c r="AX82" s="5" t="s">
        <v>284</v>
      </c>
      <c r="AY82" s="5"/>
      <c r="AZ82" s="140"/>
      <c r="BA82" s="37">
        <v>23524146</v>
      </c>
      <c r="BB82" s="37">
        <f t="shared" si="12"/>
        <v>0</v>
      </c>
      <c r="BC82" s="37"/>
      <c r="BD82" s="37"/>
      <c r="BE82" s="140">
        <v>0</v>
      </c>
      <c r="BF82" s="43">
        <v>44713</v>
      </c>
      <c r="BG82" s="5" t="s">
        <v>284</v>
      </c>
      <c r="BH82" s="43">
        <v>44728</v>
      </c>
      <c r="BI82" s="140"/>
      <c r="BJ82" s="37">
        <v>23524146</v>
      </c>
      <c r="BK82" s="37">
        <f t="shared" si="10"/>
        <v>0</v>
      </c>
      <c r="BL82" s="37"/>
      <c r="BM82" s="37"/>
      <c r="BN82" s="140">
        <v>0</v>
      </c>
      <c r="BO82" s="43">
        <v>44743</v>
      </c>
      <c r="BP82" s="5" t="s">
        <v>284</v>
      </c>
      <c r="BQ82" s="43">
        <v>44757</v>
      </c>
      <c r="BR82" s="140"/>
      <c r="BS82" s="37">
        <v>23524146</v>
      </c>
      <c r="BT82" s="37">
        <f t="shared" ref="BT82:BT89" si="13">BJ82-BS82</f>
        <v>0</v>
      </c>
      <c r="BU82" s="37"/>
      <c r="BV82" s="37"/>
      <c r="BW82" s="140">
        <v>0</v>
      </c>
      <c r="BX82" s="43">
        <v>44774</v>
      </c>
      <c r="BY82" s="5" t="s">
        <v>284</v>
      </c>
      <c r="BZ82" s="5"/>
      <c r="CA82" s="140"/>
      <c r="CB82" s="37"/>
      <c r="CC82" s="37"/>
      <c r="CD82" s="37"/>
      <c r="CE82" s="37"/>
      <c r="CF82" s="140"/>
      <c r="CG82" s="43"/>
      <c r="CH82" s="5"/>
      <c r="CI82" s="5"/>
      <c r="CJ82" s="140"/>
      <c r="CK82" s="37"/>
      <c r="CL82" s="37"/>
      <c r="CM82" s="37"/>
      <c r="CN82" s="37"/>
      <c r="CO82" s="140"/>
      <c r="CP82" s="43"/>
      <c r="CQ82" s="5"/>
      <c r="CR82" s="5"/>
      <c r="CS82" s="140"/>
      <c r="CT82" s="37"/>
      <c r="CU82" s="37"/>
      <c r="CV82" s="37"/>
      <c r="CW82" s="37"/>
      <c r="CX82" s="140"/>
      <c r="CY82" s="43"/>
      <c r="CZ82" s="5"/>
      <c r="DA82" s="143"/>
      <c r="DB82" s="140"/>
      <c r="DC82" s="37"/>
      <c r="DD82" s="37"/>
      <c r="DE82" s="37"/>
      <c r="DF82" s="37"/>
      <c r="DG82" s="140"/>
      <c r="DH82" s="43"/>
      <c r="DI82" s="5"/>
      <c r="DJ82" s="5"/>
    </row>
    <row r="83" spans="1:114" x14ac:dyDescent="0.35">
      <c r="A83" s="9" t="s">
        <v>39</v>
      </c>
      <c r="B83" s="9" t="s">
        <v>706</v>
      </c>
      <c r="C83" s="34" t="s">
        <v>704</v>
      </c>
      <c r="D83" s="5" t="s">
        <v>705</v>
      </c>
      <c r="E83" s="5" t="s">
        <v>695</v>
      </c>
      <c r="F83" s="6">
        <v>6601</v>
      </c>
      <c r="G83" s="145" t="s">
        <v>707</v>
      </c>
      <c r="H83" s="37">
        <v>13500000</v>
      </c>
      <c r="I83" s="37">
        <v>11780000</v>
      </c>
      <c r="J83" s="37"/>
      <c r="K83" s="37">
        <v>13500000</v>
      </c>
      <c r="L83" s="37">
        <f>H83-K83</f>
        <v>0</v>
      </c>
      <c r="M83" s="37"/>
      <c r="N83" s="37"/>
      <c r="O83" s="140">
        <f>L83/H83</f>
        <v>0</v>
      </c>
      <c r="P83" s="43">
        <v>44567</v>
      </c>
      <c r="Q83" s="43" t="s">
        <v>284</v>
      </c>
      <c r="R83" s="42"/>
      <c r="S83" s="37">
        <v>13500000</v>
      </c>
      <c r="T83" s="39">
        <f>S83-H83</f>
        <v>0</v>
      </c>
      <c r="U83" s="5"/>
      <c r="V83" s="140">
        <f>T83/H83</f>
        <v>0</v>
      </c>
      <c r="W83" s="43">
        <v>44594</v>
      </c>
      <c r="X83" s="5" t="s">
        <v>284</v>
      </c>
      <c r="Y83" s="42"/>
      <c r="Z83" s="144"/>
      <c r="AA83" s="38">
        <v>13500000</v>
      </c>
      <c r="AB83" s="38">
        <f t="shared" ref="AB83:AB89" si="14">S83-AA83</f>
        <v>0</v>
      </c>
      <c r="AC83" s="5"/>
      <c r="AD83" s="40">
        <v>0</v>
      </c>
      <c r="AE83" s="51">
        <v>44622</v>
      </c>
      <c r="AF83" s="5" t="s">
        <v>284</v>
      </c>
      <c r="AG83" s="42"/>
      <c r="AH83" s="144"/>
      <c r="AI83" s="37">
        <v>13500000</v>
      </c>
      <c r="AJ83" s="37">
        <f t="shared" ref="AJ83:AJ89" si="15">AA83-AI83</f>
        <v>0</v>
      </c>
      <c r="AK83" s="37"/>
      <c r="AL83" s="37"/>
      <c r="AM83" s="140">
        <v>0</v>
      </c>
      <c r="AN83" s="43">
        <v>44655</v>
      </c>
      <c r="AO83" s="5" t="s">
        <v>284</v>
      </c>
      <c r="AP83" s="5"/>
      <c r="AQ83" s="40"/>
      <c r="AR83" s="37">
        <v>13500000</v>
      </c>
      <c r="AS83" s="37">
        <f t="shared" si="11"/>
        <v>0</v>
      </c>
      <c r="AT83" s="37"/>
      <c r="AU83" s="37"/>
      <c r="AV83" s="140">
        <v>0</v>
      </c>
      <c r="AW83" s="43">
        <v>44683</v>
      </c>
      <c r="AX83" s="5" t="s">
        <v>284</v>
      </c>
      <c r="AY83" s="5"/>
      <c r="AZ83" s="140"/>
      <c r="BA83" s="37">
        <v>13500000</v>
      </c>
      <c r="BB83" s="37">
        <f t="shared" si="12"/>
        <v>0</v>
      </c>
      <c r="BC83" s="37"/>
      <c r="BD83" s="37"/>
      <c r="BE83" s="140">
        <v>0</v>
      </c>
      <c r="BF83" s="43">
        <v>44715</v>
      </c>
      <c r="BG83" s="5" t="s">
        <v>284</v>
      </c>
      <c r="BH83" s="43">
        <v>44736</v>
      </c>
      <c r="BI83" s="140"/>
      <c r="BJ83" s="37">
        <v>13500000</v>
      </c>
      <c r="BK83" s="37">
        <f t="shared" si="10"/>
        <v>0</v>
      </c>
      <c r="BL83" s="37"/>
      <c r="BM83" s="37"/>
      <c r="BN83" s="140">
        <v>0</v>
      </c>
      <c r="BO83" s="43">
        <v>44743</v>
      </c>
      <c r="BP83" s="5" t="s">
        <v>284</v>
      </c>
      <c r="BQ83" s="43">
        <v>44757</v>
      </c>
      <c r="BR83" s="140"/>
      <c r="BS83" s="37">
        <v>13500000</v>
      </c>
      <c r="BT83" s="37">
        <f t="shared" si="13"/>
        <v>0</v>
      </c>
      <c r="BU83" s="37"/>
      <c r="BV83" s="37"/>
      <c r="BW83" s="140">
        <v>0</v>
      </c>
      <c r="BX83" s="43">
        <v>44775</v>
      </c>
      <c r="BY83" s="5" t="s">
        <v>284</v>
      </c>
      <c r="BZ83" s="5"/>
      <c r="CA83" s="140"/>
      <c r="CB83" s="37"/>
      <c r="CC83" s="37"/>
      <c r="CD83" s="37"/>
      <c r="CE83" s="37"/>
      <c r="CF83" s="140"/>
      <c r="CG83" s="43"/>
      <c r="CH83" s="5"/>
      <c r="CI83" s="5"/>
      <c r="CJ83" s="140"/>
      <c r="CK83" s="37"/>
      <c r="CL83" s="37"/>
      <c r="CM83" s="37"/>
      <c r="CN83" s="37"/>
      <c r="CO83" s="140"/>
      <c r="CP83" s="43"/>
      <c r="CQ83" s="5"/>
      <c r="CR83" s="5"/>
      <c r="CS83" s="140"/>
      <c r="CT83" s="37"/>
      <c r="CU83" s="37"/>
      <c r="CV83" s="37"/>
      <c r="CW83" s="37"/>
      <c r="CX83" s="140"/>
      <c r="CY83" s="43"/>
      <c r="CZ83" s="5"/>
      <c r="DA83" s="143"/>
      <c r="DB83" s="140"/>
      <c r="DC83" s="37"/>
      <c r="DD83" s="37"/>
      <c r="DE83" s="37"/>
      <c r="DF83" s="37"/>
      <c r="DG83" s="140"/>
      <c r="DH83" s="43"/>
      <c r="DI83" s="5"/>
      <c r="DJ83" s="5"/>
    </row>
    <row r="84" spans="1:114" x14ac:dyDescent="0.35">
      <c r="A84" s="9">
        <v>204884</v>
      </c>
      <c r="B84" s="9" t="s">
        <v>59</v>
      </c>
      <c r="C84" s="34" t="s">
        <v>483</v>
      </c>
      <c r="D84" s="5" t="s">
        <v>708</v>
      </c>
      <c r="E84" s="5" t="s">
        <v>699</v>
      </c>
      <c r="F84" s="6">
        <v>6602</v>
      </c>
      <c r="G84" s="145" t="s">
        <v>709</v>
      </c>
      <c r="H84" s="37">
        <v>9294560</v>
      </c>
      <c r="I84" s="37">
        <v>8800000</v>
      </c>
      <c r="J84" s="37"/>
      <c r="K84" s="37">
        <f>8941680+352880</f>
        <v>9294560</v>
      </c>
      <c r="L84" s="37">
        <f>I84-K84</f>
        <v>-494560</v>
      </c>
      <c r="M84" s="37"/>
      <c r="N84" s="37"/>
      <c r="O84" s="140">
        <f>L84/I84</f>
        <v>-5.62E-2</v>
      </c>
      <c r="P84" s="142">
        <v>44769</v>
      </c>
      <c r="Q84" s="5" t="s">
        <v>284</v>
      </c>
      <c r="R84" s="42"/>
      <c r="S84" s="37">
        <v>9294560</v>
      </c>
      <c r="T84" s="39">
        <f t="shared" ref="T84:T89" si="16">K84-S84</f>
        <v>0</v>
      </c>
      <c r="U84" s="5"/>
      <c r="V84" s="140">
        <f>T84/H84</f>
        <v>0</v>
      </c>
      <c r="W84" s="142">
        <v>44593</v>
      </c>
      <c r="X84" s="5" t="s">
        <v>284</v>
      </c>
      <c r="Y84" s="42"/>
      <c r="Z84" s="5"/>
      <c r="AA84" s="38">
        <v>9294560</v>
      </c>
      <c r="AB84" s="38">
        <f t="shared" si="14"/>
        <v>0</v>
      </c>
      <c r="AC84" s="5"/>
      <c r="AD84" s="40">
        <v>0</v>
      </c>
      <c r="AE84" s="51">
        <v>44621</v>
      </c>
      <c r="AF84" s="5" t="s">
        <v>284</v>
      </c>
      <c r="AG84" s="42"/>
      <c r="AH84" s="140"/>
      <c r="AI84" s="37">
        <v>9294560</v>
      </c>
      <c r="AJ84" s="37">
        <f t="shared" si="15"/>
        <v>0</v>
      </c>
      <c r="AK84" s="37"/>
      <c r="AL84" s="37"/>
      <c r="AM84" s="140">
        <v>0</v>
      </c>
      <c r="AN84" s="43">
        <v>44656</v>
      </c>
      <c r="AO84" s="5" t="s">
        <v>284</v>
      </c>
      <c r="AP84" s="5"/>
      <c r="AQ84" s="40"/>
      <c r="AR84" s="37">
        <v>9294560</v>
      </c>
      <c r="AS84" s="37">
        <f t="shared" si="11"/>
        <v>0</v>
      </c>
      <c r="AT84" s="37"/>
      <c r="AU84" s="37"/>
      <c r="AV84" s="140">
        <v>0</v>
      </c>
      <c r="AW84" s="43">
        <v>44683</v>
      </c>
      <c r="AX84" s="5" t="s">
        <v>284</v>
      </c>
      <c r="AY84" s="5"/>
      <c r="AZ84" s="140"/>
      <c r="BA84" s="37">
        <v>9294560</v>
      </c>
      <c r="BB84" s="37">
        <f t="shared" si="12"/>
        <v>0</v>
      </c>
      <c r="BC84" s="37"/>
      <c r="BD84" s="37"/>
      <c r="BE84" s="140">
        <v>0</v>
      </c>
      <c r="BF84" s="43">
        <v>44713</v>
      </c>
      <c r="BG84" s="5" t="s">
        <v>284</v>
      </c>
      <c r="BH84" s="43">
        <v>44728</v>
      </c>
      <c r="BI84" s="140"/>
      <c r="BJ84" s="37">
        <v>9294560</v>
      </c>
      <c r="BK84" s="37">
        <f t="shared" si="10"/>
        <v>0</v>
      </c>
      <c r="BL84" s="37"/>
      <c r="BM84" s="37"/>
      <c r="BN84" s="140">
        <v>0</v>
      </c>
      <c r="BO84" s="43">
        <v>44743</v>
      </c>
      <c r="BP84" s="5" t="s">
        <v>284</v>
      </c>
      <c r="BQ84" s="43">
        <v>44757</v>
      </c>
      <c r="BR84" s="140"/>
      <c r="BS84" s="37">
        <v>9294560</v>
      </c>
      <c r="BT84" s="37">
        <f t="shared" si="13"/>
        <v>0</v>
      </c>
      <c r="BU84" s="37"/>
      <c r="BV84" s="37"/>
      <c r="BW84" s="140">
        <v>0</v>
      </c>
      <c r="BX84" s="43">
        <v>44774</v>
      </c>
      <c r="BY84" s="5" t="s">
        <v>284</v>
      </c>
      <c r="BZ84" s="5"/>
      <c r="CA84" s="140"/>
      <c r="CB84" s="37"/>
      <c r="CC84" s="37"/>
      <c r="CD84" s="37"/>
      <c r="CE84" s="37"/>
      <c r="CF84" s="140"/>
      <c r="CG84" s="43"/>
      <c r="CH84" s="5"/>
      <c r="CI84" s="5"/>
      <c r="CJ84" s="140"/>
      <c r="CK84" s="37"/>
      <c r="CL84" s="37"/>
      <c r="CM84" s="37"/>
      <c r="CN84" s="37"/>
      <c r="CO84" s="140"/>
      <c r="CP84" s="43"/>
      <c r="CQ84" s="5"/>
      <c r="CR84" s="5"/>
      <c r="CS84" s="140"/>
      <c r="CT84" s="37"/>
      <c r="CU84" s="37"/>
      <c r="CV84" s="37"/>
      <c r="CW84" s="37"/>
      <c r="CX84" s="140"/>
      <c r="CY84" s="43"/>
      <c r="CZ84" s="5"/>
      <c r="DA84" s="143"/>
      <c r="DB84" s="140"/>
      <c r="DC84" s="37"/>
      <c r="DD84" s="37"/>
      <c r="DE84" s="37"/>
      <c r="DF84" s="37"/>
      <c r="DG84" s="140"/>
      <c r="DH84" s="43"/>
      <c r="DI84" s="5"/>
      <c r="DJ84" s="5"/>
    </row>
    <row r="85" spans="1:114" x14ac:dyDescent="0.35">
      <c r="A85" s="9">
        <v>204816</v>
      </c>
      <c r="B85" s="9" t="s">
        <v>26</v>
      </c>
      <c r="C85" s="34" t="s">
        <v>710</v>
      </c>
      <c r="D85" s="5" t="s">
        <v>711</v>
      </c>
      <c r="E85" s="5" t="s">
        <v>625</v>
      </c>
      <c r="F85" s="6">
        <v>6603</v>
      </c>
      <c r="G85" s="145">
        <v>1026261501</v>
      </c>
      <c r="H85" s="37">
        <f>+I85</f>
        <v>11616600</v>
      </c>
      <c r="I85" s="37">
        <v>11616600</v>
      </c>
      <c r="J85" s="37"/>
      <c r="K85" s="37">
        <v>11616600</v>
      </c>
      <c r="L85" s="37">
        <f>I85-K85</f>
        <v>0</v>
      </c>
      <c r="M85" s="37"/>
      <c r="N85" s="37"/>
      <c r="O85" s="140">
        <v>0</v>
      </c>
      <c r="P85" s="142">
        <v>44564</v>
      </c>
      <c r="Q85" s="9" t="s">
        <v>284</v>
      </c>
      <c r="R85" s="42"/>
      <c r="S85" s="37">
        <v>11616600</v>
      </c>
      <c r="T85" s="39">
        <f t="shared" si="16"/>
        <v>0</v>
      </c>
      <c r="U85" s="5"/>
      <c r="V85" s="140">
        <v>0</v>
      </c>
      <c r="W85" s="43">
        <v>44594</v>
      </c>
      <c r="X85" s="5" t="s">
        <v>284</v>
      </c>
      <c r="Y85" s="42"/>
      <c r="Z85" s="144"/>
      <c r="AA85" s="38">
        <v>11616600</v>
      </c>
      <c r="AB85" s="38">
        <f t="shared" si="14"/>
        <v>0</v>
      </c>
      <c r="AC85" s="5"/>
      <c r="AD85" s="40">
        <v>0</v>
      </c>
      <c r="AE85" s="51">
        <v>44621</v>
      </c>
      <c r="AF85" s="5" t="s">
        <v>284</v>
      </c>
      <c r="AG85" s="42"/>
      <c r="AH85" s="144"/>
      <c r="AI85" s="37">
        <v>11616600</v>
      </c>
      <c r="AJ85" s="37">
        <f t="shared" si="15"/>
        <v>0</v>
      </c>
      <c r="AL85" s="37"/>
      <c r="AM85" s="140">
        <v>0</v>
      </c>
      <c r="AN85" s="43">
        <v>44655</v>
      </c>
      <c r="AO85" s="5" t="s">
        <v>284</v>
      </c>
      <c r="AP85" s="5"/>
      <c r="AQ85" s="40"/>
      <c r="AR85" s="37">
        <v>11616600</v>
      </c>
      <c r="AS85" s="37">
        <f t="shared" si="11"/>
        <v>0</v>
      </c>
      <c r="AT85" s="37"/>
      <c r="AU85" s="37"/>
      <c r="AV85" s="140">
        <v>0</v>
      </c>
      <c r="AW85" s="43">
        <v>44687</v>
      </c>
      <c r="AX85" s="5" t="s">
        <v>284</v>
      </c>
      <c r="AY85" s="5"/>
      <c r="AZ85" s="140"/>
      <c r="BA85" s="37">
        <v>11616600</v>
      </c>
      <c r="BB85" s="37">
        <f t="shared" si="12"/>
        <v>0</v>
      </c>
      <c r="BC85" s="37"/>
      <c r="BD85" s="37"/>
      <c r="BE85" s="140">
        <v>0</v>
      </c>
      <c r="BF85" s="43">
        <v>44713</v>
      </c>
      <c r="BG85" s="5" t="s">
        <v>284</v>
      </c>
      <c r="BH85" s="43">
        <v>44728</v>
      </c>
      <c r="BI85" s="140"/>
      <c r="BJ85" s="37">
        <v>11616600</v>
      </c>
      <c r="BK85" s="37">
        <f t="shared" si="10"/>
        <v>0</v>
      </c>
      <c r="BL85" s="37"/>
      <c r="BM85" s="37"/>
      <c r="BN85" s="140">
        <v>0</v>
      </c>
      <c r="BO85" s="43">
        <v>44743</v>
      </c>
      <c r="BP85" s="5" t="s">
        <v>284</v>
      </c>
      <c r="BQ85" s="43">
        <v>44757</v>
      </c>
      <c r="BR85" s="140"/>
      <c r="BS85" s="37">
        <v>11616600</v>
      </c>
      <c r="BT85" s="37">
        <f t="shared" si="13"/>
        <v>0</v>
      </c>
      <c r="BU85" s="37"/>
      <c r="BV85" s="37"/>
      <c r="BW85" s="140">
        <v>0</v>
      </c>
      <c r="BX85" s="43">
        <v>44775</v>
      </c>
      <c r="BY85" s="5" t="s">
        <v>284</v>
      </c>
      <c r="BZ85" s="5"/>
      <c r="CA85" s="140"/>
      <c r="CB85" s="37"/>
      <c r="CC85" s="37"/>
      <c r="CD85" s="37"/>
      <c r="CE85" s="37"/>
      <c r="CF85" s="140"/>
      <c r="CG85" s="43"/>
      <c r="CH85" s="5"/>
      <c r="CI85" s="5"/>
      <c r="CJ85" s="140"/>
      <c r="CK85" s="37"/>
      <c r="CL85" s="37"/>
      <c r="CM85" s="37"/>
      <c r="CN85" s="37"/>
      <c r="CO85" s="140"/>
      <c r="CP85" s="43"/>
      <c r="CQ85" s="5"/>
      <c r="CR85" s="5"/>
      <c r="CS85" s="140"/>
      <c r="CT85" s="37"/>
      <c r="CU85" s="37"/>
      <c r="CV85" s="37"/>
      <c r="CW85" s="37"/>
      <c r="CX85" s="140"/>
      <c r="CY85" s="43"/>
      <c r="CZ85" s="5"/>
      <c r="DA85" s="143"/>
      <c r="DB85" s="140"/>
      <c r="DC85" s="37"/>
      <c r="DD85" s="37"/>
      <c r="DE85" s="37"/>
      <c r="DF85" s="37"/>
      <c r="DG85" s="140"/>
      <c r="DH85" s="43"/>
      <c r="DI85" s="5"/>
      <c r="DJ85" s="5"/>
    </row>
    <row r="86" spans="1:114" x14ac:dyDescent="0.35">
      <c r="A86" s="9">
        <v>204815</v>
      </c>
      <c r="B86" s="9" t="s">
        <v>5</v>
      </c>
      <c r="C86" s="34" t="s">
        <v>710</v>
      </c>
      <c r="D86" s="5" t="s">
        <v>711</v>
      </c>
      <c r="E86" s="5" t="s">
        <v>625</v>
      </c>
      <c r="F86" s="6">
        <v>6603</v>
      </c>
      <c r="G86" s="145">
        <v>1019012543</v>
      </c>
      <c r="H86" s="37">
        <f>+I86</f>
        <v>11616600</v>
      </c>
      <c r="I86" s="37">
        <v>11616600</v>
      </c>
      <c r="J86" s="37"/>
      <c r="K86" s="37">
        <v>11616600</v>
      </c>
      <c r="L86" s="37">
        <f>I86-K86</f>
        <v>0</v>
      </c>
      <c r="M86" s="37"/>
      <c r="N86" s="37"/>
      <c r="O86" s="140">
        <v>0</v>
      </c>
      <c r="P86" s="142">
        <v>44564</v>
      </c>
      <c r="Q86" s="9" t="s">
        <v>284</v>
      </c>
      <c r="R86" s="42"/>
      <c r="S86" s="37">
        <v>11616600</v>
      </c>
      <c r="T86" s="39">
        <f t="shared" si="16"/>
        <v>0</v>
      </c>
      <c r="U86" s="5"/>
      <c r="V86" s="140">
        <v>0</v>
      </c>
      <c r="W86" s="43">
        <v>44594</v>
      </c>
      <c r="X86" s="5" t="s">
        <v>284</v>
      </c>
      <c r="Y86" s="42"/>
      <c r="Z86" s="144"/>
      <c r="AA86" s="38">
        <v>11616600</v>
      </c>
      <c r="AB86" s="38">
        <f t="shared" si="14"/>
        <v>0</v>
      </c>
      <c r="AC86" s="5"/>
      <c r="AD86" s="40">
        <v>0</v>
      </c>
      <c r="AE86" s="51">
        <v>44621</v>
      </c>
      <c r="AF86" s="5" t="s">
        <v>284</v>
      </c>
      <c r="AG86" s="42"/>
      <c r="AH86" s="144"/>
      <c r="AI86" s="37">
        <v>11616600</v>
      </c>
      <c r="AJ86" s="37">
        <f t="shared" si="15"/>
        <v>0</v>
      </c>
      <c r="AK86" s="37"/>
      <c r="AL86" s="37"/>
      <c r="AM86" s="140">
        <v>0</v>
      </c>
      <c r="AN86" s="43">
        <v>44655</v>
      </c>
      <c r="AO86" s="5" t="s">
        <v>284</v>
      </c>
      <c r="AP86" s="5"/>
      <c r="AQ86" s="40"/>
      <c r="AR86" s="37">
        <v>11616600</v>
      </c>
      <c r="AS86" s="37">
        <f t="shared" si="11"/>
        <v>0</v>
      </c>
      <c r="AT86" s="37"/>
      <c r="AU86" s="37"/>
      <c r="AV86" s="140">
        <v>0</v>
      </c>
      <c r="AW86" s="43">
        <v>44686</v>
      </c>
      <c r="AX86" s="5" t="s">
        <v>284</v>
      </c>
      <c r="AY86" s="5"/>
      <c r="AZ86" s="140"/>
      <c r="BA86" s="37">
        <v>11616600</v>
      </c>
      <c r="BB86" s="37">
        <f t="shared" si="12"/>
        <v>0</v>
      </c>
      <c r="BC86" s="37"/>
      <c r="BD86" s="37"/>
      <c r="BE86" s="140">
        <v>0</v>
      </c>
      <c r="BF86" s="43">
        <v>44713</v>
      </c>
      <c r="BG86" s="5" t="s">
        <v>284</v>
      </c>
      <c r="BH86" s="43">
        <v>44728</v>
      </c>
      <c r="BI86" s="140"/>
      <c r="BJ86" s="37">
        <v>11616600</v>
      </c>
      <c r="BK86" s="37">
        <f t="shared" si="10"/>
        <v>0</v>
      </c>
      <c r="BL86" s="37"/>
      <c r="BM86" s="37"/>
      <c r="BN86" s="140">
        <v>0</v>
      </c>
      <c r="BO86" s="43">
        <v>44743</v>
      </c>
      <c r="BP86" s="5" t="s">
        <v>284</v>
      </c>
      <c r="BQ86" s="43">
        <v>44757</v>
      </c>
      <c r="BR86" s="140"/>
      <c r="BS86" s="37">
        <v>11616600</v>
      </c>
      <c r="BT86" s="37">
        <f t="shared" si="13"/>
        <v>0</v>
      </c>
      <c r="BU86" s="37"/>
      <c r="BV86" s="37"/>
      <c r="BW86" s="140">
        <v>0</v>
      </c>
      <c r="BX86" s="43">
        <v>44774</v>
      </c>
      <c r="BY86" s="5" t="s">
        <v>284</v>
      </c>
      <c r="BZ86" s="5"/>
      <c r="CA86" s="140"/>
      <c r="CB86" s="37"/>
      <c r="CC86" s="37"/>
      <c r="CD86" s="37"/>
      <c r="CE86" s="37"/>
      <c r="CF86" s="140"/>
      <c r="CG86" s="43"/>
      <c r="CH86" s="5"/>
      <c r="CI86" s="5"/>
      <c r="CJ86" s="140"/>
      <c r="CK86" s="37"/>
      <c r="CL86" s="37"/>
      <c r="CM86" s="37"/>
      <c r="CN86" s="37"/>
      <c r="CO86" s="140"/>
      <c r="CP86" s="43"/>
      <c r="CQ86" s="5"/>
      <c r="CR86" s="5"/>
      <c r="CS86" s="140"/>
      <c r="CT86" s="37"/>
      <c r="CU86" s="37"/>
      <c r="CV86" s="37"/>
      <c r="CW86" s="37"/>
      <c r="CX86" s="140"/>
      <c r="CY86" s="43"/>
      <c r="CZ86" s="5"/>
      <c r="DA86" s="143"/>
      <c r="DB86" s="140"/>
      <c r="DC86" s="37"/>
      <c r="DD86" s="37"/>
      <c r="DE86" s="37"/>
      <c r="DF86" s="37"/>
      <c r="DG86" s="140"/>
      <c r="DH86" s="43"/>
      <c r="DI86" s="5"/>
      <c r="DJ86" s="5"/>
    </row>
    <row r="87" spans="1:114" x14ac:dyDescent="0.35">
      <c r="A87" s="9">
        <v>204522</v>
      </c>
      <c r="B87" s="9" t="s">
        <v>6</v>
      </c>
      <c r="C87" s="34" t="s">
        <v>710</v>
      </c>
      <c r="D87" s="5" t="s">
        <v>711</v>
      </c>
      <c r="E87" s="5" t="s">
        <v>625</v>
      </c>
      <c r="F87" s="6">
        <v>6603</v>
      </c>
      <c r="G87" s="145">
        <v>52415336</v>
      </c>
      <c r="H87" s="37">
        <f>+I87</f>
        <v>17941700</v>
      </c>
      <c r="I87" s="37">
        <v>17941700</v>
      </c>
      <c r="J87" s="37"/>
      <c r="K87" s="37">
        <v>17941700</v>
      </c>
      <c r="L87" s="37">
        <f>I87-K87</f>
        <v>0</v>
      </c>
      <c r="M87" s="37"/>
      <c r="N87" s="37"/>
      <c r="O87" s="140">
        <v>0</v>
      </c>
      <c r="P87" s="142">
        <v>44564</v>
      </c>
      <c r="Q87" s="9" t="s">
        <v>284</v>
      </c>
      <c r="R87" s="42"/>
      <c r="S87" s="37">
        <v>17941700</v>
      </c>
      <c r="T87" s="39">
        <f t="shared" si="16"/>
        <v>0</v>
      </c>
      <c r="U87" s="5"/>
      <c r="V87" s="140">
        <v>0</v>
      </c>
      <c r="W87" s="43">
        <v>44594</v>
      </c>
      <c r="X87" s="5" t="s">
        <v>284</v>
      </c>
      <c r="Y87" s="42"/>
      <c r="Z87" s="144"/>
      <c r="AA87" s="38">
        <v>17941700</v>
      </c>
      <c r="AB87" s="38">
        <f t="shared" si="14"/>
        <v>0</v>
      </c>
      <c r="AC87" s="5"/>
      <c r="AD87" s="40">
        <v>0</v>
      </c>
      <c r="AE87" s="51">
        <v>44621</v>
      </c>
      <c r="AF87" s="5" t="s">
        <v>284</v>
      </c>
      <c r="AG87" s="42"/>
      <c r="AH87" s="144"/>
      <c r="AI87" s="37">
        <v>17941700</v>
      </c>
      <c r="AJ87" s="37">
        <f t="shared" si="15"/>
        <v>0</v>
      </c>
      <c r="AK87" s="5"/>
      <c r="AL87" s="37"/>
      <c r="AM87" s="140">
        <v>0</v>
      </c>
      <c r="AN87" s="43">
        <v>44655</v>
      </c>
      <c r="AO87" s="5" t="s">
        <v>284</v>
      </c>
      <c r="AP87" s="5"/>
      <c r="AQ87" s="40"/>
      <c r="AR87" s="37">
        <v>17941700</v>
      </c>
      <c r="AS87" s="37">
        <f t="shared" si="11"/>
        <v>0</v>
      </c>
      <c r="AT87" s="37"/>
      <c r="AU87" s="37"/>
      <c r="AV87" s="140">
        <v>0</v>
      </c>
      <c r="AW87" s="43">
        <v>44686</v>
      </c>
      <c r="AX87" s="5" t="s">
        <v>284</v>
      </c>
      <c r="AY87" s="43"/>
      <c r="AZ87" s="140"/>
      <c r="BA87" s="37">
        <v>17941700</v>
      </c>
      <c r="BB87" s="37">
        <f t="shared" si="12"/>
        <v>0</v>
      </c>
      <c r="BC87" s="37"/>
      <c r="BD87" s="37"/>
      <c r="BE87" s="140">
        <v>0</v>
      </c>
      <c r="BF87" s="43">
        <v>44713</v>
      </c>
      <c r="BG87" s="5" t="s">
        <v>284</v>
      </c>
      <c r="BH87" s="43">
        <v>44721</v>
      </c>
      <c r="BI87" s="140"/>
      <c r="BJ87" s="37">
        <v>17941700</v>
      </c>
      <c r="BK87" s="37">
        <f t="shared" si="10"/>
        <v>0</v>
      </c>
      <c r="BL87" s="37"/>
      <c r="BM87" s="37"/>
      <c r="BN87" s="140">
        <v>0</v>
      </c>
      <c r="BO87" s="43">
        <v>44743</v>
      </c>
      <c r="BP87" s="5" t="s">
        <v>284</v>
      </c>
      <c r="BQ87" s="43">
        <v>44757</v>
      </c>
      <c r="BR87" s="140"/>
      <c r="BS87" s="37">
        <v>17941700</v>
      </c>
      <c r="BT87" s="37">
        <f t="shared" si="13"/>
        <v>0</v>
      </c>
      <c r="BU87" s="37"/>
      <c r="BV87" s="37"/>
      <c r="BW87" s="140">
        <v>0</v>
      </c>
      <c r="BX87" s="43">
        <v>44774</v>
      </c>
      <c r="BY87" s="5" t="s">
        <v>284</v>
      </c>
      <c r="BZ87" s="5"/>
      <c r="CA87" s="140"/>
      <c r="CB87" s="37"/>
      <c r="CC87" s="37"/>
      <c r="CD87" s="37"/>
      <c r="CE87" s="37"/>
      <c r="CF87" s="140"/>
      <c r="CG87" s="43"/>
      <c r="CH87" s="5"/>
      <c r="CI87" s="5"/>
      <c r="CJ87" s="140"/>
      <c r="CK87" s="37"/>
      <c r="CL87" s="37"/>
      <c r="CM87" s="37"/>
      <c r="CN87" s="37"/>
      <c r="CO87" s="140"/>
      <c r="CP87" s="43"/>
      <c r="CQ87" s="5"/>
      <c r="CR87" s="5"/>
      <c r="CS87" s="140"/>
      <c r="CT87" s="37"/>
      <c r="CU87" s="37"/>
      <c r="CV87" s="37"/>
      <c r="CW87" s="37"/>
      <c r="CX87" s="140"/>
      <c r="CY87" s="43"/>
      <c r="CZ87" s="5"/>
      <c r="DA87" s="143"/>
      <c r="DB87" s="140"/>
      <c r="DC87" s="37"/>
      <c r="DD87" s="37"/>
      <c r="DE87" s="37"/>
      <c r="DF87" s="37"/>
      <c r="DG87" s="140"/>
      <c r="DH87" s="43"/>
      <c r="DI87" s="5"/>
      <c r="DJ87" s="5"/>
    </row>
    <row r="88" spans="1:114" x14ac:dyDescent="0.35">
      <c r="A88" s="9">
        <v>366703</v>
      </c>
      <c r="B88" s="9" t="s">
        <v>57</v>
      </c>
      <c r="C88" s="34" t="s">
        <v>710</v>
      </c>
      <c r="D88" s="5" t="s">
        <v>711</v>
      </c>
      <c r="E88" s="5" t="s">
        <v>625</v>
      </c>
      <c r="F88" s="6">
        <v>6603</v>
      </c>
      <c r="G88" s="45">
        <v>901200161</v>
      </c>
      <c r="H88" s="37">
        <f>+I88</f>
        <v>17941700</v>
      </c>
      <c r="I88" s="37">
        <v>17941700</v>
      </c>
      <c r="J88" s="37"/>
      <c r="K88" s="37">
        <v>17941700</v>
      </c>
      <c r="L88" s="37">
        <f t="shared" ref="L88:L95" si="17">H88-K88</f>
        <v>0</v>
      </c>
      <c r="M88" s="37"/>
      <c r="N88" s="37"/>
      <c r="O88" s="140">
        <v>0</v>
      </c>
      <c r="P88" s="142">
        <v>44564</v>
      </c>
      <c r="Q88" s="9" t="s">
        <v>284</v>
      </c>
      <c r="R88" s="42"/>
      <c r="S88" s="37">
        <v>17941700</v>
      </c>
      <c r="T88" s="39">
        <f t="shared" si="16"/>
        <v>0</v>
      </c>
      <c r="U88" s="5"/>
      <c r="V88" s="140">
        <v>0</v>
      </c>
      <c r="W88" s="43">
        <v>44595</v>
      </c>
      <c r="X88" s="5" t="s">
        <v>284</v>
      </c>
      <c r="Y88" s="42"/>
      <c r="Z88" s="5"/>
      <c r="AA88" s="38">
        <v>17941700</v>
      </c>
      <c r="AB88" s="38">
        <f t="shared" si="14"/>
        <v>0</v>
      </c>
      <c r="AC88" s="5"/>
      <c r="AD88" s="40">
        <v>0</v>
      </c>
      <c r="AE88" s="51">
        <v>44621</v>
      </c>
      <c r="AF88" s="5" t="s">
        <v>284</v>
      </c>
      <c r="AG88" s="42"/>
      <c r="AH88" s="144"/>
      <c r="AI88" s="37">
        <v>17941700</v>
      </c>
      <c r="AJ88" s="37">
        <f t="shared" si="15"/>
        <v>0</v>
      </c>
      <c r="AK88" s="37"/>
      <c r="AL88" s="37"/>
      <c r="AM88" s="140">
        <v>0</v>
      </c>
      <c r="AN88" s="43">
        <v>44655</v>
      </c>
      <c r="AO88" s="5" t="s">
        <v>284</v>
      </c>
      <c r="AP88" s="5"/>
      <c r="AQ88" s="40"/>
      <c r="AR88" s="37">
        <v>17941700</v>
      </c>
      <c r="AS88" s="37">
        <f t="shared" si="11"/>
        <v>0</v>
      </c>
      <c r="AT88" s="37"/>
      <c r="AU88" s="37"/>
      <c r="AV88" s="140">
        <v>0</v>
      </c>
      <c r="AW88" s="43">
        <v>44686</v>
      </c>
      <c r="AX88" s="5" t="s">
        <v>284</v>
      </c>
      <c r="AY88" s="5"/>
      <c r="AZ88" s="140"/>
      <c r="BA88" s="37">
        <v>17941700</v>
      </c>
      <c r="BB88" s="37">
        <f t="shared" si="12"/>
        <v>0</v>
      </c>
      <c r="BC88" s="37"/>
      <c r="BD88" s="37"/>
      <c r="BE88" s="140">
        <v>0</v>
      </c>
      <c r="BF88" s="43">
        <v>44713</v>
      </c>
      <c r="BG88" s="5" t="s">
        <v>284</v>
      </c>
      <c r="BH88" s="43">
        <v>44721</v>
      </c>
      <c r="BI88" s="140"/>
      <c r="BJ88" s="37">
        <v>17941700</v>
      </c>
      <c r="BK88" s="37">
        <f t="shared" si="10"/>
        <v>0</v>
      </c>
      <c r="BL88" s="37"/>
      <c r="BM88" s="37"/>
      <c r="BN88" s="140">
        <v>0</v>
      </c>
      <c r="BO88" s="43">
        <v>44743</v>
      </c>
      <c r="BP88" s="5" t="s">
        <v>284</v>
      </c>
      <c r="BQ88" s="43">
        <v>44757</v>
      </c>
      <c r="BR88" s="140"/>
      <c r="BS88" s="37">
        <v>17941700</v>
      </c>
      <c r="BT88" s="37">
        <f t="shared" si="13"/>
        <v>0</v>
      </c>
      <c r="BU88" s="37"/>
      <c r="BV88" s="37"/>
      <c r="BW88" s="140">
        <v>0</v>
      </c>
      <c r="BX88" s="43">
        <v>44774</v>
      </c>
      <c r="BY88" s="5" t="s">
        <v>284</v>
      </c>
      <c r="BZ88" s="5"/>
      <c r="CA88" s="140"/>
      <c r="CB88" s="37"/>
      <c r="CC88" s="37"/>
      <c r="CD88" s="37"/>
      <c r="CE88" s="37"/>
      <c r="CF88" s="140"/>
      <c r="CG88" s="43"/>
      <c r="CH88" s="5"/>
      <c r="CI88" s="5"/>
      <c r="CJ88" s="140"/>
      <c r="CK88" s="37"/>
      <c r="CL88" s="37"/>
      <c r="CM88" s="37"/>
      <c r="CN88" s="37"/>
      <c r="CO88" s="140"/>
      <c r="CP88" s="43"/>
      <c r="CQ88" s="5"/>
      <c r="CR88" s="5"/>
      <c r="CS88" s="140"/>
      <c r="CT88" s="37"/>
      <c r="CU88" s="37"/>
      <c r="CV88" s="37"/>
      <c r="CW88" s="37"/>
      <c r="CX88" s="140"/>
      <c r="CY88" s="43"/>
      <c r="CZ88" s="5"/>
      <c r="DA88" s="143"/>
      <c r="DB88" s="140"/>
      <c r="DC88" s="37"/>
      <c r="DD88" s="37"/>
      <c r="DE88" s="37"/>
      <c r="DF88" s="37"/>
      <c r="DG88" s="140"/>
      <c r="DH88" s="43"/>
      <c r="DI88" s="5"/>
      <c r="DJ88" s="5"/>
    </row>
    <row r="89" spans="1:114" x14ac:dyDescent="0.35">
      <c r="A89" s="9">
        <v>204617</v>
      </c>
      <c r="B89" s="9" t="s">
        <v>712</v>
      </c>
      <c r="C89" s="34" t="s">
        <v>710</v>
      </c>
      <c r="D89" s="5" t="s">
        <v>711</v>
      </c>
      <c r="E89" s="5" t="s">
        <v>625</v>
      </c>
      <c r="F89" s="6">
        <v>6603</v>
      </c>
      <c r="G89" s="145" t="s">
        <v>713</v>
      </c>
      <c r="H89" s="37">
        <v>35883400</v>
      </c>
      <c r="I89" s="37">
        <v>35883400</v>
      </c>
      <c r="J89" s="37"/>
      <c r="K89" s="37">
        <v>35883400</v>
      </c>
      <c r="L89" s="37">
        <f t="shared" si="17"/>
        <v>0</v>
      </c>
      <c r="M89" s="37"/>
      <c r="N89" s="37"/>
      <c r="O89" s="140">
        <v>0</v>
      </c>
      <c r="P89" s="43">
        <v>44567</v>
      </c>
      <c r="Q89" s="43" t="s">
        <v>284</v>
      </c>
      <c r="R89" s="42"/>
      <c r="S89" s="37">
        <v>35883400</v>
      </c>
      <c r="T89" s="39">
        <f t="shared" si="16"/>
        <v>0</v>
      </c>
      <c r="U89" s="5"/>
      <c r="V89" s="140">
        <v>0</v>
      </c>
      <c r="W89" s="43">
        <v>44595</v>
      </c>
      <c r="X89" s="5" t="s">
        <v>284</v>
      </c>
      <c r="Y89" s="42"/>
      <c r="Z89" s="5"/>
      <c r="AA89" s="38">
        <v>35883400</v>
      </c>
      <c r="AB89" s="38">
        <f t="shared" si="14"/>
        <v>0</v>
      </c>
      <c r="AC89" s="5"/>
      <c r="AD89" s="40">
        <v>0</v>
      </c>
      <c r="AE89" s="43">
        <v>44624</v>
      </c>
      <c r="AF89" s="5" t="s">
        <v>284</v>
      </c>
      <c r="AG89" s="42"/>
      <c r="AH89" s="144"/>
      <c r="AI89" s="37">
        <v>35883400</v>
      </c>
      <c r="AJ89" s="37">
        <f t="shared" si="15"/>
        <v>0</v>
      </c>
      <c r="AK89" s="37"/>
      <c r="AL89" s="37"/>
      <c r="AM89" s="140">
        <v>0</v>
      </c>
      <c r="AN89" s="43">
        <v>44657</v>
      </c>
      <c r="AO89" s="5" t="s">
        <v>284</v>
      </c>
      <c r="AP89" s="5"/>
      <c r="AQ89" s="40"/>
      <c r="AR89" s="37">
        <v>35883400</v>
      </c>
      <c r="AS89" s="37">
        <f t="shared" si="11"/>
        <v>0</v>
      </c>
      <c r="AT89" s="37"/>
      <c r="AU89" s="37"/>
      <c r="AV89" s="140">
        <v>0</v>
      </c>
      <c r="AW89" s="43">
        <v>44684</v>
      </c>
      <c r="AX89" s="5" t="s">
        <v>284</v>
      </c>
      <c r="AY89" s="5"/>
      <c r="AZ89" s="140"/>
      <c r="BA89" s="37">
        <v>35883400</v>
      </c>
      <c r="BB89" s="37">
        <f t="shared" si="12"/>
        <v>0</v>
      </c>
      <c r="BC89" s="37"/>
      <c r="BD89" s="37"/>
      <c r="BE89" s="140">
        <v>0</v>
      </c>
      <c r="BF89" s="43">
        <v>44715</v>
      </c>
      <c r="BG89" s="5" t="s">
        <v>284</v>
      </c>
      <c r="BH89" s="43">
        <v>44728</v>
      </c>
      <c r="BI89" s="140"/>
      <c r="BJ89" s="37">
        <v>35883400</v>
      </c>
      <c r="BK89" s="37">
        <f t="shared" si="10"/>
        <v>0</v>
      </c>
      <c r="BL89" s="37"/>
      <c r="BM89" s="37"/>
      <c r="BN89" s="140">
        <v>0</v>
      </c>
      <c r="BO89" s="43">
        <v>44743</v>
      </c>
      <c r="BP89" s="5" t="s">
        <v>284</v>
      </c>
      <c r="BQ89" s="43">
        <v>44757</v>
      </c>
      <c r="BR89" s="140"/>
      <c r="BS89" s="37">
        <v>35883400</v>
      </c>
      <c r="BT89" s="37">
        <f t="shared" si="13"/>
        <v>0</v>
      </c>
      <c r="BU89" s="37"/>
      <c r="BV89" s="37"/>
      <c r="BW89" s="140">
        <v>0</v>
      </c>
      <c r="BX89" s="43">
        <v>44775</v>
      </c>
      <c r="BY89" s="5" t="s">
        <v>284</v>
      </c>
      <c r="BZ89" s="5"/>
      <c r="CA89" s="140"/>
      <c r="CB89" s="37"/>
      <c r="CC89" s="37"/>
      <c r="CD89" s="37"/>
      <c r="CE89" s="37"/>
      <c r="CF89" s="140"/>
      <c r="CG89" s="43"/>
      <c r="CH89" s="5"/>
      <c r="CI89" s="5"/>
      <c r="CJ89" s="140"/>
      <c r="CK89" s="37"/>
      <c r="CL89" s="37"/>
      <c r="CM89" s="37"/>
      <c r="CN89" s="37"/>
      <c r="CO89" s="140"/>
      <c r="CP89" s="43"/>
      <c r="CQ89" s="5"/>
      <c r="CR89" s="5"/>
      <c r="CS89" s="140"/>
      <c r="CT89" s="37"/>
      <c r="CU89" s="37"/>
      <c r="CV89" s="37"/>
      <c r="CW89" s="37"/>
      <c r="CX89" s="140"/>
      <c r="CY89" s="43"/>
      <c r="CZ89" s="5"/>
      <c r="DA89" s="143"/>
      <c r="DB89" s="140"/>
      <c r="DC89" s="37"/>
      <c r="DD89" s="37"/>
      <c r="DE89" s="37"/>
      <c r="DF89" s="37"/>
      <c r="DG89" s="140"/>
      <c r="DH89" s="43"/>
      <c r="DI89" s="5"/>
      <c r="DJ89" s="5"/>
    </row>
    <row r="90" spans="1:114" x14ac:dyDescent="0.35">
      <c r="A90" s="9">
        <v>208141</v>
      </c>
      <c r="B90" s="9" t="s">
        <v>912</v>
      </c>
      <c r="C90" s="34" t="s">
        <v>489</v>
      </c>
      <c r="D90" s="5" t="s">
        <v>714</v>
      </c>
      <c r="E90" s="5" t="s">
        <v>715</v>
      </c>
      <c r="F90" s="6">
        <v>6606</v>
      </c>
      <c r="G90" s="145" t="s">
        <v>33</v>
      </c>
      <c r="H90" s="37">
        <v>13473174</v>
      </c>
      <c r="I90" s="37">
        <v>13473174</v>
      </c>
      <c r="J90" s="37"/>
      <c r="K90" s="37">
        <v>13473174</v>
      </c>
      <c r="L90" s="37">
        <f t="shared" si="17"/>
        <v>0</v>
      </c>
      <c r="M90" s="37"/>
      <c r="N90" s="37"/>
      <c r="O90" s="140">
        <v>0</v>
      </c>
      <c r="P90" s="43">
        <v>44574</v>
      </c>
      <c r="Q90" s="5" t="s">
        <v>284</v>
      </c>
      <c r="R90" s="42"/>
      <c r="S90" s="37">
        <v>13473174</v>
      </c>
      <c r="T90" s="39">
        <f>K90-S90</f>
        <v>0</v>
      </c>
      <c r="U90" s="5"/>
      <c r="V90" s="147">
        <v>0</v>
      </c>
      <c r="W90" s="142">
        <v>44670</v>
      </c>
      <c r="X90" s="5" t="s">
        <v>284</v>
      </c>
      <c r="Y90" s="42"/>
      <c r="Z90" s="5"/>
      <c r="AA90" s="38">
        <v>13473174</v>
      </c>
      <c r="AB90" s="38">
        <f>K90-AA90</f>
        <v>0</v>
      </c>
      <c r="AC90" s="5"/>
      <c r="AD90" s="40">
        <v>0</v>
      </c>
      <c r="AE90" s="51">
        <v>44636</v>
      </c>
      <c r="AF90" s="5" t="s">
        <v>284</v>
      </c>
      <c r="AG90" s="42"/>
      <c r="AH90" s="140"/>
      <c r="AI90" s="37">
        <v>13473174</v>
      </c>
      <c r="AJ90" s="37">
        <f>AA90-AI90</f>
        <v>0</v>
      </c>
      <c r="AK90" s="37"/>
      <c r="AL90" s="37"/>
      <c r="AM90" s="140">
        <v>0</v>
      </c>
      <c r="AN90" s="43">
        <v>44670</v>
      </c>
      <c r="AO90" s="5" t="s">
        <v>284</v>
      </c>
      <c r="AP90" s="5"/>
      <c r="AQ90" s="40"/>
      <c r="AR90" s="37">
        <v>13473174</v>
      </c>
      <c r="AS90" s="37">
        <f t="shared" si="11"/>
        <v>0</v>
      </c>
      <c r="AT90" s="37"/>
      <c r="AU90" s="37"/>
      <c r="AV90" s="140">
        <v>0</v>
      </c>
      <c r="AW90" s="43">
        <v>44687</v>
      </c>
      <c r="AX90" s="5" t="s">
        <v>284</v>
      </c>
      <c r="AY90" s="5"/>
      <c r="AZ90" s="140"/>
      <c r="BA90" s="37">
        <v>13473174</v>
      </c>
      <c r="BB90" s="37">
        <f>AR90-BA90</f>
        <v>0</v>
      </c>
      <c r="BC90" s="37"/>
      <c r="BD90" s="37"/>
      <c r="BE90" s="140">
        <v>0</v>
      </c>
      <c r="BF90" s="43">
        <v>44727</v>
      </c>
      <c r="BG90" s="5" t="s">
        <v>284</v>
      </c>
      <c r="BH90" s="43">
        <v>44755</v>
      </c>
      <c r="BI90" s="140"/>
      <c r="BJ90" s="37">
        <v>13473174</v>
      </c>
      <c r="BK90" s="37">
        <f t="shared" si="10"/>
        <v>0</v>
      </c>
      <c r="BL90" s="37"/>
      <c r="BM90" s="37"/>
      <c r="BN90" s="140">
        <v>0</v>
      </c>
      <c r="BO90" s="43">
        <v>44750</v>
      </c>
      <c r="BP90" s="5" t="s">
        <v>284</v>
      </c>
      <c r="BQ90" s="43">
        <v>44768</v>
      </c>
      <c r="BR90" s="140"/>
      <c r="BS90" s="37"/>
      <c r="BT90" s="37"/>
      <c r="BU90" s="37"/>
      <c r="BV90" s="37"/>
      <c r="BW90" s="140"/>
      <c r="BX90" s="43"/>
      <c r="BY90" s="5"/>
      <c r="BZ90" s="5"/>
      <c r="CA90" s="140"/>
      <c r="CB90" s="37"/>
      <c r="CC90" s="37"/>
      <c r="CD90" s="37"/>
      <c r="CE90" s="37"/>
      <c r="CF90" s="140"/>
      <c r="CG90" s="43"/>
      <c r="CH90" s="5"/>
      <c r="CI90" s="5"/>
      <c r="CJ90" s="140"/>
      <c r="CK90" s="37"/>
      <c r="CL90" s="37"/>
      <c r="CM90" s="37"/>
      <c r="CN90" s="37"/>
      <c r="CO90" s="140"/>
      <c r="CP90" s="43"/>
      <c r="CQ90" s="5"/>
      <c r="CR90" s="5"/>
      <c r="CS90" s="140"/>
      <c r="CT90" s="37"/>
      <c r="CU90" s="37"/>
      <c r="CV90" s="37"/>
      <c r="CW90" s="37"/>
      <c r="CX90" s="140"/>
      <c r="CY90" s="43"/>
      <c r="CZ90" s="5"/>
      <c r="DA90" s="143"/>
      <c r="DB90" s="140"/>
      <c r="DC90" s="37"/>
      <c r="DD90" s="37"/>
      <c r="DE90" s="37"/>
      <c r="DF90" s="37"/>
      <c r="DG90" s="140"/>
      <c r="DH90" s="43"/>
      <c r="DI90" s="5"/>
      <c r="DJ90" s="5"/>
    </row>
    <row r="91" spans="1:114" x14ac:dyDescent="0.35">
      <c r="A91" s="9">
        <v>204587</v>
      </c>
      <c r="B91" s="9" t="s">
        <v>913</v>
      </c>
      <c r="C91" s="34" t="s">
        <v>493</v>
      </c>
      <c r="D91" s="5" t="s">
        <v>914</v>
      </c>
      <c r="E91" s="5" t="s">
        <v>699</v>
      </c>
      <c r="F91" s="6">
        <v>6610</v>
      </c>
      <c r="G91" s="145">
        <v>890323373</v>
      </c>
      <c r="H91" s="37">
        <v>9146017</v>
      </c>
      <c r="I91" s="37">
        <v>9146017</v>
      </c>
      <c r="J91" s="37"/>
      <c r="K91" s="37">
        <v>9146017</v>
      </c>
      <c r="L91" s="37">
        <f t="shared" si="17"/>
        <v>0</v>
      </c>
      <c r="M91" s="37"/>
      <c r="N91" s="37"/>
      <c r="O91" s="140">
        <f>L91/H91</f>
        <v>0</v>
      </c>
      <c r="P91" s="142">
        <v>44575</v>
      </c>
      <c r="Q91" s="5" t="s">
        <v>284</v>
      </c>
      <c r="R91" s="42"/>
      <c r="S91" s="37">
        <v>9146017</v>
      </c>
      <c r="T91" s="39">
        <f>H91-S91</f>
        <v>0</v>
      </c>
      <c r="U91" s="5"/>
      <c r="V91" s="140">
        <f>T91/H91</f>
        <v>0</v>
      </c>
      <c r="W91" s="142">
        <v>44600</v>
      </c>
      <c r="X91" s="5" t="s">
        <v>284</v>
      </c>
      <c r="Y91" s="42"/>
      <c r="Z91" s="144"/>
      <c r="AA91" s="38">
        <v>9146017</v>
      </c>
      <c r="AB91" s="38">
        <f>S91-AA91</f>
        <v>0</v>
      </c>
      <c r="AC91" s="5"/>
      <c r="AD91" s="40">
        <v>0</v>
      </c>
      <c r="AE91" s="43">
        <v>44648</v>
      </c>
      <c r="AF91" s="5" t="s">
        <v>284</v>
      </c>
      <c r="AG91" s="42"/>
      <c r="AH91" s="144"/>
      <c r="AI91" s="37">
        <v>9146017</v>
      </c>
      <c r="AJ91" s="37">
        <f>AA91-AI91</f>
        <v>0</v>
      </c>
      <c r="AK91" s="37"/>
      <c r="AL91" s="37"/>
      <c r="AM91" s="140">
        <v>0</v>
      </c>
      <c r="AN91" s="43">
        <v>44657</v>
      </c>
      <c r="AO91" s="5" t="s">
        <v>284</v>
      </c>
      <c r="AP91" s="5"/>
      <c r="AQ91" s="40"/>
      <c r="AR91" s="37">
        <v>9146017</v>
      </c>
      <c r="AS91" s="37">
        <f t="shared" si="11"/>
        <v>0</v>
      </c>
      <c r="AT91" s="37"/>
      <c r="AU91" s="37"/>
      <c r="AV91" s="140">
        <v>0</v>
      </c>
      <c r="AW91" s="43">
        <v>44687</v>
      </c>
      <c r="AX91" s="5" t="s">
        <v>284</v>
      </c>
      <c r="AY91" s="5"/>
      <c r="AZ91" s="140"/>
      <c r="BA91" s="37">
        <v>9146017</v>
      </c>
      <c r="BB91" s="37">
        <f t="shared" ref="BB91:BB96" si="18">AR91-BA91</f>
        <v>0</v>
      </c>
      <c r="BC91" s="37"/>
      <c r="BD91" s="37"/>
      <c r="BE91" s="140">
        <v>0</v>
      </c>
      <c r="BF91" s="43">
        <v>44713</v>
      </c>
      <c r="BG91" s="5" t="s">
        <v>284</v>
      </c>
      <c r="BH91" s="43">
        <v>44728</v>
      </c>
      <c r="BI91" s="140"/>
      <c r="BJ91" s="37">
        <v>9146017</v>
      </c>
      <c r="BK91" s="37">
        <f t="shared" si="10"/>
        <v>0</v>
      </c>
      <c r="BL91" s="37"/>
      <c r="BM91" s="37"/>
      <c r="BN91" s="140">
        <v>0</v>
      </c>
      <c r="BO91" s="43">
        <v>44747</v>
      </c>
      <c r="BP91" s="5" t="s">
        <v>284</v>
      </c>
      <c r="BQ91" s="43">
        <v>44757</v>
      </c>
      <c r="BR91" s="140"/>
      <c r="BS91" s="37">
        <v>9146017</v>
      </c>
      <c r="BT91" s="37">
        <f>BJ91-BS91</f>
        <v>0</v>
      </c>
      <c r="BU91" s="37"/>
      <c r="BV91" s="37"/>
      <c r="BW91" s="140">
        <v>0</v>
      </c>
      <c r="BX91" s="43">
        <v>44781</v>
      </c>
      <c r="BY91" s="5" t="s">
        <v>284</v>
      </c>
      <c r="BZ91" s="5"/>
      <c r="CA91" s="140"/>
      <c r="CB91" s="37"/>
      <c r="CC91" s="37"/>
      <c r="CD91" s="37"/>
      <c r="CE91" s="37"/>
      <c r="CF91" s="140"/>
      <c r="CG91" s="43"/>
      <c r="CH91" s="5"/>
      <c r="CI91" s="5"/>
      <c r="CJ91" s="140"/>
      <c r="CK91" s="37"/>
      <c r="CL91" s="37"/>
      <c r="CM91" s="37"/>
      <c r="CN91" s="37"/>
      <c r="CO91" s="140"/>
      <c r="CP91" s="43"/>
      <c r="CQ91" s="5"/>
      <c r="CR91" s="5"/>
      <c r="CS91" s="140"/>
      <c r="CT91" s="37"/>
      <c r="CU91" s="37"/>
      <c r="CV91" s="37"/>
      <c r="CW91" s="37"/>
      <c r="CX91" s="140"/>
      <c r="CY91" s="43"/>
      <c r="CZ91" s="5"/>
      <c r="DA91" s="143"/>
      <c r="DB91" s="140"/>
      <c r="DC91" s="37"/>
      <c r="DD91" s="37"/>
      <c r="DE91" s="37"/>
      <c r="DF91" s="37"/>
      <c r="DG91" s="140"/>
      <c r="DH91" s="43"/>
      <c r="DI91" s="5"/>
      <c r="DJ91" s="5"/>
    </row>
    <row r="92" spans="1:114" x14ac:dyDescent="0.35">
      <c r="A92" s="9">
        <v>214087</v>
      </c>
      <c r="B92" s="9" t="s">
        <v>915</v>
      </c>
      <c r="C92" s="34" t="s">
        <v>497</v>
      </c>
      <c r="D92" s="5" t="s">
        <v>916</v>
      </c>
      <c r="E92" s="5" t="s">
        <v>625</v>
      </c>
      <c r="F92" s="6">
        <v>6616</v>
      </c>
      <c r="G92" s="145" t="s">
        <v>917</v>
      </c>
      <c r="H92" s="37">
        <v>13000000</v>
      </c>
      <c r="I92" s="37">
        <v>13000000</v>
      </c>
      <c r="J92" s="37"/>
      <c r="K92" s="37">
        <v>13000000</v>
      </c>
      <c r="L92" s="37">
        <f t="shared" si="17"/>
        <v>0</v>
      </c>
      <c r="M92" s="37"/>
      <c r="N92" s="37"/>
      <c r="O92" s="140">
        <v>0</v>
      </c>
      <c r="P92" s="43">
        <v>44567</v>
      </c>
      <c r="Q92" s="43" t="s">
        <v>284</v>
      </c>
      <c r="R92" s="42"/>
      <c r="S92" s="37">
        <v>13000000</v>
      </c>
      <c r="T92" s="39">
        <f t="shared" ref="T92:T99" si="19">K92-S92</f>
        <v>0</v>
      </c>
      <c r="U92" s="5"/>
      <c r="V92" s="140">
        <v>0</v>
      </c>
      <c r="W92" s="142">
        <v>44596</v>
      </c>
      <c r="X92" s="5" t="s">
        <v>284</v>
      </c>
      <c r="Y92" s="42"/>
      <c r="Z92" s="5"/>
      <c r="AA92" s="38">
        <v>13000000</v>
      </c>
      <c r="AB92" s="38">
        <f>S92-AA92</f>
        <v>0</v>
      </c>
      <c r="AC92" s="5"/>
      <c r="AD92" s="40">
        <v>0</v>
      </c>
      <c r="AE92" s="142">
        <v>44627</v>
      </c>
      <c r="AF92" s="5" t="s">
        <v>284</v>
      </c>
      <c r="AG92" s="42"/>
      <c r="AH92" s="144"/>
      <c r="AI92" s="37">
        <v>13000000</v>
      </c>
      <c r="AJ92" s="37">
        <f>AA92-AI92</f>
        <v>0</v>
      </c>
      <c r="AK92" s="37"/>
      <c r="AL92" s="37"/>
      <c r="AM92" s="140">
        <v>0</v>
      </c>
      <c r="AN92" s="43">
        <v>44656</v>
      </c>
      <c r="AO92" s="5" t="s">
        <v>284</v>
      </c>
      <c r="AP92" s="5"/>
      <c r="AQ92" s="40"/>
      <c r="AR92" s="37">
        <v>13000000</v>
      </c>
      <c r="AS92" s="37">
        <f>AI92-AR92</f>
        <v>0</v>
      </c>
      <c r="AT92" s="37"/>
      <c r="AU92" s="37"/>
      <c r="AV92" s="140">
        <v>0</v>
      </c>
      <c r="AW92" s="43">
        <v>44704</v>
      </c>
      <c r="AX92" s="5" t="s">
        <v>284</v>
      </c>
      <c r="AY92" s="5"/>
      <c r="AZ92" s="140"/>
      <c r="BA92" s="37">
        <v>13000000</v>
      </c>
      <c r="BB92" s="37">
        <f t="shared" si="18"/>
        <v>0</v>
      </c>
      <c r="BC92" s="37"/>
      <c r="BD92" s="37"/>
      <c r="BE92" s="140">
        <v>0</v>
      </c>
      <c r="BF92" s="43">
        <v>44715</v>
      </c>
      <c r="BG92" s="5" t="s">
        <v>284</v>
      </c>
      <c r="BH92" s="43">
        <v>44728</v>
      </c>
      <c r="BI92" s="140"/>
      <c r="BJ92" s="37">
        <v>13000000</v>
      </c>
      <c r="BK92" s="37">
        <f t="shared" si="10"/>
        <v>0</v>
      </c>
      <c r="BL92" s="37"/>
      <c r="BM92" s="37"/>
      <c r="BN92" s="140">
        <v>0</v>
      </c>
      <c r="BO92" s="43">
        <v>44747</v>
      </c>
      <c r="BP92" s="5" t="s">
        <v>284</v>
      </c>
      <c r="BQ92" s="43">
        <v>44757</v>
      </c>
      <c r="BR92" s="140"/>
      <c r="BS92" s="37">
        <v>13000000</v>
      </c>
      <c r="BT92" s="37">
        <f>BJ92-BS92</f>
        <v>0</v>
      </c>
      <c r="BU92" s="37"/>
      <c r="BV92" s="37"/>
      <c r="BW92" s="140">
        <v>0</v>
      </c>
      <c r="BX92" s="43">
        <v>44778</v>
      </c>
      <c r="BY92" s="5" t="s">
        <v>284</v>
      </c>
      <c r="BZ92" s="5"/>
      <c r="CA92" s="140"/>
      <c r="CB92" s="37"/>
      <c r="CC92" s="37"/>
      <c r="CD92" s="37"/>
      <c r="CE92" s="37"/>
      <c r="CF92" s="140"/>
      <c r="CG92" s="43"/>
      <c r="CH92" s="5"/>
      <c r="CI92" s="5"/>
      <c r="CJ92" s="140"/>
      <c r="CK92" s="37"/>
      <c r="CL92" s="37"/>
      <c r="CM92" s="37"/>
      <c r="CN92" s="37"/>
      <c r="CO92" s="140"/>
      <c r="CP92" s="43"/>
      <c r="CQ92" s="5"/>
      <c r="CR92" s="5"/>
      <c r="CS92" s="140"/>
      <c r="CT92" s="37"/>
      <c r="CU92" s="37"/>
      <c r="CV92" s="37"/>
      <c r="CW92" s="37"/>
      <c r="CX92" s="140"/>
      <c r="CY92" s="43"/>
      <c r="CZ92" s="5"/>
      <c r="DA92" s="143"/>
      <c r="DB92" s="140"/>
      <c r="DC92" s="37"/>
      <c r="DD92" s="37"/>
      <c r="DE92" s="37"/>
      <c r="DF92" s="37"/>
      <c r="DG92" s="140"/>
      <c r="DH92" s="43"/>
      <c r="DI92" s="5"/>
      <c r="DJ92" s="5"/>
    </row>
    <row r="93" spans="1:114" x14ac:dyDescent="0.35">
      <c r="A93" s="9">
        <v>204531</v>
      </c>
      <c r="B93" s="9" t="s">
        <v>717</v>
      </c>
      <c r="C93" s="34" t="s">
        <v>501</v>
      </c>
      <c r="D93" s="5" t="s">
        <v>716</v>
      </c>
      <c r="E93" s="5" t="s">
        <v>625</v>
      </c>
      <c r="F93" s="6">
        <v>6617</v>
      </c>
      <c r="G93" s="145" t="s">
        <v>718</v>
      </c>
      <c r="H93" s="37">
        <v>6988681</v>
      </c>
      <c r="I93" s="37">
        <v>6988681</v>
      </c>
      <c r="J93" s="37"/>
      <c r="K93" s="37">
        <v>6988681</v>
      </c>
      <c r="L93" s="37">
        <f t="shared" si="17"/>
        <v>0</v>
      </c>
      <c r="M93" s="37"/>
      <c r="N93" s="37"/>
      <c r="O93" s="140">
        <v>0</v>
      </c>
      <c r="P93" s="43">
        <v>44574</v>
      </c>
      <c r="Q93" s="5" t="s">
        <v>284</v>
      </c>
      <c r="R93" s="42"/>
      <c r="S93" s="37">
        <v>6988681</v>
      </c>
      <c r="T93" s="39">
        <f t="shared" si="19"/>
        <v>0</v>
      </c>
      <c r="U93" s="5"/>
      <c r="V93" s="140">
        <v>0</v>
      </c>
      <c r="W93" s="142">
        <v>44601</v>
      </c>
      <c r="X93" s="5" t="s">
        <v>284</v>
      </c>
      <c r="Y93" s="42"/>
      <c r="Z93" s="5"/>
      <c r="AA93" s="38">
        <v>6988681</v>
      </c>
      <c r="AB93" s="38">
        <f>S93-AA93</f>
        <v>0</v>
      </c>
      <c r="AC93" s="5"/>
      <c r="AD93" s="40">
        <v>0</v>
      </c>
      <c r="AE93" s="51">
        <v>44634</v>
      </c>
      <c r="AF93" s="5" t="s">
        <v>284</v>
      </c>
      <c r="AG93" s="42"/>
      <c r="AH93" s="5"/>
      <c r="AI93" s="37">
        <v>6988681</v>
      </c>
      <c r="AJ93" s="37">
        <f>AA93-AI93</f>
        <v>0</v>
      </c>
      <c r="AK93" s="37"/>
      <c r="AL93" s="37"/>
      <c r="AM93" s="140">
        <v>0</v>
      </c>
      <c r="AN93" s="43">
        <v>44662</v>
      </c>
      <c r="AO93" s="5" t="s">
        <v>284</v>
      </c>
      <c r="AP93" s="5"/>
      <c r="AQ93" s="40"/>
      <c r="AR93" s="37">
        <v>6988681</v>
      </c>
      <c r="AS93" s="37">
        <f t="shared" ref="AS93:AS100" si="20">AI93-AR93</f>
        <v>0</v>
      </c>
      <c r="AT93" s="37"/>
      <c r="AU93" s="37"/>
      <c r="AV93" s="140">
        <v>0</v>
      </c>
      <c r="AW93" s="43">
        <v>44690</v>
      </c>
      <c r="AX93" s="5" t="s">
        <v>284</v>
      </c>
      <c r="AY93" s="5"/>
      <c r="AZ93" s="140"/>
      <c r="BA93" s="37">
        <v>6988681</v>
      </c>
      <c r="BB93" s="37">
        <f t="shared" si="18"/>
        <v>0</v>
      </c>
      <c r="BC93" s="37"/>
      <c r="BD93" s="37"/>
      <c r="BE93" s="140">
        <v>0</v>
      </c>
      <c r="BF93" s="43">
        <v>44718</v>
      </c>
      <c r="BG93" s="5" t="s">
        <v>284</v>
      </c>
      <c r="BH93" s="43">
        <v>44728</v>
      </c>
      <c r="BI93" s="140"/>
      <c r="BJ93" s="37">
        <v>6988681</v>
      </c>
      <c r="BK93" s="37">
        <f t="shared" si="10"/>
        <v>0</v>
      </c>
      <c r="BL93" s="37"/>
      <c r="BM93" s="37"/>
      <c r="BN93" s="140">
        <v>0</v>
      </c>
      <c r="BO93" s="43">
        <v>44753</v>
      </c>
      <c r="BP93" s="5" t="s">
        <v>284</v>
      </c>
      <c r="BQ93" s="43">
        <v>44768</v>
      </c>
      <c r="BR93" s="140"/>
      <c r="BS93" s="37">
        <v>6988681</v>
      </c>
      <c r="BT93" s="37">
        <f>BJ93-BS93</f>
        <v>0</v>
      </c>
      <c r="BU93" s="37"/>
      <c r="BV93" s="37"/>
      <c r="BW93" s="140">
        <v>0</v>
      </c>
      <c r="BX93" s="43">
        <v>44783</v>
      </c>
      <c r="BY93" s="5" t="s">
        <v>284</v>
      </c>
      <c r="BZ93" s="5"/>
      <c r="CA93" s="140"/>
      <c r="CB93" s="37"/>
      <c r="CC93" s="37"/>
      <c r="CD93" s="37"/>
      <c r="CE93" s="37"/>
      <c r="CF93" s="140"/>
      <c r="CG93" s="43"/>
      <c r="CH93" s="5"/>
      <c r="CI93" s="5"/>
      <c r="CJ93" s="140"/>
      <c r="CK93" s="37"/>
      <c r="CL93" s="37"/>
      <c r="CM93" s="37"/>
      <c r="CN93" s="37"/>
      <c r="CO93" s="140"/>
      <c r="CP93" s="43"/>
      <c r="CQ93" s="5"/>
      <c r="CR93" s="5"/>
      <c r="CS93" s="140"/>
      <c r="CT93" s="37"/>
      <c r="CU93" s="37"/>
      <c r="CV93" s="37"/>
      <c r="CW93" s="37"/>
      <c r="CX93" s="140"/>
      <c r="CY93" s="43"/>
      <c r="CZ93" s="5"/>
      <c r="DA93" s="143"/>
      <c r="DB93" s="140"/>
      <c r="DC93" s="37"/>
      <c r="DD93" s="37"/>
      <c r="DE93" s="37"/>
      <c r="DF93" s="37"/>
      <c r="DG93" s="140"/>
      <c r="DH93" s="43"/>
      <c r="DI93" s="5"/>
      <c r="DJ93" s="5"/>
    </row>
    <row r="94" spans="1:114" x14ac:dyDescent="0.35">
      <c r="A94" s="9">
        <v>205529</v>
      </c>
      <c r="B94" s="9" t="s">
        <v>12</v>
      </c>
      <c r="C94" s="34" t="s">
        <v>505</v>
      </c>
      <c r="D94" s="5" t="s">
        <v>719</v>
      </c>
      <c r="E94" s="5" t="s">
        <v>643</v>
      </c>
      <c r="F94" s="6">
        <v>6619</v>
      </c>
      <c r="G94" s="145">
        <v>9002479436</v>
      </c>
      <c r="H94" s="37">
        <v>10150000</v>
      </c>
      <c r="I94" s="37">
        <v>10150000</v>
      </c>
      <c r="J94" s="37"/>
      <c r="K94" s="37">
        <v>10150000</v>
      </c>
      <c r="L94" s="37">
        <f t="shared" si="17"/>
        <v>0</v>
      </c>
      <c r="M94" s="37"/>
      <c r="N94" s="37"/>
      <c r="O94" s="140">
        <v>0</v>
      </c>
      <c r="P94" s="43">
        <v>44567</v>
      </c>
      <c r="Q94" s="43" t="s">
        <v>284</v>
      </c>
      <c r="R94" s="42"/>
      <c r="S94" s="37">
        <v>10150000</v>
      </c>
      <c r="T94" s="39">
        <f t="shared" si="19"/>
        <v>0</v>
      </c>
      <c r="U94" s="5"/>
      <c r="V94" s="140">
        <v>0</v>
      </c>
      <c r="W94" s="142">
        <v>44600</v>
      </c>
      <c r="X94" s="5" t="s">
        <v>284</v>
      </c>
      <c r="Y94" s="42"/>
      <c r="Z94" s="144"/>
      <c r="AA94" s="38">
        <v>10150000</v>
      </c>
      <c r="AB94" s="38">
        <f t="shared" ref="AB94:AB100" si="21">S94-AA94</f>
        <v>0</v>
      </c>
      <c r="AC94" s="5"/>
      <c r="AD94" s="40">
        <v>0</v>
      </c>
      <c r="AE94" s="43">
        <v>44624</v>
      </c>
      <c r="AF94" s="5" t="s">
        <v>284</v>
      </c>
      <c r="AG94" s="42"/>
      <c r="AH94" s="144"/>
      <c r="AI94" s="37">
        <v>10150000</v>
      </c>
      <c r="AJ94" s="37">
        <f t="shared" ref="AJ94:AJ102" si="22">AA94-AI94</f>
        <v>0</v>
      </c>
      <c r="AK94" s="37"/>
      <c r="AL94" s="37"/>
      <c r="AM94" s="140">
        <v>0</v>
      </c>
      <c r="AN94" s="43">
        <v>44657</v>
      </c>
      <c r="AO94" s="5" t="s">
        <v>284</v>
      </c>
      <c r="AP94" s="5"/>
      <c r="AQ94" s="40"/>
      <c r="AR94" s="37">
        <v>10150000</v>
      </c>
      <c r="AS94" s="37">
        <f t="shared" si="20"/>
        <v>0</v>
      </c>
      <c r="AT94" s="37"/>
      <c r="AU94" s="37"/>
      <c r="AV94" s="140">
        <v>0</v>
      </c>
      <c r="AW94" s="43">
        <v>44687</v>
      </c>
      <c r="AX94" s="5" t="s">
        <v>284</v>
      </c>
      <c r="AY94" s="5"/>
      <c r="AZ94" s="140"/>
      <c r="BA94" s="37">
        <v>10150000</v>
      </c>
      <c r="BB94" s="37">
        <f t="shared" si="18"/>
        <v>0</v>
      </c>
      <c r="BC94" s="37"/>
      <c r="BD94" s="37"/>
      <c r="BE94" s="140">
        <v>0</v>
      </c>
      <c r="BF94" s="43">
        <v>44715</v>
      </c>
      <c r="BG94" s="5" t="s">
        <v>284</v>
      </c>
      <c r="BH94" s="43">
        <v>44728</v>
      </c>
      <c r="BI94" s="140"/>
      <c r="BJ94" s="37">
        <v>10150000</v>
      </c>
      <c r="BK94" s="37">
        <f t="shared" si="10"/>
        <v>0</v>
      </c>
      <c r="BL94" s="37"/>
      <c r="BM94" s="37"/>
      <c r="BN94" s="140">
        <v>0</v>
      </c>
      <c r="BO94" s="43">
        <v>44749</v>
      </c>
      <c r="BP94" s="5" t="s">
        <v>284</v>
      </c>
      <c r="BQ94" s="43">
        <v>44757</v>
      </c>
      <c r="BR94" s="140"/>
      <c r="BS94" s="37">
        <v>10150000</v>
      </c>
      <c r="BT94" s="37">
        <f t="shared" ref="BT94:BT99" si="23">BJ94-BS94</f>
        <v>0</v>
      </c>
      <c r="BU94" s="37"/>
      <c r="BV94" s="37"/>
      <c r="BW94" s="140">
        <v>0</v>
      </c>
      <c r="BX94" s="43">
        <v>44778</v>
      </c>
      <c r="BY94" s="5" t="s">
        <v>284</v>
      </c>
      <c r="BZ94" s="5"/>
      <c r="CA94" s="140"/>
      <c r="CB94" s="37"/>
      <c r="CC94" s="37"/>
      <c r="CD94" s="37"/>
      <c r="CE94" s="37"/>
      <c r="CF94" s="140"/>
      <c r="CG94" s="43"/>
      <c r="CH94" s="5"/>
      <c r="CI94" s="5"/>
      <c r="CJ94" s="140"/>
      <c r="CK94" s="37"/>
      <c r="CL94" s="37"/>
      <c r="CM94" s="37"/>
      <c r="CN94" s="37"/>
      <c r="CO94" s="140"/>
      <c r="CP94" s="43"/>
      <c r="CQ94" s="5"/>
      <c r="CR94" s="5"/>
      <c r="CS94" s="140"/>
      <c r="CT94" s="37"/>
      <c r="CU94" s="37"/>
      <c r="CV94" s="37"/>
      <c r="CW94" s="37"/>
      <c r="CX94" s="140"/>
      <c r="CY94" s="43"/>
      <c r="CZ94" s="5"/>
      <c r="DA94" s="143"/>
      <c r="DB94" s="140"/>
      <c r="DC94" s="37"/>
      <c r="DD94" s="37"/>
      <c r="DE94" s="37"/>
      <c r="DF94" s="37"/>
      <c r="DG94" s="140"/>
      <c r="DH94" s="43"/>
      <c r="DI94" s="5"/>
      <c r="DJ94" s="5"/>
    </row>
    <row r="95" spans="1:114" x14ac:dyDescent="0.35">
      <c r="A95" s="9" t="s">
        <v>40</v>
      </c>
      <c r="B95" s="9" t="s">
        <v>721</v>
      </c>
      <c r="C95" s="34" t="s">
        <v>508</v>
      </c>
      <c r="D95" s="5" t="s">
        <v>720</v>
      </c>
      <c r="E95" s="5" t="s">
        <v>715</v>
      </c>
      <c r="F95" s="6">
        <v>6620</v>
      </c>
      <c r="G95" s="145" t="s">
        <v>722</v>
      </c>
      <c r="H95" s="37">
        <v>12351700</v>
      </c>
      <c r="I95" s="37">
        <v>12351700</v>
      </c>
      <c r="J95" s="37"/>
      <c r="K95" s="37">
        <v>12351700</v>
      </c>
      <c r="L95" s="37">
        <f t="shared" si="17"/>
        <v>0</v>
      </c>
      <c r="M95" s="37"/>
      <c r="N95" s="37"/>
      <c r="O95" s="140">
        <v>0</v>
      </c>
      <c r="P95" s="142">
        <v>44564</v>
      </c>
      <c r="Q95" s="9" t="s">
        <v>284</v>
      </c>
      <c r="R95" s="42"/>
      <c r="S95" s="37">
        <v>12351700</v>
      </c>
      <c r="T95" s="39">
        <f t="shared" si="19"/>
        <v>0</v>
      </c>
      <c r="U95" s="5"/>
      <c r="V95" s="140">
        <v>0</v>
      </c>
      <c r="W95" s="142">
        <v>44593</v>
      </c>
      <c r="X95" s="5" t="s">
        <v>284</v>
      </c>
      <c r="Y95" s="42"/>
      <c r="Z95" s="5"/>
      <c r="AA95" s="38">
        <v>12351700</v>
      </c>
      <c r="AB95" s="38">
        <f t="shared" si="21"/>
        <v>0</v>
      </c>
      <c r="AC95" s="5"/>
      <c r="AD95" s="40">
        <v>0</v>
      </c>
      <c r="AE95" s="51">
        <v>44621</v>
      </c>
      <c r="AF95" s="5" t="s">
        <v>284</v>
      </c>
      <c r="AG95" s="42"/>
      <c r="AH95" s="144"/>
      <c r="AI95" s="37">
        <v>12351700</v>
      </c>
      <c r="AJ95" s="37">
        <f t="shared" si="22"/>
        <v>0</v>
      </c>
      <c r="AK95" s="37"/>
      <c r="AL95" s="37"/>
      <c r="AM95" s="140">
        <v>0</v>
      </c>
      <c r="AN95" s="43">
        <v>44655</v>
      </c>
      <c r="AO95" s="5" t="s">
        <v>284</v>
      </c>
      <c r="AP95" s="5"/>
      <c r="AQ95" s="40"/>
      <c r="AR95" s="37">
        <v>12351700</v>
      </c>
      <c r="AS95" s="37">
        <f t="shared" si="20"/>
        <v>0</v>
      </c>
      <c r="AT95" s="37"/>
      <c r="AU95" s="37"/>
      <c r="AV95" s="140">
        <v>0</v>
      </c>
      <c r="AW95" s="43">
        <v>44683</v>
      </c>
      <c r="AX95" s="5" t="s">
        <v>284</v>
      </c>
      <c r="AY95" s="5"/>
      <c r="AZ95" s="140"/>
      <c r="BA95" s="37">
        <v>12351700</v>
      </c>
      <c r="BB95" s="37">
        <f t="shared" si="18"/>
        <v>0</v>
      </c>
      <c r="BC95" s="37"/>
      <c r="BD95" s="37"/>
      <c r="BE95" s="140">
        <v>0</v>
      </c>
      <c r="BF95" s="43">
        <v>44713</v>
      </c>
      <c r="BG95" s="5" t="s">
        <v>284</v>
      </c>
      <c r="BH95" s="43">
        <v>44728</v>
      </c>
      <c r="BI95" s="140"/>
      <c r="BJ95" s="37">
        <v>12351700</v>
      </c>
      <c r="BK95" s="37">
        <f t="shared" si="10"/>
        <v>0</v>
      </c>
      <c r="BL95" s="37"/>
      <c r="BM95" s="37"/>
      <c r="BN95" s="140">
        <v>0</v>
      </c>
      <c r="BO95" s="43">
        <v>44743</v>
      </c>
      <c r="BP95" s="5" t="s">
        <v>284</v>
      </c>
      <c r="BQ95" s="43">
        <v>44757</v>
      </c>
      <c r="BR95" s="140"/>
      <c r="BS95" s="37">
        <v>12351700</v>
      </c>
      <c r="BT95" s="37">
        <f t="shared" si="23"/>
        <v>0</v>
      </c>
      <c r="BU95" s="37"/>
      <c r="BV95" s="37"/>
      <c r="BW95" s="140">
        <v>0</v>
      </c>
      <c r="BX95" s="43">
        <v>44774</v>
      </c>
      <c r="BY95" s="5" t="s">
        <v>284</v>
      </c>
      <c r="BZ95" s="5"/>
      <c r="CA95" s="600"/>
      <c r="CB95" s="601"/>
      <c r="CC95" s="601"/>
      <c r="CD95" s="601"/>
      <c r="CE95" s="601"/>
      <c r="CF95" s="601"/>
      <c r="CG95" s="601"/>
      <c r="CH95" s="601"/>
      <c r="CI95" s="602"/>
      <c r="CJ95" s="140"/>
      <c r="CK95" s="37"/>
      <c r="CL95" s="37"/>
      <c r="CM95" s="37"/>
      <c r="CN95" s="37"/>
      <c r="CO95" s="140"/>
      <c r="CP95" s="43"/>
      <c r="CQ95" s="5"/>
      <c r="CR95" s="5"/>
      <c r="CS95" s="140"/>
      <c r="CT95" s="37"/>
      <c r="CU95" s="37"/>
      <c r="CV95" s="37"/>
      <c r="CW95" s="37"/>
      <c r="CX95" s="140"/>
      <c r="CY95" s="43"/>
      <c r="CZ95" s="5"/>
      <c r="DA95" s="143"/>
      <c r="DB95" s="140"/>
      <c r="DC95" s="37"/>
      <c r="DD95" s="37"/>
      <c r="DE95" s="37"/>
      <c r="DF95" s="37"/>
      <c r="DG95" s="140"/>
      <c r="DH95" s="43"/>
      <c r="DI95" s="5"/>
      <c r="DJ95" s="5"/>
    </row>
    <row r="96" spans="1:114" x14ac:dyDescent="0.35">
      <c r="A96" s="9">
        <v>206218</v>
      </c>
      <c r="B96" s="9" t="s">
        <v>9</v>
      </c>
      <c r="C96" s="34" t="s">
        <v>511</v>
      </c>
      <c r="D96" s="5" t="s">
        <v>723</v>
      </c>
      <c r="E96" s="5" t="s">
        <v>715</v>
      </c>
      <c r="F96" s="6">
        <v>6621</v>
      </c>
      <c r="G96" s="145" t="s">
        <v>724</v>
      </c>
      <c r="H96" s="37">
        <v>7204107</v>
      </c>
      <c r="I96" s="37">
        <v>6820780</v>
      </c>
      <c r="J96" s="37"/>
      <c r="K96" s="37">
        <v>6820780</v>
      </c>
      <c r="L96" s="37">
        <f>I96-K96</f>
        <v>0</v>
      </c>
      <c r="M96" s="37"/>
      <c r="N96" s="37"/>
      <c r="O96" s="140">
        <f>L96/H96</f>
        <v>0</v>
      </c>
      <c r="P96" s="43">
        <v>44566</v>
      </c>
      <c r="Q96" s="5" t="s">
        <v>284</v>
      </c>
      <c r="R96" s="42"/>
      <c r="S96" s="37">
        <v>7204107</v>
      </c>
      <c r="T96" s="39">
        <f t="shared" si="19"/>
        <v>-383327</v>
      </c>
      <c r="U96" s="5"/>
      <c r="V96" s="140">
        <f>T96/K96</f>
        <v>-5.6199877433372722E-2</v>
      </c>
      <c r="W96" s="43">
        <v>44595</v>
      </c>
      <c r="X96" s="5" t="s">
        <v>284</v>
      </c>
      <c r="Y96" s="42"/>
      <c r="Z96" s="5"/>
      <c r="AA96" s="38">
        <v>7204107</v>
      </c>
      <c r="AB96" s="38">
        <f t="shared" si="21"/>
        <v>0</v>
      </c>
      <c r="AC96" s="5"/>
      <c r="AD96" s="40">
        <v>0</v>
      </c>
      <c r="AE96" s="51">
        <v>44622</v>
      </c>
      <c r="AF96" s="5" t="s">
        <v>284</v>
      </c>
      <c r="AG96" s="42"/>
      <c r="AH96" s="144"/>
      <c r="AI96" s="37">
        <v>7204107</v>
      </c>
      <c r="AJ96" s="37">
        <f t="shared" si="22"/>
        <v>0</v>
      </c>
      <c r="AK96" s="37"/>
      <c r="AL96" s="37"/>
      <c r="AM96" s="140">
        <v>0</v>
      </c>
      <c r="AN96" s="43">
        <v>44656</v>
      </c>
      <c r="AO96" s="5" t="s">
        <v>284</v>
      </c>
      <c r="AP96" s="5"/>
      <c r="AQ96" s="40"/>
      <c r="AR96" s="37">
        <v>7204107</v>
      </c>
      <c r="AS96" s="37">
        <f t="shared" si="20"/>
        <v>0</v>
      </c>
      <c r="AT96" s="37"/>
      <c r="AU96" s="37"/>
      <c r="AV96" s="140">
        <v>0</v>
      </c>
      <c r="AW96" s="43">
        <v>44684</v>
      </c>
      <c r="AX96" s="5" t="s">
        <v>284</v>
      </c>
      <c r="AY96" s="5"/>
      <c r="AZ96" s="140"/>
      <c r="BA96" s="37">
        <v>7204107</v>
      </c>
      <c r="BB96" s="37">
        <f t="shared" si="18"/>
        <v>0</v>
      </c>
      <c r="BC96" s="37"/>
      <c r="BD96" s="37"/>
      <c r="BE96" s="140">
        <v>0</v>
      </c>
      <c r="BF96" s="43">
        <v>44713</v>
      </c>
      <c r="BG96" s="5" t="s">
        <v>284</v>
      </c>
      <c r="BH96" s="43">
        <v>44728</v>
      </c>
      <c r="BI96" s="140"/>
      <c r="BJ96" s="37">
        <v>7204107</v>
      </c>
      <c r="BK96" s="37">
        <f t="shared" si="10"/>
        <v>0</v>
      </c>
      <c r="BL96" s="37"/>
      <c r="BM96" s="37"/>
      <c r="BN96" s="140">
        <v>0</v>
      </c>
      <c r="BO96" s="43">
        <v>44747</v>
      </c>
      <c r="BP96" s="5" t="s">
        <v>284</v>
      </c>
      <c r="BQ96" s="43">
        <v>44757</v>
      </c>
      <c r="BR96" s="140"/>
      <c r="BS96" s="37">
        <v>7204107</v>
      </c>
      <c r="BT96" s="37">
        <f t="shared" si="23"/>
        <v>0</v>
      </c>
      <c r="BU96" s="37"/>
      <c r="BV96" s="37"/>
      <c r="BW96" s="140">
        <v>0</v>
      </c>
      <c r="BX96" s="43">
        <v>44775</v>
      </c>
      <c r="BY96" s="5" t="s">
        <v>284</v>
      </c>
      <c r="BZ96" s="5"/>
      <c r="CA96" s="140"/>
      <c r="CB96" s="37"/>
      <c r="CC96" s="37"/>
      <c r="CD96" s="37"/>
      <c r="CE96" s="37"/>
      <c r="CF96" s="140"/>
      <c r="CG96" s="43"/>
      <c r="CH96" s="5"/>
      <c r="CI96" s="5"/>
      <c r="CJ96" s="140"/>
      <c r="CK96" s="37"/>
      <c r="CL96" s="37"/>
      <c r="CM96" s="37"/>
      <c r="CN96" s="37"/>
      <c r="CO96" s="140"/>
      <c r="CP96" s="43"/>
      <c r="CQ96" s="5"/>
      <c r="CR96" s="5"/>
      <c r="CS96" s="140"/>
      <c r="CT96" s="37"/>
      <c r="CU96" s="37"/>
      <c r="CV96" s="37"/>
      <c r="CW96" s="37"/>
      <c r="CX96" s="140"/>
      <c r="CY96" s="43"/>
      <c r="CZ96" s="5"/>
      <c r="DA96" s="143"/>
      <c r="DB96" s="140"/>
      <c r="DC96" s="37"/>
      <c r="DD96" s="37"/>
      <c r="DE96" s="37"/>
      <c r="DF96" s="37"/>
      <c r="DG96" s="140"/>
      <c r="DH96" s="43"/>
      <c r="DI96" s="5"/>
      <c r="DJ96" s="5"/>
    </row>
    <row r="97" spans="1:114" x14ac:dyDescent="0.35">
      <c r="A97" s="9">
        <v>204519</v>
      </c>
      <c r="B97" s="9" t="s">
        <v>727</v>
      </c>
      <c r="C97" s="34" t="s">
        <v>514</v>
      </c>
      <c r="D97" s="5" t="s">
        <v>725</v>
      </c>
      <c r="E97" s="5" t="s">
        <v>625</v>
      </c>
      <c r="F97" s="6">
        <v>6623</v>
      </c>
      <c r="G97" s="145">
        <v>41437669</v>
      </c>
      <c r="H97" s="37">
        <v>6337200</v>
      </c>
      <c r="I97" s="37">
        <v>6000000</v>
      </c>
      <c r="J97" s="37"/>
      <c r="K97" s="37">
        <v>6000000</v>
      </c>
      <c r="L97" s="37">
        <f>I97-K97</f>
        <v>0</v>
      </c>
      <c r="M97" s="37"/>
      <c r="N97" s="37"/>
      <c r="O97" s="140">
        <v>0</v>
      </c>
      <c r="P97" s="142">
        <v>44586</v>
      </c>
      <c r="Q97" s="5" t="s">
        <v>284</v>
      </c>
      <c r="R97" s="42"/>
      <c r="S97" s="37">
        <v>6000000</v>
      </c>
      <c r="T97" s="37">
        <f t="shared" si="19"/>
        <v>0</v>
      </c>
      <c r="U97" s="5"/>
      <c r="V97" s="144">
        <v>0</v>
      </c>
      <c r="W97" s="43">
        <v>44594</v>
      </c>
      <c r="X97" s="5" t="s">
        <v>284</v>
      </c>
      <c r="Y97" s="42"/>
      <c r="Z97" s="5"/>
      <c r="AA97" s="38">
        <v>6000000</v>
      </c>
      <c r="AB97" s="38">
        <f t="shared" si="21"/>
        <v>0</v>
      </c>
      <c r="AC97" s="5"/>
      <c r="AD97" s="144">
        <v>0</v>
      </c>
      <c r="AE97" s="51">
        <v>44622</v>
      </c>
      <c r="AF97" s="5" t="s">
        <v>284</v>
      </c>
      <c r="AG97" s="42"/>
      <c r="AH97" s="140"/>
      <c r="AI97" s="37">
        <v>6000000</v>
      </c>
      <c r="AJ97" s="37">
        <f t="shared" si="22"/>
        <v>0</v>
      </c>
      <c r="AK97" s="37"/>
      <c r="AL97" s="37"/>
      <c r="AM97" s="140">
        <v>0</v>
      </c>
      <c r="AN97" s="43">
        <v>44655</v>
      </c>
      <c r="AO97" s="5" t="s">
        <v>284</v>
      </c>
      <c r="AP97" s="5"/>
      <c r="AQ97" s="40"/>
      <c r="AR97" s="37">
        <v>6000000</v>
      </c>
      <c r="AS97" s="37">
        <f t="shared" si="20"/>
        <v>0</v>
      </c>
      <c r="AT97" s="37"/>
      <c r="AU97" s="37"/>
      <c r="AV97" s="140">
        <v>0</v>
      </c>
      <c r="AW97" s="43">
        <v>44686</v>
      </c>
      <c r="AX97" s="5" t="s">
        <v>284</v>
      </c>
      <c r="AY97" s="5"/>
      <c r="AZ97" s="140"/>
      <c r="BA97" s="37">
        <v>6337200</v>
      </c>
      <c r="BB97" s="37"/>
      <c r="BC97" s="37">
        <f>AR97-BA97</f>
        <v>-337200</v>
      </c>
      <c r="BD97" s="37"/>
      <c r="BE97" s="140">
        <f>BC97/AR97</f>
        <v>-5.62E-2</v>
      </c>
      <c r="BF97" s="43">
        <v>44713</v>
      </c>
      <c r="BG97" s="5" t="s">
        <v>284</v>
      </c>
      <c r="BH97" s="43">
        <v>44778</v>
      </c>
      <c r="BI97" s="140"/>
      <c r="BJ97" s="37">
        <v>6337200</v>
      </c>
      <c r="BK97" s="37">
        <f t="shared" si="10"/>
        <v>0</v>
      </c>
      <c r="BL97" s="37"/>
      <c r="BM97" s="37"/>
      <c r="BN97" s="140">
        <v>0</v>
      </c>
      <c r="BO97" s="43">
        <v>44747</v>
      </c>
      <c r="BP97" s="5" t="s">
        <v>284</v>
      </c>
      <c r="BQ97" s="43">
        <v>44778</v>
      </c>
      <c r="BR97" s="140"/>
      <c r="BS97" s="37">
        <v>6337200</v>
      </c>
      <c r="BT97" s="37">
        <f t="shared" si="23"/>
        <v>0</v>
      </c>
      <c r="BU97" s="37"/>
      <c r="BV97" s="37"/>
      <c r="BW97" s="140">
        <v>0</v>
      </c>
      <c r="BX97" s="43">
        <v>44775</v>
      </c>
      <c r="BY97" s="5" t="s">
        <v>284</v>
      </c>
      <c r="BZ97" s="5"/>
      <c r="CA97" s="140"/>
      <c r="CB97" s="37"/>
      <c r="CC97" s="37"/>
      <c r="CD97" s="37"/>
      <c r="CE97" s="37"/>
      <c r="CF97" s="140"/>
      <c r="CG97" s="43"/>
      <c r="CH97" s="5"/>
      <c r="CI97" s="5"/>
      <c r="CJ97" s="140"/>
      <c r="CK97" s="37"/>
      <c r="CL97" s="37"/>
      <c r="CM97" s="37"/>
      <c r="CN97" s="37"/>
      <c r="CO97" s="140"/>
      <c r="CP97" s="43"/>
      <c r="CQ97" s="5"/>
      <c r="CR97" s="5"/>
      <c r="CS97" s="140"/>
      <c r="CT97" s="37"/>
      <c r="CU97" s="37"/>
      <c r="CV97" s="37"/>
      <c r="CW97" s="37"/>
      <c r="CX97" s="140"/>
      <c r="CY97" s="43"/>
      <c r="CZ97" s="5"/>
      <c r="DA97" s="143"/>
      <c r="DB97" s="140"/>
      <c r="DC97" s="37"/>
      <c r="DD97" s="37"/>
      <c r="DE97" s="37"/>
      <c r="DF97" s="37"/>
      <c r="DG97" s="140"/>
      <c r="DH97" s="43"/>
      <c r="DI97" s="5"/>
      <c r="DJ97" s="5"/>
    </row>
    <row r="98" spans="1:114" x14ac:dyDescent="0.35">
      <c r="A98" s="9">
        <v>204516</v>
      </c>
      <c r="B98" s="9" t="s">
        <v>726</v>
      </c>
      <c r="C98" s="34" t="s">
        <v>514</v>
      </c>
      <c r="D98" s="5" t="s">
        <v>725</v>
      </c>
      <c r="E98" s="5" t="s">
        <v>625</v>
      </c>
      <c r="F98" s="6">
        <v>6623</v>
      </c>
      <c r="G98" s="145"/>
      <c r="H98" s="37">
        <v>6337200</v>
      </c>
      <c r="I98" s="37">
        <v>6000000</v>
      </c>
      <c r="J98" s="37"/>
      <c r="K98" s="37">
        <v>6000000</v>
      </c>
      <c r="L98" s="37">
        <f>I98-K98</f>
        <v>0</v>
      </c>
      <c r="M98" s="37"/>
      <c r="N98" s="37"/>
      <c r="O98" s="140">
        <v>0</v>
      </c>
      <c r="P98" s="142">
        <v>44200</v>
      </c>
      <c r="Q98" s="9" t="s">
        <v>284</v>
      </c>
      <c r="R98" s="42"/>
      <c r="S98" s="37">
        <v>6000000</v>
      </c>
      <c r="T98" s="37">
        <f t="shared" si="19"/>
        <v>0</v>
      </c>
      <c r="U98" s="5"/>
      <c r="V98" s="144">
        <v>0</v>
      </c>
      <c r="W98" s="43">
        <v>44595</v>
      </c>
      <c r="X98" s="5" t="s">
        <v>284</v>
      </c>
      <c r="Y98" s="42"/>
      <c r="Z98" s="5"/>
      <c r="AA98" s="38">
        <v>6000000</v>
      </c>
      <c r="AB98" s="38">
        <f t="shared" si="21"/>
        <v>0</v>
      </c>
      <c r="AC98" s="5"/>
      <c r="AD98" s="144">
        <v>0</v>
      </c>
      <c r="AE98" s="51">
        <v>44622</v>
      </c>
      <c r="AF98" s="5" t="s">
        <v>284</v>
      </c>
      <c r="AG98" s="42"/>
      <c r="AH98" s="5"/>
      <c r="AI98" s="37">
        <v>6000000</v>
      </c>
      <c r="AJ98" s="37">
        <f t="shared" si="22"/>
        <v>0</v>
      </c>
      <c r="AK98" s="37"/>
      <c r="AL98" s="37"/>
      <c r="AM98" s="140">
        <v>0</v>
      </c>
      <c r="AN98" s="43">
        <v>44656</v>
      </c>
      <c r="AO98" s="5" t="s">
        <v>284</v>
      </c>
      <c r="AP98" s="5"/>
      <c r="AQ98" s="40"/>
      <c r="AR98" s="37">
        <v>6000000</v>
      </c>
      <c r="AS98" s="37">
        <f t="shared" si="20"/>
        <v>0</v>
      </c>
      <c r="AT98" s="37"/>
      <c r="AU98" s="37">
        <v>6000000</v>
      </c>
      <c r="AV98" s="140">
        <v>0</v>
      </c>
      <c r="AW98" s="43">
        <v>44692</v>
      </c>
      <c r="AX98" s="5" t="s">
        <v>284</v>
      </c>
      <c r="AY98" s="5"/>
      <c r="AZ98" s="140"/>
      <c r="BA98" s="37">
        <v>6337200</v>
      </c>
      <c r="BB98" s="37"/>
      <c r="BC98" s="37">
        <f>AR98-BA98</f>
        <v>-337200</v>
      </c>
      <c r="BD98" s="37"/>
      <c r="BE98" s="140">
        <f>BC98/AR98</f>
        <v>-5.62E-2</v>
      </c>
      <c r="BF98" s="43">
        <v>44713</v>
      </c>
      <c r="BG98" s="5" t="s">
        <v>284</v>
      </c>
      <c r="BH98" s="43">
        <v>44728</v>
      </c>
      <c r="BI98" s="140"/>
      <c r="BJ98" s="37">
        <v>6337200</v>
      </c>
      <c r="BK98" s="37">
        <f t="shared" si="10"/>
        <v>0</v>
      </c>
      <c r="BL98" s="37"/>
      <c r="BM98" s="37"/>
      <c r="BN98" s="140">
        <v>0</v>
      </c>
      <c r="BO98" s="43">
        <v>44747</v>
      </c>
      <c r="BP98" s="5" t="s">
        <v>284</v>
      </c>
      <c r="BQ98" s="43">
        <v>44757</v>
      </c>
      <c r="BR98" s="140"/>
      <c r="BS98" s="37">
        <v>6337200</v>
      </c>
      <c r="BT98" s="37">
        <f t="shared" si="23"/>
        <v>0</v>
      </c>
      <c r="BU98" s="37"/>
      <c r="BV98" s="37"/>
      <c r="BW98" s="140">
        <v>0</v>
      </c>
      <c r="BX98" s="43">
        <v>44775</v>
      </c>
      <c r="BY98" s="5" t="s">
        <v>284</v>
      </c>
      <c r="BZ98" s="5"/>
      <c r="CA98" s="140"/>
      <c r="CB98" s="37"/>
      <c r="CC98" s="37"/>
      <c r="CD98" s="37"/>
      <c r="CE98" s="37"/>
      <c r="CF98" s="140"/>
      <c r="CG98" s="43"/>
      <c r="CH98" s="5"/>
      <c r="CI98" s="5"/>
      <c r="CJ98" s="140"/>
      <c r="CK98" s="37"/>
      <c r="CL98" s="37"/>
      <c r="CM98" s="37"/>
      <c r="CN98" s="37"/>
      <c r="CO98" s="140"/>
      <c r="CP98" s="43"/>
      <c r="CQ98" s="5"/>
      <c r="CR98" s="5"/>
      <c r="CS98" s="140"/>
      <c r="CT98" s="37"/>
      <c r="CU98" s="37"/>
      <c r="CV98" s="37"/>
      <c r="CW98" s="37"/>
      <c r="CX98" s="140"/>
      <c r="CY98" s="43"/>
      <c r="CZ98" s="5"/>
      <c r="DA98" s="143"/>
      <c r="DB98" s="140"/>
      <c r="DC98" s="37"/>
      <c r="DD98" s="37"/>
      <c r="DE98" s="37"/>
      <c r="DF98" s="37"/>
      <c r="DG98" s="140"/>
      <c r="DH98" s="43"/>
      <c r="DI98" s="5"/>
      <c r="DJ98" s="5"/>
    </row>
    <row r="99" spans="1:114" x14ac:dyDescent="0.35">
      <c r="A99" s="9">
        <v>204545</v>
      </c>
      <c r="B99" s="9" t="s">
        <v>729</v>
      </c>
      <c r="C99" s="34" t="s">
        <v>518</v>
      </c>
      <c r="D99" s="5" t="s">
        <v>728</v>
      </c>
      <c r="E99" s="5" t="s">
        <v>625</v>
      </c>
      <c r="F99" s="6">
        <v>6626</v>
      </c>
      <c r="G99" s="145" t="s">
        <v>730</v>
      </c>
      <c r="H99" s="37">
        <v>15896214</v>
      </c>
      <c r="I99" s="37">
        <v>14306580</v>
      </c>
      <c r="J99" s="37"/>
      <c r="K99" s="37">
        <v>15896214</v>
      </c>
      <c r="L99" s="37"/>
      <c r="M99" s="37">
        <f>I99-K99</f>
        <v>-1589634</v>
      </c>
      <c r="N99" s="37"/>
      <c r="O99" s="140">
        <f>M99/I99</f>
        <v>-0.11111208968181074</v>
      </c>
      <c r="P99" s="142">
        <v>44582</v>
      </c>
      <c r="Q99" s="5" t="s">
        <v>284</v>
      </c>
      <c r="R99" s="42"/>
      <c r="S99" s="37">
        <v>15896214</v>
      </c>
      <c r="T99" s="39">
        <f t="shared" si="19"/>
        <v>0</v>
      </c>
      <c r="U99" s="5"/>
      <c r="V99" s="140">
        <v>0</v>
      </c>
      <c r="W99" s="142">
        <v>44593</v>
      </c>
      <c r="X99" s="5" t="s">
        <v>284</v>
      </c>
      <c r="Y99" s="42"/>
      <c r="Z99" s="5"/>
      <c r="AA99" s="38">
        <v>15896214</v>
      </c>
      <c r="AB99" s="38">
        <f t="shared" si="21"/>
        <v>0</v>
      </c>
      <c r="AC99" s="5"/>
      <c r="AD99" s="40">
        <v>0</v>
      </c>
      <c r="AE99" s="51">
        <v>44621</v>
      </c>
      <c r="AF99" s="5" t="s">
        <v>284</v>
      </c>
      <c r="AG99" s="42"/>
      <c r="AH99" s="144"/>
      <c r="AI99" s="37">
        <v>15896214</v>
      </c>
      <c r="AJ99" s="37">
        <f t="shared" si="22"/>
        <v>0</v>
      </c>
      <c r="AK99" s="37"/>
      <c r="AL99" s="37"/>
      <c r="AM99" s="140">
        <v>0</v>
      </c>
      <c r="AN99" s="142">
        <v>44659</v>
      </c>
      <c r="AO99" s="5" t="s">
        <v>284</v>
      </c>
      <c r="AP99" s="5"/>
      <c r="AQ99" s="40"/>
      <c r="AR99" s="37">
        <v>15896214</v>
      </c>
      <c r="AS99" s="37">
        <f t="shared" si="20"/>
        <v>0</v>
      </c>
      <c r="AT99" s="37"/>
      <c r="AU99" s="37"/>
      <c r="AV99" s="140">
        <v>0</v>
      </c>
      <c r="AW99" s="43">
        <v>44686</v>
      </c>
      <c r="AX99" s="5" t="s">
        <v>284</v>
      </c>
      <c r="AY99" s="5"/>
      <c r="AZ99" s="140"/>
      <c r="BA99" s="37">
        <v>15896214</v>
      </c>
      <c r="BB99" s="37">
        <f>AR99-BA99</f>
        <v>0</v>
      </c>
      <c r="BC99" s="37"/>
      <c r="BD99" s="37"/>
      <c r="BE99" s="140">
        <v>0</v>
      </c>
      <c r="BF99" s="43">
        <v>44721</v>
      </c>
      <c r="BG99" s="5" t="s">
        <v>284</v>
      </c>
      <c r="BH99" s="43">
        <v>44728</v>
      </c>
      <c r="BI99" s="140"/>
      <c r="BJ99" s="37">
        <v>15896214</v>
      </c>
      <c r="BK99" s="37">
        <f t="shared" si="10"/>
        <v>0</v>
      </c>
      <c r="BL99" s="37"/>
      <c r="BM99" s="37"/>
      <c r="BN99" s="140">
        <v>0</v>
      </c>
      <c r="BO99" s="43">
        <v>44755</v>
      </c>
      <c r="BP99" s="5" t="s">
        <v>284</v>
      </c>
      <c r="BQ99" s="43">
        <v>44768</v>
      </c>
      <c r="BR99" s="140"/>
      <c r="BS99" s="37">
        <v>15101403</v>
      </c>
      <c r="BT99" s="37">
        <f t="shared" si="23"/>
        <v>794811</v>
      </c>
      <c r="BU99" s="37"/>
      <c r="BV99" s="37"/>
      <c r="BW99" s="140">
        <f>BT99/BJ99</f>
        <v>5.0000018872418298E-2</v>
      </c>
      <c r="BX99" s="43">
        <v>44775</v>
      </c>
      <c r="BY99" s="5" t="s">
        <v>284</v>
      </c>
      <c r="BZ99" s="5"/>
      <c r="CA99" s="140"/>
      <c r="CB99" s="37"/>
      <c r="CC99" s="37"/>
      <c r="CD99" s="37"/>
      <c r="CE99" s="37"/>
      <c r="CF99" s="140"/>
      <c r="CG99" s="43"/>
      <c r="CH99" s="5"/>
      <c r="CI99" s="5"/>
      <c r="CJ99" s="140"/>
      <c r="CK99" s="37"/>
      <c r="CL99" s="37"/>
      <c r="CM99" s="37"/>
      <c r="CN99" s="37"/>
      <c r="CO99" s="140"/>
      <c r="CP99" s="43"/>
      <c r="CQ99" s="5"/>
      <c r="CR99" s="5"/>
      <c r="CS99" s="140"/>
      <c r="CT99" s="37"/>
      <c r="CU99" s="37"/>
      <c r="CV99" s="37"/>
      <c r="CW99" s="37"/>
      <c r="CX99" s="140"/>
      <c r="CY99" s="43"/>
      <c r="CZ99" s="5"/>
      <c r="DA99" s="143"/>
      <c r="DB99" s="140"/>
      <c r="DC99" s="37"/>
      <c r="DD99" s="37"/>
      <c r="DE99" s="37"/>
      <c r="DF99" s="37"/>
      <c r="DG99" s="140"/>
      <c r="DH99" s="43"/>
      <c r="DI99" s="5"/>
      <c r="DJ99" s="5"/>
    </row>
    <row r="100" spans="1:114" x14ac:dyDescent="0.35">
      <c r="A100" s="9">
        <v>204515</v>
      </c>
      <c r="B100" s="9" t="s">
        <v>4</v>
      </c>
      <c r="C100" s="34" t="s">
        <v>521</v>
      </c>
      <c r="D100" s="5" t="s">
        <v>731</v>
      </c>
      <c r="E100" s="5" t="s">
        <v>625</v>
      </c>
      <c r="F100" s="6">
        <v>6627</v>
      </c>
      <c r="G100" s="145" t="s">
        <v>732</v>
      </c>
      <c r="H100" s="37">
        <v>11616000</v>
      </c>
      <c r="I100" s="37">
        <v>8512350</v>
      </c>
      <c r="J100" s="37"/>
      <c r="K100" s="37">
        <v>8512350</v>
      </c>
      <c r="L100" s="37">
        <f>I100-K100</f>
        <v>0</v>
      </c>
      <c r="M100" s="37"/>
      <c r="N100" s="37"/>
      <c r="O100" s="140">
        <f>L100/H100</f>
        <v>0</v>
      </c>
      <c r="P100" s="43">
        <v>44566</v>
      </c>
      <c r="Q100" s="5" t="s">
        <v>284</v>
      </c>
      <c r="R100" s="42"/>
      <c r="S100" s="37">
        <v>8512350</v>
      </c>
      <c r="T100" s="37">
        <f>H100-S100</f>
        <v>3103650</v>
      </c>
      <c r="U100" s="5"/>
      <c r="V100" s="140">
        <f>T100/H100</f>
        <v>0.26718750000000002</v>
      </c>
      <c r="W100" s="142">
        <v>44593</v>
      </c>
      <c r="X100" s="5" t="s">
        <v>284</v>
      </c>
      <c r="Y100" s="42"/>
      <c r="Z100" s="5"/>
      <c r="AA100" s="38">
        <v>8512350</v>
      </c>
      <c r="AB100" s="38">
        <f t="shared" si="21"/>
        <v>0</v>
      </c>
      <c r="AC100" s="5"/>
      <c r="AD100" s="40">
        <v>0</v>
      </c>
      <c r="AE100" s="51">
        <v>44621</v>
      </c>
      <c r="AF100" s="5" t="s">
        <v>284</v>
      </c>
      <c r="AG100" s="42"/>
      <c r="AH100" s="5"/>
      <c r="AI100" s="37">
        <v>8512350</v>
      </c>
      <c r="AJ100" s="37">
        <f t="shared" si="22"/>
        <v>0</v>
      </c>
      <c r="AK100" s="37"/>
      <c r="AL100" s="37"/>
      <c r="AM100" s="140">
        <v>0</v>
      </c>
      <c r="AN100" s="43">
        <v>44655</v>
      </c>
      <c r="AO100" s="5" t="s">
        <v>284</v>
      </c>
      <c r="AP100" s="5"/>
      <c r="AQ100" s="40"/>
      <c r="AR100" s="37">
        <v>8512350</v>
      </c>
      <c r="AS100" s="37">
        <f t="shared" si="20"/>
        <v>0</v>
      </c>
      <c r="AT100" s="37"/>
      <c r="AU100" s="37"/>
      <c r="AV100" s="140">
        <v>0</v>
      </c>
      <c r="AW100" s="43">
        <v>44686</v>
      </c>
      <c r="AX100" s="5" t="s">
        <v>284</v>
      </c>
      <c r="AY100" s="5"/>
      <c r="AZ100" s="140"/>
      <c r="BA100" s="37">
        <v>11616000</v>
      </c>
      <c r="BB100" s="37"/>
      <c r="BC100" s="37">
        <f>AR100-BA100</f>
        <v>-3103650</v>
      </c>
      <c r="BD100" s="37"/>
      <c r="BE100" s="140">
        <f>BC100/AR100</f>
        <v>-0.3646055437100213</v>
      </c>
      <c r="BF100" s="43">
        <v>44721</v>
      </c>
      <c r="BG100" s="5" t="s">
        <v>284</v>
      </c>
      <c r="BH100" s="43">
        <v>44728</v>
      </c>
      <c r="BI100" s="140"/>
      <c r="BJ100" s="37">
        <v>11616000</v>
      </c>
      <c r="BK100" s="37">
        <f t="shared" si="10"/>
        <v>0</v>
      </c>
      <c r="BL100" s="37"/>
      <c r="BM100" s="37"/>
      <c r="BN100" s="140">
        <v>0</v>
      </c>
      <c r="BO100" s="43">
        <v>44743</v>
      </c>
      <c r="BP100" s="5" t="s">
        <v>284</v>
      </c>
      <c r="BQ100" s="43">
        <v>44757</v>
      </c>
      <c r="BR100" s="140"/>
      <c r="BS100" s="37">
        <v>11616000</v>
      </c>
      <c r="BT100" s="37">
        <v>871200</v>
      </c>
      <c r="BU100" s="37"/>
      <c r="BV100" s="37"/>
      <c r="BW100" s="140">
        <f>BT100/BS100</f>
        <v>7.4999999999999997E-2</v>
      </c>
      <c r="BX100" s="43">
        <v>44774</v>
      </c>
      <c r="BY100" s="5" t="s">
        <v>284</v>
      </c>
      <c r="BZ100" s="5"/>
      <c r="CA100" s="140"/>
      <c r="CB100" s="37"/>
      <c r="CC100" s="37"/>
      <c r="CD100" s="37"/>
      <c r="CE100" s="37"/>
      <c r="CF100" s="140"/>
      <c r="CG100" s="43"/>
      <c r="CH100" s="5"/>
      <c r="CI100" s="5"/>
      <c r="CJ100" s="140"/>
      <c r="CK100" s="37"/>
      <c r="CL100" s="37"/>
      <c r="CM100" s="37"/>
      <c r="CN100" s="37"/>
      <c r="CO100" s="140"/>
      <c r="CP100" s="43"/>
      <c r="CQ100" s="5"/>
      <c r="CR100" s="5"/>
      <c r="CS100" s="140"/>
      <c r="CT100" s="37"/>
      <c r="CU100" s="37"/>
      <c r="CV100" s="37"/>
      <c r="CW100" s="37"/>
      <c r="CX100" s="140"/>
      <c r="CY100" s="43"/>
      <c r="CZ100" s="5"/>
      <c r="DA100" s="143"/>
      <c r="DB100" s="140"/>
      <c r="DC100" s="37"/>
      <c r="DD100" s="37"/>
      <c r="DE100" s="37"/>
      <c r="DF100" s="37"/>
      <c r="DG100" s="140"/>
      <c r="DH100" s="43"/>
      <c r="DI100" s="5"/>
      <c r="DJ100" s="5"/>
    </row>
    <row r="101" spans="1:114" x14ac:dyDescent="0.35">
      <c r="A101" s="9">
        <v>206109</v>
      </c>
      <c r="B101" s="9" t="s">
        <v>918</v>
      </c>
      <c r="C101" s="34" t="s">
        <v>919</v>
      </c>
      <c r="D101" s="5" t="s">
        <v>920</v>
      </c>
      <c r="E101" s="5" t="s">
        <v>625</v>
      </c>
      <c r="F101" s="6">
        <v>6628</v>
      </c>
      <c r="G101" s="145" t="s">
        <v>921</v>
      </c>
      <c r="H101" s="37">
        <v>2641526</v>
      </c>
      <c r="I101" s="37">
        <v>2641526</v>
      </c>
      <c r="J101" s="37"/>
      <c r="K101" s="37">
        <v>2641526</v>
      </c>
      <c r="L101" s="37">
        <f t="shared" ref="L101:L105" si="24">H101-K101</f>
        <v>0</v>
      </c>
      <c r="M101" s="37"/>
      <c r="N101" s="37"/>
      <c r="O101" s="140">
        <v>0</v>
      </c>
      <c r="P101" s="43">
        <v>44567</v>
      </c>
      <c r="Q101" s="43" t="s">
        <v>284</v>
      </c>
      <c r="R101" s="42"/>
      <c r="S101" s="37">
        <v>2641526</v>
      </c>
      <c r="T101" s="39">
        <f>K101-S101</f>
        <v>0</v>
      </c>
      <c r="U101" s="5"/>
      <c r="V101" s="140">
        <v>0</v>
      </c>
      <c r="W101" s="142">
        <v>44600</v>
      </c>
      <c r="X101" s="5" t="s">
        <v>284</v>
      </c>
      <c r="Y101" s="42"/>
      <c r="Z101" s="5"/>
      <c r="AA101" s="38">
        <v>2641526</v>
      </c>
      <c r="AB101" s="38">
        <f>S101-AA101</f>
        <v>0</v>
      </c>
      <c r="AC101" s="5"/>
      <c r="AD101" s="40">
        <v>0</v>
      </c>
      <c r="AE101" s="43">
        <v>44630</v>
      </c>
      <c r="AF101" s="5" t="s">
        <v>284</v>
      </c>
      <c r="AG101" s="42"/>
      <c r="AH101" s="5"/>
      <c r="AI101" s="37">
        <v>2641526</v>
      </c>
      <c r="AJ101" s="37">
        <f t="shared" si="22"/>
        <v>0</v>
      </c>
      <c r="AK101" s="37"/>
      <c r="AL101" s="37"/>
      <c r="AM101" s="140">
        <v>0</v>
      </c>
      <c r="AN101" s="43">
        <v>44657</v>
      </c>
      <c r="AO101" s="5" t="s">
        <v>284</v>
      </c>
      <c r="AP101" s="5"/>
      <c r="AQ101" s="40"/>
      <c r="AR101" s="37">
        <v>2641526</v>
      </c>
      <c r="AS101" s="37">
        <f>AI101-AR101</f>
        <v>0</v>
      </c>
      <c r="AT101" s="37"/>
      <c r="AU101" s="37"/>
      <c r="AV101" s="140">
        <v>0</v>
      </c>
      <c r="AW101" s="43">
        <v>44701</v>
      </c>
      <c r="AX101" s="5" t="s">
        <v>284</v>
      </c>
      <c r="AY101" s="5"/>
      <c r="AZ101" s="600" t="s">
        <v>287</v>
      </c>
      <c r="BA101" s="601"/>
      <c r="BB101" s="601"/>
      <c r="BC101" s="601"/>
      <c r="BD101" s="601"/>
      <c r="BE101" s="601"/>
      <c r="BF101" s="601"/>
      <c r="BG101" s="601"/>
      <c r="BH101" s="601"/>
      <c r="BI101" s="601"/>
      <c r="BJ101" s="601"/>
      <c r="BK101" s="601"/>
      <c r="BL101" s="601"/>
      <c r="BM101" s="601"/>
      <c r="BN101" s="601"/>
      <c r="BO101" s="601"/>
      <c r="BP101" s="601"/>
      <c r="BQ101" s="601"/>
      <c r="BR101" s="601"/>
      <c r="BS101" s="601"/>
      <c r="BT101" s="601"/>
      <c r="BU101" s="601"/>
      <c r="BV101" s="601"/>
      <c r="BW101" s="601"/>
      <c r="BX101" s="601"/>
      <c r="BY101" s="601"/>
      <c r="BZ101" s="601"/>
      <c r="CA101" s="601"/>
      <c r="CB101" s="601"/>
      <c r="CC101" s="601"/>
      <c r="CD101" s="601"/>
      <c r="CE101" s="601"/>
      <c r="CF101" s="601"/>
      <c r="CG101" s="601"/>
      <c r="CH101" s="601"/>
      <c r="CI101" s="601"/>
      <c r="CJ101" s="601"/>
      <c r="CK101" s="601"/>
      <c r="CL101" s="601"/>
      <c r="CM101" s="601"/>
      <c r="CN101" s="601"/>
      <c r="CO101" s="601"/>
      <c r="CP101" s="601"/>
      <c r="CQ101" s="601"/>
      <c r="CR101" s="601"/>
      <c r="CS101" s="601"/>
      <c r="CT101" s="601"/>
      <c r="CU101" s="601"/>
      <c r="CV101" s="601"/>
      <c r="CW101" s="601"/>
      <c r="CX101" s="601"/>
      <c r="CY101" s="601"/>
      <c r="CZ101" s="601"/>
      <c r="DA101" s="601"/>
      <c r="DB101" s="601"/>
      <c r="DC101" s="601"/>
      <c r="DD101" s="601"/>
      <c r="DE101" s="601"/>
      <c r="DF101" s="601"/>
      <c r="DG101" s="601"/>
      <c r="DH101" s="601"/>
      <c r="DI101" s="601"/>
      <c r="DJ101" s="602"/>
    </row>
    <row r="102" spans="1:114" x14ac:dyDescent="0.35">
      <c r="A102" s="9">
        <v>206108</v>
      </c>
      <c r="B102" s="9" t="s">
        <v>922</v>
      </c>
      <c r="C102" s="34" t="s">
        <v>919</v>
      </c>
      <c r="D102" s="5" t="s">
        <v>920</v>
      </c>
      <c r="E102" s="5" t="s">
        <v>625</v>
      </c>
      <c r="F102" s="6">
        <v>6628</v>
      </c>
      <c r="G102" s="145">
        <v>80421084</v>
      </c>
      <c r="H102" s="37">
        <v>2641526</v>
      </c>
      <c r="I102" s="37">
        <v>2641526</v>
      </c>
      <c r="J102" s="37"/>
      <c r="K102" s="37">
        <v>2641526</v>
      </c>
      <c r="L102" s="37">
        <f t="shared" si="24"/>
        <v>0</v>
      </c>
      <c r="M102" s="37"/>
      <c r="N102" s="37"/>
      <c r="O102" s="140">
        <v>0</v>
      </c>
      <c r="P102" s="142">
        <v>44559</v>
      </c>
      <c r="Q102" s="9" t="s">
        <v>284</v>
      </c>
      <c r="R102" s="42"/>
      <c r="S102" s="37">
        <v>2641526</v>
      </c>
      <c r="T102" s="39">
        <f>K102-S102</f>
        <v>0</v>
      </c>
      <c r="U102" s="5"/>
      <c r="V102" s="140">
        <v>0</v>
      </c>
      <c r="W102" s="43">
        <v>44592</v>
      </c>
      <c r="X102" s="5" t="s">
        <v>284</v>
      </c>
      <c r="Y102" s="42"/>
      <c r="Z102" s="5"/>
      <c r="AA102" s="38">
        <v>2641526</v>
      </c>
      <c r="AB102" s="38">
        <f>S102-AA102</f>
        <v>0</v>
      </c>
      <c r="AC102" s="5"/>
      <c r="AD102" s="40">
        <v>0</v>
      </c>
      <c r="AE102" s="51">
        <v>44621</v>
      </c>
      <c r="AF102" s="5" t="s">
        <v>284</v>
      </c>
      <c r="AG102" s="42"/>
      <c r="AH102" s="5"/>
      <c r="AI102" s="37">
        <v>2641526</v>
      </c>
      <c r="AJ102" s="37">
        <f t="shared" si="22"/>
        <v>0</v>
      </c>
      <c r="AK102" s="37"/>
      <c r="AL102" s="37"/>
      <c r="AM102" s="140">
        <v>0</v>
      </c>
      <c r="AN102" s="43">
        <v>44655</v>
      </c>
      <c r="AO102" s="5" t="s">
        <v>284</v>
      </c>
      <c r="AP102" s="5"/>
      <c r="AQ102" s="40"/>
      <c r="AR102" s="37">
        <v>2641526</v>
      </c>
      <c r="AS102" s="37">
        <f>AI102-AR102</f>
        <v>0</v>
      </c>
      <c r="AT102" s="37"/>
      <c r="AU102" s="37"/>
      <c r="AV102" s="140">
        <v>0</v>
      </c>
      <c r="AW102" s="43">
        <v>44684</v>
      </c>
      <c r="AX102" s="5" t="s">
        <v>284</v>
      </c>
      <c r="AY102" s="5"/>
      <c r="AZ102" s="600" t="s">
        <v>287</v>
      </c>
      <c r="BA102" s="601"/>
      <c r="BB102" s="601"/>
      <c r="BC102" s="601"/>
      <c r="BD102" s="601"/>
      <c r="BE102" s="601"/>
      <c r="BF102" s="601"/>
      <c r="BG102" s="601"/>
      <c r="BH102" s="601"/>
      <c r="BI102" s="601"/>
      <c r="BJ102" s="601"/>
      <c r="BK102" s="601"/>
      <c r="BL102" s="601"/>
      <c r="BM102" s="601"/>
      <c r="BN102" s="601"/>
      <c r="BO102" s="601"/>
      <c r="BP102" s="601"/>
      <c r="BQ102" s="601"/>
      <c r="BR102" s="601"/>
      <c r="BS102" s="601"/>
      <c r="BT102" s="601"/>
      <c r="BU102" s="601"/>
      <c r="BV102" s="601"/>
      <c r="BW102" s="601"/>
      <c r="BX102" s="601"/>
      <c r="BY102" s="601"/>
      <c r="BZ102" s="601"/>
      <c r="CA102" s="601"/>
      <c r="CB102" s="601"/>
      <c r="CC102" s="601"/>
      <c r="CD102" s="601"/>
      <c r="CE102" s="601"/>
      <c r="CF102" s="601"/>
      <c r="CG102" s="601"/>
      <c r="CH102" s="601"/>
      <c r="CI102" s="601"/>
      <c r="CJ102" s="601"/>
      <c r="CK102" s="601"/>
      <c r="CL102" s="601"/>
      <c r="CM102" s="601"/>
      <c r="CN102" s="601"/>
      <c r="CO102" s="601"/>
      <c r="CP102" s="601"/>
      <c r="CQ102" s="601"/>
      <c r="CR102" s="601"/>
      <c r="CS102" s="601"/>
      <c r="CT102" s="601"/>
      <c r="CU102" s="601"/>
      <c r="CV102" s="601"/>
      <c r="CW102" s="601"/>
      <c r="CX102" s="601"/>
      <c r="CY102" s="601"/>
      <c r="CZ102" s="601"/>
      <c r="DA102" s="601"/>
      <c r="DB102" s="601"/>
      <c r="DC102" s="601"/>
      <c r="DD102" s="601"/>
      <c r="DE102" s="601"/>
      <c r="DF102" s="601"/>
      <c r="DG102" s="601"/>
      <c r="DH102" s="601"/>
      <c r="DI102" s="601"/>
      <c r="DJ102" s="602"/>
    </row>
    <row r="103" spans="1:114" x14ac:dyDescent="0.35">
      <c r="A103" s="9">
        <v>206110</v>
      </c>
      <c r="B103" s="9" t="s">
        <v>923</v>
      </c>
      <c r="C103" s="34" t="s">
        <v>919</v>
      </c>
      <c r="D103" s="5" t="s">
        <v>920</v>
      </c>
      <c r="E103" s="5" t="s">
        <v>625</v>
      </c>
      <c r="F103" s="6">
        <v>6628</v>
      </c>
      <c r="G103" s="145" t="s">
        <v>924</v>
      </c>
      <c r="H103" s="37">
        <v>2641526</v>
      </c>
      <c r="I103" s="37">
        <v>2641526</v>
      </c>
      <c r="J103" s="37"/>
      <c r="K103" s="37">
        <v>2641526</v>
      </c>
      <c r="L103" s="37">
        <f t="shared" si="24"/>
        <v>0</v>
      </c>
      <c r="M103" s="37"/>
      <c r="N103" s="37"/>
      <c r="O103" s="140">
        <v>0</v>
      </c>
      <c r="P103" s="43">
        <v>44567</v>
      </c>
      <c r="Q103" s="43" t="s">
        <v>284</v>
      </c>
      <c r="R103" s="42"/>
      <c r="S103" s="37">
        <v>2641526</v>
      </c>
      <c r="T103" s="39">
        <f>K103-S103</f>
        <v>0</v>
      </c>
      <c r="U103" s="5"/>
      <c r="V103" s="140">
        <v>0</v>
      </c>
      <c r="W103" s="142">
        <v>44596</v>
      </c>
      <c r="X103" s="5" t="s">
        <v>284</v>
      </c>
      <c r="Y103" s="42"/>
      <c r="Z103" s="5"/>
      <c r="AA103" s="38">
        <v>2641526</v>
      </c>
      <c r="AB103" s="38">
        <f>S103-AA103</f>
        <v>0</v>
      </c>
      <c r="AC103" s="5"/>
      <c r="AD103" s="40">
        <v>0</v>
      </c>
      <c r="AE103" s="142">
        <v>44627</v>
      </c>
      <c r="AF103" s="5" t="s">
        <v>284</v>
      </c>
      <c r="AG103" s="42"/>
      <c r="AH103" s="5"/>
      <c r="AI103" s="37">
        <v>2641526</v>
      </c>
      <c r="AJ103" s="37">
        <f>AA103-AI103</f>
        <v>0</v>
      </c>
      <c r="AK103" s="37"/>
      <c r="AL103" s="37"/>
      <c r="AM103" s="140">
        <v>0</v>
      </c>
      <c r="AN103" s="43">
        <v>44662</v>
      </c>
      <c r="AO103" s="5" t="s">
        <v>284</v>
      </c>
      <c r="AP103" s="5"/>
      <c r="AQ103" s="40"/>
      <c r="AR103" s="37">
        <v>2641526</v>
      </c>
      <c r="AS103" s="37">
        <f>AI103-AR103</f>
        <v>0</v>
      </c>
      <c r="AT103" s="37"/>
      <c r="AU103" s="37"/>
      <c r="AV103" s="140">
        <v>0</v>
      </c>
      <c r="AW103" s="43">
        <v>44700</v>
      </c>
      <c r="AX103" s="5" t="s">
        <v>284</v>
      </c>
      <c r="AY103" s="5"/>
      <c r="AZ103" s="600" t="s">
        <v>287</v>
      </c>
      <c r="BA103" s="601"/>
      <c r="BB103" s="601"/>
      <c r="BC103" s="601"/>
      <c r="BD103" s="601"/>
      <c r="BE103" s="601"/>
      <c r="BF103" s="601"/>
      <c r="BG103" s="601"/>
      <c r="BH103" s="601"/>
      <c r="BI103" s="601"/>
      <c r="BJ103" s="601"/>
      <c r="BK103" s="601"/>
      <c r="BL103" s="601"/>
      <c r="BM103" s="601"/>
      <c r="BN103" s="601"/>
      <c r="BO103" s="601"/>
      <c r="BP103" s="601"/>
      <c r="BQ103" s="601"/>
      <c r="BR103" s="601"/>
      <c r="BS103" s="601"/>
      <c r="BT103" s="601"/>
      <c r="BU103" s="601"/>
      <c r="BV103" s="601"/>
      <c r="BW103" s="601"/>
      <c r="BX103" s="601"/>
      <c r="BY103" s="601"/>
      <c r="BZ103" s="601"/>
      <c r="CA103" s="601"/>
      <c r="CB103" s="601"/>
      <c r="CC103" s="601"/>
      <c r="CD103" s="601"/>
      <c r="CE103" s="601"/>
      <c r="CF103" s="601"/>
      <c r="CG103" s="601"/>
      <c r="CH103" s="601"/>
      <c r="CI103" s="601"/>
      <c r="CJ103" s="601"/>
      <c r="CK103" s="601"/>
      <c r="CL103" s="601"/>
      <c r="CM103" s="601"/>
      <c r="CN103" s="601"/>
      <c r="CO103" s="601"/>
      <c r="CP103" s="601"/>
      <c r="CQ103" s="601"/>
      <c r="CR103" s="601"/>
      <c r="CS103" s="601"/>
      <c r="CT103" s="601"/>
      <c r="CU103" s="601"/>
      <c r="CV103" s="601"/>
      <c r="CW103" s="601"/>
      <c r="CX103" s="601"/>
      <c r="CY103" s="601"/>
      <c r="CZ103" s="601"/>
      <c r="DA103" s="601"/>
      <c r="DB103" s="601"/>
      <c r="DC103" s="601"/>
      <c r="DD103" s="601"/>
      <c r="DE103" s="601"/>
      <c r="DF103" s="601"/>
      <c r="DG103" s="601"/>
      <c r="DH103" s="601"/>
      <c r="DI103" s="601"/>
      <c r="DJ103" s="602"/>
    </row>
    <row r="104" spans="1:114" x14ac:dyDescent="0.35">
      <c r="A104" s="9">
        <v>206755</v>
      </c>
      <c r="B104" s="9" t="s">
        <v>65</v>
      </c>
      <c r="C104" s="34" t="s">
        <v>523</v>
      </c>
      <c r="D104" s="5" t="s">
        <v>733</v>
      </c>
      <c r="E104" s="5" t="s">
        <v>625</v>
      </c>
      <c r="F104" s="6">
        <v>6629</v>
      </c>
      <c r="G104" s="145" t="s">
        <v>734</v>
      </c>
      <c r="H104" s="37">
        <v>7082059</v>
      </c>
      <c r="I104" s="37">
        <v>7888500</v>
      </c>
      <c r="J104" s="37"/>
      <c r="K104" s="37">
        <v>6705225</v>
      </c>
      <c r="L104" s="37">
        <v>0</v>
      </c>
      <c r="M104" s="37"/>
      <c r="N104" s="37"/>
      <c r="O104" s="140">
        <f>L104/H104</f>
        <v>0</v>
      </c>
      <c r="P104" s="43">
        <v>44567</v>
      </c>
      <c r="Q104" s="43" t="s">
        <v>284</v>
      </c>
      <c r="R104" s="42"/>
      <c r="S104" s="37">
        <v>6705225</v>
      </c>
      <c r="T104" s="39">
        <f>K104-S104</f>
        <v>0</v>
      </c>
      <c r="U104" s="5"/>
      <c r="V104" s="140">
        <f>T104/I104</f>
        <v>0</v>
      </c>
      <c r="W104" s="142">
        <v>44600</v>
      </c>
      <c r="X104" s="5" t="s">
        <v>284</v>
      </c>
      <c r="Y104" s="42"/>
      <c r="Z104" s="144"/>
      <c r="AA104" s="38">
        <v>6705225</v>
      </c>
      <c r="AB104" s="38">
        <f>S104-AA104</f>
        <v>0</v>
      </c>
      <c r="AC104" s="5"/>
      <c r="AD104" s="40">
        <v>0</v>
      </c>
      <c r="AE104" s="43">
        <v>44624</v>
      </c>
      <c r="AF104" s="5" t="s">
        <v>284</v>
      </c>
      <c r="AG104" s="42"/>
      <c r="AH104" s="144"/>
      <c r="AI104" s="37">
        <v>6705225</v>
      </c>
      <c r="AJ104" s="37">
        <f>AA104-AI104</f>
        <v>0</v>
      </c>
      <c r="AK104" s="37"/>
      <c r="AL104" s="37"/>
      <c r="AM104" s="140">
        <v>0</v>
      </c>
      <c r="AN104" s="43">
        <v>44657</v>
      </c>
      <c r="AO104" s="5" t="s">
        <v>284</v>
      </c>
      <c r="AP104" s="5"/>
      <c r="AQ104" s="40"/>
      <c r="AR104" s="37">
        <v>6705225</v>
      </c>
      <c r="AS104" s="37">
        <f>AI104-AR104</f>
        <v>0</v>
      </c>
      <c r="AT104" s="37"/>
      <c r="AU104" s="37"/>
      <c r="AV104" s="140">
        <v>0</v>
      </c>
      <c r="AW104" s="43">
        <v>44687</v>
      </c>
      <c r="AX104" s="5" t="s">
        <v>284</v>
      </c>
      <c r="AY104" s="5"/>
      <c r="AZ104" s="140"/>
      <c r="BA104" s="37">
        <v>7082059</v>
      </c>
      <c r="BB104" s="37"/>
      <c r="BC104" s="37">
        <f>AR104-BA104</f>
        <v>-376834</v>
      </c>
      <c r="BD104" s="37"/>
      <c r="BE104" s="140">
        <f>BC104/AR104</f>
        <v>-5.6200052943786376E-2</v>
      </c>
      <c r="BF104" s="43">
        <v>44715</v>
      </c>
      <c r="BG104" s="5" t="s">
        <v>284</v>
      </c>
      <c r="BH104" s="43">
        <v>44728</v>
      </c>
      <c r="BI104" s="140"/>
      <c r="BJ104" s="37">
        <v>7082059</v>
      </c>
      <c r="BK104" s="37">
        <f>BA104-BJ104</f>
        <v>0</v>
      </c>
      <c r="BL104" s="37"/>
      <c r="BM104" s="37"/>
      <c r="BN104" s="140">
        <v>0</v>
      </c>
      <c r="BO104" s="43">
        <v>44747</v>
      </c>
      <c r="BP104" s="5" t="s">
        <v>284</v>
      </c>
      <c r="BQ104" s="43">
        <v>44757</v>
      </c>
      <c r="BR104" s="140"/>
      <c r="BS104" s="37">
        <v>7082059</v>
      </c>
      <c r="BT104" s="37">
        <f>BJ104-BS104</f>
        <v>0</v>
      </c>
      <c r="BU104" s="37"/>
      <c r="BV104" s="37"/>
      <c r="BW104" s="140">
        <v>0</v>
      </c>
      <c r="BX104" s="43">
        <v>44777</v>
      </c>
      <c r="BY104" s="5" t="s">
        <v>284</v>
      </c>
      <c r="BZ104" s="5"/>
      <c r="CA104" s="140"/>
      <c r="CB104" s="37"/>
      <c r="CC104" s="37"/>
      <c r="CD104" s="37"/>
      <c r="CE104" s="37"/>
      <c r="CF104" s="140"/>
      <c r="CG104" s="43"/>
      <c r="CH104" s="5"/>
      <c r="CI104" s="5"/>
      <c r="CJ104" s="140"/>
      <c r="CK104" s="37"/>
      <c r="CL104" s="37"/>
      <c r="CM104" s="37"/>
      <c r="CN104" s="37"/>
      <c r="CO104" s="140"/>
      <c r="CP104" s="43"/>
      <c r="CQ104" s="5"/>
      <c r="CR104" s="5"/>
      <c r="CS104" s="140"/>
      <c r="CT104" s="37"/>
      <c r="CU104" s="37"/>
      <c r="CV104" s="37"/>
      <c r="CW104" s="37"/>
      <c r="CX104" s="140"/>
      <c r="CY104" s="43"/>
      <c r="CZ104" s="5"/>
      <c r="DA104" s="143"/>
      <c r="DB104" s="140"/>
      <c r="DC104" s="37"/>
      <c r="DD104" s="37"/>
      <c r="DE104" s="37"/>
      <c r="DF104" s="37"/>
      <c r="DG104" s="140"/>
      <c r="DH104" s="43"/>
      <c r="DI104" s="5"/>
      <c r="DJ104" s="5"/>
    </row>
    <row r="105" spans="1:114" x14ac:dyDescent="0.35">
      <c r="A105" s="9">
        <v>206286</v>
      </c>
      <c r="B105" s="9" t="s">
        <v>460</v>
      </c>
      <c r="C105" s="34" t="s">
        <v>526</v>
      </c>
      <c r="D105" s="5" t="s">
        <v>735</v>
      </c>
      <c r="E105" s="5" t="s">
        <v>625</v>
      </c>
      <c r="F105" s="6">
        <v>6632</v>
      </c>
      <c r="G105" s="145" t="s">
        <v>31</v>
      </c>
      <c r="H105" s="37">
        <v>19785220</v>
      </c>
      <c r="I105" s="37">
        <v>20774481</v>
      </c>
      <c r="J105" s="37"/>
      <c r="K105" s="37">
        <f>19785220+1046211</f>
        <v>20831431</v>
      </c>
      <c r="L105" s="37">
        <f t="shared" si="24"/>
        <v>-1046211</v>
      </c>
      <c r="M105" s="37"/>
      <c r="N105" s="37"/>
      <c r="O105" s="140">
        <f>L105/H105</f>
        <v>-5.2878411258505086E-2</v>
      </c>
      <c r="P105" s="43">
        <v>44578</v>
      </c>
      <c r="Q105" s="9" t="s">
        <v>284</v>
      </c>
      <c r="R105" s="42"/>
      <c r="S105" s="37">
        <f>19785220+1046211</f>
        <v>20831431</v>
      </c>
      <c r="T105" s="39">
        <f>H105-S105</f>
        <v>-1046211</v>
      </c>
      <c r="U105" s="5"/>
      <c r="V105" s="140">
        <v>0</v>
      </c>
      <c r="W105" s="43">
        <v>44613</v>
      </c>
      <c r="X105" s="5" t="s">
        <v>284</v>
      </c>
      <c r="Y105" s="42"/>
      <c r="Z105" s="5"/>
      <c r="AA105" s="38">
        <f>19785220+668557</f>
        <v>20453777</v>
      </c>
      <c r="AB105" s="38">
        <f>H105-AA105</f>
        <v>-668557</v>
      </c>
      <c r="AC105" s="38"/>
      <c r="AD105" s="40">
        <v>0</v>
      </c>
      <c r="AE105" s="142">
        <v>44637</v>
      </c>
      <c r="AF105" s="5" t="s">
        <v>284</v>
      </c>
      <c r="AG105" s="5"/>
      <c r="AH105" s="144"/>
      <c r="AI105" s="37">
        <v>19785220</v>
      </c>
      <c r="AJ105" s="37">
        <f>H105-AI105</f>
        <v>0</v>
      </c>
      <c r="AK105" s="37"/>
      <c r="AL105" s="37"/>
      <c r="AM105" s="140">
        <v>0</v>
      </c>
      <c r="AN105" s="142">
        <v>44658</v>
      </c>
      <c r="AO105" s="5" t="s">
        <v>284</v>
      </c>
      <c r="AP105" s="5"/>
      <c r="AQ105" s="40"/>
      <c r="AR105" s="37">
        <f>19785220+802268</f>
        <v>20587488</v>
      </c>
      <c r="AS105" s="37">
        <f>AI105-AR105</f>
        <v>-802268</v>
      </c>
      <c r="AT105" s="37"/>
      <c r="AU105" s="37"/>
      <c r="AV105" s="140">
        <v>0</v>
      </c>
      <c r="AW105" s="43">
        <v>44707</v>
      </c>
      <c r="AX105" s="5" t="s">
        <v>284</v>
      </c>
      <c r="AY105" s="5"/>
      <c r="AZ105" s="140"/>
      <c r="BA105" s="37">
        <v>19785220</v>
      </c>
      <c r="BB105" s="37">
        <f>AI105-BA105</f>
        <v>0</v>
      </c>
      <c r="BC105" s="37"/>
      <c r="BD105" s="37"/>
      <c r="BE105" s="140">
        <v>0</v>
      </c>
      <c r="BF105" s="43">
        <v>44719</v>
      </c>
      <c r="BG105" s="5" t="s">
        <v>284</v>
      </c>
      <c r="BH105" s="43">
        <v>44728</v>
      </c>
      <c r="BI105" s="140"/>
      <c r="BJ105" s="37">
        <v>19785220</v>
      </c>
      <c r="BK105" s="37">
        <f>BA105-BJ105</f>
        <v>0</v>
      </c>
      <c r="BL105" s="37"/>
      <c r="BM105" s="37"/>
      <c r="BN105" s="140">
        <v>0</v>
      </c>
      <c r="BO105" s="43">
        <v>44743</v>
      </c>
      <c r="BP105" s="5" t="s">
        <v>284</v>
      </c>
      <c r="BQ105" s="43">
        <v>44757</v>
      </c>
      <c r="BR105" s="140"/>
      <c r="BS105" s="37">
        <v>19785220</v>
      </c>
      <c r="BT105" s="37">
        <f>BJ105-BS105</f>
        <v>0</v>
      </c>
      <c r="BU105" s="37"/>
      <c r="BV105" s="37"/>
      <c r="BW105" s="140">
        <v>0</v>
      </c>
      <c r="BX105" s="43">
        <v>44775</v>
      </c>
      <c r="BY105" s="5" t="s">
        <v>284</v>
      </c>
      <c r="BZ105" s="5"/>
      <c r="CA105" s="140"/>
      <c r="CB105" s="37"/>
      <c r="CC105" s="37"/>
      <c r="CD105" s="37"/>
      <c r="CE105" s="37"/>
      <c r="CF105" s="140"/>
      <c r="CG105" s="43"/>
      <c r="CH105" s="5"/>
      <c r="CI105" s="5"/>
      <c r="CJ105" s="140"/>
      <c r="CK105" s="37"/>
      <c r="CL105" s="37"/>
      <c r="CM105" s="37"/>
      <c r="CN105" s="37"/>
      <c r="CO105" s="140"/>
      <c r="CP105" s="43"/>
      <c r="CQ105" s="5"/>
      <c r="CR105" s="5"/>
      <c r="CS105" s="140"/>
      <c r="CT105" s="37"/>
      <c r="CU105" s="37"/>
      <c r="CV105" s="37"/>
      <c r="CW105" s="37"/>
      <c r="CX105" s="140"/>
      <c r="CY105" s="43"/>
      <c r="CZ105" s="5"/>
      <c r="DA105" s="143"/>
      <c r="DB105" s="140"/>
      <c r="DC105" s="37"/>
      <c r="DD105" s="37"/>
      <c r="DE105" s="37"/>
      <c r="DF105" s="37"/>
      <c r="DG105" s="140"/>
      <c r="DH105" s="43"/>
      <c r="DI105" s="5"/>
      <c r="DJ105" s="5"/>
    </row>
    <row r="106" spans="1:114" x14ac:dyDescent="0.35">
      <c r="A106" s="9">
        <v>204533</v>
      </c>
      <c r="B106" s="9" t="s">
        <v>925</v>
      </c>
      <c r="C106" s="34" t="s">
        <v>926</v>
      </c>
      <c r="D106" s="5" t="s">
        <v>927</v>
      </c>
      <c r="E106" s="5" t="s">
        <v>625</v>
      </c>
      <c r="F106" s="6">
        <v>6633</v>
      </c>
      <c r="G106" s="145" t="s">
        <v>928</v>
      </c>
      <c r="H106" s="37">
        <v>118883700</v>
      </c>
      <c r="I106" s="37">
        <v>118883700</v>
      </c>
      <c r="J106" s="606" t="s">
        <v>929</v>
      </c>
      <c r="K106" s="607"/>
      <c r="L106" s="607"/>
      <c r="M106" s="607"/>
      <c r="N106" s="607"/>
      <c r="O106" s="607"/>
      <c r="P106" s="607"/>
      <c r="Q106" s="607"/>
      <c r="R106" s="608"/>
      <c r="S106" s="37">
        <v>118883700</v>
      </c>
      <c r="T106" s="39">
        <f>I106-S106</f>
        <v>0</v>
      </c>
      <c r="U106" s="5"/>
      <c r="V106" s="140">
        <v>0</v>
      </c>
      <c r="W106" s="142">
        <v>44593</v>
      </c>
      <c r="X106" s="5" t="s">
        <v>284</v>
      </c>
      <c r="Y106" s="42"/>
      <c r="Z106" s="609" t="s">
        <v>930</v>
      </c>
      <c r="AA106" s="610"/>
      <c r="AB106" s="610"/>
      <c r="AC106" s="610"/>
      <c r="AD106" s="610"/>
      <c r="AE106" s="610"/>
      <c r="AF106" s="610"/>
      <c r="AG106" s="611"/>
      <c r="AH106" s="609" t="s">
        <v>930</v>
      </c>
      <c r="AI106" s="610"/>
      <c r="AJ106" s="610"/>
      <c r="AK106" s="610"/>
      <c r="AL106" s="610"/>
      <c r="AM106" s="610"/>
      <c r="AN106" s="610"/>
      <c r="AO106" s="610"/>
      <c r="AP106" s="611"/>
      <c r="AQ106" s="609" t="s">
        <v>930</v>
      </c>
      <c r="AR106" s="610"/>
      <c r="AS106" s="610"/>
      <c r="AT106" s="610"/>
      <c r="AU106" s="610"/>
      <c r="AV106" s="610"/>
      <c r="AW106" s="610"/>
      <c r="AX106" s="610"/>
      <c r="AY106" s="611"/>
      <c r="AZ106" s="609" t="s">
        <v>930</v>
      </c>
      <c r="BA106" s="610"/>
      <c r="BB106" s="610"/>
      <c r="BC106" s="610"/>
      <c r="BD106" s="610"/>
      <c r="BE106" s="610"/>
      <c r="BF106" s="610"/>
      <c r="BG106" s="610"/>
      <c r="BH106" s="611"/>
      <c r="BI106" s="609" t="s">
        <v>930</v>
      </c>
      <c r="BJ106" s="610"/>
      <c r="BK106" s="610"/>
      <c r="BL106" s="610"/>
      <c r="BM106" s="610"/>
      <c r="BN106" s="610"/>
      <c r="BO106" s="610"/>
      <c r="BP106" s="610"/>
      <c r="BQ106" s="611"/>
      <c r="BR106" s="600" t="s">
        <v>287</v>
      </c>
      <c r="BS106" s="601"/>
      <c r="BT106" s="601"/>
      <c r="BU106" s="601"/>
      <c r="BV106" s="601"/>
      <c r="BW106" s="601"/>
      <c r="BX106" s="601"/>
      <c r="BY106" s="601"/>
      <c r="BZ106" s="601"/>
      <c r="CA106" s="601"/>
      <c r="CB106" s="601"/>
      <c r="CC106" s="601"/>
      <c r="CD106" s="601"/>
      <c r="CE106" s="601"/>
      <c r="CF106" s="601"/>
      <c r="CG106" s="601"/>
      <c r="CH106" s="601"/>
      <c r="CI106" s="601"/>
      <c r="CJ106" s="601"/>
      <c r="CK106" s="601"/>
      <c r="CL106" s="601"/>
      <c r="CM106" s="601"/>
      <c r="CN106" s="601"/>
      <c r="CO106" s="601"/>
      <c r="CP106" s="601"/>
      <c r="CQ106" s="601"/>
      <c r="CR106" s="601"/>
      <c r="CS106" s="601"/>
      <c r="CT106" s="601"/>
      <c r="CU106" s="601"/>
      <c r="CV106" s="601"/>
      <c r="CW106" s="601"/>
      <c r="CX106" s="601"/>
      <c r="CY106" s="601"/>
      <c r="CZ106" s="601"/>
      <c r="DA106" s="601"/>
      <c r="DB106" s="601"/>
      <c r="DC106" s="601"/>
      <c r="DD106" s="601"/>
      <c r="DE106" s="601"/>
      <c r="DF106" s="601"/>
      <c r="DG106" s="601"/>
      <c r="DH106" s="601"/>
      <c r="DI106" s="601"/>
      <c r="DJ106" s="602"/>
    </row>
    <row r="107" spans="1:114" x14ac:dyDescent="0.35">
      <c r="A107" s="9">
        <v>204588</v>
      </c>
      <c r="B107" s="9" t="s">
        <v>19</v>
      </c>
      <c r="C107" s="34" t="s">
        <v>529</v>
      </c>
      <c r="D107" s="5" t="s">
        <v>736</v>
      </c>
      <c r="E107" s="5" t="s">
        <v>643</v>
      </c>
      <c r="F107" s="6">
        <v>6636</v>
      </c>
      <c r="G107" s="145" t="s">
        <v>737</v>
      </c>
      <c r="H107" s="37">
        <v>13950787</v>
      </c>
      <c r="I107" s="37">
        <v>13877104</v>
      </c>
      <c r="J107" s="37"/>
      <c r="K107" s="37">
        <v>13950787</v>
      </c>
      <c r="L107" s="37"/>
      <c r="M107" s="37">
        <f>I107-K107</f>
        <v>-73683</v>
      </c>
      <c r="N107" s="37"/>
      <c r="O107" s="140">
        <f>M107/H107</f>
        <v>-5.2816375162204107E-3</v>
      </c>
      <c r="P107" s="142">
        <v>44200</v>
      </c>
      <c r="Q107" s="9" t="s">
        <v>284</v>
      </c>
      <c r="R107" s="42"/>
      <c r="S107" s="37">
        <v>13950787</v>
      </c>
      <c r="T107" s="39">
        <f>K107-S107</f>
        <v>0</v>
      </c>
      <c r="U107" s="5"/>
      <c r="V107" s="140">
        <v>0</v>
      </c>
      <c r="W107" s="43">
        <v>44594</v>
      </c>
      <c r="X107" s="5" t="s">
        <v>284</v>
      </c>
      <c r="Y107" s="42"/>
      <c r="Z107" s="5"/>
      <c r="AA107" s="38">
        <v>13950787</v>
      </c>
      <c r="AB107" s="38">
        <f>S107-AA107</f>
        <v>0</v>
      </c>
      <c r="AC107" s="5"/>
      <c r="AD107" s="40">
        <v>0</v>
      </c>
      <c r="AE107" s="51">
        <v>44621</v>
      </c>
      <c r="AF107" s="5" t="s">
        <v>284</v>
      </c>
      <c r="AG107" s="42"/>
      <c r="AH107" s="144"/>
      <c r="AI107" s="37">
        <v>13950787</v>
      </c>
      <c r="AJ107" s="37">
        <f>AA107-AI107</f>
        <v>0</v>
      </c>
      <c r="AK107" s="37"/>
      <c r="AL107" s="37"/>
      <c r="AM107" s="140">
        <v>0</v>
      </c>
      <c r="AN107" s="142">
        <v>44658</v>
      </c>
      <c r="AO107" s="5" t="s">
        <v>284</v>
      </c>
      <c r="AP107" s="5"/>
      <c r="AQ107" s="40"/>
      <c r="AR107" s="37">
        <f>13950787+186010</f>
        <v>14136797</v>
      </c>
      <c r="AS107" s="37">
        <f>AI107-AR107</f>
        <v>-186010</v>
      </c>
      <c r="AT107" s="37"/>
      <c r="AU107" s="37"/>
      <c r="AV107" s="140">
        <v>0</v>
      </c>
      <c r="AW107" s="43">
        <v>44692</v>
      </c>
      <c r="AX107" s="5" t="s">
        <v>284</v>
      </c>
      <c r="AY107" s="5"/>
      <c r="AZ107" s="140"/>
      <c r="BA107" s="37">
        <v>13950787</v>
      </c>
      <c r="BB107" s="37">
        <f>AI107-BA107</f>
        <v>0</v>
      </c>
      <c r="BC107" s="37"/>
      <c r="BD107" s="37"/>
      <c r="BE107" s="140">
        <v>0</v>
      </c>
      <c r="BF107" s="43">
        <v>44721</v>
      </c>
      <c r="BG107" s="5" t="s">
        <v>284</v>
      </c>
      <c r="BH107" s="43">
        <v>44728</v>
      </c>
      <c r="BI107" s="140"/>
      <c r="BJ107" s="37">
        <v>13950787</v>
      </c>
      <c r="BK107" s="37">
        <f>BA107-BJ107</f>
        <v>0</v>
      </c>
      <c r="BL107" s="37"/>
      <c r="BM107" s="37"/>
      <c r="BN107" s="140">
        <v>0</v>
      </c>
      <c r="BO107" s="43">
        <v>44743</v>
      </c>
      <c r="BP107" s="5" t="s">
        <v>284</v>
      </c>
      <c r="BQ107" s="43">
        <v>44757</v>
      </c>
      <c r="BR107" s="140"/>
      <c r="BS107" s="37">
        <v>13950787</v>
      </c>
      <c r="BT107" s="37">
        <f>BJ107-BS107</f>
        <v>0</v>
      </c>
      <c r="BU107" s="37"/>
      <c r="BV107" s="37"/>
      <c r="BW107" s="140">
        <v>0</v>
      </c>
      <c r="BX107" s="43">
        <v>44775</v>
      </c>
      <c r="BY107" s="5" t="s">
        <v>284</v>
      </c>
      <c r="BZ107" s="5"/>
      <c r="CA107" s="140"/>
      <c r="CB107" s="37"/>
      <c r="CC107" s="37"/>
      <c r="CD107" s="37"/>
      <c r="CE107" s="37"/>
      <c r="CF107" s="140"/>
      <c r="CG107" s="43"/>
      <c r="CH107" s="5"/>
      <c r="CI107" s="5"/>
      <c r="CJ107" s="140"/>
      <c r="CK107" s="37"/>
      <c r="CL107" s="37"/>
      <c r="CM107" s="37"/>
      <c r="CN107" s="37"/>
      <c r="CO107" s="140"/>
      <c r="CP107" s="43"/>
      <c r="CQ107" s="5"/>
      <c r="CR107" s="5"/>
      <c r="CS107" s="140"/>
      <c r="CT107" s="37"/>
      <c r="CU107" s="37"/>
      <c r="CV107" s="37"/>
      <c r="CW107" s="37"/>
      <c r="CX107" s="140"/>
      <c r="CY107" s="43"/>
      <c r="CZ107" s="5"/>
      <c r="DA107" s="143"/>
      <c r="DB107" s="140"/>
      <c r="DC107" s="37"/>
      <c r="DD107" s="37"/>
      <c r="DE107" s="37"/>
      <c r="DF107" s="37"/>
      <c r="DG107" s="140"/>
      <c r="DH107" s="43"/>
      <c r="DI107" s="5"/>
      <c r="DJ107" s="5"/>
    </row>
    <row r="108" spans="1:114" x14ac:dyDescent="0.35">
      <c r="A108" s="9">
        <v>204631</v>
      </c>
      <c r="B108" s="9" t="s">
        <v>741</v>
      </c>
      <c r="C108" s="34" t="s">
        <v>738</v>
      </c>
      <c r="D108" s="5" t="s">
        <v>931</v>
      </c>
      <c r="E108" s="5" t="s">
        <v>740</v>
      </c>
      <c r="F108" s="6">
        <v>6638</v>
      </c>
      <c r="G108" s="145" t="s">
        <v>742</v>
      </c>
      <c r="H108" s="37">
        <v>11084806</v>
      </c>
      <c r="I108" s="37">
        <v>11084806</v>
      </c>
      <c r="J108" s="37"/>
      <c r="K108" s="37">
        <v>11084806</v>
      </c>
      <c r="L108" s="37">
        <f>H108-K108</f>
        <v>0</v>
      </c>
      <c r="M108" s="37"/>
      <c r="N108" s="37"/>
      <c r="O108" s="140">
        <v>0</v>
      </c>
      <c r="P108" s="43">
        <v>44566</v>
      </c>
      <c r="Q108" s="5" t="s">
        <v>284</v>
      </c>
      <c r="R108" s="42"/>
      <c r="S108" s="37">
        <v>11084806</v>
      </c>
      <c r="T108" s="39">
        <f>K108-S108</f>
        <v>0</v>
      </c>
      <c r="U108" s="5"/>
      <c r="V108" s="140">
        <v>0</v>
      </c>
      <c r="W108" s="142">
        <v>44600</v>
      </c>
      <c r="X108" s="5" t="s">
        <v>284</v>
      </c>
      <c r="Y108" s="42"/>
      <c r="Z108" s="5"/>
      <c r="AA108" s="38">
        <v>11084806</v>
      </c>
      <c r="AB108" s="38">
        <f>S108-AA108</f>
        <v>0</v>
      </c>
      <c r="AC108" s="5"/>
      <c r="AD108" s="40">
        <v>0</v>
      </c>
      <c r="AE108" s="142">
        <v>44627</v>
      </c>
      <c r="AF108" s="5" t="s">
        <v>284</v>
      </c>
      <c r="AG108" s="42"/>
      <c r="AH108" s="144"/>
      <c r="AI108" s="37">
        <v>11084806</v>
      </c>
      <c r="AJ108" s="37">
        <f>AA108-AI108</f>
        <v>0</v>
      </c>
      <c r="AK108" s="37"/>
      <c r="AL108" s="37"/>
      <c r="AM108" s="140">
        <v>0</v>
      </c>
      <c r="AN108" s="43">
        <v>44656</v>
      </c>
      <c r="AO108" s="5" t="s">
        <v>284</v>
      </c>
      <c r="AP108" s="5"/>
      <c r="AQ108" s="40"/>
      <c r="AR108" s="37">
        <v>11084806</v>
      </c>
      <c r="AS108" s="37">
        <f>AI108-AR108</f>
        <v>0</v>
      </c>
      <c r="AT108" s="37"/>
      <c r="AU108" s="37"/>
      <c r="AV108" s="140">
        <v>0</v>
      </c>
      <c r="AW108" s="43">
        <v>44684</v>
      </c>
      <c r="AX108" s="5" t="s">
        <v>284</v>
      </c>
      <c r="AY108" s="5"/>
      <c r="AZ108" s="140"/>
      <c r="BA108" s="37">
        <v>11084806</v>
      </c>
      <c r="BB108" s="37">
        <f>AR108-BA108</f>
        <v>0</v>
      </c>
      <c r="BC108" s="37"/>
      <c r="BD108" s="37"/>
      <c r="BE108" s="140">
        <v>0</v>
      </c>
      <c r="BF108" s="43">
        <v>44715</v>
      </c>
      <c r="BG108" s="5" t="s">
        <v>284</v>
      </c>
      <c r="BH108" s="43">
        <v>44728</v>
      </c>
      <c r="BI108" s="140"/>
      <c r="BJ108" s="37">
        <v>11084806</v>
      </c>
      <c r="BK108" s="37">
        <f>BA108-BJ108</f>
        <v>0</v>
      </c>
      <c r="BL108" s="37"/>
      <c r="BM108" s="37"/>
      <c r="BN108" s="140">
        <v>0</v>
      </c>
      <c r="BO108" s="43">
        <v>44747</v>
      </c>
      <c r="BP108" s="5" t="s">
        <v>284</v>
      </c>
      <c r="BQ108" s="43">
        <v>44757</v>
      </c>
      <c r="BR108" s="140"/>
      <c r="BS108" s="37">
        <v>11084806</v>
      </c>
      <c r="BT108" s="37">
        <f>BJ108-BS108</f>
        <v>0</v>
      </c>
      <c r="BU108" s="37"/>
      <c r="BV108" s="37"/>
      <c r="BW108" s="140">
        <v>0</v>
      </c>
      <c r="BX108" s="43">
        <v>44777</v>
      </c>
      <c r="BY108" s="5" t="s">
        <v>284</v>
      </c>
      <c r="BZ108" s="5"/>
      <c r="CA108" s="140"/>
      <c r="CB108" s="37"/>
      <c r="CC108" s="37"/>
      <c r="CD108" s="37"/>
      <c r="CE108" s="37"/>
      <c r="CF108" s="140"/>
      <c r="CG108" s="43"/>
      <c r="CH108" s="5"/>
      <c r="CI108" s="5"/>
      <c r="CJ108" s="140"/>
      <c r="CK108" s="37"/>
      <c r="CL108" s="37"/>
      <c r="CM108" s="37"/>
      <c r="CN108" s="37"/>
      <c r="CO108" s="140"/>
      <c r="CP108" s="43"/>
      <c r="CQ108" s="5"/>
      <c r="CR108" s="5"/>
      <c r="CS108" s="140"/>
      <c r="CT108" s="37"/>
      <c r="CU108" s="37"/>
      <c r="CV108" s="37"/>
      <c r="CW108" s="37"/>
      <c r="CX108" s="140"/>
      <c r="CY108" s="43"/>
      <c r="CZ108" s="5"/>
      <c r="DA108" s="143"/>
      <c r="DB108" s="140"/>
      <c r="DC108" s="37"/>
      <c r="DD108" s="37"/>
      <c r="DE108" s="37"/>
      <c r="DF108" s="37"/>
      <c r="DG108" s="140"/>
      <c r="DH108" s="43"/>
      <c r="DI108" s="5"/>
      <c r="DJ108" s="5"/>
    </row>
    <row r="109" spans="1:114" x14ac:dyDescent="0.35">
      <c r="A109" s="9">
        <v>243073</v>
      </c>
      <c r="B109" s="9" t="s">
        <v>669</v>
      </c>
      <c r="C109" s="34" t="s">
        <v>666</v>
      </c>
      <c r="D109" s="5" t="s">
        <v>667</v>
      </c>
      <c r="E109" s="5" t="s">
        <v>643</v>
      </c>
      <c r="F109" s="6" t="s">
        <v>668</v>
      </c>
      <c r="G109" s="141" t="s">
        <v>670</v>
      </c>
      <c r="H109" s="37">
        <v>22667045</v>
      </c>
      <c r="I109" s="37">
        <v>18077630</v>
      </c>
      <c r="J109" s="37"/>
      <c r="K109" s="37">
        <v>20132566</v>
      </c>
      <c r="L109" s="37"/>
      <c r="M109" s="37">
        <f>I109-K109</f>
        <v>-2054936</v>
      </c>
      <c r="N109" s="37"/>
      <c r="O109" s="140">
        <f>M109/I109</f>
        <v>-0.11367286530369301</v>
      </c>
      <c r="P109" s="142">
        <v>44593</v>
      </c>
      <c r="Q109" s="9" t="s">
        <v>284</v>
      </c>
      <c r="R109" s="42"/>
      <c r="S109" s="37">
        <v>19436557</v>
      </c>
      <c r="T109" s="39">
        <f>K109-S109</f>
        <v>696009</v>
      </c>
      <c r="U109" s="5"/>
      <c r="V109" s="140">
        <f>T109/K109</f>
        <v>3.4571301045281562E-2</v>
      </c>
      <c r="W109" s="43">
        <v>44603</v>
      </c>
      <c r="X109" s="5" t="s">
        <v>284</v>
      </c>
      <c r="Y109" s="42"/>
      <c r="Z109" s="5"/>
      <c r="AA109" s="38">
        <v>15495913</v>
      </c>
      <c r="AB109" s="38">
        <f>K109-AA109</f>
        <v>4636653</v>
      </c>
      <c r="AC109" s="5"/>
      <c r="AD109" s="40">
        <f>AB109/K109</f>
        <v>0.23030611199784468</v>
      </c>
      <c r="AE109" s="51">
        <v>44664</v>
      </c>
      <c r="AF109" s="5" t="s">
        <v>284</v>
      </c>
      <c r="AG109" s="42"/>
      <c r="AH109" s="140"/>
      <c r="AI109" s="37">
        <v>20653127</v>
      </c>
      <c r="AJ109" s="37"/>
      <c r="AK109" s="37">
        <f>K109-AI109</f>
        <v>-520561</v>
      </c>
      <c r="AL109" s="37"/>
      <c r="AM109" s="140">
        <f>AK109/K109</f>
        <v>-2.5856664272204545E-2</v>
      </c>
      <c r="AN109" s="43">
        <v>44662</v>
      </c>
      <c r="AO109" s="5" t="s">
        <v>284</v>
      </c>
      <c r="AP109" s="5"/>
      <c r="AQ109" s="40"/>
      <c r="AR109" s="37">
        <v>20255260</v>
      </c>
      <c r="AS109" s="37">
        <f>AI109-AR109</f>
        <v>397867</v>
      </c>
      <c r="AT109" s="37"/>
      <c r="AU109" s="37"/>
      <c r="AV109" s="140">
        <f>AS109/AI109</f>
        <v>1.9264249912374045E-2</v>
      </c>
      <c r="AW109" s="43">
        <v>44764</v>
      </c>
      <c r="AX109" s="5" t="s">
        <v>284</v>
      </c>
      <c r="AY109" s="5"/>
      <c r="AZ109" s="140"/>
      <c r="BA109" s="37">
        <v>20567368</v>
      </c>
      <c r="BB109" s="37">
        <f>AI109-BA109</f>
        <v>85759</v>
      </c>
      <c r="BC109" s="37"/>
      <c r="BD109" s="37"/>
      <c r="BE109" s="140">
        <f>BB109/AI109</f>
        <v>4.1523494238911137E-3</v>
      </c>
      <c r="BF109" s="43">
        <v>44727</v>
      </c>
      <c r="BG109" s="5" t="s">
        <v>284</v>
      </c>
      <c r="BH109" s="43">
        <v>44755</v>
      </c>
      <c r="BI109" s="140"/>
      <c r="BJ109" s="37">
        <v>22324458</v>
      </c>
      <c r="BK109" s="37"/>
      <c r="BL109" s="37">
        <f>BA109-BJ109</f>
        <v>-1757090</v>
      </c>
      <c r="BM109" s="37"/>
      <c r="BN109" s="140">
        <f>BL109/BA109</f>
        <v>-8.5430960344561352E-2</v>
      </c>
      <c r="BO109" s="43">
        <v>44754</v>
      </c>
      <c r="BP109" s="5" t="s">
        <v>284</v>
      </c>
      <c r="BQ109" s="43">
        <v>44768</v>
      </c>
      <c r="BR109" s="140"/>
      <c r="BS109" s="37">
        <v>22667045</v>
      </c>
      <c r="BT109" s="37"/>
      <c r="BU109" s="37">
        <f>BS109-BJ109</f>
        <v>342587</v>
      </c>
      <c r="BV109" s="37"/>
      <c r="BW109" s="140">
        <f>BU109/BJ109</f>
        <v>1.5345814890556357E-2</v>
      </c>
      <c r="BX109" s="43">
        <v>44783</v>
      </c>
      <c r="BY109" s="5" t="s">
        <v>284</v>
      </c>
      <c r="BZ109" s="5"/>
      <c r="CA109" s="140"/>
      <c r="CB109" s="37"/>
      <c r="CC109" s="37"/>
      <c r="CD109" s="37"/>
      <c r="CE109" s="37"/>
      <c r="CF109" s="140"/>
      <c r="CG109" s="43"/>
      <c r="CH109" s="5"/>
      <c r="CI109" s="5"/>
      <c r="CJ109" s="140"/>
      <c r="CK109" s="37"/>
      <c r="CL109" s="37"/>
      <c r="CM109" s="37"/>
      <c r="CN109" s="37"/>
      <c r="CO109" s="140"/>
      <c r="CP109" s="43"/>
      <c r="CQ109" s="5"/>
      <c r="CR109" s="5"/>
      <c r="CS109" s="140"/>
      <c r="CT109" s="180"/>
      <c r="CU109" s="37"/>
      <c r="CV109" s="37"/>
      <c r="CW109" s="37"/>
      <c r="CX109" s="140"/>
      <c r="CY109" s="43"/>
      <c r="CZ109" s="5"/>
      <c r="DA109" s="143"/>
      <c r="DB109" s="140"/>
      <c r="DC109" s="37"/>
      <c r="DD109" s="37"/>
      <c r="DE109" s="37"/>
      <c r="DF109" s="37"/>
      <c r="DG109" s="140"/>
      <c r="DH109" s="43"/>
      <c r="DI109" s="5"/>
      <c r="DJ109" s="5"/>
    </row>
    <row r="110" spans="1:114" x14ac:dyDescent="0.35">
      <c r="A110" s="9">
        <v>243073</v>
      </c>
      <c r="B110" s="9" t="s">
        <v>669</v>
      </c>
      <c r="C110" s="34" t="s">
        <v>666</v>
      </c>
      <c r="D110" s="5" t="s">
        <v>667</v>
      </c>
      <c r="E110" s="5" t="s">
        <v>643</v>
      </c>
      <c r="F110" s="6" t="s">
        <v>873</v>
      </c>
      <c r="G110" s="141" t="s">
        <v>670</v>
      </c>
      <c r="H110" s="589" t="s">
        <v>873</v>
      </c>
      <c r="I110" s="590"/>
      <c r="J110" s="57"/>
      <c r="K110" s="57">
        <v>26202396</v>
      </c>
      <c r="L110" s="57">
        <v>0</v>
      </c>
      <c r="M110" s="57"/>
      <c r="N110" s="57"/>
      <c r="O110" s="57">
        <v>0</v>
      </c>
      <c r="P110" s="142">
        <v>44593</v>
      </c>
      <c r="Q110" s="9" t="s">
        <v>284</v>
      </c>
      <c r="R110" s="57"/>
      <c r="S110" s="181">
        <v>19015717</v>
      </c>
      <c r="T110" s="37">
        <v>0</v>
      </c>
      <c r="U110" s="5"/>
      <c r="V110" s="140">
        <v>0</v>
      </c>
      <c r="W110" s="142">
        <v>44609</v>
      </c>
      <c r="X110" s="5" t="s">
        <v>284</v>
      </c>
      <c r="Y110" s="42"/>
      <c r="Z110" s="5"/>
      <c r="AA110" s="38">
        <v>11823921</v>
      </c>
      <c r="AB110" s="38">
        <v>0</v>
      </c>
      <c r="AC110" s="5"/>
      <c r="AD110" s="40">
        <v>0</v>
      </c>
      <c r="AE110" s="43">
        <v>44635</v>
      </c>
      <c r="AF110" s="5" t="s">
        <v>284</v>
      </c>
      <c r="AG110" s="42"/>
      <c r="AH110" s="5"/>
      <c r="AI110" s="37">
        <v>9150825</v>
      </c>
      <c r="AJ110" s="37">
        <v>0</v>
      </c>
      <c r="AK110" s="37"/>
      <c r="AL110" s="37"/>
      <c r="AM110" s="140">
        <v>0</v>
      </c>
      <c r="AN110" s="43">
        <v>44670</v>
      </c>
      <c r="AO110" s="5" t="s">
        <v>284</v>
      </c>
      <c r="AP110" s="5"/>
      <c r="AQ110" s="40"/>
      <c r="AR110" s="37">
        <v>19623736</v>
      </c>
      <c r="AS110" s="37">
        <v>0</v>
      </c>
      <c r="AT110" s="37"/>
      <c r="AU110" s="37"/>
      <c r="AV110" s="140">
        <v>0</v>
      </c>
      <c r="AW110" s="43">
        <v>44712</v>
      </c>
      <c r="AX110" s="5" t="s">
        <v>284</v>
      </c>
      <c r="AY110" s="5"/>
      <c r="AZ110" s="140"/>
      <c r="BA110" s="37">
        <v>16476248</v>
      </c>
      <c r="BB110" s="37">
        <v>0</v>
      </c>
      <c r="BC110" s="37"/>
      <c r="BD110" s="37"/>
      <c r="BE110" s="140">
        <v>0</v>
      </c>
      <c r="BF110" s="43">
        <v>44734</v>
      </c>
      <c r="BG110" s="5" t="s">
        <v>284</v>
      </c>
      <c r="BH110" s="43">
        <v>44757</v>
      </c>
      <c r="BI110" s="140"/>
      <c r="BJ110" s="37">
        <v>7710672</v>
      </c>
      <c r="BK110" s="37">
        <v>0</v>
      </c>
      <c r="BL110" s="37"/>
      <c r="BM110" s="37"/>
      <c r="BN110" s="140">
        <v>0</v>
      </c>
      <c r="BO110" s="43">
        <v>44756</v>
      </c>
      <c r="BP110" s="5" t="s">
        <v>284</v>
      </c>
      <c r="BQ110" s="43">
        <v>44768</v>
      </c>
      <c r="BR110" s="140"/>
      <c r="BS110" s="37">
        <v>18222202</v>
      </c>
      <c r="BT110" s="37">
        <v>0</v>
      </c>
      <c r="BU110" s="37"/>
      <c r="BV110" s="37"/>
      <c r="BW110" s="140">
        <v>0</v>
      </c>
      <c r="BX110" s="43">
        <v>44791</v>
      </c>
      <c r="BY110" s="5" t="s">
        <v>284</v>
      </c>
      <c r="BZ110" s="5"/>
      <c r="CA110" s="140"/>
      <c r="CB110" s="37"/>
      <c r="CC110" s="37"/>
      <c r="CD110" s="37"/>
      <c r="CE110" s="37"/>
      <c r="CF110" s="140"/>
      <c r="CG110" s="43"/>
      <c r="CH110" s="5"/>
      <c r="CI110" s="5"/>
      <c r="CJ110" s="140"/>
      <c r="CK110" s="37"/>
      <c r="CL110" s="37"/>
      <c r="CM110" s="37"/>
      <c r="CN110" s="37"/>
      <c r="CO110" s="140"/>
      <c r="CP110" s="43"/>
      <c r="CQ110" s="5"/>
      <c r="CR110" s="5"/>
      <c r="CS110" s="140"/>
      <c r="CT110" s="37"/>
      <c r="CU110" s="37"/>
      <c r="CV110" s="37"/>
      <c r="CW110" s="37"/>
      <c r="CX110" s="140"/>
      <c r="CY110" s="43"/>
      <c r="CZ110" s="5"/>
      <c r="DA110" s="143"/>
      <c r="DB110" s="140"/>
      <c r="DC110" s="37"/>
      <c r="DD110" s="37"/>
      <c r="DE110" s="37"/>
      <c r="DF110" s="37"/>
      <c r="DG110" s="140"/>
      <c r="DH110" s="43"/>
      <c r="DI110" s="5"/>
      <c r="DJ110" s="5"/>
    </row>
    <row r="111" spans="1:114" x14ac:dyDescent="0.35">
      <c r="A111" s="9">
        <v>204578</v>
      </c>
      <c r="B111" s="9" t="s">
        <v>3</v>
      </c>
      <c r="C111" s="34" t="s">
        <v>535</v>
      </c>
      <c r="D111" s="5" t="s">
        <v>932</v>
      </c>
      <c r="E111" s="5" t="s">
        <v>625</v>
      </c>
      <c r="F111" s="6">
        <v>6652</v>
      </c>
      <c r="G111" s="145" t="s">
        <v>747</v>
      </c>
      <c r="H111" s="37">
        <v>14532500</v>
      </c>
      <c r="I111" s="37">
        <v>13503500</v>
      </c>
      <c r="J111" s="37"/>
      <c r="K111" s="37">
        <v>14532500</v>
      </c>
      <c r="L111" s="37"/>
      <c r="M111" s="37">
        <f>I111-K111</f>
        <v>-1029000</v>
      </c>
      <c r="N111" s="37"/>
      <c r="O111" s="140">
        <f>M111/I111</f>
        <v>-7.6202466027326249E-2</v>
      </c>
      <c r="P111" s="43">
        <v>44573</v>
      </c>
      <c r="Q111" s="43" t="s">
        <v>284</v>
      </c>
      <c r="R111" s="42"/>
      <c r="S111" s="37">
        <v>14532500</v>
      </c>
      <c r="T111" s="39">
        <f>K111-S111</f>
        <v>0</v>
      </c>
      <c r="U111" s="5"/>
      <c r="V111" s="140">
        <v>0</v>
      </c>
      <c r="W111" s="142">
        <v>44593</v>
      </c>
      <c r="X111" s="5" t="s">
        <v>284</v>
      </c>
      <c r="Y111" s="42"/>
      <c r="Z111" s="144"/>
      <c r="AA111" s="38">
        <v>14532500</v>
      </c>
      <c r="AB111" s="38">
        <f t="shared" ref="AB111:AB135" si="25">S111-AA111</f>
        <v>0</v>
      </c>
      <c r="AC111" s="5"/>
      <c r="AD111" s="40">
        <v>0</v>
      </c>
      <c r="AE111" s="51">
        <v>44621</v>
      </c>
      <c r="AF111" s="5" t="s">
        <v>284</v>
      </c>
      <c r="AG111" s="42"/>
      <c r="AH111" s="144"/>
      <c r="AI111" s="37">
        <v>14934700</v>
      </c>
      <c r="AJ111" s="37"/>
      <c r="AK111" s="37">
        <f>AA111-AI111</f>
        <v>-402200</v>
      </c>
      <c r="AL111" s="37">
        <v>402200</v>
      </c>
      <c r="AM111" s="140">
        <f>AK111/AA111</f>
        <v>-2.7675898847410976E-2</v>
      </c>
      <c r="AN111" s="43">
        <v>44655</v>
      </c>
      <c r="AO111" s="5" t="s">
        <v>284</v>
      </c>
      <c r="AP111" s="5"/>
      <c r="AQ111" s="40"/>
      <c r="AR111" s="37">
        <v>14532500</v>
      </c>
      <c r="AS111" s="37">
        <f>AA111-AR111</f>
        <v>0</v>
      </c>
      <c r="AT111" s="37"/>
      <c r="AU111" s="37"/>
      <c r="AV111" s="140">
        <v>0</v>
      </c>
      <c r="AW111" s="43">
        <v>44683</v>
      </c>
      <c r="AX111" s="5" t="s">
        <v>284</v>
      </c>
      <c r="AY111" s="5"/>
      <c r="AZ111" s="140"/>
      <c r="BA111" s="37">
        <v>14532500</v>
      </c>
      <c r="BB111" s="37">
        <f>AR111-BA111</f>
        <v>0</v>
      </c>
      <c r="BC111" s="37"/>
      <c r="BD111" s="37"/>
      <c r="BE111" s="140">
        <v>0</v>
      </c>
      <c r="BF111" s="43">
        <v>44715</v>
      </c>
      <c r="BG111" s="5" t="s">
        <v>284</v>
      </c>
      <c r="BH111" s="43">
        <v>44728</v>
      </c>
      <c r="BI111" s="140"/>
      <c r="BJ111" s="37">
        <v>14532500</v>
      </c>
      <c r="BK111" s="37">
        <f t="shared" ref="BK111:BK121" si="26">BA111-BJ111</f>
        <v>0</v>
      </c>
      <c r="BL111" s="37"/>
      <c r="BM111" s="37"/>
      <c r="BN111" s="140">
        <v>0</v>
      </c>
      <c r="BO111" s="43">
        <v>44743</v>
      </c>
      <c r="BP111" s="5" t="s">
        <v>284</v>
      </c>
      <c r="BQ111" s="43">
        <v>44757</v>
      </c>
      <c r="BR111" s="140"/>
      <c r="BS111" s="37">
        <v>14532500</v>
      </c>
      <c r="BT111" s="37">
        <f t="shared" ref="BT111:BT120" si="27">BJ111-BS111</f>
        <v>0</v>
      </c>
      <c r="BU111" s="37"/>
      <c r="BV111" s="37"/>
      <c r="BW111" s="140">
        <v>0</v>
      </c>
      <c r="BX111" s="43">
        <v>44777</v>
      </c>
      <c r="BY111" s="5" t="s">
        <v>284</v>
      </c>
      <c r="BZ111" s="5"/>
      <c r="CA111" s="140"/>
      <c r="CB111" s="37"/>
      <c r="CC111" s="37"/>
      <c r="CD111" s="37"/>
      <c r="CE111" s="37"/>
      <c r="CF111" s="140"/>
      <c r="CG111" s="43"/>
      <c r="CH111" s="5"/>
      <c r="CI111" s="5"/>
      <c r="CJ111" s="140"/>
      <c r="CK111" s="37"/>
      <c r="CL111" s="37"/>
      <c r="CM111" s="37"/>
      <c r="CN111" s="37"/>
      <c r="CO111" s="140"/>
      <c r="CP111" s="43"/>
      <c r="CQ111" s="5"/>
      <c r="CR111" s="5"/>
      <c r="CS111" s="140"/>
      <c r="CT111" s="37"/>
      <c r="CU111" s="37"/>
      <c r="CV111" s="37"/>
      <c r="CW111" s="37"/>
      <c r="CX111" s="140"/>
      <c r="CY111" s="43"/>
      <c r="CZ111" s="5"/>
      <c r="DA111" s="143"/>
      <c r="DB111" s="140"/>
      <c r="DC111" s="37"/>
      <c r="DD111" s="37"/>
      <c r="DE111" s="37"/>
      <c r="DF111" s="37"/>
      <c r="DG111" s="140"/>
      <c r="DH111" s="43"/>
      <c r="DI111" s="5"/>
      <c r="DJ111" s="5"/>
    </row>
    <row r="112" spans="1:114" ht="16.5" x14ac:dyDescent="0.35">
      <c r="A112" s="182" t="s">
        <v>214</v>
      </c>
      <c r="B112" s="9" t="s">
        <v>749</v>
      </c>
      <c r="C112" s="34" t="s">
        <v>539</v>
      </c>
      <c r="D112" s="5" t="s">
        <v>933</v>
      </c>
      <c r="E112" s="5" t="s">
        <v>635</v>
      </c>
      <c r="F112" s="6">
        <v>6660</v>
      </c>
      <c r="G112" s="145" t="s">
        <v>750</v>
      </c>
      <c r="H112" s="37">
        <v>9542123</v>
      </c>
      <c r="I112" s="37">
        <v>9034390</v>
      </c>
      <c r="J112" s="37"/>
      <c r="K112" s="37">
        <v>9034390</v>
      </c>
      <c r="L112" s="37">
        <f>I112-K112</f>
        <v>0</v>
      </c>
      <c r="M112" s="37"/>
      <c r="N112" s="37"/>
      <c r="O112" s="140">
        <v>0</v>
      </c>
      <c r="P112" s="142">
        <v>44200</v>
      </c>
      <c r="Q112" s="9" t="s">
        <v>284</v>
      </c>
      <c r="R112" s="42"/>
      <c r="S112" s="39">
        <v>9034390</v>
      </c>
      <c r="T112" s="39">
        <f>K112-S112</f>
        <v>0</v>
      </c>
      <c r="U112" s="5"/>
      <c r="V112" s="140">
        <v>0</v>
      </c>
      <c r="W112" s="142">
        <v>44593</v>
      </c>
      <c r="X112" s="5" t="s">
        <v>284</v>
      </c>
      <c r="Y112" s="42"/>
      <c r="Z112" s="5"/>
      <c r="AA112" s="38">
        <v>9034390</v>
      </c>
      <c r="AB112" s="38">
        <f t="shared" si="25"/>
        <v>0</v>
      </c>
      <c r="AC112" s="5"/>
      <c r="AD112" s="40">
        <v>0</v>
      </c>
      <c r="AE112" s="51">
        <v>44621</v>
      </c>
      <c r="AF112" s="5" t="s">
        <v>284</v>
      </c>
      <c r="AG112" s="42"/>
      <c r="AH112" s="5"/>
      <c r="AI112" s="37">
        <v>9034390</v>
      </c>
      <c r="AJ112" s="37">
        <f>AA112-AI112</f>
        <v>0</v>
      </c>
      <c r="AK112" s="37"/>
      <c r="AL112" s="37"/>
      <c r="AM112" s="140">
        <v>0</v>
      </c>
      <c r="AN112" s="142">
        <v>44658</v>
      </c>
      <c r="AO112" s="5" t="s">
        <v>284</v>
      </c>
      <c r="AP112" s="5"/>
      <c r="AQ112" s="40"/>
      <c r="AR112" s="37">
        <v>9440576</v>
      </c>
      <c r="AS112" s="37"/>
      <c r="AT112" s="37">
        <f>AI112-AR112</f>
        <v>-406186</v>
      </c>
      <c r="AU112" s="37"/>
      <c r="AV112" s="140">
        <f>AT112/AI112</f>
        <v>-4.4959980695985009E-2</v>
      </c>
      <c r="AW112" s="43">
        <v>44684</v>
      </c>
      <c r="AX112" s="5" t="s">
        <v>284</v>
      </c>
      <c r="AY112" s="5"/>
      <c r="AZ112" s="140"/>
      <c r="BA112" s="37">
        <v>9542123</v>
      </c>
      <c r="BB112" s="37"/>
      <c r="BC112" s="37">
        <f>AR112-BA112</f>
        <v>-101547</v>
      </c>
      <c r="BD112" s="37"/>
      <c r="BE112" s="140">
        <f>BC112/AR112</f>
        <v>-1.0756441132405481E-2</v>
      </c>
      <c r="BF112" s="43">
        <v>44719</v>
      </c>
      <c r="BG112" s="5" t="s">
        <v>284</v>
      </c>
      <c r="BH112" s="43">
        <v>44728</v>
      </c>
      <c r="BI112" s="140"/>
      <c r="BJ112" s="37">
        <v>9542123</v>
      </c>
      <c r="BK112" s="37">
        <f t="shared" si="26"/>
        <v>0</v>
      </c>
      <c r="BL112" s="37"/>
      <c r="BM112" s="37"/>
      <c r="BN112" s="140">
        <v>0</v>
      </c>
      <c r="BO112" s="43">
        <v>44743</v>
      </c>
      <c r="BP112" s="5" t="s">
        <v>284</v>
      </c>
      <c r="BQ112" s="43">
        <v>44757</v>
      </c>
      <c r="BR112" s="140"/>
      <c r="BS112" s="37">
        <v>9542123</v>
      </c>
      <c r="BT112" s="37">
        <f t="shared" si="27"/>
        <v>0</v>
      </c>
      <c r="BU112" s="37"/>
      <c r="BV112" s="37"/>
      <c r="BW112" s="140">
        <v>0</v>
      </c>
      <c r="BX112" s="43">
        <v>44775</v>
      </c>
      <c r="BY112" s="5" t="s">
        <v>284</v>
      </c>
      <c r="BZ112" s="5"/>
      <c r="CA112" s="140"/>
      <c r="CB112" s="37"/>
      <c r="CC112" s="37"/>
      <c r="CD112" s="37"/>
      <c r="CE112" s="37"/>
      <c r="CF112" s="140"/>
      <c r="CG112" s="43"/>
      <c r="CH112" s="5"/>
      <c r="CI112" s="5"/>
      <c r="CJ112" s="140"/>
      <c r="CK112" s="37"/>
      <c r="CL112" s="37"/>
      <c r="CM112" s="37"/>
      <c r="CN112" s="37"/>
      <c r="CO112" s="140"/>
      <c r="CP112" s="43"/>
      <c r="CQ112" s="5"/>
      <c r="CR112" s="5"/>
      <c r="CS112" s="140"/>
      <c r="CT112" s="37"/>
      <c r="CU112" s="37"/>
      <c r="CV112" s="37"/>
      <c r="CW112" s="37"/>
      <c r="CX112" s="140"/>
      <c r="CY112" s="43"/>
      <c r="CZ112" s="5"/>
      <c r="DA112" s="143"/>
      <c r="DB112" s="140"/>
      <c r="DC112" s="37"/>
      <c r="DD112" s="37"/>
      <c r="DE112" s="37"/>
      <c r="DF112" s="37"/>
      <c r="DG112" s="140"/>
      <c r="DH112" s="43"/>
      <c r="DI112" s="5"/>
      <c r="DJ112" s="5"/>
    </row>
    <row r="113" spans="1:114" ht="15" customHeight="1" x14ac:dyDescent="0.35">
      <c r="A113" s="9">
        <v>204593</v>
      </c>
      <c r="B113" s="9" t="s">
        <v>753</v>
      </c>
      <c r="C113" s="34" t="s">
        <v>751</v>
      </c>
      <c r="D113" s="5" t="s">
        <v>934</v>
      </c>
      <c r="E113" s="5" t="s">
        <v>638</v>
      </c>
      <c r="F113" s="6">
        <v>6686</v>
      </c>
      <c r="G113" s="145" t="s">
        <v>754</v>
      </c>
      <c r="H113" s="37">
        <v>7610000</v>
      </c>
      <c r="I113" s="37">
        <v>15597917</v>
      </c>
      <c r="J113" s="37"/>
      <c r="K113" s="37">
        <v>15578395</v>
      </c>
      <c r="L113" s="37">
        <f>I113-K113</f>
        <v>19522</v>
      </c>
      <c r="M113" s="37"/>
      <c r="N113" s="37"/>
      <c r="O113" s="140">
        <f>L113/H113</f>
        <v>2.5653088042049935E-3</v>
      </c>
      <c r="P113" s="142">
        <v>44200</v>
      </c>
      <c r="Q113" s="9" t="s">
        <v>284</v>
      </c>
      <c r="R113" s="42"/>
      <c r="S113" s="37">
        <v>15219787</v>
      </c>
      <c r="T113" s="39">
        <f>I113-S113</f>
        <v>378130</v>
      </c>
      <c r="U113" s="5"/>
      <c r="V113" s="140">
        <f>T113/I113</f>
        <v>2.4242339538029341E-2</v>
      </c>
      <c r="W113" s="142">
        <v>44593</v>
      </c>
      <c r="X113" s="5" t="s">
        <v>284</v>
      </c>
      <c r="Y113" s="42"/>
      <c r="Z113" s="5"/>
      <c r="AA113" s="38">
        <f>15219787+3123030</f>
        <v>18342817</v>
      </c>
      <c r="AB113" s="38">
        <v>0</v>
      </c>
      <c r="AC113" s="38">
        <v>6595241</v>
      </c>
      <c r="AD113" s="40">
        <v>0</v>
      </c>
      <c r="AE113" s="142">
        <v>44637</v>
      </c>
      <c r="AF113" s="5" t="s">
        <v>284</v>
      </c>
      <c r="AG113" s="42"/>
      <c r="AH113" s="144"/>
      <c r="AI113" s="37">
        <v>7610000</v>
      </c>
      <c r="AJ113" s="37">
        <f>K113-AI113</f>
        <v>7968395</v>
      </c>
      <c r="AK113" s="37"/>
      <c r="AL113" s="37"/>
      <c r="AM113" s="140">
        <f>AJ113/S113</f>
        <v>0.52355496170872828</v>
      </c>
      <c r="AN113" s="43">
        <v>44655</v>
      </c>
      <c r="AO113" s="5" t="s">
        <v>284</v>
      </c>
      <c r="AP113" s="5"/>
      <c r="AQ113" s="40"/>
      <c r="AR113" s="37">
        <v>7610000</v>
      </c>
      <c r="AS113" s="37">
        <f>AI113-AR113</f>
        <v>0</v>
      </c>
      <c r="AT113" s="37"/>
      <c r="AU113" s="37"/>
      <c r="AV113" s="140">
        <v>0</v>
      </c>
      <c r="AW113" s="43">
        <v>44683</v>
      </c>
      <c r="AX113" s="5" t="s">
        <v>284</v>
      </c>
      <c r="AY113" s="5"/>
      <c r="AZ113" s="140"/>
      <c r="BA113" s="37">
        <v>7610000</v>
      </c>
      <c r="BB113" s="37">
        <f t="shared" ref="BB113:BB121" si="28">AR113-BA113</f>
        <v>0</v>
      </c>
      <c r="BC113" s="37"/>
      <c r="BD113" s="37"/>
      <c r="BE113" s="140">
        <v>0</v>
      </c>
      <c r="BF113" s="43">
        <v>44713</v>
      </c>
      <c r="BG113" s="5" t="s">
        <v>284</v>
      </c>
      <c r="BH113" s="43">
        <v>44728</v>
      </c>
      <c r="BI113" s="140"/>
      <c r="BJ113" s="37">
        <v>7610000</v>
      </c>
      <c r="BK113" s="37">
        <f t="shared" si="26"/>
        <v>0</v>
      </c>
      <c r="BL113" s="37"/>
      <c r="BM113" s="37"/>
      <c r="BN113" s="140">
        <v>0</v>
      </c>
      <c r="BO113" s="43">
        <v>44743</v>
      </c>
      <c r="BP113" s="5" t="s">
        <v>284</v>
      </c>
      <c r="BQ113" s="43">
        <v>44757</v>
      </c>
      <c r="BR113" s="140"/>
      <c r="BS113" s="37">
        <v>7610000</v>
      </c>
      <c r="BT113" s="37">
        <f t="shared" si="27"/>
        <v>0</v>
      </c>
      <c r="BU113" s="37"/>
      <c r="BV113" s="37"/>
      <c r="BW113" s="140">
        <v>0</v>
      </c>
      <c r="BX113" s="43">
        <v>44774</v>
      </c>
      <c r="BY113" s="5" t="s">
        <v>284</v>
      </c>
      <c r="BZ113" s="5"/>
      <c r="CA113" s="140"/>
      <c r="CB113" s="37"/>
      <c r="CC113" s="37"/>
      <c r="CD113" s="37"/>
      <c r="CE113" s="37"/>
      <c r="CF113" s="140"/>
      <c r="CG113" s="43"/>
      <c r="CH113" s="5"/>
      <c r="CI113" s="5"/>
      <c r="CJ113" s="140"/>
      <c r="CK113" s="37"/>
      <c r="CL113" s="37"/>
      <c r="CM113" s="37"/>
      <c r="CN113" s="37"/>
      <c r="CO113" s="140"/>
      <c r="CP113" s="43"/>
      <c r="CQ113" s="5"/>
      <c r="CR113" s="5"/>
      <c r="CS113" s="37"/>
      <c r="CT113" s="37"/>
      <c r="CU113" s="37"/>
      <c r="CV113" s="37"/>
      <c r="CW113" s="37"/>
      <c r="CX113" s="37"/>
      <c r="CY113" s="183"/>
      <c r="CZ113" s="37"/>
      <c r="DA113" s="184"/>
      <c r="DB113" s="140"/>
      <c r="DC113" s="37"/>
      <c r="DD113" s="37"/>
      <c r="DE113" s="37"/>
      <c r="DF113" s="37"/>
      <c r="DG113" s="140"/>
      <c r="DH113" s="43"/>
      <c r="DI113" s="5"/>
      <c r="DJ113" s="5"/>
    </row>
    <row r="114" spans="1:114" ht="15" customHeight="1" x14ac:dyDescent="0.35">
      <c r="A114" s="9">
        <v>204570</v>
      </c>
      <c r="B114" s="9" t="s">
        <v>17</v>
      </c>
      <c r="C114" s="34" t="s">
        <v>542</v>
      </c>
      <c r="D114" s="5" t="s">
        <v>935</v>
      </c>
      <c r="E114" s="5" t="s">
        <v>625</v>
      </c>
      <c r="F114" s="6">
        <v>6687</v>
      </c>
      <c r="G114" s="145" t="s">
        <v>756</v>
      </c>
      <c r="H114" s="37">
        <v>14934700</v>
      </c>
      <c r="I114" s="37">
        <v>13877300</v>
      </c>
      <c r="J114" s="37"/>
      <c r="K114" s="37">
        <v>13877300</v>
      </c>
      <c r="L114" s="37">
        <f>I114-K114</f>
        <v>0</v>
      </c>
      <c r="M114" s="37"/>
      <c r="N114" s="37"/>
      <c r="O114" s="140">
        <v>0</v>
      </c>
      <c r="P114" s="142">
        <v>44564</v>
      </c>
      <c r="Q114" s="9" t="s">
        <v>284</v>
      </c>
      <c r="R114" s="42"/>
      <c r="S114" s="37">
        <v>13877300</v>
      </c>
      <c r="T114" s="39">
        <f>K114-S114</f>
        <v>0</v>
      </c>
      <c r="U114" s="5"/>
      <c r="V114" s="140">
        <v>0</v>
      </c>
      <c r="W114" s="142">
        <v>44593</v>
      </c>
      <c r="X114" s="5" t="s">
        <v>284</v>
      </c>
      <c r="Y114" s="42"/>
      <c r="Z114" s="144"/>
      <c r="AA114" s="38">
        <v>13877300</v>
      </c>
      <c r="AB114" s="38">
        <f t="shared" si="25"/>
        <v>0</v>
      </c>
      <c r="AC114" s="5"/>
      <c r="AD114" s="40">
        <v>0</v>
      </c>
      <c r="AE114" s="51">
        <v>44621</v>
      </c>
      <c r="AF114" s="5" t="s">
        <v>284</v>
      </c>
      <c r="AG114" s="42"/>
      <c r="AH114" s="144"/>
      <c r="AI114" s="37">
        <v>14934700</v>
      </c>
      <c r="AJ114" s="37"/>
      <c r="AK114" s="37">
        <f>AA114-AI114</f>
        <v>-1057400</v>
      </c>
      <c r="AL114" s="37"/>
      <c r="AM114" s="140">
        <f>AK114/AA114</f>
        <v>-7.6196378258018491E-2</v>
      </c>
      <c r="AN114" s="43">
        <v>44655</v>
      </c>
      <c r="AO114" s="5" t="s">
        <v>284</v>
      </c>
      <c r="AP114" s="5"/>
      <c r="AQ114" s="40"/>
      <c r="AR114" s="37">
        <v>14934700</v>
      </c>
      <c r="AS114" s="37">
        <f>AI114-AR114</f>
        <v>0</v>
      </c>
      <c r="AT114" s="37"/>
      <c r="AU114" s="37"/>
      <c r="AV114" s="140">
        <v>0</v>
      </c>
      <c r="AW114" s="43">
        <v>44683</v>
      </c>
      <c r="AX114" s="5" t="s">
        <v>284</v>
      </c>
      <c r="AY114" s="5"/>
      <c r="AZ114" s="140"/>
      <c r="BA114" s="37">
        <v>14934700</v>
      </c>
      <c r="BB114" s="37">
        <f t="shared" si="28"/>
        <v>0</v>
      </c>
      <c r="BC114" s="37"/>
      <c r="BD114" s="37"/>
      <c r="BE114" s="140">
        <v>0</v>
      </c>
      <c r="BF114" s="43">
        <v>44713</v>
      </c>
      <c r="BG114" s="5" t="s">
        <v>284</v>
      </c>
      <c r="BH114" s="43">
        <v>44728</v>
      </c>
      <c r="BI114" s="140"/>
      <c r="BJ114" s="37">
        <v>14934700</v>
      </c>
      <c r="BK114" s="37">
        <f t="shared" si="26"/>
        <v>0</v>
      </c>
      <c r="BL114" s="37"/>
      <c r="BM114" s="37"/>
      <c r="BN114" s="140">
        <v>0</v>
      </c>
      <c r="BO114" s="43">
        <v>44743</v>
      </c>
      <c r="BP114" s="5" t="s">
        <v>284</v>
      </c>
      <c r="BQ114" s="43">
        <v>44757</v>
      </c>
      <c r="BR114" s="140"/>
      <c r="BS114" s="37">
        <v>14934700</v>
      </c>
      <c r="BT114" s="37">
        <f t="shared" si="27"/>
        <v>0</v>
      </c>
      <c r="BU114" s="37"/>
      <c r="BV114" s="37"/>
      <c r="BW114" s="140">
        <v>0</v>
      </c>
      <c r="BX114" s="43">
        <v>44774</v>
      </c>
      <c r="BY114" s="5" t="s">
        <v>284</v>
      </c>
      <c r="BZ114" s="5"/>
      <c r="CA114" s="140"/>
      <c r="CB114" s="37"/>
      <c r="CC114" s="37"/>
      <c r="CD114" s="37"/>
      <c r="CE114" s="37"/>
      <c r="CF114" s="140"/>
      <c r="CG114" s="43"/>
      <c r="CH114" s="5"/>
      <c r="CI114" s="5"/>
      <c r="CJ114" s="140"/>
      <c r="CK114" s="37"/>
      <c r="CL114" s="37"/>
      <c r="CM114" s="37"/>
      <c r="CN114" s="37"/>
      <c r="CO114" s="140"/>
      <c r="CP114" s="43"/>
      <c r="CQ114" s="5"/>
      <c r="CR114" s="5"/>
      <c r="CS114" s="37"/>
      <c r="CT114" s="37"/>
      <c r="CU114" s="37"/>
      <c r="CV114" s="37"/>
      <c r="CW114" s="37"/>
      <c r="CX114" s="37"/>
      <c r="CY114" s="37"/>
      <c r="CZ114" s="37"/>
      <c r="DA114" s="184"/>
      <c r="DB114" s="140"/>
      <c r="DC114" s="37"/>
      <c r="DD114" s="37"/>
      <c r="DE114" s="37"/>
      <c r="DF114" s="37"/>
      <c r="DG114" s="140"/>
      <c r="DH114" s="43"/>
      <c r="DI114" s="5"/>
      <c r="DJ114" s="5"/>
    </row>
    <row r="115" spans="1:114" ht="15" customHeight="1" x14ac:dyDescent="0.35">
      <c r="A115" s="9">
        <v>207634</v>
      </c>
      <c r="B115" s="9" t="s">
        <v>758</v>
      </c>
      <c r="C115" s="34" t="s">
        <v>546</v>
      </c>
      <c r="D115" s="5" t="s">
        <v>757</v>
      </c>
      <c r="E115" s="5" t="s">
        <v>638</v>
      </c>
      <c r="F115" s="6">
        <v>6688</v>
      </c>
      <c r="G115" s="145" t="s">
        <v>759</v>
      </c>
      <c r="H115" s="37">
        <v>18427823</v>
      </c>
      <c r="I115" s="37">
        <v>17123048</v>
      </c>
      <c r="J115" s="37"/>
      <c r="K115" s="37">
        <v>17123048</v>
      </c>
      <c r="L115" s="37">
        <f>I115-K115</f>
        <v>0</v>
      </c>
      <c r="M115" s="37"/>
      <c r="N115" s="37"/>
      <c r="O115" s="140">
        <v>0</v>
      </c>
      <c r="P115" s="142">
        <v>44564</v>
      </c>
      <c r="Q115" s="9" t="s">
        <v>284</v>
      </c>
      <c r="R115" s="42"/>
      <c r="S115" s="37">
        <v>18427823</v>
      </c>
      <c r="T115" s="39">
        <f>K115-S115</f>
        <v>-1304775</v>
      </c>
      <c r="U115" s="5"/>
      <c r="V115" s="140">
        <f>T115/K115</f>
        <v>-7.6199926555132011E-2</v>
      </c>
      <c r="W115" s="43">
        <v>44595</v>
      </c>
      <c r="X115" s="5" t="s">
        <v>284</v>
      </c>
      <c r="Y115" s="42"/>
      <c r="Z115" s="5"/>
      <c r="AA115" s="38">
        <v>18427824</v>
      </c>
      <c r="AB115" s="38">
        <f t="shared" si="25"/>
        <v>-1</v>
      </c>
      <c r="AC115" s="5"/>
      <c r="AD115" s="40">
        <v>0</v>
      </c>
      <c r="AE115" s="51">
        <v>44621</v>
      </c>
      <c r="AF115" s="5" t="s">
        <v>284</v>
      </c>
      <c r="AG115" s="42"/>
      <c r="AH115" s="144"/>
      <c r="AI115" s="37">
        <v>18427824</v>
      </c>
      <c r="AJ115" s="37">
        <f>AA115-AI115</f>
        <v>0</v>
      </c>
      <c r="AK115" s="37"/>
      <c r="AL115" s="37"/>
      <c r="AM115" s="140">
        <v>0</v>
      </c>
      <c r="AN115" s="43">
        <v>44655</v>
      </c>
      <c r="AO115" s="5" t="s">
        <v>284</v>
      </c>
      <c r="AP115" s="5"/>
      <c r="AQ115" s="40"/>
      <c r="AR115" s="37">
        <v>18427824</v>
      </c>
      <c r="AS115" s="37">
        <f>AI115-AR115</f>
        <v>0</v>
      </c>
      <c r="AT115" s="37"/>
      <c r="AU115" s="37"/>
      <c r="AV115" s="140">
        <v>0</v>
      </c>
      <c r="AW115" s="43">
        <v>44683</v>
      </c>
      <c r="AX115" s="5" t="s">
        <v>284</v>
      </c>
      <c r="AY115" s="5"/>
      <c r="AZ115" s="140"/>
      <c r="BA115" s="37">
        <v>18427824</v>
      </c>
      <c r="BB115" s="37">
        <f t="shared" si="28"/>
        <v>0</v>
      </c>
      <c r="BC115" s="37"/>
      <c r="BD115" s="37"/>
      <c r="BE115" s="140">
        <v>0</v>
      </c>
      <c r="BF115" s="43">
        <v>44713</v>
      </c>
      <c r="BG115" s="5" t="s">
        <v>284</v>
      </c>
      <c r="BH115" s="43">
        <v>44728</v>
      </c>
      <c r="BI115" s="140"/>
      <c r="BJ115" s="37">
        <v>18427824</v>
      </c>
      <c r="BK115" s="37">
        <f t="shared" si="26"/>
        <v>0</v>
      </c>
      <c r="BL115" s="37"/>
      <c r="BM115" s="37"/>
      <c r="BN115" s="140">
        <v>0</v>
      </c>
      <c r="BO115" s="43">
        <v>44743</v>
      </c>
      <c r="BP115" s="5" t="s">
        <v>284</v>
      </c>
      <c r="BQ115" s="43">
        <v>44757</v>
      </c>
      <c r="BR115" s="140"/>
      <c r="BS115" s="37">
        <v>18427824</v>
      </c>
      <c r="BT115" s="37">
        <f t="shared" si="27"/>
        <v>0</v>
      </c>
      <c r="BU115" s="37"/>
      <c r="BV115" s="37"/>
      <c r="BW115" s="140">
        <v>0</v>
      </c>
      <c r="BX115" s="43">
        <v>44774</v>
      </c>
      <c r="BY115" s="5" t="s">
        <v>284</v>
      </c>
      <c r="BZ115" s="5"/>
      <c r="CA115" s="140"/>
      <c r="CB115" s="37"/>
      <c r="CC115" s="37"/>
      <c r="CD115" s="37"/>
      <c r="CE115" s="37"/>
      <c r="CF115" s="140"/>
      <c r="CG115" s="43"/>
      <c r="CH115" s="5"/>
      <c r="CI115" s="5"/>
      <c r="CJ115" s="140"/>
      <c r="CK115" s="37"/>
      <c r="CL115" s="37"/>
      <c r="CM115" s="37"/>
      <c r="CN115" s="37"/>
      <c r="CO115" s="140"/>
      <c r="CP115" s="43"/>
      <c r="CQ115" s="5"/>
      <c r="CR115" s="5"/>
      <c r="CS115" s="37"/>
      <c r="CT115" s="37"/>
      <c r="CU115" s="37"/>
      <c r="CV115" s="37"/>
      <c r="CW115" s="37"/>
      <c r="CX115" s="37"/>
      <c r="CY115" s="183"/>
      <c r="CZ115" s="37"/>
      <c r="DA115" s="184"/>
      <c r="DB115" s="140"/>
      <c r="DC115" s="37"/>
      <c r="DD115" s="37"/>
      <c r="DE115" s="37"/>
      <c r="DF115" s="37"/>
      <c r="DG115" s="140"/>
      <c r="DH115" s="43"/>
      <c r="DI115" s="5"/>
      <c r="DJ115" s="5"/>
    </row>
    <row r="116" spans="1:114" x14ac:dyDescent="0.35">
      <c r="A116" s="9">
        <v>204942</v>
      </c>
      <c r="B116" s="9" t="s">
        <v>63</v>
      </c>
      <c r="C116" s="34" t="s">
        <v>550</v>
      </c>
      <c r="D116" s="5" t="s">
        <v>936</v>
      </c>
      <c r="E116" s="5" t="s">
        <v>699</v>
      </c>
      <c r="F116" s="6">
        <v>6692</v>
      </c>
      <c r="G116" s="145">
        <v>8050305871</v>
      </c>
      <c r="H116" s="37">
        <v>11456175</v>
      </c>
      <c r="I116" s="37">
        <v>11456175</v>
      </c>
      <c r="J116" s="37"/>
      <c r="K116" s="37">
        <v>11456175</v>
      </c>
      <c r="L116" s="37">
        <f>I116-K116</f>
        <v>0</v>
      </c>
      <c r="M116" s="37"/>
      <c r="N116" s="37"/>
      <c r="O116" s="140">
        <v>0</v>
      </c>
      <c r="P116" s="142">
        <v>44603</v>
      </c>
      <c r="Q116" s="5" t="s">
        <v>284</v>
      </c>
      <c r="R116" s="42"/>
      <c r="S116" s="37">
        <v>11456175</v>
      </c>
      <c r="T116" s="39">
        <f>K116-S116</f>
        <v>0</v>
      </c>
      <c r="U116" s="5"/>
      <c r="V116" s="140">
        <v>0</v>
      </c>
      <c r="W116" s="43">
        <v>44603</v>
      </c>
      <c r="X116" s="5" t="s">
        <v>284</v>
      </c>
      <c r="Y116" s="42"/>
      <c r="Z116" s="5"/>
      <c r="AA116" s="38">
        <v>11456175</v>
      </c>
      <c r="AB116" s="38">
        <f t="shared" si="25"/>
        <v>0</v>
      </c>
      <c r="AC116" s="5"/>
      <c r="AD116" s="40">
        <v>0</v>
      </c>
      <c r="AE116" s="43">
        <v>44624</v>
      </c>
      <c r="AF116" s="5" t="s">
        <v>284</v>
      </c>
      <c r="AG116" s="42"/>
      <c r="AH116" s="144"/>
      <c r="AI116" s="37">
        <f>11456175+217385+41482</f>
        <v>11715042</v>
      </c>
      <c r="AJ116" s="37">
        <f>AA116-AI116</f>
        <v>-258867</v>
      </c>
      <c r="AK116" s="37"/>
      <c r="AL116" s="37"/>
      <c r="AM116" s="140">
        <v>0</v>
      </c>
      <c r="AN116" s="43">
        <v>44673</v>
      </c>
      <c r="AO116" s="5" t="s">
        <v>284</v>
      </c>
      <c r="AP116" s="5"/>
      <c r="AQ116" s="40"/>
      <c r="AR116" s="37">
        <v>11456175</v>
      </c>
      <c r="AS116" s="37">
        <f>AA116-AR116</f>
        <v>0</v>
      </c>
      <c r="AT116" s="37"/>
      <c r="AU116" s="37"/>
      <c r="AV116" s="140">
        <v>0</v>
      </c>
      <c r="AW116" s="43">
        <v>44687</v>
      </c>
      <c r="AX116" s="5" t="s">
        <v>284</v>
      </c>
      <c r="AY116" s="5"/>
      <c r="AZ116" s="140"/>
      <c r="BA116" s="37">
        <v>11456175</v>
      </c>
      <c r="BB116" s="37">
        <f t="shared" si="28"/>
        <v>0</v>
      </c>
      <c r="BC116" s="37"/>
      <c r="BD116" s="37"/>
      <c r="BE116" s="140">
        <v>0</v>
      </c>
      <c r="BF116" s="43">
        <v>44715</v>
      </c>
      <c r="BG116" s="5" t="s">
        <v>284</v>
      </c>
      <c r="BH116" s="43">
        <v>44728</v>
      </c>
      <c r="BI116" s="140"/>
      <c r="BJ116" s="37">
        <v>11456175</v>
      </c>
      <c r="BK116" s="37">
        <f t="shared" si="26"/>
        <v>0</v>
      </c>
      <c r="BL116" s="37"/>
      <c r="BM116" s="37"/>
      <c r="BN116" s="140">
        <v>0</v>
      </c>
      <c r="BO116" s="43">
        <v>44750</v>
      </c>
      <c r="BP116" s="5" t="s">
        <v>284</v>
      </c>
      <c r="BQ116" s="43">
        <v>44768</v>
      </c>
      <c r="BR116" s="140"/>
      <c r="BS116" s="37">
        <v>11456175</v>
      </c>
      <c r="BT116" s="37">
        <f t="shared" si="27"/>
        <v>0</v>
      </c>
      <c r="BU116" s="37"/>
      <c r="BV116" s="37"/>
      <c r="BW116" s="140">
        <v>0</v>
      </c>
      <c r="BX116" s="43">
        <v>44778</v>
      </c>
      <c r="BY116" s="5" t="s">
        <v>284</v>
      </c>
      <c r="BZ116" s="5"/>
      <c r="CA116" s="140"/>
      <c r="CB116" s="37"/>
      <c r="CC116" s="37"/>
      <c r="CD116" s="37"/>
      <c r="CE116" s="37"/>
      <c r="CF116" s="140"/>
      <c r="CG116" s="43"/>
      <c r="CH116" s="5"/>
      <c r="CI116" s="5"/>
      <c r="CJ116" s="603"/>
      <c r="CK116" s="604"/>
      <c r="CL116" s="604"/>
      <c r="CM116" s="604"/>
      <c r="CN116" s="604"/>
      <c r="CO116" s="604"/>
      <c r="CP116" s="604"/>
      <c r="CQ116" s="604"/>
      <c r="CR116" s="605"/>
      <c r="CS116" s="594"/>
      <c r="CT116" s="595"/>
      <c r="CU116" s="595"/>
      <c r="CV116" s="595"/>
      <c r="CW116" s="595"/>
      <c r="CX116" s="595"/>
      <c r="CY116" s="595"/>
      <c r="CZ116" s="595"/>
      <c r="DA116" s="596"/>
      <c r="DB116" s="140"/>
      <c r="DC116" s="37"/>
      <c r="DD116" s="37"/>
      <c r="DE116" s="37"/>
      <c r="DF116" s="37"/>
      <c r="DG116" s="140"/>
      <c r="DH116" s="43"/>
      <c r="DI116" s="5"/>
      <c r="DJ116" s="5"/>
    </row>
    <row r="117" spans="1:114" ht="15" customHeight="1" x14ac:dyDescent="0.35">
      <c r="A117" s="9">
        <v>208499</v>
      </c>
      <c r="B117" s="9" t="s">
        <v>762</v>
      </c>
      <c r="C117" s="34" t="s">
        <v>553</v>
      </c>
      <c r="D117" s="5" t="s">
        <v>937</v>
      </c>
      <c r="E117" s="5" t="s">
        <v>625</v>
      </c>
      <c r="F117" s="6">
        <v>6693</v>
      </c>
      <c r="G117" s="145" t="s">
        <v>763</v>
      </c>
      <c r="H117" s="37">
        <v>20000000</v>
      </c>
      <c r="I117" s="37">
        <v>20000000</v>
      </c>
      <c r="J117" s="37"/>
      <c r="K117" s="37">
        <v>20000000</v>
      </c>
      <c r="L117" s="37">
        <f>H117-K117</f>
        <v>0</v>
      </c>
      <c r="M117" s="37"/>
      <c r="N117" s="37"/>
      <c r="O117" s="140">
        <f>L117/H117</f>
        <v>0</v>
      </c>
      <c r="P117" s="43">
        <v>44566</v>
      </c>
      <c r="Q117" s="5" t="s">
        <v>284</v>
      </c>
      <c r="R117" s="42"/>
      <c r="S117" s="37">
        <v>20000000</v>
      </c>
      <c r="T117" s="39">
        <f t="shared" ref="T117:T125" si="29">K117-S117</f>
        <v>0</v>
      </c>
      <c r="U117" s="5"/>
      <c r="V117" s="140">
        <v>0</v>
      </c>
      <c r="W117" s="43">
        <v>44594</v>
      </c>
      <c r="X117" s="5" t="s">
        <v>284</v>
      </c>
      <c r="Y117" s="42"/>
      <c r="Z117" s="5"/>
      <c r="AA117" s="38">
        <v>20000000</v>
      </c>
      <c r="AB117" s="38">
        <f t="shared" si="25"/>
        <v>0</v>
      </c>
      <c r="AC117" s="5"/>
      <c r="AD117" s="40">
        <v>0</v>
      </c>
      <c r="AE117" s="51">
        <v>44622</v>
      </c>
      <c r="AF117" s="5" t="s">
        <v>284</v>
      </c>
      <c r="AG117" s="42"/>
      <c r="AH117" s="140"/>
      <c r="AI117" s="37">
        <v>20000000</v>
      </c>
      <c r="AJ117" s="37">
        <f>AA117-AI117</f>
        <v>0</v>
      </c>
      <c r="AK117" s="37"/>
      <c r="AL117" s="37"/>
      <c r="AM117" s="140">
        <v>0</v>
      </c>
      <c r="AN117" s="142">
        <v>44659</v>
      </c>
      <c r="AO117" s="5" t="s">
        <v>284</v>
      </c>
      <c r="AP117" s="5"/>
      <c r="AQ117" s="40"/>
      <c r="AR117" s="37">
        <v>20000000</v>
      </c>
      <c r="AS117" s="37">
        <f>AI117-AR117</f>
        <v>0</v>
      </c>
      <c r="AT117" s="37"/>
      <c r="AU117" s="37"/>
      <c r="AV117" s="140">
        <v>0</v>
      </c>
      <c r="AW117" s="43">
        <v>44684</v>
      </c>
      <c r="AX117" s="5" t="s">
        <v>284</v>
      </c>
      <c r="AY117" s="5"/>
      <c r="AZ117" s="140"/>
      <c r="BA117" s="37">
        <v>20000000</v>
      </c>
      <c r="BB117" s="37">
        <f t="shared" si="28"/>
        <v>0</v>
      </c>
      <c r="BC117" s="37"/>
      <c r="BD117" s="37"/>
      <c r="BE117" s="140">
        <v>0</v>
      </c>
      <c r="BF117" s="43">
        <v>44715</v>
      </c>
      <c r="BG117" s="5" t="s">
        <v>284</v>
      </c>
      <c r="BH117" s="43">
        <v>44728</v>
      </c>
      <c r="BI117" s="140"/>
      <c r="BJ117" s="37">
        <v>20000000</v>
      </c>
      <c r="BK117" s="37">
        <f t="shared" si="26"/>
        <v>0</v>
      </c>
      <c r="BL117" s="37"/>
      <c r="BM117" s="37"/>
      <c r="BN117" s="140">
        <v>0</v>
      </c>
      <c r="BO117" s="43">
        <v>44743</v>
      </c>
      <c r="BP117" s="5" t="s">
        <v>284</v>
      </c>
      <c r="BQ117" s="43">
        <v>44757</v>
      </c>
      <c r="BR117" s="140"/>
      <c r="BS117" s="37">
        <v>20000000</v>
      </c>
      <c r="BT117" s="37">
        <f t="shared" si="27"/>
        <v>0</v>
      </c>
      <c r="BU117" s="37"/>
      <c r="BV117" s="37"/>
      <c r="BW117" s="140">
        <v>0</v>
      </c>
      <c r="BX117" s="43">
        <v>44774</v>
      </c>
      <c r="BY117" s="5" t="s">
        <v>284</v>
      </c>
      <c r="BZ117" s="5"/>
      <c r="CA117" s="140"/>
      <c r="CB117" s="37"/>
      <c r="CC117" s="37"/>
      <c r="CD117" s="37"/>
      <c r="CE117" s="37"/>
      <c r="CF117" s="140"/>
      <c r="CG117" s="43"/>
      <c r="CH117" s="5"/>
      <c r="CI117" s="5"/>
      <c r="CJ117" s="140"/>
      <c r="CK117" s="37"/>
      <c r="CL117" s="37"/>
      <c r="CM117" s="37"/>
      <c r="CN117" s="37"/>
      <c r="CO117" s="140"/>
      <c r="CP117" s="43"/>
      <c r="CQ117" s="5"/>
      <c r="CR117" s="5"/>
      <c r="CS117" s="37"/>
      <c r="CT117" s="37"/>
      <c r="CU117" s="37"/>
      <c r="CV117" s="37"/>
      <c r="CW117" s="37"/>
      <c r="CX117" s="37"/>
      <c r="CY117" s="37"/>
      <c r="CZ117" s="37"/>
      <c r="DA117" s="184"/>
      <c r="DB117" s="140"/>
      <c r="DC117" s="37"/>
      <c r="DD117" s="37"/>
      <c r="DE117" s="37"/>
      <c r="DF117" s="37"/>
      <c r="DG117" s="140"/>
      <c r="DH117" s="43"/>
      <c r="DI117" s="5"/>
      <c r="DJ117" s="5"/>
    </row>
    <row r="118" spans="1:114" ht="15" customHeight="1" x14ac:dyDescent="0.35">
      <c r="A118" s="9">
        <v>207634</v>
      </c>
      <c r="B118" s="9" t="s">
        <v>765</v>
      </c>
      <c r="C118" s="34" t="s">
        <v>557</v>
      </c>
      <c r="D118" s="5" t="s">
        <v>938</v>
      </c>
      <c r="E118" s="5" t="s">
        <v>643</v>
      </c>
      <c r="F118" s="6">
        <v>6699</v>
      </c>
      <c r="G118" s="145" t="s">
        <v>759</v>
      </c>
      <c r="H118" s="37">
        <v>22534695</v>
      </c>
      <c r="I118" s="37">
        <v>22534695</v>
      </c>
      <c r="J118" s="37"/>
      <c r="K118" s="37">
        <v>22534695</v>
      </c>
      <c r="L118" s="37">
        <f>H118-K118</f>
        <v>0</v>
      </c>
      <c r="M118" s="37"/>
      <c r="N118" s="37"/>
      <c r="O118" s="140">
        <v>0</v>
      </c>
      <c r="P118" s="142">
        <v>44564</v>
      </c>
      <c r="Q118" s="9" t="s">
        <v>284</v>
      </c>
      <c r="R118" s="42"/>
      <c r="S118" s="37">
        <v>22534695</v>
      </c>
      <c r="T118" s="39">
        <f t="shared" si="29"/>
        <v>0</v>
      </c>
      <c r="U118" s="5"/>
      <c r="V118" s="140">
        <v>0</v>
      </c>
      <c r="W118" s="43">
        <v>44595</v>
      </c>
      <c r="X118" s="5" t="s">
        <v>284</v>
      </c>
      <c r="Y118" s="42"/>
      <c r="Z118" s="5"/>
      <c r="AA118" s="38">
        <v>22534695</v>
      </c>
      <c r="AB118" s="38">
        <f t="shared" si="25"/>
        <v>0</v>
      </c>
      <c r="AC118" s="5"/>
      <c r="AD118" s="40">
        <v>0</v>
      </c>
      <c r="AE118" s="51">
        <v>44621</v>
      </c>
      <c r="AF118" s="5" t="s">
        <v>284</v>
      </c>
      <c r="AG118" s="42"/>
      <c r="AH118" s="144"/>
      <c r="AI118" s="37">
        <v>23735795</v>
      </c>
      <c r="AJ118" s="37"/>
      <c r="AK118" s="37">
        <f>AA118-AI118</f>
        <v>-1201100</v>
      </c>
      <c r="AL118" s="37"/>
      <c r="AM118" s="140">
        <f>AK118/AA118</f>
        <v>-5.3300033570456581E-2</v>
      </c>
      <c r="AN118" s="43">
        <v>44655</v>
      </c>
      <c r="AO118" s="5" t="s">
        <v>284</v>
      </c>
      <c r="AP118" s="5"/>
      <c r="AQ118" s="40"/>
      <c r="AR118" s="37">
        <v>23735795</v>
      </c>
      <c r="AS118" s="37">
        <f>AI118-AR118</f>
        <v>0</v>
      </c>
      <c r="AT118" s="37"/>
      <c r="AU118" s="37"/>
      <c r="AV118" s="140">
        <v>0</v>
      </c>
      <c r="AW118" s="43">
        <v>44683</v>
      </c>
      <c r="AX118" s="5" t="s">
        <v>284</v>
      </c>
      <c r="AY118" s="5"/>
      <c r="AZ118" s="140"/>
      <c r="BA118" s="37">
        <v>23735795</v>
      </c>
      <c r="BB118" s="37">
        <f t="shared" si="28"/>
        <v>0</v>
      </c>
      <c r="BC118" s="37"/>
      <c r="BD118" s="37"/>
      <c r="BE118" s="140">
        <v>0</v>
      </c>
      <c r="BF118" s="43">
        <v>44713</v>
      </c>
      <c r="BG118" s="5" t="s">
        <v>284</v>
      </c>
      <c r="BH118" s="43">
        <v>44728</v>
      </c>
      <c r="BI118" s="140"/>
      <c r="BJ118" s="37">
        <v>23735795</v>
      </c>
      <c r="BK118" s="37">
        <f t="shared" si="26"/>
        <v>0</v>
      </c>
      <c r="BL118" s="37"/>
      <c r="BM118" s="37"/>
      <c r="BN118" s="140">
        <v>0</v>
      </c>
      <c r="BO118" s="43">
        <v>44743</v>
      </c>
      <c r="BP118" s="5" t="s">
        <v>284</v>
      </c>
      <c r="BQ118" s="43">
        <v>44757</v>
      </c>
      <c r="BR118" s="140"/>
      <c r="BS118" s="37">
        <v>23735795</v>
      </c>
      <c r="BT118" s="37">
        <f t="shared" si="27"/>
        <v>0</v>
      </c>
      <c r="BU118" s="37"/>
      <c r="BV118" s="37"/>
      <c r="BW118" s="140">
        <v>0</v>
      </c>
      <c r="BX118" s="43">
        <v>44774</v>
      </c>
      <c r="BY118" s="5" t="s">
        <v>284</v>
      </c>
      <c r="BZ118" s="5"/>
      <c r="CA118" s="140"/>
      <c r="CB118" s="37"/>
      <c r="CC118" s="37"/>
      <c r="CD118" s="37"/>
      <c r="CE118" s="37"/>
      <c r="CF118" s="140"/>
      <c r="CG118" s="43"/>
      <c r="CH118" s="5"/>
      <c r="CI118" s="5"/>
      <c r="CJ118" s="140"/>
      <c r="CK118" s="180"/>
      <c r="CL118" s="37"/>
      <c r="CM118" s="37"/>
      <c r="CN118" s="37"/>
      <c r="CO118" s="140"/>
      <c r="CP118" s="43"/>
      <c r="CQ118" s="5"/>
      <c r="CR118" s="5"/>
      <c r="CS118" s="37"/>
      <c r="CT118" s="37"/>
      <c r="CU118" s="37"/>
      <c r="CV118" s="37"/>
      <c r="CW118" s="37"/>
      <c r="CX118" s="37"/>
      <c r="CY118" s="183"/>
      <c r="CZ118" s="37"/>
      <c r="DA118" s="184"/>
      <c r="DB118" s="140"/>
      <c r="DC118" s="37"/>
      <c r="DD118" s="37"/>
      <c r="DE118" s="37"/>
      <c r="DF118" s="37"/>
      <c r="DG118" s="140"/>
      <c r="DH118" s="43"/>
      <c r="DI118" s="5"/>
      <c r="DJ118" s="5"/>
    </row>
    <row r="119" spans="1:114" ht="15" customHeight="1" x14ac:dyDescent="0.35">
      <c r="A119" s="9">
        <v>207634</v>
      </c>
      <c r="B119" s="9" t="s">
        <v>767</v>
      </c>
      <c r="C119" s="34" t="s">
        <v>561</v>
      </c>
      <c r="D119" s="5" t="s">
        <v>939</v>
      </c>
      <c r="E119" s="5" t="s">
        <v>625</v>
      </c>
      <c r="F119" s="6">
        <v>6700</v>
      </c>
      <c r="G119" s="145" t="s">
        <v>759</v>
      </c>
      <c r="H119" s="37">
        <v>4606956</v>
      </c>
      <c r="I119" s="37">
        <v>4280762</v>
      </c>
      <c r="J119" s="37"/>
      <c r="K119" s="37">
        <v>4280762</v>
      </c>
      <c r="L119" s="37">
        <f>I119-K119</f>
        <v>0</v>
      </c>
      <c r="M119" s="37"/>
      <c r="N119" s="37"/>
      <c r="O119" s="140">
        <v>0</v>
      </c>
      <c r="P119" s="142">
        <v>44564</v>
      </c>
      <c r="Q119" s="9" t="s">
        <v>284</v>
      </c>
      <c r="R119" s="42"/>
      <c r="S119" s="37">
        <v>4606956</v>
      </c>
      <c r="T119" s="39">
        <f t="shared" si="29"/>
        <v>-326194</v>
      </c>
      <c r="U119" s="5"/>
      <c r="V119" s="140">
        <f>T119/K119</f>
        <v>-7.6199984955949429E-2</v>
      </c>
      <c r="W119" s="43">
        <v>44595</v>
      </c>
      <c r="X119" s="5" t="s">
        <v>284</v>
      </c>
      <c r="Y119" s="42"/>
      <c r="Z119" s="5"/>
      <c r="AA119" s="38">
        <v>4606956</v>
      </c>
      <c r="AB119" s="38">
        <f t="shared" si="25"/>
        <v>0</v>
      </c>
      <c r="AC119" s="5"/>
      <c r="AD119" s="40">
        <v>0</v>
      </c>
      <c r="AE119" s="51">
        <v>44621</v>
      </c>
      <c r="AF119" s="5" t="s">
        <v>284</v>
      </c>
      <c r="AG119" s="42"/>
      <c r="AH119" s="144"/>
      <c r="AI119" s="37">
        <v>4606956</v>
      </c>
      <c r="AJ119" s="37">
        <f t="shared" ref="AJ119:AJ129" si="30">AA119-AI119</f>
        <v>0</v>
      </c>
      <c r="AK119" s="37"/>
      <c r="AL119" s="37"/>
      <c r="AM119" s="140">
        <v>0</v>
      </c>
      <c r="AN119" s="43">
        <v>44655</v>
      </c>
      <c r="AO119" s="5" t="s">
        <v>284</v>
      </c>
      <c r="AP119" s="5"/>
      <c r="AQ119" s="40"/>
      <c r="AR119" s="37">
        <v>4606956</v>
      </c>
      <c r="AS119" s="37">
        <f>AI119-AR119</f>
        <v>0</v>
      </c>
      <c r="AT119" s="37"/>
      <c r="AU119" s="37"/>
      <c r="AV119" s="140">
        <v>0</v>
      </c>
      <c r="AW119" s="43">
        <v>44683</v>
      </c>
      <c r="AX119" s="5" t="s">
        <v>284</v>
      </c>
      <c r="AY119" s="5"/>
      <c r="AZ119" s="140"/>
      <c r="BA119" s="37">
        <v>4606956</v>
      </c>
      <c r="BB119" s="37">
        <f t="shared" si="28"/>
        <v>0</v>
      </c>
      <c r="BC119" s="37"/>
      <c r="BD119" s="37"/>
      <c r="BE119" s="140">
        <v>0</v>
      </c>
      <c r="BF119" s="43">
        <v>44713</v>
      </c>
      <c r="BG119" s="5" t="s">
        <v>284</v>
      </c>
      <c r="BH119" s="43">
        <v>44728</v>
      </c>
      <c r="BI119" s="140"/>
      <c r="BJ119" s="37">
        <v>4606956</v>
      </c>
      <c r="BK119" s="37">
        <f t="shared" si="26"/>
        <v>0</v>
      </c>
      <c r="BL119" s="37"/>
      <c r="BM119" s="37"/>
      <c r="BN119" s="140">
        <v>0</v>
      </c>
      <c r="BO119" s="43">
        <v>44743</v>
      </c>
      <c r="BP119" s="5" t="s">
        <v>284</v>
      </c>
      <c r="BQ119" s="43">
        <v>44757</v>
      </c>
      <c r="BR119" s="140"/>
      <c r="BS119" s="37">
        <v>4606956</v>
      </c>
      <c r="BT119" s="37">
        <f t="shared" si="27"/>
        <v>0</v>
      </c>
      <c r="BU119" s="37"/>
      <c r="BV119" s="37"/>
      <c r="BW119" s="140">
        <v>0</v>
      </c>
      <c r="BX119" s="43">
        <v>44774</v>
      </c>
      <c r="BY119" s="5" t="s">
        <v>284</v>
      </c>
      <c r="BZ119" s="5"/>
      <c r="CA119" s="140"/>
      <c r="CB119" s="37"/>
      <c r="CC119" s="37"/>
      <c r="CD119" s="37"/>
      <c r="CE119" s="37"/>
      <c r="CF119" s="140"/>
      <c r="CG119" s="43"/>
      <c r="CH119" s="5"/>
      <c r="CI119" s="5"/>
      <c r="CJ119" s="140"/>
      <c r="CK119" s="37"/>
      <c r="CL119" s="37"/>
      <c r="CM119" s="37"/>
      <c r="CN119" s="37"/>
      <c r="CO119" s="140"/>
      <c r="CP119" s="43"/>
      <c r="CQ119" s="5"/>
      <c r="CR119" s="5"/>
      <c r="CS119" s="37"/>
      <c r="CT119" s="37"/>
      <c r="CU119" s="37"/>
      <c r="CV119" s="37"/>
      <c r="CW119" s="37"/>
      <c r="CX119" s="37"/>
      <c r="CY119" s="183"/>
      <c r="CZ119" s="37"/>
      <c r="DA119" s="184"/>
      <c r="DB119" s="140"/>
      <c r="DC119" s="37"/>
      <c r="DD119" s="37"/>
      <c r="DE119" s="37"/>
      <c r="DF119" s="37"/>
      <c r="DG119" s="140"/>
      <c r="DH119" s="43"/>
      <c r="DI119" s="5"/>
      <c r="DJ119" s="5"/>
    </row>
    <row r="120" spans="1:114" ht="15" customHeight="1" x14ac:dyDescent="0.35">
      <c r="A120" s="9">
        <v>204603</v>
      </c>
      <c r="B120" s="9" t="s">
        <v>20</v>
      </c>
      <c r="C120" s="34" t="s">
        <v>565</v>
      </c>
      <c r="D120" s="5" t="s">
        <v>940</v>
      </c>
      <c r="E120" s="5" t="s">
        <v>625</v>
      </c>
      <c r="F120" s="6">
        <v>6701</v>
      </c>
      <c r="G120" s="145" t="s">
        <v>769</v>
      </c>
      <c r="H120" s="37">
        <v>11992000</v>
      </c>
      <c r="I120" s="37">
        <v>11354000</v>
      </c>
      <c r="J120" s="37"/>
      <c r="K120" s="37">
        <v>11354000</v>
      </c>
      <c r="L120" s="37">
        <f>I120-K120</f>
        <v>0</v>
      </c>
      <c r="M120" s="37"/>
      <c r="N120" s="37"/>
      <c r="O120" s="140">
        <v>0</v>
      </c>
      <c r="P120" s="142">
        <v>44200</v>
      </c>
      <c r="Q120" s="9" t="s">
        <v>284</v>
      </c>
      <c r="R120" s="42"/>
      <c r="S120" s="37">
        <v>11354000</v>
      </c>
      <c r="T120" s="39">
        <f t="shared" si="29"/>
        <v>0</v>
      </c>
      <c r="U120" s="5"/>
      <c r="V120" s="140">
        <v>0</v>
      </c>
      <c r="W120" s="43">
        <v>44595</v>
      </c>
      <c r="X120" s="5" t="s">
        <v>284</v>
      </c>
      <c r="Y120" s="42"/>
      <c r="Z120" s="5"/>
      <c r="AA120" s="38">
        <v>11354000</v>
      </c>
      <c r="AB120" s="38">
        <f t="shared" si="25"/>
        <v>0</v>
      </c>
      <c r="AC120" s="5"/>
      <c r="AD120" s="40">
        <v>0</v>
      </c>
      <c r="AE120" s="43">
        <v>44624</v>
      </c>
      <c r="AF120" s="5" t="s">
        <v>284</v>
      </c>
      <c r="AG120" s="42"/>
      <c r="AH120" s="5"/>
      <c r="AI120" s="37">
        <v>11354000</v>
      </c>
      <c r="AJ120" s="37">
        <f t="shared" si="30"/>
        <v>0</v>
      </c>
      <c r="AK120" s="37"/>
      <c r="AL120" s="37"/>
      <c r="AM120" s="140">
        <v>0</v>
      </c>
      <c r="AN120" s="43">
        <v>44655</v>
      </c>
      <c r="AO120" s="5" t="s">
        <v>284</v>
      </c>
      <c r="AP120" s="5"/>
      <c r="AQ120" s="40"/>
      <c r="AR120" s="37">
        <v>11992000</v>
      </c>
      <c r="AS120" s="37"/>
      <c r="AT120" s="37">
        <f>AI120-AR120</f>
        <v>-638000</v>
      </c>
      <c r="AU120" s="37"/>
      <c r="AV120" s="140">
        <f>AT120/AI120</f>
        <v>-5.6191650519640653E-2</v>
      </c>
      <c r="AW120" s="43">
        <v>44683</v>
      </c>
      <c r="AX120" s="5" t="s">
        <v>284</v>
      </c>
      <c r="AY120" s="5"/>
      <c r="AZ120" s="140"/>
      <c r="BA120" s="37">
        <v>11992000</v>
      </c>
      <c r="BB120" s="37">
        <f t="shared" si="28"/>
        <v>0</v>
      </c>
      <c r="BC120" s="37"/>
      <c r="BD120" s="37"/>
      <c r="BE120" s="140">
        <v>0</v>
      </c>
      <c r="BF120" s="43">
        <v>44713</v>
      </c>
      <c r="BG120" s="5" t="s">
        <v>284</v>
      </c>
      <c r="BH120" s="43">
        <v>44728</v>
      </c>
      <c r="BI120" s="140"/>
      <c r="BJ120" s="37">
        <v>11992000</v>
      </c>
      <c r="BK120" s="37">
        <f t="shared" si="26"/>
        <v>0</v>
      </c>
      <c r="BL120" s="37"/>
      <c r="BM120" s="37"/>
      <c r="BN120" s="140">
        <v>0</v>
      </c>
      <c r="BO120" s="43">
        <v>44747</v>
      </c>
      <c r="BP120" s="5" t="s">
        <v>284</v>
      </c>
      <c r="BQ120" s="43">
        <v>44757</v>
      </c>
      <c r="BR120" s="140"/>
      <c r="BS120" s="37">
        <v>11992000</v>
      </c>
      <c r="BT120" s="37">
        <f t="shared" si="27"/>
        <v>0</v>
      </c>
      <c r="BU120" s="37"/>
      <c r="BV120" s="37"/>
      <c r="BW120" s="140">
        <v>0</v>
      </c>
      <c r="BX120" s="43">
        <v>44775</v>
      </c>
      <c r="BY120" s="5" t="s">
        <v>284</v>
      </c>
      <c r="BZ120" s="5"/>
      <c r="CA120" s="140"/>
      <c r="CB120" s="37"/>
      <c r="CC120" s="37"/>
      <c r="CD120" s="37"/>
      <c r="CE120" s="37"/>
      <c r="CF120" s="140"/>
      <c r="CG120" s="43"/>
      <c r="CH120" s="5"/>
      <c r="CI120" s="5"/>
      <c r="CJ120" s="140"/>
      <c r="CK120" s="37"/>
      <c r="CL120" s="37"/>
      <c r="CM120" s="37"/>
      <c r="CN120" s="37"/>
      <c r="CO120" s="140"/>
      <c r="CP120" s="43"/>
      <c r="CQ120" s="5"/>
      <c r="CR120" s="5"/>
      <c r="CS120" s="37"/>
      <c r="CT120" s="37"/>
      <c r="CU120" s="37"/>
      <c r="CV120" s="37"/>
      <c r="CW120" s="37"/>
      <c r="CX120" s="37"/>
      <c r="CY120" s="183"/>
      <c r="CZ120" s="37"/>
      <c r="DA120" s="184"/>
      <c r="DB120" s="140"/>
      <c r="DC120" s="37"/>
      <c r="DD120" s="37"/>
      <c r="DE120" s="37"/>
      <c r="DF120" s="37"/>
      <c r="DG120" s="140"/>
      <c r="DH120" s="43"/>
      <c r="DI120" s="5"/>
      <c r="DJ120" s="5"/>
    </row>
    <row r="121" spans="1:114" ht="15" customHeight="1" x14ac:dyDescent="0.35">
      <c r="A121" s="9">
        <v>204551</v>
      </c>
      <c r="B121" s="9" t="s">
        <v>772</v>
      </c>
      <c r="C121" s="34" t="s">
        <v>568</v>
      </c>
      <c r="D121" s="5" t="s">
        <v>941</v>
      </c>
      <c r="E121" s="5" t="s">
        <v>771</v>
      </c>
      <c r="F121" s="6">
        <v>6711</v>
      </c>
      <c r="G121" s="145">
        <v>8110355281</v>
      </c>
      <c r="H121" s="37">
        <v>9132004</v>
      </c>
      <c r="I121" s="37">
        <v>8485415</v>
      </c>
      <c r="J121" s="37"/>
      <c r="K121" s="37">
        <v>8485415</v>
      </c>
      <c r="L121" s="37">
        <f>I121-K121</f>
        <v>0</v>
      </c>
      <c r="M121" s="37"/>
      <c r="N121" s="37"/>
      <c r="O121" s="140">
        <v>0</v>
      </c>
      <c r="P121" s="142">
        <v>44564</v>
      </c>
      <c r="Q121" s="9" t="s">
        <v>284</v>
      </c>
      <c r="R121" s="42"/>
      <c r="S121" s="37">
        <v>8485415</v>
      </c>
      <c r="T121" s="39">
        <f t="shared" si="29"/>
        <v>0</v>
      </c>
      <c r="U121" s="5"/>
      <c r="V121" s="140">
        <v>0</v>
      </c>
      <c r="W121" s="142">
        <v>44596</v>
      </c>
      <c r="X121" s="5" t="s">
        <v>284</v>
      </c>
      <c r="Y121" s="42"/>
      <c r="Z121" s="144"/>
      <c r="AA121" s="38">
        <v>8485415</v>
      </c>
      <c r="AB121" s="38">
        <f t="shared" si="25"/>
        <v>0</v>
      </c>
      <c r="AC121" s="5"/>
      <c r="AD121" s="40">
        <v>0</v>
      </c>
      <c r="AE121" s="51">
        <v>44622</v>
      </c>
      <c r="AF121" s="5" t="s">
        <v>284</v>
      </c>
      <c r="AG121" s="42"/>
      <c r="AH121" s="144"/>
      <c r="AI121" s="37">
        <v>8485415</v>
      </c>
      <c r="AJ121" s="37">
        <f t="shared" si="30"/>
        <v>0</v>
      </c>
      <c r="AK121" s="37"/>
      <c r="AL121" s="37"/>
      <c r="AM121" s="140">
        <v>0</v>
      </c>
      <c r="AN121" s="43">
        <v>44656</v>
      </c>
      <c r="AO121" s="5" t="s">
        <v>284</v>
      </c>
      <c r="AP121" s="5"/>
      <c r="AQ121" s="40"/>
      <c r="AR121" s="37">
        <v>8485415</v>
      </c>
      <c r="AS121" s="37">
        <f t="shared" ref="AS121:AS129" si="31">AI121-AR121</f>
        <v>0</v>
      </c>
      <c r="AT121" s="37"/>
      <c r="AU121" s="37"/>
      <c r="AV121" s="140">
        <v>0</v>
      </c>
      <c r="AW121" s="43">
        <v>44686</v>
      </c>
      <c r="AX121" s="5" t="s">
        <v>284</v>
      </c>
      <c r="AY121" s="5"/>
      <c r="AZ121" s="140"/>
      <c r="BA121" s="37">
        <v>8485415</v>
      </c>
      <c r="BB121" s="37">
        <f t="shared" si="28"/>
        <v>0</v>
      </c>
      <c r="BC121" s="37"/>
      <c r="BD121" s="37"/>
      <c r="BE121" s="140">
        <v>0</v>
      </c>
      <c r="BF121" s="43">
        <v>44715</v>
      </c>
      <c r="BG121" s="5" t="s">
        <v>284</v>
      </c>
      <c r="BH121" s="43">
        <v>44728</v>
      </c>
      <c r="BI121" s="140"/>
      <c r="BJ121" s="37">
        <v>8485415</v>
      </c>
      <c r="BK121" s="37">
        <f t="shared" si="26"/>
        <v>0</v>
      </c>
      <c r="BL121" s="37"/>
      <c r="BM121" s="37"/>
      <c r="BN121" s="140">
        <v>0</v>
      </c>
      <c r="BO121" s="43">
        <v>44747</v>
      </c>
      <c r="BP121" s="5" t="s">
        <v>284</v>
      </c>
      <c r="BQ121" s="43">
        <v>44757</v>
      </c>
      <c r="BR121" s="140"/>
      <c r="BS121" s="37">
        <v>9132004</v>
      </c>
      <c r="BT121" s="37"/>
      <c r="BU121" s="37">
        <f>BS121-BJ121</f>
        <v>646589</v>
      </c>
      <c r="BV121" s="37"/>
      <c r="BW121" s="140">
        <f>BU121/BJ121</f>
        <v>7.6200044429176411E-2</v>
      </c>
      <c r="BX121" s="43">
        <v>44777</v>
      </c>
      <c r="BY121" s="5" t="s">
        <v>284</v>
      </c>
      <c r="BZ121" s="5"/>
      <c r="CA121" s="140"/>
      <c r="CB121" s="37"/>
      <c r="CC121" s="37"/>
      <c r="CD121" s="37"/>
      <c r="CE121" s="37"/>
      <c r="CF121" s="140"/>
      <c r="CG121" s="43"/>
      <c r="CH121" s="5"/>
      <c r="CI121" s="5"/>
      <c r="CJ121" s="140"/>
      <c r="CK121" s="37"/>
      <c r="CL121" s="37"/>
      <c r="CM121" s="37"/>
      <c r="CN121" s="37"/>
      <c r="CO121" s="140"/>
      <c r="CP121" s="43"/>
      <c r="CQ121" s="5"/>
      <c r="CR121" s="5"/>
      <c r="CS121" s="37"/>
      <c r="CT121" s="37"/>
      <c r="CU121" s="37"/>
      <c r="CV121" s="37"/>
      <c r="CW121" s="37"/>
      <c r="CX121" s="37"/>
      <c r="CY121" s="37"/>
      <c r="CZ121" s="37"/>
      <c r="DA121" s="184"/>
      <c r="DB121" s="140"/>
      <c r="DC121" s="37"/>
      <c r="DD121" s="37"/>
      <c r="DE121" s="37"/>
      <c r="DF121" s="37"/>
      <c r="DG121" s="140"/>
      <c r="DH121" s="43"/>
      <c r="DI121" s="5"/>
      <c r="DJ121" s="5"/>
    </row>
    <row r="122" spans="1:114" x14ac:dyDescent="0.35">
      <c r="A122" s="9">
        <v>204634</v>
      </c>
      <c r="B122" s="9" t="s">
        <v>774</v>
      </c>
      <c r="C122" s="34" t="s">
        <v>571</v>
      </c>
      <c r="D122" s="5" t="s">
        <v>942</v>
      </c>
      <c r="E122" s="5" t="s">
        <v>635</v>
      </c>
      <c r="F122" s="6">
        <v>6714</v>
      </c>
      <c r="G122" s="145" t="s">
        <v>775</v>
      </c>
      <c r="H122" s="37">
        <v>9689768</v>
      </c>
      <c r="I122" s="37">
        <v>8677145</v>
      </c>
      <c r="J122" s="37"/>
      <c r="K122" s="37">
        <v>8677145</v>
      </c>
      <c r="L122" s="37">
        <f>I122-K122</f>
        <v>0</v>
      </c>
      <c r="M122" s="37"/>
      <c r="N122" s="37"/>
      <c r="O122" s="140">
        <v>0</v>
      </c>
      <c r="P122" s="43">
        <v>44578</v>
      </c>
      <c r="Q122" s="9" t="s">
        <v>284</v>
      </c>
      <c r="R122" s="42"/>
      <c r="S122" s="37">
        <v>8677145</v>
      </c>
      <c r="T122" s="39">
        <f t="shared" si="29"/>
        <v>0</v>
      </c>
      <c r="U122" s="5"/>
      <c r="V122" s="140">
        <v>0</v>
      </c>
      <c r="W122" s="142">
        <v>44596</v>
      </c>
      <c r="X122" s="5" t="s">
        <v>284</v>
      </c>
      <c r="Y122" s="42"/>
      <c r="Z122" s="5"/>
      <c r="AA122" s="38">
        <v>8677145</v>
      </c>
      <c r="AB122" s="38">
        <f t="shared" si="25"/>
        <v>0</v>
      </c>
      <c r="AC122" s="5"/>
      <c r="AD122" s="40">
        <v>0</v>
      </c>
      <c r="AE122" s="43">
        <v>44624</v>
      </c>
      <c r="AF122" s="5" t="s">
        <v>284</v>
      </c>
      <c r="AG122" s="42"/>
      <c r="AH122" s="5"/>
      <c r="AI122" s="37">
        <v>8677145</v>
      </c>
      <c r="AJ122" s="37">
        <f t="shared" si="30"/>
        <v>0</v>
      </c>
      <c r="AK122" s="37"/>
      <c r="AL122" s="37"/>
      <c r="AM122" s="140">
        <v>0</v>
      </c>
      <c r="AN122" s="142">
        <v>44659</v>
      </c>
      <c r="AO122" s="5" t="s">
        <v>284</v>
      </c>
      <c r="AP122" s="5"/>
      <c r="AQ122" s="40"/>
      <c r="AR122" s="37">
        <v>8677145</v>
      </c>
      <c r="AS122" s="37">
        <f t="shared" si="31"/>
        <v>0</v>
      </c>
      <c r="AT122" s="37"/>
      <c r="AU122" s="37"/>
      <c r="AV122" s="140">
        <v>0</v>
      </c>
      <c r="AW122" s="43">
        <v>44686</v>
      </c>
      <c r="AX122" s="5" t="s">
        <v>284</v>
      </c>
      <c r="AY122" s="5"/>
      <c r="AZ122" s="140"/>
      <c r="BA122" s="37">
        <v>8677145</v>
      </c>
      <c r="BB122" s="37">
        <f>AR122-BA122</f>
        <v>0</v>
      </c>
      <c r="BC122" s="37"/>
      <c r="BD122" s="37"/>
      <c r="BE122" s="140">
        <v>0</v>
      </c>
      <c r="BF122" s="43">
        <v>44719</v>
      </c>
      <c r="BG122" s="5" t="s">
        <v>284</v>
      </c>
      <c r="BH122" s="43">
        <v>44728</v>
      </c>
      <c r="BI122" s="140"/>
      <c r="BJ122" s="37">
        <v>9656014</v>
      </c>
      <c r="BK122" s="37"/>
      <c r="BL122" s="37">
        <f>BA122-BJ122</f>
        <v>-978869</v>
      </c>
      <c r="BM122" s="37"/>
      <c r="BN122" s="140">
        <f>BL122/BA122</f>
        <v>-0.1128100314101009</v>
      </c>
      <c r="BO122" s="43">
        <v>44760</v>
      </c>
      <c r="BP122" s="5" t="s">
        <v>284</v>
      </c>
      <c r="BQ122" s="43">
        <v>44770</v>
      </c>
      <c r="BR122" s="140"/>
      <c r="BS122" s="37">
        <v>9689768</v>
      </c>
      <c r="BT122" s="37"/>
      <c r="BU122" s="37">
        <f>BS122-BJ122</f>
        <v>33754</v>
      </c>
      <c r="BV122" s="37"/>
      <c r="BW122" s="140">
        <f>BU122/BJ122</f>
        <v>3.4956453045739164E-3</v>
      </c>
      <c r="BX122" s="43">
        <v>44778</v>
      </c>
      <c r="BY122" s="5" t="s">
        <v>284</v>
      </c>
      <c r="BZ122" s="5"/>
      <c r="CA122" s="140"/>
      <c r="CB122" s="37"/>
      <c r="CC122" s="37"/>
      <c r="CD122" s="37"/>
      <c r="CE122" s="37"/>
      <c r="CF122" s="140"/>
      <c r="CG122" s="43"/>
      <c r="CH122" s="5"/>
      <c r="CI122" s="5"/>
      <c r="CJ122" s="140"/>
      <c r="CK122" s="37"/>
      <c r="CL122" s="37"/>
      <c r="CM122" s="37"/>
      <c r="CN122" s="37"/>
      <c r="CO122" s="140"/>
      <c r="CP122" s="43"/>
      <c r="CQ122" s="5"/>
      <c r="CR122" s="5"/>
      <c r="CS122" s="37"/>
      <c r="CT122" s="37"/>
      <c r="CU122" s="37"/>
      <c r="CV122" s="37"/>
      <c r="CW122" s="37"/>
      <c r="CX122" s="37"/>
      <c r="CY122" s="43"/>
      <c r="CZ122" s="5"/>
      <c r="DA122" s="184"/>
      <c r="DB122" s="140"/>
      <c r="DC122" s="37"/>
      <c r="DD122" s="37"/>
      <c r="DE122" s="37"/>
      <c r="DF122" s="37"/>
      <c r="DG122" s="140"/>
      <c r="DH122" s="43"/>
      <c r="DI122" s="5"/>
      <c r="DJ122" s="5"/>
    </row>
    <row r="123" spans="1:114" ht="15" customHeight="1" x14ac:dyDescent="0.35">
      <c r="A123" s="9">
        <v>204523</v>
      </c>
      <c r="B123" s="9" t="s">
        <v>42</v>
      </c>
      <c r="C123" s="34" t="s">
        <v>574</v>
      </c>
      <c r="D123" s="5" t="s">
        <v>943</v>
      </c>
      <c r="E123" s="5" t="s">
        <v>777</v>
      </c>
      <c r="F123" s="6">
        <v>6715</v>
      </c>
      <c r="G123" s="145" t="s">
        <v>778</v>
      </c>
      <c r="H123" s="37">
        <v>12961261</v>
      </c>
      <c r="I123" s="37">
        <v>12961261</v>
      </c>
      <c r="J123" s="37"/>
      <c r="K123" s="37">
        <v>12961261</v>
      </c>
      <c r="L123" s="37">
        <f>H123-K123</f>
        <v>0</v>
      </c>
      <c r="M123" s="37"/>
      <c r="N123" s="37"/>
      <c r="O123" s="140">
        <v>0</v>
      </c>
      <c r="P123" s="142">
        <v>44564</v>
      </c>
      <c r="Q123" s="9" t="s">
        <v>284</v>
      </c>
      <c r="R123" s="42"/>
      <c r="S123" s="37">
        <v>12961261</v>
      </c>
      <c r="T123" s="39">
        <f t="shared" si="29"/>
        <v>0</v>
      </c>
      <c r="U123" s="5"/>
      <c r="V123" s="140">
        <v>0</v>
      </c>
      <c r="W123" s="142">
        <v>44596</v>
      </c>
      <c r="X123" s="5" t="s">
        <v>284</v>
      </c>
      <c r="Y123" s="42"/>
      <c r="Z123" s="5"/>
      <c r="AA123" s="38">
        <v>12961261</v>
      </c>
      <c r="AB123" s="38">
        <f t="shared" si="25"/>
        <v>0</v>
      </c>
      <c r="AC123" s="5"/>
      <c r="AD123" s="40">
        <v>0</v>
      </c>
      <c r="AE123" s="51">
        <v>44622</v>
      </c>
      <c r="AF123" s="5" t="s">
        <v>284</v>
      </c>
      <c r="AG123" s="42"/>
      <c r="AH123" s="5"/>
      <c r="AI123" s="37">
        <v>12961261</v>
      </c>
      <c r="AJ123" s="37">
        <f t="shared" si="30"/>
        <v>0</v>
      </c>
      <c r="AK123" s="37"/>
      <c r="AL123" s="37"/>
      <c r="AM123" s="140">
        <v>0</v>
      </c>
      <c r="AN123" s="43">
        <v>44656</v>
      </c>
      <c r="AO123" s="5" t="s">
        <v>284</v>
      </c>
      <c r="AP123" s="5"/>
      <c r="AQ123" s="40"/>
      <c r="AR123" s="37">
        <v>12961261</v>
      </c>
      <c r="AS123" s="37">
        <f t="shared" si="31"/>
        <v>0</v>
      </c>
      <c r="AT123" s="37"/>
      <c r="AU123" s="37"/>
      <c r="AV123" s="140">
        <v>0</v>
      </c>
      <c r="AW123" s="43">
        <v>44683</v>
      </c>
      <c r="AX123" s="5" t="s">
        <v>284</v>
      </c>
      <c r="AY123" s="5"/>
      <c r="AZ123" s="140"/>
      <c r="BA123" s="37">
        <v>12961261</v>
      </c>
      <c r="BB123" s="37">
        <f>AR123-BA123</f>
        <v>0</v>
      </c>
      <c r="BC123" s="37"/>
      <c r="BD123" s="37"/>
      <c r="BE123" s="140">
        <v>0</v>
      </c>
      <c r="BF123" s="43">
        <v>44715</v>
      </c>
      <c r="BG123" s="5" t="s">
        <v>284</v>
      </c>
      <c r="BH123" s="43">
        <v>44728</v>
      </c>
      <c r="BI123" s="140"/>
      <c r="BJ123" s="37">
        <v>12961261</v>
      </c>
      <c r="BK123" s="37">
        <f>BA123-BJ123</f>
        <v>0</v>
      </c>
      <c r="BL123" s="37"/>
      <c r="BM123" s="37"/>
      <c r="BN123" s="140">
        <v>0</v>
      </c>
      <c r="BO123" s="43">
        <v>44747</v>
      </c>
      <c r="BP123" s="5" t="s">
        <v>284</v>
      </c>
      <c r="BQ123" s="43">
        <v>44757</v>
      </c>
      <c r="BR123" s="140"/>
      <c r="BS123" s="37">
        <v>12961261</v>
      </c>
      <c r="BT123" s="37">
        <f>BJ123-BS123</f>
        <v>0</v>
      </c>
      <c r="BU123" s="37"/>
      <c r="BV123" s="37"/>
      <c r="BW123" s="140">
        <v>0</v>
      </c>
      <c r="BX123" s="43">
        <v>44777</v>
      </c>
      <c r="BY123" s="5" t="s">
        <v>284</v>
      </c>
      <c r="BZ123" s="5"/>
      <c r="CA123" s="140"/>
      <c r="CB123" s="37"/>
      <c r="CC123" s="37"/>
      <c r="CD123" s="37"/>
      <c r="CE123" s="37"/>
      <c r="CF123" s="140"/>
      <c r="CG123" s="43"/>
      <c r="CH123" s="5"/>
      <c r="CI123" s="5"/>
      <c r="CJ123" s="140"/>
      <c r="CK123" s="37"/>
      <c r="CL123" s="37"/>
      <c r="CM123" s="37"/>
      <c r="CN123" s="37"/>
      <c r="CO123" s="140"/>
      <c r="CP123" s="43"/>
      <c r="CQ123" s="5"/>
      <c r="CR123" s="5"/>
      <c r="CS123" s="37"/>
      <c r="CT123" s="37"/>
      <c r="CU123" s="37"/>
      <c r="CV123" s="37"/>
      <c r="CW123" s="37"/>
      <c r="CX123" s="37"/>
      <c r="CY123" s="183"/>
      <c r="CZ123" s="37"/>
      <c r="DA123" s="184"/>
      <c r="DB123" s="140"/>
      <c r="DC123" s="37"/>
      <c r="DD123" s="37"/>
      <c r="DE123" s="37"/>
      <c r="DF123" s="37"/>
      <c r="DG123" s="140"/>
      <c r="DH123" s="43"/>
      <c r="DI123" s="5"/>
      <c r="DJ123" s="5"/>
    </row>
    <row r="124" spans="1:114" ht="15" customHeight="1" x14ac:dyDescent="0.35">
      <c r="A124" s="9">
        <v>204550</v>
      </c>
      <c r="B124" s="9" t="s">
        <v>58</v>
      </c>
      <c r="C124" s="34" t="s">
        <v>578</v>
      </c>
      <c r="D124" s="5" t="s">
        <v>944</v>
      </c>
      <c r="E124" s="5" t="s">
        <v>744</v>
      </c>
      <c r="F124" s="6">
        <v>6716</v>
      </c>
      <c r="G124" s="145" t="s">
        <v>780</v>
      </c>
      <c r="H124" s="37">
        <v>9093620</v>
      </c>
      <c r="I124" s="37">
        <v>8529000</v>
      </c>
      <c r="J124" s="37"/>
      <c r="K124" s="37">
        <v>9093620</v>
      </c>
      <c r="L124" s="37"/>
      <c r="M124" s="37">
        <f>K124-I124</f>
        <v>564620</v>
      </c>
      <c r="N124" s="37"/>
      <c r="O124" s="140">
        <f>M124/I124</f>
        <v>6.6200023449407897E-2</v>
      </c>
      <c r="P124" s="43">
        <v>44567</v>
      </c>
      <c r="Q124" s="43" t="s">
        <v>284</v>
      </c>
      <c r="R124" s="42"/>
      <c r="S124" s="37">
        <v>9093620</v>
      </c>
      <c r="T124" s="39">
        <f t="shared" si="29"/>
        <v>0</v>
      </c>
      <c r="U124" s="5"/>
      <c r="V124" s="140">
        <v>0</v>
      </c>
      <c r="W124" s="142">
        <v>44593</v>
      </c>
      <c r="X124" s="5" t="s">
        <v>284</v>
      </c>
      <c r="Y124" s="42"/>
      <c r="Z124" s="5"/>
      <c r="AA124" s="38">
        <v>9093620</v>
      </c>
      <c r="AB124" s="38">
        <f t="shared" si="25"/>
        <v>0</v>
      </c>
      <c r="AC124" s="5"/>
      <c r="AD124" s="40">
        <v>0</v>
      </c>
      <c r="AE124" s="43">
        <v>44624</v>
      </c>
      <c r="AF124" s="5" t="s">
        <v>284</v>
      </c>
      <c r="AG124" s="42"/>
      <c r="AH124" s="5"/>
      <c r="AI124" s="37">
        <v>9093620</v>
      </c>
      <c r="AJ124" s="37">
        <f t="shared" si="30"/>
        <v>0</v>
      </c>
      <c r="AK124" s="37"/>
      <c r="AL124" s="37"/>
      <c r="AM124" s="140">
        <v>0</v>
      </c>
      <c r="AN124" s="43">
        <v>44656</v>
      </c>
      <c r="AO124" s="5" t="s">
        <v>284</v>
      </c>
      <c r="AP124" s="5"/>
      <c r="AQ124" s="40"/>
      <c r="AR124" s="37">
        <v>9093620</v>
      </c>
      <c r="AS124" s="37">
        <f t="shared" si="31"/>
        <v>0</v>
      </c>
      <c r="AT124" s="37"/>
      <c r="AU124" s="37"/>
      <c r="AV124" s="140">
        <v>0</v>
      </c>
      <c r="AW124" s="43">
        <v>44687</v>
      </c>
      <c r="AX124" s="5" t="s">
        <v>284</v>
      </c>
      <c r="AY124" s="5"/>
      <c r="AZ124" s="140"/>
      <c r="BA124" s="37">
        <v>9093620</v>
      </c>
      <c r="BB124" s="37">
        <f>AR124-BA124</f>
        <v>0</v>
      </c>
      <c r="BC124" s="37"/>
      <c r="BD124" s="37"/>
      <c r="BE124" s="140">
        <v>0</v>
      </c>
      <c r="BF124" s="43">
        <v>44719</v>
      </c>
      <c r="BG124" s="5" t="s">
        <v>284</v>
      </c>
      <c r="BH124" s="43">
        <v>44728</v>
      </c>
      <c r="BI124" s="140"/>
      <c r="BJ124" s="37">
        <v>9093620</v>
      </c>
      <c r="BK124" s="37">
        <f>BA124-BJ124</f>
        <v>0</v>
      </c>
      <c r="BL124" s="37"/>
      <c r="BM124" s="37"/>
      <c r="BN124" s="140">
        <v>0</v>
      </c>
      <c r="BO124" s="43">
        <v>44743</v>
      </c>
      <c r="BP124" s="5" t="s">
        <v>284</v>
      </c>
      <c r="BQ124" s="43">
        <v>44757</v>
      </c>
      <c r="BR124" s="140"/>
      <c r="BS124" s="37">
        <v>9093620</v>
      </c>
      <c r="BT124" s="37">
        <f>BJ124-BS124</f>
        <v>0</v>
      </c>
      <c r="BU124" s="37"/>
      <c r="BV124" s="37"/>
      <c r="BW124" s="140">
        <v>0</v>
      </c>
      <c r="BX124" s="43">
        <v>44777</v>
      </c>
      <c r="BY124" s="5" t="s">
        <v>284</v>
      </c>
      <c r="BZ124" s="5"/>
      <c r="CA124" s="140"/>
      <c r="CB124" s="37"/>
      <c r="CC124" s="37"/>
      <c r="CD124" s="37"/>
      <c r="CE124" s="37"/>
      <c r="CF124" s="140"/>
      <c r="CG124" s="43"/>
      <c r="CH124" s="5"/>
      <c r="CI124" s="5"/>
      <c r="CJ124" s="140"/>
      <c r="CK124" s="37"/>
      <c r="CL124" s="37"/>
      <c r="CM124" s="37"/>
      <c r="CN124" s="37"/>
      <c r="CO124" s="140"/>
      <c r="CP124" s="43"/>
      <c r="CQ124" s="5"/>
      <c r="CR124" s="5"/>
      <c r="CS124" s="37"/>
      <c r="CT124" s="37"/>
      <c r="CU124" s="37"/>
      <c r="CV124" s="37"/>
      <c r="CW124" s="37"/>
      <c r="CX124" s="37"/>
      <c r="CY124" s="37"/>
      <c r="CZ124" s="37"/>
      <c r="DA124" s="184"/>
      <c r="DB124" s="140"/>
      <c r="DC124" s="37"/>
      <c r="DD124" s="37"/>
      <c r="DE124" s="37"/>
      <c r="DF124" s="37"/>
      <c r="DG124" s="140"/>
      <c r="DH124" s="43"/>
      <c r="DI124" s="5"/>
      <c r="DJ124" s="5"/>
    </row>
    <row r="125" spans="1:114" ht="15" customHeight="1" x14ac:dyDescent="0.35">
      <c r="A125" s="9">
        <v>207634</v>
      </c>
      <c r="B125" s="9" t="s">
        <v>782</v>
      </c>
      <c r="C125" s="34" t="s">
        <v>581</v>
      </c>
      <c r="D125" s="5" t="s">
        <v>945</v>
      </c>
      <c r="E125" s="5" t="s">
        <v>625</v>
      </c>
      <c r="F125" s="6">
        <v>6717</v>
      </c>
      <c r="G125" s="145" t="s">
        <v>759</v>
      </c>
      <c r="H125" s="37">
        <v>15795278</v>
      </c>
      <c r="I125" s="37">
        <v>14676898</v>
      </c>
      <c r="J125" s="185"/>
      <c r="K125" s="186">
        <v>14676898</v>
      </c>
      <c r="L125" s="37">
        <f>I125-K125</f>
        <v>0</v>
      </c>
      <c r="M125" s="37"/>
      <c r="N125" s="37"/>
      <c r="O125" s="140">
        <v>0</v>
      </c>
      <c r="P125" s="142">
        <v>44564</v>
      </c>
      <c r="Q125" s="9" t="s">
        <v>284</v>
      </c>
      <c r="R125" s="42"/>
      <c r="S125" s="37">
        <f>15795278+118380</f>
        <v>15913658</v>
      </c>
      <c r="T125" s="39">
        <f t="shared" si="29"/>
        <v>-1236760</v>
      </c>
      <c r="U125" s="5"/>
      <c r="V125" s="140">
        <f>T125/K125</f>
        <v>-8.4265762424730342E-2</v>
      </c>
      <c r="W125" s="43">
        <v>44595</v>
      </c>
      <c r="X125" s="5" t="s">
        <v>284</v>
      </c>
      <c r="Y125" s="42"/>
      <c r="Z125" s="5"/>
      <c r="AA125" s="38">
        <v>15795278</v>
      </c>
      <c r="AB125" s="38">
        <f t="shared" si="25"/>
        <v>118380</v>
      </c>
      <c r="AC125" s="5"/>
      <c r="AD125" s="40">
        <f>AB125/S125</f>
        <v>7.438893056517867E-3</v>
      </c>
      <c r="AE125" s="51">
        <v>44621</v>
      </c>
      <c r="AF125" s="5" t="s">
        <v>284</v>
      </c>
      <c r="AG125" s="42"/>
      <c r="AH125" s="144"/>
      <c r="AI125" s="37">
        <v>15795278</v>
      </c>
      <c r="AJ125" s="37">
        <f t="shared" si="30"/>
        <v>0</v>
      </c>
      <c r="AK125" s="37"/>
      <c r="AL125" s="37"/>
      <c r="AM125" s="140">
        <v>0</v>
      </c>
      <c r="AN125" s="43">
        <v>44655</v>
      </c>
      <c r="AO125" s="5" t="s">
        <v>284</v>
      </c>
      <c r="AP125" s="5"/>
      <c r="AQ125" s="40"/>
      <c r="AR125" s="37">
        <v>15795278</v>
      </c>
      <c r="AS125" s="37">
        <f t="shared" si="31"/>
        <v>0</v>
      </c>
      <c r="AT125" s="37"/>
      <c r="AU125" s="37"/>
      <c r="AV125" s="140">
        <v>0</v>
      </c>
      <c r="AW125" s="43">
        <v>44683</v>
      </c>
      <c r="AX125" s="5" t="s">
        <v>284</v>
      </c>
      <c r="AY125" s="5"/>
      <c r="AZ125" s="140"/>
      <c r="BA125" s="37">
        <v>15795278</v>
      </c>
      <c r="BB125" s="37">
        <f t="shared" ref="BB125:BB134" si="32">AR125-BA125</f>
        <v>0</v>
      </c>
      <c r="BC125" s="37"/>
      <c r="BD125" s="37"/>
      <c r="BE125" s="140">
        <v>0</v>
      </c>
      <c r="BF125" s="43">
        <v>44713</v>
      </c>
      <c r="BG125" s="5" t="s">
        <v>284</v>
      </c>
      <c r="BH125" s="43">
        <v>44728</v>
      </c>
      <c r="BI125" s="140"/>
      <c r="BJ125" s="37">
        <v>15795278</v>
      </c>
      <c r="BK125" s="37">
        <f>BA125-BJ125</f>
        <v>0</v>
      </c>
      <c r="BL125" s="37"/>
      <c r="BM125" s="37"/>
      <c r="BN125" s="140">
        <v>0</v>
      </c>
      <c r="BO125" s="43">
        <v>44743</v>
      </c>
      <c r="BP125" s="5" t="s">
        <v>284</v>
      </c>
      <c r="BQ125" s="43">
        <v>44757</v>
      </c>
      <c r="BR125" s="140"/>
      <c r="BS125" s="37">
        <v>15795278</v>
      </c>
      <c r="BT125" s="37">
        <f>BJ125-BS125</f>
        <v>0</v>
      </c>
      <c r="BU125" s="37"/>
      <c r="BV125" s="37"/>
      <c r="BW125" s="140">
        <v>0</v>
      </c>
      <c r="BX125" s="43">
        <v>44774</v>
      </c>
      <c r="BY125" s="5" t="s">
        <v>284</v>
      </c>
      <c r="BZ125" s="5"/>
      <c r="CA125" s="140"/>
      <c r="CB125" s="37"/>
      <c r="CC125" s="37"/>
      <c r="CD125" s="37"/>
      <c r="CE125" s="37"/>
      <c r="CF125" s="140"/>
      <c r="CG125" s="43"/>
      <c r="CH125" s="5"/>
      <c r="CI125" s="5"/>
      <c r="CJ125" s="140"/>
      <c r="CK125" s="37"/>
      <c r="CL125" s="37"/>
      <c r="CM125" s="37"/>
      <c r="CN125" s="37"/>
      <c r="CO125" s="140"/>
      <c r="CP125" s="43"/>
      <c r="CQ125" s="5"/>
      <c r="CR125" s="5"/>
      <c r="CS125" s="37"/>
      <c r="CT125" s="37"/>
      <c r="CU125" s="37"/>
      <c r="CV125" s="37"/>
      <c r="CW125" s="37"/>
      <c r="CX125" s="37"/>
      <c r="CY125" s="183"/>
      <c r="CZ125" s="37"/>
      <c r="DA125" s="184"/>
      <c r="DB125" s="140"/>
      <c r="DC125" s="37"/>
      <c r="DD125" s="37"/>
      <c r="DE125" s="37"/>
      <c r="DF125" s="37"/>
      <c r="DG125" s="140"/>
      <c r="DH125" s="43"/>
      <c r="DI125" s="5"/>
      <c r="DJ125" s="5"/>
    </row>
    <row r="126" spans="1:114" ht="15" customHeight="1" x14ac:dyDescent="0.35">
      <c r="A126" s="9">
        <v>204525</v>
      </c>
      <c r="B126" s="9" t="s">
        <v>946</v>
      </c>
      <c r="C126" s="34" t="s">
        <v>583</v>
      </c>
      <c r="D126" s="5" t="s">
        <v>947</v>
      </c>
      <c r="E126" s="5" t="s">
        <v>625</v>
      </c>
      <c r="F126" s="6">
        <v>6718</v>
      </c>
      <c r="G126" s="145">
        <v>52866739</v>
      </c>
      <c r="H126" s="39">
        <v>5530446</v>
      </c>
      <c r="I126" s="37">
        <v>5082032</v>
      </c>
      <c r="J126" s="37"/>
      <c r="K126" s="37">
        <v>5082032</v>
      </c>
      <c r="L126" s="37">
        <f>I126-K126</f>
        <v>0</v>
      </c>
      <c r="M126" s="37"/>
      <c r="N126" s="37"/>
      <c r="O126" s="140">
        <f>L126/H126</f>
        <v>0</v>
      </c>
      <c r="P126" s="43">
        <v>44572</v>
      </c>
      <c r="Q126" s="9" t="s">
        <v>284</v>
      </c>
      <c r="R126" s="42"/>
      <c r="S126" s="37">
        <v>5530446</v>
      </c>
      <c r="T126" s="39">
        <f>K126-S126</f>
        <v>-448414</v>
      </c>
      <c r="U126" s="5"/>
      <c r="V126" s="140">
        <f>T126/K126</f>
        <v>-8.8235178369597045E-2</v>
      </c>
      <c r="W126" s="43">
        <v>44603</v>
      </c>
      <c r="X126" s="5" t="s">
        <v>284</v>
      </c>
      <c r="Y126" s="42"/>
      <c r="Z126" s="144"/>
      <c r="AA126" s="38">
        <v>5530446</v>
      </c>
      <c r="AB126" s="38">
        <f t="shared" si="25"/>
        <v>0</v>
      </c>
      <c r="AC126" s="5"/>
      <c r="AD126" s="40">
        <v>0</v>
      </c>
      <c r="AE126" s="51">
        <v>44621</v>
      </c>
      <c r="AF126" s="5" t="s">
        <v>284</v>
      </c>
      <c r="AG126" s="42"/>
      <c r="AH126" s="144"/>
      <c r="AI126" s="37">
        <v>5530446</v>
      </c>
      <c r="AJ126" s="37">
        <f t="shared" si="30"/>
        <v>0</v>
      </c>
      <c r="AK126" s="37"/>
      <c r="AL126" s="37"/>
      <c r="AM126" s="140">
        <v>0</v>
      </c>
      <c r="AN126" s="43">
        <v>44655</v>
      </c>
      <c r="AO126" s="5" t="s">
        <v>284</v>
      </c>
      <c r="AP126" s="5"/>
      <c r="AQ126" s="40"/>
      <c r="AR126" s="37">
        <v>5530446</v>
      </c>
      <c r="AS126" s="37">
        <f t="shared" si="31"/>
        <v>0</v>
      </c>
      <c r="AT126" s="37"/>
      <c r="AU126" s="37"/>
      <c r="AV126" s="140">
        <v>0</v>
      </c>
      <c r="AW126" s="43">
        <v>44687</v>
      </c>
      <c r="AX126" s="5" t="s">
        <v>284</v>
      </c>
      <c r="AY126" s="5"/>
      <c r="AZ126" s="140"/>
      <c r="BA126" s="37">
        <v>5530446</v>
      </c>
      <c r="BB126" s="37">
        <f t="shared" si="32"/>
        <v>0</v>
      </c>
      <c r="BC126" s="37"/>
      <c r="BD126" s="37"/>
      <c r="BE126" s="140">
        <v>0</v>
      </c>
      <c r="BF126" s="43">
        <v>44718</v>
      </c>
      <c r="BG126" s="5" t="s">
        <v>284</v>
      </c>
      <c r="BH126" s="43">
        <v>44728</v>
      </c>
      <c r="BI126" s="140"/>
      <c r="BJ126" s="37">
        <v>5530446</v>
      </c>
      <c r="BK126" s="37">
        <f>BA126-BJ126</f>
        <v>0</v>
      </c>
      <c r="BL126" s="37"/>
      <c r="BM126" s="37"/>
      <c r="BN126" s="140">
        <v>0</v>
      </c>
      <c r="BO126" s="43">
        <v>44755</v>
      </c>
      <c r="BP126" s="5" t="s">
        <v>284</v>
      </c>
      <c r="BQ126" s="43">
        <v>44768</v>
      </c>
      <c r="BR126" s="140"/>
      <c r="BS126" s="37">
        <v>5530446</v>
      </c>
      <c r="BT126" s="37">
        <f>BJ126-BS126</f>
        <v>0</v>
      </c>
      <c r="BU126" s="37"/>
      <c r="BV126" s="37"/>
      <c r="BW126" s="140">
        <v>0</v>
      </c>
      <c r="BX126" s="43">
        <v>44785</v>
      </c>
      <c r="BY126" s="5" t="s">
        <v>284</v>
      </c>
      <c r="BZ126" s="5"/>
      <c r="CA126" s="140"/>
      <c r="CB126" s="37"/>
      <c r="CC126" s="37"/>
      <c r="CD126" s="37"/>
      <c r="CE126" s="37"/>
      <c r="CF126" s="140"/>
      <c r="CG126" s="43"/>
      <c r="CH126" s="5"/>
      <c r="CI126" s="5"/>
      <c r="CJ126" s="140"/>
      <c r="CK126" s="37"/>
      <c r="CL126" s="37"/>
      <c r="CM126" s="37"/>
      <c r="CN126" s="37"/>
      <c r="CO126" s="140"/>
      <c r="CP126" s="43"/>
      <c r="CQ126" s="5"/>
      <c r="CR126" s="5"/>
      <c r="CS126" s="37"/>
      <c r="CT126" s="37"/>
      <c r="CU126" s="37"/>
      <c r="CV126" s="37"/>
      <c r="CW126" s="37"/>
      <c r="CX126" s="37"/>
      <c r="CY126" s="37"/>
      <c r="CZ126" s="37"/>
      <c r="DA126" s="184"/>
      <c r="DB126" s="140"/>
      <c r="DC126" s="37"/>
      <c r="DD126" s="37"/>
      <c r="DE126" s="37"/>
      <c r="DF126" s="37"/>
      <c r="DG126" s="140"/>
      <c r="DH126" s="43"/>
      <c r="DI126" s="5"/>
      <c r="DJ126" s="5"/>
    </row>
    <row r="127" spans="1:114" ht="15" customHeight="1" x14ac:dyDescent="0.35">
      <c r="A127" s="9">
        <v>207634</v>
      </c>
      <c r="B127" s="9" t="s">
        <v>784</v>
      </c>
      <c r="C127" s="34" t="s">
        <v>587</v>
      </c>
      <c r="D127" s="5" t="s">
        <v>948</v>
      </c>
      <c r="E127" s="5" t="s">
        <v>643</v>
      </c>
      <c r="F127" s="6">
        <v>6759</v>
      </c>
      <c r="G127" s="145" t="s">
        <v>759</v>
      </c>
      <c r="H127" s="37">
        <v>14659084</v>
      </c>
      <c r="I127" s="37">
        <v>14659084</v>
      </c>
      <c r="J127" s="37"/>
      <c r="K127" s="37">
        <v>14659084</v>
      </c>
      <c r="L127" s="37">
        <f>H127-K127</f>
        <v>0</v>
      </c>
      <c r="M127" s="37"/>
      <c r="N127" s="37"/>
      <c r="O127" s="140">
        <v>0</v>
      </c>
      <c r="P127" s="142">
        <v>44564</v>
      </c>
      <c r="Q127" s="9" t="s">
        <v>284</v>
      </c>
      <c r="R127" s="42"/>
      <c r="S127" s="37">
        <v>14659084</v>
      </c>
      <c r="T127" s="39">
        <f t="shared" ref="T127:T134" si="33">K127-S127</f>
        <v>0</v>
      </c>
      <c r="U127" s="5"/>
      <c r="V127" s="140">
        <v>0</v>
      </c>
      <c r="W127" s="43">
        <v>44595</v>
      </c>
      <c r="X127" s="5" t="s">
        <v>284</v>
      </c>
      <c r="Y127" s="42"/>
      <c r="Z127" s="5"/>
      <c r="AA127" s="38">
        <v>14659084</v>
      </c>
      <c r="AB127" s="38">
        <f t="shared" si="25"/>
        <v>0</v>
      </c>
      <c r="AC127" s="5"/>
      <c r="AD127" s="40">
        <v>0</v>
      </c>
      <c r="AE127" s="51">
        <v>44622</v>
      </c>
      <c r="AF127" s="5" t="s">
        <v>284</v>
      </c>
      <c r="AG127" s="42"/>
      <c r="AH127" s="144"/>
      <c r="AI127" s="37">
        <v>14659084</v>
      </c>
      <c r="AJ127" s="37">
        <f t="shared" si="30"/>
        <v>0</v>
      </c>
      <c r="AK127" s="37"/>
      <c r="AL127" s="37"/>
      <c r="AM127" s="140">
        <v>0</v>
      </c>
      <c r="AN127" s="43">
        <v>44655</v>
      </c>
      <c r="AO127" s="5" t="s">
        <v>284</v>
      </c>
      <c r="AP127" s="5"/>
      <c r="AQ127" s="40"/>
      <c r="AR127" s="37">
        <v>14659084</v>
      </c>
      <c r="AS127" s="37">
        <f t="shared" si="31"/>
        <v>0</v>
      </c>
      <c r="AT127" s="37"/>
      <c r="AU127" s="37"/>
      <c r="AV127" s="140">
        <v>0</v>
      </c>
      <c r="AW127" s="43">
        <v>44683</v>
      </c>
      <c r="AX127" s="5" t="s">
        <v>284</v>
      </c>
      <c r="AY127" s="5"/>
      <c r="AZ127" s="140"/>
      <c r="BA127" s="37">
        <v>14659084</v>
      </c>
      <c r="BB127" s="37">
        <f t="shared" si="32"/>
        <v>0</v>
      </c>
      <c r="BC127" s="37"/>
      <c r="BD127" s="37"/>
      <c r="BE127" s="140">
        <v>0</v>
      </c>
      <c r="BF127" s="43">
        <v>44713</v>
      </c>
      <c r="BG127" s="5" t="s">
        <v>284</v>
      </c>
      <c r="BH127" s="43">
        <v>44728</v>
      </c>
      <c r="BI127" s="140"/>
      <c r="BJ127" s="37">
        <v>14659084</v>
      </c>
      <c r="BK127" s="37">
        <f t="shared" ref="BK127:BK135" si="34">BA127-BJ127</f>
        <v>0</v>
      </c>
      <c r="BL127" s="37"/>
      <c r="BM127" s="37"/>
      <c r="BN127" s="140">
        <v>0</v>
      </c>
      <c r="BO127" s="43">
        <v>44743</v>
      </c>
      <c r="BP127" s="5" t="s">
        <v>284</v>
      </c>
      <c r="BQ127" s="43">
        <v>44757</v>
      </c>
      <c r="BR127" s="140"/>
      <c r="BS127" s="37">
        <v>14659084</v>
      </c>
      <c r="BT127" s="37">
        <f t="shared" ref="BT127:BT135" si="35">BJ127-BS127</f>
        <v>0</v>
      </c>
      <c r="BU127" s="37"/>
      <c r="BV127" s="37"/>
      <c r="BW127" s="140">
        <v>0</v>
      </c>
      <c r="BX127" s="43">
        <v>44774</v>
      </c>
      <c r="BY127" s="5" t="s">
        <v>284</v>
      </c>
      <c r="BZ127" s="5"/>
      <c r="CA127" s="140"/>
      <c r="CB127" s="37"/>
      <c r="CC127" s="37"/>
      <c r="CD127" s="37"/>
      <c r="CE127" s="37"/>
      <c r="CF127" s="140"/>
      <c r="CG127" s="43"/>
      <c r="CH127" s="5"/>
      <c r="CI127" s="5"/>
      <c r="CJ127" s="140"/>
      <c r="CK127" s="37"/>
      <c r="CL127" s="37"/>
      <c r="CM127" s="37"/>
      <c r="CN127" s="37"/>
      <c r="CO127" s="140"/>
      <c r="CP127" s="43"/>
      <c r="CQ127" s="5"/>
      <c r="CR127" s="5"/>
      <c r="CS127" s="37"/>
      <c r="CT127" s="37"/>
      <c r="CU127" s="37"/>
      <c r="CV127" s="37"/>
      <c r="CW127" s="37"/>
      <c r="CX127" s="37"/>
      <c r="CY127" s="183"/>
      <c r="CZ127" s="37"/>
      <c r="DA127" s="184"/>
      <c r="DB127" s="140"/>
      <c r="DC127" s="37"/>
      <c r="DD127" s="37"/>
      <c r="DE127" s="37"/>
      <c r="DF127" s="37"/>
      <c r="DG127" s="140"/>
      <c r="DH127" s="43"/>
      <c r="DI127" s="5"/>
      <c r="DJ127" s="5"/>
    </row>
    <row r="128" spans="1:114" ht="15" customHeight="1" x14ac:dyDescent="0.35">
      <c r="A128" s="9">
        <v>207634</v>
      </c>
      <c r="B128" s="9" t="s">
        <v>786</v>
      </c>
      <c r="C128" s="34" t="s">
        <v>590</v>
      </c>
      <c r="D128" s="5" t="s">
        <v>949</v>
      </c>
      <c r="E128" s="5" t="s">
        <v>635</v>
      </c>
      <c r="F128" s="6">
        <v>6760</v>
      </c>
      <c r="G128" s="145" t="s">
        <v>759</v>
      </c>
      <c r="H128" s="37">
        <v>12812463</v>
      </c>
      <c r="I128" s="37">
        <v>12812463</v>
      </c>
      <c r="J128" s="37"/>
      <c r="K128" s="37">
        <v>12812463</v>
      </c>
      <c r="L128" s="37">
        <f>H128-K128</f>
        <v>0</v>
      </c>
      <c r="M128" s="37"/>
      <c r="N128" s="37"/>
      <c r="O128" s="140">
        <v>0</v>
      </c>
      <c r="P128" s="142">
        <v>44564</v>
      </c>
      <c r="Q128" s="9" t="s">
        <v>284</v>
      </c>
      <c r="R128" s="42"/>
      <c r="S128" s="37">
        <v>12812463</v>
      </c>
      <c r="T128" s="39">
        <f t="shared" si="33"/>
        <v>0</v>
      </c>
      <c r="U128" s="5"/>
      <c r="V128" s="140">
        <v>0</v>
      </c>
      <c r="W128" s="43">
        <v>44595</v>
      </c>
      <c r="X128" s="5" t="s">
        <v>284</v>
      </c>
      <c r="Y128" s="42"/>
      <c r="Z128" s="5"/>
      <c r="AA128" s="38">
        <v>12812463</v>
      </c>
      <c r="AB128" s="38">
        <f t="shared" si="25"/>
        <v>0</v>
      </c>
      <c r="AC128" s="5"/>
      <c r="AD128" s="40">
        <v>0</v>
      </c>
      <c r="AE128" s="51">
        <v>44621</v>
      </c>
      <c r="AF128" s="5" t="s">
        <v>284</v>
      </c>
      <c r="AG128" s="42"/>
      <c r="AH128" s="144"/>
      <c r="AI128" s="37">
        <v>12812463</v>
      </c>
      <c r="AJ128" s="37">
        <f t="shared" si="30"/>
        <v>0</v>
      </c>
      <c r="AK128" s="37"/>
      <c r="AL128" s="37"/>
      <c r="AM128" s="140">
        <v>0</v>
      </c>
      <c r="AN128" s="43">
        <v>44655</v>
      </c>
      <c r="AO128" s="5" t="s">
        <v>284</v>
      </c>
      <c r="AP128" s="5"/>
      <c r="AQ128" s="40"/>
      <c r="AR128" s="37">
        <v>12812463</v>
      </c>
      <c r="AS128" s="37">
        <f t="shared" si="31"/>
        <v>0</v>
      </c>
      <c r="AT128" s="37"/>
      <c r="AU128" s="37"/>
      <c r="AV128" s="140">
        <v>0</v>
      </c>
      <c r="AW128" s="43">
        <v>44683</v>
      </c>
      <c r="AX128" s="5" t="s">
        <v>284</v>
      </c>
      <c r="AY128" s="5"/>
      <c r="AZ128" s="140"/>
      <c r="BA128" s="37">
        <v>12812463</v>
      </c>
      <c r="BB128" s="37">
        <f t="shared" si="32"/>
        <v>0</v>
      </c>
      <c r="BC128" s="37"/>
      <c r="BD128" s="37"/>
      <c r="BE128" s="140">
        <v>0</v>
      </c>
      <c r="BF128" s="43">
        <v>44713</v>
      </c>
      <c r="BG128" s="5" t="s">
        <v>284</v>
      </c>
      <c r="BH128" s="43">
        <v>44728</v>
      </c>
      <c r="BI128" s="140"/>
      <c r="BJ128" s="37">
        <v>12812463</v>
      </c>
      <c r="BK128" s="37">
        <f t="shared" si="34"/>
        <v>0</v>
      </c>
      <c r="BL128" s="37"/>
      <c r="BM128" s="37"/>
      <c r="BN128" s="140">
        <v>0</v>
      </c>
      <c r="BO128" s="43">
        <v>44743</v>
      </c>
      <c r="BP128" s="5" t="s">
        <v>284</v>
      </c>
      <c r="BQ128" s="43">
        <v>44757</v>
      </c>
      <c r="BR128" s="140"/>
      <c r="BS128" s="37">
        <v>12812463</v>
      </c>
      <c r="BT128" s="37">
        <f t="shared" si="35"/>
        <v>0</v>
      </c>
      <c r="BU128" s="37"/>
      <c r="BV128" s="37"/>
      <c r="BW128" s="140">
        <v>0</v>
      </c>
      <c r="BX128" s="43">
        <v>44774</v>
      </c>
      <c r="BY128" s="5" t="s">
        <v>284</v>
      </c>
      <c r="BZ128" s="5"/>
      <c r="CA128" s="140"/>
      <c r="CB128" s="37"/>
      <c r="CC128" s="37"/>
      <c r="CD128" s="37"/>
      <c r="CE128" s="37"/>
      <c r="CF128" s="140"/>
      <c r="CG128" s="43"/>
      <c r="CH128" s="5"/>
      <c r="CI128" s="5"/>
      <c r="CJ128" s="140"/>
      <c r="CK128" s="37"/>
      <c r="CL128" s="37"/>
      <c r="CM128" s="37"/>
      <c r="CN128" s="37"/>
      <c r="CO128" s="140"/>
      <c r="CP128" s="43"/>
      <c r="CQ128" s="5"/>
      <c r="CR128" s="5"/>
      <c r="CS128" s="37"/>
      <c r="CT128" s="37"/>
      <c r="CU128" s="37"/>
      <c r="CV128" s="37"/>
      <c r="CW128" s="37"/>
      <c r="CX128" s="37"/>
      <c r="CY128" s="183"/>
      <c r="CZ128" s="37"/>
      <c r="DA128" s="184"/>
      <c r="DB128" s="140"/>
      <c r="DC128" s="37"/>
      <c r="DD128" s="37"/>
      <c r="DE128" s="37"/>
      <c r="DF128" s="37"/>
      <c r="DG128" s="140"/>
      <c r="DH128" s="43"/>
      <c r="DI128" s="5"/>
      <c r="DJ128" s="5"/>
    </row>
    <row r="129" spans="1:114" ht="15" customHeight="1" x14ac:dyDescent="0.35">
      <c r="A129" s="9">
        <v>254545</v>
      </c>
      <c r="B129" s="9" t="s">
        <v>595</v>
      </c>
      <c r="C129" s="34" t="s">
        <v>593</v>
      </c>
      <c r="D129" s="5" t="s">
        <v>950</v>
      </c>
      <c r="E129" s="5" t="s">
        <v>625</v>
      </c>
      <c r="F129" s="6">
        <v>6762</v>
      </c>
      <c r="G129" s="145" t="s">
        <v>596</v>
      </c>
      <c r="H129" s="37">
        <v>26579236</v>
      </c>
      <c r="I129" s="37">
        <v>24671534</v>
      </c>
      <c r="J129" s="37"/>
      <c r="K129" s="37">
        <v>26479236</v>
      </c>
      <c r="L129" s="37">
        <f>I129-K129</f>
        <v>-1807702</v>
      </c>
      <c r="M129" s="37"/>
      <c r="N129" s="37"/>
      <c r="O129" s="140">
        <f>L129/I129</f>
        <v>-7.3270758113378756E-2</v>
      </c>
      <c r="P129" s="142">
        <v>44575</v>
      </c>
      <c r="Q129" s="5" t="s">
        <v>284</v>
      </c>
      <c r="R129" s="42"/>
      <c r="S129" s="37">
        <v>26579236</v>
      </c>
      <c r="T129" s="39">
        <f t="shared" si="33"/>
        <v>-100000</v>
      </c>
      <c r="U129" s="5"/>
      <c r="V129" s="140">
        <f>T129/K129</f>
        <v>-3.7765440060279687E-3</v>
      </c>
      <c r="W129" s="142">
        <v>44593</v>
      </c>
      <c r="X129" s="5" t="s">
        <v>284</v>
      </c>
      <c r="Y129" s="42"/>
      <c r="Z129" s="5"/>
      <c r="AA129" s="38">
        <v>26579236</v>
      </c>
      <c r="AB129" s="38">
        <f t="shared" si="25"/>
        <v>0</v>
      </c>
      <c r="AC129" s="5"/>
      <c r="AD129" s="40">
        <v>0</v>
      </c>
      <c r="AE129" s="51">
        <v>44621</v>
      </c>
      <c r="AF129" s="5" t="s">
        <v>284</v>
      </c>
      <c r="AG129" s="42"/>
      <c r="AH129" s="144"/>
      <c r="AI129" s="37">
        <v>26579236</v>
      </c>
      <c r="AJ129" s="37">
        <f t="shared" si="30"/>
        <v>0</v>
      </c>
      <c r="AK129" s="37"/>
      <c r="AL129" s="37"/>
      <c r="AM129" s="140">
        <v>0</v>
      </c>
      <c r="AN129" s="43">
        <v>44655</v>
      </c>
      <c r="AO129" s="5" t="s">
        <v>284</v>
      </c>
      <c r="AP129" s="5"/>
      <c r="AQ129" s="40"/>
      <c r="AR129" s="37">
        <v>26579236</v>
      </c>
      <c r="AS129" s="37">
        <f t="shared" si="31"/>
        <v>0</v>
      </c>
      <c r="AT129" s="37"/>
      <c r="AU129" s="37"/>
      <c r="AV129" s="140">
        <v>0</v>
      </c>
      <c r="AW129" s="43">
        <v>44684</v>
      </c>
      <c r="AX129" s="5" t="s">
        <v>284</v>
      </c>
      <c r="AY129" s="5"/>
      <c r="AZ129" s="140"/>
      <c r="BA129" s="37">
        <v>26579236</v>
      </c>
      <c r="BB129" s="37">
        <f t="shared" si="32"/>
        <v>0</v>
      </c>
      <c r="BC129" s="37"/>
      <c r="BD129" s="37"/>
      <c r="BE129" s="140">
        <v>0</v>
      </c>
      <c r="BF129" s="43">
        <v>44715</v>
      </c>
      <c r="BG129" s="5" t="s">
        <v>284</v>
      </c>
      <c r="BH129" s="43">
        <v>44728</v>
      </c>
      <c r="BI129" s="140"/>
      <c r="BJ129" s="37">
        <v>26579236</v>
      </c>
      <c r="BK129" s="37">
        <f t="shared" si="34"/>
        <v>0</v>
      </c>
      <c r="BL129" s="37"/>
      <c r="BM129" s="37"/>
      <c r="BN129" s="140">
        <v>0</v>
      </c>
      <c r="BO129" s="43">
        <v>44747</v>
      </c>
      <c r="BP129" s="5" t="s">
        <v>284</v>
      </c>
      <c r="BQ129" s="43">
        <v>44757</v>
      </c>
      <c r="BR129" s="140"/>
      <c r="BS129" s="37">
        <v>26579236</v>
      </c>
      <c r="BT129" s="37">
        <f t="shared" si="35"/>
        <v>0</v>
      </c>
      <c r="BU129" s="37"/>
      <c r="BV129" s="37"/>
      <c r="BW129" s="140">
        <v>0</v>
      </c>
      <c r="BX129" s="43">
        <v>44777</v>
      </c>
      <c r="BY129" s="5" t="s">
        <v>284</v>
      </c>
      <c r="BZ129" s="5"/>
      <c r="CA129" s="140"/>
      <c r="CB129" s="37"/>
      <c r="CC129" s="37"/>
      <c r="CD129" s="37"/>
      <c r="CE129" s="37"/>
      <c r="CF129" s="140"/>
      <c r="CG129" s="43"/>
      <c r="CH129" s="5"/>
      <c r="CI129" s="5"/>
      <c r="CJ129" s="140"/>
      <c r="CK129" s="37"/>
      <c r="CL129" s="37"/>
      <c r="CM129" s="37"/>
      <c r="CN129" s="37"/>
      <c r="CO129" s="140"/>
      <c r="CP129" s="43"/>
      <c r="CQ129" s="5"/>
      <c r="CR129" s="5"/>
      <c r="CS129" s="37"/>
      <c r="CT129" s="37"/>
      <c r="CU129" s="37"/>
      <c r="CV129" s="37"/>
      <c r="CW129" s="37"/>
      <c r="CX129" s="140"/>
      <c r="CY129" s="183"/>
      <c r="CZ129" s="37"/>
      <c r="DA129" s="184"/>
      <c r="DB129" s="140"/>
      <c r="DC129" s="37"/>
      <c r="DD129" s="37"/>
      <c r="DE129" s="37"/>
      <c r="DF129" s="37"/>
      <c r="DG129" s="140"/>
      <c r="DH129" s="43"/>
      <c r="DI129" s="5"/>
      <c r="DJ129" s="5"/>
    </row>
    <row r="130" spans="1:114" ht="15" customHeight="1" x14ac:dyDescent="0.35">
      <c r="A130" s="9">
        <v>205762</v>
      </c>
      <c r="B130" s="9" t="s">
        <v>790</v>
      </c>
      <c r="C130" s="34" t="s">
        <v>597</v>
      </c>
      <c r="D130" s="5" t="s">
        <v>951</v>
      </c>
      <c r="E130" s="5" t="s">
        <v>625</v>
      </c>
      <c r="F130" s="6">
        <v>6763</v>
      </c>
      <c r="G130" s="145">
        <v>900699834</v>
      </c>
      <c r="H130" s="37">
        <v>11277871</v>
      </c>
      <c r="I130" s="37">
        <v>10922556</v>
      </c>
      <c r="J130" s="37"/>
      <c r="K130" s="37">
        <v>10922556</v>
      </c>
      <c r="L130" s="37">
        <f>I130-K130</f>
        <v>0</v>
      </c>
      <c r="M130" s="37"/>
      <c r="N130" s="37"/>
      <c r="O130" s="140">
        <v>0</v>
      </c>
      <c r="P130" s="142">
        <v>44564</v>
      </c>
      <c r="Q130" s="9" t="s">
        <v>284</v>
      </c>
      <c r="R130" s="42"/>
      <c r="S130" s="37">
        <v>10922556</v>
      </c>
      <c r="T130" s="39">
        <f t="shared" si="33"/>
        <v>0</v>
      </c>
      <c r="U130" s="5"/>
      <c r="V130" s="140">
        <v>0</v>
      </c>
      <c r="W130" s="142">
        <v>44593</v>
      </c>
      <c r="X130" s="5" t="s">
        <v>284</v>
      </c>
      <c r="Y130" s="42"/>
      <c r="Z130" s="5"/>
      <c r="AA130" s="38">
        <v>10922556</v>
      </c>
      <c r="AB130" s="38">
        <f t="shared" si="25"/>
        <v>0</v>
      </c>
      <c r="AC130" s="5"/>
      <c r="AD130" s="40">
        <v>0</v>
      </c>
      <c r="AE130" s="51">
        <v>44621</v>
      </c>
      <c r="AF130" s="5" t="s">
        <v>284</v>
      </c>
      <c r="AG130" s="42"/>
      <c r="AH130" s="144"/>
      <c r="AI130" s="37">
        <f>10922556+2487201</f>
        <v>13409757</v>
      </c>
      <c r="AJ130" s="37"/>
      <c r="AK130" s="37">
        <f>AA130-AI130</f>
        <v>-2487201</v>
      </c>
      <c r="AL130" s="37"/>
      <c r="AM130" s="140">
        <f>AK130/AA130</f>
        <v>-0.22771235963450312</v>
      </c>
      <c r="AN130" s="142">
        <v>44658</v>
      </c>
      <c r="AO130" s="5" t="s">
        <v>284</v>
      </c>
      <c r="AP130" s="5"/>
      <c r="AQ130" s="40"/>
      <c r="AR130" s="37">
        <v>11277871</v>
      </c>
      <c r="AS130" s="37"/>
      <c r="AT130" s="37">
        <f>AA130-AR130</f>
        <v>-355315</v>
      </c>
      <c r="AU130" s="37"/>
      <c r="AV130" s="140">
        <f>AT130/AA130</f>
        <v>-3.2530389407021583E-2</v>
      </c>
      <c r="AW130" s="43">
        <v>44683</v>
      </c>
      <c r="AX130" s="5" t="s">
        <v>284</v>
      </c>
      <c r="AY130" s="5"/>
      <c r="AZ130" s="140"/>
      <c r="BA130" s="37">
        <v>11277871</v>
      </c>
      <c r="BB130" s="37">
        <f t="shared" si="32"/>
        <v>0</v>
      </c>
      <c r="BC130" s="37"/>
      <c r="BD130" s="37"/>
      <c r="BE130" s="140">
        <v>0</v>
      </c>
      <c r="BF130" s="43">
        <v>44713</v>
      </c>
      <c r="BG130" s="5" t="s">
        <v>284</v>
      </c>
      <c r="BH130" s="43">
        <v>44728</v>
      </c>
      <c r="BI130" s="140"/>
      <c r="BJ130" s="37">
        <v>11277871</v>
      </c>
      <c r="BK130" s="37">
        <f t="shared" si="34"/>
        <v>0</v>
      </c>
      <c r="BL130" s="37"/>
      <c r="BM130" s="37"/>
      <c r="BN130" s="140">
        <v>0</v>
      </c>
      <c r="BO130" s="43">
        <v>44743</v>
      </c>
      <c r="BP130" s="5" t="s">
        <v>284</v>
      </c>
      <c r="BQ130" s="43">
        <v>44757</v>
      </c>
      <c r="BR130" s="140"/>
      <c r="BS130" s="37">
        <v>11277871</v>
      </c>
      <c r="BT130" s="37">
        <f t="shared" si="35"/>
        <v>0</v>
      </c>
      <c r="BU130" s="37"/>
      <c r="BV130" s="37"/>
      <c r="BW130" s="140">
        <v>0</v>
      </c>
      <c r="BX130" s="43">
        <v>44774</v>
      </c>
      <c r="BY130" s="5" t="s">
        <v>284</v>
      </c>
      <c r="BZ130" s="5"/>
      <c r="CA130" s="140"/>
      <c r="CB130" s="37"/>
      <c r="CC130" s="37"/>
      <c r="CD130" s="37"/>
      <c r="CE130" s="37"/>
      <c r="CF130" s="140"/>
      <c r="CG130" s="43"/>
      <c r="CH130" s="5"/>
      <c r="CI130" s="5"/>
      <c r="CJ130" s="140"/>
      <c r="CK130" s="37"/>
      <c r="CL130" s="37"/>
      <c r="CM130" s="37"/>
      <c r="CN130" s="37"/>
      <c r="CO130" s="140"/>
      <c r="CP130" s="43"/>
      <c r="CQ130" s="5"/>
      <c r="CR130" s="5"/>
      <c r="CS130" s="37"/>
      <c r="CT130" s="37"/>
      <c r="CU130" s="37"/>
      <c r="CV130" s="37"/>
      <c r="CW130" s="37"/>
      <c r="CX130" s="37"/>
      <c r="CY130" s="37"/>
      <c r="CZ130" s="37"/>
      <c r="DA130" s="184"/>
      <c r="DB130" s="140"/>
      <c r="DC130" s="37"/>
      <c r="DD130" s="37"/>
      <c r="DE130" s="37"/>
      <c r="DF130" s="37"/>
      <c r="DG130" s="140"/>
      <c r="DH130" s="43"/>
      <c r="DI130" s="5"/>
      <c r="DJ130" s="5"/>
    </row>
    <row r="131" spans="1:114" ht="15" customHeight="1" x14ac:dyDescent="0.35">
      <c r="A131" s="9">
        <v>205764</v>
      </c>
      <c r="B131" s="9" t="s">
        <v>56</v>
      </c>
      <c r="C131" s="34" t="s">
        <v>597</v>
      </c>
      <c r="D131" s="5" t="s">
        <v>951</v>
      </c>
      <c r="E131" s="5" t="s">
        <v>625</v>
      </c>
      <c r="F131" s="6">
        <v>6763</v>
      </c>
      <c r="G131" s="145" t="s">
        <v>791</v>
      </c>
      <c r="H131" s="37">
        <v>5638935</v>
      </c>
      <c r="I131" s="37">
        <v>5461278</v>
      </c>
      <c r="J131" s="37"/>
      <c r="K131" s="37">
        <v>5461278</v>
      </c>
      <c r="L131" s="37">
        <f>I131-K131</f>
        <v>0</v>
      </c>
      <c r="M131" s="37"/>
      <c r="N131" s="37"/>
      <c r="O131" s="140">
        <v>0</v>
      </c>
      <c r="P131" s="142">
        <v>44564</v>
      </c>
      <c r="Q131" s="9" t="s">
        <v>284</v>
      </c>
      <c r="R131" s="42"/>
      <c r="S131" s="37">
        <v>5461278</v>
      </c>
      <c r="T131" s="39">
        <f t="shared" si="33"/>
        <v>0</v>
      </c>
      <c r="U131" s="5"/>
      <c r="V131" s="140">
        <v>0</v>
      </c>
      <c r="W131" s="142">
        <v>44593</v>
      </c>
      <c r="X131" s="5" t="s">
        <v>284</v>
      </c>
      <c r="Y131" s="42"/>
      <c r="Z131" s="5"/>
      <c r="AA131" s="38">
        <v>5461278</v>
      </c>
      <c r="AB131" s="38">
        <f t="shared" si="25"/>
        <v>0</v>
      </c>
      <c r="AC131" s="5"/>
      <c r="AD131" s="40">
        <v>0</v>
      </c>
      <c r="AE131" s="51">
        <v>44621</v>
      </c>
      <c r="AF131" s="5" t="s">
        <v>284</v>
      </c>
      <c r="AG131" s="42"/>
      <c r="AH131" s="144"/>
      <c r="AI131" s="37">
        <f>5461278+1243601</f>
        <v>6704879</v>
      </c>
      <c r="AJ131" s="37"/>
      <c r="AK131" s="37">
        <f>AA131-AI131</f>
        <v>-1243601</v>
      </c>
      <c r="AL131" s="37"/>
      <c r="AM131" s="140">
        <f>AK131/AA131</f>
        <v>-0.2277124511881651</v>
      </c>
      <c r="AN131" s="142">
        <v>44658</v>
      </c>
      <c r="AO131" s="5" t="s">
        <v>284</v>
      </c>
      <c r="AP131" s="5"/>
      <c r="AQ131" s="40"/>
      <c r="AR131" s="37">
        <v>5638935</v>
      </c>
      <c r="AS131" s="37"/>
      <c r="AT131" s="37">
        <f>AA131-AR131</f>
        <v>-177657</v>
      </c>
      <c r="AU131" s="37"/>
      <c r="AV131" s="140">
        <f>AT131/AA131</f>
        <v>-3.2530297853359598E-2</v>
      </c>
      <c r="AW131" s="43">
        <v>44683</v>
      </c>
      <c r="AX131" s="5" t="s">
        <v>284</v>
      </c>
      <c r="AY131" s="5"/>
      <c r="AZ131" s="140"/>
      <c r="BA131" s="37">
        <v>5638935</v>
      </c>
      <c r="BB131" s="37">
        <f t="shared" si="32"/>
        <v>0</v>
      </c>
      <c r="BC131" s="37"/>
      <c r="BD131" s="37"/>
      <c r="BE131" s="140">
        <v>0</v>
      </c>
      <c r="BF131" s="43">
        <v>44713</v>
      </c>
      <c r="BG131" s="5" t="s">
        <v>284</v>
      </c>
      <c r="BH131" s="43">
        <v>44728</v>
      </c>
      <c r="BI131" s="140"/>
      <c r="BJ131" s="37">
        <v>5638935</v>
      </c>
      <c r="BK131" s="37">
        <f t="shared" si="34"/>
        <v>0</v>
      </c>
      <c r="BL131" s="37"/>
      <c r="BM131" s="37"/>
      <c r="BN131" s="140">
        <v>0</v>
      </c>
      <c r="BO131" s="43">
        <v>44743</v>
      </c>
      <c r="BP131" s="5" t="s">
        <v>284</v>
      </c>
      <c r="BQ131" s="43">
        <v>44757</v>
      </c>
      <c r="BR131" s="140"/>
      <c r="BS131" s="37">
        <v>5638935</v>
      </c>
      <c r="BT131" s="37">
        <f t="shared" si="35"/>
        <v>0</v>
      </c>
      <c r="BU131" s="37"/>
      <c r="BV131" s="37"/>
      <c r="BW131" s="140">
        <v>0</v>
      </c>
      <c r="BX131" s="43">
        <v>44774</v>
      </c>
      <c r="BY131" s="5" t="s">
        <v>284</v>
      </c>
      <c r="BZ131" s="5"/>
      <c r="CA131" s="140"/>
      <c r="CB131" s="37"/>
      <c r="CC131" s="37"/>
      <c r="CD131" s="37"/>
      <c r="CE131" s="37"/>
      <c r="CF131" s="140"/>
      <c r="CG131" s="43"/>
      <c r="CH131" s="5"/>
      <c r="CI131" s="5"/>
      <c r="CJ131" s="140"/>
      <c r="CK131" s="37"/>
      <c r="CL131" s="37"/>
      <c r="CM131" s="37"/>
      <c r="CN131" s="37"/>
      <c r="CO131" s="140"/>
      <c r="CP131" s="43"/>
      <c r="CQ131" s="5"/>
      <c r="CR131" s="5"/>
      <c r="CS131" s="37"/>
      <c r="CT131" s="37"/>
      <c r="CU131" s="37"/>
      <c r="CV131" s="37"/>
      <c r="CW131" s="37"/>
      <c r="CX131" s="37"/>
      <c r="CY131" s="37"/>
      <c r="CZ131" s="37"/>
      <c r="DA131" s="184"/>
      <c r="DB131" s="140"/>
      <c r="DC131" s="37"/>
      <c r="DD131" s="37"/>
      <c r="DE131" s="37"/>
      <c r="DF131" s="37"/>
      <c r="DG131" s="140"/>
      <c r="DH131" s="43"/>
      <c r="DI131" s="5"/>
      <c r="DJ131" s="5"/>
    </row>
    <row r="132" spans="1:114" ht="15" customHeight="1" x14ac:dyDescent="0.35">
      <c r="A132" s="9">
        <v>205763</v>
      </c>
      <c r="B132" s="9" t="s">
        <v>70</v>
      </c>
      <c r="C132" s="34" t="s">
        <v>597</v>
      </c>
      <c r="D132" s="5" t="s">
        <v>951</v>
      </c>
      <c r="E132" s="5" t="s">
        <v>625</v>
      </c>
      <c r="F132" s="6">
        <v>6763</v>
      </c>
      <c r="G132" s="145" t="s">
        <v>789</v>
      </c>
      <c r="H132" s="37">
        <v>5638935</v>
      </c>
      <c r="I132" s="37">
        <v>5461278</v>
      </c>
      <c r="J132" s="37"/>
      <c r="K132" s="37">
        <v>5461278</v>
      </c>
      <c r="L132" s="37">
        <f>I132-K132</f>
        <v>0</v>
      </c>
      <c r="M132" s="37"/>
      <c r="N132" s="37"/>
      <c r="O132" s="140">
        <v>0</v>
      </c>
      <c r="P132" s="43">
        <v>44567</v>
      </c>
      <c r="Q132" s="43" t="s">
        <v>284</v>
      </c>
      <c r="R132" s="42"/>
      <c r="S132" s="37">
        <v>5461278</v>
      </c>
      <c r="T132" s="39">
        <f t="shared" si="33"/>
        <v>0</v>
      </c>
      <c r="U132" s="5"/>
      <c r="V132" s="140">
        <v>0</v>
      </c>
      <c r="W132" s="43">
        <v>44594</v>
      </c>
      <c r="X132" s="5" t="s">
        <v>284</v>
      </c>
      <c r="Y132" s="42"/>
      <c r="Z132" s="5"/>
      <c r="AA132" s="38">
        <v>5461278</v>
      </c>
      <c r="AB132" s="38">
        <f t="shared" si="25"/>
        <v>0</v>
      </c>
      <c r="AC132" s="5"/>
      <c r="AD132" s="40">
        <v>0</v>
      </c>
      <c r="AE132" s="51">
        <v>44622</v>
      </c>
      <c r="AF132" s="5" t="s">
        <v>284</v>
      </c>
      <c r="AG132" s="42"/>
      <c r="AH132" s="140"/>
      <c r="AI132" s="37">
        <f>5461278+1243601</f>
        <v>6704879</v>
      </c>
      <c r="AJ132" s="37"/>
      <c r="AK132" s="37">
        <f>AA132-AI132</f>
        <v>-1243601</v>
      </c>
      <c r="AL132" s="37"/>
      <c r="AM132" s="140">
        <f>AK132/AA132</f>
        <v>-0.2277124511881651</v>
      </c>
      <c r="AN132" s="142">
        <v>44658</v>
      </c>
      <c r="AO132" s="5" t="s">
        <v>284</v>
      </c>
      <c r="AP132" s="5"/>
      <c r="AQ132" s="40"/>
      <c r="AR132" s="37">
        <v>5638935</v>
      </c>
      <c r="AS132" s="37"/>
      <c r="AT132" s="37">
        <f>AA132-AR132</f>
        <v>-177657</v>
      </c>
      <c r="AU132" s="37">
        <v>6704879</v>
      </c>
      <c r="AV132" s="140">
        <f>AT132/AA132</f>
        <v>-3.2530297853359598E-2</v>
      </c>
      <c r="AW132" s="43">
        <v>44692</v>
      </c>
      <c r="AX132" s="5" t="s">
        <v>284</v>
      </c>
      <c r="AY132" s="5"/>
      <c r="AZ132" s="140"/>
      <c r="BA132" s="37">
        <v>5638935</v>
      </c>
      <c r="BB132" s="37">
        <f t="shared" si="32"/>
        <v>0</v>
      </c>
      <c r="BC132" s="37"/>
      <c r="BD132" s="37"/>
      <c r="BE132" s="140">
        <v>0</v>
      </c>
      <c r="BF132" s="43">
        <v>44718</v>
      </c>
      <c r="BG132" s="5" t="s">
        <v>284</v>
      </c>
      <c r="BH132" s="43">
        <v>44728</v>
      </c>
      <c r="BI132" s="140"/>
      <c r="BJ132" s="37">
        <v>5638935</v>
      </c>
      <c r="BK132" s="37">
        <f t="shared" si="34"/>
        <v>0</v>
      </c>
      <c r="BL132" s="37"/>
      <c r="BM132" s="37"/>
      <c r="BN132" s="140">
        <v>0</v>
      </c>
      <c r="BO132" s="43">
        <v>44748</v>
      </c>
      <c r="BP132" s="5" t="s">
        <v>284</v>
      </c>
      <c r="BQ132" s="5"/>
      <c r="BR132" s="140"/>
      <c r="BS132" s="37">
        <v>5638935</v>
      </c>
      <c r="BT132" s="37">
        <f t="shared" si="35"/>
        <v>0</v>
      </c>
      <c r="BU132" s="37"/>
      <c r="BV132" s="37"/>
      <c r="BW132" s="140">
        <v>0</v>
      </c>
      <c r="BX132" s="43">
        <v>44775</v>
      </c>
      <c r="BY132" s="5" t="s">
        <v>284</v>
      </c>
      <c r="BZ132" s="5"/>
      <c r="CA132" s="140"/>
      <c r="CB132" s="37"/>
      <c r="CC132" s="37"/>
      <c r="CD132" s="37"/>
      <c r="CE132" s="37"/>
      <c r="CF132" s="140"/>
      <c r="CG132" s="43"/>
      <c r="CH132" s="5"/>
      <c r="CI132" s="5"/>
      <c r="CJ132" s="140"/>
      <c r="CK132" s="37"/>
      <c r="CL132" s="37"/>
      <c r="CM132" s="37"/>
      <c r="CN132" s="37"/>
      <c r="CO132" s="140"/>
      <c r="CP132" s="43"/>
      <c r="CQ132" s="5"/>
      <c r="CR132" s="5"/>
      <c r="CS132" s="37"/>
      <c r="CT132" s="37"/>
      <c r="CU132" s="37"/>
      <c r="CV132" s="37"/>
      <c r="CW132" s="37"/>
      <c r="CX132" s="37"/>
      <c r="CY132" s="37"/>
      <c r="CZ132" s="37"/>
      <c r="DA132" s="184"/>
      <c r="DB132" s="140"/>
      <c r="DC132" s="37"/>
      <c r="DD132" s="37"/>
      <c r="DE132" s="37"/>
      <c r="DF132" s="37"/>
      <c r="DG132" s="140"/>
      <c r="DH132" s="43"/>
      <c r="DI132" s="5"/>
      <c r="DJ132" s="5"/>
    </row>
    <row r="133" spans="1:114" ht="15" customHeight="1" x14ac:dyDescent="0.35">
      <c r="A133" s="9">
        <v>207634</v>
      </c>
      <c r="B133" s="9" t="s">
        <v>793</v>
      </c>
      <c r="C133" s="34" t="s">
        <v>601</v>
      </c>
      <c r="D133" s="5" t="s">
        <v>952</v>
      </c>
      <c r="E133" s="5" t="s">
        <v>777</v>
      </c>
      <c r="F133" s="6">
        <v>6764</v>
      </c>
      <c r="G133" s="145" t="s">
        <v>759</v>
      </c>
      <c r="H133" s="37">
        <v>4277887</v>
      </c>
      <c r="I133" s="37">
        <v>3974993</v>
      </c>
      <c r="J133" s="37"/>
      <c r="K133" s="37">
        <v>3974993</v>
      </c>
      <c r="L133" s="37">
        <f>I133-K133</f>
        <v>0</v>
      </c>
      <c r="M133" s="37"/>
      <c r="N133" s="37"/>
      <c r="O133" s="140">
        <v>0</v>
      </c>
      <c r="P133" s="142">
        <v>44564</v>
      </c>
      <c r="Q133" s="9" t="s">
        <v>284</v>
      </c>
      <c r="R133" s="42"/>
      <c r="S133" s="37">
        <v>4277887</v>
      </c>
      <c r="T133" s="39">
        <f t="shared" si="33"/>
        <v>-302894</v>
      </c>
      <c r="U133" s="5"/>
      <c r="V133" s="140">
        <f>T133/K133</f>
        <v>-7.6199882616145492E-2</v>
      </c>
      <c r="W133" s="43">
        <v>44595</v>
      </c>
      <c r="X133" s="5" t="s">
        <v>284</v>
      </c>
      <c r="Y133" s="42"/>
      <c r="Z133" s="5"/>
      <c r="AA133" s="38">
        <v>4277887</v>
      </c>
      <c r="AB133" s="38">
        <f t="shared" si="25"/>
        <v>0</v>
      </c>
      <c r="AC133" s="5"/>
      <c r="AD133" s="40">
        <v>0</v>
      </c>
      <c r="AE133" s="51">
        <v>44621</v>
      </c>
      <c r="AF133" s="5" t="s">
        <v>284</v>
      </c>
      <c r="AG133" s="42"/>
      <c r="AH133" s="144"/>
      <c r="AI133" s="37">
        <v>4277887</v>
      </c>
      <c r="AJ133" s="37">
        <f>AA133-AI133</f>
        <v>0</v>
      </c>
      <c r="AK133" s="37"/>
      <c r="AL133" s="37"/>
      <c r="AM133" s="140">
        <v>0</v>
      </c>
      <c r="AN133" s="43">
        <v>44655</v>
      </c>
      <c r="AO133" s="5" t="s">
        <v>284</v>
      </c>
      <c r="AP133" s="5"/>
      <c r="AQ133" s="40"/>
      <c r="AR133" s="37">
        <v>4277887</v>
      </c>
      <c r="AS133" s="37">
        <f>AI133-AR133</f>
        <v>0</v>
      </c>
      <c r="AT133" s="37"/>
      <c r="AU133" s="37"/>
      <c r="AV133" s="140">
        <v>0</v>
      </c>
      <c r="AW133" s="43">
        <v>44683</v>
      </c>
      <c r="AX133" s="5" t="s">
        <v>284</v>
      </c>
      <c r="AY133" s="5"/>
      <c r="AZ133" s="140"/>
      <c r="BA133" s="37">
        <v>4277887</v>
      </c>
      <c r="BB133" s="37">
        <f t="shared" si="32"/>
        <v>0</v>
      </c>
      <c r="BC133" s="37"/>
      <c r="BD133" s="37"/>
      <c r="BE133" s="140">
        <v>0</v>
      </c>
      <c r="BF133" s="43">
        <v>44713</v>
      </c>
      <c r="BG133" s="5" t="s">
        <v>284</v>
      </c>
      <c r="BH133" s="43">
        <v>44728</v>
      </c>
      <c r="BI133" s="140"/>
      <c r="BJ133" s="37">
        <v>4277887</v>
      </c>
      <c r="BK133" s="37">
        <f t="shared" si="34"/>
        <v>0</v>
      </c>
      <c r="BL133" s="37"/>
      <c r="BM133" s="37"/>
      <c r="BN133" s="140">
        <v>0</v>
      </c>
      <c r="BO133" s="43">
        <v>44743</v>
      </c>
      <c r="BP133" s="5" t="s">
        <v>284</v>
      </c>
      <c r="BQ133" s="43">
        <v>44757</v>
      </c>
      <c r="BR133" s="140"/>
      <c r="BS133" s="37">
        <v>4277887</v>
      </c>
      <c r="BT133" s="37">
        <f t="shared" si="35"/>
        <v>0</v>
      </c>
      <c r="BU133" s="37"/>
      <c r="BV133" s="37"/>
      <c r="BW133" s="140">
        <v>0</v>
      </c>
      <c r="BX133" s="43">
        <v>44774</v>
      </c>
      <c r="BY133" s="5" t="s">
        <v>284</v>
      </c>
      <c r="BZ133" s="5"/>
      <c r="CA133" s="140"/>
      <c r="CB133" s="37"/>
      <c r="CC133" s="37"/>
      <c r="CD133" s="37"/>
      <c r="CE133" s="37"/>
      <c r="CF133" s="140"/>
      <c r="CG133" s="43"/>
      <c r="CH133" s="5"/>
      <c r="CI133" s="5"/>
      <c r="CJ133" s="140"/>
      <c r="CK133" s="37"/>
      <c r="CL133" s="37"/>
      <c r="CM133" s="37"/>
      <c r="CN133" s="37"/>
      <c r="CO133" s="140"/>
      <c r="CP133" s="43"/>
      <c r="CQ133" s="5"/>
      <c r="CR133" s="5"/>
      <c r="CS133" s="37"/>
      <c r="CT133" s="37"/>
      <c r="CU133" s="37"/>
      <c r="CV133" s="37"/>
      <c r="CW133" s="37"/>
      <c r="CX133" s="37"/>
      <c r="CY133" s="183"/>
      <c r="CZ133" s="37"/>
      <c r="DA133" s="184"/>
      <c r="DB133" s="140"/>
      <c r="DC133" s="37"/>
      <c r="DD133" s="37"/>
      <c r="DE133" s="37"/>
      <c r="DF133" s="37"/>
      <c r="DG133" s="140"/>
      <c r="DH133" s="43"/>
      <c r="DI133" s="5"/>
      <c r="DJ133" s="5"/>
    </row>
    <row r="134" spans="1:114" ht="15" customHeight="1" x14ac:dyDescent="0.35">
      <c r="A134" s="9">
        <v>207634</v>
      </c>
      <c r="B134" s="9" t="s">
        <v>795</v>
      </c>
      <c r="C134" s="34" t="s">
        <v>605</v>
      </c>
      <c r="D134" s="5" t="s">
        <v>794</v>
      </c>
      <c r="E134" s="5" t="s">
        <v>625</v>
      </c>
      <c r="F134" s="6">
        <v>6766</v>
      </c>
      <c r="G134" s="145" t="s">
        <v>759</v>
      </c>
      <c r="H134" s="37">
        <v>24261280</v>
      </c>
      <c r="I134" s="37">
        <v>24261280</v>
      </c>
      <c r="J134" s="37"/>
      <c r="K134" s="37">
        <v>24261280</v>
      </c>
      <c r="L134" s="37">
        <f>H134-K134</f>
        <v>0</v>
      </c>
      <c r="M134" s="37"/>
      <c r="N134" s="37"/>
      <c r="O134" s="140">
        <v>0</v>
      </c>
      <c r="P134" s="142">
        <v>44564</v>
      </c>
      <c r="Q134" s="9" t="s">
        <v>284</v>
      </c>
      <c r="R134" s="42"/>
      <c r="S134" s="37">
        <v>24261280</v>
      </c>
      <c r="T134" s="39">
        <f t="shared" si="33"/>
        <v>0</v>
      </c>
      <c r="U134" s="5"/>
      <c r="V134" s="140">
        <v>0</v>
      </c>
      <c r="W134" s="43">
        <v>44595</v>
      </c>
      <c r="X134" s="5" t="s">
        <v>284</v>
      </c>
      <c r="Y134" s="42"/>
      <c r="Z134" s="5"/>
      <c r="AA134" s="38">
        <v>24261280</v>
      </c>
      <c r="AB134" s="38">
        <f t="shared" si="25"/>
        <v>0</v>
      </c>
      <c r="AC134" s="5"/>
      <c r="AD134" s="40">
        <v>0</v>
      </c>
      <c r="AE134" s="51">
        <v>44621</v>
      </c>
      <c r="AF134" s="5" t="s">
        <v>284</v>
      </c>
      <c r="AG134" s="42"/>
      <c r="AH134" s="144"/>
      <c r="AI134" s="37">
        <v>24261280</v>
      </c>
      <c r="AJ134" s="37">
        <f>AA134-AI134</f>
        <v>0</v>
      </c>
      <c r="AK134" s="37"/>
      <c r="AL134" s="37"/>
      <c r="AM134" s="140">
        <v>0</v>
      </c>
      <c r="AN134" s="43">
        <v>44655</v>
      </c>
      <c r="AO134" s="5" t="s">
        <v>284</v>
      </c>
      <c r="AP134" s="5"/>
      <c r="AQ134" s="40"/>
      <c r="AR134" s="37">
        <v>24261280</v>
      </c>
      <c r="AS134" s="37">
        <f>AI134-AR134</f>
        <v>0</v>
      </c>
      <c r="AT134" s="37"/>
      <c r="AU134" s="37"/>
      <c r="AV134" s="140">
        <v>0</v>
      </c>
      <c r="AW134" s="43">
        <v>44683</v>
      </c>
      <c r="AX134" s="5" t="s">
        <v>284</v>
      </c>
      <c r="AY134" s="5"/>
      <c r="AZ134" s="140"/>
      <c r="BA134" s="37">
        <v>24261280</v>
      </c>
      <c r="BB134" s="37">
        <f t="shared" si="32"/>
        <v>0</v>
      </c>
      <c r="BC134" s="37"/>
      <c r="BD134" s="37"/>
      <c r="BE134" s="140">
        <v>0</v>
      </c>
      <c r="BF134" s="43">
        <v>44713</v>
      </c>
      <c r="BG134" s="5" t="s">
        <v>284</v>
      </c>
      <c r="BH134" s="43">
        <v>44728</v>
      </c>
      <c r="BI134" s="140"/>
      <c r="BJ134" s="37">
        <v>24261280</v>
      </c>
      <c r="BK134" s="37">
        <f t="shared" si="34"/>
        <v>0</v>
      </c>
      <c r="BL134" s="37"/>
      <c r="BM134" s="37"/>
      <c r="BN134" s="140">
        <v>0</v>
      </c>
      <c r="BO134" s="43">
        <v>44743</v>
      </c>
      <c r="BP134" s="5" t="s">
        <v>284</v>
      </c>
      <c r="BQ134" s="43">
        <v>44757</v>
      </c>
      <c r="BR134" s="140"/>
      <c r="BS134" s="37">
        <v>24261280</v>
      </c>
      <c r="BT134" s="37">
        <f t="shared" si="35"/>
        <v>0</v>
      </c>
      <c r="BU134" s="37"/>
      <c r="BV134" s="37"/>
      <c r="BW134" s="140">
        <v>0</v>
      </c>
      <c r="BX134" s="43">
        <v>44774</v>
      </c>
      <c r="BY134" s="5" t="s">
        <v>284</v>
      </c>
      <c r="BZ134" s="5"/>
      <c r="CA134" s="140"/>
      <c r="CB134" s="37"/>
      <c r="CC134" s="37"/>
      <c r="CD134" s="37"/>
      <c r="CE134" s="37"/>
      <c r="CF134" s="140"/>
      <c r="CG134" s="43"/>
      <c r="CH134" s="5"/>
      <c r="CI134" s="5"/>
      <c r="CJ134" s="140"/>
      <c r="CK134" s="37"/>
      <c r="CL134" s="37"/>
      <c r="CM134" s="37"/>
      <c r="CN134" s="37"/>
      <c r="CO134" s="140"/>
      <c r="CP134" s="43"/>
      <c r="CQ134" s="5"/>
      <c r="CR134" s="5"/>
      <c r="CS134" s="37"/>
      <c r="CT134" s="37"/>
      <c r="CU134" s="37"/>
      <c r="CV134" s="37"/>
      <c r="CW134" s="37"/>
      <c r="CX134" s="37"/>
      <c r="CY134" s="183"/>
      <c r="CZ134" s="37"/>
      <c r="DA134" s="184"/>
      <c r="DB134" s="140"/>
      <c r="DC134" s="37"/>
      <c r="DD134" s="37"/>
      <c r="DE134" s="37"/>
      <c r="DF134" s="37"/>
      <c r="DG134" s="140"/>
      <c r="DH134" s="43"/>
      <c r="DI134" s="5"/>
      <c r="DJ134" s="5"/>
    </row>
    <row r="135" spans="1:114" ht="15" customHeight="1" x14ac:dyDescent="0.35">
      <c r="A135" s="9">
        <v>332321</v>
      </c>
      <c r="B135" s="9" t="s">
        <v>644</v>
      </c>
      <c r="C135" s="34" t="s">
        <v>607</v>
      </c>
      <c r="D135" s="5" t="s">
        <v>642</v>
      </c>
      <c r="E135" s="5" t="s">
        <v>643</v>
      </c>
      <c r="F135" s="5" t="s">
        <v>222</v>
      </c>
      <c r="G135" s="145" t="s">
        <v>645</v>
      </c>
      <c r="H135" s="37">
        <v>10969386</v>
      </c>
      <c r="I135" s="37">
        <v>10192702</v>
      </c>
      <c r="J135" s="37"/>
      <c r="K135" s="37">
        <v>10192702</v>
      </c>
      <c r="L135" s="37">
        <f>I135-K135</f>
        <v>0</v>
      </c>
      <c r="M135" s="37"/>
      <c r="N135" s="37"/>
      <c r="O135" s="140">
        <v>0</v>
      </c>
      <c r="P135" s="43">
        <v>44574</v>
      </c>
      <c r="Q135" s="5" t="s">
        <v>284</v>
      </c>
      <c r="R135" s="42"/>
      <c r="S135" s="37">
        <v>10192702</v>
      </c>
      <c r="T135" s="39">
        <f>K135-S135</f>
        <v>0</v>
      </c>
      <c r="U135" s="5"/>
      <c r="V135" s="140">
        <v>0</v>
      </c>
      <c r="W135" s="142">
        <v>44600</v>
      </c>
      <c r="X135" s="5" t="s">
        <v>284</v>
      </c>
      <c r="Y135" s="42"/>
      <c r="Z135" s="5"/>
      <c r="AA135" s="38">
        <v>10192702</v>
      </c>
      <c r="AB135" s="38">
        <f t="shared" si="25"/>
        <v>0</v>
      </c>
      <c r="AC135" s="5"/>
      <c r="AD135" s="40">
        <v>0</v>
      </c>
      <c r="AE135" s="43">
        <v>44624</v>
      </c>
      <c r="AF135" s="5" t="s">
        <v>284</v>
      </c>
      <c r="AG135" s="42"/>
      <c r="AH135" s="140"/>
      <c r="AI135" s="37">
        <v>10192702</v>
      </c>
      <c r="AJ135" s="37">
        <f>AA135-AI135</f>
        <v>0</v>
      </c>
      <c r="AK135" s="37"/>
      <c r="AL135" s="37"/>
      <c r="AM135" s="140">
        <v>0</v>
      </c>
      <c r="AN135" s="43">
        <v>44657</v>
      </c>
      <c r="AO135" s="5" t="s">
        <v>284</v>
      </c>
      <c r="AP135" s="5"/>
      <c r="AQ135" s="40"/>
      <c r="AR135" s="37">
        <v>10969386</v>
      </c>
      <c r="AS135" s="37"/>
      <c r="AT135" s="37">
        <f>AI135-AR135</f>
        <v>-776684</v>
      </c>
      <c r="AU135" s="37"/>
      <c r="AV135" s="140">
        <f>AT135/AI135</f>
        <v>-7.6200010556572731E-2</v>
      </c>
      <c r="AW135" s="43">
        <v>44693</v>
      </c>
      <c r="AX135" s="5" t="s">
        <v>284</v>
      </c>
      <c r="AY135" s="5"/>
      <c r="AZ135" s="140"/>
      <c r="BA135" s="37">
        <v>10969386</v>
      </c>
      <c r="BB135" s="37">
        <f>AR135-BA135</f>
        <v>0</v>
      </c>
      <c r="BC135" s="37"/>
      <c r="BD135" s="37"/>
      <c r="BE135" s="140">
        <v>0</v>
      </c>
      <c r="BF135" s="43">
        <v>44721</v>
      </c>
      <c r="BG135" s="5" t="s">
        <v>284</v>
      </c>
      <c r="BH135" s="43">
        <v>44728</v>
      </c>
      <c r="BI135" s="140"/>
      <c r="BJ135" s="37">
        <v>10969386</v>
      </c>
      <c r="BK135" s="37">
        <f t="shared" si="34"/>
        <v>0</v>
      </c>
      <c r="BL135" s="37"/>
      <c r="BM135" s="37"/>
      <c r="BN135" s="140">
        <v>0</v>
      </c>
      <c r="BO135" s="43">
        <v>44743</v>
      </c>
      <c r="BP135" s="5" t="s">
        <v>284</v>
      </c>
      <c r="BQ135" s="43">
        <v>44757</v>
      </c>
      <c r="BR135" s="140"/>
      <c r="BS135" s="37">
        <v>10969386</v>
      </c>
      <c r="BT135" s="37">
        <f t="shared" si="35"/>
        <v>0</v>
      </c>
      <c r="BU135" s="37"/>
      <c r="BV135" s="37"/>
      <c r="BW135" s="140">
        <v>0</v>
      </c>
      <c r="BX135" s="43">
        <v>44781</v>
      </c>
      <c r="BY135" s="5" t="s">
        <v>284</v>
      </c>
      <c r="BZ135" s="5"/>
      <c r="CA135" s="140"/>
      <c r="CB135" s="37"/>
      <c r="CC135" s="37"/>
      <c r="CD135" s="37"/>
      <c r="CE135" s="37"/>
      <c r="CF135" s="140"/>
      <c r="CG135" s="43"/>
      <c r="CH135" s="5"/>
      <c r="CI135" s="5"/>
      <c r="CJ135" s="140"/>
      <c r="CK135" s="37"/>
      <c r="CL135" s="37"/>
      <c r="CM135" s="37"/>
      <c r="CN135" s="37"/>
      <c r="CO135" s="140"/>
      <c r="CP135" s="43"/>
      <c r="CQ135" s="5"/>
      <c r="CR135" s="5"/>
      <c r="CS135" s="37"/>
      <c r="CT135" s="37"/>
      <c r="CU135" s="37"/>
      <c r="CV135" s="37"/>
      <c r="CW135" s="37"/>
      <c r="CX135" s="37"/>
      <c r="CY135" s="37"/>
      <c r="CZ135" s="37"/>
      <c r="DA135" s="184"/>
      <c r="DB135" s="140"/>
      <c r="DC135" s="37"/>
      <c r="DD135" s="37"/>
      <c r="DE135" s="37"/>
      <c r="DF135" s="37"/>
      <c r="DG135" s="140"/>
      <c r="DH135" s="43"/>
      <c r="DI135" s="5"/>
      <c r="DJ135" s="5"/>
    </row>
    <row r="136" spans="1:114" x14ac:dyDescent="0.35">
      <c r="A136" s="9">
        <v>214089</v>
      </c>
      <c r="B136" s="9" t="s">
        <v>332</v>
      </c>
      <c r="C136" s="34" t="s">
        <v>473</v>
      </c>
      <c r="D136" s="5" t="s">
        <v>850</v>
      </c>
      <c r="E136" s="5" t="s">
        <v>677</v>
      </c>
      <c r="F136" s="6" t="s">
        <v>873</v>
      </c>
      <c r="G136" s="145" t="s">
        <v>36</v>
      </c>
      <c r="H136" s="589" t="s">
        <v>873</v>
      </c>
      <c r="I136" s="590"/>
      <c r="J136" s="37"/>
      <c r="K136" s="37">
        <v>4350201</v>
      </c>
      <c r="L136" s="37">
        <v>0</v>
      </c>
      <c r="M136" s="37"/>
      <c r="N136" s="37"/>
      <c r="O136" s="140">
        <v>0</v>
      </c>
      <c r="P136" s="43">
        <v>44578</v>
      </c>
      <c r="Q136" s="9" t="s">
        <v>284</v>
      </c>
      <c r="R136" s="5"/>
      <c r="S136" s="597" t="s">
        <v>875</v>
      </c>
      <c r="T136" s="598"/>
      <c r="U136" s="598"/>
      <c r="V136" s="598"/>
      <c r="W136" s="598"/>
      <c r="X136" s="598"/>
      <c r="Y136" s="599"/>
      <c r="Z136" s="597" t="s">
        <v>875</v>
      </c>
      <c r="AA136" s="598"/>
      <c r="AB136" s="598"/>
      <c r="AC136" s="598"/>
      <c r="AD136" s="598"/>
      <c r="AE136" s="598"/>
      <c r="AF136" s="598"/>
      <c r="AG136" s="599"/>
      <c r="AH136" s="597" t="s">
        <v>875</v>
      </c>
      <c r="AI136" s="598"/>
      <c r="AJ136" s="598"/>
      <c r="AK136" s="598"/>
      <c r="AL136" s="598"/>
      <c r="AM136" s="598"/>
      <c r="AN136" s="598"/>
      <c r="AO136" s="598"/>
      <c r="AP136" s="599"/>
      <c r="AQ136" s="591" t="s">
        <v>893</v>
      </c>
      <c r="AR136" s="592"/>
      <c r="AS136" s="592"/>
      <c r="AT136" s="592"/>
      <c r="AU136" s="592"/>
      <c r="AV136" s="592"/>
      <c r="AW136" s="592"/>
      <c r="AX136" s="592"/>
      <c r="AY136" s="593"/>
      <c r="AZ136" s="591" t="s">
        <v>874</v>
      </c>
      <c r="BA136" s="592"/>
      <c r="BB136" s="592"/>
      <c r="BC136" s="592"/>
      <c r="BD136" s="592"/>
      <c r="BE136" s="592"/>
      <c r="BF136" s="592"/>
      <c r="BG136" s="592"/>
      <c r="BH136" s="593"/>
      <c r="BI136" s="597"/>
      <c r="BJ136" s="598"/>
      <c r="BK136" s="598"/>
      <c r="BL136" s="598"/>
      <c r="BM136" s="598"/>
      <c r="BN136" s="598"/>
      <c r="BO136" s="598"/>
      <c r="BP136" s="598"/>
      <c r="BQ136" s="599"/>
      <c r="BR136" s="597"/>
      <c r="BS136" s="598"/>
      <c r="BT136" s="598"/>
      <c r="BU136" s="598"/>
      <c r="BV136" s="598"/>
      <c r="BW136" s="598"/>
      <c r="BX136" s="598"/>
      <c r="BY136" s="598"/>
      <c r="BZ136" s="599"/>
      <c r="CA136" s="140"/>
      <c r="CB136" s="37"/>
      <c r="CC136" s="37"/>
      <c r="CD136" s="37"/>
      <c r="CE136" s="37"/>
      <c r="CF136" s="140"/>
      <c r="CG136" s="43"/>
      <c r="CH136" s="5"/>
      <c r="CI136" s="5"/>
      <c r="CJ136" s="591"/>
      <c r="CK136" s="592"/>
      <c r="CL136" s="592"/>
      <c r="CM136" s="592"/>
      <c r="CN136" s="592"/>
      <c r="CO136" s="592"/>
      <c r="CP136" s="592"/>
      <c r="CQ136" s="592"/>
      <c r="CR136" s="593"/>
      <c r="CS136" s="591"/>
      <c r="CT136" s="592"/>
      <c r="CU136" s="592"/>
      <c r="CV136" s="592"/>
      <c r="CW136" s="592"/>
      <c r="CX136" s="592"/>
      <c r="CY136" s="592"/>
      <c r="CZ136" s="592"/>
      <c r="DA136" s="593"/>
      <c r="DB136" s="140"/>
      <c r="DC136" s="37"/>
      <c r="DD136" s="37"/>
      <c r="DE136" s="37"/>
      <c r="DF136" s="37"/>
      <c r="DG136" s="140"/>
      <c r="DH136" s="43"/>
      <c r="DI136" s="5"/>
      <c r="DJ136" s="5"/>
    </row>
    <row r="137" spans="1:114" x14ac:dyDescent="0.35">
      <c r="A137" s="9">
        <v>204942</v>
      </c>
      <c r="B137" s="9" t="s">
        <v>63</v>
      </c>
      <c r="C137" s="34" t="s">
        <v>550</v>
      </c>
      <c r="D137" s="5" t="s">
        <v>936</v>
      </c>
      <c r="E137" s="5" t="s">
        <v>699</v>
      </c>
      <c r="F137" s="6" t="s">
        <v>873</v>
      </c>
      <c r="G137" s="145">
        <v>8050305871</v>
      </c>
      <c r="H137" s="37"/>
      <c r="I137" s="37"/>
      <c r="J137" s="57"/>
      <c r="K137" s="57">
        <v>530915</v>
      </c>
      <c r="L137" s="57">
        <v>0</v>
      </c>
      <c r="M137" s="57"/>
      <c r="N137" s="57"/>
      <c r="O137" s="67">
        <v>0</v>
      </c>
      <c r="P137" s="58">
        <v>44783</v>
      </c>
      <c r="Q137" s="57" t="s">
        <v>284</v>
      </c>
      <c r="R137" s="57"/>
      <c r="S137" s="597" t="s">
        <v>875</v>
      </c>
      <c r="T137" s="598"/>
      <c r="U137" s="598"/>
      <c r="V137" s="598"/>
      <c r="W137" s="598"/>
      <c r="X137" s="598"/>
      <c r="Y137" s="599"/>
      <c r="Z137" s="5"/>
      <c r="AA137" s="38">
        <f>724004+2328645</f>
        <v>3052649</v>
      </c>
      <c r="AB137" s="38">
        <v>0</v>
      </c>
      <c r="AC137" s="5"/>
      <c r="AD137" s="40">
        <v>0</v>
      </c>
      <c r="AE137" s="142">
        <v>44700</v>
      </c>
      <c r="AF137" s="5" t="s">
        <v>284</v>
      </c>
      <c r="AG137" s="42"/>
      <c r="AH137" s="144"/>
      <c r="AI137" s="37">
        <v>111761</v>
      </c>
      <c r="AJ137" s="37">
        <v>0</v>
      </c>
      <c r="AK137" s="37"/>
      <c r="AL137" s="37"/>
      <c r="AM137" s="140">
        <v>0</v>
      </c>
      <c r="AN137" s="43">
        <v>44671</v>
      </c>
      <c r="AO137" s="5" t="s">
        <v>284</v>
      </c>
      <c r="AP137" s="5"/>
      <c r="AQ137" s="591" t="s">
        <v>893</v>
      </c>
      <c r="AR137" s="592"/>
      <c r="AS137" s="592"/>
      <c r="AT137" s="592"/>
      <c r="AU137" s="592"/>
      <c r="AV137" s="592"/>
      <c r="AW137" s="592"/>
      <c r="AX137" s="592"/>
      <c r="AY137" s="593"/>
      <c r="AZ137" s="591" t="s">
        <v>874</v>
      </c>
      <c r="BA137" s="592"/>
      <c r="BB137" s="592"/>
      <c r="BC137" s="592"/>
      <c r="BD137" s="592"/>
      <c r="BE137" s="592"/>
      <c r="BF137" s="592"/>
      <c r="BG137" s="592"/>
      <c r="BH137" s="593"/>
      <c r="BI137" s="591" t="s">
        <v>874</v>
      </c>
      <c r="BJ137" s="592"/>
      <c r="BK137" s="592"/>
      <c r="BL137" s="592"/>
      <c r="BM137" s="592"/>
      <c r="BN137" s="592"/>
      <c r="BO137" s="592"/>
      <c r="BP137" s="592"/>
      <c r="BQ137" s="593"/>
      <c r="BR137" s="140"/>
      <c r="BS137" s="37">
        <v>1305860</v>
      </c>
      <c r="BT137" s="37">
        <v>0</v>
      </c>
      <c r="BU137" s="37"/>
      <c r="BV137" s="37"/>
      <c r="BW137" s="140">
        <v>0</v>
      </c>
      <c r="BX137" s="43">
        <v>44791</v>
      </c>
      <c r="BY137" s="5" t="s">
        <v>284</v>
      </c>
      <c r="BZ137" s="5"/>
      <c r="CA137" s="140"/>
      <c r="CB137" s="37"/>
      <c r="CC137" s="37"/>
      <c r="CD137" s="37"/>
      <c r="CE137" s="37"/>
      <c r="CF137" s="140"/>
      <c r="CG137" s="43"/>
      <c r="CH137" s="5"/>
      <c r="CI137" s="5"/>
      <c r="CJ137" s="591"/>
      <c r="CK137" s="592"/>
      <c r="CL137" s="592"/>
      <c r="CM137" s="592"/>
      <c r="CN137" s="592"/>
      <c r="CO137" s="592"/>
      <c r="CP137" s="592"/>
      <c r="CQ137" s="592"/>
      <c r="CR137" s="593"/>
      <c r="CS137" s="591"/>
      <c r="CT137" s="592"/>
      <c r="CU137" s="592"/>
      <c r="CV137" s="592"/>
      <c r="CW137" s="592"/>
      <c r="CX137" s="592"/>
      <c r="CY137" s="592"/>
      <c r="CZ137" s="592"/>
      <c r="DA137" s="593"/>
      <c r="DB137" s="140"/>
      <c r="DC137" s="37"/>
      <c r="DD137" s="37"/>
      <c r="DE137" s="37"/>
      <c r="DF137" s="37"/>
      <c r="DG137" s="140"/>
      <c r="DH137" s="43"/>
      <c r="DI137" s="5"/>
      <c r="DJ137" s="5"/>
    </row>
    <row r="138" spans="1:114" x14ac:dyDescent="0.35">
      <c r="A138" s="9">
        <v>211510</v>
      </c>
      <c r="B138" s="9" t="s">
        <v>655</v>
      </c>
      <c r="C138" s="34" t="s">
        <v>653</v>
      </c>
      <c r="D138" s="5" t="s">
        <v>654</v>
      </c>
      <c r="E138" s="5" t="s">
        <v>625</v>
      </c>
      <c r="F138" s="6" t="s">
        <v>873</v>
      </c>
      <c r="G138" s="148">
        <v>900536058</v>
      </c>
      <c r="H138" s="589" t="s">
        <v>873</v>
      </c>
      <c r="I138" s="590"/>
      <c r="J138" s="37"/>
      <c r="K138" s="37">
        <v>9887469</v>
      </c>
      <c r="L138" s="37">
        <v>0</v>
      </c>
      <c r="M138" s="37"/>
      <c r="N138" s="37"/>
      <c r="O138" s="140">
        <v>0</v>
      </c>
      <c r="P138" s="142">
        <v>44579</v>
      </c>
      <c r="Q138" s="9" t="s">
        <v>284</v>
      </c>
      <c r="R138" s="42"/>
      <c r="S138" s="37">
        <v>1542007</v>
      </c>
      <c r="T138" s="39">
        <v>0</v>
      </c>
      <c r="U138" s="5"/>
      <c r="V138" s="140">
        <v>0</v>
      </c>
      <c r="W138" s="142">
        <v>44600</v>
      </c>
      <c r="X138" s="5" t="s">
        <v>284</v>
      </c>
      <c r="Y138" s="42"/>
      <c r="Z138" s="597" t="s">
        <v>875</v>
      </c>
      <c r="AA138" s="598"/>
      <c r="AB138" s="598"/>
      <c r="AC138" s="598"/>
      <c r="AD138" s="598"/>
      <c r="AE138" s="598"/>
      <c r="AF138" s="598"/>
      <c r="AG138" s="599"/>
      <c r="AH138" s="597" t="s">
        <v>875</v>
      </c>
      <c r="AI138" s="598"/>
      <c r="AJ138" s="598"/>
      <c r="AK138" s="598"/>
      <c r="AL138" s="598"/>
      <c r="AM138" s="598"/>
      <c r="AN138" s="598"/>
      <c r="AO138" s="598"/>
      <c r="AP138" s="599"/>
      <c r="AQ138" s="591" t="s">
        <v>893</v>
      </c>
      <c r="AR138" s="592"/>
      <c r="AS138" s="592"/>
      <c r="AT138" s="592"/>
      <c r="AU138" s="592"/>
      <c r="AV138" s="592"/>
      <c r="AW138" s="592"/>
      <c r="AX138" s="592"/>
      <c r="AY138" s="593"/>
      <c r="AZ138" s="140"/>
      <c r="BA138" s="37">
        <v>648435</v>
      </c>
      <c r="BB138" s="37">
        <v>0</v>
      </c>
      <c r="BC138" s="37"/>
      <c r="BD138" s="37"/>
      <c r="BE138" s="140">
        <v>0</v>
      </c>
      <c r="BF138" s="43">
        <v>44727</v>
      </c>
      <c r="BG138" s="5" t="s">
        <v>284</v>
      </c>
      <c r="BH138" s="43">
        <v>44754</v>
      </c>
      <c r="BI138" s="140"/>
      <c r="BJ138" s="37">
        <v>557704</v>
      </c>
      <c r="BK138" s="37">
        <v>0</v>
      </c>
      <c r="BL138" s="37"/>
      <c r="BM138" s="37"/>
      <c r="BN138" s="140">
        <v>0</v>
      </c>
      <c r="BO138" s="43">
        <v>44753</v>
      </c>
      <c r="BP138" s="5" t="s">
        <v>284</v>
      </c>
      <c r="BQ138" s="43">
        <v>44757</v>
      </c>
      <c r="BR138" s="140"/>
      <c r="BS138" s="37">
        <v>851251</v>
      </c>
      <c r="BT138" s="37">
        <v>0</v>
      </c>
      <c r="BU138" s="37"/>
      <c r="BV138" s="37"/>
      <c r="BW138" s="140">
        <v>0</v>
      </c>
      <c r="BX138" s="43">
        <v>44789</v>
      </c>
      <c r="BY138" s="5" t="s">
        <v>284</v>
      </c>
      <c r="BZ138" s="5"/>
      <c r="CA138" s="594"/>
      <c r="CB138" s="595"/>
      <c r="CC138" s="595"/>
      <c r="CD138" s="595"/>
      <c r="CE138" s="595"/>
      <c r="CF138" s="595"/>
      <c r="CG138" s="595"/>
      <c r="CH138" s="595"/>
      <c r="CI138" s="596"/>
      <c r="CJ138" s="140"/>
      <c r="CK138" s="37"/>
      <c r="CL138" s="37"/>
      <c r="CM138" s="37"/>
      <c r="CN138" s="37"/>
      <c r="CO138" s="140"/>
      <c r="CP138" s="43"/>
      <c r="CQ138" s="5"/>
      <c r="CR138" s="5"/>
      <c r="CS138" s="591"/>
      <c r="CT138" s="592"/>
      <c r="CU138" s="592"/>
      <c r="CV138" s="592"/>
      <c r="CW138" s="592"/>
      <c r="CX138" s="592"/>
      <c r="CY138" s="592"/>
      <c r="CZ138" s="592"/>
      <c r="DA138" s="593"/>
      <c r="DB138" s="140"/>
      <c r="DC138" s="37"/>
      <c r="DD138" s="37"/>
      <c r="DE138" s="37"/>
      <c r="DF138" s="37"/>
      <c r="DG138" s="140"/>
      <c r="DH138" s="43"/>
      <c r="DI138" s="5"/>
      <c r="DJ138" s="5"/>
    </row>
    <row r="139" spans="1:114" x14ac:dyDescent="0.35">
      <c r="A139" s="9">
        <v>289666</v>
      </c>
      <c r="B139" s="9" t="s">
        <v>630</v>
      </c>
      <c r="C139" s="34" t="s">
        <v>882</v>
      </c>
      <c r="D139" s="5" t="s">
        <v>659</v>
      </c>
      <c r="E139" s="47" t="s">
        <v>625</v>
      </c>
      <c r="F139" s="6" t="s">
        <v>873</v>
      </c>
      <c r="G139" s="145" t="s">
        <v>631</v>
      </c>
      <c r="H139" s="589" t="s">
        <v>873</v>
      </c>
      <c r="I139" s="590"/>
      <c r="J139" s="37"/>
      <c r="K139" s="37">
        <v>4408322</v>
      </c>
      <c r="L139" s="37">
        <v>0</v>
      </c>
      <c r="M139" s="37"/>
      <c r="N139" s="37"/>
      <c r="O139" s="140">
        <v>0</v>
      </c>
      <c r="P139" s="142">
        <v>44581</v>
      </c>
      <c r="Q139" s="5" t="s">
        <v>284</v>
      </c>
      <c r="R139" s="42"/>
      <c r="S139" s="597" t="s">
        <v>875</v>
      </c>
      <c r="T139" s="598"/>
      <c r="U139" s="598"/>
      <c r="V139" s="598"/>
      <c r="W139" s="598"/>
      <c r="X139" s="598"/>
      <c r="Y139" s="599"/>
      <c r="Z139" s="597" t="s">
        <v>875</v>
      </c>
      <c r="AA139" s="598"/>
      <c r="AB139" s="598"/>
      <c r="AC139" s="598"/>
      <c r="AD139" s="598"/>
      <c r="AE139" s="598"/>
      <c r="AF139" s="598"/>
      <c r="AG139" s="599"/>
      <c r="AH139" s="597" t="s">
        <v>875</v>
      </c>
      <c r="AI139" s="598"/>
      <c r="AJ139" s="598"/>
      <c r="AK139" s="598"/>
      <c r="AL139" s="598"/>
      <c r="AM139" s="598"/>
      <c r="AN139" s="598"/>
      <c r="AO139" s="598"/>
      <c r="AP139" s="599"/>
      <c r="AQ139" s="591" t="s">
        <v>893</v>
      </c>
      <c r="AR139" s="592"/>
      <c r="AS139" s="592"/>
      <c r="AT139" s="592"/>
      <c r="AU139" s="592"/>
      <c r="AV139" s="592"/>
      <c r="AW139" s="592"/>
      <c r="AX139" s="592"/>
      <c r="AY139" s="593"/>
      <c r="AZ139" s="591" t="s">
        <v>874</v>
      </c>
      <c r="BA139" s="592"/>
      <c r="BB139" s="592"/>
      <c r="BC139" s="592"/>
      <c r="BD139" s="592"/>
      <c r="BE139" s="592"/>
      <c r="BF139" s="592"/>
      <c r="BG139" s="592"/>
      <c r="BH139" s="593"/>
      <c r="BI139" s="591" t="s">
        <v>874</v>
      </c>
      <c r="BJ139" s="592"/>
      <c r="BK139" s="592"/>
      <c r="BL139" s="592"/>
      <c r="BM139" s="592"/>
      <c r="BN139" s="592"/>
      <c r="BO139" s="592"/>
      <c r="BP139" s="592"/>
      <c r="BQ139" s="593"/>
      <c r="BR139" s="140"/>
      <c r="BS139" s="37"/>
      <c r="BT139" s="37"/>
      <c r="BU139" s="37"/>
      <c r="BV139" s="37"/>
      <c r="BW139" s="140"/>
      <c r="BX139" s="43"/>
      <c r="BY139" s="5"/>
      <c r="BZ139" s="5"/>
      <c r="CA139" s="140"/>
      <c r="CB139" s="37"/>
      <c r="CC139" s="37"/>
      <c r="CD139" s="37"/>
      <c r="CE139" s="37"/>
      <c r="CF139" s="140"/>
      <c r="CG139" s="43"/>
      <c r="CH139" s="5"/>
      <c r="CI139" s="5"/>
      <c r="CJ139" s="140"/>
      <c r="CK139" s="37"/>
      <c r="CL139" s="37"/>
      <c r="CM139" s="37"/>
      <c r="CN139" s="37"/>
      <c r="CO139" s="140"/>
      <c r="CP139" s="43"/>
      <c r="CQ139" s="5"/>
      <c r="CR139" s="5"/>
      <c r="CS139" s="140"/>
      <c r="CT139" s="37"/>
      <c r="CU139" s="37"/>
      <c r="CV139" s="37"/>
      <c r="CW139" s="37"/>
      <c r="CX139" s="140"/>
      <c r="CY139" s="43"/>
      <c r="CZ139" s="5"/>
      <c r="DA139" s="143"/>
      <c r="DB139" s="140"/>
      <c r="DC139" s="37"/>
      <c r="DD139" s="37"/>
      <c r="DE139" s="37"/>
      <c r="DF139" s="37"/>
      <c r="DG139" s="140"/>
      <c r="DH139" s="43"/>
      <c r="DI139" s="5"/>
      <c r="DJ139" s="5"/>
    </row>
    <row r="140" spans="1:114" x14ac:dyDescent="0.35">
      <c r="A140" s="9">
        <v>231460</v>
      </c>
      <c r="B140" s="9" t="s">
        <v>69</v>
      </c>
      <c r="C140" s="34" t="s">
        <v>423</v>
      </c>
      <c r="D140" s="5" t="s">
        <v>829</v>
      </c>
      <c r="E140" s="5" t="s">
        <v>635</v>
      </c>
      <c r="F140" s="6" t="s">
        <v>873</v>
      </c>
      <c r="G140" s="145">
        <v>9006121181</v>
      </c>
      <c r="H140" s="589" t="s">
        <v>873</v>
      </c>
      <c r="I140" s="590"/>
      <c r="J140" s="37"/>
      <c r="K140" s="37">
        <v>49605</v>
      </c>
      <c r="L140" s="37">
        <v>0</v>
      </c>
      <c r="M140" s="37"/>
      <c r="N140" s="37"/>
      <c r="O140" s="140">
        <v>0</v>
      </c>
      <c r="P140" s="43">
        <v>44567</v>
      </c>
      <c r="Q140" s="43" t="s">
        <v>284</v>
      </c>
      <c r="R140" s="42"/>
      <c r="S140" s="597" t="s">
        <v>875</v>
      </c>
      <c r="T140" s="598"/>
      <c r="U140" s="598"/>
      <c r="V140" s="598"/>
      <c r="W140" s="598"/>
      <c r="X140" s="598"/>
      <c r="Y140" s="599"/>
      <c r="Z140" s="597" t="s">
        <v>875</v>
      </c>
      <c r="AA140" s="598"/>
      <c r="AB140" s="598"/>
      <c r="AC140" s="598"/>
      <c r="AD140" s="598"/>
      <c r="AE140" s="598"/>
      <c r="AF140" s="598"/>
      <c r="AG140" s="599"/>
      <c r="AH140" s="597" t="s">
        <v>875</v>
      </c>
      <c r="AI140" s="598"/>
      <c r="AJ140" s="598"/>
      <c r="AK140" s="598"/>
      <c r="AL140" s="598"/>
      <c r="AM140" s="598"/>
      <c r="AN140" s="598"/>
      <c r="AO140" s="598"/>
      <c r="AP140" s="599"/>
      <c r="AQ140" s="591" t="s">
        <v>893</v>
      </c>
      <c r="AR140" s="592"/>
      <c r="AS140" s="592"/>
      <c r="AT140" s="592"/>
      <c r="AU140" s="592"/>
      <c r="AV140" s="592"/>
      <c r="AW140" s="592"/>
      <c r="AX140" s="592"/>
      <c r="AY140" s="593"/>
      <c r="AZ140" s="591" t="s">
        <v>874</v>
      </c>
      <c r="BA140" s="592"/>
      <c r="BB140" s="592"/>
      <c r="BC140" s="592"/>
      <c r="BD140" s="592"/>
      <c r="BE140" s="592"/>
      <c r="BF140" s="592"/>
      <c r="BG140" s="592"/>
      <c r="BH140" s="593"/>
      <c r="BI140" s="591" t="s">
        <v>874</v>
      </c>
      <c r="BJ140" s="592"/>
      <c r="BK140" s="592"/>
      <c r="BL140" s="592"/>
      <c r="BM140" s="592"/>
      <c r="BN140" s="592"/>
      <c r="BO140" s="592"/>
      <c r="BP140" s="592"/>
      <c r="BQ140" s="593"/>
      <c r="BR140" s="140"/>
      <c r="BS140" s="37"/>
      <c r="BT140" s="37"/>
      <c r="BU140" s="37"/>
      <c r="BV140" s="37"/>
      <c r="BW140" s="140"/>
      <c r="BX140" s="43"/>
      <c r="BY140" s="5"/>
      <c r="BZ140" s="5"/>
      <c r="CA140" s="140"/>
      <c r="CB140" s="37"/>
      <c r="CC140" s="37"/>
      <c r="CD140" s="37"/>
      <c r="CE140" s="37"/>
      <c r="CF140" s="140"/>
      <c r="CG140" s="43"/>
      <c r="CH140" s="5"/>
      <c r="CI140" s="5"/>
      <c r="CJ140" s="140"/>
      <c r="CK140" s="37"/>
      <c r="CL140" s="37"/>
      <c r="CM140" s="37"/>
      <c r="CN140" s="37"/>
      <c r="CO140" s="140"/>
      <c r="CP140" s="43"/>
      <c r="CQ140" s="5"/>
      <c r="CR140" s="5"/>
      <c r="CS140" s="140"/>
      <c r="CT140" s="37"/>
      <c r="CU140" s="37"/>
      <c r="CV140" s="37"/>
      <c r="CW140" s="37"/>
      <c r="CX140" s="140"/>
      <c r="CY140" s="43"/>
      <c r="CZ140" s="5"/>
      <c r="DA140" s="143"/>
      <c r="DB140" s="140"/>
      <c r="DC140" s="37"/>
      <c r="DD140" s="37"/>
      <c r="DE140" s="37"/>
      <c r="DF140" s="37"/>
      <c r="DG140" s="140"/>
      <c r="DH140" s="43"/>
      <c r="DI140" s="5"/>
      <c r="DJ140" s="5"/>
    </row>
    <row r="141" spans="1:114" x14ac:dyDescent="0.35">
      <c r="A141" s="9">
        <v>205547</v>
      </c>
      <c r="B141" s="9" t="s">
        <v>662</v>
      </c>
      <c r="C141" s="34" t="s">
        <v>671</v>
      </c>
      <c r="D141" s="5" t="s">
        <v>661</v>
      </c>
      <c r="E141" s="47" t="s">
        <v>625</v>
      </c>
      <c r="F141" s="6" t="s">
        <v>228</v>
      </c>
      <c r="G141" s="145">
        <v>830054539</v>
      </c>
      <c r="H141" s="53">
        <v>23000000</v>
      </c>
      <c r="I141" s="37">
        <v>4981930</v>
      </c>
      <c r="J141" s="52"/>
      <c r="K141" s="53">
        <v>23000000</v>
      </c>
      <c r="L141" s="37">
        <v>0</v>
      </c>
      <c r="M141" s="140"/>
      <c r="N141" s="9"/>
      <c r="O141" s="187">
        <v>0</v>
      </c>
      <c r="P141" s="43">
        <v>44574</v>
      </c>
      <c r="Q141" s="5" t="s">
        <v>284</v>
      </c>
      <c r="R141" s="5"/>
      <c r="S141" s="37">
        <v>23000000</v>
      </c>
      <c r="T141" s="39">
        <f>K141-S141</f>
        <v>0</v>
      </c>
      <c r="U141" s="42"/>
      <c r="V141" s="140">
        <v>0</v>
      </c>
      <c r="W141" s="142">
        <v>44600</v>
      </c>
      <c r="X141" s="5" t="s">
        <v>284</v>
      </c>
      <c r="Y141" s="37"/>
      <c r="Z141" s="38"/>
      <c r="AA141" s="38">
        <v>23000000</v>
      </c>
      <c r="AB141" s="39">
        <f>S141-AA141</f>
        <v>0</v>
      </c>
      <c r="AC141" s="42"/>
      <c r="AD141" s="67">
        <v>0</v>
      </c>
      <c r="AE141" s="43">
        <v>44624</v>
      </c>
      <c r="AF141" s="5" t="s">
        <v>284</v>
      </c>
      <c r="AG141" s="5"/>
      <c r="AH141" s="5"/>
      <c r="AI141" s="57">
        <v>23000000</v>
      </c>
      <c r="AJ141" s="39">
        <f>AA141-AI141</f>
        <v>0</v>
      </c>
      <c r="AK141" s="5"/>
      <c r="AL141" s="5"/>
      <c r="AM141" s="67">
        <v>0</v>
      </c>
      <c r="AN141" s="43">
        <v>44657</v>
      </c>
      <c r="AO141" s="5" t="s">
        <v>284</v>
      </c>
      <c r="AP141" s="5"/>
      <c r="AQ141" s="5"/>
      <c r="AR141" s="57">
        <v>23000000</v>
      </c>
      <c r="AS141" s="39">
        <f>AI141-AR141</f>
        <v>0</v>
      </c>
      <c r="AT141" s="5"/>
      <c r="AU141" s="5"/>
      <c r="AV141" s="67">
        <v>0</v>
      </c>
      <c r="AW141" s="43">
        <v>44687</v>
      </c>
      <c r="AX141" s="5" t="s">
        <v>284</v>
      </c>
      <c r="AY141" s="5"/>
      <c r="AZ141" s="5"/>
      <c r="BA141" s="57">
        <v>23000000</v>
      </c>
      <c r="BB141" s="39">
        <f>AR141-BA141</f>
        <v>0</v>
      </c>
      <c r="BC141" s="5"/>
      <c r="BD141" s="5"/>
      <c r="BE141" s="67">
        <v>0</v>
      </c>
      <c r="BF141" s="43">
        <v>44718</v>
      </c>
      <c r="BG141" s="5" t="s">
        <v>284</v>
      </c>
      <c r="BH141" s="58">
        <v>44728</v>
      </c>
      <c r="BI141" s="5"/>
      <c r="BJ141" s="57">
        <v>23000000</v>
      </c>
      <c r="BK141" s="188">
        <f>BA141-BJ141</f>
        <v>0</v>
      </c>
      <c r="BL141" s="43"/>
      <c r="BM141" s="5"/>
      <c r="BN141" s="67">
        <v>0</v>
      </c>
      <c r="BO141" s="43">
        <v>44753</v>
      </c>
      <c r="BP141" s="5" t="s">
        <v>284</v>
      </c>
      <c r="BQ141" s="43">
        <v>44768</v>
      </c>
      <c r="BR141" s="37"/>
      <c r="BS141" s="37">
        <v>23000000</v>
      </c>
      <c r="BT141" s="189">
        <f>BJ141-BS141</f>
        <v>0</v>
      </c>
      <c r="BU141" s="43"/>
      <c r="BV141" s="5"/>
      <c r="BW141" s="140">
        <v>0</v>
      </c>
      <c r="BX141" s="43">
        <v>44778</v>
      </c>
      <c r="BY141" s="5" t="s">
        <v>284</v>
      </c>
      <c r="BZ141" s="37"/>
      <c r="CA141" s="37"/>
      <c r="CB141" s="37"/>
      <c r="CC141" s="140"/>
      <c r="CD141" s="43"/>
      <c r="CE141" s="5"/>
      <c r="CF141" s="5"/>
      <c r="CG141" s="140"/>
      <c r="CH141" s="37"/>
      <c r="CI141" s="37"/>
      <c r="CJ141" s="37"/>
      <c r="CK141" s="37"/>
      <c r="CL141" s="140"/>
      <c r="CM141" s="43"/>
      <c r="CN141" s="5"/>
      <c r="CO141" s="5"/>
      <c r="CP141" s="140"/>
      <c r="CQ141" s="37"/>
      <c r="CR141" s="37"/>
      <c r="CS141" s="37"/>
      <c r="CT141" s="37"/>
      <c r="CU141" s="140"/>
      <c r="CV141" s="43"/>
      <c r="CW141" s="5"/>
      <c r="CX141" s="143"/>
      <c r="CY141" s="140"/>
      <c r="CZ141" s="37"/>
      <c r="DA141" s="37"/>
      <c r="DB141" s="37"/>
      <c r="DC141" s="37"/>
      <c r="DD141" s="140"/>
      <c r="DE141" s="43"/>
      <c r="DF141" s="5"/>
      <c r="DG141" s="5"/>
    </row>
    <row r="142" spans="1:114" x14ac:dyDescent="0.35">
      <c r="A142" s="9">
        <v>348824</v>
      </c>
      <c r="B142" s="9" t="s">
        <v>52</v>
      </c>
      <c r="C142" s="34" t="s">
        <v>610</v>
      </c>
      <c r="D142" s="5" t="s">
        <v>611</v>
      </c>
      <c r="E142" s="5" t="s">
        <v>851</v>
      </c>
      <c r="F142" s="6" t="s">
        <v>873</v>
      </c>
      <c r="G142" s="148" t="s">
        <v>612</v>
      </c>
      <c r="H142" s="589" t="s">
        <v>873</v>
      </c>
      <c r="I142" s="590"/>
      <c r="J142" s="37"/>
      <c r="K142" s="37">
        <v>5538688</v>
      </c>
      <c r="L142" s="37">
        <v>0</v>
      </c>
      <c r="M142" s="37"/>
      <c r="N142" s="37"/>
      <c r="O142" s="140">
        <v>0</v>
      </c>
      <c r="P142" s="142">
        <v>44581</v>
      </c>
      <c r="Q142" s="5" t="s">
        <v>284</v>
      </c>
      <c r="R142" s="42"/>
      <c r="S142" s="37">
        <v>1401984</v>
      </c>
      <c r="T142" s="39">
        <v>0</v>
      </c>
      <c r="U142" s="5"/>
      <c r="V142" s="140">
        <v>0</v>
      </c>
      <c r="W142" s="142">
        <v>44609</v>
      </c>
      <c r="X142" s="5" t="s">
        <v>284</v>
      </c>
      <c r="Y142" s="42"/>
      <c r="Z142" s="5"/>
      <c r="AA142" s="38">
        <v>208698</v>
      </c>
      <c r="AB142" s="38">
        <v>0</v>
      </c>
      <c r="AC142" s="5"/>
      <c r="AD142" s="40">
        <v>0</v>
      </c>
      <c r="AE142" s="51">
        <v>44642</v>
      </c>
      <c r="AF142" s="5" t="s">
        <v>284</v>
      </c>
      <c r="AG142" s="42"/>
      <c r="AH142" s="5"/>
      <c r="AI142" s="37">
        <v>682538</v>
      </c>
      <c r="AJ142" s="37">
        <v>0</v>
      </c>
      <c r="AK142" s="37"/>
      <c r="AL142" s="37"/>
      <c r="AM142" s="140">
        <v>0</v>
      </c>
      <c r="AN142" s="43">
        <v>44670</v>
      </c>
      <c r="AO142" s="5" t="s">
        <v>284</v>
      </c>
      <c r="AP142" s="5"/>
      <c r="AQ142" s="591" t="s">
        <v>893</v>
      </c>
      <c r="AR142" s="592"/>
      <c r="AS142" s="592"/>
      <c r="AT142" s="592"/>
      <c r="AU142" s="592"/>
      <c r="AV142" s="592"/>
      <c r="AW142" s="592"/>
      <c r="AX142" s="592"/>
      <c r="AY142" s="593"/>
      <c r="AZ142" s="591" t="s">
        <v>874</v>
      </c>
      <c r="BA142" s="592"/>
      <c r="BB142" s="592"/>
      <c r="BC142" s="592"/>
      <c r="BD142" s="592"/>
      <c r="BE142" s="592"/>
      <c r="BF142" s="592"/>
      <c r="BG142" s="592"/>
      <c r="BH142" s="593"/>
      <c r="BI142" s="140"/>
      <c r="BJ142" s="37">
        <v>479296</v>
      </c>
      <c r="BK142" s="37">
        <v>0</v>
      </c>
      <c r="BL142" s="37"/>
      <c r="BM142" s="37"/>
      <c r="BN142" s="140">
        <v>0</v>
      </c>
      <c r="BO142" s="43">
        <v>44761</v>
      </c>
      <c r="BP142" s="5" t="s">
        <v>284</v>
      </c>
      <c r="BQ142" s="43">
        <v>44769</v>
      </c>
      <c r="BR142" s="140"/>
      <c r="BS142" s="37"/>
      <c r="BT142" s="37"/>
      <c r="BU142" s="37"/>
      <c r="BV142" s="37"/>
      <c r="BW142" s="140"/>
      <c r="BX142" s="43"/>
      <c r="BY142" s="5"/>
      <c r="BZ142" s="5"/>
      <c r="CA142" s="594"/>
      <c r="CB142" s="595"/>
      <c r="CC142" s="595"/>
      <c r="CD142" s="595"/>
      <c r="CE142" s="595"/>
      <c r="CF142" s="595"/>
      <c r="CG142" s="595"/>
      <c r="CH142" s="595"/>
      <c r="CI142" s="596"/>
      <c r="CJ142" s="140"/>
      <c r="CK142" s="37"/>
      <c r="CL142" s="37"/>
      <c r="CM142" s="37"/>
      <c r="CN142" s="37"/>
      <c r="CO142" s="140"/>
      <c r="CP142" s="43"/>
      <c r="CQ142" s="5"/>
      <c r="CR142" s="5"/>
      <c r="CS142" s="140"/>
      <c r="CT142" s="37"/>
      <c r="CU142" s="37"/>
      <c r="CV142" s="37"/>
      <c r="CW142" s="37"/>
      <c r="CX142" s="140"/>
      <c r="CY142" s="43"/>
      <c r="CZ142" s="5"/>
      <c r="DA142" s="143"/>
      <c r="DB142" s="140"/>
      <c r="DC142" s="37"/>
      <c r="DD142" s="37"/>
      <c r="DE142" s="37"/>
      <c r="DF142" s="37"/>
      <c r="DG142" s="140"/>
      <c r="DH142" s="43"/>
      <c r="DI142" s="5"/>
      <c r="DJ142" s="5"/>
    </row>
    <row r="143" spans="1:114" x14ac:dyDescent="0.35">
      <c r="A143" s="9">
        <v>348824</v>
      </c>
      <c r="B143" s="9" t="s">
        <v>52</v>
      </c>
      <c r="C143" s="34" t="s">
        <v>610</v>
      </c>
      <c r="D143" s="5" t="s">
        <v>611</v>
      </c>
      <c r="E143" s="5" t="s">
        <v>851</v>
      </c>
      <c r="F143" s="6" t="s">
        <v>225</v>
      </c>
      <c r="G143" s="148" t="s">
        <v>612</v>
      </c>
      <c r="H143" s="190">
        <v>6845232</v>
      </c>
      <c r="I143" s="190">
        <v>6481000</v>
      </c>
      <c r="J143" s="37"/>
      <c r="K143" s="37">
        <v>6845232</v>
      </c>
      <c r="L143" s="37">
        <f>H143-K143</f>
        <v>0</v>
      </c>
      <c r="M143" s="37"/>
      <c r="N143" s="37"/>
      <c r="O143" s="140">
        <v>0</v>
      </c>
      <c r="P143" s="142">
        <v>44574</v>
      </c>
      <c r="Q143" s="5" t="s">
        <v>284</v>
      </c>
      <c r="R143" s="42"/>
      <c r="S143" s="37">
        <v>6845232</v>
      </c>
      <c r="T143" s="39">
        <f>I143-S143</f>
        <v>-364232</v>
      </c>
      <c r="U143" s="5"/>
      <c r="V143" s="140">
        <f>T143/I143</f>
        <v>-5.6199969140564729E-2</v>
      </c>
      <c r="W143" s="142">
        <v>44600</v>
      </c>
      <c r="X143" s="5" t="s">
        <v>284</v>
      </c>
      <c r="Y143" s="42"/>
      <c r="Z143" s="5"/>
      <c r="AA143" s="38">
        <v>6845232</v>
      </c>
      <c r="AB143" s="38">
        <f>S143-AA143</f>
        <v>0</v>
      </c>
      <c r="AC143" s="5"/>
      <c r="AD143" s="40">
        <v>0</v>
      </c>
      <c r="AE143" s="142">
        <v>44628</v>
      </c>
      <c r="AF143" s="5" t="s">
        <v>284</v>
      </c>
      <c r="AG143" s="42"/>
      <c r="AH143" s="5"/>
      <c r="AI143" s="37">
        <v>6845232</v>
      </c>
      <c r="AJ143" s="37">
        <f>AA143-AI143</f>
        <v>0</v>
      </c>
      <c r="AK143" s="37"/>
      <c r="AL143" s="37"/>
      <c r="AM143" s="140">
        <v>0</v>
      </c>
      <c r="AN143" s="142">
        <v>44659</v>
      </c>
      <c r="AO143" s="5" t="s">
        <v>284</v>
      </c>
      <c r="AP143" s="5"/>
      <c r="AQ143" s="40"/>
      <c r="AR143" s="37">
        <v>6845232</v>
      </c>
      <c r="AS143" s="37">
        <f>AI143-AR143</f>
        <v>0</v>
      </c>
      <c r="AT143" s="37"/>
      <c r="AU143" s="37"/>
      <c r="AV143" s="140">
        <v>0</v>
      </c>
      <c r="AW143" s="43">
        <v>44687</v>
      </c>
      <c r="AX143" s="5" t="s">
        <v>284</v>
      </c>
      <c r="AY143" s="5"/>
      <c r="AZ143" s="140"/>
      <c r="BA143" s="37">
        <v>6845232</v>
      </c>
      <c r="BB143" s="37">
        <f>AR143-BA143</f>
        <v>0</v>
      </c>
      <c r="BC143" s="37"/>
      <c r="BD143" s="37"/>
      <c r="BE143" s="140">
        <v>0</v>
      </c>
      <c r="BF143" s="43">
        <v>44719</v>
      </c>
      <c r="BG143" s="5" t="s">
        <v>284</v>
      </c>
      <c r="BH143" s="58">
        <v>44728</v>
      </c>
      <c r="BI143" s="140"/>
      <c r="BJ143" s="37">
        <v>6845232</v>
      </c>
      <c r="BK143" s="37">
        <f>BA143-BJ143</f>
        <v>0</v>
      </c>
      <c r="BL143" s="37"/>
      <c r="BM143" s="37"/>
      <c r="BN143" s="140">
        <v>0</v>
      </c>
      <c r="BO143" s="43">
        <v>44750</v>
      </c>
      <c r="BP143" s="5" t="s">
        <v>284</v>
      </c>
      <c r="BQ143" s="43">
        <v>44768</v>
      </c>
      <c r="BR143" s="140"/>
      <c r="BS143" s="37">
        <v>6845232</v>
      </c>
      <c r="BT143" s="37">
        <f>BJ143-BS143</f>
        <v>0</v>
      </c>
      <c r="BU143" s="37"/>
      <c r="BV143" s="37"/>
      <c r="BW143" s="140">
        <v>0</v>
      </c>
      <c r="BX143" s="43">
        <v>44781</v>
      </c>
      <c r="BY143" s="5" t="s">
        <v>284</v>
      </c>
      <c r="BZ143" s="5"/>
      <c r="CA143" s="594"/>
      <c r="CB143" s="595"/>
      <c r="CC143" s="595"/>
      <c r="CD143" s="595"/>
      <c r="CE143" s="595"/>
      <c r="CF143" s="595"/>
      <c r="CG143" s="595"/>
      <c r="CH143" s="595"/>
      <c r="CI143" s="596"/>
      <c r="CJ143" s="140"/>
      <c r="CK143" s="37"/>
      <c r="CL143" s="37"/>
      <c r="CM143" s="37"/>
      <c r="CN143" s="37"/>
      <c r="CO143" s="140"/>
      <c r="CP143" s="43"/>
      <c r="CQ143" s="5"/>
      <c r="CR143" s="5"/>
      <c r="CS143" s="140"/>
      <c r="CT143" s="37"/>
      <c r="CU143" s="37"/>
      <c r="CV143" s="37"/>
      <c r="CW143" s="37"/>
      <c r="CX143" s="140"/>
      <c r="CY143" s="43"/>
      <c r="CZ143" s="5"/>
      <c r="DA143" s="143"/>
      <c r="DB143" s="140"/>
      <c r="DC143" s="37"/>
      <c r="DD143" s="37"/>
      <c r="DE143" s="37"/>
      <c r="DF143" s="37"/>
      <c r="DG143" s="140"/>
      <c r="DH143" s="43"/>
      <c r="DI143" s="5"/>
      <c r="DJ143" s="5"/>
    </row>
    <row r="144" spans="1:114" x14ac:dyDescent="0.35">
      <c r="A144" s="9">
        <v>205547</v>
      </c>
      <c r="B144" s="9" t="s">
        <v>662</v>
      </c>
      <c r="C144" s="34" t="s">
        <v>671</v>
      </c>
      <c r="D144" s="5" t="s">
        <v>661</v>
      </c>
      <c r="E144" s="47" t="s">
        <v>625</v>
      </c>
      <c r="F144" s="6" t="s">
        <v>873</v>
      </c>
      <c r="G144" s="145">
        <v>830054539</v>
      </c>
      <c r="H144" s="53"/>
      <c r="I144" s="37"/>
      <c r="J144" s="52"/>
      <c r="K144" s="53"/>
      <c r="L144" s="37"/>
      <c r="M144" s="140"/>
      <c r="N144" s="9"/>
      <c r="O144" s="187"/>
      <c r="P144" s="43"/>
      <c r="Q144" s="5"/>
      <c r="R144" s="5"/>
      <c r="S144" s="37"/>
      <c r="T144" s="39"/>
      <c r="U144" s="42"/>
      <c r="V144" s="140"/>
      <c r="W144" s="142"/>
      <c r="X144" s="5"/>
      <c r="Y144" s="37"/>
      <c r="Z144" s="38"/>
      <c r="AA144" s="38"/>
      <c r="AB144" s="39"/>
      <c r="AC144" s="42"/>
      <c r="AD144" s="67"/>
      <c r="AE144" s="43"/>
      <c r="AF144" s="5"/>
      <c r="AG144" s="5"/>
      <c r="AH144" s="5"/>
      <c r="AI144" s="57"/>
      <c r="AJ144" s="39">
        <f>AA144-AI144</f>
        <v>0</v>
      </c>
      <c r="AK144" s="5"/>
      <c r="AL144" s="5"/>
      <c r="AM144" s="67"/>
      <c r="AN144" s="43"/>
      <c r="AO144" s="5"/>
      <c r="AP144" s="5"/>
      <c r="AQ144" s="5"/>
      <c r="AR144" s="57">
        <v>28742444</v>
      </c>
      <c r="AS144" s="39">
        <v>0</v>
      </c>
      <c r="AT144" s="5"/>
      <c r="AU144" s="5"/>
      <c r="AV144" s="67">
        <v>0</v>
      </c>
      <c r="AW144" s="43">
        <v>44705</v>
      </c>
      <c r="AX144" s="5" t="s">
        <v>284</v>
      </c>
      <c r="AY144" s="5"/>
      <c r="AZ144" s="5"/>
      <c r="BA144" s="57">
        <v>33753290</v>
      </c>
      <c r="BB144" s="57">
        <v>0</v>
      </c>
      <c r="BC144" s="5"/>
      <c r="BD144" s="5"/>
      <c r="BE144" s="67">
        <v>0</v>
      </c>
      <c r="BF144" s="43">
        <v>44733</v>
      </c>
      <c r="BG144" s="5" t="s">
        <v>284</v>
      </c>
      <c r="BH144" s="58">
        <v>44757</v>
      </c>
      <c r="BI144" s="5"/>
      <c r="BJ144" s="57">
        <v>27143868</v>
      </c>
      <c r="BK144" s="57">
        <v>0</v>
      </c>
      <c r="BL144" s="43"/>
      <c r="BM144" s="5"/>
      <c r="BN144" s="67">
        <v>0</v>
      </c>
      <c r="BO144" s="43">
        <v>44760</v>
      </c>
      <c r="BP144" s="5" t="s">
        <v>284</v>
      </c>
      <c r="BQ144" s="43">
        <v>44768</v>
      </c>
      <c r="BR144" s="37"/>
      <c r="BS144" s="37"/>
      <c r="BT144" s="140"/>
      <c r="BU144" s="43"/>
      <c r="BV144" s="5"/>
      <c r="BW144" s="5"/>
      <c r="BX144" s="140"/>
      <c r="BY144" s="37"/>
      <c r="BZ144" s="37"/>
      <c r="CA144" s="37"/>
      <c r="CB144" s="37"/>
      <c r="CC144" s="140"/>
      <c r="CD144" s="43"/>
      <c r="CE144" s="5"/>
      <c r="CF144" s="5"/>
      <c r="CG144" s="140"/>
      <c r="CH144" s="37"/>
      <c r="CI144" s="37"/>
      <c r="CJ144" s="37"/>
      <c r="CK144" s="37"/>
      <c r="CL144" s="140"/>
      <c r="CM144" s="43"/>
      <c r="CN144" s="5"/>
      <c r="CO144" s="5"/>
      <c r="CP144" s="140"/>
      <c r="CQ144" s="37"/>
      <c r="CR144" s="37"/>
      <c r="CS144" s="37"/>
      <c r="CT144" s="37"/>
      <c r="CU144" s="140"/>
      <c r="CV144" s="43"/>
      <c r="CW144" s="5"/>
      <c r="CX144" s="143"/>
      <c r="CY144" s="140"/>
      <c r="CZ144" s="37"/>
      <c r="DA144" s="37"/>
      <c r="DB144" s="37"/>
      <c r="DC144" s="37"/>
      <c r="DD144" s="140"/>
      <c r="DE144" s="43"/>
      <c r="DF144" s="5"/>
      <c r="DG144" s="5"/>
    </row>
    <row r="145" spans="5:71" x14ac:dyDescent="0.35">
      <c r="K145" s="192"/>
      <c r="L145" s="192"/>
      <c r="M145" s="192"/>
      <c r="N145" s="192"/>
      <c r="O145" s="193"/>
      <c r="BA145" s="195"/>
      <c r="BJ145" s="195"/>
      <c r="BS145" s="195"/>
    </row>
    <row r="146" spans="5:71" x14ac:dyDescent="0.35">
      <c r="K146" s="196"/>
      <c r="L146" s="196"/>
      <c r="M146" s="196"/>
      <c r="N146" s="196"/>
      <c r="O146" s="193"/>
    </row>
    <row r="147" spans="5:71" x14ac:dyDescent="0.35">
      <c r="K147" s="192"/>
      <c r="L147" s="192"/>
      <c r="M147" s="192"/>
      <c r="N147" s="192"/>
      <c r="O147" s="193"/>
    </row>
    <row r="148" spans="5:71" x14ac:dyDescent="0.35">
      <c r="K148" s="192"/>
      <c r="L148" s="192"/>
      <c r="M148" s="192"/>
      <c r="N148" s="192"/>
      <c r="O148" s="193"/>
    </row>
    <row r="149" spans="5:71" x14ac:dyDescent="0.35">
      <c r="K149" s="192"/>
      <c r="L149" s="192"/>
      <c r="M149" s="192"/>
      <c r="N149" s="192"/>
      <c r="O149" s="193"/>
    </row>
    <row r="150" spans="5:71" x14ac:dyDescent="0.35">
      <c r="K150" s="192"/>
      <c r="L150" s="192"/>
      <c r="M150" s="192"/>
      <c r="N150" s="192"/>
      <c r="O150" s="193"/>
    </row>
    <row r="151" spans="5:71" x14ac:dyDescent="0.35">
      <c r="E151" s="1" t="s">
        <v>266</v>
      </c>
      <c r="F151" s="1" t="s">
        <v>861</v>
      </c>
      <c r="K151" s="192"/>
      <c r="L151" s="192"/>
      <c r="M151" s="192"/>
      <c r="N151" s="192"/>
      <c r="O151" s="193"/>
    </row>
    <row r="152" spans="5:71" x14ac:dyDescent="0.35">
      <c r="E152" s="197" t="s">
        <v>953</v>
      </c>
      <c r="F152" s="197">
        <v>9367</v>
      </c>
      <c r="K152" s="192"/>
      <c r="L152" s="192"/>
      <c r="M152" s="192"/>
      <c r="N152" s="192"/>
      <c r="O152" s="193"/>
    </row>
    <row r="153" spans="5:71" x14ac:dyDescent="0.35">
      <c r="E153" s="197" t="s">
        <v>954</v>
      </c>
      <c r="F153" s="197">
        <v>8140074</v>
      </c>
    </row>
    <row r="154" spans="5:71" x14ac:dyDescent="0.35">
      <c r="E154" s="197">
        <v>619</v>
      </c>
      <c r="F154" s="197">
        <v>9366</v>
      </c>
    </row>
    <row r="155" spans="5:71" x14ac:dyDescent="0.35">
      <c r="E155" s="197" t="s">
        <v>955</v>
      </c>
      <c r="F155" s="197" t="s">
        <v>222</v>
      </c>
    </row>
    <row r="156" spans="5:71" x14ac:dyDescent="0.35">
      <c r="E156" s="197">
        <v>138</v>
      </c>
      <c r="F156" s="197" t="s">
        <v>225</v>
      </c>
    </row>
    <row r="157" spans="5:71" x14ac:dyDescent="0.35">
      <c r="E157" s="197">
        <v>635</v>
      </c>
      <c r="F157" s="197" t="s">
        <v>228</v>
      </c>
    </row>
    <row r="162" spans="9:9" x14ac:dyDescent="0.35">
      <c r="I162" s="180"/>
    </row>
    <row r="163" spans="9:9" x14ac:dyDescent="0.35">
      <c r="I163" s="180"/>
    </row>
    <row r="1048567" spans="17:17" x14ac:dyDescent="0.35">
      <c r="Q1048567" s="5"/>
    </row>
    <row r="1048568" spans="17:17" x14ac:dyDescent="0.35">
      <c r="Q1048568" s="9"/>
    </row>
  </sheetData>
  <autoFilter ref="A1:DJ144" xr:uid="{E8E6DBF8-9D26-4EEF-9C5F-3E8C5D8D5FA1}"/>
  <mergeCells count="168">
    <mergeCell ref="H12:I12"/>
    <mergeCell ref="Z12:AG12"/>
    <mergeCell ref="CA16:CI16"/>
    <mergeCell ref="H18:I18"/>
    <mergeCell ref="Z18:AG18"/>
    <mergeCell ref="CS18:DA18"/>
    <mergeCell ref="AH2:DJ2"/>
    <mergeCell ref="S5:DJ5"/>
    <mergeCell ref="H9:I9"/>
    <mergeCell ref="AZ9:BH9"/>
    <mergeCell ref="BI9:BQ9"/>
    <mergeCell ref="CJ9:CR9"/>
    <mergeCell ref="CS24:DA24"/>
    <mergeCell ref="H38:I38"/>
    <mergeCell ref="J38:R38"/>
    <mergeCell ref="Z38:AG38"/>
    <mergeCell ref="AH38:AP38"/>
    <mergeCell ref="AQ38:AY38"/>
    <mergeCell ref="CS38:DA38"/>
    <mergeCell ref="H22:I22"/>
    <mergeCell ref="Z22:AG22"/>
    <mergeCell ref="CJ22:CR22"/>
    <mergeCell ref="CS22:DA22"/>
    <mergeCell ref="J24:R24"/>
    <mergeCell ref="S24:Y24"/>
    <mergeCell ref="Z24:AG24"/>
    <mergeCell ref="AH24:AP24"/>
    <mergeCell ref="AQ24:AY24"/>
    <mergeCell ref="AZ24:BH24"/>
    <mergeCell ref="H39:I39"/>
    <mergeCell ref="H41:I41"/>
    <mergeCell ref="Z41:AG41"/>
    <mergeCell ref="AH41:AP41"/>
    <mergeCell ref="AQ41:AY41"/>
    <mergeCell ref="AZ41:BH41"/>
    <mergeCell ref="BI24:BQ24"/>
    <mergeCell ref="BR24:BZ24"/>
    <mergeCell ref="CJ24:CR24"/>
    <mergeCell ref="BI41:BQ41"/>
    <mergeCell ref="CJ41:CR41"/>
    <mergeCell ref="CS41:DA41"/>
    <mergeCell ref="H43:I43"/>
    <mergeCell ref="S43:Y43"/>
    <mergeCell ref="Z43:AG43"/>
    <mergeCell ref="AH43:AP43"/>
    <mergeCell ref="AQ43:AY43"/>
    <mergeCell ref="AZ43:BH43"/>
    <mergeCell ref="BI43:BQ43"/>
    <mergeCell ref="CS43:DA43"/>
    <mergeCell ref="H45:I45"/>
    <mergeCell ref="J45:R45"/>
    <mergeCell ref="S45:Y45"/>
    <mergeCell ref="Z45:AG45"/>
    <mergeCell ref="AH45:AP45"/>
    <mergeCell ref="AQ45:AY45"/>
    <mergeCell ref="AZ45:BH45"/>
    <mergeCell ref="BI45:BQ45"/>
    <mergeCell ref="BR45:BZ45"/>
    <mergeCell ref="CJ45:CR45"/>
    <mergeCell ref="CS45:DA45"/>
    <mergeCell ref="AH47:DJ47"/>
    <mergeCell ref="J51:R51"/>
    <mergeCell ref="S51:Y51"/>
    <mergeCell ref="Z51:AG51"/>
    <mergeCell ref="AH51:AP51"/>
    <mergeCell ref="AQ51:AY51"/>
    <mergeCell ref="AZ51:BH51"/>
    <mergeCell ref="BI51:BQ51"/>
    <mergeCell ref="AZ53:BH53"/>
    <mergeCell ref="BI53:BQ53"/>
    <mergeCell ref="CS53:DA53"/>
    <mergeCell ref="H55:I55"/>
    <mergeCell ref="J55:R55"/>
    <mergeCell ref="S55:Y55"/>
    <mergeCell ref="Z55:AG55"/>
    <mergeCell ref="AH55:AP55"/>
    <mergeCell ref="CS55:DA55"/>
    <mergeCell ref="H53:I53"/>
    <mergeCell ref="J53:R53"/>
    <mergeCell ref="S53:Y53"/>
    <mergeCell ref="Z53:AG53"/>
    <mergeCell ref="AH53:AP53"/>
    <mergeCell ref="AQ53:AY53"/>
    <mergeCell ref="CA57:CI57"/>
    <mergeCell ref="CJ57:CR57"/>
    <mergeCell ref="CS57:DA57"/>
    <mergeCell ref="H59:I59"/>
    <mergeCell ref="J59:R59"/>
    <mergeCell ref="S59:Y59"/>
    <mergeCell ref="Z59:AG59"/>
    <mergeCell ref="AH59:AP59"/>
    <mergeCell ref="AQ59:AY59"/>
    <mergeCell ref="AZ59:BH59"/>
    <mergeCell ref="BI59:BQ59"/>
    <mergeCell ref="CJ59:CR59"/>
    <mergeCell ref="CS59:DA59"/>
    <mergeCell ref="J66:R66"/>
    <mergeCell ref="S66:Y66"/>
    <mergeCell ref="Z66:AG66"/>
    <mergeCell ref="AH66:AP66"/>
    <mergeCell ref="AQ66:AY66"/>
    <mergeCell ref="AZ66:BH66"/>
    <mergeCell ref="BI66:BQ66"/>
    <mergeCell ref="CJ77:CR77"/>
    <mergeCell ref="CS77:DA77"/>
    <mergeCell ref="CA95:CI95"/>
    <mergeCell ref="AZ101:DJ101"/>
    <mergeCell ref="AZ102:DJ102"/>
    <mergeCell ref="AZ103:DJ103"/>
    <mergeCell ref="CA69:CI69"/>
    <mergeCell ref="J77:R77"/>
    <mergeCell ref="S77:Y77"/>
    <mergeCell ref="Z77:AG77"/>
    <mergeCell ref="AH77:AP77"/>
    <mergeCell ref="AQ77:AY77"/>
    <mergeCell ref="AZ77:BH77"/>
    <mergeCell ref="BI77:BQ77"/>
    <mergeCell ref="BR106:DJ106"/>
    <mergeCell ref="H110:I110"/>
    <mergeCell ref="CJ116:CR116"/>
    <mergeCell ref="CS116:DA116"/>
    <mergeCell ref="H136:I136"/>
    <mergeCell ref="S136:Y136"/>
    <mergeCell ref="Z136:AG136"/>
    <mergeCell ref="AH136:AP136"/>
    <mergeCell ref="AQ136:AY136"/>
    <mergeCell ref="AZ136:BH136"/>
    <mergeCell ref="J106:R106"/>
    <mergeCell ref="Z106:AG106"/>
    <mergeCell ref="AH106:AP106"/>
    <mergeCell ref="AQ106:AY106"/>
    <mergeCell ref="AZ106:BH106"/>
    <mergeCell ref="BI106:BQ106"/>
    <mergeCell ref="H138:I138"/>
    <mergeCell ref="Z138:AG138"/>
    <mergeCell ref="AH138:AP138"/>
    <mergeCell ref="AQ138:AY138"/>
    <mergeCell ref="CA138:CI138"/>
    <mergeCell ref="CS138:DA138"/>
    <mergeCell ref="BI136:BQ136"/>
    <mergeCell ref="BR136:BZ136"/>
    <mergeCell ref="CJ136:CR136"/>
    <mergeCell ref="CS136:DA136"/>
    <mergeCell ref="S137:Y137"/>
    <mergeCell ref="AQ137:AY137"/>
    <mergeCell ref="AZ137:BH137"/>
    <mergeCell ref="BI137:BQ137"/>
    <mergeCell ref="CJ137:CR137"/>
    <mergeCell ref="CS137:DA137"/>
    <mergeCell ref="H142:I142"/>
    <mergeCell ref="AQ142:AY142"/>
    <mergeCell ref="AZ142:BH142"/>
    <mergeCell ref="CA142:CI142"/>
    <mergeCell ref="CA143:CI143"/>
    <mergeCell ref="BI139:BQ139"/>
    <mergeCell ref="H140:I140"/>
    <mergeCell ref="S140:Y140"/>
    <mergeCell ref="Z140:AG140"/>
    <mergeCell ref="AH140:AP140"/>
    <mergeCell ref="AQ140:AY140"/>
    <mergeCell ref="AZ140:BH140"/>
    <mergeCell ref="BI140:BQ140"/>
    <mergeCell ref="H139:I139"/>
    <mergeCell ref="S139:Y139"/>
    <mergeCell ref="Z139:AG139"/>
    <mergeCell ref="AH139:AP139"/>
    <mergeCell ref="AQ139:AY139"/>
    <mergeCell ref="AZ139:BH139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lucy</vt:lpstr>
      <vt:lpstr>CUENTAS</vt:lpstr>
      <vt:lpstr>MACHOTE</vt:lpstr>
      <vt:lpstr>TODOS</vt:lpstr>
      <vt:lpstr>contratos</vt:lpstr>
      <vt:lpstr>compenzaciones</vt:lpstr>
      <vt:lpstr>ADMON</vt:lpstr>
      <vt:lpstr>PRORRATEO</vt:lpstr>
      <vt:lpstr>arriendo1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Flor</dc:creator>
  <cp:lastModifiedBy>LOPEZ Flor</cp:lastModifiedBy>
  <dcterms:created xsi:type="dcterms:W3CDTF">2023-11-07T13:36:20Z</dcterms:created>
  <dcterms:modified xsi:type="dcterms:W3CDTF">2026-04-20T20:56:25Z</dcterms:modified>
</cp:coreProperties>
</file>