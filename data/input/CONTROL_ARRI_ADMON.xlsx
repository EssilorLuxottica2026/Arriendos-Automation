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rojectci\Desktop\Arriendos\data\input\"/>
    </mc:Choice>
  </mc:AlternateContent>
  <xr:revisionPtr revIDLastSave="0" documentId="13_ncr:1_{A34B08B2-C5B6-4F96-ACD6-1E6273AC4BB5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ARRIENDO 2022" sheetId="7" r:id="rId1"/>
    <sheet name="ADMON 2020" sheetId="2" state="hidden" r:id="rId2"/>
    <sheet name="CONTROL ADM" sheetId="3" state="hidden" r:id="rId3"/>
  </sheets>
  <definedNames>
    <definedName name="_xlnm._FilterDatabase" localSheetId="1" hidden="1">'ADMON 2020'!$A$3:$CF$109</definedName>
    <definedName name="_xlnm._FilterDatabase" localSheetId="0" hidden="1">'ARRIENDO 2022'!$A$2:$G$145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20" i="2" l="1"/>
  <c r="BZ14" i="2"/>
  <c r="BZ7" i="2"/>
  <c r="BZ109" i="2"/>
  <c r="AC51" i="2" l="1"/>
  <c r="CB67" i="2" l="1"/>
  <c r="CB77" i="2" l="1"/>
  <c r="BY49" i="2" l="1"/>
  <c r="BY75" i="2"/>
  <c r="BY25" i="2"/>
  <c r="BY29" i="2"/>
  <c r="BY9" i="2"/>
  <c r="BZ9" i="2" s="1"/>
  <c r="CB9" i="2" s="1"/>
  <c r="BY107" i="2"/>
  <c r="BY50" i="2"/>
  <c r="BZ50" i="2" s="1"/>
  <c r="CB50" i="2" s="1"/>
  <c r="BY56" i="2" l="1"/>
  <c r="BZ74" i="2"/>
  <c r="CB74" i="2" s="1"/>
  <c r="BZ26" i="2"/>
  <c r="CB26" i="2" s="1"/>
  <c r="CB100" i="2"/>
  <c r="BZ38" i="2"/>
  <c r="CB38" i="2" s="1"/>
  <c r="BZ23" i="2"/>
  <c r="CB23" i="2" s="1"/>
  <c r="CB79" i="2"/>
  <c r="BY28" i="2"/>
  <c r="BR76" i="2" l="1"/>
  <c r="BT76" i="2" s="1"/>
  <c r="BJ76" i="2"/>
  <c r="BL76" i="2" s="1"/>
  <c r="BR86" i="2" l="1"/>
  <c r="BT86" i="2" s="1"/>
  <c r="BR104" i="2" l="1"/>
  <c r="BT104" i="2" s="1"/>
  <c r="BR21" i="2"/>
  <c r="BT21" i="2" s="1"/>
  <c r="BA28" i="2"/>
  <c r="AS28" i="2"/>
  <c r="AT28" i="2" s="1"/>
  <c r="AK28" i="2"/>
  <c r="AL28" i="2" s="1"/>
  <c r="AN28" i="2" s="1"/>
  <c r="BQ75" i="2"/>
  <c r="BJ89" i="2"/>
  <c r="BL89" i="2" s="1"/>
  <c r="BB89" i="2"/>
  <c r="BD89" i="2" s="1"/>
  <c r="U89" i="2"/>
  <c r="W89" i="2" s="1"/>
  <c r="L89" i="2"/>
  <c r="N89" i="2" s="1"/>
  <c r="BR61" i="2" l="1"/>
  <c r="BT61" i="2" s="1"/>
  <c r="BT40" i="2"/>
  <c r="BQ29" i="2"/>
  <c r="BQ10" i="2"/>
  <c r="BR10" i="2" s="1"/>
  <c r="BT10" i="2" s="1"/>
  <c r="BR23" i="2"/>
  <c r="BT23" i="2" s="1"/>
  <c r="BR49" i="2" l="1"/>
  <c r="BT49" i="2" s="1"/>
  <c r="BQ56" i="2" l="1"/>
  <c r="BQ100" i="2"/>
  <c r="BR100" i="2" s="1"/>
  <c r="BT100" i="2" s="1"/>
  <c r="BT97" i="2"/>
  <c r="BR90" i="2"/>
  <c r="BR26" i="2"/>
  <c r="BT26" i="2" s="1"/>
  <c r="BR32" i="2"/>
  <c r="BR103" i="2"/>
  <c r="BT103" i="2" s="1"/>
  <c r="BR13" i="2" l="1"/>
  <c r="BT13" i="2" s="1"/>
  <c r="BR38" i="2" l="1"/>
  <c r="BT38" i="2" s="1"/>
  <c r="BT92" i="2" l="1"/>
  <c r="BQ28" i="2"/>
  <c r="BQ9" i="2"/>
  <c r="BR11" i="2"/>
  <c r="BQ107" i="2"/>
  <c r="BQ20" i="2"/>
  <c r="BZ20" i="2" s="1"/>
  <c r="BR94" i="2"/>
  <c r="BT94" i="2" s="1"/>
  <c r="BQ50" i="2"/>
  <c r="BR50" i="2" s="1"/>
  <c r="BT50" i="2" s="1"/>
  <c r="BR51" i="2" l="1"/>
  <c r="BT51" i="2" s="1"/>
  <c r="BR6" i="2"/>
  <c r="BT6" i="2" s="1"/>
  <c r="BR69" i="2"/>
  <c r="BT69" i="2" s="1"/>
  <c r="BR68" i="2"/>
  <c r="BT68" i="2" s="1"/>
  <c r="BR77" i="2"/>
  <c r="BT77" i="2" s="1"/>
  <c r="BR79" i="2"/>
  <c r="BT79" i="2" s="1"/>
  <c r="BR83" i="2" l="1"/>
  <c r="BT83" i="2" s="1"/>
  <c r="BS107" i="2" l="1"/>
  <c r="BT107" i="2" s="1"/>
  <c r="BI9" i="2" l="1"/>
  <c r="BL33" i="2"/>
  <c r="BJ65" i="2" l="1"/>
  <c r="BL65" i="2" s="1"/>
  <c r="BJ53" i="2"/>
  <c r="BL53" i="2" s="1"/>
  <c r="BB53" i="2"/>
  <c r="BD53" i="2" s="1"/>
  <c r="BI75" i="2" l="1"/>
  <c r="BJ86" i="2"/>
  <c r="BL86" i="2" s="1"/>
  <c r="BJ37" i="2" l="1"/>
  <c r="BL37" i="2" s="1"/>
  <c r="BJ10" i="2" l="1"/>
  <c r="BJ64" i="2" l="1"/>
  <c r="BL64" i="2" s="1"/>
  <c r="BJ73" i="2"/>
  <c r="BL73" i="2" s="1"/>
  <c r="BI61" i="2"/>
  <c r="BJ61" i="2" s="1"/>
  <c r="BL61" i="2" s="1"/>
  <c r="BJ17" i="2" l="1"/>
  <c r="BL17" i="2" s="1"/>
  <c r="BJ8" i="2"/>
  <c r="BL8" i="2" s="1"/>
  <c r="BJ42" i="2"/>
  <c r="BL42" i="2" s="1"/>
  <c r="BJ81" i="2" l="1"/>
  <c r="BJ41" i="2"/>
  <c r="BJ23" i="2"/>
  <c r="BL23" i="2" s="1"/>
  <c r="BJ93" i="2"/>
  <c r="BL93" i="2" s="1"/>
  <c r="BJ27" i="2"/>
  <c r="BL27" i="2" s="1"/>
  <c r="BJ45" i="2" l="1"/>
  <c r="BJ35" i="2"/>
  <c r="BJ46" i="2"/>
  <c r="BJ47" i="2"/>
  <c r="BI66" i="2" l="1"/>
  <c r="BJ69" i="2"/>
  <c r="BL69" i="2" s="1"/>
  <c r="BJ68" i="2"/>
  <c r="BL68" i="2" s="1"/>
  <c r="BJ26" i="2"/>
  <c r="BL26" i="2" s="1"/>
  <c r="BJ71" i="2"/>
  <c r="BL71" i="2" s="1"/>
  <c r="BJ103" i="2"/>
  <c r="BL103" i="2" s="1"/>
  <c r="BJ29" i="2"/>
  <c r="BJ24" i="2"/>
  <c r="BL24" i="2" s="1"/>
  <c r="BJ104" i="2"/>
  <c r="BL104" i="2" s="1"/>
  <c r="BI107" i="2"/>
  <c r="BI20" i="2"/>
  <c r="BJ20" i="2" s="1"/>
  <c r="BJ13" i="2" l="1"/>
  <c r="BL13" i="2" s="1"/>
  <c r="BJ6" i="2"/>
  <c r="BL6" i="2" s="1"/>
  <c r="BJ51" i="2"/>
  <c r="BL51" i="2" s="1"/>
  <c r="BJ67" i="2" l="1"/>
  <c r="BL67" i="2" s="1"/>
  <c r="BK38" i="2"/>
  <c r="BJ49" i="2" l="1"/>
  <c r="BL49" i="2" s="1"/>
  <c r="BJ101" i="2" l="1"/>
  <c r="BL101" i="2" s="1"/>
  <c r="BJ95" i="2"/>
  <c r="BL95" i="2" s="1"/>
  <c r="BJ4" i="2"/>
  <c r="BL4" i="2" s="1"/>
  <c r="BJ74" i="2"/>
  <c r="BL74" i="2" s="1"/>
  <c r="BI97" i="2"/>
  <c r="BJ97" i="2" s="1"/>
  <c r="BL97" i="2" s="1"/>
  <c r="BJ21" i="2"/>
  <c r="BL21" i="2" s="1"/>
  <c r="BJ92" i="2"/>
  <c r="BJ109" i="2"/>
  <c r="BJ14" i="2"/>
  <c r="BJ34" i="2"/>
  <c r="BJ7" i="2"/>
  <c r="BJ36" i="2"/>
  <c r="BJ94" i="2"/>
  <c r="BL94" i="2" s="1"/>
  <c r="BI50" i="2"/>
  <c r="BJ50" i="2" s="1"/>
  <c r="BL50" i="2" s="1"/>
  <c r="BJ77" i="2" l="1"/>
  <c r="BL77" i="2" s="1"/>
  <c r="BJ79" i="2"/>
  <c r="BL79" i="2" s="1"/>
  <c r="BD54" i="2" l="1"/>
  <c r="BB86" i="2" l="1"/>
  <c r="BD86" i="2" s="1"/>
  <c r="L85" i="2" l="1"/>
  <c r="U85" i="2"/>
  <c r="AL85" i="2"/>
  <c r="AC85" i="2"/>
  <c r="AT85" i="2"/>
  <c r="BB85" i="2"/>
  <c r="BA75" i="2" l="1"/>
  <c r="BB75" i="2" s="1"/>
  <c r="BD75" i="2" s="1"/>
  <c r="BB93" i="2" l="1"/>
  <c r="BD93" i="2" s="1"/>
  <c r="BB6" i="2" l="1"/>
  <c r="BD6" i="2" s="1"/>
  <c r="BB13" i="2"/>
  <c r="BD13" i="2" s="1"/>
  <c r="BB69" i="2"/>
  <c r="BD69" i="2" s="1"/>
  <c r="BB68" i="2"/>
  <c r="BD68" i="2" s="1"/>
  <c r="BB51" i="2"/>
  <c r="BD51" i="2" s="1"/>
  <c r="BB27" i="2" l="1"/>
  <c r="BD27" i="2" s="1"/>
  <c r="BB90" i="2" l="1"/>
  <c r="BB105" i="2" l="1"/>
  <c r="BD105" i="2" s="1"/>
  <c r="BB80" i="2"/>
  <c r="BD80" i="2" s="1"/>
  <c r="BB61" i="2" l="1"/>
  <c r="BD61" i="2" s="1"/>
  <c r="BB10" i="2" l="1"/>
  <c r="BD10" i="2" s="1"/>
  <c r="BB78" i="2" l="1"/>
  <c r="BB83" i="2"/>
  <c r="BD83" i="2" s="1"/>
  <c r="BB100" i="2" l="1"/>
  <c r="BD100" i="2" s="1"/>
  <c r="BA29" i="2"/>
  <c r="BB29" i="2" s="1"/>
  <c r="BD29" i="2" s="1"/>
  <c r="BB22" i="2"/>
  <c r="BA17" i="2"/>
  <c r="BB17" i="2" s="1"/>
  <c r="BA8" i="2"/>
  <c r="BB8" i="2" s="1"/>
  <c r="BB42" i="2"/>
  <c r="BB54" i="2"/>
  <c r="BB23" i="2" l="1"/>
  <c r="BD23" i="2" s="1"/>
  <c r="BB31" i="2"/>
  <c r="BB40" i="2"/>
  <c r="BD40" i="2" s="1"/>
  <c r="BB37" i="2" l="1"/>
  <c r="BD37" i="2" s="1"/>
  <c r="BA56" i="2" l="1"/>
  <c r="BB56" i="2" s="1"/>
  <c r="BD56" i="2" s="1"/>
  <c r="BB64" i="2"/>
  <c r="BD64" i="2" s="1"/>
  <c r="BB26" i="2"/>
  <c r="BD26" i="2" s="1"/>
  <c r="BB62" i="2"/>
  <c r="BB18" i="2"/>
  <c r="BB104" i="2"/>
  <c r="BD104" i="2" s="1"/>
  <c r="BD12" i="2"/>
  <c r="BB96" i="2"/>
  <c r="BD96" i="2" s="1"/>
  <c r="BB65" i="2"/>
  <c r="BD65" i="2" s="1"/>
  <c r="BB101" i="2" l="1"/>
  <c r="BD101" i="2" s="1"/>
  <c r="BB95" i="2"/>
  <c r="BD95" i="2" s="1"/>
  <c r="BB67" i="2" l="1"/>
  <c r="BD67" i="2" s="1"/>
  <c r="BB16" i="2"/>
  <c r="BD16" i="2" s="1"/>
  <c r="BB24" i="2"/>
  <c r="BD24" i="2" s="1"/>
  <c r="BB21" i="2"/>
  <c r="BD21" i="2" s="1"/>
  <c r="BA20" i="2"/>
  <c r="BB20" i="2" s="1"/>
  <c r="BB14" i="2"/>
  <c r="BB7" i="2"/>
  <c r="BB109" i="2"/>
  <c r="BB81" i="2"/>
  <c r="BB71" i="2"/>
  <c r="BD71" i="2" s="1"/>
  <c r="BB15" i="2"/>
  <c r="BB52" i="2"/>
  <c r="BB44" i="2"/>
  <c r="BA97" i="2"/>
  <c r="BB97" i="2" s="1"/>
  <c r="BB77" i="2"/>
  <c r="BD77" i="2" s="1"/>
  <c r="BB79" i="2"/>
  <c r="BD79" i="2" s="1"/>
  <c r="BA9" i="2" l="1"/>
  <c r="BB9" i="2" s="1"/>
  <c r="BD9" i="2" s="1"/>
  <c r="BB76" i="2" l="1"/>
  <c r="BD76" i="2" s="1"/>
  <c r="BB91" i="2"/>
  <c r="BA107" i="2"/>
  <c r="BB107" i="2" s="1"/>
  <c r="BB36" i="2"/>
  <c r="BB82" i="2" l="1"/>
  <c r="BD82" i="2" s="1"/>
  <c r="BB103" i="2"/>
  <c r="BD103" i="2" s="1"/>
  <c r="BB59" i="2"/>
  <c r="BB25" i="2"/>
  <c r="BB55" i="2"/>
  <c r="BB38" i="2"/>
  <c r="BB57" i="2"/>
  <c r="BB74" i="2"/>
  <c r="BD74" i="2" s="1"/>
  <c r="BB94" i="2"/>
  <c r="BD94" i="2" s="1"/>
  <c r="BB92" i="2"/>
  <c r="BB11" i="2"/>
  <c r="BB45" i="2"/>
  <c r="BD45" i="2" s="1"/>
  <c r="BB46" i="2"/>
  <c r="BD46" i="2" s="1"/>
  <c r="BB35" i="2"/>
  <c r="BD35" i="2" s="1"/>
  <c r="BB47" i="2"/>
  <c r="BD47" i="2" s="1"/>
  <c r="BB34" i="2"/>
  <c r="BD34" i="2" s="1"/>
  <c r="BA50" i="2"/>
  <c r="BB50" i="2" s="1"/>
  <c r="BD50" i="2" s="1"/>
  <c r="BB32" i="2"/>
  <c r="BD32" i="2" s="1"/>
  <c r="AT6" i="2" l="1"/>
  <c r="AV6" i="2" s="1"/>
  <c r="AT13" i="2"/>
  <c r="AV13" i="2" s="1"/>
  <c r="AT69" i="2"/>
  <c r="AV69" i="2" s="1"/>
  <c r="AT68" i="2"/>
  <c r="AV68" i="2" s="1"/>
  <c r="AT51" i="2"/>
  <c r="AV51" i="2" s="1"/>
  <c r="U67" i="2" l="1"/>
  <c r="W67" i="2" s="1"/>
  <c r="AL67" i="2"/>
  <c r="AN67" i="2" s="1"/>
  <c r="AT67" i="2"/>
  <c r="AV67" i="2" s="1"/>
  <c r="L67" i="2"/>
  <c r="AT76" i="2" l="1"/>
  <c r="AV76" i="2" s="1"/>
  <c r="AS75" i="2"/>
  <c r="AT99" i="2" l="1"/>
  <c r="AV99" i="2" s="1"/>
  <c r="AT10" i="2" l="1"/>
  <c r="AV10" i="2" s="1"/>
  <c r="AT75" i="2" l="1"/>
  <c r="AV75" i="2" s="1"/>
  <c r="AT58" i="2"/>
  <c r="AT43" i="2"/>
  <c r="AT73" i="2" l="1"/>
  <c r="AV73" i="2" s="1"/>
  <c r="AS86" i="2" l="1"/>
  <c r="AT27" i="2"/>
  <c r="AV27" i="2" s="1"/>
  <c r="AS30" i="2"/>
  <c r="AT98" i="2" l="1"/>
  <c r="AV98" i="2" s="1"/>
  <c r="AT37" i="2" l="1"/>
  <c r="AS66" i="2" l="1"/>
  <c r="BA66" i="2" s="1"/>
  <c r="AT23" i="2"/>
  <c r="AV23" i="2" s="1"/>
  <c r="AT66" i="2" l="1"/>
  <c r="AV66" i="2" s="1"/>
  <c r="AT17" i="2"/>
  <c r="AT8" i="2"/>
  <c r="AT42" i="2"/>
  <c r="AT52" i="2"/>
  <c r="AV52" i="2" s="1"/>
  <c r="AT15" i="2"/>
  <c r="AV15" i="2" s="1"/>
  <c r="AT96" i="2"/>
  <c r="AT31" i="2"/>
  <c r="AT83" i="2" l="1"/>
  <c r="AV83" i="2" s="1"/>
  <c r="AT93" i="2" l="1"/>
  <c r="AV93" i="2" s="1"/>
  <c r="AT16" i="2"/>
  <c r="AT41" i="2"/>
  <c r="AV41" i="2" s="1"/>
  <c r="AT29" i="2"/>
  <c r="AV29" i="2" s="1"/>
  <c r="AT77" i="2"/>
  <c r="AV77" i="2" s="1"/>
  <c r="AT79" i="2"/>
  <c r="AV79" i="2" s="1"/>
  <c r="AT61" i="2" l="1"/>
  <c r="AV61" i="2" s="1"/>
  <c r="AT91" i="2" l="1"/>
  <c r="AT65" i="2"/>
  <c r="AV65" i="2" s="1"/>
  <c r="AS18" i="2"/>
  <c r="AT62" i="2"/>
  <c r="AV62" i="2" s="1"/>
  <c r="AT70" i="2"/>
  <c r="AV70" i="2" s="1"/>
  <c r="AT24" i="2"/>
  <c r="AT21" i="2"/>
  <c r="AV21" i="2" s="1"/>
  <c r="AT78" i="2"/>
  <c r="AT105" i="2"/>
  <c r="AV105" i="2" s="1"/>
  <c r="AT101" i="2" l="1"/>
  <c r="AV101" i="2" s="1"/>
  <c r="AT95" i="2"/>
  <c r="AV95" i="2" s="1"/>
  <c r="AS9" i="2" l="1"/>
  <c r="AT106" i="2" l="1"/>
  <c r="AT71" i="2"/>
  <c r="AV71" i="2" s="1"/>
  <c r="AT12" i="2"/>
  <c r="AT100" i="2"/>
  <c r="AT22" i="2"/>
  <c r="AV22" i="2" s="1"/>
  <c r="AT11" i="2"/>
  <c r="AT39" i="2"/>
  <c r="AT48" i="2" l="1"/>
  <c r="AT40" i="2"/>
  <c r="AV40" i="2" s="1"/>
  <c r="AS107" i="2" l="1"/>
  <c r="AT107" i="2" s="1"/>
  <c r="AT38" i="2" l="1"/>
  <c r="AT90" i="2"/>
  <c r="AT74" i="2"/>
  <c r="AV74" i="2" s="1"/>
  <c r="AT97" i="2"/>
  <c r="AV97" i="2" s="1"/>
  <c r="AT102" i="2"/>
  <c r="AT80" i="2" l="1"/>
  <c r="AV80" i="2" s="1"/>
  <c r="AT109" i="2" l="1"/>
  <c r="AV109" i="2" s="1"/>
  <c r="AT94" i="2"/>
  <c r="AV94" i="2" s="1"/>
  <c r="AT89" i="2"/>
  <c r="AV89" i="2" s="1"/>
  <c r="AT54" i="2"/>
  <c r="AV54" i="2" s="1"/>
  <c r="AT53" i="2"/>
  <c r="AV53" i="2" s="1"/>
  <c r="AT49" i="2"/>
  <c r="AV49" i="2" s="1"/>
  <c r="AT44" i="2"/>
  <c r="AV44" i="2" s="1"/>
  <c r="AT26" i="2"/>
  <c r="AV26" i="2" s="1"/>
  <c r="AT14" i="2"/>
  <c r="AV14" i="2" s="1"/>
  <c r="AT7" i="2"/>
  <c r="AV7" i="2" s="1"/>
  <c r="AT4" i="2"/>
  <c r="AS20" i="2"/>
  <c r="AT20" i="2" s="1"/>
  <c r="AV20" i="2" s="1"/>
  <c r="AC53" i="2"/>
  <c r="AE53" i="2" s="1"/>
  <c r="AL53" i="2"/>
  <c r="AN53" i="2" s="1"/>
  <c r="AV4" i="2" l="1"/>
  <c r="AK75" i="2" l="1"/>
  <c r="AL75" i="2" s="1"/>
  <c r="AT81" i="2"/>
  <c r="AT57" i="2"/>
  <c r="AT103" i="2"/>
  <c r="AV103" i="2" s="1"/>
  <c r="AT82" i="2"/>
  <c r="AV82" i="2" s="1"/>
  <c r="AT59" i="2"/>
  <c r="AV59" i="2" s="1"/>
  <c r="AT55" i="2"/>
  <c r="AV55" i="2" s="1"/>
  <c r="AT104" i="2"/>
  <c r="AV104" i="2" s="1"/>
  <c r="AS50" i="2"/>
  <c r="AT50" i="2" s="1"/>
  <c r="AV50" i="2" s="1"/>
  <c r="AT86" i="2"/>
  <c r="AV86" i="2" s="1"/>
  <c r="AT45" i="2"/>
  <c r="AV45" i="2" s="1"/>
  <c r="AT35" i="2"/>
  <c r="AV35" i="2" s="1"/>
  <c r="AT46" i="2"/>
  <c r="AV46" i="2" s="1"/>
  <c r="AT34" i="2"/>
  <c r="AV34" i="2" s="1"/>
  <c r="AT47" i="2"/>
  <c r="AV47" i="2" s="1"/>
  <c r="AT32" i="2"/>
  <c r="AV32" i="2" s="1"/>
  <c r="AL37" i="2" l="1"/>
  <c r="AN37" i="2" s="1"/>
  <c r="AT25" i="2" l="1"/>
  <c r="AV25" i="2" s="1"/>
  <c r="AK107" i="2" l="1"/>
  <c r="AL107" i="2" s="1"/>
  <c r="AL5" i="2" l="1"/>
  <c r="AN5" i="2" s="1"/>
  <c r="AL27" i="2" l="1"/>
  <c r="AN27" i="2" s="1"/>
  <c r="AL57" i="2" l="1"/>
  <c r="AL81" i="2"/>
  <c r="AL76" i="2" l="1"/>
  <c r="AN76" i="2" s="1"/>
  <c r="AL71" i="2" l="1"/>
  <c r="AN71" i="2" s="1"/>
  <c r="AC69" i="2" l="1"/>
  <c r="AE69" i="2" s="1"/>
  <c r="AL69" i="2"/>
  <c r="AN69" i="2" s="1"/>
  <c r="AL51" i="2"/>
  <c r="AN51" i="2" s="1"/>
  <c r="AL68" i="2"/>
  <c r="AN68" i="2" s="1"/>
  <c r="U68" i="2"/>
  <c r="W68" i="2" s="1"/>
  <c r="AL13" i="2"/>
  <c r="AN13" i="2" s="1"/>
  <c r="AC13" i="2"/>
  <c r="AE13" i="2" s="1"/>
  <c r="AC6" i="2"/>
  <c r="AE6" i="2" s="1"/>
  <c r="U6" i="2"/>
  <c r="W6" i="2" s="1"/>
  <c r="U13" i="2"/>
  <c r="W13" i="2" s="1"/>
  <c r="U69" i="2"/>
  <c r="W69" i="2" s="1"/>
  <c r="AC68" i="2"/>
  <c r="AE68" i="2" s="1"/>
  <c r="U51" i="2"/>
  <c r="AL61" i="2"/>
  <c r="AN61" i="2" s="1"/>
  <c r="AL10" i="2"/>
  <c r="AN10" i="2" s="1"/>
  <c r="AL58" i="2" l="1"/>
  <c r="AL43" i="2"/>
  <c r="AL98" i="2" l="1"/>
  <c r="AN98" i="2" s="1"/>
  <c r="AL22" i="2"/>
  <c r="AN22" i="2" s="1"/>
  <c r="AL70" i="2" l="1"/>
  <c r="AN70" i="2" s="1"/>
  <c r="AM66" i="2" l="1"/>
  <c r="AK66" i="2"/>
  <c r="AL66" i="2" s="1"/>
  <c r="AL91" i="2"/>
  <c r="AL42" i="2"/>
  <c r="AN42" i="2" s="1"/>
  <c r="AL78" i="2"/>
  <c r="AN78" i="2" s="1"/>
  <c r="AL17" i="2"/>
  <c r="AN17" i="2" s="1"/>
  <c r="AL8" i="2"/>
  <c r="AN8" i="2" s="1"/>
  <c r="AL86" i="2"/>
  <c r="AN86" i="2" s="1"/>
  <c r="AK73" i="2"/>
  <c r="AN66" i="2" l="1"/>
  <c r="AL79" i="2"/>
  <c r="AN79" i="2" s="1"/>
  <c r="AL77" i="2"/>
  <c r="AN77" i="2" s="1"/>
  <c r="AL31" i="2" l="1"/>
  <c r="AN31" i="2" s="1"/>
  <c r="AL16" i="2" l="1"/>
  <c r="AL63" i="2" l="1"/>
  <c r="AN63" i="2" s="1"/>
  <c r="AL64" i="2" l="1"/>
  <c r="AN64" i="2" s="1"/>
  <c r="AL89" i="2" l="1"/>
  <c r="AN89" i="2" s="1"/>
  <c r="AL56" i="2"/>
  <c r="AN56" i="2" s="1"/>
  <c r="AL48" i="2"/>
  <c r="AL104" i="2" l="1"/>
  <c r="AN104" i="2" s="1"/>
  <c r="AK23" i="2"/>
  <c r="AL23" i="2" s="1"/>
  <c r="AN23" i="2" s="1"/>
  <c r="AC23" i="2"/>
  <c r="AE23" i="2" s="1"/>
  <c r="AL80" i="2" l="1"/>
  <c r="AN80" i="2" s="1"/>
  <c r="AL29" i="2" l="1"/>
  <c r="AN29" i="2" s="1"/>
  <c r="AL40" i="2"/>
  <c r="AN40" i="2" s="1"/>
  <c r="AL96" i="2" l="1"/>
  <c r="AN96" i="2" s="1"/>
  <c r="AL109" i="2" l="1"/>
  <c r="AN109" i="2" s="1"/>
  <c r="AL101" i="2"/>
  <c r="AN101" i="2" s="1"/>
  <c r="AL100" i="2"/>
  <c r="AN100" i="2" s="1"/>
  <c r="AL95" i="2"/>
  <c r="AL93" i="2"/>
  <c r="AN93" i="2" s="1"/>
  <c r="AL90" i="2"/>
  <c r="AN90" i="2" s="1"/>
  <c r="AL82" i="2"/>
  <c r="AN82" i="2" s="1"/>
  <c r="AL74" i="2"/>
  <c r="AN74" i="2" s="1"/>
  <c r="AL65" i="2"/>
  <c r="AN65" i="2" s="1"/>
  <c r="AL52" i="2"/>
  <c r="AN52" i="2" s="1"/>
  <c r="AL47" i="2"/>
  <c r="AN47" i="2" s="1"/>
  <c r="AL46" i="2"/>
  <c r="AN46" i="2" s="1"/>
  <c r="AL45" i="2"/>
  <c r="AN45" i="2" s="1"/>
  <c r="AL41" i="2"/>
  <c r="AN41" i="2" s="1"/>
  <c r="AL39" i="2"/>
  <c r="AN39" i="2" s="1"/>
  <c r="AL38" i="2"/>
  <c r="AN38" i="2" s="1"/>
  <c r="AL35" i="2"/>
  <c r="AN35" i="2" s="1"/>
  <c r="AL34" i="2"/>
  <c r="AN34" i="2" s="1"/>
  <c r="AL32" i="2"/>
  <c r="AN32" i="2" s="1"/>
  <c r="AL30" i="2"/>
  <c r="AN30" i="2" s="1"/>
  <c r="AL26" i="2"/>
  <c r="AN26" i="2" s="1"/>
  <c r="AL24" i="2"/>
  <c r="AN24" i="2" s="1"/>
  <c r="AL21" i="2"/>
  <c r="AN21" i="2" s="1"/>
  <c r="AL15" i="2"/>
  <c r="AN15" i="2" s="1"/>
  <c r="AL14" i="2"/>
  <c r="AN14" i="2" s="1"/>
  <c r="AL12" i="2"/>
  <c r="AN12" i="2" s="1"/>
  <c r="AL18" i="2"/>
  <c r="AK20" i="2"/>
  <c r="AL20" i="2" s="1"/>
  <c r="AN20" i="2" s="1"/>
  <c r="AL7" i="2"/>
  <c r="AN7" i="2" s="1"/>
  <c r="AK50" i="2" l="1"/>
  <c r="AL50" i="2" s="1"/>
  <c r="AN50" i="2" s="1"/>
  <c r="AB50" i="2"/>
  <c r="AC50" i="2" s="1"/>
  <c r="AE50" i="2" s="1"/>
  <c r="AE14" i="2"/>
  <c r="AE109" i="2"/>
  <c r="AE7" i="2"/>
  <c r="AD20" i="2"/>
  <c r="AE20" i="2" s="1"/>
  <c r="AK92" i="2"/>
  <c r="AL92" i="2" s="1"/>
  <c r="AN92" i="2" s="1"/>
  <c r="AC92" i="2"/>
  <c r="AK9" i="2" l="1"/>
  <c r="AL9" i="2" s="1"/>
  <c r="AN9" i="2" s="1"/>
  <c r="AC30" i="2"/>
  <c r="AE30" i="2" s="1"/>
  <c r="L30" i="2"/>
  <c r="AK97" i="2"/>
  <c r="AL97" i="2" s="1"/>
  <c r="AN97" i="2" s="1"/>
  <c r="AL11" i="2" l="1"/>
  <c r="AN11" i="2" s="1"/>
  <c r="AL103" i="2" l="1"/>
  <c r="AN103" i="2" s="1"/>
  <c r="AL94" i="2"/>
  <c r="AN94" i="2" s="1"/>
  <c r="AL59" i="2" l="1"/>
  <c r="AN59" i="2" s="1"/>
  <c r="AL55" i="2"/>
  <c r="AN55" i="2" s="1"/>
  <c r="AL25" i="2"/>
  <c r="AN25" i="2" s="1"/>
  <c r="AC108" i="2" l="1"/>
  <c r="U108" i="2"/>
  <c r="L108" i="2"/>
  <c r="AC86" i="2" l="1"/>
  <c r="AE86" i="2" s="1"/>
  <c r="AC56" i="2"/>
  <c r="AE56" i="2" s="1"/>
  <c r="AC73" i="2" l="1"/>
  <c r="AE73" i="2" s="1"/>
  <c r="AC91" i="2" l="1"/>
  <c r="AE91" i="2" s="1"/>
  <c r="AC76" i="2"/>
  <c r="AE76" i="2" s="1"/>
  <c r="AC58" i="2" l="1"/>
  <c r="AC43" i="2"/>
  <c r="AC33" i="2"/>
  <c r="AB10" i="2" l="1"/>
  <c r="AC10" i="2" s="1"/>
  <c r="AE10" i="2" s="1"/>
  <c r="AB48" i="2"/>
  <c r="AC61" i="2" l="1"/>
  <c r="AE61" i="2" s="1"/>
  <c r="AC48" i="2" l="1"/>
  <c r="AE48" i="2" s="1"/>
  <c r="AC37" i="2"/>
  <c r="AE37" i="2" s="1"/>
  <c r="AC29" i="2"/>
  <c r="AE29" i="2" s="1"/>
  <c r="AC15" i="2"/>
  <c r="AE15" i="2" s="1"/>
  <c r="AC52" i="2"/>
  <c r="AE52" i="2" s="1"/>
  <c r="AC46" i="2" l="1"/>
  <c r="AE46" i="2" s="1"/>
  <c r="AC45" i="2"/>
  <c r="AE45" i="2" s="1"/>
  <c r="AC35" i="2"/>
  <c r="AE35" i="2" s="1"/>
  <c r="AC34" i="2"/>
  <c r="AE34" i="2" s="1"/>
  <c r="AC47" i="2"/>
  <c r="AE47" i="2" s="1"/>
  <c r="AC32" i="2"/>
  <c r="AE32" i="2" s="1"/>
  <c r="AC49" i="2"/>
  <c r="AC41" i="2"/>
  <c r="AE41" i="2" s="1"/>
  <c r="AC106" i="2" l="1"/>
  <c r="AC93" i="2"/>
  <c r="AB81" i="2"/>
  <c r="AB57" i="2"/>
  <c r="AC57" i="2" s="1"/>
  <c r="AC70" i="2" l="1"/>
  <c r="AE70" i="2" s="1"/>
  <c r="AB71" i="2" l="1"/>
  <c r="AC71" i="2" s="1"/>
  <c r="AE71" i="2" s="1"/>
  <c r="AC16" i="2"/>
  <c r="AE16" i="2" s="1"/>
  <c r="AC17" i="2"/>
  <c r="AE17" i="2" s="1"/>
  <c r="AC8" i="2"/>
  <c r="AE8" i="2" s="1"/>
  <c r="AC42" i="2"/>
  <c r="AE42" i="2" s="1"/>
  <c r="V24" i="2"/>
  <c r="W24" i="2" s="1"/>
  <c r="AC24" i="2"/>
  <c r="AC31" i="2"/>
  <c r="AE31" i="2" s="1"/>
  <c r="AC54" i="2"/>
  <c r="M148" i="3" l="1"/>
  <c r="L148" i="3" s="1"/>
  <c r="M147" i="3"/>
  <c r="L147" i="3" s="1"/>
  <c r="M146" i="3"/>
  <c r="L146" i="3" s="1"/>
  <c r="M145" i="3"/>
  <c r="L145" i="3" s="1"/>
  <c r="M144" i="3"/>
  <c r="L144" i="3" s="1"/>
  <c r="M143" i="3"/>
  <c r="L143" i="3" s="1"/>
  <c r="M142" i="3"/>
  <c r="L142" i="3" s="1"/>
  <c r="M141" i="3"/>
  <c r="L141" i="3" s="1"/>
  <c r="M140" i="3"/>
  <c r="L140" i="3" s="1"/>
  <c r="M139" i="3"/>
  <c r="L139" i="3" s="1"/>
  <c r="M138" i="3"/>
  <c r="L138" i="3" s="1"/>
  <c r="M137" i="3"/>
  <c r="L137" i="3" s="1"/>
  <c r="M136" i="3"/>
  <c r="L136" i="3" s="1"/>
  <c r="M135" i="3"/>
  <c r="L135" i="3" s="1"/>
  <c r="M134" i="3"/>
  <c r="L134" i="3" s="1"/>
  <c r="M133" i="3"/>
  <c r="L133" i="3" s="1"/>
  <c r="M132" i="3"/>
  <c r="L132" i="3" s="1"/>
  <c r="M131" i="3"/>
  <c r="L131" i="3" s="1"/>
  <c r="M130" i="3"/>
  <c r="L130" i="3" s="1"/>
  <c r="M129" i="3"/>
  <c r="L129" i="3" s="1"/>
  <c r="M128" i="3"/>
  <c r="L128" i="3" s="1"/>
  <c r="M127" i="3"/>
  <c r="L127" i="3" s="1"/>
  <c r="M126" i="3"/>
  <c r="L126" i="3" s="1"/>
  <c r="M125" i="3"/>
  <c r="L125" i="3" s="1"/>
  <c r="M124" i="3"/>
  <c r="M123" i="3"/>
  <c r="L123" i="3" s="1"/>
  <c r="M122" i="3"/>
  <c r="L122" i="3" s="1"/>
  <c r="M121" i="3"/>
  <c r="L121" i="3" s="1"/>
  <c r="M120" i="3"/>
  <c r="L120" i="3" s="1"/>
  <c r="M119" i="3"/>
  <c r="L119" i="3" s="1"/>
  <c r="M118" i="3"/>
  <c r="L118" i="3" s="1"/>
  <c r="M117" i="3"/>
  <c r="L117" i="3" s="1"/>
  <c r="M116" i="3"/>
  <c r="L116" i="3" s="1"/>
  <c r="M115" i="3"/>
  <c r="L115" i="3" s="1"/>
  <c r="M114" i="3"/>
  <c r="L114" i="3" s="1"/>
  <c r="M113" i="3"/>
  <c r="L113" i="3" s="1"/>
  <c r="M112" i="3"/>
  <c r="L112" i="3" s="1"/>
  <c r="M111" i="3"/>
  <c r="L111" i="3" s="1"/>
  <c r="M110" i="3"/>
  <c r="L110" i="3" s="1"/>
  <c r="M109" i="3"/>
  <c r="L109" i="3" s="1"/>
  <c r="M108" i="3"/>
  <c r="L108" i="3" s="1"/>
  <c r="M107" i="3"/>
  <c r="M106" i="3"/>
  <c r="L106" i="3" s="1"/>
  <c r="M105" i="3"/>
  <c r="L105" i="3" s="1"/>
  <c r="M104" i="3"/>
  <c r="L104" i="3" s="1"/>
  <c r="M103" i="3"/>
  <c r="L103" i="3" s="1"/>
  <c r="M102" i="3"/>
  <c r="L102" i="3" s="1"/>
  <c r="M101" i="3"/>
  <c r="L101" i="3" s="1"/>
  <c r="M100" i="3"/>
  <c r="L100" i="3" s="1"/>
  <c r="M99" i="3"/>
  <c r="L99" i="3" s="1"/>
  <c r="M98" i="3"/>
  <c r="L98" i="3" s="1"/>
  <c r="M97" i="3"/>
  <c r="L97" i="3" s="1"/>
  <c r="M96" i="3"/>
  <c r="L96" i="3" s="1"/>
  <c r="M95" i="3"/>
  <c r="L95" i="3" s="1"/>
  <c r="M94" i="3"/>
  <c r="M93" i="3"/>
  <c r="L93" i="3" s="1"/>
  <c r="M92" i="3"/>
  <c r="L92" i="3" s="1"/>
  <c r="M91" i="3"/>
  <c r="L91" i="3" s="1"/>
  <c r="M90" i="3"/>
  <c r="L90" i="3" s="1"/>
  <c r="M89" i="3"/>
  <c r="L89" i="3" s="1"/>
  <c r="M88" i="3"/>
  <c r="L88" i="3" s="1"/>
  <c r="M87" i="3"/>
  <c r="L87" i="3" s="1"/>
  <c r="M86" i="3"/>
  <c r="L86" i="3" s="1"/>
  <c r="M85" i="3"/>
  <c r="L85" i="3" s="1"/>
  <c r="M84" i="3"/>
  <c r="L84" i="3" s="1"/>
  <c r="M83" i="3"/>
  <c r="L83" i="3" s="1"/>
  <c r="M82" i="3"/>
  <c r="L82" i="3" s="1"/>
  <c r="M81" i="3"/>
  <c r="L81" i="3" s="1"/>
  <c r="M80" i="3"/>
  <c r="L80" i="3" s="1"/>
  <c r="M79" i="3"/>
  <c r="L79" i="3" s="1"/>
  <c r="M78" i="3"/>
  <c r="L78" i="3" s="1"/>
  <c r="M77" i="3"/>
  <c r="L77" i="3" s="1"/>
  <c r="M76" i="3"/>
  <c r="L76" i="3" s="1"/>
  <c r="M75" i="3"/>
  <c r="L75" i="3" s="1"/>
  <c r="M74" i="3"/>
  <c r="L74" i="3" s="1"/>
  <c r="M73" i="3"/>
  <c r="L73" i="3" s="1"/>
  <c r="M72" i="3"/>
  <c r="L72" i="3" s="1"/>
  <c r="M71" i="3"/>
  <c r="L71" i="3" s="1"/>
  <c r="M70" i="3"/>
  <c r="L70" i="3" s="1"/>
  <c r="M69" i="3"/>
  <c r="L69" i="3" s="1"/>
  <c r="M68" i="3"/>
  <c r="L68" i="3" s="1"/>
  <c r="M67" i="3"/>
  <c r="L67" i="3" s="1"/>
  <c r="M66" i="3"/>
  <c r="L66" i="3" s="1"/>
  <c r="M65" i="3"/>
  <c r="L65" i="3" s="1"/>
  <c r="M64" i="3"/>
  <c r="L64" i="3" s="1"/>
  <c r="M63" i="3"/>
  <c r="L63" i="3" s="1"/>
  <c r="M62" i="3"/>
  <c r="L62" i="3" s="1"/>
  <c r="M61" i="3"/>
  <c r="L61" i="3" s="1"/>
  <c r="M60" i="3"/>
  <c r="L60" i="3" s="1"/>
  <c r="M59" i="3"/>
  <c r="L59" i="3" s="1"/>
  <c r="M58" i="3"/>
  <c r="L58" i="3" s="1"/>
  <c r="M57" i="3"/>
  <c r="L57" i="3" s="1"/>
  <c r="M56" i="3"/>
  <c r="L56" i="3" s="1"/>
  <c r="M55" i="3"/>
  <c r="L55" i="3" s="1"/>
  <c r="M54" i="3"/>
  <c r="L54" i="3" s="1"/>
  <c r="M53" i="3"/>
  <c r="L53" i="3" s="1"/>
  <c r="M52" i="3"/>
  <c r="L52" i="3" s="1"/>
  <c r="M51" i="3"/>
  <c r="L51" i="3" s="1"/>
  <c r="M50" i="3"/>
  <c r="L50" i="3" s="1"/>
  <c r="M49" i="3"/>
  <c r="L49" i="3" s="1"/>
  <c r="M48" i="3"/>
  <c r="L48" i="3" s="1"/>
  <c r="M47" i="3"/>
  <c r="L47" i="3" s="1"/>
  <c r="M46" i="3"/>
  <c r="L46" i="3" s="1"/>
  <c r="M45" i="3"/>
  <c r="L45" i="3" s="1"/>
  <c r="M44" i="3"/>
  <c r="L44" i="3" s="1"/>
  <c r="M43" i="3"/>
  <c r="L43" i="3" s="1"/>
  <c r="M42" i="3"/>
  <c r="L42" i="3" s="1"/>
  <c r="M41" i="3"/>
  <c r="L41" i="3" s="1"/>
  <c r="M40" i="3"/>
  <c r="L40" i="3" s="1"/>
  <c r="M39" i="3"/>
  <c r="L39" i="3" s="1"/>
  <c r="M38" i="3"/>
  <c r="L38" i="3" s="1"/>
  <c r="M37" i="3"/>
  <c r="L37" i="3" s="1"/>
  <c r="M36" i="3"/>
  <c r="L36" i="3" s="1"/>
  <c r="M35" i="3"/>
  <c r="L35" i="3" s="1"/>
  <c r="M34" i="3"/>
  <c r="L34" i="3" s="1"/>
  <c r="M33" i="3"/>
  <c r="L33" i="3" s="1"/>
  <c r="M32" i="3"/>
  <c r="L32" i="3" s="1"/>
  <c r="M31" i="3"/>
  <c r="L31" i="3" s="1"/>
  <c r="M30" i="3"/>
  <c r="L30" i="3" s="1"/>
  <c r="M29" i="3"/>
  <c r="L29" i="3" s="1"/>
  <c r="M28" i="3"/>
  <c r="L28" i="3" s="1"/>
  <c r="M27" i="3"/>
  <c r="M26" i="3"/>
  <c r="L26" i="3" s="1"/>
  <c r="M25" i="3"/>
  <c r="L25" i="3" s="1"/>
  <c r="M24" i="3"/>
  <c r="L24" i="3" s="1"/>
  <c r="M23" i="3"/>
  <c r="L23" i="3" s="1"/>
  <c r="M22" i="3"/>
  <c r="L22" i="3" s="1"/>
  <c r="M21" i="3"/>
  <c r="L21" i="3" s="1"/>
  <c r="M20" i="3"/>
  <c r="L20" i="3" s="1"/>
  <c r="M19" i="3"/>
  <c r="L19" i="3" s="1"/>
  <c r="M18" i="3"/>
  <c r="L18" i="3" s="1"/>
  <c r="M17" i="3"/>
  <c r="L17" i="3" s="1"/>
  <c r="M16" i="3"/>
  <c r="L16" i="3" s="1"/>
  <c r="M15" i="3"/>
  <c r="L15" i="3" s="1"/>
  <c r="M14" i="3"/>
  <c r="L14" i="3" s="1"/>
  <c r="M13" i="3"/>
  <c r="L13" i="3" s="1"/>
  <c r="M12" i="3"/>
  <c r="L12" i="3" s="1"/>
  <c r="M11" i="3"/>
  <c r="L11" i="3" s="1"/>
  <c r="M10" i="3"/>
  <c r="L10" i="3" s="1"/>
  <c r="M9" i="3"/>
  <c r="L9" i="3" s="1"/>
  <c r="M8" i="3"/>
  <c r="L8" i="3" s="1"/>
  <c r="M7" i="3"/>
  <c r="L7" i="3" s="1"/>
  <c r="M6" i="3"/>
  <c r="L6" i="3" s="1"/>
  <c r="K148" i="3"/>
  <c r="J148" i="3" s="1"/>
  <c r="K147" i="3"/>
  <c r="J147" i="3" s="1"/>
  <c r="K146" i="3"/>
  <c r="J146" i="3" s="1"/>
  <c r="K145" i="3"/>
  <c r="J145" i="3" s="1"/>
  <c r="K144" i="3"/>
  <c r="K143" i="3"/>
  <c r="J143" i="3" s="1"/>
  <c r="K142" i="3"/>
  <c r="J142" i="3" s="1"/>
  <c r="K141" i="3"/>
  <c r="J141" i="3" s="1"/>
  <c r="K140" i="3"/>
  <c r="J140" i="3" s="1"/>
  <c r="K139" i="3"/>
  <c r="J139" i="3" s="1"/>
  <c r="K138" i="3"/>
  <c r="J138" i="3" s="1"/>
  <c r="K137" i="3"/>
  <c r="J137" i="3" s="1"/>
  <c r="K136" i="3"/>
  <c r="J136" i="3" s="1"/>
  <c r="K135" i="3"/>
  <c r="J135" i="3" s="1"/>
  <c r="K134" i="3"/>
  <c r="J134" i="3" s="1"/>
  <c r="K133" i="3"/>
  <c r="J133" i="3" s="1"/>
  <c r="K132" i="3"/>
  <c r="J132" i="3" s="1"/>
  <c r="K131" i="3"/>
  <c r="J131" i="3" s="1"/>
  <c r="K130" i="3"/>
  <c r="J130" i="3" s="1"/>
  <c r="K129" i="3"/>
  <c r="J129" i="3" s="1"/>
  <c r="K128" i="3"/>
  <c r="J128" i="3" s="1"/>
  <c r="K127" i="3"/>
  <c r="J127" i="3" s="1"/>
  <c r="K126" i="3"/>
  <c r="J126" i="3" s="1"/>
  <c r="K125" i="3"/>
  <c r="J125" i="3" s="1"/>
  <c r="K124" i="3"/>
  <c r="J124" i="3" s="1"/>
  <c r="K123" i="3"/>
  <c r="J123" i="3" s="1"/>
  <c r="K122" i="3"/>
  <c r="J122" i="3" s="1"/>
  <c r="K121" i="3"/>
  <c r="J121" i="3" s="1"/>
  <c r="K120" i="3"/>
  <c r="J120" i="3" s="1"/>
  <c r="K119" i="3"/>
  <c r="K118" i="3"/>
  <c r="J118" i="3" s="1"/>
  <c r="K117" i="3"/>
  <c r="J117" i="3" s="1"/>
  <c r="K116" i="3"/>
  <c r="J116" i="3" s="1"/>
  <c r="K115" i="3"/>
  <c r="J115" i="3" s="1"/>
  <c r="K114" i="3"/>
  <c r="J114" i="3" s="1"/>
  <c r="K113" i="3"/>
  <c r="J113" i="3" s="1"/>
  <c r="K112" i="3"/>
  <c r="J112" i="3" s="1"/>
  <c r="K111" i="3"/>
  <c r="J111" i="3" s="1"/>
  <c r="K110" i="3"/>
  <c r="J110" i="3" s="1"/>
  <c r="K109" i="3"/>
  <c r="J109" i="3" s="1"/>
  <c r="K108" i="3"/>
  <c r="J108" i="3" s="1"/>
  <c r="K107" i="3"/>
  <c r="K106" i="3"/>
  <c r="J106" i="3" s="1"/>
  <c r="K105" i="3"/>
  <c r="K104" i="3"/>
  <c r="J104" i="3" s="1"/>
  <c r="K103" i="3"/>
  <c r="J103" i="3" s="1"/>
  <c r="K102" i="3"/>
  <c r="K101" i="3"/>
  <c r="J101" i="3" s="1"/>
  <c r="K100" i="3"/>
  <c r="J100" i="3" s="1"/>
  <c r="K99" i="3"/>
  <c r="J99" i="3" s="1"/>
  <c r="K98" i="3"/>
  <c r="J98" i="3" s="1"/>
  <c r="K97" i="3"/>
  <c r="K96" i="3"/>
  <c r="J96" i="3" s="1"/>
  <c r="K95" i="3"/>
  <c r="J95" i="3" s="1"/>
  <c r="K94" i="3"/>
  <c r="K93" i="3"/>
  <c r="J93" i="3" s="1"/>
  <c r="K92" i="3"/>
  <c r="J92" i="3" s="1"/>
  <c r="K91" i="3"/>
  <c r="J91" i="3" s="1"/>
  <c r="K90" i="3"/>
  <c r="J90" i="3" s="1"/>
  <c r="K89" i="3"/>
  <c r="J89" i="3" s="1"/>
  <c r="K88" i="3"/>
  <c r="J88" i="3" s="1"/>
  <c r="K87" i="3"/>
  <c r="J87" i="3" s="1"/>
  <c r="K86" i="3"/>
  <c r="J86" i="3" s="1"/>
  <c r="K85" i="3"/>
  <c r="J85" i="3" s="1"/>
  <c r="K84" i="3"/>
  <c r="J84" i="3" s="1"/>
  <c r="K83" i="3"/>
  <c r="J83" i="3" s="1"/>
  <c r="K82" i="3"/>
  <c r="J82" i="3" s="1"/>
  <c r="K81" i="3"/>
  <c r="J81" i="3" s="1"/>
  <c r="K80" i="3"/>
  <c r="J80" i="3" s="1"/>
  <c r="K79" i="3"/>
  <c r="J79" i="3" s="1"/>
  <c r="K78" i="3"/>
  <c r="J78" i="3" s="1"/>
  <c r="K77" i="3"/>
  <c r="J77" i="3" s="1"/>
  <c r="K76" i="3"/>
  <c r="J76" i="3" s="1"/>
  <c r="K75" i="3"/>
  <c r="J75" i="3" s="1"/>
  <c r="K74" i="3"/>
  <c r="J74" i="3" s="1"/>
  <c r="K73" i="3"/>
  <c r="J73" i="3" s="1"/>
  <c r="K72" i="3"/>
  <c r="J72" i="3" s="1"/>
  <c r="K71" i="3"/>
  <c r="J71" i="3" s="1"/>
  <c r="K70" i="3"/>
  <c r="J70" i="3" s="1"/>
  <c r="K69" i="3"/>
  <c r="J69" i="3" s="1"/>
  <c r="K68" i="3"/>
  <c r="J68" i="3" s="1"/>
  <c r="K67" i="3"/>
  <c r="J67" i="3" s="1"/>
  <c r="K66" i="3"/>
  <c r="J66" i="3" s="1"/>
  <c r="K65" i="3"/>
  <c r="J65" i="3" s="1"/>
  <c r="K64" i="3"/>
  <c r="J64" i="3" s="1"/>
  <c r="K63" i="3"/>
  <c r="J63" i="3" s="1"/>
  <c r="K62" i="3"/>
  <c r="J62" i="3" s="1"/>
  <c r="K61" i="3"/>
  <c r="J61" i="3" s="1"/>
  <c r="K60" i="3"/>
  <c r="K59" i="3"/>
  <c r="J59" i="3" s="1"/>
  <c r="K58" i="3"/>
  <c r="J58" i="3" s="1"/>
  <c r="K57" i="3"/>
  <c r="J57" i="3" s="1"/>
  <c r="K56" i="3"/>
  <c r="J56" i="3" s="1"/>
  <c r="K55" i="3"/>
  <c r="J55" i="3" s="1"/>
  <c r="K54" i="3"/>
  <c r="J54" i="3" s="1"/>
  <c r="K53" i="3"/>
  <c r="J53" i="3" s="1"/>
  <c r="K52" i="3"/>
  <c r="K51" i="3"/>
  <c r="K50" i="3"/>
  <c r="K49" i="3"/>
  <c r="J49" i="3" s="1"/>
  <c r="K48" i="3"/>
  <c r="K47" i="3"/>
  <c r="K46" i="3"/>
  <c r="K45" i="3"/>
  <c r="J45" i="3" s="1"/>
  <c r="K44" i="3"/>
  <c r="J44" i="3" s="1"/>
  <c r="K43" i="3"/>
  <c r="J43" i="3" s="1"/>
  <c r="K42" i="3"/>
  <c r="J42" i="3" s="1"/>
  <c r="K41" i="3"/>
  <c r="J41" i="3" s="1"/>
  <c r="K40" i="3"/>
  <c r="J40" i="3" s="1"/>
  <c r="K39" i="3"/>
  <c r="J39" i="3" s="1"/>
  <c r="K38" i="3"/>
  <c r="K37" i="3"/>
  <c r="K36" i="3"/>
  <c r="J36" i="3" s="1"/>
  <c r="K35" i="3"/>
  <c r="K34" i="3"/>
  <c r="K33" i="3"/>
  <c r="K32" i="3"/>
  <c r="J32" i="3" s="1"/>
  <c r="K31" i="3"/>
  <c r="J31" i="3" s="1"/>
  <c r="K30" i="3"/>
  <c r="J30" i="3" s="1"/>
  <c r="K29" i="3"/>
  <c r="J29" i="3" s="1"/>
  <c r="K28" i="3"/>
  <c r="J28" i="3" s="1"/>
  <c r="K27" i="3"/>
  <c r="K26" i="3"/>
  <c r="J26" i="3" s="1"/>
  <c r="K25" i="3"/>
  <c r="K24" i="3"/>
  <c r="J24" i="3" s="1"/>
  <c r="K23" i="3"/>
  <c r="J23" i="3" s="1"/>
  <c r="K22" i="3"/>
  <c r="J22" i="3" s="1"/>
  <c r="K21" i="3"/>
  <c r="J21" i="3" s="1"/>
  <c r="K20" i="3"/>
  <c r="J20" i="3" s="1"/>
  <c r="K19" i="3"/>
  <c r="J19" i="3" s="1"/>
  <c r="K18" i="3"/>
  <c r="J18" i="3" s="1"/>
  <c r="K17" i="3"/>
  <c r="J17" i="3" s="1"/>
  <c r="K16" i="3"/>
  <c r="J16" i="3" s="1"/>
  <c r="K15" i="3"/>
  <c r="J15" i="3" s="1"/>
  <c r="K14" i="3"/>
  <c r="J14" i="3" s="1"/>
  <c r="K13" i="3"/>
  <c r="J13" i="3" s="1"/>
  <c r="K12" i="3"/>
  <c r="J12" i="3" s="1"/>
  <c r="K11" i="3"/>
  <c r="J11" i="3" s="1"/>
  <c r="K10" i="3"/>
  <c r="J10" i="3" s="1"/>
  <c r="K9" i="3"/>
  <c r="J9" i="3" s="1"/>
  <c r="K8" i="3"/>
  <c r="K7" i="3"/>
  <c r="J7" i="3" s="1"/>
  <c r="K6" i="3"/>
  <c r="J6" i="3" s="1"/>
  <c r="I148" i="3"/>
  <c r="H148" i="3" s="1"/>
  <c r="I147" i="3"/>
  <c r="H147" i="3" s="1"/>
  <c r="I146" i="3"/>
  <c r="H146" i="3" s="1"/>
  <c r="I145" i="3"/>
  <c r="H145" i="3" s="1"/>
  <c r="I144" i="3"/>
  <c r="H144" i="3" s="1"/>
  <c r="I143" i="3"/>
  <c r="H143" i="3" s="1"/>
  <c r="I142" i="3"/>
  <c r="H142" i="3" s="1"/>
  <c r="I141" i="3"/>
  <c r="H141" i="3" s="1"/>
  <c r="I140" i="3"/>
  <c r="H140" i="3" s="1"/>
  <c r="I139" i="3"/>
  <c r="H139" i="3" s="1"/>
  <c r="I138" i="3"/>
  <c r="H138" i="3" s="1"/>
  <c r="I137" i="3"/>
  <c r="H137" i="3" s="1"/>
  <c r="I136" i="3"/>
  <c r="I135" i="3"/>
  <c r="H135" i="3" s="1"/>
  <c r="I134" i="3"/>
  <c r="H134" i="3" s="1"/>
  <c r="I133" i="3"/>
  <c r="H133" i="3" s="1"/>
  <c r="I132" i="3"/>
  <c r="H132" i="3" s="1"/>
  <c r="I131" i="3"/>
  <c r="H131" i="3" s="1"/>
  <c r="I130" i="3"/>
  <c r="H130" i="3" s="1"/>
  <c r="I129" i="3"/>
  <c r="H129" i="3" s="1"/>
  <c r="I128" i="3"/>
  <c r="H128" i="3" s="1"/>
  <c r="I127" i="3"/>
  <c r="I126" i="3"/>
  <c r="H126" i="3" s="1"/>
  <c r="I125" i="3"/>
  <c r="H125" i="3" s="1"/>
  <c r="I124" i="3"/>
  <c r="H124" i="3" s="1"/>
  <c r="I123" i="3"/>
  <c r="H123" i="3" s="1"/>
  <c r="I122" i="3"/>
  <c r="I121" i="3"/>
  <c r="H121" i="3" s="1"/>
  <c r="I120" i="3"/>
  <c r="H120" i="3" s="1"/>
  <c r="I119" i="3"/>
  <c r="H119" i="3" s="1"/>
  <c r="I118" i="3"/>
  <c r="H118" i="3" s="1"/>
  <c r="I117" i="3"/>
  <c r="H117" i="3" s="1"/>
  <c r="I116" i="3"/>
  <c r="I115" i="3"/>
  <c r="H115" i="3" s="1"/>
  <c r="I114" i="3"/>
  <c r="H114" i="3" s="1"/>
  <c r="I113" i="3"/>
  <c r="H113" i="3" s="1"/>
  <c r="I112" i="3"/>
  <c r="H112" i="3" s="1"/>
  <c r="I111" i="3"/>
  <c r="H111" i="3" s="1"/>
  <c r="I110" i="3"/>
  <c r="H110" i="3" s="1"/>
  <c r="I109" i="3"/>
  <c r="H109" i="3" s="1"/>
  <c r="I108" i="3"/>
  <c r="H108" i="3" s="1"/>
  <c r="I107" i="3"/>
  <c r="I106" i="3"/>
  <c r="H106" i="3" s="1"/>
  <c r="I105" i="3"/>
  <c r="H105" i="3" s="1"/>
  <c r="I104" i="3"/>
  <c r="H104" i="3" s="1"/>
  <c r="I103" i="3"/>
  <c r="I102" i="3"/>
  <c r="H102" i="3" s="1"/>
  <c r="I101" i="3"/>
  <c r="H101" i="3" s="1"/>
  <c r="I100" i="3"/>
  <c r="H100" i="3" s="1"/>
  <c r="I99" i="3"/>
  <c r="H99" i="3" s="1"/>
  <c r="I98" i="3"/>
  <c r="H98" i="3" s="1"/>
  <c r="I97" i="3"/>
  <c r="H97" i="3" s="1"/>
  <c r="I96" i="3"/>
  <c r="I95" i="3"/>
  <c r="H95" i="3" s="1"/>
  <c r="I94" i="3"/>
  <c r="I93" i="3"/>
  <c r="H93" i="3" s="1"/>
  <c r="I92" i="3"/>
  <c r="H92" i="3" s="1"/>
  <c r="I91" i="3"/>
  <c r="H91" i="3" s="1"/>
  <c r="I90" i="3"/>
  <c r="H90" i="3" s="1"/>
  <c r="I89" i="3"/>
  <c r="H89" i="3" s="1"/>
  <c r="I88" i="3"/>
  <c r="H88" i="3" s="1"/>
  <c r="I87" i="3"/>
  <c r="H87" i="3" s="1"/>
  <c r="I86" i="3"/>
  <c r="H86" i="3" s="1"/>
  <c r="I85" i="3"/>
  <c r="H85" i="3" s="1"/>
  <c r="I84" i="3"/>
  <c r="H84" i="3" s="1"/>
  <c r="I83" i="3"/>
  <c r="I82" i="3"/>
  <c r="H82" i="3" s="1"/>
  <c r="I81" i="3"/>
  <c r="H81" i="3" s="1"/>
  <c r="I80" i="3"/>
  <c r="H80" i="3" s="1"/>
  <c r="I79" i="3"/>
  <c r="H79" i="3" s="1"/>
  <c r="I78" i="3"/>
  <c r="H78" i="3" s="1"/>
  <c r="I77" i="3"/>
  <c r="H77" i="3" s="1"/>
  <c r="I76" i="3"/>
  <c r="H76" i="3" s="1"/>
  <c r="I75" i="3"/>
  <c r="H75" i="3" s="1"/>
  <c r="I74" i="3"/>
  <c r="H74" i="3" s="1"/>
  <c r="I73" i="3"/>
  <c r="I72" i="3"/>
  <c r="H72" i="3" s="1"/>
  <c r="I71" i="3"/>
  <c r="H71" i="3" s="1"/>
  <c r="I70" i="3"/>
  <c r="I69" i="3"/>
  <c r="H69" i="3" s="1"/>
  <c r="I68" i="3"/>
  <c r="H68" i="3" s="1"/>
  <c r="I67" i="3"/>
  <c r="H67" i="3" s="1"/>
  <c r="I66" i="3"/>
  <c r="H66" i="3" s="1"/>
  <c r="I65" i="3"/>
  <c r="H65" i="3" s="1"/>
  <c r="I64" i="3"/>
  <c r="I63" i="3"/>
  <c r="H63" i="3" s="1"/>
  <c r="I62" i="3"/>
  <c r="H62" i="3" s="1"/>
  <c r="I61" i="3"/>
  <c r="H61" i="3" s="1"/>
  <c r="I60" i="3"/>
  <c r="H60" i="3" s="1"/>
  <c r="I59" i="3"/>
  <c r="H59" i="3" s="1"/>
  <c r="I58" i="3"/>
  <c r="H58" i="3" s="1"/>
  <c r="I57" i="3"/>
  <c r="H57" i="3" s="1"/>
  <c r="I56" i="3"/>
  <c r="H56" i="3" s="1"/>
  <c r="I55" i="3"/>
  <c r="H55" i="3" s="1"/>
  <c r="I54" i="3"/>
  <c r="H54" i="3" s="1"/>
  <c r="I53" i="3"/>
  <c r="H53" i="3" s="1"/>
  <c r="I52" i="3"/>
  <c r="I51" i="3"/>
  <c r="I50" i="3"/>
  <c r="I49" i="3"/>
  <c r="H49" i="3" s="1"/>
  <c r="I48" i="3"/>
  <c r="I47" i="3"/>
  <c r="I46" i="3"/>
  <c r="H46" i="3" s="1"/>
  <c r="I45" i="3"/>
  <c r="H45" i="3" s="1"/>
  <c r="I44" i="3"/>
  <c r="H44" i="3" s="1"/>
  <c r="I43" i="3"/>
  <c r="H43" i="3" s="1"/>
  <c r="I42" i="3"/>
  <c r="H42" i="3" s="1"/>
  <c r="I41" i="3"/>
  <c r="H41" i="3" s="1"/>
  <c r="I40" i="3"/>
  <c r="H40" i="3" s="1"/>
  <c r="I39" i="3"/>
  <c r="H39" i="3" s="1"/>
  <c r="I38" i="3"/>
  <c r="I37" i="3"/>
  <c r="I36" i="3"/>
  <c r="H36" i="3" s="1"/>
  <c r="I35" i="3"/>
  <c r="I34" i="3"/>
  <c r="I33" i="3"/>
  <c r="I32" i="3"/>
  <c r="H32" i="3" s="1"/>
  <c r="I31" i="3"/>
  <c r="H31" i="3" s="1"/>
  <c r="I30" i="3"/>
  <c r="H30" i="3" s="1"/>
  <c r="I29" i="3"/>
  <c r="I28" i="3"/>
  <c r="H28" i="3" s="1"/>
  <c r="I27" i="3"/>
  <c r="H27" i="3" s="1"/>
  <c r="I26" i="3"/>
  <c r="H26" i="3" s="1"/>
  <c r="I25" i="3"/>
  <c r="H25" i="3" s="1"/>
  <c r="I24" i="3"/>
  <c r="H24" i="3" s="1"/>
  <c r="I23" i="3"/>
  <c r="H23" i="3" s="1"/>
  <c r="I22" i="3"/>
  <c r="H22" i="3" s="1"/>
  <c r="I21" i="3"/>
  <c r="H21" i="3" s="1"/>
  <c r="I20" i="3"/>
  <c r="H20" i="3" s="1"/>
  <c r="I19" i="3"/>
  <c r="H19" i="3" s="1"/>
  <c r="I18" i="3"/>
  <c r="H18" i="3" s="1"/>
  <c r="I17" i="3"/>
  <c r="H17" i="3" s="1"/>
  <c r="I16" i="3"/>
  <c r="I15" i="3"/>
  <c r="H15" i="3" s="1"/>
  <c r="I14" i="3"/>
  <c r="H14" i="3" s="1"/>
  <c r="I13" i="3"/>
  <c r="H13" i="3" s="1"/>
  <c r="I12" i="3"/>
  <c r="H12" i="3" s="1"/>
  <c r="I11" i="3"/>
  <c r="H11" i="3" s="1"/>
  <c r="I10" i="3"/>
  <c r="H10" i="3" s="1"/>
  <c r="I9" i="3"/>
  <c r="H9" i="3" s="1"/>
  <c r="I8" i="3"/>
  <c r="H8" i="3" s="1"/>
  <c r="I7" i="3"/>
  <c r="H7" i="3" s="1"/>
  <c r="I6" i="3"/>
  <c r="H6" i="3" s="1"/>
  <c r="AC98" i="2" l="1"/>
  <c r="AE98" i="2" s="1"/>
  <c r="AC96" i="2"/>
  <c r="AC90" i="2"/>
  <c r="AE90" i="2" s="1"/>
  <c r="L80" i="2" l="1"/>
  <c r="U80" i="2"/>
  <c r="W80" i="2" s="1"/>
  <c r="AC80" i="2"/>
  <c r="AE80" i="2" s="1"/>
  <c r="AC95" i="2" l="1"/>
  <c r="AE95" i="2" s="1"/>
  <c r="AC101" i="2"/>
  <c r="AE101" i="2" s="1"/>
  <c r="AC79" i="2"/>
  <c r="AE79" i="2" s="1"/>
  <c r="AC78" i="2"/>
  <c r="AE78" i="2" s="1"/>
  <c r="AC77" i="2"/>
  <c r="AE77" i="2" s="1"/>
  <c r="AC44" i="2"/>
  <c r="AE44" i="2" s="1"/>
  <c r="AC39" i="2"/>
  <c r="AE39" i="2" s="1"/>
  <c r="U88" i="2" l="1"/>
  <c r="AC12" i="2" l="1"/>
  <c r="AE12" i="2" s="1"/>
  <c r="AB66" i="2" l="1"/>
  <c r="AC66" i="2" s="1"/>
  <c r="AE66" i="2" s="1"/>
  <c r="L106" i="2" l="1"/>
  <c r="N106" i="2" s="1"/>
  <c r="U106" i="2"/>
  <c r="W106" i="2" s="1"/>
  <c r="U56" i="2"/>
  <c r="W56" i="2" s="1"/>
  <c r="L56" i="2"/>
  <c r="AC109" i="2" l="1"/>
  <c r="AC100" i="2"/>
  <c r="AE100" i="2" s="1"/>
  <c r="AC99" i="2"/>
  <c r="AE99" i="2" s="1"/>
  <c r="AC65" i="2"/>
  <c r="AE65" i="2" s="1"/>
  <c r="AC21" i="2"/>
  <c r="AE21" i="2" s="1"/>
  <c r="AC14" i="2"/>
  <c r="L107" i="3"/>
  <c r="J107" i="3" l="1"/>
  <c r="H94" i="3"/>
  <c r="H107" i="3"/>
  <c r="L94" i="3"/>
  <c r="AB107" i="2" l="1"/>
  <c r="AC107" i="2" s="1"/>
  <c r="AE107" i="2" s="1"/>
  <c r="AB20" i="2" l="1"/>
  <c r="AC20" i="2" s="1"/>
  <c r="AC7" i="2"/>
  <c r="AC89" i="2"/>
  <c r="AE89" i="2" s="1"/>
  <c r="AC103" i="2"/>
  <c r="AE103" i="2" s="1"/>
  <c r="AC94" i="2"/>
  <c r="AE94" i="2" s="1"/>
  <c r="AC82" i="2"/>
  <c r="AE82" i="2" s="1"/>
  <c r="AC74" i="2"/>
  <c r="AE74" i="2" s="1"/>
  <c r="AC67" i="2"/>
  <c r="AE67" i="2" s="1"/>
  <c r="AC62" i="2"/>
  <c r="AE62" i="2" s="1"/>
  <c r="AC59" i="2"/>
  <c r="AE59" i="2" s="1"/>
  <c r="AC55" i="2"/>
  <c r="AE55" i="2" s="1"/>
  <c r="AE51" i="2"/>
  <c r="AC40" i="2"/>
  <c r="AE40" i="2" s="1"/>
  <c r="AC28" i="2"/>
  <c r="AE28" i="2" s="1"/>
  <c r="AC26" i="2"/>
  <c r="AE26" i="2" s="1"/>
  <c r="AC25" i="2"/>
  <c r="AE25" i="2" s="1"/>
  <c r="AC22" i="2"/>
  <c r="AE22" i="2" s="1"/>
  <c r="AC11" i="2"/>
  <c r="AE11" i="2" s="1"/>
  <c r="H35" i="3"/>
  <c r="H34" i="3"/>
  <c r="H33" i="3"/>
  <c r="H116" i="3"/>
  <c r="AB97" i="2"/>
  <c r="AC97" i="2" s="1"/>
  <c r="AE97" i="2" s="1"/>
  <c r="J35" i="3" l="1"/>
  <c r="H52" i="3"/>
  <c r="J33" i="3"/>
  <c r="H50" i="3"/>
  <c r="H83" i="3"/>
  <c r="J34" i="3"/>
  <c r="H51" i="3"/>
  <c r="T70" i="2"/>
  <c r="J50" i="3" l="1"/>
  <c r="J52" i="3"/>
  <c r="J51" i="3"/>
  <c r="AB36" i="2"/>
  <c r="AC36" i="2" s="1"/>
  <c r="AE36" i="2" s="1"/>
  <c r="AB4" i="2"/>
  <c r="AC4" i="2" s="1"/>
  <c r="AB9" i="2"/>
  <c r="AC9" i="2" l="1"/>
  <c r="AE9" i="2" s="1"/>
  <c r="V93" i="2" l="1"/>
  <c r="V54" i="2" l="1"/>
  <c r="T86" i="2" l="1"/>
  <c r="J119" i="3" l="1"/>
  <c r="J46" i="3" l="1"/>
  <c r="U27" i="2" l="1"/>
  <c r="W27" i="2" s="1"/>
  <c r="U58" i="2"/>
  <c r="W58" i="2" s="1"/>
  <c r="U57" i="2"/>
  <c r="U81" i="2"/>
  <c r="U76" i="2"/>
  <c r="J97" i="3"/>
  <c r="J102" i="3" l="1"/>
  <c r="U33" i="2"/>
  <c r="W33" i="2" s="1"/>
  <c r="U54" i="2" l="1"/>
  <c r="W54" i="2" s="1"/>
  <c r="U77" i="2"/>
  <c r="W77" i="2" s="1"/>
  <c r="U79" i="2"/>
  <c r="W79" i="2" s="1"/>
  <c r="T100" i="2" l="1"/>
  <c r="U100" i="2" s="1"/>
  <c r="W100" i="2" s="1"/>
  <c r="U91" i="2"/>
  <c r="W91" i="2" s="1"/>
  <c r="T73" i="2" l="1"/>
  <c r="U73" i="2" s="1"/>
  <c r="W73" i="2" s="1"/>
  <c r="U43" i="2" l="1"/>
  <c r="W43" i="2" s="1"/>
  <c r="T50" i="2"/>
  <c r="L13" i="2"/>
  <c r="L68" i="2"/>
  <c r="L6" i="2"/>
  <c r="L51" i="2"/>
  <c r="U61" i="2"/>
  <c r="W61" i="2" s="1"/>
  <c r="U50" i="2" l="1"/>
  <c r="W50" i="2" s="1"/>
  <c r="U70" i="2"/>
  <c r="W70" i="2" s="1"/>
  <c r="U86" i="2"/>
  <c r="W86" i="2" s="1"/>
  <c r="U31" i="2"/>
  <c r="W31" i="2" s="1"/>
  <c r="U105" i="2"/>
  <c r="W105" i="2" s="1"/>
  <c r="U17" i="2"/>
  <c r="W17" i="2" s="1"/>
  <c r="U8" i="2"/>
  <c r="W8" i="2" s="1"/>
  <c r="U42" i="2"/>
  <c r="W42" i="2" s="1"/>
  <c r="L12" i="2"/>
  <c r="N12" i="2" s="1"/>
  <c r="U10" i="2" l="1"/>
  <c r="W10" i="2" s="1"/>
  <c r="T64" i="2"/>
  <c r="U65" i="2"/>
  <c r="W65" i="2" s="1"/>
  <c r="T107" i="2"/>
  <c r="U107" i="2" s="1"/>
  <c r="U104" i="2"/>
  <c r="W104" i="2" s="1"/>
  <c r="U101" i="2"/>
  <c r="W101" i="2" s="1"/>
  <c r="U95" i="2"/>
  <c r="W95" i="2" s="1"/>
  <c r="J60" i="3" l="1"/>
  <c r="J25" i="3"/>
  <c r="U35" i="2"/>
  <c r="W35" i="2" s="1"/>
  <c r="U46" i="2"/>
  <c r="W46" i="2" s="1"/>
  <c r="U32" i="2"/>
  <c r="W32" i="2" s="1"/>
  <c r="U45" i="2"/>
  <c r="W45" i="2" s="1"/>
  <c r="U47" i="2"/>
  <c r="W47" i="2" s="1"/>
  <c r="K92" i="2"/>
  <c r="T92" i="2"/>
  <c r="K57" i="2"/>
  <c r="W57" i="2"/>
  <c r="U18" i="2"/>
  <c r="U62" i="2"/>
  <c r="U34" i="2"/>
  <c r="W34" i="2" s="1"/>
  <c r="T29" i="2"/>
  <c r="U29" i="2" s="1"/>
  <c r="W29" i="2" s="1"/>
  <c r="U41" i="2"/>
  <c r="W41" i="2" s="1"/>
  <c r="U21" i="2"/>
  <c r="W21" i="2" s="1"/>
  <c r="U52" i="2"/>
  <c r="W52" i="2" s="1"/>
  <c r="U15" i="2"/>
  <c r="W15" i="2" s="1"/>
  <c r="U40" i="2"/>
  <c r="W40" i="2" s="1"/>
  <c r="U44" i="2" l="1"/>
  <c r="T90" i="2" l="1"/>
  <c r="J94" i="3"/>
  <c r="T39" i="2"/>
  <c r="U39" i="2" s="1"/>
  <c r="U49" i="2"/>
  <c r="T78" i="2"/>
  <c r="U78" i="2" s="1"/>
  <c r="U28" i="2"/>
  <c r="W28" i="2" s="1"/>
  <c r="J144" i="3"/>
  <c r="K60" i="2"/>
  <c r="T53" i="2"/>
  <c r="U53" i="2" s="1"/>
  <c r="W53" i="2" s="1"/>
  <c r="L53" i="2"/>
  <c r="N53" i="2" s="1"/>
  <c r="U109" i="2"/>
  <c r="W109" i="2" s="1"/>
  <c r="U71" i="2"/>
  <c r="W71" i="2" s="1"/>
  <c r="U38" i="2"/>
  <c r="W38" i="2" s="1"/>
  <c r="U24" i="2"/>
  <c r="U22" i="2"/>
  <c r="W22" i="2" s="1"/>
  <c r="T66" i="2"/>
  <c r="U66" i="2" s="1"/>
  <c r="W66" i="2" s="1"/>
  <c r="U82" i="2"/>
  <c r="W82" i="2" s="1"/>
  <c r="U26" i="2"/>
  <c r="W26" i="2" s="1"/>
  <c r="U12" i="2"/>
  <c r="U103" i="2"/>
  <c r="W103" i="2" s="1"/>
  <c r="K38" i="2"/>
  <c r="AC38" i="2" s="1"/>
  <c r="AE38" i="2" s="1"/>
  <c r="U59" i="2"/>
  <c r="W59" i="2" s="1"/>
  <c r="T20" i="2"/>
  <c r="U99" i="2"/>
  <c r="W99" i="2" s="1"/>
  <c r="U36" i="2"/>
  <c r="W36" i="2" s="1"/>
  <c r="T9" i="2"/>
  <c r="U9" i="2" s="1"/>
  <c r="W9" i="2" s="1"/>
  <c r="U74" i="2"/>
  <c r="W74" i="2" s="1"/>
  <c r="U94" i="2"/>
  <c r="W94" i="2" s="1"/>
  <c r="U25" i="2"/>
  <c r="W25" i="2" s="1"/>
  <c r="U4" i="2"/>
  <c r="W4" i="2" s="1"/>
  <c r="U55" i="2"/>
  <c r="W55" i="2" s="1"/>
  <c r="T97" i="2"/>
  <c r="U97" i="2" s="1"/>
  <c r="W97" i="2" s="1"/>
  <c r="J27" i="3" l="1"/>
  <c r="J8" i="3"/>
  <c r="J105" i="3"/>
  <c r="L23" i="2"/>
  <c r="N23" i="2" s="1"/>
  <c r="K70" i="2"/>
  <c r="L124" i="3" l="1"/>
  <c r="L27" i="3"/>
  <c r="L149" i="3" l="1"/>
  <c r="L55" i="2"/>
  <c r="N55" i="2" s="1"/>
  <c r="L47" i="2" l="1"/>
  <c r="K44" i="2"/>
  <c r="L44" i="2" s="1"/>
  <c r="L27" i="2" l="1"/>
  <c r="L37" i="2" l="1"/>
  <c r="L36" i="2"/>
  <c r="L59" i="2"/>
  <c r="N59" i="2" s="1"/>
  <c r="L25" i="2"/>
  <c r="N25" i="2" s="1"/>
  <c r="L73" i="2"/>
  <c r="N73" i="2" s="1"/>
  <c r="H103" i="3" l="1"/>
  <c r="L91" i="2"/>
  <c r="N91" i="2" s="1"/>
  <c r="H96" i="3" l="1"/>
  <c r="K50" i="2"/>
  <c r="L50" i="2" s="1"/>
  <c r="L76" i="2"/>
  <c r="L103" i="2" l="1"/>
  <c r="N103" i="2" s="1"/>
  <c r="L100" i="2"/>
  <c r="N100" i="2" s="1"/>
  <c r="L94" i="2"/>
  <c r="N94" i="2" s="1"/>
  <c r="L83" i="2"/>
  <c r="N83" i="2" s="1"/>
  <c r="L82" i="2"/>
  <c r="N82" i="2" s="1"/>
  <c r="L78" i="2"/>
  <c r="N78" i="2" s="1"/>
  <c r="L65" i="2"/>
  <c r="N65" i="2" s="1"/>
  <c r="L58" i="2"/>
  <c r="N58" i="2" s="1"/>
  <c r="K66" i="2"/>
  <c r="L66" i="2" s="1"/>
  <c r="N66" i="2" s="1"/>
  <c r="K7" i="2"/>
  <c r="U7" i="2" s="1"/>
  <c r="W7" i="2" s="1"/>
  <c r="L9" i="2"/>
  <c r="N9" i="2" s="1"/>
  <c r="K14" i="2"/>
  <c r="U14" i="2" s="1"/>
  <c r="W14" i="2" s="1"/>
  <c r="L15" i="2"/>
  <c r="N15" i="2" s="1"/>
  <c r="K18" i="2"/>
  <c r="AC18" i="2" s="1"/>
  <c r="AE18" i="2" s="1"/>
  <c r="L22" i="2"/>
  <c r="N22" i="2" s="1"/>
  <c r="K20" i="2"/>
  <c r="U20" i="2" s="1"/>
  <c r="W20" i="2" s="1"/>
  <c r="L21" i="2"/>
  <c r="N21" i="2" s="1"/>
  <c r="L26" i="2"/>
  <c r="N26" i="2" s="1"/>
  <c r="L28" i="2"/>
  <c r="N28" i="2" s="1"/>
  <c r="L29" i="2"/>
  <c r="N29" i="2" s="1"/>
  <c r="L40" i="2"/>
  <c r="N40" i="2" s="1"/>
  <c r="L41" i="2"/>
  <c r="N41" i="2" s="1"/>
  <c r="L52" i="2"/>
  <c r="N52" i="2" s="1"/>
  <c r="L70" i="2"/>
  <c r="N70" i="2" s="1"/>
  <c r="L71" i="2"/>
  <c r="N71" i="2" s="1"/>
  <c r="L74" i="2"/>
  <c r="N74" i="2" s="1"/>
  <c r="L95" i="2"/>
  <c r="N95" i="2" s="1"/>
  <c r="K97" i="2"/>
  <c r="L97" i="2" s="1"/>
  <c r="N97" i="2" s="1"/>
  <c r="K99" i="2"/>
  <c r="L101" i="2"/>
  <c r="N101" i="2" s="1"/>
  <c r="K104" i="2"/>
  <c r="AC104" i="2" s="1"/>
  <c r="AE104" i="2" s="1"/>
  <c r="K107" i="2"/>
  <c r="L107" i="2" s="1"/>
  <c r="N107" i="2" s="1"/>
  <c r="N108" i="2"/>
  <c r="N105" i="2"/>
  <c r="N102" i="2"/>
  <c r="N96" i="2"/>
  <c r="N88" i="2"/>
  <c r="N87" i="2"/>
  <c r="N86" i="2"/>
  <c r="N85" i="2"/>
  <c r="N81" i="2"/>
  <c r="N80" i="2"/>
  <c r="N79" i="2"/>
  <c r="N77" i="2"/>
  <c r="N76" i="2"/>
  <c r="N75" i="2"/>
  <c r="N69" i="2"/>
  <c r="N68" i="2"/>
  <c r="N67" i="2"/>
  <c r="N64" i="2"/>
  <c r="N63" i="2"/>
  <c r="N61" i="2"/>
  <c r="N60" i="2"/>
  <c r="N57" i="2"/>
  <c r="N56" i="2"/>
  <c r="N51" i="2"/>
  <c r="N50" i="2"/>
  <c r="N48" i="2"/>
  <c r="N47" i="2"/>
  <c r="N46" i="2"/>
  <c r="N45" i="2"/>
  <c r="N44" i="2"/>
  <c r="N42" i="2"/>
  <c r="N38" i="2"/>
  <c r="N37" i="2"/>
  <c r="N36" i="2"/>
  <c r="N35" i="2"/>
  <c r="N34" i="2"/>
  <c r="N33" i="2"/>
  <c r="N32" i="2"/>
  <c r="N31" i="2"/>
  <c r="N30" i="2"/>
  <c r="N27" i="2"/>
  <c r="N24" i="2"/>
  <c r="N17" i="2"/>
  <c r="N16" i="2"/>
  <c r="N13" i="2"/>
  <c r="N10" i="2"/>
  <c r="N8" i="2"/>
  <c r="N6" i="2"/>
  <c r="H122" i="3"/>
  <c r="H38" i="3"/>
  <c r="K49" i="2"/>
  <c r="H16" i="3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4" i="2"/>
  <c r="J4" i="2" s="1"/>
  <c r="H47" i="3" l="1"/>
  <c r="H37" i="3"/>
  <c r="H136" i="3"/>
  <c r="H64" i="3"/>
  <c r="H127" i="3"/>
  <c r="H73" i="3"/>
  <c r="H70" i="3"/>
  <c r="H29" i="3"/>
  <c r="H48" i="3"/>
  <c r="J37" i="3"/>
  <c r="J47" i="3" l="1"/>
  <c r="H149" i="3"/>
  <c r="J48" i="3" l="1"/>
  <c r="J38" i="3"/>
  <c r="J149" i="3" l="1"/>
</calcChain>
</file>

<file path=xl/sharedStrings.xml><?xml version="1.0" encoding="utf-8"?>
<sst xmlns="http://schemas.openxmlformats.org/spreadsheetml/2006/main" count="2848" uniqueCount="892">
  <si>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</si>
  <si>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</si>
  <si>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</si>
  <si>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</si>
  <si>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</si>
  <si>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</si>
  <si>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</si>
  <si>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</si>
  <si>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</si>
  <si>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</si>
  <si>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TIENDA</t>
  </si>
  <si>
    <t xml:space="preserve">CENTRO </t>
  </si>
  <si>
    <t>CIUDAD</t>
  </si>
  <si>
    <t>C.C.</t>
  </si>
  <si>
    <t>ACREEDOR ARRIENDO</t>
  </si>
  <si>
    <t>PROVEEDOR ARRIENDO</t>
  </si>
  <si>
    <t>NIT</t>
  </si>
  <si>
    <t>FEBRERO</t>
  </si>
  <si>
    <t>CANON MES</t>
  </si>
  <si>
    <t>VARIACION</t>
  </si>
  <si>
    <t>%</t>
  </si>
  <si>
    <t>DESCUENTO</t>
  </si>
  <si>
    <t>NOTA CREDITO</t>
  </si>
  <si>
    <t>SOPORTE</t>
  </si>
  <si>
    <t>COMENTARIO</t>
  </si>
  <si>
    <t>ESTADO</t>
  </si>
  <si>
    <t>PAGO</t>
  </si>
  <si>
    <t>SAP</t>
  </si>
  <si>
    <t>CDD</t>
  </si>
  <si>
    <t>Bogota</t>
  </si>
  <si>
    <t>SUMINISTROS PARTES Y COMPONENTES SAS</t>
  </si>
  <si>
    <t>ENVIADO</t>
  </si>
  <si>
    <t>Pt 1/7/20</t>
  </si>
  <si>
    <t>OFICINA</t>
  </si>
  <si>
    <t>Nueva Oficina</t>
  </si>
  <si>
    <t>NO</t>
  </si>
  <si>
    <t>PATRIMONIOS AUTONOMOS ADMINISTRADOS / DAVIVIENDA</t>
  </si>
  <si>
    <t>830053700-6</t>
  </si>
  <si>
    <t>FA T</t>
  </si>
  <si>
    <t>R001</t>
  </si>
  <si>
    <t>Ray Ban Unicentro</t>
  </si>
  <si>
    <t>TORRES CRUZ E HIJOS ASOCIADOS S EN</t>
  </si>
  <si>
    <t>R002</t>
  </si>
  <si>
    <t>Ray Ban santa Fe</t>
  </si>
  <si>
    <t>ROBERTO ARBOLEDA ANGULO</t>
  </si>
  <si>
    <t>10531154-0</t>
  </si>
  <si>
    <t>FA D</t>
  </si>
  <si>
    <t>Pt 6/7/20</t>
  </si>
  <si>
    <t>R003</t>
  </si>
  <si>
    <t>Ray Ban Colina</t>
  </si>
  <si>
    <t>INMOBILIARIA LA COLINA ARAUCO S.A.S 1</t>
  </si>
  <si>
    <t>R004</t>
  </si>
  <si>
    <t>Ray Ban Andino</t>
  </si>
  <si>
    <t>ENRIQUE SALDARRIAGA MARTINEZ</t>
  </si>
  <si>
    <t>79380986-3</t>
  </si>
  <si>
    <t>Pt 20/5/20</t>
  </si>
  <si>
    <t>JUANA MARIA SALDARRIAGA</t>
  </si>
  <si>
    <t>35469272-8</t>
  </si>
  <si>
    <t>R005</t>
  </si>
  <si>
    <t>Ray Ban B/quilla</t>
  </si>
  <si>
    <t>Barranquilla</t>
  </si>
  <si>
    <t>VARIABLE</t>
  </si>
  <si>
    <t>ITAU FIDUCIARIA P.A / patrimonios Autonomos 1</t>
  </si>
  <si>
    <t>ITAU FIDUCIARIA P.A/patrimonios Autonomos</t>
  </si>
  <si>
    <t>R006</t>
  </si>
  <si>
    <t>Ray Ban Serrezuela</t>
  </si>
  <si>
    <t>Cartagena</t>
  </si>
  <si>
    <t>C965</t>
  </si>
  <si>
    <t>218358/238658</t>
  </si>
  <si>
    <t>PROMOTORA ACR SAS/PLAZA LA SERREZUELA/FIDECOMISOS</t>
  </si>
  <si>
    <t>901249695-7</t>
  </si>
  <si>
    <t>SGH601</t>
  </si>
  <si>
    <t>CC. ANDINO</t>
  </si>
  <si>
    <t>ADARVE E HIJOS LTDA</t>
  </si>
  <si>
    <t>860053845-4</t>
  </si>
  <si>
    <t>SGH602</t>
  </si>
  <si>
    <t>CC. UNICENTRO BOGOTÁ</t>
  </si>
  <si>
    <t>ANUAR MUSTAFA BASHIR</t>
  </si>
  <si>
    <t>79681254-2</t>
  </si>
  <si>
    <t>SGH603</t>
  </si>
  <si>
    <t>CC. SANTA FE BOGOTÁ</t>
  </si>
  <si>
    <t>LUQUE OSPINA &amp; CIA SAS</t>
  </si>
  <si>
    <t>860008313-7</t>
  </si>
  <si>
    <t>Pt 9/6/20</t>
  </si>
  <si>
    <t>SGH604</t>
  </si>
  <si>
    <t>CC. MULTIPLAZA</t>
  </si>
  <si>
    <t>CORPORACION DE INVERSIONES DE COLOMBIA S</t>
  </si>
  <si>
    <t>DESUCNETO 50% ARRIENDO 40% ADMON</t>
  </si>
  <si>
    <t>SGH605</t>
  </si>
  <si>
    <t>CC.PREMIUM OUTLET ARAUCO</t>
  </si>
  <si>
    <t>INVERSIONES COLOMBIANAS ARAUCO SAS</t>
  </si>
  <si>
    <t>T052</t>
  </si>
  <si>
    <t xml:space="preserve"> Cable Plaza</t>
  </si>
  <si>
    <t>Manizales</t>
  </si>
  <si>
    <t>XIMENA CORREA RINCON</t>
  </si>
  <si>
    <t>30327779-2</t>
  </si>
  <si>
    <t xml:space="preserve">SGH606 </t>
  </si>
  <si>
    <t>CC. COLINA</t>
  </si>
  <si>
    <t xml:space="preserve">INMOBILIARIA LA COLINA ARAUCO S.A.S </t>
  </si>
  <si>
    <t>SGH607</t>
  </si>
  <si>
    <t>AEROPUERTO DORADO</t>
  </si>
  <si>
    <t>PATRIMONIOS AUTONOMOS FIDUCIARIA BA / OPAIN</t>
  </si>
  <si>
    <t xml:space="preserve">SGH608 </t>
  </si>
  <si>
    <t>FONTANAR</t>
  </si>
  <si>
    <t>DESARROLLADORA CC FONTANAR SAS 1</t>
  </si>
  <si>
    <t>900631450-3</t>
  </si>
  <si>
    <t>DESCUENTO 50%</t>
  </si>
  <si>
    <t>T003</t>
  </si>
  <si>
    <t>C.C. Santafé Local 2-127</t>
  </si>
  <si>
    <t>RC 2 SAS - EXCEDENTE</t>
  </si>
  <si>
    <t>RC 2 SAS</t>
  </si>
  <si>
    <t>T004</t>
  </si>
  <si>
    <t>C.C. El Tesoro</t>
  </si>
  <si>
    <t>Medellin</t>
  </si>
  <si>
    <t>SANTA JUANA INMOBILIARIA S,A,</t>
  </si>
  <si>
    <t>800101493-3</t>
  </si>
  <si>
    <t>Pt 19/6/20</t>
  </si>
  <si>
    <t>T005</t>
  </si>
  <si>
    <t>C.C. Centro Chía</t>
  </si>
  <si>
    <t>Chia</t>
  </si>
  <si>
    <t>INVERSIONES GERICO</t>
  </si>
  <si>
    <t>800129936-6</t>
  </si>
  <si>
    <t>DESCUENTA 50%</t>
  </si>
  <si>
    <t>T006</t>
  </si>
  <si>
    <t>C.C. Oviedo</t>
  </si>
  <si>
    <t xml:space="preserve">INVERSIONES RZ </t>
  </si>
  <si>
    <t>900467139-4</t>
  </si>
  <si>
    <t>T007</t>
  </si>
  <si>
    <t>C.C. Los Molinos</t>
  </si>
  <si>
    <t>INVERSIONES DAVIDI SAS</t>
  </si>
  <si>
    <t>901030150-3</t>
  </si>
  <si>
    <t>1900003442/NC1700000589/1000071452</t>
  </si>
  <si>
    <t>T008</t>
  </si>
  <si>
    <t xml:space="preserve">C.C. Gran Estación </t>
  </si>
  <si>
    <t>INVERSIONES GALMAPO</t>
  </si>
  <si>
    <t>900333654-0</t>
  </si>
  <si>
    <t>T010</t>
  </si>
  <si>
    <t>C.C. San Diego</t>
  </si>
  <si>
    <t>INMOBILIARIA MACLADER S.A.S</t>
  </si>
  <si>
    <t>901026014-4</t>
  </si>
  <si>
    <t>T100</t>
  </si>
  <si>
    <t xml:space="preserve"> C.C. Buenavista</t>
  </si>
  <si>
    <t>Santa Marta</t>
  </si>
  <si>
    <t>LUIS ALBERTO GARAY MORA</t>
  </si>
  <si>
    <t>4491359-9</t>
  </si>
  <si>
    <t>inversiones glc</t>
  </si>
  <si>
    <t>900025381-4</t>
  </si>
  <si>
    <t>T101</t>
  </si>
  <si>
    <t xml:space="preserve"> Girardot</t>
  </si>
  <si>
    <t>Girardot</t>
  </si>
  <si>
    <t>SCORPIO INVERSIONES S,A,</t>
  </si>
  <si>
    <t>830113477-6</t>
  </si>
  <si>
    <t>T102</t>
  </si>
  <si>
    <t xml:space="preserve"> Gran Plaza Del Sol</t>
  </si>
  <si>
    <t xml:space="preserve">FIDUCOLOMBIA P.A. CONCESION ASEO DC / GRAN PLAZA </t>
  </si>
  <si>
    <t>830054539-0</t>
  </si>
  <si>
    <t>T103</t>
  </si>
  <si>
    <t>Centenario</t>
  </si>
  <si>
    <t>Cali</t>
  </si>
  <si>
    <t>JM INMOBILIARIA SAS</t>
  </si>
  <si>
    <t>900325566-7</t>
  </si>
  <si>
    <t>T104</t>
  </si>
  <si>
    <t>Caracoli</t>
  </si>
  <si>
    <t>Bucaramanga</t>
  </si>
  <si>
    <t>INVERSIONES INMOBILIARIAS BUCARAMANGA/parque caracolí</t>
  </si>
  <si>
    <t>900460297-8</t>
  </si>
  <si>
    <t>T105</t>
  </si>
  <si>
    <t>Cc Unico</t>
  </si>
  <si>
    <t>Pasto</t>
  </si>
  <si>
    <t>CENTROS COMERCIALES DEL SUR SAS-variable</t>
  </si>
  <si>
    <t>900454187-1</t>
  </si>
  <si>
    <t>CENTROS COMERCIALES DEL SUR SAS</t>
  </si>
  <si>
    <t>T106</t>
  </si>
  <si>
    <t>Viva Villavicencio</t>
  </si>
  <si>
    <t>Villavicencio</t>
  </si>
  <si>
    <t>FIDUCOLOMBIA P.A. CONCESION ASEO DC</t>
  </si>
  <si>
    <t>FIDUCOLOMBIA P.A. CONCESION ASEO DC/patrimonos autonomos fiduciaria</t>
  </si>
  <si>
    <t>T107</t>
  </si>
  <si>
    <t>SERVICIOS ESTRATEGICOS</t>
  </si>
  <si>
    <t>T108</t>
  </si>
  <si>
    <t>T011</t>
  </si>
  <si>
    <t>Prime Tower</t>
  </si>
  <si>
    <t>TECNOLOGIA INMOBILIARIA</t>
  </si>
  <si>
    <t>860031357-7</t>
  </si>
  <si>
    <t>T110</t>
  </si>
  <si>
    <t>Cc. Arrecife</t>
  </si>
  <si>
    <t>206707</t>
  </si>
  <si>
    <t>ESTRUCTURA FUTURO SAS</t>
  </si>
  <si>
    <t>830030914-6</t>
  </si>
  <si>
    <t xml:space="preserve">MORALES PRIETO LILIANA </t>
  </si>
  <si>
    <t>52171996-2</t>
  </si>
  <si>
    <t>T111</t>
  </si>
  <si>
    <t>Cc. Bocagrande</t>
  </si>
  <si>
    <t>PEDRITOL S.A.S</t>
  </si>
  <si>
    <t>900528359-0</t>
  </si>
  <si>
    <t>T112</t>
  </si>
  <si>
    <t>Cc. Victoria</t>
  </si>
  <si>
    <t>Pereira</t>
  </si>
  <si>
    <t>ADRIANA GOMEZ BURITICA</t>
  </si>
  <si>
    <t>ANA MARGARITA BURITICA TORO</t>
  </si>
  <si>
    <t>JORGE EDUARDO GOMEZ BURITICA</t>
  </si>
  <si>
    <t>T113</t>
  </si>
  <si>
    <t>Cc. Unicentro Pereira</t>
  </si>
  <si>
    <t>SERGIO GRACIA GUTIERREZ</t>
  </si>
  <si>
    <t>SERGIO GRACIA GUTIERREZ 1</t>
  </si>
  <si>
    <t>T114</t>
  </si>
  <si>
    <t>Cc. Antares</t>
  </si>
  <si>
    <t>FIDUCOLOMBIA P.A. CONCESION ASEO DC / GRAN PLAZA 1</t>
  </si>
  <si>
    <t>FIDUCOLOMBIA P.A. CONCESION ASEO DC / GRAN PLAZA</t>
  </si>
  <si>
    <t>T115</t>
  </si>
  <si>
    <t>Cc. Colina</t>
  </si>
  <si>
    <t>PARQUE ARAUCO COLOMBIA SA</t>
  </si>
  <si>
    <t>T116</t>
  </si>
  <si>
    <t>Cc. Mall Plaza</t>
  </si>
  <si>
    <t>MALLPLAZA SERVICIOS SAS</t>
  </si>
  <si>
    <t>T117</t>
  </si>
  <si>
    <t>Cc. San Rafael</t>
  </si>
  <si>
    <t>CONSTRUCTORA URBANA SAN RAFAEL S.A.</t>
  </si>
  <si>
    <t>800140521-8</t>
  </si>
  <si>
    <t>T119</t>
  </si>
  <si>
    <t>Unico Yumbo</t>
  </si>
  <si>
    <t>T012</t>
  </si>
  <si>
    <t>Av. 19 Con 138</t>
  </si>
  <si>
    <t>INVERSIONES LEE CARDENAS  SAS</t>
  </si>
  <si>
    <t>T120</t>
  </si>
  <si>
    <t>Unico Neiva</t>
  </si>
  <si>
    <t>Neiva</t>
  </si>
  <si>
    <t>T122</t>
  </si>
  <si>
    <t>Unico Barranquilla</t>
  </si>
  <si>
    <t>T123</t>
  </si>
  <si>
    <t>La florida Medellin</t>
  </si>
  <si>
    <t>Nicolas jaramillo</t>
  </si>
  <si>
    <t>T124</t>
  </si>
  <si>
    <t xml:space="preserve">CC. Santa fe 2 </t>
  </si>
  <si>
    <t>ROYAL PROPIEDAD RAIZ SAS</t>
  </si>
  <si>
    <t>900658805-1</t>
  </si>
  <si>
    <t>NO DESCUENTO</t>
  </si>
  <si>
    <t>T125</t>
  </si>
  <si>
    <t>Unicentro V/cencio</t>
  </si>
  <si>
    <t>SCORPIO INVERSIONES SA</t>
  </si>
  <si>
    <t>T126</t>
  </si>
  <si>
    <t>Unicentro Bogota</t>
  </si>
  <si>
    <t>A. MORA E HIJOS SAS</t>
  </si>
  <si>
    <t>900282141-4</t>
  </si>
  <si>
    <t>T127</t>
  </si>
  <si>
    <t>C,C MULTIPLAZA</t>
  </si>
  <si>
    <t>T128</t>
  </si>
  <si>
    <t>Unicentro Armenia</t>
  </si>
  <si>
    <t>Armenia</t>
  </si>
  <si>
    <t>CONSTRUCTORA E INMOBILIARIA</t>
  </si>
  <si>
    <t>T129</t>
  </si>
  <si>
    <t>Portal del Norte</t>
  </si>
  <si>
    <t>T013</t>
  </si>
  <si>
    <t>C.C. Gran Estación</t>
  </si>
  <si>
    <t>ALVARO CORTES</t>
  </si>
  <si>
    <t>19166102-5</t>
  </si>
  <si>
    <t>T130</t>
  </si>
  <si>
    <t>Av. Chile</t>
  </si>
  <si>
    <t>JAIME GARCES SANTAMARIA</t>
  </si>
  <si>
    <t>79143264-9</t>
  </si>
  <si>
    <t>T131</t>
  </si>
  <si>
    <t>Palatino</t>
  </si>
  <si>
    <t>AMBIENTTI CONSTRUCTORA INMOBILIARIA 1</t>
  </si>
  <si>
    <t>830060858-1</t>
  </si>
  <si>
    <t>T132</t>
  </si>
  <si>
    <t>Mall Plaza Manizales</t>
  </si>
  <si>
    <t>205611 / 219464</t>
  </si>
  <si>
    <t>MALL PLAZA SERVICIOS / MANIZALES</t>
  </si>
  <si>
    <t>T133</t>
  </si>
  <si>
    <t>C.C. Gran Estación III</t>
  </si>
  <si>
    <t>INVERSIONES Y CONSTRUCIONES 79 SAS</t>
  </si>
  <si>
    <t>T134</t>
  </si>
  <si>
    <t>Cacique</t>
  </si>
  <si>
    <t>INMOBILIARIA CECILIA DE DIAZ LTDA</t>
  </si>
  <si>
    <t>804000347-7</t>
  </si>
  <si>
    <t>T135</t>
  </si>
  <si>
    <t>CC. Viva Envigado</t>
  </si>
  <si>
    <t>Envigado</t>
  </si>
  <si>
    <t>ITAU FIDUCIARIA P.A / patrimonios Autonomos</t>
  </si>
  <si>
    <t>830053963-6</t>
  </si>
  <si>
    <t>ITAU FIDUCIARIA P.A /patrimonios Autonomos</t>
  </si>
  <si>
    <t>T136</t>
  </si>
  <si>
    <t>Fontanar</t>
  </si>
  <si>
    <t>C940</t>
  </si>
  <si>
    <t>DESARROLLADORA CC FONTANAR SAS</t>
  </si>
  <si>
    <t>T014</t>
  </si>
  <si>
    <t>Carrera 7</t>
  </si>
  <si>
    <t>PEDRO JOSE LEMUS TRUJILLO / PROMOTORA LEMUS</t>
  </si>
  <si>
    <t>816007849-8</t>
  </si>
  <si>
    <t>T017</t>
  </si>
  <si>
    <t>Chapinero</t>
  </si>
  <si>
    <t>EDIFICIO FABE / CDD-8525</t>
  </si>
  <si>
    <t>T018</t>
  </si>
  <si>
    <t xml:space="preserve">La Oriental </t>
  </si>
  <si>
    <t xml:space="preserve">INVERSIONES BEATRIZ LAS NAYADES S A   </t>
  </si>
  <si>
    <t>T019</t>
  </si>
  <si>
    <t>C.C. Unicentro Cali I</t>
  </si>
  <si>
    <t>MYRIAM RAMIREZ NIETO 1</t>
  </si>
  <si>
    <t>31212864-1</t>
  </si>
  <si>
    <t>T020</t>
  </si>
  <si>
    <t>C.C. Unicentro Cali Ii</t>
  </si>
  <si>
    <t>MYRIAM RAMIREZ NIETO 2</t>
  </si>
  <si>
    <t>T022</t>
  </si>
  <si>
    <t>Chipichape</t>
  </si>
  <si>
    <t>CARMEN FARIDE HAZZI</t>
  </si>
  <si>
    <t>29064203-9</t>
  </si>
  <si>
    <t>T025</t>
  </si>
  <si>
    <t>Carrera 8</t>
  </si>
  <si>
    <t>204553/205662/205663/205666</t>
  </si>
  <si>
    <t>GESTIONAR ANGEL Y CIA</t>
  </si>
  <si>
    <t>816003192-1</t>
  </si>
  <si>
    <t>T027</t>
  </si>
  <si>
    <t>C.C. Palmetto Plaza</t>
  </si>
  <si>
    <t>INMUEBLES JAMO SAS</t>
  </si>
  <si>
    <t>900404964-4</t>
  </si>
  <si>
    <t>T030</t>
  </si>
  <si>
    <t>CC. Unicentro Bogotá</t>
  </si>
  <si>
    <t>VANESSA CARVAJAL ENRIQUEZ</t>
  </si>
  <si>
    <t>DAVID ALFONSO CARVAJAL</t>
  </si>
  <si>
    <t>LINA MARIA CARVAJAL ENRIQUEZ</t>
  </si>
  <si>
    <t>MAYA S.A.S.</t>
  </si>
  <si>
    <t xml:space="preserve">LYA S.A.S </t>
  </si>
  <si>
    <t>1026261501-3/1019012543-1</t>
  </si>
  <si>
    <t>T032</t>
  </si>
  <si>
    <t>C.C La Florida</t>
  </si>
  <si>
    <t>DIANA ORTIZ</t>
  </si>
  <si>
    <t>63532730-0</t>
  </si>
  <si>
    <t>Pp 1/7/20</t>
  </si>
  <si>
    <t>T033</t>
  </si>
  <si>
    <t>C.C Cosmocentro</t>
  </si>
  <si>
    <t>INVERSORA PIPINTA S.A.S</t>
  </si>
  <si>
    <t>T034</t>
  </si>
  <si>
    <t>Centro De Bogotá</t>
  </si>
  <si>
    <t>AMBIENTES INMOBILIARIOS S.A.S / INVER CASA IMPERIAL</t>
  </si>
  <si>
    <t>800016107-1</t>
  </si>
  <si>
    <t>T035</t>
  </si>
  <si>
    <t>Bulevar Niza</t>
  </si>
  <si>
    <t>CENTRO COMERCIAL BULEVAR NIZA</t>
  </si>
  <si>
    <t>800056712-9</t>
  </si>
  <si>
    <t>T037</t>
  </si>
  <si>
    <t>C.C. Premium Plaza</t>
  </si>
  <si>
    <t>FRANQUICIAS DE MARCA S,A,</t>
  </si>
  <si>
    <t>T038</t>
  </si>
  <si>
    <t>C.C. Megamall</t>
  </si>
  <si>
    <t>205668/69</t>
  </si>
  <si>
    <t>INMOBILIARIA CECILIA DE DIAZ</t>
  </si>
  <si>
    <t>T039</t>
  </si>
  <si>
    <t>Cc Cabecera La Quinta</t>
  </si>
  <si>
    <t>RAFAELA SARA MONTEJO DE ALBA</t>
  </si>
  <si>
    <t>23255390-6</t>
  </si>
  <si>
    <t>T040</t>
  </si>
  <si>
    <t>Cc Salitre Plaza I</t>
  </si>
  <si>
    <t xml:space="preserve">BEATRIZ DE CONTRERAS </t>
  </si>
  <si>
    <t>HILDEBRANDO URDINOLA</t>
  </si>
  <si>
    <t>T041</t>
  </si>
  <si>
    <t>Cc Hayuelos</t>
  </si>
  <si>
    <t>INMOBILIARIA MAURICIO AMAYA O &amp; CIA LTDA</t>
  </si>
  <si>
    <t>800243589-0</t>
  </si>
  <si>
    <t>T043</t>
  </si>
  <si>
    <t>Cc Salitre Plaza Ii</t>
  </si>
  <si>
    <t>CARLOS ENRIQUE STIEFKEN H</t>
  </si>
  <si>
    <t>17074400-2</t>
  </si>
  <si>
    <t>T044</t>
  </si>
  <si>
    <t>Galerías</t>
  </si>
  <si>
    <t>CRISTOBAL GUERRERO GUERRERO ALIX ASTRID GUERRERO 1</t>
  </si>
  <si>
    <t>51594265-9</t>
  </si>
  <si>
    <t>EDWIN A. GUERRERO ORTEGON 2</t>
  </si>
  <si>
    <t>SONIA JEANNETTE GUERRERO</t>
  </si>
  <si>
    <t>51594266-6</t>
  </si>
  <si>
    <t>T045</t>
  </si>
  <si>
    <t>Cedritos 2</t>
  </si>
  <si>
    <t>SOCIEDAD DE INMUEBLES AERONATICOS S</t>
  </si>
  <si>
    <t>900499174-1</t>
  </si>
  <si>
    <t>T047</t>
  </si>
  <si>
    <t>Cc Plaza De Las Américas</t>
  </si>
  <si>
    <t>AMBIENTTI CONSTRUCTORA INMOBILIARIA</t>
  </si>
  <si>
    <t>T048</t>
  </si>
  <si>
    <t>Centro Avianca</t>
  </si>
  <si>
    <t>LUNA VERDE LTDA</t>
  </si>
  <si>
    <t>800107852-1</t>
  </si>
  <si>
    <t>T049</t>
  </si>
  <si>
    <t>Cc Mayorca</t>
  </si>
  <si>
    <t>ANTIOQUEÑA DE NEGOCIOS LTDA / MAYORCA</t>
  </si>
  <si>
    <t>890907824-5</t>
  </si>
  <si>
    <t>T051</t>
  </si>
  <si>
    <t xml:space="preserve"> Armenia Cra 14</t>
  </si>
  <si>
    <t>T GESTIONA S.A.S.</t>
  </si>
  <si>
    <t>900415305-8</t>
  </si>
  <si>
    <t>SGH632</t>
  </si>
  <si>
    <t>AEROPUERTO MEDELLIN</t>
  </si>
  <si>
    <t>A544</t>
  </si>
  <si>
    <t>AIRPLAN/OPERADORA DE AEROPUERTOS AUTONORTE</t>
  </si>
  <si>
    <t>900205407-1</t>
  </si>
  <si>
    <t>T053</t>
  </si>
  <si>
    <t xml:space="preserve"> Calle 72</t>
  </si>
  <si>
    <t>204760/204642/204640/204639/204644</t>
  </si>
  <si>
    <t>CADENA BURGOS HERNANDO ENRIQUE</t>
  </si>
  <si>
    <t>T054</t>
  </si>
  <si>
    <t xml:space="preserve"> Portal 80</t>
  </si>
  <si>
    <t>ZERDA Y CIA SAS</t>
  </si>
  <si>
    <t>860501029-3</t>
  </si>
  <si>
    <t>T055</t>
  </si>
  <si>
    <t xml:space="preserve"> Buenavista</t>
  </si>
  <si>
    <t>INMOBILIARIA SALOMON SALES &amp; CIA S.A</t>
  </si>
  <si>
    <t>890102508-7</t>
  </si>
  <si>
    <t>T059</t>
  </si>
  <si>
    <t xml:space="preserve"> Plaza 82</t>
  </si>
  <si>
    <t>INMOBILIARIA SALOMON SALES &amp; C  1</t>
  </si>
  <si>
    <t>T060</t>
  </si>
  <si>
    <t xml:space="preserve"> Panorama</t>
  </si>
  <si>
    <t>INMOBILIARIA SALOMON SALES &amp; C 2</t>
  </si>
  <si>
    <t>T061</t>
  </si>
  <si>
    <t xml:space="preserve"> Av. San Martin</t>
  </si>
  <si>
    <t xml:space="preserve">INVERSIONES LEQUERICA BORGE Y </t>
  </si>
  <si>
    <t>900007552-0</t>
  </si>
  <si>
    <t>T064</t>
  </si>
  <si>
    <t xml:space="preserve"> Plaza Imperial 2</t>
  </si>
  <si>
    <t>LABORATORIO FOTOCHROME SAS</t>
  </si>
  <si>
    <t>860014223-7</t>
  </si>
  <si>
    <t>T066</t>
  </si>
  <si>
    <t>Plaza Caribe</t>
  </si>
  <si>
    <t>CARLOS DURAN SAS 1</t>
  </si>
  <si>
    <t>860069492-8</t>
  </si>
  <si>
    <t>T069</t>
  </si>
  <si>
    <t xml:space="preserve"> Jardín Plaza</t>
  </si>
  <si>
    <t>CENTRAL CONTROL SA</t>
  </si>
  <si>
    <t>T070</t>
  </si>
  <si>
    <t xml:space="preserve"> Carrera 11</t>
  </si>
  <si>
    <t>F.A &amp; JOTAS LTDA</t>
  </si>
  <si>
    <t>900153240-2</t>
  </si>
  <si>
    <t>T071</t>
  </si>
  <si>
    <t xml:space="preserve"> Limonar</t>
  </si>
  <si>
    <t>CARLOS DURAN SAS 2</t>
  </si>
  <si>
    <t>T073</t>
  </si>
  <si>
    <t xml:space="preserve"> Envigado</t>
  </si>
  <si>
    <t xml:space="preserve">MARIA ELENA CAÑAS HOYOS </t>
  </si>
  <si>
    <t>T074</t>
  </si>
  <si>
    <t xml:space="preserve"> Sta. Fe Medellín</t>
  </si>
  <si>
    <t>CARLOS DURAN SAS 3</t>
  </si>
  <si>
    <t>T075</t>
  </si>
  <si>
    <t xml:space="preserve"> Centro Mayor I</t>
  </si>
  <si>
    <t>CARLOS DURAN SAS 4</t>
  </si>
  <si>
    <t>T077</t>
  </si>
  <si>
    <t xml:space="preserve"> Centro 93</t>
  </si>
  <si>
    <t>CAPITAL REAL ESTATE LTDA</t>
  </si>
  <si>
    <t>900094025-1</t>
  </si>
  <si>
    <t>T078</t>
  </si>
  <si>
    <t xml:space="preserve"> San Nicolás</t>
  </si>
  <si>
    <t>Rionegro</t>
  </si>
  <si>
    <t>OBANDO GIRALDO S.A</t>
  </si>
  <si>
    <t>T079</t>
  </si>
  <si>
    <t xml:space="preserve"> Portal Prado</t>
  </si>
  <si>
    <t>SOCINSA S.A</t>
  </si>
  <si>
    <t>802001157-1</t>
  </si>
  <si>
    <t>T080</t>
  </si>
  <si>
    <t xml:space="preserve"> Multicentro</t>
  </si>
  <si>
    <t>Ibague</t>
  </si>
  <si>
    <t>MARIA CLEMENCIA PERDOMO SALAMA</t>
  </si>
  <si>
    <t>65753439-7</t>
  </si>
  <si>
    <t>T081</t>
  </si>
  <si>
    <t xml:space="preserve"> Fundadores</t>
  </si>
  <si>
    <t>TEJARES Y CIA S, EN C,A</t>
  </si>
  <si>
    <t>810006984-8</t>
  </si>
  <si>
    <t>T082</t>
  </si>
  <si>
    <t xml:space="preserve"> Centro Mayor Ii</t>
  </si>
  <si>
    <t>CARLOS DURAN SAS 5</t>
  </si>
  <si>
    <t>T083</t>
  </si>
  <si>
    <t>Cra 15 Con 85</t>
  </si>
  <si>
    <t>NORA MARTIN DUARTE</t>
  </si>
  <si>
    <t>T086</t>
  </si>
  <si>
    <t>Paseo De Bucaramanga</t>
  </si>
  <si>
    <t xml:space="preserve">JORGE ORTIZ DIAZ              </t>
  </si>
  <si>
    <t>T087</t>
  </si>
  <si>
    <t xml:space="preserve"> Molinos Ii</t>
  </si>
  <si>
    <t>CARLOS DURAN SAS 6</t>
  </si>
  <si>
    <t>T088</t>
  </si>
  <si>
    <t xml:space="preserve"> Villa Country</t>
  </si>
  <si>
    <t>CARLOS DURAN SAS 7</t>
  </si>
  <si>
    <t>T089</t>
  </si>
  <si>
    <t xml:space="preserve"> C.C. Calima</t>
  </si>
  <si>
    <t>205618 / 230429</t>
  </si>
  <si>
    <t>calima desarollos inmobiliarios / Nuevomundo</t>
  </si>
  <si>
    <t>T090</t>
  </si>
  <si>
    <t xml:space="preserve"> C.C. Atlantis</t>
  </si>
  <si>
    <t>MULTIPLIKA</t>
  </si>
  <si>
    <t>800256769-6</t>
  </si>
  <si>
    <t>T091</t>
  </si>
  <si>
    <t xml:space="preserve"> C.C. Titán</t>
  </si>
  <si>
    <t>PUNTO S. A</t>
  </si>
  <si>
    <t>MARQUEZ TONO Y ASOCIADOS LTDA</t>
  </si>
  <si>
    <t>800235419-3</t>
  </si>
  <si>
    <t>CASTAÑEDA Y ABELLO S EN C</t>
  </si>
  <si>
    <t>830508161-0</t>
  </si>
  <si>
    <t>T092</t>
  </si>
  <si>
    <t xml:space="preserve"> C.C. Estación</t>
  </si>
  <si>
    <t>CARLOS DURAN SAS 8</t>
  </si>
  <si>
    <t>T096</t>
  </si>
  <si>
    <t>C.C. Santafe</t>
  </si>
  <si>
    <t>CARLOS DURAN SAS</t>
  </si>
  <si>
    <t>CONTROL DE ARRIENDO 2021</t>
  </si>
  <si>
    <t>ADMINISTRADORA PARQUE ARAUCO</t>
  </si>
  <si>
    <t>901394357-2</t>
  </si>
  <si>
    <t>INVERSIONES INMOBILIARIAS BUCARAMANGA ARAUCO SAS</t>
  </si>
  <si>
    <t>FURNI</t>
  </si>
  <si>
    <t>CONSTRUCCIONES Y BIENES S.A.</t>
  </si>
  <si>
    <t>R007</t>
  </si>
  <si>
    <t>Tesoro</t>
  </si>
  <si>
    <t>E924</t>
  </si>
  <si>
    <t>LA MEMORIA S.A.S</t>
  </si>
  <si>
    <t>900425964-4</t>
  </si>
  <si>
    <t>T138</t>
  </si>
  <si>
    <t>PARQUE ARBOLEDA</t>
  </si>
  <si>
    <t>PEREIRA</t>
  </si>
  <si>
    <t>A854</t>
  </si>
  <si>
    <t>EJE CONSTRUCCIONES SAS</t>
  </si>
  <si>
    <t>900.079.790-5</t>
  </si>
  <si>
    <t>SGH635</t>
  </si>
  <si>
    <t>A997</t>
  </si>
  <si>
    <t>FELLINZI LIMITADA</t>
  </si>
  <si>
    <t>PARQUE ARAUCO COLOMBIA SAS</t>
  </si>
  <si>
    <t>900.252.139-0</t>
  </si>
  <si>
    <t>SWISS WATCHMAKERS COL SAS</t>
  </si>
  <si>
    <t xml:space="preserve">ADMINISTRACION </t>
  </si>
  <si>
    <t>DESCRIPCION ADMINISTRACION</t>
  </si>
  <si>
    <t>C.c.</t>
  </si>
  <si>
    <t>ACREEDOR ADMON</t>
  </si>
  <si>
    <t>PROVEEDOR ADMINISTRACION</t>
  </si>
  <si>
    <t>NUEVA OFICINA</t>
  </si>
  <si>
    <t>EDIFICIO TORRE 123 P.H</t>
  </si>
  <si>
    <t>901.295.881-6</t>
  </si>
  <si>
    <t>PARQUE EMPRESARIAL EL DORADO</t>
  </si>
  <si>
    <t>TIENDA R001- RAYBAN Local 2-272 UNICENTRO</t>
  </si>
  <si>
    <t>CIUDADELA COMERCIAL UNICENTRO</t>
  </si>
  <si>
    <t>860.043.896-7</t>
  </si>
  <si>
    <t>SANTAFE CENTRO COMERCIAL</t>
  </si>
  <si>
    <t>900.083.038-1</t>
  </si>
  <si>
    <t>TIENDA R003 - RAYBAN</t>
  </si>
  <si>
    <t>TIENDA R004 - RAYBAN</t>
  </si>
  <si>
    <t>CENTRO COMERCIAL ANDINO PH</t>
  </si>
  <si>
    <t>800.199.501-5</t>
  </si>
  <si>
    <t>VIVA BARRANQUILLA R005</t>
  </si>
  <si>
    <t>PATRIMONIOS AUTONOMOS FIDUCIARIA BANCOLOMBIA</t>
  </si>
  <si>
    <t>LA SERREZUELA R006</t>
  </si>
  <si>
    <t>MTS ADMINISTRACION TOTAL S.A.S/plaza la serrezuela</t>
  </si>
  <si>
    <t>901.249.695-7</t>
  </si>
  <si>
    <t>SGH 601</t>
  </si>
  <si>
    <t>TIENDA 001 SGH CC ANDINO</t>
  </si>
  <si>
    <t>ADARVE - ANDINO</t>
  </si>
  <si>
    <t>860.053.845-4</t>
  </si>
  <si>
    <t>SGH 602</t>
  </si>
  <si>
    <t>TIENDA 602 UNICENTRO SGH LC 2-185</t>
  </si>
  <si>
    <t>CIUDADELA COMERCIAL UNICENTRO L 2-185</t>
  </si>
  <si>
    <t>SGH 603</t>
  </si>
  <si>
    <t>TIENDA SGH 603 CRA,9 A N°99 - 07 OF .802 LC1-071</t>
  </si>
  <si>
    <t>204600</t>
  </si>
  <si>
    <t>SGH 604</t>
  </si>
  <si>
    <t xml:space="preserve">TIENDA 604 SGH </t>
  </si>
  <si>
    <t>MULTI PLAZA PH</t>
  </si>
  <si>
    <t>SGH 605</t>
  </si>
  <si>
    <t>TIENDA 605 SGH</t>
  </si>
  <si>
    <t>900.197.303-7</t>
  </si>
  <si>
    <t>SGH 606</t>
  </si>
  <si>
    <t>TIENDA 606 SGH LC222</t>
  </si>
  <si>
    <t>SGH 608</t>
  </si>
  <si>
    <t>TIENDA 608 SGH FONTANAR</t>
  </si>
  <si>
    <t>900.631.450-3</t>
  </si>
  <si>
    <t xml:space="preserve">TIENDA 3 SANTA FE LC126-127                       </t>
  </si>
  <si>
    <t xml:space="preserve">TIENDA 4 TESORO                                   </t>
  </si>
  <si>
    <t>PARQUE COMERCIAL EL TESORO</t>
  </si>
  <si>
    <t>811.021.621-6</t>
  </si>
  <si>
    <t xml:space="preserve">TIENDA 5 CHIA                                     </t>
  </si>
  <si>
    <t>COMPLEJO COMERCIAL CENTRO CHIA</t>
  </si>
  <si>
    <t>800.085.013-2</t>
  </si>
  <si>
    <t xml:space="preserve">TIENDA 6 OVIEDO                                   </t>
  </si>
  <si>
    <t>INVERSIONES RZ S.A.S.</t>
  </si>
  <si>
    <t>900.467.139-4</t>
  </si>
  <si>
    <t xml:space="preserve">TIENDA 7 MOLINOS                                  </t>
  </si>
  <si>
    <t>901.03.150-3</t>
  </si>
  <si>
    <t>TIENDA 8 GRAN ESTACION LC 2-106</t>
  </si>
  <si>
    <t xml:space="preserve">GRAN ESTACION CENTRO COMERCIAL </t>
  </si>
  <si>
    <t>900.146.950-4</t>
  </si>
  <si>
    <t xml:space="preserve">TIENDA 10 SANDIEGO                                </t>
  </si>
  <si>
    <t>CENTRO COMERCIAL SANDIEGO P,H,</t>
  </si>
  <si>
    <t>890.911.709-1</t>
  </si>
  <si>
    <t xml:space="preserve">TIENDA 100 BUENAVISTA SANTA MARTA </t>
  </si>
  <si>
    <t>CENTRO COMERCIAL BUENAVISTA</t>
  </si>
  <si>
    <t>900.054.062-3</t>
  </si>
  <si>
    <t>TIENDA 101 GIRARDOT UNICENTRO</t>
  </si>
  <si>
    <t>CENTRO COMERCIAL UNICENTRO GIRARDOT</t>
  </si>
  <si>
    <t>900.793.017-1</t>
  </si>
  <si>
    <t>TIENDA 102 PLAZA DEL SOL GRAN</t>
  </si>
  <si>
    <t>830.054.539-0</t>
  </si>
  <si>
    <t>TIENDA 103 TIENDA 103 CENTENARIO</t>
  </si>
  <si>
    <t>900.325.566-7</t>
  </si>
  <si>
    <t>TIENDA 104 CARACOLI</t>
  </si>
  <si>
    <t>INVERSIONES INMOBILIARIAS BUCARAMAN ARAUCO</t>
  </si>
  <si>
    <t>900.460.297-8</t>
  </si>
  <si>
    <t>TIENDA 105 PASTO - GMO UNIC</t>
  </si>
  <si>
    <t>CENTROS COMERCIALES DEL SUR PASTO</t>
  </si>
  <si>
    <t>900.454.187-1</t>
  </si>
  <si>
    <t>TIENDA 106 CL 7 No 45-185  LA ESPERANZA - GMO VIVA VILLA 134B</t>
  </si>
  <si>
    <t>LA SABANA CENTRO COMERCIAL/PATRIMONIOS AUTONOMOS FIDUCIARIA</t>
  </si>
  <si>
    <t>900.159.661-7</t>
  </si>
  <si>
    <t>TIENDA 107 CALI GMO UNICO</t>
  </si>
  <si>
    <t>SERVICIOS ESTRATEGICOS  COMPARTIDOS  CALI</t>
  </si>
  <si>
    <t>900.612.118-1</t>
  </si>
  <si>
    <t>TIENDA 108 GMO UNICO VILLABO</t>
  </si>
  <si>
    <t>SERVICIOS ESTRATEGICOS VILLAVICENCIO</t>
  </si>
  <si>
    <t xml:space="preserve">TIENDA 11 CLL 100  PRIME TOWE                               </t>
  </si>
  <si>
    <t>PRIMER TOWER / GESTION DE ACTIVOS TECNI</t>
  </si>
  <si>
    <t>900.300.055-7</t>
  </si>
  <si>
    <t>TIENDA 110 GMO C.C. ARRECI</t>
  </si>
  <si>
    <t>CENTRO COMERCIAL ARRECIFE</t>
  </si>
  <si>
    <t>900534142-4</t>
  </si>
  <si>
    <t>TIENDA 111 GMO C.C. BOCAGR</t>
  </si>
  <si>
    <t>PLAZA BOCAGRANDE CENTRO COMERCIAL</t>
  </si>
  <si>
    <t>900.785.012-1</t>
  </si>
  <si>
    <t>TIENDA 113 GMO C.C. UNICEN</t>
  </si>
  <si>
    <t>CENTRO COMERCIAL UNICENTRO PEREIRA</t>
  </si>
  <si>
    <t>900.279.801-6</t>
  </si>
  <si>
    <t>TIENDA 114 GMO CC. ANTARES</t>
  </si>
  <si>
    <t>TIENDA 115 GMO CC. PARQUE COLINA</t>
  </si>
  <si>
    <t>TIENDA 116 GMO CC MALL PLAZA CARTAGENA</t>
  </si>
  <si>
    <r>
      <rPr>
        <sz val="11"/>
        <rFont val="Calibri"/>
        <family val="2"/>
        <scheme val="minor"/>
      </rPr>
      <t>MALL PLAZA SERVICIOS</t>
    </r>
    <r>
      <rPr>
        <sz val="11"/>
        <color indexed="10"/>
        <rFont val="Calibri"/>
        <family val="2"/>
        <scheme val="minor"/>
      </rPr>
      <t xml:space="preserve"> /CENTRO COMERCIAL EL CASTILLO CARTAG</t>
    </r>
  </si>
  <si>
    <t>901.120.943-3</t>
  </si>
  <si>
    <t>TIENDA 117 GMO SAN RAFAEL</t>
  </si>
  <si>
    <t>900.032.476-4</t>
  </si>
  <si>
    <t>TIENDA 119 GMO UNICO YUMBO</t>
  </si>
  <si>
    <t>TIENDA 120 GMO UNICO NEIVA</t>
  </si>
  <si>
    <t>SERVICIOS ESTRATEGICOS NEIVA</t>
  </si>
  <si>
    <t>TIENDA 122 GMO UNICO BARRANQUILLA</t>
  </si>
  <si>
    <t>SEVICIOS ESTRATEGICOS BARRANQUILLA</t>
  </si>
  <si>
    <t>TIENDA 123 GMO FLORIDA MEDELLIN</t>
  </si>
  <si>
    <t xml:space="preserve">TIENDA 002 SGH CC UNICENTRO </t>
  </si>
  <si>
    <t>210438</t>
  </si>
  <si>
    <t>900.658.805-1</t>
  </si>
  <si>
    <t>TIENDA 125 GMO UNICENTRO VILLAVICENCIO</t>
  </si>
  <si>
    <t>CENTRO COMERCIAL UNICENTRO VILLAVIC</t>
  </si>
  <si>
    <t>TIENDA 126 GMO UNICENTRO II BOGOTA L 1-018</t>
  </si>
  <si>
    <t>204573</t>
  </si>
  <si>
    <t>CIUDADELA COMERCIAL UNICENTRO 1-018</t>
  </si>
  <si>
    <t>TIENDA 127 GMO MULTIPLAZA BOGOTA</t>
  </si>
  <si>
    <t>TIENDA 128 GMO UNICENTRO ARMENIA</t>
  </si>
  <si>
    <t>210958</t>
  </si>
  <si>
    <t>CENTRO COMERCIAL UNICENTRO ARMENIA</t>
  </si>
  <si>
    <t>900.547.704-1</t>
  </si>
  <si>
    <t>TIENDA 129 CENTRO COMERCIAL PUERTA DEL NORTE P.H NIVEL 2</t>
  </si>
  <si>
    <t>SANTA JUANA INMOBILIARIA S,A</t>
  </si>
  <si>
    <t>800.101.493-3</t>
  </si>
  <si>
    <t>T13 GRAN ESTACION CENTRO COMERCIAL 079</t>
  </si>
  <si>
    <t xml:space="preserve">TIENDA 130 </t>
  </si>
  <si>
    <t>217036</t>
  </si>
  <si>
    <t>CENTRO AVENIDA DE CHILE PH L 122</t>
  </si>
  <si>
    <t>860.509.249-3</t>
  </si>
  <si>
    <t xml:space="preserve">TIENDA 131 CENTRO COMERCIAL PALATINO </t>
  </si>
  <si>
    <t>830.060.858-1</t>
  </si>
  <si>
    <t>TIENDA NUEVA T-133 LC 2206</t>
  </si>
  <si>
    <t>GRAN ESTACION CENTRO COMERCIAL</t>
  </si>
  <si>
    <t>TIENDA 134</t>
  </si>
  <si>
    <t>804.000.347-7</t>
  </si>
  <si>
    <t>TIENDA VIVA ENVIGADO T-135 PISO 1 LOCAL 169</t>
  </si>
  <si>
    <t>228274</t>
  </si>
  <si>
    <t>ITAU FIDUCIARIA P.A</t>
  </si>
  <si>
    <t>830.053.963-6</t>
  </si>
  <si>
    <t>TIENDA 136 FONTANAR</t>
  </si>
  <si>
    <t xml:space="preserve">TIENDA 19 UNICENTR LC 224 CALI                         </t>
  </si>
  <si>
    <t>CIUDADELA CIAL UNICENTRO CALI-PROP HOR</t>
  </si>
  <si>
    <t>890.321.156-7</t>
  </si>
  <si>
    <t xml:space="preserve">TIENDA 22 CHIPICHAPE 511-544                      </t>
  </si>
  <si>
    <t>CENTRO COMERCIAL CHIPICHAPE</t>
  </si>
  <si>
    <t>800.256.395-5</t>
  </si>
  <si>
    <t xml:space="preserve">TIENDA 27 CALLE 9 48-81 CC PALMETTO LC 148        </t>
  </si>
  <si>
    <t>CENTRO COMERCIAL PALMETTO PLAZA</t>
  </si>
  <si>
    <t>900.004.566-1</t>
  </si>
  <si>
    <t>T-30</t>
  </si>
  <si>
    <t xml:space="preserve">TIENDA 30 CC UNICENTRO LC 1-176                 </t>
  </si>
  <si>
    <t xml:space="preserve">TIENDA 30 CC UNICENTRO LC 1-080                     </t>
  </si>
  <si>
    <t xml:space="preserve">TIENDA 32 CC LA FLORIDA                           </t>
  </si>
  <si>
    <t>CENTRO CIAL  LA FLORIDA CANAVERAL</t>
  </si>
  <si>
    <t>900.003.663-1</t>
  </si>
  <si>
    <t xml:space="preserve">TIENDA 33 COSMOCENTRO CIUDADELA COMERCIAL         </t>
  </si>
  <si>
    <t>COSMOCENTRO CIUDADELA COMERCIAL</t>
  </si>
  <si>
    <t>890.320.980-5</t>
  </si>
  <si>
    <t xml:space="preserve">TIENDA 34 AV 19 No, 4-98  CENTRO BTA                        </t>
  </si>
  <si>
    <t>EDIFICIO ANDES</t>
  </si>
  <si>
    <t>860.040.438-3</t>
  </si>
  <si>
    <t xml:space="preserve">TIENDA 35 C,C BULEVAR                            </t>
  </si>
  <si>
    <t>CENTRO COMERCIAL BULEVAR</t>
  </si>
  <si>
    <t>800.056.712-9</t>
  </si>
  <si>
    <t xml:space="preserve">TIENDA 37 PREMIUN PLAZA                           </t>
  </si>
  <si>
    <t>CENTRO COMERCIAL PREMIUM PLAZA PH</t>
  </si>
  <si>
    <t>900.190.544-3</t>
  </si>
  <si>
    <t xml:space="preserve">TIENDA 38 MEGAMALL B/MANGA                        </t>
  </si>
  <si>
    <t>MEGAMALL CENTRO COMERCIAL</t>
  </si>
  <si>
    <t xml:space="preserve">TIENDA 39 CRA 36 49-45 LC 325 CCC LA QUINTA       </t>
  </si>
  <si>
    <t>23.255.390-6</t>
  </si>
  <si>
    <t>SALITRE PLAZA CENTRO COMERCIAL</t>
  </si>
  <si>
    <t>830.021.423-3</t>
  </si>
  <si>
    <t xml:space="preserve">TIENDA 41 HAYUELOS                                </t>
  </si>
  <si>
    <t>HAYUELOS CTRO  EMPRESARIAL COMERCIA</t>
  </si>
  <si>
    <t>900.225.764-1</t>
  </si>
  <si>
    <t xml:space="preserve">TIENDA 43 SALITRE 2   LC260                        </t>
  </si>
  <si>
    <t xml:space="preserve">TIENDA 45 CEDRITOS 2                              </t>
  </si>
  <si>
    <t>900.499.174-1</t>
  </si>
  <si>
    <t xml:space="preserve">TIENDA 47 PLAZA DE LAS AMERICAS                        </t>
  </si>
  <si>
    <t>CTRO CIAL PLAZA DE LAS AMERICAS P.H/ambientti</t>
  </si>
  <si>
    <t xml:space="preserve">TIENDA 49 MAYORCA 2                                    </t>
  </si>
  <si>
    <t>890.907.824-5</t>
  </si>
  <si>
    <t>TIENDA 52 MANIZALES - CABLE P</t>
  </si>
  <si>
    <t>EDIFICIO C.C CABLE PLAZA PH</t>
  </si>
  <si>
    <t>810.006.362-7</t>
  </si>
  <si>
    <t xml:space="preserve">TIENDA 54 PORTAL 80                                     </t>
  </si>
  <si>
    <t>CENTRO COMERCIAL PORTAL DE LA 80 PH</t>
  </si>
  <si>
    <t>830.143.447-3</t>
  </si>
  <si>
    <t xml:space="preserve">TIENDA 55 BARRANQUILLA  C CIAL BUENAVISTA II LOCAL 202 </t>
  </si>
  <si>
    <t>CENTRO COMERCIAL BUENAVISTA II</t>
  </si>
  <si>
    <t>900.280.551-1</t>
  </si>
  <si>
    <t>TIENDA 64 P IMP 64 KR 104 # 146 - 20 AV, CIUDAD DE CALI l, 1-17</t>
  </si>
  <si>
    <t>PLAZA IMPERIAL CTRO CIAL PROP HORI</t>
  </si>
  <si>
    <t>900.059.184-6</t>
  </si>
  <si>
    <t xml:space="preserve">TIENDA 66 CARIBE PLAZA CARTAGENA                        </t>
  </si>
  <si>
    <t>CARIBE PLAZA CENTRO COMERCIAL</t>
  </si>
  <si>
    <t>900.233.968-9</t>
  </si>
  <si>
    <t xml:space="preserve">TIENDA 69 C, C, JARDIN PLAZA LOCAL 111 CALI       </t>
  </si>
  <si>
    <t>CENTRAL CONTROL SAS/jardin plaza</t>
  </si>
  <si>
    <t>805.030.587-1</t>
  </si>
  <si>
    <t xml:space="preserve">TIENDA 70 CRA 11 No, 84 - 09  local 7 ANDINO BTA  </t>
  </si>
  <si>
    <t>TORRE AMADEUS</t>
  </si>
  <si>
    <t>900.399.161-5</t>
  </si>
  <si>
    <t xml:space="preserve">TIENDA 74 CRA 43 7-SUR 130 LC 9148         </t>
  </si>
  <si>
    <t>CENTRO COMERCIAL SANTAFE MEDELLIN</t>
  </si>
  <si>
    <t>900.351.744-1</t>
  </si>
  <si>
    <t xml:space="preserve">TIENDA 75 CC CENTRO MAYOR CRA 27 No 38 A 61 SUR L,1079 </t>
  </si>
  <si>
    <t>CTRO MAYOR CTRO CIAL PROPIE HORIZ</t>
  </si>
  <si>
    <t>900.346.807-7</t>
  </si>
  <si>
    <t xml:space="preserve">TIENDA 77 CRA 15 CTRO 93 -60 LOCAL 117 BTA               </t>
  </si>
  <si>
    <t>900.094.025-1</t>
  </si>
  <si>
    <t>TIENDA 78 C,C S, NICOLAS L-2263 CL 43NO54-139 RIO NEGRO</t>
  </si>
  <si>
    <t>CENTRO COMERCIAL SAN NICOLAS PH</t>
  </si>
  <si>
    <t>900.163.527-3</t>
  </si>
  <si>
    <t>TIENDA 79 CC PORTALDELPRADO  L-160 Cll53No46-192 Barran</t>
  </si>
  <si>
    <t>EDIFICIO CTRO CIAL PORTAL DEL PRADO</t>
  </si>
  <si>
    <t>900.180.378-4</t>
  </si>
  <si>
    <t xml:space="preserve">TIENDA 80 CRA 5 No 66-123 CC MULTICENTRO IBAGUE L-205  </t>
  </si>
  <si>
    <t>CENTRO COMERCIAL MULTICENTRO</t>
  </si>
  <si>
    <t>900.018.771-4</t>
  </si>
  <si>
    <t>TIENDA 81 CRA 20 NO34-18 L 249 CC FUNDADORES PH M/ZALES</t>
  </si>
  <si>
    <t>CTRO CIAL FUNDADORES PROPIEDAD H</t>
  </si>
  <si>
    <t>900.393.259-0</t>
  </si>
  <si>
    <t>TIENDA 82 CC CENTRO MAYOR CRA 27 No 38 A 61- SUR LC2092</t>
  </si>
  <si>
    <t xml:space="preserve">TIENDA 83 CRA 15 85 36 BOGOTA                          </t>
  </si>
  <si>
    <t>EDIFICIO CENTRO COUNTRY</t>
  </si>
  <si>
    <t>860.353.908-7</t>
  </si>
  <si>
    <t xml:space="preserve">TIENDA 87Calle 30A No,82A-26 Local 1006 CC MOLINOS     </t>
  </si>
  <si>
    <t>CTRO CIAL MOLINOS PRIMERA ETAPA PH</t>
  </si>
  <si>
    <t>900.088.977-3</t>
  </si>
  <si>
    <t>TIENDA 88 CENTRO COMERCIAL VILLA COUNTRY</t>
  </si>
  <si>
    <t>CENTRO COMERCIAL VILLA COUNTRY</t>
  </si>
  <si>
    <t>800.234.027-5</t>
  </si>
  <si>
    <t>TIENDA 90 C.C. ATLANTI</t>
  </si>
  <si>
    <t>TIENDA 91 C.C. TITAN PLAZA</t>
  </si>
  <si>
    <t>TITAN PLAZA CENTRO COMERCIAL Y EM</t>
  </si>
  <si>
    <t>900.534.711-5</t>
  </si>
  <si>
    <t>TIENDA 92 C.C AV 60 Y AV AMBALA CC LA ESTACION</t>
  </si>
  <si>
    <t>LA ESTACION CENTRO COMERCIAL</t>
  </si>
  <si>
    <t>900.680.029-4</t>
  </si>
  <si>
    <t>TIENDA 96 SANTAFE 2 LOCAL 1-188</t>
  </si>
  <si>
    <t>TOTAL MES</t>
  </si>
  <si>
    <t>NO DESCUENTA FINANCIA EL PAGO TRES MES</t>
  </si>
  <si>
    <t>1900004209-4467</t>
  </si>
  <si>
    <t>TIENDA  R002 - RAYBAN  N1-036</t>
  </si>
  <si>
    <t>1900003299/17-610/10-78845</t>
  </si>
  <si>
    <t>INMOBILIARIA LA COLINA ARAUCO S.A.S</t>
  </si>
  <si>
    <t>50% PAGO ABRIL 50% RESTANTE DIFIERE</t>
  </si>
  <si>
    <t>Pp 6/7/20</t>
  </si>
  <si>
    <t>1900003300/01/02</t>
  </si>
  <si>
    <t>1900003777/79/80/81/82</t>
  </si>
  <si>
    <t>1900004271-4274</t>
  </si>
  <si>
    <t>PAGAR 50% OTRO DESPUES DE OCTUBRE</t>
  </si>
  <si>
    <t>1900003276/17-611/10-78846</t>
  </si>
  <si>
    <t>NO COBRA ABRIL EMITE NOTA CREDITO POR MARZO (no cobra por cierre)</t>
  </si>
  <si>
    <t>SGH 632</t>
  </si>
  <si>
    <t>AEROPUERTO MEDELLIN SGH</t>
  </si>
  <si>
    <t>I&amp;T INFORMACION Y TECNOLOGIA</t>
  </si>
  <si>
    <t>800.134.978-5</t>
  </si>
  <si>
    <t>Pp 20/5/20</t>
  </si>
  <si>
    <t>1900003277/19-78/17-612/17-613/10-78847-78848</t>
  </si>
  <si>
    <t>1900003784/85</t>
  </si>
  <si>
    <t>1900004219-4220</t>
  </si>
  <si>
    <t>CON DESCUENTO</t>
  </si>
  <si>
    <t>PAGA 70% MAYO EL 30% EN OCTUBRE</t>
  </si>
  <si>
    <t>SI PAGA ANTES DEL 24 DESCUENTA EL 15%</t>
  </si>
  <si>
    <t>TIENDA 112 GMO C.C. VICTOR</t>
  </si>
  <si>
    <t>VICTORIA CENTRO COMERCIAL PH</t>
  </si>
  <si>
    <t>900.004.111-2</t>
  </si>
  <si>
    <t>NO DESCUENTA</t>
  </si>
  <si>
    <t>209534</t>
  </si>
  <si>
    <t>DESCUENTO DEL 30%</t>
  </si>
  <si>
    <t>1900003401/1000078946</t>
  </si>
  <si>
    <t>1900003499/1900003548</t>
  </si>
  <si>
    <t>1900003674-4044</t>
  </si>
  <si>
    <t>DESCUENTO ABRIL Y MAYO</t>
  </si>
  <si>
    <t>1900003810-12</t>
  </si>
  <si>
    <t>1900003811-13</t>
  </si>
  <si>
    <t>1900004202-4203</t>
  </si>
  <si>
    <t>DESCUENTO FACTURA DE DOS MESES</t>
  </si>
  <si>
    <t>1900003347-3601</t>
  </si>
  <si>
    <t>FACTURA 50% LO DEMAS SE FINANCIA A 3 CUOTAS DESPUES DE AGOSTO</t>
  </si>
  <si>
    <t>TIENDA 132 MALL PLAZA MANIZALES</t>
  </si>
  <si>
    <t>T-132</t>
  </si>
  <si>
    <t>FINANCIA 50% EN MAYO Y OTRO 50 % EN 3 CUOTAS DESDE AGOSTO</t>
  </si>
  <si>
    <t xml:space="preserve">TIENDA 18 ED, GASPAR DE RODAS - LA ORIENTA                     </t>
  </si>
  <si>
    <t>INVERSIONES BEATRIZ LAS NAYADES</t>
  </si>
  <si>
    <t>900.077.004-5</t>
  </si>
  <si>
    <t>EL VALOR CORRESPONDE A DOS MES</t>
  </si>
  <si>
    <t xml:space="preserve">TIENDA 20 LC 259 UNICENTRO CALI                   </t>
  </si>
  <si>
    <t xml:space="preserve">PRESENTA SALDO EN CARTERA </t>
  </si>
  <si>
    <t>cerrada</t>
  </si>
  <si>
    <t>1900003237/41</t>
  </si>
  <si>
    <t>1900003891-92/1000079768-69</t>
  </si>
  <si>
    <t>1900004320-4321</t>
  </si>
  <si>
    <t>DESCUENTO 40%</t>
  </si>
  <si>
    <t>FINANCIA EL 50% A TRES CUOTAS DESPUES DE AGOSTO</t>
  </si>
  <si>
    <t>1900003284/1900003472</t>
  </si>
  <si>
    <t>1900003898-99</t>
  </si>
  <si>
    <t>1900004277-4278</t>
  </si>
  <si>
    <t>1900004096-4097</t>
  </si>
  <si>
    <t>1900004465-4466</t>
  </si>
  <si>
    <t xml:space="preserve">TIENDA 40 SALITRE PLAZA                           </t>
  </si>
  <si>
    <t>DESCUENTO 50% EN MAYO</t>
  </si>
  <si>
    <t>1900004301/1700000642/1000090060</t>
  </si>
  <si>
    <t>DESCUENTA 30% SI PAGA ANTES DEL 30 DE MAYO</t>
  </si>
  <si>
    <t>1900004302/1700000642/1000090061</t>
  </si>
  <si>
    <t xml:space="preserve">PAGAR 50% ABRIL 50% 3 CUOTA APARTIR JUNIO  </t>
  </si>
  <si>
    <t>T-53</t>
  </si>
  <si>
    <t xml:space="preserve">TIENDA 53 AV CHILE CALLE 72                                    </t>
  </si>
  <si>
    <t>EDIFICIO SANTIAGO DE CHILE</t>
  </si>
  <si>
    <t>830.004.462-9</t>
  </si>
  <si>
    <t>50% ABRIL OTRO 50% SEGUNDO SEMESTRE</t>
  </si>
  <si>
    <t>SI DESCUENTO</t>
  </si>
  <si>
    <t>T-59</t>
  </si>
  <si>
    <t>TIENDA 59 BARRANQUILLA</t>
  </si>
  <si>
    <t>204892</t>
  </si>
  <si>
    <t>JORGE ALBERTO GARCIA GOMEZ/SALES INMOBILIARIA</t>
  </si>
  <si>
    <t>890.102.508-7</t>
  </si>
  <si>
    <t xml:space="preserve">TIENDA 60 B/QUILLA PANORAMA: CALLE 30 NO 7A 121 LOCAL 12 </t>
  </si>
  <si>
    <t>CENTRO COMERCIAL PANORAMA</t>
  </si>
  <si>
    <t>900.125.244-2</t>
  </si>
  <si>
    <t>SALDO DE MESES REGISTRAR</t>
  </si>
  <si>
    <t xml:space="preserve">TIENDA 71 Cl 5 No 69-03 C,C LIMONAR LOCAL 274 CALI     </t>
  </si>
  <si>
    <t>CTRO CIAL PREMIER  LIMONAR PROPIE H</t>
  </si>
  <si>
    <t>1900003317/170000622/1000079718</t>
  </si>
  <si>
    <t>no hay descuento</t>
  </si>
  <si>
    <t>1900003318/19</t>
  </si>
  <si>
    <t>1900004243-4244</t>
  </si>
  <si>
    <t>SALDO DE OTROS MESES</t>
  </si>
  <si>
    <t>SALDO A FAVOR</t>
  </si>
  <si>
    <t>TIENDA 89 C.C. CALIMA</t>
  </si>
  <si>
    <t>CALIMA CENTRO COMERCIAL PH</t>
  </si>
  <si>
    <t>900.452.494-9</t>
  </si>
  <si>
    <t>NO DESCUENTA DIFIERE PAGO 6 MESES</t>
  </si>
  <si>
    <t xml:space="preserve">DESCUENTO 40% </t>
  </si>
  <si>
    <t>PATRIMONIO AUTONOMOS / ACCURO</t>
  </si>
  <si>
    <t>800.256.769-6</t>
  </si>
  <si>
    <t>NO SE OTORGA DESCUENTO POR SALDO  EN MORA</t>
  </si>
  <si>
    <t>1900003280/81</t>
  </si>
  <si>
    <t>1900004092-4093</t>
  </si>
  <si>
    <t>1900004245-4246</t>
  </si>
  <si>
    <t>1900003279/17-614/10-78849</t>
  </si>
  <si>
    <t>Arriendo</t>
  </si>
  <si>
    <t>CANON MES ABRIL</t>
  </si>
  <si>
    <t>CANON MES MAYO</t>
  </si>
  <si>
    <t>CANON MES JUNIO</t>
  </si>
  <si>
    <t>CANON MES JULIO</t>
  </si>
  <si>
    <t>225382/246135</t>
  </si>
  <si>
    <t>INMOBILIARIA SANTA JUANA</t>
  </si>
  <si>
    <t>206033/204883</t>
  </si>
  <si>
    <t>LUIS ALBERTO GARAY MORA/ inversiones glc</t>
  </si>
  <si>
    <t>208872</t>
  </si>
  <si>
    <t>209833/208872</t>
  </si>
  <si>
    <t>INMOBILIARIA SANTA JUANA S.A.</t>
  </si>
  <si>
    <t>204524/ 219814</t>
  </si>
  <si>
    <t>204522/617/815/816/210633</t>
  </si>
  <si>
    <t>204516/9</t>
  </si>
  <si>
    <t xml:space="preserve"> HILDEBRANDO URDINOLA</t>
  </si>
  <si>
    <t>204545/207634</t>
  </si>
  <si>
    <t>PATRIMONIOS AUTONOMOS / ACCURO</t>
  </si>
  <si>
    <t>SGH612</t>
  </si>
  <si>
    <t>OFI PRINCIPAL</t>
  </si>
  <si>
    <t>r7</t>
  </si>
  <si>
    <t>Columna A</t>
  </si>
  <si>
    <t>Columna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</si>
</sst>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64" formatCode="_-&quot;$&quot;\ * #,##0_-;\-&quot;$&quot;\ * #,##0_-;_-&quot;$&quot;\ * &quot;-&quot;_-;_-@_-"/>
    <numFmt numFmtId="165" formatCode="##,##0.00_);[Red]\(##,##0.00\)"/>
    <numFmt numFmtId="166" formatCode="yyyy/mm/dd"/>
    <numFmt numFmtId="167" formatCode="0.000"/>
    <numFmt numFmtId="168" formatCode="0.0%"/>
    <numFmt numFmtId="169" formatCode="&quot;$&quot;\ #,##0"/>
    <numFmt numFmtId="170" formatCode="&quot;$&quot;#,##0.00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1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Segoe UI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4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4" fillId="0" borderId="0"/>
    <xf numFmtId="0" fontId="4" fillId="0" borderId="0"/>
    <xf numFmtId="0" fontId="6" fillId="0" borderId="0"/>
  </cellStyleXfs>
  <cellXfs count="108">
    <xf numFmtId="0" fontId="0" fillId="0" borderId="0" xfId="0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3" borderId="1" xfId="0" applyFont="1" applyFill="1" applyBorder="1" applyAlignment="1" applyProtection="1">
      <alignment horizontal="center"/>
      <protection hidden="1"/>
    </xf>
    <xf numFmtId="1" fontId="0" fillId="0" borderId="0" xfId="0" applyNumberFormat="1"/>
    <xf numFmtId="10" fontId="0" fillId="0" borderId="1" xfId="3" applyNumberFormat="1" applyFont="1" applyBorder="1"/>
    <xf numFmtId="41" fontId="0" fillId="5" borderId="1" xfId="1" applyFont="1" applyFill="1" applyBorder="1"/>
    <xf numFmtId="41" fontId="0" fillId="0" borderId="1" xfId="0" applyNumberFormat="1" applyBorder="1"/>
    <xf numFmtId="9" fontId="0" fillId="0" borderId="1" xfId="3" applyFont="1" applyBorder="1"/>
    <xf numFmtId="168" fontId="0" fillId="0" borderId="1" xfId="3" applyNumberFormat="1" applyFont="1" applyBorder="1"/>
    <xf numFmtId="169" fontId="0" fillId="0" borderId="1" xfId="0" applyNumberFormat="1" applyBorder="1"/>
    <xf numFmtId="169" fontId="0" fillId="0" borderId="0" xfId="0" applyNumberFormat="1"/>
    <xf numFmtId="0" fontId="0" fillId="0" borderId="1" xfId="0" applyBorder="1"/>
    <xf numFmtId="49" fontId="5" fillId="0" borderId="1" xfId="0" applyNumberFormat="1" applyFont="1" applyBorder="1" applyAlignment="1">
      <alignment horizontal="center"/>
    </xf>
    <xf numFmtId="166" fontId="0" fillId="0" borderId="1" xfId="0" applyNumberFormat="1" applyBorder="1" applyAlignment="1">
      <alignment horizontal="left"/>
    </xf>
    <xf numFmtId="166" fontId="0" fillId="0" borderId="1" xfId="0" applyNumberFormat="1" applyBorder="1" applyAlignment="1">
      <alignment horizontal="right"/>
    </xf>
    <xf numFmtId="1" fontId="5" fillId="0" borderId="1" xfId="0" applyNumberFormat="1" applyFont="1" applyBorder="1" applyAlignment="1">
      <alignment horizontal="left"/>
    </xf>
    <xf numFmtId="1" fontId="5" fillId="0" borderId="1" xfId="0" applyNumberFormat="1" applyFont="1" applyBorder="1" applyAlignment="1">
      <alignment horizontal="right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" fontId="5" fillId="0" borderId="1" xfId="0" applyNumberFormat="1" applyFont="1" applyBorder="1" applyAlignment="1">
      <alignment horizontal="center"/>
    </xf>
    <xf numFmtId="41" fontId="0" fillId="0" borderId="1" xfId="1" applyFont="1" applyFill="1" applyBorder="1" applyAlignment="1">
      <alignment horizontal="right"/>
    </xf>
    <xf numFmtId="49" fontId="5" fillId="0" borderId="1" xfId="4" applyNumberFormat="1" applyFont="1" applyBorder="1" applyAlignment="1">
      <alignment horizontal="center"/>
    </xf>
    <xf numFmtId="167" fontId="0" fillId="0" borderId="1" xfId="0" applyNumberFormat="1" applyBorder="1" applyAlignment="1">
      <alignment horizontal="right"/>
    </xf>
    <xf numFmtId="0" fontId="5" fillId="0" borderId="1" xfId="0" applyFont="1" applyBorder="1"/>
    <xf numFmtId="49" fontId="7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left"/>
    </xf>
    <xf numFmtId="41" fontId="5" fillId="0" borderId="1" xfId="1" applyFont="1" applyFill="1" applyBorder="1" applyAlignment="1">
      <alignment horizontal="right"/>
    </xf>
    <xf numFmtId="0" fontId="0" fillId="0" borderId="1" xfId="5" applyFont="1" applyBorder="1" applyAlignment="1">
      <alignment horizontal="center"/>
    </xf>
    <xf numFmtId="0" fontId="0" fillId="0" borderId="1" xfId="6" applyFont="1" applyBorder="1" applyAlignment="1">
      <alignment horizontal="left"/>
    </xf>
    <xf numFmtId="0" fontId="0" fillId="0" borderId="1" xfId="6" applyFont="1" applyBorder="1" applyAlignment="1">
      <alignment horizontal="right"/>
    </xf>
    <xf numFmtId="0" fontId="0" fillId="0" borderId="1" xfId="6" applyFont="1" applyBorder="1"/>
    <xf numFmtId="41" fontId="5" fillId="0" borderId="1" xfId="1" applyFont="1" applyFill="1" applyBorder="1" applyAlignment="1"/>
    <xf numFmtId="0" fontId="5" fillId="0" borderId="1" xfId="4" applyFont="1" applyBorder="1" applyAlignment="1">
      <alignment horizontal="center"/>
    </xf>
    <xf numFmtId="1" fontId="5" fillId="0" borderId="1" xfId="4" applyNumberFormat="1" applyFont="1" applyBorder="1" applyAlignment="1">
      <alignment horizontal="center"/>
    </xf>
    <xf numFmtId="1" fontId="5" fillId="0" borderId="1" xfId="5" applyNumberFormat="1" applyFont="1" applyBorder="1" applyAlignment="1">
      <alignment horizontal="center"/>
    </xf>
    <xf numFmtId="41" fontId="5" fillId="0" borderId="1" xfId="1" applyFont="1" applyFill="1" applyBorder="1" applyAlignment="1">
      <alignment horizontal="right" vertical="center"/>
    </xf>
    <xf numFmtId="41" fontId="0" fillId="0" borderId="1" xfId="1" applyFont="1" applyBorder="1"/>
    <xf numFmtId="41" fontId="0" fillId="0" borderId="0" xfId="1" applyFont="1"/>
    <xf numFmtId="169" fontId="0" fillId="2" borderId="1" xfId="0" applyNumberFormat="1" applyFill="1" applyBorder="1"/>
    <xf numFmtId="0" fontId="0" fillId="2" borderId="1" xfId="0" applyFill="1" applyBorder="1"/>
    <xf numFmtId="164" fontId="0" fillId="0" borderId="1" xfId="2" applyFont="1" applyBorder="1"/>
    <xf numFmtId="164" fontId="0" fillId="0" borderId="1" xfId="0" applyNumberFormat="1" applyBorder="1"/>
    <xf numFmtId="49" fontId="5" fillId="2" borderId="1" xfId="0" applyNumberFormat="1" applyFont="1" applyFill="1" applyBorder="1" applyAlignment="1">
      <alignment horizontal="center"/>
    </xf>
    <xf numFmtId="0" fontId="0" fillId="2" borderId="1" xfId="5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/>
    </xf>
    <xf numFmtId="1" fontId="0" fillId="0" borderId="0" xfId="0" applyNumberFormat="1" applyAlignment="1">
      <alignment horizontal="right"/>
    </xf>
    <xf numFmtId="167" fontId="2" fillId="3" borderId="1" xfId="0" applyNumberFormat="1" applyFont="1" applyFill="1" applyBorder="1" applyAlignment="1" applyProtection="1">
      <alignment horizontal="center"/>
      <protection hidden="1"/>
    </xf>
    <xf numFmtId="1" fontId="0" fillId="0" borderId="1" xfId="0" applyNumberFormat="1" applyBorder="1" applyAlignment="1">
      <alignment horizontal="right"/>
    </xf>
    <xf numFmtId="1" fontId="0" fillId="0" borderId="1" xfId="1" applyNumberFormat="1" applyFont="1" applyFill="1" applyBorder="1" applyAlignment="1">
      <alignment horizontal="right"/>
    </xf>
    <xf numFmtId="1" fontId="5" fillId="0" borderId="1" xfId="1" applyNumberFormat="1" applyFont="1" applyFill="1" applyBorder="1" applyAlignment="1">
      <alignment horizontal="right"/>
    </xf>
    <xf numFmtId="0" fontId="0" fillId="0" borderId="1" xfId="0" applyBorder="1" applyAlignment="1" applyProtection="1">
      <alignment horizontal="center"/>
      <protection hidden="1"/>
    </xf>
    <xf numFmtId="1" fontId="0" fillId="0" borderId="1" xfId="0" applyNumberFormat="1" applyBorder="1" applyAlignment="1" applyProtection="1">
      <alignment horizontal="right"/>
      <protection hidden="1"/>
    </xf>
    <xf numFmtId="0" fontId="0" fillId="0" borderId="1" xfId="0" applyBorder="1" applyAlignment="1" applyProtection="1">
      <alignment horizontal="left"/>
      <protection hidden="1"/>
    </xf>
    <xf numFmtId="0" fontId="0" fillId="0" borderId="0" xfId="0" applyAlignment="1">
      <alignment horizontal="right"/>
    </xf>
    <xf numFmtId="170" fontId="0" fillId="0" borderId="0" xfId="0" applyNumberFormat="1"/>
    <xf numFmtId="164" fontId="0" fillId="0" borderId="1" xfId="2" applyFont="1" applyFill="1" applyBorder="1"/>
    <xf numFmtId="164" fontId="0" fillId="0" borderId="0" xfId="2" applyFont="1" applyBorder="1"/>
    <xf numFmtId="0" fontId="0" fillId="0" borderId="0" xfId="0" applyAlignment="1">
      <alignment horizontal="center"/>
    </xf>
    <xf numFmtId="169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41" fontId="1" fillId="0" borderId="1" xfId="1" applyFont="1" applyBorder="1"/>
    <xf numFmtId="9" fontId="0" fillId="0" borderId="1" xfId="0" applyNumberFormat="1" applyBorder="1"/>
    <xf numFmtId="1" fontId="2" fillId="3" borderId="1" xfId="0" applyNumberFormat="1" applyFont="1" applyFill="1" applyBorder="1" applyAlignment="1" applyProtection="1">
      <alignment horizontal="center"/>
      <protection hidden="1"/>
    </xf>
    <xf numFmtId="41" fontId="2" fillId="3" borderId="1" xfId="1" applyFont="1" applyFill="1" applyBorder="1" applyAlignment="1" applyProtection="1">
      <alignment horizontal="center"/>
      <protection hidden="1"/>
    </xf>
    <xf numFmtId="0" fontId="9" fillId="6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41" fontId="0" fillId="6" borderId="1" xfId="1" applyFont="1" applyFill="1" applyBorder="1"/>
    <xf numFmtId="0" fontId="0" fillId="5" borderId="1" xfId="0" applyFill="1" applyBorder="1"/>
    <xf numFmtId="0" fontId="10" fillId="6" borderId="1" xfId="0" applyFont="1" applyFill="1" applyBorder="1" applyAlignment="1">
      <alignment horizontal="left"/>
    </xf>
    <xf numFmtId="0" fontId="10" fillId="4" borderId="1" xfId="0" applyFont="1" applyFill="1" applyBorder="1" applyAlignment="1">
      <alignment horizontal="left"/>
    </xf>
    <xf numFmtId="9" fontId="0" fillId="0" borderId="1" xfId="3" applyFont="1" applyBorder="1" applyAlignment="1">
      <alignment horizontal="left"/>
    </xf>
    <xf numFmtId="0" fontId="11" fillId="6" borderId="1" xfId="0" applyFont="1" applyFill="1" applyBorder="1" applyAlignment="1">
      <alignment horizontal="left"/>
    </xf>
    <xf numFmtId="41" fontId="0" fillId="0" borderId="1" xfId="1" applyFont="1" applyBorder="1" applyAlignment="1">
      <alignment horizontal="left"/>
    </xf>
    <xf numFmtId="1" fontId="2" fillId="3" borderId="2" xfId="0" applyNumberFormat="1" applyFont="1" applyFill="1" applyBorder="1" applyAlignment="1" applyProtection="1">
      <alignment horizontal="center"/>
      <protection hidden="1"/>
    </xf>
    <xf numFmtId="0" fontId="0" fillId="0" borderId="2" xfId="0" applyBorder="1" applyAlignment="1">
      <alignment horizontal="right"/>
    </xf>
    <xf numFmtId="1" fontId="0" fillId="0" borderId="2" xfId="0" applyNumberFormat="1" applyBorder="1" applyAlignment="1">
      <alignment horizontal="right"/>
    </xf>
    <xf numFmtId="0" fontId="0" fillId="0" borderId="2" xfId="0" applyBorder="1"/>
    <xf numFmtId="0" fontId="5" fillId="0" borderId="4" xfId="0" applyFont="1" applyBorder="1" applyAlignment="1">
      <alignment horizontal="center"/>
    </xf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left"/>
    </xf>
    <xf numFmtId="1" fontId="0" fillId="0" borderId="4" xfId="1" applyNumberFormat="1" applyFont="1" applyFill="1" applyBorder="1" applyAlignment="1">
      <alignment horizontal="right"/>
    </xf>
    <xf numFmtId="0" fontId="0" fillId="2" borderId="1" xfId="0" applyFill="1" applyBorder="1" applyAlignment="1">
      <alignment horizontal="left"/>
    </xf>
    <xf numFmtId="0" fontId="0" fillId="2" borderId="0" xfId="0" applyFill="1"/>
    <xf numFmtId="0" fontId="5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1" applyNumberFormat="1" applyFont="1" applyFill="1" applyBorder="1" applyAlignment="1">
      <alignment horizontal="right"/>
    </xf>
    <xf numFmtId="0" fontId="0" fillId="0" borderId="1" xfId="0" applyBorder="1" applyAlignment="1">
      <alignment horizontal="right" vertical="center" wrapText="1"/>
    </xf>
    <xf numFmtId="0" fontId="8" fillId="3" borderId="2" xfId="0" applyFont="1" applyFill="1" applyBorder="1" applyAlignment="1">
      <alignment horizontal="center"/>
    </xf>
    <xf numFmtId="0" fontId="8" fillId="3" borderId="5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2" fillId="3" borderId="1" xfId="0" applyFont="1" applyFill="1" applyBorder="1" applyAlignment="1" applyProtection="1">
      <alignment horizontal="center"/>
      <protection hidden="1"/>
    </xf>
    <xf numFmtId="0" fontId="9" fillId="8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2" borderId="1" xfId="0" applyFont="1" applyFill="1" applyBorder="1" applyAlignment="1">
      <alignment horizontal="center"/>
    </xf>
    <xf numFmtId="0" fontId="9" fillId="11" borderId="1" xfId="0" applyFont="1" applyFill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9" fillId="9" borderId="2" xfId="0" applyFont="1" applyFill="1" applyBorder="1" applyAlignment="1">
      <alignment horizontal="center"/>
    </xf>
    <xf numFmtId="0" fontId="12" fillId="0" borderId="1" xfId="0" applyNumberFormat="1" applyFont="1" applyBorder="1" applyAlignment="1">
      <alignment horizontal="center" vertical="center"/>
    </xf>
  </cellXfs>
  <cellStyles count="7">
    <cellStyle name="Comma [0]" xfId="1" builtinId="6"/>
    <cellStyle name="Currency [0]" xfId="2" builtinId="7"/>
    <cellStyle name="Normal" xfId="0" builtinId="0"/>
    <cellStyle name="Normal 2" xfId="4" xr:uid="{00000000-0005-0000-0000-000004000000}"/>
    <cellStyle name="Normal 2 2" xfId="5" xr:uid="{00000000-0005-0000-0000-000005000000}"/>
    <cellStyle name="Normal_Hoja3" xfId="6" xr:uid="{00000000-0005-0000-0000-000006000000}"/>
    <cellStyle name="Percent" xfId="3" builtinId="5"/>
  </cellStyles>
  <dxfs count="0"/>
  <tableStyles count="0" defaultTableStyle="TableStyleMedium2" defaultPivotStyle="PivotStyleLight16"/>
  <colors>
    <mruColors>
      <color rgb="FFA7F3A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8E957-EC7F-4FCF-9D39-7AACBE3A4D7B}">
  <sheetPr>
    <tabColor rgb="FFFFFF00"/>
  </sheetPr>
  <dimension ref="A1:G158"/>
  <sheetViews>
    <sheetView tabSelected="1" zoomScale="85" zoomScaleNormal="85" zoomScaleSheetLayoutView="80" workbookViewId="0">
      <pane ySplit="2" topLeftCell="A3" activePane="bottomLeft" state="frozen"/>
      <selection activeCell="BS159" sqref="BS159"/>
      <selection pane="bottomLeft" activeCell="K11" sqref="K11"/>
    </sheetView>
  </sheetViews>
  <sheetFormatPr defaultColWidth="11.42578125" defaultRowHeight="15" x14ac:dyDescent="0.25"/>
  <cols>
    <col min="1" max="1" width="15.140625" customWidth="1"/>
    <col min="2" max="2" width="32" customWidth="1"/>
    <col min="3" max="3" width="15.140625" customWidth="1"/>
    <col min="4" max="4" width="11.42578125" bestFit="1" customWidth="1"/>
    <col min="5" max="5" width="28.140625" customWidth="1"/>
    <col min="6" max="6" width="62.85546875" customWidth="1"/>
    <col min="7" max="7" width="28.5703125" style="47" customWidth="1"/>
  </cols>
  <sheetData>
    <row r="1" spans="1:7" ht="29.1" customHeight="1" x14ac:dyDescent="0.35">
      <c r="A1" s="92" t="s">
        <v>499</v>
      </c>
      <c r="B1" s="93"/>
      <c r="C1" s="93"/>
      <c r="D1" s="93"/>
      <c r="E1" s="93"/>
      <c r="F1" s="93"/>
      <c r="G1" s="94"/>
    </row>
    <row r="2" spans="1:7" ht="13.5" customHeight="1" x14ac:dyDescent="0.25">
      <c r="A2" s="4" t="s">
        <v>10</v>
      </c>
      <c r="B2" s="4" t="s">
        <v>11</v>
      </c>
      <c r="C2" s="4" t="s">
        <v>12</v>
      </c>
      <c r="D2" s="4" t="s">
        <v>13</v>
      </c>
      <c r="E2" s="4" t="s">
        <v>14</v>
      </c>
      <c r="F2" s="4" t="s">
        <v>15</v>
      </c>
      <c r="G2" s="64" t="s">
        <v>16</v>
      </c>
    </row>
    <row r="3" spans="1:7" x14ac:dyDescent="0.25">
      <c r="A3" s="52" t="s">
        <v>28</v>
      </c>
      <c r="B3" s="54" t="s">
        <v>28</v>
      </c>
      <c r="C3" s="13" t="s">
        <v>29</v>
      </c>
      <c r="D3" s="52">
        <v>8525</v>
      </c>
      <c r="E3" s="54">
        <v>251070</v>
      </c>
      <c r="F3" s="54" t="s">
        <v>30</v>
      </c>
      <c r="G3" s="53">
        <v>901037129</v>
      </c>
    </row>
    <row r="4" spans="1:7" x14ac:dyDescent="0.25">
      <c r="A4" s="1" t="s">
        <v>33</v>
      </c>
      <c r="B4" s="13" t="s">
        <v>34</v>
      </c>
      <c r="C4" s="13" t="s">
        <v>29</v>
      </c>
      <c r="D4" s="2" t="s">
        <v>35</v>
      </c>
      <c r="E4" s="3">
        <v>246135</v>
      </c>
      <c r="F4" s="3" t="s">
        <v>36</v>
      </c>
      <c r="G4" s="49" t="s">
        <v>37</v>
      </c>
    </row>
    <row r="5" spans="1:7" x14ac:dyDescent="0.25">
      <c r="A5" s="1" t="s">
        <v>39</v>
      </c>
      <c r="B5" s="13" t="s">
        <v>40</v>
      </c>
      <c r="C5" s="13" t="s">
        <v>29</v>
      </c>
      <c r="D5" s="2">
        <v>9205</v>
      </c>
      <c r="E5" s="3">
        <v>366495</v>
      </c>
      <c r="F5" s="3" t="s">
        <v>518</v>
      </c>
      <c r="G5" s="49">
        <v>800200760</v>
      </c>
    </row>
    <row r="6" spans="1:7" x14ac:dyDescent="0.25">
      <c r="A6" s="1" t="s">
        <v>42</v>
      </c>
      <c r="B6" s="13" t="s">
        <v>43</v>
      </c>
      <c r="C6" s="13" t="s">
        <v>29</v>
      </c>
      <c r="D6" s="2">
        <v>9208</v>
      </c>
      <c r="E6" s="3">
        <v>210943</v>
      </c>
      <c r="F6" s="3" t="s">
        <v>44</v>
      </c>
      <c r="G6" s="50" t="s">
        <v>45</v>
      </c>
    </row>
    <row r="7" spans="1:7" x14ac:dyDescent="0.25">
      <c r="A7" s="1" t="s">
        <v>48</v>
      </c>
      <c r="B7" s="13" t="s">
        <v>49</v>
      </c>
      <c r="C7" s="13" t="s">
        <v>29</v>
      </c>
      <c r="D7" s="2">
        <v>9264</v>
      </c>
      <c r="E7" s="3">
        <v>289666</v>
      </c>
      <c r="F7" s="3" t="s">
        <v>500</v>
      </c>
      <c r="G7" s="50" t="s">
        <v>501</v>
      </c>
    </row>
    <row r="8" spans="1:7" x14ac:dyDescent="0.25">
      <c r="A8" s="1" t="s">
        <v>51</v>
      </c>
      <c r="B8" s="13" t="s">
        <v>52</v>
      </c>
      <c r="C8" s="13" t="s">
        <v>29</v>
      </c>
      <c r="D8" s="2">
        <v>9355</v>
      </c>
      <c r="E8" s="3">
        <v>210421</v>
      </c>
      <c r="F8" s="3" t="s">
        <v>53</v>
      </c>
      <c r="G8" s="49" t="s">
        <v>54</v>
      </c>
    </row>
    <row r="9" spans="1:7" x14ac:dyDescent="0.25">
      <c r="A9" s="1" t="s">
        <v>51</v>
      </c>
      <c r="B9" s="13" t="s">
        <v>52</v>
      </c>
      <c r="C9" s="13" t="s">
        <v>29</v>
      </c>
      <c r="D9" s="2">
        <v>9355</v>
      </c>
      <c r="E9" s="3">
        <v>210420</v>
      </c>
      <c r="F9" s="3" t="s">
        <v>56</v>
      </c>
      <c r="G9" s="49" t="s">
        <v>57</v>
      </c>
    </row>
    <row r="10" spans="1:7" x14ac:dyDescent="0.25">
      <c r="A10" s="1" t="s">
        <v>58</v>
      </c>
      <c r="B10" s="13" t="s">
        <v>59</v>
      </c>
      <c r="C10" s="13" t="s">
        <v>60</v>
      </c>
      <c r="D10" s="2" t="s">
        <v>61</v>
      </c>
      <c r="E10" s="3">
        <v>230440</v>
      </c>
      <c r="F10" s="3" t="s">
        <v>62</v>
      </c>
      <c r="G10" s="50">
        <v>830054539</v>
      </c>
    </row>
    <row r="11" spans="1:7" x14ac:dyDescent="0.25">
      <c r="A11" s="1" t="s">
        <v>58</v>
      </c>
      <c r="B11" s="13" t="s">
        <v>59</v>
      </c>
      <c r="C11" s="13" t="s">
        <v>60</v>
      </c>
      <c r="D11" s="2">
        <v>9596</v>
      </c>
      <c r="E11" s="3">
        <v>230440</v>
      </c>
      <c r="F11" s="3" t="s">
        <v>63</v>
      </c>
      <c r="G11" s="50">
        <v>830054539</v>
      </c>
    </row>
    <row r="12" spans="1:7" x14ac:dyDescent="0.25">
      <c r="A12" s="1" t="s">
        <v>64</v>
      </c>
      <c r="B12" s="13" t="s">
        <v>65</v>
      </c>
      <c r="C12" s="13" t="s">
        <v>66</v>
      </c>
      <c r="D12" s="2" t="s">
        <v>67</v>
      </c>
      <c r="E12" s="3" t="s">
        <v>68</v>
      </c>
      <c r="F12" s="3" t="s">
        <v>69</v>
      </c>
      <c r="G12" s="49" t="s">
        <v>70</v>
      </c>
    </row>
    <row r="13" spans="1:7" x14ac:dyDescent="0.25">
      <c r="A13" s="1" t="s">
        <v>64</v>
      </c>
      <c r="B13" s="13" t="s">
        <v>65</v>
      </c>
      <c r="C13" s="13" t="s">
        <v>66</v>
      </c>
      <c r="D13" s="2" t="s">
        <v>61</v>
      </c>
      <c r="E13" s="3" t="s">
        <v>68</v>
      </c>
      <c r="F13" s="3" t="s">
        <v>69</v>
      </c>
      <c r="G13" s="49" t="s">
        <v>70</v>
      </c>
    </row>
    <row r="14" spans="1:7" x14ac:dyDescent="0.25">
      <c r="A14" s="1" t="s">
        <v>71</v>
      </c>
      <c r="B14" s="13" t="s">
        <v>72</v>
      </c>
      <c r="C14" s="13" t="s">
        <v>29</v>
      </c>
      <c r="D14" s="2">
        <v>9058</v>
      </c>
      <c r="E14" s="3">
        <v>209631</v>
      </c>
      <c r="F14" s="3" t="s">
        <v>73</v>
      </c>
      <c r="G14" s="49" t="s">
        <v>74</v>
      </c>
    </row>
    <row r="15" spans="1:7" x14ac:dyDescent="0.25">
      <c r="A15" s="1" t="s">
        <v>75</v>
      </c>
      <c r="B15" s="13" t="s">
        <v>76</v>
      </c>
      <c r="C15" s="13" t="s">
        <v>29</v>
      </c>
      <c r="D15" s="2">
        <v>9104</v>
      </c>
      <c r="E15" s="3">
        <v>210118</v>
      </c>
      <c r="F15" s="3" t="s">
        <v>77</v>
      </c>
      <c r="G15" s="49" t="s">
        <v>78</v>
      </c>
    </row>
    <row r="16" spans="1:7" x14ac:dyDescent="0.25">
      <c r="A16" s="1" t="s">
        <v>79</v>
      </c>
      <c r="B16" s="13" t="s">
        <v>80</v>
      </c>
      <c r="C16" s="13" t="s">
        <v>29</v>
      </c>
      <c r="D16" s="2">
        <v>9177</v>
      </c>
      <c r="E16" s="3">
        <v>210301</v>
      </c>
      <c r="F16" s="3" t="s">
        <v>81</v>
      </c>
      <c r="G16" s="49" t="s">
        <v>82</v>
      </c>
    </row>
    <row r="17" spans="1:7" x14ac:dyDescent="0.25">
      <c r="A17" s="1" t="s">
        <v>84</v>
      </c>
      <c r="B17" s="13" t="s">
        <v>85</v>
      </c>
      <c r="C17" s="13" t="s">
        <v>29</v>
      </c>
      <c r="D17" s="2">
        <v>9302</v>
      </c>
      <c r="E17" s="3">
        <v>211510</v>
      </c>
      <c r="F17" s="3" t="s">
        <v>86</v>
      </c>
      <c r="G17" s="51">
        <v>900536058</v>
      </c>
    </row>
    <row r="18" spans="1:7" x14ac:dyDescent="0.25">
      <c r="A18" s="1" t="s">
        <v>88</v>
      </c>
      <c r="B18" s="13" t="s">
        <v>89</v>
      </c>
      <c r="C18" s="25" t="s">
        <v>29</v>
      </c>
      <c r="D18" s="2">
        <v>9304</v>
      </c>
      <c r="E18" s="3">
        <v>217751</v>
      </c>
      <c r="F18" s="15" t="s">
        <v>519</v>
      </c>
      <c r="G18" s="19" t="s">
        <v>520</v>
      </c>
    </row>
    <row r="19" spans="1:7" x14ac:dyDescent="0.25">
      <c r="A19" s="1" t="s">
        <v>88</v>
      </c>
      <c r="B19" s="13" t="s">
        <v>89</v>
      </c>
      <c r="C19" s="25" t="s">
        <v>29</v>
      </c>
      <c r="D19" s="2" t="s">
        <v>61</v>
      </c>
      <c r="E19" s="3">
        <v>238175</v>
      </c>
      <c r="F19" s="15" t="s">
        <v>519</v>
      </c>
      <c r="G19" s="19" t="s">
        <v>520</v>
      </c>
    </row>
    <row r="20" spans="1:7" x14ac:dyDescent="0.25">
      <c r="A20" s="1" t="s">
        <v>91</v>
      </c>
      <c r="B20" s="13" t="s">
        <v>92</v>
      </c>
      <c r="C20" s="13" t="s">
        <v>93</v>
      </c>
      <c r="D20" s="2">
        <v>6640</v>
      </c>
      <c r="E20" s="3">
        <v>204900</v>
      </c>
      <c r="F20" s="3" t="s">
        <v>94</v>
      </c>
      <c r="G20" s="50" t="s">
        <v>95</v>
      </c>
    </row>
    <row r="21" spans="1:7" x14ac:dyDescent="0.25">
      <c r="A21" s="1" t="s">
        <v>96</v>
      </c>
      <c r="B21" s="13" t="s">
        <v>97</v>
      </c>
      <c r="C21" s="25" t="s">
        <v>29</v>
      </c>
      <c r="D21" s="2">
        <v>9303</v>
      </c>
      <c r="E21" s="3">
        <v>289666</v>
      </c>
      <c r="F21" s="3" t="s">
        <v>500</v>
      </c>
      <c r="G21" s="50" t="s">
        <v>501</v>
      </c>
    </row>
    <row r="22" spans="1:7" x14ac:dyDescent="0.25">
      <c r="A22" s="1" t="s">
        <v>99</v>
      </c>
      <c r="B22" s="13" t="s">
        <v>100</v>
      </c>
      <c r="C22" s="25" t="s">
        <v>29</v>
      </c>
      <c r="D22" s="2">
        <v>9301</v>
      </c>
      <c r="E22" s="3">
        <v>205547</v>
      </c>
      <c r="F22" s="3" t="s">
        <v>101</v>
      </c>
      <c r="G22" s="50">
        <v>830054539</v>
      </c>
    </row>
    <row r="23" spans="1:7" x14ac:dyDescent="0.25">
      <c r="A23" s="1" t="s">
        <v>99</v>
      </c>
      <c r="B23" s="13" t="s">
        <v>100</v>
      </c>
      <c r="C23" s="25" t="s">
        <v>29</v>
      </c>
      <c r="D23" s="2" t="s">
        <v>61</v>
      </c>
      <c r="E23" s="3">
        <v>205547</v>
      </c>
      <c r="F23" s="3" t="s">
        <v>101</v>
      </c>
      <c r="G23" s="50">
        <v>830054539</v>
      </c>
    </row>
    <row r="24" spans="1:7" x14ac:dyDescent="0.25">
      <c r="A24" s="1" t="s">
        <v>102</v>
      </c>
      <c r="B24" s="13" t="s">
        <v>103</v>
      </c>
      <c r="C24" s="13" t="s">
        <v>29</v>
      </c>
      <c r="D24" s="2">
        <v>9305</v>
      </c>
      <c r="E24" s="3">
        <v>214089</v>
      </c>
      <c r="F24" s="3" t="s">
        <v>104</v>
      </c>
      <c r="G24" s="49" t="s">
        <v>105</v>
      </c>
    </row>
    <row r="25" spans="1:7" x14ac:dyDescent="0.25">
      <c r="A25" s="1" t="s">
        <v>107</v>
      </c>
      <c r="B25" s="13" t="s">
        <v>108</v>
      </c>
      <c r="C25" s="13" t="s">
        <v>29</v>
      </c>
      <c r="D25" s="2" t="s">
        <v>61</v>
      </c>
      <c r="E25" s="3">
        <v>208094</v>
      </c>
      <c r="F25" s="3" t="s">
        <v>109</v>
      </c>
      <c r="G25" s="50">
        <v>900699834</v>
      </c>
    </row>
    <row r="26" spans="1:7" ht="15" customHeight="1" x14ac:dyDescent="0.25">
      <c r="A26" s="1" t="s">
        <v>107</v>
      </c>
      <c r="B26" s="13" t="s">
        <v>108</v>
      </c>
      <c r="C26" s="13" t="s">
        <v>29</v>
      </c>
      <c r="D26" s="2">
        <v>6553</v>
      </c>
      <c r="E26" s="3">
        <v>208094</v>
      </c>
      <c r="F26" s="3" t="s">
        <v>110</v>
      </c>
      <c r="G26" s="50">
        <v>900699834</v>
      </c>
    </row>
    <row r="27" spans="1:7" ht="15" customHeight="1" x14ac:dyDescent="0.25">
      <c r="A27" s="1" t="s">
        <v>111</v>
      </c>
      <c r="B27" s="13" t="s">
        <v>112</v>
      </c>
      <c r="C27" s="13" t="s">
        <v>113</v>
      </c>
      <c r="D27" s="2">
        <v>6554</v>
      </c>
      <c r="E27" s="3">
        <v>204532</v>
      </c>
      <c r="F27" s="3" t="s">
        <v>114</v>
      </c>
      <c r="G27" s="50" t="s">
        <v>115</v>
      </c>
    </row>
    <row r="28" spans="1:7" ht="15" customHeight="1" x14ac:dyDescent="0.25">
      <c r="A28" s="81" t="s">
        <v>117</v>
      </c>
      <c r="B28" s="82" t="s">
        <v>118</v>
      </c>
      <c r="C28" s="82" t="s">
        <v>119</v>
      </c>
      <c r="D28" s="83">
        <v>6556</v>
      </c>
      <c r="E28" s="84">
        <v>204535</v>
      </c>
      <c r="F28" s="84" t="s">
        <v>120</v>
      </c>
      <c r="G28" s="85" t="s">
        <v>121</v>
      </c>
    </row>
    <row r="29" spans="1:7" ht="15" customHeight="1" x14ac:dyDescent="0.25">
      <c r="A29" s="1" t="s">
        <v>123</v>
      </c>
      <c r="B29" s="13" t="s">
        <v>124</v>
      </c>
      <c r="C29" s="13" t="s">
        <v>113</v>
      </c>
      <c r="D29" s="2">
        <v>6561</v>
      </c>
      <c r="E29" s="3">
        <v>205635</v>
      </c>
      <c r="F29" s="3" t="s">
        <v>125</v>
      </c>
      <c r="G29" s="50" t="s">
        <v>126</v>
      </c>
    </row>
    <row r="30" spans="1:7" ht="15" customHeight="1" x14ac:dyDescent="0.25">
      <c r="A30" s="1" t="s">
        <v>127</v>
      </c>
      <c r="B30" s="13" t="s">
        <v>128</v>
      </c>
      <c r="C30" s="13" t="s">
        <v>113</v>
      </c>
      <c r="D30" s="2">
        <v>6563</v>
      </c>
      <c r="E30" s="3">
        <v>208501</v>
      </c>
      <c r="F30" s="3" t="s">
        <v>129</v>
      </c>
      <c r="G30" s="50" t="s">
        <v>130</v>
      </c>
    </row>
    <row r="31" spans="1:7" ht="15" customHeight="1" x14ac:dyDescent="0.25">
      <c r="A31" s="1" t="s">
        <v>132</v>
      </c>
      <c r="B31" s="13" t="s">
        <v>133</v>
      </c>
      <c r="C31" s="13" t="s">
        <v>29</v>
      </c>
      <c r="D31" s="2">
        <v>6564</v>
      </c>
      <c r="E31" s="3">
        <v>204623</v>
      </c>
      <c r="F31" s="3" t="s">
        <v>134</v>
      </c>
      <c r="G31" s="50" t="s">
        <v>135</v>
      </c>
    </row>
    <row r="32" spans="1:7" ht="15" customHeight="1" x14ac:dyDescent="0.25">
      <c r="A32" s="1" t="s">
        <v>136</v>
      </c>
      <c r="B32" s="13" t="s">
        <v>137</v>
      </c>
      <c r="C32" s="13" t="s">
        <v>113</v>
      </c>
      <c r="D32" s="2">
        <v>6568</v>
      </c>
      <c r="E32" s="3">
        <v>209683</v>
      </c>
      <c r="F32" s="3" t="s">
        <v>138</v>
      </c>
      <c r="G32" s="50" t="s">
        <v>139</v>
      </c>
    </row>
    <row r="33" spans="1:7" x14ac:dyDescent="0.25">
      <c r="A33" s="1" t="s">
        <v>140</v>
      </c>
      <c r="B33" s="13" t="s">
        <v>141</v>
      </c>
      <c r="C33" s="13" t="s">
        <v>142</v>
      </c>
      <c r="D33" s="2">
        <v>6767</v>
      </c>
      <c r="E33" s="3">
        <v>204883</v>
      </c>
      <c r="F33" s="3" t="s">
        <v>143</v>
      </c>
      <c r="G33" s="50" t="s">
        <v>144</v>
      </c>
    </row>
    <row r="34" spans="1:7" x14ac:dyDescent="0.25">
      <c r="A34" s="1" t="s">
        <v>140</v>
      </c>
      <c r="B34" s="13" t="s">
        <v>141</v>
      </c>
      <c r="C34" s="13" t="s">
        <v>142</v>
      </c>
      <c r="D34" s="2">
        <v>6767</v>
      </c>
      <c r="E34" s="3">
        <v>206033</v>
      </c>
      <c r="F34" s="3" t="s">
        <v>145</v>
      </c>
      <c r="G34" s="50" t="s">
        <v>146</v>
      </c>
    </row>
    <row r="35" spans="1:7" x14ac:dyDescent="0.25">
      <c r="A35" s="1" t="s">
        <v>147</v>
      </c>
      <c r="B35" s="13" t="s">
        <v>148</v>
      </c>
      <c r="C35" s="13" t="s">
        <v>149</v>
      </c>
      <c r="D35" s="2">
        <v>6776</v>
      </c>
      <c r="E35" s="3">
        <v>204970</v>
      </c>
      <c r="F35" s="3" t="s">
        <v>150</v>
      </c>
      <c r="G35" s="50" t="s">
        <v>151</v>
      </c>
    </row>
    <row r="36" spans="1:7" x14ac:dyDescent="0.25">
      <c r="A36" s="1" t="s">
        <v>152</v>
      </c>
      <c r="B36" s="13" t="s">
        <v>153</v>
      </c>
      <c r="C36" s="13" t="s">
        <v>60</v>
      </c>
      <c r="D36" s="2">
        <v>8580</v>
      </c>
      <c r="E36" s="3">
        <v>205547</v>
      </c>
      <c r="F36" s="3" t="s">
        <v>154</v>
      </c>
      <c r="G36" s="50" t="s">
        <v>155</v>
      </c>
    </row>
    <row r="37" spans="1:7" x14ac:dyDescent="0.25">
      <c r="A37" s="1" t="s">
        <v>156</v>
      </c>
      <c r="B37" s="13" t="s">
        <v>157</v>
      </c>
      <c r="C37" s="13" t="s">
        <v>158</v>
      </c>
      <c r="D37" s="2">
        <v>8581</v>
      </c>
      <c r="E37" s="3">
        <v>204996</v>
      </c>
      <c r="F37" s="3" t="s">
        <v>159</v>
      </c>
      <c r="G37" s="50" t="s">
        <v>160</v>
      </c>
    </row>
    <row r="38" spans="1:7" x14ac:dyDescent="0.25">
      <c r="A38" s="1" t="s">
        <v>161</v>
      </c>
      <c r="B38" s="13" t="s">
        <v>162</v>
      </c>
      <c r="C38" s="13" t="s">
        <v>163</v>
      </c>
      <c r="D38" s="2">
        <v>8582</v>
      </c>
      <c r="E38" s="3">
        <v>289666</v>
      </c>
      <c r="F38" s="3" t="s">
        <v>500</v>
      </c>
      <c r="G38" s="50" t="s">
        <v>501</v>
      </c>
    </row>
    <row r="39" spans="1:7" x14ac:dyDescent="0.25">
      <c r="A39" s="1" t="s">
        <v>161</v>
      </c>
      <c r="B39" s="13" t="s">
        <v>162</v>
      </c>
      <c r="C39" s="13" t="s">
        <v>163</v>
      </c>
      <c r="D39" s="2" t="s">
        <v>61</v>
      </c>
      <c r="E39" s="3">
        <v>205022</v>
      </c>
      <c r="F39" s="3" t="s">
        <v>502</v>
      </c>
      <c r="G39" s="50" t="s">
        <v>165</v>
      </c>
    </row>
    <row r="40" spans="1:7" x14ac:dyDescent="0.25">
      <c r="A40" s="1" t="s">
        <v>166</v>
      </c>
      <c r="B40" s="13" t="s">
        <v>167</v>
      </c>
      <c r="C40" s="13" t="s">
        <v>168</v>
      </c>
      <c r="D40" s="2" t="s">
        <v>61</v>
      </c>
      <c r="E40" s="3">
        <v>206169</v>
      </c>
      <c r="F40" s="3" t="s">
        <v>169</v>
      </c>
      <c r="G40" s="50" t="s">
        <v>170</v>
      </c>
    </row>
    <row r="41" spans="1:7" x14ac:dyDescent="0.25">
      <c r="A41" s="1" t="s">
        <v>166</v>
      </c>
      <c r="B41" s="13" t="s">
        <v>167</v>
      </c>
      <c r="C41" s="13" t="s">
        <v>168</v>
      </c>
      <c r="D41" s="2">
        <v>8583</v>
      </c>
      <c r="E41" s="3">
        <v>206169</v>
      </c>
      <c r="F41" s="3" t="s">
        <v>171</v>
      </c>
      <c r="G41" s="50" t="s">
        <v>170</v>
      </c>
    </row>
    <row r="42" spans="1:7" x14ac:dyDescent="0.25">
      <c r="A42" s="1" t="s">
        <v>172</v>
      </c>
      <c r="B42" s="13" t="s">
        <v>173</v>
      </c>
      <c r="C42" s="13" t="s">
        <v>174</v>
      </c>
      <c r="D42" s="2" t="s">
        <v>61</v>
      </c>
      <c r="E42" s="3">
        <v>205547</v>
      </c>
      <c r="F42" s="3" t="s">
        <v>175</v>
      </c>
      <c r="G42" s="50" t="s">
        <v>155</v>
      </c>
    </row>
    <row r="43" spans="1:7" x14ac:dyDescent="0.25">
      <c r="A43" s="1" t="s">
        <v>172</v>
      </c>
      <c r="B43" s="13" t="s">
        <v>173</v>
      </c>
      <c r="C43" s="13" t="s">
        <v>174</v>
      </c>
      <c r="D43" s="2">
        <v>8584</v>
      </c>
      <c r="E43" s="3">
        <v>205547</v>
      </c>
      <c r="F43" s="3" t="s">
        <v>176</v>
      </c>
      <c r="G43" s="50">
        <v>830054539</v>
      </c>
    </row>
    <row r="44" spans="1:7" x14ac:dyDescent="0.25">
      <c r="A44" s="1" t="s">
        <v>177</v>
      </c>
      <c r="B44" s="13" t="s">
        <v>167</v>
      </c>
      <c r="C44" s="13" t="s">
        <v>158</v>
      </c>
      <c r="D44" s="2" t="s">
        <v>61</v>
      </c>
      <c r="E44" s="3">
        <v>231456</v>
      </c>
      <c r="F44" s="3" t="s">
        <v>178</v>
      </c>
      <c r="G44" s="50">
        <v>9006121181</v>
      </c>
    </row>
    <row r="45" spans="1:7" x14ac:dyDescent="0.25">
      <c r="A45" s="1" t="s">
        <v>177</v>
      </c>
      <c r="B45" s="13" t="s">
        <v>167</v>
      </c>
      <c r="C45" s="13" t="s">
        <v>158</v>
      </c>
      <c r="D45" s="2">
        <v>8585</v>
      </c>
      <c r="E45" s="3">
        <v>231456</v>
      </c>
      <c r="F45" s="3" t="s">
        <v>178</v>
      </c>
      <c r="G45" s="50">
        <v>9006121181</v>
      </c>
    </row>
    <row r="46" spans="1:7" x14ac:dyDescent="0.25">
      <c r="A46" s="1" t="s">
        <v>179</v>
      </c>
      <c r="B46" s="13" t="s">
        <v>167</v>
      </c>
      <c r="C46" s="13" t="s">
        <v>174</v>
      </c>
      <c r="D46" s="2" t="s">
        <v>61</v>
      </c>
      <c r="E46" s="3">
        <v>231457</v>
      </c>
      <c r="F46" s="3" t="s">
        <v>178</v>
      </c>
      <c r="G46" s="50">
        <v>9006121181</v>
      </c>
    </row>
    <row r="47" spans="1:7" x14ac:dyDescent="0.25">
      <c r="A47" s="1" t="s">
        <v>179</v>
      </c>
      <c r="B47" s="13" t="s">
        <v>167</v>
      </c>
      <c r="C47" s="13" t="s">
        <v>174</v>
      </c>
      <c r="D47" s="2">
        <v>8714</v>
      </c>
      <c r="E47" s="3">
        <v>231457</v>
      </c>
      <c r="F47" s="3" t="s">
        <v>178</v>
      </c>
      <c r="G47" s="50">
        <v>9006121181</v>
      </c>
    </row>
    <row r="48" spans="1:7" x14ac:dyDescent="0.25">
      <c r="A48" s="1" t="s">
        <v>180</v>
      </c>
      <c r="B48" s="13" t="s">
        <v>181</v>
      </c>
      <c r="C48" s="13" t="s">
        <v>29</v>
      </c>
      <c r="D48" s="2">
        <v>6570</v>
      </c>
      <c r="E48" s="3">
        <v>204572</v>
      </c>
      <c r="F48" s="3" t="s">
        <v>182</v>
      </c>
      <c r="G48" s="50" t="s">
        <v>183</v>
      </c>
    </row>
    <row r="49" spans="1:7" x14ac:dyDescent="0.25">
      <c r="A49" s="1" t="s">
        <v>184</v>
      </c>
      <c r="B49" s="13" t="s">
        <v>185</v>
      </c>
      <c r="C49" s="13" t="s">
        <v>142</v>
      </c>
      <c r="D49" s="2">
        <v>8712</v>
      </c>
      <c r="E49" s="3" t="s">
        <v>186</v>
      </c>
      <c r="F49" s="3" t="s">
        <v>187</v>
      </c>
      <c r="G49" s="50" t="s">
        <v>188</v>
      </c>
    </row>
    <row r="50" spans="1:7" x14ac:dyDescent="0.25">
      <c r="A50" s="1" t="s">
        <v>184</v>
      </c>
      <c r="B50" s="13" t="s">
        <v>185</v>
      </c>
      <c r="C50" s="13" t="s">
        <v>142</v>
      </c>
      <c r="D50" s="2">
        <v>8712</v>
      </c>
      <c r="E50" s="3">
        <v>206706</v>
      </c>
      <c r="F50" s="3" t="s">
        <v>189</v>
      </c>
      <c r="G50" s="50" t="s">
        <v>190</v>
      </c>
    </row>
    <row r="51" spans="1:7" x14ac:dyDescent="0.25">
      <c r="A51" s="1" t="s">
        <v>191</v>
      </c>
      <c r="B51" s="13" t="s">
        <v>192</v>
      </c>
      <c r="C51" s="13" t="s">
        <v>66</v>
      </c>
      <c r="D51" s="2">
        <v>8751</v>
      </c>
      <c r="E51" s="3">
        <v>285926</v>
      </c>
      <c r="F51" s="3" t="s">
        <v>503</v>
      </c>
      <c r="G51" s="50" t="s">
        <v>194</v>
      </c>
    </row>
    <row r="52" spans="1:7" x14ac:dyDescent="0.25">
      <c r="A52" s="1" t="s">
        <v>201</v>
      </c>
      <c r="B52" s="13" t="s">
        <v>202</v>
      </c>
      <c r="C52" s="13" t="s">
        <v>197</v>
      </c>
      <c r="D52" s="2" t="s">
        <v>61</v>
      </c>
      <c r="E52" s="3">
        <v>206511</v>
      </c>
      <c r="F52" s="3" t="s">
        <v>203</v>
      </c>
      <c r="G52" s="50">
        <v>80502876</v>
      </c>
    </row>
    <row r="53" spans="1:7" x14ac:dyDescent="0.25">
      <c r="A53" s="1" t="s">
        <v>201</v>
      </c>
      <c r="B53" s="13" t="s">
        <v>202</v>
      </c>
      <c r="C53" s="13" t="s">
        <v>197</v>
      </c>
      <c r="D53" s="2">
        <v>8749</v>
      </c>
      <c r="E53" s="3">
        <v>206511</v>
      </c>
      <c r="F53" s="3" t="s">
        <v>204</v>
      </c>
      <c r="G53" s="50">
        <v>80502876</v>
      </c>
    </row>
    <row r="54" spans="1:7" x14ac:dyDescent="0.25">
      <c r="A54" s="1" t="s">
        <v>205</v>
      </c>
      <c r="B54" s="13" t="s">
        <v>206</v>
      </c>
      <c r="C54" s="13" t="s">
        <v>29</v>
      </c>
      <c r="D54" s="2" t="s">
        <v>61</v>
      </c>
      <c r="E54" s="3">
        <v>207689</v>
      </c>
      <c r="F54" s="3" t="s">
        <v>207</v>
      </c>
      <c r="G54" s="50" t="s">
        <v>155</v>
      </c>
    </row>
    <row r="55" spans="1:7" x14ac:dyDescent="0.25">
      <c r="A55" s="1" t="s">
        <v>205</v>
      </c>
      <c r="B55" s="13" t="s">
        <v>206</v>
      </c>
      <c r="C55" s="13" t="s">
        <v>29</v>
      </c>
      <c r="D55" s="2">
        <v>8860</v>
      </c>
      <c r="E55" s="3">
        <v>207689</v>
      </c>
      <c r="F55" s="3" t="s">
        <v>208</v>
      </c>
      <c r="G55" s="50" t="s">
        <v>155</v>
      </c>
    </row>
    <row r="56" spans="1:7" s="87" customFormat="1" x14ac:dyDescent="0.25">
      <c r="A56" s="88" t="s">
        <v>209</v>
      </c>
      <c r="B56" s="41" t="s">
        <v>210</v>
      </c>
      <c r="C56" s="41" t="s">
        <v>29</v>
      </c>
      <c r="D56" s="89" t="s">
        <v>61</v>
      </c>
      <c r="E56" s="86">
        <v>289666</v>
      </c>
      <c r="F56" s="86" t="s">
        <v>500</v>
      </c>
      <c r="G56" s="90" t="s">
        <v>501</v>
      </c>
    </row>
    <row r="57" spans="1:7" s="87" customFormat="1" x14ac:dyDescent="0.25">
      <c r="A57" s="88" t="s">
        <v>209</v>
      </c>
      <c r="B57" s="41" t="s">
        <v>210</v>
      </c>
      <c r="C57" s="41" t="s">
        <v>29</v>
      </c>
      <c r="D57" s="89">
        <v>8859</v>
      </c>
      <c r="E57" s="86">
        <v>289666</v>
      </c>
      <c r="F57" s="86" t="s">
        <v>500</v>
      </c>
      <c r="G57" s="90" t="s">
        <v>501</v>
      </c>
    </row>
    <row r="58" spans="1:7" x14ac:dyDescent="0.25">
      <c r="A58" s="1" t="s">
        <v>212</v>
      </c>
      <c r="B58" s="13" t="s">
        <v>213</v>
      </c>
      <c r="C58" s="13" t="s">
        <v>66</v>
      </c>
      <c r="D58" s="2">
        <v>8976</v>
      </c>
      <c r="E58" s="3">
        <v>219333</v>
      </c>
      <c r="F58" s="3" t="s">
        <v>214</v>
      </c>
      <c r="G58" s="50">
        <v>9011209433</v>
      </c>
    </row>
    <row r="59" spans="1:7" x14ac:dyDescent="0.25">
      <c r="A59" s="1" t="s">
        <v>215</v>
      </c>
      <c r="B59" s="13" t="s">
        <v>216</v>
      </c>
      <c r="C59" s="13" t="s">
        <v>29</v>
      </c>
      <c r="D59" s="2">
        <v>9053</v>
      </c>
      <c r="E59" s="3">
        <v>210056</v>
      </c>
      <c r="F59" s="3" t="s">
        <v>217</v>
      </c>
      <c r="G59" s="50" t="s">
        <v>218</v>
      </c>
    </row>
    <row r="60" spans="1:7" x14ac:dyDescent="0.25">
      <c r="A60" s="1" t="s">
        <v>219</v>
      </c>
      <c r="B60" s="13" t="s">
        <v>220</v>
      </c>
      <c r="C60" s="13" t="s">
        <v>158</v>
      </c>
      <c r="D60" s="2" t="s">
        <v>61</v>
      </c>
      <c r="E60" s="3">
        <v>231459</v>
      </c>
      <c r="F60" s="3" t="s">
        <v>178</v>
      </c>
      <c r="G60" s="50">
        <v>9006121181</v>
      </c>
    </row>
    <row r="61" spans="1:7" x14ac:dyDescent="0.25">
      <c r="A61" s="1" t="s">
        <v>219</v>
      </c>
      <c r="B61" s="13" t="s">
        <v>220</v>
      </c>
      <c r="C61" s="13" t="s">
        <v>158</v>
      </c>
      <c r="D61" s="2">
        <v>8968</v>
      </c>
      <c r="E61" s="3">
        <v>231459</v>
      </c>
      <c r="F61" s="3" t="s">
        <v>178</v>
      </c>
      <c r="G61" s="50">
        <v>9006121181</v>
      </c>
    </row>
    <row r="62" spans="1:7" x14ac:dyDescent="0.25">
      <c r="A62" s="1" t="s">
        <v>221</v>
      </c>
      <c r="B62" s="13" t="s">
        <v>222</v>
      </c>
      <c r="C62" s="13" t="s">
        <v>29</v>
      </c>
      <c r="D62" s="2">
        <v>6572</v>
      </c>
      <c r="E62" s="3">
        <v>204609</v>
      </c>
      <c r="F62" s="3" t="s">
        <v>223</v>
      </c>
      <c r="G62" s="50">
        <v>9001641085</v>
      </c>
    </row>
    <row r="63" spans="1:7" ht="10.5" customHeight="1" x14ac:dyDescent="0.25">
      <c r="A63" s="1" t="s">
        <v>224</v>
      </c>
      <c r="B63" s="13" t="s">
        <v>225</v>
      </c>
      <c r="C63" s="13" t="s">
        <v>226</v>
      </c>
      <c r="D63" s="2">
        <v>8969</v>
      </c>
      <c r="E63" s="3">
        <v>231458</v>
      </c>
      <c r="F63" s="3" t="s">
        <v>178</v>
      </c>
      <c r="G63" s="50">
        <v>9006121181</v>
      </c>
    </row>
    <row r="64" spans="1:7" x14ac:dyDescent="0.25">
      <c r="A64" s="1" t="s">
        <v>227</v>
      </c>
      <c r="B64" s="13" t="s">
        <v>228</v>
      </c>
      <c r="C64" s="13" t="s">
        <v>60</v>
      </c>
      <c r="D64" s="2">
        <v>9072</v>
      </c>
      <c r="E64" s="3">
        <v>231460</v>
      </c>
      <c r="F64" s="3" t="s">
        <v>178</v>
      </c>
      <c r="G64" s="50">
        <v>9006121181</v>
      </c>
    </row>
    <row r="65" spans="1:7" x14ac:dyDescent="0.25">
      <c r="A65" s="1" t="s">
        <v>229</v>
      </c>
      <c r="B65" s="13" t="s">
        <v>230</v>
      </c>
      <c r="C65" s="13" t="s">
        <v>113</v>
      </c>
      <c r="D65" s="2">
        <v>9096</v>
      </c>
      <c r="E65" s="3">
        <v>254027</v>
      </c>
      <c r="F65" s="3" t="s">
        <v>231</v>
      </c>
      <c r="G65" s="50">
        <v>98543118</v>
      </c>
    </row>
    <row r="66" spans="1:7" x14ac:dyDescent="0.25">
      <c r="A66" s="1" t="s">
        <v>232</v>
      </c>
      <c r="B66" s="13" t="s">
        <v>233</v>
      </c>
      <c r="C66" s="13" t="s">
        <v>113</v>
      </c>
      <c r="D66" s="2">
        <v>9100</v>
      </c>
      <c r="E66" s="3">
        <v>210438</v>
      </c>
      <c r="F66" s="3" t="s">
        <v>234</v>
      </c>
      <c r="G66" s="50" t="s">
        <v>235</v>
      </c>
    </row>
    <row r="67" spans="1:7" x14ac:dyDescent="0.25">
      <c r="A67" s="1" t="s">
        <v>237</v>
      </c>
      <c r="B67" s="13" t="s">
        <v>238</v>
      </c>
      <c r="C67" s="13" t="s">
        <v>174</v>
      </c>
      <c r="D67" s="2" t="s">
        <v>61</v>
      </c>
      <c r="E67" s="3">
        <v>204970</v>
      </c>
      <c r="F67" s="3" t="s">
        <v>239</v>
      </c>
      <c r="G67" s="50">
        <v>8301134776</v>
      </c>
    </row>
    <row r="68" spans="1:7" x14ac:dyDescent="0.25">
      <c r="A68" s="1" t="s">
        <v>237</v>
      </c>
      <c r="B68" s="13" t="s">
        <v>238</v>
      </c>
      <c r="C68" s="13" t="s">
        <v>174</v>
      </c>
      <c r="D68" s="2">
        <v>9101</v>
      </c>
      <c r="E68" s="3">
        <v>204970</v>
      </c>
      <c r="F68" s="3" t="s">
        <v>239</v>
      </c>
      <c r="G68" s="50">
        <v>8301134776</v>
      </c>
    </row>
    <row r="69" spans="1:7" x14ac:dyDescent="0.25">
      <c r="A69" s="1" t="s">
        <v>240</v>
      </c>
      <c r="B69" s="13" t="s">
        <v>241</v>
      </c>
      <c r="C69" s="13" t="s">
        <v>29</v>
      </c>
      <c r="D69" s="2">
        <v>9102</v>
      </c>
      <c r="E69" s="3">
        <v>209672</v>
      </c>
      <c r="F69" s="3" t="s">
        <v>242</v>
      </c>
      <c r="G69" s="50" t="s">
        <v>243</v>
      </c>
    </row>
    <row r="70" spans="1:7" x14ac:dyDescent="0.25">
      <c r="A70" s="1" t="s">
        <v>244</v>
      </c>
      <c r="B70" s="13" t="s">
        <v>245</v>
      </c>
      <c r="C70" s="13" t="s">
        <v>29</v>
      </c>
      <c r="D70" s="2">
        <v>9120</v>
      </c>
      <c r="E70" s="3">
        <v>211510</v>
      </c>
      <c r="F70" s="3" t="s">
        <v>86</v>
      </c>
      <c r="G70" s="50">
        <v>9005360582</v>
      </c>
    </row>
    <row r="71" spans="1:7" x14ac:dyDescent="0.25">
      <c r="A71" s="1" t="s">
        <v>246</v>
      </c>
      <c r="B71" s="13" t="s">
        <v>247</v>
      </c>
      <c r="C71" s="13" t="s">
        <v>248</v>
      </c>
      <c r="D71" s="2">
        <v>9103</v>
      </c>
      <c r="E71" s="3">
        <v>243147</v>
      </c>
      <c r="F71" s="3" t="s">
        <v>249</v>
      </c>
      <c r="G71" s="50">
        <v>9004868496</v>
      </c>
    </row>
    <row r="72" spans="1:7" x14ac:dyDescent="0.25">
      <c r="A72" s="1" t="s">
        <v>250</v>
      </c>
      <c r="B72" s="13" t="s">
        <v>251</v>
      </c>
      <c r="C72" s="13" t="s">
        <v>113</v>
      </c>
      <c r="D72" s="2">
        <v>8974</v>
      </c>
      <c r="E72" s="3">
        <v>204532</v>
      </c>
      <c r="F72" s="3" t="s">
        <v>114</v>
      </c>
      <c r="G72" s="50" t="s">
        <v>115</v>
      </c>
    </row>
    <row r="73" spans="1:7" x14ac:dyDescent="0.25">
      <c r="A73" s="81" t="s">
        <v>252</v>
      </c>
      <c r="B73" s="82" t="s">
        <v>253</v>
      </c>
      <c r="C73" s="82" t="s">
        <v>29</v>
      </c>
      <c r="D73" s="83">
        <v>6573</v>
      </c>
      <c r="E73" s="84">
        <v>204635</v>
      </c>
      <c r="F73" s="84" t="s">
        <v>254</v>
      </c>
      <c r="G73" s="85" t="s">
        <v>255</v>
      </c>
    </row>
    <row r="74" spans="1:7" x14ac:dyDescent="0.25">
      <c r="A74" s="1" t="s">
        <v>256</v>
      </c>
      <c r="B74" s="13" t="s">
        <v>257</v>
      </c>
      <c r="C74" s="13" t="s">
        <v>29</v>
      </c>
      <c r="D74" s="2">
        <v>9209</v>
      </c>
      <c r="E74" s="3">
        <v>217037</v>
      </c>
      <c r="F74" s="3" t="s">
        <v>258</v>
      </c>
      <c r="G74" s="50" t="s">
        <v>259</v>
      </c>
    </row>
    <row r="75" spans="1:7" x14ac:dyDescent="0.25">
      <c r="A75" s="1" t="s">
        <v>260</v>
      </c>
      <c r="B75" s="13" t="s">
        <v>261</v>
      </c>
      <c r="C75" s="13" t="s">
        <v>29</v>
      </c>
      <c r="D75" s="2">
        <v>9458</v>
      </c>
      <c r="E75" s="3">
        <v>206286</v>
      </c>
      <c r="F75" s="3" t="s">
        <v>262</v>
      </c>
      <c r="G75" s="50" t="s">
        <v>263</v>
      </c>
    </row>
    <row r="76" spans="1:7" x14ac:dyDescent="0.25">
      <c r="A76" s="1" t="s">
        <v>268</v>
      </c>
      <c r="B76" s="13" t="s">
        <v>269</v>
      </c>
      <c r="C76" s="13" t="s">
        <v>29</v>
      </c>
      <c r="D76" s="2">
        <v>9216</v>
      </c>
      <c r="E76" s="3">
        <v>246683</v>
      </c>
      <c r="F76" s="3" t="s">
        <v>270</v>
      </c>
      <c r="G76" s="50">
        <v>8303534506</v>
      </c>
    </row>
    <row r="77" spans="1:7" x14ac:dyDescent="0.25">
      <c r="A77" s="1" t="s">
        <v>271</v>
      </c>
      <c r="B77" s="13" t="s">
        <v>272</v>
      </c>
      <c r="C77" s="13" t="s">
        <v>163</v>
      </c>
      <c r="D77" s="2">
        <v>9575</v>
      </c>
      <c r="E77" s="3">
        <v>204547</v>
      </c>
      <c r="F77" s="3" t="s">
        <v>273</v>
      </c>
      <c r="G77" s="50" t="s">
        <v>274</v>
      </c>
    </row>
    <row r="78" spans="1:7" x14ac:dyDescent="0.25">
      <c r="A78" s="1" t="s">
        <v>275</v>
      </c>
      <c r="B78" s="13" t="s">
        <v>276</v>
      </c>
      <c r="C78" s="13" t="s">
        <v>277</v>
      </c>
      <c r="D78" s="2" t="s">
        <v>61</v>
      </c>
      <c r="E78" s="3">
        <v>228274</v>
      </c>
      <c r="F78" s="3" t="s">
        <v>278</v>
      </c>
      <c r="G78" s="50" t="s">
        <v>279</v>
      </c>
    </row>
    <row r="79" spans="1:7" x14ac:dyDescent="0.25">
      <c r="A79" s="1" t="s">
        <v>275</v>
      </c>
      <c r="B79" s="13" t="s">
        <v>276</v>
      </c>
      <c r="C79" s="13" t="s">
        <v>277</v>
      </c>
      <c r="D79" s="2">
        <v>9636</v>
      </c>
      <c r="E79" s="3">
        <v>228274</v>
      </c>
      <c r="F79" s="3" t="s">
        <v>280</v>
      </c>
      <c r="G79" s="50" t="s">
        <v>279</v>
      </c>
    </row>
    <row r="80" spans="1:7" x14ac:dyDescent="0.25">
      <c r="A80" s="1" t="s">
        <v>281</v>
      </c>
      <c r="B80" s="13" t="s">
        <v>282</v>
      </c>
      <c r="C80" s="13" t="s">
        <v>119</v>
      </c>
      <c r="D80" s="2" t="s">
        <v>283</v>
      </c>
      <c r="E80" s="3">
        <v>214089</v>
      </c>
      <c r="F80" s="3" t="s">
        <v>284</v>
      </c>
      <c r="G80" s="50" t="s">
        <v>105</v>
      </c>
    </row>
    <row r="81" spans="1:7" x14ac:dyDescent="0.25">
      <c r="A81" s="1" t="s">
        <v>285</v>
      </c>
      <c r="B81" s="13" t="s">
        <v>286</v>
      </c>
      <c r="C81" s="13" t="s">
        <v>197</v>
      </c>
      <c r="D81" s="2">
        <v>6574</v>
      </c>
      <c r="E81" s="3">
        <v>219814</v>
      </c>
      <c r="F81" s="3" t="s">
        <v>287</v>
      </c>
      <c r="G81" s="50" t="s">
        <v>288</v>
      </c>
    </row>
    <row r="82" spans="1:7" x14ac:dyDescent="0.25">
      <c r="A82" s="1" t="s">
        <v>295</v>
      </c>
      <c r="B82" s="13" t="s">
        <v>296</v>
      </c>
      <c r="C82" s="13" t="s">
        <v>158</v>
      </c>
      <c r="D82" s="2">
        <v>6598</v>
      </c>
      <c r="E82" s="3">
        <v>204518</v>
      </c>
      <c r="F82" s="3" t="s">
        <v>297</v>
      </c>
      <c r="G82" s="50" t="s">
        <v>298</v>
      </c>
    </row>
    <row r="83" spans="1:7" x14ac:dyDescent="0.25">
      <c r="A83" s="1" t="s">
        <v>302</v>
      </c>
      <c r="B83" s="13" t="s">
        <v>303</v>
      </c>
      <c r="C83" s="13" t="s">
        <v>158</v>
      </c>
      <c r="D83" s="2">
        <v>6600</v>
      </c>
      <c r="E83" s="3">
        <v>204517</v>
      </c>
      <c r="F83" s="3" t="s">
        <v>304</v>
      </c>
      <c r="G83" s="50" t="s">
        <v>305</v>
      </c>
    </row>
    <row r="84" spans="1:7" x14ac:dyDescent="0.25">
      <c r="A84" s="1" t="s">
        <v>306</v>
      </c>
      <c r="B84" s="13" t="s">
        <v>307</v>
      </c>
      <c r="C84" s="13" t="s">
        <v>197</v>
      </c>
      <c r="D84" s="2">
        <v>6601</v>
      </c>
      <c r="E84" s="3" t="s">
        <v>308</v>
      </c>
      <c r="F84" s="3" t="s">
        <v>309</v>
      </c>
      <c r="G84" s="50" t="s">
        <v>310</v>
      </c>
    </row>
    <row r="85" spans="1:7" x14ac:dyDescent="0.25">
      <c r="A85" s="1" t="s">
        <v>311</v>
      </c>
      <c r="B85" s="13" t="s">
        <v>312</v>
      </c>
      <c r="C85" s="13" t="s">
        <v>158</v>
      </c>
      <c r="D85" s="2">
        <v>6602</v>
      </c>
      <c r="E85" s="3">
        <v>204884</v>
      </c>
      <c r="F85" s="3" t="s">
        <v>313</v>
      </c>
      <c r="G85" s="50" t="s">
        <v>314</v>
      </c>
    </row>
    <row r="86" spans="1:7" x14ac:dyDescent="0.25">
      <c r="A86" s="1" t="s">
        <v>315</v>
      </c>
      <c r="B86" s="13" t="s">
        <v>316</v>
      </c>
      <c r="C86" s="13" t="s">
        <v>29</v>
      </c>
      <c r="D86" s="2">
        <v>6603</v>
      </c>
      <c r="E86" s="3">
        <v>204816</v>
      </c>
      <c r="F86" s="3" t="s">
        <v>317</v>
      </c>
      <c r="G86" s="50">
        <v>1026261501</v>
      </c>
    </row>
    <row r="87" spans="1:7" x14ac:dyDescent="0.25">
      <c r="A87" s="1" t="s">
        <v>315</v>
      </c>
      <c r="B87" s="13" t="s">
        <v>316</v>
      </c>
      <c r="C87" s="13" t="s">
        <v>29</v>
      </c>
      <c r="D87" s="2">
        <v>6603</v>
      </c>
      <c r="E87" s="3">
        <v>204815</v>
      </c>
      <c r="F87" s="3" t="s">
        <v>318</v>
      </c>
      <c r="G87" s="50">
        <v>1019012543</v>
      </c>
    </row>
    <row r="88" spans="1:7" x14ac:dyDescent="0.25">
      <c r="A88" s="1" t="s">
        <v>315</v>
      </c>
      <c r="B88" s="13" t="s">
        <v>316</v>
      </c>
      <c r="C88" s="13" t="s">
        <v>29</v>
      </c>
      <c r="D88" s="2">
        <v>6603</v>
      </c>
      <c r="E88" s="3">
        <v>204522</v>
      </c>
      <c r="F88" s="3" t="s">
        <v>319</v>
      </c>
      <c r="G88" s="50">
        <v>52415336</v>
      </c>
    </row>
    <row r="89" spans="1:7" x14ac:dyDescent="0.25">
      <c r="A89" s="1" t="s">
        <v>315</v>
      </c>
      <c r="B89" s="13" t="s">
        <v>316</v>
      </c>
      <c r="C89" s="13" t="s">
        <v>29</v>
      </c>
      <c r="D89" s="2">
        <v>6603</v>
      </c>
      <c r="E89" s="3">
        <v>366703</v>
      </c>
      <c r="F89" s="3" t="s">
        <v>521</v>
      </c>
      <c r="G89" s="22">
        <v>901200161</v>
      </c>
    </row>
    <row r="90" spans="1:7" x14ac:dyDescent="0.25">
      <c r="A90" s="1" t="s">
        <v>315</v>
      </c>
      <c r="B90" s="13" t="s">
        <v>316</v>
      </c>
      <c r="C90" s="13" t="s">
        <v>29</v>
      </c>
      <c r="D90" s="2">
        <v>6603</v>
      </c>
      <c r="E90" s="3">
        <v>204617</v>
      </c>
      <c r="F90" s="3" t="s">
        <v>321</v>
      </c>
      <c r="G90" s="50" t="s">
        <v>322</v>
      </c>
    </row>
    <row r="91" spans="1:7" x14ac:dyDescent="0.25">
      <c r="A91" s="1" t="s">
        <v>323</v>
      </c>
      <c r="B91" s="13" t="s">
        <v>324</v>
      </c>
      <c r="C91" s="13" t="s">
        <v>163</v>
      </c>
      <c r="D91" s="2">
        <v>6606</v>
      </c>
      <c r="E91" s="3">
        <v>208141</v>
      </c>
      <c r="F91" s="3" t="s">
        <v>325</v>
      </c>
      <c r="G91" s="50" t="s">
        <v>326</v>
      </c>
    </row>
    <row r="92" spans="1:7" x14ac:dyDescent="0.25">
      <c r="A92" s="1" t="s">
        <v>328</v>
      </c>
      <c r="B92" s="13" t="s">
        <v>329</v>
      </c>
      <c r="C92" s="13" t="s">
        <v>158</v>
      </c>
      <c r="D92" s="2">
        <v>6610</v>
      </c>
      <c r="E92" s="3">
        <v>204587</v>
      </c>
      <c r="F92" s="3" t="s">
        <v>330</v>
      </c>
      <c r="G92" s="50">
        <v>890323373</v>
      </c>
    </row>
    <row r="93" spans="1:7" x14ac:dyDescent="0.25">
      <c r="A93" s="1" t="s">
        <v>331</v>
      </c>
      <c r="B93" s="13" t="s">
        <v>332</v>
      </c>
      <c r="C93" s="13" t="s">
        <v>29</v>
      </c>
      <c r="D93" s="2">
        <v>6616</v>
      </c>
      <c r="E93" s="3">
        <v>214087</v>
      </c>
      <c r="F93" s="3" t="s">
        <v>333</v>
      </c>
      <c r="G93" s="50" t="s">
        <v>334</v>
      </c>
    </row>
    <row r="94" spans="1:7" x14ac:dyDescent="0.25">
      <c r="A94" s="1" t="s">
        <v>335</v>
      </c>
      <c r="B94" s="13" t="s">
        <v>336</v>
      </c>
      <c r="C94" s="13" t="s">
        <v>29</v>
      </c>
      <c r="D94" s="2">
        <v>6617</v>
      </c>
      <c r="E94" s="3">
        <v>204531</v>
      </c>
      <c r="F94" s="3" t="s">
        <v>337</v>
      </c>
      <c r="G94" s="50" t="s">
        <v>338</v>
      </c>
    </row>
    <row r="95" spans="1:7" x14ac:dyDescent="0.25">
      <c r="A95" s="1" t="s">
        <v>339</v>
      </c>
      <c r="B95" s="13" t="s">
        <v>340</v>
      </c>
      <c r="C95" s="13" t="s">
        <v>113</v>
      </c>
      <c r="D95" s="2">
        <v>6619</v>
      </c>
      <c r="E95" s="3">
        <v>205529</v>
      </c>
      <c r="F95" s="3" t="s">
        <v>341</v>
      </c>
      <c r="G95" s="50">
        <v>9002479436</v>
      </c>
    </row>
    <row r="96" spans="1:7" x14ac:dyDescent="0.25">
      <c r="A96" s="1" t="s">
        <v>342</v>
      </c>
      <c r="B96" s="13" t="s">
        <v>343</v>
      </c>
      <c r="C96" s="13" t="s">
        <v>163</v>
      </c>
      <c r="D96" s="2">
        <v>6620</v>
      </c>
      <c r="E96" s="3" t="s">
        <v>344</v>
      </c>
      <c r="F96" s="3" t="s">
        <v>345</v>
      </c>
      <c r="G96" s="50" t="s">
        <v>274</v>
      </c>
    </row>
    <row r="97" spans="1:7" x14ac:dyDescent="0.25">
      <c r="A97" s="1" t="s">
        <v>346</v>
      </c>
      <c r="B97" s="13" t="s">
        <v>347</v>
      </c>
      <c r="C97" s="13" t="s">
        <v>163</v>
      </c>
      <c r="D97" s="2">
        <v>6621</v>
      </c>
      <c r="E97" s="3">
        <v>206218</v>
      </c>
      <c r="F97" s="3" t="s">
        <v>348</v>
      </c>
      <c r="G97" s="50" t="s">
        <v>349</v>
      </c>
    </row>
    <row r="98" spans="1:7" x14ac:dyDescent="0.25">
      <c r="A98" s="1" t="s">
        <v>350</v>
      </c>
      <c r="B98" s="13" t="s">
        <v>351</v>
      </c>
      <c r="C98" s="13" t="s">
        <v>29</v>
      </c>
      <c r="D98" s="2">
        <v>6623</v>
      </c>
      <c r="E98" s="3">
        <v>204519</v>
      </c>
      <c r="F98" s="3" t="s">
        <v>352</v>
      </c>
      <c r="G98" s="50">
        <v>41437669</v>
      </c>
    </row>
    <row r="99" spans="1:7" x14ac:dyDescent="0.25">
      <c r="A99" s="1" t="s">
        <v>350</v>
      </c>
      <c r="B99" s="13" t="s">
        <v>351</v>
      </c>
      <c r="C99" s="13" t="s">
        <v>29</v>
      </c>
      <c r="D99" s="2">
        <v>6623</v>
      </c>
      <c r="E99" s="3">
        <v>204516</v>
      </c>
      <c r="F99" s="3" t="s">
        <v>353</v>
      </c>
      <c r="G99" s="50"/>
    </row>
    <row r="100" spans="1:7" x14ac:dyDescent="0.25">
      <c r="A100" s="1" t="s">
        <v>354</v>
      </c>
      <c r="B100" s="13" t="s">
        <v>355</v>
      </c>
      <c r="C100" s="13" t="s">
        <v>29</v>
      </c>
      <c r="D100" s="2">
        <v>6626</v>
      </c>
      <c r="E100" s="3">
        <v>204545</v>
      </c>
      <c r="F100" s="3" t="s">
        <v>356</v>
      </c>
      <c r="G100" s="50" t="s">
        <v>357</v>
      </c>
    </row>
    <row r="101" spans="1:7" x14ac:dyDescent="0.25">
      <c r="A101" s="1" t="s">
        <v>358</v>
      </c>
      <c r="B101" s="13" t="s">
        <v>359</v>
      </c>
      <c r="C101" s="13" t="s">
        <v>29</v>
      </c>
      <c r="D101" s="2">
        <v>6627</v>
      </c>
      <c r="E101" s="3">
        <v>204515</v>
      </c>
      <c r="F101" s="3" t="s">
        <v>360</v>
      </c>
      <c r="G101" s="50" t="s">
        <v>361</v>
      </c>
    </row>
    <row r="102" spans="1:7" x14ac:dyDescent="0.25">
      <c r="A102" s="1" t="s">
        <v>362</v>
      </c>
      <c r="B102" s="13" t="s">
        <v>363</v>
      </c>
      <c r="C102" s="13" t="s">
        <v>29</v>
      </c>
      <c r="D102" s="2">
        <v>6628</v>
      </c>
      <c r="E102" s="3">
        <v>206109</v>
      </c>
      <c r="F102" s="3" t="s">
        <v>364</v>
      </c>
      <c r="G102" s="50" t="s">
        <v>365</v>
      </c>
    </row>
    <row r="103" spans="1:7" x14ac:dyDescent="0.25">
      <c r="A103" s="1" t="s">
        <v>362</v>
      </c>
      <c r="B103" s="13" t="s">
        <v>363</v>
      </c>
      <c r="C103" s="13" t="s">
        <v>29</v>
      </c>
      <c r="D103" s="2">
        <v>6628</v>
      </c>
      <c r="E103" s="3">
        <v>206108</v>
      </c>
      <c r="F103" s="3" t="s">
        <v>366</v>
      </c>
      <c r="G103" s="50">
        <v>80421084</v>
      </c>
    </row>
    <row r="104" spans="1:7" x14ac:dyDescent="0.25">
      <c r="A104" s="1" t="s">
        <v>362</v>
      </c>
      <c r="B104" s="13" t="s">
        <v>363</v>
      </c>
      <c r="C104" s="13" t="s">
        <v>29</v>
      </c>
      <c r="D104" s="2">
        <v>6628</v>
      </c>
      <c r="E104" s="3">
        <v>206110</v>
      </c>
      <c r="F104" s="3" t="s">
        <v>367</v>
      </c>
      <c r="G104" s="50" t="s">
        <v>368</v>
      </c>
    </row>
    <row r="105" spans="1:7" x14ac:dyDescent="0.25">
      <c r="A105" s="1" t="s">
        <v>369</v>
      </c>
      <c r="B105" s="13" t="s">
        <v>370</v>
      </c>
      <c r="C105" s="13" t="s">
        <v>29</v>
      </c>
      <c r="D105" s="2">
        <v>6629</v>
      </c>
      <c r="E105" s="3">
        <v>206755</v>
      </c>
      <c r="F105" s="3" t="s">
        <v>371</v>
      </c>
      <c r="G105" s="50" t="s">
        <v>372</v>
      </c>
    </row>
    <row r="106" spans="1:7" x14ac:dyDescent="0.25">
      <c r="A106" s="1" t="s">
        <v>373</v>
      </c>
      <c r="B106" s="13" t="s">
        <v>374</v>
      </c>
      <c r="C106" s="13" t="s">
        <v>29</v>
      </c>
      <c r="D106" s="2">
        <v>6632</v>
      </c>
      <c r="E106" s="3">
        <v>206286</v>
      </c>
      <c r="F106" s="3" t="s">
        <v>375</v>
      </c>
      <c r="G106" s="50" t="s">
        <v>263</v>
      </c>
    </row>
    <row r="107" spans="1:7" x14ac:dyDescent="0.25">
      <c r="A107" s="1" t="s">
        <v>376</v>
      </c>
      <c r="B107" s="13" t="s">
        <v>377</v>
      </c>
      <c r="C107" s="13" t="s">
        <v>29</v>
      </c>
      <c r="D107" s="2">
        <v>6633</v>
      </c>
      <c r="E107" s="3">
        <v>204533</v>
      </c>
      <c r="F107" s="3" t="s">
        <v>378</v>
      </c>
      <c r="G107" s="50" t="s">
        <v>379</v>
      </c>
    </row>
    <row r="108" spans="1:7" x14ac:dyDescent="0.25">
      <c r="A108" s="1" t="s">
        <v>380</v>
      </c>
      <c r="B108" s="13" t="s">
        <v>381</v>
      </c>
      <c r="C108" s="13" t="s">
        <v>113</v>
      </c>
      <c r="D108" s="2">
        <v>6636</v>
      </c>
      <c r="E108" s="3">
        <v>204588</v>
      </c>
      <c r="F108" s="3" t="s">
        <v>504</v>
      </c>
      <c r="G108" s="50" t="s">
        <v>383</v>
      </c>
    </row>
    <row r="109" spans="1:7" x14ac:dyDescent="0.25">
      <c r="A109" s="1" t="s">
        <v>384</v>
      </c>
      <c r="B109" s="13" t="s">
        <v>385</v>
      </c>
      <c r="C109" s="13" t="s">
        <v>248</v>
      </c>
      <c r="D109" s="2">
        <v>6638</v>
      </c>
      <c r="E109" s="3">
        <v>204631</v>
      </c>
      <c r="F109" s="3" t="s">
        <v>386</v>
      </c>
      <c r="G109" s="50" t="s">
        <v>387</v>
      </c>
    </row>
    <row r="110" spans="1:7" x14ac:dyDescent="0.25">
      <c r="A110" s="1" t="s">
        <v>388</v>
      </c>
      <c r="B110" s="13" t="s">
        <v>389</v>
      </c>
      <c r="C110" s="13" t="s">
        <v>113</v>
      </c>
      <c r="D110" s="2" t="s">
        <v>390</v>
      </c>
      <c r="E110" s="3">
        <v>243073</v>
      </c>
      <c r="F110" s="3" t="s">
        <v>391</v>
      </c>
      <c r="G110" s="49" t="s">
        <v>392</v>
      </c>
    </row>
    <row r="111" spans="1:7" x14ac:dyDescent="0.25">
      <c r="A111" s="1" t="s">
        <v>388</v>
      </c>
      <c r="B111" s="13" t="s">
        <v>389</v>
      </c>
      <c r="C111" s="13" t="s">
        <v>113</v>
      </c>
      <c r="D111" s="2" t="s">
        <v>61</v>
      </c>
      <c r="E111" s="3">
        <v>243073</v>
      </c>
      <c r="F111" s="3" t="s">
        <v>391</v>
      </c>
      <c r="G111" s="49" t="s">
        <v>392</v>
      </c>
    </row>
    <row r="112" spans="1:7" x14ac:dyDescent="0.25">
      <c r="A112" s="1" t="s">
        <v>397</v>
      </c>
      <c r="B112" s="13" t="s">
        <v>398</v>
      </c>
      <c r="C112" s="13" t="s">
        <v>29</v>
      </c>
      <c r="D112" s="2">
        <v>6652</v>
      </c>
      <c r="E112" s="3">
        <v>204578</v>
      </c>
      <c r="F112" s="3" t="s">
        <v>399</v>
      </c>
      <c r="G112" s="50" t="s">
        <v>400</v>
      </c>
    </row>
    <row r="113" spans="1:7" ht="16.5" x14ac:dyDescent="0.25">
      <c r="A113" s="1" t="s">
        <v>401</v>
      </c>
      <c r="B113" s="13" t="s">
        <v>402</v>
      </c>
      <c r="C113" s="13" t="s">
        <v>60</v>
      </c>
      <c r="D113" s="2">
        <v>6660</v>
      </c>
      <c r="E113" s="107">
        <v>6573</v>
      </c>
      <c r="F113" s="3" t="s">
        <v>403</v>
      </c>
      <c r="G113" s="50" t="s">
        <v>404</v>
      </c>
    </row>
    <row r="114" spans="1:7" ht="15" customHeight="1" x14ac:dyDescent="0.25">
      <c r="A114" s="1" t="s">
        <v>411</v>
      </c>
      <c r="B114" s="13" t="s">
        <v>412</v>
      </c>
      <c r="C114" s="13" t="s">
        <v>66</v>
      </c>
      <c r="D114" s="2">
        <v>6686</v>
      </c>
      <c r="E114" s="3">
        <v>204593</v>
      </c>
      <c r="F114" s="3" t="s">
        <v>413</v>
      </c>
      <c r="G114" s="50" t="s">
        <v>414</v>
      </c>
    </row>
    <row r="115" spans="1:7" ht="15" customHeight="1" x14ac:dyDescent="0.25">
      <c r="A115" s="1" t="s">
        <v>415</v>
      </c>
      <c r="B115" s="13" t="s">
        <v>416</v>
      </c>
      <c r="C115" s="13" t="s">
        <v>29</v>
      </c>
      <c r="D115" s="2">
        <v>6687</v>
      </c>
      <c r="E115" s="3">
        <v>204570</v>
      </c>
      <c r="F115" s="3" t="s">
        <v>417</v>
      </c>
      <c r="G115" s="50" t="s">
        <v>418</v>
      </c>
    </row>
    <row r="116" spans="1:7" ht="15" customHeight="1" x14ac:dyDescent="0.25">
      <c r="A116" s="1" t="s">
        <v>419</v>
      </c>
      <c r="B116" s="13" t="s">
        <v>420</v>
      </c>
      <c r="C116" s="13" t="s">
        <v>66</v>
      </c>
      <c r="D116" s="2">
        <v>6688</v>
      </c>
      <c r="E116" s="3">
        <v>207634</v>
      </c>
      <c r="F116" s="3" t="s">
        <v>421</v>
      </c>
      <c r="G116" s="50" t="s">
        <v>422</v>
      </c>
    </row>
    <row r="117" spans="1:7" x14ac:dyDescent="0.25">
      <c r="A117" s="1" t="s">
        <v>423</v>
      </c>
      <c r="B117" s="13" t="s">
        <v>424</v>
      </c>
      <c r="C117" s="13" t="s">
        <v>158</v>
      </c>
      <c r="D117" s="2">
        <v>6692</v>
      </c>
      <c r="E117" s="3">
        <v>204942</v>
      </c>
      <c r="F117" s="3" t="s">
        <v>425</v>
      </c>
      <c r="G117" s="50">
        <v>8050305871</v>
      </c>
    </row>
    <row r="118" spans="1:7" ht="15" customHeight="1" x14ac:dyDescent="0.25">
      <c r="A118" s="1" t="s">
        <v>426</v>
      </c>
      <c r="B118" s="13" t="s">
        <v>427</v>
      </c>
      <c r="C118" s="13" t="s">
        <v>29</v>
      </c>
      <c r="D118" s="2">
        <v>6693</v>
      </c>
      <c r="E118" s="3">
        <v>208499</v>
      </c>
      <c r="F118" s="3" t="s">
        <v>428</v>
      </c>
      <c r="G118" s="50" t="s">
        <v>429</v>
      </c>
    </row>
    <row r="119" spans="1:7" ht="15" customHeight="1" x14ac:dyDescent="0.25">
      <c r="A119" s="1" t="s">
        <v>436</v>
      </c>
      <c r="B119" s="13" t="s">
        <v>437</v>
      </c>
      <c r="C119" s="13" t="s">
        <v>113</v>
      </c>
      <c r="D119" s="2">
        <v>6699</v>
      </c>
      <c r="E119" s="3">
        <v>207634</v>
      </c>
      <c r="F119" s="3" t="s">
        <v>438</v>
      </c>
      <c r="G119" s="50" t="s">
        <v>422</v>
      </c>
    </row>
    <row r="120" spans="1:7" ht="15" customHeight="1" x14ac:dyDescent="0.25">
      <c r="A120" s="1" t="s">
        <v>439</v>
      </c>
      <c r="B120" s="13" t="s">
        <v>440</v>
      </c>
      <c r="C120" s="13" t="s">
        <v>29</v>
      </c>
      <c r="D120" s="2">
        <v>6700</v>
      </c>
      <c r="E120" s="3">
        <v>207634</v>
      </c>
      <c r="F120" s="3" t="s">
        <v>441</v>
      </c>
      <c r="G120" s="50" t="s">
        <v>422</v>
      </c>
    </row>
    <row r="121" spans="1:7" ht="15" customHeight="1" x14ac:dyDescent="0.25">
      <c r="A121" s="1" t="s">
        <v>442</v>
      </c>
      <c r="B121" s="13" t="s">
        <v>443</v>
      </c>
      <c r="C121" s="13" t="s">
        <v>29</v>
      </c>
      <c r="D121" s="2">
        <v>6701</v>
      </c>
      <c r="E121" s="3">
        <v>204603</v>
      </c>
      <c r="F121" s="3" t="s">
        <v>444</v>
      </c>
      <c r="G121" s="50" t="s">
        <v>445</v>
      </c>
    </row>
    <row r="122" spans="1:7" ht="15" customHeight="1" x14ac:dyDescent="0.25">
      <c r="A122" s="1" t="s">
        <v>446</v>
      </c>
      <c r="B122" s="13" t="s">
        <v>447</v>
      </c>
      <c r="C122" s="13" t="s">
        <v>448</v>
      </c>
      <c r="D122" s="2">
        <v>6711</v>
      </c>
      <c r="E122" s="3">
        <v>204551</v>
      </c>
      <c r="F122" s="3" t="s">
        <v>449</v>
      </c>
      <c r="G122" s="50">
        <v>8110355281</v>
      </c>
    </row>
    <row r="123" spans="1:7" x14ac:dyDescent="0.25">
      <c r="A123" s="1" t="s">
        <v>450</v>
      </c>
      <c r="B123" s="13" t="s">
        <v>451</v>
      </c>
      <c r="C123" s="13" t="s">
        <v>60</v>
      </c>
      <c r="D123" s="2">
        <v>6714</v>
      </c>
      <c r="E123" s="3">
        <v>204634</v>
      </c>
      <c r="F123" s="3" t="s">
        <v>452</v>
      </c>
      <c r="G123" s="50" t="s">
        <v>453</v>
      </c>
    </row>
    <row r="124" spans="1:7" ht="15" customHeight="1" x14ac:dyDescent="0.25">
      <c r="A124" s="1" t="s">
        <v>454</v>
      </c>
      <c r="B124" s="13" t="s">
        <v>455</v>
      </c>
      <c r="C124" s="13" t="s">
        <v>456</v>
      </c>
      <c r="D124" s="2">
        <v>6715</v>
      </c>
      <c r="E124" s="3">
        <v>204523</v>
      </c>
      <c r="F124" s="3" t="s">
        <v>457</v>
      </c>
      <c r="G124" s="50" t="s">
        <v>458</v>
      </c>
    </row>
    <row r="125" spans="1:7" ht="15" customHeight="1" x14ac:dyDescent="0.25">
      <c r="A125" s="1" t="s">
        <v>459</v>
      </c>
      <c r="B125" s="13" t="s">
        <v>460</v>
      </c>
      <c r="C125" s="13" t="s">
        <v>93</v>
      </c>
      <c r="D125" s="2">
        <v>6716</v>
      </c>
      <c r="E125" s="3">
        <v>204550</v>
      </c>
      <c r="F125" s="3" t="s">
        <v>461</v>
      </c>
      <c r="G125" s="50" t="s">
        <v>462</v>
      </c>
    </row>
    <row r="126" spans="1:7" ht="15" customHeight="1" x14ac:dyDescent="0.25">
      <c r="A126" s="1" t="s">
        <v>463</v>
      </c>
      <c r="B126" s="13" t="s">
        <v>464</v>
      </c>
      <c r="C126" s="13" t="s">
        <v>29</v>
      </c>
      <c r="D126" s="2">
        <v>6717</v>
      </c>
      <c r="E126" s="3">
        <v>207634</v>
      </c>
      <c r="F126" s="3" t="s">
        <v>465</v>
      </c>
      <c r="G126" s="50" t="s">
        <v>422</v>
      </c>
    </row>
    <row r="127" spans="1:7" ht="15" customHeight="1" x14ac:dyDescent="0.25">
      <c r="A127" s="1" t="s">
        <v>466</v>
      </c>
      <c r="B127" s="13" t="s">
        <v>467</v>
      </c>
      <c r="C127" s="13" t="s">
        <v>29</v>
      </c>
      <c r="D127" s="2">
        <v>6718</v>
      </c>
      <c r="E127" s="3">
        <v>204525</v>
      </c>
      <c r="F127" s="3" t="s">
        <v>468</v>
      </c>
      <c r="G127" s="50">
        <v>52866739</v>
      </c>
    </row>
    <row r="128" spans="1:7" ht="15" customHeight="1" x14ac:dyDescent="0.25">
      <c r="A128" s="1" t="s">
        <v>472</v>
      </c>
      <c r="B128" s="13" t="s">
        <v>473</v>
      </c>
      <c r="C128" s="13" t="s">
        <v>113</v>
      </c>
      <c r="D128" s="2">
        <v>6759</v>
      </c>
      <c r="E128" s="3">
        <v>207634</v>
      </c>
      <c r="F128" s="3" t="s">
        <v>474</v>
      </c>
      <c r="G128" s="50" t="s">
        <v>422</v>
      </c>
    </row>
    <row r="129" spans="1:7" ht="15" customHeight="1" x14ac:dyDescent="0.25">
      <c r="A129" s="1" t="s">
        <v>475</v>
      </c>
      <c r="B129" s="13" t="s">
        <v>476</v>
      </c>
      <c r="C129" s="13" t="s">
        <v>60</v>
      </c>
      <c r="D129" s="2">
        <v>6760</v>
      </c>
      <c r="E129" s="3">
        <v>207634</v>
      </c>
      <c r="F129" s="3" t="s">
        <v>477</v>
      </c>
      <c r="G129" s="50" t="s">
        <v>422</v>
      </c>
    </row>
    <row r="130" spans="1:7" ht="15" customHeight="1" x14ac:dyDescent="0.25">
      <c r="A130" s="1" t="s">
        <v>482</v>
      </c>
      <c r="B130" s="13" t="s">
        <v>483</v>
      </c>
      <c r="C130" s="13" t="s">
        <v>29</v>
      </c>
      <c r="D130" s="2">
        <v>6762</v>
      </c>
      <c r="E130" s="3">
        <v>254545</v>
      </c>
      <c r="F130" s="3" t="s">
        <v>484</v>
      </c>
      <c r="G130" s="50" t="s">
        <v>485</v>
      </c>
    </row>
    <row r="131" spans="1:7" ht="15" customHeight="1" x14ac:dyDescent="0.25">
      <c r="A131" s="1" t="s">
        <v>486</v>
      </c>
      <c r="B131" s="13" t="s">
        <v>487</v>
      </c>
      <c r="C131" s="13" t="s">
        <v>29</v>
      </c>
      <c r="D131" s="2">
        <v>6763</v>
      </c>
      <c r="E131" s="3">
        <v>205762</v>
      </c>
      <c r="F131" s="3" t="s">
        <v>488</v>
      </c>
      <c r="G131" s="50">
        <v>900699834</v>
      </c>
    </row>
    <row r="132" spans="1:7" ht="15" customHeight="1" x14ac:dyDescent="0.25">
      <c r="A132" s="1" t="s">
        <v>486</v>
      </c>
      <c r="B132" s="13" t="s">
        <v>487</v>
      </c>
      <c r="C132" s="13" t="s">
        <v>29</v>
      </c>
      <c r="D132" s="2">
        <v>6763</v>
      </c>
      <c r="E132" s="3">
        <v>205764</v>
      </c>
      <c r="F132" s="3" t="s">
        <v>489</v>
      </c>
      <c r="G132" s="50" t="s">
        <v>490</v>
      </c>
    </row>
    <row r="133" spans="1:7" ht="15" customHeight="1" x14ac:dyDescent="0.25">
      <c r="A133" s="1" t="s">
        <v>486</v>
      </c>
      <c r="B133" s="13" t="s">
        <v>487</v>
      </c>
      <c r="C133" s="13" t="s">
        <v>29</v>
      </c>
      <c r="D133" s="2">
        <v>6763</v>
      </c>
      <c r="E133" s="3">
        <v>205763</v>
      </c>
      <c r="F133" s="3" t="s">
        <v>491</v>
      </c>
      <c r="G133" s="50" t="s">
        <v>492</v>
      </c>
    </row>
    <row r="134" spans="1:7" ht="15" customHeight="1" x14ac:dyDescent="0.25">
      <c r="A134" s="1" t="s">
        <v>493</v>
      </c>
      <c r="B134" s="13" t="s">
        <v>494</v>
      </c>
      <c r="C134" s="13" t="s">
        <v>456</v>
      </c>
      <c r="D134" s="2">
        <v>6764</v>
      </c>
      <c r="E134" s="3">
        <v>207634</v>
      </c>
      <c r="F134" s="3" t="s">
        <v>495</v>
      </c>
      <c r="G134" s="50" t="s">
        <v>422</v>
      </c>
    </row>
    <row r="135" spans="1:7" ht="15" customHeight="1" x14ac:dyDescent="0.25">
      <c r="A135" s="1" t="s">
        <v>496</v>
      </c>
      <c r="B135" s="13" t="s">
        <v>497</v>
      </c>
      <c r="C135" s="13" t="s">
        <v>29</v>
      </c>
      <c r="D135" s="2">
        <v>6766</v>
      </c>
      <c r="E135" s="3">
        <v>207634</v>
      </c>
      <c r="F135" s="3" t="s">
        <v>498</v>
      </c>
      <c r="G135" s="50" t="s">
        <v>422</v>
      </c>
    </row>
    <row r="136" spans="1:7" ht="15" customHeight="1" x14ac:dyDescent="0.25">
      <c r="A136" s="1" t="s">
        <v>505</v>
      </c>
      <c r="B136" s="13" t="s">
        <v>506</v>
      </c>
      <c r="C136" s="13" t="s">
        <v>113</v>
      </c>
      <c r="D136" s="13" t="s">
        <v>507</v>
      </c>
      <c r="E136" s="3">
        <v>332321</v>
      </c>
      <c r="F136" s="3" t="s">
        <v>508</v>
      </c>
      <c r="G136" s="50" t="s">
        <v>509</v>
      </c>
    </row>
    <row r="137" spans="1:7" x14ac:dyDescent="0.25">
      <c r="A137" s="1" t="s">
        <v>281</v>
      </c>
      <c r="B137" s="13" t="s">
        <v>282</v>
      </c>
      <c r="C137" s="13" t="s">
        <v>119</v>
      </c>
      <c r="D137" s="2" t="s">
        <v>61</v>
      </c>
      <c r="E137" s="3">
        <v>214089</v>
      </c>
      <c r="F137" s="3" t="s">
        <v>284</v>
      </c>
      <c r="G137" s="50" t="s">
        <v>105</v>
      </c>
    </row>
    <row r="138" spans="1:7" x14ac:dyDescent="0.25">
      <c r="A138" s="1" t="s">
        <v>423</v>
      </c>
      <c r="B138" s="13" t="s">
        <v>424</v>
      </c>
      <c r="C138" s="13" t="s">
        <v>158</v>
      </c>
      <c r="D138" s="2" t="s">
        <v>61</v>
      </c>
      <c r="E138" s="3">
        <v>204942</v>
      </c>
      <c r="F138" s="3" t="s">
        <v>425</v>
      </c>
      <c r="G138" s="50">
        <v>8050305871</v>
      </c>
    </row>
    <row r="139" spans="1:7" x14ac:dyDescent="0.25">
      <c r="A139" s="1" t="s">
        <v>84</v>
      </c>
      <c r="B139" s="13" t="s">
        <v>85</v>
      </c>
      <c r="C139" s="13" t="s">
        <v>29</v>
      </c>
      <c r="D139" s="2" t="s">
        <v>61</v>
      </c>
      <c r="E139" s="3">
        <v>211510</v>
      </c>
      <c r="F139" s="3" t="s">
        <v>86</v>
      </c>
      <c r="G139" s="51">
        <v>900536058</v>
      </c>
    </row>
    <row r="140" spans="1:7" x14ac:dyDescent="0.25">
      <c r="A140" s="1" t="s">
        <v>96</v>
      </c>
      <c r="B140" s="13" t="s">
        <v>97</v>
      </c>
      <c r="C140" s="25" t="s">
        <v>29</v>
      </c>
      <c r="D140" s="2" t="s">
        <v>61</v>
      </c>
      <c r="E140" s="3">
        <v>289666</v>
      </c>
      <c r="F140" s="3" t="s">
        <v>500</v>
      </c>
      <c r="G140" s="50" t="s">
        <v>501</v>
      </c>
    </row>
    <row r="141" spans="1:7" x14ac:dyDescent="0.25">
      <c r="A141" s="1" t="s">
        <v>227</v>
      </c>
      <c r="B141" s="13" t="s">
        <v>228</v>
      </c>
      <c r="C141" s="13" t="s">
        <v>60</v>
      </c>
      <c r="D141" s="2" t="s">
        <v>61</v>
      </c>
      <c r="E141" s="3">
        <v>231460</v>
      </c>
      <c r="F141" s="3" t="s">
        <v>178</v>
      </c>
      <c r="G141" s="50">
        <v>9006121181</v>
      </c>
    </row>
    <row r="142" spans="1:7" x14ac:dyDescent="0.25">
      <c r="A142" s="1" t="s">
        <v>516</v>
      </c>
      <c r="B142" s="13" t="s">
        <v>100</v>
      </c>
      <c r="C142" s="25" t="s">
        <v>29</v>
      </c>
      <c r="D142" s="2" t="s">
        <v>517</v>
      </c>
      <c r="E142" s="3">
        <v>205547</v>
      </c>
      <c r="F142" s="3" t="s">
        <v>101</v>
      </c>
      <c r="G142" s="50">
        <v>830054539</v>
      </c>
    </row>
    <row r="143" spans="1:7" x14ac:dyDescent="0.25">
      <c r="A143" s="1" t="s">
        <v>510</v>
      </c>
      <c r="B143" s="13" t="s">
        <v>511</v>
      </c>
      <c r="C143" s="13" t="s">
        <v>512</v>
      </c>
      <c r="D143" s="2" t="s">
        <v>61</v>
      </c>
      <c r="E143" s="3">
        <v>348824</v>
      </c>
      <c r="F143" s="3" t="s">
        <v>514</v>
      </c>
      <c r="G143" s="51" t="s">
        <v>515</v>
      </c>
    </row>
    <row r="144" spans="1:7" x14ac:dyDescent="0.25">
      <c r="A144" s="1" t="s">
        <v>510</v>
      </c>
      <c r="B144" s="13" t="s">
        <v>511</v>
      </c>
      <c r="C144" s="13" t="s">
        <v>512</v>
      </c>
      <c r="D144" s="2" t="s">
        <v>513</v>
      </c>
      <c r="E144" s="3">
        <v>348824</v>
      </c>
      <c r="F144" s="3" t="s">
        <v>514</v>
      </c>
      <c r="G144" s="51" t="s">
        <v>515</v>
      </c>
    </row>
    <row r="145" spans="1:7" x14ac:dyDescent="0.25">
      <c r="A145" s="1" t="s">
        <v>516</v>
      </c>
      <c r="B145" s="13" t="s">
        <v>100</v>
      </c>
      <c r="C145" s="25" t="s">
        <v>29</v>
      </c>
      <c r="D145" s="2" t="s">
        <v>61</v>
      </c>
      <c r="E145" s="3">
        <v>205547</v>
      </c>
      <c r="F145" s="3" t="s">
        <v>101</v>
      </c>
      <c r="G145" s="50">
        <v>830054539</v>
      </c>
    </row>
    <row r="151" spans="1:7" x14ac:dyDescent="0.25">
      <c r="C151" t="s">
        <v>890</v>
      </c>
      <c r="D151" t="s">
        <v>891</v>
      </c>
    </row>
    <row r="152" spans="1:7" x14ac:dyDescent="0.25">
      <c r="C152" s="4" t="s">
        <v>10</v>
      </c>
      <c r="D152" s="4" t="s">
        <v>13</v>
      </c>
    </row>
    <row r="153" spans="1:7" x14ac:dyDescent="0.25">
      <c r="C153" s="91" t="s">
        <v>887</v>
      </c>
      <c r="D153" s="91">
        <v>9367</v>
      </c>
    </row>
    <row r="154" spans="1:7" x14ac:dyDescent="0.25">
      <c r="C154" s="91" t="s">
        <v>888</v>
      </c>
      <c r="D154" s="91">
        <v>8140074</v>
      </c>
    </row>
    <row r="155" spans="1:7" x14ac:dyDescent="0.25">
      <c r="C155" s="91">
        <v>619</v>
      </c>
      <c r="D155" s="91">
        <v>9366</v>
      </c>
    </row>
    <row r="156" spans="1:7" x14ac:dyDescent="0.25">
      <c r="C156" s="91" t="s">
        <v>889</v>
      </c>
      <c r="D156" s="91" t="s">
        <v>507</v>
      </c>
    </row>
    <row r="157" spans="1:7" x14ac:dyDescent="0.25">
      <c r="C157" s="91">
        <v>138</v>
      </c>
      <c r="D157" s="91" t="s">
        <v>513</v>
      </c>
    </row>
    <row r="158" spans="1:7" x14ac:dyDescent="0.25">
      <c r="C158" s="91">
        <v>635</v>
      </c>
      <c r="D158" s="91" t="s">
        <v>517</v>
      </c>
    </row>
  </sheetData>
  <autoFilter ref="A2:G145" xr:uid="{3E08E957-EC7F-4FCF-9D39-7AACBE3A4D7B}"/>
  <mergeCells count="1">
    <mergeCell ref="A1:G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CF119"/>
  <sheetViews>
    <sheetView zoomScale="60" zoomScaleNormal="60" workbookViewId="0">
      <pane xSplit="4" ySplit="21" topLeftCell="E22" activePane="bottomRight" state="frozen"/>
      <selection pane="topRight" activeCell="E1" sqref="E1"/>
      <selection pane="bottomLeft" activeCell="A22" sqref="A22"/>
      <selection pane="bottomRight" activeCell="E22" sqref="E22"/>
    </sheetView>
  </sheetViews>
  <sheetFormatPr defaultColWidth="11.42578125" defaultRowHeight="15" x14ac:dyDescent="0.25"/>
  <cols>
    <col min="1" max="1" width="19.42578125" bestFit="1" customWidth="1"/>
    <col min="2" max="2" width="75.42578125" bestFit="1" customWidth="1"/>
    <col min="3" max="3" width="14.42578125" bestFit="1" customWidth="1"/>
    <col min="4" max="4" width="35.5703125" bestFit="1" customWidth="1"/>
    <col min="5" max="5" width="60.140625" customWidth="1"/>
    <col min="6" max="6" width="16.5703125" bestFit="1" customWidth="1"/>
    <col min="7" max="7" width="22.28515625" bestFit="1" customWidth="1"/>
    <col min="8" max="8" width="25.5703125" bestFit="1" customWidth="1"/>
    <col min="9" max="9" width="24.140625" bestFit="1" customWidth="1"/>
    <col min="10" max="10" width="11.5703125" bestFit="1" customWidth="1"/>
    <col min="11" max="12" width="25.5703125" bestFit="1" customWidth="1"/>
    <col min="13" max="13" width="29.7109375" bestFit="1" customWidth="1"/>
    <col min="14" max="14" width="11.5703125" bestFit="1" customWidth="1"/>
    <col min="15" max="15" width="24.7109375" bestFit="1" customWidth="1"/>
    <col min="16" max="16" width="22.28515625" bestFit="1" customWidth="1"/>
    <col min="17" max="17" width="83.28515625" bestFit="1" customWidth="1"/>
    <col min="18" max="18" width="20.42578125" bestFit="1" customWidth="1"/>
    <col min="19" max="19" width="17.28515625" bestFit="1" customWidth="1"/>
    <col min="20" max="21" width="25.5703125" bestFit="1" customWidth="1"/>
    <col min="22" max="22" width="29.7109375" bestFit="1" customWidth="1"/>
    <col min="23" max="23" width="11.5703125" bestFit="1" customWidth="1"/>
    <col min="24" max="24" width="22.28515625" bestFit="1" customWidth="1"/>
    <col min="25" max="25" width="84.42578125" bestFit="1" customWidth="1"/>
    <col min="26" max="26" width="20.42578125" bestFit="1" customWidth="1"/>
    <col min="27" max="27" width="20.42578125" customWidth="1"/>
    <col min="28" max="28" width="25.5703125" bestFit="1" customWidth="1"/>
    <col min="29" max="29" width="12.7109375" customWidth="1"/>
    <col min="33" max="33" width="27.7109375" bestFit="1" customWidth="1"/>
    <col min="34" max="34" width="20.42578125" bestFit="1" customWidth="1"/>
    <col min="35" max="35" width="17.28515625" bestFit="1" customWidth="1"/>
    <col min="36" max="36" width="25.42578125" style="5" bestFit="1" customWidth="1"/>
    <col min="37" max="37" width="27.7109375" bestFit="1" customWidth="1"/>
    <col min="38" max="38" width="18.28515625" bestFit="1" customWidth="1"/>
    <col min="39" max="39" width="18.5703125" customWidth="1"/>
    <col min="44" max="44" width="25.140625" bestFit="1" customWidth="1"/>
    <col min="45" max="45" width="27.7109375" bestFit="1" customWidth="1"/>
    <col min="52" max="52" width="18.42578125" bestFit="1" customWidth="1"/>
    <col min="53" max="53" width="20.140625" bestFit="1" customWidth="1"/>
    <col min="54" max="54" width="25.5703125" bestFit="1" customWidth="1"/>
    <col min="61" max="61" width="13.7109375" bestFit="1" customWidth="1"/>
    <col min="62" max="62" width="25.5703125" bestFit="1" customWidth="1"/>
    <col min="63" max="63" width="29.7109375" bestFit="1" customWidth="1"/>
    <col min="69" max="69" width="20.140625" bestFit="1" customWidth="1"/>
    <col min="77" max="77" width="20.140625" bestFit="1" customWidth="1"/>
  </cols>
  <sheetData>
    <row r="2" spans="1:84" ht="26.25" x14ac:dyDescent="0.4">
      <c r="A2" s="95" t="s">
        <v>522</v>
      </c>
      <c r="B2" s="95"/>
      <c r="C2" s="95"/>
      <c r="D2" s="95"/>
      <c r="E2" s="95"/>
      <c r="F2" s="95"/>
      <c r="G2" s="46"/>
      <c r="H2" s="97" t="s">
        <v>0</v>
      </c>
      <c r="I2" s="97"/>
      <c r="J2" s="97"/>
      <c r="K2" s="99" t="s">
        <v>1</v>
      </c>
      <c r="L2" s="99"/>
      <c r="M2" s="99"/>
      <c r="N2" s="99"/>
      <c r="O2" s="99"/>
      <c r="P2" s="99"/>
      <c r="Q2" s="99"/>
      <c r="R2" s="99"/>
      <c r="S2" s="67"/>
      <c r="T2" s="98" t="s">
        <v>2</v>
      </c>
      <c r="U2" s="98"/>
      <c r="V2" s="98"/>
      <c r="W2" s="98"/>
      <c r="X2" s="98"/>
      <c r="Y2" s="98"/>
      <c r="Z2" s="98"/>
      <c r="AA2" s="66"/>
      <c r="AB2" s="100" t="s">
        <v>3</v>
      </c>
      <c r="AC2" s="100"/>
      <c r="AD2" s="100"/>
      <c r="AE2" s="100"/>
      <c r="AF2" s="100"/>
      <c r="AG2" s="100"/>
      <c r="AH2" s="100"/>
      <c r="AI2" s="100"/>
      <c r="AJ2" s="100"/>
      <c r="AK2" s="96" t="s">
        <v>4</v>
      </c>
      <c r="AL2" s="96"/>
      <c r="AM2" s="96"/>
      <c r="AN2" s="96"/>
      <c r="AO2" s="96"/>
      <c r="AP2" s="96"/>
      <c r="AQ2" s="96"/>
      <c r="AR2" s="96"/>
      <c r="AS2" s="105" t="s">
        <v>5</v>
      </c>
      <c r="AT2" s="105"/>
      <c r="AU2" s="105"/>
      <c r="AV2" s="105"/>
      <c r="AW2" s="105"/>
      <c r="AX2" s="105"/>
      <c r="AY2" s="105"/>
      <c r="AZ2" s="106"/>
      <c r="BA2" s="104" t="s">
        <v>6</v>
      </c>
      <c r="BB2" s="104"/>
      <c r="BC2" s="104"/>
      <c r="BD2" s="104"/>
      <c r="BE2" s="104"/>
      <c r="BF2" s="104"/>
      <c r="BG2" s="104"/>
      <c r="BH2" s="104"/>
      <c r="BI2" s="103" t="s">
        <v>7</v>
      </c>
      <c r="BJ2" s="103"/>
      <c r="BK2" s="103"/>
      <c r="BL2" s="103"/>
      <c r="BM2" s="103"/>
      <c r="BN2" s="103"/>
      <c r="BO2" s="103"/>
      <c r="BP2" s="103"/>
      <c r="BQ2" s="102" t="s">
        <v>8</v>
      </c>
      <c r="BR2" s="102"/>
      <c r="BS2" s="102"/>
      <c r="BT2" s="102"/>
      <c r="BU2" s="102"/>
      <c r="BV2" s="102"/>
      <c r="BW2" s="102"/>
      <c r="BX2" s="102"/>
      <c r="BY2" s="101" t="s">
        <v>9</v>
      </c>
      <c r="BZ2" s="101"/>
      <c r="CA2" s="101"/>
      <c r="CB2" s="101"/>
      <c r="CC2" s="101"/>
      <c r="CD2" s="101"/>
      <c r="CE2" s="101"/>
      <c r="CF2" s="101"/>
    </row>
    <row r="3" spans="1:84" ht="13.5" customHeight="1" x14ac:dyDescent="0.25">
      <c r="A3" s="4" t="s">
        <v>10</v>
      </c>
      <c r="B3" s="4" t="s">
        <v>523</v>
      </c>
      <c r="C3" s="4" t="s">
        <v>524</v>
      </c>
      <c r="D3" s="4" t="s">
        <v>525</v>
      </c>
      <c r="E3" s="4" t="s">
        <v>526</v>
      </c>
      <c r="F3" s="4" t="s">
        <v>16</v>
      </c>
      <c r="G3" s="48" t="s">
        <v>17</v>
      </c>
      <c r="H3" s="4" t="s">
        <v>18</v>
      </c>
      <c r="I3" s="4" t="s">
        <v>19</v>
      </c>
      <c r="J3" s="4" t="s">
        <v>20</v>
      </c>
      <c r="K3" s="4" t="s">
        <v>18</v>
      </c>
      <c r="L3" s="4" t="s">
        <v>21</v>
      </c>
      <c r="M3" s="4" t="s">
        <v>22</v>
      </c>
      <c r="N3" s="4" t="s">
        <v>20</v>
      </c>
      <c r="O3" s="4" t="s">
        <v>767</v>
      </c>
      <c r="P3" s="4" t="s">
        <v>23</v>
      </c>
      <c r="Q3" s="4" t="s">
        <v>24</v>
      </c>
      <c r="R3" s="4" t="s">
        <v>25</v>
      </c>
      <c r="S3" s="4" t="s">
        <v>26</v>
      </c>
      <c r="T3" s="4" t="s">
        <v>18</v>
      </c>
      <c r="U3" s="4" t="s">
        <v>21</v>
      </c>
      <c r="V3" s="4" t="s">
        <v>22</v>
      </c>
      <c r="W3" s="4" t="s">
        <v>20</v>
      </c>
      <c r="X3" s="4" t="s">
        <v>23</v>
      </c>
      <c r="Y3" s="4" t="s">
        <v>24</v>
      </c>
      <c r="Z3" s="4" t="s">
        <v>25</v>
      </c>
      <c r="AA3" s="4" t="s">
        <v>26</v>
      </c>
      <c r="AB3" s="65" t="s">
        <v>18</v>
      </c>
      <c r="AC3" s="4" t="s">
        <v>21</v>
      </c>
      <c r="AD3" s="4" t="s">
        <v>22</v>
      </c>
      <c r="AE3" s="4" t="s">
        <v>20</v>
      </c>
      <c r="AF3" s="4" t="s">
        <v>23</v>
      </c>
      <c r="AG3" s="4" t="s">
        <v>24</v>
      </c>
      <c r="AH3" s="4" t="s">
        <v>25</v>
      </c>
      <c r="AI3" s="4" t="s">
        <v>26</v>
      </c>
      <c r="AJ3" s="64" t="s">
        <v>27</v>
      </c>
      <c r="AK3" s="65" t="s">
        <v>18</v>
      </c>
      <c r="AL3" s="4" t="s">
        <v>21</v>
      </c>
      <c r="AM3" s="4" t="s">
        <v>22</v>
      </c>
      <c r="AN3" s="4" t="s">
        <v>20</v>
      </c>
      <c r="AO3" s="4" t="s">
        <v>24</v>
      </c>
      <c r="AP3" s="4" t="s">
        <v>25</v>
      </c>
      <c r="AQ3" s="4" t="s">
        <v>26</v>
      </c>
      <c r="AR3" s="64" t="s">
        <v>27</v>
      </c>
      <c r="AS3" s="65" t="s">
        <v>18</v>
      </c>
      <c r="AT3" s="4" t="s">
        <v>21</v>
      </c>
      <c r="AU3" s="4" t="s">
        <v>22</v>
      </c>
      <c r="AV3" s="4" t="s">
        <v>20</v>
      </c>
      <c r="AW3" s="4" t="s">
        <v>24</v>
      </c>
      <c r="AX3" s="4" t="s">
        <v>25</v>
      </c>
      <c r="AY3" s="4" t="s">
        <v>26</v>
      </c>
      <c r="AZ3" s="77" t="s">
        <v>27</v>
      </c>
      <c r="BA3" s="65" t="s">
        <v>18</v>
      </c>
      <c r="BB3" s="4" t="s">
        <v>21</v>
      </c>
      <c r="BC3" s="4" t="s">
        <v>22</v>
      </c>
      <c r="BD3" s="4" t="s">
        <v>20</v>
      </c>
      <c r="BE3" s="4" t="s">
        <v>24</v>
      </c>
      <c r="BF3" s="4" t="s">
        <v>25</v>
      </c>
      <c r="BG3" s="4" t="s">
        <v>26</v>
      </c>
      <c r="BH3" s="64" t="s">
        <v>27</v>
      </c>
      <c r="BI3" s="65" t="s">
        <v>18</v>
      </c>
      <c r="BJ3" s="4" t="s">
        <v>21</v>
      </c>
      <c r="BK3" s="4" t="s">
        <v>22</v>
      </c>
      <c r="BL3" s="4" t="s">
        <v>20</v>
      </c>
      <c r="BM3" s="4" t="s">
        <v>24</v>
      </c>
      <c r="BN3" s="4" t="s">
        <v>25</v>
      </c>
      <c r="BO3" s="4" t="s">
        <v>26</v>
      </c>
      <c r="BP3" s="64" t="s">
        <v>27</v>
      </c>
      <c r="BQ3" s="65" t="s">
        <v>18</v>
      </c>
      <c r="BR3" s="4" t="s">
        <v>21</v>
      </c>
      <c r="BS3" s="4" t="s">
        <v>22</v>
      </c>
      <c r="BT3" s="4" t="s">
        <v>20</v>
      </c>
      <c r="BU3" s="4" t="s">
        <v>24</v>
      </c>
      <c r="BV3" s="4" t="s">
        <v>25</v>
      </c>
      <c r="BW3" s="4" t="s">
        <v>26</v>
      </c>
      <c r="BX3" s="64" t="s">
        <v>27</v>
      </c>
      <c r="BY3" s="65" t="s">
        <v>18</v>
      </c>
      <c r="BZ3" s="4" t="s">
        <v>21</v>
      </c>
      <c r="CA3" s="4" t="s">
        <v>22</v>
      </c>
      <c r="CB3" s="4" t="s">
        <v>20</v>
      </c>
      <c r="CC3" s="4" t="s">
        <v>24</v>
      </c>
      <c r="CD3" s="4" t="s">
        <v>25</v>
      </c>
      <c r="CE3" s="4" t="s">
        <v>26</v>
      </c>
      <c r="CF3" s="64" t="s">
        <v>27</v>
      </c>
    </row>
    <row r="4" spans="1:84" x14ac:dyDescent="0.25">
      <c r="A4" s="68" t="s">
        <v>33</v>
      </c>
      <c r="B4" s="13" t="s">
        <v>527</v>
      </c>
      <c r="C4" s="1"/>
      <c r="D4" s="1">
        <v>238176</v>
      </c>
      <c r="E4" s="15" t="s">
        <v>528</v>
      </c>
      <c r="F4" s="16" t="s">
        <v>529</v>
      </c>
      <c r="G4" s="38">
        <v>8731476</v>
      </c>
      <c r="H4" s="38">
        <v>8731476</v>
      </c>
      <c r="I4" s="8">
        <f>+H4-G4</f>
        <v>0</v>
      </c>
      <c r="J4" s="8">
        <f>+I4/G4</f>
        <v>0</v>
      </c>
      <c r="K4" s="11">
        <v>8731476</v>
      </c>
      <c r="L4" s="11"/>
      <c r="M4" s="11"/>
      <c r="N4" s="9"/>
      <c r="O4" s="13"/>
      <c r="P4" s="13" t="s">
        <v>38</v>
      </c>
      <c r="Q4" s="13"/>
      <c r="R4" s="13" t="s">
        <v>31</v>
      </c>
      <c r="S4" s="72" t="s">
        <v>83</v>
      </c>
      <c r="T4" s="42">
        <v>8731476</v>
      </c>
      <c r="U4" s="43">
        <f>+H4-T4</f>
        <v>0</v>
      </c>
      <c r="V4" s="13"/>
      <c r="W4" s="8">
        <f>+U4/H4</f>
        <v>0</v>
      </c>
      <c r="X4" s="13"/>
      <c r="Y4" s="13" t="s">
        <v>768</v>
      </c>
      <c r="Z4" s="13" t="s">
        <v>31</v>
      </c>
      <c r="AA4" s="3"/>
      <c r="AB4" s="38">
        <f>+T4</f>
        <v>8731476</v>
      </c>
      <c r="AC4" s="8">
        <f>+K4-AB4</f>
        <v>0</v>
      </c>
      <c r="AD4" s="13"/>
      <c r="AE4" s="13">
        <v>0</v>
      </c>
      <c r="AF4" s="13" t="s">
        <v>38</v>
      </c>
      <c r="AG4" s="13"/>
      <c r="AH4" s="13" t="s">
        <v>31</v>
      </c>
      <c r="AI4" s="3"/>
      <c r="AJ4" s="49">
        <v>1900003299</v>
      </c>
      <c r="AK4" s="38">
        <v>8731476</v>
      </c>
      <c r="AL4" s="13">
        <v>0</v>
      </c>
      <c r="AM4" s="13"/>
      <c r="AN4" s="13">
        <v>0</v>
      </c>
      <c r="AO4" s="13"/>
      <c r="AP4" s="13" t="s">
        <v>31</v>
      </c>
      <c r="AQ4" s="13"/>
      <c r="AR4" s="19">
        <v>1900003684</v>
      </c>
      <c r="AS4" s="38">
        <v>8731476</v>
      </c>
      <c r="AT4" s="8">
        <f>+H4-AS4</f>
        <v>0</v>
      </c>
      <c r="AU4" s="13"/>
      <c r="AV4" s="9">
        <f>+AT4/H4</f>
        <v>0</v>
      </c>
      <c r="AW4" s="13"/>
      <c r="AX4" s="13" t="s">
        <v>31</v>
      </c>
      <c r="AY4" s="13"/>
      <c r="AZ4" s="79" t="s">
        <v>769</v>
      </c>
      <c r="BA4" s="38">
        <v>8731476</v>
      </c>
      <c r="BB4" s="13">
        <v>0</v>
      </c>
      <c r="BC4" s="13"/>
      <c r="BD4" s="13">
        <v>0</v>
      </c>
      <c r="BE4" s="13"/>
      <c r="BF4" s="13" t="s">
        <v>31</v>
      </c>
      <c r="BG4" s="13"/>
      <c r="BH4" s="13"/>
      <c r="BI4" s="38">
        <v>9255365</v>
      </c>
      <c r="BJ4" s="8">
        <f>+H4-BI4</f>
        <v>-523889</v>
      </c>
      <c r="BK4" s="13"/>
      <c r="BL4" s="9">
        <f>+BJ4/H4</f>
        <v>-6.0000050392396427E-2</v>
      </c>
      <c r="BM4" s="13"/>
      <c r="BN4" s="13" t="s">
        <v>31</v>
      </c>
      <c r="BO4" s="13"/>
      <c r="BP4" s="13"/>
      <c r="BQ4" s="38">
        <v>9255365</v>
      </c>
      <c r="BR4" s="13">
        <v>0</v>
      </c>
      <c r="BS4" s="13"/>
      <c r="BT4" s="13">
        <v>0</v>
      </c>
      <c r="BU4" s="13"/>
      <c r="BV4" s="13" t="s">
        <v>31</v>
      </c>
      <c r="BW4" s="13"/>
      <c r="BX4" s="13"/>
      <c r="BY4" s="38">
        <v>9255365</v>
      </c>
      <c r="BZ4" s="13">
        <v>0</v>
      </c>
      <c r="CA4" s="13"/>
      <c r="CB4" s="13">
        <v>0</v>
      </c>
      <c r="CC4" s="13"/>
      <c r="CD4" s="13" t="s">
        <v>31</v>
      </c>
      <c r="CE4" s="13"/>
      <c r="CF4" s="13"/>
    </row>
    <row r="5" spans="1:84" x14ac:dyDescent="0.25">
      <c r="A5" s="68" t="s">
        <v>28</v>
      </c>
      <c r="B5" s="13" t="s">
        <v>28</v>
      </c>
      <c r="C5" s="1">
        <v>8525</v>
      </c>
      <c r="D5" s="1">
        <v>251769</v>
      </c>
      <c r="E5" s="15" t="s">
        <v>530</v>
      </c>
      <c r="F5" s="22">
        <v>800121696</v>
      </c>
      <c r="G5" s="38"/>
      <c r="H5" s="38"/>
      <c r="I5" s="8"/>
      <c r="J5" s="8"/>
      <c r="K5" s="11"/>
      <c r="L5" s="11"/>
      <c r="M5" s="11"/>
      <c r="N5" s="9"/>
      <c r="O5" s="13"/>
      <c r="P5" s="13"/>
      <c r="Q5" s="13"/>
      <c r="R5" s="13"/>
      <c r="S5" s="72"/>
      <c r="T5" s="42"/>
      <c r="U5" s="43"/>
      <c r="V5" s="13"/>
      <c r="W5" s="8"/>
      <c r="X5" s="13"/>
      <c r="Y5" s="13"/>
      <c r="Z5" s="13"/>
      <c r="AA5" s="3"/>
      <c r="AB5" s="38">
        <v>682640</v>
      </c>
      <c r="AC5" s="8"/>
      <c r="AD5" s="13"/>
      <c r="AE5" s="13"/>
      <c r="AF5" s="13" t="s">
        <v>38</v>
      </c>
      <c r="AG5" s="13"/>
      <c r="AH5" s="13" t="s">
        <v>31</v>
      </c>
      <c r="AI5" s="3"/>
      <c r="AJ5" s="49"/>
      <c r="AK5" s="38">
        <v>682640</v>
      </c>
      <c r="AL5" s="8">
        <f>+AB5-AK5</f>
        <v>0</v>
      </c>
      <c r="AM5" s="13"/>
      <c r="AN5" s="8">
        <f>+AL5/AB5</f>
        <v>0</v>
      </c>
      <c r="AO5" s="13"/>
      <c r="AP5" s="13" t="s">
        <v>31</v>
      </c>
      <c r="AQ5" s="13"/>
      <c r="AR5" s="19"/>
      <c r="AS5" s="38">
        <v>682640</v>
      </c>
      <c r="AT5" s="8">
        <v>0</v>
      </c>
      <c r="AU5" s="13"/>
      <c r="AV5" s="13">
        <v>0</v>
      </c>
      <c r="AW5" s="13"/>
      <c r="AX5" s="13" t="s">
        <v>31</v>
      </c>
      <c r="AY5" s="13"/>
      <c r="AZ5" s="79">
        <v>1900004206</v>
      </c>
      <c r="BA5" s="38">
        <v>682640</v>
      </c>
      <c r="BB5" s="13">
        <v>0</v>
      </c>
      <c r="BC5" s="13"/>
      <c r="BD5" s="13">
        <v>0</v>
      </c>
      <c r="BE5" s="13"/>
      <c r="BF5" s="13" t="s">
        <v>31</v>
      </c>
      <c r="BG5" s="13"/>
      <c r="BH5" s="13"/>
      <c r="BI5" s="38">
        <v>682640</v>
      </c>
      <c r="BJ5" s="8">
        <v>0</v>
      </c>
      <c r="BK5" s="13"/>
      <c r="BL5" s="9">
        <v>0</v>
      </c>
      <c r="BM5" s="13"/>
      <c r="BN5" s="13" t="s">
        <v>31</v>
      </c>
      <c r="BO5" s="13"/>
      <c r="BP5" s="13"/>
      <c r="BQ5" s="38">
        <v>682640</v>
      </c>
      <c r="BR5" s="13">
        <v>0</v>
      </c>
      <c r="BS5" s="13"/>
      <c r="BT5" s="13">
        <v>0</v>
      </c>
      <c r="BU5" s="13"/>
      <c r="BV5" s="13" t="s">
        <v>31</v>
      </c>
      <c r="BW5" s="13"/>
      <c r="BX5" s="13"/>
      <c r="BY5" s="38">
        <v>682640</v>
      </c>
      <c r="BZ5" s="13">
        <v>0</v>
      </c>
      <c r="CA5" s="13"/>
      <c r="CB5" s="13">
        <v>0</v>
      </c>
      <c r="CC5" s="13"/>
      <c r="CD5" s="13" t="s">
        <v>31</v>
      </c>
      <c r="CE5" s="13"/>
      <c r="CF5" s="13"/>
    </row>
    <row r="6" spans="1:84" x14ac:dyDescent="0.25">
      <c r="A6" s="68" t="s">
        <v>39</v>
      </c>
      <c r="B6" s="25" t="s">
        <v>531</v>
      </c>
      <c r="C6" s="1">
        <v>9205</v>
      </c>
      <c r="D6" s="1">
        <v>204573</v>
      </c>
      <c r="E6" s="17" t="s">
        <v>532</v>
      </c>
      <c r="F6" s="18" t="s">
        <v>533</v>
      </c>
      <c r="G6" s="38">
        <v>1040962</v>
      </c>
      <c r="H6" s="38">
        <v>1040962</v>
      </c>
      <c r="I6" s="8">
        <f t="shared" ref="I6:I69" si="0">+H6-G6</f>
        <v>0</v>
      </c>
      <c r="J6" s="8">
        <f t="shared" ref="J6:J69" si="1">+I6/G6</f>
        <v>0</v>
      </c>
      <c r="K6" s="11">
        <v>505903</v>
      </c>
      <c r="L6" s="11">
        <f>+H6-K6</f>
        <v>535059</v>
      </c>
      <c r="M6" s="11"/>
      <c r="N6" s="9">
        <f t="shared" ref="N6:N69" si="2">+(L6+M6)/H6</f>
        <v>0.51400435366516739</v>
      </c>
      <c r="O6" s="13"/>
      <c r="P6" s="13" t="s">
        <v>46</v>
      </c>
      <c r="Q6" s="13" t="s">
        <v>122</v>
      </c>
      <c r="R6" s="13" t="s">
        <v>31</v>
      </c>
      <c r="S6" s="72" t="s">
        <v>32</v>
      </c>
      <c r="T6" s="38">
        <v>1011805</v>
      </c>
      <c r="U6" s="43">
        <f>+H6-T6</f>
        <v>29157</v>
      </c>
      <c r="V6" s="13"/>
      <c r="W6" s="9">
        <f>+U6/H6</f>
        <v>2.8009667980195243E-2</v>
      </c>
      <c r="X6" s="13"/>
      <c r="Y6" s="13"/>
      <c r="Z6" s="13"/>
      <c r="AA6" s="3"/>
      <c r="AB6" s="38">
        <v>1011805</v>
      </c>
      <c r="AC6" s="8">
        <f>+H6-AB6</f>
        <v>29157</v>
      </c>
      <c r="AD6" s="13"/>
      <c r="AE6" s="9">
        <f>+AC6/H6</f>
        <v>2.8009667980195243E-2</v>
      </c>
      <c r="AF6" s="13"/>
      <c r="AG6" s="13"/>
      <c r="AH6" s="13"/>
      <c r="AI6" s="3"/>
      <c r="AJ6" s="49"/>
      <c r="AK6" s="13"/>
      <c r="AL6" s="13"/>
      <c r="AM6" s="13"/>
      <c r="AN6" s="13"/>
      <c r="AO6" s="13"/>
      <c r="AP6" s="13"/>
      <c r="AQ6" s="13"/>
      <c r="AR6" s="19"/>
      <c r="AS6" s="38">
        <v>1011805</v>
      </c>
      <c r="AT6" s="8">
        <f>+H6-AS6</f>
        <v>29157</v>
      </c>
      <c r="AU6" s="13"/>
      <c r="AV6" s="9">
        <f>+AT6/H6</f>
        <v>2.8009667980195243E-2</v>
      </c>
      <c r="AW6" s="13"/>
      <c r="AX6" s="13" t="s">
        <v>31</v>
      </c>
      <c r="AY6" s="13"/>
      <c r="AZ6" s="79"/>
      <c r="BA6" s="38">
        <v>1011805</v>
      </c>
      <c r="BB6" s="8">
        <f t="shared" ref="BB6:BB11" si="3">+H6-BA6</f>
        <v>29157</v>
      </c>
      <c r="BC6" s="13"/>
      <c r="BD6" s="9">
        <f>+BB6/H6</f>
        <v>2.8009667980195243E-2</v>
      </c>
      <c r="BE6" s="13"/>
      <c r="BF6" s="13" t="s">
        <v>31</v>
      </c>
      <c r="BG6" s="13"/>
      <c r="BH6" s="13"/>
      <c r="BI6" s="38">
        <v>1011805</v>
      </c>
      <c r="BJ6" s="38">
        <f>+H6-BI6</f>
        <v>29157</v>
      </c>
      <c r="BK6" s="13"/>
      <c r="BL6" s="9">
        <f>+BJ6/H6</f>
        <v>2.8009667980195243E-2</v>
      </c>
      <c r="BM6" s="13"/>
      <c r="BN6" s="13" t="s">
        <v>31</v>
      </c>
      <c r="BO6" s="13"/>
      <c r="BP6" s="13"/>
      <c r="BQ6" s="38">
        <v>1011805</v>
      </c>
      <c r="BR6" s="8">
        <f>+H6-BQ6</f>
        <v>29157</v>
      </c>
      <c r="BS6" s="13"/>
      <c r="BT6" s="9">
        <f>+BR6/H6</f>
        <v>2.8009667980195243E-2</v>
      </c>
      <c r="BU6" s="13"/>
      <c r="BV6" s="13" t="s">
        <v>31</v>
      </c>
      <c r="BW6" s="13"/>
      <c r="BX6" s="13"/>
      <c r="BY6" s="38">
        <v>1011805</v>
      </c>
      <c r="BZ6" s="13">
        <v>0</v>
      </c>
      <c r="CA6" s="13"/>
      <c r="CB6" s="13">
        <v>0</v>
      </c>
      <c r="CC6" s="13"/>
      <c r="CD6" s="13" t="s">
        <v>31</v>
      </c>
      <c r="CE6" s="13"/>
      <c r="CF6" s="13"/>
    </row>
    <row r="7" spans="1:84" x14ac:dyDescent="0.25">
      <c r="A7" s="69" t="s">
        <v>42</v>
      </c>
      <c r="B7" s="25" t="s">
        <v>770</v>
      </c>
      <c r="C7" s="14">
        <v>9208</v>
      </c>
      <c r="D7" s="1">
        <v>204600</v>
      </c>
      <c r="E7" s="17" t="s">
        <v>534</v>
      </c>
      <c r="F7" s="18" t="s">
        <v>535</v>
      </c>
      <c r="G7" s="38">
        <v>984992</v>
      </c>
      <c r="H7" s="38">
        <v>984992</v>
      </c>
      <c r="I7" s="8">
        <f t="shared" si="0"/>
        <v>0</v>
      </c>
      <c r="J7" s="8">
        <f t="shared" si="1"/>
        <v>0</v>
      </c>
      <c r="K7" s="11">
        <f>+H7</f>
        <v>984992</v>
      </c>
      <c r="L7" s="11"/>
      <c r="M7" s="11"/>
      <c r="N7" s="9"/>
      <c r="O7" s="13"/>
      <c r="P7" s="13" t="s">
        <v>38</v>
      </c>
      <c r="Q7" s="13"/>
      <c r="R7" s="13" t="s">
        <v>31</v>
      </c>
      <c r="S7" s="72" t="s">
        <v>83</v>
      </c>
      <c r="T7" s="42">
        <v>984992</v>
      </c>
      <c r="U7" s="43">
        <f>+K7-T7</f>
        <v>0</v>
      </c>
      <c r="V7" s="13"/>
      <c r="W7" s="8">
        <f>+U7/H7</f>
        <v>0</v>
      </c>
      <c r="X7" s="13" t="s">
        <v>38</v>
      </c>
      <c r="Y7" s="13"/>
      <c r="Z7" s="13" t="s">
        <v>31</v>
      </c>
      <c r="AA7" s="72" t="s">
        <v>55</v>
      </c>
      <c r="AB7" s="38">
        <v>984992</v>
      </c>
      <c r="AC7" s="8">
        <f>+H7-AB7</f>
        <v>0</v>
      </c>
      <c r="AD7" s="38">
        <v>787994</v>
      </c>
      <c r="AE7" s="9">
        <f>+AD7/H7</f>
        <v>0.80000040609466883</v>
      </c>
      <c r="AF7" s="13" t="s">
        <v>38</v>
      </c>
      <c r="AG7" s="13"/>
      <c r="AH7" s="13" t="s">
        <v>31</v>
      </c>
      <c r="AI7" s="3"/>
      <c r="AJ7" s="49" t="s">
        <v>771</v>
      </c>
      <c r="AK7" s="38">
        <v>984992</v>
      </c>
      <c r="AL7" s="8">
        <f t="shared" ref="AL7:AL13" si="4">+H7-AK7</f>
        <v>0</v>
      </c>
      <c r="AM7" s="13"/>
      <c r="AN7" s="9">
        <f t="shared" ref="AN7:AN13" si="5">+AL7/H7</f>
        <v>0</v>
      </c>
      <c r="AO7" s="13"/>
      <c r="AP7" s="13" t="s">
        <v>31</v>
      </c>
      <c r="AQ7" s="13"/>
      <c r="AR7" s="19">
        <v>1900003690</v>
      </c>
      <c r="AS7" s="38">
        <v>984992</v>
      </c>
      <c r="AT7" s="8">
        <f>+H7-AS7</f>
        <v>0</v>
      </c>
      <c r="AU7" s="13"/>
      <c r="AV7" s="9">
        <f>+AT7/H7</f>
        <v>0</v>
      </c>
      <c r="AW7" s="13"/>
      <c r="AX7" s="13" t="s">
        <v>31</v>
      </c>
      <c r="AY7" s="13"/>
      <c r="AZ7" s="79">
        <v>1900004214</v>
      </c>
      <c r="BA7" s="38">
        <v>984992</v>
      </c>
      <c r="BB7" s="8">
        <f t="shared" si="3"/>
        <v>0</v>
      </c>
      <c r="BC7" s="13"/>
      <c r="BD7" s="13">
        <v>0</v>
      </c>
      <c r="BE7" s="13"/>
      <c r="BF7" s="13" t="s">
        <v>31</v>
      </c>
      <c r="BG7" s="13"/>
      <c r="BH7" s="13"/>
      <c r="BI7" s="38">
        <v>984992</v>
      </c>
      <c r="BJ7" s="8">
        <f>+H7-BI7</f>
        <v>0</v>
      </c>
      <c r="BK7" s="13"/>
      <c r="BL7" s="13">
        <v>0</v>
      </c>
      <c r="BM7" s="13"/>
      <c r="BN7" s="13" t="s">
        <v>31</v>
      </c>
      <c r="BO7" s="13"/>
      <c r="BP7" s="13"/>
      <c r="BQ7" s="38">
        <v>984992</v>
      </c>
      <c r="BR7" s="13">
        <v>0</v>
      </c>
      <c r="BS7" s="13"/>
      <c r="BT7" s="13">
        <v>0</v>
      </c>
      <c r="BU7" s="13"/>
      <c r="BV7" s="13" t="s">
        <v>31</v>
      </c>
      <c r="BW7" s="13"/>
      <c r="BX7" s="13"/>
      <c r="BY7" s="38">
        <v>984992</v>
      </c>
      <c r="BZ7" s="38">
        <f>BQ7-BY7</f>
        <v>0</v>
      </c>
      <c r="CA7" s="38"/>
      <c r="CB7" s="9">
        <v>0</v>
      </c>
      <c r="CC7" s="13"/>
      <c r="CD7" s="13" t="s">
        <v>31</v>
      </c>
      <c r="CE7" s="13"/>
      <c r="CF7" s="13"/>
    </row>
    <row r="8" spans="1:84" x14ac:dyDescent="0.25">
      <c r="A8" s="68" t="s">
        <v>48</v>
      </c>
      <c r="B8" s="13" t="s">
        <v>536</v>
      </c>
      <c r="C8" s="1">
        <v>9264</v>
      </c>
      <c r="D8" s="1">
        <v>208093</v>
      </c>
      <c r="E8" s="3" t="s">
        <v>772</v>
      </c>
      <c r="F8" s="19" t="s">
        <v>520</v>
      </c>
      <c r="G8" s="38">
        <v>1365664</v>
      </c>
      <c r="H8" s="38">
        <v>1365664</v>
      </c>
      <c r="I8" s="8">
        <f t="shared" si="0"/>
        <v>0</v>
      </c>
      <c r="J8" s="8">
        <f t="shared" si="1"/>
        <v>0</v>
      </c>
      <c r="K8" s="11"/>
      <c r="L8" s="11"/>
      <c r="M8" s="11"/>
      <c r="N8" s="8">
        <f t="shared" si="2"/>
        <v>0</v>
      </c>
      <c r="O8" s="13"/>
      <c r="P8" s="13"/>
      <c r="Q8" s="13"/>
      <c r="R8" s="13"/>
      <c r="S8" s="3"/>
      <c r="T8" s="38">
        <v>546266</v>
      </c>
      <c r="U8" s="8">
        <f>+H8-T8</f>
        <v>819398</v>
      </c>
      <c r="V8" s="13"/>
      <c r="W8" s="9">
        <f>+U8/H8</f>
        <v>0.5999997071021862</v>
      </c>
      <c r="X8" s="13" t="s">
        <v>46</v>
      </c>
      <c r="Y8" s="13"/>
      <c r="Z8" s="13" t="s">
        <v>31</v>
      </c>
      <c r="AA8" s="3"/>
      <c r="AB8" s="38">
        <v>546266</v>
      </c>
      <c r="AC8" s="8">
        <f>+H8-AB8</f>
        <v>819398</v>
      </c>
      <c r="AD8" s="13"/>
      <c r="AE8" s="9">
        <f>+AC8/H8</f>
        <v>0.5999997071021862</v>
      </c>
      <c r="AF8" s="13"/>
      <c r="AG8" s="13"/>
      <c r="AH8" s="13" t="s">
        <v>31</v>
      </c>
      <c r="AI8" s="3"/>
      <c r="AJ8" s="50">
        <v>1900003439</v>
      </c>
      <c r="AK8" s="38">
        <v>546266</v>
      </c>
      <c r="AL8" s="8">
        <f t="shared" si="4"/>
        <v>819398</v>
      </c>
      <c r="AM8" s="13"/>
      <c r="AN8" s="9">
        <f t="shared" si="5"/>
        <v>0.5999997071021862</v>
      </c>
      <c r="AO8" s="13"/>
      <c r="AP8" s="13" t="s">
        <v>31</v>
      </c>
      <c r="AQ8" s="13"/>
      <c r="AR8" s="19">
        <v>1900003889</v>
      </c>
      <c r="AS8" s="38">
        <v>1365664</v>
      </c>
      <c r="AT8" s="8">
        <f>+H8-AS8</f>
        <v>0</v>
      </c>
      <c r="AU8" s="13"/>
      <c r="AV8" s="13">
        <v>0</v>
      </c>
      <c r="AW8" s="13"/>
      <c r="AX8" s="13" t="s">
        <v>31</v>
      </c>
      <c r="AY8" s="13"/>
      <c r="AZ8" s="78">
        <v>1900004340</v>
      </c>
      <c r="BA8" s="8">
        <f>+AS8</f>
        <v>1365664</v>
      </c>
      <c r="BB8" s="8">
        <f t="shared" si="3"/>
        <v>0</v>
      </c>
      <c r="BC8" s="13"/>
      <c r="BD8" s="13">
        <v>0</v>
      </c>
      <c r="BE8" s="13"/>
      <c r="BF8" s="13" t="s">
        <v>31</v>
      </c>
      <c r="BG8" s="13"/>
      <c r="BH8" s="13"/>
      <c r="BI8" s="38">
        <v>955965</v>
      </c>
      <c r="BJ8" s="8">
        <f>+H8-BI8</f>
        <v>409699</v>
      </c>
      <c r="BK8" s="13"/>
      <c r="BL8" s="9">
        <f>+BJ8/H8</f>
        <v>0.2999998535510931</v>
      </c>
      <c r="BM8" s="13"/>
      <c r="BN8" s="13" t="s">
        <v>31</v>
      </c>
      <c r="BO8" s="13"/>
      <c r="BP8" s="13"/>
      <c r="BQ8" s="38">
        <v>955965</v>
      </c>
      <c r="BR8" s="13">
        <v>409699</v>
      </c>
      <c r="BS8" s="13"/>
      <c r="BT8" s="63">
        <v>0.3</v>
      </c>
      <c r="BU8" s="13"/>
      <c r="BV8" s="13" t="s">
        <v>31</v>
      </c>
      <c r="BW8" s="13"/>
      <c r="BX8" s="13"/>
      <c r="BY8" s="13"/>
      <c r="BZ8" s="13"/>
      <c r="CA8" s="13"/>
      <c r="CB8" s="13"/>
      <c r="CC8" s="13"/>
      <c r="CD8" s="13"/>
      <c r="CE8" s="13"/>
      <c r="CF8" s="13"/>
    </row>
    <row r="9" spans="1:84" x14ac:dyDescent="0.25">
      <c r="A9" s="68" t="s">
        <v>51</v>
      </c>
      <c r="B9" s="13" t="s">
        <v>537</v>
      </c>
      <c r="C9" s="1">
        <v>9355</v>
      </c>
      <c r="D9" s="1">
        <v>209888</v>
      </c>
      <c r="E9" s="15" t="s">
        <v>538</v>
      </c>
      <c r="F9" s="16" t="s">
        <v>539</v>
      </c>
      <c r="G9" s="38">
        <v>3964332</v>
      </c>
      <c r="H9" s="38">
        <v>3964332</v>
      </c>
      <c r="I9" s="8">
        <f t="shared" si="0"/>
        <v>0</v>
      </c>
      <c r="J9" s="8">
        <f t="shared" si="1"/>
        <v>0</v>
      </c>
      <c r="K9" s="11">
        <v>706717</v>
      </c>
      <c r="L9" s="11">
        <f>+H9-K9</f>
        <v>3257615</v>
      </c>
      <c r="M9" s="11"/>
      <c r="N9" s="9">
        <f t="shared" si="2"/>
        <v>0.82173112645459567</v>
      </c>
      <c r="O9" s="13"/>
      <c r="P9" s="13" t="s">
        <v>46</v>
      </c>
      <c r="Q9" s="13" t="s">
        <v>773</v>
      </c>
      <c r="R9" s="13" t="s">
        <v>31</v>
      </c>
      <c r="S9" s="3"/>
      <c r="T9" s="42">
        <f>795139+590768+883397</f>
        <v>2269304</v>
      </c>
      <c r="U9" s="43">
        <f>+H9-T9</f>
        <v>1695028</v>
      </c>
      <c r="V9" s="13"/>
      <c r="W9" s="9">
        <f>+U9/H9</f>
        <v>0.42756963846620311</v>
      </c>
      <c r="X9" s="13"/>
      <c r="Y9" s="13"/>
      <c r="Z9" s="13" t="s">
        <v>31</v>
      </c>
      <c r="AA9" s="73" t="s">
        <v>774</v>
      </c>
      <c r="AB9" s="38">
        <f>706717+11097+14728</f>
        <v>732542</v>
      </c>
      <c r="AC9" s="8">
        <f>+K9-AB9</f>
        <v>-25825</v>
      </c>
      <c r="AD9" s="13"/>
      <c r="AE9" s="9">
        <f>+AC9/H9</f>
        <v>-6.5143383551125389E-3</v>
      </c>
      <c r="AF9" s="13" t="s">
        <v>38</v>
      </c>
      <c r="AG9" s="13"/>
      <c r="AH9" s="13" t="s">
        <v>31</v>
      </c>
      <c r="AI9" s="3"/>
      <c r="AJ9" s="49" t="s">
        <v>775</v>
      </c>
      <c r="AK9" s="38">
        <f>883397+993923+738460</f>
        <v>2615780</v>
      </c>
      <c r="AL9" s="8">
        <f t="shared" si="4"/>
        <v>1348552</v>
      </c>
      <c r="AM9" s="13"/>
      <c r="AN9" s="9">
        <f t="shared" si="5"/>
        <v>0.34017130754941816</v>
      </c>
      <c r="AO9" s="13"/>
      <c r="AP9" s="13" t="s">
        <v>31</v>
      </c>
      <c r="AQ9" s="13"/>
      <c r="AR9" s="19" t="s">
        <v>776</v>
      </c>
      <c r="AS9" s="38">
        <f>706717+795139+14728+11097</f>
        <v>1527681</v>
      </c>
      <c r="AT9" s="13"/>
      <c r="AU9" s="13"/>
      <c r="AV9" s="13"/>
      <c r="AW9" s="13"/>
      <c r="AX9" s="13" t="s">
        <v>31</v>
      </c>
      <c r="AY9" s="13"/>
      <c r="AZ9" s="78" t="s">
        <v>777</v>
      </c>
      <c r="BA9" s="38">
        <f>989405+1113194+2061+15535</f>
        <v>2120195</v>
      </c>
      <c r="BB9" s="8">
        <f t="shared" si="3"/>
        <v>1844137</v>
      </c>
      <c r="BC9" s="13"/>
      <c r="BD9" s="9">
        <f>+BB9/H9</f>
        <v>0.46518228039427578</v>
      </c>
      <c r="BE9" s="13"/>
      <c r="BF9" s="13" t="s">
        <v>31</v>
      </c>
      <c r="BG9" s="13"/>
      <c r="BH9" s="13"/>
      <c r="BI9" s="38">
        <f>1413435+1590277+22193+29456</f>
        <v>3055361</v>
      </c>
      <c r="BJ9" s="13">
        <v>0</v>
      </c>
      <c r="BK9" s="13"/>
      <c r="BL9" s="13">
        <v>0</v>
      </c>
      <c r="BM9" s="13"/>
      <c r="BN9" s="13" t="s">
        <v>31</v>
      </c>
      <c r="BO9" s="13"/>
      <c r="BP9" s="13"/>
      <c r="BQ9" s="38">
        <f>1766794+1987846</f>
        <v>3754640</v>
      </c>
      <c r="BR9" s="13">
        <v>0</v>
      </c>
      <c r="BS9" s="13"/>
      <c r="BT9" s="13">
        <v>0</v>
      </c>
      <c r="BU9" s="13"/>
      <c r="BV9" s="13" t="s">
        <v>31</v>
      </c>
      <c r="BW9" s="13"/>
      <c r="BX9" s="13"/>
      <c r="BY9" s="38">
        <f>1766794+1987846</f>
        <v>3754640</v>
      </c>
      <c r="BZ9" s="8">
        <f>+H9-BY9</f>
        <v>209692</v>
      </c>
      <c r="CA9" s="13"/>
      <c r="CB9" s="9">
        <f>+BZ9/G9</f>
        <v>5.2894661698364313E-2</v>
      </c>
      <c r="CC9" s="13"/>
      <c r="CD9" s="13" t="s">
        <v>31</v>
      </c>
      <c r="CE9" s="13"/>
      <c r="CF9" s="13"/>
    </row>
    <row r="10" spans="1:84" x14ac:dyDescent="0.25">
      <c r="A10" s="2" t="s">
        <v>58</v>
      </c>
      <c r="B10" s="13" t="s">
        <v>540</v>
      </c>
      <c r="C10" s="2">
        <v>9596</v>
      </c>
      <c r="D10" s="2">
        <v>230440</v>
      </c>
      <c r="E10" s="3" t="s">
        <v>541</v>
      </c>
      <c r="F10" s="20">
        <v>830054539</v>
      </c>
      <c r="G10" s="38">
        <v>2540396</v>
      </c>
      <c r="H10" s="38">
        <v>2540396</v>
      </c>
      <c r="I10" s="8">
        <f t="shared" si="0"/>
        <v>0</v>
      </c>
      <c r="J10" s="8">
        <f t="shared" si="1"/>
        <v>0</v>
      </c>
      <c r="K10" s="11"/>
      <c r="L10" s="11"/>
      <c r="M10" s="11"/>
      <c r="N10" s="8">
        <f t="shared" si="2"/>
        <v>0</v>
      </c>
      <c r="O10" s="13"/>
      <c r="P10" s="13"/>
      <c r="Q10" s="13"/>
      <c r="R10" s="13"/>
      <c r="S10" s="3"/>
      <c r="T10" s="38">
        <v>1727469</v>
      </c>
      <c r="U10" s="8">
        <f>+H10-T10</f>
        <v>812927</v>
      </c>
      <c r="V10" s="13"/>
      <c r="W10" s="9">
        <f>+U10/H10</f>
        <v>0.32000011021903674</v>
      </c>
      <c r="X10" s="13" t="s">
        <v>46</v>
      </c>
      <c r="Y10" s="13"/>
      <c r="Z10" s="13" t="s">
        <v>31</v>
      </c>
      <c r="AA10" s="3"/>
      <c r="AB10" s="8">
        <f>+H10-914543</f>
        <v>1625853</v>
      </c>
      <c r="AC10" s="8">
        <f>+H10-AB10</f>
        <v>914543</v>
      </c>
      <c r="AD10" s="13"/>
      <c r="AE10" s="9">
        <f>+AC10/H10</f>
        <v>0.36000017320134342</v>
      </c>
      <c r="AF10" s="13"/>
      <c r="AG10" s="13"/>
      <c r="AH10" s="13" t="s">
        <v>31</v>
      </c>
      <c r="AI10" s="3"/>
      <c r="AJ10" s="50">
        <v>1900003549</v>
      </c>
      <c r="AK10" s="38">
        <v>2349866</v>
      </c>
      <c r="AL10" s="8">
        <f t="shared" si="4"/>
        <v>190530</v>
      </c>
      <c r="AM10" s="13"/>
      <c r="AN10" s="9">
        <f t="shared" si="5"/>
        <v>7.5000118091825052E-2</v>
      </c>
      <c r="AO10" s="13"/>
      <c r="AP10" s="13" t="s">
        <v>31</v>
      </c>
      <c r="AQ10" s="13"/>
      <c r="AR10" s="19">
        <v>1900003950</v>
      </c>
      <c r="AS10" s="38">
        <v>2133933</v>
      </c>
      <c r="AT10" s="8">
        <f t="shared" ref="AT10:AT17" si="6">+H10-AS10</f>
        <v>406463</v>
      </c>
      <c r="AU10" s="13"/>
      <c r="AV10" s="9">
        <f>+AT10/H10</f>
        <v>0.15999985828980995</v>
      </c>
      <c r="AW10" s="13"/>
      <c r="AX10" s="13" t="s">
        <v>31</v>
      </c>
      <c r="AY10" s="13"/>
      <c r="AZ10" s="80">
        <v>1900004470</v>
      </c>
      <c r="BA10" s="38">
        <v>2133933</v>
      </c>
      <c r="BB10" s="8">
        <f t="shared" si="3"/>
        <v>406463</v>
      </c>
      <c r="BC10" s="13"/>
      <c r="BD10" s="9">
        <f>+BB10/H10</f>
        <v>0.15999985828980995</v>
      </c>
      <c r="BE10" s="13"/>
      <c r="BF10" s="13" t="s">
        <v>31</v>
      </c>
      <c r="BG10" s="13"/>
      <c r="BH10" s="13"/>
      <c r="BI10" s="38">
        <v>2540396</v>
      </c>
      <c r="BJ10" s="8">
        <f>+H10-BI10</f>
        <v>0</v>
      </c>
      <c r="BK10" s="13"/>
      <c r="BL10" s="13">
        <v>0</v>
      </c>
      <c r="BM10" s="13"/>
      <c r="BN10" s="13" t="s">
        <v>31</v>
      </c>
      <c r="BO10" s="13"/>
      <c r="BP10" s="13"/>
      <c r="BQ10" s="38">
        <f>2540396-406463</f>
        <v>2133933</v>
      </c>
      <c r="BR10" s="8">
        <f>+H10-BQ10</f>
        <v>406463</v>
      </c>
      <c r="BS10" s="13"/>
      <c r="BT10" s="9">
        <f>+BR10/H10</f>
        <v>0.15999985828980995</v>
      </c>
      <c r="BU10" s="13"/>
      <c r="BV10" s="13" t="s">
        <v>31</v>
      </c>
      <c r="BW10" s="13"/>
      <c r="BX10" s="13"/>
      <c r="BY10" s="38">
        <v>2540396</v>
      </c>
      <c r="BZ10" s="13">
        <v>0</v>
      </c>
      <c r="CA10" s="13"/>
      <c r="CB10" s="13">
        <v>0</v>
      </c>
      <c r="CC10" s="13"/>
      <c r="CD10" s="13" t="s">
        <v>31</v>
      </c>
      <c r="CE10" s="13"/>
      <c r="CF10" s="13"/>
    </row>
    <row r="11" spans="1:84" x14ac:dyDescent="0.25">
      <c r="A11" s="2" t="s">
        <v>64</v>
      </c>
      <c r="B11" s="13" t="s">
        <v>542</v>
      </c>
      <c r="C11" s="2"/>
      <c r="D11" s="2">
        <v>206275</v>
      </c>
      <c r="E11" s="3" t="s">
        <v>543</v>
      </c>
      <c r="F11" s="19" t="s">
        <v>544</v>
      </c>
      <c r="G11" s="38">
        <v>2825200</v>
      </c>
      <c r="H11" s="38">
        <v>2825200</v>
      </c>
      <c r="I11" s="8">
        <f t="shared" si="0"/>
        <v>0</v>
      </c>
      <c r="J11" s="8">
        <f t="shared" si="1"/>
        <v>0</v>
      </c>
      <c r="K11" s="11">
        <v>2825200</v>
      </c>
      <c r="L11" s="11"/>
      <c r="M11" s="11"/>
      <c r="N11" s="9"/>
      <c r="O11" s="13"/>
      <c r="P11" s="13" t="s">
        <v>38</v>
      </c>
      <c r="Q11" s="13"/>
      <c r="R11" s="13" t="s">
        <v>31</v>
      </c>
      <c r="S11" s="3"/>
      <c r="T11" s="13"/>
      <c r="U11" s="13"/>
      <c r="V11" s="13"/>
      <c r="W11" s="13"/>
      <c r="X11" s="13"/>
      <c r="Y11" s="13"/>
      <c r="Z11" s="13"/>
      <c r="AA11" s="3"/>
      <c r="AB11" s="38">
        <v>2825200</v>
      </c>
      <c r="AC11" s="8">
        <f>+K11-AB11</f>
        <v>0</v>
      </c>
      <c r="AD11" s="13"/>
      <c r="AE11" s="9">
        <f>+AC11/H11</f>
        <v>0</v>
      </c>
      <c r="AF11" s="13" t="s">
        <v>46</v>
      </c>
      <c r="AG11" s="13"/>
      <c r="AH11" s="13" t="s">
        <v>31</v>
      </c>
      <c r="AI11" s="3"/>
      <c r="AJ11" s="49"/>
      <c r="AK11" s="38">
        <v>2825200</v>
      </c>
      <c r="AL11" s="8">
        <f t="shared" si="4"/>
        <v>0</v>
      </c>
      <c r="AM11" s="13"/>
      <c r="AN11" s="8">
        <f t="shared" si="5"/>
        <v>0</v>
      </c>
      <c r="AO11" s="13"/>
      <c r="AP11" s="13" t="s">
        <v>31</v>
      </c>
      <c r="AQ11" s="13"/>
      <c r="AR11" s="19">
        <v>1900003695</v>
      </c>
      <c r="AS11" s="38">
        <v>2825200</v>
      </c>
      <c r="AT11" s="8">
        <f t="shared" si="6"/>
        <v>0</v>
      </c>
      <c r="AU11" s="13"/>
      <c r="AV11" s="13">
        <v>0</v>
      </c>
      <c r="AW11" s="13"/>
      <c r="AX11" s="13" t="s">
        <v>31</v>
      </c>
      <c r="AY11" s="13"/>
      <c r="AZ11" s="79">
        <v>1900004178</v>
      </c>
      <c r="BA11" s="38">
        <v>2825200</v>
      </c>
      <c r="BB11" s="8">
        <f t="shared" si="3"/>
        <v>0</v>
      </c>
      <c r="BC11" s="13"/>
      <c r="BD11" s="13">
        <v>0</v>
      </c>
      <c r="BE11" s="13"/>
      <c r="BF11" s="13" t="s">
        <v>31</v>
      </c>
      <c r="BG11" s="13"/>
      <c r="BH11" s="13"/>
      <c r="BI11" s="38">
        <v>2825200</v>
      </c>
      <c r="BJ11" s="13">
        <v>0</v>
      </c>
      <c r="BK11" s="38">
        <v>1695120</v>
      </c>
      <c r="BL11" s="13">
        <v>0</v>
      </c>
      <c r="BM11" s="13"/>
      <c r="BN11" s="13" t="s">
        <v>31</v>
      </c>
      <c r="BO11" s="13"/>
      <c r="BP11" s="13"/>
      <c r="BQ11" s="38">
        <v>3361988</v>
      </c>
      <c r="BR11" s="8">
        <f>+H11-BQ11</f>
        <v>-536788</v>
      </c>
      <c r="BS11" s="13"/>
      <c r="BT11" s="13">
        <v>0</v>
      </c>
      <c r="BU11" s="13"/>
      <c r="BV11" s="13" t="s">
        <v>31</v>
      </c>
      <c r="BW11" s="13"/>
      <c r="BX11" s="13"/>
      <c r="BY11" s="38">
        <v>3361988</v>
      </c>
      <c r="BZ11" s="13">
        <v>0</v>
      </c>
      <c r="CA11" s="13"/>
      <c r="CB11" s="13">
        <v>0</v>
      </c>
      <c r="CC11" s="13"/>
      <c r="CD11" s="13" t="s">
        <v>31</v>
      </c>
      <c r="CE11" s="13"/>
      <c r="CF11" s="13"/>
    </row>
    <row r="12" spans="1:84" x14ac:dyDescent="0.25">
      <c r="A12" s="69" t="s">
        <v>545</v>
      </c>
      <c r="B12" s="13" t="s">
        <v>546</v>
      </c>
      <c r="C12" s="1">
        <v>9058</v>
      </c>
      <c r="D12" s="1">
        <v>209631</v>
      </c>
      <c r="E12" s="17" t="s">
        <v>547</v>
      </c>
      <c r="F12" s="18" t="s">
        <v>548</v>
      </c>
      <c r="G12" s="38">
        <v>1165113</v>
      </c>
      <c r="H12" s="38">
        <v>1165113</v>
      </c>
      <c r="I12" s="8">
        <f t="shared" si="0"/>
        <v>0</v>
      </c>
      <c r="J12" s="8">
        <f t="shared" si="1"/>
        <v>0</v>
      </c>
      <c r="K12" s="11">
        <v>671382</v>
      </c>
      <c r="L12" s="11">
        <f>+H12-K12</f>
        <v>493731</v>
      </c>
      <c r="M12" s="11"/>
      <c r="N12" s="9">
        <f>+L12/H12</f>
        <v>0.42376233034907346</v>
      </c>
      <c r="O12" s="13"/>
      <c r="P12" s="13" t="s">
        <v>38</v>
      </c>
      <c r="Q12" s="13" t="s">
        <v>778</v>
      </c>
      <c r="R12" s="13" t="s">
        <v>31</v>
      </c>
      <c r="S12" s="3"/>
      <c r="T12" s="42">
        <v>1165113</v>
      </c>
      <c r="U12" s="43">
        <f>+H12-T12</f>
        <v>0</v>
      </c>
      <c r="V12" s="13"/>
      <c r="W12" s="13"/>
      <c r="X12" s="13" t="s">
        <v>38</v>
      </c>
      <c r="Y12" s="13"/>
      <c r="Z12" s="13" t="s">
        <v>31</v>
      </c>
      <c r="AA12" s="3"/>
      <c r="AB12" s="38">
        <v>1165113</v>
      </c>
      <c r="AC12" s="8">
        <f t="shared" ref="AC12:AC17" si="7">+H12-AB12</f>
        <v>0</v>
      </c>
      <c r="AD12" s="13"/>
      <c r="AE12" s="9">
        <f>+AC12/G12</f>
        <v>0</v>
      </c>
      <c r="AF12" s="13"/>
      <c r="AG12" s="13"/>
      <c r="AH12" s="13" t="s">
        <v>31</v>
      </c>
      <c r="AI12" s="3"/>
      <c r="AJ12" s="19">
        <v>1900003320</v>
      </c>
      <c r="AK12" s="38">
        <v>1165113</v>
      </c>
      <c r="AL12" s="8">
        <f t="shared" si="4"/>
        <v>0</v>
      </c>
      <c r="AM12" s="13"/>
      <c r="AN12" s="9">
        <f t="shared" si="5"/>
        <v>0</v>
      </c>
      <c r="AO12" s="13"/>
      <c r="AP12" s="13" t="s">
        <v>31</v>
      </c>
      <c r="AQ12" s="13"/>
      <c r="AR12" s="19">
        <v>1900003691</v>
      </c>
      <c r="AS12" s="38">
        <v>1165113</v>
      </c>
      <c r="AT12" s="8">
        <f t="shared" si="6"/>
        <v>0</v>
      </c>
      <c r="AU12" s="13"/>
      <c r="AV12" s="13">
        <v>0</v>
      </c>
      <c r="AW12" s="13"/>
      <c r="AX12" s="13" t="s">
        <v>31</v>
      </c>
      <c r="AY12" s="13"/>
      <c r="AZ12">
        <v>1900004383</v>
      </c>
      <c r="BA12" s="38">
        <v>1165113</v>
      </c>
      <c r="BB12" s="13">
        <v>0</v>
      </c>
      <c r="BC12" s="38">
        <v>349534</v>
      </c>
      <c r="BD12" s="9">
        <f>+BC12/BA12</f>
        <v>0.30000008582858484</v>
      </c>
      <c r="BE12" s="13"/>
      <c r="BF12" s="13" t="s">
        <v>31</v>
      </c>
      <c r="BG12" s="13"/>
      <c r="BH12" s="13"/>
      <c r="BI12" s="38">
        <v>1165113</v>
      </c>
      <c r="BJ12" s="13">
        <v>0</v>
      </c>
      <c r="BK12" s="13"/>
      <c r="BL12" s="13">
        <v>0</v>
      </c>
      <c r="BM12" s="13"/>
      <c r="BN12" s="13" t="s">
        <v>31</v>
      </c>
      <c r="BO12" s="13"/>
      <c r="BP12" s="13"/>
      <c r="BQ12" s="38">
        <v>1165113</v>
      </c>
      <c r="BR12" s="13">
        <v>0</v>
      </c>
      <c r="BS12" s="13"/>
      <c r="BT12" s="13">
        <v>0</v>
      </c>
      <c r="BU12" s="13"/>
      <c r="BV12" s="13" t="s">
        <v>31</v>
      </c>
      <c r="BW12" s="13"/>
      <c r="BX12" s="13"/>
      <c r="BY12" s="13"/>
      <c r="BZ12" s="13"/>
      <c r="CA12" s="13"/>
      <c r="CB12" s="13"/>
      <c r="CC12" s="13"/>
      <c r="CD12" s="13"/>
      <c r="CE12" s="13"/>
      <c r="CF12" s="13"/>
    </row>
    <row r="13" spans="1:84" x14ac:dyDescent="0.25">
      <c r="A13" s="1" t="s">
        <v>549</v>
      </c>
      <c r="B13" s="25" t="s">
        <v>550</v>
      </c>
      <c r="C13" s="14">
        <v>9104</v>
      </c>
      <c r="D13" s="21">
        <v>204573</v>
      </c>
      <c r="E13" s="17" t="s">
        <v>551</v>
      </c>
      <c r="F13" s="18" t="s">
        <v>533</v>
      </c>
      <c r="G13" s="38">
        <v>1505677</v>
      </c>
      <c r="H13" s="38">
        <v>1505677</v>
      </c>
      <c r="I13" s="8">
        <f t="shared" si="0"/>
        <v>0</v>
      </c>
      <c r="J13" s="8">
        <f t="shared" si="1"/>
        <v>0</v>
      </c>
      <c r="K13" s="11">
        <v>731752</v>
      </c>
      <c r="L13" s="11">
        <f>+H13-K13</f>
        <v>773925</v>
      </c>
      <c r="M13" s="11"/>
      <c r="N13" s="9">
        <f t="shared" si="2"/>
        <v>0.51400466368284836</v>
      </c>
      <c r="O13" s="13"/>
      <c r="P13" s="13" t="s">
        <v>46</v>
      </c>
      <c r="Q13" s="13" t="s">
        <v>122</v>
      </c>
      <c r="R13" s="13" t="s">
        <v>31</v>
      </c>
      <c r="S13" s="3"/>
      <c r="T13" s="38">
        <v>1463504</v>
      </c>
      <c r="U13" s="43">
        <f>+H13-T13</f>
        <v>42173</v>
      </c>
      <c r="V13" s="13"/>
      <c r="W13" s="9">
        <f>+U13/H13</f>
        <v>2.8009327365696626E-2</v>
      </c>
      <c r="X13" s="13"/>
      <c r="Y13" s="13"/>
      <c r="Z13" s="13"/>
      <c r="AA13" s="3"/>
      <c r="AB13" s="38">
        <v>1463504</v>
      </c>
      <c r="AC13" s="8">
        <f t="shared" si="7"/>
        <v>42173</v>
      </c>
      <c r="AD13" s="13"/>
      <c r="AE13" s="9">
        <f>+AC13/H13</f>
        <v>2.8009327365696626E-2</v>
      </c>
      <c r="AF13" s="13"/>
      <c r="AG13" s="13"/>
      <c r="AH13" s="13"/>
      <c r="AI13" s="3"/>
      <c r="AJ13" s="49"/>
      <c r="AK13" s="38">
        <v>1463504</v>
      </c>
      <c r="AL13" s="8">
        <f t="shared" si="4"/>
        <v>42173</v>
      </c>
      <c r="AM13" s="13"/>
      <c r="AN13" s="9">
        <f t="shared" si="5"/>
        <v>2.8009327365696626E-2</v>
      </c>
      <c r="AO13" s="13"/>
      <c r="AP13" s="13" t="s">
        <v>31</v>
      </c>
      <c r="AQ13" s="13"/>
      <c r="AR13" s="19">
        <v>1900003951</v>
      </c>
      <c r="AS13" s="38">
        <v>1463504</v>
      </c>
      <c r="AT13" s="8">
        <f t="shared" si="6"/>
        <v>42173</v>
      </c>
      <c r="AU13" s="13"/>
      <c r="AV13" s="9">
        <f>+AT13/H13</f>
        <v>2.8009327365696626E-2</v>
      </c>
      <c r="AW13" s="13"/>
      <c r="AX13" s="13" t="s">
        <v>31</v>
      </c>
      <c r="AY13" s="13"/>
      <c r="AZ13" s="79"/>
      <c r="BA13" s="38">
        <v>1463504</v>
      </c>
      <c r="BB13" s="8">
        <f t="shared" ref="BB13:BB18" si="8">+H13-BA13</f>
        <v>42173</v>
      </c>
      <c r="BC13" s="13"/>
      <c r="BD13" s="9">
        <f>+BB13/H13</f>
        <v>2.8009327365696626E-2</v>
      </c>
      <c r="BE13" s="13"/>
      <c r="BF13" s="13" t="s">
        <v>31</v>
      </c>
      <c r="BG13" s="13"/>
      <c r="BH13" s="13"/>
      <c r="BI13" s="38">
        <v>1463504</v>
      </c>
      <c r="BJ13" s="38">
        <f>+H13-BI13</f>
        <v>42173</v>
      </c>
      <c r="BK13" s="13"/>
      <c r="BL13" s="9">
        <f>+BJ13/H13</f>
        <v>2.8009327365696626E-2</v>
      </c>
      <c r="BM13" s="13"/>
      <c r="BN13" s="13" t="s">
        <v>31</v>
      </c>
      <c r="BO13" s="13"/>
      <c r="BP13" s="13"/>
      <c r="BQ13" s="38">
        <v>1463504</v>
      </c>
      <c r="BR13" s="8">
        <f>+H13-BQ13</f>
        <v>42173</v>
      </c>
      <c r="BS13" s="13"/>
      <c r="BT13" s="9">
        <f>+BR13/H13</f>
        <v>2.8009327365696626E-2</v>
      </c>
      <c r="BU13" s="13"/>
      <c r="BV13" s="13" t="s">
        <v>31</v>
      </c>
      <c r="BW13" s="13"/>
      <c r="BX13" s="13"/>
      <c r="BY13" s="38">
        <v>1463504</v>
      </c>
      <c r="BZ13" s="13">
        <v>0</v>
      </c>
      <c r="CA13" s="13"/>
      <c r="CB13" s="13">
        <v>0</v>
      </c>
      <c r="CC13" s="13"/>
      <c r="CD13" s="13" t="s">
        <v>31</v>
      </c>
      <c r="CE13" s="13"/>
      <c r="CF13" s="13"/>
    </row>
    <row r="14" spans="1:84" x14ac:dyDescent="0.25">
      <c r="A14" s="69" t="s">
        <v>552</v>
      </c>
      <c r="B14" s="25" t="s">
        <v>553</v>
      </c>
      <c r="C14" s="1">
        <v>9177</v>
      </c>
      <c r="D14" s="14" t="s">
        <v>554</v>
      </c>
      <c r="E14" s="17" t="s">
        <v>534</v>
      </c>
      <c r="F14" s="18" t="s">
        <v>535</v>
      </c>
      <c r="G14" s="38">
        <v>819640</v>
      </c>
      <c r="H14" s="38">
        <v>819640</v>
      </c>
      <c r="I14" s="8">
        <f t="shared" si="0"/>
        <v>0</v>
      </c>
      <c r="J14" s="8">
        <f t="shared" si="1"/>
        <v>0</v>
      </c>
      <c r="K14" s="11">
        <f>+H14</f>
        <v>819640</v>
      </c>
      <c r="L14" s="11"/>
      <c r="M14" s="11"/>
      <c r="N14" s="9"/>
      <c r="O14" s="13"/>
      <c r="P14" s="13" t="s">
        <v>38</v>
      </c>
      <c r="Q14" s="13"/>
      <c r="R14" s="13" t="s">
        <v>31</v>
      </c>
      <c r="S14" s="72" t="s">
        <v>83</v>
      </c>
      <c r="T14" s="42">
        <v>819640</v>
      </c>
      <c r="U14" s="43">
        <f>+K14-T14</f>
        <v>0</v>
      </c>
      <c r="V14" s="13"/>
      <c r="W14" s="8">
        <f>+U14/H14</f>
        <v>0</v>
      </c>
      <c r="X14" s="13" t="s">
        <v>38</v>
      </c>
      <c r="Y14" s="13"/>
      <c r="Z14" s="13" t="s">
        <v>31</v>
      </c>
      <c r="AA14" s="72" t="s">
        <v>55</v>
      </c>
      <c r="AB14" s="38">
        <v>819640</v>
      </c>
      <c r="AC14" s="8">
        <f t="shared" si="7"/>
        <v>0</v>
      </c>
      <c r="AD14" s="38">
        <v>655712</v>
      </c>
      <c r="AE14" s="9">
        <f>+AD14/H14</f>
        <v>0.8</v>
      </c>
      <c r="AF14" s="13" t="s">
        <v>38</v>
      </c>
      <c r="AG14" s="13"/>
      <c r="AH14" s="13" t="s">
        <v>31</v>
      </c>
      <c r="AI14" s="3"/>
      <c r="AJ14" s="49" t="s">
        <v>779</v>
      </c>
      <c r="AK14" s="38">
        <v>819640</v>
      </c>
      <c r="AL14" s="8">
        <f>+H14-AK14</f>
        <v>0</v>
      </c>
      <c r="AM14" s="13"/>
      <c r="AN14" s="9">
        <f>+AL14/H14</f>
        <v>0</v>
      </c>
      <c r="AO14" s="13"/>
      <c r="AP14" s="13" t="s">
        <v>31</v>
      </c>
      <c r="AQ14" s="13"/>
      <c r="AR14" s="19">
        <v>1900003688</v>
      </c>
      <c r="AS14" s="38">
        <v>819640</v>
      </c>
      <c r="AT14" s="8">
        <f t="shared" si="6"/>
        <v>0</v>
      </c>
      <c r="AU14" s="13"/>
      <c r="AV14" s="9">
        <f>+AT14/H14</f>
        <v>0</v>
      </c>
      <c r="AW14" s="13"/>
      <c r="AX14" s="13" t="s">
        <v>31</v>
      </c>
      <c r="AY14" s="13"/>
      <c r="AZ14" s="79">
        <v>1900004215</v>
      </c>
      <c r="BA14" s="38">
        <v>819640</v>
      </c>
      <c r="BB14" s="8">
        <f t="shared" si="8"/>
        <v>0</v>
      </c>
      <c r="BC14" s="13"/>
      <c r="BD14" s="13">
        <v>0</v>
      </c>
      <c r="BE14" s="13"/>
      <c r="BF14" s="13" t="s">
        <v>31</v>
      </c>
      <c r="BG14" s="13"/>
      <c r="BH14" s="13"/>
      <c r="BI14" s="38">
        <v>819640</v>
      </c>
      <c r="BJ14" s="8">
        <f>+H14-BI14</f>
        <v>0</v>
      </c>
      <c r="BK14" s="13"/>
      <c r="BL14" s="13">
        <v>0</v>
      </c>
      <c r="BM14" s="13"/>
      <c r="BN14" s="13" t="s">
        <v>31</v>
      </c>
      <c r="BO14" s="13"/>
      <c r="BP14" s="13"/>
      <c r="BQ14" s="38">
        <v>819640</v>
      </c>
      <c r="BR14" s="13">
        <v>0</v>
      </c>
      <c r="BS14" s="13"/>
      <c r="BT14" s="13">
        <v>0</v>
      </c>
      <c r="BU14" s="13"/>
      <c r="BV14" s="13" t="s">
        <v>31</v>
      </c>
      <c r="BW14" s="13"/>
      <c r="BX14" s="13"/>
      <c r="BY14" s="38">
        <v>819640</v>
      </c>
      <c r="BZ14" s="38">
        <f>BQ14-BY14</f>
        <v>0</v>
      </c>
      <c r="CA14" s="38"/>
      <c r="CB14" s="9">
        <v>0</v>
      </c>
      <c r="CC14" s="13"/>
      <c r="CD14" s="13" t="s">
        <v>31</v>
      </c>
      <c r="CE14" s="13"/>
      <c r="CF14" s="13"/>
    </row>
    <row r="15" spans="1:84" ht="15.75" x14ac:dyDescent="0.25">
      <c r="A15" s="69" t="s">
        <v>555</v>
      </c>
      <c r="B15" s="13" t="s">
        <v>556</v>
      </c>
      <c r="C15" s="1">
        <v>9302</v>
      </c>
      <c r="D15" s="14">
        <v>212833</v>
      </c>
      <c r="E15" s="15" t="s">
        <v>557</v>
      </c>
      <c r="F15" s="22">
        <v>901094453</v>
      </c>
      <c r="G15" s="38">
        <v>1402652</v>
      </c>
      <c r="H15" s="38">
        <v>1402652</v>
      </c>
      <c r="I15" s="8">
        <f t="shared" si="0"/>
        <v>0</v>
      </c>
      <c r="J15" s="8">
        <f t="shared" si="1"/>
        <v>0</v>
      </c>
      <c r="K15" s="11">
        <v>841591</v>
      </c>
      <c r="L15" s="11">
        <f>+H15-K15</f>
        <v>561061</v>
      </c>
      <c r="M15" s="11"/>
      <c r="N15" s="9">
        <f t="shared" si="2"/>
        <v>0.40000014258704225</v>
      </c>
      <c r="O15" s="13"/>
      <c r="P15" s="13" t="s">
        <v>46</v>
      </c>
      <c r="Q15" s="13" t="s">
        <v>87</v>
      </c>
      <c r="R15" s="13" t="s">
        <v>31</v>
      </c>
      <c r="S15" s="3"/>
      <c r="T15" s="38">
        <v>701326</v>
      </c>
      <c r="U15" s="8">
        <f>+H15-T15</f>
        <v>701326</v>
      </c>
      <c r="V15" s="13"/>
      <c r="W15" s="9">
        <f>+U15/H15</f>
        <v>0.5</v>
      </c>
      <c r="X15" s="13" t="s">
        <v>46</v>
      </c>
      <c r="Y15" s="13" t="s">
        <v>106</v>
      </c>
      <c r="Z15" s="13" t="s">
        <v>31</v>
      </c>
      <c r="AA15" s="75" t="s">
        <v>83</v>
      </c>
      <c r="AB15" s="38">
        <v>1122121</v>
      </c>
      <c r="AC15" s="8">
        <f t="shared" si="7"/>
        <v>280531</v>
      </c>
      <c r="AD15" s="13"/>
      <c r="AE15" s="9">
        <f>+AC15/H15</f>
        <v>0.20000042776112678</v>
      </c>
      <c r="AF15" s="13"/>
      <c r="AG15" s="13"/>
      <c r="AH15" s="13" t="s">
        <v>31</v>
      </c>
      <c r="AI15" s="72" t="s">
        <v>47</v>
      </c>
      <c r="AJ15" s="19">
        <v>1900003460</v>
      </c>
      <c r="AK15" s="38">
        <v>1402652</v>
      </c>
      <c r="AL15" s="8">
        <f>+H15-AK15</f>
        <v>0</v>
      </c>
      <c r="AM15" s="13"/>
      <c r="AN15" s="9">
        <f>+AL15/H15</f>
        <v>0</v>
      </c>
      <c r="AO15" s="13"/>
      <c r="AP15" s="13" t="s">
        <v>31</v>
      </c>
      <c r="AQ15" s="13"/>
      <c r="AR15" s="19">
        <v>1900003689</v>
      </c>
      <c r="AS15" s="38">
        <v>1122121</v>
      </c>
      <c r="AT15" s="8">
        <f t="shared" si="6"/>
        <v>280531</v>
      </c>
      <c r="AU15" s="13"/>
      <c r="AV15" s="9">
        <f>+AT15/H15</f>
        <v>0.20000042776112678</v>
      </c>
      <c r="AW15" s="13"/>
      <c r="AX15" s="13" t="s">
        <v>31</v>
      </c>
      <c r="AY15" s="13"/>
      <c r="AZ15" s="78">
        <v>1900004303</v>
      </c>
      <c r="BA15" s="38">
        <v>1402652</v>
      </c>
      <c r="BB15" s="8">
        <f t="shared" si="8"/>
        <v>0</v>
      </c>
      <c r="BC15" s="13"/>
      <c r="BD15" s="13">
        <v>0</v>
      </c>
      <c r="BE15" s="13"/>
      <c r="BF15" s="13" t="s">
        <v>31</v>
      </c>
      <c r="BG15" s="13"/>
      <c r="BH15" s="13"/>
      <c r="BI15" s="38">
        <v>1402652</v>
      </c>
      <c r="BJ15" s="13">
        <v>0</v>
      </c>
      <c r="BK15" s="13"/>
      <c r="BL15" s="13">
        <v>0</v>
      </c>
      <c r="BM15" s="13"/>
      <c r="BN15" s="13" t="s">
        <v>31</v>
      </c>
      <c r="BO15" s="13"/>
      <c r="BP15" s="13"/>
      <c r="BQ15" s="38">
        <v>1402652</v>
      </c>
      <c r="BR15" s="13">
        <v>0</v>
      </c>
      <c r="BS15" s="13"/>
      <c r="BT15" s="13">
        <v>0</v>
      </c>
      <c r="BU15" s="13"/>
      <c r="BV15" s="13" t="s">
        <v>31</v>
      </c>
      <c r="BW15" s="13"/>
      <c r="BX15" s="13"/>
      <c r="BY15" s="38">
        <v>1402652</v>
      </c>
      <c r="BZ15" s="13">
        <v>0</v>
      </c>
      <c r="CA15" s="13"/>
      <c r="CB15" s="13">
        <v>0</v>
      </c>
      <c r="CC15" s="13"/>
      <c r="CD15" s="13" t="s">
        <v>31</v>
      </c>
      <c r="CE15" s="13"/>
      <c r="CF15" s="13"/>
    </row>
    <row r="16" spans="1:84" x14ac:dyDescent="0.25">
      <c r="A16" s="68" t="s">
        <v>558</v>
      </c>
      <c r="B16" s="13" t="s">
        <v>559</v>
      </c>
      <c r="C16" s="1">
        <v>9304</v>
      </c>
      <c r="D16" s="1">
        <v>217751</v>
      </c>
      <c r="E16" s="15" t="s">
        <v>90</v>
      </c>
      <c r="F16" s="22" t="s">
        <v>560</v>
      </c>
      <c r="G16" s="38">
        <v>396773</v>
      </c>
      <c r="H16" s="38">
        <v>413732</v>
      </c>
      <c r="I16" s="8">
        <f t="shared" si="0"/>
        <v>16959</v>
      </c>
      <c r="J16" s="10">
        <f t="shared" si="1"/>
        <v>4.2742323696420878E-2</v>
      </c>
      <c r="K16" s="11"/>
      <c r="L16" s="11"/>
      <c r="M16" s="11"/>
      <c r="N16" s="8">
        <f t="shared" si="2"/>
        <v>0</v>
      </c>
      <c r="O16" s="13"/>
      <c r="P16" s="13"/>
      <c r="Q16" s="13"/>
      <c r="R16" s="13"/>
      <c r="S16" s="3"/>
      <c r="T16" s="38"/>
      <c r="U16" s="8"/>
      <c r="V16" s="13"/>
      <c r="W16" s="13"/>
      <c r="X16" s="13" t="s">
        <v>38</v>
      </c>
      <c r="Y16" s="13"/>
      <c r="Z16" s="13" t="s">
        <v>31</v>
      </c>
      <c r="AA16" s="3"/>
      <c r="AB16" s="38">
        <v>685192</v>
      </c>
      <c r="AC16" s="8">
        <f t="shared" si="7"/>
        <v>-271460</v>
      </c>
      <c r="AD16" s="13"/>
      <c r="AE16" s="9">
        <f>+AC16/H16</f>
        <v>-0.65612522115765759</v>
      </c>
      <c r="AF16" s="13"/>
      <c r="AG16" s="13"/>
      <c r="AH16" s="13" t="s">
        <v>31</v>
      </c>
      <c r="AI16" s="72" t="s">
        <v>47</v>
      </c>
      <c r="AJ16" s="49">
        <v>1900003478</v>
      </c>
      <c r="AK16" s="38">
        <v>554346</v>
      </c>
      <c r="AL16" s="8">
        <f>+H16-AK16</f>
        <v>-140614</v>
      </c>
      <c r="AM16" s="13"/>
      <c r="AN16" s="13">
        <v>0</v>
      </c>
      <c r="AO16" s="13"/>
      <c r="AP16" s="13" t="s">
        <v>31</v>
      </c>
      <c r="AQ16" s="13"/>
      <c r="AR16" s="19">
        <v>1900003871</v>
      </c>
      <c r="AS16" s="38">
        <v>413732</v>
      </c>
      <c r="AT16" s="8">
        <f t="shared" si="6"/>
        <v>0</v>
      </c>
      <c r="AU16" s="13"/>
      <c r="AV16" s="13">
        <v>0</v>
      </c>
      <c r="AW16" s="13"/>
      <c r="AX16" s="13" t="s">
        <v>31</v>
      </c>
      <c r="AY16" s="13"/>
      <c r="AZ16" s="79">
        <v>1900004157</v>
      </c>
      <c r="BA16" s="38">
        <v>319200</v>
      </c>
      <c r="BB16" s="8">
        <f t="shared" si="8"/>
        <v>94532</v>
      </c>
      <c r="BC16" s="13"/>
      <c r="BD16" s="9">
        <f>+BB16/H16</f>
        <v>0.22848607311012925</v>
      </c>
      <c r="BE16" s="13"/>
      <c r="BF16" s="13" t="s">
        <v>31</v>
      </c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  <c r="CE16" s="13"/>
      <c r="CF16" s="13"/>
    </row>
    <row r="17" spans="1:84" x14ac:dyDescent="0.25">
      <c r="A17" s="68" t="s">
        <v>561</v>
      </c>
      <c r="B17" s="25" t="s">
        <v>562</v>
      </c>
      <c r="C17" s="1">
        <v>9303</v>
      </c>
      <c r="D17" s="14">
        <v>208093</v>
      </c>
      <c r="E17" s="15" t="s">
        <v>772</v>
      </c>
      <c r="F17" s="19" t="s">
        <v>520</v>
      </c>
      <c r="G17" s="38">
        <v>854563</v>
      </c>
      <c r="H17" s="38">
        <v>854563</v>
      </c>
      <c r="I17" s="8">
        <f t="shared" si="0"/>
        <v>0</v>
      </c>
      <c r="J17" s="8">
        <f t="shared" si="1"/>
        <v>0</v>
      </c>
      <c r="K17" s="11"/>
      <c r="L17" s="11"/>
      <c r="M17" s="11"/>
      <c r="N17" s="8">
        <f t="shared" si="2"/>
        <v>0</v>
      </c>
      <c r="O17" s="13"/>
      <c r="P17" s="13"/>
      <c r="Q17" s="13"/>
      <c r="R17" s="13"/>
      <c r="S17" s="3"/>
      <c r="T17" s="38">
        <v>341825</v>
      </c>
      <c r="U17" s="8">
        <f>+H17-T17</f>
        <v>512738</v>
      </c>
      <c r="V17" s="13"/>
      <c r="W17" s="9">
        <f>+U17/H17</f>
        <v>0.60000023403774794</v>
      </c>
      <c r="X17" s="13" t="s">
        <v>46</v>
      </c>
      <c r="Y17" s="13"/>
      <c r="Z17" s="13" t="s">
        <v>31</v>
      </c>
      <c r="AA17" s="3"/>
      <c r="AB17" s="38">
        <v>341825</v>
      </c>
      <c r="AC17" s="8">
        <f t="shared" si="7"/>
        <v>512738</v>
      </c>
      <c r="AD17" s="13"/>
      <c r="AE17" s="9">
        <f>+AC17/H17</f>
        <v>0.60000023403774794</v>
      </c>
      <c r="AF17" s="13"/>
      <c r="AG17" s="13"/>
      <c r="AH17" s="13" t="s">
        <v>31</v>
      </c>
      <c r="AI17" s="3"/>
      <c r="AJ17" s="50">
        <v>1900003441</v>
      </c>
      <c r="AK17" s="38">
        <v>341825</v>
      </c>
      <c r="AL17" s="8">
        <f>+H17-AK17</f>
        <v>512738</v>
      </c>
      <c r="AM17" s="13"/>
      <c r="AN17" s="9">
        <f>+AL17/H17</f>
        <v>0.60000023403774794</v>
      </c>
      <c r="AO17" s="13"/>
      <c r="AP17" s="13" t="s">
        <v>31</v>
      </c>
      <c r="AQ17" s="13"/>
      <c r="AR17" s="19">
        <v>1900003873</v>
      </c>
      <c r="AS17" s="38">
        <v>854563</v>
      </c>
      <c r="AT17" s="8">
        <f t="shared" si="6"/>
        <v>0</v>
      </c>
      <c r="AU17" s="13"/>
      <c r="AV17" s="13">
        <v>0</v>
      </c>
      <c r="AW17" s="13"/>
      <c r="AX17" s="13" t="s">
        <v>31</v>
      </c>
      <c r="AY17" s="13"/>
      <c r="AZ17" s="78">
        <v>1900004328</v>
      </c>
      <c r="BA17" s="8">
        <f>+AS17</f>
        <v>854563</v>
      </c>
      <c r="BB17" s="8">
        <f t="shared" si="8"/>
        <v>0</v>
      </c>
      <c r="BC17" s="13"/>
      <c r="BD17" s="13">
        <v>0</v>
      </c>
      <c r="BE17" s="13"/>
      <c r="BF17" s="13" t="s">
        <v>31</v>
      </c>
      <c r="BG17" s="13"/>
      <c r="BH17" s="13"/>
      <c r="BI17" s="38">
        <v>598194</v>
      </c>
      <c r="BJ17" s="8">
        <f>+H17-BI17</f>
        <v>256369</v>
      </c>
      <c r="BK17" s="13"/>
      <c r="BL17" s="9">
        <f>+BJ17/H17</f>
        <v>0.30000011701887397</v>
      </c>
      <c r="BM17" s="13"/>
      <c r="BN17" s="13" t="s">
        <v>31</v>
      </c>
      <c r="BO17" s="13"/>
      <c r="BP17" s="13"/>
      <c r="BQ17" s="13"/>
      <c r="BR17" s="13"/>
      <c r="BS17" s="13"/>
      <c r="BT17" s="13"/>
      <c r="BU17" s="13"/>
      <c r="BV17" s="13"/>
      <c r="BW17" s="13"/>
      <c r="BX17" s="13"/>
      <c r="BY17" s="13"/>
      <c r="BZ17" s="13"/>
      <c r="CA17" s="13"/>
      <c r="CB17" s="13"/>
      <c r="CC17" s="13"/>
      <c r="CD17" s="13"/>
      <c r="CE17" s="13"/>
      <c r="CF17" s="13"/>
    </row>
    <row r="18" spans="1:84" x14ac:dyDescent="0.25">
      <c r="A18" s="2" t="s">
        <v>563</v>
      </c>
      <c r="B18" s="13" t="s">
        <v>564</v>
      </c>
      <c r="C18" s="1">
        <v>9305</v>
      </c>
      <c r="D18" s="1">
        <v>214089</v>
      </c>
      <c r="E18" s="15" t="s">
        <v>284</v>
      </c>
      <c r="F18" s="16" t="s">
        <v>565</v>
      </c>
      <c r="G18" s="38">
        <v>1410804</v>
      </c>
      <c r="H18" s="38">
        <v>1410804</v>
      </c>
      <c r="I18" s="8">
        <f t="shared" si="0"/>
        <v>0</v>
      </c>
      <c r="J18" s="8">
        <f t="shared" si="1"/>
        <v>0</v>
      </c>
      <c r="K18" s="11">
        <f>+H18</f>
        <v>1410804</v>
      </c>
      <c r="L18" s="11"/>
      <c r="M18" s="11"/>
      <c r="N18" s="9"/>
      <c r="O18" s="13"/>
      <c r="P18" s="13" t="s">
        <v>38</v>
      </c>
      <c r="Q18" s="13" t="s">
        <v>780</v>
      </c>
      <c r="R18" s="13" t="s">
        <v>31</v>
      </c>
      <c r="S18" s="3"/>
      <c r="T18" s="38">
        <v>1410804</v>
      </c>
      <c r="U18" s="8">
        <f>+H18-T18</f>
        <v>0</v>
      </c>
      <c r="V18" s="13"/>
      <c r="W18" s="13">
        <v>0</v>
      </c>
      <c r="X18" s="13" t="s">
        <v>38</v>
      </c>
      <c r="Y18" s="13"/>
      <c r="Z18" s="13" t="s">
        <v>31</v>
      </c>
      <c r="AA18" s="72" t="s">
        <v>116</v>
      </c>
      <c r="AB18" s="38">
        <v>1410804</v>
      </c>
      <c r="AC18" s="8">
        <f>+K18-AB18</f>
        <v>0</v>
      </c>
      <c r="AD18" s="13"/>
      <c r="AE18" s="9">
        <f>+AC18/H18</f>
        <v>0</v>
      </c>
      <c r="AF18" s="13" t="s">
        <v>38</v>
      </c>
      <c r="AG18" s="13"/>
      <c r="AH18" s="13" t="s">
        <v>31</v>
      </c>
      <c r="AI18" s="3"/>
      <c r="AJ18" s="49">
        <v>1900003303</v>
      </c>
      <c r="AK18" s="38">
        <v>1410804</v>
      </c>
      <c r="AL18" s="8">
        <f>+H18-AK18</f>
        <v>0</v>
      </c>
      <c r="AM18" s="13"/>
      <c r="AN18" s="13">
        <v>0</v>
      </c>
      <c r="AO18" s="13"/>
      <c r="AP18" s="13" t="s">
        <v>31</v>
      </c>
      <c r="AQ18" s="13"/>
      <c r="AR18" s="19">
        <v>1900003755</v>
      </c>
      <c r="AS18" s="8">
        <f>+AK18</f>
        <v>1410804</v>
      </c>
      <c r="AT18" s="13">
        <v>0</v>
      </c>
      <c r="AU18" s="13"/>
      <c r="AV18" s="13">
        <v>0</v>
      </c>
      <c r="AW18" s="13"/>
      <c r="AX18" s="13" t="s">
        <v>31</v>
      </c>
      <c r="AY18" s="13"/>
      <c r="AZ18" s="79">
        <v>1900004156</v>
      </c>
      <c r="BA18" s="38">
        <v>1410804</v>
      </c>
      <c r="BB18" s="8">
        <f t="shared" si="8"/>
        <v>0</v>
      </c>
      <c r="BC18" s="13"/>
      <c r="BD18" s="13">
        <v>0</v>
      </c>
      <c r="BE18" s="13"/>
      <c r="BF18" s="13" t="s">
        <v>31</v>
      </c>
      <c r="BG18" s="13"/>
      <c r="BH18" s="13"/>
      <c r="BI18" s="38">
        <v>1410804</v>
      </c>
      <c r="BJ18" s="13">
        <v>0</v>
      </c>
      <c r="BK18" s="13"/>
      <c r="BL18" s="13">
        <v>0</v>
      </c>
      <c r="BM18" s="13"/>
      <c r="BN18" s="13" t="s">
        <v>31</v>
      </c>
      <c r="BO18" s="13"/>
      <c r="BP18" s="13"/>
      <c r="BQ18" s="38">
        <v>1410804</v>
      </c>
      <c r="BR18" s="13">
        <v>0</v>
      </c>
      <c r="BS18" s="13"/>
      <c r="BT18" s="13">
        <v>0</v>
      </c>
      <c r="BU18" s="13"/>
      <c r="BV18" s="13" t="s">
        <v>31</v>
      </c>
      <c r="BW18" s="13"/>
      <c r="BX18" s="13"/>
      <c r="BY18" s="13"/>
      <c r="BZ18" s="13"/>
      <c r="CA18" s="13"/>
      <c r="CB18" s="13"/>
      <c r="CC18" s="13"/>
      <c r="CD18" s="13"/>
      <c r="CE18" s="13"/>
      <c r="CF18" s="13"/>
    </row>
    <row r="19" spans="1:84" x14ac:dyDescent="0.25">
      <c r="A19" s="2" t="s">
        <v>781</v>
      </c>
      <c r="B19" s="13" t="s">
        <v>782</v>
      </c>
      <c r="C19" s="19"/>
      <c r="D19" s="13"/>
      <c r="E19" s="13" t="s">
        <v>783</v>
      </c>
      <c r="F19" s="19" t="s">
        <v>784</v>
      </c>
      <c r="G19" s="7"/>
      <c r="H19" s="7"/>
      <c r="I19" s="8">
        <f t="shared" si="0"/>
        <v>0</v>
      </c>
      <c r="J19" s="8">
        <v>0</v>
      </c>
      <c r="K19" s="11"/>
      <c r="L19" s="11"/>
      <c r="M19" s="11"/>
      <c r="N19" s="8">
        <v>0</v>
      </c>
      <c r="O19" s="13"/>
      <c r="P19" s="13"/>
      <c r="Q19" s="13"/>
      <c r="R19" s="13"/>
      <c r="S19" s="3"/>
      <c r="T19" s="13"/>
      <c r="U19" s="13"/>
      <c r="V19" s="13"/>
      <c r="W19" s="13"/>
      <c r="X19" s="13"/>
      <c r="Y19" s="13"/>
      <c r="Z19" s="13"/>
      <c r="AA19" s="3"/>
      <c r="AB19" s="13"/>
      <c r="AC19" s="13"/>
      <c r="AD19" s="13"/>
      <c r="AE19" s="13"/>
      <c r="AF19" s="13"/>
      <c r="AG19" s="13"/>
      <c r="AH19" s="13"/>
      <c r="AI19" s="3"/>
      <c r="AJ19" s="49"/>
      <c r="AK19" s="13"/>
      <c r="AL19" s="13"/>
      <c r="AM19" s="13"/>
      <c r="AN19" s="13"/>
      <c r="AO19" s="13"/>
      <c r="AP19" s="13"/>
      <c r="AQ19" s="13"/>
      <c r="AR19" s="19"/>
      <c r="AS19" s="13"/>
      <c r="AT19" s="13"/>
      <c r="AU19" s="13"/>
      <c r="AV19" s="13"/>
      <c r="AW19" s="13"/>
      <c r="AX19" s="13"/>
      <c r="AY19" s="13"/>
      <c r="AZ19" s="79"/>
      <c r="BA19" s="13"/>
      <c r="BB19" s="13"/>
      <c r="BC19" s="13"/>
      <c r="BD19" s="13"/>
      <c r="BE19" s="13"/>
      <c r="BF19" s="13"/>
      <c r="BG19" s="13"/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  <c r="CE19" s="13"/>
      <c r="CF19" s="13"/>
    </row>
    <row r="20" spans="1:84" ht="15.75" x14ac:dyDescent="0.25">
      <c r="A20" s="1" t="s">
        <v>107</v>
      </c>
      <c r="B20" s="25" t="s">
        <v>566</v>
      </c>
      <c r="C20" s="23">
        <v>6553</v>
      </c>
      <c r="D20" s="21">
        <v>204600</v>
      </c>
      <c r="E20" s="17" t="s">
        <v>534</v>
      </c>
      <c r="F20" s="18" t="s">
        <v>535</v>
      </c>
      <c r="G20" s="38">
        <v>2284033</v>
      </c>
      <c r="H20" s="38">
        <v>2284033</v>
      </c>
      <c r="I20" s="8">
        <f t="shared" si="0"/>
        <v>0</v>
      </c>
      <c r="J20" s="8">
        <f t="shared" si="1"/>
        <v>0</v>
      </c>
      <c r="K20" s="11">
        <f>1141282+1142751</f>
        <v>2284033</v>
      </c>
      <c r="L20" s="11"/>
      <c r="M20" s="11"/>
      <c r="N20" s="9"/>
      <c r="O20" s="13"/>
      <c r="P20" s="13" t="s">
        <v>38</v>
      </c>
      <c r="Q20" s="13"/>
      <c r="R20" s="13" t="s">
        <v>31</v>
      </c>
      <c r="S20" s="73" t="s">
        <v>785</v>
      </c>
      <c r="T20" s="42">
        <f>1141282+1142751</f>
        <v>2284033</v>
      </c>
      <c r="U20" s="43">
        <f>+K20-T20</f>
        <v>0</v>
      </c>
      <c r="V20" s="13"/>
      <c r="W20" s="8">
        <f>+U20/H20</f>
        <v>0</v>
      </c>
      <c r="X20" s="13" t="s">
        <v>38</v>
      </c>
      <c r="Y20" s="13"/>
      <c r="Z20" s="13" t="s">
        <v>31</v>
      </c>
      <c r="AA20" s="75" t="s">
        <v>83</v>
      </c>
      <c r="AB20" s="38">
        <f>1141282+1142751</f>
        <v>2284033</v>
      </c>
      <c r="AC20" s="8">
        <f>+H20-AB20</f>
        <v>0</v>
      </c>
      <c r="AD20" s="38">
        <f>914201+913026</f>
        <v>1827227</v>
      </c>
      <c r="AE20" s="9">
        <f>+AD20/H20</f>
        <v>0.80000026269322733</v>
      </c>
      <c r="AF20" s="13" t="s">
        <v>38</v>
      </c>
      <c r="AG20" s="13"/>
      <c r="AH20" s="13" t="s">
        <v>31</v>
      </c>
      <c r="AI20" s="3"/>
      <c r="AJ20" s="49" t="s">
        <v>786</v>
      </c>
      <c r="AK20" s="38">
        <f>1141282+1142751</f>
        <v>2284033</v>
      </c>
      <c r="AL20" s="8">
        <f>+H20-AK20</f>
        <v>0</v>
      </c>
      <c r="AM20" s="13"/>
      <c r="AN20" s="9">
        <f>+AL20/H20</f>
        <v>0</v>
      </c>
      <c r="AO20" s="13"/>
      <c r="AP20" s="13" t="s">
        <v>31</v>
      </c>
      <c r="AQ20" s="13"/>
      <c r="AR20" s="19" t="s">
        <v>787</v>
      </c>
      <c r="AS20" s="38">
        <f>1141282+1142751</f>
        <v>2284033</v>
      </c>
      <c r="AT20" s="8">
        <f>+H20-AS20</f>
        <v>0</v>
      </c>
      <c r="AU20" s="13"/>
      <c r="AV20" s="9">
        <f>+AT20/H20</f>
        <v>0</v>
      </c>
      <c r="AW20" s="13"/>
      <c r="AX20" s="13" t="s">
        <v>31</v>
      </c>
      <c r="AY20" s="13"/>
      <c r="AZ20" s="78" t="s">
        <v>788</v>
      </c>
      <c r="BA20" s="38">
        <f>1141282+1142751</f>
        <v>2284033</v>
      </c>
      <c r="BB20" s="8">
        <f>+H20-BA20</f>
        <v>0</v>
      </c>
      <c r="BC20" s="13"/>
      <c r="BD20" s="13">
        <v>0</v>
      </c>
      <c r="BE20" s="13"/>
      <c r="BF20" s="13" t="s">
        <v>31</v>
      </c>
      <c r="BG20" s="13"/>
      <c r="BH20" s="13"/>
      <c r="BI20" s="38">
        <f>1141282+1142751</f>
        <v>2284033</v>
      </c>
      <c r="BJ20" s="8">
        <f>+H20-BI20</f>
        <v>0</v>
      </c>
      <c r="BK20" s="13"/>
      <c r="BL20" s="13">
        <v>0</v>
      </c>
      <c r="BM20" s="13"/>
      <c r="BN20" s="13" t="s">
        <v>31</v>
      </c>
      <c r="BO20" s="13"/>
      <c r="BP20" s="13"/>
      <c r="BQ20" s="38">
        <f>1141282+1142751</f>
        <v>2284033</v>
      </c>
      <c r="BR20" s="13">
        <v>0</v>
      </c>
      <c r="BS20" s="13"/>
      <c r="BT20" s="13">
        <v>0</v>
      </c>
      <c r="BU20" s="13"/>
      <c r="BV20" s="13" t="s">
        <v>31</v>
      </c>
      <c r="BW20" s="13"/>
      <c r="BX20" s="13"/>
      <c r="BY20" s="38">
        <f>1141282+1142751</f>
        <v>2284033</v>
      </c>
      <c r="BZ20" s="38">
        <f>BQ20-BY20</f>
        <v>0</v>
      </c>
      <c r="CA20" s="38"/>
      <c r="CB20" s="9">
        <v>0</v>
      </c>
      <c r="CC20" s="13"/>
      <c r="CD20" s="13" t="s">
        <v>31</v>
      </c>
      <c r="CE20" s="13"/>
      <c r="CF20" s="13"/>
    </row>
    <row r="21" spans="1:84" x14ac:dyDescent="0.25">
      <c r="A21" s="1" t="s">
        <v>111</v>
      </c>
      <c r="B21" s="25" t="s">
        <v>567</v>
      </c>
      <c r="C21" s="23">
        <v>6554</v>
      </c>
      <c r="D21" s="21">
        <v>204526</v>
      </c>
      <c r="E21" s="17" t="s">
        <v>568</v>
      </c>
      <c r="F21" s="18" t="s">
        <v>569</v>
      </c>
      <c r="G21" s="38">
        <v>2656273</v>
      </c>
      <c r="H21" s="38">
        <v>2656273</v>
      </c>
      <c r="I21" s="8">
        <f t="shared" si="0"/>
        <v>0</v>
      </c>
      <c r="J21" s="8">
        <f t="shared" si="1"/>
        <v>0</v>
      </c>
      <c r="K21" s="11">
        <v>1235025</v>
      </c>
      <c r="L21" s="11">
        <f>+H21-K21</f>
        <v>1421248</v>
      </c>
      <c r="M21" s="11"/>
      <c r="N21" s="9">
        <f t="shared" si="2"/>
        <v>0.53505343765493985</v>
      </c>
      <c r="O21" s="13"/>
      <c r="P21" s="13" t="s">
        <v>46</v>
      </c>
      <c r="Q21" s="13"/>
      <c r="R21" s="13" t="s">
        <v>31</v>
      </c>
      <c r="S21" s="72" t="s">
        <v>83</v>
      </c>
      <c r="T21" s="38">
        <v>1516418</v>
      </c>
      <c r="U21" s="8">
        <f>+H21-T21</f>
        <v>1139855</v>
      </c>
      <c r="V21" s="13"/>
      <c r="W21" s="9">
        <f>+U21/H21</f>
        <v>0.42911816669446251</v>
      </c>
      <c r="X21" s="13" t="s">
        <v>46</v>
      </c>
      <c r="Y21" s="13"/>
      <c r="Z21" s="13" t="s">
        <v>31</v>
      </c>
      <c r="AA21" s="72" t="s">
        <v>47</v>
      </c>
      <c r="AB21" s="38">
        <v>1243347</v>
      </c>
      <c r="AC21" s="8">
        <f>+H21-AB21</f>
        <v>1412926</v>
      </c>
      <c r="AD21" s="13"/>
      <c r="AE21" s="9">
        <f>+AC21/H21</f>
        <v>0.53192047654740304</v>
      </c>
      <c r="AF21" s="13" t="s">
        <v>46</v>
      </c>
      <c r="AG21" s="13"/>
      <c r="AH21" s="13" t="s">
        <v>31</v>
      </c>
      <c r="AI21" s="3"/>
      <c r="AJ21" s="49">
        <v>1900003274</v>
      </c>
      <c r="AK21" s="38">
        <v>2521103</v>
      </c>
      <c r="AL21" s="8">
        <f>+H21-AK21</f>
        <v>135170</v>
      </c>
      <c r="AM21" s="13"/>
      <c r="AN21" s="9">
        <f>+AL21/H21</f>
        <v>5.0887088789442952E-2</v>
      </c>
      <c r="AO21" s="13"/>
      <c r="AP21" s="13" t="s">
        <v>31</v>
      </c>
      <c r="AQ21" s="13"/>
      <c r="AR21" s="19">
        <v>1900003790</v>
      </c>
      <c r="AS21" s="38">
        <v>1261417</v>
      </c>
      <c r="AT21" s="8">
        <f>+H21-AS21</f>
        <v>1394856</v>
      </c>
      <c r="AU21" s="13"/>
      <c r="AV21" s="9">
        <f>+AT21/H21</f>
        <v>0.52511771192192969</v>
      </c>
      <c r="AW21" s="13"/>
      <c r="AX21" s="13" t="s">
        <v>31</v>
      </c>
      <c r="AY21" s="13"/>
      <c r="AZ21" s="78">
        <v>1900004275</v>
      </c>
      <c r="BA21" s="38">
        <v>1195141</v>
      </c>
      <c r="BB21" s="8">
        <f>+H21-BA21</f>
        <v>1461132</v>
      </c>
      <c r="BC21" s="13"/>
      <c r="BD21" s="9">
        <f>+BB21/H21</f>
        <v>0.55006846058368253</v>
      </c>
      <c r="BE21" s="13"/>
      <c r="BF21" s="13" t="s">
        <v>31</v>
      </c>
      <c r="BG21" s="13"/>
      <c r="BH21" s="13"/>
      <c r="BI21" s="38">
        <v>2016882</v>
      </c>
      <c r="BJ21" s="8">
        <f>+H21-BI21</f>
        <v>639391</v>
      </c>
      <c r="BK21" s="13"/>
      <c r="BL21" s="9">
        <f>+BJ21/BI21</f>
        <v>0.31701953807907451</v>
      </c>
      <c r="BM21" s="13"/>
      <c r="BN21" s="13" t="s">
        <v>31</v>
      </c>
      <c r="BO21" s="13"/>
      <c r="BP21" s="13"/>
      <c r="BQ21" s="38">
        <v>2016882</v>
      </c>
      <c r="BR21" s="8">
        <f>+H21-BQ21</f>
        <v>639391</v>
      </c>
      <c r="BS21" s="13"/>
      <c r="BT21" s="9">
        <f>+BR21/H21</f>
        <v>0.24070982161848575</v>
      </c>
      <c r="BU21" s="13"/>
      <c r="BV21" s="13" t="s">
        <v>31</v>
      </c>
      <c r="BW21" s="13"/>
      <c r="BX21" s="13"/>
      <c r="BY21" s="38">
        <v>2016882</v>
      </c>
      <c r="BZ21" s="13">
        <v>0</v>
      </c>
      <c r="CA21" s="13"/>
      <c r="CB21" s="13">
        <v>0</v>
      </c>
      <c r="CC21" s="13"/>
      <c r="CD21" s="13" t="s">
        <v>31</v>
      </c>
      <c r="CE21" s="13"/>
      <c r="CF21" s="13"/>
    </row>
    <row r="22" spans="1:84" ht="15.75" x14ac:dyDescent="0.25">
      <c r="A22" s="1" t="s">
        <v>117</v>
      </c>
      <c r="B22" s="25" t="s">
        <v>570</v>
      </c>
      <c r="C22" s="23">
        <v>6556</v>
      </c>
      <c r="D22" s="21">
        <v>204648</v>
      </c>
      <c r="E22" s="17" t="s">
        <v>571</v>
      </c>
      <c r="F22" s="18" t="s">
        <v>572</v>
      </c>
      <c r="G22" s="38">
        <v>680470</v>
      </c>
      <c r="H22" s="38">
        <v>680470</v>
      </c>
      <c r="I22" s="8">
        <f t="shared" si="0"/>
        <v>0</v>
      </c>
      <c r="J22" s="8">
        <f t="shared" si="1"/>
        <v>0</v>
      </c>
      <c r="K22" s="11">
        <v>659122</v>
      </c>
      <c r="L22" s="11">
        <f>+H22-K22</f>
        <v>21348</v>
      </c>
      <c r="M22" s="11"/>
      <c r="N22" s="9">
        <f>+(L22+M22)/H22</f>
        <v>3.1372433759019498E-2</v>
      </c>
      <c r="O22" s="13"/>
      <c r="P22" s="13" t="s">
        <v>38</v>
      </c>
      <c r="Q22" s="13"/>
      <c r="R22" s="13" t="s">
        <v>31</v>
      </c>
      <c r="S22" s="72" t="s">
        <v>83</v>
      </c>
      <c r="T22" s="42">
        <v>659122</v>
      </c>
      <c r="U22" s="43">
        <f>+H22-T22</f>
        <v>21348</v>
      </c>
      <c r="V22" s="13"/>
      <c r="W22" s="9">
        <f>+U22/H22</f>
        <v>3.1372433759019498E-2</v>
      </c>
      <c r="X22" s="13" t="s">
        <v>38</v>
      </c>
      <c r="Y22" s="13"/>
      <c r="Z22" s="13" t="s">
        <v>31</v>
      </c>
      <c r="AA22" s="75" t="s">
        <v>83</v>
      </c>
      <c r="AB22" s="38">
        <v>659122</v>
      </c>
      <c r="AC22" s="8">
        <f>+K22-AB22</f>
        <v>0</v>
      </c>
      <c r="AD22" s="13"/>
      <c r="AE22" s="9">
        <f>+AC22/H22</f>
        <v>0</v>
      </c>
      <c r="AF22" s="13" t="s">
        <v>38</v>
      </c>
      <c r="AG22" s="13"/>
      <c r="AH22" s="13" t="s">
        <v>31</v>
      </c>
      <c r="AI22" s="3"/>
      <c r="AJ22" s="49">
        <v>1900003304</v>
      </c>
      <c r="AK22" s="38">
        <v>659122</v>
      </c>
      <c r="AL22" s="8">
        <f>+H22-AK22</f>
        <v>21348</v>
      </c>
      <c r="AM22" s="13"/>
      <c r="AN22" s="9">
        <f>+AL22/H22</f>
        <v>3.1372433759019498E-2</v>
      </c>
      <c r="AO22" s="13"/>
      <c r="AP22" s="13" t="s">
        <v>31</v>
      </c>
      <c r="AQ22" s="13"/>
      <c r="AR22" s="19">
        <v>1900003897</v>
      </c>
      <c r="AS22" s="38">
        <v>659122</v>
      </c>
      <c r="AT22" s="8">
        <f>+H22-AS22</f>
        <v>21348</v>
      </c>
      <c r="AU22" s="13"/>
      <c r="AV22" s="9">
        <f>+AT22/H22</f>
        <v>3.1372433759019498E-2</v>
      </c>
      <c r="AW22" s="13"/>
      <c r="AX22" s="13" t="s">
        <v>31</v>
      </c>
      <c r="AY22" s="13"/>
      <c r="AZ22" s="79">
        <v>1900004249</v>
      </c>
      <c r="BA22" s="38">
        <v>659122</v>
      </c>
      <c r="BB22" s="8">
        <f>+H22-BA22</f>
        <v>21348</v>
      </c>
      <c r="BC22" s="13"/>
      <c r="BD22" s="13">
        <v>0</v>
      </c>
      <c r="BE22" s="13"/>
      <c r="BF22" s="13" t="s">
        <v>31</v>
      </c>
      <c r="BG22" s="13"/>
      <c r="BH22" s="13"/>
      <c r="BI22" s="38">
        <v>659122</v>
      </c>
      <c r="BJ22" s="13">
        <v>0</v>
      </c>
      <c r="BK22" s="13"/>
      <c r="BL22" s="13">
        <v>0</v>
      </c>
      <c r="BM22" s="13"/>
      <c r="BN22" s="13" t="s">
        <v>31</v>
      </c>
      <c r="BO22" s="13"/>
      <c r="BP22" s="13"/>
      <c r="BQ22" s="38">
        <v>659122</v>
      </c>
      <c r="BR22" s="13">
        <v>0</v>
      </c>
      <c r="BS22" s="13"/>
      <c r="BT22" s="13">
        <v>0</v>
      </c>
      <c r="BU22" s="13"/>
      <c r="BV22" s="13" t="s">
        <v>31</v>
      </c>
      <c r="BW22" s="13"/>
      <c r="BX22" s="13"/>
      <c r="BY22" s="38">
        <v>659122</v>
      </c>
      <c r="BZ22" s="13">
        <v>0</v>
      </c>
      <c r="CA22" s="13"/>
      <c r="CB22" s="13">
        <v>0</v>
      </c>
      <c r="CC22" s="13"/>
      <c r="CD22" s="13" t="s">
        <v>31</v>
      </c>
      <c r="CE22" s="13"/>
      <c r="CF22" s="13"/>
    </row>
    <row r="23" spans="1:84" x14ac:dyDescent="0.25">
      <c r="A23" s="1" t="s">
        <v>123</v>
      </c>
      <c r="B23" s="25" t="s">
        <v>573</v>
      </c>
      <c r="C23" s="23">
        <v>6561</v>
      </c>
      <c r="D23" s="21">
        <v>205635</v>
      </c>
      <c r="E23" s="17" t="s">
        <v>574</v>
      </c>
      <c r="F23" s="24" t="s">
        <v>575</v>
      </c>
      <c r="G23" s="38">
        <v>2477420</v>
      </c>
      <c r="H23" s="7"/>
      <c r="I23" s="8">
        <f t="shared" si="0"/>
        <v>-2477420</v>
      </c>
      <c r="J23" s="9">
        <f t="shared" si="1"/>
        <v>-1</v>
      </c>
      <c r="K23" s="11">
        <v>1191032</v>
      </c>
      <c r="L23" s="11">
        <f>+G23-K23</f>
        <v>1286388</v>
      </c>
      <c r="M23" s="11"/>
      <c r="N23" s="9">
        <f>+L23/G23</f>
        <v>0.51924502102994241</v>
      </c>
      <c r="O23" s="13"/>
      <c r="P23" s="13"/>
      <c r="Q23" s="13"/>
      <c r="R23" s="13"/>
      <c r="S23" s="3"/>
      <c r="T23" s="13"/>
      <c r="U23" s="13"/>
      <c r="V23" s="13"/>
      <c r="W23" s="13"/>
      <c r="X23" s="13"/>
      <c r="Y23" s="13"/>
      <c r="Z23" s="13"/>
      <c r="AA23" s="3"/>
      <c r="AB23" s="38">
        <v>1191032</v>
      </c>
      <c r="AC23" s="8">
        <f>+G23-AB23</f>
        <v>1286388</v>
      </c>
      <c r="AD23" s="13"/>
      <c r="AE23" s="9">
        <f>+AC23/G23</f>
        <v>0.51924502102994241</v>
      </c>
      <c r="AF23" s="13"/>
      <c r="AG23" s="13"/>
      <c r="AH23" s="13"/>
      <c r="AI23" s="3"/>
      <c r="AJ23" s="49"/>
      <c r="AK23" s="8">
        <f>+AB23</f>
        <v>1191032</v>
      </c>
      <c r="AL23" s="8">
        <f>+G23-AK23</f>
        <v>1286388</v>
      </c>
      <c r="AM23" s="13"/>
      <c r="AN23" s="9">
        <f>+AL23/G23</f>
        <v>0.51924502102994241</v>
      </c>
      <c r="AO23" s="13"/>
      <c r="AP23" s="13" t="s">
        <v>31</v>
      </c>
      <c r="AQ23" s="13"/>
      <c r="AR23" s="19">
        <v>1900003825</v>
      </c>
      <c r="AS23" s="38">
        <v>1401210</v>
      </c>
      <c r="AT23" s="8">
        <f>+G23-AS23</f>
        <v>1076210</v>
      </c>
      <c r="AU23" s="13"/>
      <c r="AV23" s="9">
        <f>+AT23/G23</f>
        <v>0.43440756916469553</v>
      </c>
      <c r="AW23" s="13"/>
      <c r="AX23" s="13" t="s">
        <v>31</v>
      </c>
      <c r="AY23" s="13"/>
      <c r="AZ23" s="78">
        <v>1900004319</v>
      </c>
      <c r="BA23" s="38">
        <v>1401210</v>
      </c>
      <c r="BB23" s="8">
        <f>+G23-BA23</f>
        <v>1076210</v>
      </c>
      <c r="BC23" s="13"/>
      <c r="BD23" s="9">
        <f>+BB23/G23</f>
        <v>0.43440756916469553</v>
      </c>
      <c r="BE23" s="13"/>
      <c r="BF23" s="13" t="s">
        <v>31</v>
      </c>
      <c r="BG23" s="13"/>
      <c r="BH23" s="13"/>
      <c r="BI23" s="38">
        <v>1401210</v>
      </c>
      <c r="BJ23" s="8">
        <f>+G23-BI23</f>
        <v>1076210</v>
      </c>
      <c r="BK23" s="13"/>
      <c r="BL23" s="9">
        <f>+BJ23/G23</f>
        <v>0.43440756916469553</v>
      </c>
      <c r="BM23" s="13"/>
      <c r="BN23" s="13" t="s">
        <v>31</v>
      </c>
      <c r="BO23" s="13"/>
      <c r="BP23" s="13"/>
      <c r="BQ23" s="38">
        <v>1401214</v>
      </c>
      <c r="BR23" s="8">
        <f>+G23-BQ23</f>
        <v>1076206</v>
      </c>
      <c r="BS23" s="13"/>
      <c r="BT23" s="9">
        <f>+BR23/G23</f>
        <v>0.43440595458178266</v>
      </c>
      <c r="BU23" s="13"/>
      <c r="BV23" s="13" t="s">
        <v>31</v>
      </c>
      <c r="BW23" s="13"/>
      <c r="BX23" s="13"/>
      <c r="BY23" s="38">
        <v>1401210</v>
      </c>
      <c r="BZ23" s="8">
        <f>+G23-BY23</f>
        <v>1076210</v>
      </c>
      <c r="CA23" s="13"/>
      <c r="CB23" s="9">
        <f>+BZ23/G23</f>
        <v>0.43440756916469553</v>
      </c>
      <c r="CC23" s="13"/>
      <c r="CD23" s="13" t="s">
        <v>31</v>
      </c>
      <c r="CE23" s="13"/>
      <c r="CF23" s="13"/>
    </row>
    <row r="24" spans="1:84" x14ac:dyDescent="0.25">
      <c r="A24" s="1" t="s">
        <v>127</v>
      </c>
      <c r="B24" s="25" t="s">
        <v>576</v>
      </c>
      <c r="C24" s="23">
        <v>6563</v>
      </c>
      <c r="D24" s="21">
        <v>208501</v>
      </c>
      <c r="E24" s="17" t="s">
        <v>129</v>
      </c>
      <c r="F24" s="18" t="s">
        <v>577</v>
      </c>
      <c r="G24" s="38">
        <v>4121493</v>
      </c>
      <c r="H24" s="38">
        <v>4121493</v>
      </c>
      <c r="I24" s="8">
        <f t="shared" si="0"/>
        <v>0</v>
      </c>
      <c r="J24" s="8">
        <f t="shared" si="1"/>
        <v>0</v>
      </c>
      <c r="K24" s="11">
        <v>4121493</v>
      </c>
      <c r="L24" s="11"/>
      <c r="M24" s="11">
        <v>4121493</v>
      </c>
      <c r="N24" s="9">
        <f t="shared" si="2"/>
        <v>1</v>
      </c>
      <c r="O24" s="13"/>
      <c r="P24" s="13" t="s">
        <v>38</v>
      </c>
      <c r="Q24" s="13"/>
      <c r="R24" s="13"/>
      <c r="S24" s="3"/>
      <c r="T24" s="42">
        <v>4121493</v>
      </c>
      <c r="U24" s="43">
        <f t="shared" ref="U24:U29" si="9">+H24-T24</f>
        <v>0</v>
      </c>
      <c r="V24" s="38">
        <f>+T24</f>
        <v>4121493</v>
      </c>
      <c r="W24" s="9">
        <f>+V24/H24</f>
        <v>1</v>
      </c>
      <c r="X24" s="13" t="s">
        <v>38</v>
      </c>
      <c r="Y24" s="13"/>
      <c r="Z24" s="13" t="s">
        <v>31</v>
      </c>
      <c r="AA24" s="3"/>
      <c r="AB24" s="38">
        <v>4121493</v>
      </c>
      <c r="AC24" s="8">
        <f>+H24-AB24</f>
        <v>0</v>
      </c>
      <c r="AD24" s="13"/>
      <c r="AE24" s="13">
        <v>0</v>
      </c>
      <c r="AF24" s="13"/>
      <c r="AG24" s="13"/>
      <c r="AH24" s="13" t="s">
        <v>31</v>
      </c>
      <c r="AI24" s="3"/>
      <c r="AJ24" s="50" t="s">
        <v>131</v>
      </c>
      <c r="AK24" s="38">
        <v>4121493</v>
      </c>
      <c r="AL24" s="8">
        <f t="shared" ref="AL24:AL32" si="10">+H24-AK24</f>
        <v>0</v>
      </c>
      <c r="AM24" s="13"/>
      <c r="AN24" s="9">
        <f t="shared" ref="AN24:AN32" si="11">+AL24/H24</f>
        <v>0</v>
      </c>
      <c r="AO24" s="13"/>
      <c r="AP24" s="13" t="s">
        <v>31</v>
      </c>
      <c r="AQ24" s="13"/>
      <c r="AR24" s="19">
        <v>1900003712</v>
      </c>
      <c r="AS24" s="38">
        <v>4121493</v>
      </c>
      <c r="AT24" s="8">
        <f>+H24-AS24</f>
        <v>0</v>
      </c>
      <c r="AU24" s="13"/>
      <c r="AV24" s="13">
        <v>0</v>
      </c>
      <c r="AW24" s="13"/>
      <c r="AX24" s="13" t="s">
        <v>31</v>
      </c>
      <c r="AY24" s="13"/>
      <c r="AZ24">
        <v>1900004261</v>
      </c>
      <c r="BA24" s="38">
        <v>2849565</v>
      </c>
      <c r="BB24" s="8">
        <f>+H24-BA24</f>
        <v>1271928</v>
      </c>
      <c r="BC24" s="13"/>
      <c r="BD24" s="9">
        <f>+BB24/H24</f>
        <v>0.30860855520074887</v>
      </c>
      <c r="BE24" s="13"/>
      <c r="BF24" s="13" t="s">
        <v>31</v>
      </c>
      <c r="BG24" s="13"/>
      <c r="BH24" s="13"/>
      <c r="BI24" s="38">
        <v>2848565</v>
      </c>
      <c r="BJ24" s="8">
        <f>+H24-BI24</f>
        <v>1272928</v>
      </c>
      <c r="BK24" s="13"/>
      <c r="BL24" s="9">
        <f>+BJ24/H24</f>
        <v>0.30885118572323184</v>
      </c>
      <c r="BM24" s="13"/>
      <c r="BN24" s="13" t="s">
        <v>31</v>
      </c>
      <c r="BO24" s="13"/>
      <c r="BP24" s="13"/>
      <c r="BQ24" s="13"/>
      <c r="BR24" s="13"/>
      <c r="BS24" s="13"/>
      <c r="BT24" s="13"/>
      <c r="BU24" s="13"/>
      <c r="BV24" s="13"/>
      <c r="BW24" s="13"/>
      <c r="BX24" s="13"/>
      <c r="BY24" s="13"/>
      <c r="BZ24" s="13"/>
      <c r="CA24" s="13"/>
      <c r="CB24" s="13"/>
      <c r="CC24" s="13"/>
      <c r="CD24" s="13"/>
      <c r="CE24" s="13"/>
      <c r="CF24" s="13"/>
    </row>
    <row r="25" spans="1:84" x14ac:dyDescent="0.25">
      <c r="A25" s="1" t="s">
        <v>132</v>
      </c>
      <c r="B25" s="25" t="s">
        <v>578</v>
      </c>
      <c r="C25" s="23">
        <v>6564</v>
      </c>
      <c r="D25" s="21">
        <v>204606</v>
      </c>
      <c r="E25" s="17" t="s">
        <v>579</v>
      </c>
      <c r="F25" s="18" t="s">
        <v>580</v>
      </c>
      <c r="G25" s="38">
        <v>1316588</v>
      </c>
      <c r="H25" s="38">
        <v>1316588</v>
      </c>
      <c r="I25" s="8">
        <f t="shared" si="0"/>
        <v>0</v>
      </c>
      <c r="J25" s="8">
        <f t="shared" si="1"/>
        <v>0</v>
      </c>
      <c r="K25" s="11">
        <v>658294</v>
      </c>
      <c r="L25" s="11">
        <f t="shared" ref="L25:L30" si="12">+H25-K25</f>
        <v>658294</v>
      </c>
      <c r="M25" s="11"/>
      <c r="N25" s="9">
        <f>+L25/H25</f>
        <v>0.5</v>
      </c>
      <c r="O25" s="13"/>
      <c r="P25" s="13" t="s">
        <v>38</v>
      </c>
      <c r="Q25" s="13" t="s">
        <v>122</v>
      </c>
      <c r="R25" s="13" t="s">
        <v>31</v>
      </c>
      <c r="S25" s="72" t="s">
        <v>83</v>
      </c>
      <c r="T25" s="42">
        <v>658294</v>
      </c>
      <c r="U25" s="43">
        <f t="shared" si="9"/>
        <v>658294</v>
      </c>
      <c r="V25" s="13"/>
      <c r="W25" s="9">
        <f>+U25/H25</f>
        <v>0.5</v>
      </c>
      <c r="X25" s="13" t="s">
        <v>46</v>
      </c>
      <c r="Y25" s="13" t="s">
        <v>122</v>
      </c>
      <c r="Z25" s="13" t="s">
        <v>31</v>
      </c>
      <c r="AA25" s="72" t="s">
        <v>55</v>
      </c>
      <c r="AB25" s="38">
        <v>658294</v>
      </c>
      <c r="AC25" s="8">
        <f>+K25-AB25</f>
        <v>0</v>
      </c>
      <c r="AD25" s="13"/>
      <c r="AE25" s="9">
        <f>+AC25/H25</f>
        <v>0</v>
      </c>
      <c r="AF25" s="13" t="s">
        <v>38</v>
      </c>
      <c r="AG25" s="13"/>
      <c r="AH25" s="13" t="s">
        <v>31</v>
      </c>
      <c r="AI25" s="72" t="s">
        <v>32</v>
      </c>
      <c r="AJ25" s="49">
        <v>1900003305</v>
      </c>
      <c r="AK25" s="38">
        <v>658294</v>
      </c>
      <c r="AL25" s="8">
        <f t="shared" si="10"/>
        <v>658294</v>
      </c>
      <c r="AM25" s="13"/>
      <c r="AN25" s="9">
        <f t="shared" si="11"/>
        <v>0.5</v>
      </c>
      <c r="AO25" s="13"/>
      <c r="AP25" s="13" t="s">
        <v>31</v>
      </c>
      <c r="AQ25" s="13"/>
      <c r="AR25" s="19">
        <v>1900003680</v>
      </c>
      <c r="AS25" s="38">
        <v>658294</v>
      </c>
      <c r="AT25" s="8">
        <f>+H25-AS25</f>
        <v>658294</v>
      </c>
      <c r="AU25" s="13"/>
      <c r="AV25" s="9">
        <f>+AT25/H25</f>
        <v>0.5</v>
      </c>
      <c r="AW25" s="13"/>
      <c r="AX25" s="13" t="s">
        <v>31</v>
      </c>
      <c r="AY25" s="13"/>
      <c r="AZ25" s="79">
        <v>1900004207</v>
      </c>
      <c r="BA25" s="38">
        <v>1316588</v>
      </c>
      <c r="BB25" s="8">
        <f>+H25-BA25</f>
        <v>0</v>
      </c>
      <c r="BC25" s="13"/>
      <c r="BD25" s="13">
        <v>0</v>
      </c>
      <c r="BE25" s="13"/>
      <c r="BF25" s="13" t="s">
        <v>31</v>
      </c>
      <c r="BG25" s="13"/>
      <c r="BH25" s="13"/>
      <c r="BI25" s="38">
        <v>1316588</v>
      </c>
      <c r="BJ25" s="13">
        <v>0</v>
      </c>
      <c r="BK25" s="13"/>
      <c r="BL25" s="13">
        <v>0</v>
      </c>
      <c r="BM25" s="13"/>
      <c r="BN25" s="13" t="s">
        <v>31</v>
      </c>
      <c r="BO25" s="13"/>
      <c r="BP25" s="13"/>
      <c r="BQ25" s="38">
        <v>1316588</v>
      </c>
      <c r="BR25" s="13">
        <v>0</v>
      </c>
      <c r="BS25" s="13"/>
      <c r="BT25" s="13">
        <v>0</v>
      </c>
      <c r="BU25" s="13"/>
      <c r="BV25" s="13" t="s">
        <v>31</v>
      </c>
      <c r="BW25" s="13"/>
      <c r="BX25" s="13"/>
      <c r="BY25" s="8">
        <f>+BQ25</f>
        <v>1316588</v>
      </c>
      <c r="BZ25" s="13">
        <v>0</v>
      </c>
      <c r="CA25" s="13"/>
      <c r="CB25" s="13">
        <v>0</v>
      </c>
      <c r="CC25" s="13"/>
      <c r="CD25" s="13" t="s">
        <v>31</v>
      </c>
      <c r="CE25" s="13"/>
      <c r="CF25" s="13"/>
    </row>
    <row r="26" spans="1:84" x14ac:dyDescent="0.25">
      <c r="A26" s="1" t="s">
        <v>136</v>
      </c>
      <c r="B26" s="25" t="s">
        <v>581</v>
      </c>
      <c r="C26" s="23">
        <v>6568</v>
      </c>
      <c r="D26" s="21">
        <v>204589</v>
      </c>
      <c r="E26" s="17" t="s">
        <v>582</v>
      </c>
      <c r="F26" s="18" t="s">
        <v>583</v>
      </c>
      <c r="G26" s="38">
        <v>3117418</v>
      </c>
      <c r="H26" s="38">
        <v>3117418</v>
      </c>
      <c r="I26" s="8">
        <f t="shared" si="0"/>
        <v>0</v>
      </c>
      <c r="J26" s="8">
        <f t="shared" si="1"/>
        <v>0</v>
      </c>
      <c r="K26" s="11">
        <v>1558709</v>
      </c>
      <c r="L26" s="11">
        <f t="shared" si="12"/>
        <v>1558709</v>
      </c>
      <c r="M26" s="11"/>
      <c r="N26" s="9">
        <f t="shared" si="2"/>
        <v>0.5</v>
      </c>
      <c r="O26" s="13"/>
      <c r="P26" s="13" t="s">
        <v>46</v>
      </c>
      <c r="Q26" s="13"/>
      <c r="R26" s="13" t="s">
        <v>31</v>
      </c>
      <c r="S26" s="72" t="s">
        <v>55</v>
      </c>
      <c r="T26" s="42">
        <v>1558709</v>
      </c>
      <c r="U26" s="43">
        <f t="shared" si="9"/>
        <v>1558709</v>
      </c>
      <c r="V26" s="13"/>
      <c r="W26" s="9">
        <f>+U26/H26</f>
        <v>0.5</v>
      </c>
      <c r="X26" s="13" t="s">
        <v>46</v>
      </c>
      <c r="Y26" s="13" t="s">
        <v>122</v>
      </c>
      <c r="Z26" s="13" t="s">
        <v>31</v>
      </c>
      <c r="AA26" s="3"/>
      <c r="AB26" s="38">
        <v>1558709</v>
      </c>
      <c r="AC26" s="8">
        <f>+K26-AB26</f>
        <v>0</v>
      </c>
      <c r="AD26" s="13"/>
      <c r="AE26" s="9">
        <f>+AC26/H26</f>
        <v>0</v>
      </c>
      <c r="AF26" s="13" t="s">
        <v>38</v>
      </c>
      <c r="AG26" s="13"/>
      <c r="AH26" s="13" t="s">
        <v>31</v>
      </c>
      <c r="AI26" s="72" t="s">
        <v>32</v>
      </c>
      <c r="AJ26" s="49">
        <v>1900003306</v>
      </c>
      <c r="AK26" s="38">
        <v>2493395</v>
      </c>
      <c r="AL26" s="8">
        <f t="shared" si="10"/>
        <v>624023</v>
      </c>
      <c r="AM26" s="13"/>
      <c r="AN26" s="9">
        <f t="shared" si="11"/>
        <v>0.20017302780698643</v>
      </c>
      <c r="AO26" s="13"/>
      <c r="AP26" s="13" t="s">
        <v>31</v>
      </c>
      <c r="AQ26" s="13"/>
      <c r="AR26" s="19">
        <v>1900003787</v>
      </c>
      <c r="AS26" s="38">
        <v>2182193</v>
      </c>
      <c r="AT26" s="8">
        <f>+H26-AS26</f>
        <v>935225</v>
      </c>
      <c r="AU26" s="13"/>
      <c r="AV26" s="9">
        <f>+AT26/H26</f>
        <v>0.29999987168868597</v>
      </c>
      <c r="AW26" s="13"/>
      <c r="AX26" s="13" t="s">
        <v>31</v>
      </c>
      <c r="AY26" s="13"/>
      <c r="AZ26" s="79">
        <v>1900004221</v>
      </c>
      <c r="BA26" s="38">
        <v>2182193</v>
      </c>
      <c r="BB26" s="8">
        <f>+H26-BA26</f>
        <v>935225</v>
      </c>
      <c r="BC26" s="13"/>
      <c r="BD26" s="9">
        <f>+BB26/H26</f>
        <v>0.29999987168868597</v>
      </c>
      <c r="BE26" s="13"/>
      <c r="BF26" s="13" t="s">
        <v>31</v>
      </c>
      <c r="BG26" s="13"/>
      <c r="BH26" s="13"/>
      <c r="BI26" s="38">
        <v>2182193</v>
      </c>
      <c r="BJ26" s="8">
        <f>+H26-BI26</f>
        <v>935225</v>
      </c>
      <c r="BK26" s="13"/>
      <c r="BL26" s="9">
        <f>+BJ26/H26</f>
        <v>0.29999987168868597</v>
      </c>
      <c r="BM26" s="13"/>
      <c r="BN26" s="13" t="s">
        <v>31</v>
      </c>
      <c r="BO26" s="13"/>
      <c r="BP26" s="13"/>
      <c r="BQ26" s="38">
        <v>2493904</v>
      </c>
      <c r="BR26" s="8">
        <f>+H26-BQ26</f>
        <v>623514</v>
      </c>
      <c r="BS26" s="13"/>
      <c r="BT26" s="9">
        <f>+BR26/H26</f>
        <v>0.20000975165986723</v>
      </c>
      <c r="BU26" s="13"/>
      <c r="BV26" s="13" t="s">
        <v>31</v>
      </c>
      <c r="BW26" s="13"/>
      <c r="BX26" s="13"/>
      <c r="BY26" s="38">
        <v>2493904</v>
      </c>
      <c r="BZ26" s="8">
        <f>+H26-BY26</f>
        <v>623514</v>
      </c>
      <c r="CA26" s="13"/>
      <c r="CB26" s="9">
        <f>+BZ26/G26</f>
        <v>0.20000975165986723</v>
      </c>
      <c r="CC26" s="13"/>
      <c r="CD26" s="13" t="s">
        <v>31</v>
      </c>
      <c r="CE26" s="13"/>
      <c r="CF26" s="13"/>
    </row>
    <row r="27" spans="1:84" x14ac:dyDescent="0.25">
      <c r="A27" s="1" t="s">
        <v>140</v>
      </c>
      <c r="B27" s="25" t="s">
        <v>584</v>
      </c>
      <c r="C27" s="14">
        <v>6767</v>
      </c>
      <c r="D27" s="21">
        <v>204887</v>
      </c>
      <c r="E27" s="17" t="s">
        <v>585</v>
      </c>
      <c r="F27" s="18" t="s">
        <v>586</v>
      </c>
      <c r="G27" s="38">
        <v>1269563</v>
      </c>
      <c r="H27" s="38">
        <v>1269563</v>
      </c>
      <c r="I27" s="8">
        <f t="shared" si="0"/>
        <v>0</v>
      </c>
      <c r="J27" s="8">
        <f t="shared" si="1"/>
        <v>0</v>
      </c>
      <c r="K27" s="11">
        <v>444347</v>
      </c>
      <c r="L27" s="11">
        <f t="shared" si="12"/>
        <v>825216</v>
      </c>
      <c r="M27" s="11"/>
      <c r="N27" s="9">
        <f t="shared" si="2"/>
        <v>0.65000003938363038</v>
      </c>
      <c r="O27" s="13"/>
      <c r="P27" s="13" t="s">
        <v>46</v>
      </c>
      <c r="Q27" s="13" t="s">
        <v>789</v>
      </c>
      <c r="R27" s="13" t="s">
        <v>31</v>
      </c>
      <c r="S27" s="72" t="s">
        <v>83</v>
      </c>
      <c r="T27" s="38">
        <v>444347</v>
      </c>
      <c r="U27" s="8">
        <f t="shared" si="9"/>
        <v>825216</v>
      </c>
      <c r="V27" s="13"/>
      <c r="W27" s="9">
        <f>+U27/H27</f>
        <v>0.65000003938363038</v>
      </c>
      <c r="X27" s="13" t="s">
        <v>46</v>
      </c>
      <c r="Y27" s="13"/>
      <c r="Z27" s="13" t="s">
        <v>31</v>
      </c>
      <c r="AA27" s="72" t="s">
        <v>47</v>
      </c>
      <c r="AB27" s="38">
        <v>634782</v>
      </c>
      <c r="AC27" s="8"/>
      <c r="AD27" s="13"/>
      <c r="AE27" s="9"/>
      <c r="AF27" s="13"/>
      <c r="AG27" s="13"/>
      <c r="AH27" s="13"/>
      <c r="AI27" s="3"/>
      <c r="AJ27" s="19">
        <v>1900003562</v>
      </c>
      <c r="AK27" s="38">
        <v>634782</v>
      </c>
      <c r="AL27" s="8">
        <f t="shared" si="10"/>
        <v>634781</v>
      </c>
      <c r="AM27" s="13"/>
      <c r="AN27" s="9">
        <f t="shared" si="11"/>
        <v>0.49999960616369571</v>
      </c>
      <c r="AO27" s="13"/>
      <c r="AP27" s="13" t="s">
        <v>31</v>
      </c>
      <c r="AQ27" s="13"/>
      <c r="AR27" s="19">
        <v>1900004043</v>
      </c>
      <c r="AS27" s="38">
        <v>507825</v>
      </c>
      <c r="AT27" s="8">
        <f>+H27-AS27</f>
        <v>761738</v>
      </c>
      <c r="AU27" s="13"/>
      <c r="AV27" s="9">
        <f>+AT27/H27</f>
        <v>0.60000015753452174</v>
      </c>
      <c r="AW27" s="13"/>
      <c r="AX27" s="13" t="s">
        <v>31</v>
      </c>
      <c r="AY27" s="13"/>
      <c r="AZ27" s="80">
        <v>1900004375</v>
      </c>
      <c r="BA27" s="38">
        <v>698260</v>
      </c>
      <c r="BB27" s="8">
        <f>+H27-BA27</f>
        <v>571303</v>
      </c>
      <c r="BC27" s="13"/>
      <c r="BD27" s="9">
        <f>+BB27/H27</f>
        <v>0.44999972431458701</v>
      </c>
      <c r="BE27" s="13"/>
      <c r="BF27" s="13" t="s">
        <v>31</v>
      </c>
      <c r="BG27" s="13"/>
      <c r="BH27" s="13"/>
      <c r="BI27" s="38">
        <v>888694</v>
      </c>
      <c r="BJ27" s="8">
        <f>+H27-BI27</f>
        <v>380869</v>
      </c>
      <c r="BK27" s="13"/>
      <c r="BL27" s="9">
        <f>+BJ27/H27</f>
        <v>0.30000007876726087</v>
      </c>
      <c r="BM27" s="13"/>
      <c r="BN27" s="13" t="s">
        <v>31</v>
      </c>
      <c r="BO27" s="13"/>
      <c r="BP27" s="13"/>
      <c r="BQ27" s="38">
        <v>888694</v>
      </c>
      <c r="BR27" s="13">
        <v>0</v>
      </c>
      <c r="BS27" s="13"/>
      <c r="BT27" s="13">
        <v>0</v>
      </c>
      <c r="BU27" s="13"/>
      <c r="BV27" s="13" t="s">
        <v>31</v>
      </c>
      <c r="BW27" s="13"/>
      <c r="BX27" s="13"/>
      <c r="BY27" s="38">
        <v>888694</v>
      </c>
      <c r="BZ27" s="13">
        <v>0</v>
      </c>
      <c r="CA27" s="13"/>
      <c r="CB27" s="13">
        <v>0</v>
      </c>
      <c r="CC27" s="13"/>
      <c r="CD27" s="13" t="s">
        <v>31</v>
      </c>
      <c r="CE27" s="13"/>
      <c r="CF27" s="13"/>
    </row>
    <row r="28" spans="1:84" ht="15.75" x14ac:dyDescent="0.25">
      <c r="A28" s="1" t="s">
        <v>147</v>
      </c>
      <c r="B28" s="25" t="s">
        <v>587</v>
      </c>
      <c r="C28" s="14">
        <v>6776</v>
      </c>
      <c r="D28" s="21">
        <v>204984</v>
      </c>
      <c r="E28" s="17" t="s">
        <v>588</v>
      </c>
      <c r="F28" s="18" t="s">
        <v>589</v>
      </c>
      <c r="G28" s="38">
        <v>1535882</v>
      </c>
      <c r="H28" s="38">
        <v>1551239</v>
      </c>
      <c r="I28" s="8">
        <f t="shared" si="0"/>
        <v>15357</v>
      </c>
      <c r="J28" s="9">
        <f t="shared" si="1"/>
        <v>9.9988150131325188E-3</v>
      </c>
      <c r="K28" s="11">
        <v>864634</v>
      </c>
      <c r="L28" s="11">
        <f t="shared" si="12"/>
        <v>686605</v>
      </c>
      <c r="M28" s="11"/>
      <c r="N28" s="9">
        <f t="shared" si="2"/>
        <v>0.44261715957373426</v>
      </c>
      <c r="O28" s="13"/>
      <c r="P28" s="13" t="s">
        <v>46</v>
      </c>
      <c r="Q28" s="13"/>
      <c r="R28" s="13" t="s">
        <v>31</v>
      </c>
      <c r="S28" s="72" t="s">
        <v>83</v>
      </c>
      <c r="T28" s="42">
        <v>864634</v>
      </c>
      <c r="U28" s="43">
        <f t="shared" si="9"/>
        <v>686605</v>
      </c>
      <c r="V28" s="13"/>
      <c r="W28" s="9">
        <f>+U28/H28</f>
        <v>0.44261715957373426</v>
      </c>
      <c r="X28" s="13" t="s">
        <v>46</v>
      </c>
      <c r="Y28" s="13"/>
      <c r="Z28" s="13" t="s">
        <v>31</v>
      </c>
      <c r="AA28" s="75" t="s">
        <v>83</v>
      </c>
      <c r="AB28" s="38">
        <v>673048</v>
      </c>
      <c r="AC28" s="8">
        <f>+K28-AB28</f>
        <v>191586</v>
      </c>
      <c r="AD28" s="13"/>
      <c r="AE28" s="9">
        <f>+AC28/H28</f>
        <v>0.12350514653125663</v>
      </c>
      <c r="AF28" s="13" t="s">
        <v>46</v>
      </c>
      <c r="AG28" s="13"/>
      <c r="AH28" s="13" t="s">
        <v>31</v>
      </c>
      <c r="AI28" s="72" t="s">
        <v>47</v>
      </c>
      <c r="AJ28" s="19">
        <v>1900003573</v>
      </c>
      <c r="AK28" s="38">
        <f>673048+878191</f>
        <v>1551239</v>
      </c>
      <c r="AL28" s="8">
        <f t="shared" si="10"/>
        <v>0</v>
      </c>
      <c r="AM28" s="13"/>
      <c r="AN28" s="9">
        <f t="shared" si="11"/>
        <v>0</v>
      </c>
      <c r="AO28" s="13"/>
      <c r="AP28" s="13"/>
      <c r="AQ28" s="13"/>
      <c r="AR28" s="19"/>
      <c r="AS28" s="38">
        <f>673048+878191</f>
        <v>1551239</v>
      </c>
      <c r="AT28" s="8">
        <f>+H28-AS28</f>
        <v>0</v>
      </c>
      <c r="AU28" s="13"/>
      <c r="AV28" s="13">
        <v>0</v>
      </c>
      <c r="AW28" s="13"/>
      <c r="AX28" s="13"/>
      <c r="AY28" s="13"/>
      <c r="AZ28" s="79"/>
      <c r="BA28" s="38">
        <f>673048+878191</f>
        <v>1551239</v>
      </c>
      <c r="BB28" s="13">
        <v>0</v>
      </c>
      <c r="BC28" s="13"/>
      <c r="BD28" s="13">
        <v>0</v>
      </c>
      <c r="BE28" s="13"/>
      <c r="BF28" s="13"/>
      <c r="BG28" s="13"/>
      <c r="BH28" s="13"/>
      <c r="BI28" s="38">
        <v>1551239</v>
      </c>
      <c r="BJ28" s="13">
        <v>0</v>
      </c>
      <c r="BK28" s="13"/>
      <c r="BL28" s="13">
        <v>0</v>
      </c>
      <c r="BM28" s="13"/>
      <c r="BN28" s="13" t="s">
        <v>31</v>
      </c>
      <c r="BO28" s="13"/>
      <c r="BP28" s="13"/>
      <c r="BQ28" s="38">
        <f>878191+673048</f>
        <v>1551239</v>
      </c>
      <c r="BR28" s="13">
        <v>0</v>
      </c>
      <c r="BS28" s="13"/>
      <c r="BT28" s="13">
        <v>0</v>
      </c>
      <c r="BU28" s="13"/>
      <c r="BV28" s="13" t="s">
        <v>31</v>
      </c>
      <c r="BW28" s="13"/>
      <c r="BX28" s="13"/>
      <c r="BY28" s="38">
        <f>673048+878191</f>
        <v>1551239</v>
      </c>
      <c r="BZ28" s="13">
        <v>0</v>
      </c>
      <c r="CA28" s="13"/>
      <c r="CB28" s="13">
        <v>0</v>
      </c>
      <c r="CC28" s="13"/>
      <c r="CD28" s="13" t="s">
        <v>31</v>
      </c>
      <c r="CE28" s="13"/>
      <c r="CF28" s="13"/>
    </row>
    <row r="29" spans="1:84" x14ac:dyDescent="0.25">
      <c r="A29" s="1" t="s">
        <v>152</v>
      </c>
      <c r="B29" s="25" t="s">
        <v>590</v>
      </c>
      <c r="C29" s="14">
        <v>8580</v>
      </c>
      <c r="D29" s="21">
        <v>205547</v>
      </c>
      <c r="E29" s="17" t="s">
        <v>208</v>
      </c>
      <c r="F29" s="18" t="s">
        <v>591</v>
      </c>
      <c r="G29" s="38">
        <v>1867921</v>
      </c>
      <c r="H29" s="38">
        <v>1814237</v>
      </c>
      <c r="I29" s="8">
        <f t="shared" si="0"/>
        <v>-53684</v>
      </c>
      <c r="J29" s="9">
        <f t="shared" si="1"/>
        <v>-2.8739973478535762E-2</v>
      </c>
      <c r="K29" s="11">
        <v>1295193</v>
      </c>
      <c r="L29" s="11">
        <f t="shared" si="12"/>
        <v>519044</v>
      </c>
      <c r="M29" s="11"/>
      <c r="N29" s="9">
        <f t="shared" si="2"/>
        <v>0.2860949258558832</v>
      </c>
      <c r="O29" s="13"/>
      <c r="P29" s="13" t="s">
        <v>46</v>
      </c>
      <c r="Q29" s="13"/>
      <c r="R29" s="13" t="s">
        <v>31</v>
      </c>
      <c r="S29" s="72"/>
      <c r="T29" s="38">
        <f>101807+81694</f>
        <v>183501</v>
      </c>
      <c r="U29" s="8">
        <f t="shared" si="9"/>
        <v>1630736</v>
      </c>
      <c r="V29" s="13"/>
      <c r="W29" s="9">
        <f>+U29/H29</f>
        <v>0.89885500075238245</v>
      </c>
      <c r="X29" s="13" t="s">
        <v>46</v>
      </c>
      <c r="Y29" s="13"/>
      <c r="Z29" s="13" t="s">
        <v>31</v>
      </c>
      <c r="AA29" s="3"/>
      <c r="AB29" s="38">
        <v>1373975</v>
      </c>
      <c r="AC29" s="8">
        <f t="shared" ref="AC29:AC35" si="13">+H29-AB29</f>
        <v>440262</v>
      </c>
      <c r="AD29" s="13"/>
      <c r="AE29" s="9">
        <f>+AC29/H29</f>
        <v>0.24267061028961487</v>
      </c>
      <c r="AF29" s="13"/>
      <c r="AG29" s="13"/>
      <c r="AH29" s="13" t="s">
        <v>31</v>
      </c>
      <c r="AI29" s="3"/>
      <c r="AJ29" s="50">
        <v>1900003469</v>
      </c>
      <c r="AK29" s="38">
        <v>1306908</v>
      </c>
      <c r="AL29" s="8">
        <f t="shared" si="10"/>
        <v>507329</v>
      </c>
      <c r="AM29" s="13"/>
      <c r="AN29" s="9">
        <f t="shared" si="11"/>
        <v>0.27963766586173694</v>
      </c>
      <c r="AO29" s="13"/>
      <c r="AP29" s="13" t="s">
        <v>31</v>
      </c>
      <c r="AQ29" s="13"/>
      <c r="AR29" s="19">
        <v>1900003821</v>
      </c>
      <c r="AS29" s="38">
        <v>1774237</v>
      </c>
      <c r="AT29" s="8">
        <f>++H29-AS29</f>
        <v>40000</v>
      </c>
      <c r="AU29" s="13"/>
      <c r="AV29" s="9">
        <f>+AT29/H29</f>
        <v>2.2047836087567392E-2</v>
      </c>
      <c r="AW29" s="13"/>
      <c r="AX29" s="13" t="s">
        <v>31</v>
      </c>
      <c r="AY29" s="13"/>
      <c r="AZ29" s="78">
        <v>1900004297</v>
      </c>
      <c r="BA29" s="38">
        <f>178609+158496</f>
        <v>337105</v>
      </c>
      <c r="BB29" s="8">
        <f>+H29-BA29</f>
        <v>1477132</v>
      </c>
      <c r="BC29" s="13"/>
      <c r="BD29" s="9">
        <f>+BB29/H29</f>
        <v>0.81418910539251488</v>
      </c>
      <c r="BE29" s="13"/>
      <c r="BF29" s="13" t="s">
        <v>31</v>
      </c>
      <c r="BG29" s="13"/>
      <c r="BH29" s="13"/>
      <c r="BI29" s="38">
        <v>1774237</v>
      </c>
      <c r="BJ29" s="8">
        <f>+H29-BI29</f>
        <v>40000</v>
      </c>
      <c r="BK29" s="13"/>
      <c r="BL29" s="13">
        <v>0</v>
      </c>
      <c r="BM29" s="13"/>
      <c r="BN29" s="13" t="s">
        <v>31</v>
      </c>
      <c r="BO29" s="13"/>
      <c r="BP29" s="13"/>
      <c r="BQ29" s="38">
        <f>940047+834190</f>
        <v>1774237</v>
      </c>
      <c r="BR29" s="13">
        <v>0</v>
      </c>
      <c r="BS29" s="13"/>
      <c r="BT29" s="13">
        <v>0</v>
      </c>
      <c r="BU29" s="13"/>
      <c r="BV29" s="13" t="s">
        <v>31</v>
      </c>
      <c r="BW29" s="13"/>
      <c r="BX29" s="13"/>
      <c r="BY29" s="38">
        <f>940047+834190</f>
        <v>1774237</v>
      </c>
      <c r="BZ29" s="13">
        <v>0</v>
      </c>
      <c r="CA29" s="13"/>
      <c r="CB29" s="13">
        <v>0</v>
      </c>
      <c r="CC29" s="13"/>
      <c r="CD29" s="13" t="s">
        <v>31</v>
      </c>
      <c r="CE29" s="13"/>
      <c r="CF29" s="13"/>
    </row>
    <row r="30" spans="1:84" x14ac:dyDescent="0.25">
      <c r="A30" s="1" t="s">
        <v>156</v>
      </c>
      <c r="B30" s="25" t="s">
        <v>592</v>
      </c>
      <c r="C30" s="14">
        <v>8581</v>
      </c>
      <c r="D30" s="21">
        <v>204996</v>
      </c>
      <c r="E30" s="17" t="s">
        <v>159</v>
      </c>
      <c r="F30" s="18" t="s">
        <v>593</v>
      </c>
      <c r="G30" s="38">
        <v>1412233</v>
      </c>
      <c r="H30" s="38">
        <v>1412233</v>
      </c>
      <c r="I30" s="8">
        <f t="shared" si="0"/>
        <v>0</v>
      </c>
      <c r="J30" s="8">
        <f t="shared" si="1"/>
        <v>0</v>
      </c>
      <c r="K30" s="11">
        <v>1412233</v>
      </c>
      <c r="L30" s="11">
        <f t="shared" si="12"/>
        <v>0</v>
      </c>
      <c r="M30" s="11"/>
      <c r="N30" s="8">
        <f t="shared" si="2"/>
        <v>0</v>
      </c>
      <c r="O30" s="13"/>
      <c r="P30" s="13"/>
      <c r="Q30" s="13"/>
      <c r="R30" s="13"/>
      <c r="S30" s="72"/>
      <c r="T30" s="38">
        <v>1412233</v>
      </c>
      <c r="U30" s="13">
        <v>0</v>
      </c>
      <c r="V30" s="13"/>
      <c r="W30" s="13">
        <v>0</v>
      </c>
      <c r="X30" s="13"/>
      <c r="Y30" s="13"/>
      <c r="Z30" s="13"/>
      <c r="AA30" s="3"/>
      <c r="AB30" s="38">
        <v>706116</v>
      </c>
      <c r="AC30" s="8">
        <f t="shared" si="13"/>
        <v>706117</v>
      </c>
      <c r="AD30" s="13"/>
      <c r="AE30" s="9">
        <f>+AC30/H30</f>
        <v>0.5000003540492256</v>
      </c>
      <c r="AF30" s="13"/>
      <c r="AG30" s="13"/>
      <c r="AH30" s="13"/>
      <c r="AI30" s="3"/>
      <c r="AJ30" s="19">
        <v>1900003700</v>
      </c>
      <c r="AK30" s="38">
        <v>1412233</v>
      </c>
      <c r="AL30" s="8">
        <f t="shared" si="10"/>
        <v>0</v>
      </c>
      <c r="AM30" s="13"/>
      <c r="AN30" s="9">
        <f t="shared" si="11"/>
        <v>0</v>
      </c>
      <c r="AO30" s="13"/>
      <c r="AP30" s="13" t="s">
        <v>31</v>
      </c>
      <c r="AQ30" s="13"/>
      <c r="AR30" s="19">
        <v>1900003920</v>
      </c>
      <c r="AS30" s="8">
        <f>+AK30</f>
        <v>1412233</v>
      </c>
      <c r="AT30" s="13">
        <v>0</v>
      </c>
      <c r="AU30" s="13"/>
      <c r="AV30" s="13">
        <v>0</v>
      </c>
      <c r="AW30" s="13"/>
      <c r="AX30" s="13" t="s">
        <v>31</v>
      </c>
      <c r="AY30" s="13"/>
      <c r="AZ30" s="80">
        <v>1900004473</v>
      </c>
      <c r="BA30" s="13"/>
      <c r="BB30" s="13"/>
      <c r="BC30" s="13"/>
      <c r="BD30" s="13"/>
      <c r="BE30" s="13"/>
      <c r="BF30" s="13"/>
      <c r="BG30" s="13"/>
      <c r="BH30" s="13"/>
      <c r="BI30" s="38">
        <v>1412233</v>
      </c>
      <c r="BJ30" s="13">
        <v>0</v>
      </c>
      <c r="BK30" s="13"/>
      <c r="BL30" s="13">
        <v>0</v>
      </c>
      <c r="BM30" s="13"/>
      <c r="BN30" s="13" t="s">
        <v>31</v>
      </c>
      <c r="BO30" s="13"/>
      <c r="BP30" s="13"/>
      <c r="BQ30" s="38">
        <v>1412233</v>
      </c>
      <c r="BR30" s="13">
        <v>0</v>
      </c>
      <c r="BS30" s="13"/>
      <c r="BT30" s="13">
        <v>0</v>
      </c>
      <c r="BU30" s="13"/>
      <c r="BV30" s="13" t="s">
        <v>31</v>
      </c>
      <c r="BW30" s="13"/>
      <c r="BX30" s="13"/>
      <c r="BY30" s="38">
        <v>1412233</v>
      </c>
      <c r="BZ30" s="13">
        <v>0</v>
      </c>
      <c r="CA30" s="13"/>
      <c r="CB30" s="13">
        <v>0</v>
      </c>
      <c r="CC30" s="13"/>
      <c r="CD30" s="13" t="s">
        <v>31</v>
      </c>
      <c r="CE30" s="13"/>
      <c r="CF30" s="13"/>
    </row>
    <row r="31" spans="1:84" x14ac:dyDescent="0.25">
      <c r="A31" s="1" t="s">
        <v>161</v>
      </c>
      <c r="B31" s="25" t="s">
        <v>594</v>
      </c>
      <c r="C31" s="14">
        <v>8582</v>
      </c>
      <c r="D31" s="21">
        <v>205022</v>
      </c>
      <c r="E31" s="17" t="s">
        <v>595</v>
      </c>
      <c r="F31" s="18" t="s">
        <v>596</v>
      </c>
      <c r="G31" s="38">
        <v>615776</v>
      </c>
      <c r="H31" s="38">
        <v>615776</v>
      </c>
      <c r="I31" s="8">
        <f t="shared" si="0"/>
        <v>0</v>
      </c>
      <c r="J31" s="8">
        <f t="shared" si="1"/>
        <v>0</v>
      </c>
      <c r="K31" s="11"/>
      <c r="L31" s="11"/>
      <c r="M31" s="11">
        <v>49262</v>
      </c>
      <c r="N31" s="8">
        <f t="shared" si="2"/>
        <v>7.9999870082627447E-2</v>
      </c>
      <c r="O31" s="13"/>
      <c r="P31" s="13"/>
      <c r="Q31" s="13"/>
      <c r="R31" s="13"/>
      <c r="S31" s="72"/>
      <c r="T31" s="38">
        <v>246310</v>
      </c>
      <c r="U31" s="8">
        <f t="shared" ref="U31:U36" si="14">+H31-T31</f>
        <v>369466</v>
      </c>
      <c r="V31" s="13"/>
      <c r="W31" s="9">
        <f t="shared" ref="W31:W36" si="15">+U31/H31</f>
        <v>0.60000064958686272</v>
      </c>
      <c r="X31" s="13" t="s">
        <v>46</v>
      </c>
      <c r="Y31" s="13"/>
      <c r="Z31" s="13" t="s">
        <v>31</v>
      </c>
      <c r="AA31" s="72" t="s">
        <v>47</v>
      </c>
      <c r="AB31" s="38">
        <v>246310</v>
      </c>
      <c r="AC31" s="8">
        <f t="shared" si="13"/>
        <v>369466</v>
      </c>
      <c r="AD31" s="13"/>
      <c r="AE31" s="9">
        <f>+AC31/H31</f>
        <v>0.60000064958686272</v>
      </c>
      <c r="AF31" s="13"/>
      <c r="AG31" s="13"/>
      <c r="AH31" s="13" t="s">
        <v>31</v>
      </c>
      <c r="AI31" s="3"/>
      <c r="AJ31" s="50">
        <v>1900003433</v>
      </c>
      <c r="AK31" s="38">
        <v>246310</v>
      </c>
      <c r="AL31" s="8">
        <f t="shared" si="10"/>
        <v>369466</v>
      </c>
      <c r="AM31" s="13"/>
      <c r="AN31" s="9">
        <f t="shared" si="11"/>
        <v>0.60000064958686272</v>
      </c>
      <c r="AO31" s="13"/>
      <c r="AP31" s="13" t="s">
        <v>31</v>
      </c>
      <c r="AQ31" s="13"/>
      <c r="AR31" s="19">
        <v>1900003881</v>
      </c>
      <c r="AS31" s="38">
        <v>615776</v>
      </c>
      <c r="AT31" s="8">
        <f>+H31-AS31</f>
        <v>0</v>
      </c>
      <c r="AU31" s="13"/>
      <c r="AV31" s="13">
        <v>0</v>
      </c>
      <c r="AW31" s="13"/>
      <c r="AX31" s="13" t="s">
        <v>31</v>
      </c>
      <c r="AY31" s="13"/>
      <c r="AZ31" s="78">
        <v>1900004324</v>
      </c>
      <c r="BA31" s="38">
        <v>615776</v>
      </c>
      <c r="BB31" s="8">
        <f>+H31-BA31</f>
        <v>0</v>
      </c>
      <c r="BC31" s="13"/>
      <c r="BD31" s="13">
        <v>0</v>
      </c>
      <c r="BE31" s="13"/>
      <c r="BF31" s="13" t="s">
        <v>31</v>
      </c>
      <c r="BG31" s="13"/>
      <c r="BH31" s="13"/>
      <c r="BI31" s="13"/>
      <c r="BJ31" s="13"/>
      <c r="BK31" s="13"/>
      <c r="BL31" s="13"/>
      <c r="BM31" s="13"/>
      <c r="BN31" s="13"/>
      <c r="BO31" s="13"/>
      <c r="BP31" s="13"/>
      <c r="BQ31" s="38">
        <v>431043</v>
      </c>
      <c r="BR31" s="13">
        <v>0</v>
      </c>
      <c r="BS31" s="13"/>
      <c r="BT31" s="13">
        <v>0</v>
      </c>
      <c r="BU31" s="13"/>
      <c r="BV31" s="13" t="s">
        <v>31</v>
      </c>
      <c r="BW31" s="13"/>
      <c r="BX31" s="13"/>
      <c r="BY31" s="13"/>
      <c r="BZ31" s="13"/>
      <c r="CA31" s="13"/>
      <c r="CB31" s="13"/>
      <c r="CC31" s="13"/>
      <c r="CD31" s="13"/>
      <c r="CE31" s="13"/>
      <c r="CF31" s="13"/>
    </row>
    <row r="32" spans="1:84" x14ac:dyDescent="0.25">
      <c r="A32" s="1" t="s">
        <v>166</v>
      </c>
      <c r="B32" s="25" t="s">
        <v>597</v>
      </c>
      <c r="C32" s="14">
        <v>8583</v>
      </c>
      <c r="D32" s="21">
        <v>206169</v>
      </c>
      <c r="E32" s="17" t="s">
        <v>598</v>
      </c>
      <c r="F32" s="18" t="s">
        <v>599</v>
      </c>
      <c r="G32" s="38">
        <v>1400500</v>
      </c>
      <c r="H32" s="38">
        <v>1400550</v>
      </c>
      <c r="I32" s="8">
        <f t="shared" si="0"/>
        <v>50</v>
      </c>
      <c r="J32" s="9">
        <f t="shared" si="1"/>
        <v>3.5701535166012142E-5</v>
      </c>
      <c r="K32" s="11">
        <v>1400550</v>
      </c>
      <c r="L32" s="11"/>
      <c r="M32" s="11"/>
      <c r="N32" s="8">
        <f t="shared" si="2"/>
        <v>0</v>
      </c>
      <c r="O32" s="13"/>
      <c r="P32" s="13" t="s">
        <v>38</v>
      </c>
      <c r="Q32" s="13"/>
      <c r="R32" s="13" t="s">
        <v>31</v>
      </c>
      <c r="S32" s="72" t="s">
        <v>55</v>
      </c>
      <c r="T32" s="38">
        <v>1120440</v>
      </c>
      <c r="U32" s="8">
        <f t="shared" si="14"/>
        <v>280110</v>
      </c>
      <c r="V32" s="13"/>
      <c r="W32" s="9">
        <f t="shared" si="15"/>
        <v>0.2</v>
      </c>
      <c r="X32" s="13" t="s">
        <v>46</v>
      </c>
      <c r="Y32" s="13"/>
      <c r="Z32" s="13" t="s">
        <v>31</v>
      </c>
      <c r="AA32" s="72" t="s">
        <v>47</v>
      </c>
      <c r="AB32" s="38">
        <v>1120440</v>
      </c>
      <c r="AC32" s="8">
        <f t="shared" si="13"/>
        <v>280110</v>
      </c>
      <c r="AD32" s="13"/>
      <c r="AE32" s="9">
        <f>+AC32/H32</f>
        <v>0.2</v>
      </c>
      <c r="AF32" s="13"/>
      <c r="AG32" s="13"/>
      <c r="AH32" s="13" t="s">
        <v>31</v>
      </c>
      <c r="AI32" s="3"/>
      <c r="AJ32" s="50">
        <v>1900003396</v>
      </c>
      <c r="AK32" s="38">
        <v>1400550</v>
      </c>
      <c r="AL32" s="8">
        <f t="shared" si="10"/>
        <v>0</v>
      </c>
      <c r="AM32" s="13"/>
      <c r="AN32" s="9">
        <f t="shared" si="11"/>
        <v>0</v>
      </c>
      <c r="AO32" s="13"/>
      <c r="AP32" s="13" t="s">
        <v>31</v>
      </c>
      <c r="AQ32" s="13"/>
      <c r="AR32" s="19">
        <v>1900003802</v>
      </c>
      <c r="AS32" s="38">
        <v>1260495</v>
      </c>
      <c r="AT32" s="8">
        <f>+H32-AS32</f>
        <v>140055</v>
      </c>
      <c r="AU32" s="13"/>
      <c r="AV32" s="9">
        <f>+AT32/H32</f>
        <v>0.1</v>
      </c>
      <c r="AW32" s="13"/>
      <c r="AX32" s="13" t="s">
        <v>31</v>
      </c>
      <c r="AY32" s="13"/>
      <c r="AZ32" s="79">
        <v>1900004192</v>
      </c>
      <c r="BA32" s="38">
        <v>1260465</v>
      </c>
      <c r="BB32" s="8">
        <f>+H32-BA32</f>
        <v>140085</v>
      </c>
      <c r="BC32" s="13"/>
      <c r="BD32" s="9">
        <f>+BB32/H32</f>
        <v>0.10002142015636714</v>
      </c>
      <c r="BE32" s="13"/>
      <c r="BF32" s="13" t="s">
        <v>31</v>
      </c>
      <c r="BG32" s="13"/>
      <c r="BH32" s="13"/>
      <c r="BI32" s="13"/>
      <c r="BJ32" s="13"/>
      <c r="BK32" s="13"/>
      <c r="BL32" s="13"/>
      <c r="BM32" s="13"/>
      <c r="BN32" s="13"/>
      <c r="BO32" s="13"/>
      <c r="BP32" s="13"/>
      <c r="BQ32" s="38">
        <v>1400550</v>
      </c>
      <c r="BR32" s="8">
        <f>+H32-BQ32</f>
        <v>0</v>
      </c>
      <c r="BS32" s="13"/>
      <c r="BT32" s="13">
        <v>0</v>
      </c>
      <c r="BU32" s="13"/>
      <c r="BV32" s="13" t="s">
        <v>31</v>
      </c>
      <c r="BW32" s="13"/>
      <c r="BX32" s="13"/>
      <c r="BY32" s="38">
        <v>1400550</v>
      </c>
      <c r="BZ32" s="13">
        <v>0</v>
      </c>
      <c r="CA32" s="13"/>
      <c r="CB32" s="13">
        <v>0</v>
      </c>
      <c r="CC32" s="13"/>
      <c r="CD32" s="13" t="s">
        <v>31</v>
      </c>
      <c r="CE32" s="13"/>
      <c r="CF32" s="13"/>
    </row>
    <row r="33" spans="1:84" x14ac:dyDescent="0.25">
      <c r="A33" s="1" t="s">
        <v>172</v>
      </c>
      <c r="B33" s="25" t="s">
        <v>600</v>
      </c>
      <c r="C33" s="44">
        <v>8584</v>
      </c>
      <c r="D33" s="21">
        <v>206207</v>
      </c>
      <c r="E33" s="17" t="s">
        <v>601</v>
      </c>
      <c r="F33" s="18" t="s">
        <v>602</v>
      </c>
      <c r="G33" s="38">
        <v>1284368</v>
      </c>
      <c r="H33" s="38">
        <v>1284368</v>
      </c>
      <c r="I33" s="8">
        <f t="shared" si="0"/>
        <v>0</v>
      </c>
      <c r="J33" s="8">
        <f t="shared" si="1"/>
        <v>0</v>
      </c>
      <c r="K33" s="11">
        <v>1600449</v>
      </c>
      <c r="L33" s="11">
        <v>939947</v>
      </c>
      <c r="M33" s="11"/>
      <c r="N33" s="9">
        <f t="shared" si="2"/>
        <v>0.73183620270825811</v>
      </c>
      <c r="O33" s="13"/>
      <c r="P33" s="13" t="s">
        <v>46</v>
      </c>
      <c r="Q33" s="13"/>
      <c r="R33" s="13" t="s">
        <v>31</v>
      </c>
      <c r="S33" s="72"/>
      <c r="T33" s="38">
        <v>1320921</v>
      </c>
      <c r="U33" s="8">
        <f t="shared" si="14"/>
        <v>-36553</v>
      </c>
      <c r="V33" s="13"/>
      <c r="W33" s="9">
        <f t="shared" si="15"/>
        <v>-2.8459911800979159E-2</v>
      </c>
      <c r="X33" s="13" t="s">
        <v>38</v>
      </c>
      <c r="Y33" s="13" t="s">
        <v>790</v>
      </c>
      <c r="Z33" s="13" t="s">
        <v>31</v>
      </c>
      <c r="AA33" s="72" t="s">
        <v>47</v>
      </c>
      <c r="AB33" s="38">
        <v>1320921</v>
      </c>
      <c r="AC33" s="8">
        <f t="shared" si="13"/>
        <v>-36553</v>
      </c>
      <c r="AD33" s="13"/>
      <c r="AE33" s="63">
        <v>-0.03</v>
      </c>
      <c r="AF33" s="13"/>
      <c r="AG33" s="13"/>
      <c r="AH33" s="13" t="s">
        <v>31</v>
      </c>
      <c r="AI33" s="3"/>
      <c r="AJ33" s="50">
        <v>1900003550</v>
      </c>
      <c r="AK33" s="38">
        <v>1320921</v>
      </c>
      <c r="AL33" s="13">
        <v>0</v>
      </c>
      <c r="AM33" s="13"/>
      <c r="AN33" s="13">
        <v>0</v>
      </c>
      <c r="AO33" s="13"/>
      <c r="AP33" s="13"/>
      <c r="AQ33" s="13"/>
      <c r="AR33" s="19"/>
      <c r="AS33" s="38">
        <v>1320921</v>
      </c>
      <c r="AT33" s="13">
        <v>0</v>
      </c>
      <c r="AU33" s="13"/>
      <c r="AV33" s="13">
        <v>0</v>
      </c>
      <c r="AW33" s="13"/>
      <c r="AX33" s="13"/>
      <c r="AY33" s="13"/>
      <c r="AZ33" s="79"/>
      <c r="BA33" s="38">
        <v>1320921</v>
      </c>
      <c r="BB33" s="13">
        <v>0</v>
      </c>
      <c r="BC33" s="13"/>
      <c r="BD33" s="13">
        <v>0</v>
      </c>
      <c r="BE33" s="13"/>
      <c r="BF33" s="13" t="s">
        <v>31</v>
      </c>
      <c r="BG33" s="13"/>
      <c r="BH33" s="13"/>
      <c r="BI33" s="38">
        <v>1320921</v>
      </c>
      <c r="BJ33" s="13">
        <v>0</v>
      </c>
      <c r="BK33" s="38">
        <v>845390</v>
      </c>
      <c r="BL33" s="9">
        <f>+BK33/BI33</f>
        <v>0.64000042394662515</v>
      </c>
      <c r="BM33" s="13"/>
      <c r="BN33" s="13" t="s">
        <v>31</v>
      </c>
      <c r="BO33" s="13"/>
      <c r="BP33" s="13"/>
      <c r="BQ33" s="38">
        <v>974506</v>
      </c>
      <c r="BR33" s="13">
        <v>0</v>
      </c>
      <c r="BS33" s="13"/>
      <c r="BT33" s="13">
        <v>0</v>
      </c>
      <c r="BU33" s="13"/>
      <c r="BV33" s="13" t="s">
        <v>31</v>
      </c>
      <c r="BW33" s="13"/>
      <c r="BX33" s="13"/>
      <c r="BY33" s="38">
        <v>974506</v>
      </c>
      <c r="BZ33" s="13">
        <v>0</v>
      </c>
      <c r="CA33" s="13"/>
      <c r="CB33" s="13">
        <v>0</v>
      </c>
      <c r="CC33" s="13"/>
      <c r="CD33" s="13" t="s">
        <v>31</v>
      </c>
      <c r="CE33" s="13"/>
      <c r="CF33" s="13"/>
    </row>
    <row r="34" spans="1:84" x14ac:dyDescent="0.25">
      <c r="A34" s="1" t="s">
        <v>177</v>
      </c>
      <c r="B34" s="25" t="s">
        <v>603</v>
      </c>
      <c r="C34" s="14">
        <v>8585</v>
      </c>
      <c r="D34" s="21">
        <v>205016</v>
      </c>
      <c r="E34" s="17" t="s">
        <v>604</v>
      </c>
      <c r="F34" s="18" t="s">
        <v>605</v>
      </c>
      <c r="G34" s="38">
        <v>1669376</v>
      </c>
      <c r="H34" s="70">
        <v>1698391</v>
      </c>
      <c r="I34" s="8">
        <f t="shared" si="0"/>
        <v>29015</v>
      </c>
      <c r="J34" s="9">
        <f t="shared" si="1"/>
        <v>1.7380745859530748E-2</v>
      </c>
      <c r="K34" s="11">
        <v>1698391</v>
      </c>
      <c r="L34" s="11"/>
      <c r="M34" s="11"/>
      <c r="N34" s="8">
        <f t="shared" si="2"/>
        <v>0</v>
      </c>
      <c r="O34" s="13"/>
      <c r="P34" s="13" t="s">
        <v>38</v>
      </c>
      <c r="Q34" s="13"/>
      <c r="R34" s="13" t="s">
        <v>31</v>
      </c>
      <c r="S34" s="72"/>
      <c r="T34" s="38">
        <v>1358713</v>
      </c>
      <c r="U34" s="8">
        <f t="shared" si="14"/>
        <v>339678</v>
      </c>
      <c r="V34" s="13"/>
      <c r="W34" s="9">
        <f t="shared" si="15"/>
        <v>0.19999988224148621</v>
      </c>
      <c r="X34" s="13" t="s">
        <v>46</v>
      </c>
      <c r="Y34" s="13"/>
      <c r="Z34" s="13" t="s">
        <v>31</v>
      </c>
      <c r="AA34" s="3"/>
      <c r="AB34" s="38">
        <v>1358713</v>
      </c>
      <c r="AC34" s="8">
        <f t="shared" si="13"/>
        <v>339678</v>
      </c>
      <c r="AD34" s="13"/>
      <c r="AE34" s="9">
        <f>+AC34/H34</f>
        <v>0.19999988224148621</v>
      </c>
      <c r="AF34" s="13"/>
      <c r="AG34" s="13"/>
      <c r="AH34" s="13" t="s">
        <v>31</v>
      </c>
      <c r="AI34" s="3"/>
      <c r="AJ34" s="50">
        <v>1900003397</v>
      </c>
      <c r="AK34" s="38">
        <v>1698391</v>
      </c>
      <c r="AL34" s="8">
        <f>+H34-AK34</f>
        <v>0</v>
      </c>
      <c r="AM34" s="13"/>
      <c r="AN34" s="9">
        <f>+AL34/H34</f>
        <v>0</v>
      </c>
      <c r="AO34" s="13"/>
      <c r="AP34" s="13" t="s">
        <v>31</v>
      </c>
      <c r="AQ34" s="13"/>
      <c r="AR34" s="19">
        <v>1900003803</v>
      </c>
      <c r="AS34" s="38">
        <v>1528552</v>
      </c>
      <c r="AT34" s="8">
        <f>+H34-AS34</f>
        <v>169839</v>
      </c>
      <c r="AU34" s="13"/>
      <c r="AV34" s="9">
        <f>+AT34/H34</f>
        <v>9.9999941120743105E-2</v>
      </c>
      <c r="AW34" s="13"/>
      <c r="AX34" s="13" t="s">
        <v>31</v>
      </c>
      <c r="AY34" s="13"/>
      <c r="AZ34" s="79">
        <v>1900004196</v>
      </c>
      <c r="BA34" s="38">
        <v>1528552</v>
      </c>
      <c r="BB34" s="8">
        <f>+H34-BA34</f>
        <v>169839</v>
      </c>
      <c r="BC34" s="13"/>
      <c r="BD34" s="9">
        <f>+BB34/H34</f>
        <v>9.9999941120743105E-2</v>
      </c>
      <c r="BE34" s="13"/>
      <c r="BF34" s="13" t="s">
        <v>31</v>
      </c>
      <c r="BG34" s="13"/>
      <c r="BH34" s="13"/>
      <c r="BI34" s="38">
        <v>1698391</v>
      </c>
      <c r="BJ34" s="8">
        <f>+H34-BI34</f>
        <v>0</v>
      </c>
      <c r="BK34" s="13"/>
      <c r="BL34" s="13">
        <v>0</v>
      </c>
      <c r="BM34" s="13"/>
      <c r="BN34" s="13" t="s">
        <v>31</v>
      </c>
      <c r="BO34" s="13"/>
      <c r="BP34" s="13"/>
      <c r="BQ34" s="38">
        <v>1698391</v>
      </c>
      <c r="BR34" s="13">
        <v>0</v>
      </c>
      <c r="BS34" s="13"/>
      <c r="BT34" s="13">
        <v>0</v>
      </c>
      <c r="BU34" s="13"/>
      <c r="BV34" s="13" t="s">
        <v>31</v>
      </c>
      <c r="BW34" s="13"/>
      <c r="BX34" s="13"/>
      <c r="BY34" s="38">
        <v>1698391</v>
      </c>
      <c r="BZ34" s="13">
        <v>0</v>
      </c>
      <c r="CA34" s="13"/>
      <c r="CB34" s="13">
        <v>0</v>
      </c>
      <c r="CC34" s="13"/>
      <c r="CD34" s="13" t="s">
        <v>31</v>
      </c>
      <c r="CE34" s="13"/>
      <c r="CF34" s="13"/>
    </row>
    <row r="35" spans="1:84" x14ac:dyDescent="0.25">
      <c r="A35" s="1" t="s">
        <v>179</v>
      </c>
      <c r="B35" s="25" t="s">
        <v>606</v>
      </c>
      <c r="C35" s="14">
        <v>8714</v>
      </c>
      <c r="D35" s="21">
        <v>206202</v>
      </c>
      <c r="E35" s="17" t="s">
        <v>607</v>
      </c>
      <c r="F35" s="18" t="s">
        <v>605</v>
      </c>
      <c r="G35" s="38">
        <v>1029449</v>
      </c>
      <c r="H35" s="70">
        <v>1029449</v>
      </c>
      <c r="I35" s="8">
        <f t="shared" si="0"/>
        <v>0</v>
      </c>
      <c r="J35" s="8">
        <f t="shared" si="1"/>
        <v>0</v>
      </c>
      <c r="K35" s="11">
        <v>1068568</v>
      </c>
      <c r="L35" s="11"/>
      <c r="M35" s="11"/>
      <c r="N35" s="8">
        <f t="shared" si="2"/>
        <v>0</v>
      </c>
      <c r="O35" s="13"/>
      <c r="P35" s="13" t="s">
        <v>38</v>
      </c>
      <c r="Q35" s="13"/>
      <c r="R35" s="13" t="s">
        <v>31</v>
      </c>
      <c r="S35" s="72"/>
      <c r="T35" s="38">
        <v>854854</v>
      </c>
      <c r="U35" s="8">
        <f t="shared" si="14"/>
        <v>174595</v>
      </c>
      <c r="V35" s="13"/>
      <c r="W35" s="9">
        <f t="shared" si="15"/>
        <v>0.16960043673848826</v>
      </c>
      <c r="X35" s="13" t="s">
        <v>46</v>
      </c>
      <c r="Y35" s="13"/>
      <c r="Z35" s="13" t="s">
        <v>31</v>
      </c>
      <c r="AA35" s="3"/>
      <c r="AB35" s="38">
        <v>854854</v>
      </c>
      <c r="AC35" s="8">
        <f t="shared" si="13"/>
        <v>174595</v>
      </c>
      <c r="AD35" s="13"/>
      <c r="AE35" s="9">
        <f>+AC35/H35</f>
        <v>0.16960043673848826</v>
      </c>
      <c r="AF35" s="13"/>
      <c r="AG35" s="13"/>
      <c r="AH35" s="13" t="s">
        <v>31</v>
      </c>
      <c r="AI35" s="3"/>
      <c r="AJ35" s="50">
        <v>1900003398</v>
      </c>
      <c r="AK35" s="38">
        <v>1068568</v>
      </c>
      <c r="AL35" s="8">
        <f>+H35-AK35</f>
        <v>-39119</v>
      </c>
      <c r="AM35" s="13"/>
      <c r="AN35" s="9">
        <f>+AL35/H35</f>
        <v>-3.7999939773607043E-2</v>
      </c>
      <c r="AO35" s="13"/>
      <c r="AP35" s="13" t="s">
        <v>31</v>
      </c>
      <c r="AQ35" s="13"/>
      <c r="AR35" s="19">
        <v>1900003804</v>
      </c>
      <c r="AS35" s="38">
        <v>961711</v>
      </c>
      <c r="AT35" s="8">
        <f>+H35-AS35</f>
        <v>67738</v>
      </c>
      <c r="AU35" s="13"/>
      <c r="AV35" s="9">
        <f>+AT35/H35</f>
        <v>6.5800248482440607E-2</v>
      </c>
      <c r="AW35" s="13"/>
      <c r="AX35" s="13" t="s">
        <v>31</v>
      </c>
      <c r="AY35" s="13"/>
      <c r="AZ35" s="79">
        <v>1900004197</v>
      </c>
      <c r="BA35" s="38">
        <v>961711</v>
      </c>
      <c r="BB35" s="8">
        <f>+H35-BA35</f>
        <v>67738</v>
      </c>
      <c r="BC35" s="13"/>
      <c r="BD35" s="9">
        <f>+BB35/H35</f>
        <v>6.5800248482440607E-2</v>
      </c>
      <c r="BE35" s="13"/>
      <c r="BF35" s="13" t="s">
        <v>31</v>
      </c>
      <c r="BG35" s="13"/>
      <c r="BH35" s="13"/>
      <c r="BI35" s="38">
        <v>1068568</v>
      </c>
      <c r="BJ35" s="8">
        <f>+H35-BI35</f>
        <v>-39119</v>
      </c>
      <c r="BK35" s="13"/>
      <c r="BL35" s="13">
        <v>0</v>
      </c>
      <c r="BM35" s="13"/>
      <c r="BN35" s="13" t="s">
        <v>31</v>
      </c>
      <c r="BO35" s="13"/>
      <c r="BP35" s="13"/>
      <c r="BQ35" s="38">
        <v>1068568</v>
      </c>
      <c r="BR35" s="13">
        <v>0</v>
      </c>
      <c r="BS35" s="13"/>
      <c r="BT35" s="13">
        <v>0</v>
      </c>
      <c r="BU35" s="13"/>
      <c r="BV35" s="13" t="s">
        <v>31</v>
      </c>
      <c r="BW35" s="13"/>
      <c r="BX35" s="13"/>
      <c r="BY35" s="38">
        <v>1068568</v>
      </c>
      <c r="BZ35" s="13">
        <v>0</v>
      </c>
      <c r="CA35" s="13"/>
      <c r="CB35" s="13">
        <v>0</v>
      </c>
      <c r="CC35" s="13"/>
      <c r="CD35" s="13" t="s">
        <v>31</v>
      </c>
      <c r="CE35" s="13"/>
      <c r="CF35" s="13"/>
    </row>
    <row r="36" spans="1:84" x14ac:dyDescent="0.25">
      <c r="A36" s="1" t="s">
        <v>180</v>
      </c>
      <c r="B36" s="25" t="s">
        <v>608</v>
      </c>
      <c r="C36" s="23">
        <v>6570</v>
      </c>
      <c r="D36" s="21">
        <v>204620</v>
      </c>
      <c r="E36" s="17" t="s">
        <v>609</v>
      </c>
      <c r="F36" s="18" t="s">
        <v>610</v>
      </c>
      <c r="G36" s="38">
        <v>786581</v>
      </c>
      <c r="H36" s="38">
        <v>786581</v>
      </c>
      <c r="I36" s="8">
        <f t="shared" si="0"/>
        <v>0</v>
      </c>
      <c r="J36" s="8">
        <f t="shared" si="1"/>
        <v>0</v>
      </c>
      <c r="K36" s="11">
        <v>786581</v>
      </c>
      <c r="L36" s="11">
        <f>+H36-K36</f>
        <v>0</v>
      </c>
      <c r="M36" s="11"/>
      <c r="N36" s="8">
        <f t="shared" si="2"/>
        <v>0</v>
      </c>
      <c r="O36" s="13"/>
      <c r="P36" s="13" t="s">
        <v>38</v>
      </c>
      <c r="Q36" s="13" t="s">
        <v>236</v>
      </c>
      <c r="R36" s="13" t="s">
        <v>31</v>
      </c>
      <c r="S36" s="72" t="s">
        <v>55</v>
      </c>
      <c r="T36" s="42">
        <v>786581</v>
      </c>
      <c r="U36" s="43">
        <f t="shared" si="14"/>
        <v>0</v>
      </c>
      <c r="V36" s="13"/>
      <c r="W36" s="9">
        <f t="shared" si="15"/>
        <v>0</v>
      </c>
      <c r="X36" s="13" t="s">
        <v>38</v>
      </c>
      <c r="Y36" s="13" t="s">
        <v>236</v>
      </c>
      <c r="Z36" s="13" t="s">
        <v>31</v>
      </c>
      <c r="AA36" s="72" t="s">
        <v>55</v>
      </c>
      <c r="AB36" s="38">
        <f>+T36</f>
        <v>786581</v>
      </c>
      <c r="AC36" s="8">
        <f>+K36-AB36</f>
        <v>0</v>
      </c>
      <c r="AD36" s="13"/>
      <c r="AE36" s="9">
        <f>+AC36/H36</f>
        <v>0</v>
      </c>
      <c r="AF36" s="13" t="s">
        <v>38</v>
      </c>
      <c r="AG36" s="13"/>
      <c r="AH36" s="13" t="s">
        <v>31</v>
      </c>
      <c r="AI36" s="3"/>
      <c r="AJ36" s="49">
        <v>1900003195</v>
      </c>
      <c r="AK36" s="38">
        <v>786581</v>
      </c>
      <c r="AL36" s="13">
        <v>0</v>
      </c>
      <c r="AM36" s="13"/>
      <c r="AN36" s="13">
        <v>0</v>
      </c>
      <c r="AO36" s="13"/>
      <c r="AP36" s="13" t="s">
        <v>31</v>
      </c>
      <c r="AQ36" s="13"/>
      <c r="AR36" s="19"/>
      <c r="AS36" s="38">
        <v>786581</v>
      </c>
      <c r="AT36" s="13">
        <v>0</v>
      </c>
      <c r="AU36" s="13"/>
      <c r="AV36" s="13">
        <v>0</v>
      </c>
      <c r="AW36" s="13"/>
      <c r="AX36" s="13"/>
      <c r="AY36" s="13"/>
      <c r="AZ36" s="79"/>
      <c r="BA36" s="38">
        <v>786581</v>
      </c>
      <c r="BB36" s="8">
        <f>+H36-BA36</f>
        <v>0</v>
      </c>
      <c r="BC36" s="13"/>
      <c r="BD36" s="13">
        <v>0</v>
      </c>
      <c r="BE36" s="13"/>
      <c r="BF36" s="13" t="s">
        <v>31</v>
      </c>
      <c r="BG36" s="13"/>
      <c r="BH36" s="13"/>
      <c r="BI36" s="38">
        <v>786581</v>
      </c>
      <c r="BJ36" s="8">
        <f>+H36-BI36</f>
        <v>0</v>
      </c>
      <c r="BK36" s="13"/>
      <c r="BL36" s="13">
        <v>0</v>
      </c>
      <c r="BM36" s="13"/>
      <c r="BN36" s="13" t="s">
        <v>31</v>
      </c>
      <c r="BO36" s="13"/>
      <c r="BP36" s="13"/>
      <c r="BQ36" s="38">
        <v>786581</v>
      </c>
      <c r="BR36" s="13">
        <v>0</v>
      </c>
      <c r="BS36" s="13"/>
      <c r="BT36" s="13">
        <v>0</v>
      </c>
      <c r="BU36" s="13"/>
      <c r="BV36" s="13" t="s">
        <v>31</v>
      </c>
      <c r="BW36" s="13"/>
      <c r="BX36" s="13"/>
      <c r="BY36" s="38">
        <v>786581</v>
      </c>
      <c r="BZ36" s="13">
        <v>0</v>
      </c>
      <c r="CA36" s="13"/>
      <c r="CB36" s="13">
        <v>0</v>
      </c>
      <c r="CC36" s="13"/>
      <c r="CD36" s="13" t="s">
        <v>31</v>
      </c>
      <c r="CE36" s="13"/>
      <c r="CF36" s="13"/>
    </row>
    <row r="37" spans="1:84" x14ac:dyDescent="0.25">
      <c r="A37" s="1" t="s">
        <v>184</v>
      </c>
      <c r="B37" s="25" t="s">
        <v>611</v>
      </c>
      <c r="C37" s="14">
        <v>8712</v>
      </c>
      <c r="D37" s="21">
        <v>206377</v>
      </c>
      <c r="E37" s="17" t="s">
        <v>612</v>
      </c>
      <c r="F37" s="18" t="s">
        <v>613</v>
      </c>
      <c r="G37" s="38">
        <v>2121357</v>
      </c>
      <c r="H37" s="38">
        <v>2121357</v>
      </c>
      <c r="I37" s="8">
        <f t="shared" si="0"/>
        <v>0</v>
      </c>
      <c r="J37" s="8">
        <f t="shared" si="1"/>
        <v>0</v>
      </c>
      <c r="K37" s="11">
        <v>1947930</v>
      </c>
      <c r="L37" s="11">
        <f>+H37-K37</f>
        <v>173427</v>
      </c>
      <c r="M37" s="11"/>
      <c r="N37" s="10">
        <f t="shared" si="2"/>
        <v>8.1752859136863809E-2</v>
      </c>
      <c r="O37" s="13"/>
      <c r="P37" s="13"/>
      <c r="Q37" s="13" t="s">
        <v>791</v>
      </c>
      <c r="R37" s="13" t="s">
        <v>31</v>
      </c>
      <c r="S37" s="72" t="s">
        <v>55</v>
      </c>
      <c r="T37" s="13"/>
      <c r="U37" s="13"/>
      <c r="V37" s="13"/>
      <c r="W37" s="13"/>
      <c r="X37" s="13"/>
      <c r="Y37" s="13"/>
      <c r="Z37" s="13"/>
      <c r="AA37" s="3"/>
      <c r="AB37" s="38">
        <v>2078000</v>
      </c>
      <c r="AC37" s="8">
        <f>+H37-AB37</f>
        <v>43357</v>
      </c>
      <c r="AD37" s="13"/>
      <c r="AE37" s="9">
        <f>+AC37/H37</f>
        <v>2.0438332633309717E-2</v>
      </c>
      <c r="AF37" s="13"/>
      <c r="AG37" s="13"/>
      <c r="AH37" s="13" t="s">
        <v>31</v>
      </c>
      <c r="AI37" s="3"/>
      <c r="AJ37" s="50">
        <v>1900003470</v>
      </c>
      <c r="AK37" s="38">
        <v>2078000</v>
      </c>
      <c r="AL37" s="8">
        <f t="shared" ref="AL37:AL43" si="16">+H37-AK37</f>
        <v>43357</v>
      </c>
      <c r="AM37" s="13"/>
      <c r="AN37" s="9">
        <f t="shared" ref="AN37:AN42" si="17">+AL37/H37</f>
        <v>2.0438332633309717E-2</v>
      </c>
      <c r="AO37" s="13"/>
      <c r="AP37" s="13" t="s">
        <v>31</v>
      </c>
      <c r="AQ37" s="13"/>
      <c r="AR37" s="55">
        <v>1900004094</v>
      </c>
      <c r="AS37" s="38">
        <v>2078000</v>
      </c>
      <c r="AT37" s="8">
        <f t="shared" ref="AT37:AT42" si="18">+H37-AS37</f>
        <v>43357</v>
      </c>
      <c r="AU37" s="13"/>
      <c r="AV37" s="13">
        <v>0</v>
      </c>
      <c r="AW37" s="13"/>
      <c r="AX37" s="13" t="s">
        <v>31</v>
      </c>
      <c r="AY37" s="13"/>
      <c r="AZ37" s="78">
        <v>1900004351</v>
      </c>
      <c r="BA37" s="38">
        <v>1558500</v>
      </c>
      <c r="BB37" s="8">
        <f>+H37-BA37</f>
        <v>562857</v>
      </c>
      <c r="BC37" s="13"/>
      <c r="BD37" s="9">
        <f>+BB37/H37</f>
        <v>0.26532874947498231</v>
      </c>
      <c r="BE37" s="13"/>
      <c r="BF37" s="13" t="s">
        <v>31</v>
      </c>
      <c r="BG37" s="13"/>
      <c r="BH37" s="13"/>
      <c r="BI37" s="38">
        <v>2078000</v>
      </c>
      <c r="BJ37" s="8">
        <f>+H37-BI37</f>
        <v>43357</v>
      </c>
      <c r="BK37" s="13"/>
      <c r="BL37" s="9">
        <f>+BJ37/H37</f>
        <v>2.0438332633309717E-2</v>
      </c>
      <c r="BM37" s="13"/>
      <c r="BN37" s="13" t="s">
        <v>31</v>
      </c>
      <c r="BO37" s="13"/>
      <c r="BP37" s="13"/>
      <c r="BQ37" s="13"/>
      <c r="BR37" s="13"/>
      <c r="BS37" s="13"/>
      <c r="BT37" s="13"/>
      <c r="BU37" s="13"/>
      <c r="BV37" s="13"/>
      <c r="BW37" s="13"/>
      <c r="BX37" s="13"/>
      <c r="BY37" s="13"/>
      <c r="BZ37" s="13"/>
      <c r="CA37" s="13"/>
      <c r="CB37" s="13"/>
      <c r="CC37" s="13"/>
      <c r="CD37" s="13"/>
      <c r="CE37" s="13"/>
      <c r="CF37" s="13"/>
    </row>
    <row r="38" spans="1:84" x14ac:dyDescent="0.25">
      <c r="A38" s="1" t="s">
        <v>191</v>
      </c>
      <c r="B38" s="25" t="s">
        <v>614</v>
      </c>
      <c r="C38" s="14">
        <v>8751</v>
      </c>
      <c r="D38" s="21">
        <v>206868</v>
      </c>
      <c r="E38" s="17" t="s">
        <v>615</v>
      </c>
      <c r="F38" s="18" t="s">
        <v>616</v>
      </c>
      <c r="G38" s="38">
        <v>2370518</v>
      </c>
      <c r="H38" s="38">
        <v>2370518</v>
      </c>
      <c r="I38" s="8">
        <f t="shared" si="0"/>
        <v>0</v>
      </c>
      <c r="J38" s="8">
        <f t="shared" si="1"/>
        <v>0</v>
      </c>
      <c r="K38" s="11">
        <f>+H38</f>
        <v>2370518</v>
      </c>
      <c r="L38" s="11"/>
      <c r="M38" s="11"/>
      <c r="N38" s="8">
        <f t="shared" si="2"/>
        <v>0</v>
      </c>
      <c r="O38" s="13"/>
      <c r="P38" s="13" t="s">
        <v>38</v>
      </c>
      <c r="Q38" s="13"/>
      <c r="R38" s="13"/>
      <c r="S38" s="3"/>
      <c r="T38" s="42">
        <v>2370518</v>
      </c>
      <c r="U38" s="43">
        <f>+H38-T38</f>
        <v>0</v>
      </c>
      <c r="V38" s="13"/>
      <c r="W38" s="9">
        <f>+U38/H38</f>
        <v>0</v>
      </c>
      <c r="X38" s="13" t="s">
        <v>38</v>
      </c>
      <c r="Y38" s="13"/>
      <c r="Z38" s="13" t="s">
        <v>31</v>
      </c>
      <c r="AA38" s="3"/>
      <c r="AB38" s="38">
        <v>2370518</v>
      </c>
      <c r="AC38" s="8">
        <f>+K38-AB38</f>
        <v>0</v>
      </c>
      <c r="AD38" s="13"/>
      <c r="AE38" s="9">
        <f>+AC38/H38</f>
        <v>0</v>
      </c>
      <c r="AF38" s="13" t="s">
        <v>38</v>
      </c>
      <c r="AG38" s="13"/>
      <c r="AH38" s="13" t="s">
        <v>31</v>
      </c>
      <c r="AI38" s="3"/>
      <c r="AJ38" s="49">
        <v>1900003313</v>
      </c>
      <c r="AK38" s="38">
        <v>2370518</v>
      </c>
      <c r="AL38" s="8">
        <f t="shared" si="16"/>
        <v>0</v>
      </c>
      <c r="AM38" s="13"/>
      <c r="AN38" s="9">
        <f t="shared" si="17"/>
        <v>0</v>
      </c>
      <c r="AO38" s="13"/>
      <c r="AP38" s="13" t="s">
        <v>31</v>
      </c>
      <c r="AQ38" s="13"/>
      <c r="AR38" s="19">
        <v>1900003686</v>
      </c>
      <c r="AS38" s="38">
        <v>2370518</v>
      </c>
      <c r="AT38" s="8">
        <f t="shared" si="18"/>
        <v>0</v>
      </c>
      <c r="AU38" s="13"/>
      <c r="AV38" s="13">
        <v>0</v>
      </c>
      <c r="AW38" s="13"/>
      <c r="AX38" s="13" t="s">
        <v>31</v>
      </c>
      <c r="AY38" s="13"/>
      <c r="AZ38" s="79">
        <v>1900004238</v>
      </c>
      <c r="BA38" s="38">
        <v>2370518</v>
      </c>
      <c r="BB38" s="8">
        <f>+H38-BA38</f>
        <v>0</v>
      </c>
      <c r="BC38" s="13"/>
      <c r="BD38" s="13">
        <v>0</v>
      </c>
      <c r="BE38" s="13"/>
      <c r="BF38" s="13" t="s">
        <v>31</v>
      </c>
      <c r="BG38" s="13"/>
      <c r="BH38" s="13"/>
      <c r="BI38" s="13"/>
      <c r="BJ38" s="13"/>
      <c r="BK38" s="38">
        <f>1403315+1403315+1403315</f>
        <v>4209945</v>
      </c>
      <c r="BL38" s="13"/>
      <c r="BM38" s="13"/>
      <c r="BN38" s="13"/>
      <c r="BO38" s="13"/>
      <c r="BP38" s="13"/>
      <c r="BQ38" s="38">
        <v>1812972</v>
      </c>
      <c r="BR38" s="8">
        <f>+H38-BQ38</f>
        <v>557546</v>
      </c>
      <c r="BS38" s="13"/>
      <c r="BT38" s="9">
        <f>+BR38/H38</f>
        <v>0.23520007019562814</v>
      </c>
      <c r="BU38" s="13"/>
      <c r="BV38" s="13" t="s">
        <v>31</v>
      </c>
      <c r="BW38" s="13"/>
      <c r="BX38" s="13"/>
      <c r="BY38" s="38">
        <v>2038645</v>
      </c>
      <c r="BZ38" s="8">
        <f>+H38-BY38</f>
        <v>331873</v>
      </c>
      <c r="CA38" s="13"/>
      <c r="CB38" s="9">
        <f>+BZ38/H38</f>
        <v>0.14000020248738884</v>
      </c>
      <c r="CC38" s="13"/>
      <c r="CD38" s="13" t="s">
        <v>31</v>
      </c>
      <c r="CE38" s="13"/>
      <c r="CF38" s="13"/>
    </row>
    <row r="39" spans="1:84" x14ac:dyDescent="0.25">
      <c r="A39" s="1" t="s">
        <v>195</v>
      </c>
      <c r="B39" s="25" t="s">
        <v>792</v>
      </c>
      <c r="C39" s="14">
        <v>8750</v>
      </c>
      <c r="D39" s="21">
        <v>206408</v>
      </c>
      <c r="E39" s="17" t="s">
        <v>793</v>
      </c>
      <c r="F39" s="18" t="s">
        <v>794</v>
      </c>
      <c r="G39" s="38">
        <v>1517016</v>
      </c>
      <c r="H39" s="38">
        <v>1517016</v>
      </c>
      <c r="I39" s="8">
        <f t="shared" si="0"/>
        <v>0</v>
      </c>
      <c r="J39" s="8">
        <f t="shared" si="1"/>
        <v>0</v>
      </c>
      <c r="K39" s="11">
        <v>1517016</v>
      </c>
      <c r="L39" s="11"/>
      <c r="M39" s="11"/>
      <c r="N39" s="9"/>
      <c r="O39" s="13"/>
      <c r="P39" s="13" t="s">
        <v>38</v>
      </c>
      <c r="Q39" s="13"/>
      <c r="R39" s="13" t="s">
        <v>31</v>
      </c>
      <c r="S39" s="72" t="s">
        <v>32</v>
      </c>
      <c r="T39" s="11">
        <f>+K39</f>
        <v>1517016</v>
      </c>
      <c r="U39" s="8">
        <f>+H39-T39</f>
        <v>0</v>
      </c>
      <c r="V39" s="13"/>
      <c r="W39" s="13">
        <v>0</v>
      </c>
      <c r="X39" s="13" t="s">
        <v>38</v>
      </c>
      <c r="Y39" s="13" t="s">
        <v>795</v>
      </c>
      <c r="Z39" s="13" t="s">
        <v>31</v>
      </c>
      <c r="AA39" s="72" t="s">
        <v>32</v>
      </c>
      <c r="AB39" s="38">
        <v>1517016</v>
      </c>
      <c r="AC39" s="8">
        <f>+H39-AB39</f>
        <v>0</v>
      </c>
      <c r="AD39" s="13"/>
      <c r="AE39" s="9">
        <f>+AC39/G39</f>
        <v>0</v>
      </c>
      <c r="AF39" s="13"/>
      <c r="AG39" s="13"/>
      <c r="AH39" s="13" t="s">
        <v>31</v>
      </c>
      <c r="AI39" s="3"/>
      <c r="AJ39" s="49">
        <v>1900003236</v>
      </c>
      <c r="AK39" s="38">
        <v>1517016</v>
      </c>
      <c r="AL39" s="8">
        <f t="shared" si="16"/>
        <v>0</v>
      </c>
      <c r="AM39" s="13"/>
      <c r="AN39" s="9">
        <f t="shared" si="17"/>
        <v>0</v>
      </c>
      <c r="AO39" s="13"/>
      <c r="AP39" s="13" t="s">
        <v>31</v>
      </c>
      <c r="AQ39" s="13"/>
      <c r="AR39" s="19">
        <v>1900003805</v>
      </c>
      <c r="AS39" s="38">
        <v>1517016</v>
      </c>
      <c r="AT39" s="8">
        <f t="shared" si="18"/>
        <v>0</v>
      </c>
      <c r="AU39" s="13"/>
      <c r="AV39" s="13">
        <v>0</v>
      </c>
      <c r="AW39" s="13"/>
      <c r="AX39" s="13" t="s">
        <v>31</v>
      </c>
      <c r="AY39" s="13"/>
      <c r="AZ39" s="79">
        <v>1900004247</v>
      </c>
      <c r="BA39" s="38">
        <v>1517016</v>
      </c>
      <c r="BB39" s="13">
        <v>0</v>
      </c>
      <c r="BC39" s="13"/>
      <c r="BD39" s="13">
        <v>0</v>
      </c>
      <c r="BE39" s="13"/>
      <c r="BF39" s="13" t="s">
        <v>31</v>
      </c>
      <c r="BG39" s="13"/>
      <c r="BH39" s="13"/>
      <c r="BI39" s="38">
        <v>1517016</v>
      </c>
      <c r="BJ39" s="13">
        <v>0</v>
      </c>
      <c r="BK39" s="13"/>
      <c r="BL39" s="13">
        <v>0</v>
      </c>
      <c r="BM39" s="13"/>
      <c r="BN39" s="13" t="s">
        <v>31</v>
      </c>
      <c r="BO39" s="13"/>
      <c r="BP39" s="13"/>
      <c r="BQ39" s="38">
        <v>1517016</v>
      </c>
      <c r="BR39" s="13">
        <v>0</v>
      </c>
      <c r="BS39" s="13"/>
      <c r="BT39" s="13">
        <v>0</v>
      </c>
      <c r="BU39" s="13"/>
      <c r="BV39" s="13" t="s">
        <v>31</v>
      </c>
      <c r="BW39" s="13"/>
      <c r="BX39" s="13"/>
      <c r="BY39" s="38">
        <v>1517016</v>
      </c>
      <c r="BZ39" s="13">
        <v>0</v>
      </c>
      <c r="CA39" s="13"/>
      <c r="CB39" s="13">
        <v>0</v>
      </c>
      <c r="CC39" s="13"/>
      <c r="CD39" s="13" t="s">
        <v>31</v>
      </c>
      <c r="CE39" s="13"/>
      <c r="CF39" s="13"/>
    </row>
    <row r="40" spans="1:84" x14ac:dyDescent="0.25">
      <c r="A40" s="1" t="s">
        <v>201</v>
      </c>
      <c r="B40" s="25" t="s">
        <v>617</v>
      </c>
      <c r="C40" s="14">
        <v>8749</v>
      </c>
      <c r="D40" s="21">
        <v>206753</v>
      </c>
      <c r="E40" s="17" t="s">
        <v>618</v>
      </c>
      <c r="F40" s="18" t="s">
        <v>619</v>
      </c>
      <c r="G40" s="38">
        <v>888760</v>
      </c>
      <c r="H40" s="38">
        <v>888760</v>
      </c>
      <c r="I40" s="8">
        <f t="shared" si="0"/>
        <v>0</v>
      </c>
      <c r="J40" s="8">
        <f t="shared" si="1"/>
        <v>0</v>
      </c>
      <c r="K40" s="11">
        <v>854242</v>
      </c>
      <c r="L40" s="11">
        <f>+H40-K40</f>
        <v>34518</v>
      </c>
      <c r="M40" s="11"/>
      <c r="N40" s="9">
        <f t="shared" si="2"/>
        <v>3.8838381565326971E-2</v>
      </c>
      <c r="O40" s="13"/>
      <c r="P40" s="13" t="s">
        <v>38</v>
      </c>
      <c r="Q40" s="13"/>
      <c r="R40" s="13" t="s">
        <v>31</v>
      </c>
      <c r="S40" s="3"/>
      <c r="T40" s="38">
        <v>681364</v>
      </c>
      <c r="U40" s="8">
        <f>+H40-T40</f>
        <v>207396</v>
      </c>
      <c r="V40" s="13"/>
      <c r="W40" s="9">
        <f>+U40/H40</f>
        <v>0.23335433637877492</v>
      </c>
      <c r="X40" s="13" t="s">
        <v>46</v>
      </c>
      <c r="Y40" s="13"/>
      <c r="Z40" s="13" t="s">
        <v>31</v>
      </c>
      <c r="AA40" s="72" t="s">
        <v>32</v>
      </c>
      <c r="AB40" s="38">
        <v>798070</v>
      </c>
      <c r="AC40" s="8">
        <f>+K40-AB40</f>
        <v>56172</v>
      </c>
      <c r="AD40" s="13"/>
      <c r="AE40" s="9">
        <f>+AC40/H40</f>
        <v>6.3202664386336024E-2</v>
      </c>
      <c r="AF40" s="13" t="s">
        <v>46</v>
      </c>
      <c r="AG40" s="13"/>
      <c r="AH40" s="13" t="s">
        <v>31</v>
      </c>
      <c r="AI40" s="3"/>
      <c r="AJ40" s="49"/>
      <c r="AK40" s="38">
        <v>798070</v>
      </c>
      <c r="AL40" s="8">
        <f t="shared" si="16"/>
        <v>90690</v>
      </c>
      <c r="AM40" s="13"/>
      <c r="AN40" s="9">
        <f t="shared" si="17"/>
        <v>0.102041045951663</v>
      </c>
      <c r="AO40" s="13"/>
      <c r="AP40" s="13" t="s">
        <v>31</v>
      </c>
      <c r="AQ40" s="13"/>
      <c r="AR40" s="19">
        <v>1900003822</v>
      </c>
      <c r="AS40" s="38">
        <v>681364</v>
      </c>
      <c r="AT40" s="8">
        <f t="shared" si="18"/>
        <v>207396</v>
      </c>
      <c r="AU40" s="13"/>
      <c r="AV40" s="9">
        <f>+AT40/H40</f>
        <v>0.23335433637877492</v>
      </c>
      <c r="AW40" s="13"/>
      <c r="AX40" s="13" t="s">
        <v>31</v>
      </c>
      <c r="AY40" s="13"/>
      <c r="AZ40" s="79">
        <v>1900004248</v>
      </c>
      <c r="BA40" s="38">
        <v>681364</v>
      </c>
      <c r="BB40" s="8">
        <f>+H40-BA40</f>
        <v>207396</v>
      </c>
      <c r="BC40" s="38">
        <v>272538</v>
      </c>
      <c r="BD40" s="9">
        <f>+BB40/H40</f>
        <v>0.23335433637877492</v>
      </c>
      <c r="BE40" s="13"/>
      <c r="BF40" s="13" t="s">
        <v>31</v>
      </c>
      <c r="BG40" s="13"/>
      <c r="BH40" s="13"/>
      <c r="BI40" s="38">
        <v>681364</v>
      </c>
      <c r="BJ40" s="13">
        <v>0</v>
      </c>
      <c r="BK40" s="13"/>
      <c r="BL40" s="13">
        <v>0</v>
      </c>
      <c r="BM40" s="13"/>
      <c r="BN40" s="13" t="s">
        <v>31</v>
      </c>
      <c r="BO40" s="13"/>
      <c r="BP40" s="13"/>
      <c r="BQ40" s="38">
        <v>681364</v>
      </c>
      <c r="BR40" s="13">
        <v>0</v>
      </c>
      <c r="BS40" s="13">
        <v>204409</v>
      </c>
      <c r="BT40" s="9">
        <f>+BS40/BQ40</f>
        <v>0.29999970647113733</v>
      </c>
      <c r="BU40" s="13"/>
      <c r="BV40" s="13" t="s">
        <v>31</v>
      </c>
      <c r="BW40" s="13"/>
      <c r="BX40" s="13"/>
      <c r="BY40" s="38">
        <v>681364</v>
      </c>
      <c r="BZ40" s="13">
        <v>0</v>
      </c>
      <c r="CA40" s="13"/>
      <c r="CB40" s="13">
        <v>0</v>
      </c>
      <c r="CC40" s="13"/>
      <c r="CD40" s="13" t="s">
        <v>31</v>
      </c>
      <c r="CE40" s="13"/>
      <c r="CF40" s="13"/>
    </row>
    <row r="41" spans="1:84" x14ac:dyDescent="0.25">
      <c r="A41" s="1" t="s">
        <v>205</v>
      </c>
      <c r="B41" s="25" t="s">
        <v>620</v>
      </c>
      <c r="C41" s="14">
        <v>8860</v>
      </c>
      <c r="D41" s="21">
        <v>207689</v>
      </c>
      <c r="E41" s="17" t="s">
        <v>208</v>
      </c>
      <c r="F41" s="18" t="s">
        <v>591</v>
      </c>
      <c r="G41" s="38">
        <v>1817920</v>
      </c>
      <c r="H41" s="38">
        <v>1725400</v>
      </c>
      <c r="I41" s="8">
        <f t="shared" si="0"/>
        <v>-92520</v>
      </c>
      <c r="J41" s="9">
        <f t="shared" si="1"/>
        <v>-5.0893328639324061E-2</v>
      </c>
      <c r="K41" s="11">
        <v>1259542</v>
      </c>
      <c r="L41" s="11">
        <f>+H41-K41</f>
        <v>465858</v>
      </c>
      <c r="M41" s="11"/>
      <c r="N41" s="9">
        <f t="shared" si="2"/>
        <v>0.27</v>
      </c>
      <c r="O41" s="13"/>
      <c r="P41" s="13" t="s">
        <v>46</v>
      </c>
      <c r="Q41" s="13"/>
      <c r="R41" s="13" t="s">
        <v>31</v>
      </c>
      <c r="S41" s="3"/>
      <c r="T41" s="38">
        <v>983478</v>
      </c>
      <c r="U41" s="8">
        <f>+H41-T41</f>
        <v>741922</v>
      </c>
      <c r="V41" s="13"/>
      <c r="W41" s="9">
        <f>+U41/H41</f>
        <v>0.43</v>
      </c>
      <c r="X41" s="13" t="s">
        <v>46</v>
      </c>
      <c r="Y41" s="13"/>
      <c r="Z41" s="13" t="s">
        <v>31</v>
      </c>
      <c r="AA41" s="3"/>
      <c r="AB41" s="38">
        <v>1121510</v>
      </c>
      <c r="AC41" s="8">
        <f>+H41-AB41</f>
        <v>603890</v>
      </c>
      <c r="AD41" s="13"/>
      <c r="AE41" s="9">
        <f>+AC41/H41</f>
        <v>0.35</v>
      </c>
      <c r="AF41" s="13"/>
      <c r="AG41" s="13"/>
      <c r="AH41" s="13" t="s">
        <v>31</v>
      </c>
      <c r="AI41" s="3"/>
      <c r="AJ41" s="50">
        <v>1900003399</v>
      </c>
      <c r="AK41" s="38">
        <v>1466590</v>
      </c>
      <c r="AL41" s="8">
        <f t="shared" si="16"/>
        <v>258810</v>
      </c>
      <c r="AM41" s="13"/>
      <c r="AN41" s="9">
        <f t="shared" si="17"/>
        <v>0.15</v>
      </c>
      <c r="AO41" s="13"/>
      <c r="AP41" s="13" t="s">
        <v>31</v>
      </c>
      <c r="AQ41" s="13"/>
      <c r="AR41" s="19">
        <v>1900003806</v>
      </c>
      <c r="AS41" s="38">
        <v>1466590</v>
      </c>
      <c r="AT41" s="8">
        <f t="shared" si="18"/>
        <v>258810</v>
      </c>
      <c r="AU41" s="13"/>
      <c r="AV41" s="9">
        <f>+AT41/H41</f>
        <v>0.15</v>
      </c>
      <c r="AW41" s="13"/>
      <c r="AX41" s="13" t="s">
        <v>31</v>
      </c>
      <c r="AY41" s="13"/>
      <c r="AZ41" s="78">
        <v>1900004299</v>
      </c>
      <c r="BA41" s="38">
        <v>1725400</v>
      </c>
      <c r="BB41" s="13">
        <v>0</v>
      </c>
      <c r="BC41" s="13"/>
      <c r="BD41" s="13">
        <v>0</v>
      </c>
      <c r="BE41" s="13"/>
      <c r="BF41" s="13" t="s">
        <v>31</v>
      </c>
      <c r="BG41" s="13"/>
      <c r="BH41" s="13"/>
      <c r="BI41" s="38">
        <v>1725400</v>
      </c>
      <c r="BJ41" s="8">
        <f>+H41-BI41</f>
        <v>0</v>
      </c>
      <c r="BK41" s="13"/>
      <c r="BL41" s="13">
        <v>0</v>
      </c>
      <c r="BM41" s="13"/>
      <c r="BN41" s="13" t="s">
        <v>31</v>
      </c>
      <c r="BO41" s="13"/>
      <c r="BP41" s="13"/>
      <c r="BQ41" s="38">
        <v>1725400</v>
      </c>
      <c r="BR41" s="13">
        <v>0</v>
      </c>
      <c r="BS41" s="13"/>
      <c r="BT41" s="13">
        <v>0</v>
      </c>
      <c r="BU41" s="13"/>
      <c r="BV41" s="13" t="s">
        <v>31</v>
      </c>
      <c r="BW41" s="13"/>
      <c r="BX41" s="13"/>
      <c r="BY41" s="38">
        <v>1725400</v>
      </c>
      <c r="BZ41" s="13">
        <v>0</v>
      </c>
      <c r="CA41" s="13"/>
      <c r="CB41" s="13">
        <v>0</v>
      </c>
      <c r="CC41" s="13"/>
      <c r="CD41" s="13" t="s">
        <v>31</v>
      </c>
      <c r="CE41" s="13"/>
      <c r="CF41" s="13"/>
    </row>
    <row r="42" spans="1:84" x14ac:dyDescent="0.25">
      <c r="A42" s="1" t="s">
        <v>209</v>
      </c>
      <c r="B42" s="25" t="s">
        <v>621</v>
      </c>
      <c r="C42" s="14">
        <v>8859</v>
      </c>
      <c r="D42" s="21">
        <v>208093</v>
      </c>
      <c r="E42" s="17" t="s">
        <v>772</v>
      </c>
      <c r="F42" s="18" t="s">
        <v>520</v>
      </c>
      <c r="G42" s="38">
        <v>1252918</v>
      </c>
      <c r="H42" s="38">
        <v>1252918</v>
      </c>
      <c r="I42" s="8">
        <f t="shared" si="0"/>
        <v>0</v>
      </c>
      <c r="J42" s="8">
        <f t="shared" si="1"/>
        <v>0</v>
      </c>
      <c r="K42" s="11"/>
      <c r="L42" s="11"/>
      <c r="M42" s="11"/>
      <c r="N42" s="8">
        <f t="shared" si="2"/>
        <v>0</v>
      </c>
      <c r="O42" s="13"/>
      <c r="P42" s="13"/>
      <c r="Q42" s="13"/>
      <c r="R42" s="9"/>
      <c r="S42" s="74"/>
      <c r="T42" s="38">
        <v>501167</v>
      </c>
      <c r="U42" s="8">
        <f>+H42-T42</f>
        <v>751751</v>
      </c>
      <c r="V42" s="13"/>
      <c r="W42" s="9">
        <f>+U42/H42</f>
        <v>0.60000015962736586</v>
      </c>
      <c r="X42" s="13" t="s">
        <v>46</v>
      </c>
      <c r="Y42" s="13"/>
      <c r="Z42" s="13" t="s">
        <v>31</v>
      </c>
      <c r="AA42" s="3"/>
      <c r="AB42" s="38">
        <v>501167</v>
      </c>
      <c r="AC42" s="8">
        <f>+H42-AB42</f>
        <v>751751</v>
      </c>
      <c r="AD42" s="13"/>
      <c r="AE42" s="9">
        <f>+AC42/H42</f>
        <v>0.60000015962736586</v>
      </c>
      <c r="AF42" s="13"/>
      <c r="AG42" s="13"/>
      <c r="AH42" s="13" t="s">
        <v>31</v>
      </c>
      <c r="AI42" s="3"/>
      <c r="AJ42" s="50">
        <v>1900003435</v>
      </c>
      <c r="AK42" s="38">
        <v>501167</v>
      </c>
      <c r="AL42" s="8">
        <f t="shared" si="16"/>
        <v>751751</v>
      </c>
      <c r="AM42" s="13"/>
      <c r="AN42" s="9">
        <f t="shared" si="17"/>
        <v>0.60000015962736586</v>
      </c>
      <c r="AO42" s="13"/>
      <c r="AP42" s="13" t="s">
        <v>31</v>
      </c>
      <c r="AQ42" s="13"/>
      <c r="AR42" s="19">
        <v>1900003888</v>
      </c>
      <c r="AS42" s="38">
        <v>1252918</v>
      </c>
      <c r="AT42" s="8">
        <f t="shared" si="18"/>
        <v>0</v>
      </c>
      <c r="AU42" s="13"/>
      <c r="AV42" s="13">
        <v>0</v>
      </c>
      <c r="AW42" s="13"/>
      <c r="AX42" s="13" t="s">
        <v>31</v>
      </c>
      <c r="AY42" s="13"/>
      <c r="AZ42" s="78">
        <v>1900004339</v>
      </c>
      <c r="BA42" s="38">
        <v>1252918</v>
      </c>
      <c r="BB42" s="8">
        <f>+H42-BA42</f>
        <v>0</v>
      </c>
      <c r="BC42" s="13"/>
      <c r="BD42" s="13">
        <v>0</v>
      </c>
      <c r="BE42" s="13"/>
      <c r="BF42" s="13" t="s">
        <v>31</v>
      </c>
      <c r="BG42" s="13"/>
      <c r="BH42" s="13"/>
      <c r="BI42" s="38">
        <v>877043</v>
      </c>
      <c r="BJ42" s="8">
        <f>+H42-BI42</f>
        <v>375875</v>
      </c>
      <c r="BK42" s="13"/>
      <c r="BL42" s="9">
        <f>+BJ42/H42</f>
        <v>0.29999968074526823</v>
      </c>
      <c r="BM42" s="13"/>
      <c r="BN42" s="13" t="s">
        <v>31</v>
      </c>
      <c r="BO42" s="13"/>
      <c r="BP42" s="13"/>
      <c r="BQ42" s="38">
        <v>1252918</v>
      </c>
      <c r="BR42" s="13">
        <v>0</v>
      </c>
      <c r="BS42" s="13"/>
      <c r="BT42" s="13">
        <v>0</v>
      </c>
      <c r="BU42" s="13"/>
      <c r="BV42" s="13" t="s">
        <v>31</v>
      </c>
      <c r="BW42" s="13"/>
      <c r="BX42" s="13"/>
      <c r="BY42" s="13"/>
      <c r="BZ42" s="13"/>
      <c r="CA42" s="13"/>
      <c r="CB42" s="13"/>
      <c r="CC42" s="13"/>
      <c r="CD42" s="13"/>
      <c r="CE42" s="13"/>
      <c r="CF42" s="13"/>
    </row>
    <row r="43" spans="1:84" ht="15.75" x14ac:dyDescent="0.25">
      <c r="A43" s="69" t="s">
        <v>212</v>
      </c>
      <c r="B43" s="25" t="s">
        <v>622</v>
      </c>
      <c r="C43" s="14">
        <v>8976</v>
      </c>
      <c r="D43" s="26" t="s">
        <v>796</v>
      </c>
      <c r="E43" s="27" t="s">
        <v>623</v>
      </c>
      <c r="F43" s="18" t="s">
        <v>624</v>
      </c>
      <c r="G43" s="38">
        <v>2978736</v>
      </c>
      <c r="H43" s="38">
        <v>1942373</v>
      </c>
      <c r="I43" s="8">
        <f t="shared" si="0"/>
        <v>-1036363</v>
      </c>
      <c r="J43" s="9">
        <f t="shared" si="1"/>
        <v>-0.34792039307948069</v>
      </c>
      <c r="K43" s="11">
        <v>1942373</v>
      </c>
      <c r="L43" s="11"/>
      <c r="M43" s="11"/>
      <c r="N43" s="9"/>
      <c r="O43" s="13"/>
      <c r="P43" s="13" t="s">
        <v>38</v>
      </c>
      <c r="Q43" s="13"/>
      <c r="R43" s="13" t="s">
        <v>31</v>
      </c>
      <c r="S43" s="72" t="s">
        <v>83</v>
      </c>
      <c r="T43" s="38">
        <v>1942373</v>
      </c>
      <c r="U43" s="8">
        <f>+G43-T43</f>
        <v>1036363</v>
      </c>
      <c r="V43" s="13"/>
      <c r="W43" s="9">
        <f>+U43/G43</f>
        <v>0.34792039307948069</v>
      </c>
      <c r="X43" s="13" t="s">
        <v>46</v>
      </c>
      <c r="Y43" s="13"/>
      <c r="Z43" s="13" t="s">
        <v>31</v>
      </c>
      <c r="AA43" s="75" t="s">
        <v>83</v>
      </c>
      <c r="AB43" s="38">
        <v>1942373</v>
      </c>
      <c r="AC43" s="38">
        <f>+H43-AB43</f>
        <v>0</v>
      </c>
      <c r="AD43" s="13"/>
      <c r="AE43" s="13">
        <v>0</v>
      </c>
      <c r="AF43" s="13"/>
      <c r="AG43" s="13"/>
      <c r="AH43" s="13" t="s">
        <v>31</v>
      </c>
      <c r="AI43" s="3"/>
      <c r="AJ43" s="49">
        <v>1900003532</v>
      </c>
      <c r="AK43" s="38">
        <v>1942373</v>
      </c>
      <c r="AL43" s="8">
        <f t="shared" si="16"/>
        <v>0</v>
      </c>
      <c r="AM43" s="13"/>
      <c r="AN43" s="13">
        <v>0</v>
      </c>
      <c r="AO43" s="13"/>
      <c r="AP43" s="13" t="s">
        <v>31</v>
      </c>
      <c r="AQ43" s="13"/>
      <c r="AR43" s="19">
        <v>1900003916</v>
      </c>
      <c r="AS43" s="38">
        <v>1942373</v>
      </c>
      <c r="AT43" s="8">
        <f>+H43-AS43</f>
        <v>0</v>
      </c>
      <c r="AU43" s="13"/>
      <c r="AV43" s="13">
        <v>0</v>
      </c>
      <c r="AW43" s="13"/>
      <c r="AX43" s="13" t="s">
        <v>31</v>
      </c>
      <c r="AY43" s="13"/>
      <c r="AZ43" s="80">
        <v>1900004452</v>
      </c>
      <c r="BA43" s="38">
        <v>1942373</v>
      </c>
      <c r="BB43" s="13">
        <v>0</v>
      </c>
      <c r="BC43" s="13"/>
      <c r="BD43" s="13">
        <v>0</v>
      </c>
      <c r="BE43" s="13"/>
      <c r="BF43" s="13" t="s">
        <v>31</v>
      </c>
      <c r="BG43" s="13"/>
      <c r="BH43" s="13"/>
      <c r="BI43" s="38">
        <v>1942373</v>
      </c>
      <c r="BJ43" s="13">
        <v>0</v>
      </c>
      <c r="BK43" s="13"/>
      <c r="BL43" s="13">
        <v>0</v>
      </c>
      <c r="BM43" s="13"/>
      <c r="BN43" s="13"/>
      <c r="BO43" s="13"/>
      <c r="BP43" s="13"/>
      <c r="BQ43" s="38">
        <v>1942373</v>
      </c>
      <c r="BR43" s="13">
        <v>0</v>
      </c>
      <c r="BS43" s="13"/>
      <c r="BT43" s="13">
        <v>0</v>
      </c>
      <c r="BU43" s="13"/>
      <c r="BV43" s="13" t="s">
        <v>31</v>
      </c>
      <c r="BW43" s="13"/>
      <c r="BX43" s="13"/>
      <c r="BY43" s="13"/>
      <c r="BZ43" s="13"/>
      <c r="CA43" s="13"/>
      <c r="CB43" s="13"/>
      <c r="CC43" s="13"/>
      <c r="CD43" s="13"/>
      <c r="CE43" s="13"/>
      <c r="CF43" s="13"/>
    </row>
    <row r="44" spans="1:84" x14ac:dyDescent="0.25">
      <c r="A44" s="1" t="s">
        <v>215</v>
      </c>
      <c r="B44" s="25" t="s">
        <v>625</v>
      </c>
      <c r="C44" s="14">
        <v>9053</v>
      </c>
      <c r="D44" s="21">
        <v>210358</v>
      </c>
      <c r="E44" s="13" t="s">
        <v>217</v>
      </c>
      <c r="F44" s="19" t="s">
        <v>626</v>
      </c>
      <c r="G44" s="38">
        <v>2087039</v>
      </c>
      <c r="H44" s="38">
        <v>2087039</v>
      </c>
      <c r="I44" s="8">
        <f t="shared" si="0"/>
        <v>0</v>
      </c>
      <c r="J44" s="8">
        <f t="shared" si="1"/>
        <v>0</v>
      </c>
      <c r="K44" s="11">
        <f>2087039-626112</f>
        <v>1460927</v>
      </c>
      <c r="L44" s="11">
        <f>+H44-K44</f>
        <v>626112</v>
      </c>
      <c r="M44" s="11"/>
      <c r="N44" s="9">
        <f t="shared" si="2"/>
        <v>0.3000001437443191</v>
      </c>
      <c r="O44" s="13"/>
      <c r="P44" s="13" t="s">
        <v>46</v>
      </c>
      <c r="Q44" s="13" t="s">
        <v>797</v>
      </c>
      <c r="R44" s="13" t="s">
        <v>31</v>
      </c>
      <c r="S44" s="3"/>
      <c r="T44" s="42">
        <v>2087039</v>
      </c>
      <c r="U44" s="43">
        <f>+H44-T44</f>
        <v>0</v>
      </c>
      <c r="V44" s="13"/>
      <c r="W44" s="13">
        <v>0</v>
      </c>
      <c r="X44" s="13" t="s">
        <v>38</v>
      </c>
      <c r="Y44" s="13"/>
      <c r="Z44" s="13" t="s">
        <v>31</v>
      </c>
      <c r="AA44" s="72" t="s">
        <v>47</v>
      </c>
      <c r="AB44" s="38">
        <v>2087039</v>
      </c>
      <c r="AC44" s="8">
        <f t="shared" ref="AC44:AC49" si="19">+H44-AB44</f>
        <v>0</v>
      </c>
      <c r="AD44" s="13"/>
      <c r="AE44" s="9">
        <f>+AC44/G44</f>
        <v>0</v>
      </c>
      <c r="AF44" s="13"/>
      <c r="AG44" s="13"/>
      <c r="AH44" s="13" t="s">
        <v>31</v>
      </c>
      <c r="AI44" s="3"/>
      <c r="AJ44" s="49">
        <v>1900003230</v>
      </c>
      <c r="AK44" s="38">
        <v>2087039</v>
      </c>
      <c r="AL44" s="13">
        <v>0</v>
      </c>
      <c r="AM44" s="13"/>
      <c r="AN44" s="13">
        <v>0</v>
      </c>
      <c r="AO44" s="13"/>
      <c r="AP44" s="13" t="s">
        <v>31</v>
      </c>
      <c r="AQ44" s="13"/>
      <c r="AR44" s="19">
        <v>1900003824</v>
      </c>
      <c r="AS44" s="38">
        <v>2087039</v>
      </c>
      <c r="AT44" s="8">
        <f t="shared" ref="AT44:AT50" si="20">+H44-AS44</f>
        <v>0</v>
      </c>
      <c r="AU44" s="13"/>
      <c r="AV44" s="9">
        <f>+AT44/H44</f>
        <v>0</v>
      </c>
      <c r="AW44" s="13"/>
      <c r="AX44" s="13" t="s">
        <v>31</v>
      </c>
      <c r="AY44" s="13"/>
      <c r="AZ44" s="79">
        <v>1900004208</v>
      </c>
      <c r="BA44" s="38">
        <v>2087039</v>
      </c>
      <c r="BB44" s="8">
        <f>+H44-BA44</f>
        <v>0</v>
      </c>
      <c r="BC44" s="13"/>
      <c r="BD44" s="13">
        <v>0</v>
      </c>
      <c r="BE44" s="13"/>
      <c r="BF44" s="13" t="s">
        <v>31</v>
      </c>
      <c r="BG44" s="13"/>
      <c r="BH44" s="13"/>
      <c r="BI44" s="38">
        <v>2087039</v>
      </c>
      <c r="BJ44" s="13">
        <v>0</v>
      </c>
      <c r="BK44" s="13"/>
      <c r="BL44" s="13">
        <v>0</v>
      </c>
      <c r="BM44" s="13"/>
      <c r="BN44" s="13" t="s">
        <v>31</v>
      </c>
      <c r="BO44" s="13"/>
      <c r="BP44" s="13"/>
      <c r="BQ44" s="13"/>
      <c r="BR44" s="13"/>
      <c r="BS44" s="13"/>
      <c r="BT44" s="13"/>
      <c r="BU44" s="13"/>
      <c r="BV44" s="13"/>
      <c r="BW44" s="13"/>
      <c r="BX44" s="13"/>
      <c r="BY44" s="38">
        <v>2087039</v>
      </c>
      <c r="BZ44" s="13">
        <v>0</v>
      </c>
      <c r="CA44" s="13"/>
      <c r="CB44" s="13">
        <v>0</v>
      </c>
      <c r="CC44" s="13"/>
      <c r="CD44" s="13" t="s">
        <v>31</v>
      </c>
      <c r="CE44" s="13"/>
      <c r="CF44" s="13"/>
    </row>
    <row r="45" spans="1:84" x14ac:dyDescent="0.25">
      <c r="A45" s="69" t="s">
        <v>219</v>
      </c>
      <c r="B45" s="25" t="s">
        <v>627</v>
      </c>
      <c r="C45" s="14">
        <v>8968</v>
      </c>
      <c r="D45" s="21">
        <v>208872</v>
      </c>
      <c r="E45" s="17" t="s">
        <v>178</v>
      </c>
      <c r="F45" s="18" t="s">
        <v>605</v>
      </c>
      <c r="G45" s="38">
        <v>982462</v>
      </c>
      <c r="H45" s="70">
        <v>982462</v>
      </c>
      <c r="I45" s="8">
        <f t="shared" si="0"/>
        <v>0</v>
      </c>
      <c r="J45" s="8">
        <f t="shared" si="1"/>
        <v>0</v>
      </c>
      <c r="K45" s="11">
        <v>982462</v>
      </c>
      <c r="L45" s="11"/>
      <c r="M45" s="11"/>
      <c r="N45" s="8">
        <f t="shared" si="2"/>
        <v>0</v>
      </c>
      <c r="O45" s="13"/>
      <c r="P45" s="13" t="s">
        <v>38</v>
      </c>
      <c r="Q45" s="13"/>
      <c r="R45" s="13" t="s">
        <v>31</v>
      </c>
      <c r="S45" s="3"/>
      <c r="T45" s="38">
        <v>785970</v>
      </c>
      <c r="U45" s="8">
        <f>+H45-T45</f>
        <v>196492</v>
      </c>
      <c r="V45" s="13"/>
      <c r="W45" s="9">
        <f>+U45/H45</f>
        <v>0.19999959285957117</v>
      </c>
      <c r="X45" s="13" t="s">
        <v>46</v>
      </c>
      <c r="Y45" s="13"/>
      <c r="Z45" s="13" t="s">
        <v>31</v>
      </c>
      <c r="AA45" s="3"/>
      <c r="AB45" s="38">
        <v>785970</v>
      </c>
      <c r="AC45" s="8">
        <f t="shared" si="19"/>
        <v>196492</v>
      </c>
      <c r="AD45" s="13"/>
      <c r="AE45" s="9">
        <f>+AC45/H45</f>
        <v>0.19999959285957117</v>
      </c>
      <c r="AF45" s="13"/>
      <c r="AG45" s="13"/>
      <c r="AH45" s="13" t="s">
        <v>31</v>
      </c>
      <c r="AI45" s="3"/>
      <c r="AJ45" s="50">
        <v>1900003400</v>
      </c>
      <c r="AK45" s="38">
        <v>982462</v>
      </c>
      <c r="AL45" s="8">
        <f>+H45-AK45</f>
        <v>0</v>
      </c>
      <c r="AM45" s="13"/>
      <c r="AN45" s="9">
        <f>+AL45/H45</f>
        <v>0</v>
      </c>
      <c r="AO45" s="13"/>
      <c r="AP45" s="13" t="s">
        <v>31</v>
      </c>
      <c r="AQ45" s="13"/>
      <c r="AR45" s="19">
        <v>1900003807</v>
      </c>
      <c r="AS45" s="38">
        <v>884216</v>
      </c>
      <c r="AT45" s="8">
        <f t="shared" si="20"/>
        <v>98246</v>
      </c>
      <c r="AU45" s="13"/>
      <c r="AV45" s="9">
        <f>+AT45/H45</f>
        <v>9.9999796429785584E-2</v>
      </c>
      <c r="AW45" s="13"/>
      <c r="AX45" s="13" t="s">
        <v>31</v>
      </c>
      <c r="AY45" s="13"/>
      <c r="AZ45" s="79">
        <v>1900004199</v>
      </c>
      <c r="BA45" s="38">
        <v>884216</v>
      </c>
      <c r="BB45" s="8">
        <f>+H45-BA45</f>
        <v>98246</v>
      </c>
      <c r="BC45" s="13"/>
      <c r="BD45" s="9">
        <f>+BB45/H45</f>
        <v>9.9999796429785584E-2</v>
      </c>
      <c r="BE45" s="13"/>
      <c r="BF45" s="13" t="s">
        <v>31</v>
      </c>
      <c r="BG45" s="13"/>
      <c r="BH45" s="13"/>
      <c r="BI45" s="38">
        <v>982462</v>
      </c>
      <c r="BJ45" s="8">
        <f>+H45-BI45</f>
        <v>0</v>
      </c>
      <c r="BK45" s="13"/>
      <c r="BL45" s="13">
        <v>0</v>
      </c>
      <c r="BM45" s="13"/>
      <c r="BN45" s="13" t="s">
        <v>31</v>
      </c>
      <c r="BO45" s="13"/>
      <c r="BP45" s="13"/>
      <c r="BQ45" s="38">
        <v>982462</v>
      </c>
      <c r="BR45" s="13">
        <v>0</v>
      </c>
      <c r="BS45" s="13"/>
      <c r="BT45" s="13">
        <v>0</v>
      </c>
      <c r="BU45" s="13"/>
      <c r="BV45" s="13" t="s">
        <v>31</v>
      </c>
      <c r="BW45" s="13"/>
      <c r="BX45" s="13"/>
      <c r="BY45" s="38">
        <v>982462</v>
      </c>
      <c r="BZ45" s="13">
        <v>0</v>
      </c>
      <c r="CA45" s="13"/>
      <c r="CB45" s="13">
        <v>0</v>
      </c>
      <c r="CC45" s="13"/>
      <c r="CD45" s="13" t="s">
        <v>31</v>
      </c>
      <c r="CE45" s="13"/>
      <c r="CF45" s="13"/>
    </row>
    <row r="46" spans="1:84" x14ac:dyDescent="0.25">
      <c r="A46" s="69" t="s">
        <v>224</v>
      </c>
      <c r="B46" s="25" t="s">
        <v>628</v>
      </c>
      <c r="C46" s="14">
        <v>8969</v>
      </c>
      <c r="D46" s="1">
        <v>208873</v>
      </c>
      <c r="E46" s="17" t="s">
        <v>629</v>
      </c>
      <c r="F46" s="18" t="s">
        <v>605</v>
      </c>
      <c r="G46" s="38">
        <v>1079139</v>
      </c>
      <c r="H46" s="70">
        <v>1079139</v>
      </c>
      <c r="I46" s="8">
        <f t="shared" si="0"/>
        <v>0</v>
      </c>
      <c r="J46" s="8">
        <f t="shared" si="1"/>
        <v>0</v>
      </c>
      <c r="K46" s="11">
        <v>1079139</v>
      </c>
      <c r="L46" s="11"/>
      <c r="M46" s="11"/>
      <c r="N46" s="8">
        <f t="shared" si="2"/>
        <v>0</v>
      </c>
      <c r="O46" s="13"/>
      <c r="P46" s="13" t="s">
        <v>38</v>
      </c>
      <c r="Q46" s="13"/>
      <c r="R46" s="13" t="s">
        <v>31</v>
      </c>
      <c r="S46" s="3"/>
      <c r="T46" s="38">
        <v>863311</v>
      </c>
      <c r="U46" s="8">
        <f>+H46-T46</f>
        <v>215828</v>
      </c>
      <c r="V46" s="13"/>
      <c r="W46" s="9">
        <f>+U46/H46</f>
        <v>0.20000018533293673</v>
      </c>
      <c r="X46" s="13" t="s">
        <v>46</v>
      </c>
      <c r="Y46" s="13"/>
      <c r="Z46" s="13" t="s">
        <v>31</v>
      </c>
      <c r="AA46" s="3"/>
      <c r="AB46" s="38">
        <v>863311</v>
      </c>
      <c r="AC46" s="8">
        <f t="shared" si="19"/>
        <v>215828</v>
      </c>
      <c r="AD46" s="13"/>
      <c r="AE46" s="9">
        <f>+AC46/H46</f>
        <v>0.20000018533293673</v>
      </c>
      <c r="AF46" s="13"/>
      <c r="AG46" s="13"/>
      <c r="AH46" s="13" t="s">
        <v>31</v>
      </c>
      <c r="AI46" s="3"/>
      <c r="AJ46" s="50" t="s">
        <v>798</v>
      </c>
      <c r="AK46" s="38">
        <v>1079139</v>
      </c>
      <c r="AL46" s="8">
        <f>+H46-AK46</f>
        <v>0</v>
      </c>
      <c r="AM46" s="13"/>
      <c r="AN46" s="9">
        <f>+AL46/H46</f>
        <v>0</v>
      </c>
      <c r="AO46" s="13"/>
      <c r="AP46" s="13" t="s">
        <v>31</v>
      </c>
      <c r="AQ46" s="13"/>
      <c r="AR46" s="19">
        <v>1900003816</v>
      </c>
      <c r="AS46" s="38">
        <v>971225</v>
      </c>
      <c r="AT46" s="8">
        <f t="shared" si="20"/>
        <v>107914</v>
      </c>
      <c r="AU46" s="13"/>
      <c r="AV46" s="9">
        <f>+AT46/H46</f>
        <v>0.10000009266646837</v>
      </c>
      <c r="AW46" s="13"/>
      <c r="AX46" s="13" t="s">
        <v>31</v>
      </c>
      <c r="AY46" s="13"/>
      <c r="AZ46" s="79">
        <v>1900004200</v>
      </c>
      <c r="BA46" s="38">
        <v>971225</v>
      </c>
      <c r="BB46" s="8">
        <f>+H46-BA46</f>
        <v>107914</v>
      </c>
      <c r="BC46" s="13"/>
      <c r="BD46" s="9">
        <f>+BB46/H46</f>
        <v>0.10000009266646837</v>
      </c>
      <c r="BE46" s="13"/>
      <c r="BF46" s="13" t="s">
        <v>31</v>
      </c>
      <c r="BG46" s="13"/>
      <c r="BH46" s="13"/>
      <c r="BI46" s="38">
        <v>1079139</v>
      </c>
      <c r="BJ46" s="8">
        <f>+H46-BI46</f>
        <v>0</v>
      </c>
      <c r="BK46" s="13"/>
      <c r="BL46" s="13">
        <v>0</v>
      </c>
      <c r="BM46" s="13"/>
      <c r="BN46" s="13" t="s">
        <v>31</v>
      </c>
      <c r="BO46" s="13"/>
      <c r="BP46" s="13"/>
      <c r="BQ46" s="38">
        <v>1079139</v>
      </c>
      <c r="BR46" s="13">
        <v>0</v>
      </c>
      <c r="BS46" s="13"/>
      <c r="BT46" s="13">
        <v>0</v>
      </c>
      <c r="BU46" s="13"/>
      <c r="BV46" s="13" t="s">
        <v>31</v>
      </c>
      <c r="BW46" s="13"/>
      <c r="BX46" s="13"/>
      <c r="BY46" s="38">
        <v>1079139</v>
      </c>
      <c r="BZ46" s="13">
        <v>0</v>
      </c>
      <c r="CA46" s="13"/>
      <c r="CB46" s="13">
        <v>0</v>
      </c>
      <c r="CC46" s="13"/>
      <c r="CD46" s="13" t="s">
        <v>31</v>
      </c>
      <c r="CE46" s="13"/>
      <c r="CF46" s="13"/>
    </row>
    <row r="47" spans="1:84" x14ac:dyDescent="0.25">
      <c r="A47" s="1" t="s">
        <v>227</v>
      </c>
      <c r="B47" s="25" t="s">
        <v>630</v>
      </c>
      <c r="C47" s="14">
        <v>9072</v>
      </c>
      <c r="D47" s="21">
        <v>210304</v>
      </c>
      <c r="E47" s="17" t="s">
        <v>631</v>
      </c>
      <c r="F47" s="18" t="s">
        <v>605</v>
      </c>
      <c r="G47" s="38">
        <v>1629495</v>
      </c>
      <c r="H47" s="70">
        <v>1629495</v>
      </c>
      <c r="I47" s="8">
        <f t="shared" si="0"/>
        <v>0</v>
      </c>
      <c r="J47" s="8">
        <f t="shared" si="1"/>
        <v>0</v>
      </c>
      <c r="K47" s="11">
        <v>1629495</v>
      </c>
      <c r="L47" s="11">
        <f>+H47-K47</f>
        <v>0</v>
      </c>
      <c r="M47" s="11"/>
      <c r="N47" s="9">
        <f t="shared" si="2"/>
        <v>0</v>
      </c>
      <c r="O47" s="13"/>
      <c r="P47" s="13" t="s">
        <v>38</v>
      </c>
      <c r="Q47" s="13"/>
      <c r="R47" s="13" t="s">
        <v>31</v>
      </c>
      <c r="S47" s="3"/>
      <c r="T47" s="38">
        <v>1303596</v>
      </c>
      <c r="U47" s="8">
        <f>+H47-T47</f>
        <v>325899</v>
      </c>
      <c r="V47" s="13"/>
      <c r="W47" s="9">
        <f>+U47/H47</f>
        <v>0.2</v>
      </c>
      <c r="X47" s="13" t="s">
        <v>46</v>
      </c>
      <c r="Y47" s="13"/>
      <c r="Z47" s="13" t="s">
        <v>31</v>
      </c>
      <c r="AA47" s="3"/>
      <c r="AB47" s="38">
        <v>1303596</v>
      </c>
      <c r="AC47" s="8">
        <f t="shared" si="19"/>
        <v>325899</v>
      </c>
      <c r="AD47" s="13"/>
      <c r="AE47" s="9">
        <f>+AC47/H47</f>
        <v>0.2</v>
      </c>
      <c r="AF47" s="13"/>
      <c r="AG47" s="13"/>
      <c r="AH47" s="13" t="s">
        <v>31</v>
      </c>
      <c r="AI47" s="3"/>
      <c r="AJ47" s="50">
        <v>1900003627</v>
      </c>
      <c r="AK47" s="38">
        <v>1691416</v>
      </c>
      <c r="AL47" s="8">
        <f>+H47-AK47</f>
        <v>-61921</v>
      </c>
      <c r="AM47" s="13"/>
      <c r="AN47" s="9">
        <f>+AL47/H47</f>
        <v>-3.8000116600541888E-2</v>
      </c>
      <c r="AO47" s="13"/>
      <c r="AP47" s="13" t="s">
        <v>31</v>
      </c>
      <c r="AQ47" s="13"/>
      <c r="AR47" s="19">
        <v>1900003808</v>
      </c>
      <c r="AS47" s="38">
        <v>1522274</v>
      </c>
      <c r="AT47" s="8">
        <f t="shared" si="20"/>
        <v>107221</v>
      </c>
      <c r="AU47" s="13"/>
      <c r="AV47" s="9">
        <f>+AT47/H47</f>
        <v>6.5800140534337331E-2</v>
      </c>
      <c r="AW47" s="13"/>
      <c r="AX47" s="13" t="s">
        <v>31</v>
      </c>
      <c r="AY47" s="13"/>
      <c r="AZ47" s="79">
        <v>1900004201</v>
      </c>
      <c r="BA47" s="38">
        <v>1522274</v>
      </c>
      <c r="BB47" s="8">
        <f>+H47-BA47</f>
        <v>107221</v>
      </c>
      <c r="BC47" s="13"/>
      <c r="BD47" s="9">
        <f>+BB47/H47</f>
        <v>6.5800140534337331E-2</v>
      </c>
      <c r="BE47" s="13"/>
      <c r="BF47" s="13" t="s">
        <v>31</v>
      </c>
      <c r="BG47" s="13"/>
      <c r="BH47" s="13"/>
      <c r="BI47" s="38">
        <v>1691416</v>
      </c>
      <c r="BJ47" s="8">
        <f>+H47-BI47</f>
        <v>-61921</v>
      </c>
      <c r="BK47" s="13"/>
      <c r="BL47" s="13">
        <v>0</v>
      </c>
      <c r="BM47" s="13"/>
      <c r="BN47" s="13" t="s">
        <v>31</v>
      </c>
      <c r="BO47" s="13"/>
      <c r="BP47" s="13"/>
      <c r="BQ47" s="38">
        <v>1691416</v>
      </c>
      <c r="BR47" s="13">
        <v>0</v>
      </c>
      <c r="BS47" s="13"/>
      <c r="BT47" s="13">
        <v>0</v>
      </c>
      <c r="BU47" s="13"/>
      <c r="BV47" s="13" t="s">
        <v>31</v>
      </c>
      <c r="BW47" s="13"/>
      <c r="BX47" s="13"/>
      <c r="BY47" s="38">
        <v>1691416</v>
      </c>
      <c r="BZ47" s="13">
        <v>0</v>
      </c>
      <c r="CA47" s="13"/>
      <c r="CB47" s="13">
        <v>0</v>
      </c>
      <c r="CC47" s="13"/>
      <c r="CD47" s="13" t="s">
        <v>31</v>
      </c>
      <c r="CE47" s="13"/>
      <c r="CF47" s="13"/>
    </row>
    <row r="48" spans="1:84" x14ac:dyDescent="0.25">
      <c r="A48" s="1" t="s">
        <v>229</v>
      </c>
      <c r="B48" s="25" t="s">
        <v>632</v>
      </c>
      <c r="C48" s="14">
        <v>9096</v>
      </c>
      <c r="D48" s="21">
        <v>204532</v>
      </c>
      <c r="E48" s="17" t="s">
        <v>647</v>
      </c>
      <c r="F48" s="18" t="s">
        <v>648</v>
      </c>
      <c r="G48" s="38">
        <v>1486270</v>
      </c>
      <c r="H48" s="38">
        <v>1486270</v>
      </c>
      <c r="I48" s="8">
        <f t="shared" si="0"/>
        <v>0</v>
      </c>
      <c r="J48" s="8">
        <f t="shared" si="1"/>
        <v>0</v>
      </c>
      <c r="K48" s="11"/>
      <c r="L48" s="11"/>
      <c r="M48" s="11"/>
      <c r="N48" s="8">
        <f t="shared" si="2"/>
        <v>0</v>
      </c>
      <c r="O48" s="13"/>
      <c r="P48" s="13"/>
      <c r="Q48" s="13"/>
      <c r="R48" s="13"/>
      <c r="S48" s="3"/>
      <c r="T48" s="13"/>
      <c r="U48" s="13"/>
      <c r="V48" s="13"/>
      <c r="W48" s="13"/>
      <c r="X48" s="13"/>
      <c r="Y48" s="13"/>
      <c r="Z48" s="13"/>
      <c r="AA48" s="3"/>
      <c r="AB48" s="38">
        <f>739724+369863</f>
        <v>1109587</v>
      </c>
      <c r="AC48" s="8">
        <f t="shared" si="19"/>
        <v>376683</v>
      </c>
      <c r="AD48" s="13"/>
      <c r="AE48" s="9">
        <f>+AC48/H48</f>
        <v>0.25344183762035161</v>
      </c>
      <c r="AF48" s="13"/>
      <c r="AG48" s="13"/>
      <c r="AH48" s="13" t="s">
        <v>31</v>
      </c>
      <c r="AI48" s="3"/>
      <c r="AJ48" s="50" t="s">
        <v>799</v>
      </c>
      <c r="AK48" s="38">
        <v>1486270</v>
      </c>
      <c r="AL48" s="8">
        <f>+H48-AK48</f>
        <v>0</v>
      </c>
      <c r="AM48" s="13"/>
      <c r="AN48" s="13">
        <v>0</v>
      </c>
      <c r="AO48" s="13"/>
      <c r="AP48" s="13" t="s">
        <v>31</v>
      </c>
      <c r="AQ48" s="13"/>
      <c r="AR48" s="19">
        <v>1900003855</v>
      </c>
      <c r="AS48" s="38">
        <v>1486270</v>
      </c>
      <c r="AT48" s="8">
        <f t="shared" si="20"/>
        <v>0</v>
      </c>
      <c r="AU48" s="13"/>
      <c r="AV48" s="13">
        <v>0</v>
      </c>
      <c r="AW48" s="13"/>
      <c r="AX48" s="13" t="s">
        <v>31</v>
      </c>
      <c r="AY48" s="13"/>
      <c r="AZ48">
        <v>1900004185</v>
      </c>
      <c r="BA48" s="38">
        <v>1486270</v>
      </c>
      <c r="BB48" s="13">
        <v>0</v>
      </c>
      <c r="BD48" s="9">
        <v>0</v>
      </c>
      <c r="BE48" s="13"/>
      <c r="BF48" s="13" t="s">
        <v>31</v>
      </c>
      <c r="BG48" s="13"/>
      <c r="BH48" s="13"/>
      <c r="BI48" s="38">
        <v>1486270</v>
      </c>
      <c r="BJ48" s="13">
        <v>0</v>
      </c>
      <c r="BK48" s="13"/>
      <c r="BL48" s="13">
        <v>0</v>
      </c>
      <c r="BM48" s="13"/>
      <c r="BN48" s="13" t="s">
        <v>31</v>
      </c>
      <c r="BO48" s="13"/>
      <c r="BP48" s="13"/>
      <c r="BQ48" s="38">
        <v>1486270</v>
      </c>
      <c r="BR48" s="13">
        <v>0</v>
      </c>
      <c r="BS48" s="38">
        <v>1701326</v>
      </c>
      <c r="BT48" s="13">
        <v>0</v>
      </c>
      <c r="BU48" s="13"/>
      <c r="BV48" s="13" t="s">
        <v>31</v>
      </c>
      <c r="BW48" s="13"/>
      <c r="BX48" s="13"/>
      <c r="BY48" s="38">
        <v>1486270</v>
      </c>
      <c r="BZ48" s="13">
        <v>0</v>
      </c>
      <c r="CA48" s="13"/>
      <c r="CB48" s="13">
        <v>0</v>
      </c>
      <c r="CC48" s="13"/>
      <c r="CD48" s="13" t="s">
        <v>31</v>
      </c>
      <c r="CE48" s="13"/>
      <c r="CF48" s="13"/>
    </row>
    <row r="49" spans="1:84" x14ac:dyDescent="0.25">
      <c r="A49" s="69" t="s">
        <v>232</v>
      </c>
      <c r="B49" s="13" t="s">
        <v>633</v>
      </c>
      <c r="C49" s="14">
        <v>9100</v>
      </c>
      <c r="D49" s="14" t="s">
        <v>634</v>
      </c>
      <c r="E49" s="17" t="s">
        <v>234</v>
      </c>
      <c r="F49" s="18" t="s">
        <v>635</v>
      </c>
      <c r="G49" s="38">
        <v>3024272</v>
      </c>
      <c r="H49" s="38">
        <v>3024272</v>
      </c>
      <c r="I49" s="8">
        <f t="shared" si="0"/>
        <v>0</v>
      </c>
      <c r="J49" s="8">
        <f t="shared" si="1"/>
        <v>0</v>
      </c>
      <c r="K49" s="11">
        <f>+H49</f>
        <v>3024272</v>
      </c>
      <c r="L49" s="11"/>
      <c r="M49" s="11"/>
      <c r="N49" s="9"/>
      <c r="O49" s="13"/>
      <c r="P49" s="13" t="s">
        <v>38</v>
      </c>
      <c r="Q49" s="13"/>
      <c r="R49" s="13"/>
      <c r="S49" s="3"/>
      <c r="T49" s="42">
        <v>3024272</v>
      </c>
      <c r="U49" s="43">
        <f>+H49-T49</f>
        <v>0</v>
      </c>
      <c r="V49" s="13"/>
      <c r="W49" s="13">
        <v>0</v>
      </c>
      <c r="X49" s="13" t="s">
        <v>38</v>
      </c>
      <c r="Y49" s="13" t="s">
        <v>795</v>
      </c>
      <c r="Z49" s="13" t="s">
        <v>31</v>
      </c>
      <c r="AA49" s="3"/>
      <c r="AB49" s="38">
        <v>3024272</v>
      </c>
      <c r="AC49" s="8">
        <f t="shared" si="19"/>
        <v>0</v>
      </c>
      <c r="AD49" s="13"/>
      <c r="AE49" s="13">
        <v>0</v>
      </c>
      <c r="AF49" s="13"/>
      <c r="AG49" s="13"/>
      <c r="AH49" s="13" t="s">
        <v>31</v>
      </c>
      <c r="AI49" s="3"/>
      <c r="AJ49" s="49">
        <v>1900003391</v>
      </c>
      <c r="AK49" s="38">
        <v>3024272</v>
      </c>
      <c r="AL49" s="13">
        <v>0</v>
      </c>
      <c r="AM49" s="13"/>
      <c r="AN49" s="13">
        <v>0</v>
      </c>
      <c r="AO49" s="13"/>
      <c r="AP49" s="13" t="s">
        <v>31</v>
      </c>
      <c r="AQ49" s="13"/>
      <c r="AR49" s="19" t="s">
        <v>800</v>
      </c>
      <c r="AS49" s="38">
        <v>3024272</v>
      </c>
      <c r="AT49" s="8">
        <f t="shared" si="20"/>
        <v>0</v>
      </c>
      <c r="AU49" s="13"/>
      <c r="AV49" s="9">
        <f t="shared" ref="AV49:AV55" si="21">+AT49/H49</f>
        <v>0</v>
      </c>
      <c r="AW49" s="13"/>
      <c r="AX49" s="13" t="s">
        <v>31</v>
      </c>
      <c r="AY49" s="13"/>
      <c r="AZ49" s="79">
        <v>1900004133</v>
      </c>
      <c r="BA49" s="13"/>
      <c r="BB49" s="13"/>
      <c r="BC49" s="13"/>
      <c r="BD49" s="13"/>
      <c r="BE49" s="13"/>
      <c r="BF49" s="13"/>
      <c r="BG49" s="13"/>
      <c r="BH49" s="13"/>
      <c r="BI49" s="38">
        <v>1535977</v>
      </c>
      <c r="BJ49" s="8">
        <f>+H49-BI49</f>
        <v>1488295</v>
      </c>
      <c r="BK49" s="13"/>
      <c r="BL49" s="9">
        <f>+BJ49/H49</f>
        <v>0.49211678050122476</v>
      </c>
      <c r="BM49" s="13"/>
      <c r="BN49" s="13" t="s">
        <v>31</v>
      </c>
      <c r="BO49" s="13"/>
      <c r="BP49" s="13"/>
      <c r="BQ49" s="38">
        <v>2653197</v>
      </c>
      <c r="BR49" s="8">
        <f>+H49-BQ49</f>
        <v>371075</v>
      </c>
      <c r="BS49" s="13"/>
      <c r="BT49" s="9">
        <f>+BR49/H49</f>
        <v>0.12269895035896242</v>
      </c>
      <c r="BU49" s="13"/>
      <c r="BV49" s="13" t="s">
        <v>31</v>
      </c>
      <c r="BW49" s="13"/>
      <c r="BX49" s="13"/>
      <c r="BY49" s="8">
        <f>+BQ49</f>
        <v>2653197</v>
      </c>
      <c r="BZ49" s="13">
        <v>0</v>
      </c>
      <c r="CA49" s="13"/>
      <c r="CB49" s="13">
        <v>0</v>
      </c>
      <c r="CC49" s="13"/>
      <c r="CD49" s="13" t="s">
        <v>31</v>
      </c>
      <c r="CE49" s="13"/>
      <c r="CF49" s="13"/>
    </row>
    <row r="50" spans="1:84" x14ac:dyDescent="0.25">
      <c r="A50" s="69" t="s">
        <v>237</v>
      </c>
      <c r="B50" s="25" t="s">
        <v>636</v>
      </c>
      <c r="C50" s="14">
        <v>9101</v>
      </c>
      <c r="D50" s="21">
        <v>210622</v>
      </c>
      <c r="E50" s="17" t="s">
        <v>637</v>
      </c>
      <c r="F50" s="28">
        <v>900089075</v>
      </c>
      <c r="G50" s="38">
        <v>1954779</v>
      </c>
      <c r="H50" s="38">
        <v>1954779</v>
      </c>
      <c r="I50" s="8">
        <f t="shared" si="0"/>
        <v>0</v>
      </c>
      <c r="J50" s="8">
        <f t="shared" si="1"/>
        <v>0</v>
      </c>
      <c r="K50" s="11">
        <f>742722-74272+1212057-121206</f>
        <v>1759301</v>
      </c>
      <c r="L50" s="11">
        <f>+H50-K50</f>
        <v>195478</v>
      </c>
      <c r="M50" s="11"/>
      <c r="N50" s="9">
        <f t="shared" si="2"/>
        <v>0.10000005115667807</v>
      </c>
      <c r="O50" s="13"/>
      <c r="P50" s="13" t="s">
        <v>46</v>
      </c>
      <c r="Q50" s="13" t="s">
        <v>801</v>
      </c>
      <c r="R50" s="13" t="s">
        <v>31</v>
      </c>
      <c r="S50" s="72" t="s">
        <v>32</v>
      </c>
      <c r="T50" s="38">
        <f>742722+1212057</f>
        <v>1954779</v>
      </c>
      <c r="U50" s="8">
        <f>+H50-T50</f>
        <v>0</v>
      </c>
      <c r="V50" s="13"/>
      <c r="W50" s="9">
        <f>+U50/H50</f>
        <v>0</v>
      </c>
      <c r="X50" s="13" t="s">
        <v>32</v>
      </c>
      <c r="Y50" s="13"/>
      <c r="Z50" s="13" t="s">
        <v>31</v>
      </c>
      <c r="AA50" s="72" t="s">
        <v>32</v>
      </c>
      <c r="AB50" s="38">
        <f>722507+442737</f>
        <v>1165244</v>
      </c>
      <c r="AC50" s="8">
        <f>+H50-AB50</f>
        <v>789535</v>
      </c>
      <c r="AD50" s="13"/>
      <c r="AE50" s="9">
        <f>+AC50/H50</f>
        <v>0.40389987819594952</v>
      </c>
      <c r="AF50" s="13"/>
      <c r="AG50" s="13"/>
      <c r="AH50" s="13"/>
      <c r="AI50" s="3"/>
      <c r="AJ50" s="19" t="s">
        <v>802</v>
      </c>
      <c r="AK50" s="38">
        <f>722507+442737</f>
        <v>1165244</v>
      </c>
      <c r="AL50" s="8">
        <f>+H50-AK50</f>
        <v>789535</v>
      </c>
      <c r="AM50" s="13"/>
      <c r="AN50" s="9">
        <f>+AL50/H50</f>
        <v>0.40389987819594952</v>
      </c>
      <c r="AO50" s="13"/>
      <c r="AP50" s="13" t="s">
        <v>31</v>
      </c>
      <c r="AQ50" s="13"/>
      <c r="AR50" s="19" t="s">
        <v>803</v>
      </c>
      <c r="AS50" s="38">
        <f>722507+442737</f>
        <v>1165244</v>
      </c>
      <c r="AT50" s="8">
        <f t="shared" si="20"/>
        <v>789535</v>
      </c>
      <c r="AU50" s="13"/>
      <c r="AV50" s="9">
        <f t="shared" si="21"/>
        <v>0.40389987819594952</v>
      </c>
      <c r="AW50" s="13"/>
      <c r="AX50" s="13" t="s">
        <v>31</v>
      </c>
      <c r="AY50" s="13"/>
      <c r="AZ50" s="79" t="s">
        <v>804</v>
      </c>
      <c r="BA50" s="38">
        <f>722507+442737</f>
        <v>1165244</v>
      </c>
      <c r="BB50" s="8">
        <f t="shared" ref="BB50:BB57" si="22">+H50-BA50</f>
        <v>789535</v>
      </c>
      <c r="BC50" s="13"/>
      <c r="BD50" s="9">
        <f>+BB50/H50</f>
        <v>0.40389987819594952</v>
      </c>
      <c r="BE50" s="13"/>
      <c r="BF50" s="13" t="s">
        <v>31</v>
      </c>
      <c r="BG50" s="13"/>
      <c r="BH50" s="13"/>
      <c r="BI50" s="38">
        <f>722507+442737</f>
        <v>1165244</v>
      </c>
      <c r="BJ50" s="8">
        <f>+H50-BI50</f>
        <v>789535</v>
      </c>
      <c r="BK50" s="13"/>
      <c r="BL50" s="9">
        <f>+BJ50/H50</f>
        <v>0.40389987819594952</v>
      </c>
      <c r="BM50" s="13"/>
      <c r="BN50" s="13" t="s">
        <v>31</v>
      </c>
      <c r="BO50" s="13"/>
      <c r="BP50" s="13"/>
      <c r="BQ50" s="38">
        <f>722507+442737</f>
        <v>1165244</v>
      </c>
      <c r="BR50" s="8">
        <f>+H50-BQ50</f>
        <v>789535</v>
      </c>
      <c r="BS50" s="13"/>
      <c r="BT50" s="9">
        <f>+BR50/H50</f>
        <v>0.40389987819594952</v>
      </c>
      <c r="BU50" s="13"/>
      <c r="BV50" s="13" t="s">
        <v>31</v>
      </c>
      <c r="BW50" s="13"/>
      <c r="BX50" s="13"/>
      <c r="BY50" s="38">
        <f>722507+442737</f>
        <v>1165244</v>
      </c>
      <c r="BZ50" s="8">
        <f>+H50-BY50</f>
        <v>789535</v>
      </c>
      <c r="CA50" s="13"/>
      <c r="CB50" s="9">
        <f>+BZ50/H50</f>
        <v>0.40389987819594952</v>
      </c>
      <c r="CC50" s="13"/>
      <c r="CD50" s="13" t="s">
        <v>31</v>
      </c>
      <c r="CE50" s="13"/>
      <c r="CF50" s="13"/>
    </row>
    <row r="51" spans="1:84" x14ac:dyDescent="0.25">
      <c r="A51" s="69" t="s">
        <v>240</v>
      </c>
      <c r="B51" s="25" t="s">
        <v>638</v>
      </c>
      <c r="C51" s="14">
        <v>9102</v>
      </c>
      <c r="D51" s="14" t="s">
        <v>639</v>
      </c>
      <c r="E51" s="17" t="s">
        <v>640</v>
      </c>
      <c r="F51" s="18" t="s">
        <v>533</v>
      </c>
      <c r="G51" s="38">
        <v>2014577</v>
      </c>
      <c r="H51" s="38">
        <v>2014577</v>
      </c>
      <c r="I51" s="8">
        <f t="shared" si="0"/>
        <v>0</v>
      </c>
      <c r="J51" s="8">
        <f t="shared" si="1"/>
        <v>0</v>
      </c>
      <c r="K51" s="11">
        <v>916949</v>
      </c>
      <c r="L51" s="11">
        <f>+H51-K51</f>
        <v>1097628</v>
      </c>
      <c r="M51" s="11"/>
      <c r="N51" s="9">
        <f t="shared" si="2"/>
        <v>0.54484291243273397</v>
      </c>
      <c r="O51" s="13"/>
      <c r="P51" s="13" t="s">
        <v>46</v>
      </c>
      <c r="Q51" s="13" t="s">
        <v>122</v>
      </c>
      <c r="R51" s="13" t="s">
        <v>31</v>
      </c>
      <c r="S51" s="72" t="s">
        <v>32</v>
      </c>
      <c r="T51" s="38">
        <v>2014577</v>
      </c>
      <c r="U51" s="8">
        <f>+H51-T51</f>
        <v>0</v>
      </c>
      <c r="V51" s="13"/>
      <c r="W51" s="13">
        <v>0</v>
      </c>
      <c r="X51" s="13"/>
      <c r="Y51" s="13"/>
      <c r="Z51" s="13"/>
      <c r="AA51" s="3"/>
      <c r="AB51" s="38">
        <v>1165113</v>
      </c>
      <c r="AC51" s="8">
        <f>+K51-AB51</f>
        <v>-248164</v>
      </c>
      <c r="AD51" s="13"/>
      <c r="AE51" s="9">
        <f>+AC51/H51</f>
        <v>-0.12318417216120307</v>
      </c>
      <c r="AF51" s="13" t="s">
        <v>38</v>
      </c>
      <c r="AG51" s="13"/>
      <c r="AH51" s="13" t="s">
        <v>31</v>
      </c>
      <c r="AI51" s="3"/>
      <c r="AJ51" s="49">
        <v>19000003192</v>
      </c>
      <c r="AK51" s="38">
        <v>2014577</v>
      </c>
      <c r="AL51" s="8">
        <f>+H51-AK51</f>
        <v>0</v>
      </c>
      <c r="AM51" s="13"/>
      <c r="AN51" s="9">
        <f>+AL51/H51</f>
        <v>0</v>
      </c>
      <c r="AO51" s="13"/>
      <c r="AP51" s="13" t="s">
        <v>31</v>
      </c>
      <c r="AQ51" s="13"/>
      <c r="AR51" s="19">
        <v>1900003945</v>
      </c>
      <c r="AS51" s="38">
        <v>2014577</v>
      </c>
      <c r="AT51" s="8">
        <f>+H51-AS51</f>
        <v>0</v>
      </c>
      <c r="AU51" s="13"/>
      <c r="AV51" s="9">
        <f t="shared" si="21"/>
        <v>0</v>
      </c>
      <c r="AW51" s="13"/>
      <c r="AX51" s="13" t="s">
        <v>31</v>
      </c>
      <c r="AY51" s="13"/>
      <c r="AZ51" s="79"/>
      <c r="BA51" s="38">
        <v>2014577</v>
      </c>
      <c r="BB51" s="8">
        <f t="shared" si="22"/>
        <v>0</v>
      </c>
      <c r="BC51" s="13"/>
      <c r="BD51" s="9">
        <f>+BB51/H51</f>
        <v>0</v>
      </c>
      <c r="BE51" s="13"/>
      <c r="BF51" s="13" t="s">
        <v>31</v>
      </c>
      <c r="BG51" s="13"/>
      <c r="BH51" s="13"/>
      <c r="BI51" s="38">
        <v>2014577</v>
      </c>
      <c r="BJ51" s="38">
        <f>+H51-BI51</f>
        <v>0</v>
      </c>
      <c r="BK51" s="13"/>
      <c r="BL51" s="9">
        <f>+BJ51/H51</f>
        <v>0</v>
      </c>
      <c r="BM51" s="13"/>
      <c r="BN51" s="13" t="s">
        <v>31</v>
      </c>
      <c r="BO51" s="13"/>
      <c r="BP51" s="13"/>
      <c r="BQ51" s="38">
        <v>2014577</v>
      </c>
      <c r="BR51" s="8">
        <f>+H51-BQ51</f>
        <v>0</v>
      </c>
      <c r="BS51" s="13"/>
      <c r="BT51" s="9">
        <f>+BR51/H51</f>
        <v>0</v>
      </c>
      <c r="BU51" s="13"/>
      <c r="BV51" s="13" t="s">
        <v>31</v>
      </c>
      <c r="BW51" s="13"/>
      <c r="BX51" s="13"/>
      <c r="BY51" s="38">
        <v>2014577</v>
      </c>
      <c r="BZ51" s="13">
        <v>0</v>
      </c>
      <c r="CA51" s="13"/>
      <c r="CB51" s="13">
        <v>0</v>
      </c>
      <c r="CC51" s="13"/>
      <c r="CD51" s="13" t="s">
        <v>31</v>
      </c>
      <c r="CE51" s="13"/>
      <c r="CF51" s="13"/>
    </row>
    <row r="52" spans="1:84" ht="15.75" x14ac:dyDescent="0.25">
      <c r="A52" s="69" t="s">
        <v>244</v>
      </c>
      <c r="B52" s="25" t="s">
        <v>641</v>
      </c>
      <c r="C52" s="14">
        <v>9120</v>
      </c>
      <c r="D52" s="14">
        <v>212833</v>
      </c>
      <c r="E52" s="17" t="s">
        <v>557</v>
      </c>
      <c r="F52" s="22">
        <v>901094453</v>
      </c>
      <c r="G52" s="38">
        <v>3526286</v>
      </c>
      <c r="H52" s="38">
        <v>3526286</v>
      </c>
      <c r="I52" s="8">
        <f t="shared" si="0"/>
        <v>0</v>
      </c>
      <c r="J52" s="8">
        <f t="shared" si="1"/>
        <v>0</v>
      </c>
      <c r="K52" s="11">
        <v>2115771</v>
      </c>
      <c r="L52" s="11">
        <f>+H52-K52</f>
        <v>1410515</v>
      </c>
      <c r="M52" s="11"/>
      <c r="N52" s="9">
        <f t="shared" si="2"/>
        <v>0.40000017015069111</v>
      </c>
      <c r="O52" s="13"/>
      <c r="P52" s="13" t="s">
        <v>46</v>
      </c>
      <c r="Q52" s="13" t="s">
        <v>87</v>
      </c>
      <c r="R52" s="13" t="s">
        <v>31</v>
      </c>
      <c r="S52" s="75" t="s">
        <v>83</v>
      </c>
      <c r="T52" s="38">
        <v>1763143</v>
      </c>
      <c r="U52" s="8">
        <f t="shared" ref="U52:U57" si="23">+H52-T52</f>
        <v>1763143</v>
      </c>
      <c r="V52" s="13"/>
      <c r="W52" s="9">
        <f t="shared" ref="W52:W57" si="24">+U52/H52</f>
        <v>0.5</v>
      </c>
      <c r="X52" s="13" t="s">
        <v>46</v>
      </c>
      <c r="Y52" s="13" t="s">
        <v>106</v>
      </c>
      <c r="Z52" s="13" t="s">
        <v>31</v>
      </c>
      <c r="AA52" s="75" t="s">
        <v>83</v>
      </c>
      <c r="AB52" s="38">
        <v>2821029</v>
      </c>
      <c r="AC52" s="8">
        <f>+H52-AB52</f>
        <v>705257</v>
      </c>
      <c r="AD52" s="13"/>
      <c r="AE52" s="9">
        <f>+AC52/H52</f>
        <v>0.19999994328310297</v>
      </c>
      <c r="AF52" s="13"/>
      <c r="AG52" s="13"/>
      <c r="AH52" s="13" t="s">
        <v>31</v>
      </c>
      <c r="AI52" s="3"/>
      <c r="AJ52" s="49">
        <v>1900003461</v>
      </c>
      <c r="AK52" s="38">
        <v>3526286</v>
      </c>
      <c r="AL52" s="8">
        <f>+H52-AK52</f>
        <v>0</v>
      </c>
      <c r="AM52" s="13"/>
      <c r="AN52" s="9">
        <f>+AL52/H52</f>
        <v>0</v>
      </c>
      <c r="AO52" s="13"/>
      <c r="AP52" s="13" t="s">
        <v>31</v>
      </c>
      <c r="AQ52" s="13"/>
      <c r="AR52" s="19">
        <v>1900003814</v>
      </c>
      <c r="AS52" s="38">
        <v>2821029</v>
      </c>
      <c r="AT52" s="8">
        <f>+H52-AS52</f>
        <v>705257</v>
      </c>
      <c r="AU52" s="13"/>
      <c r="AV52" s="9">
        <f t="shared" si="21"/>
        <v>0.19999994328310297</v>
      </c>
      <c r="AW52" s="13"/>
      <c r="AX52" s="13" t="s">
        <v>31</v>
      </c>
      <c r="AY52" s="13"/>
      <c r="AZ52" s="78">
        <v>1900004305</v>
      </c>
      <c r="BA52" s="38">
        <v>3526286</v>
      </c>
      <c r="BB52" s="8">
        <f t="shared" si="22"/>
        <v>0</v>
      </c>
      <c r="BC52" s="13"/>
      <c r="BD52" s="13">
        <v>0</v>
      </c>
      <c r="BE52" s="13"/>
      <c r="BF52" s="13" t="s">
        <v>31</v>
      </c>
      <c r="BG52" s="13"/>
      <c r="BH52" s="13"/>
      <c r="BI52" s="38">
        <v>3526286</v>
      </c>
      <c r="BJ52" s="13">
        <v>0</v>
      </c>
      <c r="BK52" s="13"/>
      <c r="BL52" s="13">
        <v>0</v>
      </c>
      <c r="BM52" s="13"/>
      <c r="BN52" s="13" t="s">
        <v>31</v>
      </c>
      <c r="BO52" s="13"/>
      <c r="BP52" s="13"/>
      <c r="BQ52" s="8">
        <v>3526286</v>
      </c>
      <c r="BR52" s="13">
        <v>0</v>
      </c>
      <c r="BS52" s="13"/>
      <c r="BT52" s="13">
        <v>0</v>
      </c>
      <c r="BU52" s="13"/>
      <c r="BV52" s="13" t="s">
        <v>31</v>
      </c>
      <c r="BW52" s="13"/>
      <c r="BX52" s="13"/>
      <c r="BY52" s="38">
        <v>3525286</v>
      </c>
      <c r="BZ52" s="13">
        <v>0</v>
      </c>
      <c r="CA52" s="13"/>
      <c r="CB52" s="13">
        <v>0</v>
      </c>
      <c r="CC52" s="13"/>
      <c r="CD52" s="13" t="s">
        <v>31</v>
      </c>
      <c r="CE52" s="13"/>
      <c r="CF52" s="13"/>
    </row>
    <row r="53" spans="1:84" x14ac:dyDescent="0.25">
      <c r="A53" s="69" t="s">
        <v>246</v>
      </c>
      <c r="B53" s="25" t="s">
        <v>642</v>
      </c>
      <c r="C53" s="14">
        <v>9103</v>
      </c>
      <c r="D53" s="14" t="s">
        <v>643</v>
      </c>
      <c r="E53" s="17" t="s">
        <v>644</v>
      </c>
      <c r="F53" s="18" t="s">
        <v>645</v>
      </c>
      <c r="G53" s="38">
        <v>1227800</v>
      </c>
      <c r="H53" s="38">
        <v>1227800</v>
      </c>
      <c r="I53" s="8">
        <f t="shared" si="0"/>
        <v>0</v>
      </c>
      <c r="J53" s="8">
        <f t="shared" si="1"/>
        <v>0</v>
      </c>
      <c r="K53" s="11">
        <v>749150</v>
      </c>
      <c r="L53" s="11">
        <f>+H53-K53</f>
        <v>478650</v>
      </c>
      <c r="M53" s="11"/>
      <c r="N53" s="9">
        <f>+L53/H53</f>
        <v>0.3898436227398599</v>
      </c>
      <c r="O53" s="13"/>
      <c r="P53" s="13"/>
      <c r="Q53" s="13"/>
      <c r="R53" s="13"/>
      <c r="S53" s="3"/>
      <c r="T53" s="11">
        <f>+K53</f>
        <v>749150</v>
      </c>
      <c r="U53" s="11">
        <f t="shared" si="23"/>
        <v>478650</v>
      </c>
      <c r="V53" s="13"/>
      <c r="W53" s="9">
        <f t="shared" si="24"/>
        <v>0.3898436227398599</v>
      </c>
      <c r="X53" s="13" t="s">
        <v>46</v>
      </c>
      <c r="Y53" s="13" t="s">
        <v>805</v>
      </c>
      <c r="Z53" s="13" t="s">
        <v>31</v>
      </c>
      <c r="AA53" s="72" t="s">
        <v>47</v>
      </c>
      <c r="AB53" s="38">
        <v>796070</v>
      </c>
      <c r="AC53" s="8">
        <f>+H53-AB53</f>
        <v>431730</v>
      </c>
      <c r="AD53" s="13"/>
      <c r="AE53" s="9">
        <f>+AC53/H53</f>
        <v>0.35162892979312593</v>
      </c>
      <c r="AF53" s="13"/>
      <c r="AG53" s="13"/>
      <c r="AH53" s="13"/>
      <c r="AI53" s="3"/>
      <c r="AJ53" s="49"/>
      <c r="AK53" s="38">
        <v>798070</v>
      </c>
      <c r="AL53" s="8">
        <f>+H53-AK53</f>
        <v>429730</v>
      </c>
      <c r="AM53" s="13"/>
      <c r="AN53" s="9">
        <f>+AL53/H53</f>
        <v>0.35</v>
      </c>
      <c r="AO53" s="13"/>
      <c r="AP53" s="13"/>
      <c r="AQ53" s="13"/>
      <c r="AR53" s="19"/>
      <c r="AS53" s="38">
        <v>920850</v>
      </c>
      <c r="AT53" s="8">
        <f>+H53-AS53</f>
        <v>306950</v>
      </c>
      <c r="AU53" s="13"/>
      <c r="AV53" s="9">
        <f t="shared" si="21"/>
        <v>0.25</v>
      </c>
      <c r="AW53" s="13"/>
      <c r="AX53" s="13" t="s">
        <v>31</v>
      </c>
      <c r="AY53" s="13"/>
      <c r="AZ53" s="79">
        <v>1900004195</v>
      </c>
      <c r="BA53" s="38">
        <v>920850</v>
      </c>
      <c r="BB53" s="8">
        <f t="shared" si="22"/>
        <v>306950</v>
      </c>
      <c r="BC53" s="13"/>
      <c r="BD53" s="9">
        <f>+BB53/H53</f>
        <v>0.25</v>
      </c>
      <c r="BE53" s="13"/>
      <c r="BF53" s="13"/>
      <c r="BG53" s="13"/>
      <c r="BH53" s="13"/>
      <c r="BI53" s="38">
        <v>613900</v>
      </c>
      <c r="BJ53" s="8">
        <f>+H53-BI53</f>
        <v>613900</v>
      </c>
      <c r="BK53" s="13"/>
      <c r="BL53" s="9">
        <f>+BJ53/H53</f>
        <v>0.5</v>
      </c>
      <c r="BM53" s="13"/>
      <c r="BN53" s="13" t="s">
        <v>31</v>
      </c>
      <c r="BO53" s="13"/>
      <c r="BP53" s="13"/>
      <c r="BQ53" s="13"/>
      <c r="BR53" s="13"/>
      <c r="BS53" s="13"/>
      <c r="BT53" s="13"/>
      <c r="BU53" s="13"/>
      <c r="BV53" s="13"/>
      <c r="BW53" s="13"/>
      <c r="BX53" s="13"/>
      <c r="BY53" s="13"/>
      <c r="BZ53" s="13"/>
      <c r="CA53" s="13"/>
      <c r="CB53" s="13"/>
      <c r="CC53" s="13"/>
      <c r="CD53" s="13"/>
      <c r="CE53" s="13"/>
      <c r="CF53" s="13"/>
    </row>
    <row r="54" spans="1:84" x14ac:dyDescent="0.25">
      <c r="A54" s="69" t="s">
        <v>250</v>
      </c>
      <c r="B54" s="25" t="s">
        <v>646</v>
      </c>
      <c r="C54" s="14">
        <v>8974</v>
      </c>
      <c r="D54" s="21">
        <v>204532</v>
      </c>
      <c r="E54" s="17" t="s">
        <v>647</v>
      </c>
      <c r="F54" s="18" t="s">
        <v>648</v>
      </c>
      <c r="G54" s="38">
        <v>2218056</v>
      </c>
      <c r="H54" s="38">
        <v>2218056</v>
      </c>
      <c r="I54" s="8">
        <f t="shared" si="0"/>
        <v>0</v>
      </c>
      <c r="J54" s="8">
        <f t="shared" si="1"/>
        <v>0</v>
      </c>
      <c r="K54" s="11"/>
      <c r="L54" s="11"/>
      <c r="M54" s="11"/>
      <c r="N54" s="8"/>
      <c r="O54" s="13"/>
      <c r="P54" s="13"/>
      <c r="Q54" s="13"/>
      <c r="R54" s="13"/>
      <c r="S54" s="3"/>
      <c r="T54" s="38">
        <v>268206</v>
      </c>
      <c r="U54" s="8">
        <f t="shared" si="23"/>
        <v>1949850</v>
      </c>
      <c r="V54" s="38">
        <f>390410+91498+91498</f>
        <v>573406</v>
      </c>
      <c r="W54" s="9">
        <f t="shared" si="24"/>
        <v>0.87908060030946023</v>
      </c>
      <c r="X54" s="13" t="s">
        <v>46</v>
      </c>
      <c r="Y54" s="13"/>
      <c r="Z54" s="13" t="s">
        <v>31</v>
      </c>
      <c r="AA54" s="72" t="s">
        <v>116</v>
      </c>
      <c r="AB54" s="38">
        <v>2218056</v>
      </c>
      <c r="AC54" s="8">
        <f>+H54-AB54</f>
        <v>0</v>
      </c>
      <c r="AD54" s="13"/>
      <c r="AE54" s="13">
        <v>0</v>
      </c>
      <c r="AF54" s="13"/>
      <c r="AG54" s="13"/>
      <c r="AH54" s="13" t="s">
        <v>31</v>
      </c>
      <c r="AI54" s="72" t="s">
        <v>116</v>
      </c>
      <c r="AJ54" s="19" t="s">
        <v>806</v>
      </c>
      <c r="AK54" s="38">
        <v>2237657</v>
      </c>
      <c r="AL54" s="13">
        <v>0</v>
      </c>
      <c r="AM54" s="13"/>
      <c r="AN54" s="13">
        <v>0</v>
      </c>
      <c r="AO54" s="13"/>
      <c r="AP54" s="13" t="s">
        <v>31</v>
      </c>
      <c r="AQ54" s="13"/>
      <c r="AR54" s="19">
        <v>1900003856</v>
      </c>
      <c r="AS54" s="38">
        <v>2237657</v>
      </c>
      <c r="AT54" s="8">
        <f>+H54-AS54</f>
        <v>-19601</v>
      </c>
      <c r="AU54" s="13"/>
      <c r="AV54" s="9">
        <f t="shared" si="21"/>
        <v>-8.8370176406727327E-3</v>
      </c>
      <c r="AW54" s="13"/>
      <c r="AX54" s="13" t="s">
        <v>31</v>
      </c>
      <c r="AY54" s="13"/>
      <c r="AZ54">
        <v>1900004136</v>
      </c>
      <c r="BA54" s="38">
        <v>2237657</v>
      </c>
      <c r="BB54" s="8">
        <f t="shared" si="22"/>
        <v>-19601</v>
      </c>
      <c r="BC54" s="38">
        <v>393122</v>
      </c>
      <c r="BD54" s="9">
        <f>+BC54/BA54</f>
        <v>0.17568465586995682</v>
      </c>
      <c r="BE54" s="13"/>
      <c r="BF54" s="13" t="s">
        <v>31</v>
      </c>
      <c r="BG54" s="13"/>
      <c r="BH54" s="13"/>
      <c r="BI54" s="38">
        <v>2237657</v>
      </c>
      <c r="BJ54" s="13">
        <v>0</v>
      </c>
      <c r="BK54" s="13"/>
      <c r="BL54" s="13">
        <v>0</v>
      </c>
      <c r="BM54" s="13"/>
      <c r="BN54" s="13" t="s">
        <v>31</v>
      </c>
      <c r="BO54" s="13"/>
      <c r="BP54" s="13"/>
      <c r="BQ54" s="38">
        <v>2237657</v>
      </c>
      <c r="BR54" s="13">
        <v>0</v>
      </c>
      <c r="BS54" s="38">
        <v>1204052</v>
      </c>
      <c r="BT54" s="13">
        <v>0</v>
      </c>
      <c r="BU54" s="13"/>
      <c r="BV54" s="13" t="s">
        <v>31</v>
      </c>
      <c r="BW54" s="13"/>
      <c r="BX54" s="13"/>
      <c r="BY54" s="38">
        <v>1302795</v>
      </c>
      <c r="BZ54" s="13">
        <v>0</v>
      </c>
      <c r="CA54" s="13"/>
      <c r="CB54" s="13">
        <v>0</v>
      </c>
      <c r="CC54" s="13"/>
      <c r="CD54" s="13" t="s">
        <v>31</v>
      </c>
      <c r="CE54" s="13"/>
      <c r="CF54" s="13"/>
    </row>
    <row r="55" spans="1:84" ht="15.75" x14ac:dyDescent="0.25">
      <c r="A55" s="1" t="s">
        <v>252</v>
      </c>
      <c r="B55" s="17" t="s">
        <v>649</v>
      </c>
      <c r="C55" s="23">
        <v>6573</v>
      </c>
      <c r="D55" s="21">
        <v>204606</v>
      </c>
      <c r="E55" s="17" t="s">
        <v>579</v>
      </c>
      <c r="F55" s="18" t="s">
        <v>580</v>
      </c>
      <c r="G55" s="38">
        <v>1242230</v>
      </c>
      <c r="H55" s="70">
        <v>1316588</v>
      </c>
      <c r="I55" s="8">
        <f t="shared" si="0"/>
        <v>74358</v>
      </c>
      <c r="J55" s="10">
        <f t="shared" si="1"/>
        <v>5.9858480313629524E-2</v>
      </c>
      <c r="K55" s="11">
        <v>658294</v>
      </c>
      <c r="L55" s="11">
        <f>+H55-K55</f>
        <v>658294</v>
      </c>
      <c r="M55" s="11"/>
      <c r="N55" s="9">
        <f>+L55/H55</f>
        <v>0.5</v>
      </c>
      <c r="O55" s="13"/>
      <c r="P55" s="13" t="s">
        <v>46</v>
      </c>
      <c r="Q55" s="13" t="s">
        <v>122</v>
      </c>
      <c r="R55" s="13" t="s">
        <v>31</v>
      </c>
      <c r="S55" s="3"/>
      <c r="T55" s="42">
        <v>658294</v>
      </c>
      <c r="U55" s="43">
        <f t="shared" si="23"/>
        <v>658294</v>
      </c>
      <c r="V55" s="13"/>
      <c r="W55" s="9">
        <f t="shared" si="24"/>
        <v>0.5</v>
      </c>
      <c r="X55" s="13" t="s">
        <v>46</v>
      </c>
      <c r="Y55" s="13" t="s">
        <v>122</v>
      </c>
      <c r="Z55" s="13" t="s">
        <v>31</v>
      </c>
      <c r="AA55" s="75" t="s">
        <v>83</v>
      </c>
      <c r="AB55" s="38">
        <v>658294</v>
      </c>
      <c r="AC55" s="8">
        <f>+K55-AB55</f>
        <v>0</v>
      </c>
      <c r="AD55" s="13"/>
      <c r="AE55" s="9">
        <f>+AC55/H55</f>
        <v>0</v>
      </c>
      <c r="AF55" s="13" t="s">
        <v>38</v>
      </c>
      <c r="AG55" s="13"/>
      <c r="AH55" s="13" t="s">
        <v>31</v>
      </c>
      <c r="AI55" s="72" t="s">
        <v>32</v>
      </c>
      <c r="AJ55" s="49">
        <v>1900003307</v>
      </c>
      <c r="AK55" s="38">
        <v>658294</v>
      </c>
      <c r="AL55" s="8">
        <f>+H55-AK55</f>
        <v>658294</v>
      </c>
      <c r="AM55" s="13"/>
      <c r="AN55" s="9">
        <f>+AL55/H55</f>
        <v>0.5</v>
      </c>
      <c r="AO55" s="13"/>
      <c r="AP55" s="13" t="s">
        <v>31</v>
      </c>
      <c r="AQ55" s="13"/>
      <c r="AR55" s="19">
        <v>1900003681</v>
      </c>
      <c r="AS55" s="38">
        <v>658294</v>
      </c>
      <c r="AT55" s="8">
        <f>+H55-AS55</f>
        <v>658294</v>
      </c>
      <c r="AU55" s="13"/>
      <c r="AV55" s="9">
        <f t="shared" si="21"/>
        <v>0.5</v>
      </c>
      <c r="AW55" s="13"/>
      <c r="AX55" s="13" t="s">
        <v>31</v>
      </c>
      <c r="AY55" s="13"/>
      <c r="AZ55" s="79">
        <v>1900004186</v>
      </c>
      <c r="BA55" s="38">
        <v>1316588</v>
      </c>
      <c r="BB55" s="8">
        <f t="shared" si="22"/>
        <v>0</v>
      </c>
      <c r="BC55" s="13"/>
      <c r="BD55" s="13">
        <v>0</v>
      </c>
      <c r="BE55" s="13"/>
      <c r="BF55" s="13" t="s">
        <v>31</v>
      </c>
      <c r="BG55" s="13"/>
      <c r="BH55" s="13"/>
      <c r="BI55" s="38">
        <v>1316588</v>
      </c>
      <c r="BJ55" s="13">
        <v>0</v>
      </c>
      <c r="BK55" s="13"/>
      <c r="BL55" s="13">
        <v>0</v>
      </c>
      <c r="BM55" s="13"/>
      <c r="BN55" s="13" t="s">
        <v>31</v>
      </c>
      <c r="BO55" s="13"/>
      <c r="BP55" s="13"/>
      <c r="BQ55" s="38">
        <v>1316588</v>
      </c>
      <c r="BR55" s="13">
        <v>0</v>
      </c>
      <c r="BS55" s="13"/>
      <c r="BT55" s="13">
        <v>0</v>
      </c>
      <c r="BU55" s="13"/>
      <c r="BV55" s="13" t="s">
        <v>31</v>
      </c>
      <c r="BW55" s="13"/>
      <c r="BX55" s="13"/>
      <c r="BY55" s="38">
        <v>1316588</v>
      </c>
      <c r="BZ55" s="13">
        <v>0</v>
      </c>
      <c r="CA55" s="13"/>
      <c r="CB55" s="13">
        <v>0</v>
      </c>
      <c r="CC55" s="13"/>
      <c r="CD55" s="13" t="s">
        <v>31</v>
      </c>
      <c r="CE55" s="13"/>
      <c r="CF55" s="13"/>
    </row>
    <row r="56" spans="1:84" x14ac:dyDescent="0.25">
      <c r="A56" s="68" t="s">
        <v>256</v>
      </c>
      <c r="B56" s="13" t="s">
        <v>650</v>
      </c>
      <c r="C56" s="1">
        <v>9209</v>
      </c>
      <c r="D56" s="14" t="s">
        <v>651</v>
      </c>
      <c r="E56" s="15" t="s">
        <v>652</v>
      </c>
      <c r="F56" s="16" t="s">
        <v>653</v>
      </c>
      <c r="G56" s="38">
        <v>2075456</v>
      </c>
      <c r="H56" s="38">
        <v>2051993</v>
      </c>
      <c r="I56" s="8">
        <f t="shared" si="0"/>
        <v>-23463</v>
      </c>
      <c r="J56" s="10">
        <f t="shared" si="1"/>
        <v>-1.1304985506799469E-2</v>
      </c>
      <c r="K56" s="11">
        <v>1118101</v>
      </c>
      <c r="L56" s="11">
        <f>+H56-K56</f>
        <v>933892</v>
      </c>
      <c r="M56" s="11"/>
      <c r="N56" s="9">
        <f t="shared" si="2"/>
        <v>0.45511461296407929</v>
      </c>
      <c r="O56" s="13"/>
      <c r="P56" s="13"/>
      <c r="Q56" s="13"/>
      <c r="R56" s="13"/>
      <c r="S56" s="72" t="s">
        <v>32</v>
      </c>
      <c r="T56" s="38">
        <v>1118101</v>
      </c>
      <c r="U56" s="8">
        <f t="shared" si="23"/>
        <v>933892</v>
      </c>
      <c r="V56" s="13"/>
      <c r="W56" s="9">
        <f t="shared" si="24"/>
        <v>0.45511461296407929</v>
      </c>
      <c r="X56" s="13"/>
      <c r="Y56" s="13"/>
      <c r="Z56" s="13"/>
      <c r="AA56" s="3"/>
      <c r="AB56" s="38">
        <v>1118101</v>
      </c>
      <c r="AC56" s="8">
        <f>+H56-AB56</f>
        <v>933892</v>
      </c>
      <c r="AD56" s="13"/>
      <c r="AE56" s="9">
        <f>+AC56/H56</f>
        <v>0.45511461296407929</v>
      </c>
      <c r="AF56" s="13"/>
      <c r="AG56" s="13"/>
      <c r="AH56" s="13" t="s">
        <v>31</v>
      </c>
      <c r="AI56" s="3"/>
      <c r="AJ56" s="19">
        <v>1900003572</v>
      </c>
      <c r="AK56" s="38">
        <v>1118101</v>
      </c>
      <c r="AL56" s="8">
        <f>+H56-AK56</f>
        <v>933892</v>
      </c>
      <c r="AM56" s="13"/>
      <c r="AN56" s="9">
        <f>+AL56/H56</f>
        <v>0.45511461296407929</v>
      </c>
      <c r="AO56" s="13"/>
      <c r="AP56" s="13" t="s">
        <v>31</v>
      </c>
      <c r="AQ56" s="13"/>
      <c r="AR56" s="19">
        <v>1900003878</v>
      </c>
      <c r="AS56" s="13"/>
      <c r="AT56" s="13"/>
      <c r="AU56" s="13"/>
      <c r="AV56" s="13"/>
      <c r="AW56" s="13"/>
      <c r="AX56" s="13"/>
      <c r="AY56" s="13"/>
      <c r="AZ56" s="79"/>
      <c r="BA56" s="38">
        <f>600104+517997</f>
        <v>1118101</v>
      </c>
      <c r="BB56" s="8">
        <f t="shared" si="22"/>
        <v>933892</v>
      </c>
      <c r="BC56" s="13"/>
      <c r="BD56" s="9">
        <f>+BB56/H56</f>
        <v>0.45511461296407929</v>
      </c>
      <c r="BE56" s="13"/>
      <c r="BF56" s="13" t="s">
        <v>31</v>
      </c>
      <c r="BG56" s="13"/>
      <c r="BH56" s="13"/>
      <c r="BI56" s="38">
        <v>1027653</v>
      </c>
      <c r="BJ56" s="13">
        <v>0</v>
      </c>
      <c r="BK56" s="13"/>
      <c r="BL56" s="13">
        <v>0</v>
      </c>
      <c r="BM56" s="13"/>
      <c r="BN56" s="13" t="s">
        <v>31</v>
      </c>
      <c r="BO56" s="13"/>
      <c r="BP56" s="13"/>
      <c r="BQ56" s="38">
        <f>600104+517997</f>
        <v>1118101</v>
      </c>
      <c r="BR56" s="13">
        <v>0</v>
      </c>
      <c r="BS56" s="13"/>
      <c r="BT56" s="13">
        <v>0</v>
      </c>
      <c r="BU56" s="13"/>
      <c r="BV56" s="13" t="s">
        <v>31</v>
      </c>
      <c r="BW56" s="13"/>
      <c r="BX56" s="13"/>
      <c r="BY56" s="38">
        <f>600104+517997</f>
        <v>1118101</v>
      </c>
      <c r="BZ56" s="13">
        <v>0</v>
      </c>
      <c r="CA56" s="13"/>
      <c r="CB56" s="13">
        <v>0</v>
      </c>
      <c r="CC56" s="13"/>
      <c r="CD56" s="13" t="s">
        <v>31</v>
      </c>
      <c r="CE56" s="13"/>
      <c r="CF56" s="13"/>
    </row>
    <row r="57" spans="1:84" x14ac:dyDescent="0.25">
      <c r="A57" s="29" t="s">
        <v>260</v>
      </c>
      <c r="B57" s="13" t="s">
        <v>654</v>
      </c>
      <c r="C57" s="29">
        <v>9458</v>
      </c>
      <c r="D57" s="29">
        <v>206286</v>
      </c>
      <c r="E57" s="30" t="s">
        <v>375</v>
      </c>
      <c r="F57" s="31" t="s">
        <v>655</v>
      </c>
      <c r="G57" s="38">
        <v>1841371</v>
      </c>
      <c r="H57" s="38">
        <v>1841371</v>
      </c>
      <c r="I57" s="8">
        <f t="shared" si="0"/>
        <v>0</v>
      </c>
      <c r="J57" s="8">
        <f t="shared" si="1"/>
        <v>0</v>
      </c>
      <c r="K57" s="11">
        <f>+H57</f>
        <v>1841371</v>
      </c>
      <c r="L57" s="11"/>
      <c r="M57" s="11"/>
      <c r="N57" s="8">
        <f t="shared" si="2"/>
        <v>0</v>
      </c>
      <c r="O57" s="13"/>
      <c r="P57" s="13" t="s">
        <v>38</v>
      </c>
      <c r="Q57" s="13"/>
      <c r="R57" s="13"/>
      <c r="S57" s="3"/>
      <c r="T57" s="38">
        <v>1841371</v>
      </c>
      <c r="U57" s="8">
        <f t="shared" si="23"/>
        <v>0</v>
      </c>
      <c r="V57" s="13"/>
      <c r="W57" s="9">
        <f t="shared" si="24"/>
        <v>0</v>
      </c>
      <c r="X57" s="13" t="s">
        <v>38</v>
      </c>
      <c r="Y57" s="13" t="s">
        <v>807</v>
      </c>
      <c r="Z57" s="13" t="s">
        <v>31</v>
      </c>
      <c r="AA57" s="3"/>
      <c r="AB57" s="8">
        <f>+H57</f>
        <v>1841371</v>
      </c>
      <c r="AC57" s="8">
        <f>+H57-AB57</f>
        <v>0</v>
      </c>
      <c r="AD57" s="13"/>
      <c r="AE57" s="9">
        <v>0</v>
      </c>
      <c r="AF57" s="13"/>
      <c r="AG57" s="13"/>
      <c r="AH57" s="13" t="s">
        <v>31</v>
      </c>
      <c r="AI57" s="3"/>
      <c r="AJ57" s="50">
        <v>1900003382</v>
      </c>
      <c r="AK57" s="38">
        <v>1841371</v>
      </c>
      <c r="AL57" s="8">
        <f>+H57-AK57</f>
        <v>0</v>
      </c>
      <c r="AM57" s="13"/>
      <c r="AN57" s="13"/>
      <c r="AO57" s="13"/>
      <c r="AP57" s="13" t="s">
        <v>31</v>
      </c>
      <c r="AQ57" s="13"/>
      <c r="AR57" s="19">
        <v>1900004033</v>
      </c>
      <c r="AS57" s="38">
        <v>1841371</v>
      </c>
      <c r="AT57" s="8">
        <f>+H57-AS57</f>
        <v>0</v>
      </c>
      <c r="AU57" s="13"/>
      <c r="AV57" s="13">
        <v>0</v>
      </c>
      <c r="AW57" s="13"/>
      <c r="AX57" s="13" t="s">
        <v>31</v>
      </c>
      <c r="AY57" s="13"/>
      <c r="AZ57" s="79">
        <v>1900004116</v>
      </c>
      <c r="BA57" s="38">
        <v>1841371</v>
      </c>
      <c r="BB57" s="8">
        <f t="shared" si="22"/>
        <v>0</v>
      </c>
      <c r="BC57" s="13"/>
      <c r="BD57" s="13">
        <v>0</v>
      </c>
      <c r="BE57" s="13"/>
      <c r="BF57" s="13" t="s">
        <v>31</v>
      </c>
      <c r="BG57" s="13"/>
      <c r="BH57" s="13"/>
      <c r="BI57" s="38">
        <v>1841371</v>
      </c>
      <c r="BJ57" s="13">
        <v>0</v>
      </c>
      <c r="BK57" s="13"/>
      <c r="BL57" s="13">
        <v>0</v>
      </c>
      <c r="BM57" s="13"/>
      <c r="BN57" s="13" t="s">
        <v>31</v>
      </c>
      <c r="BO57" s="13"/>
      <c r="BP57" s="13"/>
      <c r="BQ57" s="38">
        <v>1841371</v>
      </c>
      <c r="BR57" s="13">
        <v>0</v>
      </c>
      <c r="BS57" s="13"/>
      <c r="BT57" s="13">
        <v>0</v>
      </c>
      <c r="BU57" s="13"/>
      <c r="BV57" s="13" t="s">
        <v>31</v>
      </c>
      <c r="BW57" s="13"/>
      <c r="BX57" s="13"/>
      <c r="BY57" s="13"/>
      <c r="BZ57" s="13"/>
      <c r="CA57" s="13"/>
      <c r="CB57" s="13"/>
      <c r="CC57" s="13"/>
      <c r="CD57" s="13"/>
      <c r="CE57" s="13"/>
      <c r="CF57" s="13"/>
    </row>
    <row r="58" spans="1:84" x14ac:dyDescent="0.25">
      <c r="A58" s="29" t="s">
        <v>264</v>
      </c>
      <c r="B58" s="13" t="s">
        <v>808</v>
      </c>
      <c r="C58" s="29" t="s">
        <v>809</v>
      </c>
      <c r="D58" s="29">
        <v>219464</v>
      </c>
      <c r="E58" s="32" t="s">
        <v>267</v>
      </c>
      <c r="F58" s="31" t="s">
        <v>624</v>
      </c>
      <c r="G58" s="38">
        <v>2452789</v>
      </c>
      <c r="H58" s="38">
        <v>1472810</v>
      </c>
      <c r="I58" s="8">
        <f t="shared" si="0"/>
        <v>-979979</v>
      </c>
      <c r="J58" s="10">
        <f t="shared" si="1"/>
        <v>-0.39953660914167505</v>
      </c>
      <c r="K58" s="11">
        <v>1546451</v>
      </c>
      <c r="L58" s="11">
        <f>+H58-K58</f>
        <v>-73641</v>
      </c>
      <c r="M58" s="11"/>
      <c r="N58" s="9">
        <f t="shared" si="2"/>
        <v>-5.0000339487102884E-2</v>
      </c>
      <c r="O58" s="13"/>
      <c r="P58" s="13" t="s">
        <v>38</v>
      </c>
      <c r="Q58" s="13"/>
      <c r="R58" s="13" t="s">
        <v>31</v>
      </c>
      <c r="S58" s="72" t="s">
        <v>32</v>
      </c>
      <c r="T58" s="38">
        <v>1472810</v>
      </c>
      <c r="U58" s="8">
        <f>+G58-T58</f>
        <v>979979</v>
      </c>
      <c r="V58" s="13"/>
      <c r="W58" s="9">
        <f>+U58/G58</f>
        <v>0.39953660914167505</v>
      </c>
      <c r="X58" s="13" t="s">
        <v>46</v>
      </c>
      <c r="Y58" s="13"/>
      <c r="Z58" s="13" t="s">
        <v>31</v>
      </c>
      <c r="AA58" s="72" t="s">
        <v>32</v>
      </c>
      <c r="AB58" s="38">
        <v>1472810</v>
      </c>
      <c r="AC58" s="38">
        <f>+H58-AB58</f>
        <v>0</v>
      </c>
      <c r="AD58" s="13"/>
      <c r="AE58" s="13">
        <v>0</v>
      </c>
      <c r="AF58" s="13"/>
      <c r="AG58" s="13"/>
      <c r="AH58" s="13" t="s">
        <v>31</v>
      </c>
      <c r="AI58" s="3"/>
      <c r="AJ58" s="19">
        <v>1900003534</v>
      </c>
      <c r="AK58" s="38">
        <v>1472810</v>
      </c>
      <c r="AL58" s="8">
        <f>+H58-AK58</f>
        <v>0</v>
      </c>
      <c r="AM58" s="13"/>
      <c r="AN58" s="13">
        <v>0</v>
      </c>
      <c r="AO58" s="13"/>
      <c r="AP58" s="13" t="s">
        <v>31</v>
      </c>
      <c r="AQ58" s="13"/>
      <c r="AR58" s="19">
        <v>1900003915</v>
      </c>
      <c r="AS58" s="38">
        <v>1472810</v>
      </c>
      <c r="AT58" s="8">
        <f>+H58-AS58</f>
        <v>0</v>
      </c>
      <c r="AU58" s="13"/>
      <c r="AV58" s="13">
        <v>0</v>
      </c>
      <c r="AW58" s="13"/>
      <c r="AX58" s="13" t="s">
        <v>31</v>
      </c>
      <c r="AY58" s="13"/>
      <c r="AZ58" s="80">
        <v>1900004454</v>
      </c>
      <c r="BA58" s="38">
        <v>1472810</v>
      </c>
      <c r="BB58" s="13">
        <v>0</v>
      </c>
      <c r="BC58" s="13"/>
      <c r="BD58" s="13">
        <v>0</v>
      </c>
      <c r="BE58" s="13"/>
      <c r="BF58" s="13" t="s">
        <v>31</v>
      </c>
      <c r="BG58" s="13"/>
      <c r="BH58" s="13"/>
      <c r="BI58" s="13"/>
      <c r="BJ58" s="13"/>
      <c r="BK58" s="13"/>
      <c r="BL58" s="13"/>
      <c r="BM58" s="13"/>
      <c r="BN58" s="13"/>
      <c r="BO58" s="13"/>
      <c r="BP58" s="13"/>
      <c r="BQ58" s="38">
        <v>1472810</v>
      </c>
      <c r="BR58" s="13">
        <v>0</v>
      </c>
      <c r="BS58" s="13"/>
      <c r="BT58" s="13">
        <v>0</v>
      </c>
      <c r="BU58" s="13"/>
      <c r="BV58" s="13" t="s">
        <v>31</v>
      </c>
      <c r="BW58" s="13"/>
      <c r="BX58" s="13"/>
      <c r="BY58" s="13"/>
      <c r="BZ58" s="13"/>
      <c r="CA58" s="13"/>
      <c r="CB58" s="13"/>
      <c r="CC58" s="13"/>
      <c r="CD58" s="13"/>
      <c r="CE58" s="13"/>
      <c r="CF58" s="13"/>
    </row>
    <row r="59" spans="1:84" ht="15.75" x14ac:dyDescent="0.25">
      <c r="A59" s="29" t="s">
        <v>268</v>
      </c>
      <c r="B59" s="13" t="s">
        <v>656</v>
      </c>
      <c r="C59" s="45">
        <v>9216</v>
      </c>
      <c r="D59" s="29">
        <v>204606</v>
      </c>
      <c r="E59" s="30" t="s">
        <v>657</v>
      </c>
      <c r="F59" s="18" t="s">
        <v>580</v>
      </c>
      <c r="G59" s="38">
        <v>2079357</v>
      </c>
      <c r="H59" s="38">
        <v>2079357</v>
      </c>
      <c r="I59" s="8">
        <f t="shared" si="0"/>
        <v>0</v>
      </c>
      <c r="J59" s="8">
        <f t="shared" si="1"/>
        <v>0</v>
      </c>
      <c r="K59" s="11">
        <v>1039679</v>
      </c>
      <c r="L59" s="11">
        <f>+H59-K59</f>
        <v>1039678</v>
      </c>
      <c r="M59" s="11"/>
      <c r="N59" s="9">
        <f>+L59/H59</f>
        <v>0.49999975954105041</v>
      </c>
      <c r="O59" s="13"/>
      <c r="P59" s="13" t="s">
        <v>38</v>
      </c>
      <c r="Q59" s="13" t="s">
        <v>122</v>
      </c>
      <c r="R59" s="13" t="s">
        <v>31</v>
      </c>
      <c r="S59" s="75" t="s">
        <v>83</v>
      </c>
      <c r="T59" s="42">
        <v>1039679</v>
      </c>
      <c r="U59" s="43">
        <f>+H59-T59</f>
        <v>1039678</v>
      </c>
      <c r="V59" s="13"/>
      <c r="W59" s="9">
        <f>+U59/H59</f>
        <v>0.49999975954105041</v>
      </c>
      <c r="X59" s="13" t="s">
        <v>46</v>
      </c>
      <c r="Y59" s="13" t="s">
        <v>122</v>
      </c>
      <c r="Z59" s="13" t="s">
        <v>31</v>
      </c>
      <c r="AA59" s="75" t="s">
        <v>83</v>
      </c>
      <c r="AB59" s="38">
        <v>1039679</v>
      </c>
      <c r="AC59" s="8">
        <f>+K59-AB59</f>
        <v>0</v>
      </c>
      <c r="AD59" s="13"/>
      <c r="AE59" s="9">
        <f>+AC59/H59</f>
        <v>0</v>
      </c>
      <c r="AF59" s="13" t="s">
        <v>38</v>
      </c>
      <c r="AG59" s="13"/>
      <c r="AH59" s="13" t="s">
        <v>31</v>
      </c>
      <c r="AI59" s="72" t="s">
        <v>32</v>
      </c>
      <c r="AJ59" s="49">
        <v>1900003315</v>
      </c>
      <c r="AK59" s="38">
        <v>1039679</v>
      </c>
      <c r="AL59" s="8">
        <f>+H59-AK59</f>
        <v>1039678</v>
      </c>
      <c r="AM59" s="13"/>
      <c r="AN59" s="9">
        <f>+AL59/H59</f>
        <v>0.49999975954105041</v>
      </c>
      <c r="AO59" s="13"/>
      <c r="AP59" s="13" t="s">
        <v>31</v>
      </c>
      <c r="AQ59" s="13"/>
      <c r="AR59" s="19">
        <v>1900003679</v>
      </c>
      <c r="AS59" s="38">
        <v>1039679</v>
      </c>
      <c r="AT59" s="8">
        <f>+H59-AS59</f>
        <v>1039678</v>
      </c>
      <c r="AU59" s="13"/>
      <c r="AV59" s="9">
        <f>+AT59/H59</f>
        <v>0.49999975954105041</v>
      </c>
      <c r="AW59" s="13"/>
      <c r="AX59" s="13" t="s">
        <v>31</v>
      </c>
      <c r="AY59" s="13"/>
      <c r="AZ59" s="79">
        <v>1900004204</v>
      </c>
      <c r="BA59" s="38">
        <v>2079357</v>
      </c>
      <c r="BB59" s="8">
        <f>+H59-BA59</f>
        <v>0</v>
      </c>
      <c r="BC59" s="13"/>
      <c r="BD59" s="13">
        <v>0</v>
      </c>
      <c r="BE59" s="13"/>
      <c r="BF59" s="13" t="s">
        <v>31</v>
      </c>
      <c r="BG59" s="13"/>
      <c r="BH59" s="13"/>
      <c r="BI59" s="38">
        <v>2079357</v>
      </c>
      <c r="BJ59" s="13">
        <v>0</v>
      </c>
      <c r="BK59" s="13"/>
      <c r="BL59" s="13">
        <v>0</v>
      </c>
      <c r="BM59" s="13"/>
      <c r="BN59" s="13" t="s">
        <v>31</v>
      </c>
      <c r="BO59" s="13"/>
      <c r="BP59" s="13"/>
      <c r="BQ59" s="38">
        <v>2079357</v>
      </c>
      <c r="BR59" s="13">
        <v>0</v>
      </c>
      <c r="BS59" s="13"/>
      <c r="BT59" s="13">
        <v>0</v>
      </c>
      <c r="BU59" s="13"/>
      <c r="BV59" s="13" t="s">
        <v>31</v>
      </c>
      <c r="BW59" s="13"/>
      <c r="BX59" s="13"/>
      <c r="BY59" s="38">
        <v>2079357</v>
      </c>
      <c r="BZ59" s="13">
        <v>0</v>
      </c>
      <c r="CA59" s="13"/>
      <c r="CB59" s="13">
        <v>0</v>
      </c>
      <c r="CC59" s="13"/>
      <c r="CD59" s="13" t="s">
        <v>31</v>
      </c>
      <c r="CE59" s="13"/>
      <c r="CF59" s="13"/>
    </row>
    <row r="60" spans="1:84" x14ac:dyDescent="0.25">
      <c r="A60" s="29" t="s">
        <v>271</v>
      </c>
      <c r="B60" s="13" t="s">
        <v>658</v>
      </c>
      <c r="C60" s="29">
        <v>9575</v>
      </c>
      <c r="D60" s="29">
        <v>204547</v>
      </c>
      <c r="E60" s="30" t="s">
        <v>273</v>
      </c>
      <c r="F60" s="24" t="s">
        <v>659</v>
      </c>
      <c r="G60" s="38">
        <v>1740899</v>
      </c>
      <c r="H60" s="38">
        <v>1740899</v>
      </c>
      <c r="I60" s="8">
        <f t="shared" si="0"/>
        <v>0</v>
      </c>
      <c r="J60" s="8">
        <f t="shared" si="1"/>
        <v>0</v>
      </c>
      <c r="K60" s="11">
        <f>1046864+875115</f>
        <v>1921979</v>
      </c>
      <c r="L60" s="11"/>
      <c r="M60" s="11"/>
      <c r="N60" s="8">
        <f t="shared" si="2"/>
        <v>0</v>
      </c>
      <c r="O60" s="13"/>
      <c r="P60" s="13"/>
      <c r="Q60" s="13"/>
      <c r="R60" s="13"/>
      <c r="S60" s="3"/>
      <c r="T60" s="13"/>
      <c r="U60" s="13"/>
      <c r="V60" s="13"/>
      <c r="W60" s="13"/>
      <c r="X60" s="13"/>
      <c r="Y60" s="13" t="s">
        <v>810</v>
      </c>
      <c r="Z60" s="13"/>
      <c r="AA60" s="3"/>
      <c r="AB60" s="13"/>
      <c r="AC60" s="13"/>
      <c r="AD60" s="13"/>
      <c r="AE60" s="13"/>
      <c r="AF60" s="13"/>
      <c r="AG60" s="13"/>
      <c r="AH60" s="13"/>
      <c r="AI60" s="3"/>
      <c r="AJ60" s="49"/>
      <c r="AK60" s="13"/>
      <c r="AL60" s="13"/>
      <c r="AM60" s="13"/>
      <c r="AN60" s="13"/>
      <c r="AO60" s="13"/>
      <c r="AP60" s="13"/>
      <c r="AQ60" s="13"/>
      <c r="AR60" s="19"/>
      <c r="AS60" s="13"/>
      <c r="AT60" s="13"/>
      <c r="AU60" s="13"/>
      <c r="AV60" s="13"/>
      <c r="AW60" s="13"/>
      <c r="AX60" s="13"/>
      <c r="AY60" s="13"/>
      <c r="AZ60" s="79"/>
      <c r="BA60" s="13"/>
      <c r="BB60" s="13"/>
      <c r="BC60" s="13"/>
      <c r="BD60" s="13"/>
      <c r="BE60" s="13"/>
      <c r="BF60" s="13"/>
      <c r="BG60" s="13"/>
      <c r="BH60" s="13"/>
      <c r="BI60" s="42">
        <v>1740899</v>
      </c>
      <c r="BJ60" s="13">
        <v>0</v>
      </c>
      <c r="BK60" s="13"/>
      <c r="BL60" s="13">
        <v>0</v>
      </c>
      <c r="BM60" s="13"/>
      <c r="BN60" s="13" t="s">
        <v>31</v>
      </c>
      <c r="BO60" s="13"/>
      <c r="BP60" s="13"/>
      <c r="BQ60" s="38">
        <v>1740899</v>
      </c>
      <c r="BR60" s="13">
        <v>0</v>
      </c>
      <c r="BS60" s="13"/>
      <c r="BT60" s="13">
        <v>0</v>
      </c>
      <c r="BU60" s="13"/>
      <c r="BV60" s="13" t="s">
        <v>31</v>
      </c>
      <c r="BW60" s="13"/>
      <c r="BX60" s="13"/>
      <c r="BY60" s="13"/>
      <c r="BZ60" s="13"/>
      <c r="CA60" s="13"/>
      <c r="CB60" s="13"/>
      <c r="CC60" s="13"/>
      <c r="CD60" s="13"/>
      <c r="CE60" s="13"/>
      <c r="CF60" s="13"/>
    </row>
    <row r="61" spans="1:84" x14ac:dyDescent="0.25">
      <c r="A61" s="2" t="s">
        <v>275</v>
      </c>
      <c r="B61" s="13" t="s">
        <v>660</v>
      </c>
      <c r="C61" s="2">
        <v>9636</v>
      </c>
      <c r="D61" s="14" t="s">
        <v>661</v>
      </c>
      <c r="E61" s="15" t="s">
        <v>662</v>
      </c>
      <c r="F61" s="16" t="s">
        <v>663</v>
      </c>
      <c r="G61" s="38">
        <v>5003353</v>
      </c>
      <c r="H61" s="38">
        <v>5003353</v>
      </c>
      <c r="I61" s="8">
        <f t="shared" si="0"/>
        <v>0</v>
      </c>
      <c r="J61" s="8">
        <f t="shared" si="1"/>
        <v>0</v>
      </c>
      <c r="K61" s="11">
        <v>2201475</v>
      </c>
      <c r="L61" s="11">
        <v>2801878</v>
      </c>
      <c r="M61" s="11"/>
      <c r="N61" s="9">
        <f t="shared" si="2"/>
        <v>0.56000006395711033</v>
      </c>
      <c r="O61" s="13"/>
      <c r="P61" s="13" t="s">
        <v>46</v>
      </c>
      <c r="Q61" s="13"/>
      <c r="R61" s="13" t="s">
        <v>31</v>
      </c>
      <c r="S61" s="3"/>
      <c r="T61" s="38">
        <v>2901945</v>
      </c>
      <c r="U61" s="8">
        <f>+H61-T61</f>
        <v>2101408</v>
      </c>
      <c r="V61" s="13"/>
      <c r="W61" s="9">
        <f>+U61/H61</f>
        <v>0.41999994803484786</v>
      </c>
      <c r="X61" s="13" t="s">
        <v>46</v>
      </c>
      <c r="Y61" s="13"/>
      <c r="Z61" s="13" t="s">
        <v>31</v>
      </c>
      <c r="AA61" s="3"/>
      <c r="AB61" s="38">
        <v>4002682</v>
      </c>
      <c r="AC61" s="8">
        <f>+H61-AB61</f>
        <v>1000671</v>
      </c>
      <c r="AD61" s="13"/>
      <c r="AE61" s="9">
        <f>+AC61/H61</f>
        <v>0.20000007994638797</v>
      </c>
      <c r="AF61" s="13"/>
      <c r="AG61" s="13"/>
      <c r="AH61" s="13" t="s">
        <v>31</v>
      </c>
      <c r="AI61" s="3"/>
      <c r="AJ61" s="50">
        <v>1900003473</v>
      </c>
      <c r="AK61" s="38">
        <v>4442977</v>
      </c>
      <c r="AL61" s="8">
        <f>+H61-AK61</f>
        <v>560376</v>
      </c>
      <c r="AM61" s="13"/>
      <c r="AN61" s="9">
        <f>+AL61/H61</f>
        <v>0.11200009273781003</v>
      </c>
      <c r="AO61" s="13"/>
      <c r="AP61" s="13" t="s">
        <v>31</v>
      </c>
      <c r="AQ61" s="13"/>
      <c r="AR61" s="19">
        <v>1900003947</v>
      </c>
      <c r="AS61" s="38">
        <v>3902615</v>
      </c>
      <c r="AT61" s="8">
        <f>+H61-AS61</f>
        <v>1100738</v>
      </c>
      <c r="AU61" s="13"/>
      <c r="AV61" s="9">
        <f>+AT61/H61</f>
        <v>0.22000006795442975</v>
      </c>
      <c r="AW61" s="13"/>
      <c r="AX61" s="13" t="s">
        <v>31</v>
      </c>
      <c r="AY61" s="13"/>
      <c r="AZ61" s="78">
        <v>1900004300</v>
      </c>
      <c r="BA61" s="38">
        <v>3902615</v>
      </c>
      <c r="BB61" s="8">
        <f>+H61-BA61</f>
        <v>1100738</v>
      </c>
      <c r="BC61" s="13"/>
      <c r="BD61" s="9">
        <f>+BB61/H61</f>
        <v>0.22000006795442975</v>
      </c>
      <c r="BE61" s="13"/>
      <c r="BF61" s="13" t="s">
        <v>31</v>
      </c>
      <c r="BG61" s="13"/>
      <c r="BH61" s="13"/>
      <c r="BI61" s="38">
        <f>5003353-1100738</f>
        <v>3902615</v>
      </c>
      <c r="BJ61" s="8">
        <f>+H61-BI61</f>
        <v>1100738</v>
      </c>
      <c r="BK61" s="13"/>
      <c r="BL61" s="9">
        <f>+BJ61/H61</f>
        <v>0.22000006795442975</v>
      </c>
      <c r="BM61" s="13"/>
      <c r="BN61" s="13" t="s">
        <v>31</v>
      </c>
      <c r="BO61" s="13"/>
      <c r="BP61" s="13"/>
      <c r="BQ61" s="38">
        <v>3902615</v>
      </c>
      <c r="BR61" s="8">
        <f>+H61-BQ61</f>
        <v>1100738</v>
      </c>
      <c r="BS61" s="13"/>
      <c r="BT61" s="9">
        <f>+BR61/H61</f>
        <v>0.22000006795442975</v>
      </c>
      <c r="BU61" s="13"/>
      <c r="BV61" s="13" t="s">
        <v>31</v>
      </c>
      <c r="BW61" s="13"/>
      <c r="BX61" s="13"/>
      <c r="BY61" s="38">
        <v>5003353</v>
      </c>
      <c r="BZ61" s="13">
        <v>0</v>
      </c>
      <c r="CA61" s="13"/>
      <c r="CB61" s="13">
        <v>0</v>
      </c>
      <c r="CC61" s="13"/>
      <c r="CD61" s="13" t="s">
        <v>31</v>
      </c>
      <c r="CE61" s="13"/>
      <c r="CF61" s="13"/>
    </row>
    <row r="62" spans="1:84" ht="15.75" x14ac:dyDescent="0.25">
      <c r="A62" s="2" t="s">
        <v>281</v>
      </c>
      <c r="B62" s="13" t="s">
        <v>664</v>
      </c>
      <c r="C62" s="2"/>
      <c r="D62" s="1">
        <v>214089</v>
      </c>
      <c r="E62" s="13" t="s">
        <v>284</v>
      </c>
      <c r="F62" s="16" t="s">
        <v>565</v>
      </c>
      <c r="G62" s="38">
        <v>2294188</v>
      </c>
      <c r="H62" s="38">
        <v>2294188</v>
      </c>
      <c r="I62" s="8">
        <f t="shared" si="0"/>
        <v>0</v>
      </c>
      <c r="J62" s="8">
        <f t="shared" si="1"/>
        <v>0</v>
      </c>
      <c r="K62" s="11">
        <v>2294188</v>
      </c>
      <c r="L62" s="11"/>
      <c r="M62" s="11"/>
      <c r="N62" s="9"/>
      <c r="O62" s="13"/>
      <c r="P62" s="13" t="s">
        <v>38</v>
      </c>
      <c r="Q62" s="13" t="s">
        <v>780</v>
      </c>
      <c r="R62" s="13" t="s">
        <v>31</v>
      </c>
      <c r="S62" s="75" t="s">
        <v>83</v>
      </c>
      <c r="T62" s="38">
        <v>2294188</v>
      </c>
      <c r="U62" s="8">
        <f>+H62-T62</f>
        <v>0</v>
      </c>
      <c r="V62" s="13"/>
      <c r="W62" s="13">
        <v>0</v>
      </c>
      <c r="X62" s="13" t="s">
        <v>38</v>
      </c>
      <c r="Y62" s="13"/>
      <c r="Z62" s="13" t="s">
        <v>31</v>
      </c>
      <c r="AA62" s="3"/>
      <c r="AB62" s="38">
        <v>2294188</v>
      </c>
      <c r="AC62" s="8">
        <f>+K62-AB62</f>
        <v>0</v>
      </c>
      <c r="AD62" s="13"/>
      <c r="AE62" s="9">
        <f>+AC62/H62</f>
        <v>0</v>
      </c>
      <c r="AF62" s="13" t="s">
        <v>38</v>
      </c>
      <c r="AG62" s="13"/>
      <c r="AH62" s="13" t="s">
        <v>31</v>
      </c>
      <c r="AI62" s="3"/>
      <c r="AJ62" s="49">
        <v>1900003316</v>
      </c>
      <c r="AK62" s="38">
        <v>2294188</v>
      </c>
      <c r="AL62" s="13">
        <v>0</v>
      </c>
      <c r="AM62" s="13"/>
      <c r="AN62" s="13">
        <v>0</v>
      </c>
      <c r="AO62" s="13"/>
      <c r="AP62" s="13" t="s">
        <v>31</v>
      </c>
      <c r="AQ62" s="13"/>
      <c r="AR62" s="19">
        <v>1900003753</v>
      </c>
      <c r="AS62" s="38">
        <v>2294188</v>
      </c>
      <c r="AT62" s="8">
        <f>+H62-AS62</f>
        <v>0</v>
      </c>
      <c r="AU62" s="13"/>
      <c r="AV62" s="9">
        <f>+AT62/H62</f>
        <v>0</v>
      </c>
      <c r="AW62" s="13"/>
      <c r="AX62" s="13" t="s">
        <v>31</v>
      </c>
      <c r="AY62" s="13"/>
      <c r="AZ62" s="79">
        <v>1900004159</v>
      </c>
      <c r="BA62" s="38">
        <v>2294188</v>
      </c>
      <c r="BB62" s="8">
        <f>+H62-BA62</f>
        <v>0</v>
      </c>
      <c r="BC62" s="13"/>
      <c r="BD62" s="13">
        <v>0</v>
      </c>
      <c r="BE62" s="13"/>
      <c r="BF62" s="13" t="s">
        <v>31</v>
      </c>
      <c r="BG62" s="13"/>
      <c r="BH62" s="13"/>
      <c r="BI62" s="38">
        <v>2294188</v>
      </c>
      <c r="BJ62" s="13">
        <v>0</v>
      </c>
      <c r="BK62" s="13"/>
      <c r="BL62" s="13">
        <v>0</v>
      </c>
      <c r="BM62" s="13"/>
      <c r="BN62" s="13" t="s">
        <v>31</v>
      </c>
      <c r="BO62" s="13"/>
      <c r="BP62" s="13"/>
      <c r="BQ62" s="38">
        <v>2294188</v>
      </c>
      <c r="BR62" s="13">
        <v>0</v>
      </c>
      <c r="BS62" s="13"/>
      <c r="BT62" s="13">
        <v>0</v>
      </c>
      <c r="BU62" s="13"/>
      <c r="BV62" s="13" t="s">
        <v>31</v>
      </c>
      <c r="BW62" s="13"/>
      <c r="BX62" s="13"/>
      <c r="BY62" s="13"/>
      <c r="BZ62" s="13"/>
      <c r="CA62" s="13"/>
      <c r="CB62" s="13"/>
      <c r="CC62" s="13"/>
      <c r="CD62" s="13"/>
      <c r="CE62" s="13"/>
      <c r="CF62" s="13"/>
    </row>
    <row r="63" spans="1:84" x14ac:dyDescent="0.25">
      <c r="A63" s="1" t="s">
        <v>292</v>
      </c>
      <c r="B63" s="25" t="s">
        <v>811</v>
      </c>
      <c r="C63" s="23">
        <v>6586</v>
      </c>
      <c r="D63" s="21">
        <v>204692</v>
      </c>
      <c r="E63" s="17" t="s">
        <v>812</v>
      </c>
      <c r="F63" s="33" t="s">
        <v>813</v>
      </c>
      <c r="G63" s="38">
        <v>329580</v>
      </c>
      <c r="H63" s="38">
        <v>329580</v>
      </c>
      <c r="I63" s="8">
        <f t="shared" si="0"/>
        <v>0</v>
      </c>
      <c r="J63" s="8">
        <f t="shared" si="1"/>
        <v>0</v>
      </c>
      <c r="K63" s="11"/>
      <c r="L63" s="11"/>
      <c r="M63" s="11"/>
      <c r="N63" s="8">
        <f t="shared" si="2"/>
        <v>0</v>
      </c>
      <c r="O63" s="13"/>
      <c r="P63" s="13"/>
      <c r="Q63" s="13"/>
      <c r="R63" s="13"/>
      <c r="S63" s="3"/>
      <c r="T63" s="13"/>
      <c r="U63" s="13"/>
      <c r="V63" s="13"/>
      <c r="W63" s="13"/>
      <c r="X63" s="13"/>
      <c r="Y63" s="13"/>
      <c r="Z63" s="13"/>
      <c r="AA63" s="3"/>
      <c r="AB63" s="13"/>
      <c r="AC63" s="13"/>
      <c r="AD63" s="13"/>
      <c r="AE63" s="13"/>
      <c r="AF63" s="13"/>
      <c r="AG63" s="13"/>
      <c r="AH63" s="13"/>
      <c r="AI63" s="3"/>
      <c r="AJ63" s="49"/>
      <c r="AK63" s="38">
        <v>329580</v>
      </c>
      <c r="AL63" s="8">
        <f t="shared" ref="AL63:AL71" si="25">+H63-AK63</f>
        <v>0</v>
      </c>
      <c r="AM63" s="13"/>
      <c r="AN63" s="8">
        <f>+AL63/H63</f>
        <v>0</v>
      </c>
      <c r="AO63" s="13"/>
      <c r="AP63" s="13" t="s">
        <v>31</v>
      </c>
      <c r="AQ63" s="13"/>
      <c r="AR63" s="19">
        <v>1900003862</v>
      </c>
      <c r="AS63" s="38">
        <v>329580</v>
      </c>
      <c r="AT63" s="13">
        <v>0</v>
      </c>
      <c r="AU63" s="13"/>
      <c r="AV63" s="13">
        <v>0</v>
      </c>
      <c r="AW63" s="13"/>
      <c r="AX63" s="13"/>
      <c r="AY63" s="13"/>
      <c r="AZ63" s="79">
        <v>1900004139</v>
      </c>
      <c r="BA63" s="38">
        <v>329580</v>
      </c>
      <c r="BB63" s="13">
        <v>0</v>
      </c>
      <c r="BC63" s="13"/>
      <c r="BD63" s="13">
        <v>0</v>
      </c>
      <c r="BE63" s="13"/>
      <c r="BF63" s="13" t="s">
        <v>31</v>
      </c>
      <c r="BG63" s="13"/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  <c r="BS63" s="13"/>
      <c r="BT63" s="13"/>
      <c r="BU63" s="13"/>
      <c r="BV63" s="13"/>
      <c r="BW63" s="13"/>
      <c r="BX63" s="13"/>
      <c r="BY63" s="13"/>
      <c r="BZ63" s="13"/>
      <c r="CA63" s="13"/>
      <c r="CB63" s="13"/>
      <c r="CC63" s="13"/>
      <c r="CD63" s="13"/>
      <c r="CE63" s="13"/>
      <c r="CF63" s="13"/>
    </row>
    <row r="64" spans="1:84" x14ac:dyDescent="0.25">
      <c r="A64" s="1" t="s">
        <v>295</v>
      </c>
      <c r="B64" s="25" t="s">
        <v>665</v>
      </c>
      <c r="C64" s="23">
        <v>6598</v>
      </c>
      <c r="D64" s="21">
        <v>204741</v>
      </c>
      <c r="E64" s="17" t="s">
        <v>666</v>
      </c>
      <c r="F64" s="18" t="s">
        <v>667</v>
      </c>
      <c r="G64" s="38">
        <v>1079591</v>
      </c>
      <c r="H64" s="38">
        <v>1079591</v>
      </c>
      <c r="I64" s="8">
        <f t="shared" si="0"/>
        <v>0</v>
      </c>
      <c r="J64" s="8">
        <f t="shared" si="1"/>
        <v>0</v>
      </c>
      <c r="K64" s="11"/>
      <c r="L64" s="11"/>
      <c r="M64" s="11"/>
      <c r="N64" s="8">
        <f t="shared" si="2"/>
        <v>0</v>
      </c>
      <c r="O64" s="13"/>
      <c r="P64" s="13"/>
      <c r="Q64" s="13"/>
      <c r="R64" s="13"/>
      <c r="S64" s="3"/>
      <c r="T64" s="38">
        <f>1061246+1335055</f>
        <v>2396301</v>
      </c>
      <c r="U64" s="13"/>
      <c r="V64" s="13"/>
      <c r="W64" s="13"/>
      <c r="X64" s="13" t="s">
        <v>38</v>
      </c>
      <c r="Y64" s="13" t="s">
        <v>814</v>
      </c>
      <c r="Z64" s="13" t="s">
        <v>31</v>
      </c>
      <c r="AA64" s="3"/>
      <c r="AB64" s="13"/>
      <c r="AC64" s="13"/>
      <c r="AD64" s="13"/>
      <c r="AE64" s="13"/>
      <c r="AF64" s="13"/>
      <c r="AG64" s="13"/>
      <c r="AH64" s="13"/>
      <c r="AI64" s="3"/>
      <c r="AJ64" s="49"/>
      <c r="AK64" s="38">
        <v>1061246</v>
      </c>
      <c r="AL64" s="8">
        <f t="shared" si="25"/>
        <v>18345</v>
      </c>
      <c r="AM64" s="13"/>
      <c r="AN64" s="9">
        <f>+AL64/H64</f>
        <v>1.699254625131184E-2</v>
      </c>
      <c r="AO64" s="13"/>
      <c r="AP64" s="13" t="s">
        <v>31</v>
      </c>
      <c r="AQ64" s="13"/>
      <c r="AR64" s="19">
        <v>1900003876</v>
      </c>
      <c r="AS64" s="13"/>
      <c r="AT64" s="13"/>
      <c r="AU64" s="13"/>
      <c r="AV64" s="13"/>
      <c r="AW64" s="13"/>
      <c r="AX64" s="13"/>
      <c r="AY64" s="13"/>
      <c r="AZ64" s="79" t="s">
        <v>788</v>
      </c>
      <c r="BA64" s="38">
        <v>1061246</v>
      </c>
      <c r="BB64" s="8">
        <f>+H64-BA64</f>
        <v>18345</v>
      </c>
      <c r="BC64" s="13"/>
      <c r="BD64" s="9">
        <f>+BB64/H64</f>
        <v>1.699254625131184E-2</v>
      </c>
      <c r="BE64" s="13"/>
      <c r="BF64" s="13" t="s">
        <v>31</v>
      </c>
      <c r="BG64" s="13"/>
      <c r="BH64" s="13"/>
      <c r="BI64" s="38">
        <v>1061246</v>
      </c>
      <c r="BJ64" s="8">
        <f>+H64-BI64</f>
        <v>18345</v>
      </c>
      <c r="BK64" s="13"/>
      <c r="BL64" s="9">
        <f>+BJ64/H64</f>
        <v>1.699254625131184E-2</v>
      </c>
      <c r="BM64" s="13"/>
      <c r="BN64" s="13" t="s">
        <v>31</v>
      </c>
      <c r="BO64" s="13"/>
      <c r="BP64" s="13"/>
      <c r="BQ64" s="38">
        <v>1061246</v>
      </c>
      <c r="BR64" s="13">
        <v>0</v>
      </c>
      <c r="BS64" s="13"/>
      <c r="BT64" s="13">
        <v>0</v>
      </c>
      <c r="BU64" s="13"/>
      <c r="BV64" s="13" t="s">
        <v>31</v>
      </c>
      <c r="BW64" s="13"/>
      <c r="BX64" s="13"/>
      <c r="BY64" s="38">
        <v>1061246</v>
      </c>
      <c r="BZ64" s="13">
        <v>0</v>
      </c>
      <c r="CA64" s="13"/>
      <c r="CB64" s="13">
        <v>0</v>
      </c>
      <c r="CC64" s="13"/>
      <c r="CD64" s="13" t="s">
        <v>31</v>
      </c>
      <c r="CE64" s="13"/>
      <c r="CF64" s="13"/>
    </row>
    <row r="65" spans="1:84" x14ac:dyDescent="0.25">
      <c r="A65" s="1" t="s">
        <v>299</v>
      </c>
      <c r="B65" s="25" t="s">
        <v>815</v>
      </c>
      <c r="C65" s="23">
        <v>6599</v>
      </c>
      <c r="D65" s="21">
        <v>204741</v>
      </c>
      <c r="E65" s="17" t="s">
        <v>666</v>
      </c>
      <c r="F65" s="18" t="s">
        <v>667</v>
      </c>
      <c r="G65" s="8">
        <v>1214811</v>
      </c>
      <c r="H65" s="38">
        <v>1214811</v>
      </c>
      <c r="I65" s="8">
        <f t="shared" si="0"/>
        <v>0</v>
      </c>
      <c r="J65" s="8">
        <f t="shared" si="1"/>
        <v>0</v>
      </c>
      <c r="K65" s="11">
        <v>1502272</v>
      </c>
      <c r="L65" s="11">
        <f>+H65-K65</f>
        <v>-287461</v>
      </c>
      <c r="M65" s="11"/>
      <c r="N65" s="9">
        <f t="shared" si="2"/>
        <v>-0.23663022478393758</v>
      </c>
      <c r="O65" s="13"/>
      <c r="P65" s="13" t="s">
        <v>38</v>
      </c>
      <c r="Q65" s="13"/>
      <c r="R65" s="13" t="s">
        <v>31</v>
      </c>
      <c r="S65" s="72" t="s">
        <v>55</v>
      </c>
      <c r="T65" s="38">
        <v>1194198</v>
      </c>
      <c r="U65" s="8">
        <f t="shared" ref="U65:U71" si="26">+H65-T65</f>
        <v>20613</v>
      </c>
      <c r="V65" s="13"/>
      <c r="W65" s="9">
        <f>+U65/H65</f>
        <v>1.696807157656623E-2</v>
      </c>
      <c r="X65" s="13" t="s">
        <v>38</v>
      </c>
      <c r="Y65" s="13" t="s">
        <v>816</v>
      </c>
      <c r="Z65" s="13" t="s">
        <v>31</v>
      </c>
      <c r="AA65" s="72" t="s">
        <v>47</v>
      </c>
      <c r="AB65" s="38">
        <v>1194168</v>
      </c>
      <c r="AC65" s="8">
        <f t="shared" ref="AC65:AC71" si="27">+H65-AB65</f>
        <v>20643</v>
      </c>
      <c r="AD65" s="13"/>
      <c r="AE65" s="9">
        <f>+AC65/H65</f>
        <v>1.6992766776066402E-2</v>
      </c>
      <c r="AF65" s="13" t="s">
        <v>38</v>
      </c>
      <c r="AG65" s="13"/>
      <c r="AH65" s="13" t="s">
        <v>31</v>
      </c>
      <c r="AI65" s="72" t="s">
        <v>47</v>
      </c>
      <c r="AJ65" s="49">
        <v>1900003283</v>
      </c>
      <c r="AK65" s="38">
        <v>1194168</v>
      </c>
      <c r="AL65" s="8">
        <f t="shared" si="25"/>
        <v>20643</v>
      </c>
      <c r="AM65" s="13"/>
      <c r="AN65" s="9">
        <f>+AL65/H65</f>
        <v>1.6992766776066402E-2</v>
      </c>
      <c r="AO65" s="13"/>
      <c r="AP65" s="13" t="s">
        <v>31</v>
      </c>
      <c r="AQ65" s="13"/>
      <c r="AR65" s="19">
        <v>1900003789</v>
      </c>
      <c r="AS65" s="38">
        <v>1194168</v>
      </c>
      <c r="AT65" s="8">
        <f t="shared" ref="AT65:AT71" si="28">+H65-AS65</f>
        <v>20643</v>
      </c>
      <c r="AU65" s="13"/>
      <c r="AV65" s="9">
        <f t="shared" ref="AV65:AV71" si="29">+AT65/H65</f>
        <v>1.6992766776066402E-2</v>
      </c>
      <c r="AW65" s="13"/>
      <c r="AX65" s="13" t="s">
        <v>31</v>
      </c>
      <c r="AY65" s="13"/>
      <c r="AZ65" s="78">
        <v>1900004276</v>
      </c>
      <c r="BA65" s="38">
        <v>1194169</v>
      </c>
      <c r="BB65" s="8">
        <f>+H65-BA65</f>
        <v>20642</v>
      </c>
      <c r="BC65" s="13"/>
      <c r="BD65" s="9">
        <f>+BB65/H65</f>
        <v>1.6991943602749728E-2</v>
      </c>
      <c r="BE65" s="13"/>
      <c r="BF65" s="13" t="s">
        <v>31</v>
      </c>
      <c r="BG65" s="13"/>
      <c r="BH65" s="13"/>
      <c r="BI65" s="38">
        <v>1194169</v>
      </c>
      <c r="BJ65" s="8">
        <f>+H65-BI65</f>
        <v>20642</v>
      </c>
      <c r="BK65" s="13"/>
      <c r="BL65" s="9">
        <f>+BJ65/H65</f>
        <v>1.6991943602749728E-2</v>
      </c>
      <c r="BM65" s="13"/>
      <c r="BN65" s="13" t="s">
        <v>31</v>
      </c>
      <c r="BO65" s="13"/>
      <c r="BP65" s="13"/>
      <c r="BQ65" s="13" t="s">
        <v>817</v>
      </c>
      <c r="BR65" s="13"/>
      <c r="BS65" s="13"/>
      <c r="BT65" s="13"/>
      <c r="BU65" s="13"/>
      <c r="BV65" s="13" t="s">
        <v>31</v>
      </c>
      <c r="BW65" s="13"/>
      <c r="BX65" s="13"/>
      <c r="BY65" s="13"/>
      <c r="BZ65" s="13"/>
      <c r="CA65" s="13"/>
      <c r="CB65" s="13"/>
      <c r="CC65" s="13"/>
      <c r="CD65" s="13"/>
      <c r="CE65" s="13"/>
      <c r="CF65" s="13"/>
    </row>
    <row r="66" spans="1:84" ht="15.75" x14ac:dyDescent="0.25">
      <c r="A66" s="1" t="s">
        <v>302</v>
      </c>
      <c r="B66" s="25" t="s">
        <v>668</v>
      </c>
      <c r="C66" s="23">
        <v>6600</v>
      </c>
      <c r="D66" s="21">
        <v>204546</v>
      </c>
      <c r="E66" s="17" t="s">
        <v>669</v>
      </c>
      <c r="F66" s="18" t="s">
        <v>670</v>
      </c>
      <c r="G66" s="38">
        <v>1893803</v>
      </c>
      <c r="H66" s="38">
        <v>1915824</v>
      </c>
      <c r="I66" s="8">
        <f t="shared" si="0"/>
        <v>22021</v>
      </c>
      <c r="J66" s="10">
        <f t="shared" si="1"/>
        <v>1.1627925396675367E-2</v>
      </c>
      <c r="K66" s="11">
        <f>963028+931116</f>
        <v>1894144</v>
      </c>
      <c r="L66" s="11">
        <f>+H66-K66</f>
        <v>21680</v>
      </c>
      <c r="M66" s="11"/>
      <c r="N66" s="9">
        <f t="shared" si="2"/>
        <v>1.131627957474173E-2</v>
      </c>
      <c r="O66" s="13"/>
      <c r="P66" s="13" t="s">
        <v>38</v>
      </c>
      <c r="Q66" s="13"/>
      <c r="R66" s="13" t="s">
        <v>31</v>
      </c>
      <c r="S66" s="75" t="s">
        <v>83</v>
      </c>
      <c r="T66" s="42">
        <f>928680+963028</f>
        <v>1891708</v>
      </c>
      <c r="U66" s="43">
        <f t="shared" si="26"/>
        <v>24116</v>
      </c>
      <c r="V66" s="13"/>
      <c r="W66" s="9">
        <f>+U66/H66</f>
        <v>1.2587795121054962E-2</v>
      </c>
      <c r="X66" s="13" t="s">
        <v>38</v>
      </c>
      <c r="Y66" s="13"/>
      <c r="Z66" s="13" t="s">
        <v>31</v>
      </c>
      <c r="AA66" s="75" t="s">
        <v>47</v>
      </c>
      <c r="AB66" s="42">
        <f>928680+963028</f>
        <v>1891708</v>
      </c>
      <c r="AC66" s="8">
        <f t="shared" si="27"/>
        <v>24116</v>
      </c>
      <c r="AD66" s="13"/>
      <c r="AE66" s="9">
        <f>+AC66/G66</f>
        <v>1.2734165063631222E-2</v>
      </c>
      <c r="AF66" s="13"/>
      <c r="AG66" s="13"/>
      <c r="AH66" s="13" t="s">
        <v>31</v>
      </c>
      <c r="AI66" s="3"/>
      <c r="AJ66" s="49" t="s">
        <v>818</v>
      </c>
      <c r="AK66" s="38">
        <f>356705+927773</f>
        <v>1284478</v>
      </c>
      <c r="AL66" s="8">
        <f t="shared" si="25"/>
        <v>631346</v>
      </c>
      <c r="AM66" s="38">
        <f>211532+203955</f>
        <v>415487</v>
      </c>
      <c r="AN66" s="9">
        <f>+(AL66+AM66)/H66</f>
        <v>0.54641397122073843</v>
      </c>
      <c r="AO66" s="13"/>
      <c r="AP66" s="13" t="s">
        <v>31</v>
      </c>
      <c r="AQ66" s="13"/>
      <c r="AR66" s="19" t="s">
        <v>819</v>
      </c>
      <c r="AS66" s="38">
        <f>367970+356705</f>
        <v>724675</v>
      </c>
      <c r="AT66" s="8">
        <f t="shared" si="28"/>
        <v>1191149</v>
      </c>
      <c r="AU66" s="13"/>
      <c r="AV66" s="9">
        <f t="shared" si="29"/>
        <v>0.62174239387334118</v>
      </c>
      <c r="AW66" s="13"/>
      <c r="AX66" s="13" t="s">
        <v>31</v>
      </c>
      <c r="AY66" s="13"/>
      <c r="AZ66" s="78" t="s">
        <v>820</v>
      </c>
      <c r="BA66" s="38">
        <f>+AS66</f>
        <v>724675</v>
      </c>
      <c r="BB66" s="13">
        <v>0</v>
      </c>
      <c r="BC66" s="13"/>
      <c r="BD66" s="13">
        <v>0</v>
      </c>
      <c r="BE66" s="13"/>
      <c r="BF66" s="13" t="s">
        <v>31</v>
      </c>
      <c r="BG66" s="13"/>
      <c r="BH66" s="13"/>
      <c r="BI66" s="38">
        <f>356705+367970</f>
        <v>724675</v>
      </c>
      <c r="BJ66" s="13">
        <v>0</v>
      </c>
      <c r="BK66" s="13"/>
      <c r="BL66" s="13">
        <v>0</v>
      </c>
      <c r="BM66" s="13"/>
      <c r="BN66" s="13" t="s">
        <v>31</v>
      </c>
      <c r="BO66" s="13"/>
      <c r="BP66" s="13"/>
      <c r="BQ66" s="13"/>
      <c r="BR66" s="13"/>
      <c r="BS66" s="13"/>
      <c r="BT66" s="13"/>
      <c r="BU66" s="13"/>
      <c r="BV66" s="13"/>
      <c r="BW66" s="13"/>
      <c r="BX66" s="13"/>
      <c r="BY66" s="38">
        <v>899851</v>
      </c>
      <c r="BZ66" s="13">
        <v>0</v>
      </c>
      <c r="CA66" s="13"/>
      <c r="CB66" s="13">
        <v>0</v>
      </c>
      <c r="CC66" s="13"/>
      <c r="CD66" s="13" t="s">
        <v>31</v>
      </c>
      <c r="CE66" s="13"/>
      <c r="CF66" s="13"/>
    </row>
    <row r="67" spans="1:84" x14ac:dyDescent="0.25">
      <c r="A67" s="1" t="s">
        <v>311</v>
      </c>
      <c r="B67" s="25" t="s">
        <v>671</v>
      </c>
      <c r="C67" s="23">
        <v>6602</v>
      </c>
      <c r="D67" s="21">
        <v>204592</v>
      </c>
      <c r="E67" s="17" t="s">
        <v>672</v>
      </c>
      <c r="F67" s="18" t="s">
        <v>673</v>
      </c>
      <c r="G67" s="38">
        <v>3924155</v>
      </c>
      <c r="H67" s="38">
        <v>3173456</v>
      </c>
      <c r="I67" s="8">
        <f t="shared" si="0"/>
        <v>-750699</v>
      </c>
      <c r="J67" s="10">
        <f t="shared" si="1"/>
        <v>-0.19130207649799766</v>
      </c>
      <c r="K67" s="11">
        <v>3142362</v>
      </c>
      <c r="L67" s="11">
        <f>+H67-K67</f>
        <v>31094</v>
      </c>
      <c r="M67" s="11"/>
      <c r="N67" s="9">
        <f t="shared" si="2"/>
        <v>9.7981506597223968E-3</v>
      </c>
      <c r="O67" s="13"/>
      <c r="P67" s="13"/>
      <c r="Q67" s="13" t="s">
        <v>821</v>
      </c>
      <c r="R67" s="13"/>
      <c r="S67" s="3"/>
      <c r="T67" s="38">
        <v>3027324</v>
      </c>
      <c r="U67" s="8">
        <f t="shared" si="26"/>
        <v>146132</v>
      </c>
      <c r="V67" s="13"/>
      <c r="W67" s="9">
        <f>+U67/H67</f>
        <v>4.6048219984773694E-2</v>
      </c>
      <c r="X67" s="13"/>
      <c r="Y67" s="13"/>
      <c r="Z67" s="13"/>
      <c r="AA67" s="3"/>
      <c r="AB67" s="38">
        <v>3027324</v>
      </c>
      <c r="AC67" s="8">
        <f t="shared" si="27"/>
        <v>146132</v>
      </c>
      <c r="AD67" s="13"/>
      <c r="AE67" s="9">
        <f>+AC67/H67</f>
        <v>4.6048219984773694E-2</v>
      </c>
      <c r="AF67" s="13" t="s">
        <v>38</v>
      </c>
      <c r="AG67" s="13"/>
      <c r="AH67" s="13" t="s">
        <v>31</v>
      </c>
      <c r="AI67" s="72" t="s">
        <v>32</v>
      </c>
      <c r="AJ67" s="49">
        <v>1900003308</v>
      </c>
      <c r="AK67" s="38">
        <v>3027324</v>
      </c>
      <c r="AL67" s="8">
        <f t="shared" si="25"/>
        <v>146132</v>
      </c>
      <c r="AM67" s="13"/>
      <c r="AN67" s="9">
        <f>+AL67/H67</f>
        <v>4.6048219984773694E-2</v>
      </c>
      <c r="AO67" s="13"/>
      <c r="AP67" s="13"/>
      <c r="AQ67" s="13"/>
      <c r="AR67" s="19"/>
      <c r="AS67" s="38">
        <v>3027324</v>
      </c>
      <c r="AT67" s="8">
        <f t="shared" si="28"/>
        <v>146132</v>
      </c>
      <c r="AU67" s="13"/>
      <c r="AV67" s="9">
        <f t="shared" si="29"/>
        <v>4.6048219984773694E-2</v>
      </c>
      <c r="AW67" s="13"/>
      <c r="AX67" s="13" t="s">
        <v>31</v>
      </c>
      <c r="AY67" s="13"/>
      <c r="AZ67" s="79"/>
      <c r="BA67" s="38">
        <v>3027324</v>
      </c>
      <c r="BB67" s="8">
        <f>+H67-BA67</f>
        <v>146132</v>
      </c>
      <c r="BC67" s="13"/>
      <c r="BD67" s="9">
        <f>+BB67/H67</f>
        <v>4.6048219984773694E-2</v>
      </c>
      <c r="BE67" s="13"/>
      <c r="BF67" s="13" t="s">
        <v>31</v>
      </c>
      <c r="BG67" s="13"/>
      <c r="BH67" s="13"/>
      <c r="BI67" s="38">
        <v>3027324</v>
      </c>
      <c r="BJ67" s="8">
        <f>+H67-BI67</f>
        <v>146132</v>
      </c>
      <c r="BK67" s="13"/>
      <c r="BL67" s="8">
        <f>+BJ67/H67</f>
        <v>4.6048219984773694E-2</v>
      </c>
      <c r="BM67" s="13"/>
      <c r="BN67" s="13" t="s">
        <v>31</v>
      </c>
      <c r="BO67" s="13"/>
      <c r="BP67" s="13"/>
      <c r="BQ67" s="38">
        <v>3027324</v>
      </c>
      <c r="BR67" s="13">
        <v>0</v>
      </c>
      <c r="BS67" s="13"/>
      <c r="BT67" s="13">
        <v>0</v>
      </c>
      <c r="BU67" s="13"/>
      <c r="BV67" s="13" t="s">
        <v>31</v>
      </c>
      <c r="BW67" s="13"/>
      <c r="BX67" s="13"/>
      <c r="BY67" s="38">
        <v>3027324</v>
      </c>
      <c r="BZ67" s="13">
        <v>0</v>
      </c>
      <c r="CA67" s="38">
        <v>1271843</v>
      </c>
      <c r="CB67" s="38">
        <f>+CA67/BY67</f>
        <v>0.42012120275200143</v>
      </c>
      <c r="CC67" s="13"/>
      <c r="CD67" s="13" t="s">
        <v>31</v>
      </c>
      <c r="CE67" s="13"/>
      <c r="CF67" s="13"/>
    </row>
    <row r="68" spans="1:84" x14ac:dyDescent="0.25">
      <c r="A68" s="1" t="s">
        <v>674</v>
      </c>
      <c r="B68" s="25" t="s">
        <v>675</v>
      </c>
      <c r="C68" s="23">
        <v>6603</v>
      </c>
      <c r="D68" s="21">
        <v>204573</v>
      </c>
      <c r="E68" s="17" t="s">
        <v>532</v>
      </c>
      <c r="F68" s="18" t="s">
        <v>533</v>
      </c>
      <c r="G68" s="38">
        <v>882959</v>
      </c>
      <c r="H68" s="38">
        <v>882959</v>
      </c>
      <c r="I68" s="8">
        <f t="shared" si="0"/>
        <v>0</v>
      </c>
      <c r="J68" s="8">
        <f t="shared" si="1"/>
        <v>0</v>
      </c>
      <c r="K68" s="11">
        <v>429114</v>
      </c>
      <c r="L68" s="11">
        <f>+H68-K68</f>
        <v>453845</v>
      </c>
      <c r="M68" s="11"/>
      <c r="N68" s="9">
        <f t="shared" si="2"/>
        <v>0.51400461403077602</v>
      </c>
      <c r="O68" s="13"/>
      <c r="P68" s="13" t="s">
        <v>46</v>
      </c>
      <c r="Q68" s="13" t="s">
        <v>822</v>
      </c>
      <c r="R68" s="13" t="s">
        <v>31</v>
      </c>
      <c r="S68" s="72" t="s">
        <v>32</v>
      </c>
      <c r="T68" s="38">
        <v>858228</v>
      </c>
      <c r="U68" s="8">
        <f t="shared" si="26"/>
        <v>24731</v>
      </c>
      <c r="V68" s="13"/>
      <c r="W68" s="9">
        <f>+U68/H68</f>
        <v>2.8009228061552122E-2</v>
      </c>
      <c r="X68" s="13"/>
      <c r="Y68" s="13"/>
      <c r="Z68" s="13"/>
      <c r="AA68" s="3"/>
      <c r="AB68" s="38">
        <v>858228</v>
      </c>
      <c r="AC68" s="8">
        <f t="shared" si="27"/>
        <v>24731</v>
      </c>
      <c r="AD68" s="13"/>
      <c r="AE68" s="9">
        <f>+AC68/H68</f>
        <v>2.8009228061552122E-2</v>
      </c>
      <c r="AF68" s="13"/>
      <c r="AG68" s="13"/>
      <c r="AH68" s="13"/>
      <c r="AI68" s="3"/>
      <c r="AJ68" s="49"/>
      <c r="AK68" s="38">
        <v>858228</v>
      </c>
      <c r="AL68" s="8">
        <f t="shared" si="25"/>
        <v>24731</v>
      </c>
      <c r="AM68" s="13"/>
      <c r="AN68" s="9">
        <f>+AL68/H68</f>
        <v>2.8009228061552122E-2</v>
      </c>
      <c r="AO68" s="13"/>
      <c r="AP68" s="13" t="s">
        <v>31</v>
      </c>
      <c r="AQ68" s="13"/>
      <c r="AR68" s="19">
        <v>1900003954</v>
      </c>
      <c r="AS68" s="38">
        <v>858228</v>
      </c>
      <c r="AT68" s="8">
        <f t="shared" si="28"/>
        <v>24731</v>
      </c>
      <c r="AU68" s="13"/>
      <c r="AV68" s="9">
        <f t="shared" si="29"/>
        <v>2.8009228061552122E-2</v>
      </c>
      <c r="AW68" s="13"/>
      <c r="AX68" s="13" t="s">
        <v>31</v>
      </c>
      <c r="AY68" s="13"/>
      <c r="AZ68" s="79"/>
      <c r="BA68" s="38">
        <v>858228</v>
      </c>
      <c r="BB68" s="13">
        <f>+H68-BA68</f>
        <v>24731</v>
      </c>
      <c r="BC68" s="13"/>
      <c r="BD68" s="9">
        <f>+BB68/H68</f>
        <v>2.8009228061552122E-2</v>
      </c>
      <c r="BE68" s="13"/>
      <c r="BF68" s="13" t="s">
        <v>31</v>
      </c>
      <c r="BG68" s="13"/>
      <c r="BH68" s="13"/>
      <c r="BI68" s="38">
        <v>858228</v>
      </c>
      <c r="BJ68" s="38">
        <f>+H68-BI68</f>
        <v>24731</v>
      </c>
      <c r="BK68" s="13"/>
      <c r="BL68" s="9">
        <f t="shared" ref="BL68:BL69" si="30">+BJ68/H68</f>
        <v>2.8009228061552122E-2</v>
      </c>
      <c r="BM68" s="13"/>
      <c r="BN68" s="13" t="s">
        <v>31</v>
      </c>
      <c r="BO68" s="13"/>
      <c r="BP68" s="13"/>
      <c r="BQ68" s="38">
        <v>858228</v>
      </c>
      <c r="BR68" s="8">
        <f>+H68-BQ68</f>
        <v>24731</v>
      </c>
      <c r="BS68" s="13"/>
      <c r="BT68" s="9">
        <f>+BR68/H68</f>
        <v>2.8009228061552122E-2</v>
      </c>
      <c r="BU68" s="13"/>
      <c r="BV68" s="13" t="s">
        <v>31</v>
      </c>
      <c r="BW68" s="13"/>
      <c r="BX68" s="13"/>
      <c r="BY68" s="38">
        <v>858228</v>
      </c>
      <c r="BZ68" s="13">
        <v>0</v>
      </c>
      <c r="CA68" s="13"/>
      <c r="CB68" s="13">
        <v>0</v>
      </c>
      <c r="CC68" s="13"/>
      <c r="CD68" s="13" t="s">
        <v>31</v>
      </c>
      <c r="CE68" s="13"/>
      <c r="CF68" s="13"/>
    </row>
    <row r="69" spans="1:84" x14ac:dyDescent="0.25">
      <c r="A69" s="1" t="s">
        <v>674</v>
      </c>
      <c r="B69" s="25" t="s">
        <v>676</v>
      </c>
      <c r="C69" s="23">
        <v>6603</v>
      </c>
      <c r="D69" s="21">
        <v>204573</v>
      </c>
      <c r="E69" s="17" t="s">
        <v>532</v>
      </c>
      <c r="F69" s="18" t="s">
        <v>533</v>
      </c>
      <c r="G69" s="38">
        <v>1886744</v>
      </c>
      <c r="H69" s="38">
        <v>1886744</v>
      </c>
      <c r="I69" s="8">
        <f t="shared" si="0"/>
        <v>0</v>
      </c>
      <c r="J69" s="8">
        <f t="shared" si="1"/>
        <v>0</v>
      </c>
      <c r="K69" s="11"/>
      <c r="L69" s="11"/>
      <c r="M69" s="11"/>
      <c r="N69" s="8">
        <f t="shared" si="2"/>
        <v>0</v>
      </c>
      <c r="O69" s="13"/>
      <c r="P69" s="13"/>
      <c r="Q69" s="13" t="s">
        <v>822</v>
      </c>
      <c r="R69" s="13"/>
      <c r="S69" s="3"/>
      <c r="T69" s="38">
        <v>1833897</v>
      </c>
      <c r="U69" s="8">
        <f t="shared" si="26"/>
        <v>52847</v>
      </c>
      <c r="V69" s="13"/>
      <c r="W69" s="9">
        <f>+U69/H69</f>
        <v>2.8009629287280097E-2</v>
      </c>
      <c r="X69" s="13"/>
      <c r="Y69" s="13"/>
      <c r="Z69" s="13"/>
      <c r="AA69" s="3"/>
      <c r="AB69" s="38">
        <v>1833897</v>
      </c>
      <c r="AC69" s="8">
        <f t="shared" si="27"/>
        <v>52847</v>
      </c>
      <c r="AD69" s="13"/>
      <c r="AE69" s="9">
        <f>+AC69/H69</f>
        <v>2.8009629287280097E-2</v>
      </c>
      <c r="AF69" s="13"/>
      <c r="AG69" s="13"/>
      <c r="AH69" s="13"/>
      <c r="AI69" s="3"/>
      <c r="AJ69" s="49"/>
      <c r="AK69" s="38">
        <v>1833897</v>
      </c>
      <c r="AL69" s="13">
        <f t="shared" si="25"/>
        <v>52847</v>
      </c>
      <c r="AM69" s="13"/>
      <c r="AN69" s="9">
        <f>+AL69/H69</f>
        <v>2.8009629287280097E-2</v>
      </c>
      <c r="AO69" s="13"/>
      <c r="AP69" s="13" t="s">
        <v>31</v>
      </c>
      <c r="AQ69" s="13"/>
      <c r="AR69" s="19">
        <v>1900003953</v>
      </c>
      <c r="AS69" s="38">
        <v>1833897</v>
      </c>
      <c r="AT69" s="8">
        <f t="shared" si="28"/>
        <v>52847</v>
      </c>
      <c r="AU69" s="13"/>
      <c r="AV69" s="9">
        <f t="shared" si="29"/>
        <v>2.8009629287280097E-2</v>
      </c>
      <c r="AW69" s="13"/>
      <c r="AX69" s="13" t="s">
        <v>31</v>
      </c>
      <c r="AY69" s="13"/>
      <c r="AZ69" s="79"/>
      <c r="BA69" s="38">
        <v>1833897</v>
      </c>
      <c r="BB69" s="13">
        <f>+H69-BA69</f>
        <v>52847</v>
      </c>
      <c r="BC69" s="13"/>
      <c r="BD69" s="9">
        <f>+BB69/H69</f>
        <v>2.8009629287280097E-2</v>
      </c>
      <c r="BE69" s="13"/>
      <c r="BF69" s="13" t="s">
        <v>31</v>
      </c>
      <c r="BG69" s="13"/>
      <c r="BH69" s="13"/>
      <c r="BI69" s="38">
        <v>1833897</v>
      </c>
      <c r="BJ69" s="38">
        <f>+H69-BI69</f>
        <v>52847</v>
      </c>
      <c r="BK69" s="13"/>
      <c r="BL69" s="9">
        <f t="shared" si="30"/>
        <v>2.8009629287280097E-2</v>
      </c>
      <c r="BM69" s="13"/>
      <c r="BN69" s="13" t="s">
        <v>31</v>
      </c>
      <c r="BO69" s="13"/>
      <c r="BP69" s="13"/>
      <c r="BQ69" s="38">
        <v>1833897</v>
      </c>
      <c r="BR69" s="8">
        <f>+H69-BQ69</f>
        <v>52847</v>
      </c>
      <c r="BS69" s="13"/>
      <c r="BT69" s="9">
        <f>+BR69/H69</f>
        <v>2.8009629287280097E-2</v>
      </c>
      <c r="BU69" s="13"/>
      <c r="BV69" s="13" t="s">
        <v>31</v>
      </c>
      <c r="BW69" s="13"/>
      <c r="BX69" s="13"/>
      <c r="BY69" s="38">
        <v>1833897</v>
      </c>
      <c r="BZ69" s="13">
        <v>0</v>
      </c>
      <c r="CA69" s="13"/>
      <c r="CB69" s="13">
        <v>0</v>
      </c>
      <c r="CC69" s="13"/>
      <c r="CD69" s="13" t="s">
        <v>31</v>
      </c>
      <c r="CE69" s="13"/>
      <c r="CF69" s="13"/>
    </row>
    <row r="70" spans="1:84" x14ac:dyDescent="0.25">
      <c r="A70" s="1" t="s">
        <v>323</v>
      </c>
      <c r="B70" s="25" t="s">
        <v>677</v>
      </c>
      <c r="C70" s="23">
        <v>6606</v>
      </c>
      <c r="D70" s="21">
        <v>204591</v>
      </c>
      <c r="E70" s="17" t="s">
        <v>678</v>
      </c>
      <c r="F70" s="18" t="s">
        <v>679</v>
      </c>
      <c r="G70" s="38">
        <v>625750</v>
      </c>
      <c r="H70" s="38">
        <v>625750</v>
      </c>
      <c r="I70" s="8">
        <f t="shared" ref="I70:I109" si="31">+H70-G70</f>
        <v>0</v>
      </c>
      <c r="J70" s="8">
        <f t="shared" ref="J70:J109" si="32">+I70/G70</f>
        <v>0</v>
      </c>
      <c r="K70" s="11">
        <f>438025+187725</f>
        <v>625750</v>
      </c>
      <c r="L70" s="11">
        <f>+H70-K70</f>
        <v>0</v>
      </c>
      <c r="M70" s="11">
        <v>183192</v>
      </c>
      <c r="N70" s="9">
        <f t="shared" ref="N70:N108" si="33">+(L70+M70)/H70</f>
        <v>0.29275589292848581</v>
      </c>
      <c r="O70" s="13"/>
      <c r="P70" s="13" t="s">
        <v>46</v>
      </c>
      <c r="Q70" s="13"/>
      <c r="R70" s="13" t="s">
        <v>31</v>
      </c>
      <c r="S70" s="73" t="s">
        <v>327</v>
      </c>
      <c r="T70" s="38">
        <f>305320*2</f>
        <v>610640</v>
      </c>
      <c r="U70" s="8">
        <f t="shared" si="26"/>
        <v>15110</v>
      </c>
      <c r="V70" s="13">
        <v>305320</v>
      </c>
      <c r="W70" s="9">
        <f>+(U70+V70)/H70</f>
        <v>0.51207351178585692</v>
      </c>
      <c r="X70" s="13" t="s">
        <v>46</v>
      </c>
      <c r="Y70" s="13"/>
      <c r="Z70" s="13" t="s">
        <v>31</v>
      </c>
      <c r="AA70" s="72" t="s">
        <v>32</v>
      </c>
      <c r="AB70" s="38">
        <v>305320</v>
      </c>
      <c r="AC70" s="8">
        <f t="shared" si="27"/>
        <v>320430</v>
      </c>
      <c r="AD70" s="13"/>
      <c r="AE70" s="9">
        <f>+AC70/H70</f>
        <v>0.51207351178585692</v>
      </c>
      <c r="AF70" s="13"/>
      <c r="AG70" s="13"/>
      <c r="AH70" s="13" t="s">
        <v>31</v>
      </c>
      <c r="AI70" s="3"/>
      <c r="AJ70" s="49" t="s">
        <v>823</v>
      </c>
      <c r="AK70" s="38">
        <v>610640</v>
      </c>
      <c r="AL70" s="8">
        <f t="shared" si="25"/>
        <v>15110</v>
      </c>
      <c r="AM70" s="13"/>
      <c r="AN70" s="9">
        <f>+AL70/H70</f>
        <v>2.4147023571713944E-2</v>
      </c>
      <c r="AO70" s="13"/>
      <c r="AP70" s="13" t="s">
        <v>31</v>
      </c>
      <c r="AQ70" s="13"/>
      <c r="AR70" s="19" t="s">
        <v>824</v>
      </c>
      <c r="AS70" s="38">
        <v>610640</v>
      </c>
      <c r="AT70" s="8">
        <f t="shared" si="28"/>
        <v>15110</v>
      </c>
      <c r="AU70" s="13"/>
      <c r="AV70" s="9">
        <f t="shared" si="29"/>
        <v>2.4147023571713944E-2</v>
      </c>
      <c r="AW70" s="13"/>
      <c r="AX70" s="13" t="s">
        <v>31</v>
      </c>
      <c r="AY70" s="13"/>
      <c r="AZ70" s="78" t="s">
        <v>825</v>
      </c>
      <c r="BA70" s="13"/>
      <c r="BB70" s="13"/>
      <c r="BC70" s="13"/>
      <c r="BD70" s="13"/>
      <c r="BE70" s="13"/>
      <c r="BF70" s="13"/>
      <c r="BG70" s="13"/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  <c r="BS70" s="13"/>
      <c r="BT70" s="13"/>
      <c r="BU70" s="13"/>
      <c r="BV70" s="13"/>
      <c r="BW70" s="13"/>
      <c r="BX70" s="13"/>
      <c r="BY70" s="13"/>
      <c r="BZ70" s="13"/>
      <c r="CA70" s="13"/>
      <c r="CB70" s="13"/>
      <c r="CC70" s="13"/>
      <c r="CD70" s="13"/>
      <c r="CE70" s="13"/>
      <c r="CF70" s="13"/>
    </row>
    <row r="71" spans="1:84" x14ac:dyDescent="0.25">
      <c r="A71" s="1" t="s">
        <v>328</v>
      </c>
      <c r="B71" s="25" t="s">
        <v>680</v>
      </c>
      <c r="C71" s="23">
        <v>6610</v>
      </c>
      <c r="D71" s="21">
        <v>204586</v>
      </c>
      <c r="E71" s="17" t="s">
        <v>681</v>
      </c>
      <c r="F71" s="18" t="s">
        <v>682</v>
      </c>
      <c r="G71" s="38">
        <v>2207639</v>
      </c>
      <c r="H71" s="40">
        <v>2376314</v>
      </c>
      <c r="I71" s="8">
        <f t="shared" si="31"/>
        <v>168675</v>
      </c>
      <c r="J71" s="10">
        <f t="shared" si="32"/>
        <v>7.6405155009492035E-2</v>
      </c>
      <c r="K71" s="11">
        <v>2263864</v>
      </c>
      <c r="L71" s="11">
        <f>+H71-K71</f>
        <v>112450</v>
      </c>
      <c r="M71" s="11"/>
      <c r="N71" s="9">
        <f>+(L71+M71)/H71</f>
        <v>4.7321187351503209E-2</v>
      </c>
      <c r="O71" s="13"/>
      <c r="P71" s="13" t="s">
        <v>38</v>
      </c>
      <c r="Q71" s="13"/>
      <c r="R71" s="13" t="s">
        <v>31</v>
      </c>
      <c r="S71" s="72" t="s">
        <v>55</v>
      </c>
      <c r="T71" s="42">
        <v>2263864</v>
      </c>
      <c r="U71" s="43">
        <f t="shared" si="26"/>
        <v>112450</v>
      </c>
      <c r="V71" s="13"/>
      <c r="W71" s="9">
        <f>+U71/H71</f>
        <v>4.7321187351503209E-2</v>
      </c>
      <c r="X71" s="13" t="s">
        <v>38</v>
      </c>
      <c r="Y71" s="13"/>
      <c r="Z71" s="13" t="s">
        <v>31</v>
      </c>
      <c r="AA71" s="72" t="s">
        <v>55</v>
      </c>
      <c r="AB71" s="43">
        <f>++T71</f>
        <v>2263864</v>
      </c>
      <c r="AC71" s="11">
        <f t="shared" si="27"/>
        <v>112450</v>
      </c>
      <c r="AD71" s="13"/>
      <c r="AE71" s="9">
        <f>+AC71/H71</f>
        <v>4.7321187351503209E-2</v>
      </c>
      <c r="AF71" s="13"/>
      <c r="AG71" s="13"/>
      <c r="AH71" s="13" t="s">
        <v>31</v>
      </c>
      <c r="AI71" s="3"/>
      <c r="AJ71" s="49">
        <v>1900003295</v>
      </c>
      <c r="AK71" s="38">
        <v>2176792</v>
      </c>
      <c r="AL71" s="8">
        <f t="shared" si="25"/>
        <v>199522</v>
      </c>
      <c r="AM71" s="13"/>
      <c r="AN71" s="9">
        <f>+AL71/H71</f>
        <v>8.3962809628693846E-2</v>
      </c>
      <c r="AO71" s="13"/>
      <c r="AP71" s="13" t="s">
        <v>31</v>
      </c>
      <c r="AQ71" s="13"/>
      <c r="AR71" s="19">
        <v>1900003958</v>
      </c>
      <c r="AS71" s="38">
        <v>2176792</v>
      </c>
      <c r="AT71" s="8">
        <f t="shared" si="28"/>
        <v>199522</v>
      </c>
      <c r="AU71" s="13"/>
      <c r="AV71" s="9">
        <f t="shared" si="29"/>
        <v>8.3962809628693846E-2</v>
      </c>
      <c r="AW71" s="13"/>
      <c r="AX71" s="13" t="s">
        <v>31</v>
      </c>
      <c r="AY71" s="13"/>
      <c r="AZ71" s="79">
        <v>1900004250</v>
      </c>
      <c r="BA71" s="38">
        <v>2176792</v>
      </c>
      <c r="BB71" s="8">
        <f>+H71-BA71</f>
        <v>199522</v>
      </c>
      <c r="BC71" s="13"/>
      <c r="BD71" s="9">
        <f>+BB71/H71</f>
        <v>8.3962809628693846E-2</v>
      </c>
      <c r="BE71" s="13"/>
      <c r="BF71" s="13" t="s">
        <v>31</v>
      </c>
      <c r="BG71" s="13"/>
      <c r="BH71" s="13"/>
      <c r="BI71" s="38">
        <v>2176703</v>
      </c>
      <c r="BJ71" s="8">
        <f>+H71-BI71</f>
        <v>199611</v>
      </c>
      <c r="BK71" s="13"/>
      <c r="BL71" s="9">
        <f>+BJ71/H71</f>
        <v>8.4000262591559863E-2</v>
      </c>
      <c r="BM71" s="13"/>
      <c r="BN71" s="13" t="s">
        <v>31</v>
      </c>
      <c r="BO71" s="13"/>
      <c r="BP71" s="13"/>
      <c r="BQ71" s="38">
        <v>2176703</v>
      </c>
      <c r="BR71" s="13">
        <v>0</v>
      </c>
      <c r="BS71" s="13"/>
      <c r="BT71" s="13">
        <v>0</v>
      </c>
      <c r="BU71" s="13"/>
      <c r="BV71" s="13" t="s">
        <v>31</v>
      </c>
      <c r="BW71" s="13"/>
      <c r="BX71" s="13"/>
      <c r="BY71" s="38">
        <v>2176703</v>
      </c>
      <c r="BZ71" s="13">
        <v>0</v>
      </c>
      <c r="CA71" s="13"/>
      <c r="CB71" s="13">
        <v>0</v>
      </c>
      <c r="CC71" s="13"/>
      <c r="CD71" s="13" t="s">
        <v>31</v>
      </c>
      <c r="CE71" s="13"/>
      <c r="CF71" s="13"/>
    </row>
    <row r="72" spans="1:84" x14ac:dyDescent="0.25">
      <c r="A72" s="1" t="s">
        <v>331</v>
      </c>
      <c r="B72" s="25" t="s">
        <v>683</v>
      </c>
      <c r="C72" s="23">
        <v>6616</v>
      </c>
      <c r="D72" s="21">
        <v>204845</v>
      </c>
      <c r="E72" s="17" t="s">
        <v>684</v>
      </c>
      <c r="F72" s="18" t="s">
        <v>685</v>
      </c>
      <c r="G72" s="38">
        <v>251000</v>
      </c>
      <c r="H72" s="38">
        <v>251000</v>
      </c>
      <c r="I72" s="8">
        <f t="shared" si="31"/>
        <v>0</v>
      </c>
      <c r="J72" s="8">
        <f t="shared" si="32"/>
        <v>0</v>
      </c>
      <c r="K72" s="11">
        <v>359000</v>
      </c>
      <c r="L72" s="11">
        <v>0</v>
      </c>
      <c r="M72" s="11"/>
      <c r="N72" s="8">
        <v>0</v>
      </c>
      <c r="O72" s="13"/>
      <c r="P72" s="13"/>
      <c r="Q72" s="13"/>
      <c r="R72" s="13"/>
      <c r="S72" s="3"/>
      <c r="T72" s="38">
        <v>359000</v>
      </c>
      <c r="U72" s="13">
        <v>0</v>
      </c>
      <c r="V72" s="13"/>
      <c r="W72" s="13">
        <v>0</v>
      </c>
      <c r="X72" s="13"/>
      <c r="Y72" s="13"/>
      <c r="Z72" s="13"/>
      <c r="AA72" s="3"/>
      <c r="AB72" s="38">
        <v>359000</v>
      </c>
      <c r="AC72" s="13">
        <v>0</v>
      </c>
      <c r="AD72" s="13"/>
      <c r="AE72" s="13">
        <v>0</v>
      </c>
      <c r="AF72" s="13"/>
      <c r="AG72" s="13"/>
      <c r="AH72" s="13"/>
      <c r="AI72" s="3"/>
      <c r="AJ72" s="49"/>
      <c r="AK72" s="38">
        <v>359000</v>
      </c>
      <c r="AL72" s="13">
        <v>0</v>
      </c>
      <c r="AM72" s="13"/>
      <c r="AN72" s="13">
        <v>0</v>
      </c>
      <c r="AO72" s="13"/>
      <c r="AP72" s="13"/>
      <c r="AQ72" s="13"/>
      <c r="AR72" s="19"/>
      <c r="AS72" s="38">
        <v>359000</v>
      </c>
      <c r="AT72" s="13">
        <v>0</v>
      </c>
      <c r="AU72" s="13"/>
      <c r="AV72" s="13">
        <v>0</v>
      </c>
      <c r="AW72" s="13"/>
      <c r="AX72" s="13"/>
      <c r="AY72" s="13"/>
      <c r="AZ72" s="79"/>
      <c r="BA72" s="38">
        <v>359000</v>
      </c>
      <c r="BB72" s="13">
        <v>0</v>
      </c>
      <c r="BC72" s="13"/>
      <c r="BD72" s="13">
        <v>0</v>
      </c>
      <c r="BE72" s="13"/>
      <c r="BF72" s="13"/>
      <c r="BG72" s="13"/>
      <c r="BH72" s="13"/>
      <c r="BI72" s="38">
        <v>359000</v>
      </c>
      <c r="BJ72" s="13">
        <v>0</v>
      </c>
      <c r="BK72" s="13"/>
      <c r="BL72" s="13">
        <v>0</v>
      </c>
      <c r="BM72" s="13"/>
      <c r="BN72" s="13"/>
      <c r="BO72" s="13"/>
      <c r="BP72" s="13"/>
      <c r="BQ72" s="38">
        <v>359000</v>
      </c>
      <c r="BR72" s="13">
        <v>0</v>
      </c>
      <c r="BS72" s="13"/>
      <c r="BT72" s="13">
        <v>0</v>
      </c>
      <c r="BU72" s="13"/>
      <c r="BV72" s="13" t="s">
        <v>31</v>
      </c>
      <c r="BW72" s="13"/>
      <c r="BX72" s="13"/>
      <c r="BY72" s="13"/>
      <c r="BZ72" s="13"/>
      <c r="CA72" s="13"/>
      <c r="CB72" s="13"/>
      <c r="CC72" s="13"/>
      <c r="CD72" s="13"/>
      <c r="CE72" s="13"/>
      <c r="CF72" s="13"/>
    </row>
    <row r="73" spans="1:84" x14ac:dyDescent="0.25">
      <c r="A73" s="1" t="s">
        <v>335</v>
      </c>
      <c r="B73" s="25" t="s">
        <v>686</v>
      </c>
      <c r="C73" s="23">
        <v>6617</v>
      </c>
      <c r="D73" s="21">
        <v>204531</v>
      </c>
      <c r="E73" s="17" t="s">
        <v>687</v>
      </c>
      <c r="F73" s="18" t="s">
        <v>688</v>
      </c>
      <c r="G73" s="38">
        <v>1063661</v>
      </c>
      <c r="H73" s="38">
        <v>1063661</v>
      </c>
      <c r="I73" s="8">
        <f t="shared" si="31"/>
        <v>0</v>
      </c>
      <c r="J73" s="8">
        <f t="shared" si="32"/>
        <v>0</v>
      </c>
      <c r="K73" s="11">
        <v>563740</v>
      </c>
      <c r="L73" s="11">
        <f>+H73-K73</f>
        <v>499921</v>
      </c>
      <c r="M73" s="11"/>
      <c r="N73" s="9">
        <f>+(L73+M73)/H73</f>
        <v>0.47000031024922412</v>
      </c>
      <c r="O73" s="13"/>
      <c r="P73" s="13" t="s">
        <v>46</v>
      </c>
      <c r="Q73" s="13" t="s">
        <v>106</v>
      </c>
      <c r="R73" s="13" t="s">
        <v>31</v>
      </c>
      <c r="S73" s="3"/>
      <c r="T73" s="11">
        <f>+K73</f>
        <v>563740</v>
      </c>
      <c r="U73" s="8">
        <f>+H73-T73</f>
        <v>499921</v>
      </c>
      <c r="V73" s="13"/>
      <c r="W73" s="9">
        <f>+U73/H73</f>
        <v>0.47000031024922412</v>
      </c>
      <c r="X73" s="13" t="s">
        <v>46</v>
      </c>
      <c r="Y73" s="13"/>
      <c r="Z73" s="13" t="s">
        <v>31</v>
      </c>
      <c r="AA73" s="3"/>
      <c r="AB73" s="38">
        <v>1063661</v>
      </c>
      <c r="AC73" s="8">
        <f>+H73-AB73</f>
        <v>0</v>
      </c>
      <c r="AD73" s="13"/>
      <c r="AE73" s="9">
        <f>+AC73/H73</f>
        <v>0</v>
      </c>
      <c r="AF73" s="13"/>
      <c r="AG73" s="13"/>
      <c r="AH73" s="13" t="s">
        <v>31</v>
      </c>
      <c r="AI73" s="3"/>
      <c r="AJ73" s="19">
        <v>1900003569</v>
      </c>
      <c r="AK73" s="8">
        <f>+AB73</f>
        <v>1063661</v>
      </c>
      <c r="AL73" s="13">
        <v>0</v>
      </c>
      <c r="AM73" s="13"/>
      <c r="AN73" s="13">
        <v>0</v>
      </c>
      <c r="AO73" s="13"/>
      <c r="AP73" s="13" t="s">
        <v>31</v>
      </c>
      <c r="AQ73" s="13"/>
      <c r="AR73" s="19">
        <v>1900003875</v>
      </c>
      <c r="AS73" s="38">
        <v>1063661</v>
      </c>
      <c r="AT73" s="8">
        <f>+H73-AS73</f>
        <v>0</v>
      </c>
      <c r="AU73" s="13"/>
      <c r="AV73" s="9">
        <f>+AT73/H73</f>
        <v>0</v>
      </c>
      <c r="AW73" s="13"/>
      <c r="AX73" s="13" t="s">
        <v>31</v>
      </c>
      <c r="AY73" s="13"/>
      <c r="AZ73" s="80">
        <v>1900004445</v>
      </c>
      <c r="BA73" s="38">
        <v>1063661</v>
      </c>
      <c r="BB73" s="13">
        <v>0</v>
      </c>
      <c r="BC73" s="13"/>
      <c r="BD73" s="13">
        <v>0</v>
      </c>
      <c r="BE73" s="13"/>
      <c r="BF73" s="13" t="s">
        <v>31</v>
      </c>
      <c r="BG73" s="13"/>
      <c r="BH73" s="13"/>
      <c r="BI73" s="38">
        <v>1063661</v>
      </c>
      <c r="BJ73" s="8">
        <f>+H73-BI73</f>
        <v>0</v>
      </c>
      <c r="BK73" s="13"/>
      <c r="BL73" s="9">
        <f>+BJ73/H73</f>
        <v>0</v>
      </c>
      <c r="BM73" s="13"/>
      <c r="BN73" s="13" t="s">
        <v>31</v>
      </c>
      <c r="BO73" s="13"/>
      <c r="BP73" s="13"/>
      <c r="BQ73" s="38">
        <v>1063661</v>
      </c>
      <c r="BR73" s="13">
        <v>0</v>
      </c>
      <c r="BS73" s="13"/>
      <c r="BT73" s="13">
        <v>0</v>
      </c>
      <c r="BU73" s="13"/>
      <c r="BV73" s="13" t="s">
        <v>31</v>
      </c>
      <c r="BW73" s="13"/>
      <c r="BX73" s="13"/>
      <c r="BY73" s="13"/>
      <c r="BZ73" s="13"/>
      <c r="CA73" s="13"/>
      <c r="CB73" s="13"/>
      <c r="CC73" s="13"/>
      <c r="CD73" s="13"/>
      <c r="CE73" s="13"/>
      <c r="CF73" s="13"/>
    </row>
    <row r="74" spans="1:84" ht="15.75" x14ac:dyDescent="0.25">
      <c r="A74" s="1" t="s">
        <v>339</v>
      </c>
      <c r="B74" s="25" t="s">
        <v>689</v>
      </c>
      <c r="C74" s="23">
        <v>6619</v>
      </c>
      <c r="D74" s="21">
        <v>204694</v>
      </c>
      <c r="E74" s="17" t="s">
        <v>690</v>
      </c>
      <c r="F74" s="18" t="s">
        <v>691</v>
      </c>
      <c r="G74" s="38">
        <v>1615630</v>
      </c>
      <c r="H74" s="38">
        <v>1615630</v>
      </c>
      <c r="I74" s="8">
        <f t="shared" si="31"/>
        <v>0</v>
      </c>
      <c r="J74" s="8">
        <f t="shared" si="32"/>
        <v>0</v>
      </c>
      <c r="K74" s="11">
        <v>1296431</v>
      </c>
      <c r="L74" s="11">
        <f>+H74-K74</f>
        <v>319199</v>
      </c>
      <c r="M74" s="11"/>
      <c r="N74" s="9">
        <f t="shared" si="33"/>
        <v>0.19756936922438925</v>
      </c>
      <c r="O74" s="13"/>
      <c r="P74" s="13" t="s">
        <v>46</v>
      </c>
      <c r="Q74" s="13"/>
      <c r="R74" s="13" t="s">
        <v>31</v>
      </c>
      <c r="S74" s="75" t="s">
        <v>83</v>
      </c>
      <c r="T74" s="42">
        <v>1180596</v>
      </c>
      <c r="U74" s="43">
        <f>+H74-T74</f>
        <v>435034</v>
      </c>
      <c r="V74" s="13"/>
      <c r="W74" s="9">
        <f>+U74/H74</f>
        <v>0.2692658591385404</v>
      </c>
      <c r="X74" s="13" t="s">
        <v>46</v>
      </c>
      <c r="Y74" s="13"/>
      <c r="Z74" s="13" t="s">
        <v>31</v>
      </c>
      <c r="AA74" s="75" t="s">
        <v>83</v>
      </c>
      <c r="AB74" s="38">
        <v>1249567</v>
      </c>
      <c r="AC74" s="8">
        <f>+H74-AB74</f>
        <v>366063</v>
      </c>
      <c r="AD74" s="13"/>
      <c r="AE74" s="9">
        <f>+AC74/H74</f>
        <v>0.22657601059648558</v>
      </c>
      <c r="AF74" s="13" t="s">
        <v>46</v>
      </c>
      <c r="AG74" s="13"/>
      <c r="AH74" s="13" t="s">
        <v>31</v>
      </c>
      <c r="AI74" s="3"/>
      <c r="AJ74" s="49">
        <v>1900003309</v>
      </c>
      <c r="AK74" s="38">
        <v>1278495</v>
      </c>
      <c r="AL74" s="8">
        <f>+H74-AK74</f>
        <v>337135</v>
      </c>
      <c r="AM74" s="13"/>
      <c r="AN74" s="9">
        <f>+AL74/H74</f>
        <v>0.20867092094105705</v>
      </c>
      <c r="AO74" s="13"/>
      <c r="AP74" s="13" t="s">
        <v>31</v>
      </c>
      <c r="AQ74" s="13"/>
      <c r="AR74" s="19">
        <v>1900003792</v>
      </c>
      <c r="AS74" s="38">
        <v>1177949</v>
      </c>
      <c r="AT74" s="8">
        <f>+H74-AS74</f>
        <v>437681</v>
      </c>
      <c r="AU74" s="13"/>
      <c r="AV74" s="9">
        <f>+AT74/H74</f>
        <v>0.27090422930992863</v>
      </c>
      <c r="AW74" s="13"/>
      <c r="AX74" s="13" t="s">
        <v>31</v>
      </c>
      <c r="AY74" s="13"/>
      <c r="AZ74" s="79">
        <v>1900004241</v>
      </c>
      <c r="BA74" s="38">
        <v>1456099</v>
      </c>
      <c r="BB74" s="8">
        <f>+H74-BA74</f>
        <v>159531</v>
      </c>
      <c r="BC74" s="13"/>
      <c r="BD74" s="9">
        <f>+BB74/H74</f>
        <v>9.8742286290796774E-2</v>
      </c>
      <c r="BE74" s="13"/>
      <c r="BF74" s="13" t="s">
        <v>31</v>
      </c>
      <c r="BG74" s="13"/>
      <c r="BH74" s="13"/>
      <c r="BI74" s="38">
        <v>1510105</v>
      </c>
      <c r="BJ74" s="8">
        <f>+H74-BI74</f>
        <v>105525</v>
      </c>
      <c r="BK74" s="13"/>
      <c r="BL74" s="8">
        <f>+BJ74/H74</f>
        <v>6.5315078328577705E-2</v>
      </c>
      <c r="BM74" s="13"/>
      <c r="BN74" s="13" t="s">
        <v>31</v>
      </c>
      <c r="BO74" s="13"/>
      <c r="BP74" s="13"/>
      <c r="BQ74" s="13"/>
      <c r="BR74" s="13"/>
      <c r="BS74" s="13"/>
      <c r="BT74" s="13"/>
      <c r="BU74" s="13"/>
      <c r="BV74" s="13"/>
      <c r="BW74" s="13"/>
      <c r="BX74" s="13"/>
      <c r="BY74" s="38">
        <v>1610346</v>
      </c>
      <c r="BZ74" s="8">
        <f>+H74-BY74</f>
        <v>5284</v>
      </c>
      <c r="CA74" s="13"/>
      <c r="CB74" s="9">
        <f>+BZ74/H74</f>
        <v>3.2705508068060136E-3</v>
      </c>
      <c r="CC74" s="13"/>
      <c r="CD74" s="13" t="s">
        <v>31</v>
      </c>
      <c r="CE74" s="13"/>
      <c r="CF74" s="13"/>
    </row>
    <row r="75" spans="1:84" x14ac:dyDescent="0.25">
      <c r="A75" s="1" t="s">
        <v>342</v>
      </c>
      <c r="B75" s="25" t="s">
        <v>692</v>
      </c>
      <c r="C75" s="34">
        <v>6620</v>
      </c>
      <c r="D75" s="21">
        <v>204616</v>
      </c>
      <c r="E75" s="17" t="s">
        <v>693</v>
      </c>
      <c r="F75" s="28">
        <v>900250796</v>
      </c>
      <c r="G75" s="38">
        <v>1531960</v>
      </c>
      <c r="H75" s="38">
        <v>1531960</v>
      </c>
      <c r="I75" s="8">
        <f t="shared" si="31"/>
        <v>0</v>
      </c>
      <c r="J75" s="8">
        <f t="shared" si="32"/>
        <v>0</v>
      </c>
      <c r="K75" s="11"/>
      <c r="L75" s="11"/>
      <c r="M75" s="11"/>
      <c r="N75" s="8">
        <f t="shared" si="33"/>
        <v>0</v>
      </c>
      <c r="O75" s="13"/>
      <c r="P75" s="13"/>
      <c r="Q75" s="13"/>
      <c r="R75" s="13"/>
      <c r="S75" s="3"/>
      <c r="T75" s="13"/>
      <c r="U75" s="13"/>
      <c r="V75" s="13"/>
      <c r="W75" s="13"/>
      <c r="X75" s="13"/>
      <c r="Y75" s="13"/>
      <c r="Z75" s="13"/>
      <c r="AA75" s="3"/>
      <c r="AB75" s="13"/>
      <c r="AC75" s="13"/>
      <c r="AD75" s="13"/>
      <c r="AE75" s="13"/>
      <c r="AF75" s="13"/>
      <c r="AG75" s="13"/>
      <c r="AH75" s="13"/>
      <c r="AI75" s="3"/>
      <c r="AJ75" s="49"/>
      <c r="AK75" s="38">
        <f>750039+781921</f>
        <v>1531960</v>
      </c>
      <c r="AL75" s="8">
        <f>+H75-AK75</f>
        <v>0</v>
      </c>
      <c r="AM75" s="13"/>
      <c r="AN75" s="13">
        <v>0</v>
      </c>
      <c r="AO75" s="13"/>
      <c r="AP75" s="13" t="s">
        <v>31</v>
      </c>
      <c r="AQ75" s="13"/>
      <c r="AR75" s="55" t="s">
        <v>826</v>
      </c>
      <c r="AS75" s="38">
        <f>781921+750039</f>
        <v>1531960</v>
      </c>
      <c r="AT75" s="8">
        <f>+H75-AS75</f>
        <v>0</v>
      </c>
      <c r="AU75" s="13"/>
      <c r="AV75" s="9">
        <f>+AT75/H75</f>
        <v>0</v>
      </c>
      <c r="AW75" s="13"/>
      <c r="AX75" s="13" t="s">
        <v>31</v>
      </c>
      <c r="AY75" s="13"/>
      <c r="AZ75" s="80" t="s">
        <v>827</v>
      </c>
      <c r="BA75" s="38">
        <f>781921+750039</f>
        <v>1531960</v>
      </c>
      <c r="BB75" s="8">
        <f>+H75-BA75</f>
        <v>0</v>
      </c>
      <c r="BC75" s="13"/>
      <c r="BD75" s="9">
        <f>+BB75/H75</f>
        <v>0</v>
      </c>
      <c r="BE75" s="13"/>
      <c r="BF75" s="13" t="s">
        <v>31</v>
      </c>
      <c r="BG75" s="13"/>
      <c r="BH75" s="13"/>
      <c r="BI75" s="38">
        <f>781921+750039</f>
        <v>1531960</v>
      </c>
      <c r="BJ75" s="13">
        <v>0</v>
      </c>
      <c r="BK75" s="13"/>
      <c r="BL75" s="13">
        <v>0</v>
      </c>
      <c r="BM75" s="13"/>
      <c r="BN75" s="13" t="s">
        <v>31</v>
      </c>
      <c r="BO75" s="13"/>
      <c r="BP75" s="13"/>
      <c r="BQ75" s="38">
        <f>781921+750039</f>
        <v>1531960</v>
      </c>
      <c r="BR75" s="13">
        <v>0</v>
      </c>
      <c r="BS75" s="13"/>
      <c r="BT75" s="13">
        <v>0</v>
      </c>
      <c r="BU75" s="13"/>
      <c r="BV75" s="13" t="s">
        <v>31</v>
      </c>
      <c r="BW75" s="13"/>
      <c r="BX75" s="13"/>
      <c r="BY75" s="38">
        <f>781921+750039</f>
        <v>1531960</v>
      </c>
      <c r="BZ75" s="13">
        <v>0</v>
      </c>
      <c r="CA75" s="13"/>
      <c r="CB75" s="13">
        <v>0</v>
      </c>
      <c r="CC75" s="13"/>
      <c r="CD75" s="13" t="s">
        <v>31</v>
      </c>
      <c r="CE75" s="13"/>
      <c r="CF75" s="13"/>
    </row>
    <row r="76" spans="1:84" x14ac:dyDescent="0.25">
      <c r="A76" s="1" t="s">
        <v>346</v>
      </c>
      <c r="B76" s="25" t="s">
        <v>694</v>
      </c>
      <c r="C76" s="23">
        <v>6621</v>
      </c>
      <c r="D76" s="35">
        <v>206218</v>
      </c>
      <c r="E76" s="17" t="s">
        <v>348</v>
      </c>
      <c r="F76" s="18" t="s">
        <v>695</v>
      </c>
      <c r="G76" s="38">
        <v>718700</v>
      </c>
      <c r="H76" s="38">
        <v>718700</v>
      </c>
      <c r="I76" s="8">
        <f t="shared" si="31"/>
        <v>0</v>
      </c>
      <c r="J76" s="8">
        <f t="shared" si="32"/>
        <v>0</v>
      </c>
      <c r="K76" s="11">
        <v>574960</v>
      </c>
      <c r="L76" s="11">
        <f>+H76-K76</f>
        <v>143740</v>
      </c>
      <c r="M76" s="11"/>
      <c r="N76" s="9">
        <f t="shared" si="33"/>
        <v>0.2</v>
      </c>
      <c r="O76" s="13"/>
      <c r="P76" s="13" t="s">
        <v>46</v>
      </c>
      <c r="Q76" s="13"/>
      <c r="R76" s="13" t="s">
        <v>31</v>
      </c>
      <c r="S76" s="72" t="s">
        <v>116</v>
      </c>
      <c r="T76" s="38">
        <v>718700</v>
      </c>
      <c r="U76" s="8">
        <f t="shared" ref="U76:U82" si="34">+H76-T76</f>
        <v>0</v>
      </c>
      <c r="V76" s="13"/>
      <c r="W76" s="13">
        <v>0</v>
      </c>
      <c r="X76" s="13" t="s">
        <v>38</v>
      </c>
      <c r="Y76" s="13"/>
      <c r="Z76" s="13" t="s">
        <v>31</v>
      </c>
      <c r="AA76" s="3"/>
      <c r="AB76" s="38">
        <v>359350</v>
      </c>
      <c r="AC76" s="8">
        <f>+H76-AB76</f>
        <v>359350</v>
      </c>
      <c r="AD76" s="13"/>
      <c r="AE76" s="9">
        <f>+AC76/H76</f>
        <v>0.5</v>
      </c>
      <c r="AF76" s="13"/>
      <c r="AG76" s="13"/>
      <c r="AH76" s="13" t="s">
        <v>31</v>
      </c>
      <c r="AI76" s="3"/>
      <c r="AJ76" s="19">
        <v>1900003566</v>
      </c>
      <c r="AK76" s="38">
        <v>359350</v>
      </c>
      <c r="AL76" s="8">
        <f t="shared" ref="AL76:AL82" si="35">+H76-AK76</f>
        <v>359350</v>
      </c>
      <c r="AM76" s="13"/>
      <c r="AN76" s="9">
        <f>+AL76/H76</f>
        <v>0.5</v>
      </c>
      <c r="AO76" s="13"/>
      <c r="AP76" s="13" t="s">
        <v>31</v>
      </c>
      <c r="AQ76" s="13"/>
      <c r="AR76" s="19">
        <v>1900004026</v>
      </c>
      <c r="AS76" s="38">
        <v>359350</v>
      </c>
      <c r="AT76" s="8">
        <f>+H76-AS76</f>
        <v>359350</v>
      </c>
      <c r="AU76" s="13"/>
      <c r="AV76" s="9">
        <f>+AT76/H76</f>
        <v>0.5</v>
      </c>
      <c r="AW76" s="13"/>
      <c r="AX76" s="13" t="s">
        <v>31</v>
      </c>
      <c r="AY76" s="13"/>
      <c r="AZ76" s="80">
        <v>1900004461</v>
      </c>
      <c r="BA76" s="38">
        <v>359350</v>
      </c>
      <c r="BB76" s="8">
        <f t="shared" ref="BB76:BB83" si="36">+H76-BA76</f>
        <v>359350</v>
      </c>
      <c r="BC76" s="13"/>
      <c r="BD76" s="9">
        <f>+BB76/H76</f>
        <v>0.5</v>
      </c>
      <c r="BE76" s="13"/>
      <c r="BF76" s="13" t="s">
        <v>31</v>
      </c>
      <c r="BG76" s="13"/>
      <c r="BH76" s="13"/>
      <c r="BI76" s="38">
        <v>359350</v>
      </c>
      <c r="BJ76" s="8">
        <f>+H76-BI76</f>
        <v>359350</v>
      </c>
      <c r="BK76" s="13"/>
      <c r="BL76" s="9">
        <f>+BJ76/H76</f>
        <v>0.5</v>
      </c>
      <c r="BM76" s="13"/>
      <c r="BN76" s="13" t="s">
        <v>31</v>
      </c>
      <c r="BO76" s="13"/>
      <c r="BP76" s="13"/>
      <c r="BQ76" s="38">
        <v>359350</v>
      </c>
      <c r="BR76" s="8">
        <f>+H76-BQ76</f>
        <v>359350</v>
      </c>
      <c r="BS76" s="13"/>
      <c r="BT76" s="9">
        <f>+BR76/H76</f>
        <v>0.5</v>
      </c>
      <c r="BU76" s="13"/>
      <c r="BV76" s="13" t="s">
        <v>31</v>
      </c>
      <c r="BW76" s="13"/>
      <c r="BX76" s="13"/>
      <c r="BY76" s="13"/>
      <c r="BZ76" s="13"/>
      <c r="CA76" s="13"/>
      <c r="CB76" s="13"/>
      <c r="CC76" s="13"/>
      <c r="CD76" s="13"/>
      <c r="CE76" s="13"/>
      <c r="CF76" s="13"/>
    </row>
    <row r="77" spans="1:84" x14ac:dyDescent="0.25">
      <c r="A77" s="1" t="s">
        <v>350</v>
      </c>
      <c r="B77" s="25" t="s">
        <v>828</v>
      </c>
      <c r="C77" s="34">
        <v>6623</v>
      </c>
      <c r="D77" s="21">
        <v>204556</v>
      </c>
      <c r="E77" s="17" t="s">
        <v>696</v>
      </c>
      <c r="F77" s="18" t="s">
        <v>697</v>
      </c>
      <c r="G77" s="38">
        <v>1169630</v>
      </c>
      <c r="H77" s="38">
        <v>1169630</v>
      </c>
      <c r="I77" s="8">
        <f t="shared" si="31"/>
        <v>0</v>
      </c>
      <c r="J77" s="8">
        <f t="shared" si="32"/>
        <v>0</v>
      </c>
      <c r="K77" s="11">
        <v>1135564</v>
      </c>
      <c r="L77" s="11"/>
      <c r="M77" s="11"/>
      <c r="N77" s="8">
        <f t="shared" si="33"/>
        <v>0</v>
      </c>
      <c r="O77" s="13"/>
      <c r="P77" s="13" t="s">
        <v>38</v>
      </c>
      <c r="Q77" s="13" t="s">
        <v>829</v>
      </c>
      <c r="R77" s="13" t="s">
        <v>31</v>
      </c>
      <c r="S77" s="72" t="s">
        <v>55</v>
      </c>
      <c r="T77" s="38">
        <v>1135564</v>
      </c>
      <c r="U77" s="8">
        <f t="shared" si="34"/>
        <v>34066</v>
      </c>
      <c r="V77" s="13"/>
      <c r="W77" s="9">
        <f>+U77/H77</f>
        <v>2.9125449928609902E-2</v>
      </c>
      <c r="X77" s="13" t="s">
        <v>38</v>
      </c>
      <c r="Y77" s="13"/>
      <c r="Z77" s="13" t="s">
        <v>31</v>
      </c>
      <c r="AA77" s="72" t="s">
        <v>47</v>
      </c>
      <c r="AB77" s="38">
        <v>1135564</v>
      </c>
      <c r="AC77" s="8">
        <f>+H77-AB77</f>
        <v>34066</v>
      </c>
      <c r="AD77" s="13"/>
      <c r="AE77" s="9">
        <f>+AC77/G77</f>
        <v>2.9125449928609902E-2</v>
      </c>
      <c r="AF77" s="13"/>
      <c r="AG77" s="13"/>
      <c r="AH77" s="13" t="s">
        <v>31</v>
      </c>
      <c r="AI77" s="3"/>
      <c r="AJ77" s="49">
        <v>1900003232</v>
      </c>
      <c r="AK77" s="38">
        <v>1135564</v>
      </c>
      <c r="AL77" s="8">
        <f t="shared" si="35"/>
        <v>34066</v>
      </c>
      <c r="AM77" s="13"/>
      <c r="AN77" s="9">
        <f>+AL77/H77</f>
        <v>2.9125449928609902E-2</v>
      </c>
      <c r="AO77" s="13"/>
      <c r="AP77" s="13" t="s">
        <v>31</v>
      </c>
      <c r="AQ77" s="13"/>
      <c r="AR77" s="19">
        <v>1900003893</v>
      </c>
      <c r="AS77" s="38">
        <v>1135564</v>
      </c>
      <c r="AT77" s="8">
        <f t="shared" ref="AT77:AT82" si="37">+H77-AS77</f>
        <v>34066</v>
      </c>
      <c r="AU77" s="38">
        <v>567782</v>
      </c>
      <c r="AV77" s="9">
        <f>+(AT77+AU77)/H77</f>
        <v>0.514562724964305</v>
      </c>
      <c r="AW77" s="13"/>
      <c r="AX77" s="13" t="s">
        <v>31</v>
      </c>
      <c r="AY77" s="13"/>
      <c r="AZ77" s="78" t="s">
        <v>830</v>
      </c>
      <c r="BA77" s="38">
        <v>1135586</v>
      </c>
      <c r="BB77" s="8">
        <f t="shared" si="36"/>
        <v>34044</v>
      </c>
      <c r="BC77" s="38">
        <v>409370</v>
      </c>
      <c r="BD77" s="9">
        <f>+(BB77+BC77)/H77</f>
        <v>0.37910621307593001</v>
      </c>
      <c r="BE77" s="13"/>
      <c r="BF77" s="13" t="s">
        <v>31</v>
      </c>
      <c r="BG77" s="13"/>
      <c r="BH77" s="13"/>
      <c r="BI77" s="38">
        <v>1135563</v>
      </c>
      <c r="BJ77" s="8">
        <f>+H77-BI77</f>
        <v>34067</v>
      </c>
      <c r="BK77" s="13"/>
      <c r="BL77" s="9">
        <f>+BJ77/H77</f>
        <v>2.9126304899840121E-2</v>
      </c>
      <c r="BM77" s="13"/>
      <c r="BN77" s="13" t="s">
        <v>31</v>
      </c>
      <c r="BO77" s="13"/>
      <c r="BP77" s="13"/>
      <c r="BQ77" s="38">
        <v>1135563</v>
      </c>
      <c r="BR77" s="8">
        <f>+H77-BQ77</f>
        <v>34067</v>
      </c>
      <c r="BS77" s="13"/>
      <c r="BT77" s="9">
        <f>+BR77/H77</f>
        <v>2.9126304899840121E-2</v>
      </c>
      <c r="BU77" s="13"/>
      <c r="BV77" s="13" t="s">
        <v>31</v>
      </c>
      <c r="BW77" s="13"/>
      <c r="BX77" s="13"/>
      <c r="BY77" s="38">
        <v>1135583</v>
      </c>
      <c r="BZ77" s="13">
        <v>0</v>
      </c>
      <c r="CA77" s="38">
        <v>511004</v>
      </c>
      <c r="CB77" s="9">
        <f>+CA77/BY77</f>
        <v>0.44999264694874791</v>
      </c>
      <c r="CC77" s="13"/>
      <c r="CD77" s="13" t="s">
        <v>31</v>
      </c>
      <c r="CE77" s="13"/>
      <c r="CF77" s="13"/>
    </row>
    <row r="78" spans="1:84" x14ac:dyDescent="0.25">
      <c r="A78" s="1" t="s">
        <v>354</v>
      </c>
      <c r="B78" s="25" t="s">
        <v>698</v>
      </c>
      <c r="C78" s="23">
        <v>6626</v>
      </c>
      <c r="D78" s="21">
        <v>204613</v>
      </c>
      <c r="E78" s="17" t="s">
        <v>699</v>
      </c>
      <c r="F78" s="18" t="s">
        <v>700</v>
      </c>
      <c r="G78" s="38">
        <v>1760554</v>
      </c>
      <c r="H78" s="38">
        <v>1760533</v>
      </c>
      <c r="I78" s="8">
        <f t="shared" si="31"/>
        <v>-21</v>
      </c>
      <c r="J78" s="10">
        <f t="shared" si="32"/>
        <v>-1.1928063552722609E-5</v>
      </c>
      <c r="K78" s="40">
        <v>1917865</v>
      </c>
      <c r="L78" s="11">
        <f>+H78-K78</f>
        <v>-157332</v>
      </c>
      <c r="M78" s="11"/>
      <c r="N78" s="9">
        <f>+(L78+M78)/H78</f>
        <v>-8.9366118101733963E-2</v>
      </c>
      <c r="O78" s="13"/>
      <c r="P78" s="13" t="s">
        <v>38</v>
      </c>
      <c r="Q78" s="13"/>
      <c r="R78" s="13" t="s">
        <v>31</v>
      </c>
      <c r="S78" s="72" t="s">
        <v>55</v>
      </c>
      <c r="T78" s="11">
        <f>+K78</f>
        <v>1917865</v>
      </c>
      <c r="U78" s="8">
        <f t="shared" si="34"/>
        <v>-157332</v>
      </c>
      <c r="V78" s="13"/>
      <c r="W78" s="13">
        <v>0</v>
      </c>
      <c r="X78" s="13" t="s">
        <v>38</v>
      </c>
      <c r="Y78" s="13" t="s">
        <v>831</v>
      </c>
      <c r="Z78" s="13" t="s">
        <v>31</v>
      </c>
      <c r="AA78" s="72" t="s">
        <v>47</v>
      </c>
      <c r="AB78" s="38">
        <v>1917865</v>
      </c>
      <c r="AC78" s="8">
        <f>+H78-AB78</f>
        <v>-157332</v>
      </c>
      <c r="AD78" s="13"/>
      <c r="AE78" s="9">
        <f>+AC78/G78</f>
        <v>-8.9365052136997788E-2</v>
      </c>
      <c r="AF78" s="13"/>
      <c r="AG78" s="13"/>
      <c r="AH78" s="13" t="s">
        <v>31</v>
      </c>
      <c r="AI78" s="3"/>
      <c r="AJ78" s="49">
        <v>1900003228</v>
      </c>
      <c r="AK78" s="38">
        <v>1899122</v>
      </c>
      <c r="AL78" s="8">
        <f t="shared" si="35"/>
        <v>-138589</v>
      </c>
      <c r="AM78" s="13"/>
      <c r="AN78" s="9">
        <f>+AL78/H78</f>
        <v>-7.8719910390773709E-2</v>
      </c>
      <c r="AO78" s="13"/>
      <c r="AP78" s="13" t="s">
        <v>31</v>
      </c>
      <c r="AQ78" s="13"/>
      <c r="AR78" s="19">
        <v>1900003894</v>
      </c>
      <c r="AS78" s="38">
        <v>1899122</v>
      </c>
      <c r="AT78" s="8">
        <f t="shared" si="37"/>
        <v>-138589</v>
      </c>
      <c r="AU78" s="13"/>
      <c r="AV78" s="13">
        <v>0</v>
      </c>
      <c r="AW78" s="13"/>
      <c r="AX78" s="13" t="s">
        <v>31</v>
      </c>
      <c r="AY78" s="13"/>
      <c r="AZ78" s="78">
        <v>1900004279</v>
      </c>
      <c r="BA78" s="38">
        <v>1899122</v>
      </c>
      <c r="BB78" s="8">
        <f t="shared" si="36"/>
        <v>-138589</v>
      </c>
      <c r="BC78" s="13"/>
      <c r="BD78" s="13">
        <v>0</v>
      </c>
      <c r="BE78" s="13"/>
      <c r="BF78" s="13" t="s">
        <v>31</v>
      </c>
      <c r="BG78" s="13"/>
      <c r="BH78" s="13"/>
      <c r="BI78" s="38">
        <v>1899122</v>
      </c>
      <c r="BJ78" s="13">
        <v>0</v>
      </c>
      <c r="BK78" s="13"/>
      <c r="BL78" s="13">
        <v>0</v>
      </c>
      <c r="BM78" s="13"/>
      <c r="BN78" s="13" t="s">
        <v>31</v>
      </c>
      <c r="BO78" s="13"/>
      <c r="BP78" s="13"/>
      <c r="BQ78" s="38">
        <v>1899122</v>
      </c>
      <c r="BR78" s="13">
        <v>0</v>
      </c>
      <c r="BS78" s="13"/>
      <c r="BT78" s="13">
        <v>0</v>
      </c>
      <c r="BU78" s="13"/>
      <c r="BV78" s="13" t="s">
        <v>31</v>
      </c>
      <c r="BW78" s="13"/>
      <c r="BX78" s="13"/>
      <c r="BY78" s="38">
        <v>1899122</v>
      </c>
      <c r="BZ78" s="13">
        <v>0</v>
      </c>
      <c r="CA78" s="13"/>
      <c r="CB78" s="13">
        <v>0</v>
      </c>
      <c r="CC78" s="13"/>
      <c r="CD78" s="13" t="s">
        <v>31</v>
      </c>
      <c r="CE78" s="13"/>
      <c r="CF78" s="13"/>
    </row>
    <row r="79" spans="1:84" x14ac:dyDescent="0.25">
      <c r="A79" s="1" t="s">
        <v>358</v>
      </c>
      <c r="B79" s="25" t="s">
        <v>701</v>
      </c>
      <c r="C79" s="23">
        <v>6627</v>
      </c>
      <c r="D79" s="21">
        <v>204556</v>
      </c>
      <c r="E79" s="17" t="s">
        <v>696</v>
      </c>
      <c r="F79" s="18" t="s">
        <v>697</v>
      </c>
      <c r="G79" s="38">
        <v>1399284</v>
      </c>
      <c r="H79" s="38">
        <v>1399284</v>
      </c>
      <c r="I79" s="8">
        <f t="shared" si="31"/>
        <v>0</v>
      </c>
      <c r="J79" s="8">
        <f t="shared" si="32"/>
        <v>0</v>
      </c>
      <c r="K79" s="11">
        <v>1358529</v>
      </c>
      <c r="L79" s="11"/>
      <c r="M79" s="11"/>
      <c r="N79" s="8">
        <f t="shared" si="33"/>
        <v>0</v>
      </c>
      <c r="O79" s="13"/>
      <c r="P79" s="13" t="s">
        <v>38</v>
      </c>
      <c r="Q79" s="13" t="s">
        <v>829</v>
      </c>
      <c r="R79" s="13" t="s">
        <v>31</v>
      </c>
      <c r="S79" s="72" t="s">
        <v>55</v>
      </c>
      <c r="T79" s="38">
        <v>1358529</v>
      </c>
      <c r="U79" s="8">
        <f t="shared" si="34"/>
        <v>40755</v>
      </c>
      <c r="V79" s="13"/>
      <c r="W79" s="9">
        <f>+U79/H79</f>
        <v>2.9125609954805457E-2</v>
      </c>
      <c r="X79" s="13" t="s">
        <v>38</v>
      </c>
      <c r="Y79" s="13"/>
      <c r="Z79" s="13" t="s">
        <v>31</v>
      </c>
      <c r="AA79" s="72" t="s">
        <v>47</v>
      </c>
      <c r="AB79" s="38">
        <v>1358529</v>
      </c>
      <c r="AC79" s="8">
        <f>+H79-AB79</f>
        <v>40755</v>
      </c>
      <c r="AD79" s="13"/>
      <c r="AE79" s="9">
        <f>+AC79/G79</f>
        <v>2.9125609954805457E-2</v>
      </c>
      <c r="AF79" s="13"/>
      <c r="AG79" s="13"/>
      <c r="AH79" s="13" t="s">
        <v>31</v>
      </c>
      <c r="AI79" s="3"/>
      <c r="AJ79" s="49">
        <v>1900003233</v>
      </c>
      <c r="AK79" s="38">
        <v>1358528</v>
      </c>
      <c r="AL79" s="8">
        <f t="shared" si="35"/>
        <v>40756</v>
      </c>
      <c r="AM79" s="13"/>
      <c r="AN79" s="9">
        <f>+AL79/H79</f>
        <v>2.9126324606012791E-2</v>
      </c>
      <c r="AO79" s="13"/>
      <c r="AP79" s="13" t="s">
        <v>31</v>
      </c>
      <c r="AQ79" s="13"/>
      <c r="AR79" s="19">
        <v>1900003895</v>
      </c>
      <c r="AS79" s="38">
        <v>1358528</v>
      </c>
      <c r="AT79" s="8">
        <f t="shared" si="37"/>
        <v>40756</v>
      </c>
      <c r="AU79" s="38">
        <v>679265</v>
      </c>
      <c r="AV79" s="9">
        <f>+(AT79+AU79)/H79</f>
        <v>0.51456387695421368</v>
      </c>
      <c r="AW79" s="13"/>
      <c r="AX79" s="13" t="s">
        <v>31</v>
      </c>
      <c r="AY79" s="13"/>
      <c r="AZ79" s="78" t="s">
        <v>832</v>
      </c>
      <c r="BA79" s="38">
        <v>1358528</v>
      </c>
      <c r="BB79" s="8">
        <f t="shared" si="36"/>
        <v>40756</v>
      </c>
      <c r="BC79" s="38">
        <v>489750</v>
      </c>
      <c r="BD79" s="9">
        <f>+(BB79+BC79)/H79</f>
        <v>0.37912675339673718</v>
      </c>
      <c r="BE79" s="13"/>
      <c r="BF79" s="13" t="s">
        <v>31</v>
      </c>
      <c r="BG79" s="13"/>
      <c r="BH79" s="13"/>
      <c r="BI79" s="38">
        <v>1358528</v>
      </c>
      <c r="BJ79" s="8">
        <f>+H79-BI79</f>
        <v>40756</v>
      </c>
      <c r="BK79" s="13"/>
      <c r="BL79" s="9">
        <f>+BJ79/H79</f>
        <v>2.9126324606012791E-2</v>
      </c>
      <c r="BM79" s="13"/>
      <c r="BN79" s="13" t="s">
        <v>31</v>
      </c>
      <c r="BO79" s="13"/>
      <c r="BP79" s="13"/>
      <c r="BQ79" s="38">
        <v>1358528</v>
      </c>
      <c r="BR79" s="8">
        <f>+H79-BQ79</f>
        <v>40756</v>
      </c>
      <c r="BS79" s="38">
        <v>475485</v>
      </c>
      <c r="BT79" s="9">
        <f>+BR79/H79</f>
        <v>2.9126324606012791E-2</v>
      </c>
      <c r="BU79" s="13"/>
      <c r="BV79" s="13" t="s">
        <v>31</v>
      </c>
      <c r="BW79" s="13"/>
      <c r="BX79" s="13"/>
      <c r="BY79" s="38">
        <v>1358528</v>
      </c>
      <c r="BZ79" s="13">
        <v>0</v>
      </c>
      <c r="CA79" s="38">
        <v>771593</v>
      </c>
      <c r="CB79" s="9">
        <f>+CA79/BY79</f>
        <v>0.56796253003250574</v>
      </c>
      <c r="CC79" s="38"/>
      <c r="CD79" s="13" t="s">
        <v>31</v>
      </c>
      <c r="CE79" s="13"/>
      <c r="CF79" s="13"/>
    </row>
    <row r="80" spans="1:84" x14ac:dyDescent="0.25">
      <c r="A80" s="1" t="s">
        <v>369</v>
      </c>
      <c r="B80" s="25" t="s">
        <v>702</v>
      </c>
      <c r="C80" s="23">
        <v>6629</v>
      </c>
      <c r="D80" s="21">
        <v>206755</v>
      </c>
      <c r="E80" s="17" t="s">
        <v>371</v>
      </c>
      <c r="F80" s="18" t="s">
        <v>703</v>
      </c>
      <c r="G80" s="38">
        <v>857790</v>
      </c>
      <c r="H80" s="38">
        <v>857790</v>
      </c>
      <c r="I80" s="8">
        <f t="shared" si="31"/>
        <v>0</v>
      </c>
      <c r="J80" s="8">
        <f t="shared" si="32"/>
        <v>0</v>
      </c>
      <c r="K80" s="38">
        <v>428892</v>
      </c>
      <c r="L80" s="11">
        <f>+H80-K80</f>
        <v>428898</v>
      </c>
      <c r="M80" s="11"/>
      <c r="N80" s="9">
        <f t="shared" si="33"/>
        <v>0.50000349735949356</v>
      </c>
      <c r="O80" s="13"/>
      <c r="P80" s="13"/>
      <c r="Q80" s="13"/>
      <c r="R80" s="13"/>
      <c r="S80" s="3"/>
      <c r="T80" s="38">
        <v>428892</v>
      </c>
      <c r="U80" s="8">
        <f t="shared" si="34"/>
        <v>428898</v>
      </c>
      <c r="V80" s="13"/>
      <c r="W80" s="9">
        <f>+U80/H80</f>
        <v>0.50000349735949356</v>
      </c>
      <c r="X80" s="13"/>
      <c r="Y80" s="13"/>
      <c r="Z80" s="13"/>
      <c r="AA80" s="3"/>
      <c r="AB80" s="38">
        <v>428892</v>
      </c>
      <c r="AC80" s="8">
        <f>+H80-AB80</f>
        <v>428898</v>
      </c>
      <c r="AD80" s="13"/>
      <c r="AE80" s="9">
        <f>+AC80/H80</f>
        <v>0.50000349735949356</v>
      </c>
      <c r="AF80" s="13"/>
      <c r="AG80" s="13"/>
      <c r="AH80" s="13" t="s">
        <v>31</v>
      </c>
      <c r="AI80" s="3"/>
      <c r="AJ80" s="19">
        <v>1900003447</v>
      </c>
      <c r="AK80" s="38">
        <v>428895</v>
      </c>
      <c r="AL80" s="8">
        <f t="shared" si="35"/>
        <v>428895</v>
      </c>
      <c r="AM80" s="13"/>
      <c r="AN80" s="9">
        <f>+AL80/H80</f>
        <v>0.5</v>
      </c>
      <c r="AO80" s="13"/>
      <c r="AP80" s="13" t="s">
        <v>31</v>
      </c>
      <c r="AQ80" s="13"/>
      <c r="AR80" s="19">
        <v>1900003761</v>
      </c>
      <c r="AS80" s="38">
        <v>428895</v>
      </c>
      <c r="AT80" s="8">
        <f t="shared" si="37"/>
        <v>428895</v>
      </c>
      <c r="AU80" s="13"/>
      <c r="AV80" s="9">
        <f>+AT80/H80</f>
        <v>0.5</v>
      </c>
      <c r="AW80" s="13"/>
      <c r="AX80" s="13" t="s">
        <v>31</v>
      </c>
      <c r="AY80" s="13"/>
      <c r="AZ80" s="79">
        <v>1900004171</v>
      </c>
      <c r="BA80" s="38">
        <v>428895</v>
      </c>
      <c r="BB80" s="8">
        <f t="shared" si="36"/>
        <v>428895</v>
      </c>
      <c r="BC80" s="13"/>
      <c r="BD80" s="9">
        <f>+BB80/H80</f>
        <v>0.5</v>
      </c>
      <c r="BE80" s="13"/>
      <c r="BF80" s="13" t="s">
        <v>31</v>
      </c>
      <c r="BG80" s="13"/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  <c r="BS80" s="13"/>
      <c r="BT80" s="13"/>
      <c r="BU80" s="13"/>
      <c r="BV80" s="13"/>
      <c r="BW80" s="13"/>
      <c r="BX80" s="13"/>
      <c r="BY80" s="13"/>
      <c r="BZ80" s="13"/>
      <c r="CA80" s="13"/>
      <c r="CB80" s="13"/>
      <c r="CC80" s="13"/>
      <c r="CD80" s="13"/>
      <c r="CE80" s="13"/>
      <c r="CF80" s="13"/>
    </row>
    <row r="81" spans="1:84" x14ac:dyDescent="0.25">
      <c r="A81" s="1" t="s">
        <v>373</v>
      </c>
      <c r="B81" s="25" t="s">
        <v>704</v>
      </c>
      <c r="C81" s="23">
        <v>6632</v>
      </c>
      <c r="D81" s="21">
        <v>204652</v>
      </c>
      <c r="E81" s="17" t="s">
        <v>705</v>
      </c>
      <c r="F81" s="18" t="s">
        <v>655</v>
      </c>
      <c r="G81" s="38">
        <v>1016547</v>
      </c>
      <c r="H81" s="38">
        <v>1016547</v>
      </c>
      <c r="I81" s="8">
        <f t="shared" si="31"/>
        <v>0</v>
      </c>
      <c r="J81" s="8">
        <f t="shared" si="32"/>
        <v>0</v>
      </c>
      <c r="K81" s="11"/>
      <c r="L81" s="11"/>
      <c r="M81" s="11"/>
      <c r="N81" s="8">
        <f t="shared" si="33"/>
        <v>0</v>
      </c>
      <c r="O81" s="13"/>
      <c r="P81" s="13"/>
      <c r="Q81" s="13"/>
      <c r="R81" s="13"/>
      <c r="S81" s="3"/>
      <c r="T81" s="38">
        <v>1016547</v>
      </c>
      <c r="U81" s="8">
        <f t="shared" si="34"/>
        <v>0</v>
      </c>
      <c r="V81" s="13"/>
      <c r="W81" s="13">
        <v>0</v>
      </c>
      <c r="X81" s="13" t="s">
        <v>38</v>
      </c>
      <c r="Y81" s="13"/>
      <c r="Z81" s="13" t="s">
        <v>31</v>
      </c>
      <c r="AA81" s="3"/>
      <c r="AB81" s="8">
        <f>+H81</f>
        <v>1016547</v>
      </c>
      <c r="AC81" s="13">
        <v>0</v>
      </c>
      <c r="AD81" s="13"/>
      <c r="AE81" s="13">
        <v>0</v>
      </c>
      <c r="AF81" s="13"/>
      <c r="AG81" s="13"/>
      <c r="AH81" s="13" t="s">
        <v>31</v>
      </c>
      <c r="AI81" s="3"/>
      <c r="AJ81" s="50">
        <v>1900003381</v>
      </c>
      <c r="AK81" s="38">
        <v>1177774</v>
      </c>
      <c r="AL81" s="8">
        <f t="shared" si="35"/>
        <v>-161227</v>
      </c>
      <c r="AM81" s="13"/>
      <c r="AN81" s="13">
        <v>0</v>
      </c>
      <c r="AO81" s="13"/>
      <c r="AP81" s="13" t="s">
        <v>31</v>
      </c>
      <c r="AQ81" s="13"/>
      <c r="AR81" s="19">
        <v>1900004034</v>
      </c>
      <c r="AS81" s="38">
        <v>1016547</v>
      </c>
      <c r="AT81" s="8">
        <f t="shared" si="37"/>
        <v>0</v>
      </c>
      <c r="AU81" s="13"/>
      <c r="AV81" s="13">
        <v>0</v>
      </c>
      <c r="AW81" s="13"/>
      <c r="AX81" s="13" t="s">
        <v>31</v>
      </c>
      <c r="AY81" s="13"/>
      <c r="AZ81" s="79">
        <v>1900004103</v>
      </c>
      <c r="BA81" s="38">
        <v>1177774</v>
      </c>
      <c r="BB81" s="8">
        <f t="shared" si="36"/>
        <v>-161227</v>
      </c>
      <c r="BC81" s="13"/>
      <c r="BD81" s="13">
        <v>0</v>
      </c>
      <c r="BE81" s="13"/>
      <c r="BF81" s="13" t="s">
        <v>31</v>
      </c>
      <c r="BG81" s="13"/>
      <c r="BH81" s="13"/>
      <c r="BI81" s="38">
        <v>1016548</v>
      </c>
      <c r="BJ81" s="8">
        <f>+H81-BI81</f>
        <v>-1</v>
      </c>
      <c r="BK81" s="13"/>
      <c r="BL81" s="13">
        <v>0</v>
      </c>
      <c r="BM81" s="13"/>
      <c r="BN81" s="13" t="s">
        <v>31</v>
      </c>
      <c r="BO81" s="13"/>
      <c r="BP81" s="13"/>
      <c r="BQ81" s="38">
        <v>1016548</v>
      </c>
      <c r="BR81" s="13">
        <v>0</v>
      </c>
      <c r="BS81" s="13"/>
      <c r="BT81" s="13">
        <v>0</v>
      </c>
      <c r="BU81" s="13"/>
      <c r="BV81" s="13" t="s">
        <v>31</v>
      </c>
      <c r="BW81" s="13"/>
      <c r="BX81" s="13"/>
      <c r="BY81" s="13"/>
      <c r="BZ81" s="13"/>
      <c r="CA81" s="13"/>
      <c r="CB81" s="13"/>
      <c r="CC81" s="13"/>
      <c r="CD81" s="13"/>
      <c r="CE81" s="13"/>
      <c r="CF81" s="13"/>
    </row>
    <row r="82" spans="1:84" x14ac:dyDescent="0.25">
      <c r="A82" s="1" t="s">
        <v>380</v>
      </c>
      <c r="B82" s="25" t="s">
        <v>706</v>
      </c>
      <c r="C82" s="23">
        <v>6636</v>
      </c>
      <c r="D82" s="21">
        <v>204588</v>
      </c>
      <c r="E82" s="17" t="s">
        <v>382</v>
      </c>
      <c r="F82" s="18" t="s">
        <v>707</v>
      </c>
      <c r="G82" s="38">
        <v>1807751</v>
      </c>
      <c r="H82" s="38">
        <v>2051797</v>
      </c>
      <c r="I82" s="8">
        <f t="shared" si="31"/>
        <v>244046</v>
      </c>
      <c r="J82" s="10">
        <f t="shared" si="32"/>
        <v>0.13499978702819138</v>
      </c>
      <c r="K82" s="11">
        <v>1889100</v>
      </c>
      <c r="L82" s="11">
        <f>+H82-K82</f>
        <v>162697</v>
      </c>
      <c r="M82" s="11"/>
      <c r="N82" s="9">
        <f t="shared" si="33"/>
        <v>7.9294881511182636E-2</v>
      </c>
      <c r="O82" s="13"/>
      <c r="P82" s="13" t="s">
        <v>38</v>
      </c>
      <c r="Q82" s="13"/>
      <c r="R82" s="13" t="s">
        <v>31</v>
      </c>
      <c r="S82" s="73" t="s">
        <v>785</v>
      </c>
      <c r="T82" s="42">
        <v>1133460</v>
      </c>
      <c r="U82" s="43">
        <f t="shared" si="34"/>
        <v>918337</v>
      </c>
      <c r="V82" s="13"/>
      <c r="W82" s="9">
        <f>+U82/H82</f>
        <v>0.44757692890670958</v>
      </c>
      <c r="X82" s="13" t="s">
        <v>46</v>
      </c>
      <c r="Y82" s="13"/>
      <c r="Z82" s="13" t="s">
        <v>31</v>
      </c>
      <c r="AA82" s="72" t="s">
        <v>47</v>
      </c>
      <c r="AB82" s="38">
        <v>1133460</v>
      </c>
      <c r="AC82" s="8">
        <f>+H82-AB82</f>
        <v>918337</v>
      </c>
      <c r="AD82" s="13"/>
      <c r="AE82" s="9">
        <f>+AC82/H82</f>
        <v>0.44757692890670958</v>
      </c>
      <c r="AF82" s="13" t="s">
        <v>46</v>
      </c>
      <c r="AG82" s="13"/>
      <c r="AH82" s="13" t="s">
        <v>31</v>
      </c>
      <c r="AI82" s="3"/>
      <c r="AJ82" s="49">
        <v>1900003310</v>
      </c>
      <c r="AK82" s="38">
        <v>1227915</v>
      </c>
      <c r="AL82" s="8">
        <f t="shared" si="35"/>
        <v>823882</v>
      </c>
      <c r="AM82" s="13"/>
      <c r="AN82" s="9">
        <f>+AL82/H82</f>
        <v>0.40154167298226873</v>
      </c>
      <c r="AO82" s="13"/>
      <c r="AP82" s="13" t="s">
        <v>31</v>
      </c>
      <c r="AQ82" s="13"/>
      <c r="AR82" s="19">
        <v>1900003793</v>
      </c>
      <c r="AS82" s="38">
        <v>1227915</v>
      </c>
      <c r="AT82" s="38">
        <f t="shared" si="37"/>
        <v>823882</v>
      </c>
      <c r="AU82" s="13"/>
      <c r="AV82" s="9">
        <f>+AT82/H82</f>
        <v>0.40154167298226873</v>
      </c>
      <c r="AW82" s="13"/>
      <c r="AX82" s="13" t="s">
        <v>31</v>
      </c>
      <c r="AY82" s="13"/>
      <c r="AZ82" s="79">
        <v>1900004187</v>
      </c>
      <c r="BA82" s="38">
        <v>1227915</v>
      </c>
      <c r="BB82" s="8">
        <f t="shared" si="36"/>
        <v>823882</v>
      </c>
      <c r="BC82" s="13"/>
      <c r="BD82" s="9">
        <f>+BB82/H82</f>
        <v>0.40154167298226873</v>
      </c>
      <c r="BE82" s="13"/>
      <c r="BF82" s="13" t="s">
        <v>31</v>
      </c>
      <c r="BG82" s="13"/>
      <c r="BH82" s="13"/>
      <c r="BI82" s="38">
        <v>1511280</v>
      </c>
      <c r="BJ82" s="13">
        <v>0</v>
      </c>
      <c r="BK82" s="13"/>
      <c r="BL82" s="13">
        <v>0</v>
      </c>
      <c r="BM82" s="13"/>
      <c r="BN82" s="13" t="s">
        <v>31</v>
      </c>
      <c r="BO82" s="13"/>
      <c r="BP82" s="13"/>
      <c r="BQ82" s="38">
        <v>1605735</v>
      </c>
      <c r="BR82" s="13">
        <v>0</v>
      </c>
      <c r="BS82" s="13"/>
      <c r="BT82" s="13">
        <v>0</v>
      </c>
      <c r="BU82" s="13"/>
      <c r="BV82" s="13" t="s">
        <v>31</v>
      </c>
      <c r="BW82" s="13"/>
      <c r="BX82" s="13"/>
      <c r="BY82" s="38">
        <v>1889100</v>
      </c>
      <c r="BZ82" s="13">
        <v>0</v>
      </c>
      <c r="CA82" s="13"/>
      <c r="CB82" s="13">
        <v>0</v>
      </c>
      <c r="CC82" s="13"/>
      <c r="CD82" s="13" t="s">
        <v>31</v>
      </c>
      <c r="CE82" s="13"/>
      <c r="CF82" s="13"/>
    </row>
    <row r="83" spans="1:84" ht="15.75" x14ac:dyDescent="0.25">
      <c r="A83" s="1" t="s">
        <v>91</v>
      </c>
      <c r="B83" s="25" t="s">
        <v>708</v>
      </c>
      <c r="C83" s="23">
        <v>6640</v>
      </c>
      <c r="D83" s="21">
        <v>204549</v>
      </c>
      <c r="E83" s="17" t="s">
        <v>709</v>
      </c>
      <c r="F83" s="18" t="s">
        <v>710</v>
      </c>
      <c r="G83" s="38">
        <v>1358486</v>
      </c>
      <c r="H83" s="38">
        <v>1358486</v>
      </c>
      <c r="I83" s="8">
        <f t="shared" si="31"/>
        <v>0</v>
      </c>
      <c r="J83" s="8">
        <f t="shared" si="32"/>
        <v>0</v>
      </c>
      <c r="K83" s="11">
        <v>1397879</v>
      </c>
      <c r="L83" s="11">
        <f>+H83-K83</f>
        <v>-39393</v>
      </c>
      <c r="M83" s="11"/>
      <c r="N83" s="9">
        <f t="shared" si="33"/>
        <v>-2.8997722464567173E-2</v>
      </c>
      <c r="O83" s="13"/>
      <c r="P83" s="13" t="s">
        <v>38</v>
      </c>
      <c r="Q83" s="13" t="s">
        <v>833</v>
      </c>
      <c r="R83" s="13" t="s">
        <v>31</v>
      </c>
      <c r="S83" s="75" t="s">
        <v>47</v>
      </c>
      <c r="T83" s="13"/>
      <c r="U83" s="13"/>
      <c r="V83" s="13"/>
      <c r="W83" s="13"/>
      <c r="X83" s="13"/>
      <c r="Y83" s="13"/>
      <c r="Z83" s="13"/>
      <c r="AA83" s="3"/>
      <c r="AB83" s="13"/>
      <c r="AC83" s="13"/>
      <c r="AD83" s="13"/>
      <c r="AE83" s="13"/>
      <c r="AF83" s="13"/>
      <c r="AG83" s="13"/>
      <c r="AH83" s="13"/>
      <c r="AI83" s="3"/>
      <c r="AJ83" s="49"/>
      <c r="AK83" s="13"/>
      <c r="AL83" s="13"/>
      <c r="AM83" s="13"/>
      <c r="AN83" s="13"/>
      <c r="AO83" s="13"/>
      <c r="AP83" s="13"/>
      <c r="AQ83" s="13"/>
      <c r="AR83" s="19"/>
      <c r="AS83" s="38">
        <v>961193</v>
      </c>
      <c r="AT83" s="8">
        <f>+H83-AS83</f>
        <v>397293</v>
      </c>
      <c r="AU83" s="13"/>
      <c r="AV83" s="9">
        <f>+AT83/H83</f>
        <v>0.29245277463293695</v>
      </c>
      <c r="AW83" s="13"/>
      <c r="AX83" s="13" t="s">
        <v>31</v>
      </c>
      <c r="AY83" s="13"/>
      <c r="AZ83" s="78">
        <v>1900004304</v>
      </c>
      <c r="BA83" s="38">
        <v>1052272</v>
      </c>
      <c r="BB83" s="8">
        <f t="shared" si="36"/>
        <v>306214</v>
      </c>
      <c r="BC83" s="13"/>
      <c r="BD83" s="9">
        <f>+BB83/H83</f>
        <v>0.22540828540007038</v>
      </c>
      <c r="BE83" s="13"/>
      <c r="BF83" s="13" t="s">
        <v>31</v>
      </c>
      <c r="BG83" s="13"/>
      <c r="BH83" s="13"/>
      <c r="BI83" s="13"/>
      <c r="BJ83" s="13"/>
      <c r="BK83" s="13"/>
      <c r="BL83" s="13"/>
      <c r="BM83" s="13"/>
      <c r="BN83" s="13"/>
      <c r="BO83" s="13"/>
      <c r="BP83" s="13"/>
      <c r="BQ83" s="38">
        <v>1089352</v>
      </c>
      <c r="BR83" s="8">
        <f>+H83-BQ83</f>
        <v>269134</v>
      </c>
      <c r="BS83" s="13"/>
      <c r="BT83" s="9">
        <f>+BR83/H83</f>
        <v>0.19811319365823424</v>
      </c>
      <c r="BU83" s="13"/>
      <c r="BV83" s="13" t="s">
        <v>31</v>
      </c>
      <c r="BW83" s="13"/>
      <c r="BX83" s="13"/>
      <c r="BY83" s="38">
        <v>1281590</v>
      </c>
      <c r="BZ83" s="13">
        <v>0</v>
      </c>
      <c r="CA83" s="13"/>
      <c r="CB83" s="13">
        <v>0</v>
      </c>
      <c r="CC83" s="13"/>
      <c r="CD83" s="13" t="s">
        <v>31</v>
      </c>
      <c r="CE83" s="13"/>
      <c r="CF83" s="13"/>
    </row>
    <row r="84" spans="1:84" x14ac:dyDescent="0.25">
      <c r="A84" s="1" t="s">
        <v>834</v>
      </c>
      <c r="B84" s="25" t="s">
        <v>835</v>
      </c>
      <c r="C84" s="23">
        <v>6649</v>
      </c>
      <c r="D84" s="21">
        <v>204554</v>
      </c>
      <c r="E84" s="17" t="s">
        <v>836</v>
      </c>
      <c r="F84" s="18" t="s">
        <v>837</v>
      </c>
      <c r="G84" s="38">
        <v>441000</v>
      </c>
      <c r="H84" s="7">
        <v>0</v>
      </c>
      <c r="I84" s="8">
        <f t="shared" si="31"/>
        <v>-441000</v>
      </c>
      <c r="J84" s="9">
        <f t="shared" si="32"/>
        <v>-1</v>
      </c>
      <c r="K84" s="11"/>
      <c r="L84" s="11"/>
      <c r="M84" s="11"/>
      <c r="N84" s="8">
        <v>0</v>
      </c>
      <c r="O84" s="13"/>
      <c r="P84" s="13"/>
      <c r="Q84" s="13"/>
      <c r="R84" s="13"/>
      <c r="S84" s="3"/>
      <c r="T84" s="13"/>
      <c r="U84" s="13"/>
      <c r="V84" s="13"/>
      <c r="W84" s="13"/>
      <c r="X84" s="13"/>
      <c r="Y84" s="13"/>
      <c r="Z84" s="13"/>
      <c r="AA84" s="3"/>
      <c r="AB84" s="13"/>
      <c r="AC84" s="13"/>
      <c r="AD84" s="13"/>
      <c r="AE84" s="13"/>
      <c r="AF84" s="13"/>
      <c r="AG84" s="13"/>
      <c r="AH84" s="13"/>
      <c r="AI84" s="3"/>
      <c r="AJ84" s="49"/>
      <c r="AK84" s="13"/>
      <c r="AL84" s="13"/>
      <c r="AM84" s="13"/>
      <c r="AN84" s="13"/>
      <c r="AO84" s="13"/>
      <c r="AP84" s="13"/>
      <c r="AQ84" s="13"/>
      <c r="AR84" s="19"/>
      <c r="AS84" s="13"/>
      <c r="AT84" s="13"/>
      <c r="AU84" s="13"/>
      <c r="AV84" s="13"/>
      <c r="AW84" s="13"/>
      <c r="AX84" s="13"/>
      <c r="AY84" s="13"/>
      <c r="AZ84" s="79"/>
      <c r="BA84" s="13"/>
      <c r="BB84" s="13"/>
      <c r="BC84" s="13"/>
      <c r="BD84" s="13"/>
      <c r="BE84" s="13"/>
      <c r="BF84" s="13"/>
      <c r="BG84" s="13"/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  <c r="BS84" s="13"/>
      <c r="BT84" s="13"/>
      <c r="BU84" s="13"/>
      <c r="BV84" s="13"/>
      <c r="BW84" s="13"/>
      <c r="BX84" s="13"/>
      <c r="BY84" s="13"/>
      <c r="BZ84" s="13"/>
      <c r="CA84" s="13"/>
      <c r="CB84" s="13"/>
      <c r="CC84" s="13"/>
      <c r="CD84" s="13"/>
      <c r="CE84" s="13"/>
      <c r="CF84" s="13"/>
    </row>
    <row r="85" spans="1:84" x14ac:dyDescent="0.25">
      <c r="A85" s="1" t="s">
        <v>397</v>
      </c>
      <c r="B85" s="25" t="s">
        <v>711</v>
      </c>
      <c r="C85" s="23">
        <v>6652</v>
      </c>
      <c r="D85" s="21">
        <v>204565</v>
      </c>
      <c r="E85" s="17" t="s">
        <v>712</v>
      </c>
      <c r="F85" s="18" t="s">
        <v>713</v>
      </c>
      <c r="G85" s="38">
        <v>1513996</v>
      </c>
      <c r="H85" s="38">
        <v>1680351</v>
      </c>
      <c r="I85" s="8">
        <f t="shared" si="31"/>
        <v>166355</v>
      </c>
      <c r="J85" s="9">
        <f t="shared" si="32"/>
        <v>0.10987809743222571</v>
      </c>
      <c r="K85" s="11">
        <v>1680351</v>
      </c>
      <c r="L85" s="11">
        <f>+H85-K85</f>
        <v>0</v>
      </c>
      <c r="M85" s="11"/>
      <c r="N85" s="8">
        <f t="shared" si="33"/>
        <v>0</v>
      </c>
      <c r="O85" s="13"/>
      <c r="P85" s="13"/>
      <c r="Q85" s="13" t="s">
        <v>838</v>
      </c>
      <c r="R85" s="13"/>
      <c r="S85" s="3"/>
      <c r="T85" s="38">
        <v>1680351</v>
      </c>
      <c r="U85" s="8">
        <f>+H85-T85</f>
        <v>0</v>
      </c>
      <c r="V85" s="13"/>
      <c r="W85" s="13">
        <v>0</v>
      </c>
      <c r="X85" s="13"/>
      <c r="Y85" s="13"/>
      <c r="Z85" s="13"/>
      <c r="AA85" s="3"/>
      <c r="AB85" s="38">
        <v>1680351</v>
      </c>
      <c r="AC85" s="8">
        <f>+H85-AB85</f>
        <v>0</v>
      </c>
      <c r="AD85" s="13"/>
      <c r="AE85" s="13">
        <v>0</v>
      </c>
      <c r="AF85" s="13"/>
      <c r="AG85" s="13"/>
      <c r="AH85" s="13"/>
      <c r="AI85" s="3"/>
      <c r="AJ85" s="49"/>
      <c r="AK85" s="38">
        <v>1680351</v>
      </c>
      <c r="AL85" s="8">
        <f>+H85-AK85</f>
        <v>0</v>
      </c>
      <c r="AM85" s="13"/>
      <c r="AN85" s="13">
        <v>0</v>
      </c>
      <c r="AO85" s="13"/>
      <c r="AP85" s="13"/>
      <c r="AQ85" s="13"/>
      <c r="AR85" s="19"/>
      <c r="AS85" s="38">
        <v>1680351</v>
      </c>
      <c r="AT85" s="8">
        <f>+H85-AS85</f>
        <v>0</v>
      </c>
      <c r="AU85" s="13"/>
      <c r="AV85" s="13">
        <v>0</v>
      </c>
      <c r="AW85" s="13"/>
      <c r="AX85" s="13"/>
      <c r="AY85" s="13"/>
      <c r="AZ85" s="79"/>
      <c r="BA85" s="38">
        <v>1680351</v>
      </c>
      <c r="BB85" s="8">
        <f>+H85-BA85</f>
        <v>0</v>
      </c>
      <c r="BC85" s="13"/>
      <c r="BD85" s="13">
        <v>0</v>
      </c>
      <c r="BE85" s="13"/>
      <c r="BF85" s="13" t="s">
        <v>31</v>
      </c>
      <c r="BG85" s="13"/>
      <c r="BH85" s="13"/>
      <c r="BI85" s="38">
        <v>1680351</v>
      </c>
      <c r="BJ85" s="13">
        <v>0</v>
      </c>
      <c r="BK85" s="13"/>
      <c r="BL85" s="13">
        <v>0</v>
      </c>
      <c r="BM85" s="13"/>
      <c r="BN85" s="13" t="s">
        <v>31</v>
      </c>
      <c r="BO85" s="13"/>
      <c r="BP85" s="13"/>
      <c r="BQ85" s="38">
        <v>1680351</v>
      </c>
      <c r="BR85" s="13">
        <v>0</v>
      </c>
      <c r="BS85" s="13"/>
      <c r="BT85" s="13">
        <v>0</v>
      </c>
      <c r="BU85" s="13"/>
      <c r="BV85" s="13" t="s">
        <v>31</v>
      </c>
      <c r="BW85" s="13"/>
      <c r="BX85" s="13"/>
      <c r="BY85" s="38">
        <v>1680351</v>
      </c>
      <c r="BZ85" s="13">
        <v>0</v>
      </c>
      <c r="CA85" s="13"/>
      <c r="CB85" s="13">
        <v>0</v>
      </c>
      <c r="CC85" s="13"/>
      <c r="CD85" s="13" t="s">
        <v>31</v>
      </c>
      <c r="CE85" s="13"/>
      <c r="CF85" s="13"/>
    </row>
    <row r="86" spans="1:84" x14ac:dyDescent="0.25">
      <c r="A86" s="1" t="s">
        <v>401</v>
      </c>
      <c r="B86" s="25" t="s">
        <v>714</v>
      </c>
      <c r="C86" s="23">
        <v>6660</v>
      </c>
      <c r="D86" s="21">
        <v>204618</v>
      </c>
      <c r="E86" s="17" t="s">
        <v>715</v>
      </c>
      <c r="F86" s="18" t="s">
        <v>716</v>
      </c>
      <c r="G86" s="38">
        <v>1951690</v>
      </c>
      <c r="H86" s="38">
        <v>2010240</v>
      </c>
      <c r="I86" s="8">
        <f t="shared" si="31"/>
        <v>58550</v>
      </c>
      <c r="J86" s="9">
        <f t="shared" si="32"/>
        <v>2.9999641336482741E-2</v>
      </c>
      <c r="K86" s="11">
        <v>1951690</v>
      </c>
      <c r="L86" s="11"/>
      <c r="M86" s="11"/>
      <c r="N86" s="8">
        <f t="shared" si="33"/>
        <v>0</v>
      </c>
      <c r="O86" s="13"/>
      <c r="P86" s="13" t="s">
        <v>38</v>
      </c>
      <c r="Q86" s="13" t="s">
        <v>839</v>
      </c>
      <c r="R86" s="13" t="s">
        <v>31</v>
      </c>
      <c r="S86" s="72" t="s">
        <v>55</v>
      </c>
      <c r="T86" s="38">
        <f>878261+1951690</f>
        <v>2829951</v>
      </c>
      <c r="U86" s="8">
        <f>+H86-T86</f>
        <v>-819711</v>
      </c>
      <c r="V86" s="13"/>
      <c r="W86" s="9">
        <f>+U86/H86</f>
        <v>-0.40776772922636101</v>
      </c>
      <c r="X86" s="13" t="s">
        <v>46</v>
      </c>
      <c r="Y86" s="13"/>
      <c r="Z86" s="13" t="s">
        <v>31</v>
      </c>
      <c r="AA86" s="3"/>
      <c r="AB86" s="38">
        <v>975845</v>
      </c>
      <c r="AC86" s="8">
        <f>+H86-AB86</f>
        <v>1034395</v>
      </c>
      <c r="AD86" s="13"/>
      <c r="AE86" s="9">
        <f>+AC86/H86</f>
        <v>0.51456293775867556</v>
      </c>
      <c r="AF86" s="13"/>
      <c r="AG86" s="13"/>
      <c r="AH86" s="13" t="s">
        <v>31</v>
      </c>
      <c r="AI86" s="72" t="s">
        <v>47</v>
      </c>
      <c r="AJ86" s="19">
        <v>1900003571</v>
      </c>
      <c r="AK86" s="38">
        <v>878261</v>
      </c>
      <c r="AL86" s="8">
        <f>+H86-AK86</f>
        <v>1131979</v>
      </c>
      <c r="AM86" s="13"/>
      <c r="AN86" s="9">
        <f>+AL86/H86</f>
        <v>0.56310639525628781</v>
      </c>
      <c r="AO86" s="13"/>
      <c r="AP86" s="13" t="s">
        <v>31</v>
      </c>
      <c r="AQ86" s="13"/>
      <c r="AR86" s="19"/>
      <c r="AS86" s="38">
        <f>804096+1005150</f>
        <v>1809246</v>
      </c>
      <c r="AT86" s="8">
        <f>+H86-AS86</f>
        <v>200994</v>
      </c>
      <c r="AU86" s="13"/>
      <c r="AV86" s="9">
        <f>+AT86/H86</f>
        <v>9.998507640878701E-2</v>
      </c>
      <c r="AW86" s="13"/>
      <c r="AX86" s="13" t="s">
        <v>31</v>
      </c>
      <c r="AY86" s="13"/>
      <c r="AZ86" s="80">
        <v>1900004376</v>
      </c>
      <c r="BA86" s="38">
        <v>1306656</v>
      </c>
      <c r="BB86" s="38">
        <f>+H86-BA86</f>
        <v>703584</v>
      </c>
      <c r="BC86" s="38">
        <v>195169</v>
      </c>
      <c r="BD86" s="9">
        <f>+BB86/H86</f>
        <v>0.35</v>
      </c>
      <c r="BE86" s="13"/>
      <c r="BF86" s="13" t="s">
        <v>31</v>
      </c>
      <c r="BG86" s="13"/>
      <c r="BH86" s="13"/>
      <c r="BI86" s="38">
        <v>1407168</v>
      </c>
      <c r="BJ86" s="8">
        <f>+H86-BI86</f>
        <v>603072</v>
      </c>
      <c r="BK86" s="13"/>
      <c r="BL86" s="9">
        <f>+BJ86/H86</f>
        <v>0.3</v>
      </c>
      <c r="BM86" s="13"/>
      <c r="BN86" s="13" t="s">
        <v>31</v>
      </c>
      <c r="BO86" s="13"/>
      <c r="BP86" s="13"/>
      <c r="BQ86" s="38">
        <v>1608192</v>
      </c>
      <c r="BR86" s="8">
        <f>+H86-BQ86</f>
        <v>402048</v>
      </c>
      <c r="BS86" s="13"/>
      <c r="BT86" s="9">
        <f>+BR86/H86</f>
        <v>0.2</v>
      </c>
      <c r="BU86" s="13"/>
      <c r="BV86" s="13" t="s">
        <v>31</v>
      </c>
      <c r="BW86" s="13"/>
      <c r="BX86" s="13"/>
      <c r="BY86" s="38">
        <v>1829318</v>
      </c>
      <c r="BZ86" s="13">
        <v>0</v>
      </c>
      <c r="CA86" s="13"/>
      <c r="CB86" s="13">
        <v>0</v>
      </c>
      <c r="CC86" s="13"/>
      <c r="CD86" s="13" t="s">
        <v>31</v>
      </c>
      <c r="CE86" s="13"/>
      <c r="CF86" s="13"/>
    </row>
    <row r="87" spans="1:84" x14ac:dyDescent="0.25">
      <c r="A87" s="69" t="s">
        <v>840</v>
      </c>
      <c r="B87" s="25" t="s">
        <v>841</v>
      </c>
      <c r="C87" s="1">
        <v>6664</v>
      </c>
      <c r="D87" s="14" t="s">
        <v>842</v>
      </c>
      <c r="E87" s="17" t="s">
        <v>843</v>
      </c>
      <c r="F87" s="18" t="s">
        <v>844</v>
      </c>
      <c r="G87" s="38">
        <v>1423135</v>
      </c>
      <c r="H87" s="38">
        <v>1423135</v>
      </c>
      <c r="I87" s="8">
        <f t="shared" si="31"/>
        <v>0</v>
      </c>
      <c r="J87" s="8">
        <f t="shared" si="32"/>
        <v>0</v>
      </c>
      <c r="K87" s="11"/>
      <c r="L87" s="11"/>
      <c r="M87" s="11"/>
      <c r="N87" s="8">
        <f t="shared" si="33"/>
        <v>0</v>
      </c>
      <c r="O87" s="13"/>
      <c r="P87" s="13"/>
      <c r="Q87" s="13"/>
      <c r="R87" s="13"/>
      <c r="S87" s="3"/>
      <c r="T87" s="13"/>
      <c r="U87" s="13"/>
      <c r="V87" s="13"/>
      <c r="W87" s="13"/>
      <c r="X87" s="13"/>
      <c r="Y87" s="13"/>
      <c r="Z87" s="13"/>
      <c r="AA87" s="3"/>
      <c r="AB87" s="13"/>
      <c r="AC87" s="13"/>
      <c r="AD87" s="13"/>
      <c r="AE87" s="13"/>
      <c r="AF87" s="13"/>
      <c r="AG87" s="13"/>
      <c r="AH87" s="13"/>
      <c r="AI87" s="3"/>
      <c r="AJ87" s="49"/>
      <c r="AK87" s="13"/>
      <c r="AL87" s="13"/>
      <c r="AM87" s="13"/>
      <c r="AN87" s="13"/>
      <c r="AO87" s="13"/>
      <c r="AP87" s="13"/>
      <c r="AQ87" s="13"/>
      <c r="AR87" s="19"/>
      <c r="AS87" s="13"/>
      <c r="AT87" s="13"/>
      <c r="AU87" s="13"/>
      <c r="AV87" s="13"/>
      <c r="AW87" s="13"/>
      <c r="AX87" s="13"/>
      <c r="AY87" s="13"/>
      <c r="AZ87" s="79"/>
      <c r="BA87" s="13"/>
      <c r="BB87" s="13"/>
      <c r="BC87" s="13"/>
      <c r="BD87" s="13"/>
      <c r="BE87" s="13"/>
      <c r="BF87" s="13"/>
      <c r="BG87" s="13"/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  <c r="BS87" s="13"/>
      <c r="BT87" s="13"/>
      <c r="BU87" s="13"/>
      <c r="BV87" s="13"/>
      <c r="BW87" s="13"/>
      <c r="BX87" s="13"/>
      <c r="BY87" s="13"/>
      <c r="BZ87" s="13"/>
      <c r="CA87" s="13"/>
      <c r="CB87" s="13"/>
      <c r="CC87" s="13"/>
      <c r="CD87" s="13"/>
      <c r="CE87" s="13"/>
      <c r="CF87" s="13"/>
    </row>
    <row r="88" spans="1:84" x14ac:dyDescent="0.25">
      <c r="A88" s="1" t="s">
        <v>408</v>
      </c>
      <c r="B88" s="25" t="s">
        <v>845</v>
      </c>
      <c r="C88" s="23">
        <v>6685</v>
      </c>
      <c r="D88" s="21">
        <v>204605</v>
      </c>
      <c r="E88" s="17" t="s">
        <v>846</v>
      </c>
      <c r="F88" s="18" t="s">
        <v>847</v>
      </c>
      <c r="G88" s="38">
        <v>1053257</v>
      </c>
      <c r="H88" s="38">
        <v>189586</v>
      </c>
      <c r="I88" s="8">
        <f t="shared" si="31"/>
        <v>-863671</v>
      </c>
      <c r="J88" s="9">
        <f t="shared" si="32"/>
        <v>-0.82000024685333206</v>
      </c>
      <c r="K88" s="42">
        <v>1116453</v>
      </c>
      <c r="L88" s="11"/>
      <c r="M88" s="11"/>
      <c r="N88" s="8">
        <f t="shared" si="33"/>
        <v>0</v>
      </c>
      <c r="O88" s="13"/>
      <c r="P88" s="13"/>
      <c r="Q88" s="13"/>
      <c r="R88" s="13"/>
      <c r="S88" s="3"/>
      <c r="T88" s="38">
        <v>1053257</v>
      </c>
      <c r="U88" s="8">
        <f>+G88-T88</f>
        <v>0</v>
      </c>
      <c r="V88" s="13"/>
      <c r="W88" s="13">
        <v>0</v>
      </c>
      <c r="X88" s="13"/>
      <c r="Y88" s="13"/>
      <c r="Z88" s="13"/>
      <c r="AA88" s="3"/>
      <c r="AB88" s="42">
        <v>1053257</v>
      </c>
      <c r="AC88" s="13"/>
      <c r="AD88" s="13"/>
      <c r="AE88" s="13"/>
      <c r="AF88" s="13"/>
      <c r="AG88" s="13"/>
      <c r="AH88" s="13"/>
      <c r="AI88" s="3"/>
      <c r="AJ88" s="49"/>
      <c r="AK88" s="42">
        <v>1116453</v>
      </c>
      <c r="AL88" s="13"/>
      <c r="AM88" s="13"/>
      <c r="AN88" s="13"/>
      <c r="AO88" s="13"/>
      <c r="AP88" s="13"/>
      <c r="AQ88" s="13"/>
      <c r="AR88" s="19"/>
      <c r="AS88" s="42">
        <v>1116453</v>
      </c>
      <c r="AT88" s="13"/>
      <c r="AU88" s="13"/>
      <c r="AV88" s="13"/>
      <c r="AW88" s="13"/>
      <c r="AX88" s="13"/>
      <c r="AY88" s="13"/>
      <c r="AZ88" s="79"/>
      <c r="BA88" s="42">
        <v>1116453</v>
      </c>
      <c r="BB88" s="13"/>
      <c r="BC88" s="13"/>
      <c r="BD88" s="13"/>
      <c r="BE88" s="13"/>
      <c r="BF88" s="13"/>
      <c r="BG88" s="13"/>
      <c r="BH88" s="13"/>
      <c r="BI88" s="42">
        <v>1116453</v>
      </c>
      <c r="BJ88" s="13"/>
      <c r="BK88" s="13"/>
      <c r="BL88" s="13"/>
      <c r="BM88" s="13"/>
      <c r="BN88" s="13"/>
      <c r="BO88" s="13"/>
      <c r="BP88" s="13"/>
      <c r="BQ88" s="42">
        <v>1116453</v>
      </c>
      <c r="BR88" s="13"/>
      <c r="BS88" s="13"/>
      <c r="BT88" s="13"/>
      <c r="BU88" s="13"/>
      <c r="BV88" s="13"/>
      <c r="BW88" s="13"/>
      <c r="BX88" s="13"/>
      <c r="BY88" s="42">
        <v>1116453</v>
      </c>
      <c r="BZ88" s="13"/>
      <c r="CA88" s="13"/>
      <c r="CB88" s="13"/>
      <c r="CC88" s="13"/>
      <c r="CD88" s="13" t="s">
        <v>31</v>
      </c>
      <c r="CE88" s="13"/>
      <c r="CF88" s="13"/>
    </row>
    <row r="89" spans="1:84" x14ac:dyDescent="0.25">
      <c r="A89" s="1" t="s">
        <v>415</v>
      </c>
      <c r="B89" s="25" t="s">
        <v>717</v>
      </c>
      <c r="C89" s="23">
        <v>6687</v>
      </c>
      <c r="D89" s="21">
        <v>204596</v>
      </c>
      <c r="E89" s="17" t="s">
        <v>718</v>
      </c>
      <c r="F89" s="18" t="s">
        <v>719</v>
      </c>
      <c r="G89" s="38">
        <v>1322304</v>
      </c>
      <c r="H89" s="38">
        <v>1760789</v>
      </c>
      <c r="I89" s="8">
        <f t="shared" si="31"/>
        <v>438485</v>
      </c>
      <c r="J89" s="9">
        <f t="shared" si="32"/>
        <v>0.33160680146169114</v>
      </c>
      <c r="K89" s="11">
        <v>1346000</v>
      </c>
      <c r="L89" s="11">
        <f>+H89-K89</f>
        <v>414789</v>
      </c>
      <c r="M89" s="11"/>
      <c r="N89" s="9">
        <f>+L89/H89</f>
        <v>0.23556996323807111</v>
      </c>
      <c r="O89" s="13"/>
      <c r="P89" s="13"/>
      <c r="Q89" s="13"/>
      <c r="R89" s="13"/>
      <c r="S89" s="3"/>
      <c r="T89" s="38">
        <v>1346000</v>
      </c>
      <c r="U89" s="8">
        <f>+H89-T89</f>
        <v>414789</v>
      </c>
      <c r="V89" s="13"/>
      <c r="W89" s="9">
        <f>+U89/H89</f>
        <v>0.23556996323807111</v>
      </c>
      <c r="X89" s="13"/>
      <c r="Y89" s="13"/>
      <c r="Z89" s="13"/>
      <c r="AA89" s="3"/>
      <c r="AB89" s="38">
        <v>1378801</v>
      </c>
      <c r="AC89" s="8">
        <f>+H89-AB89</f>
        <v>381988</v>
      </c>
      <c r="AD89" s="13"/>
      <c r="AE89" s="9">
        <f>+AC89/H89</f>
        <v>0.21694138252794629</v>
      </c>
      <c r="AF89" s="13" t="s">
        <v>46</v>
      </c>
      <c r="AG89" s="13" t="s">
        <v>848</v>
      </c>
      <c r="AH89" s="13" t="s">
        <v>31</v>
      </c>
      <c r="AI89" s="72" t="s">
        <v>32</v>
      </c>
      <c r="AJ89" s="49">
        <v>1900003272</v>
      </c>
      <c r="AK89" s="38">
        <v>1346000</v>
      </c>
      <c r="AL89" s="8">
        <f t="shared" ref="AL89:AL98" si="38">+H89-AK89</f>
        <v>414789</v>
      </c>
      <c r="AM89" s="13"/>
      <c r="AN89" s="9">
        <f>+AL89/H89</f>
        <v>0.23556996323807111</v>
      </c>
      <c r="AO89" s="13"/>
      <c r="AP89" s="13" t="s">
        <v>31</v>
      </c>
      <c r="AQ89" s="13"/>
      <c r="AR89" s="19">
        <v>1900003877</v>
      </c>
      <c r="AS89" s="38">
        <v>1346000</v>
      </c>
      <c r="AT89" s="8">
        <f>+H89-AS89</f>
        <v>414789</v>
      </c>
      <c r="AU89" s="13"/>
      <c r="AV89" s="9">
        <f>+AT89/H89</f>
        <v>0.23556996323807111</v>
      </c>
      <c r="AW89" s="13"/>
      <c r="AX89" s="13" t="s">
        <v>31</v>
      </c>
      <c r="AY89" s="13"/>
      <c r="AZ89" s="79">
        <v>1900004222</v>
      </c>
      <c r="BA89" s="38">
        <v>1346000</v>
      </c>
      <c r="BB89" s="8">
        <f t="shared" ref="BB89:BB94" si="39">+H89-BA89</f>
        <v>414789</v>
      </c>
      <c r="BC89" s="13"/>
      <c r="BD89" s="9">
        <f>++BB89/H89</f>
        <v>0.23556996323807111</v>
      </c>
      <c r="BE89" s="13"/>
      <c r="BF89" s="13"/>
      <c r="BG89" s="13"/>
      <c r="BH89" s="13"/>
      <c r="BI89" s="38">
        <v>1346000</v>
      </c>
      <c r="BJ89" s="8">
        <f>+H89-BI89</f>
        <v>414789</v>
      </c>
      <c r="BK89" s="13"/>
      <c r="BL89" s="9">
        <f>+BJ89/H89</f>
        <v>0.23556996323807111</v>
      </c>
      <c r="BM89" s="13"/>
      <c r="BN89" s="13"/>
      <c r="BO89" s="13"/>
      <c r="BP89" s="13"/>
      <c r="BQ89" s="38">
        <v>1346000</v>
      </c>
      <c r="BR89" s="13">
        <v>0</v>
      </c>
      <c r="BS89" s="13"/>
      <c r="BT89" s="13">
        <v>0</v>
      </c>
      <c r="BU89" s="13"/>
      <c r="BV89" s="13" t="s">
        <v>31</v>
      </c>
      <c r="BW89" s="13"/>
      <c r="BX89" s="13"/>
      <c r="BY89" s="38">
        <v>1346000</v>
      </c>
      <c r="BZ89" s="13">
        <v>0</v>
      </c>
      <c r="CA89" s="13"/>
      <c r="CB89" s="13">
        <v>0</v>
      </c>
      <c r="CC89" s="13"/>
      <c r="CD89" s="13" t="s">
        <v>31</v>
      </c>
      <c r="CE89" s="13"/>
      <c r="CF89" s="13"/>
    </row>
    <row r="90" spans="1:84" x14ac:dyDescent="0.25">
      <c r="A90" s="1" t="s">
        <v>419</v>
      </c>
      <c r="B90" s="25" t="s">
        <v>720</v>
      </c>
      <c r="C90" s="23">
        <v>6688</v>
      </c>
      <c r="D90" s="21">
        <v>204614</v>
      </c>
      <c r="E90" s="17" t="s">
        <v>721</v>
      </c>
      <c r="F90" s="18" t="s">
        <v>722</v>
      </c>
      <c r="G90" s="38">
        <v>1358811</v>
      </c>
      <c r="H90" s="38">
        <v>1358811</v>
      </c>
      <c r="I90" s="8">
        <f t="shared" si="31"/>
        <v>0</v>
      </c>
      <c r="J90" s="8">
        <f t="shared" si="32"/>
        <v>0</v>
      </c>
      <c r="K90" s="11">
        <v>1358811</v>
      </c>
      <c r="L90" s="11"/>
      <c r="M90" s="11"/>
      <c r="N90" s="9"/>
      <c r="O90" s="13"/>
      <c r="P90" s="13" t="s">
        <v>38</v>
      </c>
      <c r="Q90" s="13"/>
      <c r="R90" s="13" t="s">
        <v>31</v>
      </c>
      <c r="S90" s="72" t="s">
        <v>55</v>
      </c>
      <c r="T90" s="11">
        <f>+K90</f>
        <v>1358811</v>
      </c>
      <c r="U90" s="13">
        <v>0</v>
      </c>
      <c r="V90" s="13"/>
      <c r="W90" s="13">
        <v>0</v>
      </c>
      <c r="X90" s="13" t="s">
        <v>38</v>
      </c>
      <c r="Y90" s="13"/>
      <c r="Z90" s="13" t="s">
        <v>31</v>
      </c>
      <c r="AA90" s="72" t="s">
        <v>47</v>
      </c>
      <c r="AB90" s="38">
        <v>1358811</v>
      </c>
      <c r="AC90" s="8">
        <f>+H90-AB90</f>
        <v>0</v>
      </c>
      <c r="AD90" s="13"/>
      <c r="AE90" s="9">
        <f>+AC90/H90</f>
        <v>0</v>
      </c>
      <c r="AF90" s="13"/>
      <c r="AG90" s="13"/>
      <c r="AH90" s="13" t="s">
        <v>31</v>
      </c>
      <c r="AI90" s="3"/>
      <c r="AJ90" s="49">
        <v>1900003296</v>
      </c>
      <c r="AK90" s="38">
        <v>1358811</v>
      </c>
      <c r="AL90" s="8">
        <f t="shared" si="38"/>
        <v>0</v>
      </c>
      <c r="AM90" s="13"/>
      <c r="AN90" s="9">
        <f>+AL90/H90</f>
        <v>0</v>
      </c>
      <c r="AO90" s="13"/>
      <c r="AP90" s="13" t="s">
        <v>31</v>
      </c>
      <c r="AQ90" s="13"/>
      <c r="AR90" s="19">
        <v>1900003794</v>
      </c>
      <c r="AS90" s="38">
        <v>1358811</v>
      </c>
      <c r="AT90" s="8">
        <f>+H90-AS90</f>
        <v>0</v>
      </c>
      <c r="AU90" s="13"/>
      <c r="AV90" s="13">
        <v>0</v>
      </c>
      <c r="AW90" s="13"/>
      <c r="AX90" s="13" t="s">
        <v>31</v>
      </c>
      <c r="AY90" s="13"/>
      <c r="AZ90" s="79">
        <v>1900004242</v>
      </c>
      <c r="BA90" s="38">
        <v>1358811</v>
      </c>
      <c r="BB90" s="8">
        <f t="shared" si="39"/>
        <v>0</v>
      </c>
      <c r="BC90" s="13"/>
      <c r="BD90" s="13">
        <v>0</v>
      </c>
      <c r="BE90" s="13"/>
      <c r="BF90" s="13" t="s">
        <v>31</v>
      </c>
      <c r="BG90" s="13"/>
      <c r="BH90" s="13"/>
      <c r="BI90" s="38">
        <v>1358811</v>
      </c>
      <c r="BJ90" s="13">
        <v>0</v>
      </c>
      <c r="BK90" s="13"/>
      <c r="BL90" s="13">
        <v>0</v>
      </c>
      <c r="BM90" s="13"/>
      <c r="BN90" s="13" t="s">
        <v>31</v>
      </c>
      <c r="BO90" s="13"/>
      <c r="BP90" s="13"/>
      <c r="BQ90" s="38">
        <v>1358811</v>
      </c>
      <c r="BR90" s="8">
        <f>+H90-BQ90</f>
        <v>0</v>
      </c>
      <c r="BS90" s="13"/>
      <c r="BT90" s="13">
        <v>0</v>
      </c>
      <c r="BU90" s="13"/>
      <c r="BV90" s="13" t="s">
        <v>31</v>
      </c>
      <c r="BW90" s="13"/>
      <c r="BX90" s="13"/>
      <c r="BY90" s="38">
        <v>1358811</v>
      </c>
      <c r="BZ90" s="13">
        <v>0</v>
      </c>
      <c r="CA90" s="13"/>
      <c r="CB90" s="13">
        <v>0</v>
      </c>
      <c r="CC90" s="13"/>
      <c r="CD90" s="13" t="s">
        <v>31</v>
      </c>
      <c r="CE90" s="13"/>
      <c r="CF90" s="13"/>
    </row>
    <row r="91" spans="1:84" ht="15.75" x14ac:dyDescent="0.25">
      <c r="A91" s="1" t="s">
        <v>423</v>
      </c>
      <c r="B91" s="25" t="s">
        <v>723</v>
      </c>
      <c r="C91" s="23">
        <v>6692</v>
      </c>
      <c r="D91" s="36">
        <v>204942</v>
      </c>
      <c r="E91" s="17" t="s">
        <v>724</v>
      </c>
      <c r="F91" s="18" t="s">
        <v>725</v>
      </c>
      <c r="G91" s="38">
        <v>1974019</v>
      </c>
      <c r="H91" s="38">
        <v>1974019</v>
      </c>
      <c r="I91" s="8">
        <f t="shared" si="31"/>
        <v>0</v>
      </c>
      <c r="J91" s="8">
        <f t="shared" si="32"/>
        <v>0</v>
      </c>
      <c r="K91" s="11">
        <v>1283112</v>
      </c>
      <c r="L91" s="11">
        <f>+H91-K91</f>
        <v>690907</v>
      </c>
      <c r="M91" s="11"/>
      <c r="N91" s="9">
        <f>+L91/H91</f>
        <v>0.350000177303258</v>
      </c>
      <c r="O91" s="13"/>
      <c r="P91" s="13" t="s">
        <v>46</v>
      </c>
      <c r="Q91" s="13"/>
      <c r="R91" s="13" t="s">
        <v>31</v>
      </c>
      <c r="S91" s="75" t="s">
        <v>83</v>
      </c>
      <c r="T91" s="11">
        <v>1283112</v>
      </c>
      <c r="U91" s="8">
        <f>+H91-T91</f>
        <v>690907</v>
      </c>
      <c r="V91" s="13"/>
      <c r="W91" s="9">
        <f>+U91/H91</f>
        <v>0.350000177303258</v>
      </c>
      <c r="X91" s="13" t="s">
        <v>46</v>
      </c>
      <c r="Y91" s="13"/>
      <c r="Z91" s="13" t="s">
        <v>31</v>
      </c>
      <c r="AA91" s="72" t="s">
        <v>32</v>
      </c>
      <c r="AB91" s="38">
        <v>1776617</v>
      </c>
      <c r="AC91" s="8">
        <f>+H91-AB91</f>
        <v>197402</v>
      </c>
      <c r="AD91" s="13"/>
      <c r="AE91" s="9">
        <f>+AC91/H91</f>
        <v>0.1000000506580737</v>
      </c>
      <c r="AF91" s="13"/>
      <c r="AG91" s="13"/>
      <c r="AH91" s="13" t="s">
        <v>31</v>
      </c>
      <c r="AI91" s="3"/>
      <c r="AJ91" s="19">
        <v>1900003567</v>
      </c>
      <c r="AK91" s="38">
        <v>1974019</v>
      </c>
      <c r="AL91" s="8">
        <f t="shared" si="38"/>
        <v>0</v>
      </c>
      <c r="AM91" s="13"/>
      <c r="AN91" s="13">
        <v>0</v>
      </c>
      <c r="AO91" s="13"/>
      <c r="AP91" s="13" t="s">
        <v>31</v>
      </c>
      <c r="AQ91" s="13"/>
      <c r="AR91" s="19">
        <v>1900003880</v>
      </c>
      <c r="AS91" s="38">
        <v>1974019</v>
      </c>
      <c r="AT91" s="8">
        <f>+H91-AS91</f>
        <v>0</v>
      </c>
      <c r="AU91" s="13"/>
      <c r="AV91" s="13">
        <v>0</v>
      </c>
      <c r="AW91" s="13"/>
      <c r="AX91" s="13" t="s">
        <v>31</v>
      </c>
      <c r="AY91" s="13"/>
      <c r="AZ91" s="78">
        <v>1900004280</v>
      </c>
      <c r="BA91" s="38">
        <v>1974019</v>
      </c>
      <c r="BB91" s="8">
        <f t="shared" si="39"/>
        <v>0</v>
      </c>
      <c r="BC91" s="13"/>
      <c r="BD91" s="13">
        <v>0</v>
      </c>
      <c r="BE91" s="13"/>
      <c r="BF91" s="13" t="s">
        <v>31</v>
      </c>
      <c r="BG91" s="13"/>
      <c r="BH91" s="13"/>
      <c r="BI91" s="38">
        <v>1974019</v>
      </c>
      <c r="BJ91" s="13">
        <v>0</v>
      </c>
      <c r="BK91" s="13"/>
      <c r="BL91" s="13">
        <v>0</v>
      </c>
      <c r="BM91" s="13"/>
      <c r="BN91" s="13" t="s">
        <v>31</v>
      </c>
      <c r="BO91" s="13"/>
      <c r="BP91" s="13"/>
      <c r="BQ91" s="38">
        <v>1974019</v>
      </c>
      <c r="BR91" s="13">
        <v>0</v>
      </c>
      <c r="BS91" s="13"/>
      <c r="BT91" s="13">
        <v>0</v>
      </c>
      <c r="BU91" s="13"/>
      <c r="BV91" s="13" t="s">
        <v>31</v>
      </c>
      <c r="BW91" s="13"/>
      <c r="BX91" s="13"/>
      <c r="BY91" s="38">
        <v>1974019</v>
      </c>
      <c r="BZ91" s="13">
        <v>0</v>
      </c>
      <c r="CA91" s="13"/>
      <c r="CB91" s="13">
        <v>0</v>
      </c>
      <c r="CC91" s="13"/>
      <c r="CD91" s="13" t="s">
        <v>31</v>
      </c>
      <c r="CE91" s="13"/>
      <c r="CF91" s="13"/>
    </row>
    <row r="92" spans="1:84" ht="15.75" x14ac:dyDescent="0.25">
      <c r="A92" s="1" t="s">
        <v>426</v>
      </c>
      <c r="B92" s="25" t="s">
        <v>726</v>
      </c>
      <c r="C92" s="23">
        <v>6693</v>
      </c>
      <c r="D92" s="21">
        <v>204630</v>
      </c>
      <c r="E92" s="17" t="s">
        <v>727</v>
      </c>
      <c r="F92" s="18" t="s">
        <v>728</v>
      </c>
      <c r="G92" s="38">
        <v>806900</v>
      </c>
      <c r="H92" s="38">
        <v>806900</v>
      </c>
      <c r="I92" s="8">
        <f t="shared" si="31"/>
        <v>0</v>
      </c>
      <c r="J92" s="8">
        <f t="shared" si="32"/>
        <v>0</v>
      </c>
      <c r="K92" s="8">
        <f>+H92</f>
        <v>806900</v>
      </c>
      <c r="L92" s="11">
        <v>0</v>
      </c>
      <c r="M92" s="11"/>
      <c r="N92" s="8">
        <v>0</v>
      </c>
      <c r="O92" s="13"/>
      <c r="P92" s="13" t="s">
        <v>38</v>
      </c>
      <c r="Q92" s="13"/>
      <c r="R92" s="13"/>
      <c r="S92" s="75" t="s">
        <v>83</v>
      </c>
      <c r="T92" s="8">
        <f>+H92</f>
        <v>806900</v>
      </c>
      <c r="U92" s="13">
        <v>0</v>
      </c>
      <c r="V92" s="13"/>
      <c r="W92" s="13">
        <v>0</v>
      </c>
      <c r="X92" s="13" t="s">
        <v>38</v>
      </c>
      <c r="Y92" s="13"/>
      <c r="Z92" s="13" t="s">
        <v>31</v>
      </c>
      <c r="AA92" s="72" t="s">
        <v>47</v>
      </c>
      <c r="AB92" s="38">
        <v>806900</v>
      </c>
      <c r="AC92" s="8">
        <f>+H92-AB92</f>
        <v>0</v>
      </c>
      <c r="AD92" s="13"/>
      <c r="AE92" s="13">
        <v>0</v>
      </c>
      <c r="AF92" s="13"/>
      <c r="AG92" s="13"/>
      <c r="AH92" s="13"/>
      <c r="AI92" s="3"/>
      <c r="AJ92" s="19">
        <v>1900003687</v>
      </c>
      <c r="AK92" s="8">
        <f>+AB92</f>
        <v>806900</v>
      </c>
      <c r="AL92" s="8">
        <f t="shared" si="38"/>
        <v>0</v>
      </c>
      <c r="AM92" s="13"/>
      <c r="AN92" s="9">
        <f>+AL92/H92</f>
        <v>0</v>
      </c>
      <c r="AO92" s="13"/>
      <c r="AP92" s="13" t="s">
        <v>31</v>
      </c>
      <c r="AQ92" s="13"/>
      <c r="AR92" s="19">
        <v>1900003796</v>
      </c>
      <c r="AS92" s="38">
        <v>806900</v>
      </c>
      <c r="AT92" s="13">
        <v>0</v>
      </c>
      <c r="AU92" s="13"/>
      <c r="AV92" s="13">
        <v>0</v>
      </c>
      <c r="AW92" s="13"/>
      <c r="AX92" s="13" t="s">
        <v>31</v>
      </c>
      <c r="AY92" s="13"/>
      <c r="AZ92" s="79">
        <v>1900004189</v>
      </c>
      <c r="BA92" s="38">
        <v>806900</v>
      </c>
      <c r="BB92" s="8">
        <f t="shared" si="39"/>
        <v>0</v>
      </c>
      <c r="BC92" s="13"/>
      <c r="BD92" s="13">
        <v>0</v>
      </c>
      <c r="BE92" s="13"/>
      <c r="BF92" s="13" t="s">
        <v>31</v>
      </c>
      <c r="BG92" s="13"/>
      <c r="BH92" s="13"/>
      <c r="BI92" s="38">
        <v>806900</v>
      </c>
      <c r="BJ92" s="8">
        <f>+H92-BI92</f>
        <v>0</v>
      </c>
      <c r="BK92" s="13"/>
      <c r="BL92" s="13">
        <v>0</v>
      </c>
      <c r="BM92" s="13"/>
      <c r="BN92" s="13" t="s">
        <v>31</v>
      </c>
      <c r="BO92" s="13"/>
      <c r="BP92" s="13"/>
      <c r="BQ92" s="38">
        <v>806900</v>
      </c>
      <c r="BR92" s="13">
        <v>0</v>
      </c>
      <c r="BS92" s="38"/>
      <c r="BT92" s="9">
        <f>+BS92/BQ92</f>
        <v>0</v>
      </c>
      <c r="BU92" s="13"/>
      <c r="BV92" s="13" t="s">
        <v>31</v>
      </c>
      <c r="BW92" s="13"/>
      <c r="BX92" s="13"/>
      <c r="BY92" s="38">
        <v>806900</v>
      </c>
      <c r="BZ92" s="13">
        <v>0</v>
      </c>
      <c r="CA92" s="13"/>
      <c r="CB92" s="13">
        <v>0</v>
      </c>
      <c r="CC92" s="13"/>
      <c r="CD92" s="13" t="s">
        <v>31</v>
      </c>
      <c r="CE92" s="13"/>
      <c r="CF92" s="13"/>
    </row>
    <row r="93" spans="1:84" x14ac:dyDescent="0.25">
      <c r="A93" s="1" t="s">
        <v>430</v>
      </c>
      <c r="B93" s="25" t="s">
        <v>849</v>
      </c>
      <c r="C93" s="23">
        <v>6694</v>
      </c>
      <c r="D93" s="21">
        <v>204628</v>
      </c>
      <c r="E93" s="17" t="s">
        <v>850</v>
      </c>
      <c r="F93" s="37">
        <v>900374790</v>
      </c>
      <c r="G93" s="38">
        <v>1547993</v>
      </c>
      <c r="H93" s="38">
        <v>1547993</v>
      </c>
      <c r="I93" s="8">
        <f t="shared" si="31"/>
        <v>0</v>
      </c>
      <c r="J93" s="8">
        <f t="shared" si="32"/>
        <v>0</v>
      </c>
      <c r="K93" s="11">
        <v>1547992</v>
      </c>
      <c r="L93" s="11"/>
      <c r="M93" s="13"/>
      <c r="N93" s="9">
        <v>0</v>
      </c>
      <c r="O93" s="13"/>
      <c r="P93" s="13" t="s">
        <v>38</v>
      </c>
      <c r="Q93" s="13"/>
      <c r="R93" s="13" t="s">
        <v>31</v>
      </c>
      <c r="S93" s="72" t="s">
        <v>55</v>
      </c>
      <c r="T93" s="62">
        <v>1547993</v>
      </c>
      <c r="U93" s="8"/>
      <c r="V93" s="11">
        <f>121348+762084</f>
        <v>883432</v>
      </c>
      <c r="W93" s="13">
        <v>0</v>
      </c>
      <c r="X93" s="13" t="s">
        <v>38</v>
      </c>
      <c r="Y93" s="13"/>
      <c r="Z93" s="13" t="s">
        <v>31</v>
      </c>
      <c r="AA93" s="3"/>
      <c r="AB93" s="38">
        <v>1547993</v>
      </c>
      <c r="AC93" s="8">
        <f>+H93-AB93</f>
        <v>0</v>
      </c>
      <c r="AD93" s="13"/>
      <c r="AE93" s="13">
        <v>0</v>
      </c>
      <c r="AF93" s="13"/>
      <c r="AG93" s="13"/>
      <c r="AH93" s="13" t="s">
        <v>31</v>
      </c>
      <c r="AI93" s="3"/>
      <c r="AJ93" s="49">
        <v>1900003294</v>
      </c>
      <c r="AK93" s="38">
        <v>1547993</v>
      </c>
      <c r="AL93" s="8">
        <f t="shared" si="38"/>
        <v>0</v>
      </c>
      <c r="AM93" s="13"/>
      <c r="AN93" s="9">
        <f>+AL93/H93</f>
        <v>0</v>
      </c>
      <c r="AO93" s="13"/>
      <c r="AP93" s="13" t="s">
        <v>31</v>
      </c>
      <c r="AQ93" s="13"/>
      <c r="AR93" s="19">
        <v>1900003797</v>
      </c>
      <c r="AS93" s="38">
        <v>1547993</v>
      </c>
      <c r="AT93" s="8">
        <f>+H93-AS93</f>
        <v>0</v>
      </c>
      <c r="AU93" s="13"/>
      <c r="AV93" s="9">
        <f>+AT93/H93</f>
        <v>0</v>
      </c>
      <c r="AW93" s="13"/>
      <c r="AX93" s="13" t="s">
        <v>31</v>
      </c>
      <c r="AY93" s="13"/>
      <c r="AZ93" s="78">
        <v>1900004296</v>
      </c>
      <c r="BA93" s="38">
        <v>9902</v>
      </c>
      <c r="BB93" s="8">
        <f t="shared" si="39"/>
        <v>1538091</v>
      </c>
      <c r="BC93" s="13"/>
      <c r="BD93" s="9">
        <f>+BB93/H93</f>
        <v>0.99360333024761738</v>
      </c>
      <c r="BE93" s="13"/>
      <c r="BF93" s="13" t="s">
        <v>31</v>
      </c>
      <c r="BG93" s="13"/>
      <c r="BH93" s="13"/>
      <c r="BI93" s="38">
        <v>9902</v>
      </c>
      <c r="BJ93" s="8">
        <f>+H93-BI93</f>
        <v>1538091</v>
      </c>
      <c r="BK93" s="13"/>
      <c r="BL93" s="9">
        <f>+BJ93/H93</f>
        <v>0.99360333024761738</v>
      </c>
      <c r="BM93" s="13"/>
      <c r="BN93" s="13" t="s">
        <v>31</v>
      </c>
      <c r="BO93" s="13"/>
      <c r="BP93" s="13"/>
      <c r="BQ93" s="13"/>
      <c r="BR93" s="13"/>
      <c r="BS93" s="13"/>
      <c r="BT93" s="13"/>
      <c r="BU93" s="13"/>
      <c r="BV93" s="13"/>
      <c r="BW93" s="13"/>
      <c r="BX93" s="13"/>
      <c r="BY93" s="38">
        <v>1365101</v>
      </c>
      <c r="BZ93" s="13">
        <v>0</v>
      </c>
      <c r="CA93" s="13"/>
      <c r="CB93" s="13">
        <v>0</v>
      </c>
      <c r="CC93" s="13"/>
      <c r="CD93" s="13" t="s">
        <v>31</v>
      </c>
      <c r="CE93" s="13"/>
      <c r="CF93" s="13"/>
    </row>
    <row r="94" spans="1:84" x14ac:dyDescent="0.25">
      <c r="A94" s="1" t="s">
        <v>436</v>
      </c>
      <c r="B94" s="25" t="s">
        <v>729</v>
      </c>
      <c r="C94" s="23">
        <v>6699</v>
      </c>
      <c r="D94" s="21">
        <v>204626</v>
      </c>
      <c r="E94" s="17" t="s">
        <v>730</v>
      </c>
      <c r="F94" s="18" t="s">
        <v>731</v>
      </c>
      <c r="G94" s="38">
        <v>1760789</v>
      </c>
      <c r="H94" s="38">
        <v>1760789</v>
      </c>
      <c r="I94" s="8">
        <f t="shared" si="31"/>
        <v>0</v>
      </c>
      <c r="J94" s="8">
        <f t="shared" si="32"/>
        <v>0</v>
      </c>
      <c r="K94" s="11">
        <v>1730337</v>
      </c>
      <c r="L94" s="11">
        <f>+H94-K94</f>
        <v>30452</v>
      </c>
      <c r="M94" s="11"/>
      <c r="N94" s="9">
        <f t="shared" si="33"/>
        <v>1.7294519672714902E-2</v>
      </c>
      <c r="O94" s="13"/>
      <c r="P94" s="13" t="s">
        <v>38</v>
      </c>
      <c r="Q94" s="13"/>
      <c r="R94" s="13" t="s">
        <v>31</v>
      </c>
      <c r="S94" s="3"/>
      <c r="T94" s="42">
        <v>1730337</v>
      </c>
      <c r="U94" s="43">
        <f>+H94-T94</f>
        <v>30452</v>
      </c>
      <c r="V94" s="13"/>
      <c r="W94" s="9">
        <f>+U94/H94</f>
        <v>1.7294519672714902E-2</v>
      </c>
      <c r="X94" s="13" t="s">
        <v>38</v>
      </c>
      <c r="Y94" s="13"/>
      <c r="Z94" s="13" t="s">
        <v>31</v>
      </c>
      <c r="AA94" s="3"/>
      <c r="AB94" s="38">
        <v>1703337</v>
      </c>
      <c r="AC94" s="8">
        <f t="shared" ref="AC94:AC101" si="40">+H94-AB94</f>
        <v>57452</v>
      </c>
      <c r="AD94" s="13"/>
      <c r="AE94" s="9">
        <f>+AC94/H94</f>
        <v>3.2628554585472765E-2</v>
      </c>
      <c r="AF94" s="13" t="s">
        <v>38</v>
      </c>
      <c r="AG94" s="13"/>
      <c r="AH94" s="13" t="s">
        <v>31</v>
      </c>
      <c r="AI94" s="3"/>
      <c r="AJ94" s="49" t="s">
        <v>851</v>
      </c>
      <c r="AK94" s="38">
        <v>1092887</v>
      </c>
      <c r="AL94" s="8">
        <f t="shared" si="38"/>
        <v>667902</v>
      </c>
      <c r="AM94" s="38">
        <v>865168</v>
      </c>
      <c r="AN94" s="9">
        <f>+(AL94+AM94)/H94</f>
        <v>0.87067218161858118</v>
      </c>
      <c r="AO94" s="13"/>
      <c r="AP94" s="13" t="s">
        <v>31</v>
      </c>
      <c r="AQ94" s="13"/>
      <c r="AR94" s="19">
        <v>1900003682</v>
      </c>
      <c r="AS94" s="38">
        <v>1261024</v>
      </c>
      <c r="AT94" s="8">
        <f>+H94-AS94</f>
        <v>499765</v>
      </c>
      <c r="AU94" s="13"/>
      <c r="AV94" s="9">
        <f>+AT94/H94</f>
        <v>0.28383014659905303</v>
      </c>
      <c r="AW94" s="13"/>
      <c r="AX94" s="13" t="s">
        <v>31</v>
      </c>
      <c r="AY94" s="13"/>
      <c r="AZ94" s="79">
        <v>1900004223</v>
      </c>
      <c r="BA94" s="38">
        <v>1429160</v>
      </c>
      <c r="BB94" s="8">
        <f t="shared" si="39"/>
        <v>331629</v>
      </c>
      <c r="BC94" s="13"/>
      <c r="BD94" s="9">
        <f>+BB94/H94</f>
        <v>0.18834113570677691</v>
      </c>
      <c r="BE94" s="13"/>
      <c r="BF94" s="13" t="s">
        <v>31</v>
      </c>
      <c r="BG94" s="13"/>
      <c r="BH94" s="13"/>
      <c r="BI94" s="38">
        <v>1429160</v>
      </c>
      <c r="BJ94" s="8">
        <f>+H94-BI94</f>
        <v>331629</v>
      </c>
      <c r="BK94" s="13"/>
      <c r="BL94" s="9">
        <f>+BJ94/H94</f>
        <v>0.18834113570677691</v>
      </c>
      <c r="BM94" s="13"/>
      <c r="BN94" s="13" t="s">
        <v>31</v>
      </c>
      <c r="BO94" s="13"/>
      <c r="BP94" s="13"/>
      <c r="BQ94" s="38">
        <v>1513229</v>
      </c>
      <c r="BR94" s="8">
        <f>+H94-BQ94</f>
        <v>247560</v>
      </c>
      <c r="BS94" s="13"/>
      <c r="BT94" s="9">
        <f>+BR94/H94</f>
        <v>0.14059606233341984</v>
      </c>
      <c r="BU94" s="13"/>
      <c r="BV94" s="13" t="s">
        <v>31</v>
      </c>
      <c r="BW94" s="13"/>
      <c r="BX94" s="13"/>
      <c r="BY94" s="38">
        <v>1513229</v>
      </c>
      <c r="BZ94" s="13">
        <v>0</v>
      </c>
      <c r="CA94" s="13"/>
      <c r="CB94" s="13">
        <v>0</v>
      </c>
      <c r="CC94" s="13"/>
      <c r="CD94" s="13" t="s">
        <v>31</v>
      </c>
      <c r="CE94" s="13"/>
      <c r="CF94" s="13"/>
    </row>
    <row r="95" spans="1:84" ht="15.75" x14ac:dyDescent="0.25">
      <c r="A95" s="1" t="s">
        <v>439</v>
      </c>
      <c r="B95" s="25" t="s">
        <v>732</v>
      </c>
      <c r="C95" s="23">
        <v>6700</v>
      </c>
      <c r="D95" s="21">
        <v>204625</v>
      </c>
      <c r="E95" s="17" t="s">
        <v>733</v>
      </c>
      <c r="F95" s="18" t="s">
        <v>734</v>
      </c>
      <c r="G95" s="38">
        <v>1736421</v>
      </c>
      <c r="H95" s="71"/>
      <c r="I95" s="8">
        <f t="shared" si="31"/>
        <v>-1736421</v>
      </c>
      <c r="J95" s="10">
        <f t="shared" si="32"/>
        <v>-1</v>
      </c>
      <c r="K95" s="11">
        <v>874114</v>
      </c>
      <c r="L95" s="11">
        <f>+G95-K95</f>
        <v>862307</v>
      </c>
      <c r="M95" s="11"/>
      <c r="N95" s="9">
        <f>+(L95+M95)/G95</f>
        <v>0.49660019085233364</v>
      </c>
      <c r="O95" s="13"/>
      <c r="P95" s="13" t="s">
        <v>46</v>
      </c>
      <c r="Q95" s="13"/>
      <c r="R95" s="13" t="s">
        <v>31</v>
      </c>
      <c r="S95" s="75" t="s">
        <v>83</v>
      </c>
      <c r="T95" s="38">
        <v>1083561</v>
      </c>
      <c r="U95" s="8">
        <f>+G95-T95</f>
        <v>652860</v>
      </c>
      <c r="V95" s="13"/>
      <c r="W95" s="9">
        <f>+U95/G95</f>
        <v>0.37598024902946925</v>
      </c>
      <c r="X95" s="13"/>
      <c r="Y95" s="13"/>
      <c r="Z95" s="13" t="s">
        <v>31</v>
      </c>
      <c r="AA95" s="73" t="s">
        <v>327</v>
      </c>
      <c r="AB95" s="38">
        <v>595566</v>
      </c>
      <c r="AC95" s="8">
        <f t="shared" si="40"/>
        <v>-595566</v>
      </c>
      <c r="AD95" s="13"/>
      <c r="AE95" s="9">
        <f>+AC95/G95</f>
        <v>-0.34298479458610553</v>
      </c>
      <c r="AF95" s="13"/>
      <c r="AG95" s="13"/>
      <c r="AH95" s="13" t="s">
        <v>31</v>
      </c>
      <c r="AI95" s="3"/>
      <c r="AJ95" s="49">
        <v>190003239</v>
      </c>
      <c r="AK95" s="38">
        <v>1191133</v>
      </c>
      <c r="AL95" s="8">
        <f t="shared" si="38"/>
        <v>-1191133</v>
      </c>
      <c r="AM95" s="13"/>
      <c r="AN95" s="9">
        <v>0</v>
      </c>
      <c r="AO95" s="13"/>
      <c r="AP95" s="13" t="s">
        <v>31</v>
      </c>
      <c r="AQ95" s="13"/>
      <c r="AR95" s="19">
        <v>1900003798</v>
      </c>
      <c r="AS95" s="38">
        <v>1191133</v>
      </c>
      <c r="AT95" s="38">
        <f>+G95-AS95</f>
        <v>545288</v>
      </c>
      <c r="AU95" s="13"/>
      <c r="AV95" s="9">
        <f>+AT95/G95</f>
        <v>0.31402983493058423</v>
      </c>
      <c r="AW95" s="13"/>
      <c r="AX95" s="13" t="s">
        <v>31</v>
      </c>
      <c r="AY95" s="13"/>
      <c r="AZ95" s="78">
        <v>1900004281</v>
      </c>
      <c r="BA95" s="38">
        <v>1191133</v>
      </c>
      <c r="BB95" s="8">
        <f>+G95-BA95</f>
        <v>545288</v>
      </c>
      <c r="BC95" s="13"/>
      <c r="BD95" s="9">
        <f>+BB95/G95</f>
        <v>0.31402983493058423</v>
      </c>
      <c r="BE95" s="13"/>
      <c r="BF95" s="13" t="s">
        <v>31</v>
      </c>
      <c r="BG95" s="13"/>
      <c r="BH95" s="13"/>
      <c r="BI95" s="38">
        <v>1191133</v>
      </c>
      <c r="BJ95" s="8">
        <f>+G95-BI95</f>
        <v>545288</v>
      </c>
      <c r="BK95" s="13"/>
      <c r="BL95" s="9">
        <f>+BJ95/G95</f>
        <v>0.31402983493058423</v>
      </c>
      <c r="BM95" s="13"/>
      <c r="BN95" s="13" t="s">
        <v>31</v>
      </c>
      <c r="BO95" s="13"/>
      <c r="BP95" s="13"/>
      <c r="BQ95" s="38">
        <v>1191133</v>
      </c>
      <c r="BR95" s="13">
        <v>0</v>
      </c>
      <c r="BS95" s="13"/>
      <c r="BT95" s="13">
        <v>0</v>
      </c>
      <c r="BU95" s="13"/>
      <c r="BV95" s="13" t="s">
        <v>31</v>
      </c>
      <c r="BW95" s="13"/>
      <c r="BX95" s="13"/>
      <c r="BY95" s="38">
        <v>1191133</v>
      </c>
      <c r="BZ95" s="8">
        <v>0</v>
      </c>
      <c r="CA95" s="13"/>
      <c r="CB95" s="13">
        <v>0</v>
      </c>
      <c r="CC95" s="13"/>
      <c r="CD95" s="13" t="s">
        <v>31</v>
      </c>
      <c r="CE95" s="13"/>
      <c r="CF95" s="13"/>
    </row>
    <row r="96" spans="1:84" x14ac:dyDescent="0.25">
      <c r="A96" s="1" t="s">
        <v>442</v>
      </c>
      <c r="B96" s="25" t="s">
        <v>735</v>
      </c>
      <c r="C96" s="23">
        <v>6701</v>
      </c>
      <c r="D96" s="21">
        <v>204603</v>
      </c>
      <c r="E96" s="17" t="s">
        <v>444</v>
      </c>
      <c r="F96" s="18" t="s">
        <v>736</v>
      </c>
      <c r="G96" s="38">
        <v>3203417</v>
      </c>
      <c r="H96" s="38">
        <v>2807460</v>
      </c>
      <c r="I96" s="8">
        <f t="shared" si="31"/>
        <v>-395957</v>
      </c>
      <c r="J96" s="10">
        <f t="shared" si="32"/>
        <v>-0.12360457598870206</v>
      </c>
      <c r="K96" s="11">
        <v>3050041</v>
      </c>
      <c r="L96" s="11"/>
      <c r="M96" s="11"/>
      <c r="N96" s="8">
        <f t="shared" si="33"/>
        <v>0</v>
      </c>
      <c r="O96" s="13"/>
      <c r="P96" s="13" t="s">
        <v>38</v>
      </c>
      <c r="Q96" s="13"/>
      <c r="R96" s="13" t="s">
        <v>31</v>
      </c>
      <c r="S96" s="3"/>
      <c r="T96" s="38">
        <v>2843377</v>
      </c>
      <c r="U96" s="13">
        <v>0</v>
      </c>
      <c r="V96" s="13"/>
      <c r="W96" s="13">
        <v>0</v>
      </c>
      <c r="X96" s="13" t="s">
        <v>38</v>
      </c>
      <c r="Y96" s="13"/>
      <c r="Z96" s="13" t="s">
        <v>31</v>
      </c>
      <c r="AA96" s="3"/>
      <c r="AB96" s="38">
        <v>2939401</v>
      </c>
      <c r="AC96" s="8">
        <f t="shared" si="40"/>
        <v>-131941</v>
      </c>
      <c r="AD96" s="13"/>
      <c r="AE96" s="9">
        <v>0</v>
      </c>
      <c r="AF96" s="13"/>
      <c r="AG96" s="13"/>
      <c r="AH96" s="13" t="s">
        <v>31</v>
      </c>
      <c r="AI96" s="3"/>
      <c r="AJ96" s="49">
        <v>1900003297</v>
      </c>
      <c r="AK96" s="38">
        <v>2597170</v>
      </c>
      <c r="AL96" s="8">
        <f t="shared" si="38"/>
        <v>210290</v>
      </c>
      <c r="AM96" s="13"/>
      <c r="AN96" s="9">
        <f>+AL96/H96</f>
        <v>7.4904005756092698E-2</v>
      </c>
      <c r="AO96" s="13"/>
      <c r="AP96" s="13" t="s">
        <v>31</v>
      </c>
      <c r="AQ96" s="13"/>
      <c r="AR96" s="19">
        <v>1900003820</v>
      </c>
      <c r="AS96" s="38">
        <v>2952840</v>
      </c>
      <c r="AT96" s="8">
        <f t="shared" ref="AT96:AT104" si="41">+H96-AS96</f>
        <v>-145380</v>
      </c>
      <c r="AU96" s="13"/>
      <c r="AV96" s="13">
        <v>0</v>
      </c>
      <c r="AW96" s="13"/>
      <c r="AX96" s="13" t="s">
        <v>31</v>
      </c>
      <c r="AY96" s="13"/>
      <c r="AZ96" s="78">
        <v>1900004352</v>
      </c>
      <c r="BA96" s="38">
        <v>2746715</v>
      </c>
      <c r="BB96" s="8">
        <f>+H96-BA96</f>
        <v>60745</v>
      </c>
      <c r="BC96" s="13"/>
      <c r="BD96" s="9">
        <f>+BB96/H96</f>
        <v>2.1636995718549865E-2</v>
      </c>
      <c r="BE96" s="13"/>
      <c r="BF96" s="13" t="s">
        <v>31</v>
      </c>
      <c r="BG96" s="13"/>
      <c r="BH96" s="13"/>
      <c r="BI96" s="38">
        <v>2957943</v>
      </c>
      <c r="BJ96" s="8">
        <v>0</v>
      </c>
      <c r="BK96" s="13"/>
      <c r="BL96" s="13">
        <v>0</v>
      </c>
      <c r="BM96" s="13"/>
      <c r="BN96" s="13" t="s">
        <v>31</v>
      </c>
      <c r="BO96" s="13"/>
      <c r="BP96" s="13"/>
      <c r="BQ96" s="13"/>
      <c r="BR96" s="13"/>
      <c r="BS96" s="13"/>
      <c r="BT96" s="13"/>
      <c r="BU96" s="13"/>
      <c r="BV96" s="13"/>
      <c r="BW96" s="13"/>
      <c r="BX96" s="13"/>
      <c r="BY96" s="13"/>
      <c r="BZ96" s="13"/>
      <c r="CA96" s="13"/>
      <c r="CB96" s="13"/>
      <c r="CC96" s="13"/>
      <c r="CD96" s="13"/>
      <c r="CE96" s="13"/>
      <c r="CF96" s="13"/>
    </row>
    <row r="97" spans="1:84" ht="15.75" x14ac:dyDescent="0.25">
      <c r="A97" s="1" t="s">
        <v>446</v>
      </c>
      <c r="B97" s="25" t="s">
        <v>737</v>
      </c>
      <c r="C97" s="23">
        <v>6711</v>
      </c>
      <c r="D97" s="21">
        <v>204608</v>
      </c>
      <c r="E97" s="17" t="s">
        <v>738</v>
      </c>
      <c r="F97" s="18" t="s">
        <v>739</v>
      </c>
      <c r="G97" s="38">
        <v>2366745</v>
      </c>
      <c r="H97" s="38">
        <v>2366745</v>
      </c>
      <c r="I97" s="8">
        <f t="shared" si="31"/>
        <v>0</v>
      </c>
      <c r="J97" s="8">
        <f t="shared" si="32"/>
        <v>0</v>
      </c>
      <c r="K97" s="11">
        <f>694267+1619957</f>
        <v>2314224</v>
      </c>
      <c r="L97" s="11">
        <f>+H97-K97</f>
        <v>52521</v>
      </c>
      <c r="M97" s="11"/>
      <c r="N97" s="9">
        <f>+(L97+M97)/H97</f>
        <v>2.2191237332285479E-2</v>
      </c>
      <c r="O97" s="13"/>
      <c r="P97" s="13" t="s">
        <v>38</v>
      </c>
      <c r="Q97" s="13" t="s">
        <v>852</v>
      </c>
      <c r="R97" s="13" t="s">
        <v>31</v>
      </c>
      <c r="S97" s="75" t="s">
        <v>83</v>
      </c>
      <c r="T97" s="42">
        <f>1619957+694267</f>
        <v>2314224</v>
      </c>
      <c r="U97" s="43">
        <f>+H97-T97</f>
        <v>52521</v>
      </c>
      <c r="V97" s="13"/>
      <c r="W97" s="9">
        <f>+U97/H97</f>
        <v>2.2191237332285479E-2</v>
      </c>
      <c r="X97" s="13" t="s">
        <v>38</v>
      </c>
      <c r="Y97" s="13"/>
      <c r="Z97" s="13" t="s">
        <v>31</v>
      </c>
      <c r="AA97" s="75" t="s">
        <v>47</v>
      </c>
      <c r="AB97" s="38">
        <f>710024+1656721</f>
        <v>2366745</v>
      </c>
      <c r="AC97" s="8">
        <f t="shared" si="40"/>
        <v>0</v>
      </c>
      <c r="AD97" s="13"/>
      <c r="AE97" s="9">
        <f>+AC97/H97</f>
        <v>0</v>
      </c>
      <c r="AF97" s="13" t="s">
        <v>38</v>
      </c>
      <c r="AG97" s="13"/>
      <c r="AH97" s="13" t="s">
        <v>31</v>
      </c>
      <c r="AI97" s="3"/>
      <c r="AJ97" s="49" t="s">
        <v>853</v>
      </c>
      <c r="AK97" s="38">
        <f>462845+1893396</f>
        <v>2356241</v>
      </c>
      <c r="AL97" s="8">
        <f t="shared" si="38"/>
        <v>10504</v>
      </c>
      <c r="AM97" s="13"/>
      <c r="AN97" s="9">
        <f>+AL97/H97</f>
        <v>4.4381629622118144E-3</v>
      </c>
      <c r="AO97" s="13"/>
      <c r="AP97" s="13" t="s">
        <v>31</v>
      </c>
      <c r="AQ97" s="13"/>
      <c r="AR97" s="19">
        <v>1900003799</v>
      </c>
      <c r="AS97" s="38">
        <v>1659075</v>
      </c>
      <c r="AT97" s="8">
        <f t="shared" si="41"/>
        <v>707670</v>
      </c>
      <c r="AU97" s="13"/>
      <c r="AV97" s="9">
        <f>+AT97/H97</f>
        <v>0.29900559629364382</v>
      </c>
      <c r="AW97" s="13"/>
      <c r="AX97" s="13" t="s">
        <v>31</v>
      </c>
      <c r="AY97" s="13"/>
      <c r="AZ97" s="79" t="s">
        <v>854</v>
      </c>
      <c r="BA97" s="38">
        <f>291966+2022238</f>
        <v>2314204</v>
      </c>
      <c r="BB97" s="8">
        <f>+H97-BA97</f>
        <v>52541</v>
      </c>
      <c r="BC97" s="13"/>
      <c r="BD97" s="13">
        <v>0</v>
      </c>
      <c r="BE97" s="13"/>
      <c r="BF97" s="13" t="s">
        <v>31</v>
      </c>
      <c r="BG97" s="13"/>
      <c r="BH97" s="13"/>
      <c r="BI97" s="38">
        <f>294689+2019535</f>
        <v>2314224</v>
      </c>
      <c r="BJ97" s="38">
        <f>+H97-BI97</f>
        <v>52521</v>
      </c>
      <c r="BK97" s="13"/>
      <c r="BL97" s="9">
        <f>+BJ97/H97</f>
        <v>2.2191237332285479E-2</v>
      </c>
      <c r="BM97" s="13"/>
      <c r="BN97" s="13" t="s">
        <v>31</v>
      </c>
      <c r="BO97" s="13"/>
      <c r="BP97" s="13"/>
      <c r="BQ97" s="38">
        <v>2130070</v>
      </c>
      <c r="BR97" s="13">
        <v>0</v>
      </c>
      <c r="BS97" s="38">
        <v>294689</v>
      </c>
      <c r="BT97" s="9">
        <f>+BS97/BQ97</f>
        <v>0.13834709657429098</v>
      </c>
      <c r="BU97" s="13"/>
      <c r="BV97" s="13" t="s">
        <v>31</v>
      </c>
      <c r="BW97" s="13"/>
      <c r="BX97" s="13"/>
      <c r="BY97" s="38">
        <v>2130070</v>
      </c>
      <c r="BZ97" s="13">
        <v>0</v>
      </c>
      <c r="CA97" s="13"/>
      <c r="CB97" s="13">
        <v>0</v>
      </c>
      <c r="CC97" s="13"/>
      <c r="CD97" s="13" t="s">
        <v>31</v>
      </c>
      <c r="CE97" s="13"/>
      <c r="CF97" s="13"/>
    </row>
    <row r="98" spans="1:84" x14ac:dyDescent="0.25">
      <c r="A98" s="1" t="s">
        <v>450</v>
      </c>
      <c r="B98" s="25" t="s">
        <v>740</v>
      </c>
      <c r="C98" s="23">
        <v>6714</v>
      </c>
      <c r="D98" s="21">
        <v>204611</v>
      </c>
      <c r="E98" s="17" t="s">
        <v>741</v>
      </c>
      <c r="F98" s="18" t="s">
        <v>742</v>
      </c>
      <c r="G98" s="38">
        <v>1095800</v>
      </c>
      <c r="H98" s="38">
        <v>1095800</v>
      </c>
      <c r="I98" s="8">
        <f t="shared" si="31"/>
        <v>0</v>
      </c>
      <c r="J98" s="8">
        <f t="shared" si="32"/>
        <v>0</v>
      </c>
      <c r="K98" s="38">
        <v>1095800</v>
      </c>
      <c r="L98" s="11">
        <v>0</v>
      </c>
      <c r="M98" s="11"/>
      <c r="N98" s="8">
        <v>0</v>
      </c>
      <c r="O98" s="13"/>
      <c r="P98" s="13"/>
      <c r="Q98" s="13"/>
      <c r="R98" s="13" t="s">
        <v>31</v>
      </c>
      <c r="S98" s="72" t="s">
        <v>47</v>
      </c>
      <c r="T98" s="38">
        <v>1353038</v>
      </c>
      <c r="U98" s="13">
        <v>0</v>
      </c>
      <c r="V98" s="13"/>
      <c r="W98" s="13">
        <v>0</v>
      </c>
      <c r="X98" s="13"/>
      <c r="Y98" s="13" t="s">
        <v>855</v>
      </c>
      <c r="Z98" s="13" t="s">
        <v>31</v>
      </c>
      <c r="AA98" s="76"/>
      <c r="AB98" s="8">
        <v>1033774</v>
      </c>
      <c r="AC98" s="8">
        <f t="shared" si="40"/>
        <v>62026</v>
      </c>
      <c r="AD98" s="13"/>
      <c r="AE98" s="9">
        <f>+AC98/H98</f>
        <v>5.6603394780069358E-2</v>
      </c>
      <c r="AF98" s="13"/>
      <c r="AG98" s="13"/>
      <c r="AH98" s="13" t="s">
        <v>31</v>
      </c>
      <c r="AI98" s="72" t="s">
        <v>47</v>
      </c>
      <c r="AJ98" s="49">
        <v>1900003298</v>
      </c>
      <c r="AK98" s="38">
        <v>1033774</v>
      </c>
      <c r="AL98" s="8">
        <f t="shared" si="38"/>
        <v>62026</v>
      </c>
      <c r="AM98" s="13"/>
      <c r="AN98" s="9">
        <f>+AL98/H98</f>
        <v>5.6603394780069358E-2</v>
      </c>
      <c r="AO98" s="13"/>
      <c r="AP98" s="13" t="s">
        <v>31</v>
      </c>
      <c r="AQ98" s="13"/>
      <c r="AR98" s="19">
        <v>1900003900</v>
      </c>
      <c r="AS98" s="38">
        <v>1033774</v>
      </c>
      <c r="AT98" s="8">
        <f t="shared" si="41"/>
        <v>62026</v>
      </c>
      <c r="AU98" s="13"/>
      <c r="AV98" s="9">
        <f>+AT98/H98</f>
        <v>5.6603394780069358E-2</v>
      </c>
      <c r="AW98" s="13"/>
      <c r="AX98" s="13" t="s">
        <v>31</v>
      </c>
      <c r="AY98" s="13"/>
      <c r="AZ98" s="80">
        <v>1900004377</v>
      </c>
      <c r="BA98" s="13"/>
      <c r="BB98" s="13"/>
      <c r="BC98" s="13"/>
      <c r="BD98" s="13"/>
      <c r="BE98" s="13"/>
      <c r="BF98" s="13"/>
      <c r="BG98" s="13"/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  <c r="BS98" s="13"/>
      <c r="BT98" s="13"/>
      <c r="BU98" s="13"/>
      <c r="BV98" s="13"/>
      <c r="BW98" s="13"/>
      <c r="BX98" s="13"/>
      <c r="BY98" s="38">
        <v>1033774</v>
      </c>
      <c r="BZ98" s="13">
        <v>0</v>
      </c>
      <c r="CA98" s="13"/>
      <c r="CB98" s="13">
        <v>0</v>
      </c>
      <c r="CC98" s="13"/>
      <c r="CD98" s="13" t="s">
        <v>31</v>
      </c>
      <c r="CE98" s="13"/>
      <c r="CF98" s="13"/>
    </row>
    <row r="99" spans="1:84" x14ac:dyDescent="0.25">
      <c r="A99" s="1" t="s">
        <v>454</v>
      </c>
      <c r="B99" s="25" t="s">
        <v>743</v>
      </c>
      <c r="C99" s="23">
        <v>6715</v>
      </c>
      <c r="D99" s="21">
        <v>204633</v>
      </c>
      <c r="E99" s="17" t="s">
        <v>744</v>
      </c>
      <c r="F99" s="18" t="s">
        <v>745</v>
      </c>
      <c r="G99" s="38">
        <v>1093115</v>
      </c>
      <c r="H99" s="38">
        <v>1093566</v>
      </c>
      <c r="I99" s="8">
        <f t="shared" si="31"/>
        <v>451</v>
      </c>
      <c r="J99" s="6">
        <f t="shared" si="32"/>
        <v>4.1258239069082392E-4</v>
      </c>
      <c r="K99" s="11">
        <f>+H99</f>
        <v>1093566</v>
      </c>
      <c r="L99" s="11"/>
      <c r="M99" s="11"/>
      <c r="N99" s="9"/>
      <c r="O99" s="13"/>
      <c r="P99" s="13" t="s">
        <v>38</v>
      </c>
      <c r="Q99" s="13"/>
      <c r="R99" s="13" t="s">
        <v>31</v>
      </c>
      <c r="S99" s="72" t="s">
        <v>55</v>
      </c>
      <c r="T99" s="42">
        <v>1147077</v>
      </c>
      <c r="U99" s="43">
        <f>+H99-T99</f>
        <v>-53511</v>
      </c>
      <c r="V99" s="13"/>
      <c r="W99" s="9">
        <f>+U99/H99</f>
        <v>-4.8932574714283361E-2</v>
      </c>
      <c r="X99" s="13" t="s">
        <v>38</v>
      </c>
      <c r="Y99" s="13"/>
      <c r="Z99" s="13" t="s">
        <v>31</v>
      </c>
      <c r="AA99" s="72" t="s">
        <v>32</v>
      </c>
      <c r="AB99" s="38">
        <v>765496</v>
      </c>
      <c r="AC99" s="8">
        <f t="shared" si="40"/>
        <v>328070</v>
      </c>
      <c r="AD99" s="13"/>
      <c r="AE99" s="9">
        <f>+AC99/H99</f>
        <v>0.30000018288790981</v>
      </c>
      <c r="AF99" s="13" t="s">
        <v>46</v>
      </c>
      <c r="AG99" s="13"/>
      <c r="AH99" s="13" t="s">
        <v>31</v>
      </c>
      <c r="AI99" s="3"/>
      <c r="AJ99" s="49">
        <v>1900003282</v>
      </c>
      <c r="AK99" s="38">
        <v>765496</v>
      </c>
      <c r="AL99" s="13">
        <v>0</v>
      </c>
      <c r="AM99" s="13"/>
      <c r="AN99" s="13">
        <v>0</v>
      </c>
      <c r="AO99" s="13"/>
      <c r="AP99" s="13" t="s">
        <v>31</v>
      </c>
      <c r="AQ99" s="13"/>
      <c r="AR99" s="19">
        <v>1900003879</v>
      </c>
      <c r="AS99" s="38">
        <v>765496</v>
      </c>
      <c r="AT99" s="8">
        <f t="shared" si="41"/>
        <v>328070</v>
      </c>
      <c r="AU99" s="13"/>
      <c r="AV99" s="9">
        <f>+AT99/H99</f>
        <v>0.30000018288790981</v>
      </c>
      <c r="AW99" s="13"/>
      <c r="AX99" s="13" t="s">
        <v>31</v>
      </c>
      <c r="AY99" s="13"/>
      <c r="AZ99" s="79"/>
      <c r="BA99" s="38">
        <v>765496</v>
      </c>
      <c r="BB99" s="13">
        <v>0</v>
      </c>
      <c r="BC99" s="13"/>
      <c r="BD99" s="13">
        <v>0</v>
      </c>
      <c r="BE99" s="13"/>
      <c r="BF99" s="13"/>
      <c r="BG99" s="13"/>
      <c r="BH99" s="13"/>
      <c r="BI99" s="38">
        <v>765496</v>
      </c>
      <c r="BJ99" s="13">
        <v>0</v>
      </c>
      <c r="BK99" s="13"/>
      <c r="BL99" s="13">
        <v>0</v>
      </c>
      <c r="BM99" s="13"/>
      <c r="BN99" s="13"/>
      <c r="BO99" s="13"/>
      <c r="BP99" s="13"/>
      <c r="BQ99" s="38">
        <v>874852</v>
      </c>
      <c r="BR99" s="13">
        <v>0</v>
      </c>
      <c r="BS99" s="13"/>
      <c r="BT99" s="13">
        <v>0</v>
      </c>
      <c r="BU99" s="13"/>
      <c r="BV99" s="13"/>
      <c r="BW99" s="13"/>
      <c r="BX99" s="13"/>
      <c r="BY99" s="38">
        <v>874852</v>
      </c>
      <c r="BZ99" s="13">
        <v>0</v>
      </c>
      <c r="CA99" s="13"/>
      <c r="CB99" s="13">
        <v>0</v>
      </c>
      <c r="CC99" s="13"/>
      <c r="CD99" s="13" t="s">
        <v>31</v>
      </c>
      <c r="CE99" s="13"/>
      <c r="CF99" s="13"/>
    </row>
    <row r="100" spans="1:84" ht="15.75" x14ac:dyDescent="0.25">
      <c r="A100" s="1" t="s">
        <v>459</v>
      </c>
      <c r="B100" s="25" t="s">
        <v>746</v>
      </c>
      <c r="C100" s="23">
        <v>6716</v>
      </c>
      <c r="D100" s="21">
        <v>204629</v>
      </c>
      <c r="E100" s="17" t="s">
        <v>747</v>
      </c>
      <c r="F100" s="18" t="s">
        <v>748</v>
      </c>
      <c r="G100" s="38">
        <v>2013683</v>
      </c>
      <c r="H100" s="38">
        <v>2014225</v>
      </c>
      <c r="I100" s="8">
        <f t="shared" si="31"/>
        <v>542</v>
      </c>
      <c r="J100" s="6">
        <f t="shared" si="32"/>
        <v>2.6915855176807868E-4</v>
      </c>
      <c r="K100" s="11">
        <v>2289523</v>
      </c>
      <c r="L100" s="11">
        <f>+H100-K100</f>
        <v>-275298</v>
      </c>
      <c r="M100" s="11"/>
      <c r="N100" s="9">
        <f t="shared" si="33"/>
        <v>-0.13667688565080863</v>
      </c>
      <c r="O100" s="13"/>
      <c r="P100" s="13" t="s">
        <v>38</v>
      </c>
      <c r="Q100" s="13"/>
      <c r="R100" s="13" t="s">
        <v>31</v>
      </c>
      <c r="S100" s="3"/>
      <c r="T100" s="38">
        <f>2430571-545605</f>
        <v>1884966</v>
      </c>
      <c r="U100" s="8">
        <f>+H100-T100</f>
        <v>129259</v>
      </c>
      <c r="V100" s="13"/>
      <c r="W100" s="9">
        <f>+U100/H100</f>
        <v>6.4173069046407433E-2</v>
      </c>
      <c r="X100" s="13" t="s">
        <v>38</v>
      </c>
      <c r="Y100" s="13"/>
      <c r="Z100" s="13" t="s">
        <v>31</v>
      </c>
      <c r="AA100" s="75" t="s">
        <v>83</v>
      </c>
      <c r="AB100" s="38">
        <v>2430571</v>
      </c>
      <c r="AC100" s="8">
        <f t="shared" si="40"/>
        <v>-416346</v>
      </c>
      <c r="AD100" s="13"/>
      <c r="AE100" s="9">
        <f>+AC100/H100</f>
        <v>-0.20670282614901514</v>
      </c>
      <c r="AF100" s="13" t="s">
        <v>38</v>
      </c>
      <c r="AG100" s="13"/>
      <c r="AH100" s="13" t="s">
        <v>31</v>
      </c>
      <c r="AI100" s="3"/>
      <c r="AJ100" s="49">
        <v>1900003273</v>
      </c>
      <c r="AK100" s="38">
        <v>2430571</v>
      </c>
      <c r="AL100" s="8">
        <f>+H100-AK100</f>
        <v>-416346</v>
      </c>
      <c r="AM100" s="13"/>
      <c r="AN100" s="9">
        <f>+AL100/H100</f>
        <v>-0.20670282614901514</v>
      </c>
      <c r="AO100" s="13"/>
      <c r="AP100" s="13" t="s">
        <v>31</v>
      </c>
      <c r="AQ100" s="13"/>
      <c r="AR100" s="19">
        <v>1900003815</v>
      </c>
      <c r="AS100" s="38">
        <v>2430571</v>
      </c>
      <c r="AT100" s="8">
        <f t="shared" si="41"/>
        <v>-416346</v>
      </c>
      <c r="AU100" s="13"/>
      <c r="AV100" s="13">
        <v>0</v>
      </c>
      <c r="AW100" s="13"/>
      <c r="AX100" s="13" t="s">
        <v>31</v>
      </c>
      <c r="AY100" s="13"/>
      <c r="AZ100" s="79">
        <v>1900004251</v>
      </c>
      <c r="BA100" s="38">
        <v>2053578</v>
      </c>
      <c r="BB100" s="8">
        <f>+H100-BA100</f>
        <v>-39353</v>
      </c>
      <c r="BC100" s="13"/>
      <c r="BD100" s="9">
        <f>+BB100/H100</f>
        <v>-1.9537539252069653E-2</v>
      </c>
      <c r="BE100" s="13"/>
      <c r="BF100" s="13" t="s">
        <v>31</v>
      </c>
      <c r="BG100" s="13"/>
      <c r="BH100" s="13"/>
      <c r="BI100" s="38">
        <v>2204375</v>
      </c>
      <c r="BJ100" s="13">
        <v>0</v>
      </c>
      <c r="BK100" s="13"/>
      <c r="BL100" s="13">
        <v>0</v>
      </c>
      <c r="BM100" s="13"/>
      <c r="BN100" s="13" t="s">
        <v>31</v>
      </c>
      <c r="BO100" s="13"/>
      <c r="BP100" s="13"/>
      <c r="BQ100" s="38">
        <f>18995+2312925</f>
        <v>2331920</v>
      </c>
      <c r="BR100" s="8">
        <f>+H100-BQ100</f>
        <v>-317695</v>
      </c>
      <c r="BS100" s="13"/>
      <c r="BT100" s="9">
        <f>+BR100/H100</f>
        <v>-0.1577256761285358</v>
      </c>
      <c r="BU100" s="13"/>
      <c r="BV100" s="13" t="s">
        <v>31</v>
      </c>
      <c r="BW100" s="13"/>
      <c r="BX100" s="13"/>
      <c r="BY100" s="38">
        <v>2312925</v>
      </c>
      <c r="BZ100" s="13">
        <v>0</v>
      </c>
      <c r="CA100" s="38">
        <v>117647</v>
      </c>
      <c r="CB100" s="9">
        <f>+CA100/BY100</f>
        <v>5.0865030210663985E-2</v>
      </c>
      <c r="CC100" s="13"/>
      <c r="CD100" s="13" t="s">
        <v>31</v>
      </c>
      <c r="CE100" s="13"/>
      <c r="CF100" s="13"/>
    </row>
    <row r="101" spans="1:84" x14ac:dyDescent="0.25">
      <c r="A101" s="1" t="s">
        <v>463</v>
      </c>
      <c r="B101" s="25" t="s">
        <v>749</v>
      </c>
      <c r="C101" s="23">
        <v>6717</v>
      </c>
      <c r="D101" s="21">
        <v>204625</v>
      </c>
      <c r="E101" s="17" t="s">
        <v>733</v>
      </c>
      <c r="F101" s="18" t="s">
        <v>734</v>
      </c>
      <c r="G101" s="38">
        <v>1095363</v>
      </c>
      <c r="H101" s="38">
        <v>1099207</v>
      </c>
      <c r="I101" s="8">
        <f t="shared" si="31"/>
        <v>3844</v>
      </c>
      <c r="J101" s="6">
        <f t="shared" si="32"/>
        <v>3.5093389132187227E-3</v>
      </c>
      <c r="K101" s="11">
        <v>575947</v>
      </c>
      <c r="L101" s="11">
        <f>+H101-K101</f>
        <v>523260</v>
      </c>
      <c r="M101" s="11"/>
      <c r="N101" s="9">
        <f t="shared" si="33"/>
        <v>0.47603408639137124</v>
      </c>
      <c r="O101" s="13"/>
      <c r="P101" s="13" t="s">
        <v>46</v>
      </c>
      <c r="Q101" s="13"/>
      <c r="R101" s="13" t="s">
        <v>31</v>
      </c>
      <c r="S101" s="72" t="s">
        <v>55</v>
      </c>
      <c r="T101" s="38">
        <v>682900</v>
      </c>
      <c r="U101" s="8">
        <f>+G101-T101</f>
        <v>412463</v>
      </c>
      <c r="V101" s="13"/>
      <c r="W101" s="9">
        <f>+U101/G101</f>
        <v>0.37655370867922322</v>
      </c>
      <c r="X101" s="13"/>
      <c r="Y101" s="13"/>
      <c r="Z101" s="13" t="s">
        <v>31</v>
      </c>
      <c r="AA101" s="3"/>
      <c r="AB101" s="38">
        <v>375315</v>
      </c>
      <c r="AC101" s="8">
        <f t="shared" si="40"/>
        <v>723892</v>
      </c>
      <c r="AD101" s="13"/>
      <c r="AE101" s="9">
        <f>+AC101/G101</f>
        <v>0.66086950170856607</v>
      </c>
      <c r="AF101" s="13"/>
      <c r="AG101" s="13"/>
      <c r="AH101" s="13" t="s">
        <v>31</v>
      </c>
      <c r="AI101" s="3"/>
      <c r="AJ101" s="49">
        <v>190003240</v>
      </c>
      <c r="AK101" s="38">
        <v>750730</v>
      </c>
      <c r="AL101" s="8">
        <f>+H101-AK101</f>
        <v>348477</v>
      </c>
      <c r="AM101" s="13"/>
      <c r="AN101" s="9">
        <f>+AL101/H101</f>
        <v>0.31702581952261949</v>
      </c>
      <c r="AO101" s="13"/>
      <c r="AP101" s="13" t="s">
        <v>31</v>
      </c>
      <c r="AQ101" s="13"/>
      <c r="AR101" s="19">
        <v>1900003800</v>
      </c>
      <c r="AS101" s="38">
        <v>750630</v>
      </c>
      <c r="AT101" s="38">
        <f t="shared" si="41"/>
        <v>348577</v>
      </c>
      <c r="AU101" s="13"/>
      <c r="AV101" s="9">
        <f>+AT101/H101</f>
        <v>0.3171167941979991</v>
      </c>
      <c r="AW101" s="13"/>
      <c r="AX101" s="13" t="s">
        <v>31</v>
      </c>
      <c r="AY101" s="13"/>
      <c r="AZ101" s="78">
        <v>1900004282</v>
      </c>
      <c r="BA101" s="38">
        <v>750630</v>
      </c>
      <c r="BB101" s="8">
        <f>+H101-BA101</f>
        <v>348577</v>
      </c>
      <c r="BC101" s="13"/>
      <c r="BD101" s="9">
        <f>+BB101/H101</f>
        <v>0.3171167941979991</v>
      </c>
      <c r="BE101" s="13"/>
      <c r="BF101" s="13" t="s">
        <v>31</v>
      </c>
      <c r="BG101" s="13"/>
      <c r="BH101" s="13"/>
      <c r="BI101" s="38">
        <v>750630</v>
      </c>
      <c r="BJ101" s="8">
        <f>+G101-BI101</f>
        <v>344733</v>
      </c>
      <c r="BK101" s="13"/>
      <c r="BL101" s="9">
        <f>+BJ101/G101</f>
        <v>0.31472032559069457</v>
      </c>
      <c r="BM101" s="13"/>
      <c r="BN101" s="13" t="s">
        <v>31</v>
      </c>
      <c r="BO101" s="13"/>
      <c r="BP101" s="13"/>
      <c r="BQ101" s="38">
        <v>750630</v>
      </c>
      <c r="BR101" s="13">
        <v>0</v>
      </c>
      <c r="BS101" s="13"/>
      <c r="BT101" s="13">
        <v>0</v>
      </c>
      <c r="BU101" s="13"/>
      <c r="BV101" s="13" t="s">
        <v>31</v>
      </c>
      <c r="BW101" s="13"/>
      <c r="BX101" s="13"/>
      <c r="BY101" s="38">
        <v>750630</v>
      </c>
      <c r="BZ101" s="13">
        <v>0</v>
      </c>
      <c r="CA101" s="13"/>
      <c r="CB101" s="13">
        <v>0</v>
      </c>
      <c r="CC101" s="13"/>
      <c r="CD101" s="13" t="s">
        <v>31</v>
      </c>
      <c r="CE101" s="13"/>
      <c r="CF101" s="13"/>
    </row>
    <row r="102" spans="1:84" x14ac:dyDescent="0.25">
      <c r="A102" s="1" t="s">
        <v>466</v>
      </c>
      <c r="B102" s="25" t="s">
        <v>750</v>
      </c>
      <c r="C102" s="23">
        <v>6718</v>
      </c>
      <c r="D102" s="21">
        <v>204577</v>
      </c>
      <c r="E102" s="17" t="s">
        <v>751</v>
      </c>
      <c r="F102" s="18" t="s">
        <v>752</v>
      </c>
      <c r="G102" s="38">
        <v>1123000</v>
      </c>
      <c r="H102" s="70">
        <v>1134000</v>
      </c>
      <c r="I102" s="8">
        <f t="shared" si="31"/>
        <v>11000</v>
      </c>
      <c r="J102" s="6">
        <f t="shared" si="32"/>
        <v>9.7951914514692786E-3</v>
      </c>
      <c r="K102" s="11">
        <v>1134000</v>
      </c>
      <c r="L102" s="11"/>
      <c r="M102" s="11"/>
      <c r="N102" s="8">
        <f t="shared" si="33"/>
        <v>0</v>
      </c>
      <c r="O102" s="13"/>
      <c r="P102" s="13"/>
      <c r="Q102" s="13" t="s">
        <v>856</v>
      </c>
      <c r="R102" s="13"/>
      <c r="S102" s="3"/>
      <c r="T102" s="13"/>
      <c r="U102" s="13"/>
      <c r="V102" s="13"/>
      <c r="W102" s="13"/>
      <c r="X102" s="13"/>
      <c r="Y102" s="13"/>
      <c r="Z102" s="13"/>
      <c r="AA102" s="3"/>
      <c r="AB102" s="13"/>
      <c r="AC102" s="13"/>
      <c r="AD102" s="13"/>
      <c r="AE102" s="13"/>
      <c r="AF102" s="13"/>
      <c r="AG102" s="13"/>
      <c r="AH102" s="13"/>
      <c r="AI102" s="3"/>
      <c r="AJ102" s="49"/>
      <c r="AK102" s="38">
        <v>2650900</v>
      </c>
      <c r="AL102" s="13"/>
      <c r="AM102" s="13"/>
      <c r="AN102" s="13"/>
      <c r="AO102" s="13"/>
      <c r="AP102" s="13"/>
      <c r="AQ102" s="13"/>
      <c r="AR102" s="19"/>
      <c r="AS102" s="38">
        <v>1134000</v>
      </c>
      <c r="AT102" s="8">
        <f t="shared" si="41"/>
        <v>0</v>
      </c>
      <c r="AU102" s="13"/>
      <c r="AV102" s="13">
        <v>0</v>
      </c>
      <c r="AW102" s="13"/>
      <c r="AX102" s="13" t="s">
        <v>31</v>
      </c>
      <c r="AY102" s="13"/>
      <c r="AZ102" s="79">
        <v>1900004234</v>
      </c>
      <c r="BA102" s="13"/>
      <c r="BB102" s="13"/>
      <c r="BC102" s="13"/>
      <c r="BD102" s="13"/>
      <c r="BE102" s="13"/>
      <c r="BF102" s="13"/>
      <c r="BG102" s="13"/>
      <c r="BH102" s="13"/>
      <c r="BI102" s="38">
        <v>1134000</v>
      </c>
      <c r="BJ102" s="13">
        <v>0</v>
      </c>
      <c r="BK102" s="13"/>
      <c r="BL102" s="13">
        <v>0</v>
      </c>
      <c r="BM102" s="13"/>
      <c r="BN102" s="13" t="s">
        <v>31</v>
      </c>
      <c r="BO102" s="13"/>
      <c r="BP102" s="13"/>
      <c r="BQ102" s="13">
        <v>1134000</v>
      </c>
      <c r="BR102" s="13"/>
      <c r="BS102" s="13"/>
      <c r="BT102" s="13"/>
      <c r="BU102" s="13"/>
      <c r="BV102" s="13"/>
      <c r="BW102" s="13"/>
      <c r="BX102" s="13"/>
      <c r="BY102" s="13"/>
      <c r="BZ102" s="13"/>
      <c r="CA102" s="13"/>
      <c r="CB102" s="13"/>
      <c r="CC102" s="13"/>
      <c r="CD102" s="13"/>
      <c r="CE102" s="13"/>
      <c r="CF102" s="13"/>
    </row>
    <row r="103" spans="1:84" x14ac:dyDescent="0.25">
      <c r="A103" s="1" t="s">
        <v>472</v>
      </c>
      <c r="B103" s="25" t="s">
        <v>753</v>
      </c>
      <c r="C103" s="23">
        <v>6759</v>
      </c>
      <c r="D103" s="21">
        <v>204601</v>
      </c>
      <c r="E103" s="17" t="s">
        <v>754</v>
      </c>
      <c r="F103" s="18" t="s">
        <v>755</v>
      </c>
      <c r="G103" s="38">
        <v>2453571</v>
      </c>
      <c r="H103" s="38">
        <v>2453571</v>
      </c>
      <c r="I103" s="8">
        <f t="shared" si="31"/>
        <v>0</v>
      </c>
      <c r="J103" s="8">
        <f t="shared" si="32"/>
        <v>0</v>
      </c>
      <c r="K103" s="11">
        <v>2553550</v>
      </c>
      <c r="L103" s="11">
        <f>+H103-K103</f>
        <v>-99979</v>
      </c>
      <c r="M103" s="11"/>
      <c r="N103" s="9">
        <f t="shared" si="33"/>
        <v>-4.0748362285012336E-2</v>
      </c>
      <c r="O103" s="13"/>
      <c r="P103" s="13" t="s">
        <v>38</v>
      </c>
      <c r="Q103" s="13"/>
      <c r="R103" s="13" t="s">
        <v>31</v>
      </c>
      <c r="S103" s="72" t="s">
        <v>55</v>
      </c>
      <c r="T103" s="42">
        <v>2275970</v>
      </c>
      <c r="U103" s="43">
        <f>+H103-T103</f>
        <v>177601</v>
      </c>
      <c r="V103" s="13"/>
      <c r="W103" s="9">
        <f>+U103/H103</f>
        <v>7.2384699688739396E-2</v>
      </c>
      <c r="X103" s="13" t="s">
        <v>38</v>
      </c>
      <c r="Y103" s="13"/>
      <c r="Z103" s="13" t="s">
        <v>31</v>
      </c>
      <c r="AA103" s="3"/>
      <c r="AB103" s="38">
        <v>1796358</v>
      </c>
      <c r="AC103" s="8">
        <f>+H103-AB103</f>
        <v>657213</v>
      </c>
      <c r="AD103" s="13"/>
      <c r="AE103" s="9">
        <f>+AC103/H103</f>
        <v>0.26785978477900169</v>
      </c>
      <c r="AF103" s="13" t="s">
        <v>46</v>
      </c>
      <c r="AG103" s="13"/>
      <c r="AH103" s="13" t="s">
        <v>31</v>
      </c>
      <c r="AI103" s="3"/>
      <c r="AJ103" s="49">
        <v>1900003194</v>
      </c>
      <c r="AK103" s="38">
        <v>1796358</v>
      </c>
      <c r="AL103" s="38">
        <f>+H103-AK103</f>
        <v>657213</v>
      </c>
      <c r="AM103" s="8"/>
      <c r="AN103" s="9">
        <f>+AL103/H103</f>
        <v>0.26785978477900169</v>
      </c>
      <c r="AO103" s="13"/>
      <c r="AP103" s="13" t="s">
        <v>31</v>
      </c>
      <c r="AQ103" s="13"/>
      <c r="AR103" s="19">
        <v>1900003683</v>
      </c>
      <c r="AS103" s="38">
        <v>1934539</v>
      </c>
      <c r="AT103" s="8">
        <f t="shared" si="41"/>
        <v>519032</v>
      </c>
      <c r="AU103" s="13"/>
      <c r="AV103" s="9">
        <f>+AT103/H103</f>
        <v>0.21154146344246813</v>
      </c>
      <c r="AW103" s="13"/>
      <c r="AX103" s="13" t="s">
        <v>31</v>
      </c>
      <c r="AY103" s="13"/>
      <c r="AZ103" s="79">
        <v>1900004190</v>
      </c>
      <c r="BA103" s="38">
        <v>1658177</v>
      </c>
      <c r="BB103" s="8">
        <f>+H103-BA103</f>
        <v>795394</v>
      </c>
      <c r="BC103" s="13"/>
      <c r="BD103" s="9">
        <f>+BB103/H103</f>
        <v>0.32417810611553527</v>
      </c>
      <c r="BE103" s="13"/>
      <c r="BF103" s="13" t="s">
        <v>31</v>
      </c>
      <c r="BG103" s="13"/>
      <c r="BH103" s="13"/>
      <c r="BI103" s="38">
        <v>2072721</v>
      </c>
      <c r="BJ103" s="8">
        <f>+H103-BI103</f>
        <v>380850</v>
      </c>
      <c r="BK103" s="13"/>
      <c r="BL103" s="9">
        <f>+BJ103/H103</f>
        <v>0.1552227345367222</v>
      </c>
      <c r="BM103" s="13"/>
      <c r="BN103" s="13" t="s">
        <v>31</v>
      </c>
      <c r="BO103" s="13"/>
      <c r="BP103" s="13"/>
      <c r="BQ103" s="38">
        <v>2072721</v>
      </c>
      <c r="BR103" s="8">
        <f>+H103-BQ103</f>
        <v>380850</v>
      </c>
      <c r="BS103" s="13"/>
      <c r="BT103" s="9">
        <f>+BR103/H103</f>
        <v>0.1552227345367222</v>
      </c>
      <c r="BU103" s="9"/>
      <c r="BV103" s="13" t="s">
        <v>31</v>
      </c>
      <c r="BW103" s="13"/>
      <c r="BX103" s="13"/>
      <c r="BY103" s="38">
        <v>2487265</v>
      </c>
      <c r="BZ103" s="8">
        <v>0</v>
      </c>
      <c r="CA103" s="13"/>
      <c r="CB103" s="13">
        <v>0</v>
      </c>
      <c r="CC103" s="13"/>
      <c r="CD103" s="13" t="s">
        <v>31</v>
      </c>
      <c r="CE103" s="13"/>
      <c r="CF103" s="13"/>
    </row>
    <row r="104" spans="1:84" ht="15.75" x14ac:dyDescent="0.25">
      <c r="A104" s="1" t="s">
        <v>475</v>
      </c>
      <c r="B104" s="25" t="s">
        <v>756</v>
      </c>
      <c r="C104" s="23">
        <v>6760</v>
      </c>
      <c r="D104" s="21">
        <v>204544</v>
      </c>
      <c r="E104" s="17" t="s">
        <v>757</v>
      </c>
      <c r="F104" s="18" t="s">
        <v>758</v>
      </c>
      <c r="G104" s="38">
        <v>1888428</v>
      </c>
      <c r="H104" s="70">
        <v>1888428</v>
      </c>
      <c r="I104" s="8">
        <f t="shared" si="31"/>
        <v>0</v>
      </c>
      <c r="J104" s="8">
        <f t="shared" si="32"/>
        <v>0</v>
      </c>
      <c r="K104" s="11">
        <f>+H104</f>
        <v>1888428</v>
      </c>
      <c r="L104" s="11"/>
      <c r="M104" s="11"/>
      <c r="N104" s="9"/>
      <c r="O104" s="13"/>
      <c r="P104" s="13" t="s">
        <v>38</v>
      </c>
      <c r="Q104" s="13"/>
      <c r="R104" s="13" t="s">
        <v>31</v>
      </c>
      <c r="S104" s="75" t="s">
        <v>83</v>
      </c>
      <c r="T104" s="38">
        <v>944214</v>
      </c>
      <c r="U104" s="8">
        <f>+H104-T104</f>
        <v>944214</v>
      </c>
      <c r="V104" s="13"/>
      <c r="W104" s="9">
        <f>+U104/H104</f>
        <v>0.5</v>
      </c>
      <c r="X104" s="13" t="s">
        <v>46</v>
      </c>
      <c r="Y104" s="13"/>
      <c r="Z104" s="13" t="s">
        <v>31</v>
      </c>
      <c r="AA104" s="72" t="s">
        <v>47</v>
      </c>
      <c r="AB104" s="38">
        <v>944214</v>
      </c>
      <c r="AC104" s="8">
        <f>+K104-AB104</f>
        <v>944214</v>
      </c>
      <c r="AD104" s="13"/>
      <c r="AE104" s="9">
        <f>+AC104/H104</f>
        <v>0.5</v>
      </c>
      <c r="AF104" s="13"/>
      <c r="AG104" s="13"/>
      <c r="AH104" s="13" t="s">
        <v>31</v>
      </c>
      <c r="AI104" s="3"/>
      <c r="AJ104" s="49">
        <v>1900003285</v>
      </c>
      <c r="AK104" s="38">
        <v>944214</v>
      </c>
      <c r="AL104" s="8">
        <f>+H104-AK104</f>
        <v>944214</v>
      </c>
      <c r="AM104" s="13"/>
      <c r="AN104" s="9">
        <f>+AL104/H104</f>
        <v>0.5</v>
      </c>
      <c r="AO104" s="13"/>
      <c r="AP104" s="13" t="s">
        <v>31</v>
      </c>
      <c r="AQ104" s="13"/>
      <c r="AR104" s="19">
        <v>1900003823</v>
      </c>
      <c r="AS104" s="38">
        <v>944214</v>
      </c>
      <c r="AT104" s="8">
        <f t="shared" si="41"/>
        <v>944214</v>
      </c>
      <c r="AU104" s="13"/>
      <c r="AV104" s="9">
        <f>+AT104/H104</f>
        <v>0.5</v>
      </c>
      <c r="AW104" s="13"/>
      <c r="AX104" s="13" t="s">
        <v>31</v>
      </c>
      <c r="AY104" s="13"/>
      <c r="AZ104" s="79">
        <v>1900004191</v>
      </c>
      <c r="BA104" s="38">
        <v>944214</v>
      </c>
      <c r="BB104" s="8">
        <f>+H104-BA104</f>
        <v>944214</v>
      </c>
      <c r="BC104" s="13"/>
      <c r="BD104" s="9">
        <f>+BB104/H104</f>
        <v>0.5</v>
      </c>
      <c r="BE104" s="13"/>
      <c r="BF104" s="13" t="s">
        <v>31</v>
      </c>
      <c r="BG104" s="13"/>
      <c r="BH104" s="13"/>
      <c r="BI104" s="38">
        <v>944214</v>
      </c>
      <c r="BJ104" s="8">
        <f>+H104-BI104</f>
        <v>944214</v>
      </c>
      <c r="BK104" s="13"/>
      <c r="BL104" s="9">
        <f>+BJ104/H104</f>
        <v>0.5</v>
      </c>
      <c r="BM104" s="13"/>
      <c r="BN104" s="13" t="s">
        <v>31</v>
      </c>
      <c r="BO104" s="13"/>
      <c r="BP104" s="13"/>
      <c r="BQ104" s="38">
        <v>1416321</v>
      </c>
      <c r="BR104" s="8">
        <f>+H104-BQ104</f>
        <v>472107</v>
      </c>
      <c r="BS104" s="13"/>
      <c r="BT104" s="9">
        <f>+BR104/H104</f>
        <v>0.25</v>
      </c>
      <c r="BU104" s="13"/>
      <c r="BV104" s="13" t="s">
        <v>31</v>
      </c>
      <c r="BW104" s="13"/>
      <c r="BX104" s="13"/>
      <c r="BY104" s="38">
        <v>1416321</v>
      </c>
      <c r="BZ104" s="13">
        <v>0</v>
      </c>
      <c r="CA104" s="13"/>
      <c r="CB104" s="13">
        <v>0</v>
      </c>
      <c r="CC104" s="13"/>
      <c r="CD104" s="13" t="s">
        <v>31</v>
      </c>
      <c r="CE104" s="13"/>
      <c r="CF104" s="13"/>
    </row>
    <row r="105" spans="1:84" x14ac:dyDescent="0.25">
      <c r="A105" s="1" t="s">
        <v>478</v>
      </c>
      <c r="B105" s="25" t="s">
        <v>857</v>
      </c>
      <c r="C105" s="23">
        <v>6761</v>
      </c>
      <c r="D105" s="21">
        <v>205617</v>
      </c>
      <c r="E105" s="17" t="s">
        <v>858</v>
      </c>
      <c r="F105" s="18" t="s">
        <v>859</v>
      </c>
      <c r="G105" s="38">
        <v>1191723</v>
      </c>
      <c r="H105" s="38">
        <v>1191723</v>
      </c>
      <c r="I105" s="8">
        <f t="shared" si="31"/>
        <v>0</v>
      </c>
      <c r="J105" s="8">
        <f t="shared" si="32"/>
        <v>0</v>
      </c>
      <c r="K105" s="11"/>
      <c r="L105" s="11"/>
      <c r="M105" s="11"/>
      <c r="N105" s="8">
        <f t="shared" si="33"/>
        <v>0</v>
      </c>
      <c r="O105" s="13"/>
      <c r="P105" s="13"/>
      <c r="Q105" s="13" t="s">
        <v>860</v>
      </c>
      <c r="R105" s="13"/>
      <c r="S105" s="3"/>
      <c r="T105" s="38">
        <v>682566</v>
      </c>
      <c r="U105" s="8">
        <f>+H105-T105</f>
        <v>509157</v>
      </c>
      <c r="V105" s="13"/>
      <c r="W105" s="9">
        <f>+U105/H105</f>
        <v>0.42724441837574673</v>
      </c>
      <c r="X105" s="13" t="s">
        <v>46</v>
      </c>
      <c r="Y105" s="13" t="s">
        <v>861</v>
      </c>
      <c r="Z105" s="13" t="s">
        <v>31</v>
      </c>
      <c r="AA105" s="72" t="s">
        <v>32</v>
      </c>
      <c r="AB105" s="13"/>
      <c r="AC105" s="13"/>
      <c r="AD105" s="13"/>
      <c r="AE105" s="13"/>
      <c r="AF105" s="13"/>
      <c r="AG105" s="13"/>
      <c r="AH105" s="13"/>
      <c r="AI105" s="3"/>
      <c r="AJ105" s="49"/>
      <c r="AK105" s="13"/>
      <c r="AL105" s="13"/>
      <c r="AM105" s="13"/>
      <c r="AN105" s="13"/>
      <c r="AO105" s="13"/>
      <c r="AP105" s="13"/>
      <c r="AQ105" s="13"/>
      <c r="AR105" s="19"/>
      <c r="AS105" s="38">
        <v>910088</v>
      </c>
      <c r="AT105" s="8">
        <f>+G105-AS105</f>
        <v>281635</v>
      </c>
      <c r="AU105" s="13"/>
      <c r="AV105" s="9">
        <f>+AT105/H105</f>
        <v>0.23632589116766228</v>
      </c>
      <c r="AW105" s="13"/>
      <c r="AX105" s="13" t="s">
        <v>31</v>
      </c>
      <c r="AY105" s="13"/>
      <c r="AZ105" s="78">
        <v>1900004283</v>
      </c>
      <c r="BA105" s="38">
        <v>1085950</v>
      </c>
      <c r="BB105" s="8">
        <f>+H105-BA105</f>
        <v>105773</v>
      </c>
      <c r="BC105" s="13"/>
      <c r="BD105" s="9">
        <f>+BB105/H105</f>
        <v>8.8756363685185233E-2</v>
      </c>
      <c r="BE105" s="13"/>
      <c r="BF105" s="13" t="s">
        <v>31</v>
      </c>
      <c r="BG105" s="13"/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  <c r="BS105" s="13"/>
      <c r="BT105" s="13"/>
      <c r="BU105" s="13"/>
      <c r="BV105" s="13"/>
      <c r="BW105" s="13"/>
      <c r="BX105" s="13"/>
      <c r="BY105" s="13"/>
      <c r="BZ105" s="13"/>
      <c r="CA105" s="13"/>
      <c r="CB105" s="13"/>
      <c r="CC105" s="13"/>
      <c r="CD105" s="13"/>
      <c r="CE105" s="13"/>
      <c r="CF105" s="13"/>
    </row>
    <row r="106" spans="1:84" x14ac:dyDescent="0.25">
      <c r="A106" s="1" t="s">
        <v>482</v>
      </c>
      <c r="B106" s="25" t="s">
        <v>759</v>
      </c>
      <c r="C106" s="23">
        <v>6762</v>
      </c>
      <c r="D106" s="21">
        <v>204779</v>
      </c>
      <c r="E106" s="17" t="s">
        <v>862</v>
      </c>
      <c r="F106" s="18" t="s">
        <v>863</v>
      </c>
      <c r="G106" s="38">
        <v>3523455</v>
      </c>
      <c r="H106" s="7"/>
      <c r="I106" s="8">
        <f t="shared" si="31"/>
        <v>-3523455</v>
      </c>
      <c r="J106" s="9">
        <f t="shared" si="32"/>
        <v>-1</v>
      </c>
      <c r="K106" s="11">
        <v>2477341</v>
      </c>
      <c r="L106" s="11">
        <f>+G106-K106</f>
        <v>1046114</v>
      </c>
      <c r="M106" s="11"/>
      <c r="N106" s="9">
        <f>+L106/G106</f>
        <v>0.29690005974249706</v>
      </c>
      <c r="O106" s="13"/>
      <c r="P106" s="13"/>
      <c r="Q106" s="13"/>
      <c r="R106" s="13"/>
      <c r="S106" s="3"/>
      <c r="T106" s="38">
        <v>2065802</v>
      </c>
      <c r="U106" s="8">
        <f>+G106-T106</f>
        <v>1457653</v>
      </c>
      <c r="V106" s="13"/>
      <c r="W106" s="9">
        <f>+U106/G106</f>
        <v>0.41369990534858542</v>
      </c>
      <c r="X106" s="13"/>
      <c r="Y106" s="13"/>
      <c r="Z106" s="13"/>
      <c r="AA106" s="3"/>
      <c r="AB106" s="38">
        <v>3523455</v>
      </c>
      <c r="AC106" s="8">
        <f>+G106-AB106</f>
        <v>0</v>
      </c>
      <c r="AD106" s="13"/>
      <c r="AE106" s="13">
        <v>0</v>
      </c>
      <c r="AF106" s="13"/>
      <c r="AG106" s="13"/>
      <c r="AH106" s="13" t="s">
        <v>31</v>
      </c>
      <c r="AI106" s="3"/>
      <c r="AJ106" s="49">
        <v>1900003293</v>
      </c>
      <c r="AK106" s="38">
        <v>2325480</v>
      </c>
      <c r="AL106" s="13">
        <v>0</v>
      </c>
      <c r="AM106" s="13"/>
      <c r="AN106" s="13">
        <v>0</v>
      </c>
      <c r="AO106" s="13"/>
      <c r="AP106" s="13" t="s">
        <v>31</v>
      </c>
      <c r="AQ106" s="13"/>
      <c r="AR106" s="19">
        <v>1900003896</v>
      </c>
      <c r="AS106" s="38">
        <v>3523455</v>
      </c>
      <c r="AT106" s="8">
        <f>+G106-AS106</f>
        <v>0</v>
      </c>
      <c r="AU106" s="13"/>
      <c r="AV106" s="13">
        <v>0</v>
      </c>
      <c r="AW106" s="13"/>
      <c r="AX106" s="13" t="s">
        <v>31</v>
      </c>
      <c r="AY106" s="13"/>
      <c r="AZ106" s="79">
        <v>1900004252</v>
      </c>
      <c r="BA106" s="38">
        <v>3523456</v>
      </c>
      <c r="BB106" s="13">
        <v>0</v>
      </c>
      <c r="BC106" s="13"/>
      <c r="BD106" s="13">
        <v>0</v>
      </c>
      <c r="BE106" s="13"/>
      <c r="BF106" s="13" t="s">
        <v>31</v>
      </c>
      <c r="BG106" s="13"/>
      <c r="BH106" s="13"/>
      <c r="BI106" s="38">
        <v>3523456</v>
      </c>
      <c r="BJ106" s="13">
        <v>0</v>
      </c>
      <c r="BK106" s="13"/>
      <c r="BL106" s="13">
        <v>0</v>
      </c>
      <c r="BM106" s="13"/>
      <c r="BN106" s="13"/>
      <c r="BO106" s="13"/>
      <c r="BP106" s="13"/>
      <c r="BQ106" s="38">
        <v>3523456</v>
      </c>
      <c r="BR106" s="13">
        <v>0</v>
      </c>
      <c r="BS106" s="13"/>
      <c r="BT106" s="13">
        <v>0</v>
      </c>
      <c r="BU106" s="13"/>
      <c r="BV106" s="13" t="s">
        <v>31</v>
      </c>
      <c r="BW106" s="13"/>
      <c r="BX106" s="13"/>
      <c r="BY106" s="13"/>
      <c r="BZ106" s="13"/>
      <c r="CA106" s="13"/>
      <c r="CB106" s="13"/>
      <c r="CC106" s="13"/>
      <c r="CD106" s="13"/>
      <c r="CE106" s="13"/>
      <c r="CF106" s="13"/>
    </row>
    <row r="107" spans="1:84" x14ac:dyDescent="0.25">
      <c r="A107" s="1" t="s">
        <v>486</v>
      </c>
      <c r="B107" s="25" t="s">
        <v>760</v>
      </c>
      <c r="C107" s="23">
        <v>6763</v>
      </c>
      <c r="D107" s="21">
        <v>205766</v>
      </c>
      <c r="E107" s="17" t="s">
        <v>761</v>
      </c>
      <c r="F107" s="18" t="s">
        <v>762</v>
      </c>
      <c r="G107" s="38">
        <v>1825921</v>
      </c>
      <c r="H107" s="38">
        <v>1825921</v>
      </c>
      <c r="I107" s="8">
        <f t="shared" si="31"/>
        <v>0</v>
      </c>
      <c r="J107" s="8">
        <f t="shared" si="32"/>
        <v>0</v>
      </c>
      <c r="K107" s="11">
        <f>453239+459721</f>
        <v>912960</v>
      </c>
      <c r="L107" s="11">
        <f>+H107-K107</f>
        <v>912961</v>
      </c>
      <c r="M107" s="11"/>
      <c r="N107" s="9">
        <f t="shared" si="33"/>
        <v>0.50000027383441015</v>
      </c>
      <c r="O107" s="13"/>
      <c r="P107" s="13" t="s">
        <v>46</v>
      </c>
      <c r="Q107" s="13"/>
      <c r="R107" s="13" t="s">
        <v>31</v>
      </c>
      <c r="S107" s="72" t="s">
        <v>47</v>
      </c>
      <c r="T107" s="38">
        <f>906476+919442</f>
        <v>1825918</v>
      </c>
      <c r="U107" s="8">
        <f>+H107-T107</f>
        <v>3</v>
      </c>
      <c r="V107" s="13"/>
      <c r="W107" s="13">
        <v>0</v>
      </c>
      <c r="X107" s="13" t="s">
        <v>38</v>
      </c>
      <c r="Y107" s="13" t="s">
        <v>864</v>
      </c>
      <c r="Z107" s="13" t="s">
        <v>31</v>
      </c>
      <c r="AA107" s="72" t="s">
        <v>47</v>
      </c>
      <c r="AB107" s="38">
        <f>919442+906479</f>
        <v>1825921</v>
      </c>
      <c r="AC107" s="8">
        <f>+H107-AB107</f>
        <v>0</v>
      </c>
      <c r="AD107" s="13"/>
      <c r="AE107" s="9">
        <f>+AC107/H107</f>
        <v>0</v>
      </c>
      <c r="AF107" s="13" t="s">
        <v>38</v>
      </c>
      <c r="AG107" s="13"/>
      <c r="AH107" s="13" t="s">
        <v>31</v>
      </c>
      <c r="AI107" s="3"/>
      <c r="AJ107" s="49" t="s">
        <v>865</v>
      </c>
      <c r="AK107" s="38">
        <f>906479+919442</f>
        <v>1825921</v>
      </c>
      <c r="AL107" s="8">
        <f>+H107-AK107</f>
        <v>0</v>
      </c>
      <c r="AM107" s="13"/>
      <c r="AN107" s="13">
        <v>0</v>
      </c>
      <c r="AO107" s="13"/>
      <c r="AP107" s="13" t="s">
        <v>31</v>
      </c>
      <c r="AQ107" s="13"/>
      <c r="AR107" s="55" t="s">
        <v>866</v>
      </c>
      <c r="AS107" s="38">
        <f>906479+919442</f>
        <v>1825921</v>
      </c>
      <c r="AT107" s="8">
        <f>+H107-AS107</f>
        <v>0</v>
      </c>
      <c r="AU107" s="13"/>
      <c r="AV107" s="13">
        <v>0</v>
      </c>
      <c r="AW107" s="13"/>
      <c r="AX107" s="13" t="s">
        <v>31</v>
      </c>
      <c r="AY107" s="13"/>
      <c r="AZ107" s="79" t="s">
        <v>867</v>
      </c>
      <c r="BA107" s="38">
        <f>906479+919442</f>
        <v>1825921</v>
      </c>
      <c r="BB107" s="8">
        <f>+H107-BA107</f>
        <v>0</v>
      </c>
      <c r="BC107" s="13"/>
      <c r="BD107" s="13">
        <v>0</v>
      </c>
      <c r="BE107" s="13"/>
      <c r="BF107" s="13" t="s">
        <v>31</v>
      </c>
      <c r="BG107" s="13"/>
      <c r="BH107" s="13"/>
      <c r="BI107" s="38">
        <f>906479+919442</f>
        <v>1825921</v>
      </c>
      <c r="BJ107" s="13">
        <v>0</v>
      </c>
      <c r="BK107" s="13"/>
      <c r="BL107" s="13">
        <v>0</v>
      </c>
      <c r="BM107" s="13"/>
      <c r="BN107" s="13" t="s">
        <v>31</v>
      </c>
      <c r="BO107" s="13"/>
      <c r="BP107" s="13"/>
      <c r="BQ107" s="38">
        <f>906479+919442</f>
        <v>1825921</v>
      </c>
      <c r="BR107" s="13">
        <v>0</v>
      </c>
      <c r="BS107" s="38">
        <f>226620+229861</f>
        <v>456481</v>
      </c>
      <c r="BT107" s="9">
        <f>+BS107/BQ107</f>
        <v>0.25000041075161522</v>
      </c>
      <c r="BU107" s="13"/>
      <c r="BV107" s="13" t="s">
        <v>31</v>
      </c>
      <c r="BW107" s="13"/>
      <c r="BX107" s="13"/>
      <c r="BY107" s="38">
        <f>919442+906479</f>
        <v>1825921</v>
      </c>
      <c r="BZ107" s="13">
        <v>0</v>
      </c>
      <c r="CA107" s="13"/>
      <c r="CB107" s="13">
        <v>0</v>
      </c>
      <c r="CC107" s="13"/>
      <c r="CD107" s="13" t="s">
        <v>31</v>
      </c>
      <c r="CE107" s="13"/>
      <c r="CF107" s="13"/>
    </row>
    <row r="108" spans="1:84" x14ac:dyDescent="0.25">
      <c r="A108" s="1" t="s">
        <v>493</v>
      </c>
      <c r="B108" s="25" t="s">
        <v>763</v>
      </c>
      <c r="C108" s="23">
        <v>6764</v>
      </c>
      <c r="D108" s="21">
        <v>205843</v>
      </c>
      <c r="E108" s="17" t="s">
        <v>764</v>
      </c>
      <c r="F108" s="18" t="s">
        <v>765</v>
      </c>
      <c r="G108" s="38">
        <v>1966475</v>
      </c>
      <c r="H108" s="38">
        <v>1966475</v>
      </c>
      <c r="I108" s="8">
        <f t="shared" si="31"/>
        <v>0</v>
      </c>
      <c r="J108" s="8">
        <f t="shared" si="32"/>
        <v>0</v>
      </c>
      <c r="K108" s="11">
        <v>1966475</v>
      </c>
      <c r="L108" s="11">
        <f>+H108-K108</f>
        <v>0</v>
      </c>
      <c r="M108" s="11"/>
      <c r="N108" s="8">
        <f t="shared" si="33"/>
        <v>0</v>
      </c>
      <c r="O108" s="13"/>
      <c r="P108" s="13"/>
      <c r="Q108" s="13"/>
      <c r="R108" s="13"/>
      <c r="S108" s="3"/>
      <c r="T108" s="38">
        <v>1966475</v>
      </c>
      <c r="U108" s="8">
        <f>+H108-T108</f>
        <v>0</v>
      </c>
      <c r="V108" s="13"/>
      <c r="W108" s="13">
        <v>0</v>
      </c>
      <c r="X108" s="13"/>
      <c r="Y108" s="13"/>
      <c r="Z108" s="13"/>
      <c r="AA108" s="3"/>
      <c r="AB108" s="38">
        <v>1966475</v>
      </c>
      <c r="AC108" s="8">
        <f>+H108-AB108</f>
        <v>0</v>
      </c>
      <c r="AD108" s="13"/>
      <c r="AE108" s="13">
        <v>0</v>
      </c>
      <c r="AF108" s="13"/>
      <c r="AG108" s="13"/>
      <c r="AH108" s="13" t="s">
        <v>31</v>
      </c>
      <c r="AI108" s="3"/>
      <c r="AJ108" s="19">
        <v>1900003598</v>
      </c>
      <c r="AK108" s="13"/>
      <c r="AL108" s="13"/>
      <c r="AM108" s="13"/>
      <c r="AN108" s="13"/>
      <c r="AO108" s="13"/>
      <c r="AP108" s="13"/>
      <c r="AQ108" s="13"/>
      <c r="AR108" s="19"/>
      <c r="AS108" s="13"/>
      <c r="AT108" s="13"/>
      <c r="AU108" s="13"/>
      <c r="AV108" s="13"/>
      <c r="AW108" s="13"/>
      <c r="AX108" s="13"/>
      <c r="AY108" s="13"/>
      <c r="AZ108" s="79"/>
      <c r="BA108" s="38">
        <v>1966475</v>
      </c>
      <c r="BB108" s="13">
        <v>0</v>
      </c>
      <c r="BC108" s="13"/>
      <c r="BD108" s="13">
        <v>0</v>
      </c>
      <c r="BE108" s="13"/>
      <c r="BF108" s="13"/>
      <c r="BG108" s="13"/>
      <c r="BH108" s="13"/>
      <c r="BI108" s="38">
        <v>1966475</v>
      </c>
      <c r="BJ108" s="13">
        <v>0</v>
      </c>
      <c r="BK108" s="13"/>
      <c r="BL108" s="13">
        <v>0</v>
      </c>
      <c r="BM108" s="13"/>
      <c r="BN108" s="13"/>
      <c r="BO108" s="13"/>
      <c r="BP108" s="13"/>
      <c r="BQ108" s="38">
        <v>1966475</v>
      </c>
      <c r="BR108" s="13">
        <v>0</v>
      </c>
      <c r="BS108" s="13"/>
      <c r="BT108" s="13">
        <v>0</v>
      </c>
      <c r="BU108" s="13"/>
      <c r="BV108" s="13"/>
      <c r="BW108" s="13"/>
      <c r="BX108" s="13"/>
      <c r="BY108" s="38">
        <v>1966475</v>
      </c>
      <c r="BZ108" s="13">
        <v>0</v>
      </c>
      <c r="CA108" s="13"/>
      <c r="CB108" s="13">
        <v>0</v>
      </c>
      <c r="CC108" s="13"/>
      <c r="CD108" s="13" t="s">
        <v>31</v>
      </c>
      <c r="CE108" s="13"/>
      <c r="CF108" s="13"/>
    </row>
    <row r="109" spans="1:84" ht="15.75" x14ac:dyDescent="0.25">
      <c r="A109" s="1" t="s">
        <v>496</v>
      </c>
      <c r="B109" s="25" t="s">
        <v>766</v>
      </c>
      <c r="C109" s="23">
        <v>6766</v>
      </c>
      <c r="D109" s="21">
        <v>204600</v>
      </c>
      <c r="E109" s="17" t="s">
        <v>534</v>
      </c>
      <c r="F109" s="18" t="s">
        <v>535</v>
      </c>
      <c r="G109" s="38">
        <v>1003417</v>
      </c>
      <c r="H109" s="38">
        <v>1003417</v>
      </c>
      <c r="I109" s="8">
        <f t="shared" si="31"/>
        <v>0</v>
      </c>
      <c r="J109" s="8">
        <f t="shared" si="32"/>
        <v>0</v>
      </c>
      <c r="K109" s="11">
        <v>1003417</v>
      </c>
      <c r="L109" s="11"/>
      <c r="M109" s="11"/>
      <c r="N109" s="9"/>
      <c r="O109" s="13"/>
      <c r="P109" s="13" t="s">
        <v>38</v>
      </c>
      <c r="Q109" s="13"/>
      <c r="R109" s="13" t="s">
        <v>31</v>
      </c>
      <c r="S109" s="72" t="s">
        <v>55</v>
      </c>
      <c r="T109" s="42">
        <v>1003417</v>
      </c>
      <c r="U109" s="43">
        <f>+H109-T109</f>
        <v>0</v>
      </c>
      <c r="V109" s="13"/>
      <c r="W109" s="9">
        <f>+U109/H109</f>
        <v>0</v>
      </c>
      <c r="X109" s="13" t="s">
        <v>38</v>
      </c>
      <c r="Y109" s="13"/>
      <c r="Z109" s="13" t="s">
        <v>31</v>
      </c>
      <c r="AA109" s="75" t="s">
        <v>83</v>
      </c>
      <c r="AB109" s="38">
        <v>1003417</v>
      </c>
      <c r="AC109" s="8">
        <f>+H109-AB109</f>
        <v>0</v>
      </c>
      <c r="AD109" s="38">
        <v>802734</v>
      </c>
      <c r="AE109" s="9">
        <f>+AD109/H109</f>
        <v>0.80000039863785444</v>
      </c>
      <c r="AF109" s="13" t="s">
        <v>38</v>
      </c>
      <c r="AG109" s="13"/>
      <c r="AH109" s="13" t="s">
        <v>31</v>
      </c>
      <c r="AI109" s="3"/>
      <c r="AJ109" s="49" t="s">
        <v>868</v>
      </c>
      <c r="AK109" s="38">
        <v>1003417</v>
      </c>
      <c r="AL109" s="8">
        <f>+H109-AK109</f>
        <v>0</v>
      </c>
      <c r="AM109" s="13"/>
      <c r="AN109" s="9">
        <f>+AL109/H109</f>
        <v>0</v>
      </c>
      <c r="AO109" s="13"/>
      <c r="AP109" s="13" t="s">
        <v>31</v>
      </c>
      <c r="AQ109" s="13"/>
      <c r="AR109" s="19">
        <v>1900003801</v>
      </c>
      <c r="AS109" s="38">
        <v>1003417</v>
      </c>
      <c r="AT109" s="8">
        <f>+H109-AS109</f>
        <v>0</v>
      </c>
      <c r="AU109" s="13"/>
      <c r="AV109" s="9">
        <f>+AT109/H109</f>
        <v>0</v>
      </c>
      <c r="AW109" s="13"/>
      <c r="AX109" s="13" t="s">
        <v>31</v>
      </c>
      <c r="AY109" s="13"/>
      <c r="AZ109" s="79">
        <v>1900004224</v>
      </c>
      <c r="BA109" s="38">
        <v>1003417</v>
      </c>
      <c r="BB109" s="8">
        <f>+H109-BA109</f>
        <v>0</v>
      </c>
      <c r="BC109" s="13"/>
      <c r="BD109" s="13">
        <v>0</v>
      </c>
      <c r="BE109" s="13"/>
      <c r="BF109" s="13" t="s">
        <v>31</v>
      </c>
      <c r="BG109" s="13"/>
      <c r="BH109" s="13"/>
      <c r="BI109" s="38">
        <v>1003417</v>
      </c>
      <c r="BJ109" s="8">
        <f>+H109-BI109</f>
        <v>0</v>
      </c>
      <c r="BK109" s="13"/>
      <c r="BL109" s="13">
        <v>0</v>
      </c>
      <c r="BM109" s="13"/>
      <c r="BN109" s="13" t="s">
        <v>31</v>
      </c>
      <c r="BO109" s="13"/>
      <c r="BP109" s="13"/>
      <c r="BQ109" s="38">
        <v>1003417</v>
      </c>
      <c r="BR109" s="13">
        <v>0</v>
      </c>
      <c r="BS109" s="13"/>
      <c r="BT109" s="13">
        <v>0</v>
      </c>
      <c r="BU109" s="13"/>
      <c r="BV109" s="13" t="s">
        <v>31</v>
      </c>
      <c r="BW109" s="13"/>
      <c r="BX109" s="13"/>
      <c r="BY109" s="38">
        <v>1003417</v>
      </c>
      <c r="BZ109" s="38">
        <f>BQ109-BY109</f>
        <v>0</v>
      </c>
      <c r="CA109" s="38"/>
      <c r="CB109" s="9">
        <v>0</v>
      </c>
      <c r="CC109" s="13"/>
      <c r="CD109" s="13" t="s">
        <v>31</v>
      </c>
      <c r="CE109" s="13"/>
      <c r="CF109" s="13"/>
    </row>
    <row r="110" spans="1:84" x14ac:dyDescent="0.25">
      <c r="X110" s="13"/>
      <c r="AJ110" s="49"/>
      <c r="AR110" s="49"/>
    </row>
    <row r="118" spans="6:6" x14ac:dyDescent="0.25">
      <c r="F118" s="39"/>
    </row>
    <row r="119" spans="6:6" x14ac:dyDescent="0.25">
      <c r="F119" s="39"/>
    </row>
  </sheetData>
  <autoFilter ref="A3:CF109" xr:uid="{00000000-0009-0000-0000-000002000000}"/>
  <mergeCells count="11">
    <mergeCell ref="BY2:CF2"/>
    <mergeCell ref="BQ2:BX2"/>
    <mergeCell ref="BI2:BP2"/>
    <mergeCell ref="BA2:BH2"/>
    <mergeCell ref="AS2:AZ2"/>
    <mergeCell ref="AK2:AR2"/>
    <mergeCell ref="A2:F2"/>
    <mergeCell ref="H2:J2"/>
    <mergeCell ref="T2:Z2"/>
    <mergeCell ref="K2:R2"/>
    <mergeCell ref="AB2:AJ2"/>
  </mergeCells>
  <dataValidations count="2">
    <dataValidation type="list" allowBlank="1" showInputMessage="1" showErrorMessage="1" sqref="X96:X97 AF109 AF107 AF99:AF100 AF65 AF20:AF22 AF14 AF7 AF97 AF62 AF89 AF82 AF74 AF40 AF28 AF11 AF94 AF67 AF59 AF55 AF36 AF25:AF26 AF9 X57:X59 AF103 AF51 AF38 AF18 X90:X94 X73:X74 X99:X100 X109:X110 X7:X8 X103:X105 X12 X86 X81:X82 X64:X66 X24:X29 X52:X55 AF4:AF5 P4:P109 X20:X22 X61:X62 X14:X18 X31:X36 X38:X47 X107 X10 X76:X79 X49" xr:uid="{00000000-0002-0000-0200-000000000000}">
      <formula1>$AB$6:$AB$9</formula1>
    </dataValidation>
    <dataValidation type="list" allowBlank="1" showInputMessage="1" showErrorMessage="1" sqref="X70:X71" xr:uid="{00000000-0002-0000-0200-000001000000}">
      <formula1>#REF!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O152"/>
  <sheetViews>
    <sheetView showGridLines="0" topLeftCell="B1" workbookViewId="0">
      <selection activeCell="G3" sqref="G3"/>
    </sheetView>
  </sheetViews>
  <sheetFormatPr defaultColWidth="11.5703125" defaultRowHeight="15" x14ac:dyDescent="0.25"/>
  <cols>
    <col min="3" max="3" width="7.28515625" bestFit="1" customWidth="1"/>
    <col min="4" max="4" width="19.7109375" bestFit="1" customWidth="1"/>
    <col min="6" max="6" width="19.5703125" bestFit="1" customWidth="1"/>
    <col min="7" max="7" width="64.7109375" bestFit="1" customWidth="1"/>
    <col min="8" max="8" width="17" bestFit="1" customWidth="1"/>
    <col min="9" max="9" width="17" style="59" customWidth="1"/>
    <col min="10" max="10" width="17.42578125" bestFit="1" customWidth="1"/>
    <col min="11" max="15" width="17.42578125" customWidth="1"/>
  </cols>
  <sheetData>
    <row r="4" spans="3:15" x14ac:dyDescent="0.25">
      <c r="C4" t="s">
        <v>869</v>
      </c>
    </row>
    <row r="5" spans="3:15" x14ac:dyDescent="0.25">
      <c r="C5" s="4" t="s">
        <v>10</v>
      </c>
      <c r="D5" s="4" t="s">
        <v>11</v>
      </c>
      <c r="E5" s="4" t="s">
        <v>13</v>
      </c>
      <c r="F5" s="4" t="s">
        <v>14</v>
      </c>
      <c r="G5" s="4" t="s">
        <v>15</v>
      </c>
      <c r="H5" s="4" t="s">
        <v>870</v>
      </c>
      <c r="I5" s="4" t="s">
        <v>26</v>
      </c>
      <c r="J5" s="4" t="s">
        <v>871</v>
      </c>
      <c r="K5" s="4" t="s">
        <v>26</v>
      </c>
      <c r="L5" s="4" t="s">
        <v>872</v>
      </c>
      <c r="M5" s="4" t="s">
        <v>26</v>
      </c>
      <c r="N5" s="4" t="s">
        <v>873</v>
      </c>
      <c r="O5" s="4" t="s">
        <v>26</v>
      </c>
    </row>
    <row r="6" spans="3:15" x14ac:dyDescent="0.25">
      <c r="C6" s="1" t="s">
        <v>33</v>
      </c>
      <c r="D6" s="13" t="s">
        <v>34</v>
      </c>
      <c r="E6" s="2" t="s">
        <v>35</v>
      </c>
      <c r="F6" s="3" t="s">
        <v>874</v>
      </c>
      <c r="G6" s="3" t="s">
        <v>36</v>
      </c>
      <c r="H6" s="11" t="e">
        <f>IF(I6=0,0,#REF!)</f>
        <v>#REF!</v>
      </c>
      <c r="I6" s="2" t="e">
        <f>#REF!</f>
        <v>#REF!</v>
      </c>
      <c r="J6" s="11" t="e">
        <f>IF(K6=0,0,#REF!)</f>
        <v>#REF!</v>
      </c>
      <c r="K6" s="2" t="e">
        <f>#REF!</f>
        <v>#REF!</v>
      </c>
      <c r="L6" s="11" t="e">
        <f>IF(M6=0,0,#REF!)</f>
        <v>#REF!</v>
      </c>
      <c r="M6" s="2" t="e">
        <f>#REF!</f>
        <v>#REF!</v>
      </c>
      <c r="N6" s="13"/>
      <c r="O6" s="13"/>
    </row>
    <row r="7" spans="3:15" x14ac:dyDescent="0.25">
      <c r="C7" s="1" t="s">
        <v>39</v>
      </c>
      <c r="D7" s="13" t="s">
        <v>40</v>
      </c>
      <c r="E7" s="2">
        <v>9205</v>
      </c>
      <c r="F7" s="3">
        <v>212831</v>
      </c>
      <c r="G7" s="3" t="s">
        <v>41</v>
      </c>
      <c r="H7" s="11" t="e">
        <f>IF(I7=0,0,#REF!)</f>
        <v>#REF!</v>
      </c>
      <c r="I7" s="2" t="e">
        <f>#REF!</f>
        <v>#REF!</v>
      </c>
      <c r="J7" s="11" t="e">
        <f>IF(K7=0,0,#REF!)</f>
        <v>#REF!</v>
      </c>
      <c r="K7" s="2" t="e">
        <f>#REF!</f>
        <v>#REF!</v>
      </c>
      <c r="L7" s="11" t="e">
        <f>IF(M7=0,0,#REF!)</f>
        <v>#REF!</v>
      </c>
      <c r="M7" s="2" t="e">
        <f>#REF!</f>
        <v>#REF!</v>
      </c>
      <c r="N7" s="11"/>
      <c r="O7" s="11"/>
    </row>
    <row r="8" spans="3:15" x14ac:dyDescent="0.25">
      <c r="C8" s="1" t="s">
        <v>42</v>
      </c>
      <c r="D8" s="13" t="s">
        <v>43</v>
      </c>
      <c r="E8" s="2">
        <v>9208</v>
      </c>
      <c r="F8" s="3">
        <v>210943</v>
      </c>
      <c r="G8" s="3" t="s">
        <v>44</v>
      </c>
      <c r="H8" s="11" t="e">
        <f>IF(I8=0,0,#REF!)</f>
        <v>#REF!</v>
      </c>
      <c r="I8" s="2" t="e">
        <f>#REF!</f>
        <v>#REF!</v>
      </c>
      <c r="J8" s="11" t="e">
        <f>IF(K8=0,0,#REF!)</f>
        <v>#REF!</v>
      </c>
      <c r="K8" s="2" t="e">
        <f>#REF!</f>
        <v>#REF!</v>
      </c>
      <c r="L8" s="11" t="e">
        <f>IF(M8=0,0,#REF!)</f>
        <v>#REF!</v>
      </c>
      <c r="M8" s="2" t="e">
        <f>#REF!</f>
        <v>#REF!</v>
      </c>
      <c r="N8" s="57"/>
      <c r="O8" s="57"/>
    </row>
    <row r="9" spans="3:15" x14ac:dyDescent="0.25">
      <c r="C9" s="1" t="s">
        <v>48</v>
      </c>
      <c r="D9" s="13" t="s">
        <v>49</v>
      </c>
      <c r="E9" s="2">
        <v>9264</v>
      </c>
      <c r="F9" s="3">
        <v>238175</v>
      </c>
      <c r="G9" s="3" t="s">
        <v>50</v>
      </c>
      <c r="H9" s="11" t="e">
        <f>IF(I9=0,0,#REF!)</f>
        <v>#REF!</v>
      </c>
      <c r="I9" s="2" t="e">
        <f>#REF!</f>
        <v>#REF!</v>
      </c>
      <c r="J9" s="11" t="e">
        <f>IF(K9=0,0,#REF!)</f>
        <v>#REF!</v>
      </c>
      <c r="K9" s="2" t="e">
        <f>#REF!</f>
        <v>#REF!</v>
      </c>
      <c r="L9" s="11" t="e">
        <f>IF(M9=0,0,#REF!)</f>
        <v>#REF!</v>
      </c>
      <c r="M9" s="2" t="e">
        <f>#REF!</f>
        <v>#REF!</v>
      </c>
      <c r="N9" s="57"/>
      <c r="O9" s="57"/>
    </row>
    <row r="10" spans="3:15" x14ac:dyDescent="0.25">
      <c r="C10" s="1" t="s">
        <v>51</v>
      </c>
      <c r="D10" s="13" t="s">
        <v>52</v>
      </c>
      <c r="E10" s="2">
        <v>9355</v>
      </c>
      <c r="F10" s="3">
        <v>210421</v>
      </c>
      <c r="G10" s="3" t="s">
        <v>53</v>
      </c>
      <c r="H10" s="11" t="e">
        <f>IF(I10=0,0,#REF!)</f>
        <v>#REF!</v>
      </c>
      <c r="I10" s="2" t="e">
        <f>#REF!</f>
        <v>#REF!</v>
      </c>
      <c r="J10" s="11" t="e">
        <f>IF(K10=0,0,#REF!)</f>
        <v>#REF!</v>
      </c>
      <c r="K10" s="2" t="e">
        <f>#REF!</f>
        <v>#REF!</v>
      </c>
      <c r="L10" s="11" t="e">
        <f>IF(M10=0,0,#REF!)</f>
        <v>#REF!</v>
      </c>
      <c r="M10" s="2" t="e">
        <f>#REF!</f>
        <v>#REF!</v>
      </c>
      <c r="N10" s="11"/>
      <c r="O10" s="11"/>
    </row>
    <row r="11" spans="3:15" x14ac:dyDescent="0.25">
      <c r="C11" s="1" t="s">
        <v>51</v>
      </c>
      <c r="D11" s="13" t="s">
        <v>52</v>
      </c>
      <c r="E11" s="2">
        <v>9355</v>
      </c>
      <c r="F11" s="3">
        <v>210420</v>
      </c>
      <c r="G11" s="11" t="s">
        <v>56</v>
      </c>
      <c r="H11" s="11" t="e">
        <f>IF(I11=0,0,#REF!)</f>
        <v>#REF!</v>
      </c>
      <c r="I11" s="2" t="e">
        <f>#REF!</f>
        <v>#REF!</v>
      </c>
      <c r="J11" s="11" t="e">
        <f>IF(K11=0,0,#REF!)</f>
        <v>#REF!</v>
      </c>
      <c r="K11" s="2" t="e">
        <f>#REF!</f>
        <v>#REF!</v>
      </c>
      <c r="L11" s="11" t="e">
        <f>IF(M11=0,0,#REF!)</f>
        <v>#REF!</v>
      </c>
      <c r="M11" s="2" t="e">
        <f>#REF!</f>
        <v>#REF!</v>
      </c>
      <c r="N11" s="57"/>
      <c r="O11" s="57"/>
    </row>
    <row r="12" spans="3:15" x14ac:dyDescent="0.25">
      <c r="C12" s="1" t="s">
        <v>58</v>
      </c>
      <c r="D12" s="13" t="s">
        <v>59</v>
      </c>
      <c r="E12" s="2" t="s">
        <v>61</v>
      </c>
      <c r="F12" s="3">
        <v>230440</v>
      </c>
      <c r="G12" s="11" t="s">
        <v>62</v>
      </c>
      <c r="H12" s="11" t="e">
        <f>IF(I12=0,0,#REF!)</f>
        <v>#REF!</v>
      </c>
      <c r="I12" s="2" t="e">
        <f>#REF!</f>
        <v>#REF!</v>
      </c>
      <c r="J12" s="11" t="e">
        <f>IF(K12=0,0,#REF!)</f>
        <v>#REF!</v>
      </c>
      <c r="K12" s="2" t="e">
        <f>#REF!</f>
        <v>#REF!</v>
      </c>
      <c r="L12" s="11" t="e">
        <f>IF(M12=0,0,#REF!)</f>
        <v>#REF!</v>
      </c>
      <c r="M12" s="2" t="e">
        <f>#REF!</f>
        <v>#REF!</v>
      </c>
      <c r="N12" s="57"/>
      <c r="O12" s="57"/>
    </row>
    <row r="13" spans="3:15" x14ac:dyDescent="0.25">
      <c r="C13" s="1" t="s">
        <v>58</v>
      </c>
      <c r="D13" s="13" t="s">
        <v>59</v>
      </c>
      <c r="E13" s="2">
        <v>9596</v>
      </c>
      <c r="F13" s="3">
        <v>230440</v>
      </c>
      <c r="G13" s="3" t="s">
        <v>63</v>
      </c>
      <c r="H13" s="11" t="e">
        <f>IF(I13=0,0,#REF!)</f>
        <v>#REF!</v>
      </c>
      <c r="I13" s="2" t="e">
        <f>#REF!</f>
        <v>#REF!</v>
      </c>
      <c r="J13" s="11" t="e">
        <f>IF(K13=0,0,#REF!)</f>
        <v>#REF!</v>
      </c>
      <c r="K13" s="2" t="e">
        <f>#REF!</f>
        <v>#REF!</v>
      </c>
      <c r="L13" s="11" t="e">
        <f>IF(M13=0,0,#REF!)</f>
        <v>#REF!</v>
      </c>
      <c r="M13" s="2" t="e">
        <f>#REF!</f>
        <v>#REF!</v>
      </c>
      <c r="N13" s="57"/>
      <c r="O13" s="57"/>
    </row>
    <row r="14" spans="3:15" x14ac:dyDescent="0.25">
      <c r="C14" s="1" t="s">
        <v>64</v>
      </c>
      <c r="D14" s="13" t="s">
        <v>65</v>
      </c>
      <c r="E14" s="2" t="s">
        <v>67</v>
      </c>
      <c r="F14" s="3" t="s">
        <v>68</v>
      </c>
      <c r="G14" s="3" t="s">
        <v>69</v>
      </c>
      <c r="H14" s="11" t="e">
        <f>IF(I14=0,0,#REF!)</f>
        <v>#REF!</v>
      </c>
      <c r="I14" s="2" t="e">
        <f>#REF!</f>
        <v>#REF!</v>
      </c>
      <c r="J14" s="11" t="e">
        <f>IF(K14=0,0,#REF!)</f>
        <v>#REF!</v>
      </c>
      <c r="K14" s="2" t="e">
        <f>#REF!</f>
        <v>#REF!</v>
      </c>
      <c r="L14" s="11" t="e">
        <f>IF(M14=0,0,#REF!)</f>
        <v>#REF!</v>
      </c>
      <c r="M14" s="2" t="e">
        <f>#REF!</f>
        <v>#REF!</v>
      </c>
      <c r="N14" s="57"/>
      <c r="O14" s="57"/>
    </row>
    <row r="15" spans="3:15" x14ac:dyDescent="0.25">
      <c r="C15" s="1" t="s">
        <v>71</v>
      </c>
      <c r="D15" s="13" t="s">
        <v>72</v>
      </c>
      <c r="E15" s="2">
        <v>9058</v>
      </c>
      <c r="F15" s="3">
        <v>209631</v>
      </c>
      <c r="G15" s="3" t="s">
        <v>73</v>
      </c>
      <c r="H15" s="11" t="e">
        <f>IF(I15=0,0,#REF!)</f>
        <v>#REF!</v>
      </c>
      <c r="I15" s="2" t="e">
        <f>#REF!</f>
        <v>#REF!</v>
      </c>
      <c r="J15" s="11" t="e">
        <f>IF(K15=0,0,#REF!)</f>
        <v>#REF!</v>
      </c>
      <c r="K15" s="2" t="e">
        <f>#REF!</f>
        <v>#REF!</v>
      </c>
      <c r="L15" s="11" t="e">
        <f>IF(M15=0,0,#REF!)</f>
        <v>#REF!</v>
      </c>
      <c r="M15" s="2" t="e">
        <f>#REF!</f>
        <v>#REF!</v>
      </c>
      <c r="N15" s="57"/>
      <c r="O15" s="57"/>
    </row>
    <row r="16" spans="3:15" x14ac:dyDescent="0.25">
      <c r="C16" s="1" t="s">
        <v>75</v>
      </c>
      <c r="D16" s="13" t="s">
        <v>76</v>
      </c>
      <c r="E16" s="2">
        <v>9104</v>
      </c>
      <c r="F16" s="3">
        <v>210118</v>
      </c>
      <c r="G16" s="3" t="s">
        <v>77</v>
      </c>
      <c r="H16" s="11" t="e">
        <f>IF(I16=0,0,#REF!)</f>
        <v>#REF!</v>
      </c>
      <c r="I16" s="2" t="e">
        <f>#REF!</f>
        <v>#REF!</v>
      </c>
      <c r="J16" s="11" t="e">
        <f>IF(K16=0,0,#REF!)</f>
        <v>#REF!</v>
      </c>
      <c r="K16" s="2" t="e">
        <f>#REF!</f>
        <v>#REF!</v>
      </c>
      <c r="L16" s="11" t="e">
        <f>IF(M16=0,0,#REF!)</f>
        <v>#REF!</v>
      </c>
      <c r="M16" s="2" t="e">
        <f>#REF!</f>
        <v>#REF!</v>
      </c>
      <c r="N16" s="57"/>
      <c r="O16" s="57"/>
    </row>
    <row r="17" spans="3:15" x14ac:dyDescent="0.25">
      <c r="C17" s="1" t="s">
        <v>79</v>
      </c>
      <c r="D17" s="13" t="s">
        <v>80</v>
      </c>
      <c r="E17" s="2">
        <v>9177</v>
      </c>
      <c r="F17" s="3">
        <v>210301</v>
      </c>
      <c r="G17" s="3" t="s">
        <v>81</v>
      </c>
      <c r="H17" s="11" t="e">
        <f>IF(I17=0,0,#REF!)</f>
        <v>#REF!</v>
      </c>
      <c r="I17" s="2" t="e">
        <f>#REF!</f>
        <v>#REF!</v>
      </c>
      <c r="J17" s="11" t="e">
        <f>IF(K17=0,0,#REF!)</f>
        <v>#REF!</v>
      </c>
      <c r="K17" s="2" t="e">
        <f>#REF!</f>
        <v>#REF!</v>
      </c>
      <c r="L17" s="11" t="e">
        <f>IF(M17=0,0,#REF!)</f>
        <v>#REF!</v>
      </c>
      <c r="M17" s="2" t="e">
        <f>#REF!</f>
        <v>#REF!</v>
      </c>
      <c r="N17" s="57"/>
      <c r="O17" s="57"/>
    </row>
    <row r="18" spans="3:15" x14ac:dyDescent="0.25">
      <c r="C18" s="1" t="s">
        <v>84</v>
      </c>
      <c r="D18" s="13" t="s">
        <v>85</v>
      </c>
      <c r="E18" s="2">
        <v>9302</v>
      </c>
      <c r="F18" s="3">
        <v>211510</v>
      </c>
      <c r="G18" s="3" t="s">
        <v>86</v>
      </c>
      <c r="H18" s="11" t="e">
        <f>IF(I18=0,0,#REF!)</f>
        <v>#REF!</v>
      </c>
      <c r="I18" s="2" t="e">
        <f>#REF!</f>
        <v>#REF!</v>
      </c>
      <c r="J18" s="11" t="e">
        <f>IF(K18=0,0,#REF!)</f>
        <v>#REF!</v>
      </c>
      <c r="K18" s="2" t="e">
        <f>#REF!</f>
        <v>#REF!</v>
      </c>
      <c r="L18" s="11" t="e">
        <f>IF(M18=0,0,#REF!)</f>
        <v>#REF!</v>
      </c>
      <c r="M18" s="2" t="e">
        <f>#REF!</f>
        <v>#REF!</v>
      </c>
      <c r="N18" s="57"/>
      <c r="O18" s="57"/>
    </row>
    <row r="19" spans="3:15" x14ac:dyDescent="0.25">
      <c r="C19" s="1" t="s">
        <v>88</v>
      </c>
      <c r="D19" s="13" t="s">
        <v>89</v>
      </c>
      <c r="E19" s="2">
        <v>9304</v>
      </c>
      <c r="F19" s="3">
        <v>217751</v>
      </c>
      <c r="G19" s="3" t="s">
        <v>90</v>
      </c>
      <c r="H19" s="11" t="e">
        <f>IF(I19=0,0,#REF!)</f>
        <v>#REF!</v>
      </c>
      <c r="I19" s="2" t="e">
        <f>#REF!</f>
        <v>#REF!</v>
      </c>
      <c r="J19" s="11" t="e">
        <f>IF(K19=0,0,#REF!)</f>
        <v>#REF!</v>
      </c>
      <c r="K19" s="2" t="e">
        <f>#REF!</f>
        <v>#REF!</v>
      </c>
      <c r="L19" s="11" t="e">
        <f>IF(M19=0,0,#REF!)</f>
        <v>#REF!</v>
      </c>
      <c r="M19" s="2" t="e">
        <f>#REF!</f>
        <v>#REF!</v>
      </c>
      <c r="N19" s="57"/>
      <c r="O19" s="57"/>
    </row>
    <row r="20" spans="3:15" x14ac:dyDescent="0.25">
      <c r="C20" s="1" t="s">
        <v>91</v>
      </c>
      <c r="D20" s="13" t="s">
        <v>92</v>
      </c>
      <c r="E20" s="2">
        <v>6640</v>
      </c>
      <c r="F20" s="3">
        <v>204900</v>
      </c>
      <c r="G20" s="3" t="s">
        <v>94</v>
      </c>
      <c r="H20" s="11" t="e">
        <f>IF(I20=0,0,#REF!)</f>
        <v>#REF!</v>
      </c>
      <c r="I20" s="2" t="e">
        <f>#REF!</f>
        <v>#REF!</v>
      </c>
      <c r="J20" s="11" t="e">
        <f>IF(K20=0,0,#REF!)</f>
        <v>#REF!</v>
      </c>
      <c r="K20" s="2" t="e">
        <f>#REF!</f>
        <v>#REF!</v>
      </c>
      <c r="L20" s="11" t="e">
        <f>IF(M20=0,0,#REF!)</f>
        <v>#REF!</v>
      </c>
      <c r="M20" s="2" t="e">
        <f>#REF!</f>
        <v>#REF!</v>
      </c>
      <c r="N20" s="57"/>
      <c r="O20" s="57"/>
    </row>
    <row r="21" spans="3:15" x14ac:dyDescent="0.25">
      <c r="C21" s="1" t="s">
        <v>96</v>
      </c>
      <c r="D21" s="13" t="s">
        <v>97</v>
      </c>
      <c r="E21" s="2">
        <v>9303</v>
      </c>
      <c r="F21" s="3">
        <v>238175</v>
      </c>
      <c r="G21" s="3" t="s">
        <v>98</v>
      </c>
      <c r="H21" s="11" t="e">
        <f>IF(I21=0,0,#REF!)</f>
        <v>#REF!</v>
      </c>
      <c r="I21" s="2" t="e">
        <f>#REF!</f>
        <v>#REF!</v>
      </c>
      <c r="J21" s="11" t="e">
        <f>IF(K21=0,0,#REF!)</f>
        <v>#REF!</v>
      </c>
      <c r="K21" s="2" t="e">
        <f>#REF!</f>
        <v>#REF!</v>
      </c>
      <c r="L21" s="11" t="e">
        <f>IF(M21=0,0,#REF!)</f>
        <v>#REF!</v>
      </c>
      <c r="M21" s="2" t="e">
        <f>#REF!</f>
        <v>#REF!</v>
      </c>
      <c r="N21" s="57"/>
      <c r="O21" s="57"/>
    </row>
    <row r="22" spans="3:15" x14ac:dyDescent="0.25">
      <c r="C22" s="1" t="s">
        <v>99</v>
      </c>
      <c r="D22" s="13" t="s">
        <v>100</v>
      </c>
      <c r="E22" s="2">
        <v>9301</v>
      </c>
      <c r="F22" s="3">
        <v>205547</v>
      </c>
      <c r="G22" s="3" t="s">
        <v>101</v>
      </c>
      <c r="H22" s="11" t="e">
        <f>IF(I22=0,0,#REF!)</f>
        <v>#REF!</v>
      </c>
      <c r="I22" s="2" t="e">
        <f>#REF!</f>
        <v>#REF!</v>
      </c>
      <c r="J22" s="11" t="e">
        <f>IF(K22=0,0,#REF!)</f>
        <v>#REF!</v>
      </c>
      <c r="K22" s="2" t="e">
        <f>#REF!</f>
        <v>#REF!</v>
      </c>
      <c r="L22" s="11" t="e">
        <f>IF(M22=0,0,#REF!)</f>
        <v>#REF!</v>
      </c>
      <c r="M22" s="2" t="e">
        <f>#REF!</f>
        <v>#REF!</v>
      </c>
      <c r="N22" s="57"/>
      <c r="O22" s="57"/>
    </row>
    <row r="23" spans="3:15" x14ac:dyDescent="0.25">
      <c r="C23" s="1" t="s">
        <v>102</v>
      </c>
      <c r="D23" s="13" t="s">
        <v>103</v>
      </c>
      <c r="E23" s="2">
        <v>9305</v>
      </c>
      <c r="F23" s="3">
        <v>214089</v>
      </c>
      <c r="G23" s="3" t="s">
        <v>104</v>
      </c>
      <c r="H23" s="11" t="e">
        <f>IF(I23=0,0,#REF!)</f>
        <v>#REF!</v>
      </c>
      <c r="I23" s="2" t="e">
        <f>#REF!</f>
        <v>#REF!</v>
      </c>
      <c r="J23" s="11" t="e">
        <f>IF(K23=0,0,#REF!)</f>
        <v>#REF!</v>
      </c>
      <c r="K23" s="2" t="e">
        <f>#REF!</f>
        <v>#REF!</v>
      </c>
      <c r="L23" s="11" t="e">
        <f>IF(M23=0,0,#REF!)</f>
        <v>#REF!</v>
      </c>
      <c r="M23" s="2" t="e">
        <f>#REF!</f>
        <v>#REF!</v>
      </c>
      <c r="N23" s="57"/>
      <c r="O23" s="57"/>
    </row>
    <row r="24" spans="3:15" x14ac:dyDescent="0.25">
      <c r="C24" s="1" t="s">
        <v>107</v>
      </c>
      <c r="D24" s="13" t="s">
        <v>108</v>
      </c>
      <c r="E24" s="2" t="s">
        <v>61</v>
      </c>
      <c r="F24" s="3">
        <v>208094</v>
      </c>
      <c r="G24" s="3" t="s">
        <v>109</v>
      </c>
      <c r="H24" s="11" t="e">
        <f>IF(I24=0,0,#REF!)</f>
        <v>#REF!</v>
      </c>
      <c r="I24" s="2" t="e">
        <f>#REF!</f>
        <v>#REF!</v>
      </c>
      <c r="J24" s="11" t="e">
        <f>IF(K24=0,0,#REF!)</f>
        <v>#REF!</v>
      </c>
      <c r="K24" s="2" t="e">
        <f>#REF!</f>
        <v>#REF!</v>
      </c>
      <c r="L24" s="11" t="e">
        <f>IF(M24=0,0,#REF!)</f>
        <v>#REF!</v>
      </c>
      <c r="M24" s="2" t="e">
        <f>#REF!</f>
        <v>#REF!</v>
      </c>
      <c r="N24" s="57"/>
      <c r="O24" s="57"/>
    </row>
    <row r="25" spans="3:15" x14ac:dyDescent="0.25">
      <c r="C25" s="1" t="s">
        <v>107</v>
      </c>
      <c r="D25" s="13" t="s">
        <v>108</v>
      </c>
      <c r="E25" s="2">
        <v>6553</v>
      </c>
      <c r="F25" s="3">
        <v>208094</v>
      </c>
      <c r="G25" s="3" t="s">
        <v>110</v>
      </c>
      <c r="H25" s="11" t="e">
        <f>IF(I25=0,0,#REF!)</f>
        <v>#REF!</v>
      </c>
      <c r="I25" s="2" t="e">
        <f>#REF!</f>
        <v>#REF!</v>
      </c>
      <c r="J25" s="11" t="e">
        <f>IF(K25=0,0,#REF!)</f>
        <v>#REF!</v>
      </c>
      <c r="K25" s="2" t="e">
        <f>#REF!</f>
        <v>#REF!</v>
      </c>
      <c r="L25" s="11" t="e">
        <f>IF(M25=0,0,#REF!)</f>
        <v>#REF!</v>
      </c>
      <c r="M25" s="2" t="e">
        <f>#REF!</f>
        <v>#REF!</v>
      </c>
      <c r="N25" s="57"/>
      <c r="O25" s="57"/>
    </row>
    <row r="26" spans="3:15" x14ac:dyDescent="0.25">
      <c r="C26" s="1" t="s">
        <v>111</v>
      </c>
      <c r="D26" s="13" t="s">
        <v>112</v>
      </c>
      <c r="E26" s="2">
        <v>6554</v>
      </c>
      <c r="F26" s="3">
        <v>204532</v>
      </c>
      <c r="G26" s="3" t="s">
        <v>875</v>
      </c>
      <c r="H26" s="11" t="e">
        <f>IF(I26=0,0,#REF!)</f>
        <v>#REF!</v>
      </c>
      <c r="I26" s="2" t="e">
        <f>#REF!</f>
        <v>#REF!</v>
      </c>
      <c r="J26" s="11" t="e">
        <f>IF(K26=0,0,#REF!)</f>
        <v>#REF!</v>
      </c>
      <c r="K26" s="2" t="e">
        <f>#REF!</f>
        <v>#REF!</v>
      </c>
      <c r="L26" s="11" t="e">
        <f>IF(M26=0,0,#REF!)</f>
        <v>#REF!</v>
      </c>
      <c r="M26" s="2" t="e">
        <f>#REF!</f>
        <v>#REF!</v>
      </c>
      <c r="N26" s="57"/>
      <c r="O26" s="57"/>
    </row>
    <row r="27" spans="3:15" x14ac:dyDescent="0.25">
      <c r="C27" s="1" t="s">
        <v>117</v>
      </c>
      <c r="D27" s="13" t="s">
        <v>118</v>
      </c>
      <c r="E27" s="2">
        <v>6556</v>
      </c>
      <c r="F27" s="3">
        <v>204535</v>
      </c>
      <c r="G27" s="3" t="s">
        <v>120</v>
      </c>
      <c r="H27" s="11" t="e">
        <f>IF(I27=0,0,#REF!)</f>
        <v>#REF!</v>
      </c>
      <c r="I27" s="2" t="e">
        <f>#REF!</f>
        <v>#REF!</v>
      </c>
      <c r="J27" s="11" t="e">
        <f>IF(K27=0,0,#REF!)</f>
        <v>#REF!</v>
      </c>
      <c r="K27" s="2" t="e">
        <f>#REF!</f>
        <v>#REF!</v>
      </c>
      <c r="L27" s="11" t="e">
        <f>IF(M27=0,0,#REF!)</f>
        <v>#REF!</v>
      </c>
      <c r="M27" s="2" t="e">
        <f>#REF!</f>
        <v>#REF!</v>
      </c>
      <c r="N27" s="57"/>
      <c r="O27" s="57"/>
    </row>
    <row r="28" spans="3:15" x14ac:dyDescent="0.25">
      <c r="C28" s="1" t="s">
        <v>123</v>
      </c>
      <c r="D28" s="13" t="s">
        <v>124</v>
      </c>
      <c r="E28" s="2">
        <v>6561</v>
      </c>
      <c r="F28" s="3">
        <v>205635</v>
      </c>
      <c r="G28" s="3" t="s">
        <v>125</v>
      </c>
      <c r="H28" s="11" t="e">
        <f>IF(I28=0,0,#REF!)</f>
        <v>#REF!</v>
      </c>
      <c r="I28" s="2" t="e">
        <f>#REF!</f>
        <v>#REF!</v>
      </c>
      <c r="J28" s="11" t="e">
        <f>IF(K28=0,0,#REF!)</f>
        <v>#REF!</v>
      </c>
      <c r="K28" s="2" t="e">
        <f>#REF!</f>
        <v>#REF!</v>
      </c>
      <c r="L28" s="11" t="e">
        <f>IF(M28=0,0,#REF!)</f>
        <v>#REF!</v>
      </c>
      <c r="M28" s="2" t="e">
        <f>#REF!</f>
        <v>#REF!</v>
      </c>
      <c r="N28" s="57"/>
      <c r="O28" s="57"/>
    </row>
    <row r="29" spans="3:15" x14ac:dyDescent="0.25">
      <c r="C29" s="1" t="s">
        <v>127</v>
      </c>
      <c r="D29" s="13" t="s">
        <v>128</v>
      </c>
      <c r="E29" s="2">
        <v>6563</v>
      </c>
      <c r="F29" s="3">
        <v>208501</v>
      </c>
      <c r="G29" s="3" t="s">
        <v>129</v>
      </c>
      <c r="H29" s="11" t="e">
        <f>IF(I29=0,0,#REF!)</f>
        <v>#REF!</v>
      </c>
      <c r="I29" s="2" t="e">
        <f>#REF!</f>
        <v>#REF!</v>
      </c>
      <c r="J29" s="11" t="e">
        <f>IF(K29=0,0,#REF!)</f>
        <v>#REF!</v>
      </c>
      <c r="K29" s="2" t="e">
        <f>#REF!</f>
        <v>#REF!</v>
      </c>
      <c r="L29" s="11" t="e">
        <f>IF(M29=0,0,#REF!)</f>
        <v>#REF!</v>
      </c>
      <c r="M29" s="2" t="e">
        <f>#REF!</f>
        <v>#REF!</v>
      </c>
      <c r="N29" s="57"/>
      <c r="O29" s="57"/>
    </row>
    <row r="30" spans="3:15" x14ac:dyDescent="0.25">
      <c r="C30" s="1" t="s">
        <v>132</v>
      </c>
      <c r="D30" s="13" t="s">
        <v>133</v>
      </c>
      <c r="E30" s="2">
        <v>6564</v>
      </c>
      <c r="F30" s="3">
        <v>204623</v>
      </c>
      <c r="G30" s="3" t="s">
        <v>134</v>
      </c>
      <c r="H30" s="11" t="e">
        <f>IF(I30=0,0,#REF!)</f>
        <v>#REF!</v>
      </c>
      <c r="I30" s="2" t="e">
        <f>#REF!</f>
        <v>#REF!</v>
      </c>
      <c r="J30" s="11" t="e">
        <f>IF(K30=0,0,#REF!)</f>
        <v>#REF!</v>
      </c>
      <c r="K30" s="2" t="e">
        <f>#REF!</f>
        <v>#REF!</v>
      </c>
      <c r="L30" s="11" t="e">
        <f>IF(M30=0,0,#REF!)</f>
        <v>#REF!</v>
      </c>
      <c r="M30" s="2" t="e">
        <f>#REF!</f>
        <v>#REF!</v>
      </c>
      <c r="N30" s="57"/>
      <c r="O30" s="57"/>
    </row>
    <row r="31" spans="3:15" x14ac:dyDescent="0.25">
      <c r="C31" s="1" t="s">
        <v>136</v>
      </c>
      <c r="D31" s="13" t="s">
        <v>137</v>
      </c>
      <c r="E31" s="2">
        <v>6568</v>
      </c>
      <c r="F31" s="3">
        <v>209683</v>
      </c>
      <c r="G31" s="3" t="s">
        <v>138</v>
      </c>
      <c r="H31" s="11" t="e">
        <f>IF(I31=0,0,#REF!)</f>
        <v>#REF!</v>
      </c>
      <c r="I31" s="2" t="e">
        <f>#REF!</f>
        <v>#REF!</v>
      </c>
      <c r="J31" s="11" t="e">
        <f>IF(K31=0,0,#REF!)</f>
        <v>#REF!</v>
      </c>
      <c r="K31" s="2" t="e">
        <f>#REF!</f>
        <v>#REF!</v>
      </c>
      <c r="L31" s="11" t="e">
        <f>IF(M31=0,0,#REF!)</f>
        <v>#REF!</v>
      </c>
      <c r="M31" s="2" t="e">
        <f>#REF!</f>
        <v>#REF!</v>
      </c>
      <c r="N31" s="57"/>
      <c r="O31" s="57"/>
    </row>
    <row r="32" spans="3:15" x14ac:dyDescent="0.25">
      <c r="C32" s="1" t="s">
        <v>140</v>
      </c>
      <c r="D32" s="13" t="s">
        <v>141</v>
      </c>
      <c r="E32" s="2" t="s">
        <v>61</v>
      </c>
      <c r="F32" s="3" t="s">
        <v>876</v>
      </c>
      <c r="G32" s="3" t="s">
        <v>143</v>
      </c>
      <c r="H32" s="11" t="e">
        <f>IF(I32=0,0,#REF!)</f>
        <v>#REF!</v>
      </c>
      <c r="I32" s="2" t="e">
        <f>#REF!</f>
        <v>#REF!</v>
      </c>
      <c r="J32" s="11" t="e">
        <f>IF(K32=0,0,#REF!)</f>
        <v>#REF!</v>
      </c>
      <c r="K32" s="2" t="e">
        <f>#REF!</f>
        <v>#REF!</v>
      </c>
      <c r="L32" s="11" t="e">
        <f>IF(M32=0,0,#REF!)</f>
        <v>#REF!</v>
      </c>
      <c r="M32" s="2" t="e">
        <f>#REF!</f>
        <v>#REF!</v>
      </c>
      <c r="N32" s="57"/>
      <c r="O32" s="57"/>
    </row>
    <row r="33" spans="3:15" x14ac:dyDescent="0.25">
      <c r="C33" s="1" t="s">
        <v>140</v>
      </c>
      <c r="D33" s="13" t="s">
        <v>141</v>
      </c>
      <c r="E33" s="2">
        <v>6767</v>
      </c>
      <c r="F33" s="3" t="s">
        <v>876</v>
      </c>
      <c r="G33" s="3" t="s">
        <v>877</v>
      </c>
      <c r="H33" s="11" t="e">
        <f>IF(I33=0,0,#REF!)</f>
        <v>#REF!</v>
      </c>
      <c r="I33" s="2" t="e">
        <f>#REF!</f>
        <v>#REF!</v>
      </c>
      <c r="J33" s="11" t="e">
        <f>IF(K33=0,0,#REF!)</f>
        <v>#REF!</v>
      </c>
      <c r="K33" s="2" t="e">
        <f>#REF!</f>
        <v>#REF!</v>
      </c>
      <c r="L33" s="11" t="e">
        <f>IF(M33=0,0,#REF!)</f>
        <v>#REF!</v>
      </c>
      <c r="M33" s="2" t="e">
        <f>#REF!</f>
        <v>#REF!</v>
      </c>
      <c r="N33" s="57"/>
      <c r="O33" s="57"/>
    </row>
    <row r="34" spans="3:15" x14ac:dyDescent="0.25">
      <c r="C34" s="1" t="s">
        <v>147</v>
      </c>
      <c r="D34" s="13" t="s">
        <v>148</v>
      </c>
      <c r="E34" s="2">
        <v>6776</v>
      </c>
      <c r="F34" s="3">
        <v>204970</v>
      </c>
      <c r="G34" s="3" t="s">
        <v>150</v>
      </c>
      <c r="H34" s="11" t="e">
        <f>IF(I34=0,0,#REF!)</f>
        <v>#REF!</v>
      </c>
      <c r="I34" s="2" t="e">
        <f>#REF!</f>
        <v>#REF!</v>
      </c>
      <c r="J34" s="11" t="e">
        <f>IF(K34=0,0,#REF!)</f>
        <v>#REF!</v>
      </c>
      <c r="K34" s="2" t="e">
        <f>#REF!</f>
        <v>#REF!</v>
      </c>
      <c r="L34" s="11" t="e">
        <f>IF(M34=0,0,#REF!)</f>
        <v>#REF!</v>
      </c>
      <c r="M34" s="2" t="e">
        <f>#REF!</f>
        <v>#REF!</v>
      </c>
      <c r="N34" s="57"/>
      <c r="O34" s="57"/>
    </row>
    <row r="35" spans="3:15" x14ac:dyDescent="0.25">
      <c r="C35" s="1" t="s">
        <v>152</v>
      </c>
      <c r="D35" s="13" t="s">
        <v>153</v>
      </c>
      <c r="E35" s="2">
        <v>8580</v>
      </c>
      <c r="F35" s="3">
        <v>205547</v>
      </c>
      <c r="G35" s="3" t="s">
        <v>154</v>
      </c>
      <c r="H35" s="11" t="e">
        <f>IF(I35=0,0,#REF!)</f>
        <v>#REF!</v>
      </c>
      <c r="I35" s="2" t="e">
        <f>#REF!</f>
        <v>#REF!</v>
      </c>
      <c r="J35" s="11" t="e">
        <f>IF(K35=0,0,#REF!)</f>
        <v>#REF!</v>
      </c>
      <c r="K35" s="2" t="e">
        <f>#REF!</f>
        <v>#REF!</v>
      </c>
      <c r="L35" s="11" t="e">
        <f>IF(M35=0,0,#REF!)</f>
        <v>#REF!</v>
      </c>
      <c r="M35" s="2" t="e">
        <f>#REF!</f>
        <v>#REF!</v>
      </c>
      <c r="N35" s="57"/>
      <c r="O35" s="57"/>
    </row>
    <row r="36" spans="3:15" x14ac:dyDescent="0.25">
      <c r="C36" s="1" t="s">
        <v>156</v>
      </c>
      <c r="D36" s="13" t="s">
        <v>157</v>
      </c>
      <c r="E36" s="2">
        <v>8581</v>
      </c>
      <c r="F36" s="3">
        <v>204996</v>
      </c>
      <c r="G36" s="3" t="s">
        <v>159</v>
      </c>
      <c r="H36" s="11" t="e">
        <f>IF(I36=0,0,#REF!)</f>
        <v>#REF!</v>
      </c>
      <c r="I36" s="2" t="e">
        <f>#REF!</f>
        <v>#REF!</v>
      </c>
      <c r="J36" s="11" t="e">
        <f>IF(K36=0,0,#REF!)</f>
        <v>#REF!</v>
      </c>
      <c r="K36" s="2" t="e">
        <f>#REF!</f>
        <v>#REF!</v>
      </c>
      <c r="L36" s="11" t="e">
        <f>IF(M36=0,0,#REF!)</f>
        <v>#REF!</v>
      </c>
      <c r="M36" s="2" t="e">
        <f>#REF!</f>
        <v>#REF!</v>
      </c>
      <c r="N36" s="57"/>
      <c r="O36" s="57"/>
    </row>
    <row r="37" spans="3:15" x14ac:dyDescent="0.25">
      <c r="C37" s="1" t="s">
        <v>161</v>
      </c>
      <c r="D37" s="13" t="s">
        <v>162</v>
      </c>
      <c r="E37" s="2">
        <v>8582</v>
      </c>
      <c r="F37" s="3">
        <v>205022</v>
      </c>
      <c r="G37" s="3" t="s">
        <v>164</v>
      </c>
      <c r="H37" s="11" t="e">
        <f>IF(I37=0,0,#REF!)</f>
        <v>#REF!</v>
      </c>
      <c r="I37" s="2" t="e">
        <f>#REF!</f>
        <v>#REF!</v>
      </c>
      <c r="J37" s="11" t="e">
        <f>IF(K37=0,0,#REF!)</f>
        <v>#REF!</v>
      </c>
      <c r="K37" s="2" t="e">
        <f>#REF!</f>
        <v>#REF!</v>
      </c>
      <c r="L37" s="11" t="e">
        <f>IF(M37=0,0,#REF!)</f>
        <v>#REF!</v>
      </c>
      <c r="M37" s="2" t="e">
        <f>#REF!</f>
        <v>#REF!</v>
      </c>
      <c r="N37" s="57"/>
      <c r="O37" s="57"/>
    </row>
    <row r="38" spans="3:15" x14ac:dyDescent="0.25">
      <c r="C38" s="1" t="s">
        <v>166</v>
      </c>
      <c r="D38" s="13" t="s">
        <v>167</v>
      </c>
      <c r="E38" s="2" t="s">
        <v>61</v>
      </c>
      <c r="F38" s="3">
        <v>206169</v>
      </c>
      <c r="G38" s="3" t="s">
        <v>169</v>
      </c>
      <c r="H38" s="11" t="e">
        <f>IF(I38=0,0,#REF!)</f>
        <v>#REF!</v>
      </c>
      <c r="I38" s="2" t="e">
        <f>#REF!</f>
        <v>#REF!</v>
      </c>
      <c r="J38" s="11" t="e">
        <f>IF(K38=0,0,#REF!)</f>
        <v>#REF!</v>
      </c>
      <c r="K38" s="2" t="e">
        <f>#REF!</f>
        <v>#REF!</v>
      </c>
      <c r="L38" s="11" t="e">
        <f>IF(M38=0,0,#REF!)</f>
        <v>#REF!</v>
      </c>
      <c r="M38" s="2" t="e">
        <f>#REF!</f>
        <v>#REF!</v>
      </c>
      <c r="N38" s="57"/>
      <c r="O38" s="57"/>
    </row>
    <row r="39" spans="3:15" x14ac:dyDescent="0.25">
      <c r="C39" s="1" t="s">
        <v>166</v>
      </c>
      <c r="D39" s="13" t="s">
        <v>167</v>
      </c>
      <c r="E39" s="2">
        <v>8583</v>
      </c>
      <c r="F39" s="3">
        <v>206169</v>
      </c>
      <c r="G39" s="3" t="s">
        <v>171</v>
      </c>
      <c r="H39" s="11" t="e">
        <f>IF(I39=0,0,#REF!)</f>
        <v>#REF!</v>
      </c>
      <c r="I39" s="2" t="e">
        <f>#REF!</f>
        <v>#REF!</v>
      </c>
      <c r="J39" s="11" t="e">
        <f>IF(K39=0,0,#REF!)</f>
        <v>#REF!</v>
      </c>
      <c r="K39" s="2" t="e">
        <f>#REF!</f>
        <v>#REF!</v>
      </c>
      <c r="L39" s="11" t="e">
        <f>IF(M39=0,0,#REF!)</f>
        <v>#REF!</v>
      </c>
      <c r="M39" s="2" t="e">
        <f>#REF!</f>
        <v>#REF!</v>
      </c>
      <c r="N39" s="57"/>
      <c r="O39" s="57"/>
    </row>
    <row r="40" spans="3:15" x14ac:dyDescent="0.25">
      <c r="C40" s="1" t="s">
        <v>172</v>
      </c>
      <c r="D40" s="13" t="s">
        <v>173</v>
      </c>
      <c r="E40" s="2" t="s">
        <v>61</v>
      </c>
      <c r="F40" s="3">
        <v>205547</v>
      </c>
      <c r="G40" s="3" t="s">
        <v>175</v>
      </c>
      <c r="H40" s="11" t="e">
        <f>IF(I40=0,0,#REF!)</f>
        <v>#REF!</v>
      </c>
      <c r="I40" s="2" t="e">
        <f>#REF!</f>
        <v>#REF!</v>
      </c>
      <c r="J40" s="11" t="e">
        <f>IF(K40=0,0,#REF!)</f>
        <v>#REF!</v>
      </c>
      <c r="K40" s="2" t="e">
        <f>#REF!</f>
        <v>#REF!</v>
      </c>
      <c r="L40" s="11" t="e">
        <f>IF(M40=0,0,#REF!)</f>
        <v>#REF!</v>
      </c>
      <c r="M40" s="2" t="e">
        <f>#REF!</f>
        <v>#REF!</v>
      </c>
      <c r="N40" s="57"/>
      <c r="O40" s="57"/>
    </row>
    <row r="41" spans="3:15" x14ac:dyDescent="0.25">
      <c r="C41" s="1" t="s">
        <v>172</v>
      </c>
      <c r="D41" s="13" t="s">
        <v>173</v>
      </c>
      <c r="E41" s="2">
        <v>8584</v>
      </c>
      <c r="F41" s="3">
        <v>205547</v>
      </c>
      <c r="G41" s="3" t="s">
        <v>176</v>
      </c>
      <c r="H41" s="11" t="e">
        <f>IF(I41=0,0,#REF!)</f>
        <v>#REF!</v>
      </c>
      <c r="I41" s="2" t="e">
        <f>#REF!</f>
        <v>#REF!</v>
      </c>
      <c r="J41" s="11" t="e">
        <f>IF(K41=0,0,#REF!)</f>
        <v>#REF!</v>
      </c>
      <c r="K41" s="2" t="e">
        <f>#REF!</f>
        <v>#REF!</v>
      </c>
      <c r="L41" s="11" t="e">
        <f>IF(M41=0,0,#REF!)</f>
        <v>#REF!</v>
      </c>
      <c r="M41" s="2" t="e">
        <f>#REF!</f>
        <v>#REF!</v>
      </c>
      <c r="N41" s="57"/>
      <c r="O41" s="57"/>
    </row>
    <row r="42" spans="3:15" x14ac:dyDescent="0.25">
      <c r="C42" s="1" t="s">
        <v>177</v>
      </c>
      <c r="D42" s="13" t="s">
        <v>167</v>
      </c>
      <c r="E42" s="2" t="s">
        <v>61</v>
      </c>
      <c r="F42" s="3">
        <v>205016</v>
      </c>
      <c r="G42" s="3" t="s">
        <v>178</v>
      </c>
      <c r="H42" s="11" t="e">
        <f>IF(I42=0,0,#REF!)</f>
        <v>#REF!</v>
      </c>
      <c r="I42" s="2" t="e">
        <f>#REF!</f>
        <v>#REF!</v>
      </c>
      <c r="J42" s="11" t="e">
        <f>IF(K42=0,0,#REF!)</f>
        <v>#REF!</v>
      </c>
      <c r="K42" s="2" t="e">
        <f>#REF!</f>
        <v>#REF!</v>
      </c>
      <c r="L42" s="11" t="e">
        <f>IF(M42=0,0,#REF!)</f>
        <v>#REF!</v>
      </c>
      <c r="M42" s="2" t="e">
        <f>#REF!</f>
        <v>#REF!</v>
      </c>
      <c r="N42" s="57"/>
      <c r="O42" s="57"/>
    </row>
    <row r="43" spans="3:15" x14ac:dyDescent="0.25">
      <c r="C43" s="1" t="s">
        <v>177</v>
      </c>
      <c r="D43" s="13" t="s">
        <v>167</v>
      </c>
      <c r="E43" s="2">
        <v>8585</v>
      </c>
      <c r="F43" s="3">
        <v>230435</v>
      </c>
      <c r="G43" s="3" t="s">
        <v>178</v>
      </c>
      <c r="H43" s="11" t="e">
        <f>IF(I43=0,0,#REF!)</f>
        <v>#REF!</v>
      </c>
      <c r="I43" s="2" t="e">
        <f>#REF!</f>
        <v>#REF!</v>
      </c>
      <c r="J43" s="11" t="e">
        <f>IF(K43=0,0,#REF!)</f>
        <v>#REF!</v>
      </c>
      <c r="K43" s="2" t="e">
        <f>#REF!</f>
        <v>#REF!</v>
      </c>
      <c r="L43" s="11" t="e">
        <f>IF(M43=0,0,#REF!)</f>
        <v>#REF!</v>
      </c>
      <c r="M43" s="2" t="e">
        <f>#REF!</f>
        <v>#REF!</v>
      </c>
      <c r="N43" s="57"/>
      <c r="O43" s="57"/>
    </row>
    <row r="44" spans="3:15" x14ac:dyDescent="0.25">
      <c r="C44" s="1" t="s">
        <v>179</v>
      </c>
      <c r="D44" s="13" t="s">
        <v>167</v>
      </c>
      <c r="E44" s="2" t="s">
        <v>61</v>
      </c>
      <c r="F44" s="3">
        <v>206202</v>
      </c>
      <c r="G44" s="3" t="s">
        <v>178</v>
      </c>
      <c r="H44" s="11" t="e">
        <f>IF(I44=0,0,#REF!)</f>
        <v>#REF!</v>
      </c>
      <c r="I44" s="2" t="e">
        <f>#REF!</f>
        <v>#REF!</v>
      </c>
      <c r="J44" s="11" t="e">
        <f>IF(K44=0,0,#REF!)</f>
        <v>#REF!</v>
      </c>
      <c r="K44" s="2" t="e">
        <f>#REF!</f>
        <v>#REF!</v>
      </c>
      <c r="L44" s="11" t="e">
        <f>IF(M44=0,0,#REF!)</f>
        <v>#REF!</v>
      </c>
      <c r="M44" s="2" t="e">
        <f>#REF!</f>
        <v>#REF!</v>
      </c>
      <c r="N44" s="57"/>
      <c r="O44" s="57"/>
    </row>
    <row r="45" spans="3:15" x14ac:dyDescent="0.25">
      <c r="C45" s="1" t="s">
        <v>179</v>
      </c>
      <c r="D45" s="13" t="s">
        <v>167</v>
      </c>
      <c r="E45" s="2">
        <v>8714</v>
      </c>
      <c r="F45" s="3">
        <v>206202</v>
      </c>
      <c r="G45" s="3" t="s">
        <v>178</v>
      </c>
      <c r="H45" s="11" t="e">
        <f>IF(I45=0,0,#REF!)</f>
        <v>#REF!</v>
      </c>
      <c r="I45" s="2" t="e">
        <f>#REF!</f>
        <v>#REF!</v>
      </c>
      <c r="J45" s="11" t="e">
        <f>IF(K45=0,0,#REF!)</f>
        <v>#REF!</v>
      </c>
      <c r="K45" s="2" t="e">
        <f>#REF!</f>
        <v>#REF!</v>
      </c>
      <c r="L45" s="11" t="e">
        <f>IF(M45=0,0,#REF!)</f>
        <v>#REF!</v>
      </c>
      <c r="M45" s="2" t="e">
        <f>#REF!</f>
        <v>#REF!</v>
      </c>
      <c r="N45" s="57"/>
      <c r="O45" s="57"/>
    </row>
    <row r="46" spans="3:15" x14ac:dyDescent="0.25">
      <c r="C46" s="1" t="s">
        <v>180</v>
      </c>
      <c r="D46" s="13" t="s">
        <v>181</v>
      </c>
      <c r="E46" s="2">
        <v>6570</v>
      </c>
      <c r="F46" s="3">
        <v>204572</v>
      </c>
      <c r="G46" s="3" t="s">
        <v>182</v>
      </c>
      <c r="H46" s="11" t="e">
        <f>IF(I46=0,0,#REF!)</f>
        <v>#REF!</v>
      </c>
      <c r="I46" s="2" t="e">
        <f>#REF!</f>
        <v>#REF!</v>
      </c>
      <c r="J46" s="11" t="e">
        <f>IF(K46=0,0,#REF!)</f>
        <v>#REF!</v>
      </c>
      <c r="K46" s="2" t="e">
        <f>#REF!</f>
        <v>#REF!</v>
      </c>
      <c r="L46" s="11" t="e">
        <f>IF(M46=0,0,#REF!)</f>
        <v>#REF!</v>
      </c>
      <c r="M46" s="2" t="e">
        <f>#REF!</f>
        <v>#REF!</v>
      </c>
      <c r="N46" s="57"/>
      <c r="O46" s="57"/>
    </row>
    <row r="47" spans="3:15" x14ac:dyDescent="0.25">
      <c r="C47" s="1" t="s">
        <v>184</v>
      </c>
      <c r="D47" s="13" t="s">
        <v>185</v>
      </c>
      <c r="E47" s="2">
        <v>8712</v>
      </c>
      <c r="F47" s="3" t="s">
        <v>186</v>
      </c>
      <c r="G47" s="3" t="s">
        <v>187</v>
      </c>
      <c r="H47" s="11" t="e">
        <f>IF(I47=0,0,#REF!)</f>
        <v>#REF!</v>
      </c>
      <c r="I47" s="2" t="e">
        <f>#REF!</f>
        <v>#REF!</v>
      </c>
      <c r="J47" s="11" t="e">
        <f>IF(K47=0,0,#REF!)</f>
        <v>#REF!</v>
      </c>
      <c r="K47" s="2" t="e">
        <f>#REF!</f>
        <v>#REF!</v>
      </c>
      <c r="L47" s="11" t="e">
        <f>IF(M47=0,0,#REF!)</f>
        <v>#REF!</v>
      </c>
      <c r="M47" s="2" t="e">
        <f>#REF!</f>
        <v>#REF!</v>
      </c>
      <c r="N47" s="57"/>
      <c r="O47" s="57"/>
    </row>
    <row r="48" spans="3:15" x14ac:dyDescent="0.25">
      <c r="C48" s="1" t="s">
        <v>184</v>
      </c>
      <c r="D48" s="13" t="s">
        <v>185</v>
      </c>
      <c r="E48" s="2">
        <v>8712</v>
      </c>
      <c r="F48" s="3">
        <v>206706</v>
      </c>
      <c r="G48" s="3" t="s">
        <v>189</v>
      </c>
      <c r="H48" s="11" t="e">
        <f>IF(I48=0,0,#REF!)</f>
        <v>#REF!</v>
      </c>
      <c r="I48" s="2" t="e">
        <f>#REF!</f>
        <v>#REF!</v>
      </c>
      <c r="J48" s="11" t="e">
        <f>IF(K48=0,0,#REF!)</f>
        <v>#REF!</v>
      </c>
      <c r="K48" s="2" t="e">
        <f>#REF!</f>
        <v>#REF!</v>
      </c>
      <c r="L48" s="11" t="e">
        <f>IF(M48=0,0,#REF!)</f>
        <v>#REF!</v>
      </c>
      <c r="M48" s="2" t="e">
        <f>#REF!</f>
        <v>#REF!</v>
      </c>
      <c r="N48" s="57"/>
      <c r="O48" s="57"/>
    </row>
    <row r="49" spans="3:15" x14ac:dyDescent="0.25">
      <c r="C49" s="1" t="s">
        <v>191</v>
      </c>
      <c r="D49" s="13" t="s">
        <v>192</v>
      </c>
      <c r="E49" s="2">
        <v>8751</v>
      </c>
      <c r="F49" s="3">
        <v>206512</v>
      </c>
      <c r="G49" s="3" t="s">
        <v>193</v>
      </c>
      <c r="H49" s="11" t="e">
        <f>IF(I49=0,0,#REF!)</f>
        <v>#REF!</v>
      </c>
      <c r="I49" s="2" t="e">
        <f>#REF!</f>
        <v>#REF!</v>
      </c>
      <c r="J49" s="11" t="e">
        <f>IF(K49=0,0,#REF!)</f>
        <v>#REF!</v>
      </c>
      <c r="K49" s="2" t="e">
        <f>#REF!</f>
        <v>#REF!</v>
      </c>
      <c r="L49" s="11" t="e">
        <f>IF(M49=0,0,#REF!)</f>
        <v>#REF!</v>
      </c>
      <c r="M49" s="2" t="e">
        <f>#REF!</f>
        <v>#REF!</v>
      </c>
      <c r="N49" s="57"/>
      <c r="O49" s="57"/>
    </row>
    <row r="50" spans="3:15" x14ac:dyDescent="0.25">
      <c r="C50" s="1" t="s">
        <v>195</v>
      </c>
      <c r="D50" s="13" t="s">
        <v>196</v>
      </c>
      <c r="E50" s="2">
        <v>8750</v>
      </c>
      <c r="F50" s="3">
        <v>206507</v>
      </c>
      <c r="G50" s="3" t="s">
        <v>198</v>
      </c>
      <c r="H50" s="11" t="e">
        <f>IF(I50=0,0,#REF!)</f>
        <v>#REF!</v>
      </c>
      <c r="I50" s="2" t="e">
        <f>#REF!</f>
        <v>#REF!</v>
      </c>
      <c r="J50" s="11" t="e">
        <f>IF(K50=0,0,#REF!)</f>
        <v>#REF!</v>
      </c>
      <c r="K50" s="2" t="e">
        <f>#REF!</f>
        <v>#REF!</v>
      </c>
      <c r="L50" s="11" t="e">
        <f>IF(M50=0,0,#REF!)</f>
        <v>#REF!</v>
      </c>
      <c r="M50" s="2" t="e">
        <f>#REF!</f>
        <v>#REF!</v>
      </c>
      <c r="N50" s="57"/>
      <c r="O50" s="57"/>
    </row>
    <row r="51" spans="3:15" x14ac:dyDescent="0.25">
      <c r="C51" s="1" t="s">
        <v>195</v>
      </c>
      <c r="D51" s="13" t="s">
        <v>196</v>
      </c>
      <c r="E51" s="2">
        <v>8750</v>
      </c>
      <c r="F51" s="3">
        <v>206506</v>
      </c>
      <c r="G51" s="3" t="s">
        <v>199</v>
      </c>
      <c r="H51" s="11" t="e">
        <f>IF(I51=0,0,#REF!)</f>
        <v>#REF!</v>
      </c>
      <c r="I51" s="2" t="e">
        <f>#REF!</f>
        <v>#REF!</v>
      </c>
      <c r="J51" s="11" t="e">
        <f>IF(K51=0,0,#REF!)</f>
        <v>#REF!</v>
      </c>
      <c r="K51" s="2" t="e">
        <f>#REF!</f>
        <v>#REF!</v>
      </c>
      <c r="L51" s="11" t="e">
        <f>IF(M51=0,0,#REF!)</f>
        <v>#REF!</v>
      </c>
      <c r="M51" s="2" t="e">
        <f>#REF!</f>
        <v>#REF!</v>
      </c>
      <c r="N51" s="57"/>
      <c r="O51" s="57"/>
    </row>
    <row r="52" spans="3:15" x14ac:dyDescent="0.25">
      <c r="C52" s="1" t="s">
        <v>195</v>
      </c>
      <c r="D52" s="13" t="s">
        <v>196</v>
      </c>
      <c r="E52" s="2">
        <v>8750</v>
      </c>
      <c r="F52" s="3">
        <v>206508</v>
      </c>
      <c r="G52" s="3" t="s">
        <v>200</v>
      </c>
      <c r="H52" s="11" t="e">
        <f>IF(I52=0,0,#REF!)</f>
        <v>#REF!</v>
      </c>
      <c r="I52" s="2" t="e">
        <f>#REF!</f>
        <v>#REF!</v>
      </c>
      <c r="J52" s="11" t="e">
        <f>IF(K52=0,0,#REF!)</f>
        <v>#REF!</v>
      </c>
      <c r="K52" s="2" t="e">
        <f>#REF!</f>
        <v>#REF!</v>
      </c>
      <c r="L52" s="11" t="e">
        <f>IF(M52=0,0,#REF!)</f>
        <v>#REF!</v>
      </c>
      <c r="M52" s="2" t="e">
        <f>#REF!</f>
        <v>#REF!</v>
      </c>
      <c r="N52" s="57"/>
      <c r="O52" s="57"/>
    </row>
    <row r="53" spans="3:15" x14ac:dyDescent="0.25">
      <c r="C53" s="1" t="s">
        <v>201</v>
      </c>
      <c r="D53" s="13" t="s">
        <v>202</v>
      </c>
      <c r="E53" s="2" t="s">
        <v>61</v>
      </c>
      <c r="F53" s="3">
        <v>206511</v>
      </c>
      <c r="G53" s="3" t="s">
        <v>203</v>
      </c>
      <c r="H53" s="11" t="e">
        <f>IF(I53=0,0,#REF!)</f>
        <v>#REF!</v>
      </c>
      <c r="I53" s="2" t="e">
        <f>#REF!</f>
        <v>#REF!</v>
      </c>
      <c r="J53" s="11" t="e">
        <f>IF(K53=0,0,#REF!)</f>
        <v>#REF!</v>
      </c>
      <c r="K53" s="2" t="e">
        <f>#REF!</f>
        <v>#REF!</v>
      </c>
      <c r="L53" s="11" t="e">
        <f>IF(M53=0,0,#REF!)</f>
        <v>#REF!</v>
      </c>
      <c r="M53" s="2" t="e">
        <f>#REF!</f>
        <v>#REF!</v>
      </c>
      <c r="N53" s="57"/>
      <c r="O53" s="57"/>
    </row>
    <row r="54" spans="3:15" x14ac:dyDescent="0.25">
      <c r="C54" s="1" t="s">
        <v>201</v>
      </c>
      <c r="D54" s="13" t="s">
        <v>202</v>
      </c>
      <c r="E54" s="2">
        <v>8749</v>
      </c>
      <c r="F54" s="3">
        <v>206511</v>
      </c>
      <c r="G54" s="3" t="s">
        <v>204</v>
      </c>
      <c r="H54" s="11" t="e">
        <f>IF(I54=0,0,#REF!)</f>
        <v>#REF!</v>
      </c>
      <c r="I54" s="2" t="e">
        <f>#REF!</f>
        <v>#REF!</v>
      </c>
      <c r="J54" s="11" t="e">
        <f>IF(K54=0,0,#REF!)</f>
        <v>#REF!</v>
      </c>
      <c r="K54" s="2" t="e">
        <f>#REF!</f>
        <v>#REF!</v>
      </c>
      <c r="L54" s="11" t="e">
        <f>IF(M54=0,0,#REF!)</f>
        <v>#REF!</v>
      </c>
      <c r="M54" s="2" t="e">
        <f>#REF!</f>
        <v>#REF!</v>
      </c>
      <c r="N54" s="57"/>
      <c r="O54" s="57"/>
    </row>
    <row r="55" spans="3:15" x14ac:dyDescent="0.25">
      <c r="C55" s="1" t="s">
        <v>205</v>
      </c>
      <c r="D55" s="13" t="s">
        <v>206</v>
      </c>
      <c r="E55" s="2" t="s">
        <v>61</v>
      </c>
      <c r="F55" s="3">
        <v>207689</v>
      </c>
      <c r="G55" s="3" t="s">
        <v>207</v>
      </c>
      <c r="H55" s="11" t="e">
        <f>IF(I55=0,0,#REF!)</f>
        <v>#REF!</v>
      </c>
      <c r="I55" s="2" t="e">
        <f>#REF!</f>
        <v>#REF!</v>
      </c>
      <c r="J55" s="11" t="e">
        <f>IF(K55=0,0,#REF!)</f>
        <v>#REF!</v>
      </c>
      <c r="K55" s="2" t="e">
        <f>#REF!</f>
        <v>#REF!</v>
      </c>
      <c r="L55" s="11" t="e">
        <f>IF(M55=0,0,#REF!)</f>
        <v>#REF!</v>
      </c>
      <c r="M55" s="2" t="e">
        <f>#REF!</f>
        <v>#REF!</v>
      </c>
      <c r="N55" s="57"/>
      <c r="O55" s="57"/>
    </row>
    <row r="56" spans="3:15" x14ac:dyDescent="0.25">
      <c r="C56" s="1" t="s">
        <v>205</v>
      </c>
      <c r="D56" s="13" t="s">
        <v>206</v>
      </c>
      <c r="E56" s="2">
        <v>8860</v>
      </c>
      <c r="F56" s="3">
        <v>207689</v>
      </c>
      <c r="G56" s="3" t="s">
        <v>208</v>
      </c>
      <c r="H56" s="11" t="e">
        <f>IF(I56=0,0,#REF!)</f>
        <v>#REF!</v>
      </c>
      <c r="I56" s="2" t="e">
        <f>#REF!</f>
        <v>#REF!</v>
      </c>
      <c r="J56" s="11" t="e">
        <f>IF(K56=0,0,#REF!)</f>
        <v>#REF!</v>
      </c>
      <c r="K56" s="2" t="e">
        <f>#REF!</f>
        <v>#REF!</v>
      </c>
      <c r="L56" s="11" t="e">
        <f>IF(M56=0,0,#REF!)</f>
        <v>#REF!</v>
      </c>
      <c r="M56" s="2" t="e">
        <f>#REF!</f>
        <v>#REF!</v>
      </c>
      <c r="N56" s="57"/>
      <c r="O56" s="57"/>
    </row>
    <row r="57" spans="3:15" x14ac:dyDescent="0.25">
      <c r="C57" s="1" t="s">
        <v>209</v>
      </c>
      <c r="D57" s="13" t="s">
        <v>210</v>
      </c>
      <c r="E57" s="2" t="s">
        <v>61</v>
      </c>
      <c r="F57" s="3">
        <v>238175</v>
      </c>
      <c r="G57" s="3" t="s">
        <v>211</v>
      </c>
      <c r="H57" s="11" t="e">
        <f>IF(I57=0,0,#REF!)</f>
        <v>#REF!</v>
      </c>
      <c r="I57" s="2" t="e">
        <f>#REF!</f>
        <v>#REF!</v>
      </c>
      <c r="J57" s="11" t="e">
        <f>IF(K57=0,0,#REF!)</f>
        <v>#REF!</v>
      </c>
      <c r="K57" s="2" t="e">
        <f>#REF!</f>
        <v>#REF!</v>
      </c>
      <c r="L57" s="11" t="e">
        <f>IF(M57=0,0,#REF!)</f>
        <v>#REF!</v>
      </c>
      <c r="M57" s="2" t="e">
        <f>#REF!</f>
        <v>#REF!</v>
      </c>
      <c r="N57" s="57"/>
      <c r="O57" s="57"/>
    </row>
    <row r="58" spans="3:15" x14ac:dyDescent="0.25">
      <c r="C58" s="1" t="s">
        <v>209</v>
      </c>
      <c r="D58" s="13" t="s">
        <v>210</v>
      </c>
      <c r="E58" s="2">
        <v>8859</v>
      </c>
      <c r="F58" s="3">
        <v>238175</v>
      </c>
      <c r="G58" s="3" t="s">
        <v>211</v>
      </c>
      <c r="H58" s="11" t="e">
        <f>IF(I58=0,0,#REF!)</f>
        <v>#REF!</v>
      </c>
      <c r="I58" s="2" t="e">
        <f>#REF!</f>
        <v>#REF!</v>
      </c>
      <c r="J58" s="11" t="e">
        <f>IF(K58=0,0,#REF!)</f>
        <v>#REF!</v>
      </c>
      <c r="K58" s="2" t="e">
        <f>#REF!</f>
        <v>#REF!</v>
      </c>
      <c r="L58" s="11" t="e">
        <f>IF(M58=0,0,#REF!)</f>
        <v>#REF!</v>
      </c>
      <c r="M58" s="2" t="e">
        <f>#REF!</f>
        <v>#REF!</v>
      </c>
      <c r="N58" s="57"/>
      <c r="O58" s="57"/>
    </row>
    <row r="59" spans="3:15" x14ac:dyDescent="0.25">
      <c r="C59" s="1" t="s">
        <v>212</v>
      </c>
      <c r="D59" s="13" t="s">
        <v>213</v>
      </c>
      <c r="E59" s="2">
        <v>8976</v>
      </c>
      <c r="F59" s="3">
        <v>219333</v>
      </c>
      <c r="G59" s="3" t="s">
        <v>214</v>
      </c>
      <c r="H59" s="11" t="e">
        <f>IF(I59=0,0,#REF!)</f>
        <v>#REF!</v>
      </c>
      <c r="I59" s="2" t="e">
        <f>#REF!</f>
        <v>#REF!</v>
      </c>
      <c r="J59" s="11" t="e">
        <f>IF(K59=0,0,#REF!)</f>
        <v>#REF!</v>
      </c>
      <c r="K59" s="2" t="e">
        <f>#REF!</f>
        <v>#REF!</v>
      </c>
      <c r="L59" s="11" t="e">
        <f>IF(M59=0,0,#REF!)</f>
        <v>#REF!</v>
      </c>
      <c r="M59" s="2" t="e">
        <f>#REF!</f>
        <v>#REF!</v>
      </c>
      <c r="N59" s="57"/>
      <c r="O59" s="57"/>
    </row>
    <row r="60" spans="3:15" x14ac:dyDescent="0.25">
      <c r="C60" s="1" t="s">
        <v>215</v>
      </c>
      <c r="D60" s="13" t="s">
        <v>216</v>
      </c>
      <c r="E60" s="2">
        <v>9053</v>
      </c>
      <c r="F60" s="3">
        <v>210056</v>
      </c>
      <c r="G60" s="3" t="s">
        <v>217</v>
      </c>
      <c r="H60" s="11" t="e">
        <f>IF(I60=0,0,#REF!)</f>
        <v>#REF!</v>
      </c>
      <c r="I60" s="2" t="e">
        <f>#REF!</f>
        <v>#REF!</v>
      </c>
      <c r="J60" s="11" t="e">
        <f>IF(K60=0,0,#REF!)</f>
        <v>#REF!</v>
      </c>
      <c r="K60" s="2" t="e">
        <f>#REF!</f>
        <v>#REF!</v>
      </c>
      <c r="L60" s="11" t="e">
        <f>IF(M60=0,0,#REF!)</f>
        <v>#REF!</v>
      </c>
      <c r="M60" s="2" t="e">
        <f>#REF!</f>
        <v>#REF!</v>
      </c>
      <c r="N60" s="57"/>
      <c r="O60" s="57"/>
    </row>
    <row r="61" spans="3:15" x14ac:dyDescent="0.25">
      <c r="C61" s="1" t="s">
        <v>219</v>
      </c>
      <c r="D61" s="13" t="s">
        <v>220</v>
      </c>
      <c r="E61" s="2" t="s">
        <v>61</v>
      </c>
      <c r="F61" s="3" t="s">
        <v>878</v>
      </c>
      <c r="G61" s="3" t="s">
        <v>178</v>
      </c>
      <c r="H61" s="11" t="e">
        <f>IF(I61=0,0,#REF!)</f>
        <v>#REF!</v>
      </c>
      <c r="I61" s="2" t="e">
        <f>#REF!</f>
        <v>#REF!</v>
      </c>
      <c r="J61" s="11" t="e">
        <f>IF(K61=0,0,#REF!)</f>
        <v>#REF!</v>
      </c>
      <c r="K61" s="2" t="e">
        <f>#REF!</f>
        <v>#REF!</v>
      </c>
      <c r="L61" s="11" t="e">
        <f>IF(M61=0,0,#REF!)</f>
        <v>#REF!</v>
      </c>
      <c r="M61" s="2" t="e">
        <f>#REF!</f>
        <v>#REF!</v>
      </c>
      <c r="N61" s="57"/>
      <c r="O61" s="57"/>
    </row>
    <row r="62" spans="3:15" x14ac:dyDescent="0.25">
      <c r="C62" s="1" t="s">
        <v>219</v>
      </c>
      <c r="D62" s="13" t="s">
        <v>220</v>
      </c>
      <c r="E62" s="2">
        <v>8968</v>
      </c>
      <c r="F62" s="3" t="s">
        <v>879</v>
      </c>
      <c r="G62" s="3" t="s">
        <v>178</v>
      </c>
      <c r="H62" s="11" t="e">
        <f>IF(I62=0,0,#REF!)</f>
        <v>#REF!</v>
      </c>
      <c r="I62" s="2" t="e">
        <f>#REF!</f>
        <v>#REF!</v>
      </c>
      <c r="J62" s="11" t="e">
        <f>IF(K62=0,0,#REF!)</f>
        <v>#REF!</v>
      </c>
      <c r="K62" s="2" t="e">
        <f>#REF!</f>
        <v>#REF!</v>
      </c>
      <c r="L62" s="11" t="e">
        <f>IF(M62=0,0,#REF!)</f>
        <v>#REF!</v>
      </c>
      <c r="M62" s="2" t="e">
        <f>#REF!</f>
        <v>#REF!</v>
      </c>
      <c r="N62" s="57"/>
      <c r="O62" s="57"/>
    </row>
    <row r="63" spans="3:15" x14ac:dyDescent="0.25">
      <c r="C63" s="1" t="s">
        <v>221</v>
      </c>
      <c r="D63" s="13" t="s">
        <v>222</v>
      </c>
      <c r="E63" s="2">
        <v>6572</v>
      </c>
      <c r="F63" s="3">
        <v>204609</v>
      </c>
      <c r="G63" s="3" t="s">
        <v>223</v>
      </c>
      <c r="H63" s="11" t="e">
        <f>IF(I63=0,0,#REF!)</f>
        <v>#REF!</v>
      </c>
      <c r="I63" s="2" t="e">
        <f>#REF!</f>
        <v>#REF!</v>
      </c>
      <c r="J63" s="11" t="e">
        <f>IF(K63=0,0,#REF!)</f>
        <v>#REF!</v>
      </c>
      <c r="K63" s="2" t="e">
        <f>#REF!</f>
        <v>#REF!</v>
      </c>
      <c r="L63" s="11" t="e">
        <f>IF(M63=0,0,#REF!)</f>
        <v>#REF!</v>
      </c>
      <c r="M63" s="2" t="e">
        <f>#REF!</f>
        <v>#REF!</v>
      </c>
      <c r="N63" s="57"/>
      <c r="O63" s="57"/>
    </row>
    <row r="64" spans="3:15" x14ac:dyDescent="0.25">
      <c r="C64" s="1" t="s">
        <v>224</v>
      </c>
      <c r="D64" s="13" t="s">
        <v>225</v>
      </c>
      <c r="E64" s="2">
        <v>8969</v>
      </c>
      <c r="F64" s="3">
        <v>208873</v>
      </c>
      <c r="G64" s="3" t="s">
        <v>178</v>
      </c>
      <c r="H64" s="11" t="e">
        <f>IF(I64=0,0,#REF!)</f>
        <v>#REF!</v>
      </c>
      <c r="I64" s="2" t="e">
        <f>#REF!</f>
        <v>#REF!</v>
      </c>
      <c r="J64" s="11" t="e">
        <f>IF(K64=0,0,#REF!)</f>
        <v>#REF!</v>
      </c>
      <c r="K64" s="2" t="e">
        <f>#REF!</f>
        <v>#REF!</v>
      </c>
      <c r="L64" s="11" t="e">
        <f>IF(M64=0,0,#REF!)</f>
        <v>#REF!</v>
      </c>
      <c r="M64" s="2" t="e">
        <f>#REF!</f>
        <v>#REF!</v>
      </c>
      <c r="N64" s="57"/>
      <c r="O64" s="57"/>
    </row>
    <row r="65" spans="3:15" x14ac:dyDescent="0.25">
      <c r="C65" s="1" t="s">
        <v>227</v>
      </c>
      <c r="D65" s="13" t="s">
        <v>228</v>
      </c>
      <c r="E65" s="2">
        <v>9072</v>
      </c>
      <c r="F65" s="3">
        <v>210304</v>
      </c>
      <c r="G65" s="3" t="s">
        <v>178</v>
      </c>
      <c r="H65" s="11" t="e">
        <f>IF(I65=0,0,#REF!)</f>
        <v>#REF!</v>
      </c>
      <c r="I65" s="2" t="e">
        <f>#REF!</f>
        <v>#REF!</v>
      </c>
      <c r="J65" s="11" t="e">
        <f>IF(K65=0,0,#REF!)</f>
        <v>#REF!</v>
      </c>
      <c r="K65" s="2" t="e">
        <f>#REF!</f>
        <v>#REF!</v>
      </c>
      <c r="L65" s="11" t="e">
        <f>IF(M65=0,0,#REF!)</f>
        <v>#REF!</v>
      </c>
      <c r="M65" s="2" t="e">
        <f>#REF!</f>
        <v>#REF!</v>
      </c>
      <c r="N65" s="57"/>
      <c r="O65" s="57"/>
    </row>
    <row r="66" spans="3:15" x14ac:dyDescent="0.25">
      <c r="C66" s="1" t="s">
        <v>229</v>
      </c>
      <c r="D66" s="13" t="s">
        <v>230</v>
      </c>
      <c r="E66" s="2">
        <v>9096</v>
      </c>
      <c r="F66" s="3">
        <v>204532</v>
      </c>
      <c r="G66" s="3" t="s">
        <v>880</v>
      </c>
      <c r="H66" s="11" t="e">
        <f>IF(I66=0,0,#REF!)</f>
        <v>#REF!</v>
      </c>
      <c r="I66" s="2" t="e">
        <f>#REF!</f>
        <v>#REF!</v>
      </c>
      <c r="J66" s="11" t="e">
        <f>IF(K66=0,0,#REF!)</f>
        <v>#REF!</v>
      </c>
      <c r="K66" s="2" t="e">
        <f>#REF!</f>
        <v>#REF!</v>
      </c>
      <c r="L66" s="11" t="e">
        <f>IF(M66=0,0,#REF!)</f>
        <v>#REF!</v>
      </c>
      <c r="M66" s="2" t="e">
        <f>#REF!</f>
        <v>#REF!</v>
      </c>
      <c r="N66" s="57"/>
      <c r="O66" s="57"/>
    </row>
    <row r="67" spans="3:15" x14ac:dyDescent="0.25">
      <c r="C67" s="1" t="s">
        <v>232</v>
      </c>
      <c r="D67" s="13" t="s">
        <v>233</v>
      </c>
      <c r="E67" s="2">
        <v>9100</v>
      </c>
      <c r="F67" s="3">
        <v>210438</v>
      </c>
      <c r="G67" s="3" t="s">
        <v>234</v>
      </c>
      <c r="H67" s="11" t="e">
        <f>IF(I67=0,0,#REF!)</f>
        <v>#REF!</v>
      </c>
      <c r="I67" s="2" t="e">
        <f>#REF!</f>
        <v>#REF!</v>
      </c>
      <c r="J67" s="11" t="e">
        <f>IF(K67=0,0,#REF!)</f>
        <v>#REF!</v>
      </c>
      <c r="K67" s="2" t="e">
        <f>#REF!</f>
        <v>#REF!</v>
      </c>
      <c r="L67" s="11" t="e">
        <f>IF(M67=0,0,#REF!)</f>
        <v>#REF!</v>
      </c>
      <c r="M67" s="2" t="e">
        <f>#REF!</f>
        <v>#REF!</v>
      </c>
      <c r="N67" s="57"/>
      <c r="O67" s="57"/>
    </row>
    <row r="68" spans="3:15" x14ac:dyDescent="0.25">
      <c r="C68" s="1" t="s">
        <v>237</v>
      </c>
      <c r="D68" s="13" t="s">
        <v>238</v>
      </c>
      <c r="E68" s="2" t="s">
        <v>61</v>
      </c>
      <c r="F68" s="3">
        <v>204970</v>
      </c>
      <c r="G68" s="3" t="s">
        <v>239</v>
      </c>
      <c r="H68" s="11" t="e">
        <f>IF(I68=0,0,#REF!)</f>
        <v>#REF!</v>
      </c>
      <c r="I68" s="2" t="e">
        <f>#REF!</f>
        <v>#REF!</v>
      </c>
      <c r="J68" s="11" t="e">
        <f>IF(K68=0,0,#REF!)</f>
        <v>#REF!</v>
      </c>
      <c r="K68" s="2" t="e">
        <f>#REF!</f>
        <v>#REF!</v>
      </c>
      <c r="L68" s="11" t="e">
        <f>IF(M68=0,0,#REF!)</f>
        <v>#REF!</v>
      </c>
      <c r="M68" s="2" t="e">
        <f>#REF!</f>
        <v>#REF!</v>
      </c>
      <c r="N68" s="57"/>
      <c r="O68" s="57"/>
    </row>
    <row r="69" spans="3:15" x14ac:dyDescent="0.25">
      <c r="C69" s="1" t="s">
        <v>237</v>
      </c>
      <c r="D69" s="13" t="s">
        <v>238</v>
      </c>
      <c r="E69" s="2">
        <v>9101</v>
      </c>
      <c r="F69" s="3">
        <v>204970</v>
      </c>
      <c r="G69" s="3" t="s">
        <v>239</v>
      </c>
      <c r="H69" s="11" t="e">
        <f>IF(I69=0,0,#REF!)</f>
        <v>#REF!</v>
      </c>
      <c r="I69" s="2" t="e">
        <f>#REF!</f>
        <v>#REF!</v>
      </c>
      <c r="J69" s="11" t="e">
        <f>IF(K69=0,0,#REF!)</f>
        <v>#REF!</v>
      </c>
      <c r="K69" s="2" t="e">
        <f>#REF!</f>
        <v>#REF!</v>
      </c>
      <c r="L69" s="11" t="e">
        <f>IF(M69=0,0,#REF!)</f>
        <v>#REF!</v>
      </c>
      <c r="M69" s="2" t="e">
        <f>#REF!</f>
        <v>#REF!</v>
      </c>
      <c r="N69" s="57"/>
      <c r="O69" s="57"/>
    </row>
    <row r="70" spans="3:15" x14ac:dyDescent="0.25">
      <c r="C70" s="1" t="s">
        <v>240</v>
      </c>
      <c r="D70" s="13" t="s">
        <v>241</v>
      </c>
      <c r="E70" s="2">
        <v>9102</v>
      </c>
      <c r="F70" s="3">
        <v>209672</v>
      </c>
      <c r="G70" s="3" t="s">
        <v>242</v>
      </c>
      <c r="H70" s="11" t="e">
        <f>IF(I70=0,0,#REF!)</f>
        <v>#REF!</v>
      </c>
      <c r="I70" s="2" t="e">
        <f>#REF!</f>
        <v>#REF!</v>
      </c>
      <c r="J70" s="11" t="e">
        <f>IF(K70=0,0,#REF!)</f>
        <v>#REF!</v>
      </c>
      <c r="K70" s="2" t="e">
        <f>#REF!</f>
        <v>#REF!</v>
      </c>
      <c r="L70" s="11" t="e">
        <f>IF(M70=0,0,#REF!)</f>
        <v>#REF!</v>
      </c>
      <c r="M70" s="2" t="e">
        <f>#REF!</f>
        <v>#REF!</v>
      </c>
      <c r="N70" s="57"/>
      <c r="O70" s="57"/>
    </row>
    <row r="71" spans="3:15" x14ac:dyDescent="0.25">
      <c r="C71" s="1" t="s">
        <v>244</v>
      </c>
      <c r="D71" s="13" t="s">
        <v>245</v>
      </c>
      <c r="E71" s="2">
        <v>9120</v>
      </c>
      <c r="F71" s="3">
        <v>211510</v>
      </c>
      <c r="G71" s="3" t="s">
        <v>86</v>
      </c>
      <c r="H71" s="11" t="e">
        <f>IF(I71=0,0,#REF!)</f>
        <v>#REF!</v>
      </c>
      <c r="I71" s="2" t="e">
        <f>#REF!</f>
        <v>#REF!</v>
      </c>
      <c r="J71" s="11" t="e">
        <f>IF(K71=0,0,#REF!)</f>
        <v>#REF!</v>
      </c>
      <c r="K71" s="2" t="e">
        <f>#REF!</f>
        <v>#REF!</v>
      </c>
      <c r="L71" s="11" t="e">
        <f>IF(M71=0,0,#REF!)</f>
        <v>#REF!</v>
      </c>
      <c r="M71" s="2" t="e">
        <f>#REF!</f>
        <v>#REF!</v>
      </c>
      <c r="N71" s="57"/>
      <c r="O71" s="57"/>
    </row>
    <row r="72" spans="3:15" x14ac:dyDescent="0.25">
      <c r="C72" s="1" t="s">
        <v>246</v>
      </c>
      <c r="D72" s="13" t="s">
        <v>247</v>
      </c>
      <c r="E72" s="2">
        <v>9103</v>
      </c>
      <c r="F72" s="3">
        <v>243147</v>
      </c>
      <c r="G72" s="3" t="s">
        <v>249</v>
      </c>
      <c r="H72" s="11" t="e">
        <f>IF(I72=0,0,#REF!)</f>
        <v>#REF!</v>
      </c>
      <c r="I72" s="2" t="e">
        <f>#REF!</f>
        <v>#REF!</v>
      </c>
      <c r="J72" s="11" t="e">
        <f>IF(K72=0,0,#REF!)</f>
        <v>#REF!</v>
      </c>
      <c r="K72" s="2" t="e">
        <f>#REF!</f>
        <v>#REF!</v>
      </c>
      <c r="L72" s="11" t="e">
        <f>IF(M72=0,0,#REF!)</f>
        <v>#REF!</v>
      </c>
      <c r="M72" s="2" t="e">
        <f>#REF!</f>
        <v>#REF!</v>
      </c>
      <c r="N72" s="57"/>
      <c r="O72" s="57"/>
    </row>
    <row r="73" spans="3:15" x14ac:dyDescent="0.25">
      <c r="C73" s="1" t="s">
        <v>250</v>
      </c>
      <c r="D73" s="13" t="s">
        <v>251</v>
      </c>
      <c r="E73" s="2">
        <v>8974</v>
      </c>
      <c r="F73" s="3">
        <v>204532</v>
      </c>
      <c r="G73" s="3" t="s">
        <v>114</v>
      </c>
      <c r="H73" s="11" t="e">
        <f>IF(I73=0,0,#REF!)</f>
        <v>#REF!</v>
      </c>
      <c r="I73" s="2" t="e">
        <f>#REF!</f>
        <v>#REF!</v>
      </c>
      <c r="J73" s="11" t="e">
        <f>IF(K73=0,0,#REF!)</f>
        <v>#REF!</v>
      </c>
      <c r="K73" s="2" t="e">
        <f>#REF!</f>
        <v>#REF!</v>
      </c>
      <c r="L73" s="11" t="e">
        <f>IF(M73=0,0,#REF!)</f>
        <v>#REF!</v>
      </c>
      <c r="M73" s="2" t="e">
        <f>#REF!</f>
        <v>#REF!</v>
      </c>
      <c r="N73" s="57"/>
      <c r="O73" s="57"/>
    </row>
    <row r="74" spans="3:15" x14ac:dyDescent="0.25">
      <c r="C74" s="1" t="s">
        <v>252</v>
      </c>
      <c r="D74" s="13" t="s">
        <v>253</v>
      </c>
      <c r="E74" s="2">
        <v>6573</v>
      </c>
      <c r="F74" s="3">
        <v>204635</v>
      </c>
      <c r="G74" s="3" t="s">
        <v>254</v>
      </c>
      <c r="H74" s="11" t="e">
        <f>IF(I74=0,0,#REF!)</f>
        <v>#REF!</v>
      </c>
      <c r="I74" s="2" t="e">
        <f>#REF!</f>
        <v>#REF!</v>
      </c>
      <c r="J74" s="11" t="e">
        <f>IF(K74=0,0,#REF!)</f>
        <v>#REF!</v>
      </c>
      <c r="K74" s="2" t="e">
        <f>#REF!</f>
        <v>#REF!</v>
      </c>
      <c r="L74" s="11" t="e">
        <f>IF(M74=0,0,#REF!)</f>
        <v>#REF!</v>
      </c>
      <c r="M74" s="2" t="e">
        <f>#REF!</f>
        <v>#REF!</v>
      </c>
      <c r="N74" s="57"/>
      <c r="O74" s="57"/>
    </row>
    <row r="75" spans="3:15" x14ac:dyDescent="0.25">
      <c r="C75" s="1" t="s">
        <v>256</v>
      </c>
      <c r="D75" s="13" t="s">
        <v>257</v>
      </c>
      <c r="E75" s="2">
        <v>9209</v>
      </c>
      <c r="F75" s="3">
        <v>217037</v>
      </c>
      <c r="G75" s="3" t="s">
        <v>258</v>
      </c>
      <c r="H75" s="11" t="e">
        <f>IF(I75=0,0,#REF!)</f>
        <v>#REF!</v>
      </c>
      <c r="I75" s="2" t="e">
        <f>#REF!</f>
        <v>#REF!</v>
      </c>
      <c r="J75" s="11" t="e">
        <f>IF(K75=0,0,#REF!)</f>
        <v>#REF!</v>
      </c>
      <c r="K75" s="2" t="e">
        <f>#REF!</f>
        <v>#REF!</v>
      </c>
      <c r="L75" s="11" t="e">
        <f>IF(M75=0,0,#REF!)</f>
        <v>#REF!</v>
      </c>
      <c r="M75" s="2" t="e">
        <f>#REF!</f>
        <v>#REF!</v>
      </c>
      <c r="N75" s="57"/>
      <c r="O75" s="57"/>
    </row>
    <row r="76" spans="3:15" x14ac:dyDescent="0.25">
      <c r="C76" s="1" t="s">
        <v>260</v>
      </c>
      <c r="D76" s="13" t="s">
        <v>261</v>
      </c>
      <c r="E76" s="2">
        <v>9458</v>
      </c>
      <c r="F76" s="3">
        <v>206286</v>
      </c>
      <c r="G76" s="3" t="s">
        <v>262</v>
      </c>
      <c r="H76" s="11" t="e">
        <f>IF(I76=0,0,#REF!)</f>
        <v>#REF!</v>
      </c>
      <c r="I76" s="2" t="e">
        <f>#REF!</f>
        <v>#REF!</v>
      </c>
      <c r="J76" s="11" t="e">
        <f>IF(K76=0,0,#REF!)</f>
        <v>#REF!</v>
      </c>
      <c r="K76" s="2" t="e">
        <f>#REF!</f>
        <v>#REF!</v>
      </c>
      <c r="L76" s="11" t="e">
        <f>IF(M76=0,0,#REF!)</f>
        <v>#REF!</v>
      </c>
      <c r="M76" s="2" t="e">
        <f>#REF!</f>
        <v>#REF!</v>
      </c>
      <c r="N76" s="57"/>
      <c r="O76" s="57"/>
    </row>
    <row r="77" spans="3:15" x14ac:dyDescent="0.25">
      <c r="C77" s="1" t="s">
        <v>264</v>
      </c>
      <c r="D77" s="13" t="s">
        <v>265</v>
      </c>
      <c r="E77" s="2">
        <v>9595</v>
      </c>
      <c r="F77" s="3" t="s">
        <v>266</v>
      </c>
      <c r="G77" s="3" t="s">
        <v>267</v>
      </c>
      <c r="H77" s="11" t="e">
        <f>IF(I77=0,0,#REF!)</f>
        <v>#REF!</v>
      </c>
      <c r="I77" s="2" t="e">
        <f>#REF!</f>
        <v>#REF!</v>
      </c>
      <c r="J77" s="11" t="e">
        <f>IF(K77=0,0,#REF!)</f>
        <v>#REF!</v>
      </c>
      <c r="K77" s="2" t="e">
        <f>#REF!</f>
        <v>#REF!</v>
      </c>
      <c r="L77" s="11" t="e">
        <f>IF(M77=0,0,#REF!)</f>
        <v>#REF!</v>
      </c>
      <c r="M77" s="2" t="e">
        <f>#REF!</f>
        <v>#REF!</v>
      </c>
      <c r="N77" s="57"/>
      <c r="O77" s="57"/>
    </row>
    <row r="78" spans="3:15" x14ac:dyDescent="0.25">
      <c r="C78" s="1" t="s">
        <v>268</v>
      </c>
      <c r="D78" s="13" t="s">
        <v>269</v>
      </c>
      <c r="E78" s="2">
        <v>9216</v>
      </c>
      <c r="F78" s="3">
        <v>246683</v>
      </c>
      <c r="G78" s="3" t="s">
        <v>270</v>
      </c>
      <c r="H78" s="11" t="e">
        <f>IF(I78=0,0,#REF!)</f>
        <v>#REF!</v>
      </c>
      <c r="I78" s="2" t="e">
        <f>#REF!</f>
        <v>#REF!</v>
      </c>
      <c r="J78" s="11" t="e">
        <f>IF(K78=0,0,#REF!)</f>
        <v>#REF!</v>
      </c>
      <c r="K78" s="2" t="e">
        <f>#REF!</f>
        <v>#REF!</v>
      </c>
      <c r="L78" s="11" t="e">
        <f>IF(M78=0,0,#REF!)</f>
        <v>#REF!</v>
      </c>
      <c r="M78" s="2" t="e">
        <f>#REF!</f>
        <v>#REF!</v>
      </c>
      <c r="N78" s="57"/>
      <c r="O78" s="57"/>
    </row>
    <row r="79" spans="3:15" x14ac:dyDescent="0.25">
      <c r="C79" s="1" t="s">
        <v>271</v>
      </c>
      <c r="D79" s="13" t="s">
        <v>272</v>
      </c>
      <c r="E79" s="2">
        <v>9575</v>
      </c>
      <c r="F79" s="3">
        <v>204547</v>
      </c>
      <c r="G79" s="3" t="s">
        <v>273</v>
      </c>
      <c r="H79" s="11" t="e">
        <f>IF(I79=0,0,#REF!)</f>
        <v>#REF!</v>
      </c>
      <c r="I79" s="2" t="e">
        <f>#REF!</f>
        <v>#REF!</v>
      </c>
      <c r="J79" s="11" t="e">
        <f>IF(K79=0,0,#REF!)</f>
        <v>#REF!</v>
      </c>
      <c r="K79" s="2" t="e">
        <f>#REF!</f>
        <v>#REF!</v>
      </c>
      <c r="L79" s="11" t="e">
        <f>IF(M79=0,0,#REF!)</f>
        <v>#REF!</v>
      </c>
      <c r="M79" s="2" t="e">
        <f>#REF!</f>
        <v>#REF!</v>
      </c>
      <c r="N79" s="57"/>
      <c r="O79" s="57"/>
    </row>
    <row r="80" spans="3:15" x14ac:dyDescent="0.25">
      <c r="C80" s="1" t="s">
        <v>275</v>
      </c>
      <c r="D80" s="13" t="s">
        <v>276</v>
      </c>
      <c r="E80" s="2" t="s">
        <v>61</v>
      </c>
      <c r="F80" s="3">
        <v>228274</v>
      </c>
      <c r="G80" s="3" t="s">
        <v>278</v>
      </c>
      <c r="H80" s="11" t="e">
        <f>IF(I80=0,0,#REF!)</f>
        <v>#REF!</v>
      </c>
      <c r="I80" s="2" t="e">
        <f>#REF!</f>
        <v>#REF!</v>
      </c>
      <c r="J80" s="11" t="e">
        <f>IF(K80=0,0,#REF!)</f>
        <v>#REF!</v>
      </c>
      <c r="K80" s="2" t="e">
        <f>#REF!</f>
        <v>#REF!</v>
      </c>
      <c r="L80" s="11" t="e">
        <f>IF(M80=0,0,#REF!)</f>
        <v>#REF!</v>
      </c>
      <c r="M80" s="2" t="e">
        <f>#REF!</f>
        <v>#REF!</v>
      </c>
      <c r="N80" s="57"/>
      <c r="O80" s="57"/>
    </row>
    <row r="81" spans="3:15" x14ac:dyDescent="0.25">
      <c r="C81" s="1" t="s">
        <v>275</v>
      </c>
      <c r="D81" s="13" t="s">
        <v>276</v>
      </c>
      <c r="E81" s="2">
        <v>9636</v>
      </c>
      <c r="F81" s="3">
        <v>228274</v>
      </c>
      <c r="G81" s="3" t="s">
        <v>280</v>
      </c>
      <c r="H81" s="11" t="e">
        <f>IF(I81=0,0,#REF!)</f>
        <v>#REF!</v>
      </c>
      <c r="I81" s="2" t="e">
        <f>#REF!</f>
        <v>#REF!</v>
      </c>
      <c r="J81" s="11" t="e">
        <f>IF(K81=0,0,#REF!)</f>
        <v>#REF!</v>
      </c>
      <c r="K81" s="2" t="e">
        <f>#REF!</f>
        <v>#REF!</v>
      </c>
      <c r="L81" s="11" t="e">
        <f>IF(M81=0,0,#REF!)</f>
        <v>#REF!</v>
      </c>
      <c r="M81" s="2" t="e">
        <f>#REF!</f>
        <v>#REF!</v>
      </c>
      <c r="N81" s="57"/>
      <c r="O81" s="57"/>
    </row>
    <row r="82" spans="3:15" x14ac:dyDescent="0.25">
      <c r="C82" s="1" t="s">
        <v>281</v>
      </c>
      <c r="D82" s="13" t="s">
        <v>282</v>
      </c>
      <c r="E82" s="2" t="s">
        <v>283</v>
      </c>
      <c r="F82" s="3">
        <v>214089</v>
      </c>
      <c r="G82" s="3" t="s">
        <v>284</v>
      </c>
      <c r="H82" s="11" t="e">
        <f>IF(I82=0,0,#REF!)</f>
        <v>#REF!</v>
      </c>
      <c r="I82" s="2" t="e">
        <f>#REF!</f>
        <v>#REF!</v>
      </c>
      <c r="J82" s="11" t="e">
        <f>IF(K82=0,0,#REF!)</f>
        <v>#REF!</v>
      </c>
      <c r="K82" s="2" t="e">
        <f>#REF!</f>
        <v>#REF!</v>
      </c>
      <c r="L82" s="11" t="e">
        <f>IF(M82=0,0,#REF!)</f>
        <v>#REF!</v>
      </c>
      <c r="M82" s="2" t="e">
        <f>#REF!</f>
        <v>#REF!</v>
      </c>
      <c r="N82" s="57"/>
      <c r="O82" s="57"/>
    </row>
    <row r="83" spans="3:15" x14ac:dyDescent="0.25">
      <c r="C83" s="1" t="s">
        <v>285</v>
      </c>
      <c r="D83" s="13" t="s">
        <v>286</v>
      </c>
      <c r="E83" s="2">
        <v>6574</v>
      </c>
      <c r="F83" s="3" t="s">
        <v>881</v>
      </c>
      <c r="G83" s="3" t="s">
        <v>287</v>
      </c>
      <c r="H83" s="11" t="e">
        <f>IF(I83=0,0,#REF!)</f>
        <v>#REF!</v>
      </c>
      <c r="I83" s="2" t="e">
        <f>#REF!</f>
        <v>#REF!</v>
      </c>
      <c r="J83" s="11" t="e">
        <f>IF(K83=0,0,#REF!)</f>
        <v>#REF!</v>
      </c>
      <c r="K83" s="2" t="e">
        <f>#REF!</f>
        <v>#REF!</v>
      </c>
      <c r="L83" s="11" t="e">
        <f>IF(M83=0,0,#REF!)</f>
        <v>#REF!</v>
      </c>
      <c r="M83" s="2" t="e">
        <f>#REF!</f>
        <v>#REF!</v>
      </c>
      <c r="N83" s="57"/>
      <c r="O83" s="57"/>
    </row>
    <row r="84" spans="3:15" x14ac:dyDescent="0.25">
      <c r="C84" s="1" t="s">
        <v>289</v>
      </c>
      <c r="D84" s="13" t="s">
        <v>290</v>
      </c>
      <c r="E84" s="2">
        <v>6577</v>
      </c>
      <c r="F84" s="3">
        <v>204566</v>
      </c>
      <c r="G84" s="3" t="s">
        <v>291</v>
      </c>
      <c r="H84" s="11" t="e">
        <f>IF(I84=0,0,#REF!)</f>
        <v>#REF!</v>
      </c>
      <c r="I84" s="2" t="e">
        <f>#REF!</f>
        <v>#REF!</v>
      </c>
      <c r="J84" s="11" t="e">
        <f>IF(K84=0,0,#REF!)</f>
        <v>#REF!</v>
      </c>
      <c r="K84" s="2" t="e">
        <f>#REF!</f>
        <v>#REF!</v>
      </c>
      <c r="L84" s="11" t="e">
        <f>IF(M84=0,0,#REF!)</f>
        <v>#REF!</v>
      </c>
      <c r="M84" s="2" t="e">
        <f>#REF!</f>
        <v>#REF!</v>
      </c>
      <c r="N84" s="57"/>
      <c r="O84" s="57"/>
    </row>
    <row r="85" spans="3:15" x14ac:dyDescent="0.25">
      <c r="C85" s="1" t="s">
        <v>292</v>
      </c>
      <c r="D85" s="13" t="s">
        <v>293</v>
      </c>
      <c r="E85" s="2">
        <v>6586</v>
      </c>
      <c r="F85" s="3">
        <v>204692</v>
      </c>
      <c r="G85" s="3" t="s">
        <v>294</v>
      </c>
      <c r="H85" s="11" t="e">
        <f>IF(I85=0,0,#REF!)</f>
        <v>#REF!</v>
      </c>
      <c r="I85" s="2" t="e">
        <f>#REF!</f>
        <v>#REF!</v>
      </c>
      <c r="J85" s="11" t="e">
        <f>IF(K85=0,0,#REF!)</f>
        <v>#REF!</v>
      </c>
      <c r="K85" s="2" t="e">
        <f>#REF!</f>
        <v>#REF!</v>
      </c>
      <c r="L85" s="11" t="e">
        <f>IF(M85=0,0,#REF!)</f>
        <v>#REF!</v>
      </c>
      <c r="M85" s="2" t="e">
        <f>#REF!</f>
        <v>#REF!</v>
      </c>
      <c r="N85" s="57"/>
      <c r="O85" s="57"/>
    </row>
    <row r="86" spans="3:15" x14ac:dyDescent="0.25">
      <c r="C86" s="1" t="s">
        <v>295</v>
      </c>
      <c r="D86" s="13" t="s">
        <v>296</v>
      </c>
      <c r="E86" s="2">
        <v>6598</v>
      </c>
      <c r="F86" s="3">
        <v>204518</v>
      </c>
      <c r="G86" s="3" t="s">
        <v>297</v>
      </c>
      <c r="H86" s="11" t="e">
        <f>IF(I86=0,0,#REF!)</f>
        <v>#REF!</v>
      </c>
      <c r="I86" s="2" t="e">
        <f>#REF!</f>
        <v>#REF!</v>
      </c>
      <c r="J86" s="11" t="e">
        <f>IF(K86=0,0,#REF!)</f>
        <v>#REF!</v>
      </c>
      <c r="K86" s="2" t="e">
        <f>#REF!</f>
        <v>#REF!</v>
      </c>
      <c r="L86" s="11" t="e">
        <f>IF(M86=0,0,#REF!)</f>
        <v>#REF!</v>
      </c>
      <c r="M86" s="2" t="e">
        <f>#REF!</f>
        <v>#REF!</v>
      </c>
      <c r="N86" s="57"/>
      <c r="O86" s="57"/>
    </row>
    <row r="87" spans="3:15" x14ac:dyDescent="0.25">
      <c r="C87" s="1" t="s">
        <v>299</v>
      </c>
      <c r="D87" s="13" t="s">
        <v>300</v>
      </c>
      <c r="E87" s="2">
        <v>6599</v>
      </c>
      <c r="F87" s="3">
        <v>204518</v>
      </c>
      <c r="G87" s="3" t="s">
        <v>301</v>
      </c>
      <c r="H87" s="11" t="e">
        <f>IF(I87=0,0,#REF!)</f>
        <v>#REF!</v>
      </c>
      <c r="I87" s="2" t="e">
        <f>#REF!</f>
        <v>#REF!</v>
      </c>
      <c r="J87" s="11" t="e">
        <f>IF(K87=0,0,#REF!)</f>
        <v>#REF!</v>
      </c>
      <c r="K87" s="2" t="e">
        <f>#REF!</f>
        <v>#REF!</v>
      </c>
      <c r="L87" s="11" t="e">
        <f>IF(M87=0,0,#REF!)</f>
        <v>#REF!</v>
      </c>
      <c r="M87" s="2" t="e">
        <f>#REF!</f>
        <v>#REF!</v>
      </c>
      <c r="N87" s="57"/>
      <c r="O87" s="57"/>
    </row>
    <row r="88" spans="3:15" x14ac:dyDescent="0.25">
      <c r="C88" s="1" t="s">
        <v>302</v>
      </c>
      <c r="D88" s="13" t="s">
        <v>303</v>
      </c>
      <c r="E88" s="2">
        <v>6600</v>
      </c>
      <c r="F88" s="3">
        <v>204517</v>
      </c>
      <c r="G88" s="3" t="s">
        <v>304</v>
      </c>
      <c r="H88" s="11" t="e">
        <f>IF(I88=0,0,#REF!)</f>
        <v>#REF!</v>
      </c>
      <c r="I88" s="2" t="e">
        <f>#REF!</f>
        <v>#REF!</v>
      </c>
      <c r="J88" s="11" t="e">
        <f>IF(K88=0,0,#REF!)</f>
        <v>#REF!</v>
      </c>
      <c r="K88" s="2" t="e">
        <f>#REF!</f>
        <v>#REF!</v>
      </c>
      <c r="L88" s="11" t="e">
        <f>IF(M88=0,0,#REF!)</f>
        <v>#REF!</v>
      </c>
      <c r="M88" s="2" t="e">
        <f>#REF!</f>
        <v>#REF!</v>
      </c>
      <c r="N88" s="57"/>
      <c r="O88" s="57"/>
    </row>
    <row r="89" spans="3:15" x14ac:dyDescent="0.25">
      <c r="C89" s="1" t="s">
        <v>306</v>
      </c>
      <c r="D89" s="13" t="s">
        <v>307</v>
      </c>
      <c r="E89" s="2">
        <v>6601</v>
      </c>
      <c r="F89" s="3" t="s">
        <v>308</v>
      </c>
      <c r="G89" s="3" t="s">
        <v>309</v>
      </c>
      <c r="H89" s="11" t="e">
        <f>IF(I89=0,0,#REF!)</f>
        <v>#REF!</v>
      </c>
      <c r="I89" s="2" t="e">
        <f>#REF!</f>
        <v>#REF!</v>
      </c>
      <c r="J89" s="11" t="e">
        <f>IF(K89=0,0,#REF!)</f>
        <v>#REF!</v>
      </c>
      <c r="K89" s="2" t="e">
        <f>#REF!</f>
        <v>#REF!</v>
      </c>
      <c r="L89" s="11" t="e">
        <f>IF(M89=0,0,#REF!)</f>
        <v>#REF!</v>
      </c>
      <c r="M89" s="2" t="e">
        <f>#REF!</f>
        <v>#REF!</v>
      </c>
      <c r="N89" s="57"/>
      <c r="O89" s="57"/>
    </row>
    <row r="90" spans="3:15" x14ac:dyDescent="0.25">
      <c r="C90" s="1" t="s">
        <v>311</v>
      </c>
      <c r="D90" s="13" t="s">
        <v>312</v>
      </c>
      <c r="E90" s="2">
        <v>6602</v>
      </c>
      <c r="F90" s="3">
        <v>204884</v>
      </c>
      <c r="G90" s="3" t="s">
        <v>313</v>
      </c>
      <c r="H90" s="11" t="e">
        <f>IF(I90=0,0,#REF!)</f>
        <v>#REF!</v>
      </c>
      <c r="I90" s="2" t="e">
        <f>#REF!</f>
        <v>#REF!</v>
      </c>
      <c r="J90" s="11" t="e">
        <f>IF(K90=0,0,#REF!)</f>
        <v>#REF!</v>
      </c>
      <c r="K90" s="2" t="e">
        <f>#REF!</f>
        <v>#REF!</v>
      </c>
      <c r="L90" s="11" t="e">
        <f>IF(M90=0,0,#REF!)</f>
        <v>#REF!</v>
      </c>
      <c r="M90" s="2" t="e">
        <f>#REF!</f>
        <v>#REF!</v>
      </c>
      <c r="N90" s="57"/>
      <c r="O90" s="57"/>
    </row>
    <row r="91" spans="3:15" x14ac:dyDescent="0.25">
      <c r="C91" s="1" t="s">
        <v>315</v>
      </c>
      <c r="D91" s="13" t="s">
        <v>316</v>
      </c>
      <c r="E91" s="2">
        <v>6603</v>
      </c>
      <c r="F91" s="3" t="s">
        <v>882</v>
      </c>
      <c r="G91" s="3" t="s">
        <v>317</v>
      </c>
      <c r="H91" s="11" t="e">
        <f>IF(I91=0,0,#REF!)</f>
        <v>#REF!</v>
      </c>
      <c r="I91" s="2" t="e">
        <f>#REF!</f>
        <v>#REF!</v>
      </c>
      <c r="J91" s="11" t="e">
        <f>IF(K91=0,0,#REF!)</f>
        <v>#REF!</v>
      </c>
      <c r="K91" s="2" t="e">
        <f>#REF!</f>
        <v>#REF!</v>
      </c>
      <c r="L91" s="11" t="e">
        <f>IF(M91=0,0,#REF!)</f>
        <v>#REF!</v>
      </c>
      <c r="M91" s="2" t="e">
        <f>#REF!</f>
        <v>#REF!</v>
      </c>
      <c r="N91" s="57"/>
      <c r="O91" s="57"/>
    </row>
    <row r="92" spans="3:15" x14ac:dyDescent="0.25">
      <c r="C92" s="1" t="s">
        <v>315</v>
      </c>
      <c r="D92" s="13" t="s">
        <v>316</v>
      </c>
      <c r="E92" s="2">
        <v>6603</v>
      </c>
      <c r="F92" s="3" t="s">
        <v>882</v>
      </c>
      <c r="G92" s="3" t="s">
        <v>318</v>
      </c>
      <c r="H92" s="11" t="e">
        <f>IF(I92=0,0,#REF!)</f>
        <v>#REF!</v>
      </c>
      <c r="I92" s="2" t="e">
        <f>#REF!</f>
        <v>#REF!</v>
      </c>
      <c r="J92" s="11" t="e">
        <f>IF(K92=0,0,#REF!)</f>
        <v>#REF!</v>
      </c>
      <c r="K92" s="2" t="e">
        <f>#REF!</f>
        <v>#REF!</v>
      </c>
      <c r="L92" s="11" t="e">
        <f>IF(M92=0,0,#REF!)</f>
        <v>#REF!</v>
      </c>
      <c r="M92" s="2" t="e">
        <f>#REF!</f>
        <v>#REF!</v>
      </c>
      <c r="N92" s="57"/>
      <c r="O92" s="57"/>
    </row>
    <row r="93" spans="3:15" x14ac:dyDescent="0.25">
      <c r="C93" s="1" t="s">
        <v>315</v>
      </c>
      <c r="D93" s="13" t="s">
        <v>316</v>
      </c>
      <c r="E93" s="2">
        <v>6603</v>
      </c>
      <c r="F93" s="3" t="s">
        <v>882</v>
      </c>
      <c r="G93" s="3" t="s">
        <v>319</v>
      </c>
      <c r="H93" s="11" t="e">
        <f>IF(I93=0,0,#REF!)</f>
        <v>#REF!</v>
      </c>
      <c r="I93" s="2" t="e">
        <f>#REF!</f>
        <v>#REF!</v>
      </c>
      <c r="J93" s="11" t="e">
        <f>IF(K93=0,0,#REF!)</f>
        <v>#REF!</v>
      </c>
      <c r="K93" s="2" t="e">
        <f>#REF!</f>
        <v>#REF!</v>
      </c>
      <c r="L93" s="11" t="e">
        <f>IF(M93=0,0,#REF!)</f>
        <v>#REF!</v>
      </c>
      <c r="M93" s="2" t="e">
        <f>#REF!</f>
        <v>#REF!</v>
      </c>
      <c r="N93" s="57"/>
      <c r="O93" s="57"/>
    </row>
    <row r="94" spans="3:15" x14ac:dyDescent="0.25">
      <c r="C94" s="1" t="s">
        <v>315</v>
      </c>
      <c r="D94" s="13" t="s">
        <v>316</v>
      </c>
      <c r="E94" s="2">
        <v>6603</v>
      </c>
      <c r="F94" s="3" t="s">
        <v>882</v>
      </c>
      <c r="G94" s="3" t="s">
        <v>320</v>
      </c>
      <c r="H94" s="11" t="e">
        <f>IF(I94=0,0,#REF!)</f>
        <v>#REF!</v>
      </c>
      <c r="I94" s="2" t="e">
        <f>#REF!</f>
        <v>#REF!</v>
      </c>
      <c r="J94" s="11" t="e">
        <f>IF(K94=0,0,#REF!)</f>
        <v>#REF!</v>
      </c>
      <c r="K94" s="2" t="e">
        <f>#REF!</f>
        <v>#REF!</v>
      </c>
      <c r="L94" s="11" t="e">
        <f>IF(M94=0,0,#REF!)</f>
        <v>#REF!</v>
      </c>
      <c r="M94" s="2" t="e">
        <f>#REF!</f>
        <v>#REF!</v>
      </c>
      <c r="N94" s="57"/>
      <c r="O94" s="57"/>
    </row>
    <row r="95" spans="3:15" x14ac:dyDescent="0.25">
      <c r="C95" s="1" t="s">
        <v>315</v>
      </c>
      <c r="D95" s="13" t="s">
        <v>316</v>
      </c>
      <c r="E95" s="2">
        <v>6603</v>
      </c>
      <c r="F95" s="3" t="s">
        <v>882</v>
      </c>
      <c r="G95" s="3" t="s">
        <v>321</v>
      </c>
      <c r="H95" s="11" t="e">
        <f>IF(I95=0,0,#REF!)</f>
        <v>#REF!</v>
      </c>
      <c r="I95" s="2" t="e">
        <f>#REF!</f>
        <v>#REF!</v>
      </c>
      <c r="J95" s="11" t="e">
        <f>IF(K95=0,0,#REF!)</f>
        <v>#REF!</v>
      </c>
      <c r="K95" s="2" t="e">
        <f>#REF!</f>
        <v>#REF!</v>
      </c>
      <c r="L95" s="11" t="e">
        <f>IF(M95=0,0,#REF!)</f>
        <v>#REF!</v>
      </c>
      <c r="M95" s="2" t="e">
        <f>#REF!</f>
        <v>#REF!</v>
      </c>
      <c r="N95" s="57"/>
      <c r="O95" s="57"/>
    </row>
    <row r="96" spans="3:15" x14ac:dyDescent="0.25">
      <c r="C96" s="1" t="s">
        <v>323</v>
      </c>
      <c r="D96" s="13" t="s">
        <v>324</v>
      </c>
      <c r="E96" s="2">
        <v>6606</v>
      </c>
      <c r="F96" s="3">
        <v>208141</v>
      </c>
      <c r="G96" s="3" t="s">
        <v>325</v>
      </c>
      <c r="H96" s="11" t="e">
        <f>IF(I96=0,0,#REF!)</f>
        <v>#REF!</v>
      </c>
      <c r="I96" s="2" t="e">
        <f>#REF!</f>
        <v>#REF!</v>
      </c>
      <c r="J96" s="11" t="e">
        <f>IF(K96=0,0,#REF!)</f>
        <v>#REF!</v>
      </c>
      <c r="K96" s="2" t="e">
        <f>#REF!</f>
        <v>#REF!</v>
      </c>
      <c r="L96" s="11" t="e">
        <f>IF(M96=0,0,#REF!)</f>
        <v>#REF!</v>
      </c>
      <c r="M96" s="2" t="e">
        <f>#REF!</f>
        <v>#REF!</v>
      </c>
      <c r="N96" s="57"/>
      <c r="O96" s="57"/>
    </row>
    <row r="97" spans="3:15" x14ac:dyDescent="0.25">
      <c r="C97" s="1" t="s">
        <v>328</v>
      </c>
      <c r="D97" s="13" t="s">
        <v>329</v>
      </c>
      <c r="E97" s="2">
        <v>6610</v>
      </c>
      <c r="F97" s="3">
        <v>204587</v>
      </c>
      <c r="G97" s="3" t="s">
        <v>330</v>
      </c>
      <c r="H97" s="11" t="e">
        <f>IF(I97=0,0,#REF!)</f>
        <v>#REF!</v>
      </c>
      <c r="I97" s="2" t="e">
        <f>#REF!</f>
        <v>#REF!</v>
      </c>
      <c r="J97" s="11" t="e">
        <f>IF(K97=0,0,#REF!)</f>
        <v>#REF!</v>
      </c>
      <c r="K97" s="2" t="e">
        <f>#REF!</f>
        <v>#REF!</v>
      </c>
      <c r="L97" s="11" t="e">
        <f>IF(M97=0,0,#REF!)</f>
        <v>#REF!</v>
      </c>
      <c r="M97" s="2" t="e">
        <f>#REF!</f>
        <v>#REF!</v>
      </c>
      <c r="N97" s="57"/>
      <c r="O97" s="57"/>
    </row>
    <row r="98" spans="3:15" x14ac:dyDescent="0.25">
      <c r="C98" s="1" t="s">
        <v>331</v>
      </c>
      <c r="D98" s="13" t="s">
        <v>332</v>
      </c>
      <c r="E98" s="2">
        <v>6616</v>
      </c>
      <c r="F98" s="3">
        <v>214087</v>
      </c>
      <c r="G98" s="3" t="s">
        <v>333</v>
      </c>
      <c r="H98" s="11" t="e">
        <f>IF(I98=0,0,#REF!)</f>
        <v>#REF!</v>
      </c>
      <c r="I98" s="2" t="e">
        <f>#REF!</f>
        <v>#REF!</v>
      </c>
      <c r="J98" s="11" t="e">
        <f>IF(K98=0,0,#REF!)</f>
        <v>#REF!</v>
      </c>
      <c r="K98" s="2" t="e">
        <f>#REF!</f>
        <v>#REF!</v>
      </c>
      <c r="L98" s="11" t="e">
        <f>IF(M98=0,0,#REF!)</f>
        <v>#REF!</v>
      </c>
      <c r="M98" s="2" t="e">
        <f>#REF!</f>
        <v>#REF!</v>
      </c>
      <c r="N98" s="57"/>
      <c r="O98" s="57"/>
    </row>
    <row r="99" spans="3:15" x14ac:dyDescent="0.25">
      <c r="C99" s="1" t="s">
        <v>335</v>
      </c>
      <c r="D99" s="13" t="s">
        <v>336</v>
      </c>
      <c r="E99" s="2">
        <v>6617</v>
      </c>
      <c r="F99" s="3">
        <v>204531</v>
      </c>
      <c r="G99" s="3" t="s">
        <v>337</v>
      </c>
      <c r="H99" s="11" t="e">
        <f>IF(I99=0,0,#REF!)</f>
        <v>#REF!</v>
      </c>
      <c r="I99" s="2" t="e">
        <f>#REF!</f>
        <v>#REF!</v>
      </c>
      <c r="J99" s="11" t="e">
        <f>IF(K99=0,0,#REF!)</f>
        <v>#REF!</v>
      </c>
      <c r="K99" s="2" t="e">
        <f>#REF!</f>
        <v>#REF!</v>
      </c>
      <c r="L99" s="11" t="e">
        <f>IF(M99=0,0,#REF!)</f>
        <v>#REF!</v>
      </c>
      <c r="M99" s="2" t="e">
        <f>#REF!</f>
        <v>#REF!</v>
      </c>
      <c r="N99" s="57"/>
      <c r="O99" s="57"/>
    </row>
    <row r="100" spans="3:15" x14ac:dyDescent="0.25">
      <c r="C100" s="1" t="s">
        <v>339</v>
      </c>
      <c r="D100" s="13" t="s">
        <v>340</v>
      </c>
      <c r="E100" s="2">
        <v>6619</v>
      </c>
      <c r="F100" s="3">
        <v>205529</v>
      </c>
      <c r="G100" s="3" t="s">
        <v>341</v>
      </c>
      <c r="H100" s="11" t="e">
        <f>IF(I100=0,0,#REF!)</f>
        <v>#REF!</v>
      </c>
      <c r="I100" s="2" t="e">
        <f>#REF!</f>
        <v>#REF!</v>
      </c>
      <c r="J100" s="11" t="e">
        <f>IF(K100=0,0,#REF!)</f>
        <v>#REF!</v>
      </c>
      <c r="K100" s="2" t="e">
        <f>#REF!</f>
        <v>#REF!</v>
      </c>
      <c r="L100" s="11" t="e">
        <f>IF(M100=0,0,#REF!)</f>
        <v>#REF!</v>
      </c>
      <c r="M100" s="2" t="e">
        <f>#REF!</f>
        <v>#REF!</v>
      </c>
      <c r="N100" s="57"/>
      <c r="O100" s="57"/>
    </row>
    <row r="101" spans="3:15" x14ac:dyDescent="0.25">
      <c r="C101" s="1" t="s">
        <v>342</v>
      </c>
      <c r="D101" s="13" t="s">
        <v>343</v>
      </c>
      <c r="E101" s="2">
        <v>6620</v>
      </c>
      <c r="F101" s="3" t="s">
        <v>344</v>
      </c>
      <c r="G101" s="3" t="s">
        <v>345</v>
      </c>
      <c r="H101" s="11" t="e">
        <f>IF(I101=0,0,#REF!)</f>
        <v>#REF!</v>
      </c>
      <c r="I101" s="2" t="e">
        <f>#REF!</f>
        <v>#REF!</v>
      </c>
      <c r="J101" s="11" t="e">
        <f>IF(K101=0,0,#REF!)</f>
        <v>#REF!</v>
      </c>
      <c r="K101" s="2" t="e">
        <f>#REF!</f>
        <v>#REF!</v>
      </c>
      <c r="L101" s="11" t="e">
        <f>IF(M101=0,0,#REF!)</f>
        <v>#REF!</v>
      </c>
      <c r="M101" s="2" t="e">
        <f>#REF!</f>
        <v>#REF!</v>
      </c>
      <c r="N101" s="57"/>
      <c r="O101" s="57"/>
    </row>
    <row r="102" spans="3:15" x14ac:dyDescent="0.25">
      <c r="C102" s="1" t="s">
        <v>346</v>
      </c>
      <c r="D102" s="13" t="s">
        <v>347</v>
      </c>
      <c r="E102" s="2">
        <v>6621</v>
      </c>
      <c r="F102" s="3">
        <v>206218</v>
      </c>
      <c r="G102" s="3" t="s">
        <v>348</v>
      </c>
      <c r="H102" s="11" t="e">
        <f>IF(I102=0,0,#REF!)</f>
        <v>#REF!</v>
      </c>
      <c r="I102" s="2" t="e">
        <f>#REF!</f>
        <v>#REF!</v>
      </c>
      <c r="J102" s="11" t="e">
        <f>IF(K102=0,0,#REF!)</f>
        <v>#REF!</v>
      </c>
      <c r="K102" s="2" t="e">
        <f>#REF!</f>
        <v>#REF!</v>
      </c>
      <c r="L102" s="11" t="e">
        <f>IF(M102=0,0,#REF!)</f>
        <v>#REF!</v>
      </c>
      <c r="M102" s="2" t="e">
        <f>#REF!</f>
        <v>#REF!</v>
      </c>
      <c r="N102" s="57"/>
      <c r="O102" s="57"/>
    </row>
    <row r="103" spans="3:15" x14ac:dyDescent="0.25">
      <c r="C103" s="1" t="s">
        <v>350</v>
      </c>
      <c r="D103" s="13" t="s">
        <v>351</v>
      </c>
      <c r="E103" s="2">
        <v>6623</v>
      </c>
      <c r="F103" s="3" t="s">
        <v>883</v>
      </c>
      <c r="G103" s="3" t="s">
        <v>352</v>
      </c>
      <c r="H103" s="11" t="e">
        <f>IF(I103=0,0,#REF!)</f>
        <v>#REF!</v>
      </c>
      <c r="I103" s="2" t="e">
        <f>#REF!</f>
        <v>#REF!</v>
      </c>
      <c r="J103" s="11" t="e">
        <f>IF(K103=0,0,#REF!)</f>
        <v>#REF!</v>
      </c>
      <c r="K103" s="2" t="e">
        <f>#REF!</f>
        <v>#REF!</v>
      </c>
      <c r="L103" s="11" t="e">
        <f>IF(M103=0,0,#REF!)</f>
        <v>#REF!</v>
      </c>
      <c r="M103" s="2" t="e">
        <f>#REF!</f>
        <v>#REF!</v>
      </c>
      <c r="N103" s="57"/>
      <c r="O103" s="57"/>
    </row>
    <row r="104" spans="3:15" x14ac:dyDescent="0.25">
      <c r="C104" s="1" t="s">
        <v>350</v>
      </c>
      <c r="D104" s="13" t="s">
        <v>351</v>
      </c>
      <c r="E104" s="2">
        <v>6623</v>
      </c>
      <c r="F104" s="3"/>
      <c r="G104" s="3" t="s">
        <v>884</v>
      </c>
      <c r="H104" s="11" t="e">
        <f>IF(I104=0,0,#REF!)</f>
        <v>#REF!</v>
      </c>
      <c r="I104" s="2" t="e">
        <f>#REF!</f>
        <v>#REF!</v>
      </c>
      <c r="J104" s="11" t="e">
        <f>IF(K104=0,0,#REF!)</f>
        <v>#REF!</v>
      </c>
      <c r="K104" s="2" t="e">
        <f>#REF!</f>
        <v>#REF!</v>
      </c>
      <c r="L104" s="11" t="e">
        <f>IF(M104=0,0,#REF!)</f>
        <v>#REF!</v>
      </c>
      <c r="M104" s="2" t="e">
        <f>#REF!</f>
        <v>#REF!</v>
      </c>
      <c r="N104" s="57"/>
      <c r="O104" s="57"/>
    </row>
    <row r="105" spans="3:15" x14ac:dyDescent="0.25">
      <c r="C105" s="1" t="s">
        <v>354</v>
      </c>
      <c r="D105" s="13" t="s">
        <v>355</v>
      </c>
      <c r="E105" s="2">
        <v>6626</v>
      </c>
      <c r="F105" s="3">
        <v>204545</v>
      </c>
      <c r="G105" s="3" t="s">
        <v>356</v>
      </c>
      <c r="H105" s="11" t="e">
        <f>IF(I105=0,0,#REF!)</f>
        <v>#REF!</v>
      </c>
      <c r="I105" s="2" t="e">
        <f>#REF!</f>
        <v>#REF!</v>
      </c>
      <c r="J105" s="11" t="e">
        <f>IF(K105=0,0,#REF!)</f>
        <v>#REF!</v>
      </c>
      <c r="K105" s="2" t="e">
        <f>#REF!</f>
        <v>#REF!</v>
      </c>
      <c r="L105" s="11" t="e">
        <f>IF(M105=0,0,#REF!)</f>
        <v>#REF!</v>
      </c>
      <c r="M105" s="2" t="e">
        <f>#REF!</f>
        <v>#REF!</v>
      </c>
      <c r="N105" s="57"/>
      <c r="O105" s="57"/>
    </row>
    <row r="106" spans="3:15" x14ac:dyDescent="0.25">
      <c r="C106" s="1" t="s">
        <v>358</v>
      </c>
      <c r="D106" s="13" t="s">
        <v>359</v>
      </c>
      <c r="E106" s="2">
        <v>6627</v>
      </c>
      <c r="F106" s="3">
        <v>204515</v>
      </c>
      <c r="G106" s="3" t="s">
        <v>360</v>
      </c>
      <c r="H106" s="11" t="e">
        <f>IF(I106=0,0,#REF!)</f>
        <v>#REF!</v>
      </c>
      <c r="I106" s="2" t="e">
        <f>#REF!</f>
        <v>#REF!</v>
      </c>
      <c r="J106" s="11" t="e">
        <f>IF(K106=0,0,#REF!)</f>
        <v>#REF!</v>
      </c>
      <c r="K106" s="2" t="e">
        <f>#REF!</f>
        <v>#REF!</v>
      </c>
      <c r="L106" s="11" t="e">
        <f>IF(M106=0,0,#REF!)</f>
        <v>#REF!</v>
      </c>
      <c r="M106" s="2" t="e">
        <f>#REF!</f>
        <v>#REF!</v>
      </c>
      <c r="N106" s="57"/>
      <c r="O106" s="57"/>
    </row>
    <row r="107" spans="3:15" x14ac:dyDescent="0.25">
      <c r="C107" s="1" t="s">
        <v>362</v>
      </c>
      <c r="D107" s="13" t="s">
        <v>363</v>
      </c>
      <c r="E107" s="2">
        <v>6628</v>
      </c>
      <c r="F107" s="3">
        <v>206108</v>
      </c>
      <c r="G107" s="3" t="s">
        <v>364</v>
      </c>
      <c r="H107" s="11" t="e">
        <f>IF(I107=0,0,#REF!)</f>
        <v>#REF!</v>
      </c>
      <c r="I107" s="2" t="e">
        <f>#REF!</f>
        <v>#REF!</v>
      </c>
      <c r="J107" s="11" t="e">
        <f>IF(K107=0,0,#REF!)</f>
        <v>#REF!</v>
      </c>
      <c r="K107" s="2" t="e">
        <f>#REF!</f>
        <v>#REF!</v>
      </c>
      <c r="L107" s="11" t="e">
        <f>IF(M107=0,0,#REF!)</f>
        <v>#REF!</v>
      </c>
      <c r="M107" s="2" t="e">
        <f>#REF!</f>
        <v>#REF!</v>
      </c>
      <c r="N107" s="57"/>
      <c r="O107" s="57"/>
    </row>
    <row r="108" spans="3:15" x14ac:dyDescent="0.25">
      <c r="C108" s="1" t="s">
        <v>362</v>
      </c>
      <c r="D108" s="13" t="s">
        <v>363</v>
      </c>
      <c r="E108" s="2">
        <v>6628</v>
      </c>
      <c r="F108" s="3">
        <v>206109</v>
      </c>
      <c r="G108" s="3" t="s">
        <v>366</v>
      </c>
      <c r="H108" s="11" t="e">
        <f>IF(I108=0,0,#REF!)</f>
        <v>#REF!</v>
      </c>
      <c r="I108" s="2" t="e">
        <f>#REF!</f>
        <v>#REF!</v>
      </c>
      <c r="J108" s="11" t="e">
        <f>IF(K108=0,0,#REF!)</f>
        <v>#REF!</v>
      </c>
      <c r="K108" s="2" t="e">
        <f>#REF!</f>
        <v>#REF!</v>
      </c>
      <c r="L108" s="11" t="e">
        <f>IF(M108=0,0,#REF!)</f>
        <v>#REF!</v>
      </c>
      <c r="M108" s="2" t="e">
        <f>#REF!</f>
        <v>#REF!</v>
      </c>
      <c r="N108" s="57"/>
      <c r="O108" s="57"/>
    </row>
    <row r="109" spans="3:15" x14ac:dyDescent="0.25">
      <c r="C109" s="1" t="s">
        <v>362</v>
      </c>
      <c r="D109" s="13" t="s">
        <v>363</v>
      </c>
      <c r="E109" s="2">
        <v>6628</v>
      </c>
      <c r="F109" s="3">
        <v>206110</v>
      </c>
      <c r="G109" s="3" t="s">
        <v>367</v>
      </c>
      <c r="H109" s="11" t="e">
        <f>IF(I109=0,0,#REF!)</f>
        <v>#REF!</v>
      </c>
      <c r="I109" s="2" t="e">
        <f>#REF!</f>
        <v>#REF!</v>
      </c>
      <c r="J109" s="11" t="e">
        <f>IF(K109=0,0,#REF!)</f>
        <v>#REF!</v>
      </c>
      <c r="K109" s="2" t="e">
        <f>#REF!</f>
        <v>#REF!</v>
      </c>
      <c r="L109" s="11" t="e">
        <f>IF(M109=0,0,#REF!)</f>
        <v>#REF!</v>
      </c>
      <c r="M109" s="2" t="e">
        <f>#REF!</f>
        <v>#REF!</v>
      </c>
      <c r="N109" s="57"/>
      <c r="O109" s="57"/>
    </row>
    <row r="110" spans="3:15" x14ac:dyDescent="0.25">
      <c r="C110" s="1" t="s">
        <v>369</v>
      </c>
      <c r="D110" s="13" t="s">
        <v>370</v>
      </c>
      <c r="E110" s="2">
        <v>6629</v>
      </c>
      <c r="F110" s="3">
        <v>206755</v>
      </c>
      <c r="G110" s="3" t="s">
        <v>371</v>
      </c>
      <c r="H110" s="11" t="e">
        <f>IF(I110=0,0,#REF!)</f>
        <v>#REF!</v>
      </c>
      <c r="I110" s="2" t="e">
        <f>#REF!</f>
        <v>#REF!</v>
      </c>
      <c r="J110" s="11" t="e">
        <f>IF(K110=0,0,#REF!)</f>
        <v>#REF!</v>
      </c>
      <c r="K110" s="2" t="e">
        <f>#REF!</f>
        <v>#REF!</v>
      </c>
      <c r="L110" s="11" t="e">
        <f>IF(M110=0,0,#REF!)</f>
        <v>#REF!</v>
      </c>
      <c r="M110" s="2" t="e">
        <f>#REF!</f>
        <v>#REF!</v>
      </c>
      <c r="N110" s="57"/>
      <c r="O110" s="57"/>
    </row>
    <row r="111" spans="3:15" x14ac:dyDescent="0.25">
      <c r="C111" s="1" t="s">
        <v>373</v>
      </c>
      <c r="D111" s="13" t="s">
        <v>374</v>
      </c>
      <c r="E111" s="2">
        <v>6632</v>
      </c>
      <c r="F111" s="3">
        <v>206286</v>
      </c>
      <c r="G111" s="3" t="s">
        <v>375</v>
      </c>
      <c r="H111" s="11" t="e">
        <f>IF(I111=0,0,#REF!)</f>
        <v>#REF!</v>
      </c>
      <c r="I111" s="2" t="e">
        <f>#REF!</f>
        <v>#REF!</v>
      </c>
      <c r="J111" s="11" t="e">
        <f>IF(K111=0,0,#REF!)</f>
        <v>#REF!</v>
      </c>
      <c r="K111" s="2" t="e">
        <f>#REF!</f>
        <v>#REF!</v>
      </c>
      <c r="L111" s="11" t="e">
        <f>IF(M111=0,0,#REF!)</f>
        <v>#REF!</v>
      </c>
      <c r="M111" s="2" t="e">
        <f>#REF!</f>
        <v>#REF!</v>
      </c>
      <c r="N111" s="57"/>
      <c r="O111" s="57"/>
    </row>
    <row r="112" spans="3:15" x14ac:dyDescent="0.25">
      <c r="C112" s="1" t="s">
        <v>376</v>
      </c>
      <c r="D112" s="13" t="s">
        <v>377</v>
      </c>
      <c r="E112" s="2">
        <v>6633</v>
      </c>
      <c r="F112" s="3">
        <v>204533</v>
      </c>
      <c r="G112" s="3" t="s">
        <v>378</v>
      </c>
      <c r="H112" s="11" t="e">
        <f>IF(I112=0,0,#REF!)</f>
        <v>#REF!</v>
      </c>
      <c r="I112" s="2" t="e">
        <f>#REF!</f>
        <v>#REF!</v>
      </c>
      <c r="J112" s="11" t="e">
        <f>IF(K112=0,0,#REF!)</f>
        <v>#REF!</v>
      </c>
      <c r="K112" s="2" t="e">
        <f>#REF!</f>
        <v>#REF!</v>
      </c>
      <c r="L112" s="11" t="e">
        <f>IF(M112=0,0,#REF!)</f>
        <v>#REF!</v>
      </c>
      <c r="M112" s="2" t="e">
        <f>#REF!</f>
        <v>#REF!</v>
      </c>
      <c r="N112" s="57"/>
      <c r="O112" s="57"/>
    </row>
    <row r="113" spans="3:15" x14ac:dyDescent="0.25">
      <c r="C113" s="1" t="s">
        <v>380</v>
      </c>
      <c r="D113" s="13" t="s">
        <v>381</v>
      </c>
      <c r="E113" s="2">
        <v>6636</v>
      </c>
      <c r="F113" s="3">
        <v>204588</v>
      </c>
      <c r="G113" s="3" t="s">
        <v>382</v>
      </c>
      <c r="H113" s="11" t="e">
        <f>IF(I113=0,0,#REF!)</f>
        <v>#REF!</v>
      </c>
      <c r="I113" s="2" t="e">
        <f>#REF!</f>
        <v>#REF!</v>
      </c>
      <c r="J113" s="11" t="e">
        <f>IF(K113=0,0,#REF!)</f>
        <v>#REF!</v>
      </c>
      <c r="K113" s="2" t="e">
        <f>#REF!</f>
        <v>#REF!</v>
      </c>
      <c r="L113" s="11" t="e">
        <f>IF(M113=0,0,#REF!)</f>
        <v>#REF!</v>
      </c>
      <c r="M113" s="2" t="e">
        <f>#REF!</f>
        <v>#REF!</v>
      </c>
      <c r="N113" s="57"/>
      <c r="O113" s="57"/>
    </row>
    <row r="114" spans="3:15" x14ac:dyDescent="0.25">
      <c r="C114" s="1" t="s">
        <v>384</v>
      </c>
      <c r="D114" s="13" t="s">
        <v>385</v>
      </c>
      <c r="E114" s="2">
        <v>6638</v>
      </c>
      <c r="F114" s="3">
        <v>204631</v>
      </c>
      <c r="G114" s="3" t="s">
        <v>386</v>
      </c>
      <c r="H114" s="11" t="e">
        <f>IF(I114=0,0,#REF!)</f>
        <v>#REF!</v>
      </c>
      <c r="I114" s="2" t="e">
        <f>#REF!</f>
        <v>#REF!</v>
      </c>
      <c r="J114" s="11" t="e">
        <f>IF(K114=0,0,#REF!)</f>
        <v>#REF!</v>
      </c>
      <c r="K114" s="2" t="e">
        <f>#REF!</f>
        <v>#REF!</v>
      </c>
      <c r="L114" s="11" t="e">
        <f>IF(M114=0,0,#REF!)</f>
        <v>#REF!</v>
      </c>
      <c r="M114" s="2" t="e">
        <f>#REF!</f>
        <v>#REF!</v>
      </c>
      <c r="N114" s="57"/>
      <c r="O114" s="57"/>
    </row>
    <row r="115" spans="3:15" x14ac:dyDescent="0.25">
      <c r="C115" s="1" t="s">
        <v>388</v>
      </c>
      <c r="D115" s="13" t="s">
        <v>389</v>
      </c>
      <c r="E115" s="2" t="s">
        <v>390</v>
      </c>
      <c r="F115" s="3">
        <v>243073</v>
      </c>
      <c r="G115" s="3" t="s">
        <v>391</v>
      </c>
      <c r="H115" s="11" t="e">
        <f>IF(I115=0,0,#REF!)</f>
        <v>#REF!</v>
      </c>
      <c r="I115" s="2" t="e">
        <f>#REF!</f>
        <v>#REF!</v>
      </c>
      <c r="J115" s="11" t="e">
        <f>IF(K115=0,0,#REF!)</f>
        <v>#REF!</v>
      </c>
      <c r="K115" s="2" t="e">
        <f>#REF!</f>
        <v>#REF!</v>
      </c>
      <c r="L115" s="11" t="e">
        <f>IF(M115=0,0,#REF!)</f>
        <v>#REF!</v>
      </c>
      <c r="M115" s="2" t="e">
        <f>#REF!</f>
        <v>#REF!</v>
      </c>
      <c r="N115" s="57"/>
      <c r="O115" s="57"/>
    </row>
    <row r="116" spans="3:15" x14ac:dyDescent="0.25">
      <c r="C116" s="1" t="s">
        <v>388</v>
      </c>
      <c r="D116" s="13" t="s">
        <v>389</v>
      </c>
      <c r="E116" s="2" t="s">
        <v>61</v>
      </c>
      <c r="F116" s="3">
        <v>243073</v>
      </c>
      <c r="G116" s="3" t="s">
        <v>391</v>
      </c>
      <c r="H116" s="11" t="e">
        <f>IF(I116=0,0,#REF!)</f>
        <v>#REF!</v>
      </c>
      <c r="I116" s="2" t="e">
        <f>#REF!</f>
        <v>#REF!</v>
      </c>
      <c r="J116" s="11" t="e">
        <f>IF(K116=0,0,#REF!)</f>
        <v>#REF!</v>
      </c>
      <c r="K116" s="2" t="e">
        <f>#REF!</f>
        <v>#REF!</v>
      </c>
      <c r="L116" s="11" t="e">
        <f>IF(M116=0,0,#REF!)</f>
        <v>#REF!</v>
      </c>
      <c r="M116" s="2" t="e">
        <f>#REF!</f>
        <v>#REF!</v>
      </c>
      <c r="N116" s="57"/>
      <c r="O116" s="57"/>
    </row>
    <row r="117" spans="3:15" x14ac:dyDescent="0.25">
      <c r="C117" s="1" t="s">
        <v>393</v>
      </c>
      <c r="D117" s="13" t="s">
        <v>394</v>
      </c>
      <c r="E117" s="2">
        <v>6649</v>
      </c>
      <c r="F117" s="3" t="s">
        <v>395</v>
      </c>
      <c r="G117" s="3" t="s">
        <v>396</v>
      </c>
      <c r="H117" s="11" t="e">
        <f>IF(I117=0,0,#REF!)</f>
        <v>#REF!</v>
      </c>
      <c r="I117" s="2" t="e">
        <f>#REF!</f>
        <v>#REF!</v>
      </c>
      <c r="J117" s="11" t="e">
        <f>IF(K117=0,0,#REF!)</f>
        <v>#REF!</v>
      </c>
      <c r="K117" s="2" t="e">
        <f>#REF!</f>
        <v>#REF!</v>
      </c>
      <c r="L117" s="11" t="e">
        <f>IF(M117=0,0,#REF!)</f>
        <v>#REF!</v>
      </c>
      <c r="M117" s="2" t="e">
        <f>#REF!</f>
        <v>#REF!</v>
      </c>
      <c r="N117" s="57"/>
      <c r="O117" s="57"/>
    </row>
    <row r="118" spans="3:15" x14ac:dyDescent="0.25">
      <c r="C118" s="1" t="s">
        <v>397</v>
      </c>
      <c r="D118" s="13" t="s">
        <v>398</v>
      </c>
      <c r="E118" s="2">
        <v>6652</v>
      </c>
      <c r="F118" s="3">
        <v>204578</v>
      </c>
      <c r="G118" s="3" t="s">
        <v>399</v>
      </c>
      <c r="H118" s="11" t="e">
        <f>IF(I118=0,0,#REF!)</f>
        <v>#REF!</v>
      </c>
      <c r="I118" s="2" t="e">
        <f>#REF!</f>
        <v>#REF!</v>
      </c>
      <c r="J118" s="11" t="e">
        <f>IF(K118=0,0,#REF!)</f>
        <v>#REF!</v>
      </c>
      <c r="K118" s="2" t="e">
        <f>#REF!</f>
        <v>#REF!</v>
      </c>
      <c r="L118" s="11" t="e">
        <f>IF(M118=0,0,#REF!)</f>
        <v>#REF!</v>
      </c>
      <c r="M118" s="2" t="e">
        <f>#REF!</f>
        <v>#REF!</v>
      </c>
      <c r="N118" s="57"/>
      <c r="O118" s="57"/>
    </row>
    <row r="119" spans="3:15" x14ac:dyDescent="0.25">
      <c r="C119" s="1" t="s">
        <v>401</v>
      </c>
      <c r="D119" s="13" t="s">
        <v>402</v>
      </c>
      <c r="E119" s="2">
        <v>6660</v>
      </c>
      <c r="F119" s="3">
        <v>204583</v>
      </c>
      <c r="G119" s="3" t="s">
        <v>403</v>
      </c>
      <c r="H119" s="11" t="e">
        <f>IF(I119=0,0,#REF!)</f>
        <v>#REF!</v>
      </c>
      <c r="I119" s="2" t="e">
        <f>#REF!</f>
        <v>#REF!</v>
      </c>
      <c r="J119" s="11" t="e">
        <f>IF(K119=0,0,#REF!)</f>
        <v>#REF!</v>
      </c>
      <c r="K119" s="2" t="e">
        <f>#REF!</f>
        <v>#REF!</v>
      </c>
      <c r="L119" s="11" t="e">
        <f>IF(M119=0,0,#REF!)</f>
        <v>#REF!</v>
      </c>
      <c r="M119" s="2" t="e">
        <f>#REF!</f>
        <v>#REF!</v>
      </c>
      <c r="N119" s="57"/>
      <c r="O119" s="57"/>
    </row>
    <row r="120" spans="3:15" x14ac:dyDescent="0.25">
      <c r="C120" s="1" t="s">
        <v>405</v>
      </c>
      <c r="D120" s="13" t="s">
        <v>406</v>
      </c>
      <c r="E120" s="2">
        <v>6664</v>
      </c>
      <c r="F120" s="3">
        <v>204583</v>
      </c>
      <c r="G120" s="3" t="s">
        <v>407</v>
      </c>
      <c r="H120" s="11" t="e">
        <f>IF(I120=0,0,#REF!)</f>
        <v>#REF!</v>
      </c>
      <c r="I120" s="2" t="e">
        <f>#REF!</f>
        <v>#REF!</v>
      </c>
      <c r="J120" s="11" t="e">
        <f>IF(K120=0,0,#REF!)</f>
        <v>#REF!</v>
      </c>
      <c r="K120" s="2" t="e">
        <f>#REF!</f>
        <v>#REF!</v>
      </c>
      <c r="L120" s="11" t="e">
        <f>IF(M120=0,0,#REF!)</f>
        <v>#REF!</v>
      </c>
      <c r="M120" s="2" t="e">
        <f>#REF!</f>
        <v>#REF!</v>
      </c>
      <c r="N120" s="57"/>
      <c r="O120" s="57"/>
    </row>
    <row r="121" spans="3:15" x14ac:dyDescent="0.25">
      <c r="C121" s="1" t="s">
        <v>408</v>
      </c>
      <c r="D121" s="13" t="s">
        <v>409</v>
      </c>
      <c r="E121" s="2">
        <v>6685</v>
      </c>
      <c r="F121" s="3">
        <v>204583</v>
      </c>
      <c r="G121" s="3" t="s">
        <v>410</v>
      </c>
      <c r="H121" s="11" t="e">
        <f>IF(I121=0,0,#REF!)</f>
        <v>#REF!</v>
      </c>
      <c r="I121" s="2" t="e">
        <f>#REF!</f>
        <v>#REF!</v>
      </c>
      <c r="J121" s="11" t="e">
        <f>IF(K121=0,0,#REF!)</f>
        <v>#REF!</v>
      </c>
      <c r="K121" s="2" t="e">
        <f>#REF!</f>
        <v>#REF!</v>
      </c>
      <c r="L121" s="11" t="e">
        <f>IF(M121=0,0,#REF!)</f>
        <v>#REF!</v>
      </c>
      <c r="M121" s="2" t="e">
        <f>#REF!</f>
        <v>#REF!</v>
      </c>
      <c r="N121" s="57"/>
      <c r="O121" s="57"/>
    </row>
    <row r="122" spans="3:15" x14ac:dyDescent="0.25">
      <c r="C122" s="1" t="s">
        <v>411</v>
      </c>
      <c r="D122" s="13" t="s">
        <v>412</v>
      </c>
      <c r="E122" s="2">
        <v>6686</v>
      </c>
      <c r="F122" s="3">
        <v>204593</v>
      </c>
      <c r="G122" s="3" t="s">
        <v>413</v>
      </c>
      <c r="H122" s="11" t="e">
        <f>IF(I122=0,0,#REF!)</f>
        <v>#REF!</v>
      </c>
      <c r="I122" s="2" t="e">
        <f>#REF!</f>
        <v>#REF!</v>
      </c>
      <c r="J122" s="11" t="e">
        <f>IF(K122=0,0,#REF!)</f>
        <v>#REF!</v>
      </c>
      <c r="K122" s="2" t="e">
        <f>#REF!</f>
        <v>#REF!</v>
      </c>
      <c r="L122" s="11" t="e">
        <f>IF(M122=0,0,#REF!)</f>
        <v>#REF!</v>
      </c>
      <c r="M122" s="2" t="e">
        <f>#REF!</f>
        <v>#REF!</v>
      </c>
      <c r="N122" s="57"/>
      <c r="O122" s="57"/>
    </row>
    <row r="123" spans="3:15" x14ac:dyDescent="0.25">
      <c r="C123" s="1" t="s">
        <v>415</v>
      </c>
      <c r="D123" s="13" t="s">
        <v>416</v>
      </c>
      <c r="E123" s="2">
        <v>6687</v>
      </c>
      <c r="F123" s="3">
        <v>204570</v>
      </c>
      <c r="G123" s="3" t="s">
        <v>417</v>
      </c>
      <c r="H123" s="11" t="e">
        <f>IF(I123=0,0,#REF!)</f>
        <v>#REF!</v>
      </c>
      <c r="I123" s="2" t="e">
        <f>#REF!</f>
        <v>#REF!</v>
      </c>
      <c r="J123" s="11" t="e">
        <f>IF(K123=0,0,#REF!)</f>
        <v>#REF!</v>
      </c>
      <c r="K123" s="2" t="e">
        <f>#REF!</f>
        <v>#REF!</v>
      </c>
      <c r="L123" s="11" t="e">
        <f>IF(M123=0,0,#REF!)</f>
        <v>#REF!</v>
      </c>
      <c r="M123" s="2" t="e">
        <f>#REF!</f>
        <v>#REF!</v>
      </c>
      <c r="N123" s="57"/>
      <c r="O123" s="57"/>
    </row>
    <row r="124" spans="3:15" x14ac:dyDescent="0.25">
      <c r="C124" s="1" t="s">
        <v>419</v>
      </c>
      <c r="D124" s="13" t="s">
        <v>420</v>
      </c>
      <c r="E124" s="2">
        <v>6688</v>
      </c>
      <c r="F124" s="3" t="s">
        <v>885</v>
      </c>
      <c r="G124" s="3" t="s">
        <v>421</v>
      </c>
      <c r="H124" s="11" t="e">
        <f>IF(I124=0,0,#REF!)</f>
        <v>#REF!</v>
      </c>
      <c r="I124" s="2" t="e">
        <f>#REF!</f>
        <v>#REF!</v>
      </c>
      <c r="J124" s="11" t="e">
        <f>IF(K124=0,0,#REF!)</f>
        <v>#REF!</v>
      </c>
      <c r="K124" s="2" t="e">
        <f>#REF!</f>
        <v>#REF!</v>
      </c>
      <c r="L124" s="11" t="e">
        <f>IF(M124=0,0,#REF!)</f>
        <v>#REF!</v>
      </c>
      <c r="M124" s="2" t="e">
        <f>#REF!</f>
        <v>#REF!</v>
      </c>
      <c r="N124" s="57"/>
      <c r="O124" s="57"/>
    </row>
    <row r="125" spans="3:15" x14ac:dyDescent="0.25">
      <c r="C125" s="1" t="s">
        <v>423</v>
      </c>
      <c r="D125" s="13" t="s">
        <v>424</v>
      </c>
      <c r="E125" s="2">
        <v>6692</v>
      </c>
      <c r="F125" s="3">
        <v>204942</v>
      </c>
      <c r="G125" s="3" t="s">
        <v>425</v>
      </c>
      <c r="H125" s="11" t="e">
        <f>IF(I125=0,0,#REF!)</f>
        <v>#REF!</v>
      </c>
      <c r="I125" s="2" t="e">
        <f>#REF!</f>
        <v>#REF!</v>
      </c>
      <c r="J125" s="11" t="e">
        <f>IF(K125=0,0,#REF!)</f>
        <v>#REF!</v>
      </c>
      <c r="K125" s="2" t="e">
        <f>#REF!</f>
        <v>#REF!</v>
      </c>
      <c r="L125" s="11" t="e">
        <f>IF(M125=0,0,#REF!)</f>
        <v>#REF!</v>
      </c>
      <c r="M125" s="2" t="e">
        <f>#REF!</f>
        <v>#REF!</v>
      </c>
      <c r="N125" s="57"/>
      <c r="O125" s="57"/>
    </row>
    <row r="126" spans="3:15" x14ac:dyDescent="0.25">
      <c r="C126" s="1" t="s">
        <v>426</v>
      </c>
      <c r="D126" s="13" t="s">
        <v>427</v>
      </c>
      <c r="E126" s="2">
        <v>6693</v>
      </c>
      <c r="F126" s="3">
        <v>208499</v>
      </c>
      <c r="G126" s="3" t="s">
        <v>428</v>
      </c>
      <c r="H126" s="11" t="e">
        <f>IF(I126=0,0,#REF!)</f>
        <v>#REF!</v>
      </c>
      <c r="I126" s="2" t="e">
        <f>#REF!</f>
        <v>#REF!</v>
      </c>
      <c r="J126" s="11" t="e">
        <f>IF(K126=0,0,#REF!)</f>
        <v>#REF!</v>
      </c>
      <c r="K126" s="2" t="e">
        <f>#REF!</f>
        <v>#REF!</v>
      </c>
      <c r="L126" s="11" t="e">
        <f>IF(M126=0,0,#REF!)</f>
        <v>#REF!</v>
      </c>
      <c r="M126" s="2" t="e">
        <f>#REF!</f>
        <v>#REF!</v>
      </c>
      <c r="N126" s="57"/>
      <c r="O126" s="57"/>
    </row>
    <row r="127" spans="3:15" x14ac:dyDescent="0.25">
      <c r="C127" s="1" t="s">
        <v>430</v>
      </c>
      <c r="D127" s="13" t="s">
        <v>431</v>
      </c>
      <c r="E127" s="2">
        <v>6694</v>
      </c>
      <c r="F127" s="3" t="s">
        <v>885</v>
      </c>
      <c r="G127" s="3" t="s">
        <v>432</v>
      </c>
      <c r="H127" s="11" t="e">
        <f>IF(I127=0,0,#REF!)</f>
        <v>#REF!</v>
      </c>
      <c r="I127" s="2" t="e">
        <f>#REF!</f>
        <v>#REF!</v>
      </c>
      <c r="J127" s="11" t="e">
        <f>IF(K127=0,0,#REF!)</f>
        <v>#REF!</v>
      </c>
      <c r="K127" s="2" t="e">
        <f>#REF!</f>
        <v>#REF!</v>
      </c>
      <c r="L127" s="11" t="e">
        <f>IF(M127=0,0,#REF!)</f>
        <v>#REF!</v>
      </c>
      <c r="M127" s="2" t="e">
        <f>#REF!</f>
        <v>#REF!</v>
      </c>
      <c r="N127" s="57"/>
      <c r="O127" s="57"/>
    </row>
    <row r="128" spans="3:15" x14ac:dyDescent="0.25">
      <c r="C128" s="1" t="s">
        <v>433</v>
      </c>
      <c r="D128" s="13" t="s">
        <v>434</v>
      </c>
      <c r="E128" s="2">
        <v>6696</v>
      </c>
      <c r="F128" s="3">
        <v>204637</v>
      </c>
      <c r="G128" s="3" t="s">
        <v>435</v>
      </c>
      <c r="H128" s="11" t="e">
        <f>IF(I128=0,0,#REF!)</f>
        <v>#REF!</v>
      </c>
      <c r="I128" s="2" t="e">
        <f>#REF!</f>
        <v>#REF!</v>
      </c>
      <c r="J128" s="11" t="e">
        <f>IF(K128=0,0,#REF!)</f>
        <v>#REF!</v>
      </c>
      <c r="K128" s="2" t="e">
        <f>#REF!</f>
        <v>#REF!</v>
      </c>
      <c r="L128" s="11" t="e">
        <f>IF(M128=0,0,#REF!)</f>
        <v>#REF!</v>
      </c>
      <c r="M128" s="2" t="e">
        <f>#REF!</f>
        <v>#REF!</v>
      </c>
      <c r="N128" s="57"/>
      <c r="O128" s="57"/>
    </row>
    <row r="129" spans="3:15" x14ac:dyDescent="0.25">
      <c r="C129" s="1" t="s">
        <v>436</v>
      </c>
      <c r="D129" s="13" t="s">
        <v>437</v>
      </c>
      <c r="E129" s="2">
        <v>6699</v>
      </c>
      <c r="F129" s="3" t="s">
        <v>885</v>
      </c>
      <c r="G129" s="3" t="s">
        <v>438</v>
      </c>
      <c r="H129" s="11" t="e">
        <f>IF(I129=0,0,#REF!)</f>
        <v>#REF!</v>
      </c>
      <c r="I129" s="2" t="e">
        <f>#REF!</f>
        <v>#REF!</v>
      </c>
      <c r="J129" s="11" t="e">
        <f>IF(K129=0,0,#REF!)</f>
        <v>#REF!</v>
      </c>
      <c r="K129" s="2" t="e">
        <f>#REF!</f>
        <v>#REF!</v>
      </c>
      <c r="L129" s="11" t="e">
        <f>IF(M129=0,0,#REF!)</f>
        <v>#REF!</v>
      </c>
      <c r="M129" s="2" t="e">
        <f>#REF!</f>
        <v>#REF!</v>
      </c>
      <c r="N129" s="57"/>
      <c r="O129" s="57"/>
    </row>
    <row r="130" spans="3:15" x14ac:dyDescent="0.25">
      <c r="C130" s="1" t="s">
        <v>439</v>
      </c>
      <c r="D130" s="13" t="s">
        <v>440</v>
      </c>
      <c r="E130" s="2">
        <v>6700</v>
      </c>
      <c r="F130" s="3" t="s">
        <v>885</v>
      </c>
      <c r="G130" s="3" t="s">
        <v>441</v>
      </c>
      <c r="H130" s="11" t="e">
        <f>IF(I130=0,0,#REF!)</f>
        <v>#REF!</v>
      </c>
      <c r="I130" s="2" t="e">
        <f>#REF!</f>
        <v>#REF!</v>
      </c>
      <c r="J130" s="11" t="e">
        <f>IF(K130=0,0,#REF!)</f>
        <v>#REF!</v>
      </c>
      <c r="K130" s="2" t="e">
        <f>#REF!</f>
        <v>#REF!</v>
      </c>
      <c r="L130" s="11" t="e">
        <f>IF(M130=0,0,#REF!)</f>
        <v>#REF!</v>
      </c>
      <c r="M130" s="2" t="e">
        <f>#REF!</f>
        <v>#REF!</v>
      </c>
      <c r="N130" s="57"/>
      <c r="O130" s="57"/>
    </row>
    <row r="131" spans="3:15" x14ac:dyDescent="0.25">
      <c r="C131" s="1" t="s">
        <v>442</v>
      </c>
      <c r="D131" s="13" t="s">
        <v>443</v>
      </c>
      <c r="E131" s="2">
        <v>6701</v>
      </c>
      <c r="F131" s="3">
        <v>204603</v>
      </c>
      <c r="G131" s="3" t="s">
        <v>444</v>
      </c>
      <c r="H131" s="11" t="e">
        <f>IF(I131=0,0,#REF!)</f>
        <v>#REF!</v>
      </c>
      <c r="I131" s="2" t="e">
        <f>#REF!</f>
        <v>#REF!</v>
      </c>
      <c r="J131" s="11" t="e">
        <f>IF(K131=0,0,#REF!)</f>
        <v>#REF!</v>
      </c>
      <c r="K131" s="2" t="e">
        <f>#REF!</f>
        <v>#REF!</v>
      </c>
      <c r="L131" s="11" t="e">
        <f>IF(M131=0,0,#REF!)</f>
        <v>#REF!</v>
      </c>
      <c r="M131" s="2" t="e">
        <f>#REF!</f>
        <v>#REF!</v>
      </c>
      <c r="N131" s="57"/>
      <c r="O131" s="57"/>
    </row>
    <row r="132" spans="3:15" x14ac:dyDescent="0.25">
      <c r="C132" s="1" t="s">
        <v>446</v>
      </c>
      <c r="D132" s="13" t="s">
        <v>447</v>
      </c>
      <c r="E132" s="2">
        <v>6711</v>
      </c>
      <c r="F132" s="3">
        <v>204551</v>
      </c>
      <c r="G132" s="3" t="s">
        <v>449</v>
      </c>
      <c r="H132" s="11" t="e">
        <f>IF(I132=0,0,#REF!)</f>
        <v>#REF!</v>
      </c>
      <c r="I132" s="2" t="e">
        <f>#REF!</f>
        <v>#REF!</v>
      </c>
      <c r="J132" s="11" t="e">
        <f>IF(K132=0,0,#REF!)</f>
        <v>#REF!</v>
      </c>
      <c r="K132" s="2" t="e">
        <f>#REF!</f>
        <v>#REF!</v>
      </c>
      <c r="L132" s="11" t="e">
        <f>IF(M132=0,0,#REF!)</f>
        <v>#REF!</v>
      </c>
      <c r="M132" s="2" t="e">
        <f>#REF!</f>
        <v>#REF!</v>
      </c>
      <c r="N132" s="57"/>
      <c r="O132" s="57"/>
    </row>
    <row r="133" spans="3:15" x14ac:dyDescent="0.25">
      <c r="C133" s="1" t="s">
        <v>450</v>
      </c>
      <c r="D133" s="13" t="s">
        <v>451</v>
      </c>
      <c r="E133" s="2">
        <v>6714</v>
      </c>
      <c r="F133" s="3">
        <v>204634</v>
      </c>
      <c r="G133" s="3" t="s">
        <v>452</v>
      </c>
      <c r="H133" s="11" t="e">
        <f>IF(I133=0,0,#REF!)</f>
        <v>#REF!</v>
      </c>
      <c r="I133" s="2" t="e">
        <f>#REF!</f>
        <v>#REF!</v>
      </c>
      <c r="J133" s="11" t="e">
        <f>IF(K133=0,0,#REF!)</f>
        <v>#REF!</v>
      </c>
      <c r="K133" s="2" t="e">
        <f>#REF!</f>
        <v>#REF!</v>
      </c>
      <c r="L133" s="11" t="e">
        <f>IF(M133=0,0,#REF!)</f>
        <v>#REF!</v>
      </c>
      <c r="M133" s="2" t="e">
        <f>#REF!</f>
        <v>#REF!</v>
      </c>
      <c r="N133" s="57"/>
      <c r="O133" s="57"/>
    </row>
    <row r="134" spans="3:15" x14ac:dyDescent="0.25">
      <c r="C134" s="1" t="s">
        <v>454</v>
      </c>
      <c r="D134" s="13" t="s">
        <v>455</v>
      </c>
      <c r="E134" s="2">
        <v>6715</v>
      </c>
      <c r="F134" s="3"/>
      <c r="G134" s="3" t="s">
        <v>457</v>
      </c>
      <c r="H134" s="11" t="e">
        <f>IF(I134=0,0,#REF!)</f>
        <v>#REF!</v>
      </c>
      <c r="I134" s="2" t="e">
        <f>#REF!</f>
        <v>#REF!</v>
      </c>
      <c r="J134" s="11" t="e">
        <f>IF(K134=0,0,#REF!)</f>
        <v>#REF!</v>
      </c>
      <c r="K134" s="2" t="e">
        <f>#REF!</f>
        <v>#REF!</v>
      </c>
      <c r="L134" s="11" t="e">
        <f>IF(M134=0,0,#REF!)</f>
        <v>#REF!</v>
      </c>
      <c r="M134" s="2" t="e">
        <f>#REF!</f>
        <v>#REF!</v>
      </c>
      <c r="N134" s="57"/>
      <c r="O134" s="57"/>
    </row>
    <row r="135" spans="3:15" x14ac:dyDescent="0.25">
      <c r="C135" s="1" t="s">
        <v>459</v>
      </c>
      <c r="D135" s="13" t="s">
        <v>460</v>
      </c>
      <c r="E135" s="2">
        <v>6716</v>
      </c>
      <c r="F135" s="3">
        <v>204550</v>
      </c>
      <c r="G135" s="3" t="s">
        <v>461</v>
      </c>
      <c r="H135" s="11" t="e">
        <f>IF(I135=0,0,#REF!)</f>
        <v>#REF!</v>
      </c>
      <c r="I135" s="2" t="e">
        <f>#REF!</f>
        <v>#REF!</v>
      </c>
      <c r="J135" s="11" t="e">
        <f>IF(K135=0,0,#REF!)</f>
        <v>#REF!</v>
      </c>
      <c r="K135" s="2" t="e">
        <f>#REF!</f>
        <v>#REF!</v>
      </c>
      <c r="L135" s="11" t="e">
        <f>IF(M135=0,0,#REF!)</f>
        <v>#REF!</v>
      </c>
      <c r="M135" s="2" t="e">
        <f>#REF!</f>
        <v>#REF!</v>
      </c>
      <c r="N135" s="57"/>
      <c r="O135" s="57"/>
    </row>
    <row r="136" spans="3:15" x14ac:dyDescent="0.25">
      <c r="C136" s="1" t="s">
        <v>463</v>
      </c>
      <c r="D136" s="13" t="s">
        <v>464</v>
      </c>
      <c r="E136" s="2">
        <v>6717</v>
      </c>
      <c r="F136" s="3" t="s">
        <v>885</v>
      </c>
      <c r="G136" s="3" t="s">
        <v>465</v>
      </c>
      <c r="H136" s="11" t="e">
        <f>IF(I136=0,0,#REF!)</f>
        <v>#REF!</v>
      </c>
      <c r="I136" s="2" t="e">
        <f>#REF!</f>
        <v>#REF!</v>
      </c>
      <c r="J136" s="11" t="e">
        <f>IF(K136=0,0,#REF!)</f>
        <v>#REF!</v>
      </c>
      <c r="K136" s="2" t="e">
        <f>#REF!</f>
        <v>#REF!</v>
      </c>
      <c r="L136" s="11" t="e">
        <f>IF(M136=0,0,#REF!)</f>
        <v>#REF!</v>
      </c>
      <c r="M136" s="2" t="e">
        <f>#REF!</f>
        <v>#REF!</v>
      </c>
      <c r="N136" s="57"/>
      <c r="O136" s="57"/>
    </row>
    <row r="137" spans="3:15" x14ac:dyDescent="0.25">
      <c r="C137" s="1" t="s">
        <v>466</v>
      </c>
      <c r="D137" s="13" t="s">
        <v>467</v>
      </c>
      <c r="E137" s="2">
        <v>6718</v>
      </c>
      <c r="F137" s="3">
        <v>204525</v>
      </c>
      <c r="G137" s="3" t="s">
        <v>468</v>
      </c>
      <c r="H137" s="11" t="e">
        <f>IF(I137=0,0,#REF!)</f>
        <v>#REF!</v>
      </c>
      <c r="I137" s="2" t="e">
        <f>#REF!</f>
        <v>#REF!</v>
      </c>
      <c r="J137" s="11" t="e">
        <f>IF(K137=0,0,#REF!)</f>
        <v>#REF!</v>
      </c>
      <c r="K137" s="2" t="e">
        <f>#REF!</f>
        <v>#REF!</v>
      </c>
      <c r="L137" s="11" t="e">
        <f>IF(M137=0,0,#REF!)</f>
        <v>#REF!</v>
      </c>
      <c r="M137" s="2" t="e">
        <f>#REF!</f>
        <v>#REF!</v>
      </c>
      <c r="N137" s="57"/>
      <c r="O137" s="57"/>
    </row>
    <row r="138" spans="3:15" x14ac:dyDescent="0.25">
      <c r="C138" s="1" t="s">
        <v>469</v>
      </c>
      <c r="D138" s="13" t="s">
        <v>470</v>
      </c>
      <c r="E138" s="2">
        <v>6719</v>
      </c>
      <c r="F138" s="3">
        <v>204512</v>
      </c>
      <c r="G138" s="3" t="s">
        <v>471</v>
      </c>
      <c r="H138" s="11" t="e">
        <f>IF(I138=0,0,#REF!)</f>
        <v>#REF!</v>
      </c>
      <c r="I138" s="2" t="e">
        <f>#REF!</f>
        <v>#REF!</v>
      </c>
      <c r="J138" s="11" t="e">
        <f>IF(K138=0,0,#REF!)</f>
        <v>#REF!</v>
      </c>
      <c r="K138" s="2" t="e">
        <f>#REF!</f>
        <v>#REF!</v>
      </c>
      <c r="L138" s="11" t="e">
        <f>IF(M138=0,0,#REF!)</f>
        <v>#REF!</v>
      </c>
      <c r="M138" s="2" t="e">
        <f>#REF!</f>
        <v>#REF!</v>
      </c>
      <c r="N138" s="57"/>
      <c r="O138" s="57"/>
    </row>
    <row r="139" spans="3:15" x14ac:dyDescent="0.25">
      <c r="C139" s="1" t="s">
        <v>472</v>
      </c>
      <c r="D139" s="13" t="s">
        <v>473</v>
      </c>
      <c r="E139" s="2">
        <v>6759</v>
      </c>
      <c r="F139" s="3" t="s">
        <v>885</v>
      </c>
      <c r="G139" s="3" t="s">
        <v>474</v>
      </c>
      <c r="H139" s="11" t="e">
        <f>IF(I139=0,0,#REF!)</f>
        <v>#REF!</v>
      </c>
      <c r="I139" s="2" t="e">
        <f>#REF!</f>
        <v>#REF!</v>
      </c>
      <c r="J139" s="11" t="e">
        <f>IF(K139=0,0,#REF!)</f>
        <v>#REF!</v>
      </c>
      <c r="K139" s="2" t="e">
        <f>#REF!</f>
        <v>#REF!</v>
      </c>
      <c r="L139" s="11" t="e">
        <f>IF(M139=0,0,#REF!)</f>
        <v>#REF!</v>
      </c>
      <c r="M139" s="2" t="e">
        <f>#REF!</f>
        <v>#REF!</v>
      </c>
      <c r="N139" s="57"/>
      <c r="O139" s="57"/>
    </row>
    <row r="140" spans="3:15" x14ac:dyDescent="0.25">
      <c r="C140" s="1" t="s">
        <v>475</v>
      </c>
      <c r="D140" s="13" t="s">
        <v>476</v>
      </c>
      <c r="E140" s="2">
        <v>6760</v>
      </c>
      <c r="F140" s="3" t="s">
        <v>885</v>
      </c>
      <c r="G140" s="3" t="s">
        <v>477</v>
      </c>
      <c r="H140" s="11" t="e">
        <f>IF(I140=0,0,#REF!)</f>
        <v>#REF!</v>
      </c>
      <c r="I140" s="2" t="e">
        <f>#REF!</f>
        <v>#REF!</v>
      </c>
      <c r="J140" s="11" t="e">
        <f>IF(K140=0,0,#REF!)</f>
        <v>#REF!</v>
      </c>
      <c r="K140" s="2" t="e">
        <f>#REF!</f>
        <v>#REF!</v>
      </c>
      <c r="L140" s="11" t="e">
        <f>IF(M140=0,0,#REF!)</f>
        <v>#REF!</v>
      </c>
      <c r="M140" s="2" t="e">
        <f>#REF!</f>
        <v>#REF!</v>
      </c>
      <c r="N140" s="57"/>
      <c r="O140" s="57"/>
    </row>
    <row r="141" spans="3:15" x14ac:dyDescent="0.25">
      <c r="C141" s="1" t="s">
        <v>478</v>
      </c>
      <c r="D141" s="13" t="s">
        <v>479</v>
      </c>
      <c r="E141" s="2">
        <v>6761</v>
      </c>
      <c r="F141" s="3" t="s">
        <v>480</v>
      </c>
      <c r="G141" s="3" t="s">
        <v>481</v>
      </c>
      <c r="H141" s="11" t="e">
        <f>IF(I141=0,0,#REF!)</f>
        <v>#REF!</v>
      </c>
      <c r="I141" s="2" t="e">
        <f>#REF!</f>
        <v>#REF!</v>
      </c>
      <c r="J141" s="11" t="e">
        <f>IF(K141=0,0,#REF!)</f>
        <v>#REF!</v>
      </c>
      <c r="K141" s="2" t="e">
        <f>#REF!</f>
        <v>#REF!</v>
      </c>
      <c r="L141" s="11" t="e">
        <f>IF(M141=0,0,#REF!)</f>
        <v>#REF!</v>
      </c>
      <c r="M141" s="2" t="e">
        <f>#REF!</f>
        <v>#REF!</v>
      </c>
      <c r="N141" s="57"/>
      <c r="O141" s="57"/>
    </row>
    <row r="142" spans="3:15" x14ac:dyDescent="0.25">
      <c r="C142" s="1" t="s">
        <v>482</v>
      </c>
      <c r="D142" s="13" t="s">
        <v>483</v>
      </c>
      <c r="E142" s="2">
        <v>6762</v>
      </c>
      <c r="F142" s="3">
        <v>204779</v>
      </c>
      <c r="G142" s="3" t="s">
        <v>886</v>
      </c>
      <c r="H142" s="11" t="e">
        <f>IF(I142=0,0,#REF!)</f>
        <v>#REF!</v>
      </c>
      <c r="I142" s="2" t="e">
        <f>#REF!</f>
        <v>#REF!</v>
      </c>
      <c r="J142" s="11" t="e">
        <f>IF(K142=0,0,#REF!)</f>
        <v>#REF!</v>
      </c>
      <c r="K142" s="2" t="e">
        <f>#REF!</f>
        <v>#REF!</v>
      </c>
      <c r="L142" s="11" t="e">
        <f>IF(M142=0,0,#REF!)</f>
        <v>#REF!</v>
      </c>
      <c r="M142" s="2" t="e">
        <f>#REF!</f>
        <v>#REF!</v>
      </c>
      <c r="N142" s="57"/>
      <c r="O142" s="57"/>
    </row>
    <row r="143" spans="3:15" x14ac:dyDescent="0.25">
      <c r="C143" s="1" t="s">
        <v>486</v>
      </c>
      <c r="D143" s="13" t="s">
        <v>487</v>
      </c>
      <c r="E143" s="2">
        <v>6763</v>
      </c>
      <c r="F143" s="3">
        <v>205762</v>
      </c>
      <c r="G143" s="3" t="s">
        <v>488</v>
      </c>
      <c r="H143" s="11" t="e">
        <f>IF(I143=0,0,#REF!)</f>
        <v>#REF!</v>
      </c>
      <c r="I143" s="2" t="e">
        <f>#REF!</f>
        <v>#REF!</v>
      </c>
      <c r="J143" s="11" t="e">
        <f>IF(K143=0,0,#REF!)</f>
        <v>#REF!</v>
      </c>
      <c r="K143" s="2" t="e">
        <f>#REF!</f>
        <v>#REF!</v>
      </c>
      <c r="L143" s="11" t="e">
        <f>IF(M143=0,0,#REF!)</f>
        <v>#REF!</v>
      </c>
      <c r="M143" s="2" t="e">
        <f>#REF!</f>
        <v>#REF!</v>
      </c>
      <c r="N143" s="57"/>
      <c r="O143" s="57"/>
    </row>
    <row r="144" spans="3:15" x14ac:dyDescent="0.25">
      <c r="C144" s="1" t="s">
        <v>486</v>
      </c>
      <c r="D144" s="13" t="s">
        <v>487</v>
      </c>
      <c r="E144" s="2">
        <v>6763</v>
      </c>
      <c r="F144" s="3">
        <v>205764</v>
      </c>
      <c r="G144" s="3" t="s">
        <v>489</v>
      </c>
      <c r="H144" s="11" t="e">
        <f>IF(I144=0,0,#REF!)</f>
        <v>#REF!</v>
      </c>
      <c r="I144" s="2" t="e">
        <f>#REF!</f>
        <v>#REF!</v>
      </c>
      <c r="J144" s="11" t="e">
        <f>IF(K144=0,0,#REF!)</f>
        <v>#REF!</v>
      </c>
      <c r="K144" s="2" t="e">
        <f>#REF!</f>
        <v>#REF!</v>
      </c>
      <c r="L144" s="11" t="e">
        <f>IF(M144=0,0,#REF!)</f>
        <v>#REF!</v>
      </c>
      <c r="M144" s="2" t="e">
        <f>#REF!</f>
        <v>#REF!</v>
      </c>
      <c r="N144" s="57"/>
      <c r="O144" s="57"/>
    </row>
    <row r="145" spans="3:15" x14ac:dyDescent="0.25">
      <c r="C145" s="1" t="s">
        <v>486</v>
      </c>
      <c r="D145" s="13" t="s">
        <v>487</v>
      </c>
      <c r="E145" s="2">
        <v>6763</v>
      </c>
      <c r="F145" s="3">
        <v>205763</v>
      </c>
      <c r="G145" s="3" t="s">
        <v>491</v>
      </c>
      <c r="H145" s="11" t="e">
        <f>IF(I145=0,0,#REF!)</f>
        <v>#REF!</v>
      </c>
      <c r="I145" s="2" t="e">
        <f>#REF!</f>
        <v>#REF!</v>
      </c>
      <c r="J145" s="11" t="e">
        <f>IF(K145=0,0,#REF!)</f>
        <v>#REF!</v>
      </c>
      <c r="K145" s="2" t="e">
        <f>#REF!</f>
        <v>#REF!</v>
      </c>
      <c r="L145" s="11" t="e">
        <f>IF(M145=0,0,#REF!)</f>
        <v>#REF!</v>
      </c>
      <c r="M145" s="2" t="e">
        <f>#REF!</f>
        <v>#REF!</v>
      </c>
      <c r="N145" s="57"/>
      <c r="O145" s="57"/>
    </row>
    <row r="146" spans="3:15" x14ac:dyDescent="0.25">
      <c r="C146" s="1" t="s">
        <v>493</v>
      </c>
      <c r="D146" s="13" t="s">
        <v>494</v>
      </c>
      <c r="E146" s="2">
        <v>6764</v>
      </c>
      <c r="F146" s="3" t="s">
        <v>885</v>
      </c>
      <c r="G146" s="3" t="s">
        <v>495</v>
      </c>
      <c r="H146" s="11" t="e">
        <f>IF(I146=0,0,#REF!)</f>
        <v>#REF!</v>
      </c>
      <c r="I146" s="2" t="e">
        <f>#REF!</f>
        <v>#REF!</v>
      </c>
      <c r="J146" s="11" t="e">
        <f>IF(K146=0,0,#REF!)</f>
        <v>#REF!</v>
      </c>
      <c r="K146" s="2" t="e">
        <f>#REF!</f>
        <v>#REF!</v>
      </c>
      <c r="L146" s="11" t="e">
        <f>IF(M146=0,0,#REF!)</f>
        <v>#REF!</v>
      </c>
      <c r="M146" s="2" t="e">
        <f>#REF!</f>
        <v>#REF!</v>
      </c>
      <c r="N146" s="57"/>
      <c r="O146" s="57"/>
    </row>
    <row r="147" spans="3:15" x14ac:dyDescent="0.25">
      <c r="C147" s="1" t="s">
        <v>496</v>
      </c>
      <c r="D147" s="13" t="s">
        <v>497</v>
      </c>
      <c r="E147" s="2">
        <v>6766</v>
      </c>
      <c r="F147" s="3" t="s">
        <v>885</v>
      </c>
      <c r="G147" s="3" t="s">
        <v>498</v>
      </c>
      <c r="H147" s="11" t="e">
        <f>IF(I147=0,0,#REF!)</f>
        <v>#REF!</v>
      </c>
      <c r="I147" s="2" t="e">
        <f>#REF!</f>
        <v>#REF!</v>
      </c>
      <c r="J147" s="11" t="e">
        <f>IF(K147=0,0,#REF!)</f>
        <v>#REF!</v>
      </c>
      <c r="K147" s="2" t="e">
        <f>#REF!</f>
        <v>#REF!</v>
      </c>
      <c r="L147" s="11" t="e">
        <f>IF(M147=0,0,#REF!)</f>
        <v>#REF!</v>
      </c>
      <c r="M147" s="2" t="e">
        <f>#REF!</f>
        <v>#REF!</v>
      </c>
      <c r="N147" s="57"/>
      <c r="O147" s="57"/>
    </row>
    <row r="148" spans="3:15" x14ac:dyDescent="0.25">
      <c r="C148" s="1"/>
      <c r="D148" s="13"/>
      <c r="E148" s="2"/>
      <c r="F148" s="3"/>
      <c r="G148" s="3"/>
      <c r="H148" s="11" t="e">
        <f>IF(I148=0,0,#REF!)</f>
        <v>#REF!</v>
      </c>
      <c r="I148" s="2" t="e">
        <f>#REF!</f>
        <v>#REF!</v>
      </c>
      <c r="J148" s="11" t="e">
        <f>IF(K148=0,0,#REF!)</f>
        <v>#REF!</v>
      </c>
      <c r="K148" s="2" t="e">
        <f>#REF!</f>
        <v>#REF!</v>
      </c>
      <c r="L148" s="11" t="e">
        <f>IF(M148=0,0,#REF!)</f>
        <v>#REF!</v>
      </c>
      <c r="M148" s="2" t="e">
        <f>#REF!</f>
        <v>#REF!</v>
      </c>
      <c r="N148" s="57"/>
      <c r="O148" s="57"/>
    </row>
    <row r="149" spans="3:15" x14ac:dyDescent="0.25">
      <c r="H149" s="11" t="e">
        <f>SUM(H6:H148)</f>
        <v>#REF!</v>
      </c>
      <c r="I149" s="58"/>
      <c r="J149" s="42" t="e">
        <f>SUM(J6:J148)</f>
        <v>#REF!</v>
      </c>
      <c r="K149" s="58"/>
      <c r="L149" s="42" t="e">
        <f>SUM(L6:L148)</f>
        <v>#REF!</v>
      </c>
      <c r="M149" s="58"/>
      <c r="N149" s="58"/>
      <c r="O149" s="58"/>
    </row>
    <row r="151" spans="3:15" x14ac:dyDescent="0.25">
      <c r="G151" s="55"/>
      <c r="H151" s="12"/>
      <c r="I151" s="60"/>
    </row>
    <row r="152" spans="3:15" x14ac:dyDescent="0.25">
      <c r="H152" s="56"/>
      <c r="I152" s="61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566A8FC2133C14CACED744F245059E0" ma:contentTypeVersion="8" ma:contentTypeDescription="Creare un nuovo documento." ma:contentTypeScope="" ma:versionID="09fab9920899ea95fcf7236ef3d75b73">
  <xsd:schema xmlns:xsd="http://www.w3.org/2001/XMLSchema" xmlns:xs="http://www.w3.org/2001/XMLSchema" xmlns:p="http://schemas.microsoft.com/office/2006/metadata/properties" xmlns:ns3="20d2ddab-9f94-4e80-a7d2-3c1987eaa5e0" xmlns:ns4="2cebb555-fb4e-4f1e-8865-227763f25189" targetNamespace="http://schemas.microsoft.com/office/2006/metadata/properties" ma:root="true" ma:fieldsID="2c1f6fc97cc6a329c33ea9e405a0d07e" ns3:_="" ns4:_="">
    <xsd:import namespace="20d2ddab-9f94-4e80-a7d2-3c1987eaa5e0"/>
    <xsd:import namespace="2cebb555-fb4e-4f1e-8865-227763f2518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d2ddab-9f94-4e80-a7d2-3c1987eaa5e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ebb555-fb4e-4f1e-8865-227763f2518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ndivis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Condiviso con dettagli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2" nillable="true" ma:displayName="Hash suggerimento condivisione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F685502-CC11-4142-B73A-449CD00DF8E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d2ddab-9f94-4e80-a7d2-3c1987eaa5e0"/>
    <ds:schemaRef ds:uri="2cebb555-fb4e-4f1e-8865-227763f2518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E0ED97A-7C8D-4E4C-8ECD-54A8556325C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02725CD-2C7B-4A0E-A230-C49A3194CA26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ARRIENDO 2022</vt:lpstr>
      <vt:lpstr>ADMON 2020</vt:lpstr>
      <vt:lpstr>CONTROL ADM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Marin Omar</dc:creator>
  <cp:keywords/>
  <dc:description/>
  <cp:lastModifiedBy>Project CI1</cp:lastModifiedBy>
  <cp:revision/>
  <dcterms:created xsi:type="dcterms:W3CDTF">2020-04-14T18:36:44Z</dcterms:created>
  <dcterms:modified xsi:type="dcterms:W3CDTF">2026-06-08T21:03:39Z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0x0101003566A8FC2133C14CACED744F245059E0</vt:lpwstr>
  </property>
  <property fmtid="{D5CDD505-2E9C-101B-9397-08002B2CF9AE}" pid="3" name="MSIP_Label_2e9a4386-74b9-4603-ae20-950a659f9b6e_Enabled">
    <vt:lpwstr>true</vt:lpwstr>
  </property>
  <property fmtid="{D5CDD505-2E9C-101B-9397-08002B2CF9AE}" pid="4" name="MSIP_Label_2e9a4386-74b9-4603-ae20-950a659f9b6e_SetDate">
    <vt:lpwstr>2022-03-04T16:50:04Z</vt:lpwstr>
  </property>
  <property fmtid="{D5CDD505-2E9C-101B-9397-08002B2CF9AE}" pid="5" name="MSIP_Label_2e9a4386-74b9-4603-ae20-950a659f9b6e_Method">
    <vt:lpwstr>Standard</vt:lpwstr>
  </property>
  <property fmtid="{D5CDD505-2E9C-101B-9397-08002B2CF9AE}" pid="6" name="MSIP_Label_2e9a4386-74b9-4603-ae20-950a659f9b6e_Name">
    <vt:lpwstr>Internal Use Only</vt:lpwstr>
  </property>
  <property fmtid="{D5CDD505-2E9C-101B-9397-08002B2CF9AE}" pid="7" name="MSIP_Label_2e9a4386-74b9-4603-ae20-950a659f9b6e_SiteId">
    <vt:lpwstr>c7d1a8f7-0546-4a0c-8cf5-3ddaebf97d51</vt:lpwstr>
  </property>
  <property fmtid="{D5CDD505-2E9C-101B-9397-08002B2CF9AE}" pid="8" name="MSIP_Label_2e9a4386-74b9-4603-ae20-950a659f9b6e_ActionId">
    <vt:lpwstr>c5bb4eca-c9d9-4e7e-985a-2576cb94c88b</vt:lpwstr>
  </property>
  <property fmtid="{D5CDD505-2E9C-101B-9397-08002B2CF9AE}" pid="9" name="MSIP_Label_2e9a4386-74b9-4603-ae20-950a659f9b6e_ContentBits">
    <vt:lpwstr>0</vt:lpwstr>
  </property>
</Properties>
</file>