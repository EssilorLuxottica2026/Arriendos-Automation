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.lopez\Documents\RETAIL\ARRIENDOS\documentos utiles\UTILIZADOS EN POSTEO\"/>
    </mc:Choice>
  </mc:AlternateContent>
  <xr:revisionPtr revIDLastSave="0" documentId="13_ncr:1_{4AB8A485-5ECA-4CED-AE61-C5FBDDC92A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RIENDO 2022" sheetId="7" r:id="rId1"/>
    <sheet name="Hoja1" sheetId="11" r:id="rId2"/>
    <sheet name="ADMON 2022" sheetId="8" r:id="rId3"/>
    <sheet name="a-z admon" sheetId="12" r:id="rId4"/>
    <sheet name="Estadistica" sheetId="10" r:id="rId5"/>
    <sheet name="ADMON 2020" sheetId="2" state="hidden" r:id="rId6"/>
    <sheet name="CONTROL ADM" sheetId="3" state="hidden" r:id="rId7"/>
  </sheets>
  <definedNames>
    <definedName name="_xlnm._FilterDatabase" localSheetId="5" hidden="1">'ADMON 2020'!$A$3:$CF$109</definedName>
    <definedName name="_xlnm._FilterDatabase" localSheetId="2" hidden="1">'ADMON 2022'!$A$2:$CW$100</definedName>
    <definedName name="_xlnm._FilterDatabase" localSheetId="0" hidden="1">'ARRIENDO 2022'!$A$2:$DJ$145</definedName>
    <definedName name="_xlnm._FilterDatabase" localSheetId="3" hidden="1">'a-z admon'!$A$1:$B$99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7" i="11" l="1"/>
  <c r="L101" i="7" l="1"/>
  <c r="BT75" i="7" l="1"/>
  <c r="BK54" i="8"/>
  <c r="BT4" i="7"/>
  <c r="L64" i="7"/>
  <c r="BT8" i="7" l="1"/>
  <c r="BT58" i="7" l="1"/>
  <c r="BK40" i="8"/>
  <c r="BJ53" i="8" l="1"/>
  <c r="BK25" i="8"/>
  <c r="BT127" i="7"/>
  <c r="BK86" i="8" l="1"/>
  <c r="BN86" i="8" s="1"/>
  <c r="BJ18" i="8" l="1"/>
  <c r="BK3" i="8"/>
  <c r="BT94" i="7" l="1"/>
  <c r="BK67" i="8"/>
  <c r="BU110" i="7"/>
  <c r="BW110" i="7" s="1"/>
  <c r="BW51" i="7" l="1"/>
  <c r="BT92" i="7"/>
  <c r="BJ69" i="8"/>
  <c r="BT20" i="7"/>
  <c r="BT144" i="7"/>
  <c r="BK100" i="8"/>
  <c r="CC29" i="7"/>
  <c r="BK21" i="8"/>
  <c r="BT29" i="7"/>
  <c r="BT49" i="7" l="1"/>
  <c r="BK66" i="8"/>
  <c r="BT136" i="7"/>
  <c r="BT50" i="7"/>
  <c r="BT38" i="7" l="1"/>
  <c r="BK29" i="8"/>
  <c r="BT21" i="7"/>
  <c r="BK16" i="8"/>
  <c r="BT7" i="7"/>
  <c r="BK7" i="8"/>
  <c r="BT57" i="7"/>
  <c r="BK39" i="8"/>
  <c r="BU123" i="7"/>
  <c r="BW123" i="7" s="1"/>
  <c r="BT18" i="7"/>
  <c r="BK15" i="8"/>
  <c r="BK36" i="8"/>
  <c r="BK62" i="8"/>
  <c r="BK63" i="8"/>
  <c r="BK12" i="8"/>
  <c r="BK5" i="8"/>
  <c r="BT11" i="7"/>
  <c r="BK48" i="8"/>
  <c r="BK98" i="8"/>
  <c r="BT43" i="7"/>
  <c r="BK9" i="8"/>
  <c r="BT22" i="7"/>
  <c r="BT16" i="7"/>
  <c r="BK13" i="8"/>
  <c r="BT142" i="7"/>
  <c r="BK57" i="8"/>
  <c r="BN57" i="8" s="1"/>
  <c r="BK31" i="8"/>
  <c r="BK77" i="8"/>
  <c r="BK24" i="8"/>
  <c r="BT79" i="7"/>
  <c r="BJ60" i="8"/>
  <c r="BK88" i="8"/>
  <c r="BJ96" i="8"/>
  <c r="BK72" i="8"/>
  <c r="BK35" i="8"/>
  <c r="BT117" i="7"/>
  <c r="BT93" i="7"/>
  <c r="BK68" i="8"/>
  <c r="BK64" i="8"/>
  <c r="BN64" i="8" s="1"/>
  <c r="BK94" i="8"/>
  <c r="BT95" i="7" l="1"/>
  <c r="BK59" i="8"/>
  <c r="BK95" i="8" l="1"/>
  <c r="BT130" i="7"/>
  <c r="BK82" i="8"/>
  <c r="BK83" i="8"/>
  <c r="BT76" i="7"/>
  <c r="BT59" i="7"/>
  <c r="BT30" i="7"/>
  <c r="BK22" i="8"/>
  <c r="BK71" i="8"/>
  <c r="BK73" i="8"/>
  <c r="L122" i="7"/>
  <c r="BU122" i="7"/>
  <c r="BW122" i="7" s="1"/>
  <c r="BK20" i="8"/>
  <c r="BT109" i="7" l="1"/>
  <c r="BT105" i="7"/>
  <c r="BK74" i="8"/>
  <c r="BT112" i="7"/>
  <c r="BK80" i="8"/>
  <c r="BT124" i="7"/>
  <c r="BT71" i="7"/>
  <c r="BK79" i="8"/>
  <c r="BS27" i="7"/>
  <c r="BT72" i="7"/>
  <c r="BK51" i="8"/>
  <c r="BN51" i="8" s="1"/>
  <c r="BT65" i="7"/>
  <c r="BK45" i="8"/>
  <c r="BJ26" i="8"/>
  <c r="BT125" i="7"/>
  <c r="BK78" i="8"/>
  <c r="BT55" i="7"/>
  <c r="BK91" i="8"/>
  <c r="BK85" i="8"/>
  <c r="BT36" i="7"/>
  <c r="BK38" i="8"/>
  <c r="BK49" i="8"/>
  <c r="BK14" i="8"/>
  <c r="BU66" i="7"/>
  <c r="BW66" i="7" s="1"/>
  <c r="BK46" i="8"/>
  <c r="BN46" i="8" s="1"/>
  <c r="BT33" i="7" l="1"/>
  <c r="BW33" i="7" s="1"/>
  <c r="BT84" i="7" l="1"/>
  <c r="BT97" i="7"/>
  <c r="BK70" i="8"/>
  <c r="BT98" i="7"/>
  <c r="BT99" i="7"/>
  <c r="BK27" i="8"/>
  <c r="BT100" i="7"/>
  <c r="BW100" i="7" s="1"/>
  <c r="BK87" i="8"/>
  <c r="BT70" i="7"/>
  <c r="BT17" i="7"/>
  <c r="BK55" i="8"/>
  <c r="BK23" i="8"/>
  <c r="BK52" i="8"/>
  <c r="BK81" i="8"/>
  <c r="BT108" i="7"/>
  <c r="BK90" i="8"/>
  <c r="BT80" i="7"/>
  <c r="BK58" i="8"/>
  <c r="BT24" i="7"/>
  <c r="BK17" i="8"/>
  <c r="BK93" i="8"/>
  <c r="BT113" i="7"/>
  <c r="BK76" i="8"/>
  <c r="BT106" i="7"/>
  <c r="BK75" i="8"/>
  <c r="BK50" i="8"/>
  <c r="BK97" i="8"/>
  <c r="BT37" i="7"/>
  <c r="BK28" i="8"/>
  <c r="BK89" i="8"/>
  <c r="BT14" i="7"/>
  <c r="BK11" i="8"/>
  <c r="BT90" i="7"/>
  <c r="BT121" i="7"/>
  <c r="BT62" i="7"/>
  <c r="BT86" i="7"/>
  <c r="BT133" i="7"/>
  <c r="BK65" i="8" l="1"/>
  <c r="BJ47" i="8" l="1"/>
  <c r="BN19" i="8"/>
  <c r="BK37" i="8"/>
  <c r="BT132" i="7"/>
  <c r="BT131" i="7"/>
  <c r="BT68" i="7"/>
  <c r="BT35" i="7"/>
  <c r="BW101" i="7"/>
  <c r="BT32" i="7"/>
  <c r="BT118" i="7"/>
  <c r="BT115" i="7"/>
  <c r="BT5" i="7"/>
  <c r="BK8" i="8"/>
  <c r="BJ8" i="8"/>
  <c r="BT12" i="7"/>
  <c r="BK10" i="8"/>
  <c r="BT74" i="7"/>
  <c r="BK61" i="8"/>
  <c r="BU15" i="7"/>
  <c r="BW15" i="7" s="1"/>
  <c r="BT85" i="7"/>
  <c r="BT77" i="7"/>
  <c r="BK56" i="8"/>
  <c r="BT87" i="7"/>
  <c r="BT89" i="7"/>
  <c r="BT96" i="7" l="1"/>
  <c r="BT9" i="7"/>
  <c r="BT135" i="7"/>
  <c r="BT116" i="7"/>
  <c r="BW28" i="7"/>
  <c r="BU69" i="7"/>
  <c r="BW69" i="7" s="1"/>
  <c r="BK41" i="8"/>
  <c r="BU82" i="7"/>
  <c r="BW82" i="7" s="1"/>
  <c r="BT81" i="7"/>
  <c r="BK44" i="8"/>
  <c r="BK33" i="8"/>
  <c r="BK30" i="8"/>
  <c r="BK43" i="8"/>
  <c r="BT41" i="7"/>
  <c r="BK32" i="8"/>
  <c r="BT88" i="7"/>
  <c r="BT53" i="7" l="1"/>
  <c r="BK84" i="8"/>
  <c r="BT26" i="7"/>
  <c r="BT114" i="7"/>
  <c r="BT31" i="7"/>
  <c r="BT134" i="7"/>
  <c r="BT120" i="7"/>
  <c r="BT126" i="7"/>
  <c r="BT128" i="7"/>
  <c r="BT129" i="7"/>
  <c r="BT119" i="7"/>
  <c r="BT83" i="7"/>
  <c r="BN8" i="8" l="1"/>
  <c r="BK42" i="8" l="1"/>
  <c r="BT64" i="7"/>
  <c r="BT47" i="7"/>
  <c r="BT63" i="7"/>
  <c r="BT45" i="7"/>
  <c r="M100" i="7" l="1"/>
  <c r="BT61" i="7" l="1"/>
  <c r="H20" i="10" l="1"/>
  <c r="H19" i="10"/>
  <c r="L68" i="7"/>
  <c r="BL68" i="7"/>
  <c r="BN68" i="7" s="1"/>
  <c r="BK50" i="7" l="1"/>
  <c r="BK49" i="7"/>
  <c r="BE96" i="8"/>
  <c r="O27" i="10" l="1"/>
  <c r="P27" i="10" s="1"/>
  <c r="H27" i="10"/>
  <c r="I27" i="10" s="1"/>
  <c r="F21" i="10"/>
  <c r="E21" i="10"/>
  <c r="D21" i="10"/>
  <c r="C21" i="10"/>
  <c r="B21" i="10"/>
  <c r="I20" i="10"/>
  <c r="O19" i="10"/>
  <c r="H21" i="10" l="1"/>
  <c r="P19" i="10"/>
  <c r="I19" i="10"/>
  <c r="H28" i="10"/>
  <c r="AS110" i="7"/>
  <c r="AV110" i="7" s="1"/>
  <c r="I21" i="10" l="1"/>
  <c r="H22" i="10"/>
  <c r="BK33" i="7"/>
  <c r="L123" i="7" l="1"/>
  <c r="BL123" i="7"/>
  <c r="BN123" i="7" s="1"/>
  <c r="O3" i="10" l="1"/>
  <c r="O11" i="10"/>
  <c r="BK58" i="7"/>
  <c r="BC40" i="8"/>
  <c r="BJ40" i="7" l="1"/>
  <c r="BK100" i="7" l="1"/>
  <c r="BK127" i="7"/>
  <c r="BL110" i="7" l="1"/>
  <c r="BN110" i="7" s="1"/>
  <c r="BC25" i="8" l="1"/>
  <c r="BC94" i="8"/>
  <c r="BK142" i="7"/>
  <c r="BK94" i="7" l="1"/>
  <c r="BC67" i="8"/>
  <c r="BK57" i="7" l="1"/>
  <c r="BC39" i="8"/>
  <c r="BC86" i="8"/>
  <c r="BF86" i="8" s="1"/>
  <c r="BK21" i="7" l="1"/>
  <c r="BC16" i="8"/>
  <c r="BK38" i="7"/>
  <c r="BC29" i="8"/>
  <c r="BK7" i="7"/>
  <c r="BC7" i="8"/>
  <c r="BK22" i="7"/>
  <c r="BK117" i="7"/>
  <c r="BK4" i="7"/>
  <c r="BC31" i="8"/>
  <c r="BC5" i="8"/>
  <c r="BC12" i="8"/>
  <c r="BC62" i="8"/>
  <c r="BC63" i="8"/>
  <c r="BC48" i="8"/>
  <c r="BK144" i="7"/>
  <c r="BC100" i="8"/>
  <c r="BK18" i="7"/>
  <c r="BC15" i="8"/>
  <c r="BC9" i="8"/>
  <c r="BB60" i="8"/>
  <c r="BK60" i="8" s="1"/>
  <c r="BK11" i="7"/>
  <c r="BK43" i="7"/>
  <c r="BB69" i="8"/>
  <c r="BK69" i="8" s="1"/>
  <c r="BC57" i="8"/>
  <c r="BK79" i="7"/>
  <c r="J21" i="8"/>
  <c r="BD21" i="8"/>
  <c r="BF21" i="8" s="1"/>
  <c r="BK29" i="7"/>
  <c r="BK91" i="7"/>
  <c r="BC66" i="8"/>
  <c r="BC92" i="8"/>
  <c r="BK95" i="7" l="1"/>
  <c r="BK73" i="7"/>
  <c r="BC27" i="8"/>
  <c r="BC59" i="8"/>
  <c r="BC91" i="8"/>
  <c r="BC85" i="8"/>
  <c r="BC81" i="8" l="1"/>
  <c r="BB53" i="8"/>
  <c r="BK53" i="8" s="1"/>
  <c r="BC90" i="8"/>
  <c r="BN51" i="7"/>
  <c r="BC24" i="8"/>
  <c r="BC13" i="8"/>
  <c r="BK30" i="7"/>
  <c r="BC22" i="8"/>
  <c r="BK76" i="7"/>
  <c r="BB18" i="8"/>
  <c r="BK18" i="8" s="1"/>
  <c r="BC98" i="8"/>
  <c r="BK16" i="7"/>
  <c r="BC88" i="8"/>
  <c r="BC71" i="8" l="1"/>
  <c r="BC73" i="8"/>
  <c r="BC20" i="8"/>
  <c r="BK55" i="7"/>
  <c r="BK133" i="7" l="1"/>
  <c r="BC89" i="8"/>
  <c r="BK36" i="7"/>
  <c r="BC38" i="8"/>
  <c r="BK93" i="7" l="1"/>
  <c r="BL65" i="7"/>
  <c r="BN65" i="7" s="1"/>
  <c r="BC45" i="8"/>
  <c r="BN20" i="7"/>
  <c r="BC35" i="8"/>
  <c r="BC77" i="8"/>
  <c r="BK15" i="7"/>
  <c r="BK105" i="7"/>
  <c r="BC74" i="8"/>
  <c r="BC79" i="8"/>
  <c r="BK5" i="7"/>
  <c r="BK109" i="7"/>
  <c r="BK98" i="7"/>
  <c r="BK99" i="7"/>
  <c r="BK59" i="7"/>
  <c r="BN59" i="7" s="1"/>
  <c r="BK130" i="7"/>
  <c r="BC95" i="8"/>
  <c r="BK92" i="7"/>
  <c r="BK74" i="7"/>
  <c r="BC72" i="8"/>
  <c r="BB96" i="8"/>
  <c r="BK96" i="8" s="1"/>
  <c r="BK72" i="7"/>
  <c r="BC51" i="8"/>
  <c r="BK124" i="7"/>
  <c r="BK66" i="7"/>
  <c r="BC46" i="8"/>
  <c r="BF46" i="8" s="1"/>
  <c r="BJ27" i="7"/>
  <c r="BT27" i="7" s="1"/>
  <c r="BK97" i="7"/>
  <c r="BC70" i="8"/>
  <c r="BC83" i="8"/>
  <c r="BC82" i="8"/>
  <c r="BC97" i="8"/>
  <c r="BK26" i="7"/>
  <c r="BK14" i="7" l="1"/>
  <c r="BK62" i="7"/>
  <c r="BN62" i="7" s="1"/>
  <c r="BK122" i="7"/>
  <c r="BK121" i="7" l="1"/>
  <c r="BC78" i="8" l="1"/>
  <c r="BC52" i="8"/>
  <c r="BC55" i="8"/>
  <c r="BC23" i="8"/>
  <c r="BC87" i="8"/>
  <c r="BC93" i="8"/>
  <c r="BC84" i="8"/>
  <c r="BK80" i="7"/>
  <c r="BC58" i="8"/>
  <c r="BK24" i="7"/>
  <c r="BC17" i="8"/>
  <c r="BK113" i="7"/>
  <c r="BC76" i="8" l="1"/>
  <c r="BK108" i="7"/>
  <c r="BK106" i="7"/>
  <c r="BC75" i="8"/>
  <c r="BK75" i="7"/>
  <c r="BC54" i="8"/>
  <c r="BC64" i="8"/>
  <c r="BK115" i="7"/>
  <c r="BB26" i="8"/>
  <c r="BK26" i="8" s="1"/>
  <c r="BC3" i="8"/>
  <c r="BC65" i="8"/>
  <c r="BC41" i="8"/>
  <c r="BC68" i="8"/>
  <c r="BB47" i="8"/>
  <c r="BK47" i="8" s="1"/>
  <c r="BC80" i="8"/>
  <c r="BC8" i="8"/>
  <c r="BB8" i="8"/>
  <c r="BF19" i="8"/>
  <c r="BK84" i="7"/>
  <c r="BK71" i="7"/>
  <c r="BC37" i="8"/>
  <c r="BK118" i="7"/>
  <c r="BK101" i="7"/>
  <c r="BK37" i="7"/>
  <c r="BC28" i="8"/>
  <c r="BK12" i="7"/>
  <c r="BC10" i="8"/>
  <c r="BK69" i="7"/>
  <c r="BK32" i="7"/>
  <c r="BC61" i="8"/>
  <c r="BK83" i="7"/>
  <c r="BC49" i="8"/>
  <c r="BC14" i="8"/>
  <c r="BK132" i="7"/>
  <c r="BK135" i="7"/>
  <c r="BK116" i="7"/>
  <c r="BK77" i="7"/>
  <c r="BC56" i="8"/>
  <c r="BK96" i="7"/>
  <c r="BK125" i="7"/>
  <c r="BK128" i="7"/>
  <c r="BK9" i="7"/>
  <c r="BK85" i="7"/>
  <c r="BC36" i="8"/>
  <c r="BK8" i="7"/>
  <c r="BK35" i="7"/>
  <c r="BK136" i="7"/>
  <c r="BB136" i="7"/>
  <c r="BK70" i="7"/>
  <c r="BK17" i="7"/>
  <c r="BK53" i="7"/>
  <c r="BK126" i="7"/>
  <c r="BK119" i="7"/>
  <c r="BK120" i="7"/>
  <c r="BK134" i="7"/>
  <c r="BK129" i="7"/>
  <c r="BN28" i="7"/>
  <c r="BK82" i="7"/>
  <c r="BK112" i="7"/>
  <c r="BK131" i="7"/>
  <c r="BC50" i="8"/>
  <c r="BK90" i="7"/>
  <c r="BF8" i="8" l="1"/>
  <c r="BK87" i="7"/>
  <c r="BK86" i="7"/>
  <c r="BK89" i="7"/>
  <c r="BK88" i="7" l="1"/>
  <c r="BK114" i="7"/>
  <c r="BK31" i="7"/>
  <c r="AW96" i="8" l="1"/>
  <c r="BC42" i="8"/>
  <c r="BC43" i="8"/>
  <c r="BC33" i="8"/>
  <c r="BD44" i="8"/>
  <c r="BC32" i="8" l="1"/>
  <c r="BC30" i="8"/>
  <c r="BK81" i="7"/>
  <c r="BK41" i="7"/>
  <c r="BK61" i="7" l="1"/>
  <c r="BK63" i="7"/>
  <c r="BK47" i="7"/>
  <c r="BK64" i="7"/>
  <c r="BN64" i="7" s="1"/>
  <c r="BK45" i="7"/>
  <c r="BB34" i="7" l="1"/>
  <c r="F5" i="10" l="1"/>
  <c r="BB36" i="7" l="1"/>
  <c r="BB33" i="7" l="1"/>
  <c r="AU83" i="8"/>
  <c r="H3" i="10" l="1"/>
  <c r="H4" i="10" l="1"/>
  <c r="E5" i="10"/>
  <c r="P11" i="10" l="1"/>
  <c r="AT11" i="8" l="1"/>
  <c r="BB91" i="7"/>
  <c r="BB58" i="7"/>
  <c r="AU40" i="8"/>
  <c r="BB110" i="7" l="1"/>
  <c r="BE110" i="7" s="1"/>
  <c r="AU94" i="8" l="1"/>
  <c r="BE20" i="7"/>
  <c r="AU25" i="8"/>
  <c r="AT26" i="8"/>
  <c r="BC26" i="8" s="1"/>
  <c r="AV86" i="8"/>
  <c r="AX86" i="8" s="1"/>
  <c r="H11" i="10" l="1"/>
  <c r="I11" i="10" s="1"/>
  <c r="D5" i="10"/>
  <c r="C5" i="10"/>
  <c r="I4" i="10"/>
  <c r="H5" i="10"/>
  <c r="H12" i="10" l="1"/>
  <c r="AT53" i="8"/>
  <c r="BC53" i="8" s="1"/>
  <c r="BB100" i="7"/>
  <c r="BB108" i="7"/>
  <c r="AU76" i="8"/>
  <c r="AU55" i="8"/>
  <c r="AX55" i="8" s="1"/>
  <c r="AU23" i="8"/>
  <c r="AU52" i="8"/>
  <c r="AT18" i="8"/>
  <c r="BC18" i="8" s="1"/>
  <c r="AU98" i="8"/>
  <c r="AX98" i="8" s="1"/>
  <c r="BC101" i="7"/>
  <c r="BE101" i="7" s="1"/>
  <c r="AU9" i="8"/>
  <c r="BB43" i="7"/>
  <c r="BB11" i="7"/>
  <c r="B5" i="10" l="1"/>
  <c r="P3" i="10" s="1"/>
  <c r="I5" i="10" l="1"/>
  <c r="I3" i="10"/>
  <c r="AU81" i="8"/>
  <c r="AU90" i="8"/>
  <c r="BB123" i="7"/>
  <c r="AU84" i="8"/>
  <c r="BB24" i="7"/>
  <c r="AU17" i="8"/>
  <c r="BB80" i="7"/>
  <c r="AU58" i="8"/>
  <c r="BC113" i="7"/>
  <c r="BE113" i="7" s="1"/>
  <c r="BC75" i="7"/>
  <c r="BE75" i="7" s="1"/>
  <c r="AU54" i="8"/>
  <c r="BB106" i="7"/>
  <c r="AU75" i="8"/>
  <c r="AU93" i="8"/>
  <c r="AU13" i="8"/>
  <c r="AX13" i="8" s="1"/>
  <c r="AT69" i="8"/>
  <c r="BC69" i="8" s="1"/>
  <c r="BE51" i="7"/>
  <c r="AU57" i="8"/>
  <c r="BB79" i="7"/>
  <c r="AU38" i="8"/>
  <c r="BB38" i="7"/>
  <c r="AU29" i="8"/>
  <c r="BB57" i="7"/>
  <c r="AU39" i="8"/>
  <c r="BB21" i="7"/>
  <c r="AU16" i="8"/>
  <c r="BB7" i="7"/>
  <c r="AU7" i="8"/>
  <c r="BB144" i="7"/>
  <c r="AU100" i="8"/>
  <c r="BB125" i="7"/>
  <c r="BB18" i="7"/>
  <c r="AU15" i="8"/>
  <c r="AX15" i="8" s="1"/>
  <c r="AU88" i="8"/>
  <c r="BB49" i="7" l="1"/>
  <c r="BB50" i="7"/>
  <c r="AU66" i="8"/>
  <c r="AU77" i="8" l="1"/>
  <c r="BB127" i="7"/>
  <c r="BB142" i="7"/>
  <c r="BB22" i="7"/>
  <c r="BB94" i="7"/>
  <c r="AU67" i="8"/>
  <c r="BB16" i="7"/>
  <c r="AU5" i="8"/>
  <c r="AU12" i="8"/>
  <c r="AU63" i="8"/>
  <c r="AU62" i="8"/>
  <c r="AU48" i="8"/>
  <c r="AU35" i="8"/>
  <c r="AU24" i="8"/>
  <c r="BB29" i="7"/>
  <c r="AU21" i="8"/>
  <c r="AX21" i="8" s="1"/>
  <c r="AU20" i="8"/>
  <c r="AU50" i="8"/>
  <c r="AU92" i="8"/>
  <c r="BB133" i="7"/>
  <c r="AU65" i="8" l="1"/>
  <c r="BB117" i="7"/>
  <c r="AU28" i="8"/>
  <c r="AT60" i="8"/>
  <c r="BC60" i="8" s="1"/>
  <c r="AU72" i="8"/>
  <c r="BB109" i="7"/>
  <c r="AU36" i="8"/>
  <c r="BB15" i="7"/>
  <c r="BB4" i="7"/>
  <c r="BA27" i="7"/>
  <c r="BK27" i="7" s="1"/>
  <c r="L14" i="7"/>
  <c r="BC14" i="7"/>
  <c r="BE14" i="7" s="1"/>
  <c r="J97" i="8"/>
  <c r="AV97" i="8"/>
  <c r="AX97" i="8" s="1"/>
  <c r="AU59" i="8"/>
  <c r="AU89" i="8"/>
  <c r="BB72" i="7"/>
  <c r="BB93" i="7"/>
  <c r="BB55" i="7"/>
  <c r="BB95" i="7"/>
  <c r="AT96" i="8"/>
  <c r="BC96" i="8" s="1"/>
  <c r="BB76" i="7"/>
  <c r="BB65" i="7"/>
  <c r="AU45" i="8"/>
  <c r="AU68" i="8"/>
  <c r="AU79" i="8"/>
  <c r="BB84" i="7"/>
  <c r="BB74" i="7"/>
  <c r="AV64" i="8"/>
  <c r="AX64" i="8" s="1"/>
  <c r="BC105" i="7"/>
  <c r="BE105" i="7" s="1"/>
  <c r="AU74" i="8"/>
  <c r="BB30" i="7"/>
  <c r="AU22" i="8"/>
  <c r="AU87" i="8"/>
  <c r="AX19" i="8"/>
  <c r="AU95" i="8"/>
  <c r="BB130" i="7"/>
  <c r="AU71" i="8"/>
  <c r="AU73" i="8"/>
  <c r="BB73" i="7" l="1"/>
  <c r="BB66" i="7"/>
  <c r="AV46" i="8"/>
  <c r="AX46" i="8" s="1"/>
  <c r="AU91" i="8"/>
  <c r="AU85" i="8"/>
  <c r="AU37" i="8"/>
  <c r="AU3" i="8" l="1"/>
  <c r="BB124" i="7"/>
  <c r="BB112" i="7"/>
  <c r="BB122" i="7"/>
  <c r="BB71" i="7"/>
  <c r="BB32" i="7"/>
  <c r="BB118" i="7"/>
  <c r="BB90" i="7" l="1"/>
  <c r="AU82" i="8" l="1"/>
  <c r="AU78" i="8"/>
  <c r="BC98" i="7"/>
  <c r="BE98" i="7" s="1"/>
  <c r="L59" i="7"/>
  <c r="BC59" i="7"/>
  <c r="BE59" i="7" s="1"/>
  <c r="L99" i="7"/>
  <c r="BC99" i="7"/>
  <c r="BE99" i="7" s="1"/>
  <c r="AU31" i="8"/>
  <c r="BB92" i="7"/>
  <c r="BB5" i="7"/>
  <c r="AT47" i="8"/>
  <c r="BC47" i="8" s="1"/>
  <c r="BB82" i="7"/>
  <c r="AU10" i="8"/>
  <c r="BB85" i="7"/>
  <c r="BB97" i="7"/>
  <c r="AU70" i="8"/>
  <c r="AU61" i="8"/>
  <c r="BB116" i="7"/>
  <c r="AU8" i="8"/>
  <c r="AT8" i="8"/>
  <c r="BB132" i="7"/>
  <c r="BB131" i="7"/>
  <c r="AU80" i="8"/>
  <c r="BB128" i="7"/>
  <c r="BB77" i="7"/>
  <c r="AU56" i="8"/>
  <c r="BB115" i="7"/>
  <c r="BB135" i="7"/>
  <c r="BB68" i="7"/>
  <c r="BB35" i="7"/>
  <c r="BB96" i="7"/>
  <c r="BB83" i="7"/>
  <c r="AU41" i="8"/>
  <c r="BB69" i="7"/>
  <c r="BB134" i="7"/>
  <c r="BB129" i="7"/>
  <c r="BB120" i="7"/>
  <c r="BB119" i="7"/>
  <c r="BB126" i="7"/>
  <c r="BB9" i="7"/>
  <c r="BB8" i="7"/>
  <c r="BE28" i="7"/>
  <c r="BB26" i="7"/>
  <c r="AO51" i="8"/>
  <c r="AU49" i="8"/>
  <c r="AU14" i="8"/>
  <c r="BB70" i="7"/>
  <c r="BB17" i="7"/>
  <c r="BB89" i="7"/>
  <c r="AX8" i="8" l="1"/>
  <c r="BB87" i="7"/>
  <c r="BB86" i="7"/>
  <c r="BB88" i="7"/>
  <c r="BB53" i="7"/>
  <c r="BB62" i="7" l="1"/>
  <c r="BB31" i="7"/>
  <c r="BB114" i="7" l="1"/>
  <c r="AM92" i="8"/>
  <c r="AP92" i="8" s="1"/>
  <c r="BB121" i="7"/>
  <c r="BB81" i="7" l="1"/>
  <c r="AU30" i="8"/>
  <c r="AO96" i="8"/>
  <c r="BB41" i="7"/>
  <c r="AU32" i="8"/>
  <c r="AV44" i="8"/>
  <c r="AX44" i="8" s="1"/>
  <c r="AU33" i="8"/>
  <c r="AU43" i="8"/>
  <c r="AU42" i="8"/>
  <c r="BB45" i="7"/>
  <c r="BC64" i="7"/>
  <c r="BE64" i="7" s="1"/>
  <c r="BB63" i="7"/>
  <c r="BE63" i="7" s="1"/>
  <c r="BB47" i="7"/>
  <c r="BE47" i="7" s="1"/>
  <c r="AM86" i="8" l="1"/>
  <c r="AP86" i="8" s="1"/>
  <c r="AR106" i="7" l="1"/>
  <c r="BB61" i="7"/>
  <c r="BE61" i="7" s="1"/>
  <c r="AR66" i="7"/>
  <c r="AJ145" i="7" l="1"/>
  <c r="AM64" i="8" l="1"/>
  <c r="AM31" i="8"/>
  <c r="AS34" i="7"/>
  <c r="AS93" i="7"/>
  <c r="AS102" i="7" l="1"/>
  <c r="AL51" i="8" l="1"/>
  <c r="AU51" i="8" s="1"/>
  <c r="AS104" i="7"/>
  <c r="AI24" i="7" l="1"/>
  <c r="AA138" i="7"/>
  <c r="AR37" i="7" l="1"/>
  <c r="AS73" i="7"/>
  <c r="AM77" i="8" l="1"/>
  <c r="AP77" i="8" s="1"/>
  <c r="AS4" i="7"/>
  <c r="AT80" i="7" l="1"/>
  <c r="AV80" i="7" s="1"/>
  <c r="AM58" i="8"/>
  <c r="AM25" i="8"/>
  <c r="AR12" i="7" l="1"/>
  <c r="BB12" i="7" s="1"/>
  <c r="BE12" i="7" s="1"/>
  <c r="AR22" i="7"/>
  <c r="L136" i="7" l="1"/>
  <c r="AT136" i="7"/>
  <c r="AV136" i="7" s="1"/>
  <c r="AL76" i="8" l="1"/>
  <c r="AR108" i="7"/>
  <c r="AS58" i="7"/>
  <c r="AM40" i="8"/>
  <c r="AL11" i="8"/>
  <c r="AU11" i="8" s="1"/>
  <c r="AX11" i="8" s="1"/>
  <c r="AR40" i="7"/>
  <c r="AL84" i="8" l="1"/>
  <c r="AN84" i="8" s="1"/>
  <c r="AP84" i="8" s="1"/>
  <c r="AT133" i="7"/>
  <c r="AV133" i="7" s="1"/>
  <c r="AM88" i="8" l="1"/>
  <c r="AS94" i="7"/>
  <c r="AM67" i="8"/>
  <c r="J36" i="8"/>
  <c r="AM36" i="8"/>
  <c r="AS16" i="7"/>
  <c r="AM66" i="8" l="1"/>
  <c r="L133" i="7"/>
  <c r="AS117" i="7" l="1"/>
  <c r="AL53" i="8"/>
  <c r="AU53" i="8" s="1"/>
  <c r="AM82" i="8"/>
  <c r="AS108" i="7"/>
  <c r="AM98" i="8"/>
  <c r="AL18" i="8"/>
  <c r="AU18" i="8" s="1"/>
  <c r="AX18" i="8" s="1"/>
  <c r="AS57" i="7"/>
  <c r="AM39" i="8"/>
  <c r="AS38" i="7"/>
  <c r="AM29" i="8"/>
  <c r="AS21" i="7"/>
  <c r="AM16" i="8"/>
  <c r="AS7" i="7"/>
  <c r="AM7" i="8"/>
  <c r="AM35" i="8"/>
  <c r="AP35" i="8" s="1"/>
  <c r="AS18" i="7"/>
  <c r="AM15" i="8"/>
  <c r="AS144" i="7"/>
  <c r="AM100" i="8"/>
  <c r="AS105" i="7"/>
  <c r="AM74" i="8"/>
  <c r="AL69" i="8"/>
  <c r="AU69" i="8" s="1"/>
  <c r="AS125" i="7"/>
  <c r="AM5" i="8"/>
  <c r="AM12" i="8"/>
  <c r="AM63" i="8"/>
  <c r="AM62" i="8"/>
  <c r="AM48" i="8"/>
  <c r="AS22" i="7"/>
  <c r="AS142" i="7"/>
  <c r="AS92" i="7"/>
  <c r="AS91" i="7"/>
  <c r="AS127" i="7"/>
  <c r="AS95" i="7"/>
  <c r="AM24" i="8"/>
  <c r="AM97" i="8"/>
  <c r="AM59" i="8"/>
  <c r="AS86" i="7"/>
  <c r="AM72" i="8"/>
  <c r="AS11" i="7"/>
  <c r="AS66" i="7"/>
  <c r="AM46" i="8"/>
  <c r="AP46" i="8" s="1"/>
  <c r="AM21" i="8"/>
  <c r="AS29" i="7"/>
  <c r="AS50" i="7"/>
  <c r="AS49" i="7"/>
  <c r="AS123" i="7" l="1"/>
  <c r="AM55" i="8"/>
  <c r="AM23" i="8"/>
  <c r="AM52" i="8"/>
  <c r="AS100" i="7"/>
  <c r="AM81" i="8"/>
  <c r="AT24" i="7"/>
  <c r="AV24" i="7" s="1"/>
  <c r="AM17" i="8"/>
  <c r="AM78" i="8"/>
  <c r="AM9" i="8"/>
  <c r="AS79" i="7"/>
  <c r="AS36" i="7"/>
  <c r="AM57" i="8"/>
  <c r="AL27" i="8"/>
  <c r="AS55" i="7"/>
  <c r="AL60" i="8"/>
  <c r="AU60" i="8" s="1"/>
  <c r="AV51" i="7"/>
  <c r="AS101" i="7"/>
  <c r="AS43" i="7"/>
  <c r="AV20" i="7"/>
  <c r="AM95" i="8"/>
  <c r="AM38" i="8"/>
  <c r="AS14" i="7"/>
  <c r="AS99" i="7"/>
  <c r="AU27" i="8" l="1"/>
  <c r="AM27" i="8"/>
  <c r="AS122" i="7"/>
  <c r="AS76" i="7"/>
  <c r="AS98" i="7"/>
  <c r="AM91" i="8"/>
  <c r="AM85" i="8"/>
  <c r="AM71" i="8"/>
  <c r="AM73" i="8"/>
  <c r="AM20" i="8"/>
  <c r="AS31" i="7" l="1"/>
  <c r="AS89" i="7"/>
  <c r="AS87" i="7"/>
  <c r="AS88" i="7" l="1"/>
  <c r="AS75" i="7" l="1"/>
  <c r="AM54" i="8"/>
  <c r="AM93" i="8"/>
  <c r="AM76" i="8"/>
  <c r="AM90" i="8"/>
  <c r="L113" i="7"/>
  <c r="AT113" i="7"/>
  <c r="AV113" i="7" s="1"/>
  <c r="AS106" i="7"/>
  <c r="AM75" i="8"/>
  <c r="AL96" i="8"/>
  <c r="AU96" i="8" s="1"/>
  <c r="AM13" i="8"/>
  <c r="AS109" i="7"/>
  <c r="AS130" i="7"/>
  <c r="AS30" i="7"/>
  <c r="AM22" i="8"/>
  <c r="AS59" i="7"/>
  <c r="AS26" i="7"/>
  <c r="AM83" i="8"/>
  <c r="AS103" i="7"/>
  <c r="AP19" i="8"/>
  <c r="AM37" i="8"/>
  <c r="AM79" i="8"/>
  <c r="AM68" i="8"/>
  <c r="AM87" i="8"/>
  <c r="AP87" i="8" s="1"/>
  <c r="AS65" i="7"/>
  <c r="AM45" i="8"/>
  <c r="AM94" i="8"/>
  <c r="AS97" i="7"/>
  <c r="AM70" i="8"/>
  <c r="AS90" i="7"/>
  <c r="AS118" i="7" l="1"/>
  <c r="AM3" i="8"/>
  <c r="AM65" i="8" l="1"/>
  <c r="AM28" i="8" l="1"/>
  <c r="AI37" i="7"/>
  <c r="AS82" i="7"/>
  <c r="AR27" i="7"/>
  <c r="BB27" i="7" s="1"/>
  <c r="AS124" i="7"/>
  <c r="AS72" i="7"/>
  <c r="AM51" i="8"/>
  <c r="AS84" i="7"/>
  <c r="AL26" i="8"/>
  <c r="AU26" i="8" s="1"/>
  <c r="AS32" i="7"/>
  <c r="AS85" i="7"/>
  <c r="AL47" i="8"/>
  <c r="AU47" i="8" s="1"/>
  <c r="AT12" i="7"/>
  <c r="AV12" i="7" s="1"/>
  <c r="AM10" i="8"/>
  <c r="AM8" i="8"/>
  <c r="AL8" i="8"/>
  <c r="AP8" i="8" s="1"/>
  <c r="AS15" i="7"/>
  <c r="AB83" i="7"/>
  <c r="T83" i="7"/>
  <c r="L83" i="7"/>
  <c r="AS83" i="7"/>
  <c r="AS71" i="7"/>
  <c r="AS74" i="7"/>
  <c r="L115" i="7"/>
  <c r="AS115" i="7"/>
  <c r="AT131" i="7"/>
  <c r="AV131" i="7" s="1"/>
  <c r="AS112" i="7"/>
  <c r="AS68" i="7"/>
  <c r="AS35" i="7"/>
  <c r="AS77" i="7"/>
  <c r="J56" i="8"/>
  <c r="AN56" i="8"/>
  <c r="AP56" i="8" s="1"/>
  <c r="AM89" i="8"/>
  <c r="AS9" i="7"/>
  <c r="AS128" i="7"/>
  <c r="AS135" i="7"/>
  <c r="L132" i="7"/>
  <c r="AT132" i="7"/>
  <c r="AV132" i="7" s="1"/>
  <c r="AS96" i="7"/>
  <c r="AS8" i="7"/>
  <c r="AS116" i="7"/>
  <c r="AV28" i="7"/>
  <c r="AT5" i="7"/>
  <c r="AV5" i="7" s="1"/>
  <c r="AS33" i="7"/>
  <c r="AM61" i="8"/>
  <c r="AS119" i="7"/>
  <c r="AS129" i="7"/>
  <c r="AS69" i="7"/>
  <c r="AS120" i="7"/>
  <c r="AS134" i="7"/>
  <c r="AS126" i="7"/>
  <c r="AM41" i="8"/>
  <c r="AM80" i="8"/>
  <c r="AG96" i="8"/>
  <c r="AM49" i="8"/>
  <c r="AM14" i="8"/>
  <c r="L114" i="7"/>
  <c r="AS114" i="7"/>
  <c r="AS70" i="7"/>
  <c r="AS17" i="7"/>
  <c r="AS53" i="7" l="1"/>
  <c r="AS62" i="7" l="1"/>
  <c r="L121" i="7"/>
  <c r="AT121" i="7"/>
  <c r="AV121" i="7" s="1"/>
  <c r="AF86" i="8"/>
  <c r="AH86" i="8" s="1"/>
  <c r="AI66" i="7"/>
  <c r="AS81" i="7"/>
  <c r="AM30" i="8" l="1"/>
  <c r="AS41" i="7"/>
  <c r="AM32" i="8"/>
  <c r="AM44" i="8"/>
  <c r="AM33" i="8"/>
  <c r="AM43" i="8"/>
  <c r="AM42" i="8"/>
  <c r="AS45" i="7" l="1"/>
  <c r="AS64" i="7"/>
  <c r="AS47" i="7"/>
  <c r="AS63" i="7"/>
  <c r="AS61" i="7"/>
  <c r="AJ34" i="7" l="1"/>
  <c r="AE58" i="8"/>
  <c r="AJ80" i="7"/>
  <c r="AM80" i="7" s="1"/>
  <c r="AF31" i="8"/>
  <c r="AH31" i="8" s="1"/>
  <c r="AI117" i="7" l="1"/>
  <c r="AD82" i="8"/>
  <c r="AJ4" i="7"/>
  <c r="AJ91" i="7" l="1"/>
  <c r="T91" i="7"/>
  <c r="AI22" i="7" l="1"/>
  <c r="AJ58" i="7"/>
  <c r="AE40" i="8"/>
  <c r="AE66" i="8" l="1"/>
  <c r="AD51" i="8"/>
  <c r="AF51" i="8" s="1"/>
  <c r="AH51" i="8" s="1"/>
  <c r="AJ33" i="7"/>
  <c r="AE25" i="8"/>
  <c r="AE79" i="8"/>
  <c r="AB110" i="7"/>
  <c r="AD110" i="7" s="1"/>
  <c r="J79" i="8"/>
  <c r="X79" i="8"/>
  <c r="Z79" i="8" s="1"/>
  <c r="AK110" i="7" l="1"/>
  <c r="AM110" i="7" s="1"/>
  <c r="AD11" i="8"/>
  <c r="AJ94" i="7"/>
  <c r="J67" i="8"/>
  <c r="AF67" i="8"/>
  <c r="AH67" i="8" s="1"/>
  <c r="AJ104" i="7"/>
  <c r="AM11" i="8" l="1"/>
  <c r="AE11" i="8"/>
  <c r="AD53" i="8"/>
  <c r="AM53" i="8" s="1"/>
  <c r="AJ117" i="7"/>
  <c r="AE82" i="8"/>
  <c r="AJ123" i="7"/>
  <c r="AJ100" i="7"/>
  <c r="AE27" i="8"/>
  <c r="AJ36" i="7"/>
  <c r="AE5" i="8"/>
  <c r="AE12" i="8"/>
  <c r="AE62" i="8"/>
  <c r="AE63" i="8"/>
  <c r="AJ38" i="7" l="1"/>
  <c r="AE29" i="8"/>
  <c r="AJ18" i="7"/>
  <c r="AE15" i="8"/>
  <c r="AJ57" i="7"/>
  <c r="AE39" i="8"/>
  <c r="AJ21" i="7"/>
  <c r="AE16" i="8"/>
  <c r="AJ7" i="7"/>
  <c r="AE7" i="8"/>
  <c r="AJ144" i="7"/>
  <c r="AE100" i="8"/>
  <c r="AJ118" i="7"/>
  <c r="AE92" i="8"/>
  <c r="J81" i="8" l="1"/>
  <c r="AF81" i="8"/>
  <c r="AH81" i="8" s="1"/>
  <c r="J55" i="8"/>
  <c r="AF55" i="8"/>
  <c r="AH55" i="8" s="1"/>
  <c r="J52" i="8"/>
  <c r="AF52" i="8"/>
  <c r="AH52" i="8" s="1"/>
  <c r="AE90" i="8"/>
  <c r="J23" i="8"/>
  <c r="AF23" i="8"/>
  <c r="AH23" i="8" s="1"/>
  <c r="AJ24" i="7"/>
  <c r="AM24" i="7" s="1"/>
  <c r="AE17" i="8"/>
  <c r="AJ113" i="7"/>
  <c r="AE93" i="8"/>
  <c r="AJ108" i="7"/>
  <c r="AE76" i="8"/>
  <c r="AH76" i="8" s="1"/>
  <c r="AE54" i="8"/>
  <c r="AJ106" i="7"/>
  <c r="AE75" i="8"/>
  <c r="J77" i="8"/>
  <c r="AF77" i="8"/>
  <c r="AH77" i="8" s="1"/>
  <c r="AJ37" i="7"/>
  <c r="AE28" i="8"/>
  <c r="AD18" i="8"/>
  <c r="AM18" i="8" s="1"/>
  <c r="AE98" i="8"/>
  <c r="AE13" i="8"/>
  <c r="AE48" i="8"/>
  <c r="AE88" i="8"/>
  <c r="AH88" i="8" s="1"/>
  <c r="AD69" i="8" l="1"/>
  <c r="AM69" i="8" s="1"/>
  <c r="AF36" i="8"/>
  <c r="AH36" i="8" s="1"/>
  <c r="AI131" i="7"/>
  <c r="AK131" i="7" s="1"/>
  <c r="AM131" i="7" s="1"/>
  <c r="AI132" i="7"/>
  <c r="AK132" i="7" s="1"/>
  <c r="AM132" i="7" s="1"/>
  <c r="AI133" i="7"/>
  <c r="AK133" i="7" s="1"/>
  <c r="AM133" i="7" s="1"/>
  <c r="AM20" i="7" l="1"/>
  <c r="AF59" i="8"/>
  <c r="AH59" i="8" s="1"/>
  <c r="AJ22" i="7"/>
  <c r="AJ142" i="7"/>
  <c r="AE35" i="8"/>
  <c r="AH35" i="8" s="1"/>
  <c r="AM51" i="7"/>
  <c r="AJ95" i="7"/>
  <c r="AJ55" i="7"/>
  <c r="AE38" i="8"/>
  <c r="AJ105" i="7"/>
  <c r="AE74" i="8"/>
  <c r="AE72" i="8"/>
  <c r="AH72" i="8" s="1"/>
  <c r="AJ16" i="7"/>
  <c r="AJ79" i="7"/>
  <c r="AD96" i="8"/>
  <c r="AM96" i="8" s="1"/>
  <c r="AJ11" i="7"/>
  <c r="AJ43" i="7"/>
  <c r="AE57" i="8"/>
  <c r="AD60" i="8"/>
  <c r="AM60" i="8" s="1"/>
  <c r="AE9" i="8"/>
  <c r="AJ102" i="7"/>
  <c r="AE78" i="8"/>
  <c r="AJ76" i="7"/>
  <c r="AH19" i="8"/>
  <c r="AJ92" i="7"/>
  <c r="AJ90" i="7"/>
  <c r="AE20" i="8" l="1"/>
  <c r="AJ136" i="7"/>
  <c r="AE73" i="8"/>
  <c r="AE71" i="8"/>
  <c r="AJ59" i="7" l="1"/>
  <c r="AE87" i="8"/>
  <c r="AH87" i="8" s="1"/>
  <c r="AE41" i="8"/>
  <c r="AF24" i="8"/>
  <c r="AH24" i="8" s="1"/>
  <c r="AJ122" i="7"/>
  <c r="AE83" i="8"/>
  <c r="AJ73" i="7"/>
  <c r="AJ99" i="7"/>
  <c r="AJ124" i="7"/>
  <c r="AE89" i="8"/>
  <c r="AH89" i="8" s="1"/>
  <c r="AJ109" i="7"/>
  <c r="AJ65" i="7"/>
  <c r="AE45" i="8"/>
  <c r="AE68" i="8"/>
  <c r="AJ97" i="7"/>
  <c r="AE70" i="8"/>
  <c r="AE94" i="8" l="1"/>
  <c r="AJ14" i="7" l="1"/>
  <c r="AH11" i="8"/>
  <c r="AE97" i="8"/>
  <c r="AE80" i="8"/>
  <c r="AJ26" i="7"/>
  <c r="AE84" i="8"/>
  <c r="AI27" i="7"/>
  <c r="AS27" i="7" s="1"/>
  <c r="AJ85" i="7"/>
  <c r="AJ125" i="7"/>
  <c r="L12" i="7" l="1"/>
  <c r="AK12" i="7"/>
  <c r="AM12" i="7" s="1"/>
  <c r="J10" i="8"/>
  <c r="AF10" i="8"/>
  <c r="AH10" i="8" s="1"/>
  <c r="AJ93" i="7"/>
  <c r="AJ72" i="7"/>
  <c r="AJ29" i="7"/>
  <c r="AE21" i="8"/>
  <c r="AE91" i="8"/>
  <c r="AH91" i="8" s="1"/>
  <c r="AE85" i="8"/>
  <c r="AH85" i="8" s="1"/>
  <c r="AJ30" i="7" l="1"/>
  <c r="AE22" i="8"/>
  <c r="AK115" i="7"/>
  <c r="AM115" i="7" s="1"/>
  <c r="AJ69" i="7"/>
  <c r="AJ71" i="7"/>
  <c r="AJ114" i="7"/>
  <c r="AM114" i="7" s="1"/>
  <c r="AD47" i="8"/>
  <c r="AM47" i="8" s="1"/>
  <c r="AJ9" i="7"/>
  <c r="AJ8" i="7"/>
  <c r="AE37" i="8"/>
  <c r="AH37" i="8" s="1"/>
  <c r="AJ68" i="7"/>
  <c r="AK35" i="7"/>
  <c r="AM35" i="7" s="1"/>
  <c r="AJ15" i="7"/>
  <c r="AM15" i="7" s="1"/>
  <c r="AJ127" i="7"/>
  <c r="AJ32" i="7"/>
  <c r="AJ74" i="7"/>
  <c r="AJ77" i="7"/>
  <c r="AE56" i="8"/>
  <c r="AE61" i="8"/>
  <c r="AK119" i="7"/>
  <c r="AM119" i="7" s="1"/>
  <c r="AJ129" i="7"/>
  <c r="AJ120" i="7"/>
  <c r="AJ134" i="7"/>
  <c r="AJ126" i="7"/>
  <c r="AJ96" i="7"/>
  <c r="AJ84" i="7"/>
  <c r="AE65" i="8"/>
  <c r="AH65" i="8" s="1"/>
  <c r="AK112" i="7" l="1"/>
  <c r="AM112" i="7" s="1"/>
  <c r="AM28" i="7"/>
  <c r="AE95" i="8"/>
  <c r="AJ130" i="7"/>
  <c r="AJ103" i="7"/>
  <c r="AJ101" i="7"/>
  <c r="AK83" i="7"/>
  <c r="AM83" i="7" s="1"/>
  <c r="AJ135" i="7"/>
  <c r="AJ116" i="7"/>
  <c r="AJ128" i="7"/>
  <c r="AJ82" i="7"/>
  <c r="AJ31" i="7"/>
  <c r="AJ98" i="7"/>
  <c r="AJ66" i="7"/>
  <c r="AE46" i="8"/>
  <c r="AH46" i="8" s="1"/>
  <c r="AJ121" i="7"/>
  <c r="AE50" i="8"/>
  <c r="AH50" i="8" s="1"/>
  <c r="AE49" i="8"/>
  <c r="AE14" i="8"/>
  <c r="J3" i="8"/>
  <c r="AF3" i="8"/>
  <c r="AH3" i="8" s="1"/>
  <c r="AJ53" i="7"/>
  <c r="AJ62" i="7"/>
  <c r="AJ70" i="7" l="1"/>
  <c r="AJ17" i="7"/>
  <c r="AJ89" i="7"/>
  <c r="AJ87" i="7"/>
  <c r="AJ86" i="7"/>
  <c r="AJ88" i="7"/>
  <c r="AE8" i="8"/>
  <c r="AD8" i="8"/>
  <c r="AH8" i="8" l="1"/>
  <c r="L144" i="7"/>
  <c r="AJ81" i="7" l="1"/>
  <c r="AB55" i="7"/>
  <c r="AD55" i="7" s="1"/>
  <c r="AA75" i="7" l="1"/>
  <c r="AB92" i="7" l="1"/>
  <c r="AB49" i="7" l="1"/>
  <c r="X86" i="8"/>
  <c r="Z86" i="8" s="1"/>
  <c r="AJ41" i="7" l="1"/>
  <c r="AE30" i="8"/>
  <c r="AE44" i="8"/>
  <c r="AF33" i="8"/>
  <c r="AH33" i="8" s="1"/>
  <c r="AE43" i="8"/>
  <c r="AE42" i="8"/>
  <c r="AE32" i="8"/>
  <c r="AJ61" i="7"/>
  <c r="AK47" i="7"/>
  <c r="AM47" i="7" s="1"/>
  <c r="AJ63" i="7"/>
  <c r="AJ64" i="7"/>
  <c r="AJ45" i="7"/>
  <c r="AA37" i="7" l="1"/>
  <c r="W26" i="8" l="1"/>
  <c r="AM26" i="8" s="1"/>
  <c r="W11" i="8" l="1"/>
  <c r="AB4" i="7"/>
  <c r="AA106" i="7" l="1"/>
  <c r="T58" i="7"/>
  <c r="Q40" i="8"/>
  <c r="L58" i="7"/>
  <c r="O58" i="7" s="1"/>
  <c r="J40" i="8"/>
  <c r="L40" i="8" s="1"/>
  <c r="AA114" i="7"/>
  <c r="AB34" i="7"/>
  <c r="AB91" i="7" l="1"/>
  <c r="W69" i="8"/>
  <c r="AE69" i="8" s="1"/>
  <c r="AD20" i="7" l="1"/>
  <c r="AB58" i="7"/>
  <c r="AD58" i="7" s="1"/>
  <c r="X40" i="8"/>
  <c r="Z40" i="8" s="1"/>
  <c r="AB94" i="7"/>
  <c r="X67" i="8"/>
  <c r="AA40" i="7"/>
  <c r="T26" i="7"/>
  <c r="AB102" i="7" l="1"/>
  <c r="AA22" i="7"/>
  <c r="T35" i="7"/>
  <c r="L35" i="7"/>
  <c r="AB35" i="7"/>
  <c r="AD35" i="7" s="1"/>
  <c r="X25" i="8"/>
  <c r="Z25" i="8" s="1"/>
  <c r="AB36" i="7"/>
  <c r="AD36" i="7" s="1"/>
  <c r="AB30" i="7" l="1"/>
  <c r="X22" i="8"/>
  <c r="Z22" i="8" s="1"/>
  <c r="AD51" i="7" l="1"/>
  <c r="AB7" i="7"/>
  <c r="X7" i="8"/>
  <c r="AB21" i="7"/>
  <c r="X16" i="8"/>
  <c r="AB38" i="7"/>
  <c r="X29" i="8"/>
  <c r="AB57" i="7"/>
  <c r="X39" i="8"/>
  <c r="AB144" i="7"/>
  <c r="X100" i="8"/>
  <c r="W53" i="8" l="1"/>
  <c r="AE53" i="8" s="1"/>
  <c r="AB18" i="7"/>
  <c r="X15" i="8"/>
  <c r="AB93" i="7"/>
  <c r="AB104" i="7"/>
  <c r="X5" i="8"/>
  <c r="X12" i="8"/>
  <c r="X63" i="8"/>
  <c r="X62" i="8"/>
  <c r="X48" i="8"/>
  <c r="AB109" i="7"/>
  <c r="W96" i="8"/>
  <c r="AE96" i="8" s="1"/>
  <c r="T117" i="7" l="1"/>
  <c r="AB117" i="7"/>
  <c r="AB123" i="7"/>
  <c r="X77" i="8"/>
  <c r="X50" i="8"/>
  <c r="Z50" i="8" s="1"/>
  <c r="AB95" i="7"/>
  <c r="X57" i="8"/>
  <c r="X9" i="8"/>
  <c r="X68" i="8"/>
  <c r="Z68" i="8" s="1"/>
  <c r="AB22" i="7"/>
  <c r="AD22" i="7" s="1"/>
  <c r="AB142" i="7"/>
  <c r="AB79" i="7"/>
  <c r="M16" i="7"/>
  <c r="O16" i="7" s="1"/>
  <c r="T16" i="7"/>
  <c r="AB16" i="7"/>
  <c r="AB11" i="7"/>
  <c r="AB43" i="7"/>
  <c r="X59" i="8"/>
  <c r="AB105" i="7"/>
  <c r="X74" i="8"/>
  <c r="J89" i="8"/>
  <c r="X89" i="8"/>
  <c r="Z89" i="8" s="1"/>
  <c r="X24" i="8"/>
  <c r="AA48" i="7"/>
  <c r="X94" i="8"/>
  <c r="X72" i="8"/>
  <c r="AB50" i="7"/>
  <c r="W60" i="8"/>
  <c r="AF60" i="8" s="1"/>
  <c r="AH60" i="8" s="1"/>
  <c r="X35" i="8"/>
  <c r="AB125" i="7"/>
  <c r="AB73" i="7"/>
  <c r="AB90" i="7"/>
  <c r="AB82" i="7"/>
  <c r="X88" i="8"/>
  <c r="X80" i="8"/>
  <c r="X85" i="8"/>
  <c r="X91" i="8"/>
  <c r="AB136" i="7"/>
  <c r="X92" i="8"/>
  <c r="X20" i="8" l="1"/>
  <c r="X73" i="8"/>
  <c r="X71" i="8"/>
  <c r="AB62" i="7"/>
  <c r="X4" i="8"/>
  <c r="X3" i="8"/>
  <c r="Z3" i="8" s="1"/>
  <c r="AB3" i="7"/>
  <c r="AB29" i="7"/>
  <c r="AD29" i="7" s="1"/>
  <c r="X21" i="8"/>
  <c r="Z21" i="8" s="1"/>
  <c r="AB121" i="7"/>
  <c r="X90" i="8" l="1"/>
  <c r="Z90" i="8" s="1"/>
  <c r="X81" i="8"/>
  <c r="AA27" i="7"/>
  <c r="AB72" i="7"/>
  <c r="X51" i="8"/>
  <c r="W18" i="8"/>
  <c r="AE18" i="8" s="1"/>
  <c r="X98" i="8"/>
  <c r="X13" i="8"/>
  <c r="AB37" i="7"/>
  <c r="X28" i="8"/>
  <c r="AB66" i="7"/>
  <c r="X46" i="8"/>
  <c r="Z46" i="8" s="1"/>
  <c r="X83" i="8"/>
  <c r="X87" i="8"/>
  <c r="X78" i="8"/>
  <c r="X27" i="8"/>
  <c r="Z27" i="8" s="1"/>
  <c r="AB97" i="7"/>
  <c r="T97" i="7"/>
  <c r="V97" i="7" s="1"/>
  <c r="L97" i="7"/>
  <c r="X70" i="8"/>
  <c r="X36" i="8"/>
  <c r="AB84" i="7"/>
  <c r="X37" i="8"/>
  <c r="AB68" i="7"/>
  <c r="X38" i="8"/>
  <c r="Z38" i="8" s="1"/>
  <c r="AB76" i="7"/>
  <c r="X34" i="8"/>
  <c r="X31" i="8"/>
  <c r="X97" i="8"/>
  <c r="AD83" i="7"/>
  <c r="AB12" i="7"/>
  <c r="X10" i="8"/>
  <c r="AB128" i="7"/>
  <c r="AB122" i="7"/>
  <c r="AB99" i="7"/>
  <c r="AB124" i="7"/>
  <c r="AB14" i="7"/>
  <c r="X11" i="8"/>
  <c r="AB118" i="7"/>
  <c r="AB133" i="7"/>
  <c r="X65" i="8"/>
  <c r="X8" i="8"/>
  <c r="W8" i="8"/>
  <c r="AB98" i="7"/>
  <c r="AJ27" i="7" l="1"/>
  <c r="AB33" i="7"/>
  <c r="X82" i="8"/>
  <c r="X52" i="8"/>
  <c r="X23" i="8"/>
  <c r="X55" i="8"/>
  <c r="AB108" i="7"/>
  <c r="AB103" i="7"/>
  <c r="AB100" i="7"/>
  <c r="J76" i="8"/>
  <c r="X76" i="8"/>
  <c r="Z76" i="8" s="1"/>
  <c r="X93" i="8"/>
  <c r="AB80" i="7"/>
  <c r="AD80" i="7" s="1"/>
  <c r="X58" i="8"/>
  <c r="AB24" i="7"/>
  <c r="X17" i="8"/>
  <c r="AB113" i="7"/>
  <c r="AB106" i="7"/>
  <c r="X75" i="8"/>
  <c r="AB75" i="7"/>
  <c r="X54" i="8"/>
  <c r="AB59" i="7"/>
  <c r="W47" i="8"/>
  <c r="AE47" i="8" s="1"/>
  <c r="X61" i="8"/>
  <c r="W64" i="8"/>
  <c r="AE64" i="8" s="1"/>
  <c r="AH64" i="8" s="1"/>
  <c r="AB135" i="7"/>
  <c r="AB116" i="7"/>
  <c r="AB85" i="7"/>
  <c r="Z19" i="8"/>
  <c r="AB71" i="7"/>
  <c r="T65" i="7"/>
  <c r="AB65" i="7"/>
  <c r="AD65" i="7" s="1"/>
  <c r="X45" i="8"/>
  <c r="AB127" i="7"/>
  <c r="T127" i="7"/>
  <c r="V127" i="7" s="1"/>
  <c r="X95" i="8"/>
  <c r="AB130" i="7"/>
  <c r="X84" i="8"/>
  <c r="Z84" i="8" s="1"/>
  <c r="AB119" i="7"/>
  <c r="AB129" i="7"/>
  <c r="AB134" i="7"/>
  <c r="AB120" i="7"/>
  <c r="AB32" i="7"/>
  <c r="AB26" i="7"/>
  <c r="L26" i="7"/>
  <c r="AB101" i="7"/>
  <c r="Z8" i="8"/>
  <c r="AB77" i="7"/>
  <c r="X56" i="8"/>
  <c r="AB74" i="7"/>
  <c r="AB69" i="7"/>
  <c r="AB96" i="7"/>
  <c r="AB132" i="7"/>
  <c r="AB131" i="7"/>
  <c r="AB115" i="7"/>
  <c r="AB112" i="7"/>
  <c r="AB15" i="7"/>
  <c r="AB9" i="7"/>
  <c r="AB8" i="7"/>
  <c r="AD28" i="7"/>
  <c r="X14" i="8"/>
  <c r="X49" i="8"/>
  <c r="AB70" i="7"/>
  <c r="AB17" i="7"/>
  <c r="AB53" i="7"/>
  <c r="AB89" i="7"/>
  <c r="AB87" i="7"/>
  <c r="AB86" i="7"/>
  <c r="AB88" i="7"/>
  <c r="AB31" i="7"/>
  <c r="T31" i="7"/>
  <c r="T15" i="7" l="1"/>
  <c r="V15" i="7" s="1"/>
  <c r="R96" i="8"/>
  <c r="X30" i="8"/>
  <c r="AB81" i="7"/>
  <c r="X32" i="8" l="1"/>
  <c r="Z32" i="8" s="1"/>
  <c r="S37" i="7"/>
  <c r="Q86" i="8"/>
  <c r="S86" i="8" s="1"/>
  <c r="AB41" i="7" l="1"/>
  <c r="X42" i="8"/>
  <c r="X43" i="8"/>
  <c r="X33" i="8"/>
  <c r="X44" i="8"/>
  <c r="AB64" i="7"/>
  <c r="AB61" i="7"/>
  <c r="AD61" i="7" s="1"/>
  <c r="AB47" i="7"/>
  <c r="AB63" i="7"/>
  <c r="AD63" i="7" s="1"/>
  <c r="AB45" i="7"/>
  <c r="AD45" i="7" s="1"/>
  <c r="T105" i="7" l="1"/>
  <c r="L127" i="7"/>
  <c r="S75" i="7" l="1"/>
  <c r="S106" i="7"/>
  <c r="AJ75" i="7" l="1"/>
  <c r="T75" i="7"/>
  <c r="S66" i="7"/>
  <c r="L117" i="7"/>
  <c r="P75" i="8" l="1"/>
  <c r="T73" i="7"/>
  <c r="T76" i="7"/>
  <c r="L76" i="7"/>
  <c r="Q35" i="8" l="1"/>
  <c r="S35" i="8" s="1"/>
  <c r="Q92" i="8" l="1"/>
  <c r="Q81" i="8" l="1"/>
  <c r="S12" i="7" l="1"/>
  <c r="T71" i="7"/>
  <c r="Q82" i="8" l="1"/>
  <c r="J82" i="8"/>
  <c r="L82" i="8" s="1"/>
  <c r="Q25" i="8"/>
  <c r="T4" i="7"/>
  <c r="J13" i="8"/>
  <c r="Q13" i="8"/>
  <c r="T110" i="7"/>
  <c r="V110" i="7" s="1"/>
  <c r="T30" i="7" l="1"/>
  <c r="Q22" i="8"/>
  <c r="S22" i="8" s="1"/>
  <c r="T94" i="7" l="1"/>
  <c r="Q67" i="8"/>
  <c r="L43" i="7" l="1"/>
  <c r="T43" i="7"/>
  <c r="V43" i="7" s="1"/>
  <c r="M79" i="7"/>
  <c r="T79" i="7"/>
  <c r="T11" i="7"/>
  <c r="T144" i="7"/>
  <c r="V144" i="7" s="1"/>
  <c r="Q100" i="8"/>
  <c r="T34" i="7"/>
  <c r="T38" i="7"/>
  <c r="Q29" i="8"/>
  <c r="T57" i="7"/>
  <c r="Q39" i="8"/>
  <c r="T21" i="7"/>
  <c r="Q16" i="8"/>
  <c r="T7" i="7"/>
  <c r="Q7" i="8"/>
  <c r="S7" i="8" s="1"/>
  <c r="T18" i="7"/>
  <c r="Q15" i="8"/>
  <c r="T92" i="7"/>
  <c r="V92" i="7" s="1"/>
  <c r="V105" i="7"/>
  <c r="Q74" i="8"/>
  <c r="Q88" i="8"/>
  <c r="P69" i="8"/>
  <c r="X69" i="8" s="1"/>
  <c r="Z69" i="8" s="1"/>
  <c r="T95" i="7"/>
  <c r="Q5" i="8"/>
  <c r="Q12" i="8"/>
  <c r="T109" i="7"/>
  <c r="Q63" i="8"/>
  <c r="Q62" i="8"/>
  <c r="Q48" i="8"/>
  <c r="P18" i="8"/>
  <c r="X18" i="8" s="1"/>
  <c r="T102" i="7"/>
  <c r="Q59" i="8"/>
  <c r="V16" i="7"/>
  <c r="T142" i="7"/>
  <c r="Q4" i="8" l="1"/>
  <c r="S4" i="8" s="1"/>
  <c r="T29" i="7"/>
  <c r="Q21" i="8"/>
  <c r="T136" i="7"/>
  <c r="Q98" i="8" l="1"/>
  <c r="S98" i="8" s="1"/>
  <c r="P53" i="8" l="1"/>
  <c r="X53" i="8" s="1"/>
  <c r="T123" i="7"/>
  <c r="Q77" i="8"/>
  <c r="T93" i="7"/>
  <c r="T124" i="7"/>
  <c r="T32" i="7"/>
  <c r="T104" i="7"/>
  <c r="T122" i="7"/>
  <c r="Q89" i="8"/>
  <c r="T14" i="7"/>
  <c r="Q11" i="8"/>
  <c r="Q97" i="8"/>
  <c r="Q72" i="8"/>
  <c r="Q94" i="8"/>
  <c r="J94" i="8"/>
  <c r="L94" i="8" s="1"/>
  <c r="T49" i="7"/>
  <c r="V49" i="7" s="1"/>
  <c r="T50" i="7"/>
  <c r="V50" i="7" s="1"/>
  <c r="Q20" i="8"/>
  <c r="Q65" i="8" l="1"/>
  <c r="Q55" i="8"/>
  <c r="Q23" i="8"/>
  <c r="Q52" i="8"/>
  <c r="J27" i="8"/>
  <c r="Q27" i="8"/>
  <c r="S27" i="8" s="1"/>
  <c r="P96" i="8"/>
  <c r="X96" i="8" s="1"/>
  <c r="J38" i="8"/>
  <c r="Q38" i="8"/>
  <c r="S38" i="8" s="1"/>
  <c r="T90" i="7"/>
  <c r="P60" i="8"/>
  <c r="X60" i="8" s="1"/>
  <c r="Q36" i="8"/>
  <c r="L36" i="7"/>
  <c r="T36" i="7"/>
  <c r="V36" i="7" s="1"/>
  <c r="Q24" i="8"/>
  <c r="Q70" i="8"/>
  <c r="S70" i="8" s="1"/>
  <c r="L116" i="7"/>
  <c r="T116" i="7"/>
  <c r="V116" i="7" s="1"/>
  <c r="V65" i="7"/>
  <c r="J45" i="8"/>
  <c r="Q45" i="8"/>
  <c r="T99" i="7"/>
  <c r="L55" i="7"/>
  <c r="T55" i="7"/>
  <c r="V55" i="7" s="1"/>
  <c r="L120" i="7"/>
  <c r="T120" i="7"/>
  <c r="V120" i="7" s="1"/>
  <c r="L126" i="7"/>
  <c r="S126" i="7"/>
  <c r="L134" i="7"/>
  <c r="T134" i="7"/>
  <c r="V134" i="7" s="1"/>
  <c r="T128" i="7"/>
  <c r="T119" i="7"/>
  <c r="T129" i="7"/>
  <c r="T135" i="7"/>
  <c r="V51" i="7"/>
  <c r="Q80" i="8"/>
  <c r="T68" i="7"/>
  <c r="V35" i="7"/>
  <c r="Q71" i="8"/>
  <c r="Q73" i="8"/>
  <c r="T89" i="7"/>
  <c r="T126" i="7" l="1"/>
  <c r="V126" i="7" s="1"/>
  <c r="AB126" i="7"/>
  <c r="AD126" i="7" s="1"/>
  <c r="T121" i="7"/>
  <c r="L57" i="7"/>
  <c r="M108" i="7" l="1"/>
  <c r="T108" i="7"/>
  <c r="Q76" i="8"/>
  <c r="Q14" i="8"/>
  <c r="Q49" i="8"/>
  <c r="L37" i="7"/>
  <c r="T37" i="7"/>
  <c r="V37" i="7" s="1"/>
  <c r="Q28" i="8"/>
  <c r="S19" i="8"/>
  <c r="Q83" i="8"/>
  <c r="Q68" i="8"/>
  <c r="P26" i="8"/>
  <c r="X26" i="8" s="1"/>
  <c r="Z26" i="8" s="1"/>
  <c r="Q78" i="8"/>
  <c r="Q87" i="8"/>
  <c r="T84" i="7"/>
  <c r="V84" i="7" s="1"/>
  <c r="Q79" i="8"/>
  <c r="P64" i="8"/>
  <c r="X64" i="8" s="1"/>
  <c r="Q41" i="8"/>
  <c r="S27" i="7"/>
  <c r="AB27" i="7" s="1"/>
  <c r="AD27" i="7" s="1"/>
  <c r="Q31" i="8"/>
  <c r="T72" i="7"/>
  <c r="J51" i="8"/>
  <c r="Q51" i="8"/>
  <c r="S51" i="8" s="1"/>
  <c r="L9" i="7"/>
  <c r="T9" i="7"/>
  <c r="V9" i="7" s="1"/>
  <c r="J37" i="8"/>
  <c r="Q37" i="8"/>
  <c r="P47" i="8"/>
  <c r="X47" i="8" s="1"/>
  <c r="V20" i="7"/>
  <c r="V28" i="7"/>
  <c r="T82" i="7"/>
  <c r="Q34" i="8"/>
  <c r="T98" i="7"/>
  <c r="T118" i="7"/>
  <c r="T88" i="7"/>
  <c r="T86" i="7"/>
  <c r="T87" i="7"/>
  <c r="T66" i="7"/>
  <c r="Q46" i="8"/>
  <c r="S46" i="8" s="1"/>
  <c r="T80" i="7"/>
  <c r="Q58" i="8"/>
  <c r="S58" i="8" s="1"/>
  <c r="T24" i="7"/>
  <c r="J17" i="8"/>
  <c r="Q17" i="8"/>
  <c r="S17" i="8" s="1"/>
  <c r="Q91" i="8"/>
  <c r="T133" i="7"/>
  <c r="Q85" i="8"/>
  <c r="T70" i="7"/>
  <c r="T17" i="7"/>
  <c r="Q50" i="8" l="1"/>
  <c r="T3" i="7"/>
  <c r="M17" i="7" l="1"/>
  <c r="J90" i="8" l="1"/>
  <c r="Q90" i="8"/>
  <c r="T113" i="7"/>
  <c r="Q84" i="8"/>
  <c r="J84" i="8"/>
  <c r="T100" i="7"/>
  <c r="Q93" i="8"/>
  <c r="J93" i="8"/>
  <c r="T106" i="7"/>
  <c r="Q75" i="8"/>
  <c r="Q54" i="8"/>
  <c r="L8" i="7"/>
  <c r="T8" i="7"/>
  <c r="V8" i="7" s="1"/>
  <c r="Q95" i="8"/>
  <c r="T130" i="7"/>
  <c r="V130" i="7" s="1"/>
  <c r="T12" i="7"/>
  <c r="Q10" i="8"/>
  <c r="T112" i="7"/>
  <c r="T59" i="7"/>
  <c r="T48" i="7"/>
  <c r="T77" i="7"/>
  <c r="Q56" i="8"/>
  <c r="T74" i="7"/>
  <c r="V74" i="7" s="1"/>
  <c r="T96" i="7"/>
  <c r="T107" i="7"/>
  <c r="Q61" i="8"/>
  <c r="T131" i="7"/>
  <c r="T115" i="7"/>
  <c r="T114" i="7"/>
  <c r="V114" i="7" s="1"/>
  <c r="T132" i="7"/>
  <c r="T125" i="7"/>
  <c r="T101" i="7"/>
  <c r="V101" i="7" s="1"/>
  <c r="Q3" i="8"/>
  <c r="T62" i="7"/>
  <c r="Q8" i="8"/>
  <c r="P8" i="8"/>
  <c r="S8" i="8" l="1"/>
  <c r="V31" i="7"/>
  <c r="M110" i="7"/>
  <c r="O110" i="7" s="1"/>
  <c r="V83" i="7"/>
  <c r="T103" i="7"/>
  <c r="L81" i="7" l="1"/>
  <c r="T81" i="7"/>
  <c r="V81" i="7" s="1"/>
  <c r="Q66" i="8"/>
  <c r="S66" i="8" s="1"/>
  <c r="Q30" i="8" l="1"/>
  <c r="T41" i="7"/>
  <c r="K85" i="7"/>
  <c r="Q44" i="8"/>
  <c r="J42" i="8"/>
  <c r="Q42" i="8"/>
  <c r="S42" i="8" s="1"/>
  <c r="Q43" i="8"/>
  <c r="S43" i="8" s="1"/>
  <c r="I57" i="8"/>
  <c r="Q57" i="8" s="1"/>
  <c r="Q33" i="8"/>
  <c r="J32" i="8"/>
  <c r="Q32" i="8"/>
  <c r="S32" i="8" s="1"/>
  <c r="T64" i="7"/>
  <c r="T63" i="7"/>
  <c r="V63" i="7" s="1"/>
  <c r="T47" i="7"/>
  <c r="T61" i="7"/>
  <c r="V61" i="7" s="1"/>
  <c r="T45" i="7"/>
  <c r="V45" i="7" s="1"/>
  <c r="T85" i="7" l="1"/>
  <c r="V85" i="7" s="1"/>
  <c r="L85" i="7"/>
  <c r="O85" i="7" s="1"/>
  <c r="K66" i="7"/>
  <c r="M66" i="7" s="1"/>
  <c r="G9" i="8" l="1"/>
  <c r="I9" i="8"/>
  <c r="K10" i="7"/>
  <c r="J9" i="8" l="1"/>
  <c r="L9" i="8" s="1"/>
  <c r="Q9" i="8"/>
  <c r="J86" i="8"/>
  <c r="L86" i="8" s="1"/>
  <c r="K5" i="7" l="1"/>
  <c r="AB5" i="7" s="1"/>
  <c r="AD5" i="7" s="1"/>
  <c r="L31" i="7"/>
  <c r="O31" i="7" s="1"/>
  <c r="L29" i="7"/>
  <c r="L98" i="7"/>
  <c r="M5" i="7" l="1"/>
  <c r="O5" i="7" s="1"/>
  <c r="T5" i="7"/>
  <c r="V5" i="7" s="1"/>
  <c r="L49" i="7"/>
  <c r="O49" i="7" s="1"/>
  <c r="L50" i="7"/>
  <c r="O50" i="7" s="1"/>
  <c r="L73" i="7"/>
  <c r="O100" i="7"/>
  <c r="J34" i="8" l="1"/>
  <c r="L34" i="8" s="1"/>
  <c r="K72" i="7" l="1"/>
  <c r="M72" i="7" s="1"/>
  <c r="O72" i="7" s="1"/>
  <c r="L4" i="7" l="1"/>
  <c r="K106" i="7"/>
  <c r="K75" i="7"/>
  <c r="L75" i="7" s="1"/>
  <c r="M30" i="7"/>
  <c r="O30" i="7" s="1"/>
  <c r="J22" i="8"/>
  <c r="L22" i="8" s="1"/>
  <c r="K40" i="7"/>
  <c r="L71" i="7"/>
  <c r="O71" i="7" s="1"/>
  <c r="J66" i="8"/>
  <c r="J92" i="8"/>
  <c r="L92" i="8" s="1"/>
  <c r="L11" i="7" l="1"/>
  <c r="O11" i="7" s="1"/>
  <c r="K22" i="7"/>
  <c r="T22" i="7" s="1"/>
  <c r="V22" i="7" s="1"/>
  <c r="J95" i="8"/>
  <c r="L95" i="8" s="1"/>
  <c r="L130" i="7"/>
  <c r="O130" i="7" s="1"/>
  <c r="L92" i="7"/>
  <c r="O92" i="7" s="1"/>
  <c r="J25" i="8" l="1"/>
  <c r="I69" i="8"/>
  <c r="Q69" i="8" s="1"/>
  <c r="J8" i="8"/>
  <c r="I8" i="8"/>
  <c r="O51" i="7"/>
  <c r="L91" i="7"/>
  <c r="I60" i="8"/>
  <c r="M7" i="7"/>
  <c r="O7" i="7" s="1"/>
  <c r="J7" i="8"/>
  <c r="L7" i="8" s="1"/>
  <c r="M21" i="7"/>
  <c r="O21" i="7" s="1"/>
  <c r="J16" i="8"/>
  <c r="L16" i="8" s="1"/>
  <c r="J39" i="8"/>
  <c r="L39" i="8" s="1"/>
  <c r="M38" i="7"/>
  <c r="O38" i="7" s="1"/>
  <c r="J29" i="8"/>
  <c r="L29" i="8" s="1"/>
  <c r="J100" i="8"/>
  <c r="L100" i="8" s="1"/>
  <c r="O18" i="7"/>
  <c r="J15" i="8"/>
  <c r="L15" i="8" s="1"/>
  <c r="J60" i="8" l="1"/>
  <c r="Q60" i="8"/>
  <c r="L94" i="7" l="1"/>
  <c r="L60" i="8" l="1"/>
  <c r="O76" i="7"/>
  <c r="O22" i="7"/>
  <c r="M112" i="7"/>
  <c r="O112" i="7" s="1"/>
  <c r="O127" i="7"/>
  <c r="K74" i="7"/>
  <c r="M74" i="7" s="1"/>
  <c r="K69" i="7"/>
  <c r="J72" i="8"/>
  <c r="L72" i="8" s="1"/>
  <c r="L69" i="7" l="1"/>
  <c r="T69" i="7"/>
  <c r="L8" i="8"/>
  <c r="L41" i="7"/>
  <c r="L6" i="7" l="1"/>
  <c r="O6" i="7" s="1"/>
  <c r="J20" i="8" l="1"/>
  <c r="L20" i="8" s="1"/>
  <c r="L21" i="8" l="1"/>
  <c r="I53" i="8"/>
  <c r="J30" i="8"/>
  <c r="L30" i="8" s="1"/>
  <c r="O66" i="7"/>
  <c r="J46" i="8"/>
  <c r="L46" i="8" s="1"/>
  <c r="O41" i="7"/>
  <c r="J57" i="8"/>
  <c r="L57" i="8" s="1"/>
  <c r="J61" i="8"/>
  <c r="L61" i="8" s="1"/>
  <c r="O79" i="7"/>
  <c r="J88" i="8"/>
  <c r="L88" i="8" s="1"/>
  <c r="J31" i="8"/>
  <c r="L31" i="8" s="1"/>
  <c r="L42" i="8"/>
  <c r="L43" i="8"/>
  <c r="J33" i="8"/>
  <c r="L33" i="8" s="1"/>
  <c r="J44" i="8"/>
  <c r="L44" i="8" s="1"/>
  <c r="L32" i="8"/>
  <c r="O47" i="7"/>
  <c r="O45" i="7"/>
  <c r="L19" i="8"/>
  <c r="J53" i="8" l="1"/>
  <c r="Q53" i="8"/>
  <c r="L33" i="7"/>
  <c r="J59" i="8"/>
  <c r="L59" i="8" s="1"/>
  <c r="J65" i="8"/>
  <c r="L65" i="8" s="1"/>
  <c r="J91" i="8" l="1"/>
  <c r="L91" i="8" s="1"/>
  <c r="J85" i="8"/>
  <c r="L85" i="8" s="1"/>
  <c r="L102" i="7"/>
  <c r="O105" i="7"/>
  <c r="J74" i="8"/>
  <c r="J87" i="8"/>
  <c r="L87" i="8" s="1"/>
  <c r="L104" i="7"/>
  <c r="L32" i="7"/>
  <c r="M125" i="7"/>
  <c r="O125" i="7" s="1"/>
  <c r="J71" i="8"/>
  <c r="J73" i="8"/>
  <c r="J4" i="8"/>
  <c r="L4" i="8" s="1"/>
  <c r="L90" i="7"/>
  <c r="I64" i="8"/>
  <c r="L93" i="7"/>
  <c r="L84" i="7"/>
  <c r="O84" i="7" s="1"/>
  <c r="J5" i="8"/>
  <c r="J64" i="8" l="1"/>
  <c r="L64" i="8" s="1"/>
  <c r="Q64" i="8"/>
  <c r="L3" i="7"/>
  <c r="L95" i="7"/>
  <c r="J12" i="8" l="1"/>
  <c r="L109" i="7"/>
  <c r="J62" i="8"/>
  <c r="J63" i="8"/>
  <c r="L15" i="7"/>
  <c r="J48" i="8"/>
  <c r="J50" i="8"/>
  <c r="L50" i="8" s="1"/>
  <c r="L84" i="8"/>
  <c r="O20" i="7"/>
  <c r="J24" i="8"/>
  <c r="L24" i="8" s="1"/>
  <c r="J68" i="8"/>
  <c r="L68" i="8" s="1"/>
  <c r="G47" i="8"/>
  <c r="I47" i="8"/>
  <c r="Q47" i="8" s="1"/>
  <c r="J83" i="8"/>
  <c r="L83" i="8" s="1"/>
  <c r="J78" i="8"/>
  <c r="I26" i="8"/>
  <c r="J26" i="8" s="1"/>
  <c r="I96" i="8"/>
  <c r="O101" i="7"/>
  <c r="L118" i="7"/>
  <c r="O118" i="7" s="1"/>
  <c r="K27" i="7"/>
  <c r="L65" i="7"/>
  <c r="O65" i="7" s="1"/>
  <c r="L45" i="8"/>
  <c r="O97" i="7"/>
  <c r="O74" i="7"/>
  <c r="O28" i="7"/>
  <c r="L27" i="7" l="1"/>
  <c r="T27" i="7"/>
  <c r="Q26" i="8"/>
  <c r="J96" i="8"/>
  <c r="Q96" i="8"/>
  <c r="J47" i="8"/>
  <c r="L47" i="8" s="1"/>
  <c r="O26" i="7" l="1"/>
  <c r="I18" i="8"/>
  <c r="Q18" i="8" s="1"/>
  <c r="J18" i="8"/>
  <c r="L18" i="8" s="1"/>
  <c r="L13" i="8"/>
  <c r="J6" i="8"/>
  <c r="L6" i="8" s="1"/>
  <c r="O114" i="7"/>
  <c r="L90" i="8"/>
  <c r="J49" i="8"/>
  <c r="J14" i="8"/>
  <c r="L93" i="8"/>
  <c r="O108" i="7"/>
  <c r="L106" i="7"/>
  <c r="O106" i="7" s="1"/>
  <c r="J75" i="8"/>
  <c r="O75" i="7"/>
  <c r="J54" i="8"/>
  <c r="J28" i="8"/>
  <c r="L28" i="8" s="1"/>
  <c r="L70" i="7" l="1"/>
  <c r="O17" i="7"/>
  <c r="L53" i="7" l="1"/>
  <c r="L48" i="7" l="1"/>
  <c r="L124" i="7"/>
  <c r="L37" i="8"/>
  <c r="J80" i="8"/>
  <c r="O69" i="7"/>
  <c r="O35" i="7"/>
  <c r="L135" i="7"/>
  <c r="L128" i="7"/>
  <c r="L129" i="7"/>
  <c r="L119" i="7"/>
  <c r="L77" i="7"/>
  <c r="O77" i="7" s="1"/>
  <c r="L96" i="7"/>
  <c r="J41" i="8" l="1"/>
  <c r="L82" i="7"/>
  <c r="J11" i="8"/>
  <c r="L131" i="7"/>
  <c r="L87" i="7"/>
  <c r="L86" i="7"/>
  <c r="L88" i="7"/>
  <c r="L80" i="7"/>
  <c r="J58" i="8"/>
  <c r="L24" i="7"/>
  <c r="H69" i="8"/>
  <c r="J69" i="8" s="1"/>
  <c r="L69" i="8" s="1"/>
  <c r="L62" i="7" l="1"/>
  <c r="O62" i="7" s="1"/>
  <c r="O83" i="7" l="1"/>
  <c r="L103" i="7" l="1"/>
  <c r="H89" i="7"/>
  <c r="L89" i="7" s="1"/>
  <c r="H88" i="7"/>
  <c r="H87" i="7"/>
  <c r="H86" i="7" l="1"/>
  <c r="BY20" i="2" l="1"/>
  <c r="BZ14" i="2"/>
  <c r="BZ7" i="2"/>
  <c r="BZ109" i="2"/>
  <c r="AC51" i="2" l="1"/>
  <c r="CB67" i="2" l="1"/>
  <c r="CB77" i="2" l="1"/>
  <c r="BY49" i="2" l="1"/>
  <c r="BY75" i="2"/>
  <c r="BY25" i="2"/>
  <c r="BY29" i="2"/>
  <c r="BY9" i="2"/>
  <c r="BZ9" i="2" s="1"/>
  <c r="CB9" i="2" s="1"/>
  <c r="BY107" i="2"/>
  <c r="BY50" i="2"/>
  <c r="BZ50" i="2" s="1"/>
  <c r="CB50" i="2" s="1"/>
  <c r="BY56" i="2" l="1"/>
  <c r="BZ74" i="2"/>
  <c r="CB74" i="2" s="1"/>
  <c r="BZ26" i="2"/>
  <c r="CB26" i="2" s="1"/>
  <c r="CB100" i="2"/>
  <c r="BZ38" i="2"/>
  <c r="CB38" i="2" s="1"/>
  <c r="BZ23" i="2"/>
  <c r="CB23" i="2" s="1"/>
  <c r="CB79" i="2"/>
  <c r="BY28" i="2"/>
  <c r="BR76" i="2" l="1"/>
  <c r="BT76" i="2" s="1"/>
  <c r="BJ76" i="2"/>
  <c r="BL76" i="2" s="1"/>
  <c r="BR86" i="2" l="1"/>
  <c r="BT86" i="2" s="1"/>
  <c r="BR104" i="2" l="1"/>
  <c r="BT104" i="2" s="1"/>
  <c r="BR21" i="2"/>
  <c r="BT21" i="2" s="1"/>
  <c r="BA28" i="2"/>
  <c r="AS28" i="2"/>
  <c r="AT28" i="2" s="1"/>
  <c r="AK28" i="2"/>
  <c r="AL28" i="2" s="1"/>
  <c r="AN28" i="2" s="1"/>
  <c r="BQ75" i="2"/>
  <c r="BJ89" i="2"/>
  <c r="BL89" i="2" s="1"/>
  <c r="BB89" i="2"/>
  <c r="BD89" i="2" s="1"/>
  <c r="U89" i="2"/>
  <c r="W89" i="2" s="1"/>
  <c r="L89" i="2"/>
  <c r="N89" i="2" s="1"/>
  <c r="BR61" i="2" l="1"/>
  <c r="BT61" i="2" s="1"/>
  <c r="BT40" i="2"/>
  <c r="BQ29" i="2"/>
  <c r="BQ10" i="2"/>
  <c r="BR10" i="2" s="1"/>
  <c r="BT10" i="2" s="1"/>
  <c r="BR23" i="2"/>
  <c r="BT23" i="2" s="1"/>
  <c r="BR49" i="2" l="1"/>
  <c r="BT49" i="2" s="1"/>
  <c r="BQ56" i="2" l="1"/>
  <c r="BQ100" i="2"/>
  <c r="BR100" i="2" s="1"/>
  <c r="BT100" i="2" s="1"/>
  <c r="BT97" i="2"/>
  <c r="BR90" i="2"/>
  <c r="BR26" i="2"/>
  <c r="BT26" i="2" s="1"/>
  <c r="BR32" i="2"/>
  <c r="BR103" i="2"/>
  <c r="BT103" i="2" s="1"/>
  <c r="BR13" i="2" l="1"/>
  <c r="BT13" i="2" s="1"/>
  <c r="BR38" i="2" l="1"/>
  <c r="BT38" i="2" s="1"/>
  <c r="BT92" i="2" l="1"/>
  <c r="BQ28" i="2"/>
  <c r="BQ9" i="2"/>
  <c r="BR11" i="2"/>
  <c r="BQ107" i="2"/>
  <c r="BQ20" i="2"/>
  <c r="BZ20" i="2" s="1"/>
  <c r="BR94" i="2"/>
  <c r="BT94" i="2" s="1"/>
  <c r="BQ50" i="2"/>
  <c r="BR50" i="2" s="1"/>
  <c r="BT50" i="2" s="1"/>
  <c r="BR51" i="2" l="1"/>
  <c r="BT51" i="2" s="1"/>
  <c r="BR6" i="2"/>
  <c r="BT6" i="2" s="1"/>
  <c r="BR69" i="2"/>
  <c r="BT69" i="2" s="1"/>
  <c r="BR68" i="2"/>
  <c r="BT68" i="2" s="1"/>
  <c r="BR77" i="2"/>
  <c r="BT77" i="2" s="1"/>
  <c r="BR79" i="2"/>
  <c r="BT79" i="2" s="1"/>
  <c r="BR83" i="2" l="1"/>
  <c r="BT83" i="2" s="1"/>
  <c r="BS107" i="2" l="1"/>
  <c r="BT107" i="2" s="1"/>
  <c r="BI9" i="2" l="1"/>
  <c r="BL33" i="2"/>
  <c r="BJ65" i="2" l="1"/>
  <c r="BL65" i="2" s="1"/>
  <c r="BJ53" i="2"/>
  <c r="BL53" i="2" s="1"/>
  <c r="BB53" i="2"/>
  <c r="BD53" i="2" s="1"/>
  <c r="BI75" i="2" l="1"/>
  <c r="BJ86" i="2"/>
  <c r="BL86" i="2" s="1"/>
  <c r="BJ37" i="2" l="1"/>
  <c r="BL37" i="2" s="1"/>
  <c r="BJ10" i="2" l="1"/>
  <c r="BJ64" i="2" l="1"/>
  <c r="BL64" i="2" s="1"/>
  <c r="BJ73" i="2"/>
  <c r="BL73" i="2" s="1"/>
  <c r="BI61" i="2"/>
  <c r="BJ61" i="2" s="1"/>
  <c r="BL61" i="2" s="1"/>
  <c r="BJ17" i="2" l="1"/>
  <c r="BL17" i="2" s="1"/>
  <c r="BJ8" i="2"/>
  <c r="BL8" i="2" s="1"/>
  <c r="BJ42" i="2"/>
  <c r="BL42" i="2" s="1"/>
  <c r="BJ81" i="2" l="1"/>
  <c r="BJ41" i="2"/>
  <c r="BJ23" i="2"/>
  <c r="BL23" i="2" s="1"/>
  <c r="BJ93" i="2"/>
  <c r="BL93" i="2" s="1"/>
  <c r="BJ27" i="2"/>
  <c r="BL27" i="2" s="1"/>
  <c r="BJ45" i="2" l="1"/>
  <c r="BJ35" i="2"/>
  <c r="BJ46" i="2"/>
  <c r="BJ47" i="2"/>
  <c r="BI66" i="2" l="1"/>
  <c r="BJ69" i="2"/>
  <c r="BL69" i="2" s="1"/>
  <c r="BJ68" i="2"/>
  <c r="BL68" i="2" s="1"/>
  <c r="BJ26" i="2"/>
  <c r="BL26" i="2" s="1"/>
  <c r="BJ71" i="2"/>
  <c r="BL71" i="2" s="1"/>
  <c r="BJ103" i="2"/>
  <c r="BL103" i="2" s="1"/>
  <c r="BJ29" i="2"/>
  <c r="BJ24" i="2"/>
  <c r="BL24" i="2" s="1"/>
  <c r="BJ104" i="2"/>
  <c r="BL104" i="2" s="1"/>
  <c r="BI107" i="2"/>
  <c r="BI20" i="2"/>
  <c r="BJ20" i="2" s="1"/>
  <c r="BJ13" i="2" l="1"/>
  <c r="BL13" i="2" s="1"/>
  <c r="BJ6" i="2"/>
  <c r="BL6" i="2" s="1"/>
  <c r="BJ51" i="2"/>
  <c r="BL51" i="2" s="1"/>
  <c r="BJ67" i="2" l="1"/>
  <c r="BL67" i="2" s="1"/>
  <c r="BK38" i="2"/>
  <c r="BJ49" i="2" l="1"/>
  <c r="BL49" i="2" s="1"/>
  <c r="BJ101" i="2" l="1"/>
  <c r="BL101" i="2" s="1"/>
  <c r="BJ95" i="2"/>
  <c r="BL95" i="2" s="1"/>
  <c r="BJ4" i="2"/>
  <c r="BL4" i="2" s="1"/>
  <c r="BJ74" i="2"/>
  <c r="BL74" i="2" s="1"/>
  <c r="BI97" i="2"/>
  <c r="BJ97" i="2" s="1"/>
  <c r="BL97" i="2" s="1"/>
  <c r="BJ21" i="2"/>
  <c r="BL21" i="2" s="1"/>
  <c r="BJ92" i="2"/>
  <c r="BJ109" i="2"/>
  <c r="BJ14" i="2"/>
  <c r="BJ34" i="2"/>
  <c r="BJ7" i="2"/>
  <c r="BJ36" i="2"/>
  <c r="BJ94" i="2"/>
  <c r="BL94" i="2" s="1"/>
  <c r="BI50" i="2"/>
  <c r="BJ50" i="2" s="1"/>
  <c r="BL50" i="2" s="1"/>
  <c r="BJ77" i="2" l="1"/>
  <c r="BL77" i="2" s="1"/>
  <c r="BJ79" i="2"/>
  <c r="BL79" i="2" s="1"/>
  <c r="BD54" i="2" l="1"/>
  <c r="BB86" i="2" l="1"/>
  <c r="BD86" i="2" s="1"/>
  <c r="L85" i="2" l="1"/>
  <c r="U85" i="2"/>
  <c r="AL85" i="2"/>
  <c r="AC85" i="2"/>
  <c r="AT85" i="2"/>
  <c r="BB85" i="2"/>
  <c r="BA75" i="2" l="1"/>
  <c r="BB75" i="2" s="1"/>
  <c r="BD75" i="2" s="1"/>
  <c r="BB93" i="2" l="1"/>
  <c r="BD93" i="2" s="1"/>
  <c r="BB6" i="2" l="1"/>
  <c r="BD6" i="2" s="1"/>
  <c r="BB13" i="2"/>
  <c r="BD13" i="2" s="1"/>
  <c r="BB69" i="2"/>
  <c r="BD69" i="2" s="1"/>
  <c r="BB68" i="2"/>
  <c r="BD68" i="2" s="1"/>
  <c r="BB51" i="2"/>
  <c r="BD51" i="2" s="1"/>
  <c r="BB27" i="2" l="1"/>
  <c r="BD27" i="2" s="1"/>
  <c r="BB90" i="2" l="1"/>
  <c r="BB105" i="2" l="1"/>
  <c r="BD105" i="2" s="1"/>
  <c r="BB80" i="2"/>
  <c r="BD80" i="2" s="1"/>
  <c r="BB61" i="2" l="1"/>
  <c r="BD61" i="2" s="1"/>
  <c r="BB10" i="2" l="1"/>
  <c r="BD10" i="2" s="1"/>
  <c r="BB78" i="2" l="1"/>
  <c r="BB83" i="2"/>
  <c r="BD83" i="2" s="1"/>
  <c r="BB100" i="2" l="1"/>
  <c r="BD100" i="2" s="1"/>
  <c r="BA29" i="2"/>
  <c r="BB29" i="2" s="1"/>
  <c r="BD29" i="2" s="1"/>
  <c r="BB22" i="2"/>
  <c r="BA17" i="2"/>
  <c r="BB17" i="2" s="1"/>
  <c r="BA8" i="2"/>
  <c r="BB8" i="2" s="1"/>
  <c r="BB42" i="2"/>
  <c r="BB54" i="2"/>
  <c r="BB23" i="2" l="1"/>
  <c r="BD23" i="2" s="1"/>
  <c r="BB31" i="2"/>
  <c r="BB40" i="2"/>
  <c r="BD40" i="2" s="1"/>
  <c r="BB37" i="2" l="1"/>
  <c r="BD37" i="2" s="1"/>
  <c r="BA56" i="2" l="1"/>
  <c r="BB56" i="2" s="1"/>
  <c r="BD56" i="2" s="1"/>
  <c r="BB64" i="2"/>
  <c r="BD64" i="2" s="1"/>
  <c r="BB26" i="2"/>
  <c r="BD26" i="2" s="1"/>
  <c r="BB62" i="2"/>
  <c r="BB18" i="2"/>
  <c r="BB104" i="2"/>
  <c r="BD104" i="2" s="1"/>
  <c r="BD12" i="2"/>
  <c r="BB96" i="2"/>
  <c r="BD96" i="2" s="1"/>
  <c r="BB65" i="2"/>
  <c r="BD65" i="2" s="1"/>
  <c r="BB101" i="2" l="1"/>
  <c r="BD101" i="2" s="1"/>
  <c r="BB95" i="2"/>
  <c r="BD95" i="2" s="1"/>
  <c r="BB67" i="2" l="1"/>
  <c r="BD67" i="2" s="1"/>
  <c r="BB16" i="2"/>
  <c r="BD16" i="2" s="1"/>
  <c r="BB24" i="2"/>
  <c r="BD24" i="2" s="1"/>
  <c r="BB21" i="2"/>
  <c r="BD21" i="2" s="1"/>
  <c r="BA20" i="2"/>
  <c r="BB20" i="2" s="1"/>
  <c r="BB14" i="2"/>
  <c r="BB7" i="2"/>
  <c r="BB109" i="2"/>
  <c r="BB81" i="2"/>
  <c r="BB71" i="2"/>
  <c r="BD71" i="2" s="1"/>
  <c r="BB15" i="2"/>
  <c r="BB52" i="2"/>
  <c r="BB44" i="2"/>
  <c r="BA97" i="2"/>
  <c r="BB97" i="2" s="1"/>
  <c r="BB77" i="2"/>
  <c r="BD77" i="2" s="1"/>
  <c r="BB79" i="2"/>
  <c r="BD79" i="2" s="1"/>
  <c r="BA9" i="2" l="1"/>
  <c r="BB9" i="2" s="1"/>
  <c r="BD9" i="2" s="1"/>
  <c r="BB76" i="2" l="1"/>
  <c r="BD76" i="2" s="1"/>
  <c r="BB91" i="2"/>
  <c r="BA107" i="2"/>
  <c r="BB107" i="2" s="1"/>
  <c r="BB36" i="2"/>
  <c r="BB82" i="2" l="1"/>
  <c r="BD82" i="2" s="1"/>
  <c r="BB103" i="2"/>
  <c r="BD103" i="2" s="1"/>
  <c r="BB59" i="2"/>
  <c r="BB25" i="2"/>
  <c r="BB55" i="2"/>
  <c r="BB38" i="2"/>
  <c r="BB57" i="2"/>
  <c r="BB74" i="2"/>
  <c r="BD74" i="2" s="1"/>
  <c r="BB94" i="2"/>
  <c r="BD94" i="2" s="1"/>
  <c r="BB92" i="2"/>
  <c r="BB11" i="2"/>
  <c r="BB45" i="2"/>
  <c r="BD45" i="2" s="1"/>
  <c r="BB46" i="2"/>
  <c r="BD46" i="2" s="1"/>
  <c r="BB35" i="2"/>
  <c r="BD35" i="2" s="1"/>
  <c r="BB47" i="2"/>
  <c r="BD47" i="2" s="1"/>
  <c r="BB34" i="2"/>
  <c r="BD34" i="2" s="1"/>
  <c r="BA50" i="2"/>
  <c r="BB50" i="2" s="1"/>
  <c r="BD50" i="2" s="1"/>
  <c r="BB32" i="2"/>
  <c r="BD32" i="2" s="1"/>
  <c r="AT6" i="2" l="1"/>
  <c r="AV6" i="2" s="1"/>
  <c r="AT13" i="2"/>
  <c r="AV13" i="2" s="1"/>
  <c r="AT69" i="2"/>
  <c r="AV69" i="2" s="1"/>
  <c r="AT68" i="2"/>
  <c r="AV68" i="2" s="1"/>
  <c r="AT51" i="2"/>
  <c r="AV51" i="2" s="1"/>
  <c r="U67" i="2" l="1"/>
  <c r="W67" i="2" s="1"/>
  <c r="AL67" i="2"/>
  <c r="AN67" i="2" s="1"/>
  <c r="AT67" i="2"/>
  <c r="AV67" i="2" s="1"/>
  <c r="L67" i="2"/>
  <c r="AT76" i="2" l="1"/>
  <c r="AV76" i="2" s="1"/>
  <c r="AS75" i="2"/>
  <c r="AT99" i="2" l="1"/>
  <c r="AV99" i="2" s="1"/>
  <c r="AT10" i="2" l="1"/>
  <c r="AV10" i="2" s="1"/>
  <c r="AT75" i="2" l="1"/>
  <c r="AV75" i="2" s="1"/>
  <c r="AT58" i="2"/>
  <c r="AT43" i="2"/>
  <c r="AT73" i="2" l="1"/>
  <c r="AV73" i="2" s="1"/>
  <c r="AS86" i="2" l="1"/>
  <c r="AT27" i="2"/>
  <c r="AV27" i="2" s="1"/>
  <c r="AS30" i="2"/>
  <c r="AT98" i="2" l="1"/>
  <c r="AV98" i="2" s="1"/>
  <c r="AT37" i="2" l="1"/>
  <c r="AS66" i="2" l="1"/>
  <c r="BA66" i="2" s="1"/>
  <c r="AT23" i="2"/>
  <c r="AV23" i="2" s="1"/>
  <c r="AT66" i="2" l="1"/>
  <c r="AV66" i="2" s="1"/>
  <c r="AT17" i="2"/>
  <c r="AT8" i="2"/>
  <c r="AT42" i="2"/>
  <c r="AT52" i="2"/>
  <c r="AV52" i="2" s="1"/>
  <c r="AT15" i="2"/>
  <c r="AV15" i="2" s="1"/>
  <c r="AT96" i="2"/>
  <c r="AT31" i="2"/>
  <c r="AT83" i="2" l="1"/>
  <c r="AV83" i="2" s="1"/>
  <c r="AT93" i="2" l="1"/>
  <c r="AV93" i="2" s="1"/>
  <c r="AT16" i="2"/>
  <c r="AT41" i="2"/>
  <c r="AV41" i="2" s="1"/>
  <c r="AT29" i="2"/>
  <c r="AV29" i="2" s="1"/>
  <c r="AT77" i="2"/>
  <c r="AV77" i="2" s="1"/>
  <c r="AT79" i="2"/>
  <c r="AV79" i="2" s="1"/>
  <c r="AT61" i="2" l="1"/>
  <c r="AV61" i="2" s="1"/>
  <c r="AT91" i="2" l="1"/>
  <c r="AT65" i="2"/>
  <c r="AV65" i="2" s="1"/>
  <c r="AS18" i="2"/>
  <c r="AT62" i="2"/>
  <c r="AV62" i="2" s="1"/>
  <c r="AT70" i="2"/>
  <c r="AV70" i="2" s="1"/>
  <c r="AT24" i="2"/>
  <c r="AT21" i="2"/>
  <c r="AV21" i="2" s="1"/>
  <c r="AT78" i="2"/>
  <c r="AT105" i="2"/>
  <c r="AV105" i="2" s="1"/>
  <c r="AT101" i="2" l="1"/>
  <c r="AV101" i="2" s="1"/>
  <c r="AT95" i="2"/>
  <c r="AV95" i="2" s="1"/>
  <c r="AS9" i="2" l="1"/>
  <c r="AT106" i="2" l="1"/>
  <c r="AT71" i="2"/>
  <c r="AV71" i="2" s="1"/>
  <c r="AT12" i="2"/>
  <c r="AT100" i="2"/>
  <c r="AT22" i="2"/>
  <c r="AV22" i="2" s="1"/>
  <c r="AT11" i="2"/>
  <c r="AT39" i="2"/>
  <c r="AT48" i="2" l="1"/>
  <c r="AT40" i="2"/>
  <c r="AV40" i="2" s="1"/>
  <c r="AS107" i="2" l="1"/>
  <c r="AT107" i="2" s="1"/>
  <c r="AT38" i="2" l="1"/>
  <c r="AT90" i="2"/>
  <c r="AT74" i="2"/>
  <c r="AV74" i="2" s="1"/>
  <c r="AT97" i="2"/>
  <c r="AV97" i="2" s="1"/>
  <c r="AT102" i="2"/>
  <c r="AT80" i="2" l="1"/>
  <c r="AV80" i="2" s="1"/>
  <c r="AT109" i="2" l="1"/>
  <c r="AV109" i="2" s="1"/>
  <c r="AT94" i="2"/>
  <c r="AV94" i="2" s="1"/>
  <c r="AT89" i="2"/>
  <c r="AV89" i="2" s="1"/>
  <c r="AT54" i="2"/>
  <c r="AV54" i="2" s="1"/>
  <c r="AT53" i="2"/>
  <c r="AV53" i="2" s="1"/>
  <c r="AT49" i="2"/>
  <c r="AV49" i="2" s="1"/>
  <c r="AT44" i="2"/>
  <c r="AV44" i="2" s="1"/>
  <c r="AT26" i="2"/>
  <c r="AV26" i="2" s="1"/>
  <c r="AT14" i="2"/>
  <c r="AV14" i="2" s="1"/>
  <c r="AT7" i="2"/>
  <c r="AV7" i="2" s="1"/>
  <c r="AT4" i="2"/>
  <c r="AS20" i="2"/>
  <c r="AT20" i="2" s="1"/>
  <c r="AV20" i="2" s="1"/>
  <c r="AC53" i="2"/>
  <c r="AE53" i="2" s="1"/>
  <c r="AL53" i="2"/>
  <c r="AN53" i="2" s="1"/>
  <c r="AV4" i="2" l="1"/>
  <c r="AK75" i="2" l="1"/>
  <c r="AL75" i="2" s="1"/>
  <c r="AT81" i="2"/>
  <c r="AT57" i="2"/>
  <c r="AT103" i="2"/>
  <c r="AV103" i="2" s="1"/>
  <c r="AT82" i="2"/>
  <c r="AV82" i="2" s="1"/>
  <c r="AT59" i="2"/>
  <c r="AV59" i="2" s="1"/>
  <c r="AT55" i="2"/>
  <c r="AV55" i="2" s="1"/>
  <c r="AT104" i="2"/>
  <c r="AV104" i="2" s="1"/>
  <c r="AS50" i="2"/>
  <c r="AT50" i="2" s="1"/>
  <c r="AV50" i="2" s="1"/>
  <c r="AT86" i="2"/>
  <c r="AV86" i="2" s="1"/>
  <c r="AT45" i="2"/>
  <c r="AV45" i="2" s="1"/>
  <c r="AT35" i="2"/>
  <c r="AV35" i="2" s="1"/>
  <c r="AT46" i="2"/>
  <c r="AV46" i="2" s="1"/>
  <c r="AT34" i="2"/>
  <c r="AV34" i="2" s="1"/>
  <c r="AT47" i="2"/>
  <c r="AV47" i="2" s="1"/>
  <c r="AT32" i="2"/>
  <c r="AV32" i="2" s="1"/>
  <c r="AL37" i="2" l="1"/>
  <c r="AN37" i="2" s="1"/>
  <c r="AT25" i="2" l="1"/>
  <c r="AV25" i="2" s="1"/>
  <c r="AK107" i="2" l="1"/>
  <c r="AL107" i="2" s="1"/>
  <c r="AL5" i="2" l="1"/>
  <c r="AN5" i="2" s="1"/>
  <c r="AL27" i="2" l="1"/>
  <c r="AN27" i="2" s="1"/>
  <c r="AL57" i="2" l="1"/>
  <c r="AL81" i="2"/>
  <c r="AL76" i="2" l="1"/>
  <c r="AN76" i="2" s="1"/>
  <c r="AL71" i="2" l="1"/>
  <c r="AN71" i="2" s="1"/>
  <c r="AC69" i="2" l="1"/>
  <c r="AE69" i="2" s="1"/>
  <c r="AL69" i="2"/>
  <c r="AN69" i="2" s="1"/>
  <c r="AL51" i="2"/>
  <c r="AN51" i="2" s="1"/>
  <c r="AL68" i="2"/>
  <c r="AN68" i="2" s="1"/>
  <c r="U68" i="2"/>
  <c r="W68" i="2" s="1"/>
  <c r="AL13" i="2"/>
  <c r="AN13" i="2" s="1"/>
  <c r="AC13" i="2"/>
  <c r="AE13" i="2" s="1"/>
  <c r="AC6" i="2"/>
  <c r="AE6" i="2" s="1"/>
  <c r="U6" i="2"/>
  <c r="W6" i="2" s="1"/>
  <c r="U13" i="2"/>
  <c r="W13" i="2" s="1"/>
  <c r="U69" i="2"/>
  <c r="W69" i="2" s="1"/>
  <c r="AC68" i="2"/>
  <c r="AE68" i="2" s="1"/>
  <c r="U51" i="2"/>
  <c r="AL61" i="2"/>
  <c r="AN61" i="2" s="1"/>
  <c r="AL10" i="2"/>
  <c r="AN10" i="2" s="1"/>
  <c r="AL58" i="2" l="1"/>
  <c r="AL43" i="2"/>
  <c r="AL98" i="2" l="1"/>
  <c r="AN98" i="2" s="1"/>
  <c r="AL22" i="2"/>
  <c r="AN22" i="2" s="1"/>
  <c r="AL70" i="2" l="1"/>
  <c r="AN70" i="2" s="1"/>
  <c r="AM66" i="2" l="1"/>
  <c r="AK66" i="2"/>
  <c r="AL66" i="2" s="1"/>
  <c r="AL91" i="2"/>
  <c r="AL42" i="2"/>
  <c r="AN42" i="2" s="1"/>
  <c r="AL78" i="2"/>
  <c r="AN78" i="2" s="1"/>
  <c r="AL17" i="2"/>
  <c r="AN17" i="2" s="1"/>
  <c r="AL8" i="2"/>
  <c r="AN8" i="2" s="1"/>
  <c r="AL86" i="2"/>
  <c r="AN86" i="2" s="1"/>
  <c r="AK73" i="2"/>
  <c r="AN66" i="2" l="1"/>
  <c r="AL79" i="2"/>
  <c r="AN79" i="2" s="1"/>
  <c r="AL77" i="2"/>
  <c r="AN77" i="2" s="1"/>
  <c r="AL31" i="2" l="1"/>
  <c r="AN31" i="2" s="1"/>
  <c r="AL16" i="2" l="1"/>
  <c r="AL63" i="2" l="1"/>
  <c r="AN63" i="2" s="1"/>
  <c r="AL64" i="2" l="1"/>
  <c r="AN64" i="2" s="1"/>
  <c r="AL89" i="2" l="1"/>
  <c r="AN89" i="2" s="1"/>
  <c r="AL56" i="2"/>
  <c r="AN56" i="2" s="1"/>
  <c r="AL48" i="2"/>
  <c r="AL104" i="2" l="1"/>
  <c r="AN104" i="2" s="1"/>
  <c r="AK23" i="2"/>
  <c r="AL23" i="2" s="1"/>
  <c r="AN23" i="2" s="1"/>
  <c r="AC23" i="2"/>
  <c r="AE23" i="2" s="1"/>
  <c r="AL80" i="2" l="1"/>
  <c r="AN80" i="2" s="1"/>
  <c r="AL29" i="2" l="1"/>
  <c r="AN29" i="2" s="1"/>
  <c r="AL40" i="2"/>
  <c r="AN40" i="2" s="1"/>
  <c r="AL96" i="2" l="1"/>
  <c r="AN96" i="2" s="1"/>
  <c r="AL109" i="2" l="1"/>
  <c r="AN109" i="2" s="1"/>
  <c r="AL101" i="2"/>
  <c r="AN101" i="2" s="1"/>
  <c r="AL100" i="2"/>
  <c r="AN100" i="2" s="1"/>
  <c r="AL95" i="2"/>
  <c r="AL93" i="2"/>
  <c r="AN93" i="2" s="1"/>
  <c r="AL90" i="2"/>
  <c r="AN90" i="2" s="1"/>
  <c r="AL82" i="2"/>
  <c r="AN82" i="2" s="1"/>
  <c r="AL74" i="2"/>
  <c r="AN74" i="2" s="1"/>
  <c r="AL65" i="2"/>
  <c r="AN65" i="2" s="1"/>
  <c r="AL52" i="2"/>
  <c r="AN52" i="2" s="1"/>
  <c r="AL47" i="2"/>
  <c r="AN47" i="2" s="1"/>
  <c r="AL46" i="2"/>
  <c r="AN46" i="2" s="1"/>
  <c r="AL45" i="2"/>
  <c r="AN45" i="2" s="1"/>
  <c r="AL41" i="2"/>
  <c r="AN41" i="2" s="1"/>
  <c r="AL39" i="2"/>
  <c r="AN39" i="2" s="1"/>
  <c r="AL38" i="2"/>
  <c r="AN38" i="2" s="1"/>
  <c r="AL35" i="2"/>
  <c r="AN35" i="2" s="1"/>
  <c r="AL34" i="2"/>
  <c r="AN34" i="2" s="1"/>
  <c r="AL32" i="2"/>
  <c r="AN32" i="2" s="1"/>
  <c r="AL30" i="2"/>
  <c r="AN30" i="2" s="1"/>
  <c r="AL26" i="2"/>
  <c r="AN26" i="2" s="1"/>
  <c r="AL24" i="2"/>
  <c r="AN24" i="2" s="1"/>
  <c r="AL21" i="2"/>
  <c r="AN21" i="2" s="1"/>
  <c r="AL15" i="2"/>
  <c r="AN15" i="2" s="1"/>
  <c r="AL14" i="2"/>
  <c r="AN14" i="2" s="1"/>
  <c r="AL12" i="2"/>
  <c r="AN12" i="2" s="1"/>
  <c r="AL18" i="2"/>
  <c r="AK20" i="2"/>
  <c r="AL20" i="2" s="1"/>
  <c r="AN20" i="2" s="1"/>
  <c r="AL7" i="2"/>
  <c r="AN7" i="2" s="1"/>
  <c r="AK50" i="2" l="1"/>
  <c r="AL50" i="2" s="1"/>
  <c r="AN50" i="2" s="1"/>
  <c r="AB50" i="2"/>
  <c r="AC50" i="2" s="1"/>
  <c r="AE50" i="2" s="1"/>
  <c r="AE14" i="2"/>
  <c r="AE109" i="2"/>
  <c r="AE7" i="2"/>
  <c r="AD20" i="2"/>
  <c r="AE20" i="2" s="1"/>
  <c r="AK92" i="2"/>
  <c r="AL92" i="2" s="1"/>
  <c r="AN92" i="2" s="1"/>
  <c r="AC92" i="2"/>
  <c r="AK9" i="2" l="1"/>
  <c r="AL9" i="2" s="1"/>
  <c r="AN9" i="2" s="1"/>
  <c r="AC30" i="2"/>
  <c r="AE30" i="2" s="1"/>
  <c r="L30" i="2"/>
  <c r="AK97" i="2"/>
  <c r="AL97" i="2" s="1"/>
  <c r="AN97" i="2" s="1"/>
  <c r="AL11" i="2" l="1"/>
  <c r="AN11" i="2" s="1"/>
  <c r="AL103" i="2" l="1"/>
  <c r="AN103" i="2" s="1"/>
  <c r="AL94" i="2"/>
  <c r="AN94" i="2" s="1"/>
  <c r="AL59" i="2" l="1"/>
  <c r="AN59" i="2" s="1"/>
  <c r="AL55" i="2"/>
  <c r="AN55" i="2" s="1"/>
  <c r="AL25" i="2"/>
  <c r="AN25" i="2" s="1"/>
  <c r="AC108" i="2" l="1"/>
  <c r="U108" i="2"/>
  <c r="L108" i="2"/>
  <c r="AC86" i="2" l="1"/>
  <c r="AE86" i="2" s="1"/>
  <c r="AC56" i="2"/>
  <c r="AE56" i="2" s="1"/>
  <c r="AC73" i="2" l="1"/>
  <c r="AE73" i="2" s="1"/>
  <c r="AC91" i="2" l="1"/>
  <c r="AE91" i="2" s="1"/>
  <c r="AC76" i="2"/>
  <c r="AE76" i="2" s="1"/>
  <c r="AC58" i="2" l="1"/>
  <c r="AC43" i="2"/>
  <c r="AC33" i="2"/>
  <c r="AB10" i="2" l="1"/>
  <c r="AC10" i="2" s="1"/>
  <c r="AE10" i="2" s="1"/>
  <c r="AB48" i="2"/>
  <c r="AC61" i="2" l="1"/>
  <c r="AE61" i="2" s="1"/>
  <c r="AC48" i="2" l="1"/>
  <c r="AE48" i="2" s="1"/>
  <c r="AC37" i="2"/>
  <c r="AE37" i="2" s="1"/>
  <c r="AC29" i="2"/>
  <c r="AE29" i="2" s="1"/>
  <c r="AC15" i="2"/>
  <c r="AE15" i="2" s="1"/>
  <c r="AC52" i="2"/>
  <c r="AE52" i="2" s="1"/>
  <c r="AC46" i="2" l="1"/>
  <c r="AE46" i="2" s="1"/>
  <c r="AC45" i="2"/>
  <c r="AE45" i="2" s="1"/>
  <c r="AC35" i="2"/>
  <c r="AE35" i="2" s="1"/>
  <c r="AC34" i="2"/>
  <c r="AE34" i="2" s="1"/>
  <c r="AC47" i="2"/>
  <c r="AE47" i="2" s="1"/>
  <c r="AC32" i="2"/>
  <c r="AE32" i="2" s="1"/>
  <c r="AC49" i="2"/>
  <c r="AC41" i="2"/>
  <c r="AE41" i="2" s="1"/>
  <c r="AC106" i="2" l="1"/>
  <c r="AC93" i="2"/>
  <c r="AB81" i="2"/>
  <c r="AB57" i="2"/>
  <c r="AC57" i="2" s="1"/>
  <c r="AC70" i="2" l="1"/>
  <c r="AE70" i="2" s="1"/>
  <c r="AB71" i="2" l="1"/>
  <c r="AC71" i="2" s="1"/>
  <c r="AE71" i="2" s="1"/>
  <c r="AC16" i="2"/>
  <c r="AE16" i="2" s="1"/>
  <c r="AC17" i="2"/>
  <c r="AE17" i="2" s="1"/>
  <c r="AC8" i="2"/>
  <c r="AE8" i="2" s="1"/>
  <c r="AC42" i="2"/>
  <c r="AE42" i="2" s="1"/>
  <c r="V24" i="2"/>
  <c r="W24" i="2" s="1"/>
  <c r="AC24" i="2"/>
  <c r="AC31" i="2"/>
  <c r="AE31" i="2" s="1"/>
  <c r="AC54" i="2"/>
  <c r="M148" i="3" l="1"/>
  <c r="L148" i="3" s="1"/>
  <c r="M147" i="3"/>
  <c r="L147" i="3" s="1"/>
  <c r="M146" i="3"/>
  <c r="L146" i="3" s="1"/>
  <c r="M145" i="3"/>
  <c r="L145" i="3" s="1"/>
  <c r="M144" i="3"/>
  <c r="L144" i="3" s="1"/>
  <c r="M143" i="3"/>
  <c r="L143" i="3" s="1"/>
  <c r="M142" i="3"/>
  <c r="L142" i="3" s="1"/>
  <c r="M141" i="3"/>
  <c r="L141" i="3" s="1"/>
  <c r="M140" i="3"/>
  <c r="L140" i="3" s="1"/>
  <c r="M139" i="3"/>
  <c r="L139" i="3" s="1"/>
  <c r="M138" i="3"/>
  <c r="L138" i="3" s="1"/>
  <c r="M137" i="3"/>
  <c r="L137" i="3" s="1"/>
  <c r="M136" i="3"/>
  <c r="L136" i="3" s="1"/>
  <c r="M135" i="3"/>
  <c r="L135" i="3" s="1"/>
  <c r="M134" i="3"/>
  <c r="L134" i="3" s="1"/>
  <c r="M133" i="3"/>
  <c r="L133" i="3" s="1"/>
  <c r="M132" i="3"/>
  <c r="L132" i="3" s="1"/>
  <c r="M131" i="3"/>
  <c r="L131" i="3" s="1"/>
  <c r="M130" i="3"/>
  <c r="L130" i="3" s="1"/>
  <c r="M129" i="3"/>
  <c r="L129" i="3" s="1"/>
  <c r="M128" i="3"/>
  <c r="L128" i="3" s="1"/>
  <c r="M127" i="3"/>
  <c r="L127" i="3" s="1"/>
  <c r="M126" i="3"/>
  <c r="L126" i="3" s="1"/>
  <c r="M125" i="3"/>
  <c r="L125" i="3" s="1"/>
  <c r="M124" i="3"/>
  <c r="M123" i="3"/>
  <c r="L123" i="3" s="1"/>
  <c r="M122" i="3"/>
  <c r="L122" i="3" s="1"/>
  <c r="M121" i="3"/>
  <c r="L121" i="3" s="1"/>
  <c r="M120" i="3"/>
  <c r="L120" i="3" s="1"/>
  <c r="M119" i="3"/>
  <c r="L119" i="3" s="1"/>
  <c r="M118" i="3"/>
  <c r="L118" i="3" s="1"/>
  <c r="M117" i="3"/>
  <c r="L117" i="3" s="1"/>
  <c r="M116" i="3"/>
  <c r="L116" i="3" s="1"/>
  <c r="M115" i="3"/>
  <c r="L115" i="3" s="1"/>
  <c r="M114" i="3"/>
  <c r="L114" i="3" s="1"/>
  <c r="M113" i="3"/>
  <c r="L113" i="3" s="1"/>
  <c r="M112" i="3"/>
  <c r="L112" i="3" s="1"/>
  <c r="M111" i="3"/>
  <c r="L111" i="3" s="1"/>
  <c r="M110" i="3"/>
  <c r="L110" i="3" s="1"/>
  <c r="M109" i="3"/>
  <c r="L109" i="3" s="1"/>
  <c r="M108" i="3"/>
  <c r="L108" i="3" s="1"/>
  <c r="M107" i="3"/>
  <c r="M106" i="3"/>
  <c r="L106" i="3" s="1"/>
  <c r="M105" i="3"/>
  <c r="L105" i="3" s="1"/>
  <c r="M104" i="3"/>
  <c r="L104" i="3" s="1"/>
  <c r="M103" i="3"/>
  <c r="L103" i="3" s="1"/>
  <c r="M102" i="3"/>
  <c r="L102" i="3" s="1"/>
  <c r="M101" i="3"/>
  <c r="L101" i="3" s="1"/>
  <c r="M100" i="3"/>
  <c r="L100" i="3" s="1"/>
  <c r="M99" i="3"/>
  <c r="L99" i="3" s="1"/>
  <c r="M98" i="3"/>
  <c r="L98" i="3" s="1"/>
  <c r="M97" i="3"/>
  <c r="L97" i="3" s="1"/>
  <c r="M96" i="3"/>
  <c r="L96" i="3" s="1"/>
  <c r="M95" i="3"/>
  <c r="L95" i="3" s="1"/>
  <c r="M94" i="3"/>
  <c r="M93" i="3"/>
  <c r="L93" i="3" s="1"/>
  <c r="M92" i="3"/>
  <c r="L92" i="3" s="1"/>
  <c r="M91" i="3"/>
  <c r="L91" i="3" s="1"/>
  <c r="M90" i="3"/>
  <c r="L90" i="3" s="1"/>
  <c r="M89" i="3"/>
  <c r="L89" i="3" s="1"/>
  <c r="M88" i="3"/>
  <c r="L88" i="3" s="1"/>
  <c r="M87" i="3"/>
  <c r="L87" i="3" s="1"/>
  <c r="M86" i="3"/>
  <c r="L86" i="3" s="1"/>
  <c r="M85" i="3"/>
  <c r="L85" i="3" s="1"/>
  <c r="M84" i="3"/>
  <c r="L84" i="3" s="1"/>
  <c r="M83" i="3"/>
  <c r="L83" i="3" s="1"/>
  <c r="M82" i="3"/>
  <c r="L82" i="3" s="1"/>
  <c r="M81" i="3"/>
  <c r="L81" i="3" s="1"/>
  <c r="M80" i="3"/>
  <c r="L80" i="3" s="1"/>
  <c r="M79" i="3"/>
  <c r="L79" i="3" s="1"/>
  <c r="M78" i="3"/>
  <c r="L78" i="3" s="1"/>
  <c r="M77" i="3"/>
  <c r="L77" i="3" s="1"/>
  <c r="M76" i="3"/>
  <c r="L76" i="3" s="1"/>
  <c r="M75" i="3"/>
  <c r="L75" i="3" s="1"/>
  <c r="M74" i="3"/>
  <c r="L74" i="3" s="1"/>
  <c r="M73" i="3"/>
  <c r="L73" i="3" s="1"/>
  <c r="M72" i="3"/>
  <c r="L72" i="3" s="1"/>
  <c r="M71" i="3"/>
  <c r="L71" i="3" s="1"/>
  <c r="M70" i="3"/>
  <c r="L70" i="3" s="1"/>
  <c r="M69" i="3"/>
  <c r="L69" i="3" s="1"/>
  <c r="M68" i="3"/>
  <c r="L68" i="3" s="1"/>
  <c r="M67" i="3"/>
  <c r="L67" i="3" s="1"/>
  <c r="M66" i="3"/>
  <c r="L66" i="3" s="1"/>
  <c r="M65" i="3"/>
  <c r="L65" i="3" s="1"/>
  <c r="M64" i="3"/>
  <c r="L64" i="3" s="1"/>
  <c r="M63" i="3"/>
  <c r="L63" i="3" s="1"/>
  <c r="M62" i="3"/>
  <c r="L62" i="3" s="1"/>
  <c r="M61" i="3"/>
  <c r="L61" i="3" s="1"/>
  <c r="M60" i="3"/>
  <c r="L60" i="3" s="1"/>
  <c r="M59" i="3"/>
  <c r="L59" i="3" s="1"/>
  <c r="M58" i="3"/>
  <c r="L58" i="3" s="1"/>
  <c r="M57" i="3"/>
  <c r="L57" i="3" s="1"/>
  <c r="M56" i="3"/>
  <c r="L56" i="3" s="1"/>
  <c r="M55" i="3"/>
  <c r="L55" i="3" s="1"/>
  <c r="M54" i="3"/>
  <c r="L54" i="3" s="1"/>
  <c r="M53" i="3"/>
  <c r="L53" i="3" s="1"/>
  <c r="M52" i="3"/>
  <c r="L52" i="3" s="1"/>
  <c r="M51" i="3"/>
  <c r="L51" i="3" s="1"/>
  <c r="M50" i="3"/>
  <c r="L50" i="3" s="1"/>
  <c r="M49" i="3"/>
  <c r="L49" i="3" s="1"/>
  <c r="M48" i="3"/>
  <c r="L48" i="3" s="1"/>
  <c r="M47" i="3"/>
  <c r="L47" i="3" s="1"/>
  <c r="M46" i="3"/>
  <c r="L46" i="3" s="1"/>
  <c r="M45" i="3"/>
  <c r="L45" i="3" s="1"/>
  <c r="M44" i="3"/>
  <c r="L44" i="3" s="1"/>
  <c r="M43" i="3"/>
  <c r="L43" i="3" s="1"/>
  <c r="M42" i="3"/>
  <c r="L42" i="3" s="1"/>
  <c r="M41" i="3"/>
  <c r="L41" i="3" s="1"/>
  <c r="M40" i="3"/>
  <c r="L40" i="3" s="1"/>
  <c r="M39" i="3"/>
  <c r="L39" i="3" s="1"/>
  <c r="M38" i="3"/>
  <c r="L38" i="3" s="1"/>
  <c r="M37" i="3"/>
  <c r="L37" i="3" s="1"/>
  <c r="M36" i="3"/>
  <c r="L36" i="3" s="1"/>
  <c r="M35" i="3"/>
  <c r="L35" i="3" s="1"/>
  <c r="M34" i="3"/>
  <c r="L34" i="3" s="1"/>
  <c r="M33" i="3"/>
  <c r="L33" i="3" s="1"/>
  <c r="M32" i="3"/>
  <c r="L32" i="3" s="1"/>
  <c r="M31" i="3"/>
  <c r="L31" i="3" s="1"/>
  <c r="M30" i="3"/>
  <c r="L30" i="3" s="1"/>
  <c r="M29" i="3"/>
  <c r="L29" i="3" s="1"/>
  <c r="M28" i="3"/>
  <c r="L28" i="3" s="1"/>
  <c r="M27" i="3"/>
  <c r="M26" i="3"/>
  <c r="L26" i="3" s="1"/>
  <c r="M25" i="3"/>
  <c r="L25" i="3" s="1"/>
  <c r="M24" i="3"/>
  <c r="L24" i="3" s="1"/>
  <c r="M23" i="3"/>
  <c r="L23" i="3" s="1"/>
  <c r="M22" i="3"/>
  <c r="L22" i="3" s="1"/>
  <c r="M21" i="3"/>
  <c r="L21" i="3" s="1"/>
  <c r="M20" i="3"/>
  <c r="L20" i="3" s="1"/>
  <c r="M19" i="3"/>
  <c r="L19" i="3" s="1"/>
  <c r="M18" i="3"/>
  <c r="L18" i="3" s="1"/>
  <c r="M17" i="3"/>
  <c r="L17" i="3" s="1"/>
  <c r="M16" i="3"/>
  <c r="L16" i="3" s="1"/>
  <c r="M15" i="3"/>
  <c r="L15" i="3" s="1"/>
  <c r="M14" i="3"/>
  <c r="L14" i="3" s="1"/>
  <c r="M13" i="3"/>
  <c r="L13" i="3" s="1"/>
  <c r="M12" i="3"/>
  <c r="L12" i="3" s="1"/>
  <c r="M11" i="3"/>
  <c r="L11" i="3" s="1"/>
  <c r="M10" i="3"/>
  <c r="L10" i="3" s="1"/>
  <c r="M9" i="3"/>
  <c r="L9" i="3" s="1"/>
  <c r="M8" i="3"/>
  <c r="L8" i="3" s="1"/>
  <c r="M7" i="3"/>
  <c r="L7" i="3" s="1"/>
  <c r="M6" i="3"/>
  <c r="L6" i="3" s="1"/>
  <c r="K148" i="3"/>
  <c r="J148" i="3" s="1"/>
  <c r="K147" i="3"/>
  <c r="J147" i="3" s="1"/>
  <c r="K146" i="3"/>
  <c r="J146" i="3" s="1"/>
  <c r="K145" i="3"/>
  <c r="J145" i="3" s="1"/>
  <c r="K144" i="3"/>
  <c r="K143" i="3"/>
  <c r="J143" i="3" s="1"/>
  <c r="K142" i="3"/>
  <c r="J142" i="3" s="1"/>
  <c r="K141" i="3"/>
  <c r="J141" i="3" s="1"/>
  <c r="K140" i="3"/>
  <c r="J140" i="3" s="1"/>
  <c r="K139" i="3"/>
  <c r="J139" i="3" s="1"/>
  <c r="K138" i="3"/>
  <c r="J138" i="3" s="1"/>
  <c r="K137" i="3"/>
  <c r="J137" i="3" s="1"/>
  <c r="K136" i="3"/>
  <c r="J136" i="3" s="1"/>
  <c r="K135" i="3"/>
  <c r="J135" i="3" s="1"/>
  <c r="K134" i="3"/>
  <c r="J134" i="3" s="1"/>
  <c r="K133" i="3"/>
  <c r="J133" i="3" s="1"/>
  <c r="K132" i="3"/>
  <c r="J132" i="3" s="1"/>
  <c r="K131" i="3"/>
  <c r="J131" i="3" s="1"/>
  <c r="K130" i="3"/>
  <c r="J130" i="3" s="1"/>
  <c r="K129" i="3"/>
  <c r="J129" i="3" s="1"/>
  <c r="K128" i="3"/>
  <c r="J128" i="3" s="1"/>
  <c r="K127" i="3"/>
  <c r="J127" i="3" s="1"/>
  <c r="K126" i="3"/>
  <c r="J126" i="3" s="1"/>
  <c r="K125" i="3"/>
  <c r="J125" i="3" s="1"/>
  <c r="K124" i="3"/>
  <c r="J124" i="3" s="1"/>
  <c r="K123" i="3"/>
  <c r="J123" i="3" s="1"/>
  <c r="K122" i="3"/>
  <c r="J122" i="3" s="1"/>
  <c r="K121" i="3"/>
  <c r="J121" i="3" s="1"/>
  <c r="K120" i="3"/>
  <c r="J120" i="3" s="1"/>
  <c r="K119" i="3"/>
  <c r="K118" i="3"/>
  <c r="J118" i="3" s="1"/>
  <c r="K117" i="3"/>
  <c r="J117" i="3" s="1"/>
  <c r="K116" i="3"/>
  <c r="J116" i="3" s="1"/>
  <c r="K115" i="3"/>
  <c r="J115" i="3" s="1"/>
  <c r="K114" i="3"/>
  <c r="J114" i="3" s="1"/>
  <c r="K113" i="3"/>
  <c r="J113" i="3" s="1"/>
  <c r="K112" i="3"/>
  <c r="J112" i="3" s="1"/>
  <c r="K111" i="3"/>
  <c r="J111" i="3" s="1"/>
  <c r="K110" i="3"/>
  <c r="J110" i="3" s="1"/>
  <c r="K109" i="3"/>
  <c r="J109" i="3" s="1"/>
  <c r="K108" i="3"/>
  <c r="J108" i="3" s="1"/>
  <c r="K107" i="3"/>
  <c r="K106" i="3"/>
  <c r="J106" i="3" s="1"/>
  <c r="K105" i="3"/>
  <c r="K104" i="3"/>
  <c r="J104" i="3" s="1"/>
  <c r="K103" i="3"/>
  <c r="J103" i="3" s="1"/>
  <c r="K102" i="3"/>
  <c r="K101" i="3"/>
  <c r="J101" i="3" s="1"/>
  <c r="K100" i="3"/>
  <c r="J100" i="3" s="1"/>
  <c r="K99" i="3"/>
  <c r="J99" i="3" s="1"/>
  <c r="K98" i="3"/>
  <c r="J98" i="3" s="1"/>
  <c r="K97" i="3"/>
  <c r="K96" i="3"/>
  <c r="J96" i="3" s="1"/>
  <c r="K95" i="3"/>
  <c r="J95" i="3" s="1"/>
  <c r="K94" i="3"/>
  <c r="K93" i="3"/>
  <c r="J93" i="3" s="1"/>
  <c r="K92" i="3"/>
  <c r="J92" i="3" s="1"/>
  <c r="K91" i="3"/>
  <c r="J91" i="3" s="1"/>
  <c r="K90" i="3"/>
  <c r="J90" i="3" s="1"/>
  <c r="K89" i="3"/>
  <c r="J89" i="3" s="1"/>
  <c r="K88" i="3"/>
  <c r="J88" i="3" s="1"/>
  <c r="K87" i="3"/>
  <c r="J87" i="3" s="1"/>
  <c r="K86" i="3"/>
  <c r="J86" i="3" s="1"/>
  <c r="K85" i="3"/>
  <c r="J85" i="3" s="1"/>
  <c r="K84" i="3"/>
  <c r="J84" i="3" s="1"/>
  <c r="K83" i="3"/>
  <c r="J83" i="3" s="1"/>
  <c r="K82" i="3"/>
  <c r="J82" i="3" s="1"/>
  <c r="K81" i="3"/>
  <c r="J81" i="3" s="1"/>
  <c r="K80" i="3"/>
  <c r="J80" i="3" s="1"/>
  <c r="K79" i="3"/>
  <c r="J79" i="3" s="1"/>
  <c r="K78" i="3"/>
  <c r="J78" i="3" s="1"/>
  <c r="K77" i="3"/>
  <c r="J77" i="3" s="1"/>
  <c r="K76" i="3"/>
  <c r="J76" i="3" s="1"/>
  <c r="K75" i="3"/>
  <c r="J75" i="3" s="1"/>
  <c r="K74" i="3"/>
  <c r="J74" i="3" s="1"/>
  <c r="K73" i="3"/>
  <c r="J73" i="3" s="1"/>
  <c r="K72" i="3"/>
  <c r="J72" i="3" s="1"/>
  <c r="K71" i="3"/>
  <c r="J71" i="3" s="1"/>
  <c r="K70" i="3"/>
  <c r="J70" i="3" s="1"/>
  <c r="K69" i="3"/>
  <c r="J69" i="3" s="1"/>
  <c r="K68" i="3"/>
  <c r="J68" i="3" s="1"/>
  <c r="K67" i="3"/>
  <c r="J67" i="3" s="1"/>
  <c r="K66" i="3"/>
  <c r="J66" i="3" s="1"/>
  <c r="K65" i="3"/>
  <c r="J65" i="3" s="1"/>
  <c r="K64" i="3"/>
  <c r="J64" i="3" s="1"/>
  <c r="K63" i="3"/>
  <c r="J63" i="3" s="1"/>
  <c r="K62" i="3"/>
  <c r="J62" i="3" s="1"/>
  <c r="K61" i="3"/>
  <c r="J61" i="3" s="1"/>
  <c r="K60" i="3"/>
  <c r="K59" i="3"/>
  <c r="J59" i="3" s="1"/>
  <c r="K58" i="3"/>
  <c r="J58" i="3" s="1"/>
  <c r="K57" i="3"/>
  <c r="J57" i="3" s="1"/>
  <c r="K56" i="3"/>
  <c r="J56" i="3" s="1"/>
  <c r="K55" i="3"/>
  <c r="J55" i="3" s="1"/>
  <c r="K54" i="3"/>
  <c r="J54" i="3" s="1"/>
  <c r="K53" i="3"/>
  <c r="J53" i="3" s="1"/>
  <c r="K52" i="3"/>
  <c r="K51" i="3"/>
  <c r="K50" i="3"/>
  <c r="K49" i="3"/>
  <c r="J49" i="3" s="1"/>
  <c r="K48" i="3"/>
  <c r="K47" i="3"/>
  <c r="K46" i="3"/>
  <c r="K45" i="3"/>
  <c r="J45" i="3" s="1"/>
  <c r="K44" i="3"/>
  <c r="J44" i="3" s="1"/>
  <c r="K43" i="3"/>
  <c r="J43" i="3" s="1"/>
  <c r="K42" i="3"/>
  <c r="J42" i="3" s="1"/>
  <c r="K41" i="3"/>
  <c r="J41" i="3" s="1"/>
  <c r="K40" i="3"/>
  <c r="J40" i="3" s="1"/>
  <c r="K39" i="3"/>
  <c r="J39" i="3" s="1"/>
  <c r="K38" i="3"/>
  <c r="K37" i="3"/>
  <c r="K36" i="3"/>
  <c r="J36" i="3" s="1"/>
  <c r="K35" i="3"/>
  <c r="K34" i="3"/>
  <c r="K33" i="3"/>
  <c r="K32" i="3"/>
  <c r="J32" i="3" s="1"/>
  <c r="K31" i="3"/>
  <c r="J31" i="3" s="1"/>
  <c r="K30" i="3"/>
  <c r="J30" i="3" s="1"/>
  <c r="K29" i="3"/>
  <c r="J29" i="3" s="1"/>
  <c r="K28" i="3"/>
  <c r="J28" i="3" s="1"/>
  <c r="K27" i="3"/>
  <c r="K26" i="3"/>
  <c r="J26" i="3" s="1"/>
  <c r="K25" i="3"/>
  <c r="K24" i="3"/>
  <c r="J24" i="3" s="1"/>
  <c r="K23" i="3"/>
  <c r="J23" i="3" s="1"/>
  <c r="K22" i="3"/>
  <c r="J22" i="3" s="1"/>
  <c r="K21" i="3"/>
  <c r="J21" i="3" s="1"/>
  <c r="K20" i="3"/>
  <c r="J20" i="3" s="1"/>
  <c r="K19" i="3"/>
  <c r="J19" i="3" s="1"/>
  <c r="K18" i="3"/>
  <c r="J18" i="3" s="1"/>
  <c r="K17" i="3"/>
  <c r="J17" i="3" s="1"/>
  <c r="K16" i="3"/>
  <c r="J16" i="3" s="1"/>
  <c r="K15" i="3"/>
  <c r="J15" i="3" s="1"/>
  <c r="K14" i="3"/>
  <c r="J14" i="3" s="1"/>
  <c r="K13" i="3"/>
  <c r="J13" i="3" s="1"/>
  <c r="K12" i="3"/>
  <c r="J12" i="3" s="1"/>
  <c r="K11" i="3"/>
  <c r="J11" i="3" s="1"/>
  <c r="K10" i="3"/>
  <c r="J10" i="3" s="1"/>
  <c r="K9" i="3"/>
  <c r="J9" i="3" s="1"/>
  <c r="K8" i="3"/>
  <c r="K7" i="3"/>
  <c r="J7" i="3" s="1"/>
  <c r="K6" i="3"/>
  <c r="J6" i="3" s="1"/>
  <c r="I148" i="3"/>
  <c r="H148" i="3" s="1"/>
  <c r="I147" i="3"/>
  <c r="H147" i="3" s="1"/>
  <c r="I146" i="3"/>
  <c r="H146" i="3" s="1"/>
  <c r="I145" i="3"/>
  <c r="H145" i="3" s="1"/>
  <c r="I144" i="3"/>
  <c r="H144" i="3" s="1"/>
  <c r="I143" i="3"/>
  <c r="H143" i="3" s="1"/>
  <c r="I142" i="3"/>
  <c r="H142" i="3" s="1"/>
  <c r="I141" i="3"/>
  <c r="H141" i="3" s="1"/>
  <c r="I140" i="3"/>
  <c r="H140" i="3" s="1"/>
  <c r="I139" i="3"/>
  <c r="H139" i="3" s="1"/>
  <c r="I138" i="3"/>
  <c r="H138" i="3" s="1"/>
  <c r="I137" i="3"/>
  <c r="H137" i="3" s="1"/>
  <c r="I136" i="3"/>
  <c r="I135" i="3"/>
  <c r="H135" i="3" s="1"/>
  <c r="I134" i="3"/>
  <c r="H134" i="3" s="1"/>
  <c r="I133" i="3"/>
  <c r="H133" i="3" s="1"/>
  <c r="I132" i="3"/>
  <c r="H132" i="3" s="1"/>
  <c r="I131" i="3"/>
  <c r="H131" i="3" s="1"/>
  <c r="I130" i="3"/>
  <c r="H130" i="3" s="1"/>
  <c r="I129" i="3"/>
  <c r="H129" i="3" s="1"/>
  <c r="I128" i="3"/>
  <c r="H128" i="3" s="1"/>
  <c r="I127" i="3"/>
  <c r="I126" i="3"/>
  <c r="H126" i="3" s="1"/>
  <c r="I125" i="3"/>
  <c r="H125" i="3" s="1"/>
  <c r="I124" i="3"/>
  <c r="H124" i="3" s="1"/>
  <c r="I123" i="3"/>
  <c r="H123" i="3" s="1"/>
  <c r="I122" i="3"/>
  <c r="I121" i="3"/>
  <c r="H121" i="3" s="1"/>
  <c r="I120" i="3"/>
  <c r="H120" i="3" s="1"/>
  <c r="I119" i="3"/>
  <c r="H119" i="3" s="1"/>
  <c r="I118" i="3"/>
  <c r="H118" i="3" s="1"/>
  <c r="I117" i="3"/>
  <c r="H117" i="3" s="1"/>
  <c r="I116" i="3"/>
  <c r="I115" i="3"/>
  <c r="H115" i="3" s="1"/>
  <c r="I114" i="3"/>
  <c r="H114" i="3" s="1"/>
  <c r="I113" i="3"/>
  <c r="H113" i="3" s="1"/>
  <c r="I112" i="3"/>
  <c r="H112" i="3" s="1"/>
  <c r="I111" i="3"/>
  <c r="H111" i="3" s="1"/>
  <c r="I110" i="3"/>
  <c r="H110" i="3" s="1"/>
  <c r="I109" i="3"/>
  <c r="H109" i="3" s="1"/>
  <c r="I108" i="3"/>
  <c r="H108" i="3" s="1"/>
  <c r="I107" i="3"/>
  <c r="I106" i="3"/>
  <c r="H106" i="3" s="1"/>
  <c r="I105" i="3"/>
  <c r="H105" i="3" s="1"/>
  <c r="I104" i="3"/>
  <c r="H104" i="3" s="1"/>
  <c r="I103" i="3"/>
  <c r="I102" i="3"/>
  <c r="H102" i="3" s="1"/>
  <c r="I101" i="3"/>
  <c r="H101" i="3" s="1"/>
  <c r="I100" i="3"/>
  <c r="H100" i="3" s="1"/>
  <c r="I99" i="3"/>
  <c r="H99" i="3" s="1"/>
  <c r="I98" i="3"/>
  <c r="H98" i="3" s="1"/>
  <c r="I97" i="3"/>
  <c r="H97" i="3" s="1"/>
  <c r="I96" i="3"/>
  <c r="I95" i="3"/>
  <c r="H95" i="3" s="1"/>
  <c r="I94" i="3"/>
  <c r="I93" i="3"/>
  <c r="H93" i="3" s="1"/>
  <c r="I92" i="3"/>
  <c r="H92" i="3" s="1"/>
  <c r="I91" i="3"/>
  <c r="H91" i="3" s="1"/>
  <c r="I90" i="3"/>
  <c r="H90" i="3" s="1"/>
  <c r="I89" i="3"/>
  <c r="H89" i="3" s="1"/>
  <c r="I88" i="3"/>
  <c r="H88" i="3" s="1"/>
  <c r="I87" i="3"/>
  <c r="H87" i="3" s="1"/>
  <c r="I86" i="3"/>
  <c r="H86" i="3" s="1"/>
  <c r="I85" i="3"/>
  <c r="H85" i="3" s="1"/>
  <c r="I84" i="3"/>
  <c r="H84" i="3" s="1"/>
  <c r="I83" i="3"/>
  <c r="I82" i="3"/>
  <c r="H82" i="3" s="1"/>
  <c r="I81" i="3"/>
  <c r="H81" i="3" s="1"/>
  <c r="I80" i="3"/>
  <c r="H80" i="3" s="1"/>
  <c r="I79" i="3"/>
  <c r="H79" i="3" s="1"/>
  <c r="I78" i="3"/>
  <c r="H78" i="3" s="1"/>
  <c r="I77" i="3"/>
  <c r="H77" i="3" s="1"/>
  <c r="I76" i="3"/>
  <c r="H76" i="3" s="1"/>
  <c r="I75" i="3"/>
  <c r="H75" i="3" s="1"/>
  <c r="I74" i="3"/>
  <c r="H74" i="3" s="1"/>
  <c r="I73" i="3"/>
  <c r="I72" i="3"/>
  <c r="H72" i="3" s="1"/>
  <c r="I71" i="3"/>
  <c r="H71" i="3" s="1"/>
  <c r="I70" i="3"/>
  <c r="I69" i="3"/>
  <c r="H69" i="3" s="1"/>
  <c r="I68" i="3"/>
  <c r="H68" i="3" s="1"/>
  <c r="I67" i="3"/>
  <c r="H67" i="3" s="1"/>
  <c r="I66" i="3"/>
  <c r="H66" i="3" s="1"/>
  <c r="I65" i="3"/>
  <c r="H65" i="3" s="1"/>
  <c r="I64" i="3"/>
  <c r="I63" i="3"/>
  <c r="H63" i="3" s="1"/>
  <c r="I62" i="3"/>
  <c r="H62" i="3" s="1"/>
  <c r="I61" i="3"/>
  <c r="H61" i="3" s="1"/>
  <c r="I60" i="3"/>
  <c r="H60" i="3" s="1"/>
  <c r="I59" i="3"/>
  <c r="H59" i="3" s="1"/>
  <c r="I58" i="3"/>
  <c r="H58" i="3" s="1"/>
  <c r="I57" i="3"/>
  <c r="H57" i="3" s="1"/>
  <c r="I56" i="3"/>
  <c r="H56" i="3" s="1"/>
  <c r="I55" i="3"/>
  <c r="H55" i="3" s="1"/>
  <c r="I54" i="3"/>
  <c r="H54" i="3" s="1"/>
  <c r="I53" i="3"/>
  <c r="H53" i="3" s="1"/>
  <c r="I52" i="3"/>
  <c r="I51" i="3"/>
  <c r="I50" i="3"/>
  <c r="I49" i="3"/>
  <c r="H49" i="3" s="1"/>
  <c r="I48" i="3"/>
  <c r="I47" i="3"/>
  <c r="I46" i="3"/>
  <c r="H46" i="3" s="1"/>
  <c r="I45" i="3"/>
  <c r="H45" i="3" s="1"/>
  <c r="I44" i="3"/>
  <c r="H44" i="3" s="1"/>
  <c r="I43" i="3"/>
  <c r="H43" i="3" s="1"/>
  <c r="I42" i="3"/>
  <c r="H42" i="3" s="1"/>
  <c r="I41" i="3"/>
  <c r="H41" i="3" s="1"/>
  <c r="I40" i="3"/>
  <c r="H40" i="3" s="1"/>
  <c r="I39" i="3"/>
  <c r="H39" i="3" s="1"/>
  <c r="I38" i="3"/>
  <c r="I37" i="3"/>
  <c r="I36" i="3"/>
  <c r="H36" i="3" s="1"/>
  <c r="I35" i="3"/>
  <c r="I34" i="3"/>
  <c r="I33" i="3"/>
  <c r="I32" i="3"/>
  <c r="H32" i="3" s="1"/>
  <c r="I31" i="3"/>
  <c r="H31" i="3" s="1"/>
  <c r="I30" i="3"/>
  <c r="H30" i="3" s="1"/>
  <c r="I29" i="3"/>
  <c r="I28" i="3"/>
  <c r="H28" i="3" s="1"/>
  <c r="I27" i="3"/>
  <c r="H27" i="3" s="1"/>
  <c r="I26" i="3"/>
  <c r="H26" i="3" s="1"/>
  <c r="I25" i="3"/>
  <c r="H25" i="3" s="1"/>
  <c r="I24" i="3"/>
  <c r="H24" i="3" s="1"/>
  <c r="I23" i="3"/>
  <c r="H23" i="3" s="1"/>
  <c r="I22" i="3"/>
  <c r="H22" i="3" s="1"/>
  <c r="I21" i="3"/>
  <c r="H21" i="3" s="1"/>
  <c r="I20" i="3"/>
  <c r="H20" i="3" s="1"/>
  <c r="I19" i="3"/>
  <c r="H19" i="3" s="1"/>
  <c r="I18" i="3"/>
  <c r="H18" i="3" s="1"/>
  <c r="I17" i="3"/>
  <c r="H17" i="3" s="1"/>
  <c r="I16" i="3"/>
  <c r="I15" i="3"/>
  <c r="H15" i="3" s="1"/>
  <c r="I14" i="3"/>
  <c r="H14" i="3" s="1"/>
  <c r="I13" i="3"/>
  <c r="H13" i="3" s="1"/>
  <c r="I12" i="3"/>
  <c r="H12" i="3" s="1"/>
  <c r="I11" i="3"/>
  <c r="H11" i="3" s="1"/>
  <c r="I10" i="3"/>
  <c r="H10" i="3" s="1"/>
  <c r="I9" i="3"/>
  <c r="H9" i="3" s="1"/>
  <c r="I8" i="3"/>
  <c r="H8" i="3" s="1"/>
  <c r="I7" i="3"/>
  <c r="H7" i="3" s="1"/>
  <c r="I6" i="3"/>
  <c r="H6" i="3" s="1"/>
  <c r="AC98" i="2" l="1"/>
  <c r="AE98" i="2" s="1"/>
  <c r="AC96" i="2"/>
  <c r="AC90" i="2"/>
  <c r="AE90" i="2" s="1"/>
  <c r="L80" i="2" l="1"/>
  <c r="U80" i="2"/>
  <c r="W80" i="2" s="1"/>
  <c r="AC80" i="2"/>
  <c r="AE80" i="2" s="1"/>
  <c r="AC95" i="2" l="1"/>
  <c r="AE95" i="2" s="1"/>
  <c r="AC101" i="2"/>
  <c r="AE101" i="2" s="1"/>
  <c r="AC79" i="2"/>
  <c r="AE79" i="2" s="1"/>
  <c r="AC78" i="2"/>
  <c r="AE78" i="2" s="1"/>
  <c r="AC77" i="2"/>
  <c r="AE77" i="2" s="1"/>
  <c r="AC44" i="2"/>
  <c r="AE44" i="2" s="1"/>
  <c r="AC39" i="2"/>
  <c r="AE39" i="2" s="1"/>
  <c r="U88" i="2" l="1"/>
  <c r="AC12" i="2" l="1"/>
  <c r="AE12" i="2" s="1"/>
  <c r="AB66" i="2" l="1"/>
  <c r="AC66" i="2" s="1"/>
  <c r="AE66" i="2" s="1"/>
  <c r="L106" i="2" l="1"/>
  <c r="N106" i="2" s="1"/>
  <c r="U106" i="2"/>
  <c r="W106" i="2" s="1"/>
  <c r="U56" i="2"/>
  <c r="W56" i="2" s="1"/>
  <c r="L56" i="2"/>
  <c r="AC109" i="2" l="1"/>
  <c r="AC100" i="2"/>
  <c r="AE100" i="2" s="1"/>
  <c r="AC99" i="2"/>
  <c r="AE99" i="2" s="1"/>
  <c r="AC65" i="2"/>
  <c r="AE65" i="2" s="1"/>
  <c r="AC21" i="2"/>
  <c r="AE21" i="2" s="1"/>
  <c r="AC14" i="2"/>
  <c r="L107" i="3"/>
  <c r="J107" i="3" l="1"/>
  <c r="H94" i="3"/>
  <c r="H107" i="3"/>
  <c r="L94" i="3"/>
  <c r="AB107" i="2" l="1"/>
  <c r="AC107" i="2" s="1"/>
  <c r="AE107" i="2" s="1"/>
  <c r="AB20" i="2" l="1"/>
  <c r="AC20" i="2" s="1"/>
  <c r="AC7" i="2"/>
  <c r="AC89" i="2"/>
  <c r="AE89" i="2" s="1"/>
  <c r="AC103" i="2"/>
  <c r="AE103" i="2" s="1"/>
  <c r="AC94" i="2"/>
  <c r="AE94" i="2" s="1"/>
  <c r="AC82" i="2"/>
  <c r="AE82" i="2" s="1"/>
  <c r="AC74" i="2"/>
  <c r="AE74" i="2" s="1"/>
  <c r="AC67" i="2"/>
  <c r="AE67" i="2" s="1"/>
  <c r="AC62" i="2"/>
  <c r="AE62" i="2" s="1"/>
  <c r="AC59" i="2"/>
  <c r="AE59" i="2" s="1"/>
  <c r="AC55" i="2"/>
  <c r="AE55" i="2" s="1"/>
  <c r="AE51" i="2"/>
  <c r="AC40" i="2"/>
  <c r="AE40" i="2" s="1"/>
  <c r="AC28" i="2"/>
  <c r="AE28" i="2" s="1"/>
  <c r="AC26" i="2"/>
  <c r="AE26" i="2" s="1"/>
  <c r="AC25" i="2"/>
  <c r="AE25" i="2" s="1"/>
  <c r="AC22" i="2"/>
  <c r="AE22" i="2" s="1"/>
  <c r="AC11" i="2"/>
  <c r="AE11" i="2" s="1"/>
  <c r="H35" i="3"/>
  <c r="H34" i="3"/>
  <c r="H33" i="3"/>
  <c r="H116" i="3"/>
  <c r="AB97" i="2"/>
  <c r="AC97" i="2" s="1"/>
  <c r="AE97" i="2" s="1"/>
  <c r="J35" i="3" l="1"/>
  <c r="H52" i="3"/>
  <c r="J33" i="3"/>
  <c r="H50" i="3"/>
  <c r="H83" i="3"/>
  <c r="J34" i="3"/>
  <c r="H51" i="3"/>
  <c r="T70" i="2"/>
  <c r="J50" i="3" l="1"/>
  <c r="J52" i="3"/>
  <c r="J51" i="3"/>
  <c r="AB36" i="2"/>
  <c r="AC36" i="2" s="1"/>
  <c r="AE36" i="2" s="1"/>
  <c r="AB4" i="2"/>
  <c r="AC4" i="2" s="1"/>
  <c r="AB9" i="2"/>
  <c r="AC9" i="2" l="1"/>
  <c r="AE9" i="2" s="1"/>
  <c r="V93" i="2" l="1"/>
  <c r="V54" i="2" l="1"/>
  <c r="T86" i="2" l="1"/>
  <c r="J119" i="3" l="1"/>
  <c r="J46" i="3" l="1"/>
  <c r="U27" i="2" l="1"/>
  <c r="W27" i="2" s="1"/>
  <c r="U58" i="2"/>
  <c r="W58" i="2" s="1"/>
  <c r="U57" i="2"/>
  <c r="U81" i="2"/>
  <c r="U76" i="2"/>
  <c r="J97" i="3"/>
  <c r="J102" i="3" l="1"/>
  <c r="U33" i="2"/>
  <c r="W33" i="2" s="1"/>
  <c r="U54" i="2" l="1"/>
  <c r="W54" i="2" s="1"/>
  <c r="U77" i="2"/>
  <c r="W77" i="2" s="1"/>
  <c r="U79" i="2"/>
  <c r="W79" i="2" s="1"/>
  <c r="T100" i="2" l="1"/>
  <c r="U100" i="2" s="1"/>
  <c r="W100" i="2" s="1"/>
  <c r="U91" i="2"/>
  <c r="W91" i="2" s="1"/>
  <c r="T73" i="2" l="1"/>
  <c r="U73" i="2" s="1"/>
  <c r="W73" i="2" s="1"/>
  <c r="U43" i="2" l="1"/>
  <c r="W43" i="2" s="1"/>
  <c r="T50" i="2"/>
  <c r="L13" i="2"/>
  <c r="L68" i="2"/>
  <c r="L6" i="2"/>
  <c r="L51" i="2"/>
  <c r="U61" i="2"/>
  <c r="W61" i="2" s="1"/>
  <c r="U50" i="2" l="1"/>
  <c r="W50" i="2" s="1"/>
  <c r="U70" i="2"/>
  <c r="W70" i="2" s="1"/>
  <c r="U86" i="2"/>
  <c r="W86" i="2" s="1"/>
  <c r="U31" i="2"/>
  <c r="W31" i="2" s="1"/>
  <c r="U105" i="2"/>
  <c r="W105" i="2" s="1"/>
  <c r="U17" i="2"/>
  <c r="W17" i="2" s="1"/>
  <c r="U8" i="2"/>
  <c r="W8" i="2" s="1"/>
  <c r="U42" i="2"/>
  <c r="W42" i="2" s="1"/>
  <c r="L12" i="2"/>
  <c r="N12" i="2" s="1"/>
  <c r="U10" i="2" l="1"/>
  <c r="W10" i="2" s="1"/>
  <c r="T64" i="2"/>
  <c r="U65" i="2"/>
  <c r="W65" i="2" s="1"/>
  <c r="T107" i="2"/>
  <c r="U107" i="2" s="1"/>
  <c r="U104" i="2"/>
  <c r="W104" i="2" s="1"/>
  <c r="U101" i="2"/>
  <c r="W101" i="2" s="1"/>
  <c r="U95" i="2"/>
  <c r="W95" i="2" s="1"/>
  <c r="J60" i="3" l="1"/>
  <c r="J25" i="3"/>
  <c r="U35" i="2"/>
  <c r="W35" i="2" s="1"/>
  <c r="U46" i="2"/>
  <c r="W46" i="2" s="1"/>
  <c r="U32" i="2"/>
  <c r="W32" i="2" s="1"/>
  <c r="U45" i="2"/>
  <c r="W45" i="2" s="1"/>
  <c r="U47" i="2"/>
  <c r="W47" i="2" s="1"/>
  <c r="K92" i="2"/>
  <c r="T92" i="2"/>
  <c r="K57" i="2"/>
  <c r="W57" i="2"/>
  <c r="U18" i="2"/>
  <c r="U62" i="2"/>
  <c r="U34" i="2"/>
  <c r="W34" i="2" s="1"/>
  <c r="T29" i="2"/>
  <c r="U29" i="2" s="1"/>
  <c r="W29" i="2" s="1"/>
  <c r="U41" i="2"/>
  <c r="W41" i="2" s="1"/>
  <c r="U21" i="2"/>
  <c r="W21" i="2" s="1"/>
  <c r="U52" i="2"/>
  <c r="W52" i="2" s="1"/>
  <c r="U15" i="2"/>
  <c r="W15" i="2" s="1"/>
  <c r="U40" i="2"/>
  <c r="W40" i="2" s="1"/>
  <c r="U44" i="2" l="1"/>
  <c r="T90" i="2" l="1"/>
  <c r="J94" i="3"/>
  <c r="T39" i="2"/>
  <c r="U39" i="2" s="1"/>
  <c r="U49" i="2"/>
  <c r="T78" i="2"/>
  <c r="U78" i="2" s="1"/>
  <c r="U28" i="2"/>
  <c r="W28" i="2" s="1"/>
  <c r="J144" i="3"/>
  <c r="K60" i="2"/>
  <c r="T53" i="2"/>
  <c r="U53" i="2" s="1"/>
  <c r="W53" i="2" s="1"/>
  <c r="L53" i="2"/>
  <c r="N53" i="2" s="1"/>
  <c r="U109" i="2"/>
  <c r="W109" i="2" s="1"/>
  <c r="U71" i="2"/>
  <c r="W71" i="2" s="1"/>
  <c r="U38" i="2"/>
  <c r="W38" i="2" s="1"/>
  <c r="U24" i="2"/>
  <c r="U22" i="2"/>
  <c r="W22" i="2" s="1"/>
  <c r="T66" i="2"/>
  <c r="U66" i="2" s="1"/>
  <c r="W66" i="2" s="1"/>
  <c r="U82" i="2"/>
  <c r="W82" i="2" s="1"/>
  <c r="U26" i="2"/>
  <c r="W26" i="2" s="1"/>
  <c r="U12" i="2"/>
  <c r="U103" i="2"/>
  <c r="W103" i="2" s="1"/>
  <c r="K38" i="2"/>
  <c r="AC38" i="2" s="1"/>
  <c r="AE38" i="2" s="1"/>
  <c r="U59" i="2"/>
  <c r="W59" i="2" s="1"/>
  <c r="T20" i="2"/>
  <c r="U99" i="2"/>
  <c r="W99" i="2" s="1"/>
  <c r="U36" i="2"/>
  <c r="W36" i="2" s="1"/>
  <c r="T9" i="2"/>
  <c r="U9" i="2" s="1"/>
  <c r="W9" i="2" s="1"/>
  <c r="U74" i="2"/>
  <c r="W74" i="2" s="1"/>
  <c r="U94" i="2"/>
  <c r="W94" i="2" s="1"/>
  <c r="U25" i="2"/>
  <c r="W25" i="2" s="1"/>
  <c r="U4" i="2"/>
  <c r="W4" i="2" s="1"/>
  <c r="U55" i="2"/>
  <c r="W55" i="2" s="1"/>
  <c r="T97" i="2"/>
  <c r="U97" i="2" s="1"/>
  <c r="W97" i="2" s="1"/>
  <c r="J27" i="3" l="1"/>
  <c r="J8" i="3"/>
  <c r="J105" i="3"/>
  <c r="L23" i="2"/>
  <c r="N23" i="2" s="1"/>
  <c r="K70" i="2"/>
  <c r="L124" i="3" l="1"/>
  <c r="L27" i="3"/>
  <c r="L149" i="3" l="1"/>
  <c r="L55" i="2"/>
  <c r="N55" i="2" s="1"/>
  <c r="L47" i="2" l="1"/>
  <c r="K44" i="2"/>
  <c r="L44" i="2" s="1"/>
  <c r="L27" i="2" l="1"/>
  <c r="L37" i="2" l="1"/>
  <c r="L36" i="2"/>
  <c r="L59" i="2"/>
  <c r="N59" i="2" s="1"/>
  <c r="L25" i="2"/>
  <c r="N25" i="2" s="1"/>
  <c r="L73" i="2"/>
  <c r="N73" i="2" s="1"/>
  <c r="H103" i="3" l="1"/>
  <c r="L91" i="2"/>
  <c r="N91" i="2" s="1"/>
  <c r="H96" i="3" l="1"/>
  <c r="K50" i="2"/>
  <c r="L50" i="2" s="1"/>
  <c r="L76" i="2"/>
  <c r="L103" i="2" l="1"/>
  <c r="N103" i="2" s="1"/>
  <c r="L100" i="2"/>
  <c r="N100" i="2" s="1"/>
  <c r="L94" i="2"/>
  <c r="N94" i="2" s="1"/>
  <c r="L83" i="2"/>
  <c r="N83" i="2" s="1"/>
  <c r="L82" i="2"/>
  <c r="N82" i="2" s="1"/>
  <c r="L78" i="2"/>
  <c r="N78" i="2" s="1"/>
  <c r="L65" i="2"/>
  <c r="N65" i="2" s="1"/>
  <c r="L58" i="2"/>
  <c r="N58" i="2" s="1"/>
  <c r="K66" i="2"/>
  <c r="L66" i="2" s="1"/>
  <c r="N66" i="2" s="1"/>
  <c r="K7" i="2"/>
  <c r="U7" i="2" s="1"/>
  <c r="W7" i="2" s="1"/>
  <c r="L9" i="2"/>
  <c r="N9" i="2" s="1"/>
  <c r="K14" i="2"/>
  <c r="U14" i="2" s="1"/>
  <c r="W14" i="2" s="1"/>
  <c r="L15" i="2"/>
  <c r="N15" i="2" s="1"/>
  <c r="K18" i="2"/>
  <c r="AC18" i="2" s="1"/>
  <c r="AE18" i="2" s="1"/>
  <c r="L22" i="2"/>
  <c r="N22" i="2" s="1"/>
  <c r="K20" i="2"/>
  <c r="U20" i="2" s="1"/>
  <c r="W20" i="2" s="1"/>
  <c r="L21" i="2"/>
  <c r="N21" i="2" s="1"/>
  <c r="L26" i="2"/>
  <c r="N26" i="2" s="1"/>
  <c r="L28" i="2"/>
  <c r="N28" i="2" s="1"/>
  <c r="L29" i="2"/>
  <c r="N29" i="2" s="1"/>
  <c r="L40" i="2"/>
  <c r="N40" i="2" s="1"/>
  <c r="L41" i="2"/>
  <c r="N41" i="2" s="1"/>
  <c r="L52" i="2"/>
  <c r="N52" i="2" s="1"/>
  <c r="L70" i="2"/>
  <c r="N70" i="2" s="1"/>
  <c r="L71" i="2"/>
  <c r="N71" i="2" s="1"/>
  <c r="L74" i="2"/>
  <c r="N74" i="2" s="1"/>
  <c r="L95" i="2"/>
  <c r="N95" i="2" s="1"/>
  <c r="K97" i="2"/>
  <c r="L97" i="2" s="1"/>
  <c r="N97" i="2" s="1"/>
  <c r="K99" i="2"/>
  <c r="L101" i="2"/>
  <c r="N101" i="2" s="1"/>
  <c r="K104" i="2"/>
  <c r="AC104" i="2" s="1"/>
  <c r="AE104" i="2" s="1"/>
  <c r="K107" i="2"/>
  <c r="L107" i="2" s="1"/>
  <c r="N107" i="2" s="1"/>
  <c r="N108" i="2"/>
  <c r="N105" i="2"/>
  <c r="N102" i="2"/>
  <c r="N96" i="2"/>
  <c r="N88" i="2"/>
  <c r="N87" i="2"/>
  <c r="N86" i="2"/>
  <c r="N85" i="2"/>
  <c r="N81" i="2"/>
  <c r="N80" i="2"/>
  <c r="N79" i="2"/>
  <c r="N77" i="2"/>
  <c r="N76" i="2"/>
  <c r="N75" i="2"/>
  <c r="N69" i="2"/>
  <c r="N68" i="2"/>
  <c r="N67" i="2"/>
  <c r="N64" i="2"/>
  <c r="N63" i="2"/>
  <c r="N61" i="2"/>
  <c r="N60" i="2"/>
  <c r="N57" i="2"/>
  <c r="N56" i="2"/>
  <c r="N51" i="2"/>
  <c r="N50" i="2"/>
  <c r="N48" i="2"/>
  <c r="N47" i="2"/>
  <c r="N46" i="2"/>
  <c r="N45" i="2"/>
  <c r="N44" i="2"/>
  <c r="N42" i="2"/>
  <c r="N38" i="2"/>
  <c r="N37" i="2"/>
  <c r="N36" i="2"/>
  <c r="N35" i="2"/>
  <c r="N34" i="2"/>
  <c r="N33" i="2"/>
  <c r="N32" i="2"/>
  <c r="N31" i="2"/>
  <c r="N30" i="2"/>
  <c r="N27" i="2"/>
  <c r="N24" i="2"/>
  <c r="N17" i="2"/>
  <c r="N16" i="2"/>
  <c r="N13" i="2"/>
  <c r="N10" i="2"/>
  <c r="N8" i="2"/>
  <c r="N6" i="2"/>
  <c r="H122" i="3"/>
  <c r="H38" i="3"/>
  <c r="K49" i="2"/>
  <c r="H16" i="3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4" i="2"/>
  <c r="J4" i="2" s="1"/>
  <c r="H47" i="3" l="1"/>
  <c r="H37" i="3"/>
  <c r="H136" i="3"/>
  <c r="H64" i="3"/>
  <c r="H127" i="3"/>
  <c r="H73" i="3"/>
  <c r="H70" i="3"/>
  <c r="H29" i="3"/>
  <c r="H48" i="3"/>
  <c r="J37" i="3"/>
  <c r="J47" i="3" l="1"/>
  <c r="H149" i="3"/>
  <c r="J48" i="3" l="1"/>
  <c r="J38" i="3"/>
  <c r="J14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Tenjo Miranda Diana</author>
  </authors>
  <commentList>
    <comment ref="BS69" authorId="0" shapeId="0" xr:uid="{865986D7-0997-401B-B4DA-7EF182477797}">
      <text>
        <r>
          <rPr>
            <b/>
            <sz val="9"/>
            <color indexed="81"/>
            <rFont val="Tahoma"/>
            <family val="2"/>
          </rPr>
          <t>Tenjo Miranda Diana:</t>
        </r>
        <r>
          <rPr>
            <sz val="9"/>
            <color indexed="81"/>
            <rFont val="Tahoma"/>
            <family val="2"/>
          </rPr>
          <t xml:space="preserve">
nuevo canon $71.852.433</t>
        </r>
      </text>
    </comment>
    <comment ref="BA122" authorId="0" shapeId="0" xr:uid="{7797E85A-6EC2-4E54-9B17-7B6F3120DF76}">
      <text>
        <r>
          <rPr>
            <b/>
            <sz val="9"/>
            <color indexed="81"/>
            <rFont val="Tahoma"/>
            <family val="2"/>
          </rPr>
          <t>Tenjo Miranda Diana:</t>
        </r>
        <r>
          <rPr>
            <sz val="9"/>
            <color indexed="81"/>
            <rFont val="Tahoma"/>
            <family val="2"/>
          </rPr>
          <t xml:space="preserve">
en agosto incrementa IPC+2 $9,132,004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Tenjo Miranda Diana</author>
  </authors>
  <commentList>
    <comment ref="AT45" authorId="0" shapeId="0" xr:uid="{F9ECAE1D-A356-46CC-ADE2-1D2A2396A7A3}">
      <text>
        <r>
          <rPr>
            <b/>
            <sz val="9"/>
            <color indexed="81"/>
            <rFont val="Tahoma"/>
            <family val="2"/>
          </rPr>
          <t>Tenjo Miranda Diana:</t>
        </r>
        <r>
          <rPr>
            <sz val="9"/>
            <color indexed="81"/>
            <rFont val="Tahoma"/>
            <family val="2"/>
          </rPr>
          <t xml:space="preserve">
en julio envían la cuenta de cobro con incremento ipc</t>
        </r>
      </text>
    </comment>
    <comment ref="BQ80" authorId="0" shapeId="0" xr:uid="{154647F4-5632-4908-9240-F305221C756B}">
      <text>
        <r>
          <rPr>
            <b/>
            <sz val="9"/>
            <color indexed="81"/>
            <rFont val="Tahoma"/>
            <family val="2"/>
          </rPr>
          <t>Tenjo Miranda Diana:</t>
        </r>
        <r>
          <rPr>
            <sz val="9"/>
            <color indexed="81"/>
            <rFont val="Tahoma"/>
            <family val="2"/>
          </rPr>
          <t xml:space="preserve">
Saldo a favor</t>
        </r>
      </text>
    </comment>
  </commentList>
</comments>
</file>

<file path=xl/sharedStrings.xml><?xml version="1.0" encoding="utf-8"?>
<sst xmlns="http://schemas.openxmlformats.org/spreadsheetml/2006/main" count="5605" uniqueCount="999">
  <si>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</si>
  <si>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</si>
  <si>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</si>
  <si>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</si>
  <si>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</si>
  <si>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</si>
  <si>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</si>
  <si>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</si>
  <si>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</si>
  <si>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</si>
  <si>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TIENDA</t>
  </si>
  <si>
    <t xml:space="preserve">CENTRO </t>
  </si>
  <si>
    <t>CIUDAD</t>
  </si>
  <si>
    <t>C.C.</t>
  </si>
  <si>
    <t>ACREEDOR ARRIENDO</t>
  </si>
  <si>
    <t>PROVEEDOR ARRIENDO</t>
  </si>
  <si>
    <t>NIT</t>
  </si>
  <si>
    <t>FEBRERO</t>
  </si>
  <si>
    <t>CANON MES</t>
  </si>
  <si>
    <t>VARIACION</t>
  </si>
  <si>
    <t>%</t>
  </si>
  <si>
    <t>DESCUENTO</t>
  </si>
  <si>
    <t>NOTA CREDITO</t>
  </si>
  <si>
    <t>SOPORTE</t>
  </si>
  <si>
    <t>COMENTARIO</t>
  </si>
  <si>
    <t>ESTADO</t>
  </si>
  <si>
    <t>PAGO</t>
  </si>
  <si>
    <t>SAP</t>
  </si>
  <si>
    <t>CDD</t>
  </si>
  <si>
    <t>Bogota</t>
  </si>
  <si>
    <t>SUMINISTROS PARTES Y COMPONENTES SAS</t>
  </si>
  <si>
    <t>ENVIADO</t>
  </si>
  <si>
    <t>Pt 1/7/20</t>
  </si>
  <si>
    <t>OFICINA</t>
  </si>
  <si>
    <t>Nueva Oficina</t>
  </si>
  <si>
    <t>NO</t>
  </si>
  <si>
    <t>PATRIMONIOS AUTONOMOS ADMINISTRADOS / DAVIVIENDA</t>
  </si>
  <si>
    <t>830053700-6</t>
  </si>
  <si>
    <t>FA T</t>
  </si>
  <si>
    <t>R001</t>
  </si>
  <si>
    <t>Ray Ban Unicentro</t>
  </si>
  <si>
    <t>TORRES CRUZ E HIJOS ASOCIADOS S EN</t>
  </si>
  <si>
    <t>R002</t>
  </si>
  <si>
    <t>Ray Ban santa Fe</t>
  </si>
  <si>
    <t>ROBERTO ARBOLEDA ANGULO</t>
  </si>
  <si>
    <t>10531154-0</t>
  </si>
  <si>
    <t>FA D</t>
  </si>
  <si>
    <t>Pt 6/7/20</t>
  </si>
  <si>
    <t>R003</t>
  </si>
  <si>
    <t>Ray Ban Colina</t>
  </si>
  <si>
    <t>INMOBILIARIA LA COLINA ARAUCO S.A.S 1</t>
  </si>
  <si>
    <t>R004</t>
  </si>
  <si>
    <t>Ray Ban Andino</t>
  </si>
  <si>
    <t>ENRIQUE SALDARRIAGA MARTINEZ</t>
  </si>
  <si>
    <t>79380986-3</t>
  </si>
  <si>
    <t>Pt 20/5/20</t>
  </si>
  <si>
    <t>JUANA MARIA SALDARRIAGA</t>
  </si>
  <si>
    <t>35469272-8</t>
  </si>
  <si>
    <t>R005</t>
  </si>
  <si>
    <t>Ray Ban B/quilla</t>
  </si>
  <si>
    <t>Barranquilla</t>
  </si>
  <si>
    <t>VARIABLE</t>
  </si>
  <si>
    <t>ITAU FIDUCIARIA P.A / patrimonios Autonomos 1</t>
  </si>
  <si>
    <t>ITAU FIDUCIARIA P.A/patrimonios Autonomos</t>
  </si>
  <si>
    <t>R006</t>
  </si>
  <si>
    <t>Ray Ban Serrezuela</t>
  </si>
  <si>
    <t>Cartagena</t>
  </si>
  <si>
    <t>C965</t>
  </si>
  <si>
    <t>218358/238658</t>
  </si>
  <si>
    <t>PROMOTORA ACR SAS/PLAZA LA SERREZUELA/FIDECOMISOS</t>
  </si>
  <si>
    <t>901249695-7</t>
  </si>
  <si>
    <t>SGH601</t>
  </si>
  <si>
    <t>CC. ANDINO</t>
  </si>
  <si>
    <t>ADARVE E HIJOS LTDA</t>
  </si>
  <si>
    <t>860053845-4</t>
  </si>
  <si>
    <t>SGH602</t>
  </si>
  <si>
    <t>CC. UNICENTRO BOGOTÁ</t>
  </si>
  <si>
    <t>ANUAR MUSTAFA BASHIR</t>
  </si>
  <si>
    <t>79681254-2</t>
  </si>
  <si>
    <t>SGH603</t>
  </si>
  <si>
    <t>CC. SANTA FE BOGOTÁ</t>
  </si>
  <si>
    <t>LUQUE OSPINA &amp; CIA SAS</t>
  </si>
  <si>
    <t>860008313-7</t>
  </si>
  <si>
    <t>Pt 9/6/20</t>
  </si>
  <si>
    <t>SGH604</t>
  </si>
  <si>
    <t>CC. MULTIPLAZA</t>
  </si>
  <si>
    <t>CORPORACION DE INVERSIONES DE COLOMBIA S</t>
  </si>
  <si>
    <t>DESUCNETO 50% ARRIENDO 40% ADMON</t>
  </si>
  <si>
    <t>SGH605</t>
  </si>
  <si>
    <t>CC.PREMIUM OUTLET ARAUCO</t>
  </si>
  <si>
    <t>INVERSIONES COLOMBIANAS ARAUCO SAS</t>
  </si>
  <si>
    <t>T052</t>
  </si>
  <si>
    <t xml:space="preserve"> Cable Plaza</t>
  </si>
  <si>
    <t>Manizales</t>
  </si>
  <si>
    <t>XIMENA CORREA RINCON</t>
  </si>
  <si>
    <t>30327779-2</t>
  </si>
  <si>
    <t xml:space="preserve">SGH606 </t>
  </si>
  <si>
    <t>CC. COLINA</t>
  </si>
  <si>
    <t xml:space="preserve">INMOBILIARIA LA COLINA ARAUCO S.A.S </t>
  </si>
  <si>
    <t>SGH607</t>
  </si>
  <si>
    <t>AEROPUERTO DORADO</t>
  </si>
  <si>
    <t>PATRIMONIOS AUTONOMOS FIDUCIARIA BA / OPAIN</t>
  </si>
  <si>
    <t xml:space="preserve">SGH608 </t>
  </si>
  <si>
    <t>FONTANAR</t>
  </si>
  <si>
    <t>DESARROLLADORA CC FONTANAR SAS 1</t>
  </si>
  <si>
    <t>900631450-3</t>
  </si>
  <si>
    <t>DESCUENTO 50%</t>
  </si>
  <si>
    <t>T003</t>
  </si>
  <si>
    <t>C.C. Santafé Local 2-127</t>
  </si>
  <si>
    <t>RC 2 SAS - EXCEDENTE</t>
  </si>
  <si>
    <t>RC 2 SAS</t>
  </si>
  <si>
    <t>T004</t>
  </si>
  <si>
    <t>C.C. El Tesoro</t>
  </si>
  <si>
    <t>Medellin</t>
  </si>
  <si>
    <t>SANTA JUANA INMOBILIARIA S,A,</t>
  </si>
  <si>
    <t>800101493-3</t>
  </si>
  <si>
    <t>Pt 19/6/20</t>
  </si>
  <si>
    <t>T005</t>
  </si>
  <si>
    <t>C.C. Centro Chía</t>
  </si>
  <si>
    <t>Chia</t>
  </si>
  <si>
    <t>INVERSIONES GERICO</t>
  </si>
  <si>
    <t>800129936-6</t>
  </si>
  <si>
    <t>DESCUENTA 50%</t>
  </si>
  <si>
    <t>T006</t>
  </si>
  <si>
    <t>C.C. Oviedo</t>
  </si>
  <si>
    <t xml:space="preserve">INVERSIONES RZ </t>
  </si>
  <si>
    <t>900467139-4</t>
  </si>
  <si>
    <t>T007</t>
  </si>
  <si>
    <t>C.C. Los Molinos</t>
  </si>
  <si>
    <t>INVERSIONES DAVIDI SAS</t>
  </si>
  <si>
    <t>901030150-3</t>
  </si>
  <si>
    <t>1900003442/NC1700000589/1000071452</t>
  </si>
  <si>
    <t>T008</t>
  </si>
  <si>
    <t xml:space="preserve">C.C. Gran Estación </t>
  </si>
  <si>
    <t>INVERSIONES GALMAPO</t>
  </si>
  <si>
    <t>900333654-0</t>
  </si>
  <si>
    <t>T010</t>
  </si>
  <si>
    <t>C.C. San Diego</t>
  </si>
  <si>
    <t>INMOBILIARIA MACLADER S.A.S</t>
  </si>
  <si>
    <t>901026014-4</t>
  </si>
  <si>
    <t>T100</t>
  </si>
  <si>
    <t xml:space="preserve"> C.C. Buenavista</t>
  </si>
  <si>
    <t>Santa Marta</t>
  </si>
  <si>
    <t>LUIS ALBERTO GARAY MORA</t>
  </si>
  <si>
    <t>4491359-9</t>
  </si>
  <si>
    <t>inversiones glc</t>
  </si>
  <si>
    <t>900025381-4</t>
  </si>
  <si>
    <t>T101</t>
  </si>
  <si>
    <t xml:space="preserve"> Girardot</t>
  </si>
  <si>
    <t>Girardot</t>
  </si>
  <si>
    <t>SCORPIO INVERSIONES S,A,</t>
  </si>
  <si>
    <t>830113477-6</t>
  </si>
  <si>
    <t>T102</t>
  </si>
  <si>
    <t xml:space="preserve"> Gran Plaza Del Sol</t>
  </si>
  <si>
    <t xml:space="preserve">FIDUCOLOMBIA P.A. CONCESION ASEO DC / GRAN PLAZA </t>
  </si>
  <si>
    <t>830054539-0</t>
  </si>
  <si>
    <t>T103</t>
  </si>
  <si>
    <t>Centenario</t>
  </si>
  <si>
    <t>Cali</t>
  </si>
  <si>
    <t>JM INMOBILIARIA SAS</t>
  </si>
  <si>
    <t>900325566-7</t>
  </si>
  <si>
    <t>T104</t>
  </si>
  <si>
    <t>Caracoli</t>
  </si>
  <si>
    <t>Bucaramanga</t>
  </si>
  <si>
    <t>INVERSIONES INMOBILIARIAS BUCARAMANGA/parque caracolí</t>
  </si>
  <si>
    <t>900460297-8</t>
  </si>
  <si>
    <t>T105</t>
  </si>
  <si>
    <t>Cc Unico</t>
  </si>
  <si>
    <t>Pasto</t>
  </si>
  <si>
    <t>CENTROS COMERCIALES DEL SUR SAS-variable</t>
  </si>
  <si>
    <t>900454187-1</t>
  </si>
  <si>
    <t>CENTROS COMERCIALES DEL SUR SAS</t>
  </si>
  <si>
    <t>T106</t>
  </si>
  <si>
    <t>Viva Villavicencio</t>
  </si>
  <si>
    <t>Villavicencio</t>
  </si>
  <si>
    <t>FIDUCOLOMBIA P.A. CONCESION ASEO DC</t>
  </si>
  <si>
    <t>FIDUCOLOMBIA P.A. CONCESION ASEO DC/patrimonos autonomos fiduciaria</t>
  </si>
  <si>
    <t>T107</t>
  </si>
  <si>
    <t>SERVICIOS ESTRATEGICOS</t>
  </si>
  <si>
    <t>T108</t>
  </si>
  <si>
    <t>T011</t>
  </si>
  <si>
    <t>Prime Tower</t>
  </si>
  <si>
    <t>TECNOLOGIA INMOBILIARIA</t>
  </si>
  <si>
    <t>860031357-7</t>
  </si>
  <si>
    <t>T110</t>
  </si>
  <si>
    <t>Cc. Arrecife</t>
  </si>
  <si>
    <t>206707</t>
  </si>
  <si>
    <t>ESTRUCTURA FUTURO SAS</t>
  </si>
  <si>
    <t>830030914-6</t>
  </si>
  <si>
    <t xml:space="preserve">MORALES PRIETO LILIANA </t>
  </si>
  <si>
    <t>52171996-2</t>
  </si>
  <si>
    <t>T111</t>
  </si>
  <si>
    <t>Cc. Bocagrande</t>
  </si>
  <si>
    <t>PEDRITOL S.A.S</t>
  </si>
  <si>
    <t>900528359-0</t>
  </si>
  <si>
    <t>T112</t>
  </si>
  <si>
    <t>Cc. Victoria</t>
  </si>
  <si>
    <t>Pereira</t>
  </si>
  <si>
    <t>ADRIANA GOMEZ BURITICA</t>
  </si>
  <si>
    <t>ANA MARGARITA BURITICA TORO</t>
  </si>
  <si>
    <t>JORGE EDUARDO GOMEZ BURITICA</t>
  </si>
  <si>
    <t>T113</t>
  </si>
  <si>
    <t>Cc. Unicentro Pereira</t>
  </si>
  <si>
    <t>SERGIO GRACIA GUTIERREZ</t>
  </si>
  <si>
    <t>SERGIO GRACIA GUTIERREZ 1</t>
  </si>
  <si>
    <t>T114</t>
  </si>
  <si>
    <t>Cc. Antares</t>
  </si>
  <si>
    <t>FIDUCOLOMBIA P.A. CONCESION ASEO DC / GRAN PLAZA 1</t>
  </si>
  <si>
    <t>FIDUCOLOMBIA P.A. CONCESION ASEO DC / GRAN PLAZA</t>
  </si>
  <si>
    <t>T115</t>
  </si>
  <si>
    <t>Cc. Colina</t>
  </si>
  <si>
    <t>PARQUE ARAUCO COLOMBIA SA</t>
  </si>
  <si>
    <t>T116</t>
  </si>
  <si>
    <t>Cc. Mall Plaza</t>
  </si>
  <si>
    <t>MALLPLAZA SERVICIOS SAS</t>
  </si>
  <si>
    <t>T117</t>
  </si>
  <si>
    <t>Cc. San Rafael</t>
  </si>
  <si>
    <t>CONSTRUCTORA URBANA SAN RAFAEL S.A.</t>
  </si>
  <si>
    <t>800140521-8</t>
  </si>
  <si>
    <t>T119</t>
  </si>
  <si>
    <t>Unico Yumbo</t>
  </si>
  <si>
    <t>T012</t>
  </si>
  <si>
    <t>Av. 19 Con 138</t>
  </si>
  <si>
    <t>INVERSIONES LEE CARDENAS  SAS</t>
  </si>
  <si>
    <t>T120</t>
  </si>
  <si>
    <t>Unico Neiva</t>
  </si>
  <si>
    <t>Neiva</t>
  </si>
  <si>
    <t>T122</t>
  </si>
  <si>
    <t>Unico Barranquilla</t>
  </si>
  <si>
    <t>T123</t>
  </si>
  <si>
    <t>La florida Medellin</t>
  </si>
  <si>
    <t>Nicolas jaramillo</t>
  </si>
  <si>
    <t>T124</t>
  </si>
  <si>
    <t xml:space="preserve">CC. Santa fe 2 </t>
  </si>
  <si>
    <t>ROYAL PROPIEDAD RAIZ SAS</t>
  </si>
  <si>
    <t>900658805-1</t>
  </si>
  <si>
    <t>NO DESCUENTO</t>
  </si>
  <si>
    <t>T125</t>
  </si>
  <si>
    <t>Unicentro V/cencio</t>
  </si>
  <si>
    <t>SCORPIO INVERSIONES SA</t>
  </si>
  <si>
    <t>T126</t>
  </si>
  <si>
    <t>Unicentro Bogota</t>
  </si>
  <si>
    <t>A. MORA E HIJOS SAS</t>
  </si>
  <si>
    <t>900282141-4</t>
  </si>
  <si>
    <t>T127</t>
  </si>
  <si>
    <t>C,C MULTIPLAZA</t>
  </si>
  <si>
    <t>T128</t>
  </si>
  <si>
    <t>Unicentro Armenia</t>
  </si>
  <si>
    <t>Armenia</t>
  </si>
  <si>
    <t>CONSTRUCTORA E INMOBILIARIA</t>
  </si>
  <si>
    <t>T129</t>
  </si>
  <si>
    <t>Portal del Norte</t>
  </si>
  <si>
    <t>T013</t>
  </si>
  <si>
    <t>C.C. Gran Estación</t>
  </si>
  <si>
    <t>ALVARO CORTES</t>
  </si>
  <si>
    <t>19166102-5</t>
  </si>
  <si>
    <t>T130</t>
  </si>
  <si>
    <t>Av. Chile</t>
  </si>
  <si>
    <t>JAIME GARCES SANTAMARIA</t>
  </si>
  <si>
    <t>79143264-9</t>
  </si>
  <si>
    <t>T131</t>
  </si>
  <si>
    <t>Palatino</t>
  </si>
  <si>
    <t>AMBIENTTI CONSTRUCTORA INMOBILIARIA 1</t>
  </si>
  <si>
    <t>830060858-1</t>
  </si>
  <si>
    <t>T132</t>
  </si>
  <si>
    <t>Mall Plaza Manizales</t>
  </si>
  <si>
    <t>205611 / 219464</t>
  </si>
  <si>
    <t>MALL PLAZA SERVICIOS / MANIZALES</t>
  </si>
  <si>
    <t>T133</t>
  </si>
  <si>
    <t>C.C. Gran Estación III</t>
  </si>
  <si>
    <t>INVERSIONES Y CONSTRUCIONES 79 SAS</t>
  </si>
  <si>
    <t>T134</t>
  </si>
  <si>
    <t>Cacique</t>
  </si>
  <si>
    <t>INMOBILIARIA CECILIA DE DIAZ LTDA</t>
  </si>
  <si>
    <t>804000347-7</t>
  </si>
  <si>
    <t>T135</t>
  </si>
  <si>
    <t>CC. Viva Envigado</t>
  </si>
  <si>
    <t>Envigado</t>
  </si>
  <si>
    <t>ITAU FIDUCIARIA P.A / patrimonios Autonomos</t>
  </si>
  <si>
    <t>830053963-6</t>
  </si>
  <si>
    <t>ITAU FIDUCIARIA P.A /patrimonios Autonomos</t>
  </si>
  <si>
    <t>T136</t>
  </si>
  <si>
    <t>Fontanar</t>
  </si>
  <si>
    <t>C940</t>
  </si>
  <si>
    <t>DESARROLLADORA CC FONTANAR SAS</t>
  </si>
  <si>
    <t>T014</t>
  </si>
  <si>
    <t>Carrera 7</t>
  </si>
  <si>
    <t>PEDRO JOSE LEMUS TRUJILLO / PROMOTORA LEMUS</t>
  </si>
  <si>
    <t>816007849-8</t>
  </si>
  <si>
    <t>T017</t>
  </si>
  <si>
    <t>Chapinero</t>
  </si>
  <si>
    <t>EDIFICIO FABE / CDD-8525</t>
  </si>
  <si>
    <t>T018</t>
  </si>
  <si>
    <t xml:space="preserve">La Oriental </t>
  </si>
  <si>
    <t xml:space="preserve">INVERSIONES BEATRIZ LAS NAYADES S A   </t>
  </si>
  <si>
    <t>T019</t>
  </si>
  <si>
    <t>C.C. Unicentro Cali I</t>
  </si>
  <si>
    <t>MYRIAM RAMIREZ NIETO 1</t>
  </si>
  <si>
    <t>31212864-1</t>
  </si>
  <si>
    <t>T020</t>
  </si>
  <si>
    <t>C.C. Unicentro Cali Ii</t>
  </si>
  <si>
    <t>MYRIAM RAMIREZ NIETO 2</t>
  </si>
  <si>
    <t>T022</t>
  </si>
  <si>
    <t>Chipichape</t>
  </si>
  <si>
    <t>CARMEN FARIDE HAZZI</t>
  </si>
  <si>
    <t>29064203-9</t>
  </si>
  <si>
    <t>T025</t>
  </si>
  <si>
    <t>Carrera 8</t>
  </si>
  <si>
    <t>204553/205662/205663/205666</t>
  </si>
  <si>
    <t>GESTIONAR ANGEL Y CIA</t>
  </si>
  <si>
    <t>816003192-1</t>
  </si>
  <si>
    <t>T027</t>
  </si>
  <si>
    <t>C.C. Palmetto Plaza</t>
  </si>
  <si>
    <t>INMUEBLES JAMO SAS</t>
  </si>
  <si>
    <t>900404964-4</t>
  </si>
  <si>
    <t>T030</t>
  </si>
  <si>
    <t>CC. Unicentro Bogotá</t>
  </si>
  <si>
    <t>VANESSA CARVAJAL ENRIQUEZ</t>
  </si>
  <si>
    <t>DAVID ALFONSO CARVAJAL</t>
  </si>
  <si>
    <t>LINA MARIA CARVAJAL ENRIQUEZ</t>
  </si>
  <si>
    <t>MAYA S.A.S.</t>
  </si>
  <si>
    <t xml:space="preserve">LYA S.A.S </t>
  </si>
  <si>
    <t>1026261501-3/1019012543-1</t>
  </si>
  <si>
    <t>T032</t>
  </si>
  <si>
    <t>C.C La Florida</t>
  </si>
  <si>
    <t>DIANA ORTIZ</t>
  </si>
  <si>
    <t>63532730-0</t>
  </si>
  <si>
    <t>Pp 1/7/20</t>
  </si>
  <si>
    <t>T033</t>
  </si>
  <si>
    <t>C.C Cosmocentro</t>
  </si>
  <si>
    <t>INVERSORA PIPINTA S.A.S</t>
  </si>
  <si>
    <t>T034</t>
  </si>
  <si>
    <t>Centro De Bogotá</t>
  </si>
  <si>
    <t>AMBIENTES INMOBILIARIOS S.A.S / INVER CASA IMPERIAL</t>
  </si>
  <si>
    <t>800016107-1</t>
  </si>
  <si>
    <t>T035</t>
  </si>
  <si>
    <t>Bulevar Niza</t>
  </si>
  <si>
    <t>CENTRO COMERCIAL BULEVAR NIZA</t>
  </si>
  <si>
    <t>800056712-9</t>
  </si>
  <si>
    <t>T037</t>
  </si>
  <si>
    <t>C.C. Premium Plaza</t>
  </si>
  <si>
    <t>FRANQUICIAS DE MARCA S,A,</t>
  </si>
  <si>
    <t>T038</t>
  </si>
  <si>
    <t>C.C. Megamall</t>
  </si>
  <si>
    <t>205668/69</t>
  </si>
  <si>
    <t>INMOBILIARIA CECILIA DE DIAZ</t>
  </si>
  <si>
    <t>T039</t>
  </si>
  <si>
    <t>Cc Cabecera La Quinta</t>
  </si>
  <si>
    <t>RAFAELA SARA MONTEJO DE ALBA</t>
  </si>
  <si>
    <t>23255390-6</t>
  </si>
  <si>
    <t>T040</t>
  </si>
  <si>
    <t>Cc Salitre Plaza I</t>
  </si>
  <si>
    <t xml:space="preserve">BEATRIZ DE CONTRERAS </t>
  </si>
  <si>
    <t>HILDEBRANDO URDINOLA</t>
  </si>
  <si>
    <t>T041</t>
  </si>
  <si>
    <t>Cc Hayuelos</t>
  </si>
  <si>
    <t>INMOBILIARIA MAURICIO AMAYA O &amp; CIA LTDA</t>
  </si>
  <si>
    <t>800243589-0</t>
  </si>
  <si>
    <t>T043</t>
  </si>
  <si>
    <t>Cc Salitre Plaza Ii</t>
  </si>
  <si>
    <t>CARLOS ENRIQUE STIEFKEN H</t>
  </si>
  <si>
    <t>17074400-2</t>
  </si>
  <si>
    <t>T044</t>
  </si>
  <si>
    <t>Galerías</t>
  </si>
  <si>
    <t>CRISTOBAL GUERRERO GUERRERO ALIX ASTRID GUERRERO 1</t>
  </si>
  <si>
    <t>51594265-9</t>
  </si>
  <si>
    <t>EDWIN A. GUERRERO ORTEGON 2</t>
  </si>
  <si>
    <t>SONIA JEANNETTE GUERRERO</t>
  </si>
  <si>
    <t>51594266-6</t>
  </si>
  <si>
    <t>T045</t>
  </si>
  <si>
    <t>Cedritos 2</t>
  </si>
  <si>
    <t>SOCIEDAD DE INMUEBLES AERONATICOS S</t>
  </si>
  <si>
    <t>900499174-1</t>
  </si>
  <si>
    <t>T047</t>
  </si>
  <si>
    <t>Cc Plaza De Las Américas</t>
  </si>
  <si>
    <t>AMBIENTTI CONSTRUCTORA INMOBILIARIA</t>
  </si>
  <si>
    <t>T048</t>
  </si>
  <si>
    <t>Centro Avianca</t>
  </si>
  <si>
    <t>LUNA VERDE LTDA</t>
  </si>
  <si>
    <t>800107852-1</t>
  </si>
  <si>
    <t>T049</t>
  </si>
  <si>
    <t>Cc Mayorca</t>
  </si>
  <si>
    <t>ANTIOQUEÑA DE NEGOCIOS LTDA / MAYORCA</t>
  </si>
  <si>
    <t>890907824-5</t>
  </si>
  <si>
    <t>T051</t>
  </si>
  <si>
    <t xml:space="preserve"> Armenia Cra 14</t>
  </si>
  <si>
    <t>T GESTIONA S.A.S.</t>
  </si>
  <si>
    <t>900415305-8</t>
  </si>
  <si>
    <t>SGH632</t>
  </si>
  <si>
    <t>AEROPUERTO MEDELLIN</t>
  </si>
  <si>
    <t>A544</t>
  </si>
  <si>
    <t>AIRPLAN/OPERADORA DE AEROPUERTOS AUTONORTE</t>
  </si>
  <si>
    <t>900205407-1</t>
  </si>
  <si>
    <t>T053</t>
  </si>
  <si>
    <t xml:space="preserve"> Calle 72</t>
  </si>
  <si>
    <t>204760/204642/204640/204639/204644</t>
  </si>
  <si>
    <t>CADENA BURGOS HERNANDO ENRIQUE</t>
  </si>
  <si>
    <t>T054</t>
  </si>
  <si>
    <t xml:space="preserve"> Portal 80</t>
  </si>
  <si>
    <t>ZERDA Y CIA SAS</t>
  </si>
  <si>
    <t>860501029-3</t>
  </si>
  <si>
    <t>T055</t>
  </si>
  <si>
    <t xml:space="preserve"> Buenavista</t>
  </si>
  <si>
    <t>INMOBILIARIA SALOMON SALES &amp; CIA S.A</t>
  </si>
  <si>
    <t>890102508-7</t>
  </si>
  <si>
    <t>T059</t>
  </si>
  <si>
    <t xml:space="preserve"> Plaza 82</t>
  </si>
  <si>
    <t>INMOBILIARIA SALOMON SALES &amp; C  1</t>
  </si>
  <si>
    <t>CERRADA</t>
  </si>
  <si>
    <t>T060</t>
  </si>
  <si>
    <t xml:space="preserve"> Panorama</t>
  </si>
  <si>
    <t>INMOBILIARIA SALOMON SALES &amp; C 2</t>
  </si>
  <si>
    <t>T061</t>
  </si>
  <si>
    <t xml:space="preserve"> Av. San Martin</t>
  </si>
  <si>
    <t xml:space="preserve">INVERSIONES LEQUERICA BORGE Y </t>
  </si>
  <si>
    <t>900007552-0</t>
  </si>
  <si>
    <t>T064</t>
  </si>
  <si>
    <t xml:space="preserve"> Plaza Imperial 2</t>
  </si>
  <si>
    <t>LABORATORIO FOTOCHROME SAS</t>
  </si>
  <si>
    <t>860014223-7</t>
  </si>
  <si>
    <t>T066</t>
  </si>
  <si>
    <t>Plaza Caribe</t>
  </si>
  <si>
    <t>CARLOS DURAN SAS 1</t>
  </si>
  <si>
    <t>860069492-8</t>
  </si>
  <si>
    <t>T069</t>
  </si>
  <si>
    <t xml:space="preserve"> Jardín Plaza</t>
  </si>
  <si>
    <t>CENTRAL CONTROL SA</t>
  </si>
  <si>
    <t>T070</t>
  </si>
  <si>
    <t xml:space="preserve"> Carrera 11</t>
  </si>
  <si>
    <t>F.A &amp; JOTAS LTDA</t>
  </si>
  <si>
    <t>900153240-2</t>
  </si>
  <si>
    <t>T071</t>
  </si>
  <si>
    <t xml:space="preserve"> Limonar</t>
  </si>
  <si>
    <t>CARLOS DURAN SAS 2</t>
  </si>
  <si>
    <t>T073</t>
  </si>
  <si>
    <t xml:space="preserve"> Envigado</t>
  </si>
  <si>
    <t xml:space="preserve">MARIA ELENA CAÑAS HOYOS </t>
  </si>
  <si>
    <t>T074</t>
  </si>
  <si>
    <t xml:space="preserve"> Sta. Fe Medellín</t>
  </si>
  <si>
    <t>CARLOS DURAN SAS 3</t>
  </si>
  <si>
    <t>T075</t>
  </si>
  <si>
    <t xml:space="preserve"> Centro Mayor I</t>
  </si>
  <si>
    <t>CARLOS DURAN SAS 4</t>
  </si>
  <si>
    <t>T077</t>
  </si>
  <si>
    <t xml:space="preserve"> Centro 93</t>
  </si>
  <si>
    <t>CAPITAL REAL ESTATE LTDA</t>
  </si>
  <si>
    <t>900094025-1</t>
  </si>
  <si>
    <t>T078</t>
  </si>
  <si>
    <t xml:space="preserve"> San Nicolás</t>
  </si>
  <si>
    <t>Rionegro</t>
  </si>
  <si>
    <t>OBANDO GIRALDO S.A</t>
  </si>
  <si>
    <t>T079</t>
  </si>
  <si>
    <t xml:space="preserve"> Portal Prado</t>
  </si>
  <si>
    <t>SOCINSA S.A</t>
  </si>
  <si>
    <t>802001157-1</t>
  </si>
  <si>
    <t>T080</t>
  </si>
  <si>
    <t xml:space="preserve"> Multicentro</t>
  </si>
  <si>
    <t>Ibague</t>
  </si>
  <si>
    <t>MARIA CLEMENCIA PERDOMO SALAMA</t>
  </si>
  <si>
    <t>65753439-7</t>
  </si>
  <si>
    <t>T081</t>
  </si>
  <si>
    <t xml:space="preserve"> Fundadores</t>
  </si>
  <si>
    <t>TEJARES Y CIA S, EN C,A</t>
  </si>
  <si>
    <t>810006984-8</t>
  </si>
  <si>
    <t>T082</t>
  </si>
  <si>
    <t xml:space="preserve"> Centro Mayor Ii</t>
  </si>
  <si>
    <t>CARLOS DURAN SAS 5</t>
  </si>
  <si>
    <t>T083</t>
  </si>
  <si>
    <t>Cra 15 Con 85</t>
  </si>
  <si>
    <t>NORA MARTIN DUARTE</t>
  </si>
  <si>
    <t>T086</t>
  </si>
  <si>
    <t>Paseo De Bucaramanga</t>
  </si>
  <si>
    <t xml:space="preserve">JORGE ORTIZ DIAZ              </t>
  </si>
  <si>
    <t>T087</t>
  </si>
  <si>
    <t xml:space="preserve"> Molinos Ii</t>
  </si>
  <si>
    <t>CARLOS DURAN SAS 6</t>
  </si>
  <si>
    <t>T088</t>
  </si>
  <si>
    <t xml:space="preserve"> Villa Country</t>
  </si>
  <si>
    <t>CARLOS DURAN SAS 7</t>
  </si>
  <si>
    <t>T089</t>
  </si>
  <si>
    <t xml:space="preserve"> C.C. Calima</t>
  </si>
  <si>
    <t>205618 / 230429</t>
  </si>
  <si>
    <t>calima desarollos inmobiliarios / Nuevomundo</t>
  </si>
  <si>
    <t>T090</t>
  </si>
  <si>
    <t xml:space="preserve"> C.C. Atlantis</t>
  </si>
  <si>
    <t>MULTIPLIKA</t>
  </si>
  <si>
    <t>800256769-6</t>
  </si>
  <si>
    <t>T091</t>
  </si>
  <si>
    <t xml:space="preserve"> C.C. Titán</t>
  </si>
  <si>
    <t>PUNTO S. A</t>
  </si>
  <si>
    <t>MARQUEZ TONO Y ASOCIADOS LTDA</t>
  </si>
  <si>
    <t>800235419-3</t>
  </si>
  <si>
    <t>CASTAÑEDA Y ABELLO S EN C</t>
  </si>
  <si>
    <t>830508161-0</t>
  </si>
  <si>
    <t>T092</t>
  </si>
  <si>
    <t xml:space="preserve"> C.C. Estación</t>
  </si>
  <si>
    <t>CARLOS DURAN SAS 8</t>
  </si>
  <si>
    <t>T096</t>
  </si>
  <si>
    <t>C.C. Santafe</t>
  </si>
  <si>
    <t>CARLOS DURAN SAS</t>
  </si>
  <si>
    <t>CONTROL DE ARRIENDO 2021</t>
  </si>
  <si>
    <t>CANON 
NORMAL</t>
  </si>
  <si>
    <t>CANON 
DICIEMBRE</t>
  </si>
  <si>
    <t>ENERO</t>
  </si>
  <si>
    <t xml:space="preserve">FEBRERO </t>
  </si>
  <si>
    <t>DES. AUT</t>
  </si>
  <si>
    <t>AUMENTO</t>
  </si>
  <si>
    <t>FECHA ENV</t>
  </si>
  <si>
    <t>ADMINISTRADORA PARQUE ARAUCO</t>
  </si>
  <si>
    <t>901394357-2</t>
  </si>
  <si>
    <t>NO HAY VARIABLE</t>
  </si>
  <si>
    <t>INVERSIONES INMOBILIARIAS BUCARAMANGA ARAUCO SAS</t>
  </si>
  <si>
    <t>FURNI</t>
  </si>
  <si>
    <t>CONSTRUCCIONES Y BIENES S.A.</t>
  </si>
  <si>
    <t>R007</t>
  </si>
  <si>
    <t>Tesoro</t>
  </si>
  <si>
    <t>E924</t>
  </si>
  <si>
    <t>LA MEMORIA S.A.S</t>
  </si>
  <si>
    <t>900425964-4</t>
  </si>
  <si>
    <t>T138</t>
  </si>
  <si>
    <t>PARQUE ARBOLEDA</t>
  </si>
  <si>
    <t>PEREIRA</t>
  </si>
  <si>
    <t>A854</t>
  </si>
  <si>
    <t>EJE CONSTRUCCIONES SAS</t>
  </si>
  <si>
    <t>900.079.790-5</t>
  </si>
  <si>
    <t>SGH635</t>
  </si>
  <si>
    <t>A997</t>
  </si>
  <si>
    <t>DES. AUT.</t>
  </si>
  <si>
    <t>FECHA ENVIO</t>
  </si>
  <si>
    <t>FECHA PAGO</t>
  </si>
  <si>
    <t>FELLINZI LIMITADA</t>
  </si>
  <si>
    <t>TIENDA CERRADA</t>
  </si>
  <si>
    <t>NO HAY VARIBLE</t>
  </si>
  <si>
    <t>NO LLEGO VARIABLE</t>
  </si>
  <si>
    <t>PARQUE ARAUCO COLOMBIA SAS</t>
  </si>
  <si>
    <t>900.252.139-0</t>
  </si>
  <si>
    <t>SWISS WATCHMAKERS COL SAS</t>
  </si>
  <si>
    <t>LLEGA EN FEBRERO - SEMESTRAL</t>
  </si>
  <si>
    <t>FACTURA SEMESTRAL - LLEGO EN FEBRERO</t>
  </si>
  <si>
    <t>6573</t>
  </si>
  <si>
    <t xml:space="preserve">ADMINISTRACION </t>
  </si>
  <si>
    <t>CANON
NORMAL</t>
  </si>
  <si>
    <t>CANON
DICIEMBRE</t>
  </si>
  <si>
    <t>DESCRIPCION ADMINISTRACION</t>
  </si>
  <si>
    <t>C.c.</t>
  </si>
  <si>
    <t>ACREEDOR ADMON</t>
  </si>
  <si>
    <t>PROVEEDOR ADMINISTRACION</t>
  </si>
  <si>
    <t>NUEVA OFICINA</t>
  </si>
  <si>
    <t>EDIFICIO TORRE 123 P.H</t>
  </si>
  <si>
    <t>901.295.881-6</t>
  </si>
  <si>
    <t>PARQUE EMPRESARIAL EL DORADO</t>
  </si>
  <si>
    <t>TIENDA R001- RAYBAN Local 2-272 UNICENTRO</t>
  </si>
  <si>
    <t>CIUDADELA COMERCIAL UNICENTRO</t>
  </si>
  <si>
    <t>860.043.896-7</t>
  </si>
  <si>
    <t>SANTAFE CENTRO COMERCIAL</t>
  </si>
  <si>
    <t>900.083.038-1</t>
  </si>
  <si>
    <t>TIENDA R003 - RAYBAN</t>
  </si>
  <si>
    <t>ADMINISTRADORA PARQUE ARAUCO SAS</t>
  </si>
  <si>
    <t>TIENDA R004 - RAYBAN</t>
  </si>
  <si>
    <t>CENTRO COMERCIAL ANDINO PH</t>
  </si>
  <si>
    <t>800.199.501-5</t>
  </si>
  <si>
    <t>VIVA BARRANQUILLA R005</t>
  </si>
  <si>
    <t>PATRIMONIOS AUTONOMOS FIDUCIARIA BANCOLOMBIA</t>
  </si>
  <si>
    <t>LA SERREZUELA R006</t>
  </si>
  <si>
    <t>MTS ADMINISTRACION TOTAL S.A.S/plaza la serrezuela</t>
  </si>
  <si>
    <t>901.249.695-7</t>
  </si>
  <si>
    <t>SGH 601</t>
  </si>
  <si>
    <t>TIENDA 001 SGH CC ANDINO</t>
  </si>
  <si>
    <t>ADARVE - ANDINO</t>
  </si>
  <si>
    <t>860.053.845-4</t>
  </si>
  <si>
    <t>SGH 602</t>
  </si>
  <si>
    <t>TIENDA 602 UNICENTRO SGH LC 2-185</t>
  </si>
  <si>
    <t>CIUDADELA COMERCIAL UNICENTRO L 2-185</t>
  </si>
  <si>
    <t>SGH 603</t>
  </si>
  <si>
    <t>TIENDA SGH 603 CRA,9 A N°99 - 07 OF .802 LC1-071</t>
  </si>
  <si>
    <t>204600</t>
  </si>
  <si>
    <t>SGH 604</t>
  </si>
  <si>
    <t xml:space="preserve">TIENDA 604 SGH </t>
  </si>
  <si>
    <t>MULTI PLAZA PH</t>
  </si>
  <si>
    <t>SGH 605</t>
  </si>
  <si>
    <t>TIENDA 605 SGH</t>
  </si>
  <si>
    <t>900.197.303-7</t>
  </si>
  <si>
    <t>SGH 606</t>
  </si>
  <si>
    <t>TIENDA 606 SGH LC222</t>
  </si>
  <si>
    <t>SGH 608</t>
  </si>
  <si>
    <t>TIENDA 608 SGH FONTANAR</t>
  </si>
  <si>
    <t>900.631.450-3</t>
  </si>
  <si>
    <t xml:space="preserve">TIENDA 3 SANTA FE LC126-127                       </t>
  </si>
  <si>
    <t xml:space="preserve">TIENDA 4 TESORO                                   </t>
  </si>
  <si>
    <t>PARQUE COMERCIAL EL TESORO</t>
  </si>
  <si>
    <t>811.021.621-6</t>
  </si>
  <si>
    <t xml:space="preserve">TIENDA 5 CHIA                                     </t>
  </si>
  <si>
    <t>COMPLEJO COMERCIAL CENTRO CHIA</t>
  </si>
  <si>
    <t>800.085.013-2</t>
  </si>
  <si>
    <t xml:space="preserve">TIENDA 6 OVIEDO                                   </t>
  </si>
  <si>
    <t>INVERSIONES RZ S.A.S.</t>
  </si>
  <si>
    <t>900.467.139-4</t>
  </si>
  <si>
    <t xml:space="preserve">TIENDA 7 MOLINOS                                  </t>
  </si>
  <si>
    <t>901.03.150-3</t>
  </si>
  <si>
    <t>TIENDA 8 GRAN ESTACION LC 2-106</t>
  </si>
  <si>
    <t xml:space="preserve">GRAN ESTACION CENTRO COMERCIAL </t>
  </si>
  <si>
    <t>900.146.950-4</t>
  </si>
  <si>
    <t xml:space="preserve">TIENDA 10 SANDIEGO                                </t>
  </si>
  <si>
    <t>CENTRO COMERCIAL SANDIEGO P,H,</t>
  </si>
  <si>
    <t>890.911.709-1</t>
  </si>
  <si>
    <t xml:space="preserve">TIENDA 100 BUENAVISTA SANTA MARTA </t>
  </si>
  <si>
    <t>CENTRO COMERCIAL BUENAVISTA</t>
  </si>
  <si>
    <t>900.054.062-3</t>
  </si>
  <si>
    <t>TIENDA 101 GIRARDOT UNICENTRO</t>
  </si>
  <si>
    <t>CENTRO COMERCIAL UNICENTRO GIRARDOT</t>
  </si>
  <si>
    <t>900.793.017-1</t>
  </si>
  <si>
    <t>TIENDA 102 PLAZA DEL SOL GRAN</t>
  </si>
  <si>
    <t>830.054.539-0</t>
  </si>
  <si>
    <t>TIENDA 103 TIENDA 103 CENTENARIO</t>
  </si>
  <si>
    <t>900.325.566-7</t>
  </si>
  <si>
    <t>TIENDA 104 CARACOLI</t>
  </si>
  <si>
    <t>INVERSIONES INMOBILIARIAS BUCARAMAN ARAUCO</t>
  </si>
  <si>
    <t>900.460.297-8</t>
  </si>
  <si>
    <t>TIENDA 105 PASTO - GMO UNIC</t>
  </si>
  <si>
    <t>CENTROS COMERCIALES DEL SUR PASTO</t>
  </si>
  <si>
    <t>900.454.187-1</t>
  </si>
  <si>
    <t>TIENDA 106 CL 7 No 45-185  LA ESPERANZA - GMO VIVA VILLA 134B</t>
  </si>
  <si>
    <t>LA SABANA CENTRO COMERCIAL/PATRIMONIOS AUTONOMOS FIDUCIARIA</t>
  </si>
  <si>
    <t>900.159.661-7</t>
  </si>
  <si>
    <t>TIENDA 107 CALI GMO UNICO</t>
  </si>
  <si>
    <t>SERVICIOS ESTRATEGICOS  COMPARTIDOS  CALI</t>
  </si>
  <si>
    <t>900.612.118-1</t>
  </si>
  <si>
    <t>TIENDA 108 GMO UNICO VILLABO</t>
  </si>
  <si>
    <t>SERVICIOS ESTRATEGICOS VILLAVICENCIO</t>
  </si>
  <si>
    <t xml:space="preserve">TIENDA 11 CLL 100  PRIME TOWE                               </t>
  </si>
  <si>
    <t>PRIMER TOWER / GESTION DE ACTIVOS TECNI</t>
  </si>
  <si>
    <t>900.300.055-7</t>
  </si>
  <si>
    <t>TIENDA 110 GMO C.C. ARRECI</t>
  </si>
  <si>
    <t>CENTRO COMERCIAL ARRECIFE</t>
  </si>
  <si>
    <t>900534142-4</t>
  </si>
  <si>
    <t>LLEGO  EN FEBRERO</t>
  </si>
  <si>
    <t>TIENDA 111 GMO C.C. BOCAGR</t>
  </si>
  <si>
    <t>PLAZA BOCAGRANDE CENTRO COMERCIAL</t>
  </si>
  <si>
    <t>900.785.012-1</t>
  </si>
  <si>
    <t>TIENDA 113 GMO C.C. UNICEN</t>
  </si>
  <si>
    <t>CENTRO COMERCIAL UNICENTRO PEREIRA</t>
  </si>
  <si>
    <t>900.279.801-6</t>
  </si>
  <si>
    <t>TIENDA 114 GMO CC. ANTARES</t>
  </si>
  <si>
    <t>TIENDA 115 GMO CC. PARQUE COLINA</t>
  </si>
  <si>
    <t>TIENDA 116 GMO CC MALL PLAZA CARTAGENA</t>
  </si>
  <si>
    <t>8976</t>
  </si>
  <si>
    <r>
      <rPr>
        <sz val="11"/>
        <rFont val="Calibri"/>
        <family val="2"/>
        <scheme val="minor"/>
      </rPr>
      <t>MALL PLAZA SERVICIOS</t>
    </r>
    <r>
      <rPr>
        <sz val="11"/>
        <color indexed="10"/>
        <rFont val="Calibri"/>
        <family val="2"/>
        <scheme val="minor"/>
      </rPr>
      <t xml:space="preserve"> /CENTRO COMERCIAL EL CASTILLO CARTAG</t>
    </r>
  </si>
  <si>
    <t>901.120.943-3</t>
  </si>
  <si>
    <t>TIENDA 117 GMO SAN RAFAEL</t>
  </si>
  <si>
    <t>900.032.476-4</t>
  </si>
  <si>
    <t>TIENDA 119 GMO UNICO YUMBO</t>
  </si>
  <si>
    <t>TIENDA 120 GMO UNICO NEIVA</t>
  </si>
  <si>
    <t>SERVICIOS ESTRATEGICOS NEIVA</t>
  </si>
  <si>
    <t>TIENDA 122 GMO UNICO BARRANQUILLA</t>
  </si>
  <si>
    <t>SEVICIOS ESTRATEGICOS BARRANQUILLA</t>
  </si>
  <si>
    <t>TIENDA 123 GMO FLORIDA MEDELLIN</t>
  </si>
  <si>
    <t>NICOLAS JARAMILLO</t>
  </si>
  <si>
    <t xml:space="preserve">TIENDA 002 SGH CC UNICENTRO </t>
  </si>
  <si>
    <t>210438</t>
  </si>
  <si>
    <t>900.658.805-1</t>
  </si>
  <si>
    <t>TIENDA 125 GMO UNICENTRO VILLAVICENCIO</t>
  </si>
  <si>
    <t>CENTRO COMERCIAL UNICENTRO VILLAVIC</t>
  </si>
  <si>
    <t>TIENDA 126 GMO UNICENTRO II BOGOTA L 1-018</t>
  </si>
  <si>
    <t>204573</t>
  </si>
  <si>
    <t>CIUDADELA COMERCIAL UNICENTRO 1-018</t>
  </si>
  <si>
    <t>TIENDA 127 GMO MULTIPLAZA BOGOTA</t>
  </si>
  <si>
    <t>TIENDA 128 GMO UNICENTRO ARMENIA</t>
  </si>
  <si>
    <t>210958</t>
  </si>
  <si>
    <t>CENTRO COMERCIAL UNICENTRO ARMENIA</t>
  </si>
  <si>
    <t>900.547.704-1</t>
  </si>
  <si>
    <t>TIENDA 129 CENTRO COMERCIAL PUERTA DEL NORTE P.H NIVEL 2</t>
  </si>
  <si>
    <t>SANTA JUANA INMOBILIARIA S,A</t>
  </si>
  <si>
    <t>800.101.493-3</t>
  </si>
  <si>
    <t>T13 GRAN ESTACION CENTRO COMERCIAL 079</t>
  </si>
  <si>
    <t xml:space="preserve">TIENDA 130 </t>
  </si>
  <si>
    <t>217036</t>
  </si>
  <si>
    <t>CENTRO AVENIDA DE CHILE PH L 122</t>
  </si>
  <si>
    <t>860.509.249-3</t>
  </si>
  <si>
    <t xml:space="preserve">TIENDA 131 CENTRO COMERCIAL PALATINO </t>
  </si>
  <si>
    <t>830.060.858-1</t>
  </si>
  <si>
    <t>TIENDA NUEVA T-133 LC 2206</t>
  </si>
  <si>
    <t>GRAN ESTACION CENTRO COMERCIAL</t>
  </si>
  <si>
    <t>TIENDA 134</t>
  </si>
  <si>
    <t>804.000.347-7</t>
  </si>
  <si>
    <t>TIENDA VIVA ENVIGADO T-135 PISO 1 LOCAL 169</t>
  </si>
  <si>
    <t>228274</t>
  </si>
  <si>
    <t>ITAU FIDUCIARIA P.A</t>
  </si>
  <si>
    <t>830.053.963-6</t>
  </si>
  <si>
    <t>TIENDA 136 FONTANAR</t>
  </si>
  <si>
    <t xml:space="preserve">TIENDA 19 UNICENTR LC 224 CALI                         </t>
  </si>
  <si>
    <t>CIUDADELA CIAL UNICENTRO CALI-PROP HOR</t>
  </si>
  <si>
    <t>890.321.156-7</t>
  </si>
  <si>
    <t xml:space="preserve">TIENDA 22 CHIPICHAPE 511-544                      </t>
  </si>
  <si>
    <t>CENTRO COMERCIAL CHIPICHAPE</t>
  </si>
  <si>
    <t>800.256.395-5</t>
  </si>
  <si>
    <t xml:space="preserve">TIENDA 27 CALLE 9 48-81 CC PALMETTO LC 148        </t>
  </si>
  <si>
    <t>CENTRO COMERCIAL PALMETTO PLAZA</t>
  </si>
  <si>
    <t>900.004.566-1</t>
  </si>
  <si>
    <t>T-30</t>
  </si>
  <si>
    <t xml:space="preserve">TIENDA 30 CC UNICENTRO LC 1-176                 </t>
  </si>
  <si>
    <t xml:space="preserve">TIENDA 30 CC UNICENTRO LC 1-080                     </t>
  </si>
  <si>
    <t xml:space="preserve">TIENDA 32 CC LA FLORIDA                           </t>
  </si>
  <si>
    <t>CENTRO CIAL  LA FLORIDA CANAVERAL</t>
  </si>
  <si>
    <t>900.003.663-1</t>
  </si>
  <si>
    <t xml:space="preserve">TIENDA 33 COSMOCENTRO CIUDADELA COMERCIAL         </t>
  </si>
  <si>
    <t>COSMOCENTRO CIUDADELA COMERCIAL</t>
  </si>
  <si>
    <t>890.320.980-5</t>
  </si>
  <si>
    <t xml:space="preserve">TIENDA 34 AV 19 No, 4-98  CENTRO BTA                        </t>
  </si>
  <si>
    <t>EDIFICIO ANDES</t>
  </si>
  <si>
    <t>860.040.438-3</t>
  </si>
  <si>
    <t xml:space="preserve">TIENDA 35 C,C BULEVAR                            </t>
  </si>
  <si>
    <t>CENTRO COMERCIAL BULEVAR</t>
  </si>
  <si>
    <t>800.056.712-9</t>
  </si>
  <si>
    <t xml:space="preserve">TIENDA 37 PREMIUN PLAZA                           </t>
  </si>
  <si>
    <t>CENTRO COMERCIAL PREMIUM PLAZA PH</t>
  </si>
  <si>
    <t>900.190.544-3</t>
  </si>
  <si>
    <t xml:space="preserve">TIENDA 38 MEGAMALL B/MANGA                        </t>
  </si>
  <si>
    <t>MEGAMALL CENTRO COMERCIAL</t>
  </si>
  <si>
    <t xml:space="preserve">TIENDA 39 CRA 36 49-45 LC 325 CCC LA QUINTA       </t>
  </si>
  <si>
    <t>23.255.390-6</t>
  </si>
  <si>
    <t xml:space="preserve">TIENDA 40 SALITRE PLAZA Local 2 -28                   </t>
  </si>
  <si>
    <t>SALITRE PLAZA CENTRO COMERCIAL</t>
  </si>
  <si>
    <t>830.021.423-3</t>
  </si>
  <si>
    <t xml:space="preserve">TIENDA 41 HAYUELOS                                </t>
  </si>
  <si>
    <t>HAYUELOS CTRO  EMPRESARIAL COMERCIA</t>
  </si>
  <si>
    <t>900.225.764-1</t>
  </si>
  <si>
    <t xml:space="preserve">TIENDA 43 SALITRE 2   LC260                        </t>
  </si>
  <si>
    <t xml:space="preserve">TIENDA 45 CEDRITOS 2                              </t>
  </si>
  <si>
    <t>900.499.174-1</t>
  </si>
  <si>
    <t xml:space="preserve">TIENDA 47 PLAZA DE LAS AMERICAS                        </t>
  </si>
  <si>
    <t>CTRO CIAL PLAZA DE LAS AMERICAS P.H/ambientti</t>
  </si>
  <si>
    <t xml:space="preserve">TIENDA 49 MAYORCA 2                                    </t>
  </si>
  <si>
    <t>890.907.824-5</t>
  </si>
  <si>
    <t>TIENDA 52 MANIZALES - CABLE P</t>
  </si>
  <si>
    <t>EDIFICIO C.C CABLE PLAZA PH</t>
  </si>
  <si>
    <t>810.006.362-7</t>
  </si>
  <si>
    <t xml:space="preserve">TIENDA 54 PORTAL 80                                     </t>
  </si>
  <si>
    <t>CENTRO COMERCIAL PORTAL DE LA 80 PH</t>
  </si>
  <si>
    <t>830.143.447-3</t>
  </si>
  <si>
    <t xml:space="preserve">TIENDA 55 BARRANQUILLA  C CIAL BUENAVISTA II LOCAL 202 </t>
  </si>
  <si>
    <t>CENTRO COMERCIAL BUENAVISTA II</t>
  </si>
  <si>
    <t>900.280.551-1</t>
  </si>
  <si>
    <t>TIENDA 64 P IMP 64 KR 104 # 146 - 20 AV, CIUDAD DE CALI l, 1-17</t>
  </si>
  <si>
    <t>PLAZA IMPERIAL CTRO CIAL PROP HORI</t>
  </si>
  <si>
    <t>900.059.184-6</t>
  </si>
  <si>
    <t xml:space="preserve">TIENDA 66 CARIBE PLAZA CARTAGENA                        </t>
  </si>
  <si>
    <t>CARIBE PLAZA CENTRO COMERCIAL</t>
  </si>
  <si>
    <t>900.233.968-9</t>
  </si>
  <si>
    <t xml:space="preserve">TIENDA 69 C, C, JARDIN PLAZA LOCAL 111 CALI       </t>
  </si>
  <si>
    <t>CENTRAL CONTROL SAS/jardin plaza</t>
  </si>
  <si>
    <t>805.030.587-1</t>
  </si>
  <si>
    <t xml:space="preserve">TIENDA 70 CRA 11 No, 84 - 09  local 7 ANDINO BTA  </t>
  </si>
  <si>
    <t>TORRE AMADEUS</t>
  </si>
  <si>
    <t>900.399.161-5</t>
  </si>
  <si>
    <t xml:space="preserve">TIENDA 74 CRA 43 7-SUR 130 LC 9148         </t>
  </si>
  <si>
    <t>CENTRO COMERCIAL SANTAFE MEDELLIN</t>
  </si>
  <si>
    <t>900.351.744-1</t>
  </si>
  <si>
    <t xml:space="preserve">TIENDA 75 CC CENTRO MAYOR CRA 27 No 38 A 61 SUR L,1079 </t>
  </si>
  <si>
    <t>CTRO MAYOR CTRO CIAL PROPIE HORIZ</t>
  </si>
  <si>
    <t>900.346.807-7</t>
  </si>
  <si>
    <t xml:space="preserve">TIENDA 77 CRA 15 CTRO 93 -60 LOCAL 117 BTA               </t>
  </si>
  <si>
    <t>900.094.025-1</t>
  </si>
  <si>
    <t>TIENDA 78 C,C S, NICOLAS L-2263 CL 43NO54-139 RIO NEGRO</t>
  </si>
  <si>
    <t>CENTRO COMERCIAL SAN NICOLAS PH</t>
  </si>
  <si>
    <t>900.163.527-3</t>
  </si>
  <si>
    <t>TIENDA 79 CC PORTALDELPRADO  L-160 Cll53No46-192 Barran</t>
  </si>
  <si>
    <t>EDIFICIO CTRO CIAL PORTAL DEL PRADO</t>
  </si>
  <si>
    <t>900.180.378-4</t>
  </si>
  <si>
    <t xml:space="preserve">TIENDA 80 CRA 5 No 66-123 CC MULTICENTRO IBAGUE L-205  </t>
  </si>
  <si>
    <t>CENTRO COMERCIAL MULTICENTRO</t>
  </si>
  <si>
    <t>900.018.771-4</t>
  </si>
  <si>
    <t>TIENDA 81 CRA 20 NO34-18 L 249 CC FUNDADORES PH M/ZALES</t>
  </si>
  <si>
    <t>6716</t>
  </si>
  <si>
    <t>CTRO CIAL FUNDADORES PROPIEDAD H</t>
  </si>
  <si>
    <t>900.393.259-0</t>
  </si>
  <si>
    <t>TIENDA 82 CC CENTRO MAYOR CRA 27 No 38 A 61- SUR LC2092</t>
  </si>
  <si>
    <t xml:space="preserve">TIENDA 83 CRA 15 85 36 BOGOTA                          </t>
  </si>
  <si>
    <t>EDIFICIO CENTRO COUNTRY</t>
  </si>
  <si>
    <t>860.353.908-7</t>
  </si>
  <si>
    <t xml:space="preserve">TIENDA 87Calle 30A No,82A-26 Local 1006 CC MOLINOS     </t>
  </si>
  <si>
    <t>CTRO CIAL MOLINOS PRIMERA ETAPA PH</t>
  </si>
  <si>
    <t>900.088.977-3</t>
  </si>
  <si>
    <t>TIENDA 88 CENTRO COMERCIAL VILLA COUNTRY</t>
  </si>
  <si>
    <t>CENTRO COMERCIAL VILLA COUNTRY</t>
  </si>
  <si>
    <t>800.234.027-5</t>
  </si>
  <si>
    <t>TIENDA 90 C.C. ATLANTI</t>
  </si>
  <si>
    <t>TIENDA 91 C.C. TITAN PLAZA</t>
  </si>
  <si>
    <t>TITAN PLAZA CENTRO COMERCIAL Y EM</t>
  </si>
  <si>
    <t>900.534.711-5</t>
  </si>
  <si>
    <t>TIENDA 92 C.C AV 60 Y AV AMBALA CC LA ESTACION</t>
  </si>
  <si>
    <t>LA ESTACION CENTRO COMERCIAL</t>
  </si>
  <si>
    <t>900.680.029-4</t>
  </si>
  <si>
    <t>TIENDA 96 SANTAFE 2 LOCAL 1-188</t>
  </si>
  <si>
    <t>TESORO</t>
  </si>
  <si>
    <t>ALIANZA FIDUCIARIA SA FIDEICOMISOS</t>
  </si>
  <si>
    <t>Pagos</t>
  </si>
  <si>
    <t>Junio</t>
  </si>
  <si>
    <t>W22</t>
  </si>
  <si>
    <t>W23</t>
  </si>
  <si>
    <t>W24</t>
  </si>
  <si>
    <t>W25</t>
  </si>
  <si>
    <t>Total</t>
  </si>
  <si>
    <t>Alcance</t>
  </si>
  <si>
    <t>W28</t>
  </si>
  <si>
    <t xml:space="preserve">Facturas Arriendos </t>
  </si>
  <si>
    <t>Rentas variables</t>
  </si>
  <si>
    <t>Totales x recibir</t>
  </si>
  <si>
    <t>Facturas Admon</t>
  </si>
  <si>
    <t>Julio</t>
  </si>
  <si>
    <t>W26</t>
  </si>
  <si>
    <t>W27</t>
  </si>
  <si>
    <t>W29</t>
  </si>
  <si>
    <t>W30</t>
  </si>
  <si>
    <t>W32</t>
  </si>
  <si>
    <t>TOTAL MES</t>
  </si>
  <si>
    <t>NO DESCUENTA FINANCIA EL PAGO TRES MES</t>
  </si>
  <si>
    <t>1900004209-4467</t>
  </si>
  <si>
    <t>TIENDA  R002 - RAYBAN  N1-036</t>
  </si>
  <si>
    <t>1900003299/17-610/10-78845</t>
  </si>
  <si>
    <t>INMOBILIARIA LA COLINA ARAUCO S.A.S</t>
  </si>
  <si>
    <t>50% PAGO ABRIL 50% RESTANTE DIFIERE</t>
  </si>
  <si>
    <t>Pp 6/7/20</t>
  </si>
  <si>
    <t>1900003300/01/02</t>
  </si>
  <si>
    <t>1900003777/79/80/81/82</t>
  </si>
  <si>
    <t>1900004271-4274</t>
  </si>
  <si>
    <t>PAGAR 50% OTRO DESPUES DE OCTUBRE</t>
  </si>
  <si>
    <t>1900003276/17-611/10-78846</t>
  </si>
  <si>
    <t>NO COBRA ABRIL EMITE NOTA CREDITO POR MARZO (no cobra por cierre)</t>
  </si>
  <si>
    <t>SGH 632</t>
  </si>
  <si>
    <t>AEROPUERTO MEDELLIN SGH</t>
  </si>
  <si>
    <t>I&amp;T INFORMACION Y TECNOLOGIA</t>
  </si>
  <si>
    <t>800.134.978-5</t>
  </si>
  <si>
    <t>Pp 20/5/20</t>
  </si>
  <si>
    <t>1900003277/19-78/17-612/17-613/10-78847-78848</t>
  </si>
  <si>
    <t>1900003784/85</t>
  </si>
  <si>
    <t>1900004219-4220</t>
  </si>
  <si>
    <t>CON DESCUENTO</t>
  </si>
  <si>
    <t>PAGA 70% MAYO EL 30% EN OCTUBRE</t>
  </si>
  <si>
    <t>SI PAGA ANTES DEL 24 DESCUENTA EL 15%</t>
  </si>
  <si>
    <t>TIENDA 112 GMO C.C. VICTOR</t>
  </si>
  <si>
    <t>VICTORIA CENTRO COMERCIAL PH</t>
  </si>
  <si>
    <t>900.004.111-2</t>
  </si>
  <si>
    <t>NO DESCUENTA</t>
  </si>
  <si>
    <t>209534</t>
  </si>
  <si>
    <t>DESCUENTO DEL 30%</t>
  </si>
  <si>
    <t>1900003401/1000078946</t>
  </si>
  <si>
    <t>1900003499/1900003548</t>
  </si>
  <si>
    <t>1900003674-4044</t>
  </si>
  <si>
    <t>DESCUENTO ABRIL Y MAYO</t>
  </si>
  <si>
    <t>1900003810-12</t>
  </si>
  <si>
    <t>1900003811-13</t>
  </si>
  <si>
    <t>1900004202-4203</t>
  </si>
  <si>
    <t>DESCUENTO FACTURA DE DOS MESES</t>
  </si>
  <si>
    <t>1900003347-3601</t>
  </si>
  <si>
    <t>FACTURA 50% LO DEMAS SE FINANCIA A 3 CUOTAS DESPUES DE AGOSTO</t>
  </si>
  <si>
    <t>TIENDA 132 MALL PLAZA MANIZALES</t>
  </si>
  <si>
    <t>T-132</t>
  </si>
  <si>
    <t>FINANCIA 50% EN MAYO Y OTRO 50 % EN 3 CUOTAS DESDE AGOSTO</t>
  </si>
  <si>
    <t xml:space="preserve">TIENDA 18 ED, GASPAR DE RODAS - LA ORIENTA                     </t>
  </si>
  <si>
    <t>INVERSIONES BEATRIZ LAS NAYADES</t>
  </si>
  <si>
    <t>900.077.004-5</t>
  </si>
  <si>
    <t>EL VALOR CORRESPONDE A DOS MES</t>
  </si>
  <si>
    <t xml:space="preserve">TIENDA 20 LC 259 UNICENTRO CALI                   </t>
  </si>
  <si>
    <t xml:space="preserve">PRESENTA SALDO EN CARTERA </t>
  </si>
  <si>
    <t>cerrada</t>
  </si>
  <si>
    <t>1900003237/41</t>
  </si>
  <si>
    <t>1900003891-92/1000079768-69</t>
  </si>
  <si>
    <t>1900004320-4321</t>
  </si>
  <si>
    <t>DESCUENTO 40%</t>
  </si>
  <si>
    <t>FINANCIA EL 50% A TRES CUOTAS DESPUES DE AGOSTO</t>
  </si>
  <si>
    <t>1900003284/1900003472</t>
  </si>
  <si>
    <t>1900003898-99</t>
  </si>
  <si>
    <t>1900004277-4278</t>
  </si>
  <si>
    <t>1900004096-4097</t>
  </si>
  <si>
    <t>1900004465-4466</t>
  </si>
  <si>
    <t xml:space="preserve">TIENDA 40 SALITRE PLAZA                           </t>
  </si>
  <si>
    <t>DESCUENTO 50% EN MAYO</t>
  </si>
  <si>
    <t>1900004301/1700000642/1000090060</t>
  </si>
  <si>
    <t>DESCUENTA 30% SI PAGA ANTES DEL 30 DE MAYO</t>
  </si>
  <si>
    <t>1900004302/1700000642/1000090061</t>
  </si>
  <si>
    <t xml:space="preserve">PAGAR 50% ABRIL 50% 3 CUOTA APARTIR JUNIO  </t>
  </si>
  <si>
    <t>T-53</t>
  </si>
  <si>
    <t xml:space="preserve">TIENDA 53 AV CHILE CALLE 72                                    </t>
  </si>
  <si>
    <t>EDIFICIO SANTIAGO DE CHILE</t>
  </si>
  <si>
    <t>830.004.462-9</t>
  </si>
  <si>
    <t>50% ABRIL OTRO 50% SEGUNDO SEMESTRE</t>
  </si>
  <si>
    <t>SI DESCUENTO</t>
  </si>
  <si>
    <t>T-59</t>
  </si>
  <si>
    <t>TIENDA 59 BARRANQUILLA</t>
  </si>
  <si>
    <t>204892</t>
  </si>
  <si>
    <t>JORGE ALBERTO GARCIA GOMEZ/SALES INMOBILIARIA</t>
  </si>
  <si>
    <t>890.102.508-7</t>
  </si>
  <si>
    <t xml:space="preserve">TIENDA 60 B/QUILLA PANORAMA: CALLE 30 NO 7A 121 LOCAL 12 </t>
  </si>
  <si>
    <t>CENTRO COMERCIAL PANORAMA</t>
  </si>
  <si>
    <t>900.125.244-2</t>
  </si>
  <si>
    <t>SALDO DE MESES REGISTRAR</t>
  </si>
  <si>
    <t xml:space="preserve">TIENDA 71 Cl 5 No 69-03 C,C LIMONAR LOCAL 274 CALI     </t>
  </si>
  <si>
    <t>CTRO CIAL PREMIER  LIMONAR PROPIE H</t>
  </si>
  <si>
    <t>1900003317/170000622/1000079718</t>
  </si>
  <si>
    <t>no hay descuento</t>
  </si>
  <si>
    <t>1900003318/19</t>
  </si>
  <si>
    <t>1900004243-4244</t>
  </si>
  <si>
    <t>SALDO DE OTROS MESES</t>
  </si>
  <si>
    <t>SALDO A FAVOR</t>
  </si>
  <si>
    <t>TIENDA 89 C.C. CALIMA</t>
  </si>
  <si>
    <t>CALIMA CENTRO COMERCIAL PH</t>
  </si>
  <si>
    <t>900.452.494-9</t>
  </si>
  <si>
    <t>NO DESCUENTA DIFIERE PAGO 6 MESES</t>
  </si>
  <si>
    <t xml:space="preserve">DESCUENTO 40% </t>
  </si>
  <si>
    <t>PATRIMONIO AUTONOMOS / ACCURO</t>
  </si>
  <si>
    <t>800.256.769-6</t>
  </si>
  <si>
    <t>NO SE OTORGA DESCUENTO POR SALDO  EN MORA</t>
  </si>
  <si>
    <t>1900003280/81</t>
  </si>
  <si>
    <t>1900004092-4093</t>
  </si>
  <si>
    <t>1900004245-4246</t>
  </si>
  <si>
    <t>1900003279/17-614/10-78849</t>
  </si>
  <si>
    <t>Arriendo</t>
  </si>
  <si>
    <t>CANON MES ABRIL</t>
  </si>
  <si>
    <t>CANON MES MAYO</t>
  </si>
  <si>
    <t>CANON MES JUNIO</t>
  </si>
  <si>
    <t>CANON MES JULIO</t>
  </si>
  <si>
    <t>225382/246135</t>
  </si>
  <si>
    <t>INMOBILIARIA SANTA JUANA</t>
  </si>
  <si>
    <t>206033/204883</t>
  </si>
  <si>
    <t>LUIS ALBERTO GARAY MORA/ inversiones glc</t>
  </si>
  <si>
    <t>208872</t>
  </si>
  <si>
    <t>209833/208872</t>
  </si>
  <si>
    <t>INMOBILIARIA SANTA JUANA S.A.</t>
  </si>
  <si>
    <t>204524/ 219814</t>
  </si>
  <si>
    <t>204522/617/815/816/210633</t>
  </si>
  <si>
    <t>204516/9</t>
  </si>
  <si>
    <t xml:space="preserve"> HILDEBRANDO URDINOLA</t>
  </si>
  <si>
    <t>204545/207634</t>
  </si>
  <si>
    <t>PATRIMONIOS AUTONOMOS / ACCURO</t>
  </si>
  <si>
    <t>6606</t>
  </si>
  <si>
    <t>CARMEN FARIDE HAZZI DE ACOSTA</t>
  </si>
  <si>
    <t>MIRYAM RAMIREZ NIETO</t>
  </si>
  <si>
    <t>CONTRERAS RINCÓN BEATRIZ</t>
  </si>
  <si>
    <t>CARVAJAL ENRIQUEZ LINA MARIA</t>
  </si>
  <si>
    <t>SANTA J+UANA INMOBILIARIA SAS</t>
  </si>
  <si>
    <t>GRUPO AMAYA A SAS</t>
  </si>
  <si>
    <t>TEJARES SAS</t>
  </si>
  <si>
    <t>ZERDA Y CIA S A S</t>
  </si>
  <si>
    <t>SALES INMOBILIARIA S.A</t>
  </si>
  <si>
    <t>INVERSIONES LEE CARDENAS SAS</t>
  </si>
  <si>
    <t>TGESTIONA SAS</t>
  </si>
  <si>
    <t>SOCIEDAD COLOMBIANA DE INVERSIONES COMERCIALES S.A.</t>
  </si>
  <si>
    <t>CARVAJAL ENRIQUEZ DAVID ALFONSO</t>
  </si>
  <si>
    <t>INMUEBLES JAMO S.A.S</t>
  </si>
  <si>
    <t>XIMENA RINCON CORREA</t>
  </si>
  <si>
    <t>SCORPIO INVERSIONES SAS</t>
  </si>
  <si>
    <t>INVERSIONES RZ</t>
  </si>
  <si>
    <t>RC2 SAS</t>
  </si>
  <si>
    <t>CASTANEDA &amp; ABELLO S EN C</t>
  </si>
  <si>
    <t>MARQUEZ TONO &amp; ASOCIADOS</t>
  </si>
  <si>
    <t>AMBIENTTI</t>
  </si>
  <si>
    <t>CARLOS DURÁN Y ASOCIADOS</t>
  </si>
  <si>
    <t>900699834-0</t>
  </si>
  <si>
    <t>DIANA CAROLINA ORTIZ RODRIGUEZ</t>
  </si>
  <si>
    <t>ADARVE E HIJOS S.A.S.</t>
  </si>
  <si>
    <t>CONSTRUCTORA URBANA SAN RAFAEL S-A</t>
  </si>
  <si>
    <t>DESARROLLADORA CC FONTANAR SAS .</t>
  </si>
  <si>
    <t>MALLPLAZA SERVICIOS S.A.S .</t>
  </si>
  <si>
    <t>SERVICIOS ESTRATEGICOS COMPARTIDOS S.A.S</t>
  </si>
  <si>
    <t>INVERSIONES Y CONSTRUCCIONES SAS</t>
  </si>
  <si>
    <t>FURNI INV SAS</t>
  </si>
  <si>
    <t>BOND CAPITAL SAS</t>
  </si>
  <si>
    <t>COMPARTIMENTO ASIS INVEST - FONDO DE CAPITAL PRIVADO LA MONTERA</t>
  </si>
  <si>
    <t>GESTIONAR ANGEL Y CIA. S. A. S.</t>
  </si>
  <si>
    <t>CARLOS STIEFKEN</t>
  </si>
  <si>
    <t>CENTRO COMERCIAL BULEVAR NIZA PH</t>
  </si>
  <si>
    <t>OBANDO GIRALDO SAS</t>
  </si>
  <si>
    <t>INVERSIONES GALMAPO S.A.S</t>
  </si>
  <si>
    <t>CENTRAL CONTROL SAS</t>
  </si>
  <si>
    <t>FRANQUICIAS DE MARCA S.A.S.</t>
  </si>
  <si>
    <t>MORALES PRIETO LILIANA</t>
  </si>
  <si>
    <t>SOCIEDAD DE INMUEBLES AERONAUTICOS DE NEMOCON SAS</t>
  </si>
  <si>
    <t>FA &amp; JOTAS SAS</t>
  </si>
  <si>
    <t>INVERSIONES DAVIDI S.A.S.</t>
  </si>
  <si>
    <t>A MORA E HIJOS SAS</t>
  </si>
  <si>
    <t>INMOBILIARIA MACLADER</t>
  </si>
  <si>
    <t>CORPORACION DE INVERSIONES DE COLOMBIA</t>
  </si>
  <si>
    <t>PATRIMONIOS AUTONOMOS CREDICORP CAPITAL FIDUCIARIA S.A. .</t>
  </si>
  <si>
    <t>AIRPLAN</t>
  </si>
  <si>
    <t>CONSTRUCTORA E INMOBILIARIA LOS CAMBULOS SAS</t>
  </si>
  <si>
    <t>SWISS WATCHMAKERS COL S.A.S.</t>
  </si>
  <si>
    <t>ORGANIZACION SANTAMARIA SAS</t>
  </si>
  <si>
    <t>NO/8140074</t>
  </si>
  <si>
    <t>6603</t>
  </si>
  <si>
    <t>SGH612</t>
  </si>
  <si>
    <t>OFI PRINCIPAL</t>
  </si>
  <si>
    <t>r7</t>
  </si>
  <si>
    <t>CUENTAS PARA REGISTRO DE FACTURAS DE SERVICIO</t>
  </si>
  <si>
    <t>PARA SERVICIOS DE OFICINA</t>
  </si>
  <si>
    <t>ACUEDUCTO Y ACANTARILLADO</t>
  </si>
  <si>
    <t>ACUEDUCTO</t>
  </si>
  <si>
    <t>ASEO Y VIGILANCIA</t>
  </si>
  <si>
    <t>ELECTRICIDAD</t>
  </si>
  <si>
    <t>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</si>
</sst>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_-;\-&quot;$&quot;\ * #,##0_-;_-&quot;$&quot;\ * &quot;-&quot;_-;_-@_-"/>
    <numFmt numFmtId="165" formatCode="##,##0.00_);[Red]\(##,##0.00\)"/>
    <numFmt numFmtId="166" formatCode="yyyy/mm/dd"/>
    <numFmt numFmtId="167" formatCode="0.000"/>
    <numFmt numFmtId="168" formatCode="0.0%"/>
    <numFmt numFmtId="169" formatCode="&quot;$&quot;\ #,##0"/>
    <numFmt numFmtId="170" formatCode="&quot;$&quot;#,##0.00"/>
    <numFmt numFmtId="171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1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C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7F3A9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4">
    <xf numFmtId="0" fontId="0" fillId="0" borderId="0" xfId="0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 applyProtection="1">
      <alignment horizontal="center"/>
      <protection hidden="1"/>
    </xf>
    <xf numFmtId="1" fontId="0" fillId="0" borderId="0" xfId="0" applyNumberFormat="1"/>
    <xf numFmtId="10" fontId="0" fillId="0" borderId="1" xfId="3" applyNumberFormat="1" applyFont="1" applyBorder="1"/>
    <xf numFmtId="41" fontId="0" fillId="5" borderId="1" xfId="1" applyFont="1" applyFill="1" applyBorder="1"/>
    <xf numFmtId="41" fontId="0" fillId="0" borderId="1" xfId="0" applyNumberFormat="1" applyBorder="1"/>
    <xf numFmtId="9" fontId="0" fillId="0" borderId="1" xfId="3" applyFont="1" applyBorder="1"/>
    <xf numFmtId="168" fontId="0" fillId="0" borderId="1" xfId="3" applyNumberFormat="1" applyFont="1" applyBorder="1"/>
    <xf numFmtId="41" fontId="0" fillId="0" borderId="1" xfId="1" applyFont="1" applyBorder="1" applyAlignment="1">
      <alignment horizontal="right"/>
    </xf>
    <xf numFmtId="169" fontId="0" fillId="0" borderId="1" xfId="0" applyNumberFormat="1" applyBorder="1"/>
    <xf numFmtId="169" fontId="0" fillId="0" borderId="0" xfId="0" applyNumberFormat="1"/>
    <xf numFmtId="0" fontId="0" fillId="0" borderId="1" xfId="0" applyBorder="1"/>
    <xf numFmtId="49" fontId="5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left"/>
    </xf>
    <xf numFmtId="166" fontId="0" fillId="0" borderId="1" xfId="0" applyNumberFormat="1" applyBorder="1" applyAlignment="1">
      <alignment horizontal="right"/>
    </xf>
    <xf numFmtId="1" fontId="5" fillId="0" borderId="1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/>
    </xf>
    <xf numFmtId="3" fontId="0" fillId="0" borderId="1" xfId="0" applyNumberFormat="1" applyBorder="1" applyAlignment="1">
      <alignment horizontal="right"/>
    </xf>
    <xf numFmtId="1" fontId="5" fillId="0" borderId="1" xfId="0" applyNumberFormat="1" applyFont="1" applyBorder="1" applyAlignment="1">
      <alignment horizontal="center"/>
    </xf>
    <xf numFmtId="41" fontId="0" fillId="0" borderId="1" xfId="1" applyFont="1" applyFill="1" applyBorder="1" applyAlignment="1">
      <alignment horizontal="right"/>
    </xf>
    <xf numFmtId="49" fontId="5" fillId="0" borderId="1" xfId="4" applyNumberFormat="1" applyFont="1" applyBorder="1" applyAlignment="1">
      <alignment horizontal="center"/>
    </xf>
    <xf numFmtId="167" fontId="0" fillId="0" borderId="1" xfId="0" applyNumberFormat="1" applyBorder="1" applyAlignment="1">
      <alignment horizontal="right"/>
    </xf>
    <xf numFmtId="0" fontId="5" fillId="0" borderId="1" xfId="0" applyFont="1" applyBorder="1"/>
    <xf numFmtId="49" fontId="7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left"/>
    </xf>
    <xf numFmtId="41" fontId="5" fillId="0" borderId="1" xfId="1" applyFont="1" applyFill="1" applyBorder="1" applyAlignment="1">
      <alignment horizontal="right"/>
    </xf>
    <xf numFmtId="0" fontId="0" fillId="0" borderId="1" xfId="5" applyFont="1" applyBorder="1" applyAlignment="1">
      <alignment horizontal="center"/>
    </xf>
    <xf numFmtId="0" fontId="0" fillId="0" borderId="1" xfId="6" applyFont="1" applyBorder="1" applyAlignment="1">
      <alignment horizontal="left"/>
    </xf>
    <xf numFmtId="0" fontId="0" fillId="0" borderId="1" xfId="6" applyFont="1" applyBorder="1" applyAlignment="1">
      <alignment horizontal="right"/>
    </xf>
    <xf numFmtId="0" fontId="0" fillId="0" borderId="1" xfId="6" applyFont="1" applyBorder="1"/>
    <xf numFmtId="41" fontId="5" fillId="0" borderId="1" xfId="1" applyFont="1" applyFill="1" applyBorder="1" applyAlignment="1"/>
    <xf numFmtId="0" fontId="5" fillId="0" borderId="1" xfId="4" applyFont="1" applyBorder="1" applyAlignment="1">
      <alignment horizontal="center"/>
    </xf>
    <xf numFmtId="1" fontId="5" fillId="0" borderId="1" xfId="4" applyNumberFormat="1" applyFont="1" applyBorder="1" applyAlignment="1">
      <alignment horizontal="center"/>
    </xf>
    <xf numFmtId="1" fontId="5" fillId="0" borderId="1" xfId="5" applyNumberFormat="1" applyFont="1" applyBorder="1" applyAlignment="1">
      <alignment horizontal="center"/>
    </xf>
    <xf numFmtId="41" fontId="5" fillId="0" borderId="1" xfId="1" applyFont="1" applyFill="1" applyBorder="1" applyAlignment="1">
      <alignment horizontal="right" vertical="center"/>
    </xf>
    <xf numFmtId="41" fontId="0" fillId="0" borderId="1" xfId="1" applyFont="1" applyBorder="1"/>
    <xf numFmtId="41" fontId="0" fillId="0" borderId="0" xfId="1" applyFont="1"/>
    <xf numFmtId="169" fontId="0" fillId="2" borderId="1" xfId="0" applyNumberFormat="1" applyFill="1" applyBorder="1"/>
    <xf numFmtId="0" fontId="0" fillId="2" borderId="1" xfId="0" applyFill="1" applyBorder="1"/>
    <xf numFmtId="164" fontId="0" fillId="0" borderId="1" xfId="2" applyFont="1" applyBorder="1"/>
    <xf numFmtId="164" fontId="0" fillId="0" borderId="1" xfId="0" applyNumberFormat="1" applyBorder="1"/>
    <xf numFmtId="49" fontId="5" fillId="2" borderId="1" xfId="0" applyNumberFormat="1" applyFont="1" applyFill="1" applyBorder="1" applyAlignment="1">
      <alignment horizontal="center"/>
    </xf>
    <xf numFmtId="0" fontId="0" fillId="2" borderId="1" xfId="5" applyFont="1" applyFill="1" applyBorder="1" applyAlignment="1">
      <alignment horizontal="center"/>
    </xf>
    <xf numFmtId="9" fontId="0" fillId="0" borderId="0" xfId="3" applyFont="1"/>
    <xf numFmtId="0" fontId="8" fillId="3" borderId="1" xfId="0" applyFont="1" applyFill="1" applyBorder="1" applyAlignment="1">
      <alignment horizontal="center"/>
    </xf>
    <xf numFmtId="1" fontId="0" fillId="0" borderId="0" xfId="0" applyNumberFormat="1" applyAlignment="1">
      <alignment horizontal="right"/>
    </xf>
    <xf numFmtId="167" fontId="2" fillId="3" borderId="1" xfId="0" applyNumberFormat="1" applyFont="1" applyFill="1" applyBorder="1" applyAlignment="1" applyProtection="1">
      <alignment horizontal="center"/>
      <protection hidden="1"/>
    </xf>
    <xf numFmtId="1" fontId="0" fillId="0" borderId="1" xfId="0" applyNumberFormat="1" applyBorder="1" applyAlignment="1">
      <alignment horizontal="right"/>
    </xf>
    <xf numFmtId="1" fontId="0" fillId="0" borderId="1" xfId="1" applyNumberFormat="1" applyFont="1" applyFill="1" applyBorder="1" applyAlignment="1">
      <alignment horizontal="right"/>
    </xf>
    <xf numFmtId="1" fontId="5" fillId="0" borderId="1" xfId="1" applyNumberFormat="1" applyFont="1" applyFill="1" applyBorder="1" applyAlignment="1">
      <alignment horizontal="right"/>
    </xf>
    <xf numFmtId="0" fontId="0" fillId="0" borderId="1" xfId="0" applyBorder="1" applyAlignment="1" applyProtection="1">
      <alignment horizontal="center"/>
      <protection hidden="1"/>
    </xf>
    <xf numFmtId="1" fontId="0" fillId="0" borderId="1" xfId="0" applyNumberFormat="1" applyBorder="1" applyAlignment="1" applyProtection="1">
      <alignment horizontal="right"/>
      <protection hidden="1"/>
    </xf>
    <xf numFmtId="0" fontId="0" fillId="0" borderId="1" xfId="0" applyBorder="1" applyAlignment="1" applyProtection="1">
      <alignment horizontal="left"/>
      <protection hidden="1"/>
    </xf>
    <xf numFmtId="41" fontId="0" fillId="0" borderId="1" xfId="1" applyFont="1" applyFill="1" applyBorder="1"/>
    <xf numFmtId="9" fontId="0" fillId="0" borderId="1" xfId="3" applyFont="1" applyFill="1" applyBorder="1"/>
    <xf numFmtId="0" fontId="0" fillId="0" borderId="0" xfId="0" applyAlignment="1">
      <alignment horizontal="right"/>
    </xf>
    <xf numFmtId="170" fontId="0" fillId="0" borderId="0" xfId="0" applyNumberFormat="1"/>
    <xf numFmtId="164" fontId="0" fillId="0" borderId="1" xfId="2" applyFont="1" applyFill="1" applyBorder="1"/>
    <xf numFmtId="164" fontId="0" fillId="0" borderId="0" xfId="2" applyFont="1" applyBorder="1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41" fontId="1" fillId="0" borderId="1" xfId="1" applyFont="1" applyBorder="1"/>
    <xf numFmtId="9" fontId="0" fillId="0" borderId="1" xfId="0" applyNumberFormat="1" applyBorder="1"/>
    <xf numFmtId="41" fontId="0" fillId="0" borderId="0" xfId="0" applyNumberFormat="1"/>
    <xf numFmtId="1" fontId="2" fillId="3" borderId="1" xfId="0" applyNumberFormat="1" applyFont="1" applyFill="1" applyBorder="1" applyAlignment="1" applyProtection="1">
      <alignment horizontal="center"/>
      <protection hidden="1"/>
    </xf>
    <xf numFmtId="41" fontId="2" fillId="3" borderId="1" xfId="1" applyFont="1" applyFill="1" applyBorder="1" applyAlignment="1" applyProtection="1">
      <alignment horizontal="center"/>
      <protection hidden="1"/>
    </xf>
    <xf numFmtId="0" fontId="9" fillId="6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center"/>
    </xf>
    <xf numFmtId="41" fontId="0" fillId="6" borderId="1" xfId="1" applyFont="1" applyFill="1" applyBorder="1"/>
    <xf numFmtId="0" fontId="0" fillId="5" borderId="1" xfId="0" applyFill="1" applyBorder="1"/>
    <xf numFmtId="0" fontId="10" fillId="6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/>
    </xf>
    <xf numFmtId="9" fontId="0" fillId="0" borderId="1" xfId="3" applyFont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41" fontId="0" fillId="0" borderId="1" xfId="1" applyFont="1" applyBorder="1" applyAlignment="1">
      <alignment horizontal="left"/>
    </xf>
    <xf numFmtId="41" fontId="0" fillId="0" borderId="0" xfId="1" applyFont="1" applyBorder="1"/>
    <xf numFmtId="1" fontId="2" fillId="3" borderId="2" xfId="0" applyNumberFormat="1" applyFont="1" applyFill="1" applyBorder="1" applyAlignment="1" applyProtection="1">
      <alignment horizontal="center"/>
      <protection hidden="1"/>
    </xf>
    <xf numFmtId="0" fontId="0" fillId="0" borderId="2" xfId="0" applyBorder="1" applyAlignment="1">
      <alignment horizontal="right"/>
    </xf>
    <xf numFmtId="1" fontId="0" fillId="0" borderId="2" xfId="0" applyNumberFormat="1" applyBorder="1" applyAlignment="1">
      <alignment horizontal="right"/>
    </xf>
    <xf numFmtId="0" fontId="0" fillId="0" borderId="2" xfId="0" applyBorder="1"/>
    <xf numFmtId="41" fontId="0" fillId="0" borderId="6" xfId="1" applyFont="1" applyFill="1" applyBorder="1"/>
    <xf numFmtId="3" fontId="0" fillId="0" borderId="1" xfId="0" applyNumberFormat="1" applyBorder="1"/>
    <xf numFmtId="0" fontId="2" fillId="3" borderId="1" xfId="0" applyFont="1" applyFill="1" applyBorder="1" applyProtection="1">
      <protection hidden="1"/>
    </xf>
    <xf numFmtId="0" fontId="5" fillId="0" borderId="7" xfId="0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1" fontId="0" fillId="0" borderId="7" xfId="1" applyNumberFormat="1" applyFont="1" applyFill="1" applyBorder="1" applyAlignment="1">
      <alignment horizontal="right"/>
    </xf>
    <xf numFmtId="41" fontId="0" fillId="0" borderId="7" xfId="1" applyFont="1" applyBorder="1"/>
    <xf numFmtId="41" fontId="0" fillId="0" borderId="7" xfId="0" applyNumberFormat="1" applyBorder="1"/>
    <xf numFmtId="171" fontId="0" fillId="0" borderId="1" xfId="7" applyNumberFormat="1" applyFont="1" applyBorder="1"/>
    <xf numFmtId="10" fontId="0" fillId="0" borderId="1" xfId="0" applyNumberFormat="1" applyBorder="1"/>
    <xf numFmtId="9" fontId="0" fillId="0" borderId="7" xfId="0" applyNumberFormat="1" applyBorder="1"/>
    <xf numFmtId="41" fontId="2" fillId="3" borderId="1" xfId="1" applyFont="1" applyFill="1" applyBorder="1" applyAlignment="1" applyProtection="1">
      <protection hidden="1"/>
    </xf>
    <xf numFmtId="14" fontId="0" fillId="0" borderId="1" xfId="0" applyNumberFormat="1" applyBorder="1"/>
    <xf numFmtId="14" fontId="0" fillId="0" borderId="1" xfId="3" applyNumberFormat="1" applyFont="1" applyBorder="1"/>
    <xf numFmtId="14" fontId="0" fillId="0" borderId="1" xfId="1" applyNumberFormat="1" applyFont="1" applyBorder="1"/>
    <xf numFmtId="41" fontId="2" fillId="3" borderId="6" xfId="1" applyFont="1" applyFill="1" applyBorder="1" applyAlignment="1" applyProtection="1">
      <alignment horizontal="center"/>
      <protection hidden="1"/>
    </xf>
    <xf numFmtId="0" fontId="0" fillId="0" borderId="7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left"/>
    </xf>
    <xf numFmtId="168" fontId="0" fillId="0" borderId="1" xfId="3" applyNumberFormat="1" applyFont="1" applyFill="1" applyBorder="1"/>
    <xf numFmtId="9" fontId="2" fillId="3" borderId="1" xfId="3" applyFont="1" applyFill="1" applyBorder="1" applyAlignment="1" applyProtection="1">
      <alignment horizontal="center"/>
      <protection hidden="1"/>
    </xf>
    <xf numFmtId="9" fontId="0" fillId="0" borderId="0" xfId="3" applyFont="1" applyFill="1" applyBorder="1"/>
    <xf numFmtId="41" fontId="0" fillId="0" borderId="1" xfId="1" applyFont="1" applyFill="1" applyBorder="1" applyAlignment="1"/>
    <xf numFmtId="0" fontId="0" fillId="0" borderId="3" xfId="0" applyBorder="1"/>
    <xf numFmtId="9" fontId="0" fillId="0" borderId="1" xfId="3" applyFont="1" applyFill="1" applyBorder="1" applyAlignment="1"/>
    <xf numFmtId="0" fontId="2" fillId="3" borderId="2" xfId="0" applyFont="1" applyFill="1" applyBorder="1" applyAlignment="1" applyProtection="1">
      <alignment horizontal="center"/>
      <protection hidden="1"/>
    </xf>
    <xf numFmtId="41" fontId="0" fillId="0" borderId="2" xfId="1" applyFont="1" applyBorder="1"/>
    <xf numFmtId="14" fontId="2" fillId="3" borderId="1" xfId="0" applyNumberFormat="1" applyFont="1" applyFill="1" applyBorder="1" applyAlignment="1" applyProtection="1">
      <alignment horizontal="center"/>
      <protection hidden="1"/>
    </xf>
    <xf numFmtId="14" fontId="0" fillId="0" borderId="0" xfId="0" applyNumberFormat="1"/>
    <xf numFmtId="41" fontId="0" fillId="0" borderId="1" xfId="1" applyFont="1" applyBorder="1" applyAlignment="1"/>
    <xf numFmtId="41" fontId="0" fillId="0" borderId="6" xfId="1" applyFont="1" applyBorder="1"/>
    <xf numFmtId="14" fontId="0" fillId="0" borderId="1" xfId="1" applyNumberFormat="1" applyFont="1" applyFill="1" applyBorder="1"/>
    <xf numFmtId="14" fontId="0" fillId="0" borderId="1" xfId="1" applyNumberFormat="1" applyFont="1" applyFill="1" applyBorder="1" applyAlignment="1"/>
    <xf numFmtId="171" fontId="0" fillId="0" borderId="1" xfId="7" applyNumberFormat="1" applyFont="1" applyFill="1" applyBorder="1"/>
    <xf numFmtId="14" fontId="0" fillId="0" borderId="1" xfId="0" applyNumberFormat="1" applyBorder="1" applyAlignment="1">
      <alignment horizontal="left"/>
    </xf>
    <xf numFmtId="9" fontId="0" fillId="0" borderId="7" xfId="3" applyFont="1" applyBorder="1"/>
    <xf numFmtId="41" fontId="13" fillId="0" borderId="1" xfId="1" applyFont="1" applyBorder="1"/>
    <xf numFmtId="41" fontId="5" fillId="0" borderId="1" xfId="1" applyFont="1" applyBorder="1"/>
    <xf numFmtId="41" fontId="0" fillId="0" borderId="0" xfId="1" applyFont="1" applyBorder="1" applyAlignment="1">
      <alignment horizontal="center"/>
    </xf>
    <xf numFmtId="9" fontId="0" fillId="0" borderId="0" xfId="3" applyFont="1" applyBorder="1"/>
    <xf numFmtId="41" fontId="5" fillId="0" borderId="1" xfId="0" applyNumberFormat="1" applyFont="1" applyBorder="1"/>
    <xf numFmtId="9" fontId="0" fillId="0" borderId="1" xfId="3" applyFont="1" applyBorder="1" applyAlignment="1">
      <alignment horizontal="right"/>
    </xf>
    <xf numFmtId="14" fontId="0" fillId="0" borderId="1" xfId="3" applyNumberFormat="1" applyFont="1" applyFill="1" applyBorder="1"/>
    <xf numFmtId="14" fontId="0" fillId="0" borderId="7" xfId="0" applyNumberFormat="1" applyBorder="1"/>
    <xf numFmtId="0" fontId="5" fillId="16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9" borderId="1" xfId="0" applyFill="1" applyBorder="1"/>
    <xf numFmtId="9" fontId="0" fillId="0" borderId="1" xfId="3" applyFont="1" applyBorder="1" applyAlignment="1">
      <alignment horizontal="center"/>
    </xf>
    <xf numFmtId="41" fontId="0" fillId="0" borderId="1" xfId="1" applyFont="1" applyBorder="1" applyAlignment="1">
      <alignment horizontal="center"/>
    </xf>
    <xf numFmtId="41" fontId="0" fillId="0" borderId="1" xfId="0" applyNumberFormat="1" applyBorder="1" applyAlignment="1">
      <alignment vertical="center"/>
    </xf>
    <xf numFmtId="41" fontId="0" fillId="0" borderId="1" xfId="3" applyNumberFormat="1" applyFont="1" applyFill="1" applyBorder="1" applyAlignment="1"/>
    <xf numFmtId="41" fontId="0" fillId="0" borderId="1" xfId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1" fontId="0" fillId="0" borderId="1" xfId="3" applyNumberFormat="1" applyFont="1" applyBorder="1"/>
    <xf numFmtId="41" fontId="0" fillId="3" borderId="1" xfId="1" applyFont="1" applyFill="1" applyBorder="1"/>
    <xf numFmtId="0" fontId="0" fillId="0" borderId="0" xfId="0" applyAlignment="1">
      <alignment horizontal="left" vertical="center" wrapText="1"/>
    </xf>
    <xf numFmtId="0" fontId="10" fillId="0" borderId="0" xfId="0" applyFont="1"/>
    <xf numFmtId="1" fontId="5" fillId="0" borderId="0" xfId="0" applyNumberFormat="1" applyFont="1" applyAlignment="1">
      <alignment horizontal="center"/>
    </xf>
    <xf numFmtId="41" fontId="0" fillId="2" borderId="1" xfId="1" applyFont="1" applyFill="1" applyBorder="1"/>
    <xf numFmtId="9" fontId="0" fillId="2" borderId="1" xfId="3" applyFont="1" applyFill="1" applyBorder="1"/>
    <xf numFmtId="41" fontId="0" fillId="2" borderId="1" xfId="0" applyNumberFormat="1" applyFill="1" applyBorder="1"/>
    <xf numFmtId="14" fontId="0" fillId="2" borderId="1" xfId="0" applyNumberFormat="1" applyFill="1" applyBorder="1"/>
    <xf numFmtId="0" fontId="0" fillId="2" borderId="0" xfId="0" applyFill="1"/>
    <xf numFmtId="0" fontId="5" fillId="2" borderId="1" xfId="0" applyFont="1" applyFill="1" applyBorder="1" applyAlignment="1">
      <alignment horizontal="center"/>
    </xf>
    <xf numFmtId="44" fontId="0" fillId="0" borderId="0" xfId="8" applyFont="1"/>
    <xf numFmtId="0" fontId="0" fillId="2" borderId="1" xfId="0" applyFill="1" applyBorder="1" applyAlignment="1">
      <alignment horizontal="center"/>
    </xf>
    <xf numFmtId="1" fontId="0" fillId="2" borderId="1" xfId="1" applyNumberFormat="1" applyFont="1" applyFill="1" applyBorder="1" applyAlignment="1">
      <alignment horizontal="right"/>
    </xf>
    <xf numFmtId="41" fontId="0" fillId="2" borderId="1" xfId="1" applyFont="1" applyFill="1" applyBorder="1" applyAlignment="1"/>
    <xf numFmtId="9" fontId="0" fillId="2" borderId="1" xfId="3" applyFont="1" applyFill="1" applyBorder="1" applyAlignment="1"/>
    <xf numFmtId="14" fontId="0" fillId="2" borderId="1" xfId="3" applyNumberFormat="1" applyFont="1" applyFill="1" applyBorder="1"/>
    <xf numFmtId="0" fontId="0" fillId="2" borderId="2" xfId="0" applyFill="1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3" fillId="2" borderId="1" xfId="0" applyFont="1" applyFill="1" applyBorder="1"/>
    <xf numFmtId="9" fontId="0" fillId="6" borderId="2" xfId="3" applyFont="1" applyFill="1" applyBorder="1" applyAlignment="1">
      <alignment horizontal="center"/>
    </xf>
    <xf numFmtId="9" fontId="0" fillId="6" borderId="8" xfId="3" applyFont="1" applyFill="1" applyBorder="1" applyAlignment="1">
      <alignment horizontal="center"/>
    </xf>
    <xf numFmtId="9" fontId="0" fillId="6" borderId="3" xfId="3" applyFont="1" applyFill="1" applyBorder="1" applyAlignment="1">
      <alignment horizontal="center"/>
    </xf>
    <xf numFmtId="9" fontId="0" fillId="0" borderId="2" xfId="3" applyFont="1" applyFill="1" applyBorder="1" applyAlignment="1">
      <alignment horizontal="center"/>
    </xf>
    <xf numFmtId="9" fontId="0" fillId="0" borderId="8" xfId="3" applyFont="1" applyFill="1" applyBorder="1" applyAlignment="1">
      <alignment horizontal="center"/>
    </xf>
    <xf numFmtId="9" fontId="0" fillId="0" borderId="3" xfId="3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9" fontId="0" fillId="5" borderId="2" xfId="0" applyNumberFormat="1" applyFill="1" applyBorder="1" applyAlignment="1">
      <alignment horizontal="center"/>
    </xf>
    <xf numFmtId="9" fontId="0" fillId="5" borderId="8" xfId="0" applyNumberFormat="1" applyFill="1" applyBorder="1" applyAlignment="1">
      <alignment horizontal="center"/>
    </xf>
    <xf numFmtId="9" fontId="0" fillId="5" borderId="3" xfId="0" applyNumberFormat="1" applyFill="1" applyBorder="1" applyAlignment="1">
      <alignment horizontal="center"/>
    </xf>
    <xf numFmtId="9" fontId="0" fillId="0" borderId="2" xfId="3" applyFont="1" applyBorder="1" applyAlignment="1">
      <alignment horizontal="center"/>
    </xf>
    <xf numFmtId="9" fontId="0" fillId="0" borderId="8" xfId="3" applyFont="1" applyBorder="1" applyAlignment="1">
      <alignment horizontal="center"/>
    </xf>
    <xf numFmtId="9" fontId="0" fillId="0" borderId="3" xfId="3" applyFont="1" applyBorder="1" applyAlignment="1">
      <alignment horizontal="center"/>
    </xf>
    <xf numFmtId="9" fontId="0" fillId="5" borderId="2" xfId="3" applyFont="1" applyFill="1" applyBorder="1" applyAlignment="1">
      <alignment horizontal="center"/>
    </xf>
    <xf numFmtId="9" fontId="0" fillId="5" borderId="8" xfId="3" applyFont="1" applyFill="1" applyBorder="1" applyAlignment="1">
      <alignment horizontal="center"/>
    </xf>
    <xf numFmtId="9" fontId="0" fillId="5" borderId="3" xfId="3" applyFont="1" applyFill="1" applyBorder="1" applyAlignment="1">
      <alignment horizontal="center"/>
    </xf>
    <xf numFmtId="0" fontId="12" fillId="8" borderId="1" xfId="0" applyFont="1" applyFill="1" applyBorder="1" applyAlignment="1">
      <alignment horizontal="center"/>
    </xf>
    <xf numFmtId="0" fontId="12" fillId="8" borderId="4" xfId="0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6" borderId="1" xfId="0" applyFont="1" applyFill="1" applyBorder="1" applyAlignment="1">
      <alignment horizontal="center"/>
    </xf>
    <xf numFmtId="0" fontId="12" fillId="17" borderId="1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18" borderId="1" xfId="0" applyFont="1" applyFill="1" applyBorder="1" applyAlignment="1">
      <alignment horizontal="center"/>
    </xf>
    <xf numFmtId="14" fontId="12" fillId="18" borderId="1" xfId="0" applyNumberFormat="1" applyFont="1" applyFill="1" applyBorder="1" applyAlignment="1">
      <alignment horizontal="center"/>
    </xf>
    <xf numFmtId="41" fontId="0" fillId="5" borderId="2" xfId="1" applyFont="1" applyFill="1" applyBorder="1" applyAlignment="1">
      <alignment horizontal="center"/>
    </xf>
    <xf numFmtId="41" fontId="0" fillId="5" borderId="8" xfId="1" applyFont="1" applyFill="1" applyBorder="1" applyAlignment="1">
      <alignment horizontal="center"/>
    </xf>
    <xf numFmtId="41" fontId="0" fillId="5" borderId="3" xfId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9" fontId="0" fillId="2" borderId="2" xfId="3" applyFont="1" applyFill="1" applyBorder="1" applyAlignment="1">
      <alignment horizontal="center"/>
    </xf>
    <xf numFmtId="9" fontId="0" fillId="2" borderId="8" xfId="3" applyFont="1" applyFill="1" applyBorder="1" applyAlignment="1">
      <alignment horizontal="center"/>
    </xf>
    <xf numFmtId="9" fontId="0" fillId="2" borderId="3" xfId="3" applyFont="1" applyFill="1" applyBorder="1" applyAlignment="1">
      <alignment horizontal="center"/>
    </xf>
    <xf numFmtId="41" fontId="0" fillId="0" borderId="2" xfId="1" applyFont="1" applyBorder="1" applyAlignment="1">
      <alignment horizontal="center"/>
    </xf>
    <xf numFmtId="41" fontId="0" fillId="0" borderId="3" xfId="1" applyFont="1" applyBorder="1" applyAlignment="1">
      <alignment horizontal="center"/>
    </xf>
    <xf numFmtId="41" fontId="0" fillId="2" borderId="2" xfId="1" applyFont="1" applyFill="1" applyBorder="1" applyAlignment="1">
      <alignment horizontal="center"/>
    </xf>
    <xf numFmtId="41" fontId="0" fillId="2" borderId="3" xfId="1" applyFont="1" applyFill="1" applyBorder="1" applyAlignment="1">
      <alignment horizontal="center"/>
    </xf>
    <xf numFmtId="41" fontId="0" fillId="0" borderId="2" xfId="1" applyFont="1" applyBorder="1" applyAlignment="1">
      <alignment horizontal="left"/>
    </xf>
    <xf numFmtId="41" fontId="0" fillId="0" borderId="3" xfId="1" applyFont="1" applyBorder="1" applyAlignment="1">
      <alignment horizontal="left"/>
    </xf>
    <xf numFmtId="41" fontId="0" fillId="6" borderId="2" xfId="1" applyFont="1" applyFill="1" applyBorder="1" applyAlignment="1">
      <alignment horizontal="center"/>
    </xf>
    <xf numFmtId="41" fontId="0" fillId="6" borderId="8" xfId="1" applyFont="1" applyFill="1" applyBorder="1" applyAlignment="1">
      <alignment horizontal="center"/>
    </xf>
    <xf numFmtId="41" fontId="0" fillId="6" borderId="3" xfId="1" applyFont="1" applyFill="1" applyBorder="1" applyAlignment="1">
      <alignment horizontal="center"/>
    </xf>
    <xf numFmtId="41" fontId="0" fillId="0" borderId="2" xfId="1" applyFont="1" applyFill="1" applyBorder="1" applyAlignment="1">
      <alignment horizontal="center"/>
    </xf>
    <xf numFmtId="41" fontId="0" fillId="0" borderId="3" xfId="1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/>
    </xf>
    <xf numFmtId="41" fontId="0" fillId="0" borderId="8" xfId="1" applyFont="1" applyFill="1" applyBorder="1" applyAlignment="1">
      <alignment horizontal="center"/>
    </xf>
    <xf numFmtId="41" fontId="0" fillId="2" borderId="8" xfId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2" fillId="13" borderId="2" xfId="0" applyFont="1" applyFill="1" applyBorder="1" applyAlignment="1">
      <alignment horizontal="center"/>
    </xf>
    <xf numFmtId="0" fontId="12" fillId="13" borderId="8" xfId="0" applyFont="1" applyFill="1" applyBorder="1" applyAlignment="1">
      <alignment horizontal="center"/>
    </xf>
    <xf numFmtId="0" fontId="12" fillId="13" borderId="3" xfId="0" applyFont="1" applyFill="1" applyBorder="1" applyAlignment="1">
      <alignment horizontal="center"/>
    </xf>
    <xf numFmtId="167" fontId="2" fillId="3" borderId="1" xfId="0" applyNumberFormat="1" applyFont="1" applyFill="1" applyBorder="1" applyAlignment="1" applyProtection="1">
      <alignment horizontal="center" vertical="center" wrapText="1"/>
      <protection hidden="1"/>
    </xf>
    <xf numFmtId="41" fontId="2" fillId="3" borderId="1" xfId="1" applyFont="1" applyFill="1" applyBorder="1" applyAlignment="1" applyProtection="1">
      <alignment horizontal="center" wrapText="1"/>
      <protection hidden="1"/>
    </xf>
    <xf numFmtId="41" fontId="2" fillId="3" borderId="1" xfId="1" applyFont="1" applyFill="1" applyBorder="1" applyAlignment="1" applyProtection="1">
      <alignment horizontal="center"/>
      <protection hidden="1"/>
    </xf>
    <xf numFmtId="0" fontId="12" fillId="6" borderId="2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2" fillId="6" borderId="3" xfId="0" applyFont="1" applyFill="1" applyBorder="1" applyAlignment="1">
      <alignment horizontal="center"/>
    </xf>
    <xf numFmtId="41" fontId="0" fillId="0" borderId="2" xfId="1" applyFont="1" applyFill="1" applyBorder="1" applyAlignment="1">
      <alignment horizontal="left"/>
    </xf>
    <xf numFmtId="41" fontId="0" fillId="0" borderId="8" xfId="1" applyFont="1" applyFill="1" applyBorder="1" applyAlignment="1">
      <alignment horizontal="left"/>
    </xf>
    <xf numFmtId="41" fontId="0" fillId="0" borderId="3" xfId="1" applyFont="1" applyFill="1" applyBorder="1" applyAlignment="1">
      <alignment horizontal="left"/>
    </xf>
    <xf numFmtId="0" fontId="10" fillId="0" borderId="0" xfId="0" applyFont="1" applyAlignment="1">
      <alignment vertical="center" wrapText="1"/>
    </xf>
    <xf numFmtId="0" fontId="2" fillId="3" borderId="1" xfId="0" applyFont="1" applyFill="1" applyBorder="1" applyAlignment="1" applyProtection="1">
      <alignment horizontal="center"/>
      <protection hidden="1"/>
    </xf>
    <xf numFmtId="0" fontId="2" fillId="3" borderId="4" xfId="0" applyFont="1" applyFill="1" applyBorder="1" applyAlignment="1" applyProtection="1">
      <alignment horizontal="center" wrapText="1"/>
      <protection hidden="1"/>
    </xf>
    <xf numFmtId="0" fontId="2" fillId="3" borderId="5" xfId="0" applyFont="1" applyFill="1" applyBorder="1" applyAlignment="1" applyProtection="1">
      <alignment horizontal="center"/>
      <protection hidden="1"/>
    </xf>
    <xf numFmtId="0" fontId="9" fillId="13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2" fillId="11" borderId="1" xfId="0" applyFont="1" applyFill="1" applyBorder="1" applyAlignment="1" applyProtection="1">
      <alignment horizontal="center"/>
      <protection hidden="1"/>
    </xf>
  </cellXfs>
  <cellStyles count="9">
    <cellStyle name="Millares" xfId="7" builtinId="3"/>
    <cellStyle name="Millares [0]" xfId="1" builtinId="6"/>
    <cellStyle name="Moneda" xfId="8" builtinId="4"/>
    <cellStyle name="Moneda [0]" xfId="2" builtinId="7"/>
    <cellStyle name="Normal" xfId="0" builtinId="0"/>
    <cellStyle name="Normal 2" xfId="4" xr:uid="{00000000-0005-0000-0000-000004000000}"/>
    <cellStyle name="Normal 2 2" xfId="5" xr:uid="{00000000-0005-0000-0000-000005000000}"/>
    <cellStyle name="Normal_Hoja3" xfId="6" xr:uid="{00000000-0005-0000-0000-000006000000}"/>
    <cellStyle name="Porcentaje" xfId="3" builtinId="5"/>
  </cellStyles>
  <dxfs count="0"/>
  <tableStyles count="0" defaultTableStyle="TableStyleMedium2" defaultPivotStyle="PivotStyleLight16"/>
  <colors>
    <mruColors>
      <color rgb="FFA7F3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E957-EC7F-4FCF-9D39-7AACBE3A4D7B}">
  <sheetPr filterMode="1">
    <tabColor rgb="FFFFFF00"/>
  </sheetPr>
  <dimension ref="A1:DJ1048569"/>
  <sheetViews>
    <sheetView tabSelected="1" zoomScale="70" zoomScaleNormal="70" zoomScaleSheetLayoutView="80" workbookViewId="0">
      <pane ySplit="2" topLeftCell="A5" activePane="bottomLeft" state="frozen"/>
      <selection activeCell="BS159" sqref="BS159"/>
      <selection pane="bottomLeft" activeCell="A83" sqref="A83:XFD83"/>
    </sheetView>
  </sheetViews>
  <sheetFormatPr baseColWidth="10" defaultColWidth="11.453125" defaultRowHeight="14.5" x14ac:dyDescent="0.35"/>
  <cols>
    <col min="1" max="1" width="15.1796875" customWidth="1"/>
    <col min="2" max="2" width="32" customWidth="1"/>
    <col min="3" max="3" width="15.1796875" customWidth="1"/>
    <col min="4" max="4" width="11.453125" bestFit="1" customWidth="1"/>
    <col min="5" max="5" width="26.81640625" customWidth="1"/>
    <col min="6" max="6" width="62.81640625" customWidth="1"/>
    <col min="7" max="7" width="28.54296875" style="49" customWidth="1"/>
    <col min="8" max="8" width="14.81640625" customWidth="1"/>
    <col min="9" max="9" width="18.1796875" customWidth="1"/>
    <col min="10" max="11" width="18.1796875" style="40" customWidth="1"/>
    <col min="12" max="13" width="16" style="40" customWidth="1"/>
    <col min="14" max="14" width="19.1796875" style="40" customWidth="1"/>
    <col min="15" max="15" width="11.453125" style="47" customWidth="1"/>
    <col min="16" max="16" width="23.81640625" style="117" bestFit="1" customWidth="1"/>
    <col min="17" max="18" width="17.26953125" customWidth="1"/>
    <col min="19" max="19" width="20.1796875" customWidth="1"/>
    <col min="20" max="20" width="18" customWidth="1"/>
    <col min="21" max="21" width="29.7265625" customWidth="1"/>
    <col min="22" max="22" width="11.453125" customWidth="1"/>
    <col min="23" max="23" width="23.81640625" style="117" bestFit="1" customWidth="1"/>
    <col min="24" max="24" width="11.453125" customWidth="1"/>
    <col min="25" max="25" width="18.453125" customWidth="1"/>
    <col min="26" max="26" width="11.453125" customWidth="1"/>
    <col min="27" max="27" width="20.1796875" customWidth="1"/>
    <col min="28" max="28" width="25.54296875" customWidth="1"/>
    <col min="29" max="29" width="22" customWidth="1"/>
    <col min="30" max="31" width="12.81640625" customWidth="1"/>
    <col min="32" max="33" width="20.1796875" customWidth="1"/>
    <col min="34" max="34" width="13.54296875" customWidth="1"/>
    <col min="35" max="35" width="24.54296875" customWidth="1"/>
    <col min="36" max="37" width="22.54296875" customWidth="1"/>
    <col min="38" max="38" width="25.7265625" customWidth="1"/>
    <col min="39" max="39" width="11.453125" customWidth="1"/>
    <col min="40" max="40" width="13.26953125" customWidth="1"/>
    <col min="41" max="41" width="11.453125" customWidth="1"/>
    <col min="42" max="42" width="18.26953125" bestFit="1" customWidth="1"/>
    <col min="43" max="43" width="11.453125" style="110"/>
    <col min="44" max="44" width="24.54296875" bestFit="1" customWidth="1"/>
    <col min="45" max="45" width="22.54296875" bestFit="1" customWidth="1"/>
    <col min="46" max="46" width="19.7265625" bestFit="1" customWidth="1"/>
    <col min="47" max="47" width="25.7265625" bestFit="1" customWidth="1"/>
    <col min="48" max="48" width="14.81640625" bestFit="1" customWidth="1"/>
    <col min="49" max="49" width="15.1796875" customWidth="1"/>
    <col min="51" max="51" width="19.1796875" bestFit="1" customWidth="1"/>
    <col min="53" max="53" width="24.54296875" bestFit="1" customWidth="1"/>
    <col min="54" max="54" width="22.54296875" bestFit="1" customWidth="1"/>
    <col min="55" max="55" width="19.7265625" bestFit="1" customWidth="1"/>
    <col min="56" max="56" width="25.7265625" bestFit="1" customWidth="1"/>
    <col min="58" max="58" width="21.453125" bestFit="1" customWidth="1"/>
    <col min="59" max="59" width="23.81640625" bestFit="1" customWidth="1"/>
    <col min="60" max="60" width="23.54296875" bestFit="1" customWidth="1"/>
    <col min="62" max="62" width="24.54296875" bestFit="1" customWidth="1"/>
    <col min="63" max="63" width="22.54296875" bestFit="1" customWidth="1"/>
    <col min="64" max="64" width="19.7265625" bestFit="1" customWidth="1"/>
    <col min="65" max="65" width="25.7265625" bestFit="1" customWidth="1"/>
    <col min="67" max="67" width="21.453125" bestFit="1" customWidth="1"/>
    <col min="69" max="69" width="23.54296875" bestFit="1" customWidth="1"/>
    <col min="71" max="71" width="24.54296875" bestFit="1" customWidth="1"/>
    <col min="72" max="72" width="22.54296875" bestFit="1" customWidth="1"/>
    <col min="73" max="73" width="19.7265625" bestFit="1" customWidth="1"/>
    <col min="74" max="74" width="25.7265625" bestFit="1" customWidth="1"/>
    <col min="76" max="76" width="21.453125" bestFit="1" customWidth="1"/>
    <col min="78" max="78" width="19.1796875" bestFit="1" customWidth="1"/>
    <col min="80" max="80" width="24.54296875" bestFit="1" customWidth="1"/>
    <col min="81" max="81" width="22.54296875" bestFit="1" customWidth="1"/>
    <col min="82" max="82" width="19.7265625" bestFit="1" customWidth="1"/>
    <col min="83" max="83" width="25.7265625" bestFit="1" customWidth="1"/>
    <col min="85" max="85" width="21.453125" bestFit="1" customWidth="1"/>
    <col min="89" max="89" width="24.54296875" bestFit="1" customWidth="1"/>
    <col min="90" max="90" width="22.54296875" bestFit="1" customWidth="1"/>
    <col min="91" max="91" width="19.7265625" bestFit="1" customWidth="1"/>
    <col min="94" max="94" width="21.453125" bestFit="1" customWidth="1"/>
    <col min="98" max="98" width="24.54296875" bestFit="1" customWidth="1"/>
    <col min="99" max="99" width="22.54296875" customWidth="1"/>
    <col min="100" max="100" width="19.7265625" bestFit="1" customWidth="1"/>
    <col min="103" max="103" width="21.453125" style="117" bestFit="1" customWidth="1"/>
    <col min="104" max="104" width="23.81640625" bestFit="1" customWidth="1"/>
    <col min="107" max="107" width="24.54296875" bestFit="1" customWidth="1"/>
    <col min="108" max="108" width="22.54296875" bestFit="1" customWidth="1"/>
    <col min="109" max="109" width="19.7265625" bestFit="1" customWidth="1"/>
    <col min="110" max="110" width="25.7265625" bestFit="1" customWidth="1"/>
  </cols>
  <sheetData>
    <row r="1" spans="1:114" ht="29" customHeight="1" x14ac:dyDescent="0.6">
      <c r="A1" s="220" t="s">
        <v>500</v>
      </c>
      <c r="B1" s="221"/>
      <c r="C1" s="221"/>
      <c r="D1" s="221"/>
      <c r="E1" s="221"/>
      <c r="F1" s="221"/>
      <c r="G1" s="222"/>
      <c r="H1" s="229" t="s">
        <v>501</v>
      </c>
      <c r="I1" s="230" t="s">
        <v>502</v>
      </c>
      <c r="J1" s="214" t="s">
        <v>503</v>
      </c>
      <c r="K1" s="215"/>
      <c r="L1" s="215"/>
      <c r="M1" s="215"/>
      <c r="N1" s="215"/>
      <c r="O1" s="215"/>
      <c r="P1" s="215"/>
      <c r="Q1" s="215"/>
      <c r="R1" s="216"/>
      <c r="S1" s="232" t="s">
        <v>504</v>
      </c>
      <c r="T1" s="233"/>
      <c r="U1" s="233"/>
      <c r="V1" s="233"/>
      <c r="W1" s="233"/>
      <c r="X1" s="233"/>
      <c r="Y1" s="234"/>
      <c r="Z1" s="226" t="s">
        <v>0</v>
      </c>
      <c r="AA1" s="227"/>
      <c r="AB1" s="227"/>
      <c r="AC1" s="227"/>
      <c r="AD1" s="227"/>
      <c r="AE1" s="227"/>
      <c r="AF1" s="227"/>
      <c r="AG1" s="228"/>
      <c r="AH1" s="185" t="s">
        <v>1</v>
      </c>
      <c r="AI1" s="186"/>
      <c r="AJ1" s="186"/>
      <c r="AK1" s="186"/>
      <c r="AL1" s="186"/>
      <c r="AM1" s="186"/>
      <c r="AN1" s="186"/>
      <c r="AO1" s="186"/>
      <c r="AP1" s="186"/>
      <c r="AQ1" s="187" t="s">
        <v>2</v>
      </c>
      <c r="AR1" s="187"/>
      <c r="AS1" s="187"/>
      <c r="AT1" s="187"/>
      <c r="AU1" s="187"/>
      <c r="AV1" s="187"/>
      <c r="AW1" s="187"/>
      <c r="AX1" s="187"/>
      <c r="AY1" s="187"/>
      <c r="AZ1" s="188" t="s">
        <v>3</v>
      </c>
      <c r="BA1" s="188"/>
      <c r="BB1" s="188"/>
      <c r="BC1" s="188"/>
      <c r="BD1" s="188"/>
      <c r="BE1" s="188"/>
      <c r="BF1" s="188"/>
      <c r="BG1" s="188"/>
      <c r="BH1" s="188"/>
      <c r="BI1" s="189" t="s">
        <v>4</v>
      </c>
      <c r="BJ1" s="189"/>
      <c r="BK1" s="189"/>
      <c r="BL1" s="189"/>
      <c r="BM1" s="189"/>
      <c r="BN1" s="189"/>
      <c r="BO1" s="189"/>
      <c r="BP1" s="189"/>
      <c r="BQ1" s="189"/>
      <c r="BR1" s="190" t="s">
        <v>5</v>
      </c>
      <c r="BS1" s="190"/>
      <c r="BT1" s="190"/>
      <c r="BU1" s="190"/>
      <c r="BV1" s="190"/>
      <c r="BW1" s="190"/>
      <c r="BX1" s="190"/>
      <c r="BY1" s="190"/>
      <c r="BZ1" s="190"/>
      <c r="CA1" s="191" t="s">
        <v>6</v>
      </c>
      <c r="CB1" s="191"/>
      <c r="CC1" s="191"/>
      <c r="CD1" s="191"/>
      <c r="CE1" s="191"/>
      <c r="CF1" s="191"/>
      <c r="CG1" s="191"/>
      <c r="CH1" s="191"/>
      <c r="CI1" s="191"/>
      <c r="CJ1" s="217" t="s">
        <v>7</v>
      </c>
      <c r="CK1" s="217"/>
      <c r="CL1" s="217"/>
      <c r="CM1" s="217"/>
      <c r="CN1" s="217"/>
      <c r="CO1" s="217"/>
      <c r="CP1" s="217"/>
      <c r="CQ1" s="217"/>
      <c r="CR1" s="217"/>
      <c r="CS1" s="192" t="s">
        <v>8</v>
      </c>
      <c r="CT1" s="192"/>
      <c r="CU1" s="192"/>
      <c r="CV1" s="192"/>
      <c r="CW1" s="192"/>
      <c r="CX1" s="192"/>
      <c r="CY1" s="193"/>
      <c r="CZ1" s="192"/>
      <c r="DA1" s="192"/>
      <c r="DB1" s="184" t="s">
        <v>9</v>
      </c>
      <c r="DC1" s="184"/>
      <c r="DD1" s="184"/>
      <c r="DE1" s="184"/>
      <c r="DF1" s="184"/>
      <c r="DG1" s="184"/>
      <c r="DH1" s="184"/>
      <c r="DI1" s="184"/>
      <c r="DJ1" s="184"/>
    </row>
    <row r="2" spans="1:114" ht="13.5" customHeight="1" x14ac:dyDescent="0.3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69" t="s">
        <v>16</v>
      </c>
      <c r="H2" s="229"/>
      <c r="I2" s="231"/>
      <c r="J2" s="70" t="s">
        <v>527</v>
      </c>
      <c r="K2" s="70" t="s">
        <v>18</v>
      </c>
      <c r="L2" s="70" t="s">
        <v>21</v>
      </c>
      <c r="M2" s="70" t="s">
        <v>506</v>
      </c>
      <c r="N2" s="70" t="s">
        <v>22</v>
      </c>
      <c r="O2" s="109" t="s">
        <v>20</v>
      </c>
      <c r="P2" s="116" t="s">
        <v>528</v>
      </c>
      <c r="Q2" s="4" t="s">
        <v>24</v>
      </c>
      <c r="R2" s="4" t="s">
        <v>27</v>
      </c>
      <c r="S2" s="70" t="s">
        <v>18</v>
      </c>
      <c r="T2" s="4" t="s">
        <v>21</v>
      </c>
      <c r="U2" s="4" t="s">
        <v>22</v>
      </c>
      <c r="V2" s="4" t="s">
        <v>20</v>
      </c>
      <c r="W2" s="116" t="s">
        <v>528</v>
      </c>
      <c r="X2" s="4" t="s">
        <v>24</v>
      </c>
      <c r="Y2" s="4" t="s">
        <v>27</v>
      </c>
      <c r="Z2" s="4" t="s">
        <v>505</v>
      </c>
      <c r="AA2" s="70" t="s">
        <v>18</v>
      </c>
      <c r="AB2" s="4" t="s">
        <v>21</v>
      </c>
      <c r="AC2" s="4" t="s">
        <v>22</v>
      </c>
      <c r="AD2" s="4" t="s">
        <v>20</v>
      </c>
      <c r="AE2" s="4" t="s">
        <v>528</v>
      </c>
      <c r="AF2" s="4" t="s">
        <v>24</v>
      </c>
      <c r="AG2" s="4" t="s">
        <v>27</v>
      </c>
      <c r="AH2" s="4" t="s">
        <v>505</v>
      </c>
      <c r="AI2" s="70" t="s">
        <v>18</v>
      </c>
      <c r="AJ2" s="4" t="s">
        <v>21</v>
      </c>
      <c r="AK2" s="4" t="s">
        <v>506</v>
      </c>
      <c r="AL2" s="4" t="s">
        <v>22</v>
      </c>
      <c r="AM2" s="4" t="s">
        <v>20</v>
      </c>
      <c r="AN2" s="4" t="s">
        <v>507</v>
      </c>
      <c r="AO2" s="4" t="s">
        <v>24</v>
      </c>
      <c r="AP2" s="4" t="s">
        <v>27</v>
      </c>
      <c r="AQ2" s="109" t="s">
        <v>505</v>
      </c>
      <c r="AR2" s="70" t="s">
        <v>18</v>
      </c>
      <c r="AS2" s="4" t="s">
        <v>21</v>
      </c>
      <c r="AT2" s="4" t="s">
        <v>506</v>
      </c>
      <c r="AU2" s="4" t="s">
        <v>22</v>
      </c>
      <c r="AV2" s="4" t="s">
        <v>20</v>
      </c>
      <c r="AW2" s="4" t="s">
        <v>507</v>
      </c>
      <c r="AX2" s="4" t="s">
        <v>24</v>
      </c>
      <c r="AY2" s="4" t="s">
        <v>529</v>
      </c>
      <c r="AZ2" s="109" t="s">
        <v>505</v>
      </c>
      <c r="BA2" s="70" t="s">
        <v>18</v>
      </c>
      <c r="BB2" s="4" t="s">
        <v>21</v>
      </c>
      <c r="BC2" s="4" t="s">
        <v>506</v>
      </c>
      <c r="BD2" s="4" t="s">
        <v>22</v>
      </c>
      <c r="BE2" s="4" t="s">
        <v>20</v>
      </c>
      <c r="BF2" s="4" t="s">
        <v>507</v>
      </c>
      <c r="BG2" s="4" t="s">
        <v>24</v>
      </c>
      <c r="BH2" s="4" t="s">
        <v>529</v>
      </c>
      <c r="BI2" s="109" t="s">
        <v>505</v>
      </c>
      <c r="BJ2" s="70" t="s">
        <v>18</v>
      </c>
      <c r="BK2" s="4" t="s">
        <v>21</v>
      </c>
      <c r="BL2" s="4" t="s">
        <v>506</v>
      </c>
      <c r="BM2" s="4" t="s">
        <v>22</v>
      </c>
      <c r="BN2" s="4" t="s">
        <v>20</v>
      </c>
      <c r="BO2" s="4" t="s">
        <v>507</v>
      </c>
      <c r="BP2" s="4" t="s">
        <v>24</v>
      </c>
      <c r="BQ2" s="4" t="s">
        <v>529</v>
      </c>
      <c r="BR2" s="109" t="s">
        <v>505</v>
      </c>
      <c r="BS2" s="70" t="s">
        <v>18</v>
      </c>
      <c r="BT2" s="4" t="s">
        <v>21</v>
      </c>
      <c r="BU2" s="4" t="s">
        <v>506</v>
      </c>
      <c r="BV2" s="4" t="s">
        <v>22</v>
      </c>
      <c r="BW2" s="4" t="s">
        <v>20</v>
      </c>
      <c r="BX2" s="4" t="s">
        <v>507</v>
      </c>
      <c r="BY2" s="4" t="s">
        <v>24</v>
      </c>
      <c r="BZ2" s="4" t="s">
        <v>27</v>
      </c>
      <c r="CA2" s="109" t="s">
        <v>505</v>
      </c>
      <c r="CB2" s="70" t="s">
        <v>18</v>
      </c>
      <c r="CC2" s="4" t="s">
        <v>21</v>
      </c>
      <c r="CD2" s="4" t="s">
        <v>506</v>
      </c>
      <c r="CE2" s="4" t="s">
        <v>22</v>
      </c>
      <c r="CF2" s="4" t="s">
        <v>20</v>
      </c>
      <c r="CG2" s="4" t="s">
        <v>507</v>
      </c>
      <c r="CH2" s="4" t="s">
        <v>24</v>
      </c>
      <c r="CI2" s="4" t="s">
        <v>27</v>
      </c>
      <c r="CJ2" s="109" t="s">
        <v>505</v>
      </c>
      <c r="CK2" s="70" t="s">
        <v>18</v>
      </c>
      <c r="CL2" s="4" t="s">
        <v>21</v>
      </c>
      <c r="CM2" s="4" t="s">
        <v>506</v>
      </c>
      <c r="CN2" s="4" t="s">
        <v>22</v>
      </c>
      <c r="CO2" s="4" t="s">
        <v>20</v>
      </c>
      <c r="CP2" s="4" t="s">
        <v>507</v>
      </c>
      <c r="CQ2" s="4" t="s">
        <v>24</v>
      </c>
      <c r="CR2" s="4" t="s">
        <v>27</v>
      </c>
      <c r="CS2" s="109" t="s">
        <v>505</v>
      </c>
      <c r="CT2" s="70" t="s">
        <v>18</v>
      </c>
      <c r="CU2" s="4" t="s">
        <v>21</v>
      </c>
      <c r="CV2" s="4" t="s">
        <v>506</v>
      </c>
      <c r="CW2" s="4" t="s">
        <v>22</v>
      </c>
      <c r="CX2" s="4" t="s">
        <v>20</v>
      </c>
      <c r="CY2" s="116" t="s">
        <v>507</v>
      </c>
      <c r="CZ2" s="4" t="s">
        <v>24</v>
      </c>
      <c r="DA2" s="114" t="s">
        <v>27</v>
      </c>
      <c r="DB2" s="109" t="s">
        <v>505</v>
      </c>
      <c r="DC2" s="70" t="s">
        <v>18</v>
      </c>
      <c r="DD2" s="4" t="s">
        <v>21</v>
      </c>
      <c r="DE2" s="4" t="s">
        <v>506</v>
      </c>
      <c r="DF2" s="4" t="s">
        <v>22</v>
      </c>
      <c r="DG2" s="4" t="s">
        <v>20</v>
      </c>
      <c r="DH2" s="4" t="s">
        <v>507</v>
      </c>
      <c r="DI2" s="4" t="s">
        <v>24</v>
      </c>
      <c r="DJ2" s="4" t="s">
        <v>27</v>
      </c>
    </row>
    <row r="3" spans="1:114" hidden="1" x14ac:dyDescent="0.35">
      <c r="A3" s="54" t="s">
        <v>28</v>
      </c>
      <c r="B3" s="56" t="s">
        <v>28</v>
      </c>
      <c r="C3" s="14" t="s">
        <v>29</v>
      </c>
      <c r="D3" s="54">
        <v>8525</v>
      </c>
      <c r="E3" s="56">
        <v>251070</v>
      </c>
      <c r="F3" s="56" t="s">
        <v>30</v>
      </c>
      <c r="G3" s="55">
        <v>901037129</v>
      </c>
      <c r="H3" s="57">
        <v>7977970</v>
      </c>
      <c r="I3" s="57">
        <v>7977970</v>
      </c>
      <c r="J3" s="57"/>
      <c r="K3" s="39">
        <v>7977970</v>
      </c>
      <c r="L3" s="39">
        <f>H3-K3</f>
        <v>0</v>
      </c>
      <c r="M3" s="39"/>
      <c r="N3" s="39"/>
      <c r="O3" s="9">
        <v>0</v>
      </c>
      <c r="P3" s="101">
        <v>44567</v>
      </c>
      <c r="Q3" s="101" t="s">
        <v>31</v>
      </c>
      <c r="R3" s="20"/>
      <c r="S3" s="39">
        <v>7977970</v>
      </c>
      <c r="T3" s="8">
        <f>K3-S3</f>
        <v>0</v>
      </c>
      <c r="U3" s="14"/>
      <c r="V3" s="9">
        <v>0</v>
      </c>
      <c r="W3" s="101">
        <v>44594</v>
      </c>
      <c r="X3" s="14" t="s">
        <v>31</v>
      </c>
      <c r="Y3" s="20"/>
      <c r="Z3" s="14"/>
      <c r="AA3" s="39">
        <v>7977970</v>
      </c>
      <c r="AB3" s="39">
        <f>S3-AA3</f>
        <v>0</v>
      </c>
      <c r="AC3" s="14"/>
      <c r="AD3" s="9">
        <v>0</v>
      </c>
      <c r="AE3" s="101">
        <v>44624</v>
      </c>
      <c r="AF3" s="14" t="s">
        <v>31</v>
      </c>
      <c r="AG3" s="20"/>
      <c r="AH3" s="223" t="s">
        <v>408</v>
      </c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4"/>
      <c r="AW3" s="224"/>
      <c r="AX3" s="224"/>
      <c r="AY3" s="224"/>
      <c r="AZ3" s="224"/>
      <c r="BA3" s="224"/>
      <c r="BB3" s="224"/>
      <c r="BC3" s="224"/>
      <c r="BD3" s="224"/>
      <c r="BE3" s="224"/>
      <c r="BF3" s="224"/>
      <c r="BG3" s="224"/>
      <c r="BH3" s="224"/>
      <c r="BI3" s="224"/>
      <c r="BJ3" s="224"/>
      <c r="BK3" s="224"/>
      <c r="BL3" s="224"/>
      <c r="BM3" s="224"/>
      <c r="BN3" s="224"/>
      <c r="BO3" s="224"/>
      <c r="BP3" s="224"/>
      <c r="BQ3" s="224"/>
      <c r="BR3" s="224"/>
      <c r="BS3" s="224"/>
      <c r="BT3" s="224"/>
      <c r="BU3" s="224"/>
      <c r="BV3" s="224"/>
      <c r="BW3" s="224"/>
      <c r="BX3" s="224"/>
      <c r="BY3" s="224"/>
      <c r="BZ3" s="224"/>
      <c r="CA3" s="224"/>
      <c r="CB3" s="224"/>
      <c r="CC3" s="224"/>
      <c r="CD3" s="224"/>
      <c r="CE3" s="224"/>
      <c r="CF3" s="224"/>
      <c r="CG3" s="224"/>
      <c r="CH3" s="224"/>
      <c r="CI3" s="224"/>
      <c r="CJ3" s="224"/>
      <c r="CK3" s="224"/>
      <c r="CL3" s="224"/>
      <c r="CM3" s="224"/>
      <c r="CN3" s="224"/>
      <c r="CO3" s="224"/>
      <c r="CP3" s="224"/>
      <c r="CQ3" s="224"/>
      <c r="CR3" s="224"/>
      <c r="CS3" s="224"/>
      <c r="CT3" s="224"/>
      <c r="CU3" s="224"/>
      <c r="CV3" s="224"/>
      <c r="CW3" s="224"/>
      <c r="CX3" s="224"/>
      <c r="CY3" s="224"/>
      <c r="CZ3" s="224"/>
      <c r="DA3" s="224"/>
      <c r="DB3" s="224"/>
      <c r="DC3" s="224"/>
      <c r="DD3" s="224"/>
      <c r="DE3" s="224"/>
      <c r="DF3" s="224"/>
      <c r="DG3" s="224"/>
      <c r="DH3" s="224"/>
      <c r="DI3" s="224"/>
      <c r="DJ3" s="225"/>
    </row>
    <row r="4" spans="1:114" hidden="1" x14ac:dyDescent="0.35">
      <c r="A4" s="1" t="s">
        <v>33</v>
      </c>
      <c r="B4" s="14" t="s">
        <v>34</v>
      </c>
      <c r="C4" s="14" t="s">
        <v>29</v>
      </c>
      <c r="D4" s="2" t="s">
        <v>35</v>
      </c>
      <c r="E4" s="3">
        <v>246135</v>
      </c>
      <c r="F4" s="3" t="s">
        <v>36</v>
      </c>
      <c r="G4" s="51" t="s">
        <v>37</v>
      </c>
      <c r="H4" s="39">
        <v>65596455</v>
      </c>
      <c r="I4" s="39">
        <v>65596455</v>
      </c>
      <c r="J4" s="39"/>
      <c r="K4" s="39">
        <v>65596455</v>
      </c>
      <c r="L4" s="39">
        <f>I4-K4</f>
        <v>0</v>
      </c>
      <c r="M4" s="39"/>
      <c r="N4" s="39"/>
      <c r="O4" s="9">
        <v>0</v>
      </c>
      <c r="P4" s="102">
        <v>44579</v>
      </c>
      <c r="Q4" s="3" t="s">
        <v>31</v>
      </c>
      <c r="R4" s="20"/>
      <c r="S4" s="39">
        <v>65596455</v>
      </c>
      <c r="T4" s="8">
        <f>K4-S4</f>
        <v>0</v>
      </c>
      <c r="U4" s="14"/>
      <c r="V4" s="9">
        <v>0</v>
      </c>
      <c r="W4" s="101">
        <v>44603</v>
      </c>
      <c r="X4" s="14" t="s">
        <v>31</v>
      </c>
      <c r="Y4" s="20"/>
      <c r="Z4" s="14"/>
      <c r="AA4" s="39">
        <v>65596455</v>
      </c>
      <c r="AB4" s="39">
        <f>S4-AA4</f>
        <v>0</v>
      </c>
      <c r="AC4" s="14"/>
      <c r="AD4" s="9">
        <v>0</v>
      </c>
      <c r="AE4" s="101">
        <v>44638</v>
      </c>
      <c r="AF4" s="14" t="s">
        <v>31</v>
      </c>
      <c r="AG4" s="14"/>
      <c r="AH4" s="14"/>
      <c r="AI4" s="39">
        <v>65596455</v>
      </c>
      <c r="AJ4" s="39">
        <f>AA4-AI4</f>
        <v>0</v>
      </c>
      <c r="AK4" s="39"/>
      <c r="AL4" s="39"/>
      <c r="AM4" s="9">
        <v>0</v>
      </c>
      <c r="AN4" s="101">
        <v>44673</v>
      </c>
      <c r="AO4" s="14" t="s">
        <v>31</v>
      </c>
      <c r="AP4" s="14"/>
      <c r="AQ4" s="58"/>
      <c r="AR4" s="39">
        <v>65596455</v>
      </c>
      <c r="AS4" s="39">
        <f>AI4-AR4</f>
        <v>0</v>
      </c>
      <c r="AT4" s="39"/>
      <c r="AU4" s="39"/>
      <c r="AV4" s="9">
        <v>0</v>
      </c>
      <c r="AW4" s="101">
        <v>44697</v>
      </c>
      <c r="AX4" s="14" t="s">
        <v>31</v>
      </c>
      <c r="AY4" s="14"/>
      <c r="AZ4" s="9"/>
      <c r="BA4" s="39">
        <v>65596455</v>
      </c>
      <c r="BB4" s="39">
        <f>AR4-BA4</f>
        <v>0</v>
      </c>
      <c r="BC4" s="39"/>
      <c r="BD4" s="39"/>
      <c r="BE4" s="9">
        <v>0</v>
      </c>
      <c r="BF4" s="101">
        <v>44715</v>
      </c>
      <c r="BG4" s="14" t="s">
        <v>31</v>
      </c>
      <c r="BH4" s="101">
        <v>44728</v>
      </c>
      <c r="BI4" s="9"/>
      <c r="BJ4" s="39">
        <v>65596455</v>
      </c>
      <c r="BK4" s="39">
        <f>BA4-BJ4</f>
        <v>0</v>
      </c>
      <c r="BL4" s="39"/>
      <c r="BM4" s="39"/>
      <c r="BN4" s="9">
        <v>0</v>
      </c>
      <c r="BO4" s="101">
        <v>44750</v>
      </c>
      <c r="BP4" s="14" t="s">
        <v>31</v>
      </c>
      <c r="BQ4" s="101">
        <v>44768</v>
      </c>
      <c r="BR4" s="9"/>
      <c r="BS4" s="39">
        <v>65596455</v>
      </c>
      <c r="BT4" s="39">
        <f>BJ4-BS4</f>
        <v>0</v>
      </c>
      <c r="BU4" s="39"/>
      <c r="BV4" s="39"/>
      <c r="BW4" s="9">
        <v>0</v>
      </c>
      <c r="BX4" s="101">
        <v>44790</v>
      </c>
      <c r="BY4" s="14" t="s">
        <v>31</v>
      </c>
      <c r="BZ4" s="14"/>
      <c r="CA4" s="9"/>
      <c r="CB4" s="39"/>
      <c r="CC4" s="39"/>
      <c r="CD4" s="39"/>
      <c r="CE4" s="39"/>
      <c r="CF4" s="9"/>
      <c r="CG4" s="101"/>
      <c r="CH4" s="14"/>
      <c r="CI4" s="14"/>
      <c r="CJ4" s="9"/>
      <c r="CK4" s="39"/>
      <c r="CL4" s="39"/>
      <c r="CM4" s="39"/>
      <c r="CN4" s="39"/>
      <c r="CO4" s="9"/>
      <c r="CP4" s="101"/>
      <c r="CQ4" s="14"/>
      <c r="CR4" s="14"/>
      <c r="CS4" s="9"/>
      <c r="CT4" s="39"/>
      <c r="CU4" s="39"/>
      <c r="CV4" s="39"/>
      <c r="CW4" s="39"/>
      <c r="CX4" s="9"/>
      <c r="CY4" s="101"/>
      <c r="CZ4" s="14"/>
      <c r="DA4" s="86"/>
      <c r="DB4" s="9"/>
      <c r="DC4" s="39"/>
      <c r="DD4" s="39"/>
      <c r="DE4" s="39"/>
      <c r="DF4" s="39"/>
      <c r="DG4" s="9"/>
      <c r="DH4" s="101"/>
      <c r="DI4" s="14"/>
      <c r="DJ4" s="14"/>
    </row>
    <row r="5" spans="1:114" hidden="1" x14ac:dyDescent="0.35">
      <c r="A5" s="1" t="s">
        <v>39</v>
      </c>
      <c r="B5" s="14" t="s">
        <v>40</v>
      </c>
      <c r="C5" s="14" t="s">
        <v>29</v>
      </c>
      <c r="D5" s="2">
        <v>9205</v>
      </c>
      <c r="E5" s="3">
        <v>366495</v>
      </c>
      <c r="F5" s="3" t="s">
        <v>530</v>
      </c>
      <c r="G5" s="51">
        <v>800200760</v>
      </c>
      <c r="H5" s="39">
        <v>33000000</v>
      </c>
      <c r="I5" s="39">
        <v>27200000</v>
      </c>
      <c r="J5" s="39"/>
      <c r="K5" s="39">
        <f>27926240+709920</f>
        <v>28636160</v>
      </c>
      <c r="L5" s="39"/>
      <c r="M5" s="39">
        <f>I5-K5</f>
        <v>-1436160</v>
      </c>
      <c r="N5" s="39"/>
      <c r="O5" s="9">
        <f>M5/I5</f>
        <v>-5.28E-2</v>
      </c>
      <c r="P5" s="102">
        <v>44586</v>
      </c>
      <c r="Q5" s="14" t="s">
        <v>31</v>
      </c>
      <c r="R5" s="20"/>
      <c r="S5" s="39">
        <v>27926240</v>
      </c>
      <c r="T5" s="8">
        <f>K5-S5</f>
        <v>709920</v>
      </c>
      <c r="U5" s="14"/>
      <c r="V5" s="9">
        <f>T5/K5</f>
        <v>2.4791033434650455E-2</v>
      </c>
      <c r="W5" s="101">
        <v>44595</v>
      </c>
      <c r="X5" s="14" t="s">
        <v>31</v>
      </c>
      <c r="Y5" s="20"/>
      <c r="Z5" s="67"/>
      <c r="AA5" s="39">
        <v>36516201</v>
      </c>
      <c r="AB5" s="39">
        <f>K5-AA5</f>
        <v>-7880041</v>
      </c>
      <c r="AC5" s="39">
        <v>36516201</v>
      </c>
      <c r="AD5" s="9">
        <f>AB5/K5</f>
        <v>-0.27517799174190954</v>
      </c>
      <c r="AE5" s="102">
        <v>44637</v>
      </c>
      <c r="AF5" s="14" t="s">
        <v>31</v>
      </c>
      <c r="AG5" s="20"/>
      <c r="AH5" s="67"/>
      <c r="AI5" s="39">
        <v>27000000</v>
      </c>
      <c r="AJ5" s="39">
        <v>0</v>
      </c>
      <c r="AK5" s="39"/>
      <c r="AL5" s="39"/>
      <c r="AM5" s="9">
        <v>0</v>
      </c>
      <c r="AN5" s="101">
        <v>44656</v>
      </c>
      <c r="AO5" s="14" t="s">
        <v>31</v>
      </c>
      <c r="AP5" s="14"/>
      <c r="AQ5" s="58"/>
      <c r="AR5" s="39">
        <v>33000000</v>
      </c>
      <c r="AS5" s="39"/>
      <c r="AT5" s="39">
        <f>AI5-AR5</f>
        <v>-6000000</v>
      </c>
      <c r="AU5" s="39"/>
      <c r="AV5" s="9">
        <f>AT5/AI5</f>
        <v>-0.22222222222222221</v>
      </c>
      <c r="AW5" s="101">
        <v>44683</v>
      </c>
      <c r="AX5" s="14" t="s">
        <v>31</v>
      </c>
      <c r="AY5" s="14"/>
      <c r="AZ5" s="9"/>
      <c r="BA5" s="39">
        <v>33000000</v>
      </c>
      <c r="BB5" s="39">
        <f>AR5-BA5</f>
        <v>0</v>
      </c>
      <c r="BC5" s="39"/>
      <c r="BD5" s="39"/>
      <c r="BE5" s="9">
        <v>0</v>
      </c>
      <c r="BF5" s="101">
        <v>44713</v>
      </c>
      <c r="BG5" s="14" t="s">
        <v>31</v>
      </c>
      <c r="BH5" s="101">
        <v>44736</v>
      </c>
      <c r="BI5" s="9"/>
      <c r="BJ5" s="39">
        <v>33000000</v>
      </c>
      <c r="BK5" s="39">
        <f>BA5-BJ5</f>
        <v>0</v>
      </c>
      <c r="BL5" s="39"/>
      <c r="BM5" s="39"/>
      <c r="BN5" s="9">
        <v>0</v>
      </c>
      <c r="BO5" s="101">
        <v>44747</v>
      </c>
      <c r="BP5" s="14" t="s">
        <v>31</v>
      </c>
      <c r="BQ5" s="101">
        <v>44757</v>
      </c>
      <c r="BR5" s="9"/>
      <c r="BS5" s="39">
        <v>33000000</v>
      </c>
      <c r="BT5" s="39">
        <f>BJ5-BS5</f>
        <v>0</v>
      </c>
      <c r="BU5" s="39"/>
      <c r="BV5" s="39"/>
      <c r="BW5" s="9">
        <v>0</v>
      </c>
      <c r="BX5" s="101">
        <v>44774</v>
      </c>
      <c r="BY5" s="14" t="s">
        <v>31</v>
      </c>
      <c r="BZ5" s="14"/>
      <c r="CA5" s="9"/>
      <c r="CB5" s="39"/>
      <c r="CC5" s="39"/>
      <c r="CD5" s="39"/>
      <c r="CE5" s="39"/>
      <c r="CF5" s="9"/>
      <c r="CG5" s="101"/>
      <c r="CH5" s="14"/>
      <c r="CI5" s="14"/>
      <c r="CJ5" s="9"/>
      <c r="CK5" s="39"/>
      <c r="CL5" s="39"/>
      <c r="CM5" s="39"/>
      <c r="CN5" s="39"/>
      <c r="CO5" s="9"/>
      <c r="CP5" s="101"/>
      <c r="CQ5" s="14"/>
      <c r="CR5" s="14"/>
      <c r="CS5" s="9"/>
      <c r="CT5" s="39"/>
      <c r="CU5" s="39"/>
      <c r="CV5" s="39"/>
      <c r="CW5" s="39"/>
      <c r="CX5" s="9"/>
      <c r="CY5" s="101"/>
      <c r="CZ5" s="14"/>
      <c r="DA5" s="86"/>
      <c r="DB5" s="9"/>
      <c r="DC5" s="39"/>
      <c r="DD5" s="39"/>
      <c r="DE5" s="39"/>
      <c r="DF5" s="39"/>
      <c r="DG5" s="9"/>
      <c r="DH5" s="101"/>
      <c r="DI5" s="14"/>
      <c r="DJ5" s="14"/>
    </row>
    <row r="6" spans="1:114" hidden="1" x14ac:dyDescent="0.35">
      <c r="A6" s="1" t="s">
        <v>42</v>
      </c>
      <c r="B6" s="14" t="s">
        <v>43</v>
      </c>
      <c r="C6" s="14" t="s">
        <v>29</v>
      </c>
      <c r="D6" s="2">
        <v>9208</v>
      </c>
      <c r="E6" s="3">
        <v>210943</v>
      </c>
      <c r="F6" s="3" t="s">
        <v>44</v>
      </c>
      <c r="G6" s="52" t="s">
        <v>45</v>
      </c>
      <c r="H6" s="39">
        <v>22435796</v>
      </c>
      <c r="I6" s="39">
        <v>22435796</v>
      </c>
      <c r="J6" s="39"/>
      <c r="K6" s="39">
        <v>11217898</v>
      </c>
      <c r="L6" s="39">
        <f>I6-K6</f>
        <v>11217898</v>
      </c>
      <c r="M6" s="39"/>
      <c r="N6" s="39"/>
      <c r="O6" s="9">
        <f>L6/I6</f>
        <v>0.5</v>
      </c>
      <c r="P6" s="101">
        <v>44572</v>
      </c>
      <c r="Q6" s="3" t="s">
        <v>31</v>
      </c>
      <c r="R6" s="20"/>
      <c r="S6" s="194" t="s">
        <v>531</v>
      </c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195"/>
      <c r="BG6" s="195"/>
      <c r="BH6" s="195"/>
      <c r="BI6" s="195"/>
      <c r="BJ6" s="195"/>
      <c r="BK6" s="195"/>
      <c r="BL6" s="195"/>
      <c r="BM6" s="195"/>
      <c r="BN6" s="195"/>
      <c r="BO6" s="195"/>
      <c r="BP6" s="195"/>
      <c r="BQ6" s="195"/>
      <c r="BR6" s="195"/>
      <c r="BS6" s="195"/>
      <c r="BT6" s="195"/>
      <c r="BU6" s="195"/>
      <c r="BV6" s="195"/>
      <c r="BW6" s="195"/>
      <c r="BX6" s="195"/>
      <c r="BY6" s="195"/>
      <c r="BZ6" s="195"/>
      <c r="CA6" s="195"/>
      <c r="CB6" s="195"/>
      <c r="CC6" s="195"/>
      <c r="CD6" s="195"/>
      <c r="CE6" s="195"/>
      <c r="CF6" s="195"/>
      <c r="CG6" s="195"/>
      <c r="CH6" s="195"/>
      <c r="CI6" s="195"/>
      <c r="CJ6" s="195"/>
      <c r="CK6" s="195"/>
      <c r="CL6" s="195"/>
      <c r="CM6" s="195"/>
      <c r="CN6" s="195"/>
      <c r="CO6" s="195"/>
      <c r="CP6" s="195"/>
      <c r="CQ6" s="195"/>
      <c r="CR6" s="195"/>
      <c r="CS6" s="195"/>
      <c r="CT6" s="195"/>
      <c r="CU6" s="195"/>
      <c r="CV6" s="195"/>
      <c r="CW6" s="195"/>
      <c r="CX6" s="195"/>
      <c r="CY6" s="195"/>
      <c r="CZ6" s="195"/>
      <c r="DA6" s="195"/>
      <c r="DB6" s="195"/>
      <c r="DC6" s="195"/>
      <c r="DD6" s="195"/>
      <c r="DE6" s="195"/>
      <c r="DF6" s="195"/>
      <c r="DG6" s="195"/>
      <c r="DH6" s="195"/>
      <c r="DI6" s="195"/>
      <c r="DJ6" s="196"/>
    </row>
    <row r="7" spans="1:114" hidden="1" x14ac:dyDescent="0.35">
      <c r="A7" s="1" t="s">
        <v>48</v>
      </c>
      <c r="B7" s="14" t="s">
        <v>49</v>
      </c>
      <c r="C7" s="14" t="s">
        <v>29</v>
      </c>
      <c r="D7" s="2">
        <v>9264</v>
      </c>
      <c r="E7" s="3">
        <v>289666</v>
      </c>
      <c r="F7" s="3" t="s">
        <v>508</v>
      </c>
      <c r="G7" s="52" t="s">
        <v>509</v>
      </c>
      <c r="H7" s="39">
        <v>14657817</v>
      </c>
      <c r="I7" s="39">
        <v>13877880</v>
      </c>
      <c r="J7" s="39"/>
      <c r="K7" s="39">
        <v>14657817</v>
      </c>
      <c r="L7" s="39"/>
      <c r="M7" s="39">
        <f>I7-K7</f>
        <v>-779937</v>
      </c>
      <c r="N7" s="39"/>
      <c r="O7" s="9">
        <f>M7/I7</f>
        <v>-5.6200010376224609E-2</v>
      </c>
      <c r="P7" s="101">
        <v>44574</v>
      </c>
      <c r="Q7" s="14" t="s">
        <v>31</v>
      </c>
      <c r="R7" s="20"/>
      <c r="S7" s="39">
        <v>14657817</v>
      </c>
      <c r="T7" s="8">
        <f>K7-S7</f>
        <v>0</v>
      </c>
      <c r="U7" s="39"/>
      <c r="V7" s="9">
        <v>0</v>
      </c>
      <c r="W7" s="102">
        <v>44600</v>
      </c>
      <c r="X7" s="14" t="s">
        <v>31</v>
      </c>
      <c r="Y7" s="20"/>
      <c r="Z7" s="14"/>
      <c r="AA7" s="39">
        <v>14657817</v>
      </c>
      <c r="AB7" s="39">
        <f>S7-AA7</f>
        <v>0</v>
      </c>
      <c r="AC7" s="14"/>
      <c r="AD7" s="9">
        <v>0</v>
      </c>
      <c r="AE7" s="102">
        <v>44628</v>
      </c>
      <c r="AF7" s="14" t="s">
        <v>31</v>
      </c>
      <c r="AG7" s="14"/>
      <c r="AH7" s="14"/>
      <c r="AI7" s="39">
        <v>14657817</v>
      </c>
      <c r="AJ7" s="39">
        <f>AA7-AI7</f>
        <v>0</v>
      </c>
      <c r="AK7" s="39"/>
      <c r="AL7" s="39"/>
      <c r="AM7" s="9">
        <v>0</v>
      </c>
      <c r="AN7" s="102">
        <v>44659</v>
      </c>
      <c r="AO7" s="14" t="s">
        <v>31</v>
      </c>
      <c r="AP7" s="14"/>
      <c r="AQ7" s="58"/>
      <c r="AR7" s="39">
        <v>14657817</v>
      </c>
      <c r="AS7" s="39">
        <f>AI7-AR7</f>
        <v>0</v>
      </c>
      <c r="AT7" s="39"/>
      <c r="AU7" s="39"/>
      <c r="AV7" s="9">
        <v>0</v>
      </c>
      <c r="AW7" s="101">
        <v>44687</v>
      </c>
      <c r="AX7" s="14" t="s">
        <v>31</v>
      </c>
      <c r="AY7" s="14"/>
      <c r="AZ7" s="9"/>
      <c r="BA7" s="39">
        <v>14657817</v>
      </c>
      <c r="BB7" s="39">
        <f>AR7-BA7</f>
        <v>0</v>
      </c>
      <c r="BC7" s="39"/>
      <c r="BD7" s="39"/>
      <c r="BE7" s="9">
        <v>0</v>
      </c>
      <c r="BF7" s="101">
        <v>44719</v>
      </c>
      <c r="BG7" s="14" t="s">
        <v>31</v>
      </c>
      <c r="BH7" s="101">
        <v>44728</v>
      </c>
      <c r="BI7" s="9"/>
      <c r="BJ7" s="39">
        <v>14657817</v>
      </c>
      <c r="BK7" s="39">
        <f>BA7-BJ7</f>
        <v>0</v>
      </c>
      <c r="BL7" s="39"/>
      <c r="BM7" s="39"/>
      <c r="BN7" s="9">
        <v>0</v>
      </c>
      <c r="BO7" s="101">
        <v>44750</v>
      </c>
      <c r="BP7" s="14" t="s">
        <v>31</v>
      </c>
      <c r="BQ7" s="101">
        <v>44768</v>
      </c>
      <c r="BR7" s="9"/>
      <c r="BS7" s="39">
        <v>14657817</v>
      </c>
      <c r="BT7" s="39">
        <f>BJ7-BS7</f>
        <v>0</v>
      </c>
      <c r="BU7" s="39"/>
      <c r="BV7" s="39"/>
      <c r="BW7" s="9">
        <v>0</v>
      </c>
      <c r="BX7" s="101">
        <v>44778</v>
      </c>
      <c r="BY7" s="14" t="s">
        <v>31</v>
      </c>
      <c r="BZ7" s="14"/>
      <c r="CA7" s="9"/>
      <c r="CB7" s="39"/>
      <c r="CC7" s="39"/>
      <c r="CD7" s="39"/>
      <c r="CE7" s="39"/>
      <c r="CF7" s="9"/>
      <c r="CG7" s="101"/>
      <c r="CH7" s="14"/>
      <c r="CI7" s="14"/>
      <c r="CJ7" s="9"/>
      <c r="CK7" s="39"/>
      <c r="CL7" s="39"/>
      <c r="CM7" s="39"/>
      <c r="CN7" s="39"/>
      <c r="CO7" s="9"/>
      <c r="CP7" s="101"/>
      <c r="CQ7" s="14"/>
      <c r="CR7" s="14"/>
      <c r="CS7" s="9"/>
      <c r="CT7" s="39"/>
      <c r="CU7" s="39"/>
      <c r="CV7" s="39"/>
      <c r="CW7" s="39"/>
      <c r="CX7" s="9"/>
      <c r="CY7" s="101"/>
      <c r="CZ7" s="14"/>
      <c r="DA7" s="86"/>
      <c r="DB7" s="9"/>
      <c r="DC7" s="39"/>
      <c r="DD7" s="39"/>
      <c r="DE7" s="39"/>
      <c r="DF7" s="39"/>
      <c r="DG7" s="9"/>
      <c r="DH7" s="101"/>
      <c r="DI7" s="14"/>
      <c r="DJ7" s="14"/>
    </row>
    <row r="8" spans="1:114" hidden="1" x14ac:dyDescent="0.35">
      <c r="A8" s="1" t="s">
        <v>51</v>
      </c>
      <c r="B8" s="14" t="s">
        <v>52</v>
      </c>
      <c r="C8" s="14" t="s">
        <v>29</v>
      </c>
      <c r="D8" s="2">
        <v>9355</v>
      </c>
      <c r="E8" s="3">
        <v>210421</v>
      </c>
      <c r="F8" s="3" t="s">
        <v>53</v>
      </c>
      <c r="G8" s="51" t="s">
        <v>54</v>
      </c>
      <c r="H8" s="39">
        <v>20336501</v>
      </c>
      <c r="I8" s="39">
        <v>19140236</v>
      </c>
      <c r="J8" s="39"/>
      <c r="K8" s="39">
        <v>19140236</v>
      </c>
      <c r="L8" s="39">
        <f>I8-K8</f>
        <v>0</v>
      </c>
      <c r="M8" s="39"/>
      <c r="N8" s="39"/>
      <c r="O8" s="9">
        <v>0</v>
      </c>
      <c r="P8" s="101">
        <v>44574</v>
      </c>
      <c r="Q8" s="14" t="s">
        <v>31</v>
      </c>
      <c r="R8" s="20"/>
      <c r="S8" s="39">
        <v>20336501</v>
      </c>
      <c r="T8" s="8">
        <f>K8-S8</f>
        <v>-1196265</v>
      </c>
      <c r="U8" s="14"/>
      <c r="V8" s="9">
        <f>T8/K8</f>
        <v>-6.2500013061489945E-2</v>
      </c>
      <c r="W8" s="102">
        <v>44593</v>
      </c>
      <c r="X8" s="14" t="s">
        <v>31</v>
      </c>
      <c r="Y8" s="20"/>
      <c r="Z8" s="14"/>
      <c r="AA8" s="39">
        <v>20336501</v>
      </c>
      <c r="AB8" s="39">
        <f>S8-AA8</f>
        <v>0</v>
      </c>
      <c r="AC8" s="14"/>
      <c r="AD8" s="9">
        <v>0</v>
      </c>
      <c r="AE8" s="102">
        <v>44621</v>
      </c>
      <c r="AF8" s="14" t="s">
        <v>31</v>
      </c>
      <c r="AG8" s="20"/>
      <c r="AH8" s="14"/>
      <c r="AI8" s="39">
        <v>20336501</v>
      </c>
      <c r="AJ8" s="39">
        <f>AA8-AI8</f>
        <v>0</v>
      </c>
      <c r="AK8" s="39"/>
      <c r="AL8" s="39"/>
      <c r="AM8" s="9">
        <v>0</v>
      </c>
      <c r="AN8" s="101">
        <v>44655</v>
      </c>
      <c r="AO8" s="14" t="s">
        <v>31</v>
      </c>
      <c r="AP8" s="14"/>
      <c r="AQ8" s="58"/>
      <c r="AR8" s="39">
        <v>20336501</v>
      </c>
      <c r="AS8" s="39">
        <f>AI8-AR8</f>
        <v>0</v>
      </c>
      <c r="AT8" s="39"/>
      <c r="AU8" s="39"/>
      <c r="AV8" s="9">
        <v>0</v>
      </c>
      <c r="AW8" s="101">
        <v>44683</v>
      </c>
      <c r="AX8" s="14" t="s">
        <v>31</v>
      </c>
      <c r="AY8" s="14"/>
      <c r="AZ8" s="9"/>
      <c r="BA8" s="39">
        <v>20336501</v>
      </c>
      <c r="BB8" s="39">
        <f>AR8-BA8</f>
        <v>0</v>
      </c>
      <c r="BC8" s="39"/>
      <c r="BD8" s="39"/>
      <c r="BE8" s="9">
        <v>0</v>
      </c>
      <c r="BF8" s="101">
        <v>44713</v>
      </c>
      <c r="BG8" s="14" t="s">
        <v>31</v>
      </c>
      <c r="BH8" s="101">
        <v>44728</v>
      </c>
      <c r="BI8" s="9"/>
      <c r="BJ8" s="39">
        <v>20336501</v>
      </c>
      <c r="BK8" s="39">
        <f>BA8-BJ8</f>
        <v>0</v>
      </c>
      <c r="BL8" s="39"/>
      <c r="BM8" s="39"/>
      <c r="BN8" s="9">
        <v>0</v>
      </c>
      <c r="BO8" s="101">
        <v>44743</v>
      </c>
      <c r="BP8" s="14" t="s">
        <v>31</v>
      </c>
      <c r="BQ8" s="101">
        <v>44757</v>
      </c>
      <c r="BR8" s="9"/>
      <c r="BS8" s="39">
        <v>20336501</v>
      </c>
      <c r="BT8" s="39">
        <f>BJ8-BS8</f>
        <v>0</v>
      </c>
      <c r="BU8" s="39"/>
      <c r="BV8" s="39"/>
      <c r="BW8" s="9">
        <v>0</v>
      </c>
      <c r="BX8" s="101">
        <v>44789</v>
      </c>
      <c r="BY8" s="14" t="s">
        <v>31</v>
      </c>
      <c r="BZ8" s="14"/>
      <c r="CA8" s="9"/>
      <c r="CB8" s="39"/>
      <c r="CC8" s="39"/>
      <c r="CD8" s="39"/>
      <c r="CE8" s="39"/>
      <c r="CF8" s="9"/>
      <c r="CG8" s="101"/>
      <c r="CH8" s="14"/>
      <c r="CI8" s="14"/>
      <c r="CJ8" s="9"/>
      <c r="CK8" s="39"/>
      <c r="CL8" s="39"/>
      <c r="CM8" s="39"/>
      <c r="CN8" s="39"/>
      <c r="CO8" s="9"/>
      <c r="CP8" s="101"/>
      <c r="CQ8" s="14"/>
      <c r="CR8" s="14"/>
      <c r="CS8" s="9"/>
      <c r="CT8" s="39"/>
      <c r="CU8" s="39"/>
      <c r="CV8" s="39"/>
      <c r="CW8" s="39"/>
      <c r="CX8" s="9"/>
      <c r="CY8" s="101"/>
      <c r="CZ8" s="14"/>
      <c r="DA8" s="86"/>
      <c r="DB8" s="9"/>
      <c r="DC8" s="39"/>
      <c r="DD8" s="39"/>
      <c r="DE8" s="39"/>
      <c r="DF8" s="39"/>
      <c r="DG8" s="9"/>
      <c r="DH8" s="101"/>
      <c r="DI8" s="14"/>
      <c r="DJ8" s="14"/>
    </row>
    <row r="9" spans="1:114" hidden="1" x14ac:dyDescent="0.35">
      <c r="A9" s="1" t="s">
        <v>51</v>
      </c>
      <c r="B9" s="14" t="s">
        <v>52</v>
      </c>
      <c r="C9" s="14" t="s">
        <v>29</v>
      </c>
      <c r="D9" s="2">
        <v>9355</v>
      </c>
      <c r="E9" s="3">
        <v>210420</v>
      </c>
      <c r="F9" s="3" t="s">
        <v>56</v>
      </c>
      <c r="G9" s="51" t="s">
        <v>57</v>
      </c>
      <c r="H9" s="39">
        <v>20336501</v>
      </c>
      <c r="I9" s="39">
        <v>19140236</v>
      </c>
      <c r="J9" s="39"/>
      <c r="K9" s="39">
        <v>19140236</v>
      </c>
      <c r="L9" s="39">
        <f>I9-K9</f>
        <v>0</v>
      </c>
      <c r="M9" s="39"/>
      <c r="N9" s="39"/>
      <c r="O9" s="9">
        <v>0</v>
      </c>
      <c r="P9" s="102">
        <v>44564</v>
      </c>
      <c r="Q9" s="3" t="s">
        <v>31</v>
      </c>
      <c r="R9" s="20"/>
      <c r="S9" s="39">
        <v>20336501</v>
      </c>
      <c r="T9" s="8">
        <f>K9-S9</f>
        <v>-1196265</v>
      </c>
      <c r="U9" s="14"/>
      <c r="V9" s="9">
        <f>T9/K9</f>
        <v>-6.2500013061489945E-2</v>
      </c>
      <c r="W9" s="101">
        <v>44594</v>
      </c>
      <c r="X9" s="14" t="s">
        <v>31</v>
      </c>
      <c r="Y9" s="20"/>
      <c r="Z9" s="14"/>
      <c r="AA9" s="39">
        <v>20336501</v>
      </c>
      <c r="AB9" s="39">
        <f>S9-AA9</f>
        <v>0</v>
      </c>
      <c r="AC9" s="14"/>
      <c r="AD9" s="9">
        <v>0</v>
      </c>
      <c r="AE9" s="102">
        <v>44621</v>
      </c>
      <c r="AF9" s="14" t="s">
        <v>31</v>
      </c>
      <c r="AG9" s="20"/>
      <c r="AH9" s="9"/>
      <c r="AI9" s="39">
        <v>20336501</v>
      </c>
      <c r="AJ9" s="39">
        <f>AA9-AI9</f>
        <v>0</v>
      </c>
      <c r="AK9" s="39"/>
      <c r="AL9" s="39"/>
      <c r="AM9" s="9">
        <v>0</v>
      </c>
      <c r="AN9" s="101">
        <v>44655</v>
      </c>
      <c r="AO9" s="14" t="s">
        <v>31</v>
      </c>
      <c r="AP9" s="14"/>
      <c r="AQ9" s="58"/>
      <c r="AR9" s="39">
        <v>20336501</v>
      </c>
      <c r="AS9" s="39">
        <f>AI9-AR9</f>
        <v>0</v>
      </c>
      <c r="AT9" s="39"/>
      <c r="AU9" s="39"/>
      <c r="AV9" s="9">
        <v>0</v>
      </c>
      <c r="AW9" s="101">
        <v>44683</v>
      </c>
      <c r="AX9" s="14" t="s">
        <v>31</v>
      </c>
      <c r="AY9" s="14"/>
      <c r="AZ9" s="9"/>
      <c r="BA9" s="39">
        <v>20336501</v>
      </c>
      <c r="BB9" s="39">
        <f>AR9-BA9</f>
        <v>0</v>
      </c>
      <c r="BC9" s="39"/>
      <c r="BD9" s="39"/>
      <c r="BE9" s="9">
        <v>0</v>
      </c>
      <c r="BF9" s="101">
        <v>44713</v>
      </c>
      <c r="BG9" s="14" t="s">
        <v>31</v>
      </c>
      <c r="BH9" s="101">
        <v>44728</v>
      </c>
      <c r="BI9" s="9"/>
      <c r="BJ9" s="39">
        <v>20336501</v>
      </c>
      <c r="BK9" s="39">
        <f>BA9-BJ9</f>
        <v>0</v>
      </c>
      <c r="BL9" s="39"/>
      <c r="BM9" s="39"/>
      <c r="BN9" s="9">
        <v>0</v>
      </c>
      <c r="BO9" s="101">
        <v>44743</v>
      </c>
      <c r="BP9" s="14" t="s">
        <v>31</v>
      </c>
      <c r="BQ9" s="101">
        <v>44757</v>
      </c>
      <c r="BR9" s="9"/>
      <c r="BS9" s="39">
        <v>20336501</v>
      </c>
      <c r="BT9" s="39">
        <f>BJ9-BS9</f>
        <v>0</v>
      </c>
      <c r="BU9" s="39"/>
      <c r="BV9" s="39"/>
      <c r="BW9" s="9">
        <v>0</v>
      </c>
      <c r="BX9" s="101">
        <v>44774</v>
      </c>
      <c r="BY9" s="14" t="s">
        <v>31</v>
      </c>
      <c r="BZ9" s="14"/>
      <c r="CA9" s="9"/>
      <c r="CB9" s="39"/>
      <c r="CC9" s="39"/>
      <c r="CD9" s="39"/>
      <c r="CE9" s="39"/>
      <c r="CF9" s="9"/>
      <c r="CG9" s="101"/>
      <c r="CH9" s="14"/>
      <c r="CI9" s="14"/>
      <c r="CJ9" s="9"/>
      <c r="CK9" s="39"/>
      <c r="CL9" s="39"/>
      <c r="CM9" s="39"/>
      <c r="CN9" s="39"/>
      <c r="CO9" s="9"/>
      <c r="CP9" s="101"/>
      <c r="CQ9" s="14"/>
      <c r="CR9" s="14"/>
      <c r="CS9" s="9"/>
      <c r="CT9" s="39"/>
      <c r="CU9" s="39"/>
      <c r="CV9" s="39"/>
      <c r="CW9" s="39"/>
      <c r="CX9" s="9"/>
      <c r="CY9" s="101"/>
      <c r="CZ9" s="14"/>
      <c r="DA9" s="86"/>
      <c r="DB9" s="9"/>
      <c r="DC9" s="39"/>
      <c r="DD9" s="39"/>
      <c r="DE9" s="39"/>
      <c r="DF9" s="39"/>
      <c r="DG9" s="9"/>
      <c r="DH9" s="101"/>
      <c r="DI9" s="14"/>
      <c r="DJ9" s="14"/>
    </row>
    <row r="10" spans="1:114" hidden="1" x14ac:dyDescent="0.35">
      <c r="A10" s="1" t="s">
        <v>58</v>
      </c>
      <c r="B10" s="14" t="s">
        <v>59</v>
      </c>
      <c r="C10" s="14" t="s">
        <v>60</v>
      </c>
      <c r="D10" s="2" t="s">
        <v>61</v>
      </c>
      <c r="E10" s="3">
        <v>230440</v>
      </c>
      <c r="F10" s="3" t="s">
        <v>62</v>
      </c>
      <c r="G10" s="52">
        <v>830054539</v>
      </c>
      <c r="H10" s="203" t="s">
        <v>61</v>
      </c>
      <c r="I10" s="204"/>
      <c r="J10" s="39"/>
      <c r="K10" s="39">
        <f>177488+6056825</f>
        <v>6234313</v>
      </c>
      <c r="L10" s="39">
        <v>0</v>
      </c>
      <c r="M10" s="39"/>
      <c r="N10" s="39"/>
      <c r="O10" s="9">
        <v>0</v>
      </c>
      <c r="P10" s="102">
        <v>44587</v>
      </c>
      <c r="Q10" s="14" t="s">
        <v>31</v>
      </c>
      <c r="R10" s="20"/>
      <c r="S10" s="39">
        <v>2824188</v>
      </c>
      <c r="T10" s="39">
        <v>0</v>
      </c>
      <c r="U10" s="14"/>
      <c r="V10" s="9">
        <v>0</v>
      </c>
      <c r="W10" s="101">
        <v>44616</v>
      </c>
      <c r="X10" s="14" t="s">
        <v>31</v>
      </c>
      <c r="Y10" s="20"/>
      <c r="Z10" s="14"/>
      <c r="AA10" s="39">
        <v>719814</v>
      </c>
      <c r="AB10" s="39">
        <v>0</v>
      </c>
      <c r="AC10" s="14"/>
      <c r="AD10" s="9">
        <v>0</v>
      </c>
      <c r="AE10" s="101">
        <v>44643</v>
      </c>
      <c r="AF10" s="14" t="s">
        <v>31</v>
      </c>
      <c r="AG10" s="20"/>
      <c r="AH10" s="9"/>
      <c r="AI10" s="39">
        <v>1894911</v>
      </c>
      <c r="AJ10" s="39">
        <v>0</v>
      </c>
      <c r="AK10" s="39"/>
      <c r="AL10" s="39"/>
      <c r="AM10" s="9">
        <v>0</v>
      </c>
      <c r="AN10" s="102">
        <v>44672</v>
      </c>
      <c r="AO10" s="14" t="s">
        <v>31</v>
      </c>
      <c r="AP10" s="14"/>
      <c r="AQ10" s="58"/>
      <c r="AR10" s="39">
        <v>2266815</v>
      </c>
      <c r="AS10" s="39">
        <v>0</v>
      </c>
      <c r="AT10" s="39"/>
      <c r="AU10" s="39"/>
      <c r="AV10" s="9">
        <v>0</v>
      </c>
      <c r="AW10" s="101">
        <v>44704</v>
      </c>
      <c r="AX10" s="14" t="s">
        <v>31</v>
      </c>
      <c r="AY10" s="14"/>
      <c r="AZ10" s="163" t="s">
        <v>532</v>
      </c>
      <c r="BA10" s="164"/>
      <c r="BB10" s="164"/>
      <c r="BC10" s="164"/>
      <c r="BD10" s="164"/>
      <c r="BE10" s="164"/>
      <c r="BF10" s="164"/>
      <c r="BG10" s="164"/>
      <c r="BH10" s="165"/>
      <c r="BI10" s="163" t="s">
        <v>532</v>
      </c>
      <c r="BJ10" s="164"/>
      <c r="BK10" s="164"/>
      <c r="BL10" s="164"/>
      <c r="BM10" s="164"/>
      <c r="BN10" s="164"/>
      <c r="BO10" s="164"/>
      <c r="BP10" s="164"/>
      <c r="BQ10" s="165"/>
      <c r="BR10" s="9"/>
      <c r="BS10" s="39"/>
      <c r="BT10" s="39"/>
      <c r="BU10" s="39"/>
      <c r="BV10" s="39"/>
      <c r="BW10" s="9"/>
      <c r="BX10" s="101"/>
      <c r="BY10" s="14"/>
      <c r="BZ10" s="14"/>
      <c r="CA10" s="9"/>
      <c r="CB10" s="39"/>
      <c r="CC10" s="39"/>
      <c r="CD10" s="39"/>
      <c r="CE10" s="39"/>
      <c r="CF10" s="9"/>
      <c r="CG10" s="101"/>
      <c r="CH10" s="14"/>
      <c r="CI10" s="14"/>
      <c r="CJ10" s="163"/>
      <c r="CK10" s="164"/>
      <c r="CL10" s="164"/>
      <c r="CM10" s="164"/>
      <c r="CN10" s="164"/>
      <c r="CO10" s="164"/>
      <c r="CP10" s="164"/>
      <c r="CQ10" s="164"/>
      <c r="CR10" s="165"/>
      <c r="CS10" s="9"/>
      <c r="CT10" s="39"/>
      <c r="CU10" s="39"/>
      <c r="CV10" s="39"/>
      <c r="CW10" s="39"/>
      <c r="CX10" s="9"/>
      <c r="CY10" s="101"/>
      <c r="CZ10" s="14"/>
      <c r="DA10" s="86"/>
      <c r="DB10" s="9"/>
      <c r="DC10" s="39"/>
      <c r="DD10" s="39"/>
      <c r="DE10" s="39"/>
      <c r="DF10" s="39"/>
      <c r="DG10" s="9"/>
      <c r="DH10" s="101"/>
      <c r="DI10" s="14"/>
      <c r="DJ10" s="14"/>
    </row>
    <row r="11" spans="1:114" hidden="1" x14ac:dyDescent="0.35">
      <c r="A11" s="1" t="s">
        <v>58</v>
      </c>
      <c r="B11" s="14" t="s">
        <v>59</v>
      </c>
      <c r="C11" s="14" t="s">
        <v>60</v>
      </c>
      <c r="D11" s="2">
        <v>9596</v>
      </c>
      <c r="E11" s="3">
        <v>230440</v>
      </c>
      <c r="F11" s="3" t="s">
        <v>63</v>
      </c>
      <c r="G11" s="52">
        <v>830054539</v>
      </c>
      <c r="H11" s="39">
        <v>10008106</v>
      </c>
      <c r="I11" s="39">
        <v>9965819</v>
      </c>
      <c r="J11" s="39"/>
      <c r="K11" s="39">
        <v>10008106</v>
      </c>
      <c r="L11" s="39">
        <f>I11-K11</f>
        <v>-42287</v>
      </c>
      <c r="M11" s="39"/>
      <c r="N11" s="39"/>
      <c r="O11" s="9">
        <f>L11/I11</f>
        <v>-4.2432036945483356E-3</v>
      </c>
      <c r="P11" s="102">
        <v>44575</v>
      </c>
      <c r="Q11" s="14" t="s">
        <v>31</v>
      </c>
      <c r="R11" s="20"/>
      <c r="S11" s="39">
        <v>10008106</v>
      </c>
      <c r="T11" s="8">
        <f>K11-S11</f>
        <v>0</v>
      </c>
      <c r="U11" s="14"/>
      <c r="V11" s="9">
        <v>0</v>
      </c>
      <c r="W11" s="102">
        <v>44600</v>
      </c>
      <c r="X11" s="14" t="s">
        <v>31</v>
      </c>
      <c r="Y11" s="20"/>
      <c r="Z11" s="14"/>
      <c r="AA11" s="57">
        <v>10008106</v>
      </c>
      <c r="AB11" s="57">
        <f>S11-AA11</f>
        <v>0</v>
      </c>
      <c r="AC11" s="14"/>
      <c r="AD11" s="58">
        <v>0</v>
      </c>
      <c r="AE11" s="101">
        <v>44624</v>
      </c>
      <c r="AF11" s="14" t="s">
        <v>31</v>
      </c>
      <c r="AG11" s="14"/>
      <c r="AH11" s="14"/>
      <c r="AI11" s="111">
        <v>10008106</v>
      </c>
      <c r="AJ11" s="8">
        <f>AA11-AI11</f>
        <v>0</v>
      </c>
      <c r="AK11" s="14"/>
      <c r="AL11" s="14"/>
      <c r="AM11" s="113">
        <v>0</v>
      </c>
      <c r="AN11" s="101">
        <v>44657</v>
      </c>
      <c r="AO11" s="14" t="s">
        <v>31</v>
      </c>
      <c r="AP11" s="14"/>
      <c r="AQ11" s="14"/>
      <c r="AR11" s="111">
        <v>10008106</v>
      </c>
      <c r="AS11" s="111">
        <f>AI11-AR11</f>
        <v>0</v>
      </c>
      <c r="AT11" s="14"/>
      <c r="AU11" s="14"/>
      <c r="AV11" s="113">
        <v>0</v>
      </c>
      <c r="AW11" s="101">
        <v>44687</v>
      </c>
      <c r="AX11" s="14" t="s">
        <v>31</v>
      </c>
      <c r="AY11" s="14"/>
      <c r="AZ11" s="9"/>
      <c r="BA11" s="39">
        <v>10008106</v>
      </c>
      <c r="BB11" s="39">
        <f>AR11-BA11</f>
        <v>0</v>
      </c>
      <c r="BC11" s="39"/>
      <c r="BD11" s="39"/>
      <c r="BE11" s="9">
        <v>0</v>
      </c>
      <c r="BF11" s="101">
        <v>44721</v>
      </c>
      <c r="BG11" s="14" t="s">
        <v>31</v>
      </c>
      <c r="BH11" s="101">
        <v>44728</v>
      </c>
      <c r="BI11" s="14"/>
      <c r="BJ11" s="111">
        <v>10008106</v>
      </c>
      <c r="BK11" s="8">
        <f>BA11-BJ11</f>
        <v>0</v>
      </c>
      <c r="BL11" s="14"/>
      <c r="BM11" s="14"/>
      <c r="BN11" s="113">
        <v>0</v>
      </c>
      <c r="BO11" s="101">
        <v>44750</v>
      </c>
      <c r="BP11" s="14" t="s">
        <v>31</v>
      </c>
      <c r="BQ11" s="101">
        <v>44757</v>
      </c>
      <c r="BR11" s="14"/>
      <c r="BS11" s="111">
        <v>10008106</v>
      </c>
      <c r="BT11" s="8">
        <f>BJ11-BS11</f>
        <v>0</v>
      </c>
      <c r="BU11" s="14"/>
      <c r="BV11" s="14"/>
      <c r="BW11" s="113">
        <v>0</v>
      </c>
      <c r="BX11" s="101">
        <v>44778</v>
      </c>
      <c r="BY11" s="14" t="s">
        <v>31</v>
      </c>
      <c r="BZ11" s="14"/>
      <c r="CA11" s="9"/>
      <c r="CB11" s="39"/>
      <c r="CC11" s="39"/>
      <c r="CD11" s="39"/>
      <c r="CE11" s="39"/>
      <c r="CF11" s="9"/>
      <c r="CG11" s="101"/>
      <c r="CH11" s="14"/>
      <c r="CI11" s="14"/>
      <c r="CJ11" s="9"/>
      <c r="CK11" s="39"/>
      <c r="CL11" s="39"/>
      <c r="CM11" s="39"/>
      <c r="CN11" s="39"/>
      <c r="CO11" s="9"/>
      <c r="CP11" s="101"/>
      <c r="CQ11" s="14"/>
      <c r="CR11" s="14"/>
      <c r="CS11" s="9"/>
      <c r="CT11" s="39"/>
      <c r="CU11" s="39"/>
      <c r="CV11" s="39"/>
      <c r="CW11" s="39"/>
      <c r="CX11" s="9"/>
      <c r="CY11" s="101"/>
      <c r="CZ11" s="14"/>
      <c r="DA11" s="86"/>
      <c r="DB11" s="9"/>
      <c r="DC11" s="39"/>
      <c r="DD11" s="39"/>
      <c r="DE11" s="39"/>
      <c r="DF11" s="39"/>
      <c r="DG11" s="9"/>
      <c r="DH11" s="101"/>
      <c r="DI11" s="14"/>
      <c r="DJ11" s="14"/>
    </row>
    <row r="12" spans="1:114" hidden="1" x14ac:dyDescent="0.35">
      <c r="A12" s="1" t="s">
        <v>64</v>
      </c>
      <c r="B12" s="14" t="s">
        <v>65</v>
      </c>
      <c r="C12" s="14" t="s">
        <v>66</v>
      </c>
      <c r="D12" s="2" t="s">
        <v>67</v>
      </c>
      <c r="E12" s="3" t="s">
        <v>68</v>
      </c>
      <c r="F12" s="3" t="s">
        <v>69</v>
      </c>
      <c r="G12" s="51" t="s">
        <v>70</v>
      </c>
      <c r="H12" s="39">
        <v>14162516</v>
      </c>
      <c r="I12" s="39">
        <v>13408964</v>
      </c>
      <c r="J12" s="39"/>
      <c r="K12" s="39">
        <v>13408964</v>
      </c>
      <c r="L12" s="39">
        <f>I12-K12</f>
        <v>0</v>
      </c>
      <c r="M12" s="39"/>
      <c r="N12" s="39"/>
      <c r="O12" s="9">
        <v>0</v>
      </c>
      <c r="P12" s="101">
        <v>44567</v>
      </c>
      <c r="Q12" s="101" t="s">
        <v>31</v>
      </c>
      <c r="R12" s="20"/>
      <c r="S12" s="39">
        <f>13408964+77402</f>
        <v>13486366</v>
      </c>
      <c r="T12" s="8">
        <f>K12-S12</f>
        <v>-77402</v>
      </c>
      <c r="U12" s="14"/>
      <c r="V12" s="9">
        <v>0</v>
      </c>
      <c r="W12" s="102">
        <v>44606</v>
      </c>
      <c r="X12" s="14" t="s">
        <v>31</v>
      </c>
      <c r="Y12" s="20"/>
      <c r="Z12" s="14"/>
      <c r="AA12" s="57">
        <v>13408964</v>
      </c>
      <c r="AB12" s="57">
        <f>K12-AA12</f>
        <v>0</v>
      </c>
      <c r="AC12" s="14"/>
      <c r="AD12" s="58">
        <v>0</v>
      </c>
      <c r="AE12" s="131">
        <v>44622</v>
      </c>
      <c r="AF12" s="14" t="s">
        <v>31</v>
      </c>
      <c r="AG12" s="14"/>
      <c r="AH12" s="14"/>
      <c r="AI12" s="111">
        <v>13760622</v>
      </c>
      <c r="AJ12" s="8"/>
      <c r="AK12" s="8">
        <f>AA12-AI12</f>
        <v>-351658</v>
      </c>
      <c r="AL12" s="14"/>
      <c r="AM12" s="113">
        <f>AK12/AA12</f>
        <v>-2.6225590582538667E-2</v>
      </c>
      <c r="AN12" s="101">
        <v>44656</v>
      </c>
      <c r="AO12" s="14" t="s">
        <v>31</v>
      </c>
      <c r="AP12" s="14"/>
      <c r="AQ12" s="14"/>
      <c r="AR12" s="111">
        <f>14162516+108286</f>
        <v>14270802</v>
      </c>
      <c r="AS12" s="14"/>
      <c r="AT12" s="8">
        <f>AI12-AR12</f>
        <v>-510180</v>
      </c>
      <c r="AU12" s="14"/>
      <c r="AV12" s="113">
        <f>AT12/AI12</f>
        <v>-3.7075358948163828E-2</v>
      </c>
      <c r="AW12" s="101">
        <v>44693</v>
      </c>
      <c r="AX12" s="14" t="s">
        <v>31</v>
      </c>
      <c r="AY12" s="14"/>
      <c r="AZ12" s="14"/>
      <c r="BA12" s="111">
        <v>14162516</v>
      </c>
      <c r="BB12" s="8">
        <f>AR12-BA12</f>
        <v>108286</v>
      </c>
      <c r="BC12" s="14"/>
      <c r="BD12" s="14"/>
      <c r="BE12" s="113">
        <f>BB12/AR12</f>
        <v>7.5879407478290292E-3</v>
      </c>
      <c r="BF12" s="101">
        <v>44713</v>
      </c>
      <c r="BG12" s="14" t="s">
        <v>31</v>
      </c>
      <c r="BH12" s="101">
        <v>44728</v>
      </c>
      <c r="BI12" s="9"/>
      <c r="BJ12" s="39">
        <v>14162516</v>
      </c>
      <c r="BK12" s="39">
        <f>BA12-BJ12</f>
        <v>0</v>
      </c>
      <c r="BL12" s="39"/>
      <c r="BM12" s="39"/>
      <c r="BN12" s="9">
        <v>0</v>
      </c>
      <c r="BO12" s="101">
        <v>44743</v>
      </c>
      <c r="BP12" s="14" t="s">
        <v>31</v>
      </c>
      <c r="BQ12" s="101">
        <v>44757</v>
      </c>
      <c r="BR12" s="9"/>
      <c r="BS12" s="39">
        <v>14162516</v>
      </c>
      <c r="BT12" s="39">
        <f>BJ12-BS12</f>
        <v>0</v>
      </c>
      <c r="BU12" s="39"/>
      <c r="BV12" s="39"/>
      <c r="BW12" s="9">
        <v>0</v>
      </c>
      <c r="BX12" s="101">
        <v>44774</v>
      </c>
      <c r="BY12" s="14" t="s">
        <v>31</v>
      </c>
      <c r="CA12" s="9"/>
      <c r="CB12" s="39"/>
      <c r="CC12" s="39"/>
      <c r="CD12" s="39"/>
      <c r="CE12" s="39"/>
      <c r="CF12" s="9"/>
      <c r="CG12" s="101"/>
      <c r="CH12" s="14"/>
      <c r="CI12" s="14"/>
      <c r="CJ12" s="9"/>
      <c r="CK12" s="39"/>
      <c r="CL12" s="39"/>
      <c r="CM12" s="39"/>
      <c r="CN12" s="39"/>
      <c r="CO12" s="9"/>
      <c r="CP12" s="101"/>
      <c r="CQ12" s="14"/>
      <c r="CR12" s="14"/>
      <c r="CS12" s="9"/>
      <c r="CT12" s="39"/>
      <c r="CU12" s="39"/>
      <c r="CV12" s="39"/>
      <c r="CW12" s="39"/>
      <c r="CX12" s="9"/>
      <c r="CY12" s="101"/>
      <c r="CZ12" s="14"/>
      <c r="DA12" s="86"/>
      <c r="DB12" s="9"/>
      <c r="DC12" s="39"/>
      <c r="DD12" s="39"/>
      <c r="DE12" s="39"/>
      <c r="DF12" s="39"/>
      <c r="DG12" s="9"/>
      <c r="DH12" s="101"/>
      <c r="DI12" s="14"/>
      <c r="DJ12" s="14"/>
    </row>
    <row r="13" spans="1:114" hidden="1" x14ac:dyDescent="0.35">
      <c r="A13" s="1" t="s">
        <v>64</v>
      </c>
      <c r="B13" s="14" t="s">
        <v>65</v>
      </c>
      <c r="C13" s="14" t="s">
        <v>66</v>
      </c>
      <c r="D13" s="2" t="s">
        <v>61</v>
      </c>
      <c r="E13" s="3" t="s">
        <v>68</v>
      </c>
      <c r="F13" s="3" t="s">
        <v>69</v>
      </c>
      <c r="G13" s="51" t="s">
        <v>70</v>
      </c>
      <c r="H13" s="203" t="s">
        <v>61</v>
      </c>
      <c r="I13" s="204"/>
      <c r="J13" s="39"/>
      <c r="K13" s="39">
        <v>3887336</v>
      </c>
      <c r="L13" s="39">
        <v>0</v>
      </c>
      <c r="M13" s="39"/>
      <c r="N13" s="39"/>
      <c r="O13" s="9">
        <v>0</v>
      </c>
      <c r="P13" s="101">
        <v>44573</v>
      </c>
      <c r="Q13" s="101" t="s">
        <v>31</v>
      </c>
      <c r="R13" s="20"/>
      <c r="S13" s="39">
        <v>3570574</v>
      </c>
      <c r="T13" s="8">
        <v>0</v>
      </c>
      <c r="U13" s="14"/>
      <c r="V13" s="9">
        <v>0</v>
      </c>
      <c r="W13" s="101">
        <v>44603</v>
      </c>
      <c r="X13" s="14" t="s">
        <v>31</v>
      </c>
      <c r="Y13" s="20"/>
      <c r="Z13" s="172" t="s">
        <v>533</v>
      </c>
      <c r="AA13" s="173"/>
      <c r="AB13" s="173"/>
      <c r="AC13" s="173"/>
      <c r="AD13" s="173"/>
      <c r="AE13" s="173"/>
      <c r="AF13" s="173"/>
      <c r="AG13" s="174"/>
      <c r="AH13" s="9"/>
      <c r="AI13" s="39">
        <v>457074</v>
      </c>
      <c r="AJ13" s="39">
        <v>0</v>
      </c>
      <c r="AK13" s="39"/>
      <c r="AL13" s="39"/>
      <c r="AM13" s="9">
        <v>0</v>
      </c>
      <c r="AN13" s="101">
        <v>44662</v>
      </c>
      <c r="AO13" s="14" t="s">
        <v>31</v>
      </c>
      <c r="AP13" s="14"/>
      <c r="AQ13" s="58"/>
      <c r="AR13" s="39"/>
      <c r="AS13" s="39"/>
      <c r="AT13" s="39"/>
      <c r="AU13" s="39"/>
      <c r="AV13" s="9"/>
      <c r="AW13" s="101"/>
      <c r="AX13" s="14"/>
      <c r="AY13" s="14"/>
      <c r="AZ13" s="9"/>
      <c r="BA13" s="39">
        <v>1989923</v>
      </c>
      <c r="BB13" s="39">
        <v>0</v>
      </c>
      <c r="BC13" s="39"/>
      <c r="BD13" s="39"/>
      <c r="BE13" s="9">
        <v>0</v>
      </c>
      <c r="BF13" s="101">
        <v>44718</v>
      </c>
      <c r="BG13" s="14" t="s">
        <v>31</v>
      </c>
      <c r="BH13" s="101">
        <v>44728</v>
      </c>
      <c r="BI13" s="9"/>
      <c r="BJ13" s="39">
        <v>500133</v>
      </c>
      <c r="BK13" s="39">
        <v>0</v>
      </c>
      <c r="BL13" s="39"/>
      <c r="BM13" s="39"/>
      <c r="BN13" s="9">
        <v>0</v>
      </c>
      <c r="BO13" s="101">
        <v>44753</v>
      </c>
      <c r="BP13" s="14" t="s">
        <v>31</v>
      </c>
      <c r="BQ13" s="101">
        <v>44768</v>
      </c>
      <c r="BR13" s="9"/>
      <c r="BS13" s="39">
        <v>389101</v>
      </c>
      <c r="BT13" s="39">
        <v>0</v>
      </c>
      <c r="BU13" s="39"/>
      <c r="BV13" s="39"/>
      <c r="BW13" s="9">
        <v>0</v>
      </c>
      <c r="BX13" s="101">
        <v>44784</v>
      </c>
      <c r="BY13" s="14" t="s">
        <v>31</v>
      </c>
      <c r="BZ13" s="14"/>
      <c r="CA13" s="9"/>
      <c r="CB13" s="39"/>
      <c r="CC13" s="39"/>
      <c r="CD13" s="39"/>
      <c r="CE13" s="39"/>
      <c r="CF13" s="9"/>
      <c r="CG13" s="101"/>
      <c r="CH13" s="14"/>
      <c r="CI13" s="14"/>
      <c r="CJ13" s="9"/>
      <c r="CK13" s="39"/>
      <c r="CL13" s="39"/>
      <c r="CM13" s="39"/>
      <c r="CN13" s="39"/>
      <c r="CO13" s="9"/>
      <c r="CP13" s="101"/>
      <c r="CQ13" s="14"/>
      <c r="CR13" s="14"/>
      <c r="CS13" s="9"/>
      <c r="CT13" s="39"/>
      <c r="CU13" s="39"/>
      <c r="CV13" s="39"/>
      <c r="CW13" s="39"/>
      <c r="CX13" s="9"/>
      <c r="CY13" s="101"/>
      <c r="CZ13" s="14"/>
      <c r="DA13" s="86"/>
      <c r="DB13" s="9"/>
      <c r="DC13" s="39"/>
      <c r="DD13" s="39"/>
      <c r="DE13" s="39"/>
      <c r="DF13" s="39"/>
      <c r="DG13" s="9"/>
      <c r="DH13" s="101"/>
      <c r="DI13" s="14"/>
      <c r="DJ13" s="14"/>
    </row>
    <row r="14" spans="1:114" hidden="1" x14ac:dyDescent="0.35">
      <c r="A14" s="1" t="s">
        <v>71</v>
      </c>
      <c r="B14" s="14" t="s">
        <v>72</v>
      </c>
      <c r="C14" s="14" t="s">
        <v>29</v>
      </c>
      <c r="D14" s="2">
        <v>9058</v>
      </c>
      <c r="E14" s="3">
        <v>209631</v>
      </c>
      <c r="F14" s="3" t="s">
        <v>73</v>
      </c>
      <c r="G14" s="51" t="s">
        <v>74</v>
      </c>
      <c r="H14" s="39">
        <v>26104050</v>
      </c>
      <c r="I14" s="39">
        <v>24715050</v>
      </c>
      <c r="J14" s="39"/>
      <c r="K14" s="39">
        <v>24715050</v>
      </c>
      <c r="L14" s="39">
        <f>I14-K14</f>
        <v>0</v>
      </c>
      <c r="M14" s="39"/>
      <c r="N14" s="39"/>
      <c r="O14" s="9">
        <v>0</v>
      </c>
      <c r="P14" s="102">
        <v>44564</v>
      </c>
      <c r="Q14" s="3" t="s">
        <v>31</v>
      </c>
      <c r="R14" s="20"/>
      <c r="S14" s="39">
        <v>24715050</v>
      </c>
      <c r="T14" s="8">
        <f>K14-S14</f>
        <v>0</v>
      </c>
      <c r="U14" s="14"/>
      <c r="V14" s="9">
        <v>0</v>
      </c>
      <c r="W14" s="102">
        <v>44596</v>
      </c>
      <c r="X14" s="14" t="s">
        <v>31</v>
      </c>
      <c r="Y14" s="20"/>
      <c r="Z14" s="58"/>
      <c r="AA14" s="57">
        <v>24715050</v>
      </c>
      <c r="AB14" s="57">
        <f>S14-AA14</f>
        <v>0</v>
      </c>
      <c r="AC14" s="14"/>
      <c r="AD14" s="58">
        <v>0</v>
      </c>
      <c r="AE14" s="131">
        <v>44622</v>
      </c>
      <c r="AF14" s="14" t="s">
        <v>31</v>
      </c>
      <c r="AG14" s="20"/>
      <c r="AH14" s="9"/>
      <c r="AI14" s="39">
        <v>24715050</v>
      </c>
      <c r="AJ14" s="39">
        <f>AA14-AI14</f>
        <v>0</v>
      </c>
      <c r="AK14" s="39"/>
      <c r="AL14" s="39"/>
      <c r="AM14" s="9">
        <v>0</v>
      </c>
      <c r="AN14" s="101">
        <v>44656</v>
      </c>
      <c r="AO14" s="14" t="s">
        <v>31</v>
      </c>
      <c r="AP14" s="14"/>
      <c r="AQ14" s="58"/>
      <c r="AR14" s="39">
        <v>24715050</v>
      </c>
      <c r="AS14" s="39">
        <f>AI14-AR14</f>
        <v>0</v>
      </c>
      <c r="AT14" s="39"/>
      <c r="AU14" s="39"/>
      <c r="AV14" s="9">
        <v>0</v>
      </c>
      <c r="AW14" s="101">
        <v>44686</v>
      </c>
      <c r="AX14" s="14" t="s">
        <v>31</v>
      </c>
      <c r="AY14" s="14"/>
      <c r="AZ14" s="9"/>
      <c r="BA14" s="39">
        <v>26104050</v>
      </c>
      <c r="BB14" s="39"/>
      <c r="BC14" s="39">
        <f>AR14-BA14</f>
        <v>-1389000</v>
      </c>
      <c r="BD14" s="39">
        <v>26351200</v>
      </c>
      <c r="BE14" s="9">
        <f>BC14/AR14</f>
        <v>-5.6200574144094385E-2</v>
      </c>
      <c r="BF14" s="101">
        <v>44721</v>
      </c>
      <c r="BG14" s="14" t="s">
        <v>31</v>
      </c>
      <c r="BH14" s="101">
        <v>44728</v>
      </c>
      <c r="BI14" s="9"/>
      <c r="BJ14" s="39">
        <v>26104050</v>
      </c>
      <c r="BK14" s="39">
        <f>BA14-BJ14</f>
        <v>0</v>
      </c>
      <c r="BL14" s="39"/>
      <c r="BM14" s="39"/>
      <c r="BN14" s="9">
        <v>0</v>
      </c>
      <c r="BO14" s="101">
        <v>44747</v>
      </c>
      <c r="BP14" s="14" t="s">
        <v>31</v>
      </c>
      <c r="BQ14" s="101">
        <v>44757</v>
      </c>
      <c r="BR14" s="9"/>
      <c r="BS14" s="39">
        <v>26104050</v>
      </c>
      <c r="BT14" s="39">
        <f>BJ14-BS14</f>
        <v>0</v>
      </c>
      <c r="BU14" s="39"/>
      <c r="BV14" s="39"/>
      <c r="BW14" s="9">
        <v>0</v>
      </c>
      <c r="BX14" s="101">
        <v>44775</v>
      </c>
      <c r="BY14" s="14" t="s">
        <v>31</v>
      </c>
      <c r="BZ14" s="14"/>
      <c r="CA14" s="9"/>
      <c r="CB14" s="39"/>
      <c r="CC14" s="39"/>
      <c r="CD14" s="39"/>
      <c r="CE14" s="39"/>
      <c r="CF14" s="9"/>
      <c r="CG14" s="101"/>
      <c r="CH14" s="14"/>
      <c r="CI14" s="14"/>
      <c r="CJ14" s="9"/>
      <c r="CK14" s="39"/>
      <c r="CL14" s="39"/>
      <c r="CM14" s="39"/>
      <c r="CN14" s="39"/>
      <c r="CO14" s="9"/>
      <c r="CP14" s="101"/>
      <c r="CQ14" s="14"/>
      <c r="CR14" s="14"/>
      <c r="CS14" s="9"/>
      <c r="CT14" s="39"/>
      <c r="CU14" s="39"/>
      <c r="CV14" s="39"/>
      <c r="CW14" s="39"/>
      <c r="CX14" s="9"/>
      <c r="CY14" s="101"/>
      <c r="CZ14" s="14"/>
      <c r="DA14" s="86"/>
      <c r="DB14" s="9"/>
      <c r="DC14" s="39"/>
      <c r="DD14" s="39"/>
      <c r="DE14" s="39"/>
      <c r="DF14" s="39"/>
      <c r="DG14" s="9"/>
      <c r="DH14" s="101"/>
      <c r="DI14" s="14"/>
      <c r="DJ14" s="14"/>
    </row>
    <row r="15" spans="1:114" hidden="1" x14ac:dyDescent="0.35">
      <c r="A15" s="1" t="s">
        <v>75</v>
      </c>
      <c r="B15" s="14" t="s">
        <v>76</v>
      </c>
      <c r="C15" s="14" t="s">
        <v>29</v>
      </c>
      <c r="D15" s="2">
        <v>9104</v>
      </c>
      <c r="E15" s="3">
        <v>210118</v>
      </c>
      <c r="F15" s="3" t="s">
        <v>77</v>
      </c>
      <c r="G15" s="51" t="s">
        <v>78</v>
      </c>
      <c r="H15" s="39">
        <v>36967000</v>
      </c>
      <c r="I15" s="39">
        <v>36000000</v>
      </c>
      <c r="J15" s="39"/>
      <c r="K15" s="39">
        <v>45000000</v>
      </c>
      <c r="L15" s="39">
        <f>H15-K15</f>
        <v>-8033000</v>
      </c>
      <c r="M15" s="39"/>
      <c r="N15" s="39"/>
      <c r="O15" s="9">
        <v>0</v>
      </c>
      <c r="P15" s="101">
        <v>44566</v>
      </c>
      <c r="Q15" s="14" t="s">
        <v>31</v>
      </c>
      <c r="R15" s="20"/>
      <c r="S15" s="39">
        <v>37000000</v>
      </c>
      <c r="T15" s="8">
        <f>K15-S15</f>
        <v>8000000</v>
      </c>
      <c r="U15" s="14"/>
      <c r="V15" s="9">
        <f>T15/K15</f>
        <v>0.17777777777777778</v>
      </c>
      <c r="W15" s="102">
        <v>44620</v>
      </c>
      <c r="X15" s="14" t="s">
        <v>31</v>
      </c>
      <c r="Y15" s="20"/>
      <c r="Z15" s="98"/>
      <c r="AA15" s="57">
        <v>37000000</v>
      </c>
      <c r="AB15" s="57">
        <f>S15-AA15</f>
        <v>0</v>
      </c>
      <c r="AC15" s="14"/>
      <c r="AD15" s="58">
        <v>0</v>
      </c>
      <c r="AE15" s="131">
        <v>44621</v>
      </c>
      <c r="AF15" s="14" t="s">
        <v>31</v>
      </c>
      <c r="AG15" s="20"/>
      <c r="AH15" s="98"/>
      <c r="AI15" s="39">
        <v>35000000</v>
      </c>
      <c r="AJ15" s="39">
        <f>AA15-AI15</f>
        <v>2000000</v>
      </c>
      <c r="AK15" s="39"/>
      <c r="AL15" s="39"/>
      <c r="AM15" s="10">
        <f>AJ15/AA15</f>
        <v>5.4054054054054057E-2</v>
      </c>
      <c r="AN15" s="101">
        <v>44655</v>
      </c>
      <c r="AO15" s="14" t="s">
        <v>31</v>
      </c>
      <c r="AP15" s="14"/>
      <c r="AQ15" s="108"/>
      <c r="AR15" s="39">
        <v>35000000</v>
      </c>
      <c r="AS15" s="39">
        <f>AI15-AR15</f>
        <v>0</v>
      </c>
      <c r="AT15" s="39"/>
      <c r="AU15" s="39"/>
      <c r="AV15" s="9">
        <v>0</v>
      </c>
      <c r="AW15" s="101">
        <v>44683</v>
      </c>
      <c r="AX15" s="14" t="s">
        <v>31</v>
      </c>
      <c r="AY15" s="14"/>
      <c r="AZ15" s="10"/>
      <c r="BA15" s="39">
        <v>35000000</v>
      </c>
      <c r="BB15" s="39">
        <f>AR15-BA15</f>
        <v>0</v>
      </c>
      <c r="BC15" s="39"/>
      <c r="BD15" s="39"/>
      <c r="BE15" s="10">
        <v>0</v>
      </c>
      <c r="BF15" s="101">
        <v>44715</v>
      </c>
      <c r="BG15" s="14" t="s">
        <v>31</v>
      </c>
      <c r="BH15" s="101">
        <v>44728</v>
      </c>
      <c r="BI15" s="10"/>
      <c r="BJ15" s="39">
        <v>35000000</v>
      </c>
      <c r="BK15" s="39">
        <f>BA15-BJ15</f>
        <v>0</v>
      </c>
      <c r="BL15" s="39"/>
      <c r="BM15" s="39"/>
      <c r="BN15" s="10">
        <v>0</v>
      </c>
      <c r="BO15" s="101">
        <v>44747</v>
      </c>
      <c r="BP15" s="14" t="s">
        <v>31</v>
      </c>
      <c r="BQ15" s="101">
        <v>44757</v>
      </c>
      <c r="BR15" s="10"/>
      <c r="BS15" s="39">
        <v>36967000</v>
      </c>
      <c r="BT15" s="39"/>
      <c r="BU15" s="39">
        <f>BJ15-BS15</f>
        <v>-1967000</v>
      </c>
      <c r="BV15" s="39"/>
      <c r="BW15" s="10">
        <f>BU15/BJ15</f>
        <v>-5.62E-2</v>
      </c>
      <c r="BX15" s="101">
        <v>44774</v>
      </c>
      <c r="BY15" s="14" t="s">
        <v>31</v>
      </c>
      <c r="BZ15" s="14"/>
      <c r="CA15" s="10"/>
      <c r="CB15" s="39"/>
      <c r="CC15" s="39"/>
      <c r="CD15" s="39"/>
      <c r="CE15" s="39"/>
      <c r="CF15" s="10"/>
      <c r="CG15" s="101"/>
      <c r="CH15" s="14"/>
      <c r="CI15" s="14"/>
      <c r="CJ15" s="10"/>
      <c r="CK15" s="39"/>
      <c r="CL15" s="39"/>
      <c r="CM15" s="39"/>
      <c r="CN15" s="39"/>
      <c r="CO15" s="10"/>
      <c r="CP15" s="101"/>
      <c r="CQ15" s="14"/>
      <c r="CR15" s="14"/>
      <c r="CS15" s="9"/>
      <c r="CT15" s="39"/>
      <c r="CU15" s="39"/>
      <c r="CV15" s="39"/>
      <c r="CW15" s="39"/>
      <c r="CX15" s="10"/>
      <c r="CY15" s="101"/>
      <c r="CZ15" s="14"/>
      <c r="DA15" s="86"/>
      <c r="DB15" s="9"/>
      <c r="DC15" s="39"/>
      <c r="DD15" s="39"/>
      <c r="DE15" s="39"/>
      <c r="DF15" s="39"/>
      <c r="DG15" s="9"/>
      <c r="DH15" s="101"/>
      <c r="DI15" s="14"/>
      <c r="DJ15" s="14"/>
    </row>
    <row r="16" spans="1:114" hidden="1" x14ac:dyDescent="0.35">
      <c r="A16" s="1" t="s">
        <v>79</v>
      </c>
      <c r="B16" s="14" t="s">
        <v>80</v>
      </c>
      <c r="C16" s="14" t="s">
        <v>29</v>
      </c>
      <c r="D16" s="2">
        <v>9177</v>
      </c>
      <c r="E16" s="3">
        <v>210301</v>
      </c>
      <c r="F16" s="3" t="s">
        <v>81</v>
      </c>
      <c r="G16" s="51" t="s">
        <v>82</v>
      </c>
      <c r="H16" s="39">
        <v>10500000</v>
      </c>
      <c r="I16" s="39">
        <v>12056700</v>
      </c>
      <c r="J16" s="39"/>
      <c r="K16" s="39">
        <v>10500000</v>
      </c>
      <c r="L16" s="39"/>
      <c r="M16" s="39">
        <f>I16-K16</f>
        <v>1556700</v>
      </c>
      <c r="N16" s="39"/>
      <c r="O16" s="9">
        <f>M16/I16</f>
        <v>0.12911493194655255</v>
      </c>
      <c r="P16" s="101">
        <v>44572</v>
      </c>
      <c r="Q16" s="3" t="s">
        <v>31</v>
      </c>
      <c r="R16" s="20"/>
      <c r="S16" s="39">
        <v>10500000</v>
      </c>
      <c r="T16" s="8">
        <f>K16-S16</f>
        <v>0</v>
      </c>
      <c r="U16" s="14"/>
      <c r="V16" s="9">
        <f>T16/I16</f>
        <v>0</v>
      </c>
      <c r="W16" s="102">
        <v>44600</v>
      </c>
      <c r="X16" s="14" t="s">
        <v>31</v>
      </c>
      <c r="Y16" s="20"/>
      <c r="Z16" s="67"/>
      <c r="AA16" s="57">
        <v>10500000</v>
      </c>
      <c r="AB16" s="57">
        <f>AA16-S16</f>
        <v>0</v>
      </c>
      <c r="AC16" s="14"/>
      <c r="AD16" s="58">
        <v>0</v>
      </c>
      <c r="AE16" s="101">
        <v>44624</v>
      </c>
      <c r="AF16" s="14" t="s">
        <v>31</v>
      </c>
      <c r="AG16" s="14"/>
      <c r="AH16" s="67"/>
      <c r="AI16" s="39">
        <v>10500000</v>
      </c>
      <c r="AJ16" s="39">
        <f>AA16-AI16</f>
        <v>0</v>
      </c>
      <c r="AK16" s="39"/>
      <c r="AL16" s="39"/>
      <c r="AM16" s="9">
        <v>0</v>
      </c>
      <c r="AN16" s="101">
        <v>44657</v>
      </c>
      <c r="AO16" s="14" t="s">
        <v>31</v>
      </c>
      <c r="AP16" s="14"/>
      <c r="AQ16" s="58"/>
      <c r="AR16" s="39">
        <v>10500000</v>
      </c>
      <c r="AS16" s="39">
        <f>AI16-AR16</f>
        <v>0</v>
      </c>
      <c r="AT16" s="39"/>
      <c r="AU16" s="39"/>
      <c r="AV16" s="9">
        <v>0</v>
      </c>
      <c r="AW16" s="101">
        <v>44690</v>
      </c>
      <c r="AX16" s="14" t="s">
        <v>31</v>
      </c>
      <c r="AY16" s="14"/>
      <c r="AZ16" s="9"/>
      <c r="BA16" s="39">
        <v>10500000</v>
      </c>
      <c r="BB16" s="39">
        <f>AR16-BA16</f>
        <v>0</v>
      </c>
      <c r="BC16" s="39"/>
      <c r="BD16" s="39"/>
      <c r="BE16" s="9">
        <v>0</v>
      </c>
      <c r="BF16" s="101">
        <v>44718</v>
      </c>
      <c r="BG16" s="14" t="s">
        <v>31</v>
      </c>
      <c r="BH16" s="101">
        <v>44728</v>
      </c>
      <c r="BI16" s="9"/>
      <c r="BJ16" s="39">
        <v>10500000</v>
      </c>
      <c r="BK16" s="39">
        <f>BA16-BJ16</f>
        <v>0</v>
      </c>
      <c r="BL16" s="39"/>
      <c r="BM16" s="39"/>
      <c r="BN16" s="9">
        <v>0</v>
      </c>
      <c r="BO16" s="101">
        <v>44748</v>
      </c>
      <c r="BP16" s="14" t="s">
        <v>31</v>
      </c>
      <c r="BQ16" s="101">
        <v>44757</v>
      </c>
      <c r="BR16" s="9"/>
      <c r="BS16" s="39">
        <v>10500000</v>
      </c>
      <c r="BT16" s="39">
        <f>BJ16-BS16</f>
        <v>0</v>
      </c>
      <c r="BU16" s="39"/>
      <c r="BV16" s="39"/>
      <c r="BW16" s="9">
        <v>0</v>
      </c>
      <c r="BX16" s="101">
        <v>44778</v>
      </c>
      <c r="BY16" s="14" t="s">
        <v>31</v>
      </c>
      <c r="BZ16" s="14"/>
      <c r="CA16" s="9"/>
      <c r="CB16" s="39"/>
      <c r="CC16" s="39"/>
      <c r="CD16" s="39"/>
      <c r="CE16" s="39"/>
      <c r="CF16" s="9"/>
      <c r="CG16" s="101"/>
      <c r="CH16" s="14"/>
      <c r="CI16" s="14"/>
      <c r="CJ16" s="9"/>
      <c r="CK16" s="39"/>
      <c r="CL16" s="39"/>
      <c r="CM16" s="39"/>
      <c r="CN16" s="39"/>
      <c r="CO16" s="9"/>
      <c r="CP16" s="101"/>
      <c r="CQ16" s="14"/>
      <c r="CR16" s="14"/>
      <c r="CS16" s="9"/>
      <c r="CT16" s="39"/>
      <c r="CU16" s="39"/>
      <c r="CV16" s="39"/>
      <c r="CW16" s="39"/>
      <c r="CX16" s="9"/>
      <c r="CY16" s="101"/>
      <c r="CZ16" s="14"/>
      <c r="DA16" s="86"/>
      <c r="DB16" s="9"/>
      <c r="DC16" s="39"/>
      <c r="DD16" s="39"/>
      <c r="DE16" s="39"/>
      <c r="DF16" s="39"/>
      <c r="DG16" s="9"/>
      <c r="DH16" s="101"/>
      <c r="DI16" s="14"/>
      <c r="DJ16" s="14"/>
    </row>
    <row r="17" spans="1:114" hidden="1" x14ac:dyDescent="0.35">
      <c r="A17" s="1" t="s">
        <v>84</v>
      </c>
      <c r="B17" s="14" t="s">
        <v>85</v>
      </c>
      <c r="C17" s="14" t="s">
        <v>29</v>
      </c>
      <c r="D17" s="2">
        <v>9302</v>
      </c>
      <c r="E17" s="3">
        <v>211510</v>
      </c>
      <c r="F17" s="3" t="s">
        <v>86</v>
      </c>
      <c r="G17" s="53">
        <v>900536058</v>
      </c>
      <c r="H17" s="39">
        <v>7018710</v>
      </c>
      <c r="I17" s="39">
        <v>6953249</v>
      </c>
      <c r="J17" s="39"/>
      <c r="K17" s="39">
        <v>7018710</v>
      </c>
      <c r="L17" s="39"/>
      <c r="M17" s="39">
        <f>I17-K17</f>
        <v>-65461</v>
      </c>
      <c r="N17" s="39"/>
      <c r="O17" s="9">
        <f>M17/H17</f>
        <v>-9.3266426451584401E-3</v>
      </c>
      <c r="P17" s="102">
        <v>44200</v>
      </c>
      <c r="Q17" s="3" t="s">
        <v>31</v>
      </c>
      <c r="R17" s="20"/>
      <c r="S17" s="39">
        <v>7018710</v>
      </c>
      <c r="T17" s="8">
        <f>K17-S17</f>
        <v>0</v>
      </c>
      <c r="U17" s="14"/>
      <c r="V17" s="9">
        <v>0</v>
      </c>
      <c r="W17" s="101">
        <v>44594</v>
      </c>
      <c r="X17" s="14" t="s">
        <v>31</v>
      </c>
      <c r="Y17" s="20"/>
      <c r="Z17" s="14"/>
      <c r="AA17" s="57">
        <v>7018710</v>
      </c>
      <c r="AB17" s="57">
        <f>S17-AA17</f>
        <v>0</v>
      </c>
      <c r="AC17" s="14"/>
      <c r="AD17" s="58">
        <v>0</v>
      </c>
      <c r="AE17" s="131">
        <v>44621</v>
      </c>
      <c r="AF17" s="14" t="s">
        <v>31</v>
      </c>
      <c r="AG17" s="20"/>
      <c r="AH17" s="14"/>
      <c r="AI17" s="39">
        <v>7018710</v>
      </c>
      <c r="AJ17" s="39">
        <f>AA17-AI17</f>
        <v>0</v>
      </c>
      <c r="AK17" s="39"/>
      <c r="AL17" s="39"/>
      <c r="AM17" s="9">
        <v>0</v>
      </c>
      <c r="AN17" s="101">
        <v>44655</v>
      </c>
      <c r="AO17" s="14" t="s">
        <v>31</v>
      </c>
      <c r="AP17" s="14"/>
      <c r="AQ17" s="58"/>
      <c r="AR17" s="39">
        <v>7018710</v>
      </c>
      <c r="AS17" s="39">
        <f>AI17-AR17</f>
        <v>0</v>
      </c>
      <c r="AT17" s="39"/>
      <c r="AU17" s="39"/>
      <c r="AV17" s="9">
        <v>0</v>
      </c>
      <c r="AW17" s="101">
        <v>44683</v>
      </c>
      <c r="AX17" s="14" t="s">
        <v>31</v>
      </c>
      <c r="AY17" s="14"/>
      <c r="AZ17" s="9"/>
      <c r="BA17" s="39">
        <v>7018710</v>
      </c>
      <c r="BB17" s="39">
        <f>AR17-BA17</f>
        <v>0</v>
      </c>
      <c r="BC17" s="39"/>
      <c r="BD17" s="39"/>
      <c r="BE17" s="9">
        <v>0</v>
      </c>
      <c r="BF17" s="101">
        <v>44713</v>
      </c>
      <c r="BG17" s="14" t="s">
        <v>31</v>
      </c>
      <c r="BH17" s="101">
        <v>44728</v>
      </c>
      <c r="BI17" s="9"/>
      <c r="BJ17" s="39">
        <v>7018710</v>
      </c>
      <c r="BK17" s="39">
        <f>BA17-BJ17</f>
        <v>0</v>
      </c>
      <c r="BL17" s="39"/>
      <c r="BM17" s="39"/>
      <c r="BN17" s="9">
        <v>0</v>
      </c>
      <c r="BO17" s="101">
        <v>44743</v>
      </c>
      <c r="BP17" s="14" t="s">
        <v>31</v>
      </c>
      <c r="BQ17" s="101">
        <v>44757</v>
      </c>
      <c r="BR17" s="9"/>
      <c r="BS17" s="39">
        <v>7018710</v>
      </c>
      <c r="BT17" s="39">
        <f>BJ17-BS17</f>
        <v>0</v>
      </c>
      <c r="BU17" s="39"/>
      <c r="BV17" s="39"/>
      <c r="BW17" s="9">
        <v>0</v>
      </c>
      <c r="BX17" s="101">
        <v>44775</v>
      </c>
      <c r="BY17" s="14" t="s">
        <v>31</v>
      </c>
      <c r="BZ17" s="14"/>
      <c r="CA17" s="178"/>
      <c r="CB17" s="179"/>
      <c r="CC17" s="179"/>
      <c r="CD17" s="179"/>
      <c r="CE17" s="179"/>
      <c r="CF17" s="179"/>
      <c r="CG17" s="179"/>
      <c r="CH17" s="179"/>
      <c r="CI17" s="180"/>
      <c r="CJ17" s="9"/>
      <c r="CK17" s="39"/>
      <c r="CL17" s="39"/>
      <c r="CM17" s="39"/>
      <c r="CN17" s="39"/>
      <c r="CO17" s="9"/>
      <c r="CP17" s="101"/>
      <c r="CQ17" s="14"/>
      <c r="CR17" s="14"/>
      <c r="CS17" s="9"/>
      <c r="CT17" s="39"/>
      <c r="CU17" s="39"/>
      <c r="CV17" s="39"/>
      <c r="CW17" s="39"/>
      <c r="CX17" s="9"/>
      <c r="CY17" s="101"/>
      <c r="CZ17" s="14"/>
      <c r="DA17" s="86"/>
      <c r="DB17" s="9"/>
      <c r="DC17" s="39"/>
      <c r="DD17" s="39"/>
      <c r="DE17" s="39"/>
      <c r="DF17" s="39"/>
      <c r="DG17" s="9"/>
      <c r="DH17" s="101"/>
      <c r="DI17" s="14"/>
      <c r="DJ17" s="14"/>
    </row>
    <row r="18" spans="1:114" hidden="1" x14ac:dyDescent="0.35">
      <c r="A18" s="1" t="s">
        <v>88</v>
      </c>
      <c r="B18" s="14" t="s">
        <v>89</v>
      </c>
      <c r="C18" s="26" t="s">
        <v>29</v>
      </c>
      <c r="D18" s="2">
        <v>9304</v>
      </c>
      <c r="E18" s="3">
        <v>217751</v>
      </c>
      <c r="F18" s="16" t="s">
        <v>534</v>
      </c>
      <c r="G18" s="20" t="s">
        <v>535</v>
      </c>
      <c r="H18" s="39">
        <v>4632678</v>
      </c>
      <c r="I18" s="39">
        <v>8772350</v>
      </c>
      <c r="J18" s="39"/>
      <c r="K18" s="39">
        <v>4632678</v>
      </c>
      <c r="L18" s="39"/>
      <c r="M18" s="39">
        <v>-246503</v>
      </c>
      <c r="N18" s="39"/>
      <c r="O18" s="9">
        <f>M18/H18</f>
        <v>-5.3209612237241612E-2</v>
      </c>
      <c r="P18" s="101">
        <v>44574</v>
      </c>
      <c r="Q18" s="14" t="s">
        <v>31</v>
      </c>
      <c r="R18" s="20"/>
      <c r="S18" s="39">
        <v>4632678</v>
      </c>
      <c r="T18" s="8">
        <f>K18-S18</f>
        <v>0</v>
      </c>
      <c r="U18" s="14"/>
      <c r="V18" s="9">
        <v>0</v>
      </c>
      <c r="W18" s="102">
        <v>44600</v>
      </c>
      <c r="X18" s="14" t="s">
        <v>31</v>
      </c>
      <c r="Y18" s="20"/>
      <c r="Z18" s="14"/>
      <c r="AA18" s="57">
        <v>4632678</v>
      </c>
      <c r="AB18" s="57">
        <f>S18-AA18</f>
        <v>0</v>
      </c>
      <c r="AC18" s="14"/>
      <c r="AD18" s="58">
        <v>0</v>
      </c>
      <c r="AE18" s="102">
        <v>44627</v>
      </c>
      <c r="AF18" s="14" t="s">
        <v>31</v>
      </c>
      <c r="AG18" s="14"/>
      <c r="AH18" s="14"/>
      <c r="AI18" s="39">
        <v>4632678</v>
      </c>
      <c r="AJ18" s="39">
        <f>AA18-AI18</f>
        <v>0</v>
      </c>
      <c r="AK18" s="39"/>
      <c r="AL18" s="39"/>
      <c r="AM18" s="9">
        <v>0</v>
      </c>
      <c r="AN18" s="102">
        <v>44659</v>
      </c>
      <c r="AO18" s="14" t="s">
        <v>31</v>
      </c>
      <c r="AP18" s="14"/>
      <c r="AQ18" s="58"/>
      <c r="AR18" s="39">
        <v>4632678</v>
      </c>
      <c r="AS18" s="39">
        <f>AI18-AR18</f>
        <v>0</v>
      </c>
      <c r="AT18" s="39"/>
      <c r="AU18" s="39"/>
      <c r="AV18" s="9">
        <v>0</v>
      </c>
      <c r="AW18" s="101">
        <v>44687</v>
      </c>
      <c r="AX18" s="14" t="s">
        <v>31</v>
      </c>
      <c r="AY18" s="14"/>
      <c r="AZ18" s="9"/>
      <c r="BA18" s="39">
        <v>4632678</v>
      </c>
      <c r="BB18" s="39">
        <f>AR18-BA18</f>
        <v>0</v>
      </c>
      <c r="BC18" s="39"/>
      <c r="BD18" s="39"/>
      <c r="BE18" s="9">
        <v>0</v>
      </c>
      <c r="BF18" s="101">
        <v>44719</v>
      </c>
      <c r="BG18" s="14" t="s">
        <v>31</v>
      </c>
      <c r="BH18" s="101">
        <v>44728</v>
      </c>
      <c r="BI18" s="9"/>
      <c r="BJ18" s="39">
        <v>4632678</v>
      </c>
      <c r="BK18" s="39">
        <f>BA18-BJ18</f>
        <v>0</v>
      </c>
      <c r="BL18" s="39"/>
      <c r="BM18" s="39"/>
      <c r="BN18" s="9">
        <v>0</v>
      </c>
      <c r="BO18" s="101">
        <v>44750</v>
      </c>
      <c r="BP18" s="14" t="s">
        <v>31</v>
      </c>
      <c r="BQ18" s="101">
        <v>44768</v>
      </c>
      <c r="BR18" s="9"/>
      <c r="BS18" s="39">
        <v>4632678</v>
      </c>
      <c r="BT18" s="39">
        <f>BJ18-BS18</f>
        <v>0</v>
      </c>
      <c r="BU18" s="39"/>
      <c r="BV18" s="39"/>
      <c r="BW18" s="9">
        <v>0</v>
      </c>
      <c r="BX18" s="101">
        <v>44778</v>
      </c>
      <c r="BY18" s="14" t="s">
        <v>31</v>
      </c>
      <c r="BZ18" s="14"/>
      <c r="CA18" s="9"/>
      <c r="CB18" s="39"/>
      <c r="CC18" s="39"/>
      <c r="CD18" s="39"/>
      <c r="CE18" s="39"/>
      <c r="CF18" s="9"/>
      <c r="CG18" s="101"/>
      <c r="CH18" s="14"/>
      <c r="CI18" s="14"/>
      <c r="CJ18" s="9"/>
      <c r="CK18" s="39"/>
      <c r="CL18" s="39"/>
      <c r="CM18" s="39"/>
      <c r="CN18" s="39"/>
      <c r="CO18" s="9"/>
      <c r="CP18" s="101"/>
      <c r="CQ18" s="14"/>
      <c r="CR18" s="14"/>
      <c r="CS18" s="9"/>
      <c r="CT18" s="39"/>
      <c r="CU18" s="39"/>
      <c r="CV18" s="39"/>
      <c r="CW18" s="39"/>
      <c r="CX18" s="9"/>
      <c r="CY18" s="101"/>
      <c r="CZ18" s="14"/>
      <c r="DA18" s="86"/>
      <c r="DB18" s="9"/>
      <c r="DC18" s="39"/>
      <c r="DD18" s="39"/>
      <c r="DE18" s="39"/>
      <c r="DF18" s="39"/>
      <c r="DG18" s="9"/>
      <c r="DH18" s="101"/>
      <c r="DI18" s="14"/>
      <c r="DJ18" s="14"/>
    </row>
    <row r="19" spans="1:114" hidden="1" x14ac:dyDescent="0.35">
      <c r="A19" s="1" t="s">
        <v>88</v>
      </c>
      <c r="B19" s="14" t="s">
        <v>89</v>
      </c>
      <c r="C19" s="26" t="s">
        <v>29</v>
      </c>
      <c r="D19" s="2" t="s">
        <v>61</v>
      </c>
      <c r="E19" s="3">
        <v>238175</v>
      </c>
      <c r="F19" s="16" t="s">
        <v>534</v>
      </c>
      <c r="G19" s="20" t="s">
        <v>535</v>
      </c>
      <c r="H19" s="203" t="s">
        <v>61</v>
      </c>
      <c r="I19" s="204"/>
      <c r="J19" s="39"/>
      <c r="K19" s="39">
        <v>5037548</v>
      </c>
      <c r="L19" s="39">
        <v>0</v>
      </c>
      <c r="M19" s="39"/>
      <c r="N19" s="39"/>
      <c r="O19" s="9">
        <v>0</v>
      </c>
      <c r="P19" s="102">
        <v>44581</v>
      </c>
      <c r="Q19" s="14" t="s">
        <v>31</v>
      </c>
      <c r="R19" s="20"/>
      <c r="S19" s="39">
        <v>1023610</v>
      </c>
      <c r="T19" s="8">
        <v>0</v>
      </c>
      <c r="U19" s="14"/>
      <c r="V19" s="9">
        <v>0</v>
      </c>
      <c r="W19" s="102">
        <v>44609</v>
      </c>
      <c r="X19" s="14" t="s">
        <v>31</v>
      </c>
      <c r="Y19" s="20"/>
      <c r="Z19" s="172" t="s">
        <v>533</v>
      </c>
      <c r="AA19" s="173"/>
      <c r="AB19" s="173"/>
      <c r="AC19" s="173"/>
      <c r="AD19" s="173"/>
      <c r="AE19" s="173"/>
      <c r="AF19" s="173"/>
      <c r="AG19" s="174"/>
      <c r="AH19" s="14"/>
      <c r="AI19" s="111">
        <v>69205</v>
      </c>
      <c r="AJ19" s="111">
        <v>0</v>
      </c>
      <c r="AK19" s="14"/>
      <c r="AL19" s="14"/>
      <c r="AM19" s="113">
        <v>0</v>
      </c>
      <c r="AN19" s="101">
        <v>44670</v>
      </c>
      <c r="AO19" s="14" t="s">
        <v>31</v>
      </c>
      <c r="AP19" s="14"/>
      <c r="AQ19" s="14"/>
      <c r="AR19" s="111">
        <v>436699</v>
      </c>
      <c r="AS19" s="111">
        <v>0</v>
      </c>
      <c r="AT19" s="14"/>
      <c r="AU19" s="14"/>
      <c r="AV19" s="113">
        <v>0</v>
      </c>
      <c r="AW19" s="101">
        <v>44700</v>
      </c>
      <c r="AX19" s="14" t="s">
        <v>31</v>
      </c>
      <c r="AY19" s="14"/>
      <c r="AZ19" s="14"/>
      <c r="BA19" s="111">
        <v>1310584</v>
      </c>
      <c r="BB19" s="111">
        <v>0</v>
      </c>
      <c r="BC19" s="14"/>
      <c r="BD19" s="14"/>
      <c r="BE19" s="113">
        <v>0</v>
      </c>
      <c r="BF19" s="101">
        <v>44729</v>
      </c>
      <c r="BG19" s="14" t="s">
        <v>31</v>
      </c>
      <c r="BH19" s="101">
        <v>44753</v>
      </c>
      <c r="BI19" s="9"/>
      <c r="BJ19" s="39">
        <v>1427276</v>
      </c>
      <c r="BK19" s="39">
        <v>0</v>
      </c>
      <c r="BL19" s="39"/>
      <c r="BM19" s="39"/>
      <c r="BN19" s="9">
        <v>0</v>
      </c>
      <c r="BO19" s="101">
        <v>44761</v>
      </c>
      <c r="BP19" s="14" t="s">
        <v>31</v>
      </c>
      <c r="BQ19" s="101">
        <v>44769</v>
      </c>
      <c r="BR19" s="9"/>
      <c r="BS19" s="39">
        <v>3671591</v>
      </c>
      <c r="BT19" s="39">
        <v>0</v>
      </c>
      <c r="BU19" s="39"/>
      <c r="BV19" s="39"/>
      <c r="BW19" s="9">
        <v>0</v>
      </c>
      <c r="BX19" s="101">
        <v>44785</v>
      </c>
      <c r="BY19" s="14" t="s">
        <v>31</v>
      </c>
      <c r="BZ19" s="14"/>
      <c r="CA19" s="9"/>
      <c r="CB19" s="39"/>
      <c r="CC19" s="39"/>
      <c r="CD19" s="39"/>
      <c r="CE19" s="39"/>
      <c r="CF19" s="9"/>
      <c r="CG19" s="101"/>
      <c r="CH19" s="14"/>
      <c r="CI19" s="14"/>
      <c r="CJ19" s="9"/>
      <c r="CK19" s="39"/>
      <c r="CL19" s="39"/>
      <c r="CM19" s="39"/>
      <c r="CN19" s="39"/>
      <c r="CO19" s="9"/>
      <c r="CP19" s="101"/>
      <c r="CQ19" s="14"/>
      <c r="CR19" s="14"/>
      <c r="CS19" s="163"/>
      <c r="CT19" s="164"/>
      <c r="CU19" s="164"/>
      <c r="CV19" s="164"/>
      <c r="CW19" s="164"/>
      <c r="CX19" s="164"/>
      <c r="CY19" s="164"/>
      <c r="CZ19" s="164"/>
      <c r="DA19" s="165"/>
      <c r="DB19" s="9"/>
      <c r="DC19" s="39"/>
      <c r="DD19" s="39"/>
      <c r="DE19" s="39"/>
      <c r="DF19" s="39"/>
      <c r="DG19" s="9"/>
      <c r="DH19" s="101"/>
      <c r="DI19" s="14"/>
      <c r="DJ19" s="14"/>
    </row>
    <row r="20" spans="1:114" hidden="1" x14ac:dyDescent="0.35">
      <c r="A20" s="1" t="s">
        <v>91</v>
      </c>
      <c r="B20" s="14" t="s">
        <v>92</v>
      </c>
      <c r="C20" s="14" t="s">
        <v>93</v>
      </c>
      <c r="D20" s="2">
        <v>6640</v>
      </c>
      <c r="E20" s="3">
        <v>204900</v>
      </c>
      <c r="F20" s="3" t="s">
        <v>94</v>
      </c>
      <c r="G20" s="52" t="s">
        <v>95</v>
      </c>
      <c r="H20" s="39">
        <v>5032378</v>
      </c>
      <c r="I20" s="39">
        <v>5032378</v>
      </c>
      <c r="J20" s="39"/>
      <c r="K20" s="39">
        <v>5032378</v>
      </c>
      <c r="L20" s="39">
        <v>754856</v>
      </c>
      <c r="M20" s="39"/>
      <c r="N20" s="39"/>
      <c r="O20" s="9">
        <f>L20/K20</f>
        <v>0.1499998609007511</v>
      </c>
      <c r="P20" s="101">
        <v>44566</v>
      </c>
      <c r="Q20" s="14" t="s">
        <v>31</v>
      </c>
      <c r="R20" s="20"/>
      <c r="S20" s="39">
        <v>5032378</v>
      </c>
      <c r="T20" s="8">
        <v>754856</v>
      </c>
      <c r="U20" s="14"/>
      <c r="V20" s="9">
        <f>T20/S20</f>
        <v>0.1499998609007511</v>
      </c>
      <c r="W20" s="101">
        <v>44594</v>
      </c>
      <c r="X20" s="14" t="s">
        <v>31</v>
      </c>
      <c r="Y20" s="20"/>
      <c r="Z20" s="67"/>
      <c r="AA20" s="57">
        <v>5032378</v>
      </c>
      <c r="AB20" s="57">
        <v>754856</v>
      </c>
      <c r="AC20" s="14"/>
      <c r="AD20" s="58">
        <f>AB20/AA20</f>
        <v>0.1499998609007511</v>
      </c>
      <c r="AE20" s="131">
        <v>44634</v>
      </c>
      <c r="AF20" s="14" t="s">
        <v>31</v>
      </c>
      <c r="AG20" s="14"/>
      <c r="AH20" s="67">
        <v>0.15</v>
      </c>
      <c r="AI20" s="39">
        <v>5032378</v>
      </c>
      <c r="AJ20" s="39">
        <v>754856</v>
      </c>
      <c r="AK20" s="39"/>
      <c r="AL20" s="39"/>
      <c r="AM20" s="9">
        <f>AJ20/AI20</f>
        <v>0.1499998609007511</v>
      </c>
      <c r="AN20" s="101">
        <v>44657</v>
      </c>
      <c r="AO20" s="14" t="s">
        <v>31</v>
      </c>
      <c r="AP20" s="14"/>
      <c r="AQ20" s="58"/>
      <c r="AR20" s="39">
        <v>5032378</v>
      </c>
      <c r="AS20" s="39">
        <v>754856</v>
      </c>
      <c r="AT20" s="39"/>
      <c r="AU20" s="39"/>
      <c r="AV20" s="9">
        <f>AS20/AR20</f>
        <v>0.1499998609007511</v>
      </c>
      <c r="AW20" s="101">
        <v>44686</v>
      </c>
      <c r="AX20" s="14" t="s">
        <v>31</v>
      </c>
      <c r="AY20" s="14"/>
      <c r="AZ20" s="9"/>
      <c r="BA20" s="39">
        <v>5032378</v>
      </c>
      <c r="BB20" s="39">
        <v>754856</v>
      </c>
      <c r="BC20" s="39"/>
      <c r="BD20" s="39"/>
      <c r="BE20" s="9">
        <f>BB20/BA20</f>
        <v>0.1499998609007511</v>
      </c>
      <c r="BF20" s="101">
        <v>44725</v>
      </c>
      <c r="BG20" s="14" t="s">
        <v>31</v>
      </c>
      <c r="BH20" s="101">
        <v>44755</v>
      </c>
      <c r="BI20" s="9"/>
      <c r="BJ20" s="39">
        <v>5032378</v>
      </c>
      <c r="BK20" s="39">
        <v>754856</v>
      </c>
      <c r="BL20" s="39"/>
      <c r="BM20" s="39"/>
      <c r="BN20" s="9">
        <f>BK20/BJ20</f>
        <v>0.1499998609007511</v>
      </c>
      <c r="BO20" s="101">
        <v>44747</v>
      </c>
      <c r="BP20" s="14" t="s">
        <v>31</v>
      </c>
      <c r="BQ20" s="101">
        <v>44757</v>
      </c>
      <c r="BR20" s="9"/>
      <c r="BS20" s="39">
        <v>5032378</v>
      </c>
      <c r="BT20" s="39">
        <f>BJ20-BS20</f>
        <v>0</v>
      </c>
      <c r="BU20" s="39"/>
      <c r="BV20" s="39"/>
      <c r="BW20" s="9">
        <v>0</v>
      </c>
      <c r="BX20" s="101">
        <v>44781</v>
      </c>
      <c r="BY20" s="14" t="s">
        <v>31</v>
      </c>
      <c r="BZ20" s="14"/>
      <c r="CA20" s="9"/>
      <c r="CB20" s="39"/>
      <c r="CC20" s="39"/>
      <c r="CD20" s="39"/>
      <c r="CE20" s="39"/>
      <c r="CF20" s="9"/>
      <c r="CG20" s="101"/>
      <c r="CH20" s="14"/>
      <c r="CI20" s="14"/>
      <c r="CJ20" s="9"/>
      <c r="CK20" s="39"/>
      <c r="CL20" s="39"/>
      <c r="CM20" s="39"/>
      <c r="CN20" s="39"/>
      <c r="CO20" s="9"/>
      <c r="CP20" s="101"/>
      <c r="CQ20" s="14"/>
      <c r="CR20" s="14"/>
      <c r="CS20" s="9"/>
      <c r="CT20" s="39"/>
      <c r="CU20" s="39"/>
      <c r="CV20" s="39"/>
      <c r="CW20" s="39"/>
      <c r="CX20" s="9"/>
      <c r="CY20" s="101"/>
      <c r="CZ20" s="14"/>
      <c r="DA20" s="86"/>
      <c r="DB20" s="9"/>
      <c r="DC20" s="39"/>
      <c r="DD20" s="39"/>
      <c r="DE20" s="39"/>
      <c r="DF20" s="39"/>
      <c r="DG20" s="9"/>
      <c r="DH20" s="101"/>
      <c r="DI20" s="14"/>
      <c r="DJ20" s="14"/>
    </row>
    <row r="21" spans="1:114" hidden="1" x14ac:dyDescent="0.35">
      <c r="A21" s="1" t="s">
        <v>96</v>
      </c>
      <c r="B21" s="14" t="s">
        <v>97</v>
      </c>
      <c r="C21" s="26" t="s">
        <v>29</v>
      </c>
      <c r="D21" s="2">
        <v>9303</v>
      </c>
      <c r="E21" s="3">
        <v>289666</v>
      </c>
      <c r="F21" s="3" t="s">
        <v>508</v>
      </c>
      <c r="G21" s="52" t="s">
        <v>509</v>
      </c>
      <c r="H21" s="39">
        <v>9172113</v>
      </c>
      <c r="I21" s="39">
        <v>8684069</v>
      </c>
      <c r="J21" s="39"/>
      <c r="K21" s="39">
        <v>9172113</v>
      </c>
      <c r="L21" s="39"/>
      <c r="M21" s="39">
        <f>I21-K21</f>
        <v>-488044</v>
      </c>
      <c r="N21" s="39"/>
      <c r="O21" s="9">
        <f>M21/I21</f>
        <v>-5.6199921949031034E-2</v>
      </c>
      <c r="P21" s="101">
        <v>44574</v>
      </c>
      <c r="Q21" s="14" t="s">
        <v>31</v>
      </c>
      <c r="R21" s="20"/>
      <c r="S21" s="39">
        <v>9172113</v>
      </c>
      <c r="T21" s="8">
        <f>K21-S21</f>
        <v>0</v>
      </c>
      <c r="U21" s="39"/>
      <c r="V21" s="9">
        <v>0</v>
      </c>
      <c r="W21" s="102">
        <v>44600</v>
      </c>
      <c r="X21" s="14" t="s">
        <v>31</v>
      </c>
      <c r="Y21" s="20"/>
      <c r="Z21" s="14"/>
      <c r="AA21" s="57">
        <v>9172113</v>
      </c>
      <c r="AB21" s="57">
        <f>S21-AA21</f>
        <v>0</v>
      </c>
      <c r="AC21" s="14"/>
      <c r="AD21" s="58">
        <v>0</v>
      </c>
      <c r="AE21" s="102">
        <v>44628</v>
      </c>
      <c r="AF21" s="14" t="s">
        <v>31</v>
      </c>
      <c r="AG21" s="14"/>
      <c r="AH21" s="14"/>
      <c r="AI21" s="39">
        <v>9172113</v>
      </c>
      <c r="AJ21" s="39">
        <f>AA21-AI21</f>
        <v>0</v>
      </c>
      <c r="AK21" s="39"/>
      <c r="AL21" s="39"/>
      <c r="AM21" s="9">
        <v>0</v>
      </c>
      <c r="AN21" s="102">
        <v>44659</v>
      </c>
      <c r="AO21" s="14" t="s">
        <v>31</v>
      </c>
      <c r="AP21" s="14"/>
      <c r="AQ21" s="108"/>
      <c r="AR21" s="39">
        <v>9172113</v>
      </c>
      <c r="AS21" s="39">
        <f>AI21-AR21</f>
        <v>0</v>
      </c>
      <c r="AT21" s="39"/>
      <c r="AU21" s="39"/>
      <c r="AV21" s="9">
        <v>0</v>
      </c>
      <c r="AW21" s="101">
        <v>44687</v>
      </c>
      <c r="AX21" s="14" t="s">
        <v>31</v>
      </c>
      <c r="AY21" s="14"/>
      <c r="AZ21" s="9"/>
      <c r="BA21" s="39">
        <v>9172113</v>
      </c>
      <c r="BB21" s="39">
        <f>AR21-BA21</f>
        <v>0</v>
      </c>
      <c r="BC21" s="39"/>
      <c r="BD21" s="39"/>
      <c r="BE21" s="9">
        <v>0</v>
      </c>
      <c r="BF21" s="101">
        <v>44719</v>
      </c>
      <c r="BG21" s="14" t="s">
        <v>31</v>
      </c>
      <c r="BH21" s="101">
        <v>44728</v>
      </c>
      <c r="BI21" s="9"/>
      <c r="BJ21" s="39">
        <v>9172113</v>
      </c>
      <c r="BK21" s="39">
        <f>BA21-BJ21</f>
        <v>0</v>
      </c>
      <c r="BL21" s="39"/>
      <c r="BM21" s="39"/>
      <c r="BN21" s="9">
        <v>0</v>
      </c>
      <c r="BO21" s="101">
        <v>44750</v>
      </c>
      <c r="BP21" s="14" t="s">
        <v>31</v>
      </c>
      <c r="BQ21" s="101">
        <v>44768</v>
      </c>
      <c r="BR21" s="9"/>
      <c r="BS21" s="39">
        <v>9172113</v>
      </c>
      <c r="BT21" s="39">
        <f>BJ21-BS21</f>
        <v>0</v>
      </c>
      <c r="BU21" s="39"/>
      <c r="BV21" s="39"/>
      <c r="BW21" s="9">
        <v>0</v>
      </c>
      <c r="BX21" s="101">
        <v>44778</v>
      </c>
      <c r="BY21" s="14" t="s">
        <v>31</v>
      </c>
      <c r="BZ21" s="14"/>
      <c r="CA21" s="9"/>
      <c r="CB21" s="39"/>
      <c r="CC21" s="39"/>
      <c r="CD21" s="39"/>
      <c r="CE21" s="39"/>
      <c r="CF21" s="9"/>
      <c r="CG21" s="101"/>
      <c r="CH21" s="14"/>
      <c r="CI21" s="14"/>
      <c r="CJ21" s="9"/>
      <c r="CK21" s="39"/>
      <c r="CL21" s="39"/>
      <c r="CM21" s="39"/>
      <c r="CN21" s="39"/>
      <c r="CO21" s="9"/>
      <c r="CP21" s="101"/>
      <c r="CQ21" s="14"/>
      <c r="CR21" s="14"/>
      <c r="CS21" s="9"/>
      <c r="CT21" s="39"/>
      <c r="CU21" s="39"/>
      <c r="CV21" s="39"/>
      <c r="CW21" s="39"/>
      <c r="CX21" s="9"/>
      <c r="CY21" s="101"/>
      <c r="CZ21" s="14"/>
      <c r="DA21" s="86"/>
      <c r="DB21" s="9"/>
      <c r="DC21" s="39"/>
      <c r="DD21" s="39"/>
      <c r="DE21" s="39"/>
      <c r="DF21" s="39"/>
      <c r="DG21" s="9"/>
      <c r="DH21" s="101"/>
      <c r="DI21" s="14"/>
      <c r="DJ21" s="14"/>
    </row>
    <row r="22" spans="1:114" hidden="1" x14ac:dyDescent="0.35">
      <c r="A22" s="1" t="s">
        <v>99</v>
      </c>
      <c r="B22" s="14" t="s">
        <v>100</v>
      </c>
      <c r="C22" s="26" t="s">
        <v>29</v>
      </c>
      <c r="D22" s="2">
        <v>9301</v>
      </c>
      <c r="E22" s="3">
        <v>205547</v>
      </c>
      <c r="F22" s="3" t="s">
        <v>101</v>
      </c>
      <c r="G22" s="52">
        <v>830054539</v>
      </c>
      <c r="H22" s="11">
        <v>19782055</v>
      </c>
      <c r="I22" s="39">
        <v>30243463</v>
      </c>
      <c r="J22" s="39"/>
      <c r="K22" s="11">
        <f>19782055+518804</f>
        <v>20300859</v>
      </c>
      <c r="L22" s="39">
        <v>-1571400</v>
      </c>
      <c r="M22" s="39"/>
      <c r="N22" s="39"/>
      <c r="O22" s="9">
        <f>L22/H22</f>
        <v>-7.9435629918125292E-2</v>
      </c>
      <c r="P22" s="102">
        <v>44575</v>
      </c>
      <c r="Q22" s="14" t="s">
        <v>31</v>
      </c>
      <c r="R22" s="20"/>
      <c r="S22" s="39">
        <v>19782055</v>
      </c>
      <c r="T22" s="8">
        <f>K22-S22</f>
        <v>518804</v>
      </c>
      <c r="U22" s="14"/>
      <c r="V22" s="9">
        <f>T22/K22</f>
        <v>2.5555765891482719E-2</v>
      </c>
      <c r="W22" s="102">
        <v>44600</v>
      </c>
      <c r="X22" s="14" t="s">
        <v>31</v>
      </c>
      <c r="Y22" s="20"/>
      <c r="Z22" s="14"/>
      <c r="AA22" s="57">
        <f>19782055+327744</f>
        <v>20109799</v>
      </c>
      <c r="AB22" s="57">
        <f>S22-AA22</f>
        <v>-327744</v>
      </c>
      <c r="AC22" s="57"/>
      <c r="AD22" s="58">
        <f>AB22/S22</f>
        <v>-1.656774283561541E-2</v>
      </c>
      <c r="AE22" s="101">
        <v>44630</v>
      </c>
      <c r="AF22" s="14" t="s">
        <v>31</v>
      </c>
      <c r="AG22" s="20"/>
      <c r="AH22" s="14"/>
      <c r="AI22" s="111">
        <f>19782055+54710</f>
        <v>19836765</v>
      </c>
      <c r="AJ22" s="8">
        <f>S22-AI22</f>
        <v>-54710</v>
      </c>
      <c r="AK22" s="14"/>
      <c r="AL22" s="14"/>
      <c r="AM22" s="113">
        <v>0</v>
      </c>
      <c r="AN22" s="101">
        <v>44669</v>
      </c>
      <c r="AO22" s="14" t="s">
        <v>31</v>
      </c>
      <c r="AP22" s="14"/>
      <c r="AQ22" s="14"/>
      <c r="AR22" s="111">
        <f>19782055+826879</f>
        <v>20608934</v>
      </c>
      <c r="AS22" s="8">
        <f>S22-AR22</f>
        <v>-826879</v>
      </c>
      <c r="AT22" s="14"/>
      <c r="AU22" s="14"/>
      <c r="AV22" s="113">
        <v>0</v>
      </c>
      <c r="AW22" s="101">
        <v>44693</v>
      </c>
      <c r="AX22" s="14" t="s">
        <v>31</v>
      </c>
      <c r="AY22" s="14"/>
      <c r="AZ22" s="14"/>
      <c r="BA22" s="111">
        <v>19782055</v>
      </c>
      <c r="BB22" s="8">
        <f>S22-BA22</f>
        <v>0</v>
      </c>
      <c r="BC22" s="14"/>
      <c r="BD22" s="14"/>
      <c r="BE22" s="113">
        <v>0</v>
      </c>
      <c r="BF22" s="101">
        <v>44718</v>
      </c>
      <c r="BG22" s="14" t="s">
        <v>31</v>
      </c>
      <c r="BH22" s="101">
        <v>44728</v>
      </c>
      <c r="BI22" s="14"/>
      <c r="BJ22" s="111">
        <v>19782055</v>
      </c>
      <c r="BK22" s="111">
        <f>BA22-BJ22</f>
        <v>0</v>
      </c>
      <c r="BL22" s="14"/>
      <c r="BM22" s="14"/>
      <c r="BN22" s="113">
        <v>0</v>
      </c>
      <c r="BO22" s="101">
        <v>44750</v>
      </c>
      <c r="BP22" s="14" t="s">
        <v>31</v>
      </c>
      <c r="BQ22" s="101">
        <v>44768</v>
      </c>
      <c r="BR22" s="9"/>
      <c r="BS22" s="39">
        <v>19782055</v>
      </c>
      <c r="BT22" s="39">
        <f>BJ22-BS22</f>
        <v>0</v>
      </c>
      <c r="BU22" s="39"/>
      <c r="BV22" s="39"/>
      <c r="BW22" s="9">
        <v>0</v>
      </c>
      <c r="BX22" s="101">
        <v>44778</v>
      </c>
      <c r="BY22" s="14" t="s">
        <v>31</v>
      </c>
      <c r="BZ22" s="14"/>
      <c r="CA22" s="9"/>
      <c r="CB22" s="39"/>
      <c r="CC22" s="39"/>
      <c r="CD22" s="39"/>
      <c r="CE22" s="39"/>
      <c r="CF22" s="9"/>
      <c r="CG22" s="101"/>
      <c r="CH22" s="14"/>
      <c r="CI22" s="14"/>
      <c r="CJ22" s="9"/>
      <c r="CK22" s="39"/>
      <c r="CL22" s="39"/>
      <c r="CM22" s="39"/>
      <c r="CN22" s="39"/>
      <c r="CO22" s="9"/>
      <c r="CP22" s="101"/>
      <c r="CQ22" s="14"/>
      <c r="CR22" s="14"/>
      <c r="CS22" s="9"/>
      <c r="CT22" s="39"/>
      <c r="CU22" s="39"/>
      <c r="CV22" s="39"/>
      <c r="CW22" s="39"/>
      <c r="CX22" s="9"/>
      <c r="CY22" s="101"/>
      <c r="CZ22" s="14"/>
      <c r="DA22" s="86"/>
      <c r="DB22" s="9"/>
      <c r="DC22" s="39"/>
      <c r="DD22" s="39"/>
      <c r="DE22" s="39"/>
      <c r="DF22" s="39"/>
      <c r="DG22" s="9"/>
      <c r="DH22" s="101"/>
      <c r="DI22" s="14"/>
      <c r="DJ22" s="14"/>
    </row>
    <row r="23" spans="1:114" hidden="1" x14ac:dyDescent="0.35">
      <c r="A23" s="1" t="s">
        <v>99</v>
      </c>
      <c r="B23" s="14" t="s">
        <v>100</v>
      </c>
      <c r="C23" s="26" t="s">
        <v>29</v>
      </c>
      <c r="D23" s="2" t="s">
        <v>61</v>
      </c>
      <c r="E23" s="3">
        <v>205547</v>
      </c>
      <c r="F23" s="3" t="s">
        <v>101</v>
      </c>
      <c r="G23" s="52">
        <v>830054539</v>
      </c>
      <c r="H23" s="203" t="s">
        <v>61</v>
      </c>
      <c r="I23" s="204"/>
      <c r="J23" s="39"/>
      <c r="K23" s="11">
        <v>4635485</v>
      </c>
      <c r="L23" s="39">
        <v>0</v>
      </c>
      <c r="M23" s="39"/>
      <c r="N23" s="39"/>
      <c r="O23" s="9">
        <v>0</v>
      </c>
      <c r="P23" s="101">
        <v>44574</v>
      </c>
      <c r="Q23" s="14" t="s">
        <v>31</v>
      </c>
      <c r="R23" s="20"/>
      <c r="S23" s="39">
        <v>3632912</v>
      </c>
      <c r="T23" s="39">
        <v>0</v>
      </c>
      <c r="U23" s="14"/>
      <c r="V23" s="9">
        <v>0</v>
      </c>
      <c r="W23" s="101">
        <v>44613</v>
      </c>
      <c r="X23" s="14" t="s">
        <v>31</v>
      </c>
      <c r="Y23" s="20"/>
      <c r="Z23" s="172" t="s">
        <v>533</v>
      </c>
      <c r="AA23" s="173"/>
      <c r="AB23" s="173"/>
      <c r="AC23" s="173"/>
      <c r="AD23" s="173"/>
      <c r="AE23" s="173"/>
      <c r="AF23" s="173"/>
      <c r="AG23" s="174"/>
      <c r="AH23" s="14"/>
      <c r="AI23" s="39">
        <v>1816073</v>
      </c>
      <c r="AJ23" s="39">
        <v>0</v>
      </c>
      <c r="AK23" s="39"/>
      <c r="AL23" s="39"/>
      <c r="AM23" s="9">
        <v>0</v>
      </c>
      <c r="AN23" s="101">
        <v>44677</v>
      </c>
      <c r="AO23" s="14" t="s">
        <v>31</v>
      </c>
      <c r="AP23" s="14"/>
      <c r="AQ23" s="58"/>
      <c r="AR23" s="39">
        <v>3824383</v>
      </c>
      <c r="AS23" s="39">
        <v>0</v>
      </c>
      <c r="AT23" s="39"/>
      <c r="AU23" s="39"/>
      <c r="AV23" s="9">
        <v>0</v>
      </c>
      <c r="AW23" s="101">
        <v>44705</v>
      </c>
      <c r="AX23" s="14" t="s">
        <v>31</v>
      </c>
      <c r="AY23" s="14"/>
      <c r="AZ23" s="9"/>
      <c r="BA23" s="39">
        <v>12612589</v>
      </c>
      <c r="BB23" s="39">
        <v>0</v>
      </c>
      <c r="BC23" s="39"/>
      <c r="BD23" s="39"/>
      <c r="BE23" s="9">
        <v>0</v>
      </c>
      <c r="BF23" s="101">
        <v>44734</v>
      </c>
      <c r="BG23" s="14" t="s">
        <v>31</v>
      </c>
      <c r="BH23" s="101">
        <v>44757</v>
      </c>
      <c r="BI23" s="9"/>
      <c r="BJ23" s="39">
        <v>6572351</v>
      </c>
      <c r="BK23" s="39">
        <v>0</v>
      </c>
      <c r="BL23" s="39"/>
      <c r="BM23" s="39"/>
      <c r="BN23" s="9">
        <v>0</v>
      </c>
      <c r="BO23" s="101">
        <v>44761</v>
      </c>
      <c r="BP23" s="14" t="s">
        <v>31</v>
      </c>
      <c r="BQ23" s="101">
        <v>44770</v>
      </c>
      <c r="BR23" s="9"/>
      <c r="BS23" s="39"/>
      <c r="BT23" s="39"/>
      <c r="BU23" s="39"/>
      <c r="BV23" s="39"/>
      <c r="BW23" s="9"/>
      <c r="BX23" s="101"/>
      <c r="BY23" s="14"/>
      <c r="BZ23" s="14"/>
      <c r="CA23" s="9"/>
      <c r="CB23" s="39"/>
      <c r="CC23" s="39"/>
      <c r="CD23" s="39"/>
      <c r="CE23" s="39"/>
      <c r="CF23" s="9"/>
      <c r="CG23" s="101"/>
      <c r="CH23" s="14"/>
      <c r="CI23" s="14"/>
      <c r="CJ23" s="163"/>
      <c r="CK23" s="164"/>
      <c r="CL23" s="164"/>
      <c r="CM23" s="164"/>
      <c r="CN23" s="164"/>
      <c r="CO23" s="164"/>
      <c r="CP23" s="164"/>
      <c r="CQ23" s="164"/>
      <c r="CR23" s="165"/>
      <c r="CS23" s="163"/>
      <c r="CT23" s="164"/>
      <c r="CU23" s="164"/>
      <c r="CV23" s="164"/>
      <c r="CW23" s="164"/>
      <c r="CX23" s="164"/>
      <c r="CY23" s="164"/>
      <c r="CZ23" s="164"/>
      <c r="DA23" s="165"/>
      <c r="DB23" s="9"/>
      <c r="DC23" s="39"/>
      <c r="DD23" s="39"/>
      <c r="DE23" s="39"/>
      <c r="DF23" s="39"/>
      <c r="DG23" s="9"/>
      <c r="DH23" s="101"/>
      <c r="DI23" s="14"/>
      <c r="DJ23" s="14"/>
    </row>
    <row r="24" spans="1:114" hidden="1" x14ac:dyDescent="0.35">
      <c r="A24" s="1" t="s">
        <v>102</v>
      </c>
      <c r="B24" s="14" t="s">
        <v>103</v>
      </c>
      <c r="C24" s="14" t="s">
        <v>29</v>
      </c>
      <c r="D24" s="2">
        <v>9305</v>
      </c>
      <c r="E24" s="3">
        <v>214089</v>
      </c>
      <c r="F24" s="3" t="s">
        <v>104</v>
      </c>
      <c r="G24" s="51" t="s">
        <v>105</v>
      </c>
      <c r="H24" s="39">
        <v>10272861</v>
      </c>
      <c r="I24" s="39">
        <v>10272861</v>
      </c>
      <c r="J24" s="39"/>
      <c r="K24" s="39">
        <v>10272861</v>
      </c>
      <c r="L24" s="39">
        <f>I24-K24</f>
        <v>0</v>
      </c>
      <c r="M24" s="39"/>
      <c r="N24" s="39"/>
      <c r="O24" s="9">
        <v>0</v>
      </c>
      <c r="P24" s="102">
        <v>44564</v>
      </c>
      <c r="Q24" s="3" t="s">
        <v>31</v>
      </c>
      <c r="R24" s="20"/>
      <c r="S24" s="39">
        <v>10272861</v>
      </c>
      <c r="T24" s="8">
        <f>K24-S24</f>
        <v>0</v>
      </c>
      <c r="U24" s="39"/>
      <c r="V24" s="9">
        <v>0</v>
      </c>
      <c r="W24" s="101">
        <v>44594</v>
      </c>
      <c r="X24" s="14" t="s">
        <v>31</v>
      </c>
      <c r="Y24" s="20"/>
      <c r="Z24" s="14"/>
      <c r="AA24" s="57">
        <v>10272861</v>
      </c>
      <c r="AB24" s="57">
        <f>S24-AA24</f>
        <v>0</v>
      </c>
      <c r="AC24" s="14"/>
      <c r="AD24" s="58">
        <v>0</v>
      </c>
      <c r="AE24" s="131">
        <v>44621</v>
      </c>
      <c r="AF24" s="14" t="s">
        <v>31</v>
      </c>
      <c r="AG24" s="20"/>
      <c r="AH24" s="14"/>
      <c r="AI24" s="39">
        <f>9492535+1369715</f>
        <v>10862250</v>
      </c>
      <c r="AJ24" s="39">
        <f>AA24-AI24</f>
        <v>-589389</v>
      </c>
      <c r="AK24" s="39"/>
      <c r="AL24" s="39"/>
      <c r="AM24" s="9">
        <f>AJ24/AA24</f>
        <v>-5.7373403572772957E-2</v>
      </c>
      <c r="AN24" s="102">
        <v>44658</v>
      </c>
      <c r="AO24" s="14" t="s">
        <v>31</v>
      </c>
      <c r="AP24" s="14"/>
      <c r="AQ24" s="58"/>
      <c r="AR24" s="39">
        <v>10952925</v>
      </c>
      <c r="AS24" s="39"/>
      <c r="AT24" s="39">
        <f>AA24-AR24</f>
        <v>-680064</v>
      </c>
      <c r="AU24" s="39"/>
      <c r="AV24" s="9">
        <f>AT24/AA24</f>
        <v>-6.6200058581538282E-2</v>
      </c>
      <c r="AW24" s="101">
        <v>44686</v>
      </c>
      <c r="AX24" s="14" t="s">
        <v>31</v>
      </c>
      <c r="AY24" s="14"/>
      <c r="AZ24" s="9"/>
      <c r="BA24" s="39">
        <v>10952925</v>
      </c>
      <c r="BB24" s="39">
        <f>AR24-BA24</f>
        <v>0</v>
      </c>
      <c r="BC24" s="39"/>
      <c r="BD24" s="39"/>
      <c r="BE24" s="9">
        <v>0</v>
      </c>
      <c r="BF24" s="101">
        <v>44719</v>
      </c>
      <c r="BG24" s="14" t="s">
        <v>31</v>
      </c>
      <c r="BH24" s="101">
        <v>44728</v>
      </c>
      <c r="BI24" s="9"/>
      <c r="BJ24" s="39">
        <v>10952925</v>
      </c>
      <c r="BK24" s="39">
        <f>BA24-BJ24</f>
        <v>0</v>
      </c>
      <c r="BL24" s="39"/>
      <c r="BM24" s="39"/>
      <c r="BN24" s="9">
        <v>0</v>
      </c>
      <c r="BO24" s="101">
        <v>44743</v>
      </c>
      <c r="BP24" s="14" t="s">
        <v>31</v>
      </c>
      <c r="BQ24" s="101">
        <v>44757</v>
      </c>
      <c r="BR24" s="9"/>
      <c r="BS24" s="39">
        <v>10952925</v>
      </c>
      <c r="BT24" s="39">
        <f>BJ24-BS24</f>
        <v>0</v>
      </c>
      <c r="BU24" s="39"/>
      <c r="BV24" s="39"/>
      <c r="BW24" s="9">
        <v>0</v>
      </c>
      <c r="BX24" s="101">
        <v>44775</v>
      </c>
      <c r="BY24" s="14" t="s">
        <v>31</v>
      </c>
      <c r="BZ24" s="14"/>
      <c r="CA24" s="9"/>
      <c r="CB24" s="39"/>
      <c r="CC24" s="39"/>
      <c r="CD24" s="39"/>
      <c r="CE24" s="39"/>
      <c r="CF24" s="9"/>
      <c r="CG24" s="101"/>
      <c r="CH24" s="14"/>
      <c r="CI24" s="14"/>
      <c r="CJ24" s="9"/>
      <c r="CK24" s="39"/>
      <c r="CL24" s="39"/>
      <c r="CM24" s="39"/>
      <c r="CN24" s="39"/>
      <c r="CO24" s="9"/>
      <c r="CP24" s="101"/>
      <c r="CQ24" s="14"/>
      <c r="CR24" s="14"/>
      <c r="CS24" s="9"/>
      <c r="CT24" s="39"/>
      <c r="CU24" s="39"/>
      <c r="CV24" s="39"/>
      <c r="CW24" s="39"/>
      <c r="CX24" s="9"/>
      <c r="CY24" s="101"/>
      <c r="CZ24" s="14"/>
      <c r="DA24" s="86"/>
      <c r="DB24" s="9"/>
      <c r="DC24" s="39"/>
      <c r="DD24" s="39"/>
      <c r="DE24" s="39"/>
      <c r="DF24" s="39"/>
      <c r="DG24" s="9"/>
      <c r="DH24" s="101"/>
      <c r="DI24" s="14"/>
      <c r="DJ24" s="14"/>
    </row>
    <row r="25" spans="1:114" hidden="1" x14ac:dyDescent="0.35">
      <c r="A25" s="1" t="s">
        <v>107</v>
      </c>
      <c r="B25" s="14" t="s">
        <v>108</v>
      </c>
      <c r="C25" s="14" t="s">
        <v>29</v>
      </c>
      <c r="D25" s="2" t="s">
        <v>61</v>
      </c>
      <c r="E25" s="3">
        <v>208094</v>
      </c>
      <c r="F25" s="3" t="s">
        <v>109</v>
      </c>
      <c r="G25" s="52">
        <v>900699834</v>
      </c>
      <c r="H25" s="39">
        <v>17825586</v>
      </c>
      <c r="I25" s="14"/>
      <c r="J25" s="209" t="s">
        <v>533</v>
      </c>
      <c r="K25" s="210"/>
      <c r="L25" s="210"/>
      <c r="M25" s="210"/>
      <c r="N25" s="210"/>
      <c r="O25" s="210"/>
      <c r="P25" s="210"/>
      <c r="Q25" s="210"/>
      <c r="R25" s="211"/>
      <c r="S25" s="172" t="s">
        <v>533</v>
      </c>
      <c r="T25" s="173"/>
      <c r="U25" s="173"/>
      <c r="V25" s="173"/>
      <c r="W25" s="173"/>
      <c r="X25" s="173"/>
      <c r="Y25" s="174"/>
      <c r="Z25" s="172" t="s">
        <v>533</v>
      </c>
      <c r="AA25" s="173"/>
      <c r="AB25" s="173"/>
      <c r="AC25" s="173"/>
      <c r="AD25" s="173"/>
      <c r="AE25" s="173"/>
      <c r="AF25" s="173"/>
      <c r="AG25" s="174"/>
      <c r="AH25" s="172" t="s">
        <v>533</v>
      </c>
      <c r="AI25" s="173"/>
      <c r="AJ25" s="173"/>
      <c r="AK25" s="173"/>
      <c r="AL25" s="173"/>
      <c r="AM25" s="173"/>
      <c r="AN25" s="173"/>
      <c r="AO25" s="173"/>
      <c r="AP25" s="174"/>
      <c r="AQ25" s="172"/>
      <c r="AR25" s="173"/>
      <c r="AS25" s="173"/>
      <c r="AT25" s="173"/>
      <c r="AU25" s="173"/>
      <c r="AV25" s="173"/>
      <c r="AW25" s="173"/>
      <c r="AX25" s="173"/>
      <c r="AY25" s="174"/>
      <c r="AZ25" s="172"/>
      <c r="BA25" s="173"/>
      <c r="BB25" s="173"/>
      <c r="BC25" s="173"/>
      <c r="BD25" s="173"/>
      <c r="BE25" s="173"/>
      <c r="BF25" s="173"/>
      <c r="BG25" s="173"/>
      <c r="BH25" s="174"/>
      <c r="BI25" s="172"/>
      <c r="BJ25" s="173"/>
      <c r="BK25" s="173"/>
      <c r="BL25" s="173"/>
      <c r="BM25" s="173"/>
      <c r="BN25" s="173"/>
      <c r="BO25" s="173"/>
      <c r="BP25" s="173"/>
      <c r="BQ25" s="174"/>
      <c r="BR25" s="172"/>
      <c r="BS25" s="173"/>
      <c r="BT25" s="173"/>
      <c r="BU25" s="173"/>
      <c r="BV25" s="173"/>
      <c r="BW25" s="173"/>
      <c r="BX25" s="173"/>
      <c r="BY25" s="173"/>
      <c r="BZ25" s="174"/>
      <c r="CA25" s="9"/>
      <c r="CB25" s="39"/>
      <c r="CC25" s="39"/>
      <c r="CD25" s="39"/>
      <c r="CE25" s="39"/>
      <c r="CF25" s="9"/>
      <c r="CG25" s="101"/>
      <c r="CH25" s="14"/>
      <c r="CI25" s="14"/>
      <c r="CJ25" s="163"/>
      <c r="CK25" s="164"/>
      <c r="CL25" s="164"/>
      <c r="CM25" s="164"/>
      <c r="CN25" s="164"/>
      <c r="CO25" s="164"/>
      <c r="CP25" s="164"/>
      <c r="CQ25" s="164"/>
      <c r="CR25" s="165"/>
      <c r="CS25" s="163"/>
      <c r="CT25" s="164"/>
      <c r="CU25" s="164"/>
      <c r="CV25" s="164"/>
      <c r="CW25" s="164"/>
      <c r="CX25" s="164"/>
      <c r="CY25" s="164"/>
      <c r="CZ25" s="164"/>
      <c r="DA25" s="165"/>
      <c r="DB25" s="9"/>
      <c r="DC25" s="39"/>
      <c r="DD25" s="39"/>
      <c r="DE25" s="39"/>
      <c r="DF25" s="39"/>
      <c r="DG25" s="9"/>
      <c r="DH25" s="101"/>
      <c r="DI25" s="14"/>
      <c r="DJ25" s="14"/>
    </row>
    <row r="26" spans="1:114" ht="15" hidden="1" customHeight="1" x14ac:dyDescent="0.35">
      <c r="A26" s="1" t="s">
        <v>107</v>
      </c>
      <c r="B26" s="14" t="s">
        <v>108</v>
      </c>
      <c r="C26" s="14" t="s">
        <v>29</v>
      </c>
      <c r="D26" s="2">
        <v>6553</v>
      </c>
      <c r="E26" s="3">
        <v>208094</v>
      </c>
      <c r="F26" s="3" t="s">
        <v>110</v>
      </c>
      <c r="G26" s="52">
        <v>900699834</v>
      </c>
      <c r="H26" s="39">
        <v>25436450</v>
      </c>
      <c r="I26" s="39">
        <v>24097689</v>
      </c>
      <c r="J26" s="39"/>
      <c r="K26" s="39">
        <v>25436450</v>
      </c>
      <c r="L26" s="39">
        <f>I26-K26</f>
        <v>-1338761</v>
      </c>
      <c r="M26" s="39"/>
      <c r="N26" s="39"/>
      <c r="O26" s="9">
        <f>L26/K26</f>
        <v>-5.2631597569629408E-2</v>
      </c>
      <c r="P26" s="102">
        <v>44200</v>
      </c>
      <c r="Q26" s="3" t="s">
        <v>31</v>
      </c>
      <c r="R26" s="20"/>
      <c r="S26" s="39">
        <v>25436450</v>
      </c>
      <c r="T26" s="8">
        <f>K26-S26</f>
        <v>0</v>
      </c>
      <c r="U26" s="39"/>
      <c r="V26" s="9">
        <v>0</v>
      </c>
      <c r="W26" s="102">
        <v>44634</v>
      </c>
      <c r="X26" s="14" t="s">
        <v>31</v>
      </c>
      <c r="Y26" s="20"/>
      <c r="Z26" s="67"/>
      <c r="AA26" s="57">
        <v>25436450</v>
      </c>
      <c r="AB26" s="57">
        <f>K26-AA26</f>
        <v>0</v>
      </c>
      <c r="AC26" s="14"/>
      <c r="AD26" s="58">
        <v>0</v>
      </c>
      <c r="AE26" s="131">
        <v>44621</v>
      </c>
      <c r="AF26" s="14" t="s">
        <v>31</v>
      </c>
      <c r="AG26" s="20"/>
      <c r="AH26" s="67"/>
      <c r="AI26" s="39">
        <v>25436450</v>
      </c>
      <c r="AJ26" s="39">
        <f>AA26-AI26</f>
        <v>0</v>
      </c>
      <c r="AK26" s="39"/>
      <c r="AL26" s="39"/>
      <c r="AM26" s="9">
        <v>0</v>
      </c>
      <c r="AN26" s="101">
        <v>44656</v>
      </c>
      <c r="AO26" s="14" t="s">
        <v>31</v>
      </c>
      <c r="AP26" s="14"/>
      <c r="AQ26" s="58"/>
      <c r="AR26" s="39">
        <v>25436450</v>
      </c>
      <c r="AS26" s="39">
        <f>AI26-AR26</f>
        <v>0</v>
      </c>
      <c r="AT26" s="39"/>
      <c r="AU26" s="39"/>
      <c r="AV26" s="9">
        <v>0</v>
      </c>
      <c r="AW26" s="101">
        <v>44684</v>
      </c>
      <c r="AX26" s="14" t="s">
        <v>31</v>
      </c>
      <c r="AY26" s="14"/>
      <c r="AZ26" s="9"/>
      <c r="BA26" s="39">
        <v>25436450</v>
      </c>
      <c r="BB26" s="39">
        <f>AR26-BA26</f>
        <v>0</v>
      </c>
      <c r="BC26" s="39"/>
      <c r="BD26" s="39"/>
      <c r="BE26" s="9">
        <v>0</v>
      </c>
      <c r="BF26" s="101">
        <v>44713</v>
      </c>
      <c r="BG26" s="14" t="s">
        <v>31</v>
      </c>
      <c r="BH26" s="101">
        <v>44728</v>
      </c>
      <c r="BI26" s="9"/>
      <c r="BJ26" s="39">
        <v>25436450</v>
      </c>
      <c r="BK26" s="39">
        <f>BA26-BJ26</f>
        <v>0</v>
      </c>
      <c r="BL26" s="39"/>
      <c r="BM26" s="39"/>
      <c r="BN26" s="9">
        <v>0</v>
      </c>
      <c r="BO26" s="101">
        <v>44747</v>
      </c>
      <c r="BP26" s="14" t="s">
        <v>31</v>
      </c>
      <c r="BQ26" s="101">
        <v>44757</v>
      </c>
      <c r="BR26" s="9"/>
      <c r="BS26" s="39">
        <v>25436450</v>
      </c>
      <c r="BT26" s="39">
        <f>BJ26-BS26</f>
        <v>0</v>
      </c>
      <c r="BU26" s="39"/>
      <c r="BV26" s="39"/>
      <c r="BW26" s="9">
        <v>0</v>
      </c>
      <c r="BX26" s="101">
        <v>44774</v>
      </c>
      <c r="BY26" s="14" t="s">
        <v>31</v>
      </c>
      <c r="BZ26" s="14"/>
      <c r="CA26" s="9"/>
      <c r="CB26" s="39"/>
      <c r="CC26" s="39"/>
      <c r="CD26" s="39"/>
      <c r="CE26" s="39"/>
      <c r="CF26" s="9"/>
      <c r="CG26" s="101"/>
      <c r="CH26" s="14"/>
      <c r="CI26" s="14"/>
      <c r="CJ26" s="9"/>
      <c r="CK26" s="39"/>
      <c r="CL26" s="39"/>
      <c r="CM26" s="39"/>
      <c r="CN26" s="39"/>
      <c r="CO26" s="9"/>
      <c r="CP26" s="101"/>
      <c r="CQ26" s="14"/>
      <c r="CR26" s="14"/>
      <c r="CS26" s="9"/>
      <c r="CT26" s="39"/>
      <c r="CU26" s="39"/>
      <c r="CV26" s="39"/>
      <c r="CW26" s="39"/>
      <c r="CX26" s="9"/>
      <c r="CY26" s="101"/>
      <c r="CZ26" s="14"/>
      <c r="DA26" s="86"/>
      <c r="DB26" s="9"/>
      <c r="DC26" s="39"/>
      <c r="DD26" s="39"/>
      <c r="DE26" s="39"/>
      <c r="DF26" s="39"/>
      <c r="DG26" s="9"/>
      <c r="DH26" s="101"/>
      <c r="DI26" s="14"/>
      <c r="DJ26" s="14"/>
    </row>
    <row r="27" spans="1:114" ht="15" hidden="1" customHeight="1" x14ac:dyDescent="0.35">
      <c r="A27" s="1" t="s">
        <v>111</v>
      </c>
      <c r="B27" s="14" t="s">
        <v>112</v>
      </c>
      <c r="C27" s="14" t="s">
        <v>113</v>
      </c>
      <c r="D27" s="2">
        <v>6554</v>
      </c>
      <c r="E27" s="3">
        <v>204532</v>
      </c>
      <c r="F27" s="3" t="s">
        <v>114</v>
      </c>
      <c r="G27" s="52" t="s">
        <v>115</v>
      </c>
      <c r="H27" s="39">
        <v>21732293</v>
      </c>
      <c r="I27" s="39">
        <v>21732293</v>
      </c>
      <c r="J27" s="39"/>
      <c r="K27" s="39">
        <f>5759057+4998427+7062995+1303938+1303938+1303938</f>
        <v>21732293</v>
      </c>
      <c r="L27" s="39">
        <f>H27-K27</f>
        <v>0</v>
      </c>
      <c r="M27" s="39"/>
      <c r="N27" s="39"/>
      <c r="O27" s="9">
        <v>0</v>
      </c>
      <c r="P27" s="101">
        <v>44566</v>
      </c>
      <c r="Q27" s="14" t="s">
        <v>31</v>
      </c>
      <c r="R27" s="20"/>
      <c r="S27" s="39">
        <f>7062995+4998427+1303938+1303938+1303938+5759057</f>
        <v>21732293</v>
      </c>
      <c r="T27" s="8">
        <f>K27-S27</f>
        <v>0</v>
      </c>
      <c r="U27" s="14"/>
      <c r="V27" s="9">
        <v>0</v>
      </c>
      <c r="W27" s="101">
        <v>44594</v>
      </c>
      <c r="X27" s="14" t="s">
        <v>31</v>
      </c>
      <c r="Y27" s="20"/>
      <c r="Z27" s="14"/>
      <c r="AA27" s="57">
        <f>4998427+7062995+5759057+1303938+1303938+1303938</f>
        <v>21732293</v>
      </c>
      <c r="AB27" s="57">
        <f>S27-AA27</f>
        <v>0</v>
      </c>
      <c r="AC27" s="14"/>
      <c r="AD27" s="58">
        <f>AB27/S27</f>
        <v>0</v>
      </c>
      <c r="AE27" s="131">
        <v>44622</v>
      </c>
      <c r="AF27" s="14" t="s">
        <v>31</v>
      </c>
      <c r="AG27" s="14"/>
      <c r="AH27" s="67"/>
      <c r="AI27" s="39">
        <f>1303938+1303938+1303938+4998427+5759057+7062995</f>
        <v>21732293</v>
      </c>
      <c r="AJ27" s="39">
        <f>AA27-AI27</f>
        <v>0</v>
      </c>
      <c r="AK27" s="39"/>
      <c r="AL27" s="39"/>
      <c r="AM27" s="9">
        <v>0</v>
      </c>
      <c r="AN27" s="101">
        <v>44656</v>
      </c>
      <c r="AO27" s="14" t="s">
        <v>31</v>
      </c>
      <c r="AP27" s="14"/>
      <c r="AQ27" s="58"/>
      <c r="AR27" s="39">
        <f>7062995+5759057+1303938+1303938+1303938+4998427</f>
        <v>21732293</v>
      </c>
      <c r="AS27" s="39">
        <f>AI27-AR27</f>
        <v>0</v>
      </c>
      <c r="AT27" s="39"/>
      <c r="AU27" s="39"/>
      <c r="AV27" s="9">
        <v>0</v>
      </c>
      <c r="AW27" s="101">
        <v>44683</v>
      </c>
      <c r="AX27" s="14" t="s">
        <v>31</v>
      </c>
      <c r="AY27" s="14"/>
      <c r="AZ27" s="9"/>
      <c r="BA27" s="39">
        <f>5759057+7062995+4998427+1303938+1303938+1303938</f>
        <v>21732293</v>
      </c>
      <c r="BB27" s="39">
        <f>AR27-BA27</f>
        <v>0</v>
      </c>
      <c r="BC27" s="39"/>
      <c r="BD27" s="39"/>
      <c r="BE27" s="9">
        <v>0</v>
      </c>
      <c r="BF27" s="101">
        <v>44715</v>
      </c>
      <c r="BG27" s="14" t="s">
        <v>31</v>
      </c>
      <c r="BH27" s="101">
        <v>44728</v>
      </c>
      <c r="BI27" s="9"/>
      <c r="BJ27" s="39">
        <f>5759057+7062995+1303938+4998427+1303938+1303938</f>
        <v>21732293</v>
      </c>
      <c r="BK27" s="39">
        <f>BA27-BJ27</f>
        <v>0</v>
      </c>
      <c r="BL27" s="39"/>
      <c r="BM27" s="39"/>
      <c r="BN27" s="9">
        <v>0</v>
      </c>
      <c r="BO27" s="101">
        <v>44747</v>
      </c>
      <c r="BP27" s="14" t="s">
        <v>31</v>
      </c>
      <c r="BQ27" s="101">
        <v>44757</v>
      </c>
      <c r="BR27" s="9"/>
      <c r="BS27" s="39">
        <f>5759057+7062995+4998427+1303938+1303938+1303938</f>
        <v>21732293</v>
      </c>
      <c r="BT27" s="39">
        <f>BJ27-BS27</f>
        <v>0</v>
      </c>
      <c r="BU27" s="39"/>
      <c r="BV27" s="39"/>
      <c r="BW27" s="9">
        <v>0</v>
      </c>
      <c r="BX27" s="101">
        <v>44777</v>
      </c>
      <c r="BY27" s="14" t="s">
        <v>31</v>
      </c>
      <c r="BZ27" s="14"/>
      <c r="CA27" s="9"/>
      <c r="CB27" s="39"/>
      <c r="CC27" s="39"/>
      <c r="CD27" s="39"/>
      <c r="CE27" s="39"/>
      <c r="CF27" s="9"/>
      <c r="CG27" s="101"/>
      <c r="CH27" s="14"/>
      <c r="CI27" s="14"/>
      <c r="CJ27" s="9"/>
      <c r="CK27" s="39"/>
      <c r="CL27" s="39"/>
      <c r="CM27" s="39"/>
      <c r="CN27" s="39"/>
      <c r="CO27" s="9"/>
      <c r="CP27" s="101"/>
      <c r="CQ27" s="14"/>
      <c r="CR27" s="14"/>
      <c r="CS27" s="9"/>
      <c r="CT27" s="39"/>
      <c r="CU27" s="39"/>
      <c r="CV27" s="39"/>
      <c r="CW27" s="39"/>
      <c r="CX27" s="9"/>
      <c r="CY27" s="101"/>
      <c r="CZ27" s="14"/>
      <c r="DA27" s="86"/>
      <c r="DB27" s="9"/>
      <c r="DC27" s="39"/>
      <c r="DD27" s="39"/>
      <c r="DE27" s="39"/>
      <c r="DF27" s="39"/>
      <c r="DG27" s="9"/>
      <c r="DH27" s="101"/>
      <c r="DI27" s="14"/>
      <c r="DJ27" s="14"/>
    </row>
    <row r="28" spans="1:114" ht="15" hidden="1" customHeight="1" x14ac:dyDescent="0.35">
      <c r="A28" s="90" t="s">
        <v>117</v>
      </c>
      <c r="B28" s="91" t="s">
        <v>118</v>
      </c>
      <c r="C28" s="91" t="s">
        <v>119</v>
      </c>
      <c r="D28" s="92">
        <v>6556</v>
      </c>
      <c r="E28" s="93">
        <v>204535</v>
      </c>
      <c r="F28" s="93" t="s">
        <v>120</v>
      </c>
      <c r="G28" s="94" t="s">
        <v>121</v>
      </c>
      <c r="H28" s="95">
        <v>8866120</v>
      </c>
      <c r="I28" s="95">
        <v>8866120</v>
      </c>
      <c r="J28" s="95"/>
      <c r="K28" s="95">
        <v>8866120</v>
      </c>
      <c r="L28" s="95">
        <v>1773224</v>
      </c>
      <c r="M28" s="95"/>
      <c r="N28" s="95"/>
      <c r="O28" s="124">
        <f>L28/K28</f>
        <v>0.2</v>
      </c>
      <c r="P28" s="101">
        <v>44566</v>
      </c>
      <c r="Q28" s="14" t="s">
        <v>31</v>
      </c>
      <c r="R28" s="20"/>
      <c r="S28" s="95">
        <v>8866120</v>
      </c>
      <c r="T28" s="96">
        <v>1773224</v>
      </c>
      <c r="U28" s="95">
        <v>8866120</v>
      </c>
      <c r="V28" s="124">
        <f>T28/S28</f>
        <v>0.2</v>
      </c>
      <c r="W28" s="101">
        <v>44610</v>
      </c>
      <c r="X28" s="14" t="s">
        <v>31</v>
      </c>
      <c r="Y28" s="105"/>
      <c r="Z28" s="99"/>
      <c r="AA28" s="57">
        <v>8866120</v>
      </c>
      <c r="AB28" s="57">
        <v>1773224</v>
      </c>
      <c r="AC28" s="14"/>
      <c r="AD28" s="58">
        <f>AB28/AA28</f>
        <v>0.2</v>
      </c>
      <c r="AE28" s="131">
        <v>44621</v>
      </c>
      <c r="AF28" s="14" t="s">
        <v>31</v>
      </c>
      <c r="AG28" s="20"/>
      <c r="AH28" s="67"/>
      <c r="AI28" s="39">
        <v>8866120</v>
      </c>
      <c r="AJ28" s="39">
        <v>1773324</v>
      </c>
      <c r="AK28" s="39"/>
      <c r="AL28" s="39"/>
      <c r="AM28" s="9">
        <f>AJ28/AI28</f>
        <v>0.200011278890879</v>
      </c>
      <c r="AN28" s="101">
        <v>44655</v>
      </c>
      <c r="AO28" s="14" t="s">
        <v>31</v>
      </c>
      <c r="AP28" s="14"/>
      <c r="AQ28" s="58"/>
      <c r="AR28" s="39">
        <v>8866120</v>
      </c>
      <c r="AS28" s="39">
        <v>1773224</v>
      </c>
      <c r="AT28" s="39"/>
      <c r="AU28" s="39"/>
      <c r="AV28" s="9">
        <f>AS28/AR28</f>
        <v>0.2</v>
      </c>
      <c r="AW28" s="101">
        <v>44683</v>
      </c>
      <c r="AX28" s="14" t="s">
        <v>31</v>
      </c>
      <c r="AY28" s="14"/>
      <c r="AZ28" s="9"/>
      <c r="BA28" s="39">
        <v>8866120</v>
      </c>
      <c r="BB28" s="39">
        <v>1773224</v>
      </c>
      <c r="BC28" s="39"/>
      <c r="BD28" s="39"/>
      <c r="BE28" s="9">
        <f>BB28/BA28</f>
        <v>0.2</v>
      </c>
      <c r="BF28" s="101">
        <v>44713</v>
      </c>
      <c r="BG28" s="14" t="s">
        <v>31</v>
      </c>
      <c r="BH28" s="101">
        <v>44728</v>
      </c>
      <c r="BI28" s="9"/>
      <c r="BJ28" s="39">
        <v>8866120</v>
      </c>
      <c r="BK28" s="39">
        <v>1773224</v>
      </c>
      <c r="BL28" s="39"/>
      <c r="BM28" s="39"/>
      <c r="BN28" s="9">
        <f>BK28/BJ28</f>
        <v>0.2</v>
      </c>
      <c r="BO28" s="101">
        <v>44743</v>
      </c>
      <c r="BP28" s="14" t="s">
        <v>31</v>
      </c>
      <c r="BQ28" s="101">
        <v>44757</v>
      </c>
      <c r="BR28" s="9"/>
      <c r="BS28" s="39">
        <v>8866120</v>
      </c>
      <c r="BT28" s="39">
        <v>1773224</v>
      </c>
      <c r="BU28" s="39"/>
      <c r="BV28" s="39"/>
      <c r="BW28" s="9">
        <f>BT28/BS28</f>
        <v>0.2</v>
      </c>
      <c r="BX28" s="101">
        <v>44774</v>
      </c>
      <c r="BY28" s="14" t="s">
        <v>31</v>
      </c>
      <c r="BZ28" s="14"/>
      <c r="CA28" s="9"/>
      <c r="CB28" s="39"/>
      <c r="CC28" s="39"/>
      <c r="CD28" s="39"/>
      <c r="CE28" s="39"/>
      <c r="CF28" s="9"/>
      <c r="CG28" s="101"/>
      <c r="CH28" s="14"/>
      <c r="CI28" s="14"/>
      <c r="CJ28" s="9"/>
      <c r="CK28" s="39"/>
      <c r="CL28" s="39"/>
      <c r="CM28" s="39"/>
      <c r="CN28" s="39"/>
      <c r="CO28" s="9"/>
      <c r="CP28" s="101"/>
      <c r="CQ28" s="14"/>
      <c r="CR28" s="14"/>
      <c r="CS28" s="9"/>
      <c r="CT28" s="39"/>
      <c r="CU28" s="39"/>
      <c r="CV28" s="39"/>
      <c r="CW28" s="39"/>
      <c r="CX28" s="9"/>
      <c r="CY28" s="101"/>
      <c r="CZ28" s="14"/>
      <c r="DA28" s="86"/>
      <c r="DB28" s="9"/>
      <c r="DC28" s="39"/>
      <c r="DD28" s="39"/>
      <c r="DE28" s="39"/>
      <c r="DF28" s="39"/>
      <c r="DG28" s="9"/>
      <c r="DH28" s="101"/>
      <c r="DI28" s="14"/>
      <c r="DJ28" s="14"/>
    </row>
    <row r="29" spans="1:114" ht="15" hidden="1" customHeight="1" x14ac:dyDescent="0.35">
      <c r="A29" s="1" t="s">
        <v>123</v>
      </c>
      <c r="B29" s="14" t="s">
        <v>124</v>
      </c>
      <c r="C29" s="14" t="s">
        <v>113</v>
      </c>
      <c r="D29" s="2">
        <v>6561</v>
      </c>
      <c r="E29" s="3">
        <v>205635</v>
      </c>
      <c r="F29" s="3" t="s">
        <v>125</v>
      </c>
      <c r="G29" s="52" t="s">
        <v>126</v>
      </c>
      <c r="H29" s="39">
        <v>14218216</v>
      </c>
      <c r="I29" s="39">
        <v>13211500</v>
      </c>
      <c r="J29" s="39"/>
      <c r="K29" s="39">
        <v>13211500</v>
      </c>
      <c r="L29" s="39">
        <f>I29-K29</f>
        <v>0</v>
      </c>
      <c r="M29" s="39"/>
      <c r="N29" s="39"/>
      <c r="O29" s="9">
        <v>0</v>
      </c>
      <c r="P29" s="101">
        <v>44572</v>
      </c>
      <c r="Q29" s="3" t="s">
        <v>31</v>
      </c>
      <c r="R29" s="20"/>
      <c r="S29" s="39">
        <v>13211500</v>
      </c>
      <c r="T29" s="8">
        <f>K29-S29</f>
        <v>0</v>
      </c>
      <c r="U29" s="14"/>
      <c r="V29" s="9">
        <v>0</v>
      </c>
      <c r="W29" s="102">
        <v>44600</v>
      </c>
      <c r="X29" s="14" t="s">
        <v>31</v>
      </c>
      <c r="Y29" s="20"/>
      <c r="Z29" s="14"/>
      <c r="AA29" s="57">
        <v>14218216</v>
      </c>
      <c r="AB29" s="57">
        <f>S29-AA29</f>
        <v>-1006716</v>
      </c>
      <c r="AC29" s="14"/>
      <c r="AD29" s="58">
        <f>AB29/S29</f>
        <v>-7.619997729251031E-2</v>
      </c>
      <c r="AE29" s="101">
        <v>44624</v>
      </c>
      <c r="AF29" s="14" t="s">
        <v>31</v>
      </c>
      <c r="AG29" s="20"/>
      <c r="AH29" s="67"/>
      <c r="AI29" s="39">
        <v>14218216</v>
      </c>
      <c r="AJ29" s="39">
        <f t="shared" ref="AJ29:AJ34" si="0">AA29-AI29</f>
        <v>0</v>
      </c>
      <c r="AK29" s="39"/>
      <c r="AL29" s="39"/>
      <c r="AM29" s="9">
        <v>0</v>
      </c>
      <c r="AN29" s="101">
        <v>44656</v>
      </c>
      <c r="AO29" s="14" t="s">
        <v>31</v>
      </c>
      <c r="AP29" s="14"/>
      <c r="AQ29" s="58"/>
      <c r="AR29" s="39">
        <v>14218216</v>
      </c>
      <c r="AS29" s="39">
        <f t="shared" ref="AS29:AS36" si="1">AI29-AR29</f>
        <v>0</v>
      </c>
      <c r="AT29" s="39"/>
      <c r="AU29" s="39"/>
      <c r="AV29" s="9">
        <v>0</v>
      </c>
      <c r="AW29" s="101">
        <v>44687</v>
      </c>
      <c r="AX29" s="14" t="s">
        <v>31</v>
      </c>
      <c r="AY29" s="14"/>
      <c r="AZ29" s="9"/>
      <c r="BA29" s="39">
        <v>14218216</v>
      </c>
      <c r="BB29" s="39">
        <f t="shared" ref="BB29:BB36" si="2">AR29-BA29</f>
        <v>0</v>
      </c>
      <c r="BC29" s="39"/>
      <c r="BD29" s="39"/>
      <c r="BE29" s="9">
        <v>0</v>
      </c>
      <c r="BF29" s="101">
        <v>44718</v>
      </c>
      <c r="BG29" s="14" t="s">
        <v>31</v>
      </c>
      <c r="BH29" s="101">
        <v>44728</v>
      </c>
      <c r="BI29" s="9"/>
      <c r="BJ29" s="39">
        <v>14218216</v>
      </c>
      <c r="BK29" s="39">
        <f>BA29-BJ29</f>
        <v>0</v>
      </c>
      <c r="BL29" s="39"/>
      <c r="BM29" s="39"/>
      <c r="BN29" s="9">
        <v>0</v>
      </c>
      <c r="BO29" s="101">
        <v>44750</v>
      </c>
      <c r="BP29" s="14" t="s">
        <v>31</v>
      </c>
      <c r="BQ29" s="101">
        <v>44768</v>
      </c>
      <c r="BR29" s="9"/>
      <c r="BS29" s="39">
        <v>14218216</v>
      </c>
      <c r="BT29" s="39">
        <f>BJ29-BS29</f>
        <v>0</v>
      </c>
      <c r="BU29" s="39"/>
      <c r="BV29" s="39"/>
      <c r="BW29" s="9">
        <v>0</v>
      </c>
      <c r="BX29" s="101">
        <v>44781</v>
      </c>
      <c r="BY29" s="14" t="s">
        <v>31</v>
      </c>
      <c r="BZ29" s="14"/>
      <c r="CA29" s="9"/>
      <c r="CB29" s="39">
        <v>14218216</v>
      </c>
      <c r="CC29" s="39">
        <f>BS29-CB29</f>
        <v>0</v>
      </c>
      <c r="CD29" s="39"/>
      <c r="CE29" s="39"/>
      <c r="CF29" s="9">
        <v>0</v>
      </c>
      <c r="CG29" s="101"/>
      <c r="CH29" s="14"/>
      <c r="CI29" s="14"/>
      <c r="CJ29" s="9"/>
      <c r="CK29" s="39"/>
      <c r="CL29" s="39"/>
      <c r="CM29" s="39"/>
      <c r="CN29" s="39"/>
      <c r="CO29" s="9"/>
      <c r="CP29" s="101"/>
      <c r="CQ29" s="14"/>
      <c r="CR29" s="14"/>
      <c r="CS29" s="9"/>
      <c r="CT29" s="39"/>
      <c r="CU29" s="39"/>
      <c r="CV29" s="39"/>
      <c r="CW29" s="39"/>
      <c r="CX29" s="9"/>
      <c r="CY29" s="101"/>
      <c r="CZ29" s="14"/>
      <c r="DA29" s="86"/>
      <c r="DB29" s="9"/>
      <c r="DC29" s="39"/>
      <c r="DD29" s="39"/>
      <c r="DE29" s="39"/>
      <c r="DF29" s="39"/>
      <c r="DG29" s="9"/>
      <c r="DH29" s="101"/>
      <c r="DI29" s="14"/>
      <c r="DJ29" s="14"/>
    </row>
    <row r="30" spans="1:114" ht="15" hidden="1" customHeight="1" x14ac:dyDescent="0.35">
      <c r="A30" s="1" t="s">
        <v>127</v>
      </c>
      <c r="B30" s="14" t="s">
        <v>128</v>
      </c>
      <c r="C30" s="14" t="s">
        <v>113</v>
      </c>
      <c r="D30" s="2">
        <v>6563</v>
      </c>
      <c r="E30" s="3">
        <v>208501</v>
      </c>
      <c r="F30" s="3" t="s">
        <v>129</v>
      </c>
      <c r="G30" s="52" t="s">
        <v>130</v>
      </c>
      <c r="H30" s="39">
        <v>10596000</v>
      </c>
      <c r="I30" s="39">
        <v>10220000</v>
      </c>
      <c r="J30" s="39"/>
      <c r="K30" s="39">
        <v>10596000</v>
      </c>
      <c r="L30" s="39"/>
      <c r="M30" s="39">
        <f>I30-K30</f>
        <v>-376000</v>
      </c>
      <c r="N30" s="39"/>
      <c r="O30" s="9">
        <f>M30/I30</f>
        <v>-3.6790606653620349E-2</v>
      </c>
      <c r="P30" s="101">
        <v>44578</v>
      </c>
      <c r="Q30" s="3" t="s">
        <v>31</v>
      </c>
      <c r="R30" s="20"/>
      <c r="S30" s="39">
        <v>10596000</v>
      </c>
      <c r="T30" s="8">
        <f>K30-S30</f>
        <v>0</v>
      </c>
      <c r="U30" s="14"/>
      <c r="V30" s="9">
        <v>0</v>
      </c>
      <c r="W30" s="101">
        <v>44602</v>
      </c>
      <c r="X30" s="14" t="s">
        <v>31</v>
      </c>
      <c r="Y30" s="20"/>
      <c r="Z30" s="14"/>
      <c r="AA30" s="57">
        <v>10596000</v>
      </c>
      <c r="AB30" s="57">
        <f>S30-AA30</f>
        <v>0</v>
      </c>
      <c r="AC30" s="14"/>
      <c r="AD30" s="58">
        <v>0</v>
      </c>
      <c r="AE30" s="101">
        <v>44629</v>
      </c>
      <c r="AF30" s="14" t="s">
        <v>31</v>
      </c>
      <c r="AG30" s="20"/>
      <c r="AH30" s="67"/>
      <c r="AI30" s="39">
        <v>10596000</v>
      </c>
      <c r="AJ30" s="39">
        <f t="shared" si="0"/>
        <v>0</v>
      </c>
      <c r="AK30" s="39"/>
      <c r="AL30" s="39"/>
      <c r="AM30" s="9">
        <v>0</v>
      </c>
      <c r="AN30" s="101">
        <v>44655</v>
      </c>
      <c r="AO30" s="14" t="s">
        <v>31</v>
      </c>
      <c r="AP30" s="14"/>
      <c r="AQ30" s="58"/>
      <c r="AR30" s="39">
        <v>10596000</v>
      </c>
      <c r="AS30" s="39">
        <f t="shared" si="1"/>
        <v>0</v>
      </c>
      <c r="AT30" s="39"/>
      <c r="AU30" s="39"/>
      <c r="AV30" s="9">
        <v>0</v>
      </c>
      <c r="AW30" s="101">
        <v>44684</v>
      </c>
      <c r="AX30" s="14" t="s">
        <v>31</v>
      </c>
      <c r="AY30" s="14"/>
      <c r="AZ30" s="9"/>
      <c r="BA30" s="39">
        <v>10596000</v>
      </c>
      <c r="BB30" s="39">
        <f t="shared" si="2"/>
        <v>0</v>
      </c>
      <c r="BC30" s="39"/>
      <c r="BD30" s="39"/>
      <c r="BE30" s="9">
        <v>0</v>
      </c>
      <c r="BF30" s="101">
        <v>44715</v>
      </c>
      <c r="BG30" s="14" t="s">
        <v>31</v>
      </c>
      <c r="BH30" s="101">
        <v>44728</v>
      </c>
      <c r="BI30" s="9"/>
      <c r="BJ30" s="39">
        <v>10596000</v>
      </c>
      <c r="BK30" s="39">
        <f>BA30-BJ30</f>
        <v>0</v>
      </c>
      <c r="BL30" s="39"/>
      <c r="BM30" s="39"/>
      <c r="BN30" s="9">
        <v>0</v>
      </c>
      <c r="BO30" s="101">
        <v>44748</v>
      </c>
      <c r="BP30" s="14" t="s">
        <v>31</v>
      </c>
      <c r="BQ30" s="101">
        <v>44757</v>
      </c>
      <c r="BR30" s="9"/>
      <c r="BS30" s="39">
        <v>10596000</v>
      </c>
      <c r="BT30" s="39">
        <f>BJ30-BS30</f>
        <v>0</v>
      </c>
      <c r="BU30" s="39"/>
      <c r="BV30" s="39"/>
      <c r="BW30" s="9">
        <v>0</v>
      </c>
      <c r="BX30" s="101">
        <v>44777</v>
      </c>
      <c r="BY30" s="14" t="s">
        <v>31</v>
      </c>
      <c r="BZ30" s="14"/>
      <c r="CA30" s="9"/>
      <c r="CB30" s="39"/>
      <c r="CC30" s="39"/>
      <c r="CD30" s="39"/>
      <c r="CE30" s="39"/>
      <c r="CF30" s="9"/>
      <c r="CG30" s="101"/>
      <c r="CH30" s="14"/>
      <c r="CI30" s="14"/>
      <c r="CJ30" s="9"/>
      <c r="CK30" s="39"/>
      <c r="CL30" s="39"/>
      <c r="CM30" s="39"/>
      <c r="CN30" s="39"/>
      <c r="CO30" s="9"/>
      <c r="CP30" s="101"/>
      <c r="CQ30" s="14"/>
      <c r="CR30" s="14"/>
      <c r="CS30" s="9"/>
      <c r="CT30" s="39"/>
      <c r="CU30" s="39"/>
      <c r="CV30" s="39"/>
      <c r="CW30" s="39"/>
      <c r="CX30" s="9"/>
      <c r="CY30" s="101"/>
      <c r="CZ30" s="14"/>
      <c r="DA30" s="86"/>
      <c r="DB30" s="9"/>
      <c r="DC30" s="39"/>
      <c r="DD30" s="39"/>
      <c r="DE30" s="39"/>
      <c r="DF30" s="39"/>
      <c r="DG30" s="9"/>
      <c r="DH30" s="101"/>
      <c r="DI30" s="14"/>
      <c r="DJ30" s="14"/>
    </row>
    <row r="31" spans="1:114" ht="15" hidden="1" customHeight="1" x14ac:dyDescent="0.35">
      <c r="A31" s="1" t="s">
        <v>132</v>
      </c>
      <c r="B31" s="14" t="s">
        <v>133</v>
      </c>
      <c r="C31" s="14" t="s">
        <v>29</v>
      </c>
      <c r="D31" s="2">
        <v>6564</v>
      </c>
      <c r="E31" s="3">
        <v>204623</v>
      </c>
      <c r="F31" s="3" t="s">
        <v>134</v>
      </c>
      <c r="G31" s="52" t="s">
        <v>135</v>
      </c>
      <c r="H31" s="39">
        <v>17875017</v>
      </c>
      <c r="I31" s="39">
        <v>19861130</v>
      </c>
      <c r="J31" s="39"/>
      <c r="K31" s="39">
        <v>17875017</v>
      </c>
      <c r="L31" s="39">
        <f>I31-K31</f>
        <v>1986113</v>
      </c>
      <c r="M31" s="39"/>
      <c r="N31" s="39"/>
      <c r="O31" s="9">
        <f>L31/I31</f>
        <v>0.1</v>
      </c>
      <c r="P31" s="102">
        <v>44586</v>
      </c>
      <c r="Q31" s="14" t="s">
        <v>31</v>
      </c>
      <c r="R31" s="20"/>
      <c r="S31" s="39">
        <v>17875017</v>
      </c>
      <c r="T31" s="8">
        <f>K31-S31</f>
        <v>0</v>
      </c>
      <c r="U31" s="14"/>
      <c r="V31" s="9">
        <f>T31/I31</f>
        <v>0</v>
      </c>
      <c r="W31" s="102">
        <v>44593</v>
      </c>
      <c r="X31" s="14" t="s">
        <v>31</v>
      </c>
      <c r="Y31" s="20"/>
      <c r="Z31" s="14"/>
      <c r="AA31" s="57">
        <v>17875017</v>
      </c>
      <c r="AB31" s="57">
        <f>AA31-S31</f>
        <v>0</v>
      </c>
      <c r="AC31" s="14"/>
      <c r="AD31" s="58">
        <v>0</v>
      </c>
      <c r="AE31" s="131">
        <v>44621</v>
      </c>
      <c r="AF31" s="14" t="s">
        <v>31</v>
      </c>
      <c r="AG31" s="14"/>
      <c r="AH31" s="67"/>
      <c r="AI31" s="39">
        <v>17875017</v>
      </c>
      <c r="AJ31" s="39">
        <f t="shared" si="0"/>
        <v>0</v>
      </c>
      <c r="AK31" s="39"/>
      <c r="AL31" s="39"/>
      <c r="AM31" s="9">
        <v>0</v>
      </c>
      <c r="AN31" s="101">
        <v>44655</v>
      </c>
      <c r="AO31" s="14" t="s">
        <v>31</v>
      </c>
      <c r="AP31" s="14"/>
      <c r="AQ31" s="58"/>
      <c r="AR31" s="39">
        <v>17875017</v>
      </c>
      <c r="AS31" s="39">
        <f t="shared" si="1"/>
        <v>0</v>
      </c>
      <c r="AT31" s="39"/>
      <c r="AU31" s="39"/>
      <c r="AV31" s="9">
        <v>0</v>
      </c>
      <c r="AW31" s="101">
        <v>44686</v>
      </c>
      <c r="AX31" s="14" t="s">
        <v>31</v>
      </c>
      <c r="AY31" s="14"/>
      <c r="AZ31" s="9"/>
      <c r="BA31" s="39">
        <v>17875017</v>
      </c>
      <c r="BB31" s="39">
        <f t="shared" si="2"/>
        <v>0</v>
      </c>
      <c r="BC31" s="39"/>
      <c r="BD31" s="39"/>
      <c r="BE31" s="9">
        <v>0</v>
      </c>
      <c r="BF31" s="101">
        <v>44713</v>
      </c>
      <c r="BG31" s="14" t="s">
        <v>31</v>
      </c>
      <c r="BH31" s="101">
        <v>44728</v>
      </c>
      <c r="BI31" s="9"/>
      <c r="BJ31" s="39">
        <v>17875017</v>
      </c>
      <c r="BK31" s="39">
        <f>BA31-BJ31</f>
        <v>0</v>
      </c>
      <c r="BL31" s="39"/>
      <c r="BM31" s="39"/>
      <c r="BN31" s="9">
        <v>0</v>
      </c>
      <c r="BO31" s="101">
        <v>44743</v>
      </c>
      <c r="BP31" s="14" t="s">
        <v>31</v>
      </c>
      <c r="BQ31" s="101">
        <v>44757</v>
      </c>
      <c r="BR31" s="9"/>
      <c r="BS31" s="39">
        <v>17875017</v>
      </c>
      <c r="BT31" s="39">
        <f>BJ31-BS31</f>
        <v>0</v>
      </c>
      <c r="BU31" s="39"/>
      <c r="BV31" s="39"/>
      <c r="BW31" s="9">
        <v>0</v>
      </c>
      <c r="BX31" s="101">
        <v>44774</v>
      </c>
      <c r="BY31" s="14" t="s">
        <v>31</v>
      </c>
      <c r="BZ31" s="14"/>
      <c r="CA31" s="9"/>
      <c r="CB31" s="39"/>
      <c r="CC31" s="39"/>
      <c r="CD31" s="39"/>
      <c r="CE31" s="39"/>
      <c r="CF31" s="9"/>
      <c r="CG31" s="101"/>
      <c r="CH31" s="14"/>
      <c r="CI31" s="14"/>
      <c r="CJ31" s="9"/>
      <c r="CK31" s="39"/>
      <c r="CL31" s="39"/>
      <c r="CM31" s="39"/>
      <c r="CN31" s="39"/>
      <c r="CO31" s="9"/>
      <c r="CP31" s="101"/>
      <c r="CQ31" s="14"/>
      <c r="CR31" s="14"/>
      <c r="CS31" s="9"/>
      <c r="CT31" s="39"/>
      <c r="CU31" s="39"/>
      <c r="CV31" s="39"/>
      <c r="CW31" s="39"/>
      <c r="CX31" s="9"/>
      <c r="CY31" s="101"/>
      <c r="CZ31" s="14"/>
      <c r="DA31" s="86"/>
      <c r="DB31" s="9"/>
      <c r="DC31" s="39"/>
      <c r="DD31" s="39"/>
      <c r="DE31" s="39"/>
      <c r="DF31" s="39"/>
      <c r="DG31" s="9"/>
      <c r="DH31" s="101"/>
      <c r="DI31" s="14"/>
      <c r="DJ31" s="14"/>
    </row>
    <row r="32" spans="1:114" ht="15" hidden="1" customHeight="1" x14ac:dyDescent="0.35">
      <c r="A32" s="1" t="s">
        <v>136</v>
      </c>
      <c r="B32" s="14" t="s">
        <v>137</v>
      </c>
      <c r="C32" s="14" t="s">
        <v>113</v>
      </c>
      <c r="D32" s="2">
        <v>6568</v>
      </c>
      <c r="E32" s="3">
        <v>209683</v>
      </c>
      <c r="F32" s="3" t="s">
        <v>138</v>
      </c>
      <c r="G32" s="52" t="s">
        <v>139</v>
      </c>
      <c r="H32" s="39">
        <v>29498575</v>
      </c>
      <c r="I32" s="39">
        <v>29498575</v>
      </c>
      <c r="J32" s="39"/>
      <c r="K32" s="39">
        <v>29498575</v>
      </c>
      <c r="L32" s="126">
        <f>I32-K32</f>
        <v>0</v>
      </c>
      <c r="M32" s="125"/>
      <c r="N32" s="39"/>
      <c r="O32" s="9">
        <v>0</v>
      </c>
      <c r="P32" s="101">
        <v>44567</v>
      </c>
      <c r="Q32" s="101" t="s">
        <v>31</v>
      </c>
      <c r="R32" s="20"/>
      <c r="S32" s="39">
        <v>29498575</v>
      </c>
      <c r="T32" s="8">
        <f>K32-S32</f>
        <v>0</v>
      </c>
      <c r="U32" s="14"/>
      <c r="V32" s="9">
        <v>0</v>
      </c>
      <c r="W32" s="102">
        <v>44596</v>
      </c>
      <c r="X32" s="14" t="s">
        <v>31</v>
      </c>
      <c r="Y32" s="20"/>
      <c r="Z32" s="14"/>
      <c r="AA32" s="57">
        <v>29498575</v>
      </c>
      <c r="AB32" s="57">
        <f>S32-AA32</f>
        <v>0</v>
      </c>
      <c r="AC32" s="14"/>
      <c r="AD32" s="58">
        <v>0</v>
      </c>
      <c r="AE32" s="131">
        <v>44621</v>
      </c>
      <c r="AF32" s="14" t="s">
        <v>31</v>
      </c>
      <c r="AG32" s="14"/>
      <c r="AH32" s="14"/>
      <c r="AI32" s="39">
        <v>29498575</v>
      </c>
      <c r="AJ32" s="39">
        <f t="shared" si="0"/>
        <v>0</v>
      </c>
      <c r="AK32" s="39"/>
      <c r="AL32" s="39"/>
      <c r="AM32" s="9">
        <v>0</v>
      </c>
      <c r="AN32" s="101">
        <v>44655</v>
      </c>
      <c r="AO32" s="14" t="s">
        <v>31</v>
      </c>
      <c r="AP32" s="14"/>
      <c r="AQ32" s="58"/>
      <c r="AR32" s="39">
        <v>29498575</v>
      </c>
      <c r="AS32" s="39">
        <f t="shared" si="1"/>
        <v>0</v>
      </c>
      <c r="AT32" s="39"/>
      <c r="AU32" s="39"/>
      <c r="AV32" s="9">
        <v>0</v>
      </c>
      <c r="AW32" s="101">
        <v>44683</v>
      </c>
      <c r="AX32" s="14" t="s">
        <v>31</v>
      </c>
      <c r="AY32" s="14"/>
      <c r="AZ32" s="9"/>
      <c r="BA32" s="39">
        <v>29498575</v>
      </c>
      <c r="BB32" s="39">
        <f t="shared" si="2"/>
        <v>0</v>
      </c>
      <c r="BC32" s="39"/>
      <c r="BD32" s="39"/>
      <c r="BE32" s="9">
        <v>0</v>
      </c>
      <c r="BF32" s="101">
        <v>44715</v>
      </c>
      <c r="BG32" s="14" t="s">
        <v>31</v>
      </c>
      <c r="BH32" s="101">
        <v>44728</v>
      </c>
      <c r="BI32" s="9"/>
      <c r="BJ32" s="39">
        <v>29498575</v>
      </c>
      <c r="BK32" s="39">
        <f>BA32-BJ32</f>
        <v>0</v>
      </c>
      <c r="BL32" s="39"/>
      <c r="BM32" s="39"/>
      <c r="BN32" s="9">
        <v>0</v>
      </c>
      <c r="BO32" s="101">
        <v>44743</v>
      </c>
      <c r="BP32" s="14" t="s">
        <v>31</v>
      </c>
      <c r="BQ32" s="101">
        <v>44757</v>
      </c>
      <c r="BR32" s="9"/>
      <c r="BS32" s="39">
        <v>29498575</v>
      </c>
      <c r="BT32" s="39">
        <f>BJ32-BS32</f>
        <v>0</v>
      </c>
      <c r="BU32" s="39"/>
      <c r="BV32" s="39"/>
      <c r="BW32" s="9">
        <v>0</v>
      </c>
      <c r="BX32" s="101">
        <v>44774</v>
      </c>
      <c r="BY32" s="14" t="s">
        <v>31</v>
      </c>
      <c r="BZ32" s="14"/>
      <c r="CA32" s="9"/>
      <c r="CB32" s="39"/>
      <c r="CC32" s="39"/>
      <c r="CD32" s="39"/>
      <c r="CE32" s="39"/>
      <c r="CF32" s="9"/>
      <c r="CG32" s="101"/>
      <c r="CH32" s="14"/>
      <c r="CI32" s="14"/>
      <c r="CJ32" s="9"/>
      <c r="CK32" s="39"/>
      <c r="CL32" s="39"/>
      <c r="CM32" s="39"/>
      <c r="CN32" s="39"/>
      <c r="CO32" s="9"/>
      <c r="CP32" s="101"/>
      <c r="CQ32" s="14"/>
      <c r="CR32" s="14"/>
      <c r="CS32" s="9"/>
      <c r="CT32" s="39"/>
      <c r="CU32" s="39"/>
      <c r="CV32" s="39"/>
      <c r="CW32" s="39"/>
      <c r="CX32" s="9"/>
      <c r="CY32" s="101"/>
      <c r="CZ32" s="14"/>
      <c r="DA32" s="86"/>
      <c r="DB32" s="9"/>
      <c r="DC32" s="39"/>
      <c r="DD32" s="39"/>
      <c r="DE32" s="39"/>
      <c r="DF32" s="39"/>
      <c r="DG32" s="9"/>
      <c r="DH32" s="101"/>
      <c r="DI32" s="14"/>
      <c r="DJ32" s="14"/>
    </row>
    <row r="33" spans="1:114" hidden="1" x14ac:dyDescent="0.35">
      <c r="A33" s="1" t="s">
        <v>140</v>
      </c>
      <c r="B33" s="14" t="s">
        <v>141</v>
      </c>
      <c r="C33" s="14" t="s">
        <v>142</v>
      </c>
      <c r="D33" s="2">
        <v>6767</v>
      </c>
      <c r="E33" s="3">
        <v>204883</v>
      </c>
      <c r="F33" s="3" t="s">
        <v>143</v>
      </c>
      <c r="G33" s="52" t="s">
        <v>144</v>
      </c>
      <c r="H33" s="11">
        <v>2848419</v>
      </c>
      <c r="I33" s="39">
        <v>2848419</v>
      </c>
      <c r="J33" s="39"/>
      <c r="K33" s="39">
        <v>2848419</v>
      </c>
      <c r="L33" s="39">
        <f>H33-K33</f>
        <v>0</v>
      </c>
      <c r="M33" s="39"/>
      <c r="N33" s="39"/>
      <c r="O33" s="9">
        <v>0</v>
      </c>
      <c r="P33" s="102">
        <v>44568</v>
      </c>
      <c r="Q33" s="14" t="s">
        <v>31</v>
      </c>
      <c r="R33" s="112"/>
      <c r="S33" s="39"/>
      <c r="T33" s="39"/>
      <c r="U33" s="39">
        <v>3389619</v>
      </c>
      <c r="V33" s="9"/>
      <c r="W33" s="102"/>
      <c r="X33" s="14"/>
      <c r="Y33" s="14"/>
      <c r="Z33" s="14"/>
      <c r="AA33" s="57">
        <v>2848419</v>
      </c>
      <c r="AB33" s="57">
        <f>K33-AA33</f>
        <v>0</v>
      </c>
      <c r="AC33" s="14"/>
      <c r="AD33" s="58">
        <v>0</v>
      </c>
      <c r="AE33" s="131">
        <v>44622</v>
      </c>
      <c r="AF33" s="14" t="s">
        <v>31</v>
      </c>
      <c r="AG33" s="14"/>
      <c r="AH33" s="14"/>
      <c r="AI33" s="111">
        <v>2848419</v>
      </c>
      <c r="AJ33" s="111">
        <f t="shared" si="0"/>
        <v>0</v>
      </c>
      <c r="AK33" s="14"/>
      <c r="AL33" s="14"/>
      <c r="AM33" s="113">
        <v>0</v>
      </c>
      <c r="AN33" s="101">
        <v>44664</v>
      </c>
      <c r="AO33" s="14" t="s">
        <v>31</v>
      </c>
      <c r="AP33" s="14"/>
      <c r="AQ33" s="58"/>
      <c r="AR33" s="39">
        <v>2848419</v>
      </c>
      <c r="AS33" s="39">
        <f t="shared" si="1"/>
        <v>0</v>
      </c>
      <c r="AT33" s="39"/>
      <c r="AU33" s="39"/>
      <c r="AV33" s="9">
        <v>0</v>
      </c>
      <c r="AW33" s="101">
        <v>44683</v>
      </c>
      <c r="AX33" s="14" t="s">
        <v>31</v>
      </c>
      <c r="AY33" s="14"/>
      <c r="AZ33" s="9"/>
      <c r="BA33" s="39">
        <v>2848419</v>
      </c>
      <c r="BB33" s="39">
        <f t="shared" si="2"/>
        <v>0</v>
      </c>
      <c r="BC33" s="39"/>
      <c r="BD33" s="39"/>
      <c r="BE33" s="9">
        <v>0</v>
      </c>
      <c r="BF33" s="101">
        <v>44733</v>
      </c>
      <c r="BG33" s="14" t="s">
        <v>31</v>
      </c>
      <c r="BH33" s="101">
        <v>44757</v>
      </c>
      <c r="BI33" s="9"/>
      <c r="BJ33" s="39">
        <v>2848419</v>
      </c>
      <c r="BK33" s="39">
        <f>BA33-BJ33</f>
        <v>0</v>
      </c>
      <c r="BL33" s="39"/>
      <c r="BM33" s="39"/>
      <c r="BN33" s="9">
        <v>0</v>
      </c>
      <c r="BO33" s="101">
        <v>44761</v>
      </c>
      <c r="BP33" s="14" t="s">
        <v>31</v>
      </c>
      <c r="BQ33" s="101">
        <v>44770</v>
      </c>
      <c r="BR33" s="9"/>
      <c r="BS33" s="39">
        <v>2848419</v>
      </c>
      <c r="BT33" s="39">
        <f>BS33-BJ33</f>
        <v>0</v>
      </c>
      <c r="BU33" s="39"/>
      <c r="BV33" s="39"/>
      <c r="BW33" s="9">
        <f>BT33/BJ33</f>
        <v>0</v>
      </c>
      <c r="BX33" s="101">
        <v>44777</v>
      </c>
      <c r="BY33" s="14" t="s">
        <v>31</v>
      </c>
      <c r="BZ33" s="14"/>
      <c r="CA33" s="9"/>
      <c r="CB33" s="39"/>
      <c r="CC33" s="39"/>
      <c r="CD33" s="39"/>
      <c r="CE33" s="39"/>
      <c r="CF33" s="9"/>
      <c r="CG33" s="101"/>
      <c r="CH33" s="14"/>
      <c r="CI33" s="14"/>
      <c r="CJ33" s="9"/>
      <c r="CK33" s="39"/>
      <c r="CL33" s="39"/>
      <c r="CM33" s="39"/>
      <c r="CN33" s="39"/>
      <c r="CO33" s="9"/>
      <c r="CP33" s="101"/>
      <c r="CQ33" s="14"/>
      <c r="CR33" s="14"/>
      <c r="CS33" s="9"/>
      <c r="CT33" s="39"/>
      <c r="CU33" s="39"/>
      <c r="CV33" s="39"/>
      <c r="CW33" s="39"/>
      <c r="CX33" s="9"/>
      <c r="CY33" s="101"/>
      <c r="CZ33" s="14"/>
      <c r="DA33" s="86"/>
      <c r="DB33" s="9"/>
      <c r="DC33" s="39"/>
      <c r="DD33" s="39"/>
      <c r="DE33" s="39"/>
      <c r="DF33" s="39"/>
      <c r="DG33" s="9"/>
      <c r="DH33" s="101"/>
      <c r="DI33" s="14"/>
      <c r="DJ33" s="14"/>
    </row>
    <row r="34" spans="1:114" hidden="1" x14ac:dyDescent="0.35">
      <c r="A34" s="1" t="s">
        <v>140</v>
      </c>
      <c r="B34" s="14" t="s">
        <v>141</v>
      </c>
      <c r="C34" s="14" t="s">
        <v>142</v>
      </c>
      <c r="D34" s="2">
        <v>6767</v>
      </c>
      <c r="E34" s="3">
        <v>206033</v>
      </c>
      <c r="F34" s="3" t="s">
        <v>145</v>
      </c>
      <c r="G34" s="52" t="s">
        <v>146</v>
      </c>
      <c r="H34" s="39">
        <v>6084648</v>
      </c>
      <c r="I34" s="39">
        <v>6084648</v>
      </c>
      <c r="J34" s="39"/>
      <c r="K34" s="39"/>
      <c r="L34" s="39"/>
      <c r="M34" s="39"/>
      <c r="N34" s="39"/>
      <c r="O34" s="9"/>
      <c r="P34" s="102"/>
      <c r="Q34" s="14"/>
      <c r="R34" s="20"/>
      <c r="S34" s="39">
        <v>6084648</v>
      </c>
      <c r="T34" s="8">
        <f>I34-S34</f>
        <v>0</v>
      </c>
      <c r="U34" s="14"/>
      <c r="V34" s="9">
        <v>0</v>
      </c>
      <c r="W34" s="102">
        <v>44600</v>
      </c>
      <c r="X34" s="14" t="s">
        <v>31</v>
      </c>
      <c r="Y34" s="20"/>
      <c r="Z34" s="14"/>
      <c r="AA34" s="57">
        <v>6084648</v>
      </c>
      <c r="AB34" s="57">
        <f>S34-AA34</f>
        <v>0</v>
      </c>
      <c r="AC34" s="14"/>
      <c r="AD34" s="58">
        <v>0</v>
      </c>
      <c r="AE34" s="102">
        <v>44637</v>
      </c>
      <c r="AF34" s="14" t="s">
        <v>31</v>
      </c>
      <c r="AG34" s="14"/>
      <c r="AH34" s="67"/>
      <c r="AI34" s="39">
        <v>6084648</v>
      </c>
      <c r="AJ34" s="39">
        <f t="shared" si="0"/>
        <v>0</v>
      </c>
      <c r="AK34" s="39"/>
      <c r="AL34" s="39"/>
      <c r="AM34" s="9">
        <v>0</v>
      </c>
      <c r="AN34" s="102">
        <v>44676</v>
      </c>
      <c r="AO34" s="14" t="s">
        <v>31</v>
      </c>
      <c r="AP34" s="14"/>
      <c r="AQ34" s="58"/>
      <c r="AR34" s="39">
        <v>6084648</v>
      </c>
      <c r="AS34" s="39">
        <f t="shared" si="1"/>
        <v>0</v>
      </c>
      <c r="AT34" s="39"/>
      <c r="AU34" s="39"/>
      <c r="AV34" s="9">
        <v>0</v>
      </c>
      <c r="AW34" s="101">
        <v>44704</v>
      </c>
      <c r="AX34" s="14" t="s">
        <v>31</v>
      </c>
      <c r="AY34" s="14"/>
      <c r="AZ34" s="9"/>
      <c r="BA34" s="39">
        <v>6084648</v>
      </c>
      <c r="BB34" s="39">
        <f t="shared" si="2"/>
        <v>0</v>
      </c>
      <c r="BC34" s="39"/>
      <c r="BD34" s="39"/>
      <c r="BE34" s="9">
        <v>0</v>
      </c>
      <c r="BF34" s="101">
        <v>44740</v>
      </c>
      <c r="BG34" s="14" t="s">
        <v>31</v>
      </c>
      <c r="BH34" s="101">
        <v>44757</v>
      </c>
      <c r="BI34" s="9"/>
      <c r="BJ34" s="39"/>
      <c r="BK34" s="39"/>
      <c r="BL34" s="39"/>
      <c r="BM34" s="39"/>
      <c r="BN34" s="9"/>
      <c r="BO34" s="101"/>
      <c r="BP34" s="14"/>
      <c r="BQ34" s="14"/>
      <c r="BR34" s="9"/>
      <c r="BS34" s="39"/>
      <c r="BT34" s="39"/>
      <c r="BU34" s="39"/>
      <c r="BV34" s="39"/>
      <c r="BW34" s="9"/>
      <c r="BX34" s="101"/>
      <c r="BY34" s="14"/>
      <c r="BZ34" s="14"/>
      <c r="CA34" s="9"/>
      <c r="CB34" s="39"/>
      <c r="CC34" s="39"/>
      <c r="CD34" s="39"/>
      <c r="CE34" s="39"/>
      <c r="CF34" s="9"/>
      <c r="CG34" s="101"/>
      <c r="CH34" s="14"/>
      <c r="CI34" s="14"/>
      <c r="CJ34" s="9"/>
      <c r="CK34" s="39"/>
      <c r="CL34" s="39"/>
      <c r="CM34" s="39"/>
      <c r="CN34" s="39"/>
      <c r="CO34" s="9"/>
      <c r="CP34" s="101"/>
      <c r="CQ34" s="14"/>
      <c r="CR34" s="14"/>
      <c r="CS34" s="9"/>
      <c r="CT34" s="39"/>
      <c r="CU34" s="39"/>
      <c r="CV34" s="39"/>
      <c r="CW34" s="39"/>
      <c r="CX34" s="9"/>
      <c r="CY34" s="101"/>
      <c r="CZ34" s="14"/>
      <c r="DA34" s="86"/>
      <c r="DB34" s="9"/>
      <c r="DC34" s="39"/>
      <c r="DD34" s="39"/>
      <c r="DE34" s="39"/>
      <c r="DF34" s="39"/>
      <c r="DG34" s="9"/>
      <c r="DH34" s="101"/>
      <c r="DI34" s="14"/>
      <c r="DJ34" s="14"/>
    </row>
    <row r="35" spans="1:114" hidden="1" x14ac:dyDescent="0.35">
      <c r="A35" s="1" t="s">
        <v>147</v>
      </c>
      <c r="B35" s="14" t="s">
        <v>148</v>
      </c>
      <c r="C35" s="14" t="s">
        <v>149</v>
      </c>
      <c r="D35" s="2">
        <v>6776</v>
      </c>
      <c r="E35" s="3">
        <v>204970</v>
      </c>
      <c r="F35" s="3" t="s">
        <v>150</v>
      </c>
      <c r="G35" s="52" t="s">
        <v>151</v>
      </c>
      <c r="H35" s="39">
        <v>12099020</v>
      </c>
      <c r="I35" s="39">
        <v>11099000</v>
      </c>
      <c r="J35" s="39"/>
      <c r="K35" s="39">
        <v>11099000</v>
      </c>
      <c r="L35" s="39">
        <f>I35-K35</f>
        <v>0</v>
      </c>
      <c r="M35" s="39"/>
      <c r="N35" s="39"/>
      <c r="O35" s="9">
        <f>L35/H35</f>
        <v>0</v>
      </c>
      <c r="P35" s="102">
        <v>44564</v>
      </c>
      <c r="Q35" s="3" t="s">
        <v>31</v>
      </c>
      <c r="R35" s="20"/>
      <c r="S35" s="39">
        <v>11099000</v>
      </c>
      <c r="T35" s="8">
        <f>K35-S35</f>
        <v>0</v>
      </c>
      <c r="U35" s="14"/>
      <c r="V35" s="9">
        <f>T35/H35</f>
        <v>0</v>
      </c>
      <c r="W35" s="101">
        <v>44595</v>
      </c>
      <c r="X35" s="14" t="s">
        <v>31</v>
      </c>
      <c r="Y35" s="20"/>
      <c r="Z35" s="14"/>
      <c r="AA35" s="57">
        <v>11699012</v>
      </c>
      <c r="AB35" s="57">
        <f>S35-AA35</f>
        <v>-600012</v>
      </c>
      <c r="AC35" s="14"/>
      <c r="AD35" s="58">
        <f>AB35/S35</f>
        <v>-5.4060005405892425E-2</v>
      </c>
      <c r="AE35" s="101">
        <v>44630</v>
      </c>
      <c r="AF35" s="14" t="s">
        <v>31</v>
      </c>
      <c r="AG35" s="20"/>
      <c r="AH35" s="67"/>
      <c r="AI35" s="39">
        <v>12099020</v>
      </c>
      <c r="AJ35" s="39"/>
      <c r="AK35" s="39">
        <f>AA35-AI35</f>
        <v>-400008</v>
      </c>
      <c r="AL35" s="39"/>
      <c r="AM35" s="9">
        <f>AK35/AA35</f>
        <v>-3.4191605239827089E-2</v>
      </c>
      <c r="AN35" s="101">
        <v>44655</v>
      </c>
      <c r="AO35" s="14" t="s">
        <v>31</v>
      </c>
      <c r="AP35" s="14"/>
      <c r="AQ35" s="58"/>
      <c r="AR35" s="39">
        <v>12099020</v>
      </c>
      <c r="AS35" s="39">
        <f t="shared" si="1"/>
        <v>0</v>
      </c>
      <c r="AT35" s="39"/>
      <c r="AU35" s="39"/>
      <c r="AV35" s="9">
        <v>0</v>
      </c>
      <c r="AW35" s="101">
        <v>44683</v>
      </c>
      <c r="AX35" s="14" t="s">
        <v>31</v>
      </c>
      <c r="AY35" s="14"/>
      <c r="AZ35" s="9"/>
      <c r="BA35" s="39">
        <v>12099020</v>
      </c>
      <c r="BB35" s="39">
        <f t="shared" si="2"/>
        <v>0</v>
      </c>
      <c r="BC35" s="39"/>
      <c r="BD35" s="39"/>
      <c r="BE35" s="9">
        <v>0</v>
      </c>
      <c r="BF35" s="101">
        <v>44713</v>
      </c>
      <c r="BG35" s="14" t="s">
        <v>31</v>
      </c>
      <c r="BH35" s="101">
        <v>44728</v>
      </c>
      <c r="BI35" s="9"/>
      <c r="BJ35" s="39">
        <v>12099020</v>
      </c>
      <c r="BK35" s="39">
        <f>BA35-BJ35</f>
        <v>0</v>
      </c>
      <c r="BL35" s="39"/>
      <c r="BM35" s="39"/>
      <c r="BN35" s="9">
        <v>0</v>
      </c>
      <c r="BO35" s="101">
        <v>44743</v>
      </c>
      <c r="BP35" s="14" t="s">
        <v>31</v>
      </c>
      <c r="BQ35" s="101">
        <v>44757</v>
      </c>
      <c r="BR35" s="9"/>
      <c r="BS35" s="39">
        <v>12099020</v>
      </c>
      <c r="BT35" s="39">
        <f>BJ35-BS35</f>
        <v>0</v>
      </c>
      <c r="BU35" s="39"/>
      <c r="BV35" s="39"/>
      <c r="BW35" s="9">
        <v>0</v>
      </c>
      <c r="BX35" s="101">
        <v>44774</v>
      </c>
      <c r="BY35" s="14" t="s">
        <v>31</v>
      </c>
      <c r="BZ35" s="14"/>
      <c r="CA35" s="9"/>
      <c r="CB35" s="39"/>
      <c r="CC35" s="39"/>
      <c r="CD35" s="39"/>
      <c r="CE35" s="39"/>
      <c r="CF35" s="9"/>
      <c r="CG35" s="101"/>
      <c r="CH35" s="14"/>
      <c r="CI35" s="14"/>
      <c r="CJ35" s="9"/>
      <c r="CK35" s="39"/>
      <c r="CL35" s="39"/>
      <c r="CM35" s="39"/>
      <c r="CN35" s="39"/>
      <c r="CO35" s="9"/>
      <c r="CP35" s="101"/>
      <c r="CQ35" s="14"/>
      <c r="CR35" s="14"/>
      <c r="CS35" s="9"/>
      <c r="CT35" s="39"/>
      <c r="CU35" s="39"/>
      <c r="CV35" s="39"/>
      <c r="CW35" s="39"/>
      <c r="CX35" s="9"/>
      <c r="CY35" s="101"/>
      <c r="CZ35" s="14"/>
      <c r="DA35" s="86"/>
      <c r="DB35" s="9"/>
      <c r="DC35" s="39"/>
      <c r="DD35" s="39"/>
      <c r="DE35" s="39"/>
      <c r="DF35" s="39"/>
      <c r="DG35" s="9"/>
      <c r="DH35" s="101"/>
      <c r="DI35" s="14"/>
      <c r="DJ35" s="14"/>
    </row>
    <row r="36" spans="1:114" hidden="1" x14ac:dyDescent="0.35">
      <c r="A36" s="1" t="s">
        <v>152</v>
      </c>
      <c r="B36" s="14" t="s">
        <v>153</v>
      </c>
      <c r="C36" s="14" t="s">
        <v>60</v>
      </c>
      <c r="D36" s="2">
        <v>8580</v>
      </c>
      <c r="E36" s="3">
        <v>205547</v>
      </c>
      <c r="F36" s="3" t="s">
        <v>154</v>
      </c>
      <c r="G36" s="52" t="s">
        <v>155</v>
      </c>
      <c r="H36" s="39">
        <v>6886820</v>
      </c>
      <c r="I36" s="39">
        <v>6520382</v>
      </c>
      <c r="J36" s="39"/>
      <c r="K36" s="39">
        <v>6520382</v>
      </c>
      <c r="L36" s="39">
        <f>I36-K36</f>
        <v>0</v>
      </c>
      <c r="M36" s="39"/>
      <c r="N36" s="39"/>
      <c r="O36" s="9">
        <v>0</v>
      </c>
      <c r="P36" s="101">
        <v>44566</v>
      </c>
      <c r="Q36" s="14" t="s">
        <v>31</v>
      </c>
      <c r="R36" s="20"/>
      <c r="S36" s="39">
        <v>7253258</v>
      </c>
      <c r="T36" s="8">
        <f>K36-S36</f>
        <v>-732876</v>
      </c>
      <c r="U36" s="14"/>
      <c r="V36" s="9">
        <f>T36/K36</f>
        <v>-0.11239770921396937</v>
      </c>
      <c r="W36" s="101">
        <v>44595</v>
      </c>
      <c r="X36" s="14" t="s">
        <v>31</v>
      </c>
      <c r="Y36" s="20"/>
      <c r="Z36" s="14"/>
      <c r="AA36" s="57">
        <v>6886820</v>
      </c>
      <c r="AB36" s="57">
        <f>S36-AA36</f>
        <v>366438</v>
      </c>
      <c r="AC36" s="14"/>
      <c r="AD36" s="58">
        <f>AB36/S36</f>
        <v>5.0520469560023921E-2</v>
      </c>
      <c r="AE36" s="101">
        <v>44630</v>
      </c>
      <c r="AF36" s="14" t="s">
        <v>31</v>
      </c>
      <c r="AG36" s="14"/>
      <c r="AH36" s="14"/>
      <c r="AI36" s="39">
        <v>6886820</v>
      </c>
      <c r="AJ36" s="39">
        <f>AA36-AI36</f>
        <v>0</v>
      </c>
      <c r="AK36" s="39"/>
      <c r="AL36" s="39"/>
      <c r="AM36" s="9">
        <v>0</v>
      </c>
      <c r="AN36" s="102">
        <v>44659</v>
      </c>
      <c r="AO36" s="14" t="s">
        <v>31</v>
      </c>
      <c r="AP36" s="14"/>
      <c r="AQ36" s="58"/>
      <c r="AR36" s="39">
        <v>6886820</v>
      </c>
      <c r="AS36" s="39">
        <f t="shared" si="1"/>
        <v>0</v>
      </c>
      <c r="AT36" s="39"/>
      <c r="AU36" s="39"/>
      <c r="AV36" s="9">
        <v>0</v>
      </c>
      <c r="AW36" s="101">
        <v>44686</v>
      </c>
      <c r="AX36" s="14" t="s">
        <v>31</v>
      </c>
      <c r="AY36" s="14"/>
      <c r="AZ36" s="9"/>
      <c r="BA36" s="39">
        <v>6886820</v>
      </c>
      <c r="BB36" s="39">
        <f t="shared" si="2"/>
        <v>0</v>
      </c>
      <c r="BC36" s="39"/>
      <c r="BD36" s="39"/>
      <c r="BE36" s="9">
        <v>0</v>
      </c>
      <c r="BF36" s="101">
        <v>44734</v>
      </c>
      <c r="BG36" s="14" t="s">
        <v>31</v>
      </c>
      <c r="BH36" s="101">
        <v>44757</v>
      </c>
      <c r="BI36" s="9"/>
      <c r="BJ36" s="39">
        <v>6886820</v>
      </c>
      <c r="BK36" s="39">
        <f>BA36-BJ36</f>
        <v>0</v>
      </c>
      <c r="BL36" s="39"/>
      <c r="BM36" s="39"/>
      <c r="BN36" s="9">
        <v>0</v>
      </c>
      <c r="BO36" s="101">
        <v>44748</v>
      </c>
      <c r="BP36" s="14" t="s">
        <v>31</v>
      </c>
      <c r="BQ36" s="101">
        <v>44757</v>
      </c>
      <c r="BR36" s="9"/>
      <c r="BS36" s="39">
        <v>6886820</v>
      </c>
      <c r="BT36" s="39">
        <f>BJ36-BS36</f>
        <v>0</v>
      </c>
      <c r="BU36" s="39"/>
      <c r="BV36" s="39"/>
      <c r="BW36" s="9">
        <v>0</v>
      </c>
      <c r="BX36" s="101">
        <v>44777</v>
      </c>
      <c r="BY36" s="14" t="s">
        <v>31</v>
      </c>
      <c r="BZ36" s="14"/>
      <c r="CA36" s="9"/>
      <c r="CB36" s="39"/>
      <c r="CC36" s="39"/>
      <c r="CD36" s="39"/>
      <c r="CE36" s="39"/>
      <c r="CF36" s="9"/>
      <c r="CG36" s="101"/>
      <c r="CH36" s="14"/>
      <c r="CI36" s="14"/>
      <c r="CJ36" s="9"/>
      <c r="CK36" s="39"/>
      <c r="CL36" s="39"/>
      <c r="CM36" s="39"/>
      <c r="CN36" s="39"/>
      <c r="CO36" s="9"/>
      <c r="CP36" s="101"/>
      <c r="CQ36" s="14"/>
      <c r="CR36" s="14"/>
      <c r="CS36" s="9"/>
      <c r="CT36" s="39"/>
      <c r="CU36" s="39"/>
      <c r="CV36" s="39"/>
      <c r="CW36" s="39"/>
      <c r="CX36" s="9"/>
      <c r="CY36" s="101"/>
      <c r="CZ36" s="14"/>
      <c r="DA36" s="86"/>
      <c r="DB36" s="9"/>
      <c r="DC36" s="39"/>
      <c r="DD36" s="39"/>
      <c r="DE36" s="39"/>
      <c r="DF36" s="39"/>
      <c r="DG36" s="9"/>
      <c r="DH36" s="101"/>
      <c r="DI36" s="14"/>
      <c r="DJ36" s="14"/>
    </row>
    <row r="37" spans="1:114" hidden="1" x14ac:dyDescent="0.35">
      <c r="A37" s="1" t="s">
        <v>156</v>
      </c>
      <c r="B37" s="14" t="s">
        <v>157</v>
      </c>
      <c r="C37" s="14" t="s">
        <v>158</v>
      </c>
      <c r="D37" s="2">
        <v>8581</v>
      </c>
      <c r="E37" s="3">
        <v>204996</v>
      </c>
      <c r="F37" s="3" t="s">
        <v>159</v>
      </c>
      <c r="G37" s="52" t="s">
        <v>160</v>
      </c>
      <c r="H37" s="39">
        <v>6134535</v>
      </c>
      <c r="I37" s="39">
        <v>5700181</v>
      </c>
      <c r="J37" s="39"/>
      <c r="K37" s="39">
        <v>5700181</v>
      </c>
      <c r="L37" s="39">
        <f>I37-K37</f>
        <v>0</v>
      </c>
      <c r="M37" s="39"/>
      <c r="N37" s="39"/>
      <c r="O37" s="9">
        <v>0</v>
      </c>
      <c r="P37" s="102">
        <v>44200</v>
      </c>
      <c r="Q37" s="3" t="s">
        <v>31</v>
      </c>
      <c r="R37" s="20"/>
      <c r="S37" s="39">
        <f>6134535+719429</f>
        <v>6853964</v>
      </c>
      <c r="T37" s="8">
        <f>K37-S37</f>
        <v>-1153783</v>
      </c>
      <c r="U37" s="14"/>
      <c r="V37" s="6">
        <f>T37/K37</f>
        <v>-0.20241164271801193</v>
      </c>
      <c r="W37" s="102">
        <v>44620</v>
      </c>
      <c r="X37" s="14" t="s">
        <v>31</v>
      </c>
      <c r="Y37" s="20"/>
      <c r="Z37" s="14"/>
      <c r="AA37" s="57">
        <f>6134535+719429</f>
        <v>6853964</v>
      </c>
      <c r="AB37" s="57">
        <f>H37-AA37</f>
        <v>-719429</v>
      </c>
      <c r="AC37" s="14"/>
      <c r="AD37" s="58">
        <v>0</v>
      </c>
      <c r="AE37" s="131">
        <v>44644</v>
      </c>
      <c r="AF37" s="14" t="s">
        <v>31</v>
      </c>
      <c r="AG37" s="20"/>
      <c r="AH37" s="14"/>
      <c r="AI37" s="39">
        <f>6134535+599524</f>
        <v>6734059</v>
      </c>
      <c r="AJ37" s="39">
        <f>H37-AI37</f>
        <v>-599524</v>
      </c>
      <c r="AK37" s="39"/>
      <c r="AL37" s="39"/>
      <c r="AM37" s="9">
        <v>0</v>
      </c>
      <c r="AN37" s="102">
        <v>44683</v>
      </c>
      <c r="AO37" s="14" t="s">
        <v>31</v>
      </c>
      <c r="AP37" s="14"/>
      <c r="AQ37" s="58"/>
      <c r="AR37" s="39">
        <f>6134535+599524</f>
        <v>6734059</v>
      </c>
      <c r="AS37" s="39">
        <v>0</v>
      </c>
      <c r="AT37" s="39"/>
      <c r="AU37" s="39"/>
      <c r="AV37" s="9">
        <v>0</v>
      </c>
      <c r="AW37" s="101">
        <v>44699</v>
      </c>
      <c r="AX37" s="14" t="s">
        <v>31</v>
      </c>
      <c r="AY37" s="14"/>
      <c r="AZ37" s="9"/>
      <c r="BA37" s="39">
        <v>6134535</v>
      </c>
      <c r="BB37" s="39">
        <v>0</v>
      </c>
      <c r="BC37" s="39"/>
      <c r="BD37" s="39"/>
      <c r="BE37" s="9">
        <v>0</v>
      </c>
      <c r="BF37" s="101">
        <v>44715</v>
      </c>
      <c r="BG37" s="14" t="s">
        <v>31</v>
      </c>
      <c r="BH37" s="101">
        <v>44728</v>
      </c>
      <c r="BI37" s="9"/>
      <c r="BJ37" s="39">
        <v>6134535</v>
      </c>
      <c r="BK37" s="39">
        <f>BA37-BJ37</f>
        <v>0</v>
      </c>
      <c r="BL37" s="39"/>
      <c r="BM37" s="39"/>
      <c r="BN37" s="9">
        <v>0</v>
      </c>
      <c r="BO37" s="101">
        <v>44743</v>
      </c>
      <c r="BP37" s="14" t="s">
        <v>31</v>
      </c>
      <c r="BQ37" s="101">
        <v>44757</v>
      </c>
      <c r="BR37" s="9"/>
      <c r="BS37" s="39">
        <v>6134535</v>
      </c>
      <c r="BT37" s="39">
        <f>BJ37-BS37</f>
        <v>0</v>
      </c>
      <c r="BU37" s="39"/>
      <c r="BV37" s="39"/>
      <c r="BW37" s="9">
        <v>0</v>
      </c>
      <c r="BX37" s="101">
        <v>44775</v>
      </c>
      <c r="BY37" s="14" t="s">
        <v>31</v>
      </c>
      <c r="BZ37" s="14"/>
      <c r="CA37" s="9"/>
      <c r="CB37" s="143">
        <v>6134535</v>
      </c>
      <c r="CC37" s="39"/>
      <c r="CD37" s="39"/>
      <c r="CE37" s="39"/>
      <c r="CF37" s="9"/>
      <c r="CG37" s="101"/>
      <c r="CH37" s="14"/>
      <c r="CI37" s="14"/>
      <c r="CJ37" s="9"/>
      <c r="CK37" s="39"/>
      <c r="CL37" s="39"/>
      <c r="CM37" s="39"/>
      <c r="CN37" s="39"/>
      <c r="CO37" s="9"/>
      <c r="CP37" s="101"/>
      <c r="CQ37" s="14"/>
      <c r="CR37" s="14"/>
      <c r="CS37" s="9"/>
      <c r="CT37" s="39"/>
      <c r="CU37" s="39"/>
      <c r="CV37" s="39"/>
      <c r="CW37" s="39"/>
      <c r="CX37" s="9"/>
      <c r="CY37" s="101"/>
      <c r="CZ37" s="14"/>
      <c r="DA37" s="86"/>
      <c r="DB37" s="9"/>
      <c r="DC37" s="39"/>
      <c r="DD37" s="39"/>
      <c r="DE37" s="39"/>
      <c r="DF37" s="39"/>
      <c r="DG37" s="9"/>
      <c r="DH37" s="101"/>
      <c r="DI37" s="14"/>
      <c r="DJ37" s="14"/>
    </row>
    <row r="38" spans="1:114" hidden="1" x14ac:dyDescent="0.35">
      <c r="A38" s="1" t="s">
        <v>161</v>
      </c>
      <c r="B38" s="14" t="s">
        <v>162</v>
      </c>
      <c r="C38" s="14" t="s">
        <v>163</v>
      </c>
      <c r="D38" s="2">
        <v>8582</v>
      </c>
      <c r="E38" s="3">
        <v>289666</v>
      </c>
      <c r="F38" s="3" t="s">
        <v>508</v>
      </c>
      <c r="G38" s="52" t="s">
        <v>509</v>
      </c>
      <c r="H38" s="39">
        <v>6609193</v>
      </c>
      <c r="I38" s="39">
        <v>6257520</v>
      </c>
      <c r="J38" s="39"/>
      <c r="K38" s="39">
        <v>6609193</v>
      </c>
      <c r="L38" s="39"/>
      <c r="M38" s="39">
        <f>I38-K38</f>
        <v>-351673</v>
      </c>
      <c r="N38" s="39"/>
      <c r="O38" s="9">
        <f>M38/I38</f>
        <v>-5.6200060087702473E-2</v>
      </c>
      <c r="P38" s="101">
        <v>44574</v>
      </c>
      <c r="Q38" s="14" t="s">
        <v>31</v>
      </c>
      <c r="R38" s="20"/>
      <c r="S38" s="39">
        <v>6609193</v>
      </c>
      <c r="T38" s="8">
        <f>K38-S38</f>
        <v>0</v>
      </c>
      <c r="U38" s="39"/>
      <c r="V38" s="9">
        <v>0</v>
      </c>
      <c r="W38" s="102">
        <v>44600</v>
      </c>
      <c r="X38" s="14" t="s">
        <v>31</v>
      </c>
      <c r="Y38" s="20"/>
      <c r="Z38" s="14"/>
      <c r="AA38" s="57">
        <v>6609193</v>
      </c>
      <c r="AB38" s="57">
        <f>S38-AA38</f>
        <v>0</v>
      </c>
      <c r="AC38" s="14"/>
      <c r="AD38" s="58">
        <v>0</v>
      </c>
      <c r="AE38" s="102">
        <v>44628</v>
      </c>
      <c r="AF38" s="14" t="s">
        <v>31</v>
      </c>
      <c r="AG38" s="14"/>
      <c r="AH38" s="14"/>
      <c r="AI38" s="39">
        <v>6609193</v>
      </c>
      <c r="AJ38" s="39">
        <f>AA38-AI38</f>
        <v>0</v>
      </c>
      <c r="AK38" s="39"/>
      <c r="AL38" s="39"/>
      <c r="AM38" s="9">
        <v>0</v>
      </c>
      <c r="AN38" s="102">
        <v>44659</v>
      </c>
      <c r="AO38" s="14" t="s">
        <v>31</v>
      </c>
      <c r="AP38" s="14"/>
      <c r="AQ38" s="58"/>
      <c r="AR38" s="39">
        <v>6609193</v>
      </c>
      <c r="AS38" s="39">
        <f>AI38-AR38</f>
        <v>0</v>
      </c>
      <c r="AT38" s="39"/>
      <c r="AU38" s="39"/>
      <c r="AV38" s="9">
        <v>0</v>
      </c>
      <c r="AW38" s="101">
        <v>44687</v>
      </c>
      <c r="AX38" s="14" t="s">
        <v>31</v>
      </c>
      <c r="AY38" s="14"/>
      <c r="AZ38" s="9"/>
      <c r="BA38" s="39">
        <v>6609193</v>
      </c>
      <c r="BB38" s="39">
        <f>AR38-BA38</f>
        <v>0</v>
      </c>
      <c r="BC38" s="39"/>
      <c r="BD38" s="39"/>
      <c r="BE38" s="9">
        <v>0</v>
      </c>
      <c r="BF38" s="101">
        <v>44719</v>
      </c>
      <c r="BG38" s="14" t="s">
        <v>31</v>
      </c>
      <c r="BH38" s="101">
        <v>44728</v>
      </c>
      <c r="BI38" s="9"/>
      <c r="BJ38" s="39">
        <v>6609193</v>
      </c>
      <c r="BK38" s="39">
        <f>BA38-BJ38</f>
        <v>0</v>
      </c>
      <c r="BL38" s="39"/>
      <c r="BM38" s="39"/>
      <c r="BN38" s="9">
        <v>0</v>
      </c>
      <c r="BO38" s="101">
        <v>44750</v>
      </c>
      <c r="BP38" s="14" t="s">
        <v>31</v>
      </c>
      <c r="BQ38" s="101">
        <v>44768</v>
      </c>
      <c r="BR38" s="9"/>
      <c r="BS38" s="39">
        <v>6609193</v>
      </c>
      <c r="BT38" s="39">
        <f>BJ38-BS38</f>
        <v>0</v>
      </c>
      <c r="BU38" s="39"/>
      <c r="BV38" s="39"/>
      <c r="BW38" s="9">
        <v>0</v>
      </c>
      <c r="BX38" s="101">
        <v>44778</v>
      </c>
      <c r="BY38" s="14" t="s">
        <v>31</v>
      </c>
      <c r="BZ38" s="14"/>
      <c r="CA38" s="9"/>
      <c r="CB38" s="39"/>
      <c r="CC38" s="39"/>
      <c r="CD38" s="39"/>
      <c r="CE38" s="39"/>
      <c r="CF38" s="9"/>
      <c r="CG38" s="101"/>
      <c r="CH38" s="14"/>
      <c r="CI38" s="14"/>
      <c r="CJ38" s="9"/>
      <c r="CK38" s="39"/>
      <c r="CL38" s="39"/>
      <c r="CM38" s="39"/>
      <c r="CN38" s="39"/>
      <c r="CO38" s="9"/>
      <c r="CP38" s="101"/>
      <c r="CQ38" s="14"/>
      <c r="CR38" s="14"/>
      <c r="CS38" s="9"/>
      <c r="CT38" s="39"/>
      <c r="CU38" s="39"/>
      <c r="CV38" s="39"/>
      <c r="CW38" s="39"/>
      <c r="CX38" s="9"/>
      <c r="CY38" s="101"/>
      <c r="CZ38" s="14"/>
      <c r="DA38" s="86"/>
      <c r="DB38" s="9"/>
      <c r="DC38" s="39"/>
      <c r="DD38" s="39"/>
      <c r="DE38" s="39"/>
      <c r="DF38" s="39"/>
      <c r="DG38" s="9"/>
      <c r="DH38" s="101"/>
      <c r="DI38" s="14"/>
      <c r="DJ38" s="14"/>
    </row>
    <row r="39" spans="1:114" hidden="1" x14ac:dyDescent="0.35">
      <c r="A39" s="1" t="s">
        <v>161</v>
      </c>
      <c r="B39" s="14" t="s">
        <v>162</v>
      </c>
      <c r="C39" s="14" t="s">
        <v>163</v>
      </c>
      <c r="D39" s="2" t="s">
        <v>61</v>
      </c>
      <c r="E39" s="3">
        <v>205022</v>
      </c>
      <c r="F39" s="3" t="s">
        <v>511</v>
      </c>
      <c r="G39" s="52" t="s">
        <v>165</v>
      </c>
      <c r="H39" s="203" t="s">
        <v>61</v>
      </c>
      <c r="I39" s="204"/>
      <c r="J39" s="209" t="s">
        <v>533</v>
      </c>
      <c r="K39" s="210"/>
      <c r="L39" s="210"/>
      <c r="M39" s="210"/>
      <c r="N39" s="210"/>
      <c r="O39" s="210"/>
      <c r="P39" s="210"/>
      <c r="Q39" s="210"/>
      <c r="R39" s="211"/>
      <c r="S39" s="39">
        <v>817539</v>
      </c>
      <c r="T39" s="39">
        <v>0</v>
      </c>
      <c r="U39" s="39"/>
      <c r="V39" s="9">
        <v>0</v>
      </c>
      <c r="W39" s="102">
        <v>44609</v>
      </c>
      <c r="X39" s="14" t="s">
        <v>31</v>
      </c>
      <c r="Y39" s="20"/>
      <c r="Z39" s="172" t="s">
        <v>533</v>
      </c>
      <c r="AA39" s="173"/>
      <c r="AB39" s="173"/>
      <c r="AC39" s="173"/>
      <c r="AD39" s="173"/>
      <c r="AE39" s="173"/>
      <c r="AF39" s="173"/>
      <c r="AG39" s="174"/>
      <c r="AH39" s="172" t="s">
        <v>533</v>
      </c>
      <c r="AI39" s="173"/>
      <c r="AJ39" s="173"/>
      <c r="AK39" s="173"/>
      <c r="AL39" s="173"/>
      <c r="AM39" s="173"/>
      <c r="AN39" s="173"/>
      <c r="AO39" s="173"/>
      <c r="AP39" s="174"/>
      <c r="AQ39" s="163" t="s">
        <v>510</v>
      </c>
      <c r="AR39" s="164"/>
      <c r="AS39" s="164"/>
      <c r="AT39" s="164"/>
      <c r="AU39" s="164"/>
      <c r="AV39" s="164"/>
      <c r="AW39" s="164"/>
      <c r="AX39" s="164"/>
      <c r="AY39" s="165"/>
      <c r="AZ39" s="14"/>
      <c r="BA39" s="111">
        <v>388095</v>
      </c>
      <c r="BB39" s="111">
        <v>0</v>
      </c>
      <c r="BC39" s="14"/>
      <c r="BD39" s="14"/>
      <c r="BE39" s="113">
        <v>0</v>
      </c>
      <c r="BF39" s="101">
        <v>44729</v>
      </c>
      <c r="BG39" s="14" t="s">
        <v>31</v>
      </c>
      <c r="BH39" s="101">
        <v>44753</v>
      </c>
      <c r="BI39" s="14"/>
      <c r="BJ39" s="111">
        <v>1838550</v>
      </c>
      <c r="BK39" s="111">
        <v>0</v>
      </c>
      <c r="BL39" s="14"/>
      <c r="BM39" s="14"/>
      <c r="BN39" s="113">
        <v>0</v>
      </c>
      <c r="BO39" s="101">
        <v>44761</v>
      </c>
      <c r="BP39" s="14" t="s">
        <v>31</v>
      </c>
      <c r="BQ39" s="101">
        <v>44769</v>
      </c>
      <c r="BR39" s="14"/>
      <c r="BS39" s="111">
        <v>2620387</v>
      </c>
      <c r="BT39" s="111">
        <v>0</v>
      </c>
      <c r="BU39" s="14"/>
      <c r="BV39" s="14"/>
      <c r="BW39" s="113">
        <v>0</v>
      </c>
      <c r="BX39" s="101">
        <v>44785</v>
      </c>
      <c r="BY39" s="14" t="s">
        <v>31</v>
      </c>
      <c r="BZ39" s="14"/>
      <c r="CA39" s="9"/>
      <c r="CB39" s="39"/>
      <c r="CC39" s="39"/>
      <c r="CD39" s="39"/>
      <c r="CE39" s="39"/>
      <c r="CF39" s="9"/>
      <c r="CG39" s="101"/>
      <c r="CH39" s="14"/>
      <c r="CI39" s="14"/>
      <c r="CJ39" s="9"/>
      <c r="CK39" s="39"/>
      <c r="CL39" s="39"/>
      <c r="CM39" s="39"/>
      <c r="CN39" s="39"/>
      <c r="CO39" s="9"/>
      <c r="CP39" s="101"/>
      <c r="CQ39" s="14"/>
      <c r="CR39" s="14"/>
      <c r="CS39" s="163"/>
      <c r="CT39" s="164"/>
      <c r="CU39" s="164"/>
      <c r="CV39" s="164"/>
      <c r="CW39" s="164"/>
      <c r="CX39" s="164"/>
      <c r="CY39" s="164"/>
      <c r="CZ39" s="164"/>
      <c r="DA39" s="165"/>
      <c r="DB39" s="9"/>
      <c r="DC39" s="39"/>
      <c r="DD39" s="39"/>
      <c r="DE39" s="39"/>
      <c r="DF39" s="39"/>
      <c r="DG39" s="9"/>
      <c r="DH39" s="101"/>
      <c r="DI39" s="14"/>
      <c r="DJ39" s="14"/>
    </row>
    <row r="40" spans="1:114" hidden="1" x14ac:dyDescent="0.35">
      <c r="A40" s="1" t="s">
        <v>166</v>
      </c>
      <c r="B40" s="14" t="s">
        <v>167</v>
      </c>
      <c r="C40" s="14" t="s">
        <v>168</v>
      </c>
      <c r="D40" s="2" t="s">
        <v>61</v>
      </c>
      <c r="E40" s="3">
        <v>206169</v>
      </c>
      <c r="F40" s="3" t="s">
        <v>169</v>
      </c>
      <c r="G40" s="52" t="s">
        <v>170</v>
      </c>
      <c r="H40" s="203" t="s">
        <v>61</v>
      </c>
      <c r="I40" s="204"/>
      <c r="J40" s="39"/>
      <c r="K40" s="39">
        <f>9270303+18134</f>
        <v>9288437</v>
      </c>
      <c r="L40" s="39">
        <v>0</v>
      </c>
      <c r="M40" s="39"/>
      <c r="N40" s="39"/>
      <c r="O40" s="9">
        <v>0</v>
      </c>
      <c r="P40" s="101">
        <v>44578</v>
      </c>
      <c r="Q40" s="3" t="s">
        <v>31</v>
      </c>
      <c r="R40" s="20"/>
      <c r="S40" s="39">
        <v>4678824</v>
      </c>
      <c r="T40" s="39">
        <v>0</v>
      </c>
      <c r="U40" s="39">
        <v>302917</v>
      </c>
      <c r="V40" s="9">
        <v>0</v>
      </c>
      <c r="W40" s="102">
        <v>44606</v>
      </c>
      <c r="X40" s="14" t="s">
        <v>31</v>
      </c>
      <c r="Y40" s="20"/>
      <c r="Z40" s="14"/>
      <c r="AA40" s="57">
        <f>5267047+10208</f>
        <v>5277255</v>
      </c>
      <c r="AB40" s="57">
        <v>0</v>
      </c>
      <c r="AC40" s="14"/>
      <c r="AD40" s="58">
        <v>0</v>
      </c>
      <c r="AE40" s="131">
        <v>44634</v>
      </c>
      <c r="AF40" s="14" t="s">
        <v>31</v>
      </c>
      <c r="AG40" s="20"/>
      <c r="AH40" s="14"/>
      <c r="AI40" s="39">
        <v>5072585</v>
      </c>
      <c r="AJ40" s="39">
        <v>0</v>
      </c>
      <c r="AK40" s="39"/>
      <c r="AL40" s="39">
        <v>20870</v>
      </c>
      <c r="AM40" s="9">
        <v>0</v>
      </c>
      <c r="AN40" s="101">
        <v>44662</v>
      </c>
      <c r="AO40" s="14" t="s">
        <v>31</v>
      </c>
      <c r="AP40" s="14"/>
      <c r="AQ40" s="58"/>
      <c r="AR40" s="39">
        <f>4069097+30300</f>
        <v>4099397</v>
      </c>
      <c r="AS40" s="39">
        <v>0</v>
      </c>
      <c r="AT40" s="39"/>
      <c r="AU40" s="39"/>
      <c r="AV40" s="9">
        <v>0</v>
      </c>
      <c r="AW40" s="101">
        <v>44692</v>
      </c>
      <c r="AX40" s="14" t="s">
        <v>31</v>
      </c>
      <c r="AY40" s="14"/>
      <c r="AZ40" s="9"/>
      <c r="BA40" s="39">
        <v>5999308</v>
      </c>
      <c r="BB40" s="39">
        <v>0</v>
      </c>
      <c r="BC40" s="39"/>
      <c r="BD40" s="39">
        <v>87526</v>
      </c>
      <c r="BE40" s="9">
        <v>0</v>
      </c>
      <c r="BF40" s="101">
        <v>44715</v>
      </c>
      <c r="BG40" s="14" t="s">
        <v>31</v>
      </c>
      <c r="BH40" s="101">
        <v>44728</v>
      </c>
      <c r="BI40" s="9"/>
      <c r="BJ40" s="39">
        <f>2194975+602464</f>
        <v>2797439</v>
      </c>
      <c r="BK40" s="39">
        <v>0</v>
      </c>
      <c r="BL40" s="39"/>
      <c r="BM40" s="39"/>
      <c r="BN40" s="9">
        <v>0</v>
      </c>
      <c r="BO40" s="101">
        <v>44755</v>
      </c>
      <c r="BP40" s="14" t="s">
        <v>31</v>
      </c>
      <c r="BQ40" s="101">
        <v>44768</v>
      </c>
      <c r="BR40" s="9"/>
      <c r="BS40" s="39">
        <v>10301610</v>
      </c>
      <c r="BT40" s="39">
        <v>0</v>
      </c>
      <c r="BU40" s="39"/>
      <c r="BV40" s="39">
        <v>78451</v>
      </c>
      <c r="BW40" s="9">
        <v>0</v>
      </c>
      <c r="BX40" s="101">
        <v>44778</v>
      </c>
      <c r="BY40" s="14" t="s">
        <v>31</v>
      </c>
      <c r="BZ40" s="14"/>
      <c r="CA40" s="9"/>
      <c r="CB40" s="39"/>
      <c r="CC40" s="39"/>
      <c r="CD40" s="39"/>
      <c r="CE40" s="39"/>
      <c r="CF40" s="9"/>
      <c r="CG40" s="101"/>
      <c r="CH40" s="14"/>
      <c r="CI40" s="14"/>
      <c r="CJ40" s="9"/>
      <c r="CK40" s="39"/>
      <c r="CL40" s="39"/>
      <c r="CM40" s="39"/>
      <c r="CN40" s="39"/>
      <c r="CO40" s="9"/>
      <c r="CP40" s="101"/>
      <c r="CQ40" s="14"/>
      <c r="CR40" s="14"/>
      <c r="CS40" s="9"/>
      <c r="CT40" s="39"/>
      <c r="CU40" s="39"/>
      <c r="CV40" s="39"/>
      <c r="CW40" s="39"/>
      <c r="CX40" s="9"/>
      <c r="CY40" s="101"/>
      <c r="CZ40" s="14"/>
      <c r="DA40" s="86"/>
      <c r="DB40" s="9"/>
      <c r="DC40" s="39"/>
      <c r="DD40" s="39"/>
      <c r="DE40" s="39"/>
      <c r="DF40" s="39"/>
      <c r="DG40" s="9"/>
      <c r="DH40" s="101"/>
      <c r="DI40" s="14"/>
      <c r="DJ40" s="14"/>
    </row>
    <row r="41" spans="1:114" hidden="1" x14ac:dyDescent="0.35">
      <c r="A41" s="1" t="s">
        <v>166</v>
      </c>
      <c r="B41" s="14" t="s">
        <v>167</v>
      </c>
      <c r="C41" s="14" t="s">
        <v>168</v>
      </c>
      <c r="D41" s="2">
        <v>8583</v>
      </c>
      <c r="E41" s="3">
        <v>206169</v>
      </c>
      <c r="F41" s="3" t="s">
        <v>171</v>
      </c>
      <c r="G41" s="52" t="s">
        <v>170</v>
      </c>
      <c r="H41" s="39">
        <v>7372027</v>
      </c>
      <c r="I41" s="39">
        <v>6979765</v>
      </c>
      <c r="J41" s="39"/>
      <c r="K41" s="39">
        <v>7372027</v>
      </c>
      <c r="L41" s="39">
        <f>H41-K41</f>
        <v>0</v>
      </c>
      <c r="M41" s="39"/>
      <c r="N41" s="39"/>
      <c r="O41" s="9">
        <f>M41/I41</f>
        <v>0</v>
      </c>
      <c r="P41" s="102">
        <v>44568</v>
      </c>
      <c r="Q41" s="14" t="s">
        <v>31</v>
      </c>
      <c r="R41" s="20"/>
      <c r="S41" s="39">
        <v>7372027</v>
      </c>
      <c r="T41" s="8">
        <f>K41-S41</f>
        <v>0</v>
      </c>
      <c r="U41" s="14"/>
      <c r="V41" s="9">
        <v>0</v>
      </c>
      <c r="W41" s="102">
        <v>44588</v>
      </c>
      <c r="X41" s="14" t="s">
        <v>31</v>
      </c>
      <c r="Y41" s="20"/>
      <c r="Z41" s="67"/>
      <c r="AA41" s="57">
        <v>7372027</v>
      </c>
      <c r="AB41" s="57">
        <f>S41-AA41</f>
        <v>0</v>
      </c>
      <c r="AC41" s="57">
        <v>7372027</v>
      </c>
      <c r="AD41" s="58">
        <v>0</v>
      </c>
      <c r="AE41" s="101">
        <v>44624</v>
      </c>
      <c r="AF41" s="14" t="s">
        <v>31</v>
      </c>
      <c r="AG41" s="20"/>
      <c r="AH41" s="10"/>
      <c r="AI41" s="39">
        <v>7372027</v>
      </c>
      <c r="AJ41" s="39">
        <f>AA41-AI41</f>
        <v>0</v>
      </c>
      <c r="AK41" s="39"/>
      <c r="AL41" s="39"/>
      <c r="AM41" s="9">
        <v>0</v>
      </c>
      <c r="AN41" s="102">
        <v>44645</v>
      </c>
      <c r="AO41" s="14" t="s">
        <v>31</v>
      </c>
      <c r="AP41" s="14"/>
      <c r="AQ41" s="58"/>
      <c r="AR41" s="39">
        <v>7372027</v>
      </c>
      <c r="AS41" s="39">
        <f>AI41-AR41</f>
        <v>0</v>
      </c>
      <c r="AT41" s="39"/>
      <c r="AU41" s="39"/>
      <c r="AV41" s="9">
        <v>0</v>
      </c>
      <c r="AW41" s="101">
        <v>44677</v>
      </c>
      <c r="AX41" s="14" t="s">
        <v>31</v>
      </c>
      <c r="AY41" s="14"/>
      <c r="AZ41" s="9"/>
      <c r="BA41" s="39">
        <v>7372027</v>
      </c>
      <c r="BB41" s="39">
        <f>AR41-BA41</f>
        <v>0</v>
      </c>
      <c r="BC41" s="39"/>
      <c r="BD41" s="39"/>
      <c r="BE41" s="9">
        <v>0</v>
      </c>
      <c r="BF41" s="101">
        <v>44712</v>
      </c>
      <c r="BG41" s="14" t="s">
        <v>31</v>
      </c>
      <c r="BH41" s="101">
        <v>44728</v>
      </c>
      <c r="BI41" s="9"/>
      <c r="BJ41" s="39">
        <v>7372027</v>
      </c>
      <c r="BK41" s="39">
        <f>BA41-BJ41</f>
        <v>0</v>
      </c>
      <c r="BL41" s="39"/>
      <c r="BM41" s="39"/>
      <c r="BN41" s="9">
        <v>0</v>
      </c>
      <c r="BO41" s="101">
        <v>44741</v>
      </c>
      <c r="BP41" s="14" t="s">
        <v>31</v>
      </c>
      <c r="BQ41" s="101">
        <v>44757</v>
      </c>
      <c r="BR41" s="9"/>
      <c r="BS41" s="39">
        <v>7372027</v>
      </c>
      <c r="BT41" s="39">
        <f>BJ41-BS41</f>
        <v>0</v>
      </c>
      <c r="BU41" s="39"/>
      <c r="BV41" s="39"/>
      <c r="BW41" s="9">
        <v>0</v>
      </c>
      <c r="BX41" s="101">
        <v>44774</v>
      </c>
      <c r="BY41" s="14" t="s">
        <v>31</v>
      </c>
      <c r="BZ41" s="14"/>
      <c r="CA41" s="9"/>
      <c r="CB41" s="39"/>
      <c r="CC41" s="39"/>
      <c r="CD41" s="39"/>
      <c r="CE41" s="39"/>
      <c r="CF41" s="9"/>
      <c r="CG41" s="101"/>
      <c r="CH41" s="14"/>
      <c r="CI41" s="14"/>
      <c r="CJ41" s="9"/>
      <c r="CK41" s="39"/>
      <c r="CL41" s="39"/>
      <c r="CM41" s="39"/>
      <c r="CN41" s="39"/>
      <c r="CO41" s="9"/>
      <c r="CP41" s="101"/>
      <c r="CQ41" s="14"/>
      <c r="CR41" s="14"/>
      <c r="CS41" s="9"/>
      <c r="CT41" s="39"/>
      <c r="CU41" s="39"/>
      <c r="CV41" s="39"/>
      <c r="CW41" s="39"/>
      <c r="CX41" s="9"/>
      <c r="CY41" s="101"/>
      <c r="CZ41" s="14"/>
      <c r="DA41" s="86"/>
      <c r="DB41" s="9"/>
      <c r="DC41" s="39"/>
      <c r="DD41" s="39"/>
      <c r="DE41" s="39"/>
      <c r="DF41" s="39"/>
      <c r="DG41" s="9"/>
      <c r="DH41" s="101"/>
      <c r="DI41" s="14"/>
      <c r="DJ41" s="14"/>
    </row>
    <row r="42" spans="1:114" hidden="1" x14ac:dyDescent="0.35">
      <c r="A42" s="1" t="s">
        <v>172</v>
      </c>
      <c r="B42" s="14" t="s">
        <v>173</v>
      </c>
      <c r="C42" s="14" t="s">
        <v>174</v>
      </c>
      <c r="D42" s="2" t="s">
        <v>61</v>
      </c>
      <c r="E42" s="3">
        <v>205547</v>
      </c>
      <c r="F42" s="3" t="s">
        <v>175</v>
      </c>
      <c r="G42" s="52" t="s">
        <v>155</v>
      </c>
      <c r="H42" s="203" t="s">
        <v>61</v>
      </c>
      <c r="I42" s="204"/>
      <c r="J42" s="39"/>
      <c r="K42" s="39">
        <v>1729847</v>
      </c>
      <c r="L42" s="39">
        <v>0</v>
      </c>
      <c r="M42" s="39"/>
      <c r="N42" s="39"/>
      <c r="O42" s="9">
        <v>0</v>
      </c>
      <c r="P42" s="102">
        <v>44586</v>
      </c>
      <c r="Q42" s="14" t="s">
        <v>31</v>
      </c>
      <c r="R42" s="20"/>
      <c r="S42" s="39">
        <v>400531</v>
      </c>
      <c r="T42" s="39">
        <v>0</v>
      </c>
      <c r="U42" s="14"/>
      <c r="V42" s="9">
        <v>0</v>
      </c>
      <c r="W42" s="101">
        <v>44616</v>
      </c>
      <c r="X42" s="14" t="s">
        <v>31</v>
      </c>
      <c r="Y42" s="20"/>
      <c r="Z42" s="172" t="s">
        <v>533</v>
      </c>
      <c r="AA42" s="173"/>
      <c r="AB42" s="173"/>
      <c r="AC42" s="173"/>
      <c r="AD42" s="173"/>
      <c r="AE42" s="173"/>
      <c r="AF42" s="173"/>
      <c r="AG42" s="174"/>
      <c r="AH42" s="172" t="s">
        <v>533</v>
      </c>
      <c r="AI42" s="173"/>
      <c r="AJ42" s="173"/>
      <c r="AK42" s="173"/>
      <c r="AL42" s="173"/>
      <c r="AM42" s="173"/>
      <c r="AN42" s="173"/>
      <c r="AO42" s="173"/>
      <c r="AP42" s="174"/>
      <c r="AQ42" s="163" t="s">
        <v>510</v>
      </c>
      <c r="AR42" s="164"/>
      <c r="AS42" s="164"/>
      <c r="AT42" s="164"/>
      <c r="AU42" s="164"/>
      <c r="AV42" s="164"/>
      <c r="AW42" s="164"/>
      <c r="AX42" s="164"/>
      <c r="AY42" s="165"/>
      <c r="AZ42" s="163" t="s">
        <v>532</v>
      </c>
      <c r="BA42" s="164"/>
      <c r="BB42" s="164"/>
      <c r="BC42" s="164"/>
      <c r="BD42" s="164"/>
      <c r="BE42" s="164"/>
      <c r="BF42" s="164"/>
      <c r="BG42" s="164"/>
      <c r="BH42" s="165"/>
      <c r="BI42" s="163" t="s">
        <v>532</v>
      </c>
      <c r="BJ42" s="164"/>
      <c r="BK42" s="164"/>
      <c r="BL42" s="164"/>
      <c r="BM42" s="164"/>
      <c r="BN42" s="164"/>
      <c r="BO42" s="164"/>
      <c r="BP42" s="164"/>
      <c r="BQ42" s="165"/>
      <c r="BR42" s="9"/>
      <c r="BS42" s="39"/>
      <c r="BT42" s="39"/>
      <c r="BU42" s="39"/>
      <c r="BV42" s="39"/>
      <c r="BW42" s="9"/>
      <c r="BX42" s="101"/>
      <c r="BY42" s="14"/>
      <c r="BZ42" s="14"/>
      <c r="CA42" s="9"/>
      <c r="CB42" s="39"/>
      <c r="CC42" s="39"/>
      <c r="CD42" s="39"/>
      <c r="CE42" s="39"/>
      <c r="CF42" s="9"/>
      <c r="CG42" s="101"/>
      <c r="CH42" s="14"/>
      <c r="CI42" s="14"/>
      <c r="CJ42" s="163"/>
      <c r="CK42" s="164"/>
      <c r="CL42" s="164"/>
      <c r="CM42" s="164"/>
      <c r="CN42" s="164"/>
      <c r="CO42" s="164"/>
      <c r="CP42" s="164"/>
      <c r="CQ42" s="164"/>
      <c r="CR42" s="165"/>
      <c r="CS42" s="163"/>
      <c r="CT42" s="164"/>
      <c r="CU42" s="164"/>
      <c r="CV42" s="164"/>
      <c r="CW42" s="164"/>
      <c r="CX42" s="164"/>
      <c r="CY42" s="164"/>
      <c r="CZ42" s="164"/>
      <c r="DA42" s="165"/>
      <c r="DB42" s="9"/>
      <c r="DC42" s="39"/>
      <c r="DD42" s="39"/>
      <c r="DE42" s="39"/>
      <c r="DF42" s="39"/>
      <c r="DG42" s="9"/>
      <c r="DH42" s="101"/>
      <c r="DI42" s="14"/>
      <c r="DJ42" s="14"/>
    </row>
    <row r="43" spans="1:114" hidden="1" x14ac:dyDescent="0.35">
      <c r="A43" s="1" t="s">
        <v>172</v>
      </c>
      <c r="B43" s="14" t="s">
        <v>173</v>
      </c>
      <c r="C43" s="14" t="s">
        <v>174</v>
      </c>
      <c r="D43" s="2">
        <v>8584</v>
      </c>
      <c r="E43" s="3">
        <v>205547</v>
      </c>
      <c r="F43" s="3" t="s">
        <v>176</v>
      </c>
      <c r="G43" s="52">
        <v>830054539</v>
      </c>
      <c r="H43" s="39">
        <v>7759995</v>
      </c>
      <c r="I43" s="39">
        <v>7347089</v>
      </c>
      <c r="J43" s="39"/>
      <c r="K43" s="39">
        <v>7347089</v>
      </c>
      <c r="L43" s="39">
        <f>I43-K43</f>
        <v>0</v>
      </c>
      <c r="M43" s="39"/>
      <c r="N43" s="39"/>
      <c r="O43" s="9">
        <v>0</v>
      </c>
      <c r="P43" s="101">
        <v>44574</v>
      </c>
      <c r="Q43" s="14" t="s">
        <v>31</v>
      </c>
      <c r="R43" s="20"/>
      <c r="S43" s="39">
        <v>7759995</v>
      </c>
      <c r="T43" s="8">
        <f>K43-S43</f>
        <v>-412906</v>
      </c>
      <c r="U43" s="14"/>
      <c r="V43" s="9">
        <f>T43/K43</f>
        <v>-5.6199945311673778E-2</v>
      </c>
      <c r="W43" s="102">
        <v>44600</v>
      </c>
      <c r="X43" s="14" t="s">
        <v>31</v>
      </c>
      <c r="Y43" s="20"/>
      <c r="Z43" s="14"/>
      <c r="AA43" s="57">
        <v>7759995</v>
      </c>
      <c r="AB43" s="57">
        <f>S43-AA43</f>
        <v>0</v>
      </c>
      <c r="AC43" s="14"/>
      <c r="AD43" s="58">
        <v>0</v>
      </c>
      <c r="AE43" s="101">
        <v>44624</v>
      </c>
      <c r="AF43" s="14" t="s">
        <v>31</v>
      </c>
      <c r="AG43" s="14"/>
      <c r="AH43" s="14"/>
      <c r="AI43" s="39">
        <v>7759995</v>
      </c>
      <c r="AJ43" s="39">
        <f>AA43-AI43</f>
        <v>0</v>
      </c>
      <c r="AK43" s="39"/>
      <c r="AL43" s="39"/>
      <c r="AM43" s="9">
        <v>0</v>
      </c>
      <c r="AN43" s="101">
        <v>44657</v>
      </c>
      <c r="AO43" s="14" t="s">
        <v>31</v>
      </c>
      <c r="AP43" s="14"/>
      <c r="AQ43" s="58"/>
      <c r="AR43" s="39">
        <v>7759995</v>
      </c>
      <c r="AS43" s="39">
        <f>AI43-AR43</f>
        <v>0</v>
      </c>
      <c r="AT43" s="39"/>
      <c r="AU43" s="39"/>
      <c r="AV43" s="9">
        <v>0</v>
      </c>
      <c r="AW43" s="101">
        <v>44686</v>
      </c>
      <c r="AX43" s="14" t="s">
        <v>31</v>
      </c>
      <c r="AY43" s="14"/>
      <c r="AZ43" s="9"/>
      <c r="BA43" s="39">
        <v>7759995</v>
      </c>
      <c r="BB43" s="39">
        <f>AR43-BA43</f>
        <v>0</v>
      </c>
      <c r="BC43" s="39"/>
      <c r="BD43" s="39"/>
      <c r="BE43" s="9">
        <v>0</v>
      </c>
      <c r="BF43" s="101">
        <v>44721</v>
      </c>
      <c r="BG43" s="14" t="s">
        <v>31</v>
      </c>
      <c r="BH43" s="101">
        <v>44728</v>
      </c>
      <c r="BI43" s="14"/>
      <c r="BJ43" s="111">
        <v>7759995</v>
      </c>
      <c r="BK43" s="8">
        <f>BA43-BJ43</f>
        <v>0</v>
      </c>
      <c r="BL43" s="14"/>
      <c r="BM43" s="14"/>
      <c r="BN43" s="113">
        <v>0</v>
      </c>
      <c r="BO43" s="101">
        <v>44750</v>
      </c>
      <c r="BP43" s="14" t="s">
        <v>31</v>
      </c>
      <c r="BQ43" s="101">
        <v>44768</v>
      </c>
      <c r="BR43" s="14"/>
      <c r="BS43" s="111">
        <v>7759995</v>
      </c>
      <c r="BT43" s="8">
        <f>BJ43-BS43</f>
        <v>0</v>
      </c>
      <c r="BU43" s="14"/>
      <c r="BV43" s="14"/>
      <c r="BW43" s="113">
        <v>0</v>
      </c>
      <c r="BX43" s="101">
        <v>44778</v>
      </c>
      <c r="BY43" s="14" t="s">
        <v>31</v>
      </c>
      <c r="BZ43" s="14"/>
      <c r="CA43" s="9"/>
      <c r="CB43" s="39"/>
      <c r="CC43" s="39"/>
      <c r="CD43" s="39"/>
      <c r="CE43" s="39"/>
      <c r="CF43" s="9"/>
      <c r="CG43" s="101"/>
      <c r="CH43" s="14"/>
      <c r="CI43" s="14"/>
      <c r="CJ43" s="9"/>
      <c r="CK43" s="39"/>
      <c r="CL43" s="39"/>
      <c r="CM43" s="39"/>
      <c r="CN43" s="39"/>
      <c r="CO43" s="9"/>
      <c r="CP43" s="101"/>
      <c r="CQ43" s="14"/>
      <c r="CR43" s="14"/>
      <c r="CS43" s="9"/>
      <c r="CT43" s="39"/>
      <c r="CU43" s="39"/>
      <c r="CV43" s="39"/>
      <c r="CW43" s="39"/>
      <c r="CX43" s="9"/>
      <c r="CY43" s="101"/>
      <c r="CZ43" s="14"/>
      <c r="DA43" s="86"/>
      <c r="DB43" s="9"/>
      <c r="DC43" s="39"/>
      <c r="DD43" s="39"/>
      <c r="DE43" s="39"/>
      <c r="DF43" s="39"/>
      <c r="DG43" s="9"/>
      <c r="DH43" s="101"/>
      <c r="DI43" s="14"/>
      <c r="DJ43" s="14"/>
    </row>
    <row r="44" spans="1:114" hidden="1" x14ac:dyDescent="0.35">
      <c r="A44" s="1" t="s">
        <v>177</v>
      </c>
      <c r="B44" s="14" t="s">
        <v>167</v>
      </c>
      <c r="C44" s="14" t="s">
        <v>158</v>
      </c>
      <c r="D44" s="2" t="s">
        <v>61</v>
      </c>
      <c r="E44" s="3">
        <v>231456</v>
      </c>
      <c r="F44" s="3" t="s">
        <v>178</v>
      </c>
      <c r="G44" s="52">
        <v>9006121181</v>
      </c>
      <c r="H44" s="212" t="s">
        <v>61</v>
      </c>
      <c r="I44" s="213"/>
      <c r="J44" s="57"/>
      <c r="K44" s="57">
        <v>2277923</v>
      </c>
      <c r="L44" s="57">
        <v>0</v>
      </c>
      <c r="M44" s="57"/>
      <c r="N44" s="57">
        <v>95209</v>
      </c>
      <c r="O44" s="58">
        <v>0</v>
      </c>
      <c r="P44" s="101">
        <v>44578</v>
      </c>
      <c r="Q44" s="3" t="s">
        <v>31</v>
      </c>
      <c r="R44" s="112"/>
      <c r="S44" s="169" t="s">
        <v>533</v>
      </c>
      <c r="T44" s="170"/>
      <c r="U44" s="170"/>
      <c r="V44" s="170"/>
      <c r="W44" s="170"/>
      <c r="X44" s="170"/>
      <c r="Y44" s="171"/>
      <c r="Z44" s="169" t="s">
        <v>533</v>
      </c>
      <c r="AA44" s="170"/>
      <c r="AB44" s="170"/>
      <c r="AC44" s="170"/>
      <c r="AD44" s="170"/>
      <c r="AE44" s="170"/>
      <c r="AF44" s="170"/>
      <c r="AG44" s="171"/>
      <c r="AH44" s="169" t="s">
        <v>533</v>
      </c>
      <c r="AI44" s="170"/>
      <c r="AJ44" s="170"/>
      <c r="AK44" s="170"/>
      <c r="AL44" s="170"/>
      <c r="AM44" s="170"/>
      <c r="AN44" s="170"/>
      <c r="AO44" s="170"/>
      <c r="AP44" s="171"/>
      <c r="AQ44" s="166" t="s">
        <v>510</v>
      </c>
      <c r="AR44" s="167"/>
      <c r="AS44" s="167"/>
      <c r="AT44" s="167"/>
      <c r="AU44" s="167"/>
      <c r="AV44" s="167"/>
      <c r="AW44" s="167"/>
      <c r="AX44" s="167"/>
      <c r="AY44" s="168"/>
      <c r="AZ44" s="169" t="s">
        <v>532</v>
      </c>
      <c r="BA44" s="170"/>
      <c r="BB44" s="170"/>
      <c r="BC44" s="170"/>
      <c r="BD44" s="170"/>
      <c r="BE44" s="170"/>
      <c r="BF44" s="170"/>
      <c r="BG44" s="170"/>
      <c r="BH44" s="171"/>
      <c r="BI44" s="166" t="s">
        <v>532</v>
      </c>
      <c r="BJ44" s="167"/>
      <c r="BK44" s="167"/>
      <c r="BL44" s="167"/>
      <c r="BM44" s="167"/>
      <c r="BN44" s="167"/>
      <c r="BO44" s="167"/>
      <c r="BP44" s="167"/>
      <c r="BQ44" s="168"/>
      <c r="BR44" s="58"/>
      <c r="BS44" s="57"/>
      <c r="BT44" s="57"/>
      <c r="BU44" s="57"/>
      <c r="BV44" s="57"/>
      <c r="BW44" s="58"/>
      <c r="BX44" s="101"/>
      <c r="BY44" s="14"/>
      <c r="BZ44" s="14"/>
      <c r="CA44" s="58"/>
      <c r="CB44" s="57"/>
      <c r="CC44" s="57"/>
      <c r="CD44" s="57"/>
      <c r="CE44" s="57"/>
      <c r="CF44" s="58"/>
      <c r="CG44" s="101"/>
      <c r="CH44" s="14"/>
      <c r="CI44" s="14"/>
      <c r="CJ44" s="58"/>
      <c r="CK44" s="57"/>
      <c r="CL44" s="57"/>
      <c r="CM44" s="57"/>
      <c r="CN44" s="57"/>
      <c r="CO44" s="58"/>
      <c r="CP44" s="101"/>
      <c r="CQ44" s="14"/>
      <c r="CR44" s="14"/>
      <c r="CS44" s="166"/>
      <c r="CT44" s="167"/>
      <c r="CU44" s="167"/>
      <c r="CV44" s="167"/>
      <c r="CW44" s="167"/>
      <c r="CX44" s="167"/>
      <c r="CY44" s="167"/>
      <c r="CZ44" s="167"/>
      <c r="DA44" s="168"/>
      <c r="DB44" s="58"/>
      <c r="DC44" s="57"/>
      <c r="DD44" s="57"/>
      <c r="DE44" s="57"/>
      <c r="DF44" s="57"/>
      <c r="DG44" s="58"/>
      <c r="DH44" s="101"/>
      <c r="DI44" s="14"/>
      <c r="DJ44" s="14"/>
    </row>
    <row r="45" spans="1:114" hidden="1" x14ac:dyDescent="0.35">
      <c r="A45" s="1" t="s">
        <v>177</v>
      </c>
      <c r="B45" s="14" t="s">
        <v>167</v>
      </c>
      <c r="C45" s="14" t="s">
        <v>158</v>
      </c>
      <c r="D45" s="2">
        <v>8585</v>
      </c>
      <c r="E45" s="3">
        <v>231456</v>
      </c>
      <c r="F45" s="3" t="s">
        <v>178</v>
      </c>
      <c r="G45" s="52">
        <v>9006121181</v>
      </c>
      <c r="H45" s="57">
        <v>14744055</v>
      </c>
      <c r="I45" s="57">
        <v>12563576</v>
      </c>
      <c r="J45" s="57"/>
      <c r="K45" s="57">
        <v>13959529</v>
      </c>
      <c r="L45" s="57">
        <v>0</v>
      </c>
      <c r="M45" s="57"/>
      <c r="N45" s="57"/>
      <c r="O45" s="58">
        <f>L45/H45</f>
        <v>0</v>
      </c>
      <c r="P45" s="131">
        <v>44568</v>
      </c>
      <c r="Q45" s="14" t="s">
        <v>31</v>
      </c>
      <c r="R45" s="20"/>
      <c r="S45" s="57">
        <v>14377943</v>
      </c>
      <c r="T45" s="8">
        <f>K45-S45</f>
        <v>-418414</v>
      </c>
      <c r="U45" s="14"/>
      <c r="V45" s="58">
        <f>T45/K45</f>
        <v>-2.9973360849065895E-2</v>
      </c>
      <c r="W45" s="131">
        <v>44588</v>
      </c>
      <c r="X45" s="14" t="s">
        <v>31</v>
      </c>
      <c r="Y45" s="20"/>
      <c r="Z45" s="67"/>
      <c r="AA45" s="57">
        <v>14744055</v>
      </c>
      <c r="AB45" s="57">
        <f>S45-AA45</f>
        <v>-366112</v>
      </c>
      <c r="AC45" s="14"/>
      <c r="AD45" s="58">
        <f>AB45/S45</f>
        <v>-2.5463447726841035E-2</v>
      </c>
      <c r="AE45" s="131">
        <v>44617</v>
      </c>
      <c r="AF45" s="14" t="s">
        <v>31</v>
      </c>
      <c r="AG45" s="105"/>
      <c r="AH45" s="108"/>
      <c r="AI45" s="57">
        <v>14744055</v>
      </c>
      <c r="AJ45" s="57">
        <f>AA45-AI45</f>
        <v>0</v>
      </c>
      <c r="AK45" s="57"/>
      <c r="AL45" s="57"/>
      <c r="AM45" s="58">
        <v>0</v>
      </c>
      <c r="AN45" s="131">
        <v>44645</v>
      </c>
      <c r="AO45" s="14" t="s">
        <v>31</v>
      </c>
      <c r="AP45" s="14"/>
      <c r="AQ45" s="58"/>
      <c r="AR45" s="57">
        <v>14744055</v>
      </c>
      <c r="AS45" s="57">
        <f>AI45-AR45</f>
        <v>0</v>
      </c>
      <c r="AT45" s="57"/>
      <c r="AU45" s="57"/>
      <c r="AV45" s="58">
        <v>0</v>
      </c>
      <c r="AW45" s="101">
        <v>44676</v>
      </c>
      <c r="AX45" s="14" t="s">
        <v>31</v>
      </c>
      <c r="AY45" s="14"/>
      <c r="AZ45" s="58"/>
      <c r="BA45" s="57">
        <v>14744055</v>
      </c>
      <c r="BB45" s="57">
        <f>AR45-BA45</f>
        <v>0</v>
      </c>
      <c r="BC45" s="57"/>
      <c r="BD45" s="57"/>
      <c r="BE45" s="58">
        <v>0</v>
      </c>
      <c r="BF45" s="101">
        <v>44712</v>
      </c>
      <c r="BG45" s="14" t="s">
        <v>31</v>
      </c>
      <c r="BH45" s="101">
        <v>44728</v>
      </c>
      <c r="BI45" s="58"/>
      <c r="BJ45" s="57">
        <v>14744055</v>
      </c>
      <c r="BK45" s="57">
        <f>BA45-BJ45</f>
        <v>0</v>
      </c>
      <c r="BL45" s="57"/>
      <c r="BM45" s="57"/>
      <c r="BN45" s="58">
        <v>0</v>
      </c>
      <c r="BO45" s="101">
        <v>44740</v>
      </c>
      <c r="BP45" s="14" t="s">
        <v>31</v>
      </c>
      <c r="BQ45" s="101">
        <v>44757</v>
      </c>
      <c r="BR45" s="58"/>
      <c r="BS45" s="57">
        <v>14744055</v>
      </c>
      <c r="BT45" s="57">
        <f>BJ45-BS45</f>
        <v>0</v>
      </c>
      <c r="BU45" s="57"/>
      <c r="BV45" s="57"/>
      <c r="BW45" s="58">
        <v>0</v>
      </c>
      <c r="BX45" s="101">
        <v>44771</v>
      </c>
      <c r="BY45" s="14" t="s">
        <v>31</v>
      </c>
      <c r="BZ45" s="14"/>
      <c r="CA45" s="58"/>
      <c r="CB45" s="57"/>
      <c r="CC45" s="57"/>
      <c r="CD45" s="57"/>
      <c r="CE45" s="57"/>
      <c r="CF45" s="58"/>
      <c r="CG45" s="101"/>
      <c r="CH45" s="14"/>
      <c r="CI45" s="14"/>
      <c r="CJ45" s="58"/>
      <c r="CK45" s="57"/>
      <c r="CL45" s="57"/>
      <c r="CM45" s="57"/>
      <c r="CN45" s="57"/>
      <c r="CO45" s="58"/>
      <c r="CP45" s="101"/>
      <c r="CQ45" s="14"/>
      <c r="CR45" s="14"/>
      <c r="CS45" s="58"/>
      <c r="CT45" s="57"/>
      <c r="CU45" s="57"/>
      <c r="CV45" s="57"/>
      <c r="CW45" s="57"/>
      <c r="CX45" s="58"/>
      <c r="CY45" s="101"/>
      <c r="CZ45" s="14"/>
      <c r="DA45" s="86"/>
      <c r="DB45" s="58"/>
      <c r="DC45" s="57"/>
      <c r="DD45" s="57"/>
      <c r="DE45" s="57"/>
      <c r="DF45" s="57"/>
      <c r="DG45" s="58"/>
      <c r="DH45" s="101"/>
      <c r="DI45" s="14"/>
      <c r="DJ45" s="14"/>
    </row>
    <row r="46" spans="1:114" hidden="1" x14ac:dyDescent="0.35">
      <c r="A46" s="1" t="s">
        <v>179</v>
      </c>
      <c r="B46" s="14" t="s">
        <v>167</v>
      </c>
      <c r="C46" s="14" t="s">
        <v>174</v>
      </c>
      <c r="D46" s="2" t="s">
        <v>61</v>
      </c>
      <c r="E46" s="3">
        <v>231457</v>
      </c>
      <c r="F46" s="3" t="s">
        <v>178</v>
      </c>
      <c r="G46" s="52">
        <v>9006121181</v>
      </c>
      <c r="H46" s="212" t="s">
        <v>61</v>
      </c>
      <c r="I46" s="213"/>
      <c r="J46" s="212" t="s">
        <v>533</v>
      </c>
      <c r="K46" s="218"/>
      <c r="L46" s="218"/>
      <c r="M46" s="218"/>
      <c r="N46" s="218"/>
      <c r="O46" s="218"/>
      <c r="P46" s="218"/>
      <c r="Q46" s="218"/>
      <c r="R46" s="213"/>
      <c r="S46" s="169" t="s">
        <v>533</v>
      </c>
      <c r="T46" s="170"/>
      <c r="U46" s="170"/>
      <c r="V46" s="170"/>
      <c r="W46" s="170"/>
      <c r="X46" s="170"/>
      <c r="Y46" s="171"/>
      <c r="Z46" s="169" t="s">
        <v>533</v>
      </c>
      <c r="AA46" s="170"/>
      <c r="AB46" s="170"/>
      <c r="AC46" s="170"/>
      <c r="AD46" s="170"/>
      <c r="AE46" s="170"/>
      <c r="AF46" s="170"/>
      <c r="AG46" s="171"/>
      <c r="AH46" s="169" t="s">
        <v>533</v>
      </c>
      <c r="AI46" s="170"/>
      <c r="AJ46" s="170"/>
      <c r="AK46" s="170"/>
      <c r="AL46" s="170"/>
      <c r="AM46" s="170"/>
      <c r="AN46" s="170"/>
      <c r="AO46" s="170"/>
      <c r="AP46" s="171"/>
      <c r="AQ46" s="169"/>
      <c r="AR46" s="170"/>
      <c r="AS46" s="170"/>
      <c r="AT46" s="170"/>
      <c r="AU46" s="170"/>
      <c r="AV46" s="170"/>
      <c r="AW46" s="170"/>
      <c r="AX46" s="170"/>
      <c r="AY46" s="171"/>
      <c r="AZ46" s="169" t="s">
        <v>532</v>
      </c>
      <c r="BA46" s="170"/>
      <c r="BB46" s="170"/>
      <c r="BC46" s="170"/>
      <c r="BD46" s="170"/>
      <c r="BE46" s="170"/>
      <c r="BF46" s="170"/>
      <c r="BG46" s="170"/>
      <c r="BH46" s="171"/>
      <c r="BI46" s="169"/>
      <c r="BJ46" s="170"/>
      <c r="BK46" s="170"/>
      <c r="BL46" s="170"/>
      <c r="BM46" s="170"/>
      <c r="BN46" s="170"/>
      <c r="BO46" s="170"/>
      <c r="BP46" s="170"/>
      <c r="BQ46" s="171"/>
      <c r="BR46" s="169"/>
      <c r="BS46" s="170"/>
      <c r="BT46" s="170"/>
      <c r="BU46" s="170"/>
      <c r="BV46" s="170"/>
      <c r="BW46" s="170"/>
      <c r="BX46" s="170"/>
      <c r="BY46" s="170"/>
      <c r="BZ46" s="171"/>
      <c r="CA46" s="58"/>
      <c r="CB46" s="57"/>
      <c r="CC46" s="57"/>
      <c r="CD46" s="57"/>
      <c r="CE46" s="57"/>
      <c r="CF46" s="58"/>
      <c r="CG46" s="101"/>
      <c r="CH46" s="14"/>
      <c r="CI46" s="14"/>
      <c r="CJ46" s="166"/>
      <c r="CK46" s="167"/>
      <c r="CL46" s="167"/>
      <c r="CM46" s="167"/>
      <c r="CN46" s="167"/>
      <c r="CO46" s="167"/>
      <c r="CP46" s="167"/>
      <c r="CQ46" s="167"/>
      <c r="CR46" s="168"/>
      <c r="CS46" s="166"/>
      <c r="CT46" s="167"/>
      <c r="CU46" s="167"/>
      <c r="CV46" s="167"/>
      <c r="CW46" s="167"/>
      <c r="CX46" s="167"/>
      <c r="CY46" s="167"/>
      <c r="CZ46" s="167"/>
      <c r="DA46" s="168"/>
      <c r="DB46" s="58"/>
      <c r="DC46" s="57"/>
      <c r="DD46" s="57"/>
      <c r="DE46" s="57"/>
      <c r="DF46" s="57"/>
      <c r="DG46" s="58"/>
      <c r="DH46" s="101"/>
      <c r="DI46" s="14"/>
      <c r="DJ46" s="14"/>
    </row>
    <row r="47" spans="1:114" hidden="1" x14ac:dyDescent="0.35">
      <c r="A47" s="1" t="s">
        <v>179</v>
      </c>
      <c r="B47" s="14" t="s">
        <v>167</v>
      </c>
      <c r="C47" s="14" t="s">
        <v>174</v>
      </c>
      <c r="D47" s="2">
        <v>8714</v>
      </c>
      <c r="E47" s="3">
        <v>231457</v>
      </c>
      <c r="F47" s="3" t="s">
        <v>178</v>
      </c>
      <c r="G47" s="52">
        <v>9006121181</v>
      </c>
      <c r="H47" s="57">
        <v>7273521</v>
      </c>
      <c r="I47" s="57">
        <v>6524052</v>
      </c>
      <c r="J47" s="57"/>
      <c r="K47" s="57">
        <v>7248947</v>
      </c>
      <c r="L47" s="57">
        <v>0</v>
      </c>
      <c r="M47" s="57"/>
      <c r="N47" s="57"/>
      <c r="O47" s="58">
        <f>M47/H47</f>
        <v>0</v>
      </c>
      <c r="P47" s="131">
        <v>44568</v>
      </c>
      <c r="Q47" s="14" t="s">
        <v>31</v>
      </c>
      <c r="R47" s="20"/>
      <c r="S47" s="57">
        <v>7248947</v>
      </c>
      <c r="T47" s="8">
        <f>K47-S47</f>
        <v>0</v>
      </c>
      <c r="U47" s="14"/>
      <c r="V47" s="58">
        <v>0</v>
      </c>
      <c r="W47" s="131">
        <v>44588</v>
      </c>
      <c r="X47" s="14" t="s">
        <v>31</v>
      </c>
      <c r="Y47" s="20"/>
      <c r="Z47" s="67"/>
      <c r="AA47" s="57">
        <v>7248947</v>
      </c>
      <c r="AB47" s="57">
        <f>S47-AA47</f>
        <v>0</v>
      </c>
      <c r="AC47" s="14"/>
      <c r="AD47" s="58">
        <v>0</v>
      </c>
      <c r="AE47" s="131">
        <v>44617</v>
      </c>
      <c r="AF47" s="14" t="s">
        <v>31</v>
      </c>
      <c r="AG47" s="20"/>
      <c r="AH47" s="58"/>
      <c r="AI47" s="57">
        <v>7656338</v>
      </c>
      <c r="AJ47" s="57"/>
      <c r="AK47" s="57">
        <f>AA47-AI47</f>
        <v>-407391</v>
      </c>
      <c r="AL47" s="57"/>
      <c r="AM47" s="108">
        <f>AK47/AA47</f>
        <v>-5.6200024638061223E-2</v>
      </c>
      <c r="AN47" s="131">
        <v>44645</v>
      </c>
      <c r="AO47" s="14" t="s">
        <v>31</v>
      </c>
      <c r="AP47" s="14"/>
      <c r="AQ47" s="58"/>
      <c r="AR47" s="57">
        <v>7656338</v>
      </c>
      <c r="AS47" s="57">
        <f>AI47-AR47</f>
        <v>0</v>
      </c>
      <c r="AT47" s="57"/>
      <c r="AU47" s="57"/>
      <c r="AV47" s="58">
        <v>0</v>
      </c>
      <c r="AW47" s="101">
        <v>44676</v>
      </c>
      <c r="AX47" s="14" t="s">
        <v>31</v>
      </c>
      <c r="AY47" s="14"/>
      <c r="AZ47" s="58"/>
      <c r="BA47" s="57">
        <v>7273521</v>
      </c>
      <c r="BB47" s="57">
        <f>AR47-BA47</f>
        <v>382817</v>
      </c>
      <c r="BC47" s="57"/>
      <c r="BD47" s="57"/>
      <c r="BE47" s="58">
        <f>BB47/BA47</f>
        <v>5.2631593419473183E-2</v>
      </c>
      <c r="BF47" s="101">
        <v>44712</v>
      </c>
      <c r="BG47" s="14" t="s">
        <v>31</v>
      </c>
      <c r="BH47" s="101">
        <v>44728</v>
      </c>
      <c r="BI47" s="58"/>
      <c r="BJ47" s="57">
        <v>7273521</v>
      </c>
      <c r="BK47" s="57">
        <f>BA47-BJ47</f>
        <v>0</v>
      </c>
      <c r="BL47" s="57"/>
      <c r="BM47" s="57"/>
      <c r="BN47" s="58">
        <v>0</v>
      </c>
      <c r="BO47" s="101">
        <v>44740</v>
      </c>
      <c r="BP47" s="14" t="s">
        <v>31</v>
      </c>
      <c r="BQ47" s="101">
        <v>44757</v>
      </c>
      <c r="BR47" s="58"/>
      <c r="BS47" s="57">
        <v>7273521</v>
      </c>
      <c r="BT47" s="57">
        <f>BJ47-BS47</f>
        <v>0</v>
      </c>
      <c r="BU47" s="57"/>
      <c r="BV47" s="57"/>
      <c r="BW47" s="58">
        <v>0</v>
      </c>
      <c r="BX47" s="101">
        <v>44771</v>
      </c>
      <c r="BY47" s="14" t="s">
        <v>31</v>
      </c>
      <c r="BZ47" s="14"/>
      <c r="CA47" s="58"/>
      <c r="CB47" s="57"/>
      <c r="CC47" s="57"/>
      <c r="CD47" s="57"/>
      <c r="CE47" s="57"/>
      <c r="CF47" s="58"/>
      <c r="CG47" s="101"/>
      <c r="CH47" s="14"/>
      <c r="CI47" s="14"/>
      <c r="CJ47" s="58"/>
      <c r="CK47" s="57"/>
      <c r="CL47" s="57"/>
      <c r="CM47" s="57"/>
      <c r="CN47" s="57"/>
      <c r="CO47" s="58"/>
      <c r="CP47" s="101"/>
      <c r="CQ47" s="14"/>
      <c r="CR47" s="14"/>
      <c r="CS47" s="58"/>
      <c r="CT47" s="57"/>
      <c r="CU47" s="57"/>
      <c r="CV47" s="57"/>
      <c r="CW47" s="57"/>
      <c r="CX47" s="58"/>
      <c r="CY47" s="101"/>
      <c r="CZ47" s="14"/>
      <c r="DA47" s="86"/>
      <c r="DB47" s="58"/>
      <c r="DC47" s="57"/>
      <c r="DD47" s="57"/>
      <c r="DE47" s="57"/>
      <c r="DF47" s="57"/>
      <c r="DG47" s="58"/>
      <c r="DH47" s="101"/>
      <c r="DI47" s="14"/>
      <c r="DJ47" s="14"/>
    </row>
    <row r="48" spans="1:114" hidden="1" x14ac:dyDescent="0.35">
      <c r="A48" s="1" t="s">
        <v>180</v>
      </c>
      <c r="B48" s="14" t="s">
        <v>181</v>
      </c>
      <c r="C48" s="14" t="s">
        <v>29</v>
      </c>
      <c r="D48" s="2">
        <v>6570</v>
      </c>
      <c r="E48" s="3">
        <v>204572</v>
      </c>
      <c r="F48" s="3" t="s">
        <v>182</v>
      </c>
      <c r="G48" s="52" t="s">
        <v>183</v>
      </c>
      <c r="H48" s="39">
        <v>11133896</v>
      </c>
      <c r="I48" s="39">
        <v>11133896</v>
      </c>
      <c r="J48" s="39"/>
      <c r="K48" s="39">
        <v>11133896</v>
      </c>
      <c r="L48" s="39">
        <f>H48-K48</f>
        <v>0</v>
      </c>
      <c r="M48" s="39"/>
      <c r="N48" s="39"/>
      <c r="O48" s="9">
        <v>0</v>
      </c>
      <c r="P48" s="102">
        <v>44564</v>
      </c>
      <c r="Q48" s="3" t="s">
        <v>31</v>
      </c>
      <c r="R48" s="20"/>
      <c r="S48" s="39">
        <v>11133896</v>
      </c>
      <c r="T48" s="8">
        <f>K48-S48</f>
        <v>0</v>
      </c>
      <c r="U48" s="14"/>
      <c r="V48" s="9">
        <v>0</v>
      </c>
      <c r="W48" s="102">
        <v>44593</v>
      </c>
      <c r="X48" s="14" t="s">
        <v>31</v>
      </c>
      <c r="Y48" s="20"/>
      <c r="Z48" s="14"/>
      <c r="AA48" s="57">
        <f>11133896+55669480</f>
        <v>66803376</v>
      </c>
      <c r="AB48" s="57">
        <v>0</v>
      </c>
      <c r="AC48" s="14"/>
      <c r="AD48" s="58">
        <v>0</v>
      </c>
      <c r="AE48" s="101">
        <v>44624</v>
      </c>
      <c r="AF48" s="14" t="s">
        <v>31</v>
      </c>
      <c r="AG48" s="20"/>
      <c r="AH48" s="175" t="s">
        <v>408</v>
      </c>
      <c r="AI48" s="176"/>
      <c r="AJ48" s="176"/>
      <c r="AK48" s="176"/>
      <c r="AL48" s="176"/>
      <c r="AM48" s="176"/>
      <c r="AN48" s="176"/>
      <c r="AO48" s="176"/>
      <c r="AP48" s="176"/>
      <c r="AQ48" s="176"/>
      <c r="AR48" s="176"/>
      <c r="AS48" s="176"/>
      <c r="AT48" s="176"/>
      <c r="AU48" s="176"/>
      <c r="AV48" s="176"/>
      <c r="AW48" s="176"/>
      <c r="AX48" s="176"/>
      <c r="AY48" s="176"/>
      <c r="AZ48" s="176"/>
      <c r="BA48" s="176"/>
      <c r="BB48" s="176"/>
      <c r="BC48" s="176"/>
      <c r="BD48" s="176"/>
      <c r="BE48" s="176"/>
      <c r="BF48" s="176"/>
      <c r="BG48" s="176"/>
      <c r="BH48" s="176"/>
      <c r="BI48" s="176"/>
      <c r="BJ48" s="176"/>
      <c r="BK48" s="176"/>
      <c r="BL48" s="176"/>
      <c r="BM48" s="176"/>
      <c r="BN48" s="176"/>
      <c r="BO48" s="176"/>
      <c r="BP48" s="176"/>
      <c r="BQ48" s="176"/>
      <c r="BR48" s="176"/>
      <c r="BS48" s="176"/>
      <c r="BT48" s="176"/>
      <c r="BU48" s="176"/>
      <c r="BV48" s="176"/>
      <c r="BW48" s="176"/>
      <c r="BX48" s="176"/>
      <c r="BY48" s="176"/>
      <c r="BZ48" s="176"/>
      <c r="CA48" s="176"/>
      <c r="CB48" s="176"/>
      <c r="CC48" s="176"/>
      <c r="CD48" s="176"/>
      <c r="CE48" s="176"/>
      <c r="CF48" s="176"/>
      <c r="CG48" s="176"/>
      <c r="CH48" s="176"/>
      <c r="CI48" s="176"/>
      <c r="CJ48" s="176"/>
      <c r="CK48" s="176"/>
      <c r="CL48" s="176"/>
      <c r="CM48" s="176"/>
      <c r="CN48" s="176"/>
      <c r="CO48" s="176"/>
      <c r="CP48" s="176"/>
      <c r="CQ48" s="176"/>
      <c r="CR48" s="176"/>
      <c r="CS48" s="176"/>
      <c r="CT48" s="176"/>
      <c r="CU48" s="176"/>
      <c r="CV48" s="176"/>
      <c r="CW48" s="176"/>
      <c r="CX48" s="176"/>
      <c r="CY48" s="176"/>
      <c r="CZ48" s="176"/>
      <c r="DA48" s="176"/>
      <c r="DB48" s="176"/>
      <c r="DC48" s="176"/>
      <c r="DD48" s="176"/>
      <c r="DE48" s="176"/>
      <c r="DF48" s="176"/>
      <c r="DG48" s="176"/>
      <c r="DH48" s="176"/>
      <c r="DI48" s="176"/>
      <c r="DJ48" s="177"/>
    </row>
    <row r="49" spans="1:114" hidden="1" x14ac:dyDescent="0.35">
      <c r="A49" s="1" t="s">
        <v>184</v>
      </c>
      <c r="B49" s="14" t="s">
        <v>185</v>
      </c>
      <c r="C49" s="14" t="s">
        <v>142</v>
      </c>
      <c r="D49" s="2">
        <v>8712</v>
      </c>
      <c r="E49" s="3" t="s">
        <v>186</v>
      </c>
      <c r="F49" s="3" t="s">
        <v>187</v>
      </c>
      <c r="G49" s="52" t="s">
        <v>188</v>
      </c>
      <c r="H49" s="39">
        <v>1719319</v>
      </c>
      <c r="I49" s="39">
        <v>2022729</v>
      </c>
      <c r="J49" s="39"/>
      <c r="K49" s="39">
        <v>1719319</v>
      </c>
      <c r="L49" s="39">
        <f>I49-K49</f>
        <v>303410</v>
      </c>
      <c r="M49" s="39"/>
      <c r="N49" s="39"/>
      <c r="O49" s="9">
        <f>L49/I49</f>
        <v>0.1500003213480402</v>
      </c>
      <c r="P49" s="101">
        <v>44585</v>
      </c>
      <c r="Q49" s="3" t="s">
        <v>31</v>
      </c>
      <c r="R49" s="20"/>
      <c r="S49" s="39">
        <v>1719319</v>
      </c>
      <c r="T49" s="8">
        <f>I49-S49</f>
        <v>303410</v>
      </c>
      <c r="U49" s="14"/>
      <c r="V49" s="9">
        <f>T49/I49</f>
        <v>0.1500003213480402</v>
      </c>
      <c r="W49" s="102">
        <v>44596</v>
      </c>
      <c r="X49" s="14" t="s">
        <v>31</v>
      </c>
      <c r="Y49" s="20"/>
      <c r="Z49" s="14"/>
      <c r="AA49" s="57">
        <v>1719319</v>
      </c>
      <c r="AB49" s="57">
        <f>S49-AA49</f>
        <v>0</v>
      </c>
      <c r="AC49" s="14"/>
      <c r="AD49" s="58">
        <v>0</v>
      </c>
      <c r="AE49" s="101">
        <v>44648</v>
      </c>
      <c r="AF49" s="14" t="s">
        <v>31</v>
      </c>
      <c r="AG49" s="20"/>
      <c r="AH49" s="9"/>
      <c r="AI49" s="39"/>
      <c r="AJ49" s="39"/>
      <c r="AK49" s="39"/>
      <c r="AL49" s="39"/>
      <c r="AM49" s="14"/>
      <c r="AN49" s="102"/>
      <c r="AO49" s="14"/>
      <c r="AP49" s="14"/>
      <c r="AQ49" s="58"/>
      <c r="AR49" s="39">
        <v>1719319</v>
      </c>
      <c r="AS49" s="39">
        <f>AA49-AR49</f>
        <v>0</v>
      </c>
      <c r="AT49" s="39"/>
      <c r="AU49" s="39"/>
      <c r="AV49" s="9">
        <v>0</v>
      </c>
      <c r="AW49" s="101">
        <v>44687</v>
      </c>
      <c r="AX49" s="14" t="s">
        <v>31</v>
      </c>
      <c r="AY49" s="14"/>
      <c r="AZ49" s="9"/>
      <c r="BA49" s="39">
        <v>1719319</v>
      </c>
      <c r="BB49" s="39">
        <f>AR49-BA49</f>
        <v>0</v>
      </c>
      <c r="BC49" s="39"/>
      <c r="BD49" s="39"/>
      <c r="BE49" s="9">
        <v>0</v>
      </c>
      <c r="BF49" s="101">
        <v>44719</v>
      </c>
      <c r="BG49" s="14" t="s">
        <v>31</v>
      </c>
      <c r="BH49" s="101">
        <v>44728</v>
      </c>
      <c r="BI49" s="9"/>
      <c r="BJ49" s="39">
        <v>1719319</v>
      </c>
      <c r="BK49" s="39">
        <f>BA49-BJ49</f>
        <v>0</v>
      </c>
      <c r="BL49" s="39"/>
      <c r="BM49" s="39"/>
      <c r="BN49" s="9">
        <v>0</v>
      </c>
      <c r="BO49" s="101">
        <v>44767</v>
      </c>
      <c r="BP49" s="14" t="s">
        <v>31</v>
      </c>
      <c r="BQ49" s="14"/>
      <c r="BR49" s="9"/>
      <c r="BS49" s="39">
        <v>1719319</v>
      </c>
      <c r="BT49" s="39">
        <f>BJ49-BS49</f>
        <v>0</v>
      </c>
      <c r="BU49" s="39"/>
      <c r="BV49" s="39"/>
      <c r="BW49" s="9">
        <v>0</v>
      </c>
      <c r="BX49" s="101">
        <v>44781</v>
      </c>
      <c r="BY49" s="14" t="s">
        <v>31</v>
      </c>
      <c r="BZ49" s="14"/>
      <c r="CA49" s="9"/>
      <c r="CB49" s="39"/>
      <c r="CC49" s="39"/>
      <c r="CD49" s="39"/>
      <c r="CE49" s="39"/>
      <c r="CF49" s="9"/>
      <c r="CG49" s="101"/>
      <c r="CH49" s="14"/>
      <c r="CI49" s="14"/>
      <c r="CJ49" s="9"/>
      <c r="CK49" s="39"/>
      <c r="CL49" s="39"/>
      <c r="CM49" s="39"/>
      <c r="CN49" s="39"/>
      <c r="CO49" s="9"/>
      <c r="CP49" s="101"/>
      <c r="CQ49" s="14"/>
      <c r="CR49" s="14"/>
      <c r="CS49" s="9"/>
      <c r="CT49" s="39"/>
      <c r="CU49" s="39"/>
      <c r="CV49" s="39"/>
      <c r="CW49" s="39"/>
      <c r="CX49" s="9"/>
      <c r="CY49" s="101"/>
      <c r="CZ49" s="14"/>
      <c r="DA49" s="86"/>
      <c r="DB49" s="9"/>
      <c r="DC49" s="39"/>
      <c r="DD49" s="39"/>
      <c r="DE49" s="39"/>
      <c r="DF49" s="39"/>
      <c r="DG49" s="9"/>
      <c r="DH49" s="101"/>
      <c r="DI49" s="14"/>
      <c r="DJ49" s="14"/>
    </row>
    <row r="50" spans="1:114" hidden="1" x14ac:dyDescent="0.35">
      <c r="A50" s="1" t="s">
        <v>184</v>
      </c>
      <c r="B50" s="14" t="s">
        <v>185</v>
      </c>
      <c r="C50" s="14" t="s">
        <v>142</v>
      </c>
      <c r="D50" s="2">
        <v>8712</v>
      </c>
      <c r="E50" s="3">
        <v>206706</v>
      </c>
      <c r="F50" s="3" t="s">
        <v>189</v>
      </c>
      <c r="G50" s="52" t="s">
        <v>190</v>
      </c>
      <c r="H50" s="39">
        <v>1719319</v>
      </c>
      <c r="I50" s="39">
        <v>2022729</v>
      </c>
      <c r="J50" s="39"/>
      <c r="K50" s="39">
        <v>1719319</v>
      </c>
      <c r="L50" s="39">
        <f>I50-K50</f>
        <v>303410</v>
      </c>
      <c r="M50" s="39"/>
      <c r="N50" s="39"/>
      <c r="O50" s="9">
        <f>L50/I50</f>
        <v>0.1500003213480402</v>
      </c>
      <c r="P50" s="101">
        <v>44585</v>
      </c>
      <c r="Q50" s="3" t="s">
        <v>31</v>
      </c>
      <c r="R50" s="20"/>
      <c r="S50" s="39">
        <v>1719319</v>
      </c>
      <c r="T50" s="8">
        <f>I50-S50</f>
        <v>303410</v>
      </c>
      <c r="U50" s="14"/>
      <c r="V50" s="9">
        <f>T50/I50</f>
        <v>0.1500003213480402</v>
      </c>
      <c r="W50" s="102">
        <v>44596</v>
      </c>
      <c r="X50" s="14" t="s">
        <v>31</v>
      </c>
      <c r="Y50" s="20"/>
      <c r="Z50" s="14"/>
      <c r="AA50" s="57">
        <v>1719319</v>
      </c>
      <c r="AB50" s="57">
        <f>S50-AA50</f>
        <v>0</v>
      </c>
      <c r="AC50" s="14"/>
      <c r="AD50" s="58">
        <v>0</v>
      </c>
      <c r="AE50" s="101">
        <v>44624</v>
      </c>
      <c r="AF50" s="14" t="s">
        <v>31</v>
      </c>
      <c r="AG50" s="20"/>
      <c r="AH50" s="14"/>
      <c r="AI50" s="39"/>
      <c r="AJ50" s="39"/>
      <c r="AK50" s="39"/>
      <c r="AL50" s="39"/>
      <c r="AM50" s="14"/>
      <c r="AN50" s="102"/>
      <c r="AO50" s="14"/>
      <c r="AP50" s="14"/>
      <c r="AQ50" s="58"/>
      <c r="AR50" s="39">
        <v>1719319</v>
      </c>
      <c r="AS50" s="39">
        <f>AA50-AR50</f>
        <v>0</v>
      </c>
      <c r="AT50" s="39"/>
      <c r="AU50" s="39"/>
      <c r="AV50" s="9">
        <v>0</v>
      </c>
      <c r="AW50" s="101">
        <v>44687</v>
      </c>
      <c r="AX50" s="14" t="s">
        <v>31</v>
      </c>
      <c r="AY50" s="14"/>
      <c r="AZ50" s="9"/>
      <c r="BA50" s="39">
        <v>1719319</v>
      </c>
      <c r="BB50" s="39">
        <f>AR50-BA50</f>
        <v>0</v>
      </c>
      <c r="BC50" s="39"/>
      <c r="BD50" s="39"/>
      <c r="BE50" s="9">
        <v>0</v>
      </c>
      <c r="BF50" s="101">
        <v>44719</v>
      </c>
      <c r="BG50" s="14" t="s">
        <v>31</v>
      </c>
      <c r="BH50" s="101">
        <v>44728</v>
      </c>
      <c r="BI50" s="9"/>
      <c r="BJ50" s="39">
        <v>1719319</v>
      </c>
      <c r="BK50" s="39">
        <f>BA50-BJ50</f>
        <v>0</v>
      </c>
      <c r="BL50" s="39"/>
      <c r="BM50" s="39"/>
      <c r="BN50" s="9">
        <v>0</v>
      </c>
      <c r="BO50" s="101">
        <v>44767</v>
      </c>
      <c r="BP50" s="14" t="s">
        <v>31</v>
      </c>
      <c r="BQ50" s="14"/>
      <c r="BR50" s="9"/>
      <c r="BS50" s="39">
        <v>1719319</v>
      </c>
      <c r="BT50" s="39">
        <f>BJ50-BS50</f>
        <v>0</v>
      </c>
      <c r="BU50" s="39"/>
      <c r="BV50" s="39"/>
      <c r="BW50" s="9">
        <v>0</v>
      </c>
      <c r="BX50" s="101">
        <v>44781</v>
      </c>
      <c r="BY50" s="14" t="s">
        <v>31</v>
      </c>
      <c r="BZ50" s="14"/>
      <c r="CA50" s="9"/>
      <c r="CB50" s="39"/>
      <c r="CC50" s="39"/>
      <c r="CD50" s="39"/>
      <c r="CE50" s="39"/>
      <c r="CF50" s="9"/>
      <c r="CG50" s="101"/>
      <c r="CH50" s="14"/>
      <c r="CI50" s="14"/>
      <c r="CJ50" s="9"/>
      <c r="CK50" s="39"/>
      <c r="CL50" s="39"/>
      <c r="CM50" s="39"/>
      <c r="CN50" s="39"/>
      <c r="CO50" s="9"/>
      <c r="CP50" s="101"/>
      <c r="CQ50" s="14"/>
      <c r="CR50" s="14"/>
      <c r="CS50" s="9"/>
      <c r="CT50" s="39"/>
      <c r="CU50" s="39"/>
      <c r="CV50" s="39"/>
      <c r="CW50" s="39"/>
      <c r="CX50" s="9"/>
      <c r="CY50" s="101"/>
      <c r="CZ50" s="14"/>
      <c r="DA50" s="86"/>
      <c r="DB50" s="9"/>
      <c r="DC50" s="39"/>
      <c r="DD50" s="39"/>
      <c r="DE50" s="39"/>
      <c r="DF50" s="39"/>
      <c r="DG50" s="9"/>
      <c r="DH50" s="101"/>
      <c r="DI50" s="14"/>
      <c r="DJ50" s="14"/>
    </row>
    <row r="51" spans="1:114" hidden="1" x14ac:dyDescent="0.35">
      <c r="A51" s="1" t="s">
        <v>191</v>
      </c>
      <c r="B51" s="14" t="s">
        <v>192</v>
      </c>
      <c r="C51" s="14" t="s">
        <v>66</v>
      </c>
      <c r="D51" s="2">
        <v>8751</v>
      </c>
      <c r="E51" s="3">
        <v>285926</v>
      </c>
      <c r="F51" s="3" t="s">
        <v>512</v>
      </c>
      <c r="G51" s="52" t="s">
        <v>194</v>
      </c>
      <c r="H51" s="39">
        <v>8748621</v>
      </c>
      <c r="I51" s="39">
        <v>8748621</v>
      </c>
      <c r="J51" s="39"/>
      <c r="K51" s="39">
        <v>8748621</v>
      </c>
      <c r="L51" s="39">
        <v>2187155</v>
      </c>
      <c r="M51" s="39"/>
      <c r="N51" s="39"/>
      <c r="O51" s="9">
        <f>L51/K51</f>
        <v>0.24999997142406785</v>
      </c>
      <c r="P51" s="101">
        <v>44574</v>
      </c>
      <c r="Q51" s="14" t="s">
        <v>31</v>
      </c>
      <c r="R51" s="20"/>
      <c r="S51" s="39">
        <v>8748621</v>
      </c>
      <c r="T51" s="8">
        <v>2187155</v>
      </c>
      <c r="U51" s="14"/>
      <c r="V51" s="9">
        <f>T51/S51</f>
        <v>0.24999997142406785</v>
      </c>
      <c r="W51" s="101">
        <v>44595</v>
      </c>
      <c r="X51" s="14" t="s">
        <v>31</v>
      </c>
      <c r="Y51" s="20"/>
      <c r="Z51" s="67"/>
      <c r="AA51" s="57">
        <v>8748621</v>
      </c>
      <c r="AB51" s="57">
        <v>2187155</v>
      </c>
      <c r="AC51" s="14"/>
      <c r="AD51" s="58">
        <f>AB51/AA51</f>
        <v>0.24999997142406785</v>
      </c>
      <c r="AE51" s="102">
        <v>44628</v>
      </c>
      <c r="AF51" s="14" t="s">
        <v>31</v>
      </c>
      <c r="AG51" s="20"/>
      <c r="AH51" s="67">
        <v>0.25</v>
      </c>
      <c r="AI51" s="39">
        <v>8748621</v>
      </c>
      <c r="AJ51" s="39">
        <v>2187155</v>
      </c>
      <c r="AK51" s="39"/>
      <c r="AL51" s="39"/>
      <c r="AM51" s="9">
        <f>AJ51/AI51</f>
        <v>0.24999997142406785</v>
      </c>
      <c r="AN51" s="101">
        <v>44657</v>
      </c>
      <c r="AO51" s="14" t="s">
        <v>31</v>
      </c>
      <c r="AP51" s="14"/>
      <c r="AQ51" s="58"/>
      <c r="AR51" s="39">
        <v>8748621</v>
      </c>
      <c r="AS51" s="39">
        <v>2187155</v>
      </c>
      <c r="AT51" s="39"/>
      <c r="AU51" s="39"/>
      <c r="AV51" s="9">
        <f>AS51/AR51</f>
        <v>0.24999997142406785</v>
      </c>
      <c r="AW51" s="101">
        <v>44686</v>
      </c>
      <c r="AX51" s="14" t="s">
        <v>31</v>
      </c>
      <c r="AY51" s="14"/>
      <c r="AZ51" s="9"/>
      <c r="BA51" s="39">
        <v>8748621</v>
      </c>
      <c r="BB51" s="39">
        <v>2187155</v>
      </c>
      <c r="BC51" s="39"/>
      <c r="BD51" s="39"/>
      <c r="BE51" s="9">
        <f>BB51/BA51</f>
        <v>0.24999997142406785</v>
      </c>
      <c r="BF51" s="101">
        <v>44719</v>
      </c>
      <c r="BG51" s="14" t="s">
        <v>31</v>
      </c>
      <c r="BH51" s="101">
        <v>44728</v>
      </c>
      <c r="BI51" s="9"/>
      <c r="BJ51" s="39">
        <v>8748621</v>
      </c>
      <c r="BK51" s="39">
        <v>2187155</v>
      </c>
      <c r="BL51" s="39"/>
      <c r="BM51" s="39"/>
      <c r="BN51" s="9">
        <f>BK51/BJ51</f>
        <v>0.24999997142406785</v>
      </c>
      <c r="BO51" s="101">
        <v>44748</v>
      </c>
      <c r="BP51" s="14" t="s">
        <v>31</v>
      </c>
      <c r="BQ51" s="101">
        <v>44757</v>
      </c>
      <c r="BR51" s="9"/>
      <c r="BS51" s="39">
        <v>8748621</v>
      </c>
      <c r="BT51" s="39">
        <v>2187155</v>
      </c>
      <c r="BU51" s="39"/>
      <c r="BV51" s="39"/>
      <c r="BW51" s="9">
        <f>BT51/BS51</f>
        <v>0.24999997142406785</v>
      </c>
      <c r="BX51" s="101">
        <v>44782</v>
      </c>
      <c r="BY51" s="14" t="s">
        <v>31</v>
      </c>
      <c r="BZ51" s="14"/>
      <c r="CA51" s="9"/>
      <c r="CB51" s="39"/>
      <c r="CC51" s="39"/>
      <c r="CD51" s="39"/>
      <c r="CE51" s="39"/>
      <c r="CF51" s="9"/>
      <c r="CG51" s="101"/>
      <c r="CH51" s="14"/>
      <c r="CI51" s="14"/>
      <c r="CJ51" s="9"/>
      <c r="CK51" s="39"/>
      <c r="CL51" s="39"/>
      <c r="CM51" s="39"/>
      <c r="CN51" s="39"/>
      <c r="CO51" s="9"/>
      <c r="CP51" s="101"/>
      <c r="CQ51" s="14"/>
      <c r="CR51" s="14"/>
      <c r="CS51" s="9"/>
      <c r="CT51" s="39"/>
      <c r="CU51" s="39"/>
      <c r="CV51" s="39"/>
      <c r="CW51" s="39"/>
      <c r="CX51" s="9"/>
      <c r="CY51" s="101"/>
      <c r="CZ51" s="14"/>
      <c r="DA51" s="86"/>
      <c r="DB51" s="9"/>
      <c r="DC51" s="39"/>
      <c r="DD51" s="39"/>
      <c r="DE51" s="39"/>
      <c r="DF51" s="39"/>
      <c r="DG51" s="9"/>
      <c r="DH51" s="101"/>
      <c r="DI51" s="14"/>
      <c r="DJ51" s="14"/>
    </row>
    <row r="52" spans="1:114" hidden="1" x14ac:dyDescent="0.35">
      <c r="A52" s="1" t="s">
        <v>201</v>
      </c>
      <c r="B52" s="14" t="s">
        <v>202</v>
      </c>
      <c r="C52" s="14" t="s">
        <v>197</v>
      </c>
      <c r="D52" s="2" t="s">
        <v>61</v>
      </c>
      <c r="E52" s="3">
        <v>206511</v>
      </c>
      <c r="F52" s="3" t="s">
        <v>203</v>
      </c>
      <c r="G52" s="52">
        <v>80502876</v>
      </c>
      <c r="H52" s="11" t="s">
        <v>61</v>
      </c>
      <c r="I52" s="14"/>
      <c r="J52" s="209" t="s">
        <v>533</v>
      </c>
      <c r="K52" s="210"/>
      <c r="L52" s="210"/>
      <c r="M52" s="210"/>
      <c r="N52" s="210"/>
      <c r="O52" s="210"/>
      <c r="P52" s="210"/>
      <c r="Q52" s="210"/>
      <c r="R52" s="211"/>
      <c r="S52" s="172" t="s">
        <v>533</v>
      </c>
      <c r="T52" s="173"/>
      <c r="U52" s="173"/>
      <c r="V52" s="173"/>
      <c r="W52" s="173"/>
      <c r="X52" s="173"/>
      <c r="Y52" s="174"/>
      <c r="Z52" s="172" t="s">
        <v>533</v>
      </c>
      <c r="AA52" s="173"/>
      <c r="AB52" s="173"/>
      <c r="AC52" s="173"/>
      <c r="AD52" s="173"/>
      <c r="AE52" s="173"/>
      <c r="AF52" s="173"/>
      <c r="AG52" s="174"/>
      <c r="AH52" s="172" t="s">
        <v>533</v>
      </c>
      <c r="AI52" s="173"/>
      <c r="AJ52" s="173"/>
      <c r="AK52" s="173"/>
      <c r="AL52" s="173"/>
      <c r="AM52" s="173"/>
      <c r="AN52" s="173"/>
      <c r="AO52" s="173"/>
      <c r="AP52" s="174"/>
      <c r="AQ52" s="163" t="s">
        <v>510</v>
      </c>
      <c r="AR52" s="164"/>
      <c r="AS52" s="164"/>
      <c r="AT52" s="164"/>
      <c r="AU52" s="164"/>
      <c r="AV52" s="164"/>
      <c r="AW52" s="164"/>
      <c r="AX52" s="164"/>
      <c r="AY52" s="165"/>
      <c r="AZ52" s="172" t="s">
        <v>532</v>
      </c>
      <c r="BA52" s="173"/>
      <c r="BB52" s="173"/>
      <c r="BC52" s="173"/>
      <c r="BD52" s="173"/>
      <c r="BE52" s="173"/>
      <c r="BF52" s="173"/>
      <c r="BG52" s="173"/>
      <c r="BH52" s="174"/>
      <c r="BI52" s="163" t="s">
        <v>532</v>
      </c>
      <c r="BJ52" s="164"/>
      <c r="BK52" s="164"/>
      <c r="BL52" s="164"/>
      <c r="BM52" s="164"/>
      <c r="BN52" s="164"/>
      <c r="BO52" s="164"/>
      <c r="BP52" s="164"/>
      <c r="BQ52" s="165"/>
      <c r="BR52" s="14"/>
      <c r="BS52" s="14"/>
      <c r="BT52" s="14"/>
      <c r="BU52" s="14"/>
      <c r="BV52" s="14"/>
      <c r="BW52" s="14"/>
      <c r="BX52" s="14"/>
      <c r="BY52" s="14"/>
      <c r="BZ52" s="14"/>
      <c r="CA52" s="113"/>
      <c r="CB52" s="113"/>
      <c r="CC52" s="113"/>
      <c r="CD52" s="113"/>
      <c r="CE52" s="113"/>
      <c r="CF52" s="113"/>
      <c r="CG52" s="113"/>
      <c r="CH52" s="113"/>
      <c r="CI52" s="113"/>
      <c r="CJ52" s="113"/>
      <c r="CK52" s="113"/>
      <c r="CL52" s="113"/>
      <c r="CM52" s="113"/>
      <c r="CN52" s="113"/>
      <c r="CO52" s="113"/>
      <c r="CP52" s="113"/>
      <c r="CQ52" s="113"/>
      <c r="CR52" s="113"/>
      <c r="CS52" s="113"/>
      <c r="CT52" s="113"/>
      <c r="CU52" s="113"/>
      <c r="CV52" s="113"/>
      <c r="CW52" s="113"/>
      <c r="CX52" s="113"/>
      <c r="CY52" s="113"/>
      <c r="CZ52" s="113"/>
      <c r="DA52" s="113"/>
      <c r="DB52" s="58"/>
      <c r="DC52" s="57"/>
      <c r="DD52" s="57"/>
      <c r="DE52" s="57"/>
      <c r="DF52" s="57"/>
      <c r="DG52" s="58"/>
      <c r="DH52" s="101"/>
      <c r="DI52" s="14"/>
      <c r="DJ52" s="14"/>
    </row>
    <row r="53" spans="1:114" hidden="1" x14ac:dyDescent="0.35">
      <c r="A53" s="1" t="s">
        <v>201</v>
      </c>
      <c r="B53" s="14" t="s">
        <v>202</v>
      </c>
      <c r="C53" s="14" t="s">
        <v>197</v>
      </c>
      <c r="D53" s="2">
        <v>8749</v>
      </c>
      <c r="E53" s="3">
        <v>206511</v>
      </c>
      <c r="F53" s="3" t="s">
        <v>204</v>
      </c>
      <c r="G53" s="52">
        <v>80502876</v>
      </c>
      <c r="H53" s="39">
        <v>3667218</v>
      </c>
      <c r="I53" s="39">
        <v>3667218</v>
      </c>
      <c r="J53" s="39"/>
      <c r="K53" s="39">
        <v>3667218</v>
      </c>
      <c r="L53" s="39">
        <f>H53-K53</f>
        <v>0</v>
      </c>
      <c r="M53" s="39"/>
      <c r="N53" s="39"/>
      <c r="O53" s="9">
        <v>0</v>
      </c>
      <c r="P53" s="102">
        <v>44200</v>
      </c>
      <c r="Q53" s="3" t="s">
        <v>31</v>
      </c>
      <c r="R53" s="20"/>
      <c r="S53" s="39">
        <v>3667218</v>
      </c>
      <c r="T53" s="39">
        <v>0</v>
      </c>
      <c r="U53" s="8"/>
      <c r="V53" s="9">
        <v>0</v>
      </c>
      <c r="W53" s="102">
        <v>44593</v>
      </c>
      <c r="X53" s="14" t="s">
        <v>31</v>
      </c>
      <c r="Y53" s="20"/>
      <c r="Z53" s="14"/>
      <c r="AA53" s="57">
        <v>3667218</v>
      </c>
      <c r="AB53" s="57">
        <f>S53-AA53</f>
        <v>0</v>
      </c>
      <c r="AC53" s="14"/>
      <c r="AD53" s="58">
        <v>0</v>
      </c>
      <c r="AE53" s="131">
        <v>44621</v>
      </c>
      <c r="AF53" s="14" t="s">
        <v>31</v>
      </c>
      <c r="AG53" s="105"/>
      <c r="AH53" s="14"/>
      <c r="AI53" s="39">
        <v>3667218</v>
      </c>
      <c r="AJ53" s="39">
        <f>AA53-AI53</f>
        <v>0</v>
      </c>
      <c r="AK53" s="39"/>
      <c r="AL53" s="39"/>
      <c r="AM53" s="9">
        <v>0</v>
      </c>
      <c r="AN53" s="101">
        <v>44655</v>
      </c>
      <c r="AO53" s="14" t="s">
        <v>31</v>
      </c>
      <c r="AP53" s="14"/>
      <c r="AQ53" s="58"/>
      <c r="AR53" s="39">
        <v>3667218</v>
      </c>
      <c r="AS53" s="39">
        <f>AI53-AR53</f>
        <v>0</v>
      </c>
      <c r="AT53" s="39"/>
      <c r="AU53" s="39"/>
      <c r="AV53" s="9">
        <v>0</v>
      </c>
      <c r="AW53" s="101">
        <v>44683</v>
      </c>
      <c r="AX53" s="14" t="s">
        <v>31</v>
      </c>
      <c r="AY53" s="14"/>
      <c r="AZ53" s="9"/>
      <c r="BA53" s="39">
        <v>3667218</v>
      </c>
      <c r="BB53" s="39">
        <f>AR53-BA53</f>
        <v>0</v>
      </c>
      <c r="BC53" s="39"/>
      <c r="BD53" s="39"/>
      <c r="BE53" s="9">
        <v>0</v>
      </c>
      <c r="BF53" s="101">
        <v>44713</v>
      </c>
      <c r="BG53" s="14" t="s">
        <v>31</v>
      </c>
      <c r="BH53" s="101">
        <v>44728</v>
      </c>
      <c r="BI53" s="9"/>
      <c r="BJ53" s="39">
        <v>3667218</v>
      </c>
      <c r="BK53" s="39">
        <f>BA53-BJ53</f>
        <v>0</v>
      </c>
      <c r="BL53" s="39"/>
      <c r="BM53" s="39"/>
      <c r="BN53" s="9">
        <v>0</v>
      </c>
      <c r="BO53" s="101">
        <v>44743</v>
      </c>
      <c r="BP53" s="14" t="s">
        <v>31</v>
      </c>
      <c r="BQ53" s="101">
        <v>44757</v>
      </c>
      <c r="BR53" s="9"/>
      <c r="BS53" s="39">
        <v>3667218</v>
      </c>
      <c r="BT53" s="39">
        <f>BJ53-BS53</f>
        <v>0</v>
      </c>
      <c r="BU53" s="39"/>
      <c r="BV53" s="39"/>
      <c r="BW53" s="9">
        <v>0</v>
      </c>
      <c r="BX53" s="101">
        <v>44774</v>
      </c>
      <c r="BY53" s="14" t="s">
        <v>31</v>
      </c>
      <c r="BZ53" s="14"/>
      <c r="CA53" s="9"/>
      <c r="CB53" s="39"/>
      <c r="CC53" s="39"/>
      <c r="CD53" s="39"/>
      <c r="CE53" s="39"/>
      <c r="CF53" s="9"/>
      <c r="CG53" s="101"/>
      <c r="CH53" s="14"/>
      <c r="CI53" s="14"/>
      <c r="CJ53" s="9"/>
      <c r="CK53" s="39"/>
      <c r="CL53" s="39"/>
      <c r="CM53" s="39"/>
      <c r="CN53" s="39"/>
      <c r="CO53" s="9"/>
      <c r="CP53" s="101"/>
      <c r="CQ53" s="14"/>
      <c r="CR53" s="14"/>
      <c r="CS53" s="9"/>
      <c r="CT53" s="39"/>
      <c r="CU53" s="39"/>
      <c r="CV53" s="39"/>
      <c r="CW53" s="39"/>
      <c r="CX53" s="9"/>
      <c r="CY53" s="101"/>
      <c r="CZ53" s="14"/>
      <c r="DA53" s="86"/>
      <c r="DB53" s="9"/>
      <c r="DC53" s="39"/>
      <c r="DD53" s="39"/>
      <c r="DE53" s="39"/>
      <c r="DF53" s="39"/>
      <c r="DG53" s="9"/>
      <c r="DH53" s="101"/>
      <c r="DI53" s="14"/>
      <c r="DJ53" s="14"/>
    </row>
    <row r="54" spans="1:114" hidden="1" x14ac:dyDescent="0.35">
      <c r="A54" s="1" t="s">
        <v>205</v>
      </c>
      <c r="B54" s="14" t="s">
        <v>206</v>
      </c>
      <c r="C54" s="14" t="s">
        <v>29</v>
      </c>
      <c r="D54" s="2" t="s">
        <v>61</v>
      </c>
      <c r="E54" s="3">
        <v>207689</v>
      </c>
      <c r="F54" s="3" t="s">
        <v>207</v>
      </c>
      <c r="G54" s="52" t="s">
        <v>155</v>
      </c>
      <c r="H54" s="207" t="s">
        <v>61</v>
      </c>
      <c r="I54" s="208"/>
      <c r="J54" s="209" t="s">
        <v>533</v>
      </c>
      <c r="K54" s="210"/>
      <c r="L54" s="210"/>
      <c r="M54" s="210"/>
      <c r="N54" s="210"/>
      <c r="O54" s="210"/>
      <c r="P54" s="210"/>
      <c r="Q54" s="210"/>
      <c r="R54" s="211"/>
      <c r="S54" s="172" t="s">
        <v>533</v>
      </c>
      <c r="T54" s="173"/>
      <c r="U54" s="173"/>
      <c r="V54" s="173"/>
      <c r="W54" s="173"/>
      <c r="X54" s="173"/>
      <c r="Y54" s="174"/>
      <c r="Z54" s="172" t="s">
        <v>533</v>
      </c>
      <c r="AA54" s="173"/>
      <c r="AB54" s="173"/>
      <c r="AC54" s="173"/>
      <c r="AD54" s="173"/>
      <c r="AE54" s="173"/>
      <c r="AF54" s="173"/>
      <c r="AG54" s="174"/>
      <c r="AH54" s="172" t="s">
        <v>533</v>
      </c>
      <c r="AI54" s="173"/>
      <c r="AJ54" s="173"/>
      <c r="AK54" s="173"/>
      <c r="AL54" s="173"/>
      <c r="AM54" s="173"/>
      <c r="AN54" s="173"/>
      <c r="AO54" s="173"/>
      <c r="AP54" s="174"/>
      <c r="AQ54" s="163" t="s">
        <v>510</v>
      </c>
      <c r="AR54" s="164"/>
      <c r="AS54" s="164"/>
      <c r="AT54" s="164"/>
      <c r="AU54" s="164"/>
      <c r="AV54" s="164"/>
      <c r="AW54" s="164"/>
      <c r="AX54" s="164"/>
      <c r="AY54" s="165"/>
      <c r="AZ54" s="172"/>
      <c r="BA54" s="173"/>
      <c r="BB54" s="173"/>
      <c r="BC54" s="173"/>
      <c r="BD54" s="173"/>
      <c r="BE54" s="173"/>
      <c r="BF54" s="173"/>
      <c r="BG54" s="173"/>
      <c r="BH54" s="174"/>
      <c r="BI54" s="163" t="s">
        <v>532</v>
      </c>
      <c r="BJ54" s="164"/>
      <c r="BK54" s="164"/>
      <c r="BL54" s="164"/>
      <c r="BM54" s="164"/>
      <c r="BN54" s="164"/>
      <c r="BO54" s="164"/>
      <c r="BP54" s="164"/>
      <c r="BQ54" s="165"/>
      <c r="BR54" s="14"/>
      <c r="BS54" s="14"/>
      <c r="BT54" s="14"/>
      <c r="BU54" s="14"/>
      <c r="BV54" s="14"/>
      <c r="BW54" s="14"/>
      <c r="BX54" s="14"/>
      <c r="BY54" s="14"/>
      <c r="BZ54" s="14"/>
      <c r="CA54" s="58"/>
      <c r="CB54" s="57"/>
      <c r="CC54" s="57"/>
      <c r="CD54" s="57"/>
      <c r="CE54" s="57"/>
      <c r="CF54" s="58"/>
      <c r="CG54" s="101"/>
      <c r="CH54" s="14"/>
      <c r="CI54" s="14"/>
      <c r="CJ54" s="113"/>
      <c r="CK54" s="113"/>
      <c r="CL54" s="113"/>
      <c r="CM54" s="113"/>
      <c r="CN54" s="113"/>
      <c r="CO54" s="113"/>
      <c r="CP54" s="113"/>
      <c r="CQ54" s="113"/>
      <c r="CR54" s="113"/>
      <c r="CS54" s="163"/>
      <c r="CT54" s="164"/>
      <c r="CU54" s="164"/>
      <c r="CV54" s="164"/>
      <c r="CW54" s="164"/>
      <c r="CX54" s="164"/>
      <c r="CY54" s="164"/>
      <c r="CZ54" s="164"/>
      <c r="DA54" s="165"/>
      <c r="DB54" s="9"/>
      <c r="DC54" s="39"/>
      <c r="DD54" s="39"/>
      <c r="DE54" s="39"/>
      <c r="DF54" s="39"/>
      <c r="DG54" s="9"/>
      <c r="DH54" s="101"/>
      <c r="DI54" s="14"/>
      <c r="DJ54" s="14"/>
    </row>
    <row r="55" spans="1:114" hidden="1" x14ac:dyDescent="0.35">
      <c r="A55" s="1" t="s">
        <v>205</v>
      </c>
      <c r="B55" s="14" t="s">
        <v>206</v>
      </c>
      <c r="C55" s="14" t="s">
        <v>29</v>
      </c>
      <c r="D55" s="2">
        <v>8860</v>
      </c>
      <c r="E55" s="3">
        <v>207689</v>
      </c>
      <c r="F55" s="3" t="s">
        <v>208</v>
      </c>
      <c r="G55" s="52" t="s">
        <v>155</v>
      </c>
      <c r="H55" s="39">
        <v>7467141</v>
      </c>
      <c r="I55" s="39">
        <v>7069825</v>
      </c>
      <c r="J55" s="39"/>
      <c r="K55" s="39">
        <v>7069825</v>
      </c>
      <c r="L55" s="39">
        <f>I55-K55</f>
        <v>0</v>
      </c>
      <c r="M55" s="39"/>
      <c r="N55" s="39"/>
      <c r="O55" s="9">
        <v>0</v>
      </c>
      <c r="P55" s="101">
        <v>44567</v>
      </c>
      <c r="Q55" s="101" t="s">
        <v>31</v>
      </c>
      <c r="R55" s="20"/>
      <c r="S55" s="39">
        <v>7864457</v>
      </c>
      <c r="T55" s="8">
        <f>K55-S55</f>
        <v>-794632</v>
      </c>
      <c r="U55" s="14"/>
      <c r="V55" s="9">
        <f>T55/K55</f>
        <v>-0.11239769018327894</v>
      </c>
      <c r="W55" s="101">
        <v>44595</v>
      </c>
      <c r="X55" s="14" t="s">
        <v>31</v>
      </c>
      <c r="Y55" s="20"/>
      <c r="Z55" s="14"/>
      <c r="AA55" s="57">
        <v>7467141</v>
      </c>
      <c r="AB55" s="57">
        <f>S55-AA55</f>
        <v>397316</v>
      </c>
      <c r="AC55" s="14"/>
      <c r="AD55" s="58">
        <f>AB55/S55</f>
        <v>5.0520461870412668E-2</v>
      </c>
      <c r="AE55" s="101">
        <v>44650</v>
      </c>
      <c r="AF55" s="14" t="s">
        <v>31</v>
      </c>
      <c r="AG55" s="105"/>
      <c r="AH55" s="14"/>
      <c r="AI55" s="39">
        <v>7467141</v>
      </c>
      <c r="AJ55" s="39">
        <f>AA55-AI55</f>
        <v>0</v>
      </c>
      <c r="AK55" s="39"/>
      <c r="AL55" s="39"/>
      <c r="AM55" s="9">
        <v>0</v>
      </c>
      <c r="AN55" s="101">
        <v>44657</v>
      </c>
      <c r="AO55" s="14" t="s">
        <v>31</v>
      </c>
      <c r="AP55" s="14"/>
      <c r="AQ55" s="58"/>
      <c r="AR55" s="39">
        <v>7467141</v>
      </c>
      <c r="AS55" s="39">
        <f>AI55-AR55</f>
        <v>0</v>
      </c>
      <c r="AT55" s="39"/>
      <c r="AU55" s="39"/>
      <c r="AV55" s="9">
        <v>0</v>
      </c>
      <c r="AW55" s="101">
        <v>44686</v>
      </c>
      <c r="AX55" s="14" t="s">
        <v>31</v>
      </c>
      <c r="AY55" s="14"/>
      <c r="AZ55" s="9"/>
      <c r="BA55" s="39">
        <v>7467141</v>
      </c>
      <c r="BB55" s="39">
        <f>AR55-BA55</f>
        <v>0</v>
      </c>
      <c r="BC55" s="39"/>
      <c r="BD55" s="39"/>
      <c r="BE55" s="9">
        <v>0</v>
      </c>
      <c r="BF55" s="101">
        <v>44715</v>
      </c>
      <c r="BG55" s="14" t="s">
        <v>31</v>
      </c>
      <c r="BH55" s="101">
        <v>44728</v>
      </c>
      <c r="BI55" s="9"/>
      <c r="BJ55" s="39">
        <v>7467141</v>
      </c>
      <c r="BK55" s="39">
        <f>BA55-BJ55</f>
        <v>0</v>
      </c>
      <c r="BL55" s="39"/>
      <c r="BM55" s="39"/>
      <c r="BN55" s="9">
        <v>0</v>
      </c>
      <c r="BO55" s="101">
        <v>44748</v>
      </c>
      <c r="BP55" s="14" t="s">
        <v>31</v>
      </c>
      <c r="BQ55" s="101">
        <v>44757</v>
      </c>
      <c r="BR55" s="9"/>
      <c r="BS55" s="39">
        <v>7467141</v>
      </c>
      <c r="BT55" s="39">
        <f>BJ55-BS55</f>
        <v>0</v>
      </c>
      <c r="BU55" s="39"/>
      <c r="BV55" s="39"/>
      <c r="BW55" s="9">
        <v>0</v>
      </c>
      <c r="BX55" s="101">
        <v>44777</v>
      </c>
      <c r="BY55" s="14" t="s">
        <v>31</v>
      </c>
      <c r="BZ55" s="14"/>
      <c r="CA55" s="9"/>
      <c r="CB55" s="39"/>
      <c r="CC55" s="39"/>
      <c r="CD55" s="39"/>
      <c r="CE55" s="39"/>
      <c r="CF55" s="9"/>
      <c r="CG55" s="101"/>
      <c r="CH55" s="14"/>
      <c r="CI55" s="14"/>
      <c r="CJ55" s="9"/>
      <c r="CK55" s="39"/>
      <c r="CL55" s="39"/>
      <c r="CM55" s="39"/>
      <c r="CN55" s="39"/>
      <c r="CO55" s="9"/>
      <c r="CP55" s="101"/>
      <c r="CQ55" s="14"/>
      <c r="CR55" s="14"/>
      <c r="CS55" s="9"/>
      <c r="CT55" s="39"/>
      <c r="CU55" s="39"/>
      <c r="CV55" s="39"/>
      <c r="CW55" s="39"/>
      <c r="CX55" s="9"/>
      <c r="CY55" s="101"/>
      <c r="CZ55" s="14"/>
      <c r="DA55" s="86"/>
      <c r="DB55" s="9"/>
      <c r="DC55" s="39"/>
      <c r="DD55" s="39"/>
      <c r="DE55" s="39"/>
      <c r="DF55" s="39"/>
      <c r="DG55" s="9"/>
      <c r="DH55" s="101"/>
      <c r="DI55" s="14"/>
      <c r="DJ55" s="14"/>
    </row>
    <row r="56" spans="1:114" s="151" customFormat="1" hidden="1" x14ac:dyDescent="0.35">
      <c r="A56" s="152" t="s">
        <v>209</v>
      </c>
      <c r="B56" s="42" t="s">
        <v>210</v>
      </c>
      <c r="C56" s="42" t="s">
        <v>29</v>
      </c>
      <c r="D56" s="154" t="s">
        <v>61</v>
      </c>
      <c r="E56" s="107">
        <v>289666</v>
      </c>
      <c r="F56" s="107" t="s">
        <v>508</v>
      </c>
      <c r="G56" s="155" t="s">
        <v>509</v>
      </c>
      <c r="H56" s="205" t="s">
        <v>61</v>
      </c>
      <c r="I56" s="206"/>
      <c r="J56" s="205" t="s">
        <v>533</v>
      </c>
      <c r="K56" s="219"/>
      <c r="L56" s="219"/>
      <c r="M56" s="219"/>
      <c r="N56" s="219"/>
      <c r="O56" s="219"/>
      <c r="P56" s="219"/>
      <c r="Q56" s="219"/>
      <c r="R56" s="206"/>
      <c r="S56" s="197" t="s">
        <v>533</v>
      </c>
      <c r="T56" s="198"/>
      <c r="U56" s="198"/>
      <c r="V56" s="198"/>
      <c r="W56" s="198"/>
      <c r="X56" s="198"/>
      <c r="Y56" s="199"/>
      <c r="Z56" s="197" t="s">
        <v>533</v>
      </c>
      <c r="AA56" s="198"/>
      <c r="AB56" s="198"/>
      <c r="AC56" s="198"/>
      <c r="AD56" s="198"/>
      <c r="AE56" s="198"/>
      <c r="AF56" s="198"/>
      <c r="AG56" s="199"/>
      <c r="AH56" s="197" t="s">
        <v>533</v>
      </c>
      <c r="AI56" s="198"/>
      <c r="AJ56" s="198"/>
      <c r="AK56" s="198"/>
      <c r="AL56" s="198"/>
      <c r="AM56" s="198"/>
      <c r="AN56" s="198"/>
      <c r="AO56" s="198"/>
      <c r="AP56" s="199"/>
      <c r="AQ56" s="42"/>
      <c r="AR56" s="156">
        <v>1688433</v>
      </c>
      <c r="AS56" s="156">
        <v>0</v>
      </c>
      <c r="AT56" s="42"/>
      <c r="AU56" s="42"/>
      <c r="AV56" s="157">
        <v>0</v>
      </c>
      <c r="AW56" s="150">
        <v>44700</v>
      </c>
      <c r="AX56" s="42" t="s">
        <v>31</v>
      </c>
      <c r="AY56" s="42"/>
      <c r="AZ56" s="148"/>
      <c r="BA56" s="147">
        <v>6024716</v>
      </c>
      <c r="BB56" s="147">
        <v>0</v>
      </c>
      <c r="BC56" s="147"/>
      <c r="BD56" s="147"/>
      <c r="BE56" s="148">
        <v>0</v>
      </c>
      <c r="BF56" s="150">
        <v>44729</v>
      </c>
      <c r="BG56" s="42" t="s">
        <v>31</v>
      </c>
      <c r="BH56" s="150">
        <v>44753</v>
      </c>
      <c r="BI56" s="148"/>
      <c r="BJ56" s="147">
        <v>1665604</v>
      </c>
      <c r="BK56" s="147">
        <v>0</v>
      </c>
      <c r="BL56" s="147"/>
      <c r="BM56" s="147"/>
      <c r="BN56" s="148">
        <v>0</v>
      </c>
      <c r="BO56" s="150">
        <v>44761</v>
      </c>
      <c r="BP56" s="42" t="s">
        <v>31</v>
      </c>
      <c r="BQ56" s="150">
        <v>44769</v>
      </c>
      <c r="BR56" s="148"/>
      <c r="BS56" s="147">
        <v>2521856</v>
      </c>
      <c r="BT56" s="147">
        <v>0</v>
      </c>
      <c r="BU56" s="147"/>
      <c r="BV56" s="147"/>
      <c r="BW56" s="148">
        <v>0</v>
      </c>
      <c r="BX56" s="150">
        <v>44785</v>
      </c>
      <c r="BY56" s="42" t="s">
        <v>31</v>
      </c>
      <c r="BZ56" s="42"/>
      <c r="CA56" s="148"/>
      <c r="CB56" s="147"/>
      <c r="CC56" s="147"/>
      <c r="CD56" s="147"/>
      <c r="CE56" s="147"/>
      <c r="CF56" s="148"/>
      <c r="CG56" s="150"/>
      <c r="CH56" s="42"/>
      <c r="CI56" s="42"/>
      <c r="CJ56" s="148"/>
      <c r="CK56" s="147"/>
      <c r="CL56" s="147"/>
      <c r="CM56" s="147"/>
      <c r="CN56" s="147"/>
      <c r="CO56" s="148"/>
      <c r="CP56" s="150"/>
      <c r="CQ56" s="42"/>
      <c r="CR56" s="42"/>
      <c r="CS56" s="200"/>
      <c r="CT56" s="201"/>
      <c r="CU56" s="201"/>
      <c r="CV56" s="201"/>
      <c r="CW56" s="201"/>
      <c r="CX56" s="201"/>
      <c r="CY56" s="201"/>
      <c r="CZ56" s="201"/>
      <c r="DA56" s="202"/>
      <c r="DB56" s="148"/>
      <c r="DC56" s="147"/>
      <c r="DD56" s="147"/>
      <c r="DE56" s="147"/>
      <c r="DF56" s="147"/>
      <c r="DG56" s="148"/>
      <c r="DH56" s="150"/>
      <c r="DI56" s="42"/>
      <c r="DJ56" s="42"/>
    </row>
    <row r="57" spans="1:114" s="151" customFormat="1" hidden="1" x14ac:dyDescent="0.35">
      <c r="A57" s="152" t="s">
        <v>209</v>
      </c>
      <c r="B57" s="42" t="s">
        <v>210</v>
      </c>
      <c r="C57" s="42" t="s">
        <v>29</v>
      </c>
      <c r="D57" s="154">
        <v>8859</v>
      </c>
      <c r="E57" s="107">
        <v>289666</v>
      </c>
      <c r="F57" s="107" t="s">
        <v>508</v>
      </c>
      <c r="G57" s="155" t="s">
        <v>509</v>
      </c>
      <c r="H57" s="147">
        <v>19102600</v>
      </c>
      <c r="I57" s="147">
        <v>28653900</v>
      </c>
      <c r="J57" s="147"/>
      <c r="K57" s="147">
        <v>19102600</v>
      </c>
      <c r="L57" s="147">
        <f>H57-K57</f>
        <v>0</v>
      </c>
      <c r="M57" s="147"/>
      <c r="N57" s="147"/>
      <c r="O57" s="148">
        <v>0</v>
      </c>
      <c r="P57" s="150">
        <v>44574</v>
      </c>
      <c r="Q57" s="42" t="s">
        <v>31</v>
      </c>
      <c r="R57" s="106"/>
      <c r="S57" s="147">
        <v>19102600</v>
      </c>
      <c r="T57" s="149">
        <f>K57-S57</f>
        <v>0</v>
      </c>
      <c r="U57" s="147"/>
      <c r="V57" s="148">
        <v>0</v>
      </c>
      <c r="W57" s="158">
        <v>44600</v>
      </c>
      <c r="X57" s="42" t="s">
        <v>31</v>
      </c>
      <c r="Y57" s="106"/>
      <c r="Z57" s="42"/>
      <c r="AA57" s="147">
        <v>19102600</v>
      </c>
      <c r="AB57" s="147">
        <f>S57-AA57</f>
        <v>0</v>
      </c>
      <c r="AC57" s="42"/>
      <c r="AD57" s="148">
        <v>0</v>
      </c>
      <c r="AE57" s="158">
        <v>44628</v>
      </c>
      <c r="AF57" s="42" t="s">
        <v>31</v>
      </c>
      <c r="AG57" s="106"/>
      <c r="AH57" s="42"/>
      <c r="AI57" s="147">
        <v>19102600</v>
      </c>
      <c r="AJ57" s="147">
        <f>AA57-AI57</f>
        <v>0</v>
      </c>
      <c r="AK57" s="147"/>
      <c r="AL57" s="147"/>
      <c r="AM57" s="148">
        <v>0</v>
      </c>
      <c r="AN57" s="158">
        <v>44659</v>
      </c>
      <c r="AO57" s="42" t="s">
        <v>31</v>
      </c>
      <c r="AP57" s="42"/>
      <c r="AQ57" s="148"/>
      <c r="AR57" s="147">
        <v>19102600</v>
      </c>
      <c r="AS57" s="147">
        <f>AI57-AR57</f>
        <v>0</v>
      </c>
      <c r="AT57" s="147"/>
      <c r="AU57" s="147"/>
      <c r="AV57" s="148">
        <v>0</v>
      </c>
      <c r="AW57" s="150">
        <v>44687</v>
      </c>
      <c r="AX57" s="42" t="s">
        <v>31</v>
      </c>
      <c r="AY57" s="42"/>
      <c r="AZ57" s="148"/>
      <c r="BA57" s="147">
        <v>19102600</v>
      </c>
      <c r="BB57" s="147">
        <f>AR57-BA57</f>
        <v>0</v>
      </c>
      <c r="BC57" s="147"/>
      <c r="BD57" s="147"/>
      <c r="BE57" s="148">
        <v>0</v>
      </c>
      <c r="BF57" s="150">
        <v>44719</v>
      </c>
      <c r="BG57" s="42" t="s">
        <v>31</v>
      </c>
      <c r="BH57" s="150">
        <v>44728</v>
      </c>
      <c r="BI57" s="148"/>
      <c r="BJ57" s="147">
        <v>19102600</v>
      </c>
      <c r="BK57" s="147">
        <f>BA57-BJ57</f>
        <v>0</v>
      </c>
      <c r="BL57" s="147"/>
      <c r="BM57" s="147"/>
      <c r="BN57" s="148">
        <v>0</v>
      </c>
      <c r="BO57" s="150">
        <v>44753</v>
      </c>
      <c r="BP57" s="42" t="s">
        <v>31</v>
      </c>
      <c r="BQ57" s="150">
        <v>44768</v>
      </c>
      <c r="BR57" s="148"/>
      <c r="BS57" s="147">
        <v>19102600</v>
      </c>
      <c r="BT57" s="147">
        <f>BJ57-BS57</f>
        <v>0</v>
      </c>
      <c r="BU57" s="147"/>
      <c r="BV57" s="147"/>
      <c r="BW57" s="148">
        <v>0</v>
      </c>
      <c r="BX57" s="150">
        <v>44778</v>
      </c>
      <c r="BY57" s="42" t="s">
        <v>31</v>
      </c>
      <c r="BZ57" s="42"/>
      <c r="CA57" s="148"/>
      <c r="CB57" s="147"/>
      <c r="CC57" s="147"/>
      <c r="CD57" s="147"/>
      <c r="CE57" s="147"/>
      <c r="CF57" s="148"/>
      <c r="CG57" s="150"/>
      <c r="CH57" s="42"/>
      <c r="CI57" s="42"/>
      <c r="CJ57" s="148"/>
      <c r="CK57" s="147"/>
      <c r="CL57" s="147"/>
      <c r="CM57" s="147"/>
      <c r="CN57" s="147"/>
      <c r="CO57" s="148"/>
      <c r="CP57" s="150"/>
      <c r="CQ57" s="42"/>
      <c r="CR57" s="42"/>
      <c r="CS57" s="148"/>
      <c r="CT57" s="147"/>
      <c r="CU57" s="147"/>
      <c r="CV57" s="147"/>
      <c r="CW57" s="147"/>
      <c r="CX57" s="148"/>
      <c r="CY57" s="150"/>
      <c r="CZ57" s="42"/>
      <c r="DA57" s="159"/>
      <c r="DB57" s="148"/>
      <c r="DC57" s="147"/>
      <c r="DD57" s="147"/>
      <c r="DE57" s="147"/>
      <c r="DF57" s="147"/>
      <c r="DG57" s="148"/>
      <c r="DH57" s="150"/>
      <c r="DI57" s="42"/>
      <c r="DJ57" s="42"/>
    </row>
    <row r="58" spans="1:114" hidden="1" x14ac:dyDescent="0.35">
      <c r="A58" s="1" t="s">
        <v>212</v>
      </c>
      <c r="B58" s="14" t="s">
        <v>213</v>
      </c>
      <c r="C58" s="14" t="s">
        <v>66</v>
      </c>
      <c r="D58" s="2">
        <v>8976</v>
      </c>
      <c r="E58" s="3">
        <v>219333</v>
      </c>
      <c r="F58" s="3" t="s">
        <v>214</v>
      </c>
      <c r="G58" s="52">
        <v>9011209433</v>
      </c>
      <c r="H58" s="39">
        <v>10283655</v>
      </c>
      <c r="I58" s="39">
        <v>9639070</v>
      </c>
      <c r="J58" s="39"/>
      <c r="K58" s="39">
        <v>10283655</v>
      </c>
      <c r="L58" s="39">
        <f>I58-K58</f>
        <v>-644585</v>
      </c>
      <c r="M58" s="39"/>
      <c r="N58" s="39"/>
      <c r="O58" s="9">
        <f>L58/I58</f>
        <v>-6.6872115255932368E-2</v>
      </c>
      <c r="P58" s="102">
        <v>44637</v>
      </c>
      <c r="Q58" s="14" t="s">
        <v>31</v>
      </c>
      <c r="R58" s="20"/>
      <c r="S58" s="39">
        <v>10283655</v>
      </c>
      <c r="T58" s="8">
        <f>K58-S58</f>
        <v>0</v>
      </c>
      <c r="U58" s="14"/>
      <c r="V58" s="9">
        <v>0</v>
      </c>
      <c r="W58" s="101">
        <v>44637</v>
      </c>
      <c r="X58" s="14" t="s">
        <v>31</v>
      </c>
      <c r="Y58" s="20"/>
      <c r="Z58" s="14"/>
      <c r="AA58" s="57">
        <v>10283655</v>
      </c>
      <c r="AB58" s="57">
        <f>I58-AA58</f>
        <v>-644585</v>
      </c>
      <c r="AC58" s="14"/>
      <c r="AD58" s="58">
        <f>AB58/I58</f>
        <v>-6.6872115255932368E-2</v>
      </c>
      <c r="AE58" s="131">
        <v>44634</v>
      </c>
      <c r="AF58" s="14" t="s">
        <v>31</v>
      </c>
      <c r="AG58" s="20"/>
      <c r="AH58" s="14"/>
      <c r="AI58" s="39">
        <v>10283655</v>
      </c>
      <c r="AJ58" s="39">
        <f>AA58-AI58</f>
        <v>0</v>
      </c>
      <c r="AK58" s="39"/>
      <c r="AL58" s="39"/>
      <c r="AM58" s="9">
        <v>0</v>
      </c>
      <c r="AN58" s="101">
        <v>44669</v>
      </c>
      <c r="AO58" s="14" t="s">
        <v>31</v>
      </c>
      <c r="AP58" s="14"/>
      <c r="AQ58" s="58"/>
      <c r="AR58" s="39">
        <v>10283655</v>
      </c>
      <c r="AS58" s="39">
        <f>AI58-AR58</f>
        <v>0</v>
      </c>
      <c r="AT58" s="39"/>
      <c r="AU58" s="39"/>
      <c r="AV58" s="9">
        <v>0</v>
      </c>
      <c r="AW58" s="101">
        <v>44692</v>
      </c>
      <c r="AX58" s="14" t="s">
        <v>31</v>
      </c>
      <c r="AY58" s="14"/>
      <c r="AZ58" s="9"/>
      <c r="BA58" s="39">
        <v>10283655</v>
      </c>
      <c r="BB58" s="39">
        <f>AR58-BA58</f>
        <v>0</v>
      </c>
      <c r="BC58" s="39"/>
      <c r="BD58" s="39"/>
      <c r="BE58" s="9">
        <v>0</v>
      </c>
      <c r="BF58" s="101">
        <v>44727</v>
      </c>
      <c r="BG58" s="14" t="s">
        <v>31</v>
      </c>
      <c r="BH58" s="101">
        <v>44755</v>
      </c>
      <c r="BI58" s="9"/>
      <c r="BJ58" s="39">
        <v>10283655</v>
      </c>
      <c r="BK58" s="39">
        <f>BA58-BJ58</f>
        <v>0</v>
      </c>
      <c r="BL58" s="39"/>
      <c r="BM58" s="39"/>
      <c r="BN58" s="9">
        <v>0</v>
      </c>
      <c r="BO58" s="101">
        <v>44756</v>
      </c>
      <c r="BP58" s="14" t="s">
        <v>31</v>
      </c>
      <c r="BQ58" s="101">
        <v>44768</v>
      </c>
      <c r="BR58" s="9"/>
      <c r="BS58" s="39">
        <v>10283655</v>
      </c>
      <c r="BT58" s="39">
        <f>BJ58-BS58</f>
        <v>0</v>
      </c>
      <c r="BU58" s="39"/>
      <c r="BV58" s="39"/>
      <c r="BW58" s="9">
        <v>0</v>
      </c>
      <c r="BX58" s="101">
        <v>44789</v>
      </c>
      <c r="BY58" s="14" t="s">
        <v>31</v>
      </c>
      <c r="BZ58" s="14"/>
      <c r="CA58" s="178"/>
      <c r="CB58" s="179"/>
      <c r="CC58" s="179"/>
      <c r="CD58" s="179"/>
      <c r="CE58" s="179"/>
      <c r="CF58" s="179"/>
      <c r="CG58" s="179"/>
      <c r="CH58" s="179"/>
      <c r="CI58" s="180"/>
      <c r="CJ58" s="178"/>
      <c r="CK58" s="179"/>
      <c r="CL58" s="179"/>
      <c r="CM58" s="179"/>
      <c r="CN58" s="179"/>
      <c r="CO58" s="179"/>
      <c r="CP58" s="179"/>
      <c r="CQ58" s="179"/>
      <c r="CR58" s="180"/>
      <c r="CS58" s="178"/>
      <c r="CT58" s="179"/>
      <c r="CU58" s="179"/>
      <c r="CV58" s="179"/>
      <c r="CW58" s="179"/>
      <c r="CX58" s="179"/>
      <c r="CY58" s="179"/>
      <c r="CZ58" s="179"/>
      <c r="DA58" s="180"/>
      <c r="DB58" s="9"/>
      <c r="DC58" s="39"/>
      <c r="DD58" s="39"/>
      <c r="DE58" s="39"/>
      <c r="DF58" s="39"/>
      <c r="DG58" s="9"/>
      <c r="DH58" s="101"/>
      <c r="DI58" s="14"/>
      <c r="DJ58" s="14"/>
    </row>
    <row r="59" spans="1:114" hidden="1" x14ac:dyDescent="0.35">
      <c r="A59" s="1" t="s">
        <v>215</v>
      </c>
      <c r="B59" s="14" t="s">
        <v>216</v>
      </c>
      <c r="C59" s="14" t="s">
        <v>29</v>
      </c>
      <c r="D59" s="2">
        <v>9053</v>
      </c>
      <c r="E59" s="3">
        <v>210056</v>
      </c>
      <c r="F59" s="3" t="s">
        <v>217</v>
      </c>
      <c r="G59" s="52" t="s">
        <v>218</v>
      </c>
      <c r="H59" s="39">
        <v>11964223</v>
      </c>
      <c r="I59" s="39">
        <v>11327611</v>
      </c>
      <c r="J59" s="39"/>
      <c r="K59" s="39">
        <v>11327611</v>
      </c>
      <c r="L59" s="39">
        <f>I59-K59</f>
        <v>0</v>
      </c>
      <c r="M59" s="39"/>
      <c r="N59" s="39"/>
      <c r="O59" s="9">
        <v>0</v>
      </c>
      <c r="P59" s="102">
        <v>44564</v>
      </c>
      <c r="Q59" s="3" t="s">
        <v>31</v>
      </c>
      <c r="R59" s="20"/>
      <c r="S59" s="39">
        <v>11327611</v>
      </c>
      <c r="T59" s="8">
        <f>K59-S59</f>
        <v>0</v>
      </c>
      <c r="U59" s="14"/>
      <c r="V59" s="9">
        <v>0</v>
      </c>
      <c r="W59" s="102">
        <v>44593</v>
      </c>
      <c r="X59" s="14" t="s">
        <v>31</v>
      </c>
      <c r="Y59" s="20"/>
      <c r="Z59" s="14"/>
      <c r="AA59" s="57">
        <v>11327611</v>
      </c>
      <c r="AB59" s="57">
        <f>S59-AA59</f>
        <v>0</v>
      </c>
      <c r="AC59" s="14"/>
      <c r="AD59" s="58">
        <v>0</v>
      </c>
      <c r="AE59" s="131">
        <v>44621</v>
      </c>
      <c r="AF59" s="14" t="s">
        <v>31</v>
      </c>
      <c r="AG59" s="20"/>
      <c r="AH59" s="14"/>
      <c r="AI59" s="39">
        <v>11327611</v>
      </c>
      <c r="AJ59" s="39">
        <f>AA59-AI59</f>
        <v>0</v>
      </c>
      <c r="AK59" s="39"/>
      <c r="AL59" s="39"/>
      <c r="AM59" s="9">
        <v>0</v>
      </c>
      <c r="AN59" s="101">
        <v>44656</v>
      </c>
      <c r="AO59" s="14" t="s">
        <v>31</v>
      </c>
      <c r="AP59" s="14"/>
      <c r="AQ59" s="58"/>
      <c r="AR59" s="39">
        <v>11327611</v>
      </c>
      <c r="AS59" s="39">
        <f>AI59-AR59</f>
        <v>0</v>
      </c>
      <c r="AT59" s="39"/>
      <c r="AU59" s="39"/>
      <c r="AV59" s="9">
        <v>0</v>
      </c>
      <c r="AW59" s="101">
        <v>44684</v>
      </c>
      <c r="AX59" s="14" t="s">
        <v>31</v>
      </c>
      <c r="AY59" s="14"/>
      <c r="AZ59" s="9"/>
      <c r="BA59" s="39">
        <v>11879341</v>
      </c>
      <c r="BB59" s="39"/>
      <c r="BC59" s="39">
        <f>AR59-BA59</f>
        <v>-551730</v>
      </c>
      <c r="BD59" s="39"/>
      <c r="BE59" s="9">
        <f>BC59/AR59</f>
        <v>-4.8706651384833044E-2</v>
      </c>
      <c r="BF59" s="101">
        <v>44713</v>
      </c>
      <c r="BG59" s="14" t="s">
        <v>31</v>
      </c>
      <c r="BH59" s="101">
        <v>44728</v>
      </c>
      <c r="BI59" s="9"/>
      <c r="BJ59" s="39">
        <v>11964223</v>
      </c>
      <c r="BK59" s="39">
        <f>BA59-BJ59</f>
        <v>-84882</v>
      </c>
      <c r="BL59" s="39"/>
      <c r="BM59" s="39"/>
      <c r="BN59" s="9">
        <f>BK59/BA59</f>
        <v>-7.1453458571481363E-3</v>
      </c>
      <c r="BO59" s="101">
        <v>44747</v>
      </c>
      <c r="BP59" s="14" t="s">
        <v>31</v>
      </c>
      <c r="BQ59" s="101">
        <v>44757</v>
      </c>
      <c r="BR59" s="9"/>
      <c r="BS59" s="39">
        <v>11964223</v>
      </c>
      <c r="BT59" s="39">
        <f>BJ59-BS59</f>
        <v>0</v>
      </c>
      <c r="BU59" s="39"/>
      <c r="BV59" s="39"/>
      <c r="BW59" s="9">
        <v>0</v>
      </c>
      <c r="BX59" s="101">
        <v>44777</v>
      </c>
      <c r="BY59" s="14" t="s">
        <v>31</v>
      </c>
      <c r="BZ59" s="14"/>
      <c r="CA59" s="9"/>
      <c r="CB59" s="39"/>
      <c r="CC59" s="39"/>
      <c r="CD59" s="39"/>
      <c r="CE59" s="39"/>
      <c r="CF59" s="9"/>
      <c r="CG59" s="101"/>
      <c r="CH59" s="14"/>
      <c r="CI59" s="14"/>
      <c r="CJ59" s="9"/>
      <c r="CK59" s="39"/>
      <c r="CL59" s="39"/>
      <c r="CM59" s="39"/>
      <c r="CN59" s="39"/>
      <c r="CO59" s="9"/>
      <c r="CP59" s="101"/>
      <c r="CQ59" s="14"/>
      <c r="CR59" s="14"/>
      <c r="CS59" s="9"/>
      <c r="CT59" s="39"/>
      <c r="CU59" s="39"/>
      <c r="CV59" s="39"/>
      <c r="CW59" s="39"/>
      <c r="CX59" s="9"/>
      <c r="CY59" s="101"/>
      <c r="CZ59" s="14"/>
      <c r="DA59" s="86"/>
      <c r="DB59" s="9"/>
      <c r="DC59" s="39"/>
      <c r="DD59" s="39"/>
      <c r="DE59" s="39"/>
      <c r="DF59" s="39"/>
      <c r="DG59" s="9"/>
      <c r="DH59" s="101"/>
      <c r="DI59" s="14"/>
      <c r="DJ59" s="14"/>
    </row>
    <row r="60" spans="1:114" hidden="1" x14ac:dyDescent="0.35">
      <c r="A60" s="1" t="s">
        <v>219</v>
      </c>
      <c r="B60" s="14" t="s">
        <v>220</v>
      </c>
      <c r="C60" s="14" t="s">
        <v>158</v>
      </c>
      <c r="D60" s="2" t="s">
        <v>61</v>
      </c>
      <c r="E60" s="3">
        <v>231459</v>
      </c>
      <c r="F60" s="3" t="s">
        <v>178</v>
      </c>
      <c r="G60" s="52">
        <v>9006121181</v>
      </c>
      <c r="H60" s="212" t="s">
        <v>61</v>
      </c>
      <c r="I60" s="213"/>
      <c r="J60" s="212" t="s">
        <v>533</v>
      </c>
      <c r="K60" s="218"/>
      <c r="L60" s="218"/>
      <c r="M60" s="218"/>
      <c r="N60" s="218"/>
      <c r="O60" s="218"/>
      <c r="P60" s="218"/>
      <c r="Q60" s="218"/>
      <c r="R60" s="213"/>
      <c r="S60" s="169" t="s">
        <v>533</v>
      </c>
      <c r="T60" s="170"/>
      <c r="U60" s="170"/>
      <c r="V60" s="170"/>
      <c r="W60" s="170"/>
      <c r="X60" s="170"/>
      <c r="Y60" s="171"/>
      <c r="Z60" s="169" t="s">
        <v>533</v>
      </c>
      <c r="AA60" s="170"/>
      <c r="AB60" s="170"/>
      <c r="AC60" s="170"/>
      <c r="AD60" s="170"/>
      <c r="AE60" s="170"/>
      <c r="AF60" s="170"/>
      <c r="AG60" s="171"/>
      <c r="AH60" s="169" t="s">
        <v>533</v>
      </c>
      <c r="AI60" s="170"/>
      <c r="AJ60" s="170"/>
      <c r="AK60" s="170"/>
      <c r="AL60" s="170"/>
      <c r="AM60" s="170"/>
      <c r="AN60" s="170"/>
      <c r="AO60" s="170"/>
      <c r="AP60" s="171"/>
      <c r="AQ60" s="166" t="s">
        <v>510</v>
      </c>
      <c r="AR60" s="167"/>
      <c r="AS60" s="167"/>
      <c r="AT60" s="167"/>
      <c r="AU60" s="167"/>
      <c r="AV60" s="167"/>
      <c r="AW60" s="167"/>
      <c r="AX60" s="167"/>
      <c r="AY60" s="168"/>
      <c r="AZ60" s="169" t="s">
        <v>532</v>
      </c>
      <c r="BA60" s="170"/>
      <c r="BB60" s="170"/>
      <c r="BC60" s="170"/>
      <c r="BD60" s="170"/>
      <c r="BE60" s="170"/>
      <c r="BF60" s="170"/>
      <c r="BG60" s="170"/>
      <c r="BH60" s="171"/>
      <c r="BI60" s="166" t="s">
        <v>532</v>
      </c>
      <c r="BJ60" s="167"/>
      <c r="BK60" s="167"/>
      <c r="BL60" s="167"/>
      <c r="BM60" s="167"/>
      <c r="BN60" s="167"/>
      <c r="BO60" s="167"/>
      <c r="BP60" s="167"/>
      <c r="BQ60" s="168"/>
      <c r="BR60" s="14"/>
      <c r="BS60" s="14"/>
      <c r="BT60" s="14"/>
      <c r="BU60" s="14"/>
      <c r="BV60" s="14"/>
      <c r="BW60" s="14"/>
      <c r="BX60" s="14"/>
      <c r="BY60" s="14"/>
      <c r="BZ60" s="14"/>
      <c r="CA60" s="58"/>
      <c r="CB60" s="57"/>
      <c r="CC60" s="57"/>
      <c r="CD60" s="57"/>
      <c r="CE60" s="57"/>
      <c r="CF60" s="58"/>
      <c r="CG60" s="101"/>
      <c r="CH60" s="14"/>
      <c r="CI60" s="14"/>
      <c r="CJ60" s="166"/>
      <c r="CK60" s="167"/>
      <c r="CL60" s="167"/>
      <c r="CM60" s="167"/>
      <c r="CN60" s="167"/>
      <c r="CO60" s="167"/>
      <c r="CP60" s="167"/>
      <c r="CQ60" s="167"/>
      <c r="CR60" s="168"/>
      <c r="CS60" s="166"/>
      <c r="CT60" s="167"/>
      <c r="CU60" s="167"/>
      <c r="CV60" s="167"/>
      <c r="CW60" s="167"/>
      <c r="CX60" s="167"/>
      <c r="CY60" s="167"/>
      <c r="CZ60" s="167"/>
      <c r="DA60" s="168"/>
      <c r="DB60" s="58"/>
      <c r="DC60" s="57"/>
      <c r="DD60" s="57"/>
      <c r="DE60" s="57"/>
      <c r="DF60" s="57"/>
      <c r="DG60" s="58"/>
      <c r="DH60" s="101"/>
      <c r="DI60" s="14"/>
      <c r="DJ60" s="14"/>
    </row>
    <row r="61" spans="1:114" hidden="1" x14ac:dyDescent="0.35">
      <c r="A61" s="1" t="s">
        <v>219</v>
      </c>
      <c r="B61" s="14" t="s">
        <v>220</v>
      </c>
      <c r="C61" s="14" t="s">
        <v>158</v>
      </c>
      <c r="D61" s="2">
        <v>8968</v>
      </c>
      <c r="E61" s="3">
        <v>231459</v>
      </c>
      <c r="F61" s="3" t="s">
        <v>178</v>
      </c>
      <c r="G61" s="52">
        <v>9006121181</v>
      </c>
      <c r="H61" s="57">
        <v>3617422</v>
      </c>
      <c r="I61" s="57">
        <v>4281175</v>
      </c>
      <c r="J61" s="57"/>
      <c r="K61" s="57">
        <v>4281175</v>
      </c>
      <c r="L61" s="57">
        <v>0</v>
      </c>
      <c r="M61" s="57"/>
      <c r="N61" s="57"/>
      <c r="O61" s="58">
        <v>0</v>
      </c>
      <c r="P61" s="131">
        <v>44568</v>
      </c>
      <c r="Q61" s="14" t="s">
        <v>31</v>
      </c>
      <c r="R61" s="20"/>
      <c r="S61" s="57">
        <v>4607401</v>
      </c>
      <c r="T61" s="8">
        <f>K61-S61</f>
        <v>-326226</v>
      </c>
      <c r="U61" s="57">
        <v>85624</v>
      </c>
      <c r="V61" s="58">
        <f>T61/K61</f>
        <v>-7.6200108615041437E-2</v>
      </c>
      <c r="W61" s="131">
        <v>44601</v>
      </c>
      <c r="X61" s="14" t="s">
        <v>31</v>
      </c>
      <c r="Y61" s="20"/>
      <c r="Z61" s="67"/>
      <c r="AA61" s="57">
        <v>4521777</v>
      </c>
      <c r="AB61" s="57">
        <f>S61-AA61</f>
        <v>85624</v>
      </c>
      <c r="AC61" s="14"/>
      <c r="AD61" s="58">
        <f>AB61/S61</f>
        <v>1.8584012982590402E-2</v>
      </c>
      <c r="AE61" s="131">
        <v>44617</v>
      </c>
      <c r="AF61" s="14" t="s">
        <v>31</v>
      </c>
      <c r="AG61" s="20"/>
      <c r="AH61" s="58"/>
      <c r="AI61" s="57">
        <v>4521777</v>
      </c>
      <c r="AJ61" s="57">
        <f t="shared" ref="AJ61:AJ66" si="3">AA61-AI61</f>
        <v>0</v>
      </c>
      <c r="AK61" s="57"/>
      <c r="AL61" s="57"/>
      <c r="AM61" s="58">
        <v>0</v>
      </c>
      <c r="AN61" s="131">
        <v>44645</v>
      </c>
      <c r="AO61" s="14" t="s">
        <v>31</v>
      </c>
      <c r="AP61" s="14"/>
      <c r="AQ61" s="58"/>
      <c r="AR61" s="57">
        <v>4521777</v>
      </c>
      <c r="AS61" s="57">
        <f>AI61-AR61</f>
        <v>0</v>
      </c>
      <c r="AT61" s="57"/>
      <c r="AU61" s="57"/>
      <c r="AV61" s="58">
        <v>0</v>
      </c>
      <c r="AW61" s="101">
        <v>44676</v>
      </c>
      <c r="AX61" s="14" t="s">
        <v>31</v>
      </c>
      <c r="AY61" s="14"/>
      <c r="AZ61" s="58"/>
      <c r="BA61" s="57">
        <v>3617422</v>
      </c>
      <c r="BB61" s="57">
        <f>AR61-BA61</f>
        <v>904355</v>
      </c>
      <c r="BC61" s="57"/>
      <c r="BD61" s="57"/>
      <c r="BE61" s="58">
        <f>BB61/BA61</f>
        <v>0.24999986178001904</v>
      </c>
      <c r="BF61" s="101">
        <v>44707</v>
      </c>
      <c r="BG61" s="14" t="s">
        <v>31</v>
      </c>
      <c r="BH61" s="101">
        <v>44722</v>
      </c>
      <c r="BI61" s="58"/>
      <c r="BJ61" s="57">
        <v>3617422</v>
      </c>
      <c r="BK61" s="57">
        <f>BA61-BJ61</f>
        <v>0</v>
      </c>
      <c r="BL61" s="57"/>
      <c r="BM61" s="57"/>
      <c r="BN61" s="58">
        <v>0</v>
      </c>
      <c r="BO61" s="101">
        <v>44740</v>
      </c>
      <c r="BP61" s="14" t="s">
        <v>31</v>
      </c>
      <c r="BQ61" s="101">
        <v>44757</v>
      </c>
      <c r="BR61" s="58"/>
      <c r="BS61" s="57">
        <v>3617422</v>
      </c>
      <c r="BT61" s="57">
        <f>BJ61-BS61</f>
        <v>0</v>
      </c>
      <c r="BU61" s="57"/>
      <c r="BV61" s="57"/>
      <c r="BW61" s="58">
        <v>0</v>
      </c>
      <c r="BX61" s="101">
        <v>44770</v>
      </c>
      <c r="BY61" s="14" t="s">
        <v>31</v>
      </c>
      <c r="BZ61" s="14"/>
      <c r="CA61" s="58"/>
      <c r="CB61" s="57"/>
      <c r="CC61" s="57"/>
      <c r="CD61" s="57"/>
      <c r="CE61" s="57"/>
      <c r="CF61" s="58"/>
      <c r="CG61" s="101"/>
      <c r="CH61" s="14"/>
      <c r="CI61" s="14"/>
      <c r="CJ61" s="58"/>
      <c r="CK61" s="57"/>
      <c r="CL61" s="57"/>
      <c r="CM61" s="57"/>
      <c r="CN61" s="57"/>
      <c r="CO61" s="58"/>
      <c r="CP61" s="101"/>
      <c r="CQ61" s="14"/>
      <c r="CR61" s="14"/>
      <c r="CS61" s="58"/>
      <c r="CT61" s="57"/>
      <c r="CU61" s="57"/>
      <c r="CV61" s="57"/>
      <c r="CW61" s="57"/>
      <c r="CX61" s="58"/>
      <c r="CY61" s="101"/>
      <c r="CZ61" s="14"/>
      <c r="DA61" s="86"/>
      <c r="DB61" s="58"/>
      <c r="DC61" s="57"/>
      <c r="DD61" s="57"/>
      <c r="DE61" s="57"/>
      <c r="DF61" s="57"/>
      <c r="DG61" s="58"/>
      <c r="DH61" s="101"/>
      <c r="DI61" s="14"/>
      <c r="DJ61" s="14"/>
    </row>
    <row r="62" spans="1:114" hidden="1" x14ac:dyDescent="0.35">
      <c r="A62" s="1" t="s">
        <v>221</v>
      </c>
      <c r="B62" s="14" t="s">
        <v>222</v>
      </c>
      <c r="C62" s="14" t="s">
        <v>29</v>
      </c>
      <c r="D62" s="2">
        <v>6572</v>
      </c>
      <c r="E62" s="3">
        <v>204609</v>
      </c>
      <c r="F62" s="3" t="s">
        <v>223</v>
      </c>
      <c r="G62" s="52">
        <v>9001641085</v>
      </c>
      <c r="H62" s="39">
        <v>10541138</v>
      </c>
      <c r="I62" s="39">
        <v>12903679</v>
      </c>
      <c r="J62" s="39"/>
      <c r="K62" s="39">
        <v>12903679</v>
      </c>
      <c r="L62" s="39">
        <f t="shared" ref="L62:L65" si="4">H62-K62</f>
        <v>-2362541</v>
      </c>
      <c r="M62" s="39"/>
      <c r="N62" s="39"/>
      <c r="O62" s="9">
        <f>L62/H62</f>
        <v>-0.22412580121804684</v>
      </c>
      <c r="P62" s="101">
        <v>44566</v>
      </c>
      <c r="Q62" s="14" t="s">
        <v>31</v>
      </c>
      <c r="R62" s="20"/>
      <c r="S62" s="39">
        <v>12903679</v>
      </c>
      <c r="T62" s="8">
        <f>K62-S62</f>
        <v>0</v>
      </c>
      <c r="U62" s="14"/>
      <c r="V62" s="9">
        <v>0</v>
      </c>
      <c r="W62" s="102">
        <v>44593</v>
      </c>
      <c r="X62" s="14" t="s">
        <v>31</v>
      </c>
      <c r="Y62" s="20"/>
      <c r="Z62" s="14"/>
      <c r="AA62" s="57">
        <v>12903679</v>
      </c>
      <c r="AB62" s="57">
        <f>S62-AA62</f>
        <v>0</v>
      </c>
      <c r="AC62" s="14"/>
      <c r="AD62" s="58">
        <v>0</v>
      </c>
      <c r="AE62" s="101">
        <v>44624</v>
      </c>
      <c r="AF62" s="14" t="s">
        <v>31</v>
      </c>
      <c r="AG62" s="20"/>
      <c r="AH62" s="9"/>
      <c r="AI62" s="39">
        <v>12903679</v>
      </c>
      <c r="AJ62" s="39">
        <f t="shared" si="3"/>
        <v>0</v>
      </c>
      <c r="AK62" s="39"/>
      <c r="AL62" s="39"/>
      <c r="AM62" s="9">
        <v>0</v>
      </c>
      <c r="AN62" s="101">
        <v>44655</v>
      </c>
      <c r="AO62" s="14" t="s">
        <v>31</v>
      </c>
      <c r="AP62" s="14"/>
      <c r="AQ62" s="58"/>
      <c r="AR62" s="39">
        <v>12903679</v>
      </c>
      <c r="AS62" s="39">
        <f>AI62-AR62</f>
        <v>0</v>
      </c>
      <c r="AT62" s="39"/>
      <c r="AU62" s="39"/>
      <c r="AV62" s="9">
        <v>0</v>
      </c>
      <c r="AW62" s="101">
        <v>44683</v>
      </c>
      <c r="AX62" s="14" t="s">
        <v>31</v>
      </c>
      <c r="AY62" s="14"/>
      <c r="AZ62" s="9"/>
      <c r="BA62" s="39">
        <v>12903679</v>
      </c>
      <c r="BB62" s="39">
        <f>AR62-BA62</f>
        <v>0</v>
      </c>
      <c r="BC62" s="39"/>
      <c r="BD62" s="39">
        <v>2811423</v>
      </c>
      <c r="BE62" s="9">
        <v>0</v>
      </c>
      <c r="BF62" s="101">
        <v>44713</v>
      </c>
      <c r="BG62" s="14" t="s">
        <v>31</v>
      </c>
      <c r="BH62" s="101">
        <v>44728</v>
      </c>
      <c r="BI62" s="9"/>
      <c r="BJ62" s="39">
        <v>10541138</v>
      </c>
      <c r="BK62" s="39">
        <f>BA62-BJ62</f>
        <v>2362541</v>
      </c>
      <c r="BL62" s="39"/>
      <c r="BM62" s="39"/>
      <c r="BN62" s="9">
        <f>BK62/BA62</f>
        <v>0.18309049690402249</v>
      </c>
      <c r="BO62" s="101">
        <v>44747</v>
      </c>
      <c r="BP62" s="14" t="s">
        <v>31</v>
      </c>
      <c r="BQ62" s="101">
        <v>44757</v>
      </c>
      <c r="BR62" s="9"/>
      <c r="BS62" s="39">
        <v>10541138</v>
      </c>
      <c r="BT62" s="39">
        <f>BJ62-BS62</f>
        <v>0</v>
      </c>
      <c r="BU62" s="39"/>
      <c r="BV62" s="39"/>
      <c r="BW62" s="9">
        <v>0</v>
      </c>
      <c r="BX62" s="101">
        <v>44775</v>
      </c>
      <c r="BY62" s="14" t="s">
        <v>31</v>
      </c>
      <c r="BZ62" s="14"/>
      <c r="CA62" s="9"/>
      <c r="CB62" s="39"/>
      <c r="CC62" s="39"/>
      <c r="CD62" s="39"/>
      <c r="CE62" s="39"/>
      <c r="CF62" s="9"/>
      <c r="CG62" s="101"/>
      <c r="CH62" s="14"/>
      <c r="CI62" s="14"/>
      <c r="CJ62" s="9"/>
      <c r="CK62" s="39"/>
      <c r="CL62" s="39"/>
      <c r="CM62" s="39"/>
      <c r="CN62" s="39"/>
      <c r="CO62" s="9"/>
      <c r="CP62" s="101"/>
      <c r="CQ62" s="14"/>
      <c r="CR62" s="14"/>
      <c r="CS62" s="9"/>
      <c r="CT62" s="39"/>
      <c r="CU62" s="39"/>
      <c r="CV62" s="39"/>
      <c r="CW62" s="39"/>
      <c r="CX62" s="9"/>
      <c r="CY62" s="101"/>
      <c r="CZ62" s="14"/>
      <c r="DA62" s="86"/>
      <c r="DB62" s="9"/>
      <c r="DC62" s="39"/>
      <c r="DD62" s="39"/>
      <c r="DE62" s="39"/>
      <c r="DF62" s="39"/>
      <c r="DG62" s="9"/>
      <c r="DH62" s="101"/>
      <c r="DI62" s="14"/>
      <c r="DJ62" s="14"/>
    </row>
    <row r="63" spans="1:114" hidden="1" x14ac:dyDescent="0.35">
      <c r="A63" s="1" t="s">
        <v>224</v>
      </c>
      <c r="B63" s="14" t="s">
        <v>225</v>
      </c>
      <c r="C63" s="14" t="s">
        <v>226</v>
      </c>
      <c r="D63" s="2">
        <v>8969</v>
      </c>
      <c r="E63" s="3">
        <v>231458</v>
      </c>
      <c r="F63" s="3" t="s">
        <v>178</v>
      </c>
      <c r="G63" s="52">
        <v>9006121181</v>
      </c>
      <c r="H63" s="57">
        <v>6750367</v>
      </c>
      <c r="I63" s="57">
        <v>6727561</v>
      </c>
      <c r="J63" s="57"/>
      <c r="K63" s="57">
        <v>6727561</v>
      </c>
      <c r="L63" s="57">
        <v>0</v>
      </c>
      <c r="M63" s="57"/>
      <c r="N63" s="57"/>
      <c r="O63" s="58">
        <v>0</v>
      </c>
      <c r="P63" s="131">
        <v>44568</v>
      </c>
      <c r="Q63" s="14" t="s">
        <v>31</v>
      </c>
      <c r="R63" s="20"/>
      <c r="S63" s="57">
        <v>7240201</v>
      </c>
      <c r="T63" s="8">
        <f>K63-S63</f>
        <v>-512640</v>
      </c>
      <c r="U63" s="57">
        <v>134551</v>
      </c>
      <c r="V63" s="58">
        <f>T63/K63</f>
        <v>-7.6199977971214236E-2</v>
      </c>
      <c r="W63" s="131">
        <v>44601</v>
      </c>
      <c r="X63" s="14" t="s">
        <v>31</v>
      </c>
      <c r="Y63" s="20"/>
      <c r="Z63" s="67"/>
      <c r="AA63" s="57">
        <v>7105650</v>
      </c>
      <c r="AB63" s="57">
        <f>S63-AA63</f>
        <v>134551</v>
      </c>
      <c r="AC63" s="14"/>
      <c r="AD63" s="58">
        <f>AB63/S63</f>
        <v>1.8583876331610131E-2</v>
      </c>
      <c r="AE63" s="131">
        <v>44617</v>
      </c>
      <c r="AF63" s="14" t="s">
        <v>31</v>
      </c>
      <c r="AG63" s="20"/>
      <c r="AH63" s="58"/>
      <c r="AI63" s="57">
        <v>7105650</v>
      </c>
      <c r="AJ63" s="57">
        <f t="shared" si="3"/>
        <v>0</v>
      </c>
      <c r="AK63" s="57"/>
      <c r="AL63" s="57"/>
      <c r="AM63" s="58">
        <v>0</v>
      </c>
      <c r="AN63" s="131">
        <v>44645</v>
      </c>
      <c r="AO63" s="14" t="s">
        <v>31</v>
      </c>
      <c r="AP63" s="14"/>
      <c r="AQ63" s="58"/>
      <c r="AR63" s="57">
        <v>7105650</v>
      </c>
      <c r="AS63" s="57">
        <f>AI63-AR63</f>
        <v>0</v>
      </c>
      <c r="AT63" s="57"/>
      <c r="AU63" s="57"/>
      <c r="AV63" s="58">
        <v>0</v>
      </c>
      <c r="AW63" s="101">
        <v>44676</v>
      </c>
      <c r="AX63" s="14" t="s">
        <v>31</v>
      </c>
      <c r="AY63" s="14"/>
      <c r="AZ63" s="58"/>
      <c r="BA63" s="57">
        <v>6750367</v>
      </c>
      <c r="BB63" s="57">
        <f>AR63-BA63</f>
        <v>355283</v>
      </c>
      <c r="BC63" s="57"/>
      <c r="BD63" s="57"/>
      <c r="BE63" s="58">
        <f>BB63/AR63</f>
        <v>5.0000070366539306E-2</v>
      </c>
      <c r="BF63" s="101">
        <v>44712</v>
      </c>
      <c r="BG63" s="14" t="s">
        <v>31</v>
      </c>
      <c r="BH63" s="101">
        <v>44736</v>
      </c>
      <c r="BI63" s="58"/>
      <c r="BJ63" s="57">
        <v>6750367</v>
      </c>
      <c r="BK63" s="57">
        <f>BA63-BJ63</f>
        <v>0</v>
      </c>
      <c r="BL63" s="57"/>
      <c r="BM63" s="57"/>
      <c r="BN63" s="58">
        <v>0</v>
      </c>
      <c r="BO63" s="101">
        <v>44740</v>
      </c>
      <c r="BP63" s="14" t="s">
        <v>31</v>
      </c>
      <c r="BQ63" s="101">
        <v>44757</v>
      </c>
      <c r="BR63" s="58"/>
      <c r="BS63" s="57">
        <v>6750367</v>
      </c>
      <c r="BT63" s="57">
        <f>BJ63-BS63</f>
        <v>0</v>
      </c>
      <c r="BU63" s="57"/>
      <c r="BV63" s="57"/>
      <c r="BW63" s="58">
        <v>0</v>
      </c>
      <c r="BX63" s="101">
        <v>44771</v>
      </c>
      <c r="BY63" s="14" t="s">
        <v>31</v>
      </c>
      <c r="BZ63" s="14"/>
      <c r="CA63" s="58"/>
      <c r="CB63" s="57"/>
      <c r="CC63" s="57"/>
      <c r="CD63" s="57"/>
      <c r="CE63" s="57"/>
      <c r="CF63" s="58"/>
      <c r="CG63" s="101"/>
      <c r="CH63" s="14"/>
      <c r="CI63" s="14"/>
      <c r="CJ63" s="58"/>
      <c r="CK63" s="57"/>
      <c r="CL63" s="57"/>
      <c r="CM63" s="57"/>
      <c r="CN63" s="57"/>
      <c r="CO63" s="58"/>
      <c r="CP63" s="101"/>
      <c r="CQ63" s="14"/>
      <c r="CR63" s="14"/>
      <c r="CS63" s="58"/>
      <c r="CT63" s="57"/>
      <c r="CU63" s="57"/>
      <c r="CV63" s="57"/>
      <c r="CW63" s="57"/>
      <c r="CX63" s="58"/>
      <c r="CY63" s="101"/>
      <c r="CZ63" s="14"/>
      <c r="DA63" s="86"/>
      <c r="DB63" s="58"/>
      <c r="DC63" s="57"/>
      <c r="DD63" s="57"/>
      <c r="DE63" s="57"/>
      <c r="DF63" s="57"/>
      <c r="DG63" s="58"/>
      <c r="DH63" s="101"/>
      <c r="DI63" s="14"/>
      <c r="DJ63" s="14"/>
    </row>
    <row r="64" spans="1:114" x14ac:dyDescent="0.35">
      <c r="A64" s="1" t="s">
        <v>227</v>
      </c>
      <c r="B64" s="14" t="s">
        <v>228</v>
      </c>
      <c r="C64" s="14" t="s">
        <v>60</v>
      </c>
      <c r="D64" s="2">
        <v>9072</v>
      </c>
      <c r="E64" s="3">
        <v>231460</v>
      </c>
      <c r="F64" s="3" t="s">
        <v>178</v>
      </c>
      <c r="G64" s="52">
        <v>9006121181</v>
      </c>
      <c r="H64" s="57">
        <v>11855652</v>
      </c>
      <c r="I64" s="57">
        <v>11224817</v>
      </c>
      <c r="J64" s="57"/>
      <c r="K64" s="57">
        <v>11224817</v>
      </c>
      <c r="L64" s="57">
        <f>I64-K64</f>
        <v>0</v>
      </c>
      <c r="M64" s="57"/>
      <c r="N64" s="57"/>
      <c r="O64" s="58">
        <v>0</v>
      </c>
      <c r="P64" s="131">
        <v>44568</v>
      </c>
      <c r="Q64" s="14" t="s">
        <v>31</v>
      </c>
      <c r="R64" s="20"/>
      <c r="S64" s="57">
        <v>11224817</v>
      </c>
      <c r="T64" s="8">
        <f>K64-S64</f>
        <v>0</v>
      </c>
      <c r="U64" s="14"/>
      <c r="V64" s="58">
        <v>0</v>
      </c>
      <c r="W64" s="131">
        <v>44588</v>
      </c>
      <c r="X64" s="14" t="s">
        <v>31</v>
      </c>
      <c r="Y64" s="20"/>
      <c r="Z64" s="67"/>
      <c r="AA64" s="57">
        <v>11224817</v>
      </c>
      <c r="AB64" s="57">
        <f>S64-AA64</f>
        <v>0</v>
      </c>
      <c r="AC64" s="14"/>
      <c r="AD64" s="58">
        <v>0</v>
      </c>
      <c r="AE64" s="131">
        <v>44617</v>
      </c>
      <c r="AF64" s="14" t="s">
        <v>31</v>
      </c>
      <c r="AG64" s="20"/>
      <c r="AH64" s="14"/>
      <c r="AI64" s="57">
        <v>11224817</v>
      </c>
      <c r="AJ64" s="57">
        <f t="shared" si="3"/>
        <v>0</v>
      </c>
      <c r="AK64" s="57"/>
      <c r="AL64" s="57"/>
      <c r="AM64" s="58">
        <v>0</v>
      </c>
      <c r="AN64" s="131">
        <v>44645</v>
      </c>
      <c r="AO64" s="14" t="s">
        <v>31</v>
      </c>
      <c r="AP64" s="14"/>
      <c r="AQ64" s="58"/>
      <c r="AR64" s="57">
        <v>11224817</v>
      </c>
      <c r="AS64" s="57">
        <f>AI64-AR64</f>
        <v>0</v>
      </c>
      <c r="AT64" s="57"/>
      <c r="AU64" s="57"/>
      <c r="AV64" s="58">
        <v>0</v>
      </c>
      <c r="AW64" s="101">
        <v>44676</v>
      </c>
      <c r="AX64" s="14" t="s">
        <v>31</v>
      </c>
      <c r="AY64" s="14"/>
      <c r="AZ64" s="58"/>
      <c r="BA64" s="57">
        <v>11561262</v>
      </c>
      <c r="BB64" s="57"/>
      <c r="BC64" s="57">
        <f>AR64-BA64</f>
        <v>-336445</v>
      </c>
      <c r="BD64" s="57"/>
      <c r="BE64" s="58">
        <f>BC64/AR64</f>
        <v>-2.9973317159647236E-2</v>
      </c>
      <c r="BF64" s="101">
        <v>44712</v>
      </c>
      <c r="BG64" s="14" t="s">
        <v>31</v>
      </c>
      <c r="BH64" s="101">
        <v>44736</v>
      </c>
      <c r="BI64" s="58"/>
      <c r="BJ64" s="57">
        <v>11855652</v>
      </c>
      <c r="BK64" s="57">
        <f>BA64-BJ64</f>
        <v>-294390</v>
      </c>
      <c r="BL64" s="57"/>
      <c r="BM64" s="57"/>
      <c r="BN64" s="58">
        <f>BK64/BA64</f>
        <v>-2.5463483138778449E-2</v>
      </c>
      <c r="BO64" s="101">
        <v>44740</v>
      </c>
      <c r="BP64" s="14" t="s">
        <v>31</v>
      </c>
      <c r="BQ64" s="101">
        <v>44757</v>
      </c>
      <c r="BR64" s="58"/>
      <c r="BS64" s="57">
        <v>11855652</v>
      </c>
      <c r="BT64" s="57">
        <f>BJ64-BS64</f>
        <v>0</v>
      </c>
      <c r="BU64" s="57"/>
      <c r="BV64" s="57"/>
      <c r="BW64" s="58">
        <v>0</v>
      </c>
      <c r="BX64" s="101">
        <v>44771</v>
      </c>
      <c r="BY64" s="14" t="s">
        <v>31</v>
      </c>
      <c r="BZ64" s="14"/>
      <c r="CA64" s="58"/>
      <c r="CB64" s="57"/>
      <c r="CC64" s="57"/>
      <c r="CD64" s="57"/>
      <c r="CE64" s="57"/>
      <c r="CF64" s="58"/>
      <c r="CG64" s="101"/>
      <c r="CH64" s="14"/>
      <c r="CI64" s="14"/>
      <c r="CJ64" s="58"/>
      <c r="CK64" s="57"/>
      <c r="CL64" s="57"/>
      <c r="CM64" s="57"/>
      <c r="CN64" s="57"/>
      <c r="CO64" s="58"/>
      <c r="CP64" s="101"/>
      <c r="CQ64" s="14"/>
      <c r="CR64" s="14"/>
      <c r="CS64" s="58"/>
      <c r="CT64" s="57"/>
      <c r="CU64" s="57"/>
      <c r="CV64" s="57"/>
      <c r="CW64" s="57"/>
      <c r="CX64" s="58"/>
      <c r="CY64" s="101"/>
      <c r="CZ64" s="14"/>
      <c r="DA64" s="86"/>
      <c r="DB64" s="58"/>
      <c r="DC64" s="57"/>
      <c r="DD64" s="57"/>
      <c r="DE64" s="57"/>
      <c r="DF64" s="57"/>
      <c r="DG64" s="58"/>
      <c r="DH64" s="101"/>
      <c r="DI64" s="14"/>
      <c r="DJ64" s="14"/>
    </row>
    <row r="65" spans="1:114" hidden="1" x14ac:dyDescent="0.35">
      <c r="A65" s="1" t="s">
        <v>229</v>
      </c>
      <c r="B65" s="14" t="s">
        <v>230</v>
      </c>
      <c r="C65" s="14" t="s">
        <v>113</v>
      </c>
      <c r="D65" s="2">
        <v>9096</v>
      </c>
      <c r="E65" s="3">
        <v>254027</v>
      </c>
      <c r="F65" s="3" t="s">
        <v>231</v>
      </c>
      <c r="G65" s="52">
        <v>98543118</v>
      </c>
      <c r="H65" s="39">
        <v>5893572</v>
      </c>
      <c r="I65" s="39">
        <v>6141714</v>
      </c>
      <c r="J65" s="39"/>
      <c r="K65" s="39">
        <v>5020554</v>
      </c>
      <c r="L65" s="39">
        <f t="shared" si="4"/>
        <v>873018</v>
      </c>
      <c r="M65" s="39"/>
      <c r="N65" s="39"/>
      <c r="O65" s="9">
        <f>L65/H65</f>
        <v>0.14813053950982527</v>
      </c>
      <c r="P65" s="101">
        <v>44566</v>
      </c>
      <c r="Q65" s="14" t="s">
        <v>31</v>
      </c>
      <c r="R65" s="20"/>
      <c r="S65" s="39">
        <v>5020554</v>
      </c>
      <c r="T65" s="8">
        <f>K65-S65</f>
        <v>0</v>
      </c>
      <c r="U65" s="14"/>
      <c r="V65" s="9">
        <f>T65/I65</f>
        <v>0</v>
      </c>
      <c r="W65" s="101">
        <v>44595</v>
      </c>
      <c r="X65" s="14" t="s">
        <v>31</v>
      </c>
      <c r="Y65" s="20"/>
      <c r="Z65" s="14"/>
      <c r="AA65" s="57">
        <v>5578393</v>
      </c>
      <c r="AB65" s="57">
        <f>S65-AA65</f>
        <v>-557839</v>
      </c>
      <c r="AC65" s="14"/>
      <c r="AD65" s="58">
        <f>AB65/S65</f>
        <v>-0.11111104471737582</v>
      </c>
      <c r="AE65" s="131">
        <v>44621</v>
      </c>
      <c r="AF65" s="14" t="s">
        <v>31</v>
      </c>
      <c r="AG65" s="20"/>
      <c r="AH65" s="14"/>
      <c r="AI65" s="39">
        <v>5578393</v>
      </c>
      <c r="AJ65" s="39">
        <f t="shared" si="3"/>
        <v>0</v>
      </c>
      <c r="AK65" s="39"/>
      <c r="AL65" s="39"/>
      <c r="AM65" s="9">
        <v>0</v>
      </c>
      <c r="AN65" s="101">
        <v>44656</v>
      </c>
      <c r="AO65" s="14" t="s">
        <v>31</v>
      </c>
      <c r="AP65" s="14"/>
      <c r="AQ65" s="58"/>
      <c r="AR65" s="39">
        <v>5578393</v>
      </c>
      <c r="AS65" s="39">
        <f>AI65-AR65</f>
        <v>0</v>
      </c>
      <c r="AT65" s="39"/>
      <c r="AU65" s="39"/>
      <c r="AV65" s="9">
        <v>0</v>
      </c>
      <c r="AW65" s="101">
        <v>44684</v>
      </c>
      <c r="AX65" s="14" t="s">
        <v>31</v>
      </c>
      <c r="AY65" s="14"/>
      <c r="AZ65" s="9"/>
      <c r="BA65" s="39">
        <v>5578393</v>
      </c>
      <c r="BB65" s="39">
        <f>AR65-BA65</f>
        <v>0</v>
      </c>
      <c r="BC65" s="39"/>
      <c r="BD65" s="39"/>
      <c r="BE65" s="9">
        <v>0</v>
      </c>
      <c r="BF65" s="101">
        <v>44715</v>
      </c>
      <c r="BG65" s="14" t="s">
        <v>31</v>
      </c>
      <c r="BH65" s="101">
        <v>44728</v>
      </c>
      <c r="BI65" s="9"/>
      <c r="BJ65" s="39">
        <v>5893572</v>
      </c>
      <c r="BK65" s="39"/>
      <c r="BL65" s="39">
        <f>BA65-BJ65</f>
        <v>-315179</v>
      </c>
      <c r="BM65" s="39"/>
      <c r="BN65" s="9">
        <f>BL65/BA65</f>
        <v>-5.6499963340696867E-2</v>
      </c>
      <c r="BO65" s="101">
        <v>44747</v>
      </c>
      <c r="BP65" s="14" t="s">
        <v>31</v>
      </c>
      <c r="BQ65" s="101">
        <v>44757</v>
      </c>
      <c r="BR65" s="9"/>
      <c r="BS65" s="39">
        <v>5893572</v>
      </c>
      <c r="BT65" s="39">
        <f>BJ65-BS65</f>
        <v>0</v>
      </c>
      <c r="BU65" s="39"/>
      <c r="BV65" s="39"/>
      <c r="BW65" s="9">
        <v>0</v>
      </c>
      <c r="BX65" s="101">
        <v>44777</v>
      </c>
      <c r="BY65" s="14" t="s">
        <v>31</v>
      </c>
      <c r="BZ65" s="14"/>
      <c r="CA65" s="9"/>
      <c r="CB65" s="39"/>
      <c r="CC65" s="39"/>
      <c r="CD65" s="39"/>
      <c r="CE65" s="39"/>
      <c r="CF65" s="9"/>
      <c r="CG65" s="101"/>
      <c r="CH65" s="14"/>
      <c r="CI65" s="14"/>
      <c r="CJ65" s="9"/>
      <c r="CK65" s="39"/>
      <c r="CL65" s="39"/>
      <c r="CM65" s="39"/>
      <c r="CN65" s="39"/>
      <c r="CO65" s="9"/>
      <c r="CP65" s="101"/>
      <c r="CQ65" s="14"/>
      <c r="CR65" s="14"/>
      <c r="CS65" s="9"/>
      <c r="CT65" s="39"/>
      <c r="CU65" s="39"/>
      <c r="CV65" s="39"/>
      <c r="CW65" s="39"/>
      <c r="CX65" s="9"/>
      <c r="CY65" s="101"/>
      <c r="CZ65" s="14"/>
      <c r="DA65" s="86"/>
      <c r="DB65" s="9"/>
      <c r="DC65" s="39"/>
      <c r="DD65" s="39"/>
      <c r="DE65" s="39"/>
      <c r="DF65" s="39"/>
      <c r="DG65" s="9"/>
      <c r="DH65" s="101"/>
      <c r="DI65" s="14"/>
      <c r="DJ65" s="14"/>
    </row>
    <row r="66" spans="1:114" hidden="1" x14ac:dyDescent="0.35">
      <c r="A66" s="1" t="s">
        <v>232</v>
      </c>
      <c r="B66" s="14" t="s">
        <v>233</v>
      </c>
      <c r="C66" s="14" t="s">
        <v>113</v>
      </c>
      <c r="D66" s="2">
        <v>9100</v>
      </c>
      <c r="E66" s="3">
        <v>210438</v>
      </c>
      <c r="F66" s="3" t="s">
        <v>234</v>
      </c>
      <c r="G66" s="52" t="s">
        <v>235</v>
      </c>
      <c r="H66" s="39">
        <v>20758902</v>
      </c>
      <c r="I66" s="39">
        <v>19654329</v>
      </c>
      <c r="J66" s="39"/>
      <c r="K66" s="57">
        <f>19654329+438780</f>
        <v>20093109</v>
      </c>
      <c r="L66" s="39"/>
      <c r="M66" s="39">
        <f>K66-I66</f>
        <v>438780</v>
      </c>
      <c r="N66" s="39"/>
      <c r="O66" s="9">
        <f>L66/I66</f>
        <v>0</v>
      </c>
      <c r="P66" s="102">
        <v>44769</v>
      </c>
      <c r="Q66" s="14" t="s">
        <v>31</v>
      </c>
      <c r="R66" s="20"/>
      <c r="S66" s="39">
        <f>19654329+412906</f>
        <v>20067235</v>
      </c>
      <c r="T66" s="8">
        <f>I66-S66</f>
        <v>-412906</v>
      </c>
      <c r="U66" s="14"/>
      <c r="V66" s="9">
        <v>0</v>
      </c>
      <c r="W66" s="101">
        <v>44613</v>
      </c>
      <c r="X66" s="14" t="s">
        <v>31</v>
      </c>
      <c r="Y66" s="20"/>
      <c r="Z66" s="14"/>
      <c r="AA66" s="57">
        <v>19654329</v>
      </c>
      <c r="AB66" s="57">
        <f>I66-AA66</f>
        <v>0</v>
      </c>
      <c r="AC66" s="14"/>
      <c r="AD66" s="58">
        <v>0</v>
      </c>
      <c r="AE66" s="131">
        <v>44622</v>
      </c>
      <c r="AF66" s="14" t="s">
        <v>31</v>
      </c>
      <c r="AG66" s="20"/>
      <c r="AH66" s="14"/>
      <c r="AI66" s="39">
        <f>19654329+940008</f>
        <v>20594337</v>
      </c>
      <c r="AJ66" s="39">
        <f t="shared" si="3"/>
        <v>-940008</v>
      </c>
      <c r="AK66" s="39"/>
      <c r="AL66" s="39"/>
      <c r="AM66" s="9">
        <v>0</v>
      </c>
      <c r="AN66" s="102">
        <v>44683</v>
      </c>
      <c r="AO66" s="14" t="s">
        <v>31</v>
      </c>
      <c r="AP66" s="14"/>
      <c r="AQ66" s="58"/>
      <c r="AR66" s="39">
        <f>19654329+412906</f>
        <v>20067235</v>
      </c>
      <c r="AS66" s="39">
        <f>AA66-AR66</f>
        <v>-412906</v>
      </c>
      <c r="AT66" s="39"/>
      <c r="AU66" s="39"/>
      <c r="AV66" s="9">
        <v>0</v>
      </c>
      <c r="AW66" s="101">
        <v>44707</v>
      </c>
      <c r="AX66" s="14" t="s">
        <v>31</v>
      </c>
      <c r="AY66" s="14"/>
      <c r="AZ66" s="9"/>
      <c r="BA66" s="39">
        <v>19654329</v>
      </c>
      <c r="BB66" s="39">
        <f>AA66-BA66</f>
        <v>0</v>
      </c>
      <c r="BC66" s="39"/>
      <c r="BD66" s="39"/>
      <c r="BE66" s="9">
        <v>0</v>
      </c>
      <c r="BF66" s="101">
        <v>44715</v>
      </c>
      <c r="BG66" s="14" t="s">
        <v>31</v>
      </c>
      <c r="BH66" s="101">
        <v>44728</v>
      </c>
      <c r="BI66" s="9"/>
      <c r="BJ66" s="39">
        <v>19654329</v>
      </c>
      <c r="BK66" s="39">
        <f>BA66-BJ66</f>
        <v>0</v>
      </c>
      <c r="BL66" s="39"/>
      <c r="BM66" s="39"/>
      <c r="BN66" s="9">
        <v>0</v>
      </c>
      <c r="BO66" s="101">
        <v>44747</v>
      </c>
      <c r="BP66" s="14" t="s">
        <v>31</v>
      </c>
      <c r="BQ66" s="101">
        <v>44757</v>
      </c>
      <c r="BR66" s="9"/>
      <c r="BS66" s="39">
        <v>20758902</v>
      </c>
      <c r="BT66" s="39"/>
      <c r="BU66" s="39">
        <f>BS66-BJ66</f>
        <v>1104573</v>
      </c>
      <c r="BV66" s="39"/>
      <c r="BW66" s="10">
        <f>BU66/BJ66</f>
        <v>5.6199985255156765E-2</v>
      </c>
      <c r="BX66" s="101">
        <v>44777</v>
      </c>
      <c r="BY66" s="14" t="s">
        <v>31</v>
      </c>
      <c r="BZ66" s="14"/>
      <c r="CA66" s="9"/>
      <c r="CB66" s="39"/>
      <c r="CC66" s="39"/>
      <c r="CD66" s="39"/>
      <c r="CE66" s="39"/>
      <c r="CF66" s="9"/>
      <c r="CG66" s="101"/>
      <c r="CH66" s="14"/>
      <c r="CI66" s="14"/>
      <c r="CJ66" s="9"/>
      <c r="CK66" s="39"/>
      <c r="CL66" s="39"/>
      <c r="CM66" s="39"/>
      <c r="CN66" s="39"/>
      <c r="CO66" s="9"/>
      <c r="CP66" s="101"/>
      <c r="CQ66" s="14"/>
      <c r="CR66" s="14"/>
      <c r="CS66" s="9"/>
      <c r="CT66" s="39"/>
      <c r="CU66" s="39"/>
      <c r="CV66" s="39"/>
      <c r="CW66" s="39"/>
      <c r="CX66" s="9"/>
      <c r="CY66" s="101"/>
      <c r="CZ66" s="14"/>
      <c r="DA66" s="86"/>
      <c r="DB66" s="9"/>
      <c r="DC66" s="39"/>
      <c r="DD66" s="39"/>
      <c r="DE66" s="39"/>
      <c r="DF66" s="39"/>
      <c r="DG66" s="9"/>
      <c r="DH66" s="101"/>
      <c r="DI66" s="14"/>
      <c r="DJ66" s="14"/>
    </row>
    <row r="67" spans="1:114" hidden="1" x14ac:dyDescent="0.35">
      <c r="A67" s="1" t="s">
        <v>237</v>
      </c>
      <c r="B67" s="14" t="s">
        <v>238</v>
      </c>
      <c r="C67" s="14" t="s">
        <v>174</v>
      </c>
      <c r="D67" s="2" t="s">
        <v>61</v>
      </c>
      <c r="E67" s="3">
        <v>204970</v>
      </c>
      <c r="F67" s="3" t="s">
        <v>239</v>
      </c>
      <c r="G67" s="52">
        <v>8301134776</v>
      </c>
      <c r="H67" s="11" t="s">
        <v>61</v>
      </c>
      <c r="I67" s="14"/>
      <c r="J67" s="209" t="s">
        <v>533</v>
      </c>
      <c r="K67" s="210"/>
      <c r="L67" s="210"/>
      <c r="M67" s="210"/>
      <c r="N67" s="210"/>
      <c r="O67" s="210"/>
      <c r="P67" s="210"/>
      <c r="Q67" s="210"/>
      <c r="R67" s="211"/>
      <c r="S67" s="172" t="s">
        <v>533</v>
      </c>
      <c r="T67" s="173"/>
      <c r="U67" s="173"/>
      <c r="V67" s="173"/>
      <c r="W67" s="173"/>
      <c r="X67" s="173"/>
      <c r="Y67" s="174"/>
      <c r="Z67" s="172" t="s">
        <v>533</v>
      </c>
      <c r="AA67" s="173"/>
      <c r="AB67" s="173"/>
      <c r="AC67" s="173"/>
      <c r="AD67" s="173"/>
      <c r="AE67" s="173"/>
      <c r="AF67" s="173"/>
      <c r="AG67" s="174"/>
      <c r="AH67" s="172" t="s">
        <v>533</v>
      </c>
      <c r="AI67" s="173"/>
      <c r="AJ67" s="173"/>
      <c r="AK67" s="173"/>
      <c r="AL67" s="173"/>
      <c r="AM67" s="173"/>
      <c r="AN67" s="173"/>
      <c r="AO67" s="173"/>
      <c r="AP67" s="174"/>
      <c r="AQ67" s="163" t="s">
        <v>510</v>
      </c>
      <c r="AR67" s="164"/>
      <c r="AS67" s="164"/>
      <c r="AT67" s="164"/>
      <c r="AU67" s="164"/>
      <c r="AV67" s="164"/>
      <c r="AW67" s="164"/>
      <c r="AX67" s="164"/>
      <c r="AY67" s="165"/>
      <c r="AZ67" s="172" t="s">
        <v>532</v>
      </c>
      <c r="BA67" s="173"/>
      <c r="BB67" s="173"/>
      <c r="BC67" s="173"/>
      <c r="BD67" s="173"/>
      <c r="BE67" s="173"/>
      <c r="BF67" s="173"/>
      <c r="BG67" s="173"/>
      <c r="BH67" s="174"/>
      <c r="BI67" s="163" t="s">
        <v>532</v>
      </c>
      <c r="BJ67" s="164"/>
      <c r="BK67" s="164"/>
      <c r="BL67" s="164"/>
      <c r="BM67" s="164"/>
      <c r="BN67" s="164"/>
      <c r="BO67" s="164"/>
      <c r="BP67" s="164"/>
      <c r="BQ67" s="165"/>
      <c r="BR67" s="14"/>
      <c r="BS67" s="14"/>
      <c r="BT67" s="14"/>
      <c r="BU67" s="14"/>
      <c r="BV67" s="14"/>
      <c r="BW67" s="14"/>
      <c r="BX67" s="14"/>
      <c r="BY67" s="14"/>
      <c r="BZ67" s="14"/>
      <c r="CA67" s="113"/>
      <c r="CB67" s="113"/>
      <c r="CC67" s="113"/>
      <c r="CD67" s="113"/>
      <c r="CE67" s="113"/>
      <c r="CF67" s="113"/>
      <c r="CG67" s="113"/>
      <c r="CH67" s="113"/>
      <c r="CI67" s="113"/>
      <c r="CJ67" s="113"/>
      <c r="CK67" s="113"/>
      <c r="CL67" s="113"/>
      <c r="CM67" s="113"/>
      <c r="CN67" s="113"/>
      <c r="CO67" s="113"/>
      <c r="CP67" s="113"/>
      <c r="CQ67" s="113"/>
      <c r="CR67" s="113"/>
      <c r="CS67" s="113"/>
      <c r="CT67" s="113"/>
      <c r="CU67" s="113"/>
      <c r="CV67" s="113"/>
      <c r="CW67" s="113"/>
      <c r="CX67" s="113"/>
      <c r="CY67" s="113"/>
      <c r="CZ67" s="113"/>
      <c r="DA67" s="113"/>
      <c r="DB67" s="58"/>
      <c r="DC67" s="57"/>
      <c r="DD67" s="57"/>
      <c r="DE67" s="57"/>
      <c r="DF67" s="57"/>
      <c r="DG67" s="58"/>
      <c r="DH67" s="101"/>
      <c r="DI67" s="14"/>
      <c r="DJ67" s="14"/>
    </row>
    <row r="68" spans="1:114" hidden="1" x14ac:dyDescent="0.35">
      <c r="A68" s="1" t="s">
        <v>237</v>
      </c>
      <c r="B68" s="14" t="s">
        <v>238</v>
      </c>
      <c r="C68" s="14" t="s">
        <v>174</v>
      </c>
      <c r="D68" s="2">
        <v>9101</v>
      </c>
      <c r="E68" s="3">
        <v>204970</v>
      </c>
      <c r="F68" s="3" t="s">
        <v>239</v>
      </c>
      <c r="G68" s="52">
        <v>8301134776</v>
      </c>
      <c r="H68" s="39">
        <v>12492913</v>
      </c>
      <c r="I68" s="39">
        <v>11288437</v>
      </c>
      <c r="J68" s="39"/>
      <c r="K68" s="39">
        <v>11288437</v>
      </c>
      <c r="L68" s="39">
        <f>I68-K68</f>
        <v>0</v>
      </c>
      <c r="M68" s="39"/>
      <c r="N68" s="39"/>
      <c r="O68" s="9">
        <v>0</v>
      </c>
      <c r="P68" s="102">
        <v>44564</v>
      </c>
      <c r="Q68" s="3" t="s">
        <v>31</v>
      </c>
      <c r="R68" s="20"/>
      <c r="S68" s="39">
        <v>11288437</v>
      </c>
      <c r="T68" s="8">
        <f>K68-S68</f>
        <v>0</v>
      </c>
      <c r="U68" s="14"/>
      <c r="V68" s="9">
        <v>0</v>
      </c>
      <c r="W68" s="101">
        <v>44595</v>
      </c>
      <c r="X68" s="14" t="s">
        <v>31</v>
      </c>
      <c r="Y68" s="20"/>
      <c r="Z68" s="14"/>
      <c r="AA68" s="57">
        <v>11288437</v>
      </c>
      <c r="AB68" s="57">
        <f t="shared" ref="AB68:AB74" si="5">S68-AA68</f>
        <v>0</v>
      </c>
      <c r="AC68" s="14"/>
      <c r="AD68" s="58">
        <v>0</v>
      </c>
      <c r="AE68" s="131">
        <v>44622</v>
      </c>
      <c r="AF68" s="14" t="s">
        <v>31</v>
      </c>
      <c r="AG68" s="105"/>
      <c r="AH68" s="14"/>
      <c r="AI68" s="39">
        <v>11288437</v>
      </c>
      <c r="AJ68" s="39">
        <f t="shared" ref="AJ68:AJ74" si="6">AA68-AI68</f>
        <v>0</v>
      </c>
      <c r="AK68" s="39"/>
      <c r="AL68" s="39"/>
      <c r="AM68" s="9">
        <v>0</v>
      </c>
      <c r="AN68" s="101">
        <v>44655</v>
      </c>
      <c r="AO68" s="14" t="s">
        <v>31</v>
      </c>
      <c r="AP68" s="14"/>
      <c r="AQ68" s="58"/>
      <c r="AR68" s="39">
        <v>11288437</v>
      </c>
      <c r="AS68" s="39">
        <f t="shared" ref="AS68:AS77" si="7">AI68-AR68</f>
        <v>0</v>
      </c>
      <c r="AT68" s="39"/>
      <c r="AU68" s="39"/>
      <c r="AV68" s="9">
        <v>0</v>
      </c>
      <c r="AW68" s="101">
        <v>44683</v>
      </c>
      <c r="AX68" s="14" t="s">
        <v>31</v>
      </c>
      <c r="AY68" s="14"/>
      <c r="AZ68" s="9"/>
      <c r="BA68" s="39">
        <v>11288437</v>
      </c>
      <c r="BB68" s="39">
        <f t="shared" ref="BB68:BB74" si="8">AR68-BA68</f>
        <v>0</v>
      </c>
      <c r="BC68" s="39"/>
      <c r="BD68" s="39"/>
      <c r="BE68" s="9">
        <v>0</v>
      </c>
      <c r="BF68" s="101">
        <v>44713</v>
      </c>
      <c r="BG68" s="14" t="s">
        <v>31</v>
      </c>
      <c r="BH68" s="101">
        <v>44728</v>
      </c>
      <c r="BI68" s="9"/>
      <c r="BJ68" s="39">
        <v>12492913</v>
      </c>
      <c r="BK68" s="39"/>
      <c r="BL68" s="39">
        <f>BA68-BJ68</f>
        <v>-1204476</v>
      </c>
      <c r="BM68" s="39"/>
      <c r="BN68" s="10">
        <f>BL68/BA68</f>
        <v>-0.10669997981119973</v>
      </c>
      <c r="BO68" s="101">
        <v>44767</v>
      </c>
      <c r="BP68" s="14" t="s">
        <v>31</v>
      </c>
      <c r="BQ68" s="14"/>
      <c r="BR68" s="9"/>
      <c r="BS68" s="39">
        <v>12492913</v>
      </c>
      <c r="BT68" s="39">
        <f>BJ68-BS68</f>
        <v>0</v>
      </c>
      <c r="BU68" s="39"/>
      <c r="BV68" s="39"/>
      <c r="BW68" s="9">
        <v>0</v>
      </c>
      <c r="BX68" s="101">
        <v>44774</v>
      </c>
      <c r="BY68" s="14" t="s">
        <v>31</v>
      </c>
      <c r="BZ68" s="14"/>
      <c r="CA68" s="9"/>
      <c r="CB68" s="39"/>
      <c r="CC68" s="39"/>
      <c r="CD68" s="39"/>
      <c r="CE68" s="39"/>
      <c r="CF68" s="9"/>
      <c r="CG68" s="101"/>
      <c r="CH68" s="14"/>
      <c r="CI68" s="14"/>
      <c r="CJ68" s="9"/>
      <c r="CK68" s="39"/>
      <c r="CL68" s="39"/>
      <c r="CM68" s="39"/>
      <c r="CN68" s="39"/>
      <c r="CO68" s="9"/>
      <c r="CP68" s="101"/>
      <c r="CQ68" s="14"/>
      <c r="CR68" s="14"/>
      <c r="CS68" s="9"/>
      <c r="CT68" s="39"/>
      <c r="CU68" s="39"/>
      <c r="CV68" s="39"/>
      <c r="CW68" s="39"/>
      <c r="CX68" s="9"/>
      <c r="CY68" s="101"/>
      <c r="CZ68" s="14"/>
      <c r="DA68" s="86"/>
      <c r="DB68" s="9"/>
      <c r="DC68" s="39"/>
      <c r="DD68" s="39"/>
      <c r="DE68" s="39"/>
      <c r="DF68" s="39"/>
      <c r="DG68" s="9"/>
      <c r="DH68" s="101"/>
      <c r="DI68" s="14"/>
      <c r="DJ68" s="14"/>
    </row>
    <row r="69" spans="1:114" hidden="1" x14ac:dyDescent="0.35">
      <c r="A69" s="1" t="s">
        <v>240</v>
      </c>
      <c r="B69" s="14" t="s">
        <v>241</v>
      </c>
      <c r="C69" s="14" t="s">
        <v>29</v>
      </c>
      <c r="D69" s="2">
        <v>9102</v>
      </c>
      <c r="E69" s="3">
        <v>209672</v>
      </c>
      <c r="F69" s="3" t="s">
        <v>242</v>
      </c>
      <c r="G69" s="52" t="s">
        <v>243</v>
      </c>
      <c r="H69" s="39">
        <v>71852433</v>
      </c>
      <c r="I69" s="39">
        <v>55000000</v>
      </c>
      <c r="J69" s="39"/>
      <c r="K69" s="39">
        <f>55000000+3091000</f>
        <v>58091000</v>
      </c>
      <c r="L69" s="39">
        <f>I69-K69</f>
        <v>-3091000</v>
      </c>
      <c r="M69" s="39"/>
      <c r="N69" s="39"/>
      <c r="O69" s="9">
        <f>L69/H69</f>
        <v>-4.3018724223298048E-2</v>
      </c>
      <c r="P69" s="101">
        <v>44572</v>
      </c>
      <c r="Q69" s="3" t="s">
        <v>31</v>
      </c>
      <c r="R69" s="20"/>
      <c r="S69" s="39">
        <v>58091000</v>
      </c>
      <c r="T69" s="8">
        <f>K69-S69</f>
        <v>0</v>
      </c>
      <c r="U69" s="14"/>
      <c r="V69" s="9">
        <v>0</v>
      </c>
      <c r="W69" s="102">
        <v>44593</v>
      </c>
      <c r="X69" s="14" t="s">
        <v>31</v>
      </c>
      <c r="Y69" s="20"/>
      <c r="Z69" s="14"/>
      <c r="AA69" s="57">
        <v>58091000</v>
      </c>
      <c r="AB69" s="57">
        <f t="shared" si="5"/>
        <v>0</v>
      </c>
      <c r="AC69" s="14"/>
      <c r="AD69" s="58">
        <v>0</v>
      </c>
      <c r="AE69" s="131">
        <v>44621</v>
      </c>
      <c r="AF69" s="14" t="s">
        <v>31</v>
      </c>
      <c r="AG69" s="20"/>
      <c r="AH69" s="9"/>
      <c r="AI69" s="39">
        <v>58091000</v>
      </c>
      <c r="AJ69" s="39">
        <f t="shared" si="6"/>
        <v>0</v>
      </c>
      <c r="AK69" s="39"/>
      <c r="AL69" s="39"/>
      <c r="AM69" s="9">
        <v>0</v>
      </c>
      <c r="AN69" s="101">
        <v>44655</v>
      </c>
      <c r="AO69" s="14" t="s">
        <v>31</v>
      </c>
      <c r="AP69" s="14"/>
      <c r="AQ69" s="108"/>
      <c r="AR69" s="39">
        <v>58091000</v>
      </c>
      <c r="AS69" s="39">
        <f t="shared" si="7"/>
        <v>0</v>
      </c>
      <c r="AT69" s="39"/>
      <c r="AU69" s="39"/>
      <c r="AV69" s="9">
        <v>0</v>
      </c>
      <c r="AW69" s="101">
        <v>44683</v>
      </c>
      <c r="AX69" s="14" t="s">
        <v>31</v>
      </c>
      <c r="AY69" s="14"/>
      <c r="AZ69" s="10"/>
      <c r="BA69" s="39">
        <v>58091000</v>
      </c>
      <c r="BB69" s="39">
        <f t="shared" si="8"/>
        <v>0</v>
      </c>
      <c r="BC69" s="39"/>
      <c r="BD69" s="39"/>
      <c r="BE69" s="9">
        <v>0</v>
      </c>
      <c r="BF69" s="101">
        <v>44713</v>
      </c>
      <c r="BG69" s="14" t="s">
        <v>31</v>
      </c>
      <c r="BH69" s="101">
        <v>44728</v>
      </c>
      <c r="BI69" s="10"/>
      <c r="BJ69" s="39">
        <v>58091000</v>
      </c>
      <c r="BK69" s="39">
        <f t="shared" ref="BK69:BK77" si="9">BA69-BJ69</f>
        <v>0</v>
      </c>
      <c r="BL69" s="39"/>
      <c r="BM69" s="39"/>
      <c r="BN69" s="9">
        <v>0</v>
      </c>
      <c r="BO69" s="101">
        <v>44743</v>
      </c>
      <c r="BP69" s="14" t="s">
        <v>31</v>
      </c>
      <c r="BQ69" s="101">
        <v>44757</v>
      </c>
      <c r="BR69" s="9"/>
      <c r="BS69" s="39">
        <v>71852433</v>
      </c>
      <c r="BT69" s="39"/>
      <c r="BU69" s="39">
        <f>BS69-BJ69</f>
        <v>13761433</v>
      </c>
      <c r="BV69" s="39"/>
      <c r="BW69" s="9">
        <f>BU69/BJ69</f>
        <v>0.23689440705100617</v>
      </c>
      <c r="BX69" s="101">
        <v>44774</v>
      </c>
      <c r="BY69" s="14" t="s">
        <v>31</v>
      </c>
      <c r="BZ69" s="14"/>
      <c r="CA69" s="10"/>
      <c r="CB69" s="39"/>
      <c r="CC69" s="39"/>
      <c r="CD69" s="39"/>
      <c r="CE69" s="39"/>
      <c r="CF69" s="9"/>
      <c r="CG69" s="101"/>
      <c r="CH69" s="14"/>
      <c r="CI69" s="14"/>
      <c r="CJ69" s="10"/>
      <c r="CK69" s="39"/>
      <c r="CL69" s="39"/>
      <c r="CM69" s="39"/>
      <c r="CN69" s="39"/>
      <c r="CO69" s="9"/>
      <c r="CP69" s="101"/>
      <c r="CQ69" s="14"/>
      <c r="CR69" s="14"/>
      <c r="CS69" s="9"/>
      <c r="CT69" s="39"/>
      <c r="CU69" s="39"/>
      <c r="CV69" s="39"/>
      <c r="CW69" s="39"/>
      <c r="CX69" s="9"/>
      <c r="CY69" s="101"/>
      <c r="CZ69" s="14"/>
      <c r="DA69" s="86"/>
      <c r="DB69" s="9"/>
      <c r="DC69" s="39"/>
      <c r="DD69" s="39"/>
      <c r="DE69" s="39"/>
      <c r="DF69" s="39"/>
      <c r="DG69" s="9"/>
      <c r="DH69" s="101"/>
      <c r="DI69" s="14"/>
      <c r="DJ69" s="14"/>
    </row>
    <row r="70" spans="1:114" hidden="1" x14ac:dyDescent="0.35">
      <c r="A70" s="1" t="s">
        <v>244</v>
      </c>
      <c r="B70" s="14" t="s">
        <v>245</v>
      </c>
      <c r="C70" s="14" t="s">
        <v>29</v>
      </c>
      <c r="D70" s="2">
        <v>9120</v>
      </c>
      <c r="E70" s="3">
        <v>211510</v>
      </c>
      <c r="F70" s="3" t="s">
        <v>86</v>
      </c>
      <c r="G70" s="52">
        <v>9005360582</v>
      </c>
      <c r="H70" s="39">
        <v>20389700</v>
      </c>
      <c r="I70" s="39">
        <v>20389700</v>
      </c>
      <c r="J70" s="39"/>
      <c r="K70" s="39">
        <v>20389700</v>
      </c>
      <c r="L70" s="39">
        <f>H70-K70</f>
        <v>0</v>
      </c>
      <c r="M70" s="39"/>
      <c r="N70" s="39"/>
      <c r="O70" s="9">
        <v>0</v>
      </c>
      <c r="P70" s="102">
        <v>44200</v>
      </c>
      <c r="Q70" s="3" t="s">
        <v>31</v>
      </c>
      <c r="R70" s="20"/>
      <c r="S70" s="39">
        <v>20389700</v>
      </c>
      <c r="T70" s="8">
        <f>K70-S70</f>
        <v>0</v>
      </c>
      <c r="U70" s="14"/>
      <c r="V70" s="9">
        <v>0</v>
      </c>
      <c r="W70" s="101">
        <v>44594</v>
      </c>
      <c r="X70" s="14" t="s">
        <v>31</v>
      </c>
      <c r="Y70" s="20"/>
      <c r="Z70" s="14"/>
      <c r="AA70" s="57">
        <v>20389700</v>
      </c>
      <c r="AB70" s="57">
        <f t="shared" si="5"/>
        <v>0</v>
      </c>
      <c r="AC70" s="14"/>
      <c r="AD70" s="58">
        <v>0</v>
      </c>
      <c r="AE70" s="131">
        <v>44621</v>
      </c>
      <c r="AF70" s="14" t="s">
        <v>31</v>
      </c>
      <c r="AG70" s="20"/>
      <c r="AH70" s="14"/>
      <c r="AI70" s="39">
        <v>20389700</v>
      </c>
      <c r="AJ70" s="39">
        <f t="shared" si="6"/>
        <v>0</v>
      </c>
      <c r="AK70" s="39"/>
      <c r="AL70" s="39"/>
      <c r="AM70" s="9">
        <v>0</v>
      </c>
      <c r="AN70" s="101">
        <v>44655</v>
      </c>
      <c r="AO70" s="14" t="s">
        <v>31</v>
      </c>
      <c r="AP70" s="14"/>
      <c r="AQ70" s="58"/>
      <c r="AR70" s="39">
        <v>20389700</v>
      </c>
      <c r="AS70" s="39">
        <f t="shared" si="7"/>
        <v>0</v>
      </c>
      <c r="AT70" s="39"/>
      <c r="AU70" s="39"/>
      <c r="AV70" s="9">
        <v>0</v>
      </c>
      <c r="AW70" s="101">
        <v>44683</v>
      </c>
      <c r="AX70" s="14" t="s">
        <v>31</v>
      </c>
      <c r="AY70" s="14"/>
      <c r="AZ70" s="9"/>
      <c r="BA70" s="39">
        <v>20389700</v>
      </c>
      <c r="BB70" s="39">
        <f t="shared" si="8"/>
        <v>0</v>
      </c>
      <c r="BC70" s="39"/>
      <c r="BD70" s="39"/>
      <c r="BE70" s="9">
        <v>0</v>
      </c>
      <c r="BF70" s="101">
        <v>44713</v>
      </c>
      <c r="BG70" s="14" t="s">
        <v>31</v>
      </c>
      <c r="BH70" s="101">
        <v>44728</v>
      </c>
      <c r="BI70" s="9"/>
      <c r="BJ70" s="39">
        <v>20389700</v>
      </c>
      <c r="BK70" s="39">
        <f t="shared" si="9"/>
        <v>0</v>
      </c>
      <c r="BL70" s="39"/>
      <c r="BM70" s="39"/>
      <c r="BN70" s="9">
        <v>0</v>
      </c>
      <c r="BO70" s="101">
        <v>44743</v>
      </c>
      <c r="BP70" s="14" t="s">
        <v>31</v>
      </c>
      <c r="BQ70" s="101">
        <v>44757</v>
      </c>
      <c r="BR70" s="9"/>
      <c r="BS70" s="39">
        <v>20389700</v>
      </c>
      <c r="BT70" s="39">
        <f>BJ70-BS70</f>
        <v>0</v>
      </c>
      <c r="BU70" s="39"/>
      <c r="BV70" s="39"/>
      <c r="BW70" s="9">
        <v>0</v>
      </c>
      <c r="BX70" s="101">
        <v>44775</v>
      </c>
      <c r="BY70" s="14" t="s">
        <v>31</v>
      </c>
      <c r="BZ70" s="14"/>
      <c r="CA70" s="178"/>
      <c r="CB70" s="179"/>
      <c r="CC70" s="179"/>
      <c r="CD70" s="179"/>
      <c r="CE70" s="179"/>
      <c r="CF70" s="179"/>
      <c r="CG70" s="179"/>
      <c r="CH70" s="179"/>
      <c r="CI70" s="180"/>
      <c r="CJ70" s="9"/>
      <c r="CK70" s="39"/>
      <c r="CL70" s="39"/>
      <c r="CM70" s="39"/>
      <c r="CN70" s="39"/>
      <c r="CO70" s="9"/>
      <c r="CP70" s="101"/>
      <c r="CQ70" s="14"/>
      <c r="CR70" s="14"/>
      <c r="CS70" s="9"/>
      <c r="CT70" s="39"/>
      <c r="CU70" s="39"/>
      <c r="CV70" s="39"/>
      <c r="CW70" s="39"/>
      <c r="CX70" s="9"/>
      <c r="CY70" s="101"/>
      <c r="CZ70" s="14"/>
      <c r="DA70" s="86"/>
      <c r="DB70" s="9"/>
      <c r="DC70" s="39"/>
      <c r="DD70" s="39"/>
      <c r="DE70" s="39"/>
      <c r="DF70" s="39"/>
      <c r="DG70" s="9"/>
      <c r="DH70" s="101"/>
      <c r="DI70" s="14"/>
      <c r="DJ70" s="14"/>
    </row>
    <row r="71" spans="1:114" hidden="1" x14ac:dyDescent="0.35">
      <c r="A71" s="1" t="s">
        <v>246</v>
      </c>
      <c r="B71" s="14" t="s">
        <v>247</v>
      </c>
      <c r="C71" s="14" t="s">
        <v>248</v>
      </c>
      <c r="D71" s="2">
        <v>9103</v>
      </c>
      <c r="E71" s="3">
        <v>243147</v>
      </c>
      <c r="F71" s="3" t="s">
        <v>249</v>
      </c>
      <c r="G71" s="52">
        <v>9004868496</v>
      </c>
      <c r="H71" s="39">
        <v>8241282</v>
      </c>
      <c r="I71" s="39">
        <v>8241282</v>
      </c>
      <c r="J71" s="39"/>
      <c r="K71" s="39">
        <v>8241282</v>
      </c>
      <c r="L71" s="39">
        <f>I71-K71</f>
        <v>0</v>
      </c>
      <c r="M71" s="39"/>
      <c r="N71" s="39"/>
      <c r="O71" s="9">
        <f>L71/I71</f>
        <v>0</v>
      </c>
      <c r="P71" s="101">
        <v>44578</v>
      </c>
      <c r="Q71" s="3" t="s">
        <v>31</v>
      </c>
      <c r="R71" s="20"/>
      <c r="S71" s="39">
        <v>8241282</v>
      </c>
      <c r="T71" s="8">
        <f>K71-S71</f>
        <v>0</v>
      </c>
      <c r="U71" s="14"/>
      <c r="V71" s="9">
        <v>0</v>
      </c>
      <c r="W71" s="102">
        <v>44606</v>
      </c>
      <c r="X71" s="14" t="s">
        <v>31</v>
      </c>
      <c r="Y71" s="20"/>
      <c r="Z71" s="14"/>
      <c r="AA71" s="57">
        <v>8241282</v>
      </c>
      <c r="AB71" s="57">
        <f t="shared" si="5"/>
        <v>0</v>
      </c>
      <c r="AC71" s="14"/>
      <c r="AD71" s="58">
        <v>0</v>
      </c>
      <c r="AE71" s="131">
        <v>44621</v>
      </c>
      <c r="AF71" s="14" t="s">
        <v>31</v>
      </c>
      <c r="AG71" s="20"/>
      <c r="AH71" s="9"/>
      <c r="AI71" s="39">
        <v>8241282</v>
      </c>
      <c r="AJ71" s="39">
        <f t="shared" si="6"/>
        <v>0</v>
      </c>
      <c r="AK71" s="39"/>
      <c r="AL71" s="39"/>
      <c r="AM71" s="9">
        <v>0</v>
      </c>
      <c r="AN71" s="101">
        <v>44655</v>
      </c>
      <c r="AO71" s="14" t="s">
        <v>31</v>
      </c>
      <c r="AP71" s="14"/>
      <c r="AQ71" s="58"/>
      <c r="AR71" s="39">
        <v>8241282</v>
      </c>
      <c r="AS71" s="39">
        <f t="shared" si="7"/>
        <v>0</v>
      </c>
      <c r="AT71" s="39"/>
      <c r="AU71" s="39"/>
      <c r="AV71" s="9">
        <v>0</v>
      </c>
      <c r="AW71" s="101">
        <v>44683</v>
      </c>
      <c r="AX71" s="14" t="s">
        <v>31</v>
      </c>
      <c r="AY71" s="14"/>
      <c r="AZ71" s="9"/>
      <c r="BA71" s="39">
        <v>8241282</v>
      </c>
      <c r="BB71" s="39">
        <f t="shared" si="8"/>
        <v>0</v>
      </c>
      <c r="BC71" s="39"/>
      <c r="BD71" s="39"/>
      <c r="BE71" s="9">
        <v>0</v>
      </c>
      <c r="BF71" s="101">
        <v>44715</v>
      </c>
      <c r="BG71" s="14" t="s">
        <v>31</v>
      </c>
      <c r="BH71" s="101">
        <v>44728</v>
      </c>
      <c r="BI71" s="9"/>
      <c r="BJ71" s="39">
        <v>8241282</v>
      </c>
      <c r="BK71" s="39">
        <f t="shared" si="9"/>
        <v>0</v>
      </c>
      <c r="BL71" s="39"/>
      <c r="BM71" s="39"/>
      <c r="BN71" s="9">
        <v>0</v>
      </c>
      <c r="BO71" s="101">
        <v>44743</v>
      </c>
      <c r="BP71" s="14" t="s">
        <v>31</v>
      </c>
      <c r="BQ71" s="101">
        <v>44757</v>
      </c>
      <c r="BR71" s="9"/>
      <c r="BS71" s="39">
        <v>8241282</v>
      </c>
      <c r="BT71" s="39">
        <f>BJ71-BS71</f>
        <v>0</v>
      </c>
      <c r="BU71" s="39"/>
      <c r="BV71" s="39"/>
      <c r="BW71" s="9">
        <v>0</v>
      </c>
      <c r="BX71" s="101">
        <v>44777</v>
      </c>
      <c r="BY71" s="14" t="s">
        <v>31</v>
      </c>
      <c r="BZ71" s="14"/>
      <c r="CA71" s="9"/>
      <c r="CB71" s="39"/>
      <c r="CC71" s="39"/>
      <c r="CD71" s="39"/>
      <c r="CE71" s="39"/>
      <c r="CF71" s="9"/>
      <c r="CG71" s="101"/>
      <c r="CH71" s="14"/>
      <c r="CI71" s="14"/>
      <c r="CJ71" s="9"/>
      <c r="CK71" s="39"/>
      <c r="CL71" s="39"/>
      <c r="CM71" s="39"/>
      <c r="CN71" s="39"/>
      <c r="CO71" s="9"/>
      <c r="CP71" s="101"/>
      <c r="CQ71" s="14"/>
      <c r="CR71" s="14"/>
      <c r="CS71" s="9"/>
      <c r="CT71" s="39"/>
      <c r="CU71" s="39"/>
      <c r="CV71" s="39"/>
      <c r="CW71" s="39"/>
      <c r="CX71" s="9"/>
      <c r="CY71" s="101"/>
      <c r="CZ71" s="14"/>
      <c r="DA71" s="86"/>
      <c r="DB71" s="9"/>
      <c r="DC71" s="39"/>
      <c r="DD71" s="39"/>
      <c r="DE71" s="39"/>
      <c r="DF71" s="39"/>
      <c r="DG71" s="9"/>
      <c r="DH71" s="101"/>
      <c r="DI71" s="14"/>
      <c r="DJ71" s="14"/>
    </row>
    <row r="72" spans="1:114" hidden="1" x14ac:dyDescent="0.35">
      <c r="A72" s="1" t="s">
        <v>250</v>
      </c>
      <c r="B72" s="14" t="s">
        <v>251</v>
      </c>
      <c r="C72" s="14" t="s">
        <v>113</v>
      </c>
      <c r="D72" s="2">
        <v>8974</v>
      </c>
      <c r="E72" s="3">
        <v>204532</v>
      </c>
      <c r="F72" s="3" t="s">
        <v>114</v>
      </c>
      <c r="G72" s="52" t="s">
        <v>115</v>
      </c>
      <c r="H72" s="39">
        <v>12843524</v>
      </c>
      <c r="I72" s="39">
        <v>12843524</v>
      </c>
      <c r="J72" s="39"/>
      <c r="K72" s="39">
        <f>12843524+125751</f>
        <v>12969275</v>
      </c>
      <c r="L72" s="39"/>
      <c r="M72" s="39">
        <f>I72-K72</f>
        <v>-125751</v>
      </c>
      <c r="N72" s="39"/>
      <c r="O72" s="9">
        <f>M72/I72</f>
        <v>-9.7910044003499345E-3</v>
      </c>
      <c r="P72" s="101">
        <v>44580</v>
      </c>
      <c r="Q72" s="14" t="s">
        <v>31</v>
      </c>
      <c r="R72" s="20"/>
      <c r="S72" s="39">
        <v>12843524</v>
      </c>
      <c r="T72" s="8">
        <f>H72-S72</f>
        <v>0</v>
      </c>
      <c r="U72" s="14"/>
      <c r="V72" s="9">
        <v>0</v>
      </c>
      <c r="W72" s="101">
        <v>44594</v>
      </c>
      <c r="X72" s="14" t="s">
        <v>31</v>
      </c>
      <c r="Y72" s="20"/>
      <c r="Z72" s="14"/>
      <c r="AA72" s="57">
        <v>12843524</v>
      </c>
      <c r="AB72" s="57">
        <f t="shared" si="5"/>
        <v>0</v>
      </c>
      <c r="AC72" s="14"/>
      <c r="AD72" s="58">
        <v>0</v>
      </c>
      <c r="AE72" s="131">
        <v>44622</v>
      </c>
      <c r="AF72" s="14" t="s">
        <v>31</v>
      </c>
      <c r="AG72" s="20"/>
      <c r="AH72" s="9"/>
      <c r="AI72" s="39">
        <v>12843524</v>
      </c>
      <c r="AJ72" s="39">
        <f t="shared" si="6"/>
        <v>0</v>
      </c>
      <c r="AK72" s="39"/>
      <c r="AL72" s="39"/>
      <c r="AM72" s="9">
        <v>0</v>
      </c>
      <c r="AN72" s="101">
        <v>44656</v>
      </c>
      <c r="AO72" s="14" t="s">
        <v>31</v>
      </c>
      <c r="AP72" s="14"/>
      <c r="AQ72" s="58"/>
      <c r="AR72" s="39">
        <v>12843524</v>
      </c>
      <c r="AS72" s="39">
        <f t="shared" si="7"/>
        <v>0</v>
      </c>
      <c r="AT72" s="39"/>
      <c r="AU72" s="39"/>
      <c r="AV72" s="9">
        <v>0</v>
      </c>
      <c r="AW72" s="101">
        <v>44683</v>
      </c>
      <c r="AX72" s="14" t="s">
        <v>31</v>
      </c>
      <c r="AY72" s="14"/>
      <c r="AZ72" s="9"/>
      <c r="BA72" s="39">
        <v>12843524</v>
      </c>
      <c r="BB72" s="39">
        <f t="shared" si="8"/>
        <v>0</v>
      </c>
      <c r="BC72" s="39"/>
      <c r="BD72" s="39"/>
      <c r="BE72" s="9">
        <v>0</v>
      </c>
      <c r="BF72" s="101">
        <v>44715</v>
      </c>
      <c r="BG72" s="14" t="s">
        <v>31</v>
      </c>
      <c r="BH72" s="101">
        <v>44728</v>
      </c>
      <c r="BI72" s="9"/>
      <c r="BJ72" s="39">
        <v>12843524</v>
      </c>
      <c r="BK72" s="39">
        <f t="shared" si="9"/>
        <v>0</v>
      </c>
      <c r="BL72" s="39"/>
      <c r="BM72" s="39"/>
      <c r="BN72" s="9">
        <v>0</v>
      </c>
      <c r="BO72" s="101">
        <v>44747</v>
      </c>
      <c r="BP72" s="14" t="s">
        <v>31</v>
      </c>
      <c r="BQ72" s="101">
        <v>44757</v>
      </c>
      <c r="BR72" s="9"/>
      <c r="BS72" s="39">
        <v>12843524</v>
      </c>
      <c r="BT72" s="39">
        <f>BJ72-BS72</f>
        <v>0</v>
      </c>
      <c r="BU72" s="39"/>
      <c r="BV72" s="39"/>
      <c r="BW72" s="9">
        <v>0</v>
      </c>
      <c r="BX72" s="101">
        <v>44777</v>
      </c>
      <c r="BY72" s="14" t="s">
        <v>31</v>
      </c>
      <c r="BZ72" s="14"/>
      <c r="CA72" s="9"/>
      <c r="CB72" s="39"/>
      <c r="CC72" s="39"/>
      <c r="CD72" s="39"/>
      <c r="CE72" s="39"/>
      <c r="CF72" s="9"/>
      <c r="CG72" s="101"/>
      <c r="CH72" s="14"/>
      <c r="CI72" s="14"/>
      <c r="CJ72" s="9"/>
      <c r="CK72" s="39"/>
      <c r="CL72" s="39"/>
      <c r="CM72" s="39"/>
      <c r="CN72" s="39"/>
      <c r="CO72" s="9"/>
      <c r="CP72" s="101"/>
      <c r="CQ72" s="14"/>
      <c r="CR72" s="14"/>
      <c r="CS72" s="9"/>
      <c r="CT72" s="39"/>
      <c r="CU72" s="39"/>
      <c r="CV72" s="39"/>
      <c r="CW72" s="39"/>
      <c r="CX72" s="9"/>
      <c r="CY72" s="101"/>
      <c r="CZ72" s="14"/>
      <c r="DA72" s="86"/>
      <c r="DB72" s="9"/>
      <c r="DC72" s="39"/>
      <c r="DD72" s="39"/>
      <c r="DE72" s="39"/>
      <c r="DF72" s="39"/>
      <c r="DG72" s="9"/>
      <c r="DH72" s="101"/>
      <c r="DI72" s="14"/>
      <c r="DJ72" s="14"/>
    </row>
    <row r="73" spans="1:114" hidden="1" x14ac:dyDescent="0.35">
      <c r="A73" s="90" t="s">
        <v>252</v>
      </c>
      <c r="B73" s="91" t="s">
        <v>253</v>
      </c>
      <c r="C73" s="91" t="s">
        <v>29</v>
      </c>
      <c r="D73" s="92">
        <v>6573</v>
      </c>
      <c r="E73" s="93">
        <v>204635</v>
      </c>
      <c r="F73" s="93" t="s">
        <v>254</v>
      </c>
      <c r="G73" s="94" t="s">
        <v>255</v>
      </c>
      <c r="H73" s="95">
        <v>18000000</v>
      </c>
      <c r="I73" s="95">
        <v>18000000</v>
      </c>
      <c r="J73" s="95"/>
      <c r="K73" s="95">
        <v>18000000</v>
      </c>
      <c r="L73" s="95">
        <f>H73-K73</f>
        <v>0</v>
      </c>
      <c r="M73" s="95"/>
      <c r="N73" s="95"/>
      <c r="O73" s="124">
        <v>0</v>
      </c>
      <c r="P73" s="101">
        <v>44585</v>
      </c>
      <c r="Q73" s="3" t="s">
        <v>31</v>
      </c>
      <c r="R73" s="20"/>
      <c r="S73" s="95">
        <v>18000000</v>
      </c>
      <c r="T73" s="96">
        <f>K73-S73</f>
        <v>0</v>
      </c>
      <c r="U73" s="91"/>
      <c r="V73" s="124">
        <v>0</v>
      </c>
      <c r="W73" s="132">
        <v>44608</v>
      </c>
      <c r="X73" s="14" t="s">
        <v>31</v>
      </c>
      <c r="Y73" s="20"/>
      <c r="Z73" s="14"/>
      <c r="AA73" s="57">
        <v>18000000</v>
      </c>
      <c r="AB73" s="57">
        <f t="shared" si="5"/>
        <v>0</v>
      </c>
      <c r="AC73" s="14"/>
      <c r="AD73" s="58">
        <v>0</v>
      </c>
      <c r="AE73" s="101">
        <v>44624</v>
      </c>
      <c r="AF73" s="14" t="s">
        <v>31</v>
      </c>
      <c r="AG73" s="20"/>
      <c r="AH73" s="9"/>
      <c r="AI73" s="39">
        <v>18000000</v>
      </c>
      <c r="AJ73" s="39">
        <f t="shared" si="6"/>
        <v>0</v>
      </c>
      <c r="AK73" s="39"/>
      <c r="AL73" s="39"/>
      <c r="AM73" s="9">
        <v>0</v>
      </c>
      <c r="AN73" s="101">
        <v>44656</v>
      </c>
      <c r="AO73" s="14" t="s">
        <v>31</v>
      </c>
      <c r="AP73" s="14"/>
      <c r="AQ73" s="58"/>
      <c r="AR73" s="39">
        <v>18000000</v>
      </c>
      <c r="AS73" s="39">
        <f t="shared" si="7"/>
        <v>0</v>
      </c>
      <c r="AT73" s="39"/>
      <c r="AU73" s="39"/>
      <c r="AV73" s="9">
        <v>0</v>
      </c>
      <c r="AW73" s="101">
        <v>44699</v>
      </c>
      <c r="AX73" s="14" t="s">
        <v>31</v>
      </c>
      <c r="AY73" s="14"/>
      <c r="AZ73" s="9"/>
      <c r="BA73" s="39">
        <v>18000000</v>
      </c>
      <c r="BB73" s="39">
        <f t="shared" si="8"/>
        <v>0</v>
      </c>
      <c r="BC73" s="39"/>
      <c r="BD73" s="39"/>
      <c r="BE73" s="9">
        <v>0</v>
      </c>
      <c r="BF73" s="101">
        <v>44715</v>
      </c>
      <c r="BG73" s="14" t="s">
        <v>31</v>
      </c>
      <c r="BH73" s="101">
        <v>44728</v>
      </c>
      <c r="BI73" s="9"/>
      <c r="BJ73" s="39">
        <v>18000000</v>
      </c>
      <c r="BK73" s="39">
        <f t="shared" si="9"/>
        <v>0</v>
      </c>
      <c r="BL73" s="39"/>
      <c r="BM73" s="39"/>
      <c r="BN73" s="9">
        <v>0</v>
      </c>
      <c r="BO73" s="101">
        <v>44749</v>
      </c>
      <c r="BP73" s="14" t="s">
        <v>31</v>
      </c>
      <c r="BQ73" s="101">
        <v>44757</v>
      </c>
      <c r="BR73" s="9"/>
      <c r="BS73" s="39"/>
      <c r="BT73" s="39"/>
      <c r="BU73" s="39"/>
      <c r="BV73" s="39"/>
      <c r="BW73" s="9"/>
      <c r="BX73" s="101"/>
      <c r="BY73" s="14"/>
      <c r="BZ73" s="14"/>
      <c r="CA73" s="9"/>
      <c r="CB73" s="39"/>
      <c r="CC73" s="39"/>
      <c r="CD73" s="39"/>
      <c r="CE73" s="39"/>
      <c r="CF73" s="9"/>
      <c r="CG73" s="101"/>
      <c r="CH73" s="14"/>
      <c r="CI73" s="14"/>
      <c r="CJ73" s="9"/>
      <c r="CK73" s="39"/>
      <c r="CL73" s="39"/>
      <c r="CM73" s="39"/>
      <c r="CN73" s="39"/>
      <c r="CO73" s="9"/>
      <c r="CP73" s="101"/>
      <c r="CQ73" s="14"/>
      <c r="CR73" s="14"/>
      <c r="CS73" s="9"/>
      <c r="CT73" s="39"/>
      <c r="CU73" s="39"/>
      <c r="CV73" s="39"/>
      <c r="CW73" s="39"/>
      <c r="CX73" s="9"/>
      <c r="CY73" s="101"/>
      <c r="CZ73" s="14"/>
      <c r="DA73" s="86"/>
      <c r="DB73" s="9"/>
      <c r="DC73" s="39"/>
      <c r="DD73" s="39"/>
      <c r="DE73" s="39"/>
      <c r="DF73" s="39"/>
      <c r="DG73" s="9"/>
      <c r="DH73" s="101"/>
      <c r="DI73" s="14"/>
      <c r="DJ73" s="14"/>
    </row>
    <row r="74" spans="1:114" hidden="1" x14ac:dyDescent="0.35">
      <c r="A74" s="1" t="s">
        <v>256</v>
      </c>
      <c r="B74" s="14" t="s">
        <v>257</v>
      </c>
      <c r="C74" s="14" t="s">
        <v>29</v>
      </c>
      <c r="D74" s="2">
        <v>9209</v>
      </c>
      <c r="E74" s="3">
        <v>217037</v>
      </c>
      <c r="F74" s="3" t="s">
        <v>258</v>
      </c>
      <c r="G74" s="52" t="s">
        <v>259</v>
      </c>
      <c r="H74" s="39">
        <v>12885372</v>
      </c>
      <c r="I74" s="39">
        <v>11862799</v>
      </c>
      <c r="J74" s="39"/>
      <c r="K74" s="39">
        <f>12941527+393845</f>
        <v>13335372</v>
      </c>
      <c r="L74" s="125"/>
      <c r="M74" s="126">
        <f>H74-K74</f>
        <v>-450000</v>
      </c>
      <c r="N74" s="39"/>
      <c r="O74" s="9">
        <f>M74/K74</f>
        <v>-3.3744840413900717E-2</v>
      </c>
      <c r="P74" s="101">
        <v>44572</v>
      </c>
      <c r="Q74" s="3" t="s">
        <v>31</v>
      </c>
      <c r="R74" s="20"/>
      <c r="S74" s="39">
        <v>12885372</v>
      </c>
      <c r="T74" s="8">
        <f>H74-S74</f>
        <v>0</v>
      </c>
      <c r="U74" s="14"/>
      <c r="V74" s="10">
        <f>T74/H74</f>
        <v>0</v>
      </c>
      <c r="W74" s="102">
        <v>44593</v>
      </c>
      <c r="X74" s="14" t="s">
        <v>31</v>
      </c>
      <c r="Y74" s="20"/>
      <c r="Z74" s="14"/>
      <c r="AA74" s="57">
        <v>12885372</v>
      </c>
      <c r="AB74" s="57">
        <f t="shared" si="5"/>
        <v>0</v>
      </c>
      <c r="AC74" s="14"/>
      <c r="AD74" s="58">
        <v>0</v>
      </c>
      <c r="AE74" s="131">
        <v>44621</v>
      </c>
      <c r="AF74" s="14" t="s">
        <v>31</v>
      </c>
      <c r="AG74" s="20"/>
      <c r="AH74" s="14"/>
      <c r="AI74" s="39">
        <v>12885372</v>
      </c>
      <c r="AJ74" s="39">
        <f t="shared" si="6"/>
        <v>0</v>
      </c>
      <c r="AK74" s="39"/>
      <c r="AL74" s="39"/>
      <c r="AM74" s="9">
        <v>0</v>
      </c>
      <c r="AN74" s="101">
        <v>44655</v>
      </c>
      <c r="AO74" s="14" t="s">
        <v>31</v>
      </c>
      <c r="AP74" s="14"/>
      <c r="AQ74" s="58"/>
      <c r="AR74" s="39">
        <v>12885372</v>
      </c>
      <c r="AS74" s="39">
        <f t="shared" si="7"/>
        <v>0</v>
      </c>
      <c r="AT74" s="39"/>
      <c r="AU74" s="39"/>
      <c r="AV74" s="9">
        <v>0</v>
      </c>
      <c r="AW74" s="101">
        <v>44683</v>
      </c>
      <c r="AX74" s="14" t="s">
        <v>31</v>
      </c>
      <c r="AY74" s="14"/>
      <c r="AZ74" s="9"/>
      <c r="BA74" s="39">
        <v>12885372</v>
      </c>
      <c r="BB74" s="39">
        <f t="shared" si="8"/>
        <v>0</v>
      </c>
      <c r="BC74" s="39"/>
      <c r="BD74" s="39"/>
      <c r="BE74" s="9">
        <v>0</v>
      </c>
      <c r="BF74" s="101">
        <v>44715</v>
      </c>
      <c r="BG74" s="14" t="s">
        <v>31</v>
      </c>
      <c r="BH74" s="101">
        <v>44728</v>
      </c>
      <c r="BI74" s="9"/>
      <c r="BJ74" s="39">
        <v>12885372</v>
      </c>
      <c r="BK74" s="39">
        <f t="shared" si="9"/>
        <v>0</v>
      </c>
      <c r="BL74" s="39"/>
      <c r="BM74" s="39"/>
      <c r="BN74" s="9">
        <v>0</v>
      </c>
      <c r="BO74" s="101">
        <v>44747</v>
      </c>
      <c r="BP74" s="14" t="s">
        <v>31</v>
      </c>
      <c r="BQ74" s="101">
        <v>44757</v>
      </c>
      <c r="BR74" s="9"/>
      <c r="BS74" s="39">
        <v>12885372</v>
      </c>
      <c r="BT74" s="39">
        <f>BJ74-BS74</f>
        <v>0</v>
      </c>
      <c r="BU74" s="39"/>
      <c r="BV74" s="39"/>
      <c r="BW74" s="9">
        <v>0</v>
      </c>
      <c r="BX74" s="101">
        <v>44774</v>
      </c>
      <c r="BY74" s="14" t="s">
        <v>31</v>
      </c>
      <c r="BZ74" s="14"/>
      <c r="CA74" s="9"/>
      <c r="CB74" s="39"/>
      <c r="CC74" s="39"/>
      <c r="CD74" s="39"/>
      <c r="CE74" s="39"/>
      <c r="CF74" s="9"/>
      <c r="CG74" s="101"/>
      <c r="CH74" s="14"/>
      <c r="CI74" s="14"/>
      <c r="CJ74" s="9"/>
      <c r="CK74" s="39"/>
      <c r="CL74" s="39"/>
      <c r="CM74" s="39"/>
      <c r="CN74" s="39"/>
      <c r="CO74" s="9"/>
      <c r="CP74" s="101"/>
      <c r="CQ74" s="14"/>
      <c r="CR74" s="14"/>
      <c r="CS74" s="9"/>
      <c r="CT74" s="39"/>
      <c r="CU74" s="39"/>
      <c r="CV74" s="39"/>
      <c r="CW74" s="39"/>
      <c r="CX74" s="9"/>
      <c r="CY74" s="101"/>
      <c r="CZ74" s="14"/>
      <c r="DA74" s="86"/>
      <c r="DB74" s="9"/>
      <c r="DC74" s="39"/>
      <c r="DD74" s="39"/>
      <c r="DE74" s="39"/>
      <c r="DF74" s="39"/>
      <c r="DG74" s="9"/>
      <c r="DH74" s="101"/>
      <c r="DI74" s="14"/>
      <c r="DJ74" s="14"/>
    </row>
    <row r="75" spans="1:114" hidden="1" x14ac:dyDescent="0.35">
      <c r="A75" s="1" t="s">
        <v>260</v>
      </c>
      <c r="B75" s="14" t="s">
        <v>261</v>
      </c>
      <c r="C75" s="14" t="s">
        <v>29</v>
      </c>
      <c r="D75" s="2">
        <v>9458</v>
      </c>
      <c r="E75" s="3">
        <v>206286</v>
      </c>
      <c r="F75" s="3" t="s">
        <v>262</v>
      </c>
      <c r="G75" s="52" t="s">
        <v>263</v>
      </c>
      <c r="H75" s="39">
        <v>12408334</v>
      </c>
      <c r="I75" s="39">
        <v>12198323</v>
      </c>
      <c r="J75" s="39"/>
      <c r="K75" s="39">
        <f>11529371+668557</f>
        <v>12197928</v>
      </c>
      <c r="L75" s="39">
        <f>I75-K75</f>
        <v>395</v>
      </c>
      <c r="M75" s="39"/>
      <c r="N75" s="39"/>
      <c r="O75" s="9">
        <f>L75/H75</f>
        <v>3.183344355495266E-5</v>
      </c>
      <c r="P75" s="101">
        <v>44578</v>
      </c>
      <c r="Q75" s="3" t="s">
        <v>31</v>
      </c>
      <c r="R75" s="20"/>
      <c r="S75" s="39">
        <f>11529766+668557</f>
        <v>12198323</v>
      </c>
      <c r="T75" s="8">
        <f>I75-S75</f>
        <v>0</v>
      </c>
      <c r="U75" s="14"/>
      <c r="V75" s="9">
        <v>0</v>
      </c>
      <c r="W75" s="101">
        <v>44613</v>
      </c>
      <c r="X75" s="14" t="s">
        <v>31</v>
      </c>
      <c r="Y75" s="20"/>
      <c r="Z75" s="58"/>
      <c r="AA75" s="57">
        <f>11529766+1464696</f>
        <v>12994462</v>
      </c>
      <c r="AB75" s="57">
        <f>H75-AA75</f>
        <v>-586128</v>
      </c>
      <c r="AC75" s="57"/>
      <c r="AD75" s="58">
        <v>0</v>
      </c>
      <c r="AE75" s="131">
        <v>44649</v>
      </c>
      <c r="AF75" s="14" t="s">
        <v>31</v>
      </c>
      <c r="AG75" s="14"/>
      <c r="AH75" s="9"/>
      <c r="AI75" s="39">
        <v>11529766</v>
      </c>
      <c r="AJ75" s="39">
        <f>S75-AI75</f>
        <v>668557</v>
      </c>
      <c r="AK75" s="39"/>
      <c r="AL75" s="39"/>
      <c r="AM75" s="9">
        <v>0</v>
      </c>
      <c r="AN75" s="102">
        <v>44658</v>
      </c>
      <c r="AO75" s="14" t="s">
        <v>31</v>
      </c>
      <c r="AP75" s="14"/>
      <c r="AQ75" s="58"/>
      <c r="AR75" s="39">
        <v>11529766</v>
      </c>
      <c r="AS75" s="39">
        <f t="shared" si="7"/>
        <v>0</v>
      </c>
      <c r="AT75" s="39"/>
      <c r="AU75" s="39"/>
      <c r="AV75" s="9">
        <v>0</v>
      </c>
      <c r="AW75" s="101">
        <v>44684</v>
      </c>
      <c r="AX75" s="14" t="s">
        <v>31</v>
      </c>
      <c r="AY75" s="14"/>
      <c r="AZ75" s="9"/>
      <c r="BA75" s="39">
        <v>12408334</v>
      </c>
      <c r="BB75" s="39"/>
      <c r="BC75" s="39">
        <f>AR75-BA75</f>
        <v>-878568</v>
      </c>
      <c r="BD75" s="39"/>
      <c r="BE75" s="9">
        <f>BC75/AR75</f>
        <v>-7.6199985324940683E-2</v>
      </c>
      <c r="BF75" s="101">
        <v>44719</v>
      </c>
      <c r="BG75" s="14" t="s">
        <v>31</v>
      </c>
      <c r="BH75" s="101">
        <v>44734</v>
      </c>
      <c r="BI75" s="9"/>
      <c r="BJ75" s="39">
        <v>12408334</v>
      </c>
      <c r="BK75" s="39">
        <f t="shared" si="9"/>
        <v>0</v>
      </c>
      <c r="BL75" s="39"/>
      <c r="BM75" s="39"/>
      <c r="BN75" s="9">
        <v>0</v>
      </c>
      <c r="BO75" s="101">
        <v>44743</v>
      </c>
      <c r="BP75" s="14" t="s">
        <v>31</v>
      </c>
      <c r="BQ75" s="101">
        <v>44757</v>
      </c>
      <c r="BR75" s="9"/>
      <c r="BS75" s="39">
        <v>12408334</v>
      </c>
      <c r="BT75" s="39">
        <f>BJ75-BS75</f>
        <v>0</v>
      </c>
      <c r="BU75" s="39"/>
      <c r="BV75" s="39"/>
      <c r="BW75" s="9">
        <v>0</v>
      </c>
      <c r="BX75" s="101">
        <v>44790</v>
      </c>
      <c r="BY75" s="14" t="s">
        <v>31</v>
      </c>
      <c r="BZ75" s="14"/>
      <c r="CA75" s="9"/>
      <c r="CB75" s="39"/>
      <c r="CC75" s="39"/>
      <c r="CD75" s="39"/>
      <c r="CE75" s="39"/>
      <c r="CF75" s="9"/>
      <c r="CG75" s="101"/>
      <c r="CH75" s="14"/>
      <c r="CI75" s="14"/>
      <c r="CJ75" s="9"/>
      <c r="CK75" s="39"/>
      <c r="CL75" s="39"/>
      <c r="CM75" s="39"/>
      <c r="CN75" s="39"/>
      <c r="CO75" s="9"/>
      <c r="CP75" s="101"/>
      <c r="CQ75" s="14"/>
      <c r="CR75" s="14"/>
      <c r="CS75" s="9"/>
      <c r="CT75" s="39"/>
      <c r="CU75" s="39"/>
      <c r="CV75" s="39"/>
      <c r="CW75" s="39"/>
      <c r="CX75" s="9"/>
      <c r="CY75" s="101"/>
      <c r="CZ75" s="14"/>
      <c r="DA75" s="86"/>
      <c r="DB75" s="9"/>
      <c r="DC75" s="39"/>
      <c r="DD75" s="39"/>
      <c r="DE75" s="39"/>
      <c r="DF75" s="39"/>
      <c r="DG75" s="9"/>
      <c r="DH75" s="101"/>
      <c r="DI75" s="14"/>
      <c r="DJ75" s="14"/>
    </row>
    <row r="76" spans="1:114" hidden="1" x14ac:dyDescent="0.35">
      <c r="A76" s="1" t="s">
        <v>268</v>
      </c>
      <c r="B76" s="14" t="s">
        <v>269</v>
      </c>
      <c r="C76" s="14" t="s">
        <v>29</v>
      </c>
      <c r="D76" s="2">
        <v>9216</v>
      </c>
      <c r="E76" s="3">
        <v>246683</v>
      </c>
      <c r="F76" s="3" t="s">
        <v>270</v>
      </c>
      <c r="G76" s="52">
        <v>8303534506</v>
      </c>
      <c r="H76" s="39">
        <v>31368471</v>
      </c>
      <c r="I76" s="39">
        <v>29170400</v>
      </c>
      <c r="J76" s="39"/>
      <c r="K76" s="39">
        <v>31368471</v>
      </c>
      <c r="L76" s="39">
        <f>I76-K76</f>
        <v>-2198071</v>
      </c>
      <c r="M76" s="39"/>
      <c r="N76" s="39"/>
      <c r="O76" s="6">
        <f>L76/H76</f>
        <v>-7.0072621646110833E-2</v>
      </c>
      <c r="P76" s="101">
        <v>44573</v>
      </c>
      <c r="Q76" s="101" t="s">
        <v>31</v>
      </c>
      <c r="R76" s="20"/>
      <c r="S76" s="39">
        <v>31368471</v>
      </c>
      <c r="T76" s="8">
        <f>K76-S76</f>
        <v>0</v>
      </c>
      <c r="U76" s="14"/>
      <c r="V76" s="9">
        <v>0</v>
      </c>
      <c r="W76" s="132">
        <v>44608</v>
      </c>
      <c r="X76" s="14" t="s">
        <v>31</v>
      </c>
      <c r="Y76" s="20"/>
      <c r="Z76" s="14"/>
      <c r="AA76" s="57">
        <v>31368471</v>
      </c>
      <c r="AB76" s="57">
        <f>S76-AA76</f>
        <v>0</v>
      </c>
      <c r="AC76" s="14"/>
      <c r="AD76" s="58">
        <v>0</v>
      </c>
      <c r="AE76" s="131">
        <v>44622</v>
      </c>
      <c r="AF76" s="14" t="s">
        <v>31</v>
      </c>
      <c r="AG76" s="20"/>
      <c r="AH76" s="14"/>
      <c r="AI76" s="39">
        <v>31368471</v>
      </c>
      <c r="AJ76" s="39">
        <f>AA76-AI76</f>
        <v>0</v>
      </c>
      <c r="AK76" s="39"/>
      <c r="AL76" s="39"/>
      <c r="AM76" s="9">
        <v>0</v>
      </c>
      <c r="AN76" s="101">
        <v>44657</v>
      </c>
      <c r="AO76" s="14" t="s">
        <v>31</v>
      </c>
      <c r="AP76" s="14"/>
      <c r="AQ76" s="58"/>
      <c r="AR76" s="39">
        <v>31368471</v>
      </c>
      <c r="AS76" s="39">
        <f t="shared" si="7"/>
        <v>0</v>
      </c>
      <c r="AT76" s="39"/>
      <c r="AU76" s="39"/>
      <c r="AV76" s="9">
        <v>0</v>
      </c>
      <c r="AW76" s="101">
        <v>44686</v>
      </c>
      <c r="AX76" s="14" t="s">
        <v>31</v>
      </c>
      <c r="AY76" s="14"/>
      <c r="AZ76" s="9"/>
      <c r="BA76" s="39">
        <v>31368471</v>
      </c>
      <c r="BB76" s="39">
        <f>AR76-BA76</f>
        <v>0</v>
      </c>
      <c r="BC76" s="39"/>
      <c r="BD76" s="39"/>
      <c r="BE76" s="9">
        <v>0</v>
      </c>
      <c r="BF76" s="101">
        <v>44715</v>
      </c>
      <c r="BG76" s="14" t="s">
        <v>31</v>
      </c>
      <c r="BH76" s="101">
        <v>44728</v>
      </c>
      <c r="BI76" s="9"/>
      <c r="BJ76" s="39">
        <v>31368471</v>
      </c>
      <c r="BK76" s="39">
        <f t="shared" si="9"/>
        <v>0</v>
      </c>
      <c r="BL76" s="39"/>
      <c r="BM76" s="39"/>
      <c r="BN76" s="9">
        <v>0</v>
      </c>
      <c r="BO76" s="101">
        <v>44748</v>
      </c>
      <c r="BP76" s="14" t="s">
        <v>31</v>
      </c>
      <c r="BQ76" s="101">
        <v>44757</v>
      </c>
      <c r="BR76" s="9"/>
      <c r="BS76" s="39">
        <v>31368471</v>
      </c>
      <c r="BT76" s="39">
        <f>BJ76-BS76</f>
        <v>0</v>
      </c>
      <c r="BU76" s="39"/>
      <c r="BV76" s="39"/>
      <c r="BW76" s="9">
        <v>0</v>
      </c>
      <c r="BX76" s="101">
        <v>44777</v>
      </c>
      <c r="BY76" s="14" t="s">
        <v>31</v>
      </c>
      <c r="BZ76" s="14"/>
      <c r="CA76" s="9"/>
      <c r="CB76" s="39"/>
      <c r="CC76" s="39"/>
      <c r="CD76" s="39"/>
      <c r="CE76" s="39"/>
      <c r="CF76" s="9"/>
      <c r="CG76" s="101"/>
      <c r="CH76" s="14"/>
      <c r="CI76" s="14"/>
      <c r="CJ76" s="9"/>
      <c r="CK76" s="39"/>
      <c r="CL76" s="39"/>
      <c r="CM76" s="39"/>
      <c r="CN76" s="39"/>
      <c r="CO76" s="9"/>
      <c r="CP76" s="101"/>
      <c r="CQ76" s="14"/>
      <c r="CR76" s="14"/>
      <c r="CS76" s="9"/>
      <c r="CT76" s="39"/>
      <c r="CU76" s="39"/>
      <c r="CV76" s="39"/>
      <c r="CW76" s="39"/>
      <c r="CX76" s="9"/>
      <c r="CY76" s="101"/>
      <c r="CZ76" s="14"/>
      <c r="DA76" s="86"/>
      <c r="DB76" s="9"/>
      <c r="DC76" s="39"/>
      <c r="DD76" s="39"/>
      <c r="DE76" s="39"/>
      <c r="DF76" s="39"/>
      <c r="DG76" s="9"/>
      <c r="DH76" s="101"/>
      <c r="DI76" s="14"/>
      <c r="DJ76" s="14"/>
    </row>
    <row r="77" spans="1:114" hidden="1" x14ac:dyDescent="0.35">
      <c r="A77" s="1" t="s">
        <v>271</v>
      </c>
      <c r="B77" s="14" t="s">
        <v>272</v>
      </c>
      <c r="C77" s="14" t="s">
        <v>163</v>
      </c>
      <c r="D77" s="2">
        <v>9575</v>
      </c>
      <c r="E77" s="3">
        <v>204547</v>
      </c>
      <c r="F77" s="3" t="s">
        <v>273</v>
      </c>
      <c r="G77" s="52" t="s">
        <v>274</v>
      </c>
      <c r="H77" s="39">
        <v>12814920</v>
      </c>
      <c r="I77" s="39">
        <v>14468000</v>
      </c>
      <c r="J77" s="39"/>
      <c r="K77" s="39">
        <v>12814920</v>
      </c>
      <c r="L77" s="39">
        <f>H77-K77</f>
        <v>0</v>
      </c>
      <c r="M77" s="39"/>
      <c r="N77" s="39"/>
      <c r="O77" s="9">
        <f>L77/H77</f>
        <v>0</v>
      </c>
      <c r="P77" s="102">
        <v>44564</v>
      </c>
      <c r="Q77" s="3" t="s">
        <v>31</v>
      </c>
      <c r="R77" s="20"/>
      <c r="S77" s="39">
        <v>12814920</v>
      </c>
      <c r="T77" s="8">
        <f>K77-S77</f>
        <v>0</v>
      </c>
      <c r="U77" s="14"/>
      <c r="V77" s="9">
        <v>0</v>
      </c>
      <c r="W77" s="102">
        <v>44593</v>
      </c>
      <c r="X77" s="14" t="s">
        <v>31</v>
      </c>
      <c r="Y77" s="20"/>
      <c r="Z77" s="14"/>
      <c r="AA77" s="57">
        <v>12814920</v>
      </c>
      <c r="AB77" s="57">
        <f>S77-AA77</f>
        <v>0</v>
      </c>
      <c r="AC77" s="14"/>
      <c r="AD77" s="58">
        <v>0</v>
      </c>
      <c r="AE77" s="131">
        <v>44621</v>
      </c>
      <c r="AF77" s="14" t="s">
        <v>31</v>
      </c>
      <c r="AG77" s="20"/>
      <c r="AH77" s="14"/>
      <c r="AI77" s="39">
        <v>12814920</v>
      </c>
      <c r="AJ77" s="39">
        <f>AA77-AI77</f>
        <v>0</v>
      </c>
      <c r="AK77" s="39"/>
      <c r="AL77" s="39"/>
      <c r="AM77" s="9">
        <v>0</v>
      </c>
      <c r="AN77" s="101">
        <v>44655</v>
      </c>
      <c r="AO77" s="14" t="s">
        <v>31</v>
      </c>
      <c r="AP77" s="14"/>
      <c r="AQ77" s="58"/>
      <c r="AR77" s="39">
        <v>12814920</v>
      </c>
      <c r="AS77" s="39">
        <f t="shared" si="7"/>
        <v>0</v>
      </c>
      <c r="AT77" s="39"/>
      <c r="AU77" s="39"/>
      <c r="AV77" s="9">
        <v>0</v>
      </c>
      <c r="AW77" s="101">
        <v>44683</v>
      </c>
      <c r="AX77" s="14" t="s">
        <v>31</v>
      </c>
      <c r="AY77" s="14"/>
      <c r="AZ77" s="9"/>
      <c r="BA77" s="39">
        <v>12814920</v>
      </c>
      <c r="BB77" s="39">
        <f>AR77-BA77</f>
        <v>0</v>
      </c>
      <c r="BC77" s="39"/>
      <c r="BD77" s="39"/>
      <c r="BE77" s="9">
        <v>0</v>
      </c>
      <c r="BF77" s="101">
        <v>44713</v>
      </c>
      <c r="BG77" s="14" t="s">
        <v>31</v>
      </c>
      <c r="BH77" s="101">
        <v>44728</v>
      </c>
      <c r="BI77" s="9"/>
      <c r="BJ77" s="39">
        <v>12814920</v>
      </c>
      <c r="BK77" s="39">
        <f t="shared" si="9"/>
        <v>0</v>
      </c>
      <c r="BL77" s="39"/>
      <c r="BM77" s="39"/>
      <c r="BN77" s="9">
        <v>0</v>
      </c>
      <c r="BO77" s="101">
        <v>44743</v>
      </c>
      <c r="BP77" s="14" t="s">
        <v>31</v>
      </c>
      <c r="BQ77" s="101">
        <v>44757</v>
      </c>
      <c r="BR77" s="9"/>
      <c r="BS77" s="39">
        <v>12814920</v>
      </c>
      <c r="BT77" s="39">
        <f>BJ77-BS77</f>
        <v>0</v>
      </c>
      <c r="BU77" s="39"/>
      <c r="BV77" s="39"/>
      <c r="BW77" s="9">
        <v>0</v>
      </c>
      <c r="BX77" s="101">
        <v>44774</v>
      </c>
      <c r="BY77" s="14" t="s">
        <v>31</v>
      </c>
      <c r="BZ77" s="14"/>
      <c r="CA77" s="9"/>
      <c r="CB77" s="39"/>
      <c r="CC77" s="39"/>
      <c r="CD77" s="39"/>
      <c r="CE77" s="39"/>
      <c r="CF77" s="9"/>
      <c r="CG77" s="101"/>
      <c r="CH77" s="14"/>
      <c r="CI77" s="14"/>
      <c r="CJ77" s="9"/>
      <c r="CK77" s="39"/>
      <c r="CL77" s="39"/>
      <c r="CM77" s="39"/>
      <c r="CN77" s="39"/>
      <c r="CO77" s="9"/>
      <c r="CP77" s="101"/>
      <c r="CQ77" s="14"/>
      <c r="CR77" s="14"/>
      <c r="CS77" s="9"/>
      <c r="CT77" s="39"/>
      <c r="CU77" s="39"/>
      <c r="CV77" s="39"/>
      <c r="CW77" s="39"/>
      <c r="CX77" s="9"/>
      <c r="CY77" s="101"/>
      <c r="CZ77" s="14"/>
      <c r="DA77" s="86"/>
      <c r="DB77" s="9"/>
      <c r="DC77" s="39"/>
      <c r="DD77" s="39"/>
      <c r="DE77" s="39"/>
      <c r="DF77" s="39"/>
      <c r="DG77" s="9"/>
      <c r="DH77" s="101"/>
      <c r="DI77" s="14"/>
      <c r="DJ77" s="14"/>
    </row>
    <row r="78" spans="1:114" hidden="1" x14ac:dyDescent="0.35">
      <c r="A78" s="1" t="s">
        <v>275</v>
      </c>
      <c r="B78" s="14" t="s">
        <v>276</v>
      </c>
      <c r="C78" s="14" t="s">
        <v>277</v>
      </c>
      <c r="D78" s="2" t="s">
        <v>61</v>
      </c>
      <c r="E78" s="3">
        <v>228274</v>
      </c>
      <c r="F78" s="3" t="s">
        <v>278</v>
      </c>
      <c r="G78" s="52" t="s">
        <v>279</v>
      </c>
      <c r="H78" s="11" t="s">
        <v>61</v>
      </c>
      <c r="I78" s="39"/>
      <c r="J78" s="209" t="s">
        <v>533</v>
      </c>
      <c r="K78" s="210"/>
      <c r="L78" s="210"/>
      <c r="M78" s="210"/>
      <c r="N78" s="210"/>
      <c r="O78" s="210"/>
      <c r="P78" s="210"/>
      <c r="Q78" s="210"/>
      <c r="R78" s="211"/>
      <c r="S78" s="172" t="s">
        <v>533</v>
      </c>
      <c r="T78" s="173"/>
      <c r="U78" s="173"/>
      <c r="V78" s="173"/>
      <c r="W78" s="173"/>
      <c r="X78" s="173"/>
      <c r="Y78" s="174"/>
      <c r="Z78" s="172" t="s">
        <v>533</v>
      </c>
      <c r="AA78" s="173"/>
      <c r="AB78" s="173"/>
      <c r="AC78" s="173"/>
      <c r="AD78" s="173"/>
      <c r="AE78" s="173"/>
      <c r="AF78" s="173"/>
      <c r="AG78" s="174"/>
      <c r="AH78" s="172" t="s">
        <v>533</v>
      </c>
      <c r="AI78" s="173"/>
      <c r="AJ78" s="173"/>
      <c r="AK78" s="173"/>
      <c r="AL78" s="173"/>
      <c r="AM78" s="173"/>
      <c r="AN78" s="173"/>
      <c r="AO78" s="173"/>
      <c r="AP78" s="174"/>
      <c r="AQ78" s="163" t="s">
        <v>510</v>
      </c>
      <c r="AR78" s="164"/>
      <c r="AS78" s="164"/>
      <c r="AT78" s="164"/>
      <c r="AU78" s="164"/>
      <c r="AV78" s="164"/>
      <c r="AW78" s="164"/>
      <c r="AX78" s="164"/>
      <c r="AY78" s="165"/>
      <c r="AZ78" s="163" t="s">
        <v>532</v>
      </c>
      <c r="BA78" s="164"/>
      <c r="BB78" s="164"/>
      <c r="BC78" s="164"/>
      <c r="BD78" s="164"/>
      <c r="BE78" s="164"/>
      <c r="BF78" s="164"/>
      <c r="BG78" s="164"/>
      <c r="BH78" s="165"/>
      <c r="BI78" s="163" t="s">
        <v>532</v>
      </c>
      <c r="BJ78" s="164"/>
      <c r="BK78" s="164"/>
      <c r="BL78" s="164"/>
      <c r="BM78" s="164"/>
      <c r="BN78" s="164"/>
      <c r="BO78" s="164"/>
      <c r="BP78" s="164"/>
      <c r="BQ78" s="165"/>
      <c r="BR78" s="9"/>
      <c r="BS78" s="39"/>
      <c r="BT78" s="39"/>
      <c r="BU78" s="39"/>
      <c r="BV78" s="39"/>
      <c r="BW78" s="9"/>
      <c r="BX78" s="101"/>
      <c r="BY78" s="14"/>
      <c r="BZ78" s="14"/>
      <c r="CA78" s="9"/>
      <c r="CB78" s="39"/>
      <c r="CC78" s="39"/>
      <c r="CD78" s="39"/>
      <c r="CE78" s="39"/>
      <c r="CF78" s="9"/>
      <c r="CG78" s="101"/>
      <c r="CH78" s="14"/>
      <c r="CI78" s="14"/>
      <c r="CJ78" s="163"/>
      <c r="CK78" s="164"/>
      <c r="CL78" s="164"/>
      <c r="CM78" s="164"/>
      <c r="CN78" s="164"/>
      <c r="CO78" s="164"/>
      <c r="CP78" s="164"/>
      <c r="CQ78" s="164"/>
      <c r="CR78" s="165"/>
      <c r="CS78" s="163"/>
      <c r="CT78" s="164"/>
      <c r="CU78" s="164"/>
      <c r="CV78" s="164"/>
      <c r="CW78" s="164"/>
      <c r="CX78" s="164"/>
      <c r="CY78" s="164"/>
      <c r="CZ78" s="164"/>
      <c r="DA78" s="165"/>
      <c r="DB78" s="9"/>
      <c r="DC78" s="39"/>
      <c r="DD78" s="39"/>
      <c r="DE78" s="39"/>
      <c r="DF78" s="39"/>
      <c r="DG78" s="9"/>
      <c r="DH78" s="101"/>
      <c r="DI78" s="14"/>
      <c r="DJ78" s="14"/>
    </row>
    <row r="79" spans="1:114" hidden="1" x14ac:dyDescent="0.35">
      <c r="A79" s="1" t="s">
        <v>275</v>
      </c>
      <c r="B79" s="14" t="s">
        <v>276</v>
      </c>
      <c r="C79" s="14" t="s">
        <v>277</v>
      </c>
      <c r="D79" s="2">
        <v>9636</v>
      </c>
      <c r="E79" s="3">
        <v>228274</v>
      </c>
      <c r="F79" s="3" t="s">
        <v>280</v>
      </c>
      <c r="G79" s="52" t="s">
        <v>279</v>
      </c>
      <c r="H79" s="39">
        <v>17255309</v>
      </c>
      <c r="I79" s="39">
        <v>17191513</v>
      </c>
      <c r="J79" s="39"/>
      <c r="K79" s="39">
        <v>17255309</v>
      </c>
      <c r="L79" s="39"/>
      <c r="M79" s="39">
        <f>I79-K79</f>
        <v>-63796</v>
      </c>
      <c r="N79" s="39"/>
      <c r="O79" s="9">
        <f>M79/I79</f>
        <v>-3.7109008381054072E-3</v>
      </c>
      <c r="P79" s="102">
        <v>44568</v>
      </c>
      <c r="Q79" s="14" t="s">
        <v>31</v>
      </c>
      <c r="R79" s="20"/>
      <c r="S79" s="39">
        <v>17255309</v>
      </c>
      <c r="T79" s="8">
        <f>K79-S79</f>
        <v>0</v>
      </c>
      <c r="U79" s="14"/>
      <c r="V79" s="9">
        <v>0</v>
      </c>
      <c r="W79" s="102">
        <v>44600</v>
      </c>
      <c r="X79" s="14" t="s">
        <v>31</v>
      </c>
      <c r="Y79" s="20"/>
      <c r="Z79" s="14"/>
      <c r="AA79" s="57">
        <v>17255309</v>
      </c>
      <c r="AB79" s="57">
        <f>S79-AA79</f>
        <v>0</v>
      </c>
      <c r="AC79" s="14"/>
      <c r="AD79" s="58">
        <v>0</v>
      </c>
      <c r="AE79" s="101">
        <v>44624</v>
      </c>
      <c r="AF79" s="14" t="s">
        <v>31</v>
      </c>
      <c r="AG79" s="20"/>
      <c r="AH79" s="14"/>
      <c r="AI79" s="111">
        <v>17255309</v>
      </c>
      <c r="AJ79" s="8">
        <f>AA79-AI79</f>
        <v>0</v>
      </c>
      <c r="AK79" s="14"/>
      <c r="AL79" s="14"/>
      <c r="AM79" s="113">
        <v>0</v>
      </c>
      <c r="AN79" s="101">
        <v>44657</v>
      </c>
      <c r="AO79" s="14" t="s">
        <v>31</v>
      </c>
      <c r="AP79" s="14"/>
      <c r="AQ79" s="14"/>
      <c r="AR79" s="111">
        <v>17255309</v>
      </c>
      <c r="AS79" s="8">
        <f>AI79-AR79</f>
        <v>0</v>
      </c>
      <c r="AT79" s="14"/>
      <c r="AU79" s="111"/>
      <c r="AV79" s="113">
        <v>0</v>
      </c>
      <c r="AW79" s="101">
        <v>44686</v>
      </c>
      <c r="AX79" s="14" t="s">
        <v>31</v>
      </c>
      <c r="AY79" s="14"/>
      <c r="AZ79" s="9"/>
      <c r="BA79" s="39">
        <v>17255309</v>
      </c>
      <c r="BB79" s="39">
        <f>AR79-BA79</f>
        <v>0</v>
      </c>
      <c r="BC79" s="39"/>
      <c r="BD79" s="39"/>
      <c r="BE79" s="9">
        <v>0</v>
      </c>
      <c r="BF79" s="101">
        <v>44719</v>
      </c>
      <c r="BG79" s="14" t="s">
        <v>31</v>
      </c>
      <c r="BH79" s="101">
        <v>44728</v>
      </c>
      <c r="BI79" s="14"/>
      <c r="BJ79" s="111">
        <v>17255309</v>
      </c>
      <c r="BK79" s="8">
        <f t="shared" ref="BK79:BK93" si="10">BA79-BJ79</f>
        <v>0</v>
      </c>
      <c r="BL79" s="14"/>
      <c r="BM79" s="14"/>
      <c r="BN79" s="113">
        <v>0</v>
      </c>
      <c r="BO79" s="101">
        <v>44750</v>
      </c>
      <c r="BP79" s="14" t="s">
        <v>31</v>
      </c>
      <c r="BQ79" s="101">
        <v>44768</v>
      </c>
      <c r="BR79" s="14"/>
      <c r="BS79" s="111">
        <v>17255309</v>
      </c>
      <c r="BT79" s="8">
        <f>BJ79-BS79</f>
        <v>0</v>
      </c>
      <c r="BU79" s="14"/>
      <c r="BV79" s="14"/>
      <c r="BW79" s="113">
        <v>0</v>
      </c>
      <c r="BX79" s="101">
        <v>44778</v>
      </c>
      <c r="BY79" s="14" t="s">
        <v>31</v>
      </c>
      <c r="BZ79" s="14"/>
      <c r="CA79" s="9"/>
      <c r="CB79" s="39"/>
      <c r="CC79" s="39"/>
      <c r="CD79" s="39"/>
      <c r="CE79" s="39"/>
      <c r="CF79" s="9"/>
      <c r="CG79" s="101"/>
      <c r="CH79" s="14"/>
      <c r="CI79" s="14"/>
      <c r="CJ79" s="9"/>
      <c r="CK79" s="39"/>
      <c r="CL79" s="39"/>
      <c r="CM79" s="39"/>
      <c r="CN79" s="39"/>
      <c r="CO79" s="9"/>
      <c r="CP79" s="101"/>
      <c r="CQ79" s="14"/>
      <c r="CR79" s="14"/>
      <c r="CS79" s="9"/>
      <c r="CT79" s="39"/>
      <c r="CU79" s="39"/>
      <c r="CV79" s="39"/>
      <c r="CW79" s="39"/>
      <c r="CX79" s="9"/>
      <c r="CY79" s="101"/>
      <c r="CZ79" s="14"/>
      <c r="DA79" s="86"/>
      <c r="DB79" s="9"/>
      <c r="DC79" s="39"/>
      <c r="DD79" s="39"/>
      <c r="DE79" s="39"/>
      <c r="DF79" s="39"/>
      <c r="DG79" s="9"/>
      <c r="DH79" s="101"/>
      <c r="DI79" s="14"/>
      <c r="DJ79" s="14"/>
    </row>
    <row r="80" spans="1:114" hidden="1" x14ac:dyDescent="0.35">
      <c r="A80" s="1" t="s">
        <v>281</v>
      </c>
      <c r="B80" s="14" t="s">
        <v>282</v>
      </c>
      <c r="C80" s="14" t="s">
        <v>119</v>
      </c>
      <c r="D80" s="2" t="s">
        <v>283</v>
      </c>
      <c r="E80" s="3">
        <v>214089</v>
      </c>
      <c r="F80" s="3" t="s">
        <v>284</v>
      </c>
      <c r="G80" s="52" t="s">
        <v>105</v>
      </c>
      <c r="H80" s="39">
        <v>17825586</v>
      </c>
      <c r="I80" s="39">
        <v>17825586</v>
      </c>
      <c r="J80" s="39"/>
      <c r="K80" s="39">
        <v>17825586</v>
      </c>
      <c r="L80" s="39">
        <f>I80-K80</f>
        <v>0</v>
      </c>
      <c r="M80" s="39"/>
      <c r="N80" s="39"/>
      <c r="O80" s="9">
        <v>0</v>
      </c>
      <c r="P80" s="102">
        <v>44564</v>
      </c>
      <c r="Q80" s="3" t="s">
        <v>31</v>
      </c>
      <c r="R80" s="20"/>
      <c r="S80" s="39">
        <v>17825586</v>
      </c>
      <c r="T80" s="8">
        <f>K80-S80</f>
        <v>0</v>
      </c>
      <c r="U80" s="39"/>
      <c r="V80" s="9">
        <v>0</v>
      </c>
      <c r="W80" s="101">
        <v>44594</v>
      </c>
      <c r="X80" s="14" t="s">
        <v>31</v>
      </c>
      <c r="Y80" s="20"/>
      <c r="Z80" s="14"/>
      <c r="AA80" s="57">
        <v>17231400</v>
      </c>
      <c r="AB80" s="57">
        <f>S80-AA80</f>
        <v>594186</v>
      </c>
      <c r="AC80" s="14"/>
      <c r="AD80" s="58">
        <f>AB80/S80</f>
        <v>3.3333322113505835E-2</v>
      </c>
      <c r="AE80" s="131">
        <v>44621</v>
      </c>
      <c r="AF80" s="14" t="s">
        <v>31</v>
      </c>
      <c r="AG80" s="20"/>
      <c r="AH80" s="14"/>
      <c r="AI80" s="39">
        <v>9492535</v>
      </c>
      <c r="AJ80" s="39">
        <f>AA80-AI80</f>
        <v>7738865</v>
      </c>
      <c r="AK80" s="39"/>
      <c r="AL80" s="39"/>
      <c r="AM80" s="9">
        <f>AJ80/AA80</f>
        <v>0.44911411725106493</v>
      </c>
      <c r="AN80" s="102">
        <v>44658</v>
      </c>
      <c r="AO80" s="14" t="s">
        <v>31</v>
      </c>
      <c r="AP80" s="14"/>
      <c r="AQ80" s="58"/>
      <c r="AR80" s="39">
        <v>20996900</v>
      </c>
      <c r="AS80" s="39"/>
      <c r="AT80" s="39">
        <f>AR80-AA80</f>
        <v>3765500</v>
      </c>
      <c r="AU80" s="39"/>
      <c r="AV80" s="9">
        <f>AT80/AA80</f>
        <v>0.21852548254929954</v>
      </c>
      <c r="AW80" s="101">
        <v>44694</v>
      </c>
      <c r="AX80" s="14" t="s">
        <v>31</v>
      </c>
      <c r="AY80" s="14"/>
      <c r="AZ80" s="9"/>
      <c r="BA80" s="39">
        <v>20996900</v>
      </c>
      <c r="BB80" s="39">
        <f>AR80-BA80</f>
        <v>0</v>
      </c>
      <c r="BC80" s="39"/>
      <c r="BD80" s="39"/>
      <c r="BE80" s="9">
        <v>0</v>
      </c>
      <c r="BF80" s="101">
        <v>44719</v>
      </c>
      <c r="BG80" s="14" t="s">
        <v>31</v>
      </c>
      <c r="BH80" s="101">
        <v>44728</v>
      </c>
      <c r="BI80" s="9"/>
      <c r="BJ80" s="39">
        <v>20996900</v>
      </c>
      <c r="BK80" s="39">
        <f t="shared" si="10"/>
        <v>0</v>
      </c>
      <c r="BL80" s="39"/>
      <c r="BM80" s="39"/>
      <c r="BN80" s="9">
        <v>0</v>
      </c>
      <c r="BO80" s="101">
        <v>44743</v>
      </c>
      <c r="BP80" s="14" t="s">
        <v>31</v>
      </c>
      <c r="BQ80" s="101">
        <v>44757</v>
      </c>
      <c r="BR80" s="9"/>
      <c r="BS80" s="39">
        <v>20996900</v>
      </c>
      <c r="BT80" s="39">
        <f>BJ80-BS80</f>
        <v>0</v>
      </c>
      <c r="BU80" s="39"/>
      <c r="BV80" s="39"/>
      <c r="BW80" s="9">
        <v>0</v>
      </c>
      <c r="BX80" s="101">
        <v>44775</v>
      </c>
      <c r="BY80" s="14" t="s">
        <v>31</v>
      </c>
      <c r="BZ80" s="14"/>
      <c r="CA80" s="9"/>
      <c r="CB80" s="39"/>
      <c r="CC80" s="39"/>
      <c r="CD80" s="39"/>
      <c r="CE80" s="39"/>
      <c r="CF80" s="9"/>
      <c r="CG80" s="101"/>
      <c r="CH80" s="14"/>
      <c r="CI80" s="14"/>
      <c r="CJ80" s="9"/>
      <c r="CK80" s="39"/>
      <c r="CL80" s="39"/>
      <c r="CM80" s="39"/>
      <c r="CN80" s="39"/>
      <c r="CO80" s="9"/>
      <c r="CP80" s="101"/>
      <c r="CQ80" s="14"/>
      <c r="CR80" s="14"/>
      <c r="CS80" s="9"/>
      <c r="CT80" s="39"/>
      <c r="CU80" s="39"/>
      <c r="CV80" s="39"/>
      <c r="CW80" s="39"/>
      <c r="CX80" s="9"/>
      <c r="CY80" s="101"/>
      <c r="CZ80" s="14"/>
      <c r="DA80" s="86"/>
      <c r="DB80" s="9"/>
      <c r="DC80" s="39"/>
      <c r="DD80" s="39"/>
      <c r="DE80" s="39"/>
      <c r="DF80" s="39"/>
      <c r="DG80" s="9"/>
      <c r="DH80" s="101"/>
      <c r="DI80" s="14"/>
      <c r="DJ80" s="14"/>
    </row>
    <row r="81" spans="1:114" hidden="1" x14ac:dyDescent="0.35">
      <c r="A81" s="1" t="s">
        <v>285</v>
      </c>
      <c r="B81" s="14" t="s">
        <v>286</v>
      </c>
      <c r="C81" s="14" t="s">
        <v>197</v>
      </c>
      <c r="D81" s="2">
        <v>6574</v>
      </c>
      <c r="E81" s="3">
        <v>219814</v>
      </c>
      <c r="F81" s="3" t="s">
        <v>287</v>
      </c>
      <c r="G81" s="52" t="s">
        <v>288</v>
      </c>
      <c r="H81" s="39">
        <v>8685835</v>
      </c>
      <c r="I81" s="39">
        <v>8070837</v>
      </c>
      <c r="J81" s="39"/>
      <c r="K81" s="39">
        <v>8070837</v>
      </c>
      <c r="L81" s="39">
        <f>I81-K81</f>
        <v>0</v>
      </c>
      <c r="M81" s="39"/>
      <c r="N81" s="39"/>
      <c r="O81" s="9">
        <v>0</v>
      </c>
      <c r="P81" s="101">
        <v>44566</v>
      </c>
      <c r="Q81" s="14" t="s">
        <v>31</v>
      </c>
      <c r="R81" s="20"/>
      <c r="S81" s="39">
        <v>8685835</v>
      </c>
      <c r="T81" s="8">
        <f>K81-S81</f>
        <v>-614998</v>
      </c>
      <c r="U81" s="14"/>
      <c r="V81" s="6">
        <f>T81/K81</f>
        <v>-7.6200027332976747E-2</v>
      </c>
      <c r="W81" s="102">
        <v>44589</v>
      </c>
      <c r="X81" s="14" t="s">
        <v>31</v>
      </c>
      <c r="Y81" s="20"/>
      <c r="Z81" s="14"/>
      <c r="AA81" s="57">
        <v>8685835</v>
      </c>
      <c r="AB81" s="57">
        <f>S81-AA81</f>
        <v>0</v>
      </c>
      <c r="AC81" s="14"/>
      <c r="AD81" s="58">
        <v>0</v>
      </c>
      <c r="AE81" s="101">
        <v>44620</v>
      </c>
      <c r="AF81" s="14" t="s">
        <v>31</v>
      </c>
      <c r="AG81" s="20"/>
      <c r="AH81" s="67"/>
      <c r="AI81" s="39">
        <v>8685835</v>
      </c>
      <c r="AJ81" s="39">
        <f>AA81-AI81</f>
        <v>0</v>
      </c>
      <c r="AK81" s="39"/>
      <c r="AL81" s="39"/>
      <c r="AM81" s="9">
        <v>0</v>
      </c>
      <c r="AN81" s="102">
        <v>44650</v>
      </c>
      <c r="AO81" s="14" t="s">
        <v>31</v>
      </c>
      <c r="AP81" s="14"/>
      <c r="AQ81" s="58"/>
      <c r="AR81" s="39">
        <v>8685835</v>
      </c>
      <c r="AS81" s="39">
        <f t="shared" ref="AS81:AS92" si="11">AI81-AR81</f>
        <v>0</v>
      </c>
      <c r="AT81" s="39"/>
      <c r="AU81" s="39"/>
      <c r="AV81" s="9">
        <v>0</v>
      </c>
      <c r="AW81" s="101">
        <v>44679</v>
      </c>
      <c r="AX81" s="14" t="s">
        <v>31</v>
      </c>
      <c r="AY81" s="14"/>
      <c r="AZ81" s="9"/>
      <c r="BA81" s="39">
        <v>8685835</v>
      </c>
      <c r="BB81" s="39">
        <f t="shared" ref="BB81:BB90" si="12">AR81-BA81</f>
        <v>0</v>
      </c>
      <c r="BC81" s="39"/>
      <c r="BD81" s="39"/>
      <c r="BE81" s="9">
        <v>0</v>
      </c>
      <c r="BF81" s="101">
        <v>44712</v>
      </c>
      <c r="BG81" s="14" t="s">
        <v>31</v>
      </c>
      <c r="BH81" s="101">
        <v>44722</v>
      </c>
      <c r="BI81" s="9"/>
      <c r="BJ81" s="39">
        <v>8685835</v>
      </c>
      <c r="BK81" s="39">
        <f t="shared" si="10"/>
        <v>0</v>
      </c>
      <c r="BL81" s="39"/>
      <c r="BM81" s="39"/>
      <c r="BN81" s="9">
        <v>0</v>
      </c>
      <c r="BO81" s="101">
        <v>44741</v>
      </c>
      <c r="BP81" s="14" t="s">
        <v>31</v>
      </c>
      <c r="BQ81" s="14"/>
      <c r="BR81" s="9"/>
      <c r="BS81" s="39">
        <v>8685835</v>
      </c>
      <c r="BT81" s="39">
        <f>BJ81-BS81</f>
        <v>0</v>
      </c>
      <c r="BU81" s="39"/>
      <c r="BV81" s="39"/>
      <c r="BW81" s="9">
        <v>0</v>
      </c>
      <c r="BX81" s="101">
        <v>44774</v>
      </c>
      <c r="BY81" s="14" t="s">
        <v>31</v>
      </c>
      <c r="BZ81" s="14"/>
      <c r="CA81" s="9"/>
      <c r="CB81" s="39"/>
      <c r="CC81" s="39"/>
      <c r="CD81" s="39"/>
      <c r="CE81" s="39"/>
      <c r="CF81" s="9"/>
      <c r="CG81" s="101"/>
      <c r="CH81" s="14"/>
      <c r="CI81" s="14"/>
      <c r="CJ81" s="9"/>
      <c r="CK81" s="39"/>
      <c r="CL81" s="39"/>
      <c r="CM81" s="39"/>
      <c r="CN81" s="39"/>
      <c r="CO81" s="9"/>
      <c r="CP81" s="101"/>
      <c r="CQ81" s="14"/>
      <c r="CR81" s="14"/>
      <c r="CS81" s="9"/>
      <c r="CT81" s="39"/>
      <c r="CU81" s="39"/>
      <c r="CV81" s="39"/>
      <c r="CW81" s="39"/>
      <c r="CX81" s="9"/>
      <c r="CY81" s="101"/>
      <c r="CZ81" s="14"/>
      <c r="DA81" s="86"/>
      <c r="DB81" s="9"/>
      <c r="DC81" s="39"/>
      <c r="DD81" s="39"/>
      <c r="DE81" s="39"/>
      <c r="DF81" s="39"/>
      <c r="DG81" s="9"/>
      <c r="DH81" s="101"/>
      <c r="DI81" s="14"/>
      <c r="DJ81" s="14"/>
    </row>
    <row r="82" spans="1:114" hidden="1" x14ac:dyDescent="0.35">
      <c r="A82" s="1" t="s">
        <v>295</v>
      </c>
      <c r="B82" s="14" t="s">
        <v>296</v>
      </c>
      <c r="C82" s="14" t="s">
        <v>158</v>
      </c>
      <c r="D82" s="2">
        <v>6598</v>
      </c>
      <c r="E82" s="3">
        <v>204518</v>
      </c>
      <c r="F82" s="3" t="s">
        <v>297</v>
      </c>
      <c r="G82" s="52" t="s">
        <v>298</v>
      </c>
      <c r="H82" s="39">
        <v>16607000</v>
      </c>
      <c r="I82" s="39">
        <v>16607000</v>
      </c>
      <c r="J82" s="39"/>
      <c r="K82" s="39">
        <v>16607000</v>
      </c>
      <c r="L82" s="39">
        <f>K82-H82</f>
        <v>0</v>
      </c>
      <c r="M82" s="39"/>
      <c r="N82" s="39"/>
      <c r="O82" s="9">
        <v>0</v>
      </c>
      <c r="P82" s="102">
        <v>44564</v>
      </c>
      <c r="Q82" s="3" t="s">
        <v>31</v>
      </c>
      <c r="R82" s="20"/>
      <c r="S82" s="39">
        <v>16607000</v>
      </c>
      <c r="T82" s="8">
        <f>K82-S82</f>
        <v>0</v>
      </c>
      <c r="U82" s="14"/>
      <c r="V82" s="9">
        <v>0</v>
      </c>
      <c r="W82" s="101">
        <v>44594</v>
      </c>
      <c r="X82" s="14" t="s">
        <v>31</v>
      </c>
      <c r="Y82" s="20"/>
      <c r="Z82" s="14"/>
      <c r="AA82" s="57">
        <v>16607000</v>
      </c>
      <c r="AB82" s="57">
        <f>S82-AA82</f>
        <v>0</v>
      </c>
      <c r="AC82" s="14"/>
      <c r="AD82" s="58">
        <v>0</v>
      </c>
      <c r="AE82" s="101">
        <v>44624</v>
      </c>
      <c r="AF82" s="14" t="s">
        <v>31</v>
      </c>
      <c r="AG82" s="20"/>
      <c r="AH82" s="14"/>
      <c r="AI82" s="39">
        <v>16607000</v>
      </c>
      <c r="AJ82" s="39">
        <f>AA82-AI82</f>
        <v>0</v>
      </c>
      <c r="AK82" s="39"/>
      <c r="AL82" s="39"/>
      <c r="AM82" s="9">
        <v>0</v>
      </c>
      <c r="AN82" s="101">
        <v>44655</v>
      </c>
      <c r="AO82" s="14" t="s">
        <v>31</v>
      </c>
      <c r="AP82" s="14"/>
      <c r="AQ82" s="58"/>
      <c r="AR82" s="39">
        <v>16607000</v>
      </c>
      <c r="AS82" s="39">
        <f t="shared" si="11"/>
        <v>0</v>
      </c>
      <c r="AT82" s="39"/>
      <c r="AU82" s="39"/>
      <c r="AV82" s="9">
        <v>0</v>
      </c>
      <c r="AW82" s="101">
        <v>44683</v>
      </c>
      <c r="AX82" s="14" t="s">
        <v>31</v>
      </c>
      <c r="AY82" s="14"/>
      <c r="AZ82" s="9"/>
      <c r="BA82" s="39">
        <v>16607000</v>
      </c>
      <c r="BB82" s="39">
        <f t="shared" si="12"/>
        <v>0</v>
      </c>
      <c r="BC82" s="39"/>
      <c r="BD82" s="39"/>
      <c r="BE82" s="9">
        <v>0</v>
      </c>
      <c r="BF82" s="101">
        <v>44713</v>
      </c>
      <c r="BG82" s="14" t="s">
        <v>31</v>
      </c>
      <c r="BH82" s="101">
        <v>44728</v>
      </c>
      <c r="BI82" s="9"/>
      <c r="BJ82" s="39">
        <v>16607000</v>
      </c>
      <c r="BK82" s="39">
        <f t="shared" si="10"/>
        <v>0</v>
      </c>
      <c r="BL82" s="39"/>
      <c r="BM82" s="39"/>
      <c r="BN82" s="9">
        <v>0</v>
      </c>
      <c r="BO82" s="101">
        <v>44743</v>
      </c>
      <c r="BP82" s="14" t="s">
        <v>31</v>
      </c>
      <c r="BQ82" s="101">
        <v>44757</v>
      </c>
      <c r="BR82" s="9"/>
      <c r="BS82" s="39">
        <v>18038500</v>
      </c>
      <c r="BT82" s="39"/>
      <c r="BU82" s="39">
        <f>BJ82-BS82</f>
        <v>-1431500</v>
      </c>
      <c r="BV82" s="39"/>
      <c r="BW82" s="9">
        <f>BU82/BJ82</f>
        <v>-8.6198590955621129E-2</v>
      </c>
      <c r="BX82" s="101">
        <v>44774</v>
      </c>
      <c r="BY82" s="14" t="s">
        <v>31</v>
      </c>
      <c r="BZ82" s="14"/>
      <c r="CA82" s="9"/>
      <c r="CB82" s="39"/>
      <c r="CC82" s="39"/>
      <c r="CD82" s="39"/>
      <c r="CE82" s="39"/>
      <c r="CF82" s="9"/>
      <c r="CG82" s="101"/>
      <c r="CH82" s="14"/>
      <c r="CI82" s="14"/>
      <c r="CJ82" s="9"/>
      <c r="CK82" s="39"/>
      <c r="CL82" s="39"/>
      <c r="CM82" s="39"/>
      <c r="CN82" s="39"/>
      <c r="CO82" s="9"/>
      <c r="CP82" s="101"/>
      <c r="CQ82" s="14"/>
      <c r="CR82" s="14"/>
      <c r="CS82" s="9"/>
      <c r="CT82" s="39"/>
      <c r="CU82" s="39"/>
      <c r="CV82" s="39"/>
      <c r="CW82" s="39"/>
      <c r="CX82" s="9"/>
      <c r="CY82" s="101"/>
      <c r="CZ82" s="14"/>
      <c r="DA82" s="86"/>
      <c r="DB82" s="9"/>
      <c r="DC82" s="39"/>
      <c r="DD82" s="39"/>
      <c r="DE82" s="39"/>
      <c r="DF82" s="39"/>
      <c r="DG82" s="9"/>
      <c r="DH82" s="101"/>
      <c r="DI82" s="14"/>
      <c r="DJ82" s="14"/>
    </row>
    <row r="83" spans="1:114" x14ac:dyDescent="0.35">
      <c r="A83" s="1" t="s">
        <v>302</v>
      </c>
      <c r="B83" s="14" t="s">
        <v>303</v>
      </c>
      <c r="C83" s="14" t="s">
        <v>158</v>
      </c>
      <c r="D83" s="2">
        <v>6600</v>
      </c>
      <c r="E83" s="3">
        <v>204517</v>
      </c>
      <c r="F83" s="3" t="s">
        <v>304</v>
      </c>
      <c r="G83" s="52" t="s">
        <v>305</v>
      </c>
      <c r="H83" s="39">
        <v>23524146</v>
      </c>
      <c r="I83" s="39">
        <v>22272435</v>
      </c>
      <c r="J83" s="39"/>
      <c r="K83" s="39">
        <v>22272435</v>
      </c>
      <c r="L83" s="39">
        <f>I83-K83</f>
        <v>0</v>
      </c>
      <c r="M83" s="39"/>
      <c r="N83" s="39"/>
      <c r="O83" s="9">
        <f>L83/K83</f>
        <v>0</v>
      </c>
      <c r="P83" s="102">
        <v>44560</v>
      </c>
      <c r="Q83" s="3" t="s">
        <v>31</v>
      </c>
      <c r="R83" s="20"/>
      <c r="S83" s="39">
        <v>22272435</v>
      </c>
      <c r="T83" s="8">
        <f>K83-S83</f>
        <v>0</v>
      </c>
      <c r="U83" s="14"/>
      <c r="V83" s="9">
        <f>T83/S83</f>
        <v>0</v>
      </c>
      <c r="W83" s="101">
        <v>44592</v>
      </c>
      <c r="X83" s="14" t="s">
        <v>31</v>
      </c>
      <c r="Y83" s="20"/>
      <c r="Z83" s="14"/>
      <c r="AA83" s="57">
        <v>22272435</v>
      </c>
      <c r="AB83" s="57">
        <f>S83-AA83</f>
        <v>0</v>
      </c>
      <c r="AC83" s="14"/>
      <c r="AD83" s="58">
        <f>AB83/AA83</f>
        <v>0</v>
      </c>
      <c r="AE83" s="131">
        <v>44622</v>
      </c>
      <c r="AF83" s="14" t="s">
        <v>31</v>
      </c>
      <c r="AG83" s="20"/>
      <c r="AH83" s="9"/>
      <c r="AI83" s="39">
        <v>23524146</v>
      </c>
      <c r="AJ83" s="39"/>
      <c r="AK83" s="39">
        <f>AA83-AI83</f>
        <v>-1251711</v>
      </c>
      <c r="AL83" s="39"/>
      <c r="AM83" s="6">
        <f>AK83/AA83</f>
        <v>-5.6200006869477896E-2</v>
      </c>
      <c r="AN83" s="101">
        <v>44655</v>
      </c>
      <c r="AO83" s="14" t="s">
        <v>31</v>
      </c>
      <c r="AP83" s="14"/>
      <c r="AQ83" s="58"/>
      <c r="AR83" s="39">
        <v>23524146</v>
      </c>
      <c r="AS83" s="39">
        <f t="shared" si="11"/>
        <v>0</v>
      </c>
      <c r="AT83" s="39"/>
      <c r="AU83" s="39"/>
      <c r="AV83" s="9">
        <v>0</v>
      </c>
      <c r="AW83" s="101">
        <v>44683</v>
      </c>
      <c r="AX83" s="14" t="s">
        <v>31</v>
      </c>
      <c r="AY83" s="14"/>
      <c r="AZ83" s="9"/>
      <c r="BA83" s="39">
        <v>23524146</v>
      </c>
      <c r="BB83" s="39">
        <f t="shared" si="12"/>
        <v>0</v>
      </c>
      <c r="BC83" s="39"/>
      <c r="BD83" s="39"/>
      <c r="BE83" s="9">
        <v>0</v>
      </c>
      <c r="BF83" s="101">
        <v>44713</v>
      </c>
      <c r="BG83" s="14" t="s">
        <v>31</v>
      </c>
      <c r="BH83" s="101">
        <v>44728</v>
      </c>
      <c r="BI83" s="9"/>
      <c r="BJ83" s="39">
        <v>23524146</v>
      </c>
      <c r="BK83" s="39">
        <f t="shared" si="10"/>
        <v>0</v>
      </c>
      <c r="BL83" s="39"/>
      <c r="BM83" s="39"/>
      <c r="BN83" s="9">
        <v>0</v>
      </c>
      <c r="BO83" s="101">
        <v>44743</v>
      </c>
      <c r="BP83" s="14" t="s">
        <v>31</v>
      </c>
      <c r="BQ83" s="101">
        <v>44757</v>
      </c>
      <c r="BR83" s="9"/>
      <c r="BS83" s="39">
        <v>23524146</v>
      </c>
      <c r="BT83" s="39">
        <f t="shared" ref="BT83:BT90" si="13">BJ83-BS83</f>
        <v>0</v>
      </c>
      <c r="BU83" s="39"/>
      <c r="BV83" s="39"/>
      <c r="BW83" s="9">
        <v>0</v>
      </c>
      <c r="BX83" s="101">
        <v>44774</v>
      </c>
      <c r="BY83" s="14" t="s">
        <v>31</v>
      </c>
      <c r="BZ83" s="14"/>
      <c r="CA83" s="9"/>
      <c r="CB83" s="39"/>
      <c r="CC83" s="39"/>
      <c r="CD83" s="39"/>
      <c r="CE83" s="39"/>
      <c r="CF83" s="9"/>
      <c r="CG83" s="101"/>
      <c r="CH83" s="14"/>
      <c r="CI83" s="14"/>
      <c r="CJ83" s="9"/>
      <c r="CK83" s="39"/>
      <c r="CL83" s="39"/>
      <c r="CM83" s="39"/>
      <c r="CN83" s="39"/>
      <c r="CO83" s="9"/>
      <c r="CP83" s="101"/>
      <c r="CQ83" s="14"/>
      <c r="CR83" s="14"/>
      <c r="CS83" s="9"/>
      <c r="CT83" s="39"/>
      <c r="CU83" s="39"/>
      <c r="CV83" s="39"/>
      <c r="CW83" s="39"/>
      <c r="CX83" s="9"/>
      <c r="CY83" s="101"/>
      <c r="CZ83" s="14"/>
      <c r="DA83" s="86"/>
      <c r="DB83" s="9"/>
      <c r="DC83" s="39"/>
      <c r="DD83" s="39"/>
      <c r="DE83" s="39"/>
      <c r="DF83" s="39"/>
      <c r="DG83" s="9"/>
      <c r="DH83" s="101"/>
      <c r="DI83" s="14"/>
      <c r="DJ83" s="14"/>
    </row>
    <row r="84" spans="1:114" hidden="1" x14ac:dyDescent="0.35">
      <c r="A84" s="1" t="s">
        <v>306</v>
      </c>
      <c r="B84" s="14" t="s">
        <v>307</v>
      </c>
      <c r="C84" s="14" t="s">
        <v>197</v>
      </c>
      <c r="D84" s="2">
        <v>6601</v>
      </c>
      <c r="E84" s="3" t="s">
        <v>308</v>
      </c>
      <c r="F84" s="3" t="s">
        <v>309</v>
      </c>
      <c r="G84" s="52" t="s">
        <v>310</v>
      </c>
      <c r="H84" s="39">
        <v>13500000</v>
      </c>
      <c r="I84" s="39">
        <v>11780000</v>
      </c>
      <c r="J84" s="39"/>
      <c r="K84" s="39">
        <v>13500000</v>
      </c>
      <c r="L84" s="39">
        <f>H84-K84</f>
        <v>0</v>
      </c>
      <c r="M84" s="39"/>
      <c r="N84" s="39"/>
      <c r="O84" s="9">
        <f>L84/H84</f>
        <v>0</v>
      </c>
      <c r="P84" s="101">
        <v>44567</v>
      </c>
      <c r="Q84" s="101" t="s">
        <v>31</v>
      </c>
      <c r="R84" s="20"/>
      <c r="S84" s="39">
        <v>13500000</v>
      </c>
      <c r="T84" s="8">
        <f>S84-H84</f>
        <v>0</v>
      </c>
      <c r="U84" s="14"/>
      <c r="V84" s="9">
        <f>T84/H84</f>
        <v>0</v>
      </c>
      <c r="W84" s="101">
        <v>44594</v>
      </c>
      <c r="X84" s="14" t="s">
        <v>31</v>
      </c>
      <c r="Y84" s="20"/>
      <c r="Z84" s="67"/>
      <c r="AA84" s="57">
        <v>13500000</v>
      </c>
      <c r="AB84" s="57">
        <f t="shared" ref="AB84:AB90" si="14">S84-AA84</f>
        <v>0</v>
      </c>
      <c r="AC84" s="14"/>
      <c r="AD84" s="58">
        <v>0</v>
      </c>
      <c r="AE84" s="131">
        <v>44622</v>
      </c>
      <c r="AF84" s="14" t="s">
        <v>31</v>
      </c>
      <c r="AG84" s="20"/>
      <c r="AH84" s="67"/>
      <c r="AI84" s="39">
        <v>13500000</v>
      </c>
      <c r="AJ84" s="39">
        <f t="shared" ref="AJ84:AJ90" si="15">AA84-AI84</f>
        <v>0</v>
      </c>
      <c r="AK84" s="39"/>
      <c r="AL84" s="39"/>
      <c r="AM84" s="9">
        <v>0</v>
      </c>
      <c r="AN84" s="101">
        <v>44655</v>
      </c>
      <c r="AO84" s="14" t="s">
        <v>31</v>
      </c>
      <c r="AP84" s="14"/>
      <c r="AQ84" s="58"/>
      <c r="AR84" s="39">
        <v>13500000</v>
      </c>
      <c r="AS84" s="39">
        <f t="shared" si="11"/>
        <v>0</v>
      </c>
      <c r="AT84" s="39"/>
      <c r="AU84" s="39"/>
      <c r="AV84" s="9">
        <v>0</v>
      </c>
      <c r="AW84" s="101">
        <v>44683</v>
      </c>
      <c r="AX84" s="14" t="s">
        <v>31</v>
      </c>
      <c r="AY84" s="14"/>
      <c r="AZ84" s="9"/>
      <c r="BA84" s="39">
        <v>13500000</v>
      </c>
      <c r="BB84" s="39">
        <f t="shared" si="12"/>
        <v>0</v>
      </c>
      <c r="BC84" s="39"/>
      <c r="BD84" s="39"/>
      <c r="BE84" s="9">
        <v>0</v>
      </c>
      <c r="BF84" s="101">
        <v>44715</v>
      </c>
      <c r="BG84" s="14" t="s">
        <v>31</v>
      </c>
      <c r="BH84" s="101">
        <v>44736</v>
      </c>
      <c r="BI84" s="9"/>
      <c r="BJ84" s="39">
        <v>13500000</v>
      </c>
      <c r="BK84" s="39">
        <f t="shared" si="10"/>
        <v>0</v>
      </c>
      <c r="BL84" s="39"/>
      <c r="BM84" s="39"/>
      <c r="BN84" s="9">
        <v>0</v>
      </c>
      <c r="BO84" s="101">
        <v>44743</v>
      </c>
      <c r="BP84" s="14" t="s">
        <v>31</v>
      </c>
      <c r="BQ84" s="101">
        <v>44757</v>
      </c>
      <c r="BR84" s="9"/>
      <c r="BS84" s="39">
        <v>13500000</v>
      </c>
      <c r="BT84" s="39">
        <f t="shared" si="13"/>
        <v>0</v>
      </c>
      <c r="BU84" s="39"/>
      <c r="BV84" s="39"/>
      <c r="BW84" s="9">
        <v>0</v>
      </c>
      <c r="BX84" s="101">
        <v>44775</v>
      </c>
      <c r="BY84" s="14" t="s">
        <v>31</v>
      </c>
      <c r="BZ84" s="14"/>
      <c r="CA84" s="9"/>
      <c r="CB84" s="39"/>
      <c r="CC84" s="39"/>
      <c r="CD84" s="39"/>
      <c r="CE84" s="39"/>
      <c r="CF84" s="9"/>
      <c r="CG84" s="101"/>
      <c r="CH84" s="14"/>
      <c r="CI84" s="14"/>
      <c r="CJ84" s="9"/>
      <c r="CK84" s="39"/>
      <c r="CL84" s="39"/>
      <c r="CM84" s="39"/>
      <c r="CN84" s="39"/>
      <c r="CO84" s="9"/>
      <c r="CP84" s="101"/>
      <c r="CQ84" s="14"/>
      <c r="CR84" s="14"/>
      <c r="CS84" s="9"/>
      <c r="CT84" s="39"/>
      <c r="CU84" s="39"/>
      <c r="CV84" s="39"/>
      <c r="CW84" s="39"/>
      <c r="CX84" s="9"/>
      <c r="CY84" s="101"/>
      <c r="CZ84" s="14"/>
      <c r="DA84" s="86"/>
      <c r="DB84" s="9"/>
      <c r="DC84" s="39"/>
      <c r="DD84" s="39"/>
      <c r="DE84" s="39"/>
      <c r="DF84" s="39"/>
      <c r="DG84" s="9"/>
      <c r="DH84" s="101"/>
      <c r="DI84" s="14"/>
      <c r="DJ84" s="14"/>
    </row>
    <row r="85" spans="1:114" hidden="1" x14ac:dyDescent="0.35">
      <c r="A85" s="1" t="s">
        <v>311</v>
      </c>
      <c r="B85" s="14" t="s">
        <v>312</v>
      </c>
      <c r="C85" s="14" t="s">
        <v>158</v>
      </c>
      <c r="D85" s="2">
        <v>6602</v>
      </c>
      <c r="E85" s="3">
        <v>204884</v>
      </c>
      <c r="F85" s="3" t="s">
        <v>313</v>
      </c>
      <c r="G85" s="52" t="s">
        <v>314</v>
      </c>
      <c r="H85" s="39">
        <v>9294560</v>
      </c>
      <c r="I85" s="39">
        <v>8800000</v>
      </c>
      <c r="J85" s="39"/>
      <c r="K85" s="39">
        <f>8941680+352880</f>
        <v>9294560</v>
      </c>
      <c r="L85" s="39">
        <f>I85-K85</f>
        <v>-494560</v>
      </c>
      <c r="M85" s="39"/>
      <c r="N85" s="39"/>
      <c r="O85" s="9">
        <f>L85/I85</f>
        <v>-5.62E-2</v>
      </c>
      <c r="P85" s="102">
        <v>44769</v>
      </c>
      <c r="Q85" s="14" t="s">
        <v>31</v>
      </c>
      <c r="R85" s="20"/>
      <c r="S85" s="39">
        <v>9294560</v>
      </c>
      <c r="T85" s="8">
        <f t="shared" ref="T85:T90" si="16">K85-S85</f>
        <v>0</v>
      </c>
      <c r="U85" s="14"/>
      <c r="V85" s="9">
        <f>T85/H85</f>
        <v>0</v>
      </c>
      <c r="W85" s="102">
        <v>44593</v>
      </c>
      <c r="X85" s="14" t="s">
        <v>31</v>
      </c>
      <c r="Y85" s="20"/>
      <c r="Z85" s="14"/>
      <c r="AA85" s="57">
        <v>9294560</v>
      </c>
      <c r="AB85" s="57">
        <f t="shared" si="14"/>
        <v>0</v>
      </c>
      <c r="AC85" s="14"/>
      <c r="AD85" s="58">
        <v>0</v>
      </c>
      <c r="AE85" s="131">
        <v>44621</v>
      </c>
      <c r="AF85" s="14" t="s">
        <v>31</v>
      </c>
      <c r="AG85" s="20"/>
      <c r="AH85" s="9"/>
      <c r="AI85" s="39">
        <v>9294560</v>
      </c>
      <c r="AJ85" s="39">
        <f t="shared" si="15"/>
        <v>0</v>
      </c>
      <c r="AK85" s="39"/>
      <c r="AL85" s="39"/>
      <c r="AM85" s="9">
        <v>0</v>
      </c>
      <c r="AN85" s="101">
        <v>44656</v>
      </c>
      <c r="AO85" s="14" t="s">
        <v>31</v>
      </c>
      <c r="AP85" s="14"/>
      <c r="AQ85" s="58"/>
      <c r="AR85" s="39">
        <v>9294560</v>
      </c>
      <c r="AS85" s="39">
        <f t="shared" si="11"/>
        <v>0</v>
      </c>
      <c r="AT85" s="39"/>
      <c r="AU85" s="39"/>
      <c r="AV85" s="9">
        <v>0</v>
      </c>
      <c r="AW85" s="101">
        <v>44683</v>
      </c>
      <c r="AX85" s="14" t="s">
        <v>31</v>
      </c>
      <c r="AY85" s="14"/>
      <c r="AZ85" s="9"/>
      <c r="BA85" s="39">
        <v>9294560</v>
      </c>
      <c r="BB85" s="39">
        <f t="shared" si="12"/>
        <v>0</v>
      </c>
      <c r="BC85" s="39"/>
      <c r="BD85" s="39"/>
      <c r="BE85" s="9">
        <v>0</v>
      </c>
      <c r="BF85" s="101">
        <v>44713</v>
      </c>
      <c r="BG85" s="14" t="s">
        <v>31</v>
      </c>
      <c r="BH85" s="101">
        <v>44728</v>
      </c>
      <c r="BI85" s="9"/>
      <c r="BJ85" s="39">
        <v>9294560</v>
      </c>
      <c r="BK85" s="39">
        <f t="shared" si="10"/>
        <v>0</v>
      </c>
      <c r="BL85" s="39"/>
      <c r="BM85" s="39"/>
      <c r="BN85" s="9">
        <v>0</v>
      </c>
      <c r="BO85" s="101">
        <v>44743</v>
      </c>
      <c r="BP85" s="14" t="s">
        <v>31</v>
      </c>
      <c r="BQ85" s="101">
        <v>44757</v>
      </c>
      <c r="BR85" s="9"/>
      <c r="BS85" s="39">
        <v>9294560</v>
      </c>
      <c r="BT85" s="39">
        <f t="shared" si="13"/>
        <v>0</v>
      </c>
      <c r="BU85" s="39"/>
      <c r="BV85" s="39"/>
      <c r="BW85" s="9">
        <v>0</v>
      </c>
      <c r="BX85" s="101">
        <v>44774</v>
      </c>
      <c r="BY85" s="14" t="s">
        <v>31</v>
      </c>
      <c r="BZ85" s="14"/>
      <c r="CA85" s="9"/>
      <c r="CB85" s="39"/>
      <c r="CC85" s="39"/>
      <c r="CD85" s="39"/>
      <c r="CE85" s="39"/>
      <c r="CF85" s="9"/>
      <c r="CG85" s="101"/>
      <c r="CH85" s="14"/>
      <c r="CI85" s="14"/>
      <c r="CJ85" s="9"/>
      <c r="CK85" s="39"/>
      <c r="CL85" s="39"/>
      <c r="CM85" s="39"/>
      <c r="CN85" s="39"/>
      <c r="CO85" s="9"/>
      <c r="CP85" s="101"/>
      <c r="CQ85" s="14"/>
      <c r="CR85" s="14"/>
      <c r="CS85" s="9"/>
      <c r="CT85" s="39"/>
      <c r="CU85" s="39"/>
      <c r="CV85" s="39"/>
      <c r="CW85" s="39"/>
      <c r="CX85" s="9"/>
      <c r="CY85" s="101"/>
      <c r="CZ85" s="14"/>
      <c r="DA85" s="86"/>
      <c r="DB85" s="9"/>
      <c r="DC85" s="39"/>
      <c r="DD85" s="39"/>
      <c r="DE85" s="39"/>
      <c r="DF85" s="39"/>
      <c r="DG85" s="9"/>
      <c r="DH85" s="101"/>
      <c r="DI85" s="14"/>
      <c r="DJ85" s="14"/>
    </row>
    <row r="86" spans="1:114" hidden="1" x14ac:dyDescent="0.35">
      <c r="A86" s="1" t="s">
        <v>315</v>
      </c>
      <c r="B86" s="14" t="s">
        <v>316</v>
      </c>
      <c r="C86" s="14" t="s">
        <v>29</v>
      </c>
      <c r="D86" s="2">
        <v>6603</v>
      </c>
      <c r="E86" s="3">
        <v>204816</v>
      </c>
      <c r="F86" s="3" t="s">
        <v>317</v>
      </c>
      <c r="G86" s="52">
        <v>1026261501</v>
      </c>
      <c r="H86" s="39">
        <f>+I86</f>
        <v>11616600</v>
      </c>
      <c r="I86" s="39">
        <v>11616600</v>
      </c>
      <c r="J86" s="39"/>
      <c r="K86" s="39">
        <v>11616600</v>
      </c>
      <c r="L86" s="39">
        <f>I86-K86</f>
        <v>0</v>
      </c>
      <c r="M86" s="39"/>
      <c r="N86" s="39"/>
      <c r="O86" s="9">
        <v>0</v>
      </c>
      <c r="P86" s="102">
        <v>44564</v>
      </c>
      <c r="Q86" s="3" t="s">
        <v>31</v>
      </c>
      <c r="R86" s="20"/>
      <c r="S86" s="39">
        <v>11616600</v>
      </c>
      <c r="T86" s="8">
        <f t="shared" si="16"/>
        <v>0</v>
      </c>
      <c r="U86" s="14"/>
      <c r="V86" s="9">
        <v>0</v>
      </c>
      <c r="W86" s="101">
        <v>44594</v>
      </c>
      <c r="X86" s="14" t="s">
        <v>31</v>
      </c>
      <c r="Y86" s="20"/>
      <c r="Z86" s="67"/>
      <c r="AA86" s="57">
        <v>11616600</v>
      </c>
      <c r="AB86" s="57">
        <f t="shared" si="14"/>
        <v>0</v>
      </c>
      <c r="AC86" s="14"/>
      <c r="AD86" s="58">
        <v>0</v>
      </c>
      <c r="AE86" s="131">
        <v>44621</v>
      </c>
      <c r="AF86" s="14" t="s">
        <v>31</v>
      </c>
      <c r="AG86" s="20"/>
      <c r="AH86" s="67"/>
      <c r="AI86" s="39">
        <v>11616600</v>
      </c>
      <c r="AJ86" s="39">
        <f t="shared" si="15"/>
        <v>0</v>
      </c>
      <c r="AL86" s="39"/>
      <c r="AM86" s="9">
        <v>0</v>
      </c>
      <c r="AN86" s="101">
        <v>44655</v>
      </c>
      <c r="AO86" s="14" t="s">
        <v>31</v>
      </c>
      <c r="AP86" s="14"/>
      <c r="AQ86" s="58"/>
      <c r="AR86" s="39">
        <v>11616600</v>
      </c>
      <c r="AS86" s="39">
        <f t="shared" si="11"/>
        <v>0</v>
      </c>
      <c r="AT86" s="39"/>
      <c r="AU86" s="39"/>
      <c r="AV86" s="9">
        <v>0</v>
      </c>
      <c r="AW86" s="101">
        <v>44687</v>
      </c>
      <c r="AX86" s="14" t="s">
        <v>31</v>
      </c>
      <c r="AY86" s="14"/>
      <c r="AZ86" s="9"/>
      <c r="BA86" s="39">
        <v>11616600</v>
      </c>
      <c r="BB86" s="39">
        <f t="shared" si="12"/>
        <v>0</v>
      </c>
      <c r="BC86" s="39"/>
      <c r="BD86" s="39"/>
      <c r="BE86" s="9">
        <v>0</v>
      </c>
      <c r="BF86" s="101">
        <v>44713</v>
      </c>
      <c r="BG86" s="14" t="s">
        <v>31</v>
      </c>
      <c r="BH86" s="101">
        <v>44728</v>
      </c>
      <c r="BI86" s="9"/>
      <c r="BJ86" s="39">
        <v>11616600</v>
      </c>
      <c r="BK86" s="39">
        <f t="shared" si="10"/>
        <v>0</v>
      </c>
      <c r="BL86" s="39"/>
      <c r="BM86" s="39"/>
      <c r="BN86" s="9">
        <v>0</v>
      </c>
      <c r="BO86" s="101">
        <v>44743</v>
      </c>
      <c r="BP86" s="14" t="s">
        <v>31</v>
      </c>
      <c r="BQ86" s="101">
        <v>44757</v>
      </c>
      <c r="BR86" s="9"/>
      <c r="BS86" s="39">
        <v>11616600</v>
      </c>
      <c r="BT86" s="39">
        <f t="shared" si="13"/>
        <v>0</v>
      </c>
      <c r="BU86" s="39"/>
      <c r="BV86" s="39"/>
      <c r="BW86" s="9">
        <v>0</v>
      </c>
      <c r="BX86" s="101">
        <v>44775</v>
      </c>
      <c r="BY86" s="14" t="s">
        <v>31</v>
      </c>
      <c r="BZ86" s="14"/>
      <c r="CA86" s="9"/>
      <c r="CB86" s="39"/>
      <c r="CC86" s="39"/>
      <c r="CD86" s="39"/>
      <c r="CE86" s="39"/>
      <c r="CF86" s="9"/>
      <c r="CG86" s="101"/>
      <c r="CH86" s="14"/>
      <c r="CI86" s="14"/>
      <c r="CJ86" s="9"/>
      <c r="CK86" s="39"/>
      <c r="CL86" s="39"/>
      <c r="CM86" s="39"/>
      <c r="CN86" s="39"/>
      <c r="CO86" s="9"/>
      <c r="CP86" s="101"/>
      <c r="CQ86" s="14"/>
      <c r="CR86" s="14"/>
      <c r="CS86" s="9"/>
      <c r="CT86" s="39"/>
      <c r="CU86" s="39"/>
      <c r="CV86" s="39"/>
      <c r="CW86" s="39"/>
      <c r="CX86" s="9"/>
      <c r="CY86" s="101"/>
      <c r="CZ86" s="14"/>
      <c r="DA86" s="86"/>
      <c r="DB86" s="9"/>
      <c r="DC86" s="39"/>
      <c r="DD86" s="39"/>
      <c r="DE86" s="39"/>
      <c r="DF86" s="39"/>
      <c r="DG86" s="9"/>
      <c r="DH86" s="101"/>
      <c r="DI86" s="14"/>
      <c r="DJ86" s="14"/>
    </row>
    <row r="87" spans="1:114" hidden="1" x14ac:dyDescent="0.35">
      <c r="A87" s="1" t="s">
        <v>315</v>
      </c>
      <c r="B87" s="14" t="s">
        <v>316</v>
      </c>
      <c r="C87" s="14" t="s">
        <v>29</v>
      </c>
      <c r="D87" s="2">
        <v>6603</v>
      </c>
      <c r="E87" s="3">
        <v>204815</v>
      </c>
      <c r="F87" s="3" t="s">
        <v>318</v>
      </c>
      <c r="G87" s="52">
        <v>1019012543</v>
      </c>
      <c r="H87" s="39">
        <f>+I87</f>
        <v>11616600</v>
      </c>
      <c r="I87" s="39">
        <v>11616600</v>
      </c>
      <c r="J87" s="39"/>
      <c r="K87" s="39">
        <v>11616600</v>
      </c>
      <c r="L87" s="39">
        <f>I87-K87</f>
        <v>0</v>
      </c>
      <c r="M87" s="39"/>
      <c r="N87" s="39"/>
      <c r="O87" s="9">
        <v>0</v>
      </c>
      <c r="P87" s="102">
        <v>44564</v>
      </c>
      <c r="Q87" s="3" t="s">
        <v>31</v>
      </c>
      <c r="R87" s="20"/>
      <c r="S87" s="39">
        <v>11616600</v>
      </c>
      <c r="T87" s="8">
        <f t="shared" si="16"/>
        <v>0</v>
      </c>
      <c r="U87" s="14"/>
      <c r="V87" s="9">
        <v>0</v>
      </c>
      <c r="W87" s="101">
        <v>44594</v>
      </c>
      <c r="X87" s="14" t="s">
        <v>31</v>
      </c>
      <c r="Y87" s="20"/>
      <c r="Z87" s="67"/>
      <c r="AA87" s="57">
        <v>11616600</v>
      </c>
      <c r="AB87" s="57">
        <f t="shared" si="14"/>
        <v>0</v>
      </c>
      <c r="AC87" s="14"/>
      <c r="AD87" s="58">
        <v>0</v>
      </c>
      <c r="AE87" s="131">
        <v>44621</v>
      </c>
      <c r="AF87" s="14" t="s">
        <v>31</v>
      </c>
      <c r="AG87" s="20"/>
      <c r="AH87" s="67"/>
      <c r="AI87" s="39">
        <v>11616600</v>
      </c>
      <c r="AJ87" s="39">
        <f t="shared" si="15"/>
        <v>0</v>
      </c>
      <c r="AK87" s="39"/>
      <c r="AL87" s="39"/>
      <c r="AM87" s="9">
        <v>0</v>
      </c>
      <c r="AN87" s="101">
        <v>44655</v>
      </c>
      <c r="AO87" s="14" t="s">
        <v>31</v>
      </c>
      <c r="AP87" s="14"/>
      <c r="AQ87" s="58"/>
      <c r="AR87" s="39">
        <v>11616600</v>
      </c>
      <c r="AS87" s="39">
        <f t="shared" si="11"/>
        <v>0</v>
      </c>
      <c r="AT87" s="39"/>
      <c r="AU87" s="39"/>
      <c r="AV87" s="9">
        <v>0</v>
      </c>
      <c r="AW87" s="101">
        <v>44686</v>
      </c>
      <c r="AX87" s="14" t="s">
        <v>31</v>
      </c>
      <c r="AY87" s="14"/>
      <c r="AZ87" s="9"/>
      <c r="BA87" s="39">
        <v>11616600</v>
      </c>
      <c r="BB87" s="39">
        <f t="shared" si="12"/>
        <v>0</v>
      </c>
      <c r="BC87" s="39"/>
      <c r="BD87" s="39"/>
      <c r="BE87" s="9">
        <v>0</v>
      </c>
      <c r="BF87" s="101">
        <v>44713</v>
      </c>
      <c r="BG87" s="14" t="s">
        <v>31</v>
      </c>
      <c r="BH87" s="101">
        <v>44728</v>
      </c>
      <c r="BI87" s="9"/>
      <c r="BJ87" s="39">
        <v>11616600</v>
      </c>
      <c r="BK87" s="39">
        <f t="shared" si="10"/>
        <v>0</v>
      </c>
      <c r="BL87" s="39"/>
      <c r="BM87" s="39"/>
      <c r="BN87" s="9">
        <v>0</v>
      </c>
      <c r="BO87" s="101">
        <v>44743</v>
      </c>
      <c r="BP87" s="14" t="s">
        <v>31</v>
      </c>
      <c r="BQ87" s="101">
        <v>44757</v>
      </c>
      <c r="BR87" s="9"/>
      <c r="BS87" s="39">
        <v>11616600</v>
      </c>
      <c r="BT87" s="39">
        <f t="shared" si="13"/>
        <v>0</v>
      </c>
      <c r="BU87" s="39"/>
      <c r="BV87" s="39"/>
      <c r="BW87" s="9">
        <v>0</v>
      </c>
      <c r="BX87" s="101">
        <v>44774</v>
      </c>
      <c r="BY87" s="14" t="s">
        <v>31</v>
      </c>
      <c r="BZ87" s="14"/>
      <c r="CA87" s="9"/>
      <c r="CB87" s="39"/>
      <c r="CC87" s="39"/>
      <c r="CD87" s="39"/>
      <c r="CE87" s="39"/>
      <c r="CF87" s="9"/>
      <c r="CG87" s="101"/>
      <c r="CH87" s="14"/>
      <c r="CI87" s="14"/>
      <c r="CJ87" s="9"/>
      <c r="CK87" s="39"/>
      <c r="CL87" s="39"/>
      <c r="CM87" s="39"/>
      <c r="CN87" s="39"/>
      <c r="CO87" s="9"/>
      <c r="CP87" s="101"/>
      <c r="CQ87" s="14"/>
      <c r="CR87" s="14"/>
      <c r="CS87" s="9"/>
      <c r="CT87" s="39"/>
      <c r="CU87" s="39"/>
      <c r="CV87" s="39"/>
      <c r="CW87" s="39"/>
      <c r="CX87" s="9"/>
      <c r="CY87" s="101"/>
      <c r="CZ87" s="14"/>
      <c r="DA87" s="86"/>
      <c r="DB87" s="9"/>
      <c r="DC87" s="39"/>
      <c r="DD87" s="39"/>
      <c r="DE87" s="39"/>
      <c r="DF87" s="39"/>
      <c r="DG87" s="9"/>
      <c r="DH87" s="101"/>
      <c r="DI87" s="14"/>
      <c r="DJ87" s="14"/>
    </row>
    <row r="88" spans="1:114" hidden="1" x14ac:dyDescent="0.35">
      <c r="A88" s="1" t="s">
        <v>315</v>
      </c>
      <c r="B88" s="14" t="s">
        <v>316</v>
      </c>
      <c r="C88" s="14" t="s">
        <v>29</v>
      </c>
      <c r="D88" s="2">
        <v>6603</v>
      </c>
      <c r="E88" s="3">
        <v>204522</v>
      </c>
      <c r="F88" s="3" t="s">
        <v>319</v>
      </c>
      <c r="G88" s="52">
        <v>52415336</v>
      </c>
      <c r="H88" s="39">
        <f>+I88</f>
        <v>17941700</v>
      </c>
      <c r="I88" s="39">
        <v>17941700</v>
      </c>
      <c r="J88" s="39"/>
      <c r="K88" s="39">
        <v>17941700</v>
      </c>
      <c r="L88" s="39">
        <f>I88-K88</f>
        <v>0</v>
      </c>
      <c r="M88" s="39"/>
      <c r="N88" s="39"/>
      <c r="O88" s="9">
        <v>0</v>
      </c>
      <c r="P88" s="102">
        <v>44564</v>
      </c>
      <c r="Q88" s="3" t="s">
        <v>31</v>
      </c>
      <c r="R88" s="20"/>
      <c r="S88" s="39">
        <v>17941700</v>
      </c>
      <c r="T88" s="8">
        <f t="shared" si="16"/>
        <v>0</v>
      </c>
      <c r="U88" s="14"/>
      <c r="V88" s="9">
        <v>0</v>
      </c>
      <c r="W88" s="101">
        <v>44594</v>
      </c>
      <c r="X88" s="14" t="s">
        <v>31</v>
      </c>
      <c r="Y88" s="20"/>
      <c r="Z88" s="67"/>
      <c r="AA88" s="57">
        <v>17941700</v>
      </c>
      <c r="AB88" s="57">
        <f t="shared" si="14"/>
        <v>0</v>
      </c>
      <c r="AC88" s="14"/>
      <c r="AD88" s="58">
        <v>0</v>
      </c>
      <c r="AE88" s="131">
        <v>44621</v>
      </c>
      <c r="AF88" s="14" t="s">
        <v>31</v>
      </c>
      <c r="AG88" s="20"/>
      <c r="AH88" s="67"/>
      <c r="AI88" s="39">
        <v>17941700</v>
      </c>
      <c r="AJ88" s="39">
        <f t="shared" si="15"/>
        <v>0</v>
      </c>
      <c r="AK88" s="14"/>
      <c r="AL88" s="39"/>
      <c r="AM88" s="9">
        <v>0</v>
      </c>
      <c r="AN88" s="101">
        <v>44655</v>
      </c>
      <c r="AO88" s="14" t="s">
        <v>31</v>
      </c>
      <c r="AP88" s="14"/>
      <c r="AQ88" s="58"/>
      <c r="AR88" s="39">
        <v>17941700</v>
      </c>
      <c r="AS88" s="39">
        <f t="shared" si="11"/>
        <v>0</v>
      </c>
      <c r="AT88" s="39"/>
      <c r="AU88" s="39"/>
      <c r="AV88" s="9">
        <v>0</v>
      </c>
      <c r="AW88" s="101">
        <v>44686</v>
      </c>
      <c r="AX88" s="14" t="s">
        <v>31</v>
      </c>
      <c r="AY88" s="101"/>
      <c r="AZ88" s="9"/>
      <c r="BA88" s="39">
        <v>17941700</v>
      </c>
      <c r="BB88" s="39">
        <f t="shared" si="12"/>
        <v>0</v>
      </c>
      <c r="BC88" s="39"/>
      <c r="BD88" s="39"/>
      <c r="BE88" s="9">
        <v>0</v>
      </c>
      <c r="BF88" s="101">
        <v>44713</v>
      </c>
      <c r="BG88" s="14" t="s">
        <v>31</v>
      </c>
      <c r="BH88" s="101">
        <v>44721</v>
      </c>
      <c r="BI88" s="9"/>
      <c r="BJ88" s="39">
        <v>17941700</v>
      </c>
      <c r="BK88" s="39">
        <f t="shared" si="10"/>
        <v>0</v>
      </c>
      <c r="BL88" s="39"/>
      <c r="BM88" s="39"/>
      <c r="BN88" s="9">
        <v>0</v>
      </c>
      <c r="BO88" s="101">
        <v>44743</v>
      </c>
      <c r="BP88" s="14" t="s">
        <v>31</v>
      </c>
      <c r="BQ88" s="101">
        <v>44757</v>
      </c>
      <c r="BR88" s="9"/>
      <c r="BS88" s="39">
        <v>17941700</v>
      </c>
      <c r="BT88" s="39">
        <f t="shared" si="13"/>
        <v>0</v>
      </c>
      <c r="BU88" s="39"/>
      <c r="BV88" s="39"/>
      <c r="BW88" s="9">
        <v>0</v>
      </c>
      <c r="BX88" s="101">
        <v>44774</v>
      </c>
      <c r="BY88" s="14" t="s">
        <v>31</v>
      </c>
      <c r="BZ88" s="14"/>
      <c r="CA88" s="9"/>
      <c r="CB88" s="39"/>
      <c r="CC88" s="39"/>
      <c r="CD88" s="39"/>
      <c r="CE88" s="39"/>
      <c r="CF88" s="9"/>
      <c r="CG88" s="101"/>
      <c r="CH88" s="14"/>
      <c r="CI88" s="14"/>
      <c r="CJ88" s="9"/>
      <c r="CK88" s="39"/>
      <c r="CL88" s="39"/>
      <c r="CM88" s="39"/>
      <c r="CN88" s="39"/>
      <c r="CO88" s="9"/>
      <c r="CP88" s="101"/>
      <c r="CQ88" s="14"/>
      <c r="CR88" s="14"/>
      <c r="CS88" s="9"/>
      <c r="CT88" s="39"/>
      <c r="CU88" s="39"/>
      <c r="CV88" s="39"/>
      <c r="CW88" s="39"/>
      <c r="CX88" s="9"/>
      <c r="CY88" s="101"/>
      <c r="CZ88" s="14"/>
      <c r="DA88" s="86"/>
      <c r="DB88" s="9"/>
      <c r="DC88" s="39"/>
      <c r="DD88" s="39"/>
      <c r="DE88" s="39"/>
      <c r="DF88" s="39"/>
      <c r="DG88" s="9"/>
      <c r="DH88" s="101"/>
      <c r="DI88" s="14"/>
      <c r="DJ88" s="14"/>
    </row>
    <row r="89" spans="1:114" hidden="1" x14ac:dyDescent="0.35">
      <c r="A89" s="1" t="s">
        <v>315</v>
      </c>
      <c r="B89" s="14" t="s">
        <v>316</v>
      </c>
      <c r="C89" s="14" t="s">
        <v>29</v>
      </c>
      <c r="D89" s="2">
        <v>6603</v>
      </c>
      <c r="E89" s="3">
        <v>366703</v>
      </c>
      <c r="F89" s="3" t="s">
        <v>536</v>
      </c>
      <c r="G89" s="23">
        <v>901200161</v>
      </c>
      <c r="H89" s="39">
        <f>+I89</f>
        <v>17941700</v>
      </c>
      <c r="I89" s="39">
        <v>17941700</v>
      </c>
      <c r="J89" s="39"/>
      <c r="K89" s="39">
        <v>17941700</v>
      </c>
      <c r="L89" s="39">
        <f t="shared" ref="L89:L96" si="17">H89-K89</f>
        <v>0</v>
      </c>
      <c r="M89" s="39"/>
      <c r="N89" s="39"/>
      <c r="O89" s="9">
        <v>0</v>
      </c>
      <c r="P89" s="102">
        <v>44564</v>
      </c>
      <c r="Q89" s="3" t="s">
        <v>31</v>
      </c>
      <c r="R89" s="20"/>
      <c r="S89" s="39">
        <v>17941700</v>
      </c>
      <c r="T89" s="8">
        <f t="shared" si="16"/>
        <v>0</v>
      </c>
      <c r="U89" s="14"/>
      <c r="V89" s="9">
        <v>0</v>
      </c>
      <c r="W89" s="101">
        <v>44595</v>
      </c>
      <c r="X89" s="14" t="s">
        <v>31</v>
      </c>
      <c r="Y89" s="20"/>
      <c r="Z89" s="14"/>
      <c r="AA89" s="57">
        <v>17941700</v>
      </c>
      <c r="AB89" s="57">
        <f t="shared" si="14"/>
        <v>0</v>
      </c>
      <c r="AC89" s="14"/>
      <c r="AD89" s="58">
        <v>0</v>
      </c>
      <c r="AE89" s="131">
        <v>44621</v>
      </c>
      <c r="AF89" s="14" t="s">
        <v>31</v>
      </c>
      <c r="AG89" s="20"/>
      <c r="AH89" s="67"/>
      <c r="AI89" s="39">
        <v>17941700</v>
      </c>
      <c r="AJ89" s="39">
        <f t="shared" si="15"/>
        <v>0</v>
      </c>
      <c r="AK89" s="39"/>
      <c r="AL89" s="39"/>
      <c r="AM89" s="9">
        <v>0</v>
      </c>
      <c r="AN89" s="101">
        <v>44655</v>
      </c>
      <c r="AO89" s="14" t="s">
        <v>31</v>
      </c>
      <c r="AP89" s="14"/>
      <c r="AQ89" s="58"/>
      <c r="AR89" s="39">
        <v>17941700</v>
      </c>
      <c r="AS89" s="39">
        <f t="shared" si="11"/>
        <v>0</v>
      </c>
      <c r="AT89" s="39"/>
      <c r="AU89" s="39"/>
      <c r="AV89" s="9">
        <v>0</v>
      </c>
      <c r="AW89" s="101">
        <v>44686</v>
      </c>
      <c r="AX89" s="14" t="s">
        <v>31</v>
      </c>
      <c r="AY89" s="14"/>
      <c r="AZ89" s="9"/>
      <c r="BA89" s="39">
        <v>17941700</v>
      </c>
      <c r="BB89" s="39">
        <f t="shared" si="12"/>
        <v>0</v>
      </c>
      <c r="BC89" s="39"/>
      <c r="BD89" s="39"/>
      <c r="BE89" s="9">
        <v>0</v>
      </c>
      <c r="BF89" s="101">
        <v>44713</v>
      </c>
      <c r="BG89" s="14" t="s">
        <v>31</v>
      </c>
      <c r="BH89" s="101">
        <v>44721</v>
      </c>
      <c r="BI89" s="9"/>
      <c r="BJ89" s="39">
        <v>17941700</v>
      </c>
      <c r="BK89" s="39">
        <f t="shared" si="10"/>
        <v>0</v>
      </c>
      <c r="BL89" s="39"/>
      <c r="BM89" s="39"/>
      <c r="BN89" s="9">
        <v>0</v>
      </c>
      <c r="BO89" s="101">
        <v>44743</v>
      </c>
      <c r="BP89" s="14" t="s">
        <v>31</v>
      </c>
      <c r="BQ89" s="101">
        <v>44757</v>
      </c>
      <c r="BR89" s="9"/>
      <c r="BS89" s="39">
        <v>17941700</v>
      </c>
      <c r="BT89" s="39">
        <f t="shared" si="13"/>
        <v>0</v>
      </c>
      <c r="BU89" s="39"/>
      <c r="BV89" s="39"/>
      <c r="BW89" s="9">
        <v>0</v>
      </c>
      <c r="BX89" s="101">
        <v>44774</v>
      </c>
      <c r="BY89" s="14" t="s">
        <v>31</v>
      </c>
      <c r="BZ89" s="14"/>
      <c r="CA89" s="9"/>
      <c r="CB89" s="39"/>
      <c r="CC89" s="39"/>
      <c r="CD89" s="39"/>
      <c r="CE89" s="39"/>
      <c r="CF89" s="9"/>
      <c r="CG89" s="101"/>
      <c r="CH89" s="14"/>
      <c r="CI89" s="14"/>
      <c r="CJ89" s="9"/>
      <c r="CK89" s="39"/>
      <c r="CL89" s="39"/>
      <c r="CM89" s="39"/>
      <c r="CN89" s="39"/>
      <c r="CO89" s="9"/>
      <c r="CP89" s="101"/>
      <c r="CQ89" s="14"/>
      <c r="CR89" s="14"/>
      <c r="CS89" s="9"/>
      <c r="CT89" s="39"/>
      <c r="CU89" s="39"/>
      <c r="CV89" s="39"/>
      <c r="CW89" s="39"/>
      <c r="CX89" s="9"/>
      <c r="CY89" s="101"/>
      <c r="CZ89" s="14"/>
      <c r="DA89" s="86"/>
      <c r="DB89" s="9"/>
      <c r="DC89" s="39"/>
      <c r="DD89" s="39"/>
      <c r="DE89" s="39"/>
      <c r="DF89" s="39"/>
      <c r="DG89" s="9"/>
      <c r="DH89" s="101"/>
      <c r="DI89" s="14"/>
      <c r="DJ89" s="14"/>
    </row>
    <row r="90" spans="1:114" hidden="1" x14ac:dyDescent="0.35">
      <c r="A90" s="1" t="s">
        <v>315</v>
      </c>
      <c r="B90" s="14" t="s">
        <v>316</v>
      </c>
      <c r="C90" s="14" t="s">
        <v>29</v>
      </c>
      <c r="D90" s="2">
        <v>6603</v>
      </c>
      <c r="E90" s="3">
        <v>204617</v>
      </c>
      <c r="F90" s="3" t="s">
        <v>321</v>
      </c>
      <c r="G90" s="52" t="s">
        <v>322</v>
      </c>
      <c r="H90" s="39">
        <v>35883400</v>
      </c>
      <c r="I90" s="39">
        <v>35883400</v>
      </c>
      <c r="J90" s="39"/>
      <c r="K90" s="39">
        <v>35883400</v>
      </c>
      <c r="L90" s="39">
        <f t="shared" si="17"/>
        <v>0</v>
      </c>
      <c r="M90" s="39"/>
      <c r="N90" s="39"/>
      <c r="O90" s="9">
        <v>0</v>
      </c>
      <c r="P90" s="101">
        <v>44567</v>
      </c>
      <c r="Q90" s="101" t="s">
        <v>31</v>
      </c>
      <c r="R90" s="20"/>
      <c r="S90" s="39">
        <v>35883400</v>
      </c>
      <c r="T90" s="8">
        <f t="shared" si="16"/>
        <v>0</v>
      </c>
      <c r="U90" s="14"/>
      <c r="V90" s="9">
        <v>0</v>
      </c>
      <c r="W90" s="101">
        <v>44595</v>
      </c>
      <c r="X90" s="14" t="s">
        <v>31</v>
      </c>
      <c r="Y90" s="20"/>
      <c r="Z90" s="14"/>
      <c r="AA90" s="57">
        <v>35883400</v>
      </c>
      <c r="AB90" s="57">
        <f t="shared" si="14"/>
        <v>0</v>
      </c>
      <c r="AC90" s="14"/>
      <c r="AD90" s="58">
        <v>0</v>
      </c>
      <c r="AE90" s="101">
        <v>44624</v>
      </c>
      <c r="AF90" s="14" t="s">
        <v>31</v>
      </c>
      <c r="AG90" s="20"/>
      <c r="AH90" s="67"/>
      <c r="AI90" s="39">
        <v>35883400</v>
      </c>
      <c r="AJ90" s="39">
        <f t="shared" si="15"/>
        <v>0</v>
      </c>
      <c r="AK90" s="39"/>
      <c r="AL90" s="39"/>
      <c r="AM90" s="9">
        <v>0</v>
      </c>
      <c r="AN90" s="101">
        <v>44657</v>
      </c>
      <c r="AO90" s="14" t="s">
        <v>31</v>
      </c>
      <c r="AP90" s="14"/>
      <c r="AQ90" s="58"/>
      <c r="AR90" s="39">
        <v>35883400</v>
      </c>
      <c r="AS90" s="39">
        <f t="shared" si="11"/>
        <v>0</v>
      </c>
      <c r="AT90" s="39"/>
      <c r="AU90" s="39"/>
      <c r="AV90" s="9">
        <v>0</v>
      </c>
      <c r="AW90" s="101">
        <v>44684</v>
      </c>
      <c r="AX90" s="14" t="s">
        <v>31</v>
      </c>
      <c r="AY90" s="14"/>
      <c r="AZ90" s="9"/>
      <c r="BA90" s="39">
        <v>35883400</v>
      </c>
      <c r="BB90" s="39">
        <f t="shared" si="12"/>
        <v>0</v>
      </c>
      <c r="BC90" s="39"/>
      <c r="BD90" s="39"/>
      <c r="BE90" s="9">
        <v>0</v>
      </c>
      <c r="BF90" s="101">
        <v>44715</v>
      </c>
      <c r="BG90" s="14" t="s">
        <v>31</v>
      </c>
      <c r="BH90" s="101">
        <v>44728</v>
      </c>
      <c r="BI90" s="9"/>
      <c r="BJ90" s="39">
        <v>35883400</v>
      </c>
      <c r="BK90" s="39">
        <f t="shared" si="10"/>
        <v>0</v>
      </c>
      <c r="BL90" s="39"/>
      <c r="BM90" s="39"/>
      <c r="BN90" s="9">
        <v>0</v>
      </c>
      <c r="BO90" s="101">
        <v>44743</v>
      </c>
      <c r="BP90" s="14" t="s">
        <v>31</v>
      </c>
      <c r="BQ90" s="101">
        <v>44757</v>
      </c>
      <c r="BR90" s="9"/>
      <c r="BS90" s="39">
        <v>35883400</v>
      </c>
      <c r="BT90" s="39">
        <f t="shared" si="13"/>
        <v>0</v>
      </c>
      <c r="BU90" s="39"/>
      <c r="BV90" s="39"/>
      <c r="BW90" s="9">
        <v>0</v>
      </c>
      <c r="BX90" s="101">
        <v>44775</v>
      </c>
      <c r="BY90" s="14" t="s">
        <v>31</v>
      </c>
      <c r="BZ90" s="14"/>
      <c r="CA90" s="9"/>
      <c r="CB90" s="39"/>
      <c r="CC90" s="39"/>
      <c r="CD90" s="39"/>
      <c r="CE90" s="39"/>
      <c r="CF90" s="9"/>
      <c r="CG90" s="101"/>
      <c r="CH90" s="14"/>
      <c r="CI90" s="14"/>
      <c r="CJ90" s="9"/>
      <c r="CK90" s="39"/>
      <c r="CL90" s="39"/>
      <c r="CM90" s="39"/>
      <c r="CN90" s="39"/>
      <c r="CO90" s="9"/>
      <c r="CP90" s="101"/>
      <c r="CQ90" s="14"/>
      <c r="CR90" s="14"/>
      <c r="CS90" s="9"/>
      <c r="CT90" s="39"/>
      <c r="CU90" s="39"/>
      <c r="CV90" s="39"/>
      <c r="CW90" s="39"/>
      <c r="CX90" s="9"/>
      <c r="CY90" s="101"/>
      <c r="CZ90" s="14"/>
      <c r="DA90" s="86"/>
      <c r="DB90" s="9"/>
      <c r="DC90" s="39"/>
      <c r="DD90" s="39"/>
      <c r="DE90" s="39"/>
      <c r="DF90" s="39"/>
      <c r="DG90" s="9"/>
      <c r="DH90" s="101"/>
      <c r="DI90" s="14"/>
      <c r="DJ90" s="14"/>
    </row>
    <row r="91" spans="1:114" hidden="1" x14ac:dyDescent="0.35">
      <c r="A91" s="1" t="s">
        <v>323</v>
      </c>
      <c r="B91" s="14" t="s">
        <v>324</v>
      </c>
      <c r="C91" s="14" t="s">
        <v>163</v>
      </c>
      <c r="D91" s="2">
        <v>6606</v>
      </c>
      <c r="E91" s="3">
        <v>208141</v>
      </c>
      <c r="F91" s="3" t="s">
        <v>325</v>
      </c>
      <c r="G91" s="52" t="s">
        <v>326</v>
      </c>
      <c r="H91" s="39">
        <v>13473174</v>
      </c>
      <c r="I91" s="39">
        <v>13473174</v>
      </c>
      <c r="J91" s="39"/>
      <c r="K91" s="39">
        <v>13473174</v>
      </c>
      <c r="L91" s="39">
        <f t="shared" si="17"/>
        <v>0</v>
      </c>
      <c r="M91" s="39"/>
      <c r="N91" s="39"/>
      <c r="O91" s="9">
        <v>0</v>
      </c>
      <c r="P91" s="101">
        <v>44574</v>
      </c>
      <c r="Q91" s="14" t="s">
        <v>31</v>
      </c>
      <c r="R91" s="20"/>
      <c r="S91" s="39">
        <v>13473174</v>
      </c>
      <c r="T91" s="8">
        <f>K91-S91</f>
        <v>0</v>
      </c>
      <c r="U91" s="14"/>
      <c r="V91" s="10">
        <v>0</v>
      </c>
      <c r="W91" s="102">
        <v>44670</v>
      </c>
      <c r="X91" s="14" t="s">
        <v>31</v>
      </c>
      <c r="Y91" s="20"/>
      <c r="Z91" s="14"/>
      <c r="AA91" s="57">
        <v>13473174</v>
      </c>
      <c r="AB91" s="57">
        <f>K91-AA91</f>
        <v>0</v>
      </c>
      <c r="AC91" s="14"/>
      <c r="AD91" s="58">
        <v>0</v>
      </c>
      <c r="AE91" s="131">
        <v>44636</v>
      </c>
      <c r="AF91" s="14" t="s">
        <v>31</v>
      </c>
      <c r="AG91" s="20"/>
      <c r="AH91" s="9"/>
      <c r="AI91" s="39">
        <v>13473174</v>
      </c>
      <c r="AJ91" s="39">
        <f>AA91-AI91</f>
        <v>0</v>
      </c>
      <c r="AK91" s="39"/>
      <c r="AL91" s="39"/>
      <c r="AM91" s="9">
        <v>0</v>
      </c>
      <c r="AN91" s="101">
        <v>44670</v>
      </c>
      <c r="AO91" s="14" t="s">
        <v>31</v>
      </c>
      <c r="AP91" s="14"/>
      <c r="AQ91" s="58"/>
      <c r="AR91" s="39">
        <v>13473174</v>
      </c>
      <c r="AS91" s="39">
        <f t="shared" si="11"/>
        <v>0</v>
      </c>
      <c r="AT91" s="39"/>
      <c r="AU91" s="39"/>
      <c r="AV91" s="9">
        <v>0</v>
      </c>
      <c r="AW91" s="101">
        <v>44687</v>
      </c>
      <c r="AX91" s="14" t="s">
        <v>31</v>
      </c>
      <c r="AY91" s="14"/>
      <c r="AZ91" s="9"/>
      <c r="BA91" s="39">
        <v>13473174</v>
      </c>
      <c r="BB91" s="39">
        <f>AR91-BA91</f>
        <v>0</v>
      </c>
      <c r="BC91" s="39"/>
      <c r="BD91" s="39"/>
      <c r="BE91" s="9">
        <v>0</v>
      </c>
      <c r="BF91" s="101">
        <v>44727</v>
      </c>
      <c r="BG91" s="14" t="s">
        <v>31</v>
      </c>
      <c r="BH91" s="101">
        <v>44755</v>
      </c>
      <c r="BI91" s="9"/>
      <c r="BJ91" s="39">
        <v>13473174</v>
      </c>
      <c r="BK91" s="39">
        <f t="shared" si="10"/>
        <v>0</v>
      </c>
      <c r="BL91" s="39"/>
      <c r="BM91" s="39"/>
      <c r="BN91" s="9">
        <v>0</v>
      </c>
      <c r="BO91" s="101">
        <v>44750</v>
      </c>
      <c r="BP91" s="14" t="s">
        <v>31</v>
      </c>
      <c r="BQ91" s="101">
        <v>44768</v>
      </c>
      <c r="BR91" s="9"/>
      <c r="BS91" s="39"/>
      <c r="BT91" s="39"/>
      <c r="BU91" s="39"/>
      <c r="BV91" s="39"/>
      <c r="BW91" s="9"/>
      <c r="BX91" s="101"/>
      <c r="BY91" s="14"/>
      <c r="BZ91" s="14"/>
      <c r="CA91" s="9"/>
      <c r="CB91" s="39"/>
      <c r="CC91" s="39"/>
      <c r="CD91" s="39"/>
      <c r="CE91" s="39"/>
      <c r="CF91" s="9"/>
      <c r="CG91" s="101"/>
      <c r="CH91" s="14"/>
      <c r="CI91" s="14"/>
      <c r="CJ91" s="9"/>
      <c r="CK91" s="39"/>
      <c r="CL91" s="39"/>
      <c r="CM91" s="39"/>
      <c r="CN91" s="39"/>
      <c r="CO91" s="9"/>
      <c r="CP91" s="101"/>
      <c r="CQ91" s="14"/>
      <c r="CR91" s="14"/>
      <c r="CS91" s="9"/>
      <c r="CT91" s="39"/>
      <c r="CU91" s="39"/>
      <c r="CV91" s="39"/>
      <c r="CW91" s="39"/>
      <c r="CX91" s="9"/>
      <c r="CY91" s="101"/>
      <c r="CZ91" s="14"/>
      <c r="DA91" s="86"/>
      <c r="DB91" s="9"/>
      <c r="DC91" s="39"/>
      <c r="DD91" s="39"/>
      <c r="DE91" s="39"/>
      <c r="DF91" s="39"/>
      <c r="DG91" s="9"/>
      <c r="DH91" s="101"/>
      <c r="DI91" s="14"/>
      <c r="DJ91" s="14"/>
    </row>
    <row r="92" spans="1:114" hidden="1" x14ac:dyDescent="0.35">
      <c r="A92" s="1" t="s">
        <v>328</v>
      </c>
      <c r="B92" s="14" t="s">
        <v>329</v>
      </c>
      <c r="C92" s="14" t="s">
        <v>158</v>
      </c>
      <c r="D92" s="2">
        <v>6610</v>
      </c>
      <c r="E92" s="3">
        <v>204587</v>
      </c>
      <c r="F92" s="3" t="s">
        <v>330</v>
      </c>
      <c r="G92" s="52">
        <v>890323373</v>
      </c>
      <c r="H92" s="39">
        <v>9146017</v>
      </c>
      <c r="I92" s="39">
        <v>9146017</v>
      </c>
      <c r="J92" s="39"/>
      <c r="K92" s="39">
        <v>9146017</v>
      </c>
      <c r="L92" s="39">
        <f t="shared" si="17"/>
        <v>0</v>
      </c>
      <c r="M92" s="39"/>
      <c r="N92" s="39"/>
      <c r="O92" s="9">
        <f>L92/H92</f>
        <v>0</v>
      </c>
      <c r="P92" s="102">
        <v>44575</v>
      </c>
      <c r="Q92" s="14" t="s">
        <v>31</v>
      </c>
      <c r="R92" s="20"/>
      <c r="S92" s="39">
        <v>9146017</v>
      </c>
      <c r="T92" s="8">
        <f>H92-S92</f>
        <v>0</v>
      </c>
      <c r="U92" s="14"/>
      <c r="V92" s="9">
        <f>T92/H92</f>
        <v>0</v>
      </c>
      <c r="W92" s="102">
        <v>44600</v>
      </c>
      <c r="X92" s="14" t="s">
        <v>31</v>
      </c>
      <c r="Y92" s="20"/>
      <c r="Z92" s="67"/>
      <c r="AA92" s="57">
        <v>9146017</v>
      </c>
      <c r="AB92" s="57">
        <f>S92-AA92</f>
        <v>0</v>
      </c>
      <c r="AC92" s="14"/>
      <c r="AD92" s="58">
        <v>0</v>
      </c>
      <c r="AE92" s="101">
        <v>44648</v>
      </c>
      <c r="AF92" s="14" t="s">
        <v>31</v>
      </c>
      <c r="AG92" s="20"/>
      <c r="AH92" s="67"/>
      <c r="AI92" s="39">
        <v>9146017</v>
      </c>
      <c r="AJ92" s="39">
        <f>AA92-AI92</f>
        <v>0</v>
      </c>
      <c r="AK92" s="39"/>
      <c r="AL92" s="39"/>
      <c r="AM92" s="9">
        <v>0</v>
      </c>
      <c r="AN92" s="101">
        <v>44657</v>
      </c>
      <c r="AO92" s="14" t="s">
        <v>31</v>
      </c>
      <c r="AP92" s="14"/>
      <c r="AQ92" s="58"/>
      <c r="AR92" s="39">
        <v>9146017</v>
      </c>
      <c r="AS92" s="39">
        <f t="shared" si="11"/>
        <v>0</v>
      </c>
      <c r="AT92" s="39"/>
      <c r="AU92" s="39"/>
      <c r="AV92" s="9">
        <v>0</v>
      </c>
      <c r="AW92" s="101">
        <v>44687</v>
      </c>
      <c r="AX92" s="14" t="s">
        <v>31</v>
      </c>
      <c r="AY92" s="14"/>
      <c r="AZ92" s="9"/>
      <c r="BA92" s="39">
        <v>9146017</v>
      </c>
      <c r="BB92" s="39">
        <f t="shared" ref="BB92:BB97" si="18">AR92-BA92</f>
        <v>0</v>
      </c>
      <c r="BC92" s="39"/>
      <c r="BD92" s="39"/>
      <c r="BE92" s="9">
        <v>0</v>
      </c>
      <c r="BF92" s="101">
        <v>44713</v>
      </c>
      <c r="BG92" s="14" t="s">
        <v>31</v>
      </c>
      <c r="BH92" s="101">
        <v>44728</v>
      </c>
      <c r="BI92" s="9"/>
      <c r="BJ92" s="39">
        <v>9146017</v>
      </c>
      <c r="BK92" s="39">
        <f t="shared" si="10"/>
        <v>0</v>
      </c>
      <c r="BL92" s="39"/>
      <c r="BM92" s="39"/>
      <c r="BN92" s="9">
        <v>0</v>
      </c>
      <c r="BO92" s="101">
        <v>44747</v>
      </c>
      <c r="BP92" s="14" t="s">
        <v>31</v>
      </c>
      <c r="BQ92" s="101">
        <v>44757</v>
      </c>
      <c r="BR92" s="9"/>
      <c r="BS92" s="39">
        <v>9146017</v>
      </c>
      <c r="BT92" s="39">
        <f>BJ92-BS92</f>
        <v>0</v>
      </c>
      <c r="BU92" s="39"/>
      <c r="BV92" s="39"/>
      <c r="BW92" s="9">
        <v>0</v>
      </c>
      <c r="BX92" s="101">
        <v>44781</v>
      </c>
      <c r="BY92" s="14" t="s">
        <v>31</v>
      </c>
      <c r="BZ92" s="14"/>
      <c r="CA92" s="9"/>
      <c r="CB92" s="39"/>
      <c r="CC92" s="39"/>
      <c r="CD92" s="39"/>
      <c r="CE92" s="39"/>
      <c r="CF92" s="9"/>
      <c r="CG92" s="101"/>
      <c r="CH92" s="14"/>
      <c r="CI92" s="14"/>
      <c r="CJ92" s="9"/>
      <c r="CK92" s="39"/>
      <c r="CL92" s="39"/>
      <c r="CM92" s="39"/>
      <c r="CN92" s="39"/>
      <c r="CO92" s="9"/>
      <c r="CP92" s="101"/>
      <c r="CQ92" s="14"/>
      <c r="CR92" s="14"/>
      <c r="CS92" s="9"/>
      <c r="CT92" s="39"/>
      <c r="CU92" s="39"/>
      <c r="CV92" s="39"/>
      <c r="CW92" s="39"/>
      <c r="CX92" s="9"/>
      <c r="CY92" s="101"/>
      <c r="CZ92" s="14"/>
      <c r="DA92" s="86"/>
      <c r="DB92" s="9"/>
      <c r="DC92" s="39"/>
      <c r="DD92" s="39"/>
      <c r="DE92" s="39"/>
      <c r="DF92" s="39"/>
      <c r="DG92" s="9"/>
      <c r="DH92" s="101"/>
      <c r="DI92" s="14"/>
      <c r="DJ92" s="14"/>
    </row>
    <row r="93" spans="1:114" hidden="1" x14ac:dyDescent="0.35">
      <c r="A93" s="1" t="s">
        <v>331</v>
      </c>
      <c r="B93" s="14" t="s">
        <v>332</v>
      </c>
      <c r="C93" s="14" t="s">
        <v>29</v>
      </c>
      <c r="D93" s="2">
        <v>6616</v>
      </c>
      <c r="E93" s="3">
        <v>214087</v>
      </c>
      <c r="F93" s="3" t="s">
        <v>333</v>
      </c>
      <c r="G93" s="52" t="s">
        <v>334</v>
      </c>
      <c r="H93" s="39">
        <v>13000000</v>
      </c>
      <c r="I93" s="39">
        <v>13000000</v>
      </c>
      <c r="J93" s="39"/>
      <c r="K93" s="39">
        <v>13000000</v>
      </c>
      <c r="L93" s="39">
        <f t="shared" si="17"/>
        <v>0</v>
      </c>
      <c r="M93" s="39"/>
      <c r="N93" s="39"/>
      <c r="O93" s="9">
        <v>0</v>
      </c>
      <c r="P93" s="101">
        <v>44567</v>
      </c>
      <c r="Q93" s="101" t="s">
        <v>31</v>
      </c>
      <c r="R93" s="20"/>
      <c r="S93" s="39">
        <v>13000000</v>
      </c>
      <c r="T93" s="8">
        <f t="shared" ref="T93:T100" si="19">K93-S93</f>
        <v>0</v>
      </c>
      <c r="U93" s="14"/>
      <c r="V93" s="9">
        <v>0</v>
      </c>
      <c r="W93" s="102">
        <v>44596</v>
      </c>
      <c r="X93" s="14" t="s">
        <v>31</v>
      </c>
      <c r="Y93" s="20"/>
      <c r="Z93" s="14"/>
      <c r="AA93" s="57">
        <v>13000000</v>
      </c>
      <c r="AB93" s="57">
        <f>S93-AA93</f>
        <v>0</v>
      </c>
      <c r="AC93" s="14"/>
      <c r="AD93" s="58">
        <v>0</v>
      </c>
      <c r="AE93" s="102">
        <v>44627</v>
      </c>
      <c r="AF93" s="14" t="s">
        <v>31</v>
      </c>
      <c r="AG93" s="20"/>
      <c r="AH93" s="67"/>
      <c r="AI93" s="39">
        <v>13000000</v>
      </c>
      <c r="AJ93" s="39">
        <f>AA93-AI93</f>
        <v>0</v>
      </c>
      <c r="AK93" s="39"/>
      <c r="AL93" s="39"/>
      <c r="AM93" s="9">
        <v>0</v>
      </c>
      <c r="AN93" s="101">
        <v>44656</v>
      </c>
      <c r="AO93" s="14" t="s">
        <v>31</v>
      </c>
      <c r="AP93" s="14"/>
      <c r="AQ93" s="58"/>
      <c r="AR93" s="39">
        <v>13000000</v>
      </c>
      <c r="AS93" s="39">
        <f>AI93-AR93</f>
        <v>0</v>
      </c>
      <c r="AT93" s="39"/>
      <c r="AU93" s="39"/>
      <c r="AV93" s="9">
        <v>0</v>
      </c>
      <c r="AW93" s="101">
        <v>44704</v>
      </c>
      <c r="AX93" s="14" t="s">
        <v>31</v>
      </c>
      <c r="AY93" s="14"/>
      <c r="AZ93" s="9"/>
      <c r="BA93" s="39">
        <v>13000000</v>
      </c>
      <c r="BB93" s="39">
        <f t="shared" si="18"/>
        <v>0</v>
      </c>
      <c r="BC93" s="39"/>
      <c r="BD93" s="39"/>
      <c r="BE93" s="9">
        <v>0</v>
      </c>
      <c r="BF93" s="101">
        <v>44715</v>
      </c>
      <c r="BG93" s="14" t="s">
        <v>31</v>
      </c>
      <c r="BH93" s="101">
        <v>44728</v>
      </c>
      <c r="BI93" s="9"/>
      <c r="BJ93" s="39">
        <v>13000000</v>
      </c>
      <c r="BK93" s="39">
        <f t="shared" si="10"/>
        <v>0</v>
      </c>
      <c r="BL93" s="39"/>
      <c r="BM93" s="39"/>
      <c r="BN93" s="9">
        <v>0</v>
      </c>
      <c r="BO93" s="101">
        <v>44747</v>
      </c>
      <c r="BP93" s="14" t="s">
        <v>31</v>
      </c>
      <c r="BQ93" s="101">
        <v>44757</v>
      </c>
      <c r="BR93" s="9"/>
      <c r="BS93" s="39">
        <v>13000000</v>
      </c>
      <c r="BT93" s="39">
        <f>BJ93-BS93</f>
        <v>0</v>
      </c>
      <c r="BU93" s="39"/>
      <c r="BV93" s="39"/>
      <c r="BW93" s="9">
        <v>0</v>
      </c>
      <c r="BX93" s="101">
        <v>44778</v>
      </c>
      <c r="BY93" s="14" t="s">
        <v>31</v>
      </c>
      <c r="BZ93" s="14"/>
      <c r="CA93" s="9"/>
      <c r="CB93" s="39"/>
      <c r="CC93" s="39"/>
      <c r="CD93" s="39"/>
      <c r="CE93" s="39"/>
      <c r="CF93" s="9"/>
      <c r="CG93" s="101"/>
      <c r="CH93" s="14"/>
      <c r="CI93" s="14"/>
      <c r="CJ93" s="9"/>
      <c r="CK93" s="39"/>
      <c r="CL93" s="39"/>
      <c r="CM93" s="39"/>
      <c r="CN93" s="39"/>
      <c r="CO93" s="9"/>
      <c r="CP93" s="101"/>
      <c r="CQ93" s="14"/>
      <c r="CR93" s="14"/>
      <c r="CS93" s="9"/>
      <c r="CT93" s="39"/>
      <c r="CU93" s="39"/>
      <c r="CV93" s="39"/>
      <c r="CW93" s="39"/>
      <c r="CX93" s="9"/>
      <c r="CY93" s="101"/>
      <c r="CZ93" s="14"/>
      <c r="DA93" s="86"/>
      <c r="DB93" s="9"/>
      <c r="DC93" s="39"/>
      <c r="DD93" s="39"/>
      <c r="DE93" s="39"/>
      <c r="DF93" s="39"/>
      <c r="DG93" s="9"/>
      <c r="DH93" s="101"/>
      <c r="DI93" s="14"/>
      <c r="DJ93" s="14"/>
    </row>
    <row r="94" spans="1:114" hidden="1" x14ac:dyDescent="0.35">
      <c r="A94" s="1" t="s">
        <v>335</v>
      </c>
      <c r="B94" s="14" t="s">
        <v>336</v>
      </c>
      <c r="C94" s="14" t="s">
        <v>29</v>
      </c>
      <c r="D94" s="2">
        <v>6617</v>
      </c>
      <c r="E94" s="3">
        <v>204531</v>
      </c>
      <c r="F94" s="3" t="s">
        <v>337</v>
      </c>
      <c r="G94" s="52" t="s">
        <v>338</v>
      </c>
      <c r="H94" s="39">
        <v>6988681</v>
      </c>
      <c r="I94" s="39">
        <v>6988681</v>
      </c>
      <c r="J94" s="39"/>
      <c r="K94" s="39">
        <v>6988681</v>
      </c>
      <c r="L94" s="39">
        <f t="shared" si="17"/>
        <v>0</v>
      </c>
      <c r="M94" s="39"/>
      <c r="N94" s="39"/>
      <c r="O94" s="9">
        <v>0</v>
      </c>
      <c r="P94" s="101">
        <v>44574</v>
      </c>
      <c r="Q94" s="14" t="s">
        <v>31</v>
      </c>
      <c r="R94" s="20"/>
      <c r="S94" s="39">
        <v>6988681</v>
      </c>
      <c r="T94" s="8">
        <f t="shared" si="19"/>
        <v>0</v>
      </c>
      <c r="U94" s="14"/>
      <c r="V94" s="9">
        <v>0</v>
      </c>
      <c r="W94" s="102">
        <v>44601</v>
      </c>
      <c r="X94" s="14" t="s">
        <v>31</v>
      </c>
      <c r="Y94" s="20"/>
      <c r="Z94" s="14"/>
      <c r="AA94" s="57">
        <v>6988681</v>
      </c>
      <c r="AB94" s="57">
        <f>S94-AA94</f>
        <v>0</v>
      </c>
      <c r="AC94" s="14"/>
      <c r="AD94" s="58">
        <v>0</v>
      </c>
      <c r="AE94" s="131">
        <v>44634</v>
      </c>
      <c r="AF94" s="14" t="s">
        <v>31</v>
      </c>
      <c r="AG94" s="20"/>
      <c r="AH94" s="14"/>
      <c r="AI94" s="39">
        <v>6988681</v>
      </c>
      <c r="AJ94" s="39">
        <f>AA94-AI94</f>
        <v>0</v>
      </c>
      <c r="AK94" s="39"/>
      <c r="AL94" s="39"/>
      <c r="AM94" s="9">
        <v>0</v>
      </c>
      <c r="AN94" s="101">
        <v>44662</v>
      </c>
      <c r="AO94" s="14" t="s">
        <v>31</v>
      </c>
      <c r="AP94" s="14"/>
      <c r="AQ94" s="58"/>
      <c r="AR94" s="39">
        <v>6988681</v>
      </c>
      <c r="AS94" s="39">
        <f t="shared" ref="AS94:AS101" si="20">AI94-AR94</f>
        <v>0</v>
      </c>
      <c r="AT94" s="39"/>
      <c r="AU94" s="39"/>
      <c r="AV94" s="9">
        <v>0</v>
      </c>
      <c r="AW94" s="101">
        <v>44690</v>
      </c>
      <c r="AX94" s="14" t="s">
        <v>31</v>
      </c>
      <c r="AY94" s="14"/>
      <c r="AZ94" s="9"/>
      <c r="BA94" s="39">
        <v>6988681</v>
      </c>
      <c r="BB94" s="39">
        <f t="shared" si="18"/>
        <v>0</v>
      </c>
      <c r="BC94" s="39"/>
      <c r="BD94" s="39"/>
      <c r="BE94" s="9">
        <v>0</v>
      </c>
      <c r="BF94" s="101">
        <v>44718</v>
      </c>
      <c r="BG94" s="14" t="s">
        <v>31</v>
      </c>
      <c r="BH94" s="101">
        <v>44728</v>
      </c>
      <c r="BI94" s="9"/>
      <c r="BJ94" s="39">
        <v>6988681</v>
      </c>
      <c r="BK94" s="39">
        <f t="shared" ref="BK94:BK101" si="21">BA94-BJ94</f>
        <v>0</v>
      </c>
      <c r="BL94" s="39"/>
      <c r="BM94" s="39"/>
      <c r="BN94" s="9">
        <v>0</v>
      </c>
      <c r="BO94" s="101">
        <v>44753</v>
      </c>
      <c r="BP94" s="14" t="s">
        <v>31</v>
      </c>
      <c r="BQ94" s="101">
        <v>44768</v>
      </c>
      <c r="BR94" s="9"/>
      <c r="BS94" s="39">
        <v>6988681</v>
      </c>
      <c r="BT94" s="39">
        <f>BJ94-BS94</f>
        <v>0</v>
      </c>
      <c r="BU94" s="39"/>
      <c r="BV94" s="39"/>
      <c r="BW94" s="9">
        <v>0</v>
      </c>
      <c r="BX94" s="101">
        <v>44783</v>
      </c>
      <c r="BY94" s="14" t="s">
        <v>31</v>
      </c>
      <c r="BZ94" s="14"/>
      <c r="CA94" s="9"/>
      <c r="CB94" s="39"/>
      <c r="CC94" s="39"/>
      <c r="CD94" s="39"/>
      <c r="CE94" s="39"/>
      <c r="CF94" s="9"/>
      <c r="CG94" s="101"/>
      <c r="CH94" s="14"/>
      <c r="CI94" s="14"/>
      <c r="CJ94" s="9"/>
      <c r="CK94" s="39"/>
      <c r="CL94" s="39"/>
      <c r="CM94" s="39"/>
      <c r="CN94" s="39"/>
      <c r="CO94" s="9"/>
      <c r="CP94" s="101"/>
      <c r="CQ94" s="14"/>
      <c r="CR94" s="14"/>
      <c r="CS94" s="9"/>
      <c r="CT94" s="39"/>
      <c r="CU94" s="39"/>
      <c r="CV94" s="39"/>
      <c r="CW94" s="39"/>
      <c r="CX94" s="9"/>
      <c r="CY94" s="101"/>
      <c r="CZ94" s="14"/>
      <c r="DA94" s="86"/>
      <c r="DB94" s="9"/>
      <c r="DC94" s="39"/>
      <c r="DD94" s="39"/>
      <c r="DE94" s="39"/>
      <c r="DF94" s="39"/>
      <c r="DG94" s="9"/>
      <c r="DH94" s="101"/>
      <c r="DI94" s="14"/>
      <c r="DJ94" s="14"/>
    </row>
    <row r="95" spans="1:114" hidden="1" x14ac:dyDescent="0.35">
      <c r="A95" s="1" t="s">
        <v>339</v>
      </c>
      <c r="B95" s="14" t="s">
        <v>340</v>
      </c>
      <c r="C95" s="14" t="s">
        <v>113</v>
      </c>
      <c r="D95" s="2">
        <v>6619</v>
      </c>
      <c r="E95" s="3">
        <v>205529</v>
      </c>
      <c r="F95" s="3" t="s">
        <v>341</v>
      </c>
      <c r="G95" s="52">
        <v>9002479436</v>
      </c>
      <c r="H95" s="39">
        <v>10150000</v>
      </c>
      <c r="I95" s="39">
        <v>10150000</v>
      </c>
      <c r="J95" s="39"/>
      <c r="K95" s="39">
        <v>10150000</v>
      </c>
      <c r="L95" s="39">
        <f t="shared" si="17"/>
        <v>0</v>
      </c>
      <c r="M95" s="39"/>
      <c r="N95" s="39"/>
      <c r="O95" s="9">
        <v>0</v>
      </c>
      <c r="P95" s="101">
        <v>44567</v>
      </c>
      <c r="Q95" s="101" t="s">
        <v>31</v>
      </c>
      <c r="R95" s="20"/>
      <c r="S95" s="39">
        <v>10150000</v>
      </c>
      <c r="T95" s="8">
        <f t="shared" si="19"/>
        <v>0</v>
      </c>
      <c r="U95" s="14"/>
      <c r="V95" s="9">
        <v>0</v>
      </c>
      <c r="W95" s="102">
        <v>44600</v>
      </c>
      <c r="X95" s="14" t="s">
        <v>31</v>
      </c>
      <c r="Y95" s="20"/>
      <c r="Z95" s="67"/>
      <c r="AA95" s="57">
        <v>10150000</v>
      </c>
      <c r="AB95" s="57">
        <f t="shared" ref="AB95:AB101" si="22">S95-AA95</f>
        <v>0</v>
      </c>
      <c r="AC95" s="14"/>
      <c r="AD95" s="58">
        <v>0</v>
      </c>
      <c r="AE95" s="101">
        <v>44624</v>
      </c>
      <c r="AF95" s="14" t="s">
        <v>31</v>
      </c>
      <c r="AG95" s="20"/>
      <c r="AH95" s="67"/>
      <c r="AI95" s="39">
        <v>10150000</v>
      </c>
      <c r="AJ95" s="39">
        <f t="shared" ref="AJ95:AJ103" si="23">AA95-AI95</f>
        <v>0</v>
      </c>
      <c r="AK95" s="39"/>
      <c r="AL95" s="39"/>
      <c r="AM95" s="9">
        <v>0</v>
      </c>
      <c r="AN95" s="101">
        <v>44657</v>
      </c>
      <c r="AO95" s="14" t="s">
        <v>31</v>
      </c>
      <c r="AP95" s="14"/>
      <c r="AQ95" s="58"/>
      <c r="AR95" s="39">
        <v>10150000</v>
      </c>
      <c r="AS95" s="39">
        <f t="shared" si="20"/>
        <v>0</v>
      </c>
      <c r="AT95" s="39"/>
      <c r="AU95" s="39"/>
      <c r="AV95" s="9">
        <v>0</v>
      </c>
      <c r="AW95" s="101">
        <v>44687</v>
      </c>
      <c r="AX95" s="14" t="s">
        <v>31</v>
      </c>
      <c r="AY95" s="14"/>
      <c r="AZ95" s="9"/>
      <c r="BA95" s="39">
        <v>10150000</v>
      </c>
      <c r="BB95" s="39">
        <f t="shared" si="18"/>
        <v>0</v>
      </c>
      <c r="BC95" s="39"/>
      <c r="BD95" s="39"/>
      <c r="BE95" s="9">
        <v>0</v>
      </c>
      <c r="BF95" s="101">
        <v>44715</v>
      </c>
      <c r="BG95" s="14" t="s">
        <v>31</v>
      </c>
      <c r="BH95" s="101">
        <v>44728</v>
      </c>
      <c r="BI95" s="9"/>
      <c r="BJ95" s="39">
        <v>10150000</v>
      </c>
      <c r="BK95" s="39">
        <f t="shared" si="21"/>
        <v>0</v>
      </c>
      <c r="BL95" s="39"/>
      <c r="BM95" s="39"/>
      <c r="BN95" s="9">
        <v>0</v>
      </c>
      <c r="BO95" s="101">
        <v>44749</v>
      </c>
      <c r="BP95" s="14" t="s">
        <v>31</v>
      </c>
      <c r="BQ95" s="101">
        <v>44757</v>
      </c>
      <c r="BR95" s="9"/>
      <c r="BS95" s="39">
        <v>10150000</v>
      </c>
      <c r="BT95" s="39">
        <f t="shared" ref="BT95:BT100" si="24">BJ95-BS95</f>
        <v>0</v>
      </c>
      <c r="BU95" s="39"/>
      <c r="BV95" s="39"/>
      <c r="BW95" s="9">
        <v>0</v>
      </c>
      <c r="BX95" s="101">
        <v>44778</v>
      </c>
      <c r="BY95" s="14" t="s">
        <v>31</v>
      </c>
      <c r="BZ95" s="14"/>
      <c r="CA95" s="9"/>
      <c r="CB95" s="39"/>
      <c r="CC95" s="39"/>
      <c r="CD95" s="39"/>
      <c r="CE95" s="39"/>
      <c r="CF95" s="9"/>
      <c r="CG95" s="101"/>
      <c r="CH95" s="14"/>
      <c r="CI95" s="14"/>
      <c r="CJ95" s="9"/>
      <c r="CK95" s="39"/>
      <c r="CL95" s="39"/>
      <c r="CM95" s="39"/>
      <c r="CN95" s="39"/>
      <c r="CO95" s="9"/>
      <c r="CP95" s="101"/>
      <c r="CQ95" s="14"/>
      <c r="CR95" s="14"/>
      <c r="CS95" s="9"/>
      <c r="CT95" s="39"/>
      <c r="CU95" s="39"/>
      <c r="CV95" s="39"/>
      <c r="CW95" s="39"/>
      <c r="CX95" s="9"/>
      <c r="CY95" s="101"/>
      <c r="CZ95" s="14"/>
      <c r="DA95" s="86"/>
      <c r="DB95" s="9"/>
      <c r="DC95" s="39"/>
      <c r="DD95" s="39"/>
      <c r="DE95" s="39"/>
      <c r="DF95" s="39"/>
      <c r="DG95" s="9"/>
      <c r="DH95" s="101"/>
      <c r="DI95" s="14"/>
      <c r="DJ95" s="14"/>
    </row>
    <row r="96" spans="1:114" hidden="1" x14ac:dyDescent="0.35">
      <c r="A96" s="1" t="s">
        <v>342</v>
      </c>
      <c r="B96" s="14" t="s">
        <v>343</v>
      </c>
      <c r="C96" s="14" t="s">
        <v>163</v>
      </c>
      <c r="D96" s="2">
        <v>6620</v>
      </c>
      <c r="E96" s="3" t="s">
        <v>344</v>
      </c>
      <c r="F96" s="3" t="s">
        <v>345</v>
      </c>
      <c r="G96" s="52" t="s">
        <v>274</v>
      </c>
      <c r="H96" s="39">
        <v>12351700</v>
      </c>
      <c r="I96" s="39">
        <v>12351700</v>
      </c>
      <c r="J96" s="39"/>
      <c r="K96" s="39">
        <v>12351700</v>
      </c>
      <c r="L96" s="39">
        <f t="shared" si="17"/>
        <v>0</v>
      </c>
      <c r="M96" s="39"/>
      <c r="N96" s="39"/>
      <c r="O96" s="9">
        <v>0</v>
      </c>
      <c r="P96" s="102">
        <v>44564</v>
      </c>
      <c r="Q96" s="3" t="s">
        <v>31</v>
      </c>
      <c r="R96" s="20"/>
      <c r="S96" s="39">
        <v>12351700</v>
      </c>
      <c r="T96" s="8">
        <f t="shared" si="19"/>
        <v>0</v>
      </c>
      <c r="U96" s="14"/>
      <c r="V96" s="9">
        <v>0</v>
      </c>
      <c r="W96" s="102">
        <v>44593</v>
      </c>
      <c r="X96" s="14" t="s">
        <v>31</v>
      </c>
      <c r="Y96" s="20"/>
      <c r="Z96" s="14"/>
      <c r="AA96" s="57">
        <v>12351700</v>
      </c>
      <c r="AB96" s="57">
        <f t="shared" si="22"/>
        <v>0</v>
      </c>
      <c r="AC96" s="14"/>
      <c r="AD96" s="58">
        <v>0</v>
      </c>
      <c r="AE96" s="131">
        <v>44621</v>
      </c>
      <c r="AF96" s="14" t="s">
        <v>31</v>
      </c>
      <c r="AG96" s="20"/>
      <c r="AH96" s="67"/>
      <c r="AI96" s="39">
        <v>12351700</v>
      </c>
      <c r="AJ96" s="39">
        <f t="shared" si="23"/>
        <v>0</v>
      </c>
      <c r="AK96" s="39"/>
      <c r="AL96" s="39"/>
      <c r="AM96" s="9">
        <v>0</v>
      </c>
      <c r="AN96" s="101">
        <v>44655</v>
      </c>
      <c r="AO96" s="14" t="s">
        <v>31</v>
      </c>
      <c r="AP96" s="14"/>
      <c r="AQ96" s="58"/>
      <c r="AR96" s="39">
        <v>12351700</v>
      </c>
      <c r="AS96" s="39">
        <f t="shared" si="20"/>
        <v>0</v>
      </c>
      <c r="AT96" s="39"/>
      <c r="AU96" s="39"/>
      <c r="AV96" s="9">
        <v>0</v>
      </c>
      <c r="AW96" s="101">
        <v>44683</v>
      </c>
      <c r="AX96" s="14" t="s">
        <v>31</v>
      </c>
      <c r="AY96" s="14"/>
      <c r="AZ96" s="9"/>
      <c r="BA96" s="39">
        <v>12351700</v>
      </c>
      <c r="BB96" s="39">
        <f t="shared" si="18"/>
        <v>0</v>
      </c>
      <c r="BC96" s="39"/>
      <c r="BD96" s="39"/>
      <c r="BE96" s="9">
        <v>0</v>
      </c>
      <c r="BF96" s="101">
        <v>44713</v>
      </c>
      <c r="BG96" s="14" t="s">
        <v>31</v>
      </c>
      <c r="BH96" s="101">
        <v>44728</v>
      </c>
      <c r="BI96" s="9"/>
      <c r="BJ96" s="39">
        <v>12351700</v>
      </c>
      <c r="BK96" s="39">
        <f t="shared" si="21"/>
        <v>0</v>
      </c>
      <c r="BL96" s="39"/>
      <c r="BM96" s="39"/>
      <c r="BN96" s="9">
        <v>0</v>
      </c>
      <c r="BO96" s="101">
        <v>44743</v>
      </c>
      <c r="BP96" s="14" t="s">
        <v>31</v>
      </c>
      <c r="BQ96" s="101">
        <v>44757</v>
      </c>
      <c r="BR96" s="9"/>
      <c r="BS96" s="39">
        <v>12351700</v>
      </c>
      <c r="BT96" s="39">
        <f t="shared" si="24"/>
        <v>0</v>
      </c>
      <c r="BU96" s="39"/>
      <c r="BV96" s="39"/>
      <c r="BW96" s="9">
        <v>0</v>
      </c>
      <c r="BX96" s="101">
        <v>44774</v>
      </c>
      <c r="BY96" s="14" t="s">
        <v>31</v>
      </c>
      <c r="BZ96" s="14"/>
      <c r="CA96" s="181"/>
      <c r="CB96" s="182"/>
      <c r="CC96" s="182"/>
      <c r="CD96" s="182"/>
      <c r="CE96" s="182"/>
      <c r="CF96" s="182"/>
      <c r="CG96" s="182"/>
      <c r="CH96" s="182"/>
      <c r="CI96" s="183"/>
      <c r="CJ96" s="9"/>
      <c r="CK96" s="39"/>
      <c r="CL96" s="39"/>
      <c r="CM96" s="39"/>
      <c r="CN96" s="39"/>
      <c r="CO96" s="9"/>
      <c r="CP96" s="101"/>
      <c r="CQ96" s="14"/>
      <c r="CR96" s="14"/>
      <c r="CS96" s="9"/>
      <c r="CT96" s="39"/>
      <c r="CU96" s="39"/>
      <c r="CV96" s="39"/>
      <c r="CW96" s="39"/>
      <c r="CX96" s="9"/>
      <c r="CY96" s="101"/>
      <c r="CZ96" s="14"/>
      <c r="DA96" s="86"/>
      <c r="DB96" s="9"/>
      <c r="DC96" s="39"/>
      <c r="DD96" s="39"/>
      <c r="DE96" s="39"/>
      <c r="DF96" s="39"/>
      <c r="DG96" s="9"/>
      <c r="DH96" s="101"/>
      <c r="DI96" s="14"/>
      <c r="DJ96" s="14"/>
    </row>
    <row r="97" spans="1:114" hidden="1" x14ac:dyDescent="0.35">
      <c r="A97" s="1" t="s">
        <v>346</v>
      </c>
      <c r="B97" s="14" t="s">
        <v>347</v>
      </c>
      <c r="C97" s="14" t="s">
        <v>163</v>
      </c>
      <c r="D97" s="2">
        <v>6621</v>
      </c>
      <c r="E97" s="3">
        <v>206218</v>
      </c>
      <c r="F97" s="3" t="s">
        <v>348</v>
      </c>
      <c r="G97" s="52" t="s">
        <v>349</v>
      </c>
      <c r="H97" s="39">
        <v>7204107</v>
      </c>
      <c r="I97" s="39">
        <v>6820780</v>
      </c>
      <c r="J97" s="39"/>
      <c r="K97" s="39">
        <v>6820780</v>
      </c>
      <c r="L97" s="39">
        <f>I97-K97</f>
        <v>0</v>
      </c>
      <c r="M97" s="39"/>
      <c r="N97" s="39"/>
      <c r="O97" s="9">
        <f>L97/H97</f>
        <v>0</v>
      </c>
      <c r="P97" s="101">
        <v>44566</v>
      </c>
      <c r="Q97" s="14" t="s">
        <v>31</v>
      </c>
      <c r="R97" s="20"/>
      <c r="S97" s="39">
        <v>7204107</v>
      </c>
      <c r="T97" s="8">
        <f t="shared" si="19"/>
        <v>-383327</v>
      </c>
      <c r="U97" s="14"/>
      <c r="V97" s="9">
        <f>T97/K97</f>
        <v>-5.6199877433372722E-2</v>
      </c>
      <c r="W97" s="101">
        <v>44595</v>
      </c>
      <c r="X97" s="14" t="s">
        <v>31</v>
      </c>
      <c r="Y97" s="20"/>
      <c r="Z97" s="14"/>
      <c r="AA97" s="57">
        <v>7204107</v>
      </c>
      <c r="AB97" s="57">
        <f t="shared" si="22"/>
        <v>0</v>
      </c>
      <c r="AC97" s="14"/>
      <c r="AD97" s="58">
        <v>0</v>
      </c>
      <c r="AE97" s="131">
        <v>44622</v>
      </c>
      <c r="AF97" s="14" t="s">
        <v>31</v>
      </c>
      <c r="AG97" s="20"/>
      <c r="AH97" s="67"/>
      <c r="AI97" s="39">
        <v>7204107</v>
      </c>
      <c r="AJ97" s="39">
        <f t="shared" si="23"/>
        <v>0</v>
      </c>
      <c r="AK97" s="39"/>
      <c r="AL97" s="39"/>
      <c r="AM97" s="9">
        <v>0</v>
      </c>
      <c r="AN97" s="101">
        <v>44656</v>
      </c>
      <c r="AO97" s="14" t="s">
        <v>31</v>
      </c>
      <c r="AP97" s="14"/>
      <c r="AQ97" s="58"/>
      <c r="AR97" s="39">
        <v>7204107</v>
      </c>
      <c r="AS97" s="39">
        <f t="shared" si="20"/>
        <v>0</v>
      </c>
      <c r="AT97" s="39"/>
      <c r="AU97" s="39"/>
      <c r="AV97" s="9">
        <v>0</v>
      </c>
      <c r="AW97" s="101">
        <v>44684</v>
      </c>
      <c r="AX97" s="14" t="s">
        <v>31</v>
      </c>
      <c r="AY97" s="14"/>
      <c r="AZ97" s="9"/>
      <c r="BA97" s="39">
        <v>7204107</v>
      </c>
      <c r="BB97" s="39">
        <f t="shared" si="18"/>
        <v>0</v>
      </c>
      <c r="BC97" s="39"/>
      <c r="BD97" s="39"/>
      <c r="BE97" s="9">
        <v>0</v>
      </c>
      <c r="BF97" s="101">
        <v>44713</v>
      </c>
      <c r="BG97" s="14" t="s">
        <v>31</v>
      </c>
      <c r="BH97" s="101">
        <v>44728</v>
      </c>
      <c r="BI97" s="9"/>
      <c r="BJ97" s="39">
        <v>7204107</v>
      </c>
      <c r="BK97" s="39">
        <f t="shared" si="21"/>
        <v>0</v>
      </c>
      <c r="BL97" s="39"/>
      <c r="BM97" s="39"/>
      <c r="BN97" s="9">
        <v>0</v>
      </c>
      <c r="BO97" s="101">
        <v>44747</v>
      </c>
      <c r="BP97" s="14" t="s">
        <v>31</v>
      </c>
      <c r="BQ97" s="101">
        <v>44757</v>
      </c>
      <c r="BR97" s="9"/>
      <c r="BS97" s="39">
        <v>7204107</v>
      </c>
      <c r="BT97" s="39">
        <f t="shared" si="24"/>
        <v>0</v>
      </c>
      <c r="BU97" s="39"/>
      <c r="BV97" s="39"/>
      <c r="BW97" s="9">
        <v>0</v>
      </c>
      <c r="BX97" s="101">
        <v>44775</v>
      </c>
      <c r="BY97" s="14" t="s">
        <v>31</v>
      </c>
      <c r="BZ97" s="14"/>
      <c r="CA97" s="9"/>
      <c r="CB97" s="39"/>
      <c r="CC97" s="39"/>
      <c r="CD97" s="39"/>
      <c r="CE97" s="39"/>
      <c r="CF97" s="9"/>
      <c r="CG97" s="101"/>
      <c r="CH97" s="14"/>
      <c r="CI97" s="14"/>
      <c r="CJ97" s="9"/>
      <c r="CK97" s="39"/>
      <c r="CL97" s="39"/>
      <c r="CM97" s="39"/>
      <c r="CN97" s="39"/>
      <c r="CO97" s="9"/>
      <c r="CP97" s="101"/>
      <c r="CQ97" s="14"/>
      <c r="CR97" s="14"/>
      <c r="CS97" s="9"/>
      <c r="CT97" s="39"/>
      <c r="CU97" s="39"/>
      <c r="CV97" s="39"/>
      <c r="CW97" s="39"/>
      <c r="CX97" s="9"/>
      <c r="CY97" s="101"/>
      <c r="CZ97" s="14"/>
      <c r="DA97" s="86"/>
      <c r="DB97" s="9"/>
      <c r="DC97" s="39"/>
      <c r="DD97" s="39"/>
      <c r="DE97" s="39"/>
      <c r="DF97" s="39"/>
      <c r="DG97" s="9"/>
      <c r="DH97" s="101"/>
      <c r="DI97" s="14"/>
      <c r="DJ97" s="14"/>
    </row>
    <row r="98" spans="1:114" hidden="1" x14ac:dyDescent="0.35">
      <c r="A98" s="1" t="s">
        <v>350</v>
      </c>
      <c r="B98" s="14" t="s">
        <v>351</v>
      </c>
      <c r="C98" s="14" t="s">
        <v>29</v>
      </c>
      <c r="D98" s="2">
        <v>6623</v>
      </c>
      <c r="E98" s="3">
        <v>204519</v>
      </c>
      <c r="F98" s="3" t="s">
        <v>352</v>
      </c>
      <c r="G98" s="52">
        <v>41437669</v>
      </c>
      <c r="H98" s="39">
        <v>6337200</v>
      </c>
      <c r="I98" s="39">
        <v>6000000</v>
      </c>
      <c r="J98" s="39"/>
      <c r="K98" s="39">
        <v>6000000</v>
      </c>
      <c r="L98" s="39">
        <f>I98-K98</f>
        <v>0</v>
      </c>
      <c r="M98" s="39"/>
      <c r="N98" s="39"/>
      <c r="O98" s="9">
        <v>0</v>
      </c>
      <c r="P98" s="102">
        <v>44586</v>
      </c>
      <c r="Q98" s="14" t="s">
        <v>31</v>
      </c>
      <c r="R98" s="20"/>
      <c r="S98" s="39">
        <v>6000000</v>
      </c>
      <c r="T98" s="39">
        <f t="shared" si="19"/>
        <v>0</v>
      </c>
      <c r="U98" s="14"/>
      <c r="V98" s="67">
        <v>0</v>
      </c>
      <c r="W98" s="101">
        <v>44594</v>
      </c>
      <c r="X98" s="14" t="s">
        <v>31</v>
      </c>
      <c r="Y98" s="20"/>
      <c r="Z98" s="14"/>
      <c r="AA98" s="57">
        <v>6000000</v>
      </c>
      <c r="AB98" s="57">
        <f t="shared" si="22"/>
        <v>0</v>
      </c>
      <c r="AC98" s="14"/>
      <c r="AD98" s="67">
        <v>0</v>
      </c>
      <c r="AE98" s="131">
        <v>44622</v>
      </c>
      <c r="AF98" s="14" t="s">
        <v>31</v>
      </c>
      <c r="AG98" s="20"/>
      <c r="AH98" s="9"/>
      <c r="AI98" s="39">
        <v>6000000</v>
      </c>
      <c r="AJ98" s="39">
        <f t="shared" si="23"/>
        <v>0</v>
      </c>
      <c r="AK98" s="39"/>
      <c r="AL98" s="39"/>
      <c r="AM98" s="9">
        <v>0</v>
      </c>
      <c r="AN98" s="101">
        <v>44655</v>
      </c>
      <c r="AO98" s="14" t="s">
        <v>31</v>
      </c>
      <c r="AP98" s="14"/>
      <c r="AQ98" s="58"/>
      <c r="AR98" s="39">
        <v>6000000</v>
      </c>
      <c r="AS98" s="39">
        <f t="shared" si="20"/>
        <v>0</v>
      </c>
      <c r="AT98" s="39"/>
      <c r="AU98" s="39"/>
      <c r="AV98" s="9">
        <v>0</v>
      </c>
      <c r="AW98" s="101">
        <v>44686</v>
      </c>
      <c r="AX98" s="14" t="s">
        <v>31</v>
      </c>
      <c r="AY98" s="14"/>
      <c r="AZ98" s="9"/>
      <c r="BA98" s="39">
        <v>6337200</v>
      </c>
      <c r="BB98" s="39"/>
      <c r="BC98" s="39">
        <f>AR98-BA98</f>
        <v>-337200</v>
      </c>
      <c r="BD98" s="39"/>
      <c r="BE98" s="9">
        <f>BC98/AR98</f>
        <v>-5.62E-2</v>
      </c>
      <c r="BF98" s="101">
        <v>44713</v>
      </c>
      <c r="BG98" s="14" t="s">
        <v>31</v>
      </c>
      <c r="BH98" s="101">
        <v>44778</v>
      </c>
      <c r="BI98" s="9"/>
      <c r="BJ98" s="39">
        <v>6337200</v>
      </c>
      <c r="BK98" s="39">
        <f t="shared" si="21"/>
        <v>0</v>
      </c>
      <c r="BL98" s="39"/>
      <c r="BM98" s="39"/>
      <c r="BN98" s="9">
        <v>0</v>
      </c>
      <c r="BO98" s="101">
        <v>44747</v>
      </c>
      <c r="BP98" s="14" t="s">
        <v>31</v>
      </c>
      <c r="BQ98" s="101">
        <v>44778</v>
      </c>
      <c r="BR98" s="9"/>
      <c r="BS98" s="39">
        <v>6337200</v>
      </c>
      <c r="BT98" s="39">
        <f t="shared" si="24"/>
        <v>0</v>
      </c>
      <c r="BU98" s="39"/>
      <c r="BV98" s="39"/>
      <c r="BW98" s="9">
        <v>0</v>
      </c>
      <c r="BX98" s="101">
        <v>44775</v>
      </c>
      <c r="BY98" s="14" t="s">
        <v>31</v>
      </c>
      <c r="BZ98" s="14"/>
      <c r="CA98" s="9"/>
      <c r="CB98" s="39"/>
      <c r="CC98" s="39"/>
      <c r="CD98" s="39"/>
      <c r="CE98" s="39"/>
      <c r="CF98" s="9"/>
      <c r="CG98" s="101"/>
      <c r="CH98" s="14"/>
      <c r="CI98" s="14"/>
      <c r="CJ98" s="9"/>
      <c r="CK98" s="39"/>
      <c r="CL98" s="39"/>
      <c r="CM98" s="39"/>
      <c r="CN98" s="39"/>
      <c r="CO98" s="9"/>
      <c r="CP98" s="101"/>
      <c r="CQ98" s="14"/>
      <c r="CR98" s="14"/>
      <c r="CS98" s="9"/>
      <c r="CT98" s="39"/>
      <c r="CU98" s="39"/>
      <c r="CV98" s="39"/>
      <c r="CW98" s="39"/>
      <c r="CX98" s="9"/>
      <c r="CY98" s="101"/>
      <c r="CZ98" s="14"/>
      <c r="DA98" s="86"/>
      <c r="DB98" s="9"/>
      <c r="DC98" s="39"/>
      <c r="DD98" s="39"/>
      <c r="DE98" s="39"/>
      <c r="DF98" s="39"/>
      <c r="DG98" s="9"/>
      <c r="DH98" s="101"/>
      <c r="DI98" s="14"/>
      <c r="DJ98" s="14"/>
    </row>
    <row r="99" spans="1:114" hidden="1" x14ac:dyDescent="0.35">
      <c r="A99" s="1" t="s">
        <v>350</v>
      </c>
      <c r="B99" s="14" t="s">
        <v>351</v>
      </c>
      <c r="C99" s="14" t="s">
        <v>29</v>
      </c>
      <c r="D99" s="2">
        <v>6623</v>
      </c>
      <c r="E99" s="3">
        <v>204516</v>
      </c>
      <c r="F99" s="3" t="s">
        <v>353</v>
      </c>
      <c r="G99" s="52"/>
      <c r="H99" s="39">
        <v>6337200</v>
      </c>
      <c r="I99" s="39">
        <v>6000000</v>
      </c>
      <c r="J99" s="39"/>
      <c r="K99" s="39">
        <v>6000000</v>
      </c>
      <c r="L99" s="39">
        <f>I99-K99</f>
        <v>0</v>
      </c>
      <c r="M99" s="39"/>
      <c r="N99" s="39"/>
      <c r="O99" s="9">
        <v>0</v>
      </c>
      <c r="P99" s="102">
        <v>44200</v>
      </c>
      <c r="Q99" s="3" t="s">
        <v>31</v>
      </c>
      <c r="R99" s="20"/>
      <c r="S99" s="39">
        <v>6000000</v>
      </c>
      <c r="T99" s="39">
        <f t="shared" si="19"/>
        <v>0</v>
      </c>
      <c r="U99" s="14"/>
      <c r="V99" s="67">
        <v>0</v>
      </c>
      <c r="W99" s="101">
        <v>44595</v>
      </c>
      <c r="X99" s="14" t="s">
        <v>31</v>
      </c>
      <c r="Y99" s="20"/>
      <c r="Z99" s="14"/>
      <c r="AA99" s="57">
        <v>6000000</v>
      </c>
      <c r="AB99" s="57">
        <f t="shared" si="22"/>
        <v>0</v>
      </c>
      <c r="AC99" s="14"/>
      <c r="AD99" s="67">
        <v>0</v>
      </c>
      <c r="AE99" s="131">
        <v>44622</v>
      </c>
      <c r="AF99" s="14" t="s">
        <v>31</v>
      </c>
      <c r="AG99" s="20"/>
      <c r="AH99" s="14"/>
      <c r="AI99" s="39">
        <v>6000000</v>
      </c>
      <c r="AJ99" s="39">
        <f t="shared" si="23"/>
        <v>0</v>
      </c>
      <c r="AK99" s="39"/>
      <c r="AL99" s="39"/>
      <c r="AM99" s="9">
        <v>0</v>
      </c>
      <c r="AN99" s="101">
        <v>44656</v>
      </c>
      <c r="AO99" s="14" t="s">
        <v>31</v>
      </c>
      <c r="AP99" s="14"/>
      <c r="AQ99" s="58"/>
      <c r="AR99" s="39">
        <v>6000000</v>
      </c>
      <c r="AS99" s="39">
        <f t="shared" si="20"/>
        <v>0</v>
      </c>
      <c r="AT99" s="39"/>
      <c r="AU99" s="39">
        <v>6000000</v>
      </c>
      <c r="AV99" s="9">
        <v>0</v>
      </c>
      <c r="AW99" s="101">
        <v>44692</v>
      </c>
      <c r="AX99" s="14" t="s">
        <v>31</v>
      </c>
      <c r="AY99" s="14"/>
      <c r="AZ99" s="9"/>
      <c r="BA99" s="39">
        <v>6337200</v>
      </c>
      <c r="BB99" s="39"/>
      <c r="BC99" s="39">
        <f>AR99-BA99</f>
        <v>-337200</v>
      </c>
      <c r="BD99" s="39"/>
      <c r="BE99" s="9">
        <f>BC99/AR99</f>
        <v>-5.62E-2</v>
      </c>
      <c r="BF99" s="101">
        <v>44713</v>
      </c>
      <c r="BG99" s="14" t="s">
        <v>31</v>
      </c>
      <c r="BH99" s="101">
        <v>44728</v>
      </c>
      <c r="BI99" s="9"/>
      <c r="BJ99" s="39">
        <v>6337200</v>
      </c>
      <c r="BK99" s="39">
        <f t="shared" si="21"/>
        <v>0</v>
      </c>
      <c r="BL99" s="39"/>
      <c r="BM99" s="39"/>
      <c r="BN99" s="9">
        <v>0</v>
      </c>
      <c r="BO99" s="101">
        <v>44747</v>
      </c>
      <c r="BP99" s="14" t="s">
        <v>31</v>
      </c>
      <c r="BQ99" s="101">
        <v>44757</v>
      </c>
      <c r="BR99" s="9"/>
      <c r="BS99" s="39">
        <v>6337200</v>
      </c>
      <c r="BT99" s="39">
        <f t="shared" si="24"/>
        <v>0</v>
      </c>
      <c r="BU99" s="39"/>
      <c r="BV99" s="39"/>
      <c r="BW99" s="9">
        <v>0</v>
      </c>
      <c r="BX99" s="101">
        <v>44775</v>
      </c>
      <c r="BY99" s="14" t="s">
        <v>31</v>
      </c>
      <c r="BZ99" s="14"/>
      <c r="CA99" s="9"/>
      <c r="CB99" s="39"/>
      <c r="CC99" s="39"/>
      <c r="CD99" s="39"/>
      <c r="CE99" s="39"/>
      <c r="CF99" s="9"/>
      <c r="CG99" s="101"/>
      <c r="CH99" s="14"/>
      <c r="CI99" s="14"/>
      <c r="CJ99" s="9"/>
      <c r="CK99" s="39"/>
      <c r="CL99" s="39"/>
      <c r="CM99" s="39"/>
      <c r="CN99" s="39"/>
      <c r="CO99" s="9"/>
      <c r="CP99" s="101"/>
      <c r="CQ99" s="14"/>
      <c r="CR99" s="14"/>
      <c r="CS99" s="9"/>
      <c r="CT99" s="39"/>
      <c r="CU99" s="39"/>
      <c r="CV99" s="39"/>
      <c r="CW99" s="39"/>
      <c r="CX99" s="9"/>
      <c r="CY99" s="101"/>
      <c r="CZ99" s="14"/>
      <c r="DA99" s="86"/>
      <c r="DB99" s="9"/>
      <c r="DC99" s="39"/>
      <c r="DD99" s="39"/>
      <c r="DE99" s="39"/>
      <c r="DF99" s="39"/>
      <c r="DG99" s="9"/>
      <c r="DH99" s="101"/>
      <c r="DI99" s="14"/>
      <c r="DJ99" s="14"/>
    </row>
    <row r="100" spans="1:114" hidden="1" x14ac:dyDescent="0.35">
      <c r="A100" s="1" t="s">
        <v>354</v>
      </c>
      <c r="B100" s="14" t="s">
        <v>355</v>
      </c>
      <c r="C100" s="14" t="s">
        <v>29</v>
      </c>
      <c r="D100" s="2">
        <v>6626</v>
      </c>
      <c r="E100" s="3">
        <v>204545</v>
      </c>
      <c r="F100" s="3" t="s">
        <v>356</v>
      </c>
      <c r="G100" s="52" t="s">
        <v>357</v>
      </c>
      <c r="H100" s="39">
        <v>15896214</v>
      </c>
      <c r="I100" s="39">
        <v>14306580</v>
      </c>
      <c r="J100" s="39"/>
      <c r="K100" s="39">
        <v>15896214</v>
      </c>
      <c r="L100" s="39"/>
      <c r="M100" s="39">
        <f>I100-K100</f>
        <v>-1589634</v>
      </c>
      <c r="N100" s="39"/>
      <c r="O100" s="9">
        <f>M100/I100</f>
        <v>-0.11111208968181074</v>
      </c>
      <c r="P100" s="102">
        <v>44582</v>
      </c>
      <c r="Q100" s="14" t="s">
        <v>31</v>
      </c>
      <c r="R100" s="20"/>
      <c r="S100" s="39">
        <v>15896214</v>
      </c>
      <c r="T100" s="8">
        <f t="shared" si="19"/>
        <v>0</v>
      </c>
      <c r="U100" s="14"/>
      <c r="V100" s="9">
        <v>0</v>
      </c>
      <c r="W100" s="102">
        <v>44593</v>
      </c>
      <c r="X100" s="14" t="s">
        <v>31</v>
      </c>
      <c r="Y100" s="20"/>
      <c r="Z100" s="14"/>
      <c r="AA100" s="57">
        <v>15896214</v>
      </c>
      <c r="AB100" s="57">
        <f t="shared" si="22"/>
        <v>0</v>
      </c>
      <c r="AC100" s="14"/>
      <c r="AD100" s="58">
        <v>0</v>
      </c>
      <c r="AE100" s="131">
        <v>44621</v>
      </c>
      <c r="AF100" s="14" t="s">
        <v>31</v>
      </c>
      <c r="AG100" s="20"/>
      <c r="AH100" s="67"/>
      <c r="AI100" s="39">
        <v>15896214</v>
      </c>
      <c r="AJ100" s="39">
        <f t="shared" si="23"/>
        <v>0</v>
      </c>
      <c r="AK100" s="39"/>
      <c r="AL100" s="39"/>
      <c r="AM100" s="9">
        <v>0</v>
      </c>
      <c r="AN100" s="102">
        <v>44659</v>
      </c>
      <c r="AO100" s="14" t="s">
        <v>31</v>
      </c>
      <c r="AP100" s="14"/>
      <c r="AQ100" s="58"/>
      <c r="AR100" s="39">
        <v>15896214</v>
      </c>
      <c r="AS100" s="39">
        <f t="shared" si="20"/>
        <v>0</v>
      </c>
      <c r="AT100" s="39"/>
      <c r="AU100" s="39"/>
      <c r="AV100" s="9">
        <v>0</v>
      </c>
      <c r="AW100" s="101">
        <v>44686</v>
      </c>
      <c r="AX100" s="14" t="s">
        <v>31</v>
      </c>
      <c r="AY100" s="14"/>
      <c r="AZ100" s="9"/>
      <c r="BA100" s="39">
        <v>15896214</v>
      </c>
      <c r="BB100" s="39">
        <f>AR100-BA100</f>
        <v>0</v>
      </c>
      <c r="BC100" s="39"/>
      <c r="BD100" s="39"/>
      <c r="BE100" s="9">
        <v>0</v>
      </c>
      <c r="BF100" s="101">
        <v>44721</v>
      </c>
      <c r="BG100" s="14" t="s">
        <v>31</v>
      </c>
      <c r="BH100" s="101">
        <v>44728</v>
      </c>
      <c r="BI100" s="9"/>
      <c r="BJ100" s="39">
        <v>15896214</v>
      </c>
      <c r="BK100" s="39">
        <f t="shared" si="21"/>
        <v>0</v>
      </c>
      <c r="BL100" s="39"/>
      <c r="BM100" s="39"/>
      <c r="BN100" s="9">
        <v>0</v>
      </c>
      <c r="BO100" s="101">
        <v>44755</v>
      </c>
      <c r="BP100" s="14" t="s">
        <v>31</v>
      </c>
      <c r="BQ100" s="101">
        <v>44768</v>
      </c>
      <c r="BR100" s="9"/>
      <c r="BS100" s="39">
        <v>15101403</v>
      </c>
      <c r="BT100" s="39">
        <f t="shared" si="24"/>
        <v>794811</v>
      </c>
      <c r="BU100" s="39"/>
      <c r="BV100" s="39"/>
      <c r="BW100" s="9">
        <f>BT100/BJ100</f>
        <v>5.0000018872418298E-2</v>
      </c>
      <c r="BX100" s="101">
        <v>44775</v>
      </c>
      <c r="BY100" s="14" t="s">
        <v>31</v>
      </c>
      <c r="BZ100" s="14"/>
      <c r="CA100" s="9"/>
      <c r="CB100" s="39"/>
      <c r="CC100" s="39"/>
      <c r="CD100" s="39"/>
      <c r="CE100" s="39"/>
      <c r="CF100" s="9"/>
      <c r="CG100" s="101"/>
      <c r="CH100" s="14"/>
      <c r="CI100" s="14"/>
      <c r="CJ100" s="9"/>
      <c r="CK100" s="39"/>
      <c r="CL100" s="39"/>
      <c r="CM100" s="39"/>
      <c r="CN100" s="39"/>
      <c r="CO100" s="9"/>
      <c r="CP100" s="101"/>
      <c r="CQ100" s="14"/>
      <c r="CR100" s="14"/>
      <c r="CS100" s="9"/>
      <c r="CT100" s="39"/>
      <c r="CU100" s="39"/>
      <c r="CV100" s="39"/>
      <c r="CW100" s="39"/>
      <c r="CX100" s="9"/>
      <c r="CY100" s="101"/>
      <c r="CZ100" s="14"/>
      <c r="DA100" s="86"/>
      <c r="DB100" s="9"/>
      <c r="DC100" s="39"/>
      <c r="DD100" s="39"/>
      <c r="DE100" s="39"/>
      <c r="DF100" s="39"/>
      <c r="DG100" s="9"/>
      <c r="DH100" s="101"/>
      <c r="DI100" s="14"/>
      <c r="DJ100" s="14"/>
    </row>
    <row r="101" spans="1:114" hidden="1" x14ac:dyDescent="0.35">
      <c r="A101" s="1" t="s">
        <v>358</v>
      </c>
      <c r="B101" s="14" t="s">
        <v>359</v>
      </c>
      <c r="C101" s="14" t="s">
        <v>29</v>
      </c>
      <c r="D101" s="2">
        <v>6627</v>
      </c>
      <c r="E101" s="3">
        <v>204515</v>
      </c>
      <c r="F101" s="3" t="s">
        <v>360</v>
      </c>
      <c r="G101" s="52" t="s">
        <v>361</v>
      </c>
      <c r="H101" s="39">
        <v>11616000</v>
      </c>
      <c r="I101" s="39">
        <v>8512350</v>
      </c>
      <c r="J101" s="39"/>
      <c r="K101" s="39">
        <v>8512350</v>
      </c>
      <c r="L101" s="39">
        <f>I101-K101</f>
        <v>0</v>
      </c>
      <c r="M101" s="39"/>
      <c r="N101" s="39"/>
      <c r="O101" s="9">
        <f>L101/H101</f>
        <v>0</v>
      </c>
      <c r="P101" s="101">
        <v>44566</v>
      </c>
      <c r="Q101" s="14" t="s">
        <v>31</v>
      </c>
      <c r="R101" s="20"/>
      <c r="S101" s="39">
        <v>8512350</v>
      </c>
      <c r="T101" s="39">
        <f>H101-S101</f>
        <v>3103650</v>
      </c>
      <c r="U101" s="14"/>
      <c r="V101" s="9">
        <f>T101/H101</f>
        <v>0.26718750000000002</v>
      </c>
      <c r="W101" s="102">
        <v>44593</v>
      </c>
      <c r="X101" s="14" t="s">
        <v>31</v>
      </c>
      <c r="Y101" s="20"/>
      <c r="Z101" s="14"/>
      <c r="AA101" s="57">
        <v>8512350</v>
      </c>
      <c r="AB101" s="57">
        <f t="shared" si="22"/>
        <v>0</v>
      </c>
      <c r="AC101" s="14"/>
      <c r="AD101" s="58">
        <v>0</v>
      </c>
      <c r="AE101" s="131">
        <v>44621</v>
      </c>
      <c r="AF101" s="14" t="s">
        <v>31</v>
      </c>
      <c r="AG101" s="20"/>
      <c r="AH101" s="14"/>
      <c r="AI101" s="39">
        <v>8512350</v>
      </c>
      <c r="AJ101" s="39">
        <f t="shared" si="23"/>
        <v>0</v>
      </c>
      <c r="AK101" s="39"/>
      <c r="AL101" s="39"/>
      <c r="AM101" s="9">
        <v>0</v>
      </c>
      <c r="AN101" s="101">
        <v>44655</v>
      </c>
      <c r="AO101" s="14" t="s">
        <v>31</v>
      </c>
      <c r="AP101" s="14"/>
      <c r="AQ101" s="58"/>
      <c r="AR101" s="39">
        <v>8512350</v>
      </c>
      <c r="AS101" s="39">
        <f t="shared" si="20"/>
        <v>0</v>
      </c>
      <c r="AT101" s="39"/>
      <c r="AU101" s="39"/>
      <c r="AV101" s="9">
        <v>0</v>
      </c>
      <c r="AW101" s="101">
        <v>44686</v>
      </c>
      <c r="AX101" s="14" t="s">
        <v>31</v>
      </c>
      <c r="AY101" s="14"/>
      <c r="AZ101" s="9"/>
      <c r="BA101" s="39">
        <v>11616000</v>
      </c>
      <c r="BB101" s="39"/>
      <c r="BC101" s="39">
        <f>AR101-BA101</f>
        <v>-3103650</v>
      </c>
      <c r="BD101" s="39"/>
      <c r="BE101" s="9">
        <f>BC101/AR101</f>
        <v>-0.3646055437100213</v>
      </c>
      <c r="BF101" s="101">
        <v>44721</v>
      </c>
      <c r="BG101" s="14" t="s">
        <v>31</v>
      </c>
      <c r="BH101" s="101">
        <v>44728</v>
      </c>
      <c r="BI101" s="9"/>
      <c r="BJ101" s="39">
        <v>11616000</v>
      </c>
      <c r="BK101" s="39">
        <f t="shared" si="21"/>
        <v>0</v>
      </c>
      <c r="BL101" s="39"/>
      <c r="BM101" s="39"/>
      <c r="BN101" s="9">
        <v>0</v>
      </c>
      <c r="BO101" s="101">
        <v>44743</v>
      </c>
      <c r="BP101" s="14" t="s">
        <v>31</v>
      </c>
      <c r="BQ101" s="101">
        <v>44757</v>
      </c>
      <c r="BR101" s="9"/>
      <c r="BS101" s="39">
        <v>11616000</v>
      </c>
      <c r="BT101" s="39">
        <v>871200</v>
      </c>
      <c r="BU101" s="39"/>
      <c r="BV101" s="39"/>
      <c r="BW101" s="9">
        <f>BT101/BS101</f>
        <v>7.4999999999999997E-2</v>
      </c>
      <c r="BX101" s="101">
        <v>44774</v>
      </c>
      <c r="BY101" s="14" t="s">
        <v>31</v>
      </c>
      <c r="BZ101" s="14"/>
      <c r="CA101" s="9"/>
      <c r="CB101" s="39"/>
      <c r="CC101" s="39"/>
      <c r="CD101" s="39"/>
      <c r="CE101" s="39"/>
      <c r="CF101" s="9"/>
      <c r="CG101" s="101"/>
      <c r="CH101" s="14"/>
      <c r="CI101" s="14"/>
      <c r="CJ101" s="9"/>
      <c r="CK101" s="39"/>
      <c r="CL101" s="39"/>
      <c r="CM101" s="39"/>
      <c r="CN101" s="39"/>
      <c r="CO101" s="9"/>
      <c r="CP101" s="101"/>
      <c r="CQ101" s="14"/>
      <c r="CR101" s="14"/>
      <c r="CS101" s="9"/>
      <c r="CT101" s="39"/>
      <c r="CU101" s="39"/>
      <c r="CV101" s="39"/>
      <c r="CW101" s="39"/>
      <c r="CX101" s="9"/>
      <c r="CY101" s="101"/>
      <c r="CZ101" s="14"/>
      <c r="DA101" s="86"/>
      <c r="DB101" s="9"/>
      <c r="DC101" s="39"/>
      <c r="DD101" s="39"/>
      <c r="DE101" s="39"/>
      <c r="DF101" s="39"/>
      <c r="DG101" s="9"/>
      <c r="DH101" s="101"/>
      <c r="DI101" s="14"/>
      <c r="DJ101" s="14"/>
    </row>
    <row r="102" spans="1:114" hidden="1" x14ac:dyDescent="0.35">
      <c r="A102" s="1" t="s">
        <v>362</v>
      </c>
      <c r="B102" s="14" t="s">
        <v>363</v>
      </c>
      <c r="C102" s="14" t="s">
        <v>29</v>
      </c>
      <c r="D102" s="2">
        <v>6628</v>
      </c>
      <c r="E102" s="3">
        <v>206109</v>
      </c>
      <c r="F102" s="3" t="s">
        <v>364</v>
      </c>
      <c r="G102" s="52" t="s">
        <v>365</v>
      </c>
      <c r="H102" s="39">
        <v>2641526</v>
      </c>
      <c r="I102" s="39">
        <v>2641526</v>
      </c>
      <c r="J102" s="39"/>
      <c r="K102" s="39">
        <v>2641526</v>
      </c>
      <c r="L102" s="39">
        <f t="shared" ref="L102:L106" si="25">H102-K102</f>
        <v>0</v>
      </c>
      <c r="M102" s="39"/>
      <c r="N102" s="39"/>
      <c r="O102" s="9">
        <v>0</v>
      </c>
      <c r="P102" s="101">
        <v>44567</v>
      </c>
      <c r="Q102" s="101" t="s">
        <v>31</v>
      </c>
      <c r="R102" s="20"/>
      <c r="S102" s="39">
        <v>2641526</v>
      </c>
      <c r="T102" s="8">
        <f>K102-S102</f>
        <v>0</v>
      </c>
      <c r="U102" s="14"/>
      <c r="V102" s="9">
        <v>0</v>
      </c>
      <c r="W102" s="102">
        <v>44600</v>
      </c>
      <c r="X102" s="14" t="s">
        <v>31</v>
      </c>
      <c r="Y102" s="20"/>
      <c r="Z102" s="14"/>
      <c r="AA102" s="57">
        <v>2641526</v>
      </c>
      <c r="AB102" s="57">
        <f>S102-AA102</f>
        <v>0</v>
      </c>
      <c r="AC102" s="14"/>
      <c r="AD102" s="58">
        <v>0</v>
      </c>
      <c r="AE102" s="101">
        <v>44630</v>
      </c>
      <c r="AF102" s="14" t="s">
        <v>31</v>
      </c>
      <c r="AG102" s="20"/>
      <c r="AH102" s="14"/>
      <c r="AI102" s="39">
        <v>2641526</v>
      </c>
      <c r="AJ102" s="39">
        <f t="shared" si="23"/>
        <v>0</v>
      </c>
      <c r="AK102" s="39"/>
      <c r="AL102" s="39"/>
      <c r="AM102" s="9">
        <v>0</v>
      </c>
      <c r="AN102" s="101">
        <v>44657</v>
      </c>
      <c r="AO102" s="14" t="s">
        <v>31</v>
      </c>
      <c r="AP102" s="14"/>
      <c r="AQ102" s="58"/>
      <c r="AR102" s="39">
        <v>2641526</v>
      </c>
      <c r="AS102" s="39">
        <f>AI102-AR102</f>
        <v>0</v>
      </c>
      <c r="AT102" s="39"/>
      <c r="AU102" s="39"/>
      <c r="AV102" s="9">
        <v>0</v>
      </c>
      <c r="AW102" s="101">
        <v>44701</v>
      </c>
      <c r="AX102" s="14" t="s">
        <v>31</v>
      </c>
      <c r="AY102" s="14"/>
      <c r="AZ102" s="181" t="s">
        <v>408</v>
      </c>
      <c r="BA102" s="182"/>
      <c r="BB102" s="182"/>
      <c r="BC102" s="182"/>
      <c r="BD102" s="182"/>
      <c r="BE102" s="182"/>
      <c r="BF102" s="182"/>
      <c r="BG102" s="182"/>
      <c r="BH102" s="182"/>
      <c r="BI102" s="182"/>
      <c r="BJ102" s="182"/>
      <c r="BK102" s="182"/>
      <c r="BL102" s="182"/>
      <c r="BM102" s="182"/>
      <c r="BN102" s="182"/>
      <c r="BO102" s="182"/>
      <c r="BP102" s="182"/>
      <c r="BQ102" s="182"/>
      <c r="BR102" s="182"/>
      <c r="BS102" s="182"/>
      <c r="BT102" s="182"/>
      <c r="BU102" s="182"/>
      <c r="BV102" s="182"/>
      <c r="BW102" s="182"/>
      <c r="BX102" s="182"/>
      <c r="BY102" s="182"/>
      <c r="BZ102" s="182"/>
      <c r="CA102" s="182"/>
      <c r="CB102" s="182"/>
      <c r="CC102" s="182"/>
      <c r="CD102" s="182"/>
      <c r="CE102" s="182"/>
      <c r="CF102" s="182"/>
      <c r="CG102" s="182"/>
      <c r="CH102" s="182"/>
      <c r="CI102" s="182"/>
      <c r="CJ102" s="182"/>
      <c r="CK102" s="182"/>
      <c r="CL102" s="182"/>
      <c r="CM102" s="182"/>
      <c r="CN102" s="182"/>
      <c r="CO102" s="182"/>
      <c r="CP102" s="182"/>
      <c r="CQ102" s="182"/>
      <c r="CR102" s="182"/>
      <c r="CS102" s="182"/>
      <c r="CT102" s="182"/>
      <c r="CU102" s="182"/>
      <c r="CV102" s="182"/>
      <c r="CW102" s="182"/>
      <c r="CX102" s="182"/>
      <c r="CY102" s="182"/>
      <c r="CZ102" s="182"/>
      <c r="DA102" s="182"/>
      <c r="DB102" s="182"/>
      <c r="DC102" s="182"/>
      <c r="DD102" s="182"/>
      <c r="DE102" s="182"/>
      <c r="DF102" s="182"/>
      <c r="DG102" s="182"/>
      <c r="DH102" s="182"/>
      <c r="DI102" s="182"/>
      <c r="DJ102" s="183"/>
    </row>
    <row r="103" spans="1:114" hidden="1" x14ac:dyDescent="0.35">
      <c r="A103" s="1" t="s">
        <v>362</v>
      </c>
      <c r="B103" s="14" t="s">
        <v>363</v>
      </c>
      <c r="C103" s="14" t="s">
        <v>29</v>
      </c>
      <c r="D103" s="2">
        <v>6628</v>
      </c>
      <c r="E103" s="3">
        <v>206108</v>
      </c>
      <c r="F103" s="3" t="s">
        <v>366</v>
      </c>
      <c r="G103" s="52">
        <v>80421084</v>
      </c>
      <c r="H103" s="39">
        <v>2641526</v>
      </c>
      <c r="I103" s="39">
        <v>2641526</v>
      </c>
      <c r="J103" s="39"/>
      <c r="K103" s="39">
        <v>2641526</v>
      </c>
      <c r="L103" s="39">
        <f t="shared" si="25"/>
        <v>0</v>
      </c>
      <c r="M103" s="39"/>
      <c r="N103" s="39"/>
      <c r="O103" s="9">
        <v>0</v>
      </c>
      <c r="P103" s="102">
        <v>44559</v>
      </c>
      <c r="Q103" s="3" t="s">
        <v>31</v>
      </c>
      <c r="R103" s="20"/>
      <c r="S103" s="39">
        <v>2641526</v>
      </c>
      <c r="T103" s="8">
        <f>K103-S103</f>
        <v>0</v>
      </c>
      <c r="U103" s="14"/>
      <c r="V103" s="9">
        <v>0</v>
      </c>
      <c r="W103" s="101">
        <v>44592</v>
      </c>
      <c r="X103" s="14" t="s">
        <v>31</v>
      </c>
      <c r="Y103" s="20"/>
      <c r="Z103" s="14"/>
      <c r="AA103" s="57">
        <v>2641526</v>
      </c>
      <c r="AB103" s="57">
        <f>S103-AA103</f>
        <v>0</v>
      </c>
      <c r="AC103" s="14"/>
      <c r="AD103" s="58">
        <v>0</v>
      </c>
      <c r="AE103" s="131">
        <v>44621</v>
      </c>
      <c r="AF103" s="14" t="s">
        <v>31</v>
      </c>
      <c r="AG103" s="20"/>
      <c r="AH103" s="14"/>
      <c r="AI103" s="39">
        <v>2641526</v>
      </c>
      <c r="AJ103" s="39">
        <f t="shared" si="23"/>
        <v>0</v>
      </c>
      <c r="AK103" s="39"/>
      <c r="AL103" s="39"/>
      <c r="AM103" s="9">
        <v>0</v>
      </c>
      <c r="AN103" s="101">
        <v>44655</v>
      </c>
      <c r="AO103" s="14" t="s">
        <v>31</v>
      </c>
      <c r="AP103" s="14"/>
      <c r="AQ103" s="58"/>
      <c r="AR103" s="39">
        <v>2641526</v>
      </c>
      <c r="AS103" s="39">
        <f>AI103-AR103</f>
        <v>0</v>
      </c>
      <c r="AT103" s="39"/>
      <c r="AU103" s="39"/>
      <c r="AV103" s="9">
        <v>0</v>
      </c>
      <c r="AW103" s="101">
        <v>44684</v>
      </c>
      <c r="AX103" s="14" t="s">
        <v>31</v>
      </c>
      <c r="AY103" s="14"/>
      <c r="AZ103" s="181" t="s">
        <v>408</v>
      </c>
      <c r="BA103" s="182"/>
      <c r="BB103" s="182"/>
      <c r="BC103" s="182"/>
      <c r="BD103" s="182"/>
      <c r="BE103" s="182"/>
      <c r="BF103" s="182"/>
      <c r="BG103" s="182"/>
      <c r="BH103" s="182"/>
      <c r="BI103" s="182"/>
      <c r="BJ103" s="182"/>
      <c r="BK103" s="182"/>
      <c r="BL103" s="182"/>
      <c r="BM103" s="182"/>
      <c r="BN103" s="182"/>
      <c r="BO103" s="182"/>
      <c r="BP103" s="182"/>
      <c r="BQ103" s="182"/>
      <c r="BR103" s="182"/>
      <c r="BS103" s="182"/>
      <c r="BT103" s="182"/>
      <c r="BU103" s="182"/>
      <c r="BV103" s="182"/>
      <c r="BW103" s="182"/>
      <c r="BX103" s="182"/>
      <c r="BY103" s="182"/>
      <c r="BZ103" s="182"/>
      <c r="CA103" s="182"/>
      <c r="CB103" s="182"/>
      <c r="CC103" s="182"/>
      <c r="CD103" s="182"/>
      <c r="CE103" s="182"/>
      <c r="CF103" s="182"/>
      <c r="CG103" s="182"/>
      <c r="CH103" s="182"/>
      <c r="CI103" s="182"/>
      <c r="CJ103" s="182"/>
      <c r="CK103" s="182"/>
      <c r="CL103" s="182"/>
      <c r="CM103" s="182"/>
      <c r="CN103" s="182"/>
      <c r="CO103" s="182"/>
      <c r="CP103" s="182"/>
      <c r="CQ103" s="182"/>
      <c r="CR103" s="182"/>
      <c r="CS103" s="182"/>
      <c r="CT103" s="182"/>
      <c r="CU103" s="182"/>
      <c r="CV103" s="182"/>
      <c r="CW103" s="182"/>
      <c r="CX103" s="182"/>
      <c r="CY103" s="182"/>
      <c r="CZ103" s="182"/>
      <c r="DA103" s="182"/>
      <c r="DB103" s="182"/>
      <c r="DC103" s="182"/>
      <c r="DD103" s="182"/>
      <c r="DE103" s="182"/>
      <c r="DF103" s="182"/>
      <c r="DG103" s="182"/>
      <c r="DH103" s="182"/>
      <c r="DI103" s="182"/>
      <c r="DJ103" s="183"/>
    </row>
    <row r="104" spans="1:114" hidden="1" x14ac:dyDescent="0.35">
      <c r="A104" s="1" t="s">
        <v>362</v>
      </c>
      <c r="B104" s="14" t="s">
        <v>363</v>
      </c>
      <c r="C104" s="14" t="s">
        <v>29</v>
      </c>
      <c r="D104" s="2">
        <v>6628</v>
      </c>
      <c r="E104" s="3">
        <v>206110</v>
      </c>
      <c r="F104" s="3" t="s">
        <v>367</v>
      </c>
      <c r="G104" s="52" t="s">
        <v>368</v>
      </c>
      <c r="H104" s="39">
        <v>2641526</v>
      </c>
      <c r="I104" s="39">
        <v>2641526</v>
      </c>
      <c r="J104" s="39"/>
      <c r="K104" s="39">
        <v>2641526</v>
      </c>
      <c r="L104" s="39">
        <f t="shared" si="25"/>
        <v>0</v>
      </c>
      <c r="M104" s="39"/>
      <c r="N104" s="39"/>
      <c r="O104" s="9">
        <v>0</v>
      </c>
      <c r="P104" s="101">
        <v>44567</v>
      </c>
      <c r="Q104" s="101" t="s">
        <v>31</v>
      </c>
      <c r="R104" s="20"/>
      <c r="S104" s="39">
        <v>2641526</v>
      </c>
      <c r="T104" s="8">
        <f>K104-S104</f>
        <v>0</v>
      </c>
      <c r="U104" s="14"/>
      <c r="V104" s="9">
        <v>0</v>
      </c>
      <c r="W104" s="102">
        <v>44596</v>
      </c>
      <c r="X104" s="14" t="s">
        <v>31</v>
      </c>
      <c r="Y104" s="20"/>
      <c r="Z104" s="14"/>
      <c r="AA104" s="57">
        <v>2641526</v>
      </c>
      <c r="AB104" s="57">
        <f>S104-AA104</f>
        <v>0</v>
      </c>
      <c r="AC104" s="14"/>
      <c r="AD104" s="58">
        <v>0</v>
      </c>
      <c r="AE104" s="102">
        <v>44627</v>
      </c>
      <c r="AF104" s="14" t="s">
        <v>31</v>
      </c>
      <c r="AG104" s="20"/>
      <c r="AH104" s="14"/>
      <c r="AI104" s="39">
        <v>2641526</v>
      </c>
      <c r="AJ104" s="39">
        <f>AA104-AI104</f>
        <v>0</v>
      </c>
      <c r="AK104" s="39"/>
      <c r="AL104" s="39"/>
      <c r="AM104" s="9">
        <v>0</v>
      </c>
      <c r="AN104" s="101">
        <v>44662</v>
      </c>
      <c r="AO104" s="14" t="s">
        <v>31</v>
      </c>
      <c r="AP104" s="14"/>
      <c r="AQ104" s="58"/>
      <c r="AR104" s="39">
        <v>2641526</v>
      </c>
      <c r="AS104" s="39">
        <f>AI104-AR104</f>
        <v>0</v>
      </c>
      <c r="AT104" s="39"/>
      <c r="AU104" s="39"/>
      <c r="AV104" s="9">
        <v>0</v>
      </c>
      <c r="AW104" s="101">
        <v>44700</v>
      </c>
      <c r="AX104" s="14" t="s">
        <v>31</v>
      </c>
      <c r="AY104" s="14"/>
      <c r="AZ104" s="181" t="s">
        <v>408</v>
      </c>
      <c r="BA104" s="182"/>
      <c r="BB104" s="182"/>
      <c r="BC104" s="182"/>
      <c r="BD104" s="182"/>
      <c r="BE104" s="182"/>
      <c r="BF104" s="182"/>
      <c r="BG104" s="182"/>
      <c r="BH104" s="182"/>
      <c r="BI104" s="182"/>
      <c r="BJ104" s="182"/>
      <c r="BK104" s="182"/>
      <c r="BL104" s="182"/>
      <c r="BM104" s="182"/>
      <c r="BN104" s="182"/>
      <c r="BO104" s="182"/>
      <c r="BP104" s="182"/>
      <c r="BQ104" s="182"/>
      <c r="BR104" s="182"/>
      <c r="BS104" s="182"/>
      <c r="BT104" s="182"/>
      <c r="BU104" s="182"/>
      <c r="BV104" s="182"/>
      <c r="BW104" s="182"/>
      <c r="BX104" s="182"/>
      <c r="BY104" s="182"/>
      <c r="BZ104" s="182"/>
      <c r="CA104" s="182"/>
      <c r="CB104" s="182"/>
      <c r="CC104" s="182"/>
      <c r="CD104" s="182"/>
      <c r="CE104" s="182"/>
      <c r="CF104" s="182"/>
      <c r="CG104" s="182"/>
      <c r="CH104" s="182"/>
      <c r="CI104" s="182"/>
      <c r="CJ104" s="182"/>
      <c r="CK104" s="182"/>
      <c r="CL104" s="182"/>
      <c r="CM104" s="182"/>
      <c r="CN104" s="182"/>
      <c r="CO104" s="182"/>
      <c r="CP104" s="182"/>
      <c r="CQ104" s="182"/>
      <c r="CR104" s="182"/>
      <c r="CS104" s="182"/>
      <c r="CT104" s="182"/>
      <c r="CU104" s="182"/>
      <c r="CV104" s="182"/>
      <c r="CW104" s="182"/>
      <c r="CX104" s="182"/>
      <c r="CY104" s="182"/>
      <c r="CZ104" s="182"/>
      <c r="DA104" s="182"/>
      <c r="DB104" s="182"/>
      <c r="DC104" s="182"/>
      <c r="DD104" s="182"/>
      <c r="DE104" s="182"/>
      <c r="DF104" s="182"/>
      <c r="DG104" s="182"/>
      <c r="DH104" s="182"/>
      <c r="DI104" s="182"/>
      <c r="DJ104" s="183"/>
    </row>
    <row r="105" spans="1:114" hidden="1" x14ac:dyDescent="0.35">
      <c r="A105" s="1" t="s">
        <v>369</v>
      </c>
      <c r="B105" s="14" t="s">
        <v>370</v>
      </c>
      <c r="C105" s="14" t="s">
        <v>29</v>
      </c>
      <c r="D105" s="2">
        <v>6629</v>
      </c>
      <c r="E105" s="3">
        <v>206755</v>
      </c>
      <c r="F105" s="3" t="s">
        <v>371</v>
      </c>
      <c r="G105" s="52" t="s">
        <v>372</v>
      </c>
      <c r="H105" s="39">
        <v>7082059</v>
      </c>
      <c r="I105" s="39">
        <v>7888500</v>
      </c>
      <c r="J105" s="39"/>
      <c r="K105" s="39">
        <v>6705225</v>
      </c>
      <c r="L105" s="39">
        <v>0</v>
      </c>
      <c r="M105" s="39"/>
      <c r="N105" s="39"/>
      <c r="O105" s="9">
        <f>L105/H105</f>
        <v>0</v>
      </c>
      <c r="P105" s="101">
        <v>44567</v>
      </c>
      <c r="Q105" s="101" t="s">
        <v>31</v>
      </c>
      <c r="R105" s="20"/>
      <c r="S105" s="39">
        <v>6705225</v>
      </c>
      <c r="T105" s="8">
        <f>K105-S105</f>
        <v>0</v>
      </c>
      <c r="U105" s="14"/>
      <c r="V105" s="9">
        <f>T105/I105</f>
        <v>0</v>
      </c>
      <c r="W105" s="102">
        <v>44600</v>
      </c>
      <c r="X105" s="14" t="s">
        <v>31</v>
      </c>
      <c r="Y105" s="20"/>
      <c r="Z105" s="67"/>
      <c r="AA105" s="57">
        <v>6705225</v>
      </c>
      <c r="AB105" s="57">
        <f>S105-AA105</f>
        <v>0</v>
      </c>
      <c r="AC105" s="14"/>
      <c r="AD105" s="58">
        <v>0</v>
      </c>
      <c r="AE105" s="101">
        <v>44624</v>
      </c>
      <c r="AF105" s="14" t="s">
        <v>31</v>
      </c>
      <c r="AG105" s="20"/>
      <c r="AH105" s="67"/>
      <c r="AI105" s="39">
        <v>6705225</v>
      </c>
      <c r="AJ105" s="39">
        <f>AA105-AI105</f>
        <v>0</v>
      </c>
      <c r="AK105" s="39"/>
      <c r="AL105" s="39"/>
      <c r="AM105" s="9">
        <v>0</v>
      </c>
      <c r="AN105" s="101">
        <v>44657</v>
      </c>
      <c r="AO105" s="14" t="s">
        <v>31</v>
      </c>
      <c r="AP105" s="14"/>
      <c r="AQ105" s="58"/>
      <c r="AR105" s="39">
        <v>6705225</v>
      </c>
      <c r="AS105" s="39">
        <f>AI105-AR105</f>
        <v>0</v>
      </c>
      <c r="AT105" s="39"/>
      <c r="AU105" s="39"/>
      <c r="AV105" s="9">
        <v>0</v>
      </c>
      <c r="AW105" s="101">
        <v>44687</v>
      </c>
      <c r="AX105" s="14" t="s">
        <v>31</v>
      </c>
      <c r="AY105" s="14"/>
      <c r="AZ105" s="9"/>
      <c r="BA105" s="39">
        <v>7082059</v>
      </c>
      <c r="BB105" s="39"/>
      <c r="BC105" s="39">
        <f>AR105-BA105</f>
        <v>-376834</v>
      </c>
      <c r="BD105" s="39"/>
      <c r="BE105" s="9">
        <f>BC105/AR105</f>
        <v>-5.6200052943786376E-2</v>
      </c>
      <c r="BF105" s="101">
        <v>44715</v>
      </c>
      <c r="BG105" s="14" t="s">
        <v>31</v>
      </c>
      <c r="BH105" s="101">
        <v>44728</v>
      </c>
      <c r="BI105" s="9"/>
      <c r="BJ105" s="39">
        <v>7082059</v>
      </c>
      <c r="BK105" s="39">
        <f>BA105-BJ105</f>
        <v>0</v>
      </c>
      <c r="BL105" s="39"/>
      <c r="BM105" s="39"/>
      <c r="BN105" s="9">
        <v>0</v>
      </c>
      <c r="BO105" s="101">
        <v>44747</v>
      </c>
      <c r="BP105" s="14" t="s">
        <v>31</v>
      </c>
      <c r="BQ105" s="101">
        <v>44757</v>
      </c>
      <c r="BR105" s="9"/>
      <c r="BS105" s="39">
        <v>7082059</v>
      </c>
      <c r="BT105" s="39">
        <f>BJ105-BS105</f>
        <v>0</v>
      </c>
      <c r="BU105" s="39"/>
      <c r="BV105" s="39"/>
      <c r="BW105" s="9">
        <v>0</v>
      </c>
      <c r="BX105" s="101">
        <v>44777</v>
      </c>
      <c r="BY105" s="14" t="s">
        <v>31</v>
      </c>
      <c r="BZ105" s="14"/>
      <c r="CA105" s="9"/>
      <c r="CB105" s="39"/>
      <c r="CC105" s="39"/>
      <c r="CD105" s="39"/>
      <c r="CE105" s="39"/>
      <c r="CF105" s="9"/>
      <c r="CG105" s="101"/>
      <c r="CH105" s="14"/>
      <c r="CI105" s="14"/>
      <c r="CJ105" s="9"/>
      <c r="CK105" s="39"/>
      <c r="CL105" s="39"/>
      <c r="CM105" s="39"/>
      <c r="CN105" s="39"/>
      <c r="CO105" s="9"/>
      <c r="CP105" s="101"/>
      <c r="CQ105" s="14"/>
      <c r="CR105" s="14"/>
      <c r="CS105" s="9"/>
      <c r="CT105" s="39"/>
      <c r="CU105" s="39"/>
      <c r="CV105" s="39"/>
      <c r="CW105" s="39"/>
      <c r="CX105" s="9"/>
      <c r="CY105" s="101"/>
      <c r="CZ105" s="14"/>
      <c r="DA105" s="86"/>
      <c r="DB105" s="9"/>
      <c r="DC105" s="39"/>
      <c r="DD105" s="39"/>
      <c r="DE105" s="39"/>
      <c r="DF105" s="39"/>
      <c r="DG105" s="9"/>
      <c r="DH105" s="101"/>
      <c r="DI105" s="14"/>
      <c r="DJ105" s="14"/>
    </row>
    <row r="106" spans="1:114" hidden="1" x14ac:dyDescent="0.35">
      <c r="A106" s="1" t="s">
        <v>373</v>
      </c>
      <c r="B106" s="14" t="s">
        <v>374</v>
      </c>
      <c r="C106" s="14" t="s">
        <v>29</v>
      </c>
      <c r="D106" s="2">
        <v>6632</v>
      </c>
      <c r="E106" s="3">
        <v>206286</v>
      </c>
      <c r="F106" s="3" t="s">
        <v>375</v>
      </c>
      <c r="G106" s="52" t="s">
        <v>263</v>
      </c>
      <c r="H106" s="39">
        <v>19785220</v>
      </c>
      <c r="I106" s="39">
        <v>20774481</v>
      </c>
      <c r="J106" s="39"/>
      <c r="K106" s="39">
        <f>19785220+1046211</f>
        <v>20831431</v>
      </c>
      <c r="L106" s="39">
        <f t="shared" si="25"/>
        <v>-1046211</v>
      </c>
      <c r="M106" s="39"/>
      <c r="N106" s="39"/>
      <c r="O106" s="9">
        <f>L106/H106</f>
        <v>-5.2878411258505086E-2</v>
      </c>
      <c r="P106" s="101">
        <v>44578</v>
      </c>
      <c r="Q106" s="3" t="s">
        <v>31</v>
      </c>
      <c r="R106" s="20"/>
      <c r="S106" s="39">
        <f>19785220+1046211</f>
        <v>20831431</v>
      </c>
      <c r="T106" s="8">
        <f>H106-S106</f>
        <v>-1046211</v>
      </c>
      <c r="U106" s="14"/>
      <c r="V106" s="9">
        <v>0</v>
      </c>
      <c r="W106" s="101">
        <v>44613</v>
      </c>
      <c r="X106" s="14" t="s">
        <v>31</v>
      </c>
      <c r="Y106" s="20"/>
      <c r="Z106" s="14"/>
      <c r="AA106" s="57">
        <f>19785220+668557</f>
        <v>20453777</v>
      </c>
      <c r="AB106" s="57">
        <f>H106-AA106</f>
        <v>-668557</v>
      </c>
      <c r="AC106" s="57"/>
      <c r="AD106" s="58">
        <v>0</v>
      </c>
      <c r="AE106" s="102">
        <v>44637</v>
      </c>
      <c r="AF106" s="14" t="s">
        <v>31</v>
      </c>
      <c r="AG106" s="14"/>
      <c r="AH106" s="67"/>
      <c r="AI106" s="39">
        <v>19785220</v>
      </c>
      <c r="AJ106" s="39">
        <f>H106-AI106</f>
        <v>0</v>
      </c>
      <c r="AK106" s="39"/>
      <c r="AL106" s="39"/>
      <c r="AM106" s="9">
        <v>0</v>
      </c>
      <c r="AN106" s="102">
        <v>44658</v>
      </c>
      <c r="AO106" s="14" t="s">
        <v>31</v>
      </c>
      <c r="AP106" s="14"/>
      <c r="AQ106" s="58"/>
      <c r="AR106" s="39">
        <f>19785220+802268</f>
        <v>20587488</v>
      </c>
      <c r="AS106" s="39">
        <f>AI106-AR106</f>
        <v>-802268</v>
      </c>
      <c r="AT106" s="39"/>
      <c r="AU106" s="39"/>
      <c r="AV106" s="9">
        <v>0</v>
      </c>
      <c r="AW106" s="101">
        <v>44707</v>
      </c>
      <c r="AX106" s="14" t="s">
        <v>31</v>
      </c>
      <c r="AY106" s="14"/>
      <c r="AZ106" s="9"/>
      <c r="BA106" s="39">
        <v>19785220</v>
      </c>
      <c r="BB106" s="39">
        <f>AI106-BA106</f>
        <v>0</v>
      </c>
      <c r="BC106" s="39"/>
      <c r="BD106" s="39"/>
      <c r="BE106" s="9">
        <v>0</v>
      </c>
      <c r="BF106" s="101">
        <v>44719</v>
      </c>
      <c r="BG106" s="14" t="s">
        <v>31</v>
      </c>
      <c r="BH106" s="101">
        <v>44728</v>
      </c>
      <c r="BI106" s="9"/>
      <c r="BJ106" s="39">
        <v>19785220</v>
      </c>
      <c r="BK106" s="39">
        <f>BA106-BJ106</f>
        <v>0</v>
      </c>
      <c r="BL106" s="39"/>
      <c r="BM106" s="39"/>
      <c r="BN106" s="9">
        <v>0</v>
      </c>
      <c r="BO106" s="101">
        <v>44743</v>
      </c>
      <c r="BP106" s="14" t="s">
        <v>31</v>
      </c>
      <c r="BQ106" s="101">
        <v>44757</v>
      </c>
      <c r="BR106" s="9"/>
      <c r="BS106" s="39">
        <v>19785220</v>
      </c>
      <c r="BT106" s="39">
        <f>BJ106-BS106</f>
        <v>0</v>
      </c>
      <c r="BU106" s="39"/>
      <c r="BV106" s="39"/>
      <c r="BW106" s="9">
        <v>0</v>
      </c>
      <c r="BX106" s="101">
        <v>44775</v>
      </c>
      <c r="BY106" s="14" t="s">
        <v>31</v>
      </c>
      <c r="BZ106" s="14"/>
      <c r="CA106" s="9"/>
      <c r="CB106" s="39"/>
      <c r="CC106" s="39"/>
      <c r="CD106" s="39"/>
      <c r="CE106" s="39"/>
      <c r="CF106" s="9"/>
      <c r="CG106" s="101"/>
      <c r="CH106" s="14"/>
      <c r="CI106" s="14"/>
      <c r="CJ106" s="9"/>
      <c r="CK106" s="39"/>
      <c r="CL106" s="39"/>
      <c r="CM106" s="39"/>
      <c r="CN106" s="39"/>
      <c r="CO106" s="9"/>
      <c r="CP106" s="101"/>
      <c r="CQ106" s="14"/>
      <c r="CR106" s="14"/>
      <c r="CS106" s="9"/>
      <c r="CT106" s="39"/>
      <c r="CU106" s="39"/>
      <c r="CV106" s="39"/>
      <c r="CW106" s="39"/>
      <c r="CX106" s="9"/>
      <c r="CY106" s="101"/>
      <c r="CZ106" s="14"/>
      <c r="DA106" s="86"/>
      <c r="DB106" s="9"/>
      <c r="DC106" s="39"/>
      <c r="DD106" s="39"/>
      <c r="DE106" s="39"/>
      <c r="DF106" s="39"/>
      <c r="DG106" s="9"/>
      <c r="DH106" s="101"/>
      <c r="DI106" s="14"/>
      <c r="DJ106" s="14"/>
    </row>
    <row r="107" spans="1:114" hidden="1" x14ac:dyDescent="0.35">
      <c r="A107" s="1" t="s">
        <v>376</v>
      </c>
      <c r="B107" s="14" t="s">
        <v>377</v>
      </c>
      <c r="C107" s="14" t="s">
        <v>29</v>
      </c>
      <c r="D107" s="2">
        <v>6633</v>
      </c>
      <c r="E107" s="3">
        <v>204533</v>
      </c>
      <c r="F107" s="3" t="s">
        <v>378</v>
      </c>
      <c r="G107" s="52" t="s">
        <v>379</v>
      </c>
      <c r="H107" s="39">
        <v>118883700</v>
      </c>
      <c r="I107" s="39">
        <v>118883700</v>
      </c>
      <c r="J107" s="209" t="s">
        <v>537</v>
      </c>
      <c r="K107" s="210"/>
      <c r="L107" s="210"/>
      <c r="M107" s="210"/>
      <c r="N107" s="210"/>
      <c r="O107" s="210"/>
      <c r="P107" s="210"/>
      <c r="Q107" s="210"/>
      <c r="R107" s="211"/>
      <c r="S107" s="39">
        <v>118883700</v>
      </c>
      <c r="T107" s="8">
        <f>I107-S107</f>
        <v>0</v>
      </c>
      <c r="U107" s="14"/>
      <c r="V107" s="9">
        <v>0</v>
      </c>
      <c r="W107" s="102">
        <v>44593</v>
      </c>
      <c r="X107" s="14" t="s">
        <v>31</v>
      </c>
      <c r="Y107" s="20"/>
      <c r="Z107" s="169" t="s">
        <v>538</v>
      </c>
      <c r="AA107" s="170"/>
      <c r="AB107" s="170"/>
      <c r="AC107" s="170"/>
      <c r="AD107" s="170"/>
      <c r="AE107" s="170"/>
      <c r="AF107" s="170"/>
      <c r="AG107" s="171"/>
      <c r="AH107" s="169" t="s">
        <v>538</v>
      </c>
      <c r="AI107" s="170"/>
      <c r="AJ107" s="170"/>
      <c r="AK107" s="170"/>
      <c r="AL107" s="170"/>
      <c r="AM107" s="170"/>
      <c r="AN107" s="170"/>
      <c r="AO107" s="170"/>
      <c r="AP107" s="171"/>
      <c r="AQ107" s="169" t="s">
        <v>538</v>
      </c>
      <c r="AR107" s="170"/>
      <c r="AS107" s="170"/>
      <c r="AT107" s="170"/>
      <c r="AU107" s="170"/>
      <c r="AV107" s="170"/>
      <c r="AW107" s="170"/>
      <c r="AX107" s="170"/>
      <c r="AY107" s="171"/>
      <c r="AZ107" s="169" t="s">
        <v>538</v>
      </c>
      <c r="BA107" s="170"/>
      <c r="BB107" s="170"/>
      <c r="BC107" s="170"/>
      <c r="BD107" s="170"/>
      <c r="BE107" s="170"/>
      <c r="BF107" s="170"/>
      <c r="BG107" s="170"/>
      <c r="BH107" s="171"/>
      <c r="BI107" s="169" t="s">
        <v>538</v>
      </c>
      <c r="BJ107" s="170"/>
      <c r="BK107" s="170"/>
      <c r="BL107" s="170"/>
      <c r="BM107" s="170"/>
      <c r="BN107" s="170"/>
      <c r="BO107" s="170"/>
      <c r="BP107" s="170"/>
      <c r="BQ107" s="171"/>
      <c r="BR107" s="181" t="s">
        <v>408</v>
      </c>
      <c r="BS107" s="182"/>
      <c r="BT107" s="182"/>
      <c r="BU107" s="182"/>
      <c r="BV107" s="182"/>
      <c r="BW107" s="182"/>
      <c r="BX107" s="182"/>
      <c r="BY107" s="182"/>
      <c r="BZ107" s="182"/>
      <c r="CA107" s="182"/>
      <c r="CB107" s="182"/>
      <c r="CC107" s="182"/>
      <c r="CD107" s="182"/>
      <c r="CE107" s="182"/>
      <c r="CF107" s="182"/>
      <c r="CG107" s="182"/>
      <c r="CH107" s="182"/>
      <c r="CI107" s="182"/>
      <c r="CJ107" s="182"/>
      <c r="CK107" s="182"/>
      <c r="CL107" s="182"/>
      <c r="CM107" s="182"/>
      <c r="CN107" s="182"/>
      <c r="CO107" s="182"/>
      <c r="CP107" s="182"/>
      <c r="CQ107" s="182"/>
      <c r="CR107" s="182"/>
      <c r="CS107" s="182"/>
      <c r="CT107" s="182"/>
      <c r="CU107" s="182"/>
      <c r="CV107" s="182"/>
      <c r="CW107" s="182"/>
      <c r="CX107" s="182"/>
      <c r="CY107" s="182"/>
      <c r="CZ107" s="182"/>
      <c r="DA107" s="182"/>
      <c r="DB107" s="182"/>
      <c r="DC107" s="182"/>
      <c r="DD107" s="182"/>
      <c r="DE107" s="182"/>
      <c r="DF107" s="182"/>
      <c r="DG107" s="182"/>
      <c r="DH107" s="182"/>
      <c r="DI107" s="182"/>
      <c r="DJ107" s="183"/>
    </row>
    <row r="108" spans="1:114" hidden="1" x14ac:dyDescent="0.35">
      <c r="A108" s="1" t="s">
        <v>380</v>
      </c>
      <c r="B108" s="14" t="s">
        <v>381</v>
      </c>
      <c r="C108" s="14" t="s">
        <v>113</v>
      </c>
      <c r="D108" s="2">
        <v>6636</v>
      </c>
      <c r="E108" s="3">
        <v>204588</v>
      </c>
      <c r="F108" s="3" t="s">
        <v>513</v>
      </c>
      <c r="G108" s="52" t="s">
        <v>383</v>
      </c>
      <c r="H108" s="39">
        <v>13950787</v>
      </c>
      <c r="I108" s="39">
        <v>13877104</v>
      </c>
      <c r="J108" s="39"/>
      <c r="K108" s="39">
        <v>13950787</v>
      </c>
      <c r="L108" s="39"/>
      <c r="M108" s="39">
        <f>I108-K108</f>
        <v>-73683</v>
      </c>
      <c r="N108" s="39"/>
      <c r="O108" s="9">
        <f>M108/H108</f>
        <v>-5.2816375162204107E-3</v>
      </c>
      <c r="P108" s="102">
        <v>44200</v>
      </c>
      <c r="Q108" s="3" t="s">
        <v>31</v>
      </c>
      <c r="R108" s="20"/>
      <c r="S108" s="39">
        <v>13950787</v>
      </c>
      <c r="T108" s="8">
        <f>K108-S108</f>
        <v>0</v>
      </c>
      <c r="U108" s="14"/>
      <c r="V108" s="9">
        <v>0</v>
      </c>
      <c r="W108" s="101">
        <v>44594</v>
      </c>
      <c r="X108" s="14" t="s">
        <v>31</v>
      </c>
      <c r="Y108" s="20"/>
      <c r="Z108" s="14"/>
      <c r="AA108" s="57">
        <v>13950787</v>
      </c>
      <c r="AB108" s="57">
        <f>S108-AA108</f>
        <v>0</v>
      </c>
      <c r="AC108" s="14"/>
      <c r="AD108" s="58">
        <v>0</v>
      </c>
      <c r="AE108" s="131">
        <v>44621</v>
      </c>
      <c r="AF108" s="14" t="s">
        <v>31</v>
      </c>
      <c r="AG108" s="20"/>
      <c r="AH108" s="67"/>
      <c r="AI108" s="39">
        <v>13950787</v>
      </c>
      <c r="AJ108" s="39">
        <f>AA108-AI108</f>
        <v>0</v>
      </c>
      <c r="AK108" s="39"/>
      <c r="AL108" s="39"/>
      <c r="AM108" s="9">
        <v>0</v>
      </c>
      <c r="AN108" s="102">
        <v>44658</v>
      </c>
      <c r="AO108" s="14" t="s">
        <v>31</v>
      </c>
      <c r="AP108" s="14"/>
      <c r="AQ108" s="58"/>
      <c r="AR108" s="39">
        <f>13950787+186010</f>
        <v>14136797</v>
      </c>
      <c r="AS108" s="39">
        <f>AI108-AR108</f>
        <v>-186010</v>
      </c>
      <c r="AT108" s="39"/>
      <c r="AU108" s="39"/>
      <c r="AV108" s="9">
        <v>0</v>
      </c>
      <c r="AW108" s="101">
        <v>44692</v>
      </c>
      <c r="AX108" s="14" t="s">
        <v>31</v>
      </c>
      <c r="AY108" s="14"/>
      <c r="AZ108" s="9"/>
      <c r="BA108" s="39">
        <v>13950787</v>
      </c>
      <c r="BB108" s="39">
        <f>AI108-BA108</f>
        <v>0</v>
      </c>
      <c r="BC108" s="39"/>
      <c r="BD108" s="39"/>
      <c r="BE108" s="9">
        <v>0</v>
      </c>
      <c r="BF108" s="101">
        <v>44721</v>
      </c>
      <c r="BG108" s="14" t="s">
        <v>31</v>
      </c>
      <c r="BH108" s="101">
        <v>44728</v>
      </c>
      <c r="BI108" s="9"/>
      <c r="BJ108" s="39">
        <v>13950787</v>
      </c>
      <c r="BK108" s="39">
        <f>BA108-BJ108</f>
        <v>0</v>
      </c>
      <c r="BL108" s="39"/>
      <c r="BM108" s="39"/>
      <c r="BN108" s="9">
        <v>0</v>
      </c>
      <c r="BO108" s="101">
        <v>44743</v>
      </c>
      <c r="BP108" s="14" t="s">
        <v>31</v>
      </c>
      <c r="BQ108" s="101">
        <v>44757</v>
      </c>
      <c r="BR108" s="9"/>
      <c r="BS108" s="39">
        <v>13950787</v>
      </c>
      <c r="BT108" s="39">
        <f>BJ108-BS108</f>
        <v>0</v>
      </c>
      <c r="BU108" s="39"/>
      <c r="BV108" s="39"/>
      <c r="BW108" s="9">
        <v>0</v>
      </c>
      <c r="BX108" s="101">
        <v>44775</v>
      </c>
      <c r="BY108" s="14" t="s">
        <v>31</v>
      </c>
      <c r="BZ108" s="14"/>
      <c r="CA108" s="9"/>
      <c r="CB108" s="39"/>
      <c r="CC108" s="39"/>
      <c r="CD108" s="39"/>
      <c r="CE108" s="39"/>
      <c r="CF108" s="9"/>
      <c r="CG108" s="101"/>
      <c r="CH108" s="14"/>
      <c r="CI108" s="14"/>
      <c r="CJ108" s="9"/>
      <c r="CK108" s="39"/>
      <c r="CL108" s="39"/>
      <c r="CM108" s="39"/>
      <c r="CN108" s="39"/>
      <c r="CO108" s="9"/>
      <c r="CP108" s="101"/>
      <c r="CQ108" s="14"/>
      <c r="CR108" s="14"/>
      <c r="CS108" s="9"/>
      <c r="CT108" s="39"/>
      <c r="CU108" s="39"/>
      <c r="CV108" s="39"/>
      <c r="CW108" s="39"/>
      <c r="CX108" s="9"/>
      <c r="CY108" s="101"/>
      <c r="CZ108" s="14"/>
      <c r="DA108" s="86"/>
      <c r="DB108" s="9"/>
      <c r="DC108" s="39"/>
      <c r="DD108" s="39"/>
      <c r="DE108" s="39"/>
      <c r="DF108" s="39"/>
      <c r="DG108" s="9"/>
      <c r="DH108" s="101"/>
      <c r="DI108" s="14"/>
      <c r="DJ108" s="14"/>
    </row>
    <row r="109" spans="1:114" hidden="1" x14ac:dyDescent="0.35">
      <c r="A109" s="1" t="s">
        <v>384</v>
      </c>
      <c r="B109" s="14" t="s">
        <v>385</v>
      </c>
      <c r="C109" s="14" t="s">
        <v>248</v>
      </c>
      <c r="D109" s="2">
        <v>6638</v>
      </c>
      <c r="E109" s="3">
        <v>204631</v>
      </c>
      <c r="F109" s="3" t="s">
        <v>386</v>
      </c>
      <c r="G109" s="52" t="s">
        <v>387</v>
      </c>
      <c r="H109" s="39">
        <v>11084806</v>
      </c>
      <c r="I109" s="39">
        <v>11084806</v>
      </c>
      <c r="J109" s="39"/>
      <c r="K109" s="39">
        <v>11084806</v>
      </c>
      <c r="L109" s="39">
        <f>H109-K109</f>
        <v>0</v>
      </c>
      <c r="M109" s="39"/>
      <c r="N109" s="39"/>
      <c r="O109" s="9">
        <v>0</v>
      </c>
      <c r="P109" s="101">
        <v>44566</v>
      </c>
      <c r="Q109" s="14" t="s">
        <v>31</v>
      </c>
      <c r="R109" s="20"/>
      <c r="S109" s="39">
        <v>11084806</v>
      </c>
      <c r="T109" s="8">
        <f>K109-S109</f>
        <v>0</v>
      </c>
      <c r="U109" s="14"/>
      <c r="V109" s="9">
        <v>0</v>
      </c>
      <c r="W109" s="102">
        <v>44600</v>
      </c>
      <c r="X109" s="14" t="s">
        <v>31</v>
      </c>
      <c r="Y109" s="20"/>
      <c r="Z109" s="14"/>
      <c r="AA109" s="57">
        <v>11084806</v>
      </c>
      <c r="AB109" s="57">
        <f>S109-AA109</f>
        <v>0</v>
      </c>
      <c r="AC109" s="14"/>
      <c r="AD109" s="58">
        <v>0</v>
      </c>
      <c r="AE109" s="102">
        <v>44627</v>
      </c>
      <c r="AF109" s="14" t="s">
        <v>31</v>
      </c>
      <c r="AG109" s="20"/>
      <c r="AH109" s="67"/>
      <c r="AI109" s="39">
        <v>11084806</v>
      </c>
      <c r="AJ109" s="39">
        <f>AA109-AI109</f>
        <v>0</v>
      </c>
      <c r="AK109" s="39"/>
      <c r="AL109" s="39"/>
      <c r="AM109" s="9">
        <v>0</v>
      </c>
      <c r="AN109" s="101">
        <v>44656</v>
      </c>
      <c r="AO109" s="14" t="s">
        <v>31</v>
      </c>
      <c r="AP109" s="14"/>
      <c r="AQ109" s="58"/>
      <c r="AR109" s="39">
        <v>11084806</v>
      </c>
      <c r="AS109" s="39">
        <f>AI109-AR109</f>
        <v>0</v>
      </c>
      <c r="AT109" s="39"/>
      <c r="AU109" s="39"/>
      <c r="AV109" s="9">
        <v>0</v>
      </c>
      <c r="AW109" s="101">
        <v>44684</v>
      </c>
      <c r="AX109" s="14" t="s">
        <v>31</v>
      </c>
      <c r="AY109" s="14"/>
      <c r="AZ109" s="9"/>
      <c r="BA109" s="39">
        <v>11084806</v>
      </c>
      <c r="BB109" s="39">
        <f>AR109-BA109</f>
        <v>0</v>
      </c>
      <c r="BC109" s="39"/>
      <c r="BD109" s="39"/>
      <c r="BE109" s="9">
        <v>0</v>
      </c>
      <c r="BF109" s="101">
        <v>44715</v>
      </c>
      <c r="BG109" s="14" t="s">
        <v>31</v>
      </c>
      <c r="BH109" s="101">
        <v>44728</v>
      </c>
      <c r="BI109" s="9"/>
      <c r="BJ109" s="39">
        <v>11084806</v>
      </c>
      <c r="BK109" s="39">
        <f>BA109-BJ109</f>
        <v>0</v>
      </c>
      <c r="BL109" s="39"/>
      <c r="BM109" s="39"/>
      <c r="BN109" s="9">
        <v>0</v>
      </c>
      <c r="BO109" s="101">
        <v>44747</v>
      </c>
      <c r="BP109" s="14" t="s">
        <v>31</v>
      </c>
      <c r="BQ109" s="101">
        <v>44757</v>
      </c>
      <c r="BR109" s="9"/>
      <c r="BS109" s="39">
        <v>11084806</v>
      </c>
      <c r="BT109" s="39">
        <f>BJ109-BS109</f>
        <v>0</v>
      </c>
      <c r="BU109" s="39"/>
      <c r="BV109" s="39"/>
      <c r="BW109" s="9">
        <v>0</v>
      </c>
      <c r="BX109" s="101">
        <v>44777</v>
      </c>
      <c r="BY109" s="14" t="s">
        <v>31</v>
      </c>
      <c r="BZ109" s="14"/>
      <c r="CA109" s="9"/>
      <c r="CB109" s="39"/>
      <c r="CC109" s="39"/>
      <c r="CD109" s="39"/>
      <c r="CE109" s="39"/>
      <c r="CF109" s="9"/>
      <c r="CG109" s="101"/>
      <c r="CH109" s="14"/>
      <c r="CI109" s="14"/>
      <c r="CJ109" s="9"/>
      <c r="CK109" s="39"/>
      <c r="CL109" s="39"/>
      <c r="CM109" s="39"/>
      <c r="CN109" s="39"/>
      <c r="CO109" s="9"/>
      <c r="CP109" s="101"/>
      <c r="CQ109" s="14"/>
      <c r="CR109" s="14"/>
      <c r="CS109" s="9"/>
      <c r="CT109" s="39"/>
      <c r="CU109" s="39"/>
      <c r="CV109" s="39"/>
      <c r="CW109" s="39"/>
      <c r="CX109" s="9"/>
      <c r="CY109" s="101"/>
      <c r="CZ109" s="14"/>
      <c r="DA109" s="86"/>
      <c r="DB109" s="9"/>
      <c r="DC109" s="39"/>
      <c r="DD109" s="39"/>
      <c r="DE109" s="39"/>
      <c r="DF109" s="39"/>
      <c r="DG109" s="9"/>
      <c r="DH109" s="101"/>
      <c r="DI109" s="14"/>
      <c r="DJ109" s="14"/>
    </row>
    <row r="110" spans="1:114" hidden="1" x14ac:dyDescent="0.35">
      <c r="A110" s="1" t="s">
        <v>388</v>
      </c>
      <c r="B110" s="14" t="s">
        <v>389</v>
      </c>
      <c r="C110" s="14" t="s">
        <v>113</v>
      </c>
      <c r="D110" s="2" t="s">
        <v>390</v>
      </c>
      <c r="E110" s="3">
        <v>243073</v>
      </c>
      <c r="F110" s="3" t="s">
        <v>391</v>
      </c>
      <c r="G110" s="51" t="s">
        <v>392</v>
      </c>
      <c r="H110" s="39">
        <v>22667045</v>
      </c>
      <c r="I110" s="39">
        <v>18077630</v>
      </c>
      <c r="J110" s="39"/>
      <c r="K110" s="39">
        <v>20132566</v>
      </c>
      <c r="L110" s="39"/>
      <c r="M110" s="39">
        <f>I110-K110</f>
        <v>-2054936</v>
      </c>
      <c r="N110" s="39"/>
      <c r="O110" s="9">
        <f>M110/I110</f>
        <v>-0.11367286530369301</v>
      </c>
      <c r="P110" s="102">
        <v>44593</v>
      </c>
      <c r="Q110" s="3" t="s">
        <v>31</v>
      </c>
      <c r="R110" s="20"/>
      <c r="S110" s="39">
        <v>19436557</v>
      </c>
      <c r="T110" s="8">
        <f>K110-S110</f>
        <v>696009</v>
      </c>
      <c r="U110" s="14"/>
      <c r="V110" s="9">
        <f>T110/K110</f>
        <v>3.4571301045281562E-2</v>
      </c>
      <c r="W110" s="101">
        <v>44603</v>
      </c>
      <c r="X110" s="14" t="s">
        <v>31</v>
      </c>
      <c r="Y110" s="20"/>
      <c r="Z110" s="14"/>
      <c r="AA110" s="57">
        <v>15495913</v>
      </c>
      <c r="AB110" s="57">
        <f>K110-AA110</f>
        <v>4636653</v>
      </c>
      <c r="AC110" s="14"/>
      <c r="AD110" s="58">
        <f>AB110/K110</f>
        <v>0.23030611199784468</v>
      </c>
      <c r="AE110" s="131">
        <v>44664</v>
      </c>
      <c r="AF110" s="14" t="s">
        <v>31</v>
      </c>
      <c r="AG110" s="20"/>
      <c r="AH110" s="9"/>
      <c r="AI110" s="39">
        <v>20653127</v>
      </c>
      <c r="AJ110" s="39"/>
      <c r="AK110" s="39">
        <f>K110-AI110</f>
        <v>-520561</v>
      </c>
      <c r="AL110" s="39"/>
      <c r="AM110" s="9">
        <f>AK110/K110</f>
        <v>-2.5856664272204545E-2</v>
      </c>
      <c r="AN110" s="101">
        <v>44662</v>
      </c>
      <c r="AO110" s="14" t="s">
        <v>31</v>
      </c>
      <c r="AP110" s="14"/>
      <c r="AQ110" s="58"/>
      <c r="AR110" s="39">
        <v>20255260</v>
      </c>
      <c r="AS110" s="39">
        <f>AI110-AR110</f>
        <v>397867</v>
      </c>
      <c r="AT110" s="39"/>
      <c r="AU110" s="39"/>
      <c r="AV110" s="9">
        <f>AS110/AI110</f>
        <v>1.9264249912374045E-2</v>
      </c>
      <c r="AW110" s="101">
        <v>44764</v>
      </c>
      <c r="AX110" s="14" t="s">
        <v>31</v>
      </c>
      <c r="AY110" s="14"/>
      <c r="AZ110" s="9"/>
      <c r="BA110" s="39">
        <v>20567368</v>
      </c>
      <c r="BB110" s="39">
        <f>AI110-BA110</f>
        <v>85759</v>
      </c>
      <c r="BC110" s="39"/>
      <c r="BD110" s="39"/>
      <c r="BE110" s="9">
        <f>BB110/AI110</f>
        <v>4.1523494238911137E-3</v>
      </c>
      <c r="BF110" s="101">
        <v>44727</v>
      </c>
      <c r="BG110" s="14" t="s">
        <v>31</v>
      </c>
      <c r="BH110" s="101">
        <v>44755</v>
      </c>
      <c r="BI110" s="9"/>
      <c r="BJ110" s="39">
        <v>22324458</v>
      </c>
      <c r="BK110" s="39"/>
      <c r="BL110" s="39">
        <f>BA110-BJ110</f>
        <v>-1757090</v>
      </c>
      <c r="BM110" s="39"/>
      <c r="BN110" s="9">
        <f>BL110/BA110</f>
        <v>-8.5430960344561352E-2</v>
      </c>
      <c r="BO110" s="101">
        <v>44754</v>
      </c>
      <c r="BP110" s="14" t="s">
        <v>31</v>
      </c>
      <c r="BQ110" s="101">
        <v>44768</v>
      </c>
      <c r="BR110" s="9"/>
      <c r="BS110" s="39">
        <v>22667045</v>
      </c>
      <c r="BT110" s="39"/>
      <c r="BU110" s="39">
        <f>BS110-BJ110</f>
        <v>342587</v>
      </c>
      <c r="BV110" s="39"/>
      <c r="BW110" s="9">
        <f>BU110/BJ110</f>
        <v>1.5345814890556357E-2</v>
      </c>
      <c r="BX110" s="101">
        <v>44783</v>
      </c>
      <c r="BY110" s="14" t="s">
        <v>31</v>
      </c>
      <c r="BZ110" s="14"/>
      <c r="CA110" s="9"/>
      <c r="CB110" s="39"/>
      <c r="CC110" s="39"/>
      <c r="CD110" s="39"/>
      <c r="CE110" s="39"/>
      <c r="CF110" s="9"/>
      <c r="CG110" s="101"/>
      <c r="CH110" s="14"/>
      <c r="CI110" s="14"/>
      <c r="CJ110" s="9"/>
      <c r="CK110" s="39"/>
      <c r="CL110" s="39"/>
      <c r="CM110" s="39"/>
      <c r="CN110" s="39"/>
      <c r="CO110" s="9"/>
      <c r="CP110" s="101"/>
      <c r="CQ110" s="14"/>
      <c r="CR110" s="14"/>
      <c r="CS110" s="9"/>
      <c r="CT110" s="40"/>
      <c r="CU110" s="39"/>
      <c r="CV110" s="39"/>
      <c r="CW110" s="39"/>
      <c r="CX110" s="9"/>
      <c r="CY110" s="101"/>
      <c r="CZ110" s="14"/>
      <c r="DA110" s="86"/>
      <c r="DB110" s="9"/>
      <c r="DC110" s="39"/>
      <c r="DD110" s="39"/>
      <c r="DE110" s="39"/>
      <c r="DF110" s="39"/>
      <c r="DG110" s="9"/>
      <c r="DH110" s="101"/>
      <c r="DI110" s="14"/>
      <c r="DJ110" s="14"/>
    </row>
    <row r="111" spans="1:114" hidden="1" x14ac:dyDescent="0.35">
      <c r="A111" s="1" t="s">
        <v>388</v>
      </c>
      <c r="B111" s="14" t="s">
        <v>389</v>
      </c>
      <c r="C111" s="14" t="s">
        <v>113</v>
      </c>
      <c r="D111" s="2" t="s">
        <v>61</v>
      </c>
      <c r="E111" s="3">
        <v>243073</v>
      </c>
      <c r="F111" s="3" t="s">
        <v>391</v>
      </c>
      <c r="G111" s="51" t="s">
        <v>392</v>
      </c>
      <c r="H111" s="203" t="s">
        <v>61</v>
      </c>
      <c r="I111" s="204"/>
      <c r="J111" s="111"/>
      <c r="K111" s="111">
        <v>26202396</v>
      </c>
      <c r="L111" s="111">
        <v>0</v>
      </c>
      <c r="M111" s="111"/>
      <c r="N111" s="111"/>
      <c r="O111" s="111">
        <v>0</v>
      </c>
      <c r="P111" s="102">
        <v>44593</v>
      </c>
      <c r="Q111" s="3" t="s">
        <v>31</v>
      </c>
      <c r="R111" s="111"/>
      <c r="S111" s="97">
        <v>19015717</v>
      </c>
      <c r="T111" s="39">
        <v>0</v>
      </c>
      <c r="U111" s="14"/>
      <c r="V111" s="9">
        <v>0</v>
      </c>
      <c r="W111" s="102">
        <v>44609</v>
      </c>
      <c r="X111" s="14" t="s">
        <v>31</v>
      </c>
      <c r="Y111" s="20"/>
      <c r="Z111" s="14"/>
      <c r="AA111" s="57">
        <v>11823921</v>
      </c>
      <c r="AB111" s="57">
        <v>0</v>
      </c>
      <c r="AC111" s="14"/>
      <c r="AD111" s="58">
        <v>0</v>
      </c>
      <c r="AE111" s="101">
        <v>44635</v>
      </c>
      <c r="AF111" s="14" t="s">
        <v>31</v>
      </c>
      <c r="AG111" s="20"/>
      <c r="AH111" s="14"/>
      <c r="AI111" s="39">
        <v>9150825</v>
      </c>
      <c r="AJ111" s="39">
        <v>0</v>
      </c>
      <c r="AK111" s="39"/>
      <c r="AL111" s="39"/>
      <c r="AM111" s="9">
        <v>0</v>
      </c>
      <c r="AN111" s="101">
        <v>44670</v>
      </c>
      <c r="AO111" s="14" t="s">
        <v>31</v>
      </c>
      <c r="AP111" s="14"/>
      <c r="AQ111" s="58"/>
      <c r="AR111" s="39">
        <v>19623736</v>
      </c>
      <c r="AS111" s="39">
        <v>0</v>
      </c>
      <c r="AT111" s="39"/>
      <c r="AU111" s="39"/>
      <c r="AV111" s="9">
        <v>0</v>
      </c>
      <c r="AW111" s="101">
        <v>44712</v>
      </c>
      <c r="AX111" s="14" t="s">
        <v>31</v>
      </c>
      <c r="AY111" s="14"/>
      <c r="AZ111" s="9"/>
      <c r="BA111" s="39">
        <v>16476248</v>
      </c>
      <c r="BB111" s="39">
        <v>0</v>
      </c>
      <c r="BC111" s="39"/>
      <c r="BD111" s="39"/>
      <c r="BE111" s="9">
        <v>0</v>
      </c>
      <c r="BF111" s="101">
        <v>44734</v>
      </c>
      <c r="BG111" s="14" t="s">
        <v>31</v>
      </c>
      <c r="BH111" s="101">
        <v>44757</v>
      </c>
      <c r="BI111" s="9"/>
      <c r="BJ111" s="39">
        <v>7710672</v>
      </c>
      <c r="BK111" s="39">
        <v>0</v>
      </c>
      <c r="BL111" s="39"/>
      <c r="BM111" s="39"/>
      <c r="BN111" s="9">
        <v>0</v>
      </c>
      <c r="BO111" s="101">
        <v>44756</v>
      </c>
      <c r="BP111" s="14" t="s">
        <v>31</v>
      </c>
      <c r="BQ111" s="101">
        <v>44768</v>
      </c>
      <c r="BR111" s="9"/>
      <c r="BS111" s="39">
        <v>18222202</v>
      </c>
      <c r="BT111" s="39">
        <v>0</v>
      </c>
      <c r="BU111" s="39"/>
      <c r="BV111" s="39"/>
      <c r="BW111" s="9">
        <v>0</v>
      </c>
      <c r="BX111" s="101">
        <v>44791</v>
      </c>
      <c r="BY111" s="14" t="s">
        <v>31</v>
      </c>
      <c r="BZ111" s="14"/>
      <c r="CA111" s="9"/>
      <c r="CB111" s="39"/>
      <c r="CC111" s="39"/>
      <c r="CD111" s="39"/>
      <c r="CE111" s="39"/>
      <c r="CF111" s="9"/>
      <c r="CG111" s="101"/>
      <c r="CH111" s="14"/>
      <c r="CI111" s="14"/>
      <c r="CJ111" s="9"/>
      <c r="CK111" s="39"/>
      <c r="CL111" s="39"/>
      <c r="CM111" s="39"/>
      <c r="CN111" s="39"/>
      <c r="CO111" s="9"/>
      <c r="CP111" s="101"/>
      <c r="CQ111" s="14"/>
      <c r="CR111" s="14"/>
      <c r="CS111" s="9"/>
      <c r="CT111" s="39"/>
      <c r="CU111" s="39"/>
      <c r="CV111" s="39"/>
      <c r="CW111" s="39"/>
      <c r="CX111" s="9"/>
      <c r="CY111" s="101"/>
      <c r="CZ111" s="14"/>
      <c r="DA111" s="86"/>
      <c r="DB111" s="9"/>
      <c r="DC111" s="39"/>
      <c r="DD111" s="39"/>
      <c r="DE111" s="39"/>
      <c r="DF111" s="39"/>
      <c r="DG111" s="9"/>
      <c r="DH111" s="101"/>
      <c r="DI111" s="14"/>
      <c r="DJ111" s="14"/>
    </row>
    <row r="112" spans="1:114" hidden="1" x14ac:dyDescent="0.35">
      <c r="A112" s="1" t="s">
        <v>397</v>
      </c>
      <c r="B112" s="14" t="s">
        <v>398</v>
      </c>
      <c r="C112" s="14" t="s">
        <v>29</v>
      </c>
      <c r="D112" s="2">
        <v>6652</v>
      </c>
      <c r="E112" s="3">
        <v>204578</v>
      </c>
      <c r="F112" s="3" t="s">
        <v>399</v>
      </c>
      <c r="G112" s="52" t="s">
        <v>400</v>
      </c>
      <c r="H112" s="39">
        <v>14532500</v>
      </c>
      <c r="I112" s="39">
        <v>13503500</v>
      </c>
      <c r="J112" s="39"/>
      <c r="K112" s="39">
        <v>14532500</v>
      </c>
      <c r="L112" s="39"/>
      <c r="M112" s="39">
        <f>I112-K112</f>
        <v>-1029000</v>
      </c>
      <c r="N112" s="39"/>
      <c r="O112" s="9">
        <f>M112/I112</f>
        <v>-7.6202466027326249E-2</v>
      </c>
      <c r="P112" s="101">
        <v>44573</v>
      </c>
      <c r="Q112" s="101" t="s">
        <v>31</v>
      </c>
      <c r="R112" s="20"/>
      <c r="S112" s="39">
        <v>14532500</v>
      </c>
      <c r="T112" s="8">
        <f>K112-S112</f>
        <v>0</v>
      </c>
      <c r="U112" s="14"/>
      <c r="V112" s="9">
        <v>0</v>
      </c>
      <c r="W112" s="102">
        <v>44593</v>
      </c>
      <c r="X112" s="14" t="s">
        <v>31</v>
      </c>
      <c r="Y112" s="20"/>
      <c r="Z112" s="67"/>
      <c r="AA112" s="57">
        <v>14532500</v>
      </c>
      <c r="AB112" s="57">
        <f t="shared" ref="AB112:AB136" si="26">S112-AA112</f>
        <v>0</v>
      </c>
      <c r="AC112" s="14"/>
      <c r="AD112" s="58">
        <v>0</v>
      </c>
      <c r="AE112" s="131">
        <v>44621</v>
      </c>
      <c r="AF112" s="14" t="s">
        <v>31</v>
      </c>
      <c r="AG112" s="20"/>
      <c r="AH112" s="67"/>
      <c r="AI112" s="39">
        <v>14934700</v>
      </c>
      <c r="AJ112" s="39"/>
      <c r="AK112" s="39">
        <f>AA112-AI112</f>
        <v>-402200</v>
      </c>
      <c r="AL112" s="39">
        <v>402200</v>
      </c>
      <c r="AM112" s="9">
        <f>AK112/AA112</f>
        <v>-2.7675898847410976E-2</v>
      </c>
      <c r="AN112" s="101">
        <v>44655</v>
      </c>
      <c r="AO112" s="14" t="s">
        <v>31</v>
      </c>
      <c r="AP112" s="14"/>
      <c r="AQ112" s="58"/>
      <c r="AR112" s="39">
        <v>14532500</v>
      </c>
      <c r="AS112" s="39">
        <f>AA112-AR112</f>
        <v>0</v>
      </c>
      <c r="AT112" s="39"/>
      <c r="AU112" s="39"/>
      <c r="AV112" s="9">
        <v>0</v>
      </c>
      <c r="AW112" s="101">
        <v>44683</v>
      </c>
      <c r="AX112" s="14" t="s">
        <v>31</v>
      </c>
      <c r="AY112" s="14"/>
      <c r="AZ112" s="9"/>
      <c r="BA112" s="39">
        <v>14532500</v>
      </c>
      <c r="BB112" s="39">
        <f>AR112-BA112</f>
        <v>0</v>
      </c>
      <c r="BC112" s="39"/>
      <c r="BD112" s="39"/>
      <c r="BE112" s="9">
        <v>0</v>
      </c>
      <c r="BF112" s="101">
        <v>44715</v>
      </c>
      <c r="BG112" s="14" t="s">
        <v>31</v>
      </c>
      <c r="BH112" s="101">
        <v>44728</v>
      </c>
      <c r="BI112" s="9"/>
      <c r="BJ112" s="39">
        <v>14532500</v>
      </c>
      <c r="BK112" s="39">
        <f t="shared" ref="BK112:BK122" si="27">BA112-BJ112</f>
        <v>0</v>
      </c>
      <c r="BL112" s="39"/>
      <c r="BM112" s="39"/>
      <c r="BN112" s="9">
        <v>0</v>
      </c>
      <c r="BO112" s="101">
        <v>44743</v>
      </c>
      <c r="BP112" s="14" t="s">
        <v>31</v>
      </c>
      <c r="BQ112" s="101">
        <v>44757</v>
      </c>
      <c r="BR112" s="9"/>
      <c r="BS112" s="39">
        <v>14532500</v>
      </c>
      <c r="BT112" s="39">
        <f t="shared" ref="BT112:BT121" si="28">BJ112-BS112</f>
        <v>0</v>
      </c>
      <c r="BU112" s="39"/>
      <c r="BV112" s="39"/>
      <c r="BW112" s="9">
        <v>0</v>
      </c>
      <c r="BX112" s="101">
        <v>44777</v>
      </c>
      <c r="BY112" s="14" t="s">
        <v>31</v>
      </c>
      <c r="BZ112" s="14"/>
      <c r="CA112" s="9"/>
      <c r="CB112" s="39"/>
      <c r="CC112" s="39"/>
      <c r="CD112" s="39"/>
      <c r="CE112" s="39"/>
      <c r="CF112" s="9"/>
      <c r="CG112" s="101"/>
      <c r="CH112" s="14"/>
      <c r="CI112" s="14"/>
      <c r="CJ112" s="9"/>
      <c r="CK112" s="39"/>
      <c r="CL112" s="39"/>
      <c r="CM112" s="39"/>
      <c r="CN112" s="39"/>
      <c r="CO112" s="9"/>
      <c r="CP112" s="101"/>
      <c r="CQ112" s="14"/>
      <c r="CR112" s="14"/>
      <c r="CS112" s="9"/>
      <c r="CT112" s="39"/>
      <c r="CU112" s="39"/>
      <c r="CV112" s="39"/>
      <c r="CW112" s="39"/>
      <c r="CX112" s="9"/>
      <c r="CY112" s="101"/>
      <c r="CZ112" s="14"/>
      <c r="DA112" s="86"/>
      <c r="DB112" s="9"/>
      <c r="DC112" s="39"/>
      <c r="DD112" s="39"/>
      <c r="DE112" s="39"/>
      <c r="DF112" s="39"/>
      <c r="DG112" s="9"/>
      <c r="DH112" s="101"/>
      <c r="DI112" s="14"/>
      <c r="DJ112" s="14"/>
    </row>
    <row r="113" spans="1:114" ht="16.5" hidden="1" x14ac:dyDescent="0.35">
      <c r="A113" s="1" t="s">
        <v>401</v>
      </c>
      <c r="B113" s="14" t="s">
        <v>402</v>
      </c>
      <c r="C113" s="14" t="s">
        <v>60</v>
      </c>
      <c r="D113" s="2">
        <v>6660</v>
      </c>
      <c r="E113" s="141" t="s">
        <v>539</v>
      </c>
      <c r="F113" s="3" t="s">
        <v>403</v>
      </c>
      <c r="G113" s="52" t="s">
        <v>404</v>
      </c>
      <c r="H113" s="39">
        <v>9542123</v>
      </c>
      <c r="I113" s="39">
        <v>9034390</v>
      </c>
      <c r="J113" s="39"/>
      <c r="K113" s="39">
        <v>9034390</v>
      </c>
      <c r="L113" s="39">
        <f>I113-K113</f>
        <v>0</v>
      </c>
      <c r="M113" s="39"/>
      <c r="N113" s="39"/>
      <c r="O113" s="9">
        <v>0</v>
      </c>
      <c r="P113" s="102">
        <v>44200</v>
      </c>
      <c r="Q113" s="3" t="s">
        <v>31</v>
      </c>
      <c r="R113" s="20"/>
      <c r="S113" s="8">
        <v>9034390</v>
      </c>
      <c r="T113" s="8">
        <f>K113-S113</f>
        <v>0</v>
      </c>
      <c r="U113" s="14"/>
      <c r="V113" s="9">
        <v>0</v>
      </c>
      <c r="W113" s="102">
        <v>44593</v>
      </c>
      <c r="X113" s="14" t="s">
        <v>31</v>
      </c>
      <c r="Y113" s="20"/>
      <c r="Z113" s="14"/>
      <c r="AA113" s="57">
        <v>9034390</v>
      </c>
      <c r="AB113" s="57">
        <f t="shared" si="26"/>
        <v>0</v>
      </c>
      <c r="AC113" s="14"/>
      <c r="AD113" s="58">
        <v>0</v>
      </c>
      <c r="AE113" s="131">
        <v>44621</v>
      </c>
      <c r="AF113" s="14" t="s">
        <v>31</v>
      </c>
      <c r="AG113" s="20"/>
      <c r="AH113" s="14"/>
      <c r="AI113" s="39">
        <v>9034390</v>
      </c>
      <c r="AJ113" s="39">
        <f>AA113-AI113</f>
        <v>0</v>
      </c>
      <c r="AK113" s="39"/>
      <c r="AL113" s="39"/>
      <c r="AM113" s="9">
        <v>0</v>
      </c>
      <c r="AN113" s="102">
        <v>44658</v>
      </c>
      <c r="AO113" s="14" t="s">
        <v>31</v>
      </c>
      <c r="AP113" s="14"/>
      <c r="AQ113" s="58"/>
      <c r="AR113" s="39">
        <v>9440576</v>
      </c>
      <c r="AS113" s="39"/>
      <c r="AT113" s="39">
        <f>AI113-AR113</f>
        <v>-406186</v>
      </c>
      <c r="AU113" s="39"/>
      <c r="AV113" s="9">
        <f>AT113/AI113</f>
        <v>-4.4959980695985009E-2</v>
      </c>
      <c r="AW113" s="101">
        <v>44684</v>
      </c>
      <c r="AX113" s="14" t="s">
        <v>31</v>
      </c>
      <c r="AY113" s="14"/>
      <c r="AZ113" s="9"/>
      <c r="BA113" s="39">
        <v>9542123</v>
      </c>
      <c r="BB113" s="39"/>
      <c r="BC113" s="39">
        <f>AR113-BA113</f>
        <v>-101547</v>
      </c>
      <c r="BD113" s="39"/>
      <c r="BE113" s="9">
        <f>BC113/AR113</f>
        <v>-1.0756441132405481E-2</v>
      </c>
      <c r="BF113" s="101">
        <v>44719</v>
      </c>
      <c r="BG113" s="14" t="s">
        <v>31</v>
      </c>
      <c r="BH113" s="101">
        <v>44728</v>
      </c>
      <c r="BI113" s="9"/>
      <c r="BJ113" s="39">
        <v>9542123</v>
      </c>
      <c r="BK113" s="39">
        <f t="shared" si="27"/>
        <v>0</v>
      </c>
      <c r="BL113" s="39"/>
      <c r="BM113" s="39"/>
      <c r="BN113" s="9">
        <v>0</v>
      </c>
      <c r="BO113" s="101">
        <v>44743</v>
      </c>
      <c r="BP113" s="14" t="s">
        <v>31</v>
      </c>
      <c r="BQ113" s="101">
        <v>44757</v>
      </c>
      <c r="BR113" s="9"/>
      <c r="BS113" s="39">
        <v>9542123</v>
      </c>
      <c r="BT113" s="39">
        <f t="shared" si="28"/>
        <v>0</v>
      </c>
      <c r="BU113" s="39"/>
      <c r="BV113" s="39"/>
      <c r="BW113" s="9">
        <v>0</v>
      </c>
      <c r="BX113" s="101">
        <v>44775</v>
      </c>
      <c r="BY113" s="14" t="s">
        <v>31</v>
      </c>
      <c r="BZ113" s="14"/>
      <c r="CA113" s="9"/>
      <c r="CB113" s="39"/>
      <c r="CC113" s="39"/>
      <c r="CD113" s="39"/>
      <c r="CE113" s="39"/>
      <c r="CF113" s="9"/>
      <c r="CG113" s="101"/>
      <c r="CH113" s="14"/>
      <c r="CI113" s="14"/>
      <c r="CJ113" s="9"/>
      <c r="CK113" s="39"/>
      <c r="CL113" s="39"/>
      <c r="CM113" s="39"/>
      <c r="CN113" s="39"/>
      <c r="CO113" s="9"/>
      <c r="CP113" s="101"/>
      <c r="CQ113" s="14"/>
      <c r="CR113" s="14"/>
      <c r="CS113" s="9"/>
      <c r="CT113" s="39"/>
      <c r="CU113" s="39"/>
      <c r="CV113" s="39"/>
      <c r="CW113" s="39"/>
      <c r="CX113" s="9"/>
      <c r="CY113" s="101"/>
      <c r="CZ113" s="14"/>
      <c r="DA113" s="86"/>
      <c r="DB113" s="9"/>
      <c r="DC113" s="39"/>
      <c r="DD113" s="39"/>
      <c r="DE113" s="39"/>
      <c r="DF113" s="39"/>
      <c r="DG113" s="9"/>
      <c r="DH113" s="101"/>
      <c r="DI113" s="14"/>
      <c r="DJ113" s="14"/>
    </row>
    <row r="114" spans="1:114" ht="15" hidden="1" customHeight="1" x14ac:dyDescent="0.35">
      <c r="A114" s="1" t="s">
        <v>412</v>
      </c>
      <c r="B114" s="14" t="s">
        <v>413</v>
      </c>
      <c r="C114" s="14" t="s">
        <v>66</v>
      </c>
      <c r="D114" s="2">
        <v>6686</v>
      </c>
      <c r="E114" s="3">
        <v>204593</v>
      </c>
      <c r="F114" s="3" t="s">
        <v>414</v>
      </c>
      <c r="G114" s="52" t="s">
        <v>415</v>
      </c>
      <c r="H114" s="39">
        <v>7610000</v>
      </c>
      <c r="I114" s="39">
        <v>15597917</v>
      </c>
      <c r="J114" s="39"/>
      <c r="K114" s="39">
        <v>15578395</v>
      </c>
      <c r="L114" s="39">
        <f>I114-K114</f>
        <v>19522</v>
      </c>
      <c r="M114" s="39"/>
      <c r="N114" s="39"/>
      <c r="O114" s="9">
        <f>L114/H114</f>
        <v>2.5653088042049935E-3</v>
      </c>
      <c r="P114" s="102">
        <v>44200</v>
      </c>
      <c r="Q114" s="3" t="s">
        <v>31</v>
      </c>
      <c r="R114" s="20"/>
      <c r="S114" s="39">
        <v>15219787</v>
      </c>
      <c r="T114" s="8">
        <f>I114-S114</f>
        <v>378130</v>
      </c>
      <c r="U114" s="14"/>
      <c r="V114" s="9">
        <f>T114/I114</f>
        <v>2.4242339538029341E-2</v>
      </c>
      <c r="W114" s="102">
        <v>44593</v>
      </c>
      <c r="X114" s="14" t="s">
        <v>31</v>
      </c>
      <c r="Y114" s="20"/>
      <c r="Z114" s="14"/>
      <c r="AA114" s="57">
        <f>15219787+3123030</f>
        <v>18342817</v>
      </c>
      <c r="AB114" s="57">
        <v>0</v>
      </c>
      <c r="AC114" s="57">
        <v>6595241</v>
      </c>
      <c r="AD114" s="58">
        <v>0</v>
      </c>
      <c r="AE114" s="102">
        <v>44637</v>
      </c>
      <c r="AF114" s="14" t="s">
        <v>31</v>
      </c>
      <c r="AG114" s="20"/>
      <c r="AH114" s="67"/>
      <c r="AI114" s="39">
        <v>7610000</v>
      </c>
      <c r="AJ114" s="39">
        <f>K114-AI114</f>
        <v>7968395</v>
      </c>
      <c r="AK114" s="39"/>
      <c r="AL114" s="39"/>
      <c r="AM114" s="9">
        <f>AJ114/S114</f>
        <v>0.52355496170872828</v>
      </c>
      <c r="AN114" s="101">
        <v>44655</v>
      </c>
      <c r="AO114" s="14" t="s">
        <v>31</v>
      </c>
      <c r="AP114" s="14"/>
      <c r="AQ114" s="58"/>
      <c r="AR114" s="39">
        <v>7610000</v>
      </c>
      <c r="AS114" s="39">
        <f>AI114-AR114</f>
        <v>0</v>
      </c>
      <c r="AT114" s="39"/>
      <c r="AU114" s="39"/>
      <c r="AV114" s="9">
        <v>0</v>
      </c>
      <c r="AW114" s="101">
        <v>44683</v>
      </c>
      <c r="AX114" s="14" t="s">
        <v>31</v>
      </c>
      <c r="AY114" s="14"/>
      <c r="AZ114" s="9"/>
      <c r="BA114" s="39">
        <v>7610000</v>
      </c>
      <c r="BB114" s="39">
        <f t="shared" ref="BB114:BB122" si="29">AR114-BA114</f>
        <v>0</v>
      </c>
      <c r="BC114" s="39"/>
      <c r="BD114" s="39"/>
      <c r="BE114" s="9">
        <v>0</v>
      </c>
      <c r="BF114" s="101">
        <v>44713</v>
      </c>
      <c r="BG114" s="14" t="s">
        <v>31</v>
      </c>
      <c r="BH114" s="101">
        <v>44728</v>
      </c>
      <c r="BI114" s="9"/>
      <c r="BJ114" s="39">
        <v>7610000</v>
      </c>
      <c r="BK114" s="39">
        <f t="shared" si="27"/>
        <v>0</v>
      </c>
      <c r="BL114" s="39"/>
      <c r="BM114" s="39"/>
      <c r="BN114" s="9">
        <v>0</v>
      </c>
      <c r="BO114" s="101">
        <v>44743</v>
      </c>
      <c r="BP114" s="14" t="s">
        <v>31</v>
      </c>
      <c r="BQ114" s="101">
        <v>44757</v>
      </c>
      <c r="BR114" s="9"/>
      <c r="BS114" s="39">
        <v>7610000</v>
      </c>
      <c r="BT114" s="39">
        <f t="shared" si="28"/>
        <v>0</v>
      </c>
      <c r="BU114" s="39"/>
      <c r="BV114" s="39"/>
      <c r="BW114" s="9">
        <v>0</v>
      </c>
      <c r="BX114" s="101">
        <v>44774</v>
      </c>
      <c r="BY114" s="14" t="s">
        <v>31</v>
      </c>
      <c r="BZ114" s="14"/>
      <c r="CA114" s="9"/>
      <c r="CB114" s="39"/>
      <c r="CC114" s="39"/>
      <c r="CD114" s="39"/>
      <c r="CE114" s="39"/>
      <c r="CF114" s="9"/>
      <c r="CG114" s="101"/>
      <c r="CH114" s="14"/>
      <c r="CI114" s="14"/>
      <c r="CJ114" s="9"/>
      <c r="CK114" s="39"/>
      <c r="CL114" s="39"/>
      <c r="CM114" s="39"/>
      <c r="CN114" s="39"/>
      <c r="CO114" s="9"/>
      <c r="CP114" s="101"/>
      <c r="CQ114" s="14"/>
      <c r="CR114" s="14"/>
      <c r="CS114" s="39"/>
      <c r="CT114" s="39"/>
      <c r="CU114" s="39"/>
      <c r="CV114" s="39"/>
      <c r="CW114" s="39"/>
      <c r="CX114" s="39"/>
      <c r="CY114" s="103"/>
      <c r="CZ114" s="39"/>
      <c r="DA114" s="115"/>
      <c r="DB114" s="9"/>
      <c r="DC114" s="39"/>
      <c r="DD114" s="39"/>
      <c r="DE114" s="39"/>
      <c r="DF114" s="39"/>
      <c r="DG114" s="9"/>
      <c r="DH114" s="101"/>
      <c r="DI114" s="14"/>
      <c r="DJ114" s="14"/>
    </row>
    <row r="115" spans="1:114" ht="15" hidden="1" customHeight="1" x14ac:dyDescent="0.35">
      <c r="A115" s="1" t="s">
        <v>416</v>
      </c>
      <c r="B115" s="14" t="s">
        <v>417</v>
      </c>
      <c r="C115" s="14" t="s">
        <v>29</v>
      </c>
      <c r="D115" s="2">
        <v>6687</v>
      </c>
      <c r="E115" s="3">
        <v>204570</v>
      </c>
      <c r="F115" s="3" t="s">
        <v>418</v>
      </c>
      <c r="G115" s="52" t="s">
        <v>419</v>
      </c>
      <c r="H115" s="39">
        <v>14934700</v>
      </c>
      <c r="I115" s="39">
        <v>13877300</v>
      </c>
      <c r="J115" s="39"/>
      <c r="K115" s="39">
        <v>13877300</v>
      </c>
      <c r="L115" s="39">
        <f>I115-K115</f>
        <v>0</v>
      </c>
      <c r="M115" s="39"/>
      <c r="N115" s="39"/>
      <c r="O115" s="9">
        <v>0</v>
      </c>
      <c r="P115" s="102">
        <v>44564</v>
      </c>
      <c r="Q115" s="3" t="s">
        <v>31</v>
      </c>
      <c r="R115" s="20"/>
      <c r="S115" s="39">
        <v>13877300</v>
      </c>
      <c r="T115" s="8">
        <f>K115-S115</f>
        <v>0</v>
      </c>
      <c r="U115" s="14"/>
      <c r="V115" s="9">
        <v>0</v>
      </c>
      <c r="W115" s="102">
        <v>44593</v>
      </c>
      <c r="X115" s="14" t="s">
        <v>31</v>
      </c>
      <c r="Y115" s="20"/>
      <c r="Z115" s="67"/>
      <c r="AA115" s="57">
        <v>13877300</v>
      </c>
      <c r="AB115" s="57">
        <f t="shared" si="26"/>
        <v>0</v>
      </c>
      <c r="AC115" s="14"/>
      <c r="AD115" s="58">
        <v>0</v>
      </c>
      <c r="AE115" s="131">
        <v>44621</v>
      </c>
      <c r="AF115" s="14" t="s">
        <v>31</v>
      </c>
      <c r="AG115" s="20"/>
      <c r="AH115" s="67"/>
      <c r="AI115" s="39">
        <v>14934700</v>
      </c>
      <c r="AJ115" s="39"/>
      <c r="AK115" s="39">
        <f>AA115-AI115</f>
        <v>-1057400</v>
      </c>
      <c r="AL115" s="39"/>
      <c r="AM115" s="9">
        <f>AK115/AA115</f>
        <v>-7.6196378258018491E-2</v>
      </c>
      <c r="AN115" s="101">
        <v>44655</v>
      </c>
      <c r="AO115" s="14" t="s">
        <v>31</v>
      </c>
      <c r="AP115" s="14"/>
      <c r="AQ115" s="58"/>
      <c r="AR115" s="39">
        <v>14934700</v>
      </c>
      <c r="AS115" s="39">
        <f>AI115-AR115</f>
        <v>0</v>
      </c>
      <c r="AT115" s="39"/>
      <c r="AU115" s="39"/>
      <c r="AV115" s="9">
        <v>0</v>
      </c>
      <c r="AW115" s="101">
        <v>44683</v>
      </c>
      <c r="AX115" s="14" t="s">
        <v>31</v>
      </c>
      <c r="AY115" s="14"/>
      <c r="AZ115" s="9"/>
      <c r="BA115" s="39">
        <v>14934700</v>
      </c>
      <c r="BB115" s="39">
        <f t="shared" si="29"/>
        <v>0</v>
      </c>
      <c r="BC115" s="39"/>
      <c r="BD115" s="39"/>
      <c r="BE115" s="9">
        <v>0</v>
      </c>
      <c r="BF115" s="101">
        <v>44713</v>
      </c>
      <c r="BG115" s="14" t="s">
        <v>31</v>
      </c>
      <c r="BH115" s="101">
        <v>44728</v>
      </c>
      <c r="BI115" s="9"/>
      <c r="BJ115" s="39">
        <v>14934700</v>
      </c>
      <c r="BK115" s="39">
        <f t="shared" si="27"/>
        <v>0</v>
      </c>
      <c r="BL115" s="39"/>
      <c r="BM115" s="39"/>
      <c r="BN115" s="9">
        <v>0</v>
      </c>
      <c r="BO115" s="101">
        <v>44743</v>
      </c>
      <c r="BP115" s="14" t="s">
        <v>31</v>
      </c>
      <c r="BQ115" s="101">
        <v>44757</v>
      </c>
      <c r="BR115" s="9"/>
      <c r="BS115" s="39">
        <v>14934700</v>
      </c>
      <c r="BT115" s="39">
        <f t="shared" si="28"/>
        <v>0</v>
      </c>
      <c r="BU115" s="39"/>
      <c r="BV115" s="39"/>
      <c r="BW115" s="9">
        <v>0</v>
      </c>
      <c r="BX115" s="101">
        <v>44774</v>
      </c>
      <c r="BY115" s="14" t="s">
        <v>31</v>
      </c>
      <c r="BZ115" s="14"/>
      <c r="CA115" s="9"/>
      <c r="CB115" s="39"/>
      <c r="CC115" s="39"/>
      <c r="CD115" s="39"/>
      <c r="CE115" s="39"/>
      <c r="CF115" s="9"/>
      <c r="CG115" s="101"/>
      <c r="CH115" s="14"/>
      <c r="CI115" s="14"/>
      <c r="CJ115" s="9"/>
      <c r="CK115" s="39"/>
      <c r="CL115" s="39"/>
      <c r="CM115" s="39"/>
      <c r="CN115" s="39"/>
      <c r="CO115" s="9"/>
      <c r="CP115" s="101"/>
      <c r="CQ115" s="14"/>
      <c r="CR115" s="14"/>
      <c r="CS115" s="39"/>
      <c r="CT115" s="39"/>
      <c r="CU115" s="39"/>
      <c r="CV115" s="39"/>
      <c r="CW115" s="39"/>
      <c r="CX115" s="39"/>
      <c r="CY115" s="39"/>
      <c r="CZ115" s="39"/>
      <c r="DA115" s="115"/>
      <c r="DB115" s="9"/>
      <c r="DC115" s="39"/>
      <c r="DD115" s="39"/>
      <c r="DE115" s="39"/>
      <c r="DF115" s="39"/>
      <c r="DG115" s="9"/>
      <c r="DH115" s="101"/>
      <c r="DI115" s="14"/>
      <c r="DJ115" s="14"/>
    </row>
    <row r="116" spans="1:114" ht="15" hidden="1" customHeight="1" x14ac:dyDescent="0.35">
      <c r="A116" s="1" t="s">
        <v>420</v>
      </c>
      <c r="B116" s="14" t="s">
        <v>421</v>
      </c>
      <c r="C116" s="14" t="s">
        <v>66</v>
      </c>
      <c r="D116" s="2">
        <v>6688</v>
      </c>
      <c r="E116" s="3">
        <v>207634</v>
      </c>
      <c r="F116" s="3" t="s">
        <v>422</v>
      </c>
      <c r="G116" s="52" t="s">
        <v>423</v>
      </c>
      <c r="H116" s="39">
        <v>18427823</v>
      </c>
      <c r="I116" s="39">
        <v>17123048</v>
      </c>
      <c r="J116" s="39"/>
      <c r="K116" s="39">
        <v>17123048</v>
      </c>
      <c r="L116" s="39">
        <f>I116-K116</f>
        <v>0</v>
      </c>
      <c r="M116" s="39"/>
      <c r="N116" s="39"/>
      <c r="O116" s="9">
        <v>0</v>
      </c>
      <c r="P116" s="102">
        <v>44564</v>
      </c>
      <c r="Q116" s="3" t="s">
        <v>31</v>
      </c>
      <c r="R116" s="20"/>
      <c r="S116" s="39">
        <v>18427823</v>
      </c>
      <c r="T116" s="8">
        <f>K116-S116</f>
        <v>-1304775</v>
      </c>
      <c r="U116" s="14"/>
      <c r="V116" s="9">
        <f>T116/K116</f>
        <v>-7.6199926555132011E-2</v>
      </c>
      <c r="W116" s="101">
        <v>44595</v>
      </c>
      <c r="X116" s="14" t="s">
        <v>31</v>
      </c>
      <c r="Y116" s="20"/>
      <c r="Z116" s="14"/>
      <c r="AA116" s="57">
        <v>18427824</v>
      </c>
      <c r="AB116" s="57">
        <f t="shared" si="26"/>
        <v>-1</v>
      </c>
      <c r="AC116" s="14"/>
      <c r="AD116" s="58">
        <v>0</v>
      </c>
      <c r="AE116" s="131">
        <v>44621</v>
      </c>
      <c r="AF116" s="14" t="s">
        <v>31</v>
      </c>
      <c r="AG116" s="20"/>
      <c r="AH116" s="67"/>
      <c r="AI116" s="39">
        <v>18427824</v>
      </c>
      <c r="AJ116" s="39">
        <f>AA116-AI116</f>
        <v>0</v>
      </c>
      <c r="AK116" s="39"/>
      <c r="AL116" s="39"/>
      <c r="AM116" s="9">
        <v>0</v>
      </c>
      <c r="AN116" s="101">
        <v>44655</v>
      </c>
      <c r="AO116" s="14" t="s">
        <v>31</v>
      </c>
      <c r="AP116" s="14"/>
      <c r="AQ116" s="58"/>
      <c r="AR116" s="39">
        <v>18427824</v>
      </c>
      <c r="AS116" s="39">
        <f>AI116-AR116</f>
        <v>0</v>
      </c>
      <c r="AT116" s="39"/>
      <c r="AU116" s="39"/>
      <c r="AV116" s="9">
        <v>0</v>
      </c>
      <c r="AW116" s="101">
        <v>44683</v>
      </c>
      <c r="AX116" s="14" t="s">
        <v>31</v>
      </c>
      <c r="AY116" s="14"/>
      <c r="AZ116" s="9"/>
      <c r="BA116" s="39">
        <v>18427824</v>
      </c>
      <c r="BB116" s="39">
        <f t="shared" si="29"/>
        <v>0</v>
      </c>
      <c r="BC116" s="39"/>
      <c r="BD116" s="39"/>
      <c r="BE116" s="9">
        <v>0</v>
      </c>
      <c r="BF116" s="101">
        <v>44713</v>
      </c>
      <c r="BG116" s="14" t="s">
        <v>31</v>
      </c>
      <c r="BH116" s="101">
        <v>44728</v>
      </c>
      <c r="BI116" s="9"/>
      <c r="BJ116" s="39">
        <v>18427824</v>
      </c>
      <c r="BK116" s="39">
        <f t="shared" si="27"/>
        <v>0</v>
      </c>
      <c r="BL116" s="39"/>
      <c r="BM116" s="39"/>
      <c r="BN116" s="9">
        <v>0</v>
      </c>
      <c r="BO116" s="101">
        <v>44743</v>
      </c>
      <c r="BP116" s="14" t="s">
        <v>31</v>
      </c>
      <c r="BQ116" s="101">
        <v>44757</v>
      </c>
      <c r="BR116" s="9"/>
      <c r="BS116" s="39">
        <v>18427824</v>
      </c>
      <c r="BT116" s="39">
        <f t="shared" si="28"/>
        <v>0</v>
      </c>
      <c r="BU116" s="39"/>
      <c r="BV116" s="39"/>
      <c r="BW116" s="9">
        <v>0</v>
      </c>
      <c r="BX116" s="101">
        <v>44774</v>
      </c>
      <c r="BY116" s="14" t="s">
        <v>31</v>
      </c>
      <c r="BZ116" s="14"/>
      <c r="CA116" s="9"/>
      <c r="CB116" s="39"/>
      <c r="CC116" s="39"/>
      <c r="CD116" s="39"/>
      <c r="CE116" s="39"/>
      <c r="CF116" s="9"/>
      <c r="CG116" s="101"/>
      <c r="CH116" s="14"/>
      <c r="CI116" s="14"/>
      <c r="CJ116" s="9"/>
      <c r="CK116" s="39"/>
      <c r="CL116" s="39"/>
      <c r="CM116" s="39"/>
      <c r="CN116" s="39"/>
      <c r="CO116" s="9"/>
      <c r="CP116" s="101"/>
      <c r="CQ116" s="14"/>
      <c r="CR116" s="14"/>
      <c r="CS116" s="39"/>
      <c r="CT116" s="39"/>
      <c r="CU116" s="39"/>
      <c r="CV116" s="39"/>
      <c r="CW116" s="39"/>
      <c r="CX116" s="39"/>
      <c r="CY116" s="103"/>
      <c r="CZ116" s="39"/>
      <c r="DA116" s="115"/>
      <c r="DB116" s="9"/>
      <c r="DC116" s="39"/>
      <c r="DD116" s="39"/>
      <c r="DE116" s="39"/>
      <c r="DF116" s="39"/>
      <c r="DG116" s="9"/>
      <c r="DH116" s="101"/>
      <c r="DI116" s="14"/>
      <c r="DJ116" s="14"/>
    </row>
    <row r="117" spans="1:114" hidden="1" x14ac:dyDescent="0.35">
      <c r="A117" s="1" t="s">
        <v>424</v>
      </c>
      <c r="B117" s="14" t="s">
        <v>425</v>
      </c>
      <c r="C117" s="14" t="s">
        <v>158</v>
      </c>
      <c r="D117" s="2">
        <v>6692</v>
      </c>
      <c r="E117" s="3">
        <v>204942</v>
      </c>
      <c r="F117" s="3" t="s">
        <v>426</v>
      </c>
      <c r="G117" s="52">
        <v>8050305871</v>
      </c>
      <c r="H117" s="39">
        <v>11456175</v>
      </c>
      <c r="I117" s="39">
        <v>11456175</v>
      </c>
      <c r="J117" s="39"/>
      <c r="K117" s="39">
        <v>11456175</v>
      </c>
      <c r="L117" s="39">
        <f>I117-K117</f>
        <v>0</v>
      </c>
      <c r="M117" s="39"/>
      <c r="N117" s="39"/>
      <c r="O117" s="9">
        <v>0</v>
      </c>
      <c r="P117" s="102">
        <v>44603</v>
      </c>
      <c r="Q117" s="14" t="s">
        <v>31</v>
      </c>
      <c r="R117" s="20"/>
      <c r="S117" s="39">
        <v>11456175</v>
      </c>
      <c r="T117" s="8">
        <f>K117-S117</f>
        <v>0</v>
      </c>
      <c r="U117" s="14"/>
      <c r="V117" s="9">
        <v>0</v>
      </c>
      <c r="W117" s="101">
        <v>44603</v>
      </c>
      <c r="X117" s="14" t="s">
        <v>31</v>
      </c>
      <c r="Y117" s="20"/>
      <c r="Z117" s="14"/>
      <c r="AA117" s="57">
        <v>11456175</v>
      </c>
      <c r="AB117" s="57">
        <f t="shared" si="26"/>
        <v>0</v>
      </c>
      <c r="AC117" s="14"/>
      <c r="AD117" s="58">
        <v>0</v>
      </c>
      <c r="AE117" s="101">
        <v>44624</v>
      </c>
      <c r="AF117" s="14" t="s">
        <v>31</v>
      </c>
      <c r="AG117" s="20"/>
      <c r="AH117" s="67"/>
      <c r="AI117" s="39">
        <f>11456175+217385+41482</f>
        <v>11715042</v>
      </c>
      <c r="AJ117" s="39">
        <f>AA117-AI117</f>
        <v>-258867</v>
      </c>
      <c r="AK117" s="39"/>
      <c r="AL117" s="39"/>
      <c r="AM117" s="9">
        <v>0</v>
      </c>
      <c r="AN117" s="101">
        <v>44673</v>
      </c>
      <c r="AO117" s="14" t="s">
        <v>31</v>
      </c>
      <c r="AP117" s="14"/>
      <c r="AQ117" s="58"/>
      <c r="AR117" s="39">
        <v>11456175</v>
      </c>
      <c r="AS117" s="39">
        <f>AA117-AR117</f>
        <v>0</v>
      </c>
      <c r="AT117" s="39"/>
      <c r="AU117" s="39"/>
      <c r="AV117" s="9">
        <v>0</v>
      </c>
      <c r="AW117" s="101">
        <v>44687</v>
      </c>
      <c r="AX117" s="14" t="s">
        <v>31</v>
      </c>
      <c r="AY117" s="14"/>
      <c r="AZ117" s="9"/>
      <c r="BA117" s="39">
        <v>11456175</v>
      </c>
      <c r="BB117" s="39">
        <f t="shared" si="29"/>
        <v>0</v>
      </c>
      <c r="BC117" s="39"/>
      <c r="BD117" s="39"/>
      <c r="BE117" s="9">
        <v>0</v>
      </c>
      <c r="BF117" s="101">
        <v>44715</v>
      </c>
      <c r="BG117" s="14" t="s">
        <v>31</v>
      </c>
      <c r="BH117" s="101">
        <v>44728</v>
      </c>
      <c r="BI117" s="9"/>
      <c r="BJ117" s="39">
        <v>11456175</v>
      </c>
      <c r="BK117" s="39">
        <f t="shared" si="27"/>
        <v>0</v>
      </c>
      <c r="BL117" s="39"/>
      <c r="BM117" s="39"/>
      <c r="BN117" s="9">
        <v>0</v>
      </c>
      <c r="BO117" s="101">
        <v>44750</v>
      </c>
      <c r="BP117" s="14" t="s">
        <v>31</v>
      </c>
      <c r="BQ117" s="101">
        <v>44768</v>
      </c>
      <c r="BR117" s="9"/>
      <c r="BS117" s="39">
        <v>11456175</v>
      </c>
      <c r="BT117" s="39">
        <f t="shared" si="28"/>
        <v>0</v>
      </c>
      <c r="BU117" s="39"/>
      <c r="BV117" s="39"/>
      <c r="BW117" s="9">
        <v>0</v>
      </c>
      <c r="BX117" s="101">
        <v>44778</v>
      </c>
      <c r="BY117" s="14" t="s">
        <v>31</v>
      </c>
      <c r="BZ117" s="14"/>
      <c r="CA117" s="9"/>
      <c r="CB117" s="39"/>
      <c r="CC117" s="39"/>
      <c r="CD117" s="39"/>
      <c r="CE117" s="39"/>
      <c r="CF117" s="9"/>
      <c r="CG117" s="101"/>
      <c r="CH117" s="14"/>
      <c r="CI117" s="14"/>
      <c r="CJ117" s="166"/>
      <c r="CK117" s="167"/>
      <c r="CL117" s="167"/>
      <c r="CM117" s="167"/>
      <c r="CN117" s="167"/>
      <c r="CO117" s="167"/>
      <c r="CP117" s="167"/>
      <c r="CQ117" s="167"/>
      <c r="CR117" s="168"/>
      <c r="CS117" s="178"/>
      <c r="CT117" s="179"/>
      <c r="CU117" s="179"/>
      <c r="CV117" s="179"/>
      <c r="CW117" s="179"/>
      <c r="CX117" s="179"/>
      <c r="CY117" s="179"/>
      <c r="CZ117" s="179"/>
      <c r="DA117" s="180"/>
      <c r="DB117" s="9"/>
      <c r="DC117" s="39"/>
      <c r="DD117" s="39"/>
      <c r="DE117" s="39"/>
      <c r="DF117" s="39"/>
      <c r="DG117" s="9"/>
      <c r="DH117" s="101"/>
      <c r="DI117" s="14"/>
      <c r="DJ117" s="14"/>
    </row>
    <row r="118" spans="1:114" ht="15" hidden="1" customHeight="1" x14ac:dyDescent="0.35">
      <c r="A118" s="1" t="s">
        <v>427</v>
      </c>
      <c r="B118" s="14" t="s">
        <v>428</v>
      </c>
      <c r="C118" s="14" t="s">
        <v>29</v>
      </c>
      <c r="D118" s="2">
        <v>6693</v>
      </c>
      <c r="E118" s="3">
        <v>208499</v>
      </c>
      <c r="F118" s="3" t="s">
        <v>429</v>
      </c>
      <c r="G118" s="52" t="s">
        <v>430</v>
      </c>
      <c r="H118" s="39">
        <v>20000000</v>
      </c>
      <c r="I118" s="39">
        <v>20000000</v>
      </c>
      <c r="J118" s="39"/>
      <c r="K118" s="39">
        <v>20000000</v>
      </c>
      <c r="L118" s="39">
        <f>H118-K118</f>
        <v>0</v>
      </c>
      <c r="M118" s="39"/>
      <c r="N118" s="39"/>
      <c r="O118" s="9">
        <f>L118/H118</f>
        <v>0</v>
      </c>
      <c r="P118" s="101">
        <v>44566</v>
      </c>
      <c r="Q118" s="14" t="s">
        <v>31</v>
      </c>
      <c r="R118" s="20"/>
      <c r="S118" s="39">
        <v>20000000</v>
      </c>
      <c r="T118" s="8">
        <f t="shared" ref="T118:T126" si="30">K118-S118</f>
        <v>0</v>
      </c>
      <c r="U118" s="14"/>
      <c r="V118" s="9">
        <v>0</v>
      </c>
      <c r="W118" s="101">
        <v>44594</v>
      </c>
      <c r="X118" s="14" t="s">
        <v>31</v>
      </c>
      <c r="Y118" s="20"/>
      <c r="Z118" s="14"/>
      <c r="AA118" s="57">
        <v>20000000</v>
      </c>
      <c r="AB118" s="57">
        <f t="shared" si="26"/>
        <v>0</v>
      </c>
      <c r="AC118" s="14"/>
      <c r="AD118" s="58">
        <v>0</v>
      </c>
      <c r="AE118" s="131">
        <v>44622</v>
      </c>
      <c r="AF118" s="14" t="s">
        <v>31</v>
      </c>
      <c r="AG118" s="20"/>
      <c r="AH118" s="9"/>
      <c r="AI118" s="39">
        <v>20000000</v>
      </c>
      <c r="AJ118" s="39">
        <f>AA118-AI118</f>
        <v>0</v>
      </c>
      <c r="AK118" s="39"/>
      <c r="AL118" s="39"/>
      <c r="AM118" s="9">
        <v>0</v>
      </c>
      <c r="AN118" s="102">
        <v>44659</v>
      </c>
      <c r="AO118" s="14" t="s">
        <v>31</v>
      </c>
      <c r="AP118" s="14"/>
      <c r="AQ118" s="58"/>
      <c r="AR118" s="39">
        <v>20000000</v>
      </c>
      <c r="AS118" s="39">
        <f>AI118-AR118</f>
        <v>0</v>
      </c>
      <c r="AT118" s="39"/>
      <c r="AU118" s="39"/>
      <c r="AV118" s="9">
        <v>0</v>
      </c>
      <c r="AW118" s="101">
        <v>44684</v>
      </c>
      <c r="AX118" s="14" t="s">
        <v>31</v>
      </c>
      <c r="AY118" s="14"/>
      <c r="AZ118" s="9"/>
      <c r="BA118" s="39">
        <v>20000000</v>
      </c>
      <c r="BB118" s="39">
        <f t="shared" si="29"/>
        <v>0</v>
      </c>
      <c r="BC118" s="39"/>
      <c r="BD118" s="39"/>
      <c r="BE118" s="9">
        <v>0</v>
      </c>
      <c r="BF118" s="101">
        <v>44715</v>
      </c>
      <c r="BG118" s="14" t="s">
        <v>31</v>
      </c>
      <c r="BH118" s="101">
        <v>44728</v>
      </c>
      <c r="BI118" s="9"/>
      <c r="BJ118" s="39">
        <v>20000000</v>
      </c>
      <c r="BK118" s="39">
        <f t="shared" si="27"/>
        <v>0</v>
      </c>
      <c r="BL118" s="39"/>
      <c r="BM118" s="39"/>
      <c r="BN118" s="9">
        <v>0</v>
      </c>
      <c r="BO118" s="101">
        <v>44743</v>
      </c>
      <c r="BP118" s="14" t="s">
        <v>31</v>
      </c>
      <c r="BQ118" s="101">
        <v>44757</v>
      </c>
      <c r="BR118" s="9"/>
      <c r="BS118" s="39">
        <v>20000000</v>
      </c>
      <c r="BT118" s="39">
        <f t="shared" si="28"/>
        <v>0</v>
      </c>
      <c r="BU118" s="39"/>
      <c r="BV118" s="39"/>
      <c r="BW118" s="9">
        <v>0</v>
      </c>
      <c r="BX118" s="101">
        <v>44774</v>
      </c>
      <c r="BY118" s="14" t="s">
        <v>31</v>
      </c>
      <c r="BZ118" s="14"/>
      <c r="CA118" s="9"/>
      <c r="CB118" s="39"/>
      <c r="CC118" s="39"/>
      <c r="CD118" s="39"/>
      <c r="CE118" s="39"/>
      <c r="CF118" s="9"/>
      <c r="CG118" s="101"/>
      <c r="CH118" s="14"/>
      <c r="CI118" s="14"/>
      <c r="CJ118" s="9"/>
      <c r="CK118" s="39"/>
      <c r="CL118" s="39"/>
      <c r="CM118" s="39"/>
      <c r="CN118" s="39"/>
      <c r="CO118" s="9"/>
      <c r="CP118" s="101"/>
      <c r="CQ118" s="14"/>
      <c r="CR118" s="14"/>
      <c r="CS118" s="39"/>
      <c r="CT118" s="39"/>
      <c r="CU118" s="39"/>
      <c r="CV118" s="39"/>
      <c r="CW118" s="39"/>
      <c r="CX118" s="39"/>
      <c r="CY118" s="39"/>
      <c r="CZ118" s="39"/>
      <c r="DA118" s="115"/>
      <c r="DB118" s="9"/>
      <c r="DC118" s="39"/>
      <c r="DD118" s="39"/>
      <c r="DE118" s="39"/>
      <c r="DF118" s="39"/>
      <c r="DG118" s="9"/>
      <c r="DH118" s="101"/>
      <c r="DI118" s="14"/>
      <c r="DJ118" s="14"/>
    </row>
    <row r="119" spans="1:114" ht="15" hidden="1" customHeight="1" x14ac:dyDescent="0.35">
      <c r="A119" s="1" t="s">
        <v>437</v>
      </c>
      <c r="B119" s="14" t="s">
        <v>438</v>
      </c>
      <c r="C119" s="14" t="s">
        <v>113</v>
      </c>
      <c r="D119" s="2">
        <v>6699</v>
      </c>
      <c r="E119" s="3">
        <v>207634</v>
      </c>
      <c r="F119" s="3" t="s">
        <v>439</v>
      </c>
      <c r="G119" s="52" t="s">
        <v>423</v>
      </c>
      <c r="H119" s="39">
        <v>22534695</v>
      </c>
      <c r="I119" s="39">
        <v>22534695</v>
      </c>
      <c r="J119" s="39"/>
      <c r="K119" s="39">
        <v>22534695</v>
      </c>
      <c r="L119" s="39">
        <f>H119-K119</f>
        <v>0</v>
      </c>
      <c r="M119" s="39"/>
      <c r="N119" s="39"/>
      <c r="O119" s="9">
        <v>0</v>
      </c>
      <c r="P119" s="102">
        <v>44564</v>
      </c>
      <c r="Q119" s="3" t="s">
        <v>31</v>
      </c>
      <c r="R119" s="20"/>
      <c r="S119" s="39">
        <v>22534695</v>
      </c>
      <c r="T119" s="8">
        <f t="shared" si="30"/>
        <v>0</v>
      </c>
      <c r="U119" s="14"/>
      <c r="V119" s="9">
        <v>0</v>
      </c>
      <c r="W119" s="101">
        <v>44595</v>
      </c>
      <c r="X119" s="14" t="s">
        <v>31</v>
      </c>
      <c r="Y119" s="20"/>
      <c r="Z119" s="14"/>
      <c r="AA119" s="57">
        <v>22534695</v>
      </c>
      <c r="AB119" s="57">
        <f t="shared" si="26"/>
        <v>0</v>
      </c>
      <c r="AC119" s="14"/>
      <c r="AD119" s="58">
        <v>0</v>
      </c>
      <c r="AE119" s="131">
        <v>44621</v>
      </c>
      <c r="AF119" s="14" t="s">
        <v>31</v>
      </c>
      <c r="AG119" s="20"/>
      <c r="AH119" s="67"/>
      <c r="AI119" s="39">
        <v>23735795</v>
      </c>
      <c r="AJ119" s="39"/>
      <c r="AK119" s="39">
        <f>AA119-AI119</f>
        <v>-1201100</v>
      </c>
      <c r="AL119" s="39"/>
      <c r="AM119" s="9">
        <f>AK119/AA119</f>
        <v>-5.3300033570456581E-2</v>
      </c>
      <c r="AN119" s="101">
        <v>44655</v>
      </c>
      <c r="AO119" s="14" t="s">
        <v>31</v>
      </c>
      <c r="AP119" s="14"/>
      <c r="AQ119" s="58"/>
      <c r="AR119" s="39">
        <v>23735795</v>
      </c>
      <c r="AS119" s="39">
        <f>AI119-AR119</f>
        <v>0</v>
      </c>
      <c r="AT119" s="39"/>
      <c r="AU119" s="39"/>
      <c r="AV119" s="9">
        <v>0</v>
      </c>
      <c r="AW119" s="101">
        <v>44683</v>
      </c>
      <c r="AX119" s="14" t="s">
        <v>31</v>
      </c>
      <c r="AY119" s="14"/>
      <c r="AZ119" s="9"/>
      <c r="BA119" s="39">
        <v>23735795</v>
      </c>
      <c r="BB119" s="39">
        <f t="shared" si="29"/>
        <v>0</v>
      </c>
      <c r="BC119" s="39"/>
      <c r="BD119" s="39"/>
      <c r="BE119" s="9">
        <v>0</v>
      </c>
      <c r="BF119" s="101">
        <v>44713</v>
      </c>
      <c r="BG119" s="14" t="s">
        <v>31</v>
      </c>
      <c r="BH119" s="101">
        <v>44728</v>
      </c>
      <c r="BI119" s="9"/>
      <c r="BJ119" s="39">
        <v>23735795</v>
      </c>
      <c r="BK119" s="39">
        <f t="shared" si="27"/>
        <v>0</v>
      </c>
      <c r="BL119" s="39"/>
      <c r="BM119" s="39"/>
      <c r="BN119" s="9">
        <v>0</v>
      </c>
      <c r="BO119" s="101">
        <v>44743</v>
      </c>
      <c r="BP119" s="14" t="s">
        <v>31</v>
      </c>
      <c r="BQ119" s="101">
        <v>44757</v>
      </c>
      <c r="BR119" s="9"/>
      <c r="BS119" s="39">
        <v>23735795</v>
      </c>
      <c r="BT119" s="39">
        <f t="shared" si="28"/>
        <v>0</v>
      </c>
      <c r="BU119" s="39"/>
      <c r="BV119" s="39"/>
      <c r="BW119" s="9">
        <v>0</v>
      </c>
      <c r="BX119" s="101">
        <v>44774</v>
      </c>
      <c r="BY119" s="14" t="s">
        <v>31</v>
      </c>
      <c r="BZ119" s="14"/>
      <c r="CA119" s="9"/>
      <c r="CB119" s="39"/>
      <c r="CC119" s="39"/>
      <c r="CD119" s="39"/>
      <c r="CE119" s="39"/>
      <c r="CF119" s="9"/>
      <c r="CG119" s="101"/>
      <c r="CH119" s="14"/>
      <c r="CI119" s="14"/>
      <c r="CJ119" s="9"/>
      <c r="CK119" s="40"/>
      <c r="CL119" s="39"/>
      <c r="CM119" s="39"/>
      <c r="CN119" s="39"/>
      <c r="CO119" s="9"/>
      <c r="CP119" s="101"/>
      <c r="CQ119" s="14"/>
      <c r="CR119" s="14"/>
      <c r="CS119" s="39"/>
      <c r="CT119" s="39"/>
      <c r="CU119" s="39"/>
      <c r="CV119" s="39"/>
      <c r="CW119" s="39"/>
      <c r="CX119" s="39"/>
      <c r="CY119" s="103"/>
      <c r="CZ119" s="39"/>
      <c r="DA119" s="115"/>
      <c r="DB119" s="9"/>
      <c r="DC119" s="39"/>
      <c r="DD119" s="39"/>
      <c r="DE119" s="39"/>
      <c r="DF119" s="39"/>
      <c r="DG119" s="9"/>
      <c r="DH119" s="101"/>
      <c r="DI119" s="14"/>
      <c r="DJ119" s="14"/>
    </row>
    <row r="120" spans="1:114" ht="15" hidden="1" customHeight="1" x14ac:dyDescent="0.35">
      <c r="A120" s="1" t="s">
        <v>440</v>
      </c>
      <c r="B120" s="14" t="s">
        <v>441</v>
      </c>
      <c r="C120" s="14" t="s">
        <v>29</v>
      </c>
      <c r="D120" s="2">
        <v>6700</v>
      </c>
      <c r="E120" s="3">
        <v>207634</v>
      </c>
      <c r="F120" s="3" t="s">
        <v>442</v>
      </c>
      <c r="G120" s="52" t="s">
        <v>423</v>
      </c>
      <c r="H120" s="39">
        <v>4606956</v>
      </c>
      <c r="I120" s="39">
        <v>4280762</v>
      </c>
      <c r="J120" s="39"/>
      <c r="K120" s="39">
        <v>4280762</v>
      </c>
      <c r="L120" s="39">
        <f>I120-K120</f>
        <v>0</v>
      </c>
      <c r="M120" s="39"/>
      <c r="N120" s="39"/>
      <c r="O120" s="9">
        <v>0</v>
      </c>
      <c r="P120" s="102">
        <v>44564</v>
      </c>
      <c r="Q120" s="3" t="s">
        <v>31</v>
      </c>
      <c r="R120" s="20"/>
      <c r="S120" s="39">
        <v>4606956</v>
      </c>
      <c r="T120" s="8">
        <f t="shared" si="30"/>
        <v>-326194</v>
      </c>
      <c r="U120" s="14"/>
      <c r="V120" s="9">
        <f>T120/K120</f>
        <v>-7.6199984955949429E-2</v>
      </c>
      <c r="W120" s="101">
        <v>44595</v>
      </c>
      <c r="X120" s="14" t="s">
        <v>31</v>
      </c>
      <c r="Y120" s="20"/>
      <c r="Z120" s="14"/>
      <c r="AA120" s="57">
        <v>4606956</v>
      </c>
      <c r="AB120" s="57">
        <f t="shared" si="26"/>
        <v>0</v>
      </c>
      <c r="AC120" s="14"/>
      <c r="AD120" s="58">
        <v>0</v>
      </c>
      <c r="AE120" s="131">
        <v>44621</v>
      </c>
      <c r="AF120" s="14" t="s">
        <v>31</v>
      </c>
      <c r="AG120" s="20"/>
      <c r="AH120" s="67"/>
      <c r="AI120" s="39">
        <v>4606956</v>
      </c>
      <c r="AJ120" s="39">
        <f t="shared" ref="AJ120:AJ130" si="31">AA120-AI120</f>
        <v>0</v>
      </c>
      <c r="AK120" s="39"/>
      <c r="AL120" s="39"/>
      <c r="AM120" s="9">
        <v>0</v>
      </c>
      <c r="AN120" s="101">
        <v>44655</v>
      </c>
      <c r="AO120" s="14" t="s">
        <v>31</v>
      </c>
      <c r="AP120" s="14"/>
      <c r="AQ120" s="58"/>
      <c r="AR120" s="39">
        <v>4606956</v>
      </c>
      <c r="AS120" s="39">
        <f>AI120-AR120</f>
        <v>0</v>
      </c>
      <c r="AT120" s="39"/>
      <c r="AU120" s="39"/>
      <c r="AV120" s="9">
        <v>0</v>
      </c>
      <c r="AW120" s="101">
        <v>44683</v>
      </c>
      <c r="AX120" s="14" t="s">
        <v>31</v>
      </c>
      <c r="AY120" s="14"/>
      <c r="AZ120" s="9"/>
      <c r="BA120" s="39">
        <v>4606956</v>
      </c>
      <c r="BB120" s="39">
        <f t="shared" si="29"/>
        <v>0</v>
      </c>
      <c r="BC120" s="39"/>
      <c r="BD120" s="39"/>
      <c r="BE120" s="9">
        <v>0</v>
      </c>
      <c r="BF120" s="101">
        <v>44713</v>
      </c>
      <c r="BG120" s="14" t="s">
        <v>31</v>
      </c>
      <c r="BH120" s="101">
        <v>44728</v>
      </c>
      <c r="BI120" s="9"/>
      <c r="BJ120" s="39">
        <v>4606956</v>
      </c>
      <c r="BK120" s="39">
        <f t="shared" si="27"/>
        <v>0</v>
      </c>
      <c r="BL120" s="39"/>
      <c r="BM120" s="39"/>
      <c r="BN120" s="9">
        <v>0</v>
      </c>
      <c r="BO120" s="101">
        <v>44743</v>
      </c>
      <c r="BP120" s="14" t="s">
        <v>31</v>
      </c>
      <c r="BQ120" s="101">
        <v>44757</v>
      </c>
      <c r="BR120" s="9"/>
      <c r="BS120" s="39">
        <v>4606956</v>
      </c>
      <c r="BT120" s="39">
        <f t="shared" si="28"/>
        <v>0</v>
      </c>
      <c r="BU120" s="39"/>
      <c r="BV120" s="39"/>
      <c r="BW120" s="9">
        <v>0</v>
      </c>
      <c r="BX120" s="101">
        <v>44774</v>
      </c>
      <c r="BY120" s="14" t="s">
        <v>31</v>
      </c>
      <c r="BZ120" s="14"/>
      <c r="CA120" s="9"/>
      <c r="CB120" s="39"/>
      <c r="CC120" s="39"/>
      <c r="CD120" s="39"/>
      <c r="CE120" s="39"/>
      <c r="CF120" s="9"/>
      <c r="CG120" s="101"/>
      <c r="CH120" s="14"/>
      <c r="CI120" s="14"/>
      <c r="CJ120" s="9"/>
      <c r="CK120" s="39"/>
      <c r="CL120" s="39"/>
      <c r="CM120" s="39"/>
      <c r="CN120" s="39"/>
      <c r="CO120" s="9"/>
      <c r="CP120" s="101"/>
      <c r="CQ120" s="14"/>
      <c r="CR120" s="14"/>
      <c r="CS120" s="39"/>
      <c r="CT120" s="39"/>
      <c r="CU120" s="39"/>
      <c r="CV120" s="39"/>
      <c r="CW120" s="39"/>
      <c r="CX120" s="39"/>
      <c r="CY120" s="103"/>
      <c r="CZ120" s="39"/>
      <c r="DA120" s="115"/>
      <c r="DB120" s="9"/>
      <c r="DC120" s="39"/>
      <c r="DD120" s="39"/>
      <c r="DE120" s="39"/>
      <c r="DF120" s="39"/>
      <c r="DG120" s="9"/>
      <c r="DH120" s="101"/>
      <c r="DI120" s="14"/>
      <c r="DJ120" s="14"/>
    </row>
    <row r="121" spans="1:114" ht="15" hidden="1" customHeight="1" x14ac:dyDescent="0.35">
      <c r="A121" s="1" t="s">
        <v>443</v>
      </c>
      <c r="B121" s="14" t="s">
        <v>444</v>
      </c>
      <c r="C121" s="14" t="s">
        <v>29</v>
      </c>
      <c r="D121" s="2">
        <v>6701</v>
      </c>
      <c r="E121" s="3">
        <v>204603</v>
      </c>
      <c r="F121" s="3" t="s">
        <v>445</v>
      </c>
      <c r="G121" s="52" t="s">
        <v>446</v>
      </c>
      <c r="H121" s="39">
        <v>11992000</v>
      </c>
      <c r="I121" s="39">
        <v>11354000</v>
      </c>
      <c r="J121" s="39"/>
      <c r="K121" s="39">
        <v>11354000</v>
      </c>
      <c r="L121" s="39">
        <f>I121-K121</f>
        <v>0</v>
      </c>
      <c r="M121" s="39"/>
      <c r="N121" s="39"/>
      <c r="O121" s="9">
        <v>0</v>
      </c>
      <c r="P121" s="102">
        <v>44200</v>
      </c>
      <c r="Q121" s="3" t="s">
        <v>31</v>
      </c>
      <c r="R121" s="20"/>
      <c r="S121" s="39">
        <v>11354000</v>
      </c>
      <c r="T121" s="8">
        <f t="shared" si="30"/>
        <v>0</v>
      </c>
      <c r="U121" s="14"/>
      <c r="V121" s="9">
        <v>0</v>
      </c>
      <c r="W121" s="101">
        <v>44595</v>
      </c>
      <c r="X121" s="14" t="s">
        <v>31</v>
      </c>
      <c r="Y121" s="20"/>
      <c r="Z121" s="14"/>
      <c r="AA121" s="57">
        <v>11354000</v>
      </c>
      <c r="AB121" s="57">
        <f t="shared" si="26"/>
        <v>0</v>
      </c>
      <c r="AC121" s="14"/>
      <c r="AD121" s="58">
        <v>0</v>
      </c>
      <c r="AE121" s="101">
        <v>44624</v>
      </c>
      <c r="AF121" s="14" t="s">
        <v>31</v>
      </c>
      <c r="AG121" s="20"/>
      <c r="AH121" s="14"/>
      <c r="AI121" s="39">
        <v>11354000</v>
      </c>
      <c r="AJ121" s="39">
        <f t="shared" si="31"/>
        <v>0</v>
      </c>
      <c r="AK121" s="39"/>
      <c r="AL121" s="39"/>
      <c r="AM121" s="9">
        <v>0</v>
      </c>
      <c r="AN121" s="101">
        <v>44655</v>
      </c>
      <c r="AO121" s="14" t="s">
        <v>31</v>
      </c>
      <c r="AP121" s="14"/>
      <c r="AQ121" s="58"/>
      <c r="AR121" s="39">
        <v>11992000</v>
      </c>
      <c r="AS121" s="39"/>
      <c r="AT121" s="39">
        <f>AI121-AR121</f>
        <v>-638000</v>
      </c>
      <c r="AU121" s="39"/>
      <c r="AV121" s="9">
        <f>AT121/AI121</f>
        <v>-5.6191650519640653E-2</v>
      </c>
      <c r="AW121" s="101">
        <v>44683</v>
      </c>
      <c r="AX121" s="14" t="s">
        <v>31</v>
      </c>
      <c r="AY121" s="14"/>
      <c r="AZ121" s="9"/>
      <c r="BA121" s="39">
        <v>11992000</v>
      </c>
      <c r="BB121" s="39">
        <f t="shared" si="29"/>
        <v>0</v>
      </c>
      <c r="BC121" s="39"/>
      <c r="BD121" s="39"/>
      <c r="BE121" s="9">
        <v>0</v>
      </c>
      <c r="BF121" s="101">
        <v>44713</v>
      </c>
      <c r="BG121" s="14" t="s">
        <v>31</v>
      </c>
      <c r="BH121" s="101">
        <v>44728</v>
      </c>
      <c r="BI121" s="9"/>
      <c r="BJ121" s="39">
        <v>11992000</v>
      </c>
      <c r="BK121" s="39">
        <f t="shared" si="27"/>
        <v>0</v>
      </c>
      <c r="BL121" s="39"/>
      <c r="BM121" s="39"/>
      <c r="BN121" s="9">
        <v>0</v>
      </c>
      <c r="BO121" s="101">
        <v>44747</v>
      </c>
      <c r="BP121" s="14" t="s">
        <v>31</v>
      </c>
      <c r="BQ121" s="101">
        <v>44757</v>
      </c>
      <c r="BR121" s="9"/>
      <c r="BS121" s="39">
        <v>11992000</v>
      </c>
      <c r="BT121" s="39">
        <f t="shared" si="28"/>
        <v>0</v>
      </c>
      <c r="BU121" s="39"/>
      <c r="BV121" s="39"/>
      <c r="BW121" s="9">
        <v>0</v>
      </c>
      <c r="BX121" s="101">
        <v>44775</v>
      </c>
      <c r="BY121" s="14" t="s">
        <v>31</v>
      </c>
      <c r="BZ121" s="14"/>
      <c r="CA121" s="9"/>
      <c r="CB121" s="39"/>
      <c r="CC121" s="39"/>
      <c r="CD121" s="39"/>
      <c r="CE121" s="39"/>
      <c r="CF121" s="9"/>
      <c r="CG121" s="101"/>
      <c r="CH121" s="14"/>
      <c r="CI121" s="14"/>
      <c r="CJ121" s="9"/>
      <c r="CK121" s="39"/>
      <c r="CL121" s="39"/>
      <c r="CM121" s="39"/>
      <c r="CN121" s="39"/>
      <c r="CO121" s="9"/>
      <c r="CP121" s="101"/>
      <c r="CQ121" s="14"/>
      <c r="CR121" s="14"/>
      <c r="CS121" s="39"/>
      <c r="CT121" s="39"/>
      <c r="CU121" s="39"/>
      <c r="CV121" s="39"/>
      <c r="CW121" s="39"/>
      <c r="CX121" s="39"/>
      <c r="CY121" s="103"/>
      <c r="CZ121" s="39"/>
      <c r="DA121" s="115"/>
      <c r="DB121" s="9"/>
      <c r="DC121" s="39"/>
      <c r="DD121" s="39"/>
      <c r="DE121" s="39"/>
      <c r="DF121" s="39"/>
      <c r="DG121" s="9"/>
      <c r="DH121" s="101"/>
      <c r="DI121" s="14"/>
      <c r="DJ121" s="14"/>
    </row>
    <row r="122" spans="1:114" ht="15" hidden="1" customHeight="1" x14ac:dyDescent="0.35">
      <c r="A122" s="1" t="s">
        <v>447</v>
      </c>
      <c r="B122" s="14" t="s">
        <v>448</v>
      </c>
      <c r="C122" s="14" t="s">
        <v>449</v>
      </c>
      <c r="D122" s="2">
        <v>6711</v>
      </c>
      <c r="E122" s="3">
        <v>204551</v>
      </c>
      <c r="F122" s="3" t="s">
        <v>450</v>
      </c>
      <c r="G122" s="52">
        <v>8110355281</v>
      </c>
      <c r="H122" s="39">
        <v>9132004</v>
      </c>
      <c r="I122" s="39">
        <v>8485415</v>
      </c>
      <c r="J122" s="39"/>
      <c r="K122" s="39">
        <v>8485415</v>
      </c>
      <c r="L122" s="39">
        <f>I122-K122</f>
        <v>0</v>
      </c>
      <c r="M122" s="39"/>
      <c r="N122" s="39"/>
      <c r="O122" s="9">
        <v>0</v>
      </c>
      <c r="P122" s="102">
        <v>44564</v>
      </c>
      <c r="Q122" s="3" t="s">
        <v>31</v>
      </c>
      <c r="R122" s="20"/>
      <c r="S122" s="39">
        <v>8485415</v>
      </c>
      <c r="T122" s="8">
        <f t="shared" si="30"/>
        <v>0</v>
      </c>
      <c r="U122" s="14"/>
      <c r="V122" s="9">
        <v>0</v>
      </c>
      <c r="W122" s="102">
        <v>44596</v>
      </c>
      <c r="X122" s="14" t="s">
        <v>31</v>
      </c>
      <c r="Y122" s="20"/>
      <c r="Z122" s="67"/>
      <c r="AA122" s="57">
        <v>8485415</v>
      </c>
      <c r="AB122" s="57">
        <f t="shared" si="26"/>
        <v>0</v>
      </c>
      <c r="AC122" s="14"/>
      <c r="AD122" s="58">
        <v>0</v>
      </c>
      <c r="AE122" s="131">
        <v>44622</v>
      </c>
      <c r="AF122" s="14" t="s">
        <v>31</v>
      </c>
      <c r="AG122" s="20"/>
      <c r="AH122" s="67"/>
      <c r="AI122" s="39">
        <v>8485415</v>
      </c>
      <c r="AJ122" s="39">
        <f t="shared" si="31"/>
        <v>0</v>
      </c>
      <c r="AK122" s="39"/>
      <c r="AL122" s="39"/>
      <c r="AM122" s="9">
        <v>0</v>
      </c>
      <c r="AN122" s="101">
        <v>44656</v>
      </c>
      <c r="AO122" s="14" t="s">
        <v>31</v>
      </c>
      <c r="AP122" s="14"/>
      <c r="AQ122" s="58"/>
      <c r="AR122" s="39">
        <v>8485415</v>
      </c>
      <c r="AS122" s="39">
        <f t="shared" ref="AS122:AS130" si="32">AI122-AR122</f>
        <v>0</v>
      </c>
      <c r="AT122" s="39"/>
      <c r="AU122" s="39"/>
      <c r="AV122" s="9">
        <v>0</v>
      </c>
      <c r="AW122" s="101">
        <v>44686</v>
      </c>
      <c r="AX122" s="14" t="s">
        <v>31</v>
      </c>
      <c r="AY122" s="14"/>
      <c r="AZ122" s="9"/>
      <c r="BA122" s="39">
        <v>8485415</v>
      </c>
      <c r="BB122" s="39">
        <f t="shared" si="29"/>
        <v>0</v>
      </c>
      <c r="BC122" s="39"/>
      <c r="BD122" s="39"/>
      <c r="BE122" s="9">
        <v>0</v>
      </c>
      <c r="BF122" s="101">
        <v>44715</v>
      </c>
      <c r="BG122" s="14" t="s">
        <v>31</v>
      </c>
      <c r="BH122" s="101">
        <v>44728</v>
      </c>
      <c r="BI122" s="9"/>
      <c r="BJ122" s="39">
        <v>8485415</v>
      </c>
      <c r="BK122" s="39">
        <f t="shared" si="27"/>
        <v>0</v>
      </c>
      <c r="BL122" s="39"/>
      <c r="BM122" s="39"/>
      <c r="BN122" s="9">
        <v>0</v>
      </c>
      <c r="BO122" s="101">
        <v>44747</v>
      </c>
      <c r="BP122" s="14" t="s">
        <v>31</v>
      </c>
      <c r="BQ122" s="101">
        <v>44757</v>
      </c>
      <c r="BR122" s="9"/>
      <c r="BS122" s="39">
        <v>9132004</v>
      </c>
      <c r="BT122" s="39"/>
      <c r="BU122" s="39">
        <f>BS122-BJ122</f>
        <v>646589</v>
      </c>
      <c r="BV122" s="39"/>
      <c r="BW122" s="9">
        <f>BU122/BJ122</f>
        <v>7.6200044429176411E-2</v>
      </c>
      <c r="BX122" s="101">
        <v>44777</v>
      </c>
      <c r="BY122" s="14" t="s">
        <v>31</v>
      </c>
      <c r="BZ122" s="14"/>
      <c r="CA122" s="9"/>
      <c r="CB122" s="39"/>
      <c r="CC122" s="39"/>
      <c r="CD122" s="39"/>
      <c r="CE122" s="39"/>
      <c r="CF122" s="9"/>
      <c r="CG122" s="101"/>
      <c r="CH122" s="14"/>
      <c r="CI122" s="14"/>
      <c r="CJ122" s="9"/>
      <c r="CK122" s="39"/>
      <c r="CL122" s="39"/>
      <c r="CM122" s="39"/>
      <c r="CN122" s="39"/>
      <c r="CO122" s="9"/>
      <c r="CP122" s="101"/>
      <c r="CQ122" s="14"/>
      <c r="CR122" s="14"/>
      <c r="CS122" s="39"/>
      <c r="CT122" s="39"/>
      <c r="CU122" s="39"/>
      <c r="CV122" s="39"/>
      <c r="CW122" s="39"/>
      <c r="CX122" s="39"/>
      <c r="CY122" s="39"/>
      <c r="CZ122" s="39"/>
      <c r="DA122" s="115"/>
      <c r="DB122" s="9"/>
      <c r="DC122" s="39"/>
      <c r="DD122" s="39"/>
      <c r="DE122" s="39"/>
      <c r="DF122" s="39"/>
      <c r="DG122" s="9"/>
      <c r="DH122" s="101"/>
      <c r="DI122" s="14"/>
      <c r="DJ122" s="14"/>
    </row>
    <row r="123" spans="1:114" hidden="1" x14ac:dyDescent="0.35">
      <c r="A123" s="1" t="s">
        <v>451</v>
      </c>
      <c r="B123" s="14" t="s">
        <v>452</v>
      </c>
      <c r="C123" s="14" t="s">
        <v>60</v>
      </c>
      <c r="D123" s="2">
        <v>6714</v>
      </c>
      <c r="E123" s="3">
        <v>204634</v>
      </c>
      <c r="F123" s="3" t="s">
        <v>453</v>
      </c>
      <c r="G123" s="52" t="s">
        <v>454</v>
      </c>
      <c r="H123" s="39">
        <v>9689768</v>
      </c>
      <c r="I123" s="39">
        <v>8677145</v>
      </c>
      <c r="J123" s="39"/>
      <c r="K123" s="39">
        <v>8677145</v>
      </c>
      <c r="L123" s="39">
        <f>I123-K123</f>
        <v>0</v>
      </c>
      <c r="M123" s="39"/>
      <c r="N123" s="39"/>
      <c r="O123" s="9">
        <v>0</v>
      </c>
      <c r="P123" s="101">
        <v>44578</v>
      </c>
      <c r="Q123" s="3" t="s">
        <v>31</v>
      </c>
      <c r="R123" s="20"/>
      <c r="S123" s="39">
        <v>8677145</v>
      </c>
      <c r="T123" s="8">
        <f t="shared" si="30"/>
        <v>0</v>
      </c>
      <c r="U123" s="14"/>
      <c r="V123" s="9">
        <v>0</v>
      </c>
      <c r="W123" s="102">
        <v>44596</v>
      </c>
      <c r="X123" s="14" t="s">
        <v>31</v>
      </c>
      <c r="Y123" s="20"/>
      <c r="Z123" s="14"/>
      <c r="AA123" s="57">
        <v>8677145</v>
      </c>
      <c r="AB123" s="57">
        <f t="shared" si="26"/>
        <v>0</v>
      </c>
      <c r="AC123" s="14"/>
      <c r="AD123" s="58">
        <v>0</v>
      </c>
      <c r="AE123" s="101">
        <v>44624</v>
      </c>
      <c r="AF123" s="14" t="s">
        <v>31</v>
      </c>
      <c r="AG123" s="20"/>
      <c r="AH123" s="14"/>
      <c r="AI123" s="39">
        <v>8677145</v>
      </c>
      <c r="AJ123" s="39">
        <f t="shared" si="31"/>
        <v>0</v>
      </c>
      <c r="AK123" s="39"/>
      <c r="AL123" s="39"/>
      <c r="AM123" s="9">
        <v>0</v>
      </c>
      <c r="AN123" s="102">
        <v>44659</v>
      </c>
      <c r="AO123" s="14" t="s">
        <v>31</v>
      </c>
      <c r="AP123" s="14"/>
      <c r="AQ123" s="58"/>
      <c r="AR123" s="39">
        <v>8677145</v>
      </c>
      <c r="AS123" s="39">
        <f t="shared" si="32"/>
        <v>0</v>
      </c>
      <c r="AT123" s="39"/>
      <c r="AU123" s="39"/>
      <c r="AV123" s="9">
        <v>0</v>
      </c>
      <c r="AW123" s="101">
        <v>44686</v>
      </c>
      <c r="AX123" s="14" t="s">
        <v>31</v>
      </c>
      <c r="AY123" s="14"/>
      <c r="AZ123" s="9"/>
      <c r="BA123" s="39">
        <v>8677145</v>
      </c>
      <c r="BB123" s="39">
        <f>AR123-BA123</f>
        <v>0</v>
      </c>
      <c r="BC123" s="39"/>
      <c r="BD123" s="39"/>
      <c r="BE123" s="9">
        <v>0</v>
      </c>
      <c r="BF123" s="101">
        <v>44719</v>
      </c>
      <c r="BG123" s="14" t="s">
        <v>31</v>
      </c>
      <c r="BH123" s="101">
        <v>44728</v>
      </c>
      <c r="BI123" s="9"/>
      <c r="BJ123" s="39">
        <v>9656014</v>
      </c>
      <c r="BK123" s="39"/>
      <c r="BL123" s="39">
        <f>BA123-BJ123</f>
        <v>-978869</v>
      </c>
      <c r="BM123" s="39"/>
      <c r="BN123" s="9">
        <f>BL123/BA123</f>
        <v>-0.1128100314101009</v>
      </c>
      <c r="BO123" s="101">
        <v>44760</v>
      </c>
      <c r="BP123" s="14" t="s">
        <v>31</v>
      </c>
      <c r="BQ123" s="101">
        <v>44770</v>
      </c>
      <c r="BR123" s="9"/>
      <c r="BS123" s="39">
        <v>9689768</v>
      </c>
      <c r="BT123" s="39"/>
      <c r="BU123" s="39">
        <f>BS123-BJ123</f>
        <v>33754</v>
      </c>
      <c r="BV123" s="39"/>
      <c r="BW123" s="9">
        <f>BU123/BJ123</f>
        <v>3.4956453045739164E-3</v>
      </c>
      <c r="BX123" s="101">
        <v>44778</v>
      </c>
      <c r="BY123" s="14" t="s">
        <v>31</v>
      </c>
      <c r="BZ123" s="14"/>
      <c r="CA123" s="9"/>
      <c r="CB123" s="39"/>
      <c r="CC123" s="39"/>
      <c r="CD123" s="39"/>
      <c r="CE123" s="39"/>
      <c r="CF123" s="9"/>
      <c r="CG123" s="101"/>
      <c r="CH123" s="14"/>
      <c r="CI123" s="14"/>
      <c r="CJ123" s="9"/>
      <c r="CK123" s="39"/>
      <c r="CL123" s="39"/>
      <c r="CM123" s="39"/>
      <c r="CN123" s="39"/>
      <c r="CO123" s="9"/>
      <c r="CP123" s="101"/>
      <c r="CQ123" s="14"/>
      <c r="CR123" s="14"/>
      <c r="CS123" s="39"/>
      <c r="CT123" s="39"/>
      <c r="CU123" s="39"/>
      <c r="CV123" s="39"/>
      <c r="CW123" s="39"/>
      <c r="CX123" s="39"/>
      <c r="CY123" s="101"/>
      <c r="CZ123" s="14"/>
      <c r="DA123" s="115"/>
      <c r="DB123" s="9"/>
      <c r="DC123" s="39"/>
      <c r="DD123" s="39"/>
      <c r="DE123" s="39"/>
      <c r="DF123" s="39"/>
      <c r="DG123" s="9"/>
      <c r="DH123" s="101"/>
      <c r="DI123" s="14"/>
      <c r="DJ123" s="14"/>
    </row>
    <row r="124" spans="1:114" ht="15" hidden="1" customHeight="1" x14ac:dyDescent="0.35">
      <c r="A124" s="1" t="s">
        <v>455</v>
      </c>
      <c r="B124" s="14" t="s">
        <v>456</v>
      </c>
      <c r="C124" s="14" t="s">
        <v>457</v>
      </c>
      <c r="D124" s="2">
        <v>6715</v>
      </c>
      <c r="E124" s="3">
        <v>204523</v>
      </c>
      <c r="F124" s="3" t="s">
        <v>458</v>
      </c>
      <c r="G124" s="52" t="s">
        <v>459</v>
      </c>
      <c r="H124" s="39">
        <v>12961261</v>
      </c>
      <c r="I124" s="39">
        <v>12961261</v>
      </c>
      <c r="J124" s="39"/>
      <c r="K124" s="39">
        <v>12961261</v>
      </c>
      <c r="L124" s="39">
        <f>H124-K124</f>
        <v>0</v>
      </c>
      <c r="M124" s="39"/>
      <c r="N124" s="39"/>
      <c r="O124" s="9">
        <v>0</v>
      </c>
      <c r="P124" s="102">
        <v>44564</v>
      </c>
      <c r="Q124" s="3" t="s">
        <v>31</v>
      </c>
      <c r="R124" s="20"/>
      <c r="S124" s="39">
        <v>12961261</v>
      </c>
      <c r="T124" s="8">
        <f t="shared" si="30"/>
        <v>0</v>
      </c>
      <c r="U124" s="14"/>
      <c r="V124" s="9">
        <v>0</v>
      </c>
      <c r="W124" s="102">
        <v>44596</v>
      </c>
      <c r="X124" s="14" t="s">
        <v>31</v>
      </c>
      <c r="Y124" s="20"/>
      <c r="Z124" s="14"/>
      <c r="AA124" s="57">
        <v>12961261</v>
      </c>
      <c r="AB124" s="57">
        <f t="shared" si="26"/>
        <v>0</v>
      </c>
      <c r="AC124" s="14"/>
      <c r="AD124" s="58">
        <v>0</v>
      </c>
      <c r="AE124" s="131">
        <v>44622</v>
      </c>
      <c r="AF124" s="14" t="s">
        <v>31</v>
      </c>
      <c r="AG124" s="20"/>
      <c r="AH124" s="14"/>
      <c r="AI124" s="39">
        <v>12961261</v>
      </c>
      <c r="AJ124" s="39">
        <f t="shared" si="31"/>
        <v>0</v>
      </c>
      <c r="AK124" s="39"/>
      <c r="AL124" s="39"/>
      <c r="AM124" s="9">
        <v>0</v>
      </c>
      <c r="AN124" s="101">
        <v>44656</v>
      </c>
      <c r="AO124" s="14" t="s">
        <v>31</v>
      </c>
      <c r="AP124" s="14"/>
      <c r="AQ124" s="58"/>
      <c r="AR124" s="39">
        <v>12961261</v>
      </c>
      <c r="AS124" s="39">
        <f t="shared" si="32"/>
        <v>0</v>
      </c>
      <c r="AT124" s="39"/>
      <c r="AU124" s="39"/>
      <c r="AV124" s="9">
        <v>0</v>
      </c>
      <c r="AW124" s="101">
        <v>44683</v>
      </c>
      <c r="AX124" s="14" t="s">
        <v>31</v>
      </c>
      <c r="AY124" s="14"/>
      <c r="AZ124" s="9"/>
      <c r="BA124" s="39">
        <v>12961261</v>
      </c>
      <c r="BB124" s="39">
        <f>AR124-BA124</f>
        <v>0</v>
      </c>
      <c r="BC124" s="39"/>
      <c r="BD124" s="39"/>
      <c r="BE124" s="9">
        <v>0</v>
      </c>
      <c r="BF124" s="101">
        <v>44715</v>
      </c>
      <c r="BG124" s="14" t="s">
        <v>31</v>
      </c>
      <c r="BH124" s="101">
        <v>44728</v>
      </c>
      <c r="BI124" s="9"/>
      <c r="BJ124" s="39">
        <v>12961261</v>
      </c>
      <c r="BK124" s="39">
        <f>BA124-BJ124</f>
        <v>0</v>
      </c>
      <c r="BL124" s="39"/>
      <c r="BM124" s="39"/>
      <c r="BN124" s="9">
        <v>0</v>
      </c>
      <c r="BO124" s="101">
        <v>44747</v>
      </c>
      <c r="BP124" s="14" t="s">
        <v>31</v>
      </c>
      <c r="BQ124" s="101">
        <v>44757</v>
      </c>
      <c r="BR124" s="9"/>
      <c r="BS124" s="39">
        <v>12961261</v>
      </c>
      <c r="BT124" s="39">
        <f>BJ124-BS124</f>
        <v>0</v>
      </c>
      <c r="BU124" s="39"/>
      <c r="BV124" s="39"/>
      <c r="BW124" s="9">
        <v>0</v>
      </c>
      <c r="BX124" s="101">
        <v>44777</v>
      </c>
      <c r="BY124" s="14" t="s">
        <v>31</v>
      </c>
      <c r="BZ124" s="14"/>
      <c r="CA124" s="9"/>
      <c r="CB124" s="39"/>
      <c r="CC124" s="39"/>
      <c r="CD124" s="39"/>
      <c r="CE124" s="39"/>
      <c r="CF124" s="9"/>
      <c r="CG124" s="101"/>
      <c r="CH124" s="14"/>
      <c r="CI124" s="14"/>
      <c r="CJ124" s="9"/>
      <c r="CK124" s="39"/>
      <c r="CL124" s="39"/>
      <c r="CM124" s="39"/>
      <c r="CN124" s="39"/>
      <c r="CO124" s="9"/>
      <c r="CP124" s="101"/>
      <c r="CQ124" s="14"/>
      <c r="CR124" s="14"/>
      <c r="CS124" s="39"/>
      <c r="CT124" s="39"/>
      <c r="CU124" s="39"/>
      <c r="CV124" s="39"/>
      <c r="CW124" s="39"/>
      <c r="CX124" s="39"/>
      <c r="CY124" s="103"/>
      <c r="CZ124" s="39"/>
      <c r="DA124" s="115"/>
      <c r="DB124" s="9"/>
      <c r="DC124" s="39"/>
      <c r="DD124" s="39"/>
      <c r="DE124" s="39"/>
      <c r="DF124" s="39"/>
      <c r="DG124" s="9"/>
      <c r="DH124" s="101"/>
      <c r="DI124" s="14"/>
      <c r="DJ124" s="14"/>
    </row>
    <row r="125" spans="1:114" ht="15" hidden="1" customHeight="1" x14ac:dyDescent="0.35">
      <c r="A125" s="1" t="s">
        <v>460</v>
      </c>
      <c r="B125" s="14" t="s">
        <v>461</v>
      </c>
      <c r="C125" s="14" t="s">
        <v>93</v>
      </c>
      <c r="D125" s="2">
        <v>6716</v>
      </c>
      <c r="E125" s="3">
        <v>204550</v>
      </c>
      <c r="F125" s="3" t="s">
        <v>462</v>
      </c>
      <c r="G125" s="52" t="s">
        <v>463</v>
      </c>
      <c r="H125" s="39">
        <v>9093620</v>
      </c>
      <c r="I125" s="39">
        <v>8529000</v>
      </c>
      <c r="J125" s="39"/>
      <c r="K125" s="39">
        <v>9093620</v>
      </c>
      <c r="L125" s="39"/>
      <c r="M125" s="39">
        <f>K125-I125</f>
        <v>564620</v>
      </c>
      <c r="N125" s="39"/>
      <c r="O125" s="9">
        <f>M125/I125</f>
        <v>6.6200023449407897E-2</v>
      </c>
      <c r="P125" s="101">
        <v>44567</v>
      </c>
      <c r="Q125" s="101" t="s">
        <v>31</v>
      </c>
      <c r="R125" s="20"/>
      <c r="S125" s="39">
        <v>9093620</v>
      </c>
      <c r="T125" s="8">
        <f t="shared" si="30"/>
        <v>0</v>
      </c>
      <c r="U125" s="14"/>
      <c r="V125" s="9">
        <v>0</v>
      </c>
      <c r="W125" s="102">
        <v>44593</v>
      </c>
      <c r="X125" s="14" t="s">
        <v>31</v>
      </c>
      <c r="Y125" s="20"/>
      <c r="Z125" s="14"/>
      <c r="AA125" s="57">
        <v>9093620</v>
      </c>
      <c r="AB125" s="57">
        <f t="shared" si="26"/>
        <v>0</v>
      </c>
      <c r="AC125" s="14"/>
      <c r="AD125" s="58">
        <v>0</v>
      </c>
      <c r="AE125" s="101">
        <v>44624</v>
      </c>
      <c r="AF125" s="14" t="s">
        <v>31</v>
      </c>
      <c r="AG125" s="20"/>
      <c r="AH125" s="14"/>
      <c r="AI125" s="39">
        <v>9093620</v>
      </c>
      <c r="AJ125" s="39">
        <f t="shared" si="31"/>
        <v>0</v>
      </c>
      <c r="AK125" s="39"/>
      <c r="AL125" s="39"/>
      <c r="AM125" s="9">
        <v>0</v>
      </c>
      <c r="AN125" s="101">
        <v>44656</v>
      </c>
      <c r="AO125" s="14" t="s">
        <v>31</v>
      </c>
      <c r="AP125" s="14"/>
      <c r="AQ125" s="58"/>
      <c r="AR125" s="39">
        <v>9093620</v>
      </c>
      <c r="AS125" s="39">
        <f t="shared" si="32"/>
        <v>0</v>
      </c>
      <c r="AT125" s="39"/>
      <c r="AU125" s="39"/>
      <c r="AV125" s="9">
        <v>0</v>
      </c>
      <c r="AW125" s="101">
        <v>44687</v>
      </c>
      <c r="AX125" s="14" t="s">
        <v>31</v>
      </c>
      <c r="AY125" s="14"/>
      <c r="AZ125" s="9"/>
      <c r="BA125" s="39">
        <v>9093620</v>
      </c>
      <c r="BB125" s="39">
        <f>AR125-BA125</f>
        <v>0</v>
      </c>
      <c r="BC125" s="39"/>
      <c r="BD125" s="39"/>
      <c r="BE125" s="9">
        <v>0</v>
      </c>
      <c r="BF125" s="101">
        <v>44719</v>
      </c>
      <c r="BG125" s="14" t="s">
        <v>31</v>
      </c>
      <c r="BH125" s="101">
        <v>44728</v>
      </c>
      <c r="BI125" s="9"/>
      <c r="BJ125" s="39">
        <v>9093620</v>
      </c>
      <c r="BK125" s="39">
        <f>BA125-BJ125</f>
        <v>0</v>
      </c>
      <c r="BL125" s="39"/>
      <c r="BM125" s="39"/>
      <c r="BN125" s="9">
        <v>0</v>
      </c>
      <c r="BO125" s="101">
        <v>44743</v>
      </c>
      <c r="BP125" s="14" t="s">
        <v>31</v>
      </c>
      <c r="BQ125" s="101">
        <v>44757</v>
      </c>
      <c r="BR125" s="9"/>
      <c r="BS125" s="39">
        <v>9093620</v>
      </c>
      <c r="BT125" s="39">
        <f>BJ125-BS125</f>
        <v>0</v>
      </c>
      <c r="BU125" s="39"/>
      <c r="BV125" s="39"/>
      <c r="BW125" s="9">
        <v>0</v>
      </c>
      <c r="BX125" s="101">
        <v>44777</v>
      </c>
      <c r="BY125" s="14" t="s">
        <v>31</v>
      </c>
      <c r="BZ125" s="14"/>
      <c r="CA125" s="9"/>
      <c r="CB125" s="39"/>
      <c r="CC125" s="39"/>
      <c r="CD125" s="39"/>
      <c r="CE125" s="39"/>
      <c r="CF125" s="9"/>
      <c r="CG125" s="101"/>
      <c r="CH125" s="14"/>
      <c r="CI125" s="14"/>
      <c r="CJ125" s="9"/>
      <c r="CK125" s="39"/>
      <c r="CL125" s="39"/>
      <c r="CM125" s="39"/>
      <c r="CN125" s="39"/>
      <c r="CO125" s="9"/>
      <c r="CP125" s="101"/>
      <c r="CQ125" s="14"/>
      <c r="CR125" s="14"/>
      <c r="CS125" s="39"/>
      <c r="CT125" s="39"/>
      <c r="CU125" s="39"/>
      <c r="CV125" s="39"/>
      <c r="CW125" s="39"/>
      <c r="CX125" s="39"/>
      <c r="CY125" s="39"/>
      <c r="CZ125" s="39"/>
      <c r="DA125" s="115"/>
      <c r="DB125" s="9"/>
      <c r="DC125" s="39"/>
      <c r="DD125" s="39"/>
      <c r="DE125" s="39"/>
      <c r="DF125" s="39"/>
      <c r="DG125" s="9"/>
      <c r="DH125" s="101"/>
      <c r="DI125" s="14"/>
      <c r="DJ125" s="14"/>
    </row>
    <row r="126" spans="1:114" ht="15" hidden="1" customHeight="1" x14ac:dyDescent="0.35">
      <c r="A126" s="1" t="s">
        <v>464</v>
      </c>
      <c r="B126" s="14" t="s">
        <v>465</v>
      </c>
      <c r="C126" s="14" t="s">
        <v>29</v>
      </c>
      <c r="D126" s="2">
        <v>6717</v>
      </c>
      <c r="E126" s="3">
        <v>207634</v>
      </c>
      <c r="F126" s="3" t="s">
        <v>466</v>
      </c>
      <c r="G126" s="52" t="s">
        <v>423</v>
      </c>
      <c r="H126" s="39">
        <v>15795278</v>
      </c>
      <c r="I126" s="39">
        <v>14676898</v>
      </c>
      <c r="J126" s="119"/>
      <c r="K126" s="87">
        <v>14676898</v>
      </c>
      <c r="L126" s="39">
        <f>I126-K126</f>
        <v>0</v>
      </c>
      <c r="M126" s="39"/>
      <c r="N126" s="39"/>
      <c r="O126" s="9">
        <v>0</v>
      </c>
      <c r="P126" s="102">
        <v>44564</v>
      </c>
      <c r="Q126" s="3" t="s">
        <v>31</v>
      </c>
      <c r="R126" s="20"/>
      <c r="S126" s="39">
        <f>15795278+118380</f>
        <v>15913658</v>
      </c>
      <c r="T126" s="8">
        <f t="shared" si="30"/>
        <v>-1236760</v>
      </c>
      <c r="U126" s="14"/>
      <c r="V126" s="9">
        <f>T126/K126</f>
        <v>-8.4265762424730342E-2</v>
      </c>
      <c r="W126" s="101">
        <v>44595</v>
      </c>
      <c r="X126" s="14" t="s">
        <v>31</v>
      </c>
      <c r="Y126" s="20"/>
      <c r="Z126" s="14"/>
      <c r="AA126" s="57">
        <v>15795278</v>
      </c>
      <c r="AB126" s="57">
        <f t="shared" si="26"/>
        <v>118380</v>
      </c>
      <c r="AC126" s="14"/>
      <c r="AD126" s="58">
        <f>AB126/S126</f>
        <v>7.438893056517867E-3</v>
      </c>
      <c r="AE126" s="131">
        <v>44621</v>
      </c>
      <c r="AF126" s="14" t="s">
        <v>31</v>
      </c>
      <c r="AG126" s="20"/>
      <c r="AH126" s="67"/>
      <c r="AI126" s="39">
        <v>15795278</v>
      </c>
      <c r="AJ126" s="39">
        <f t="shared" si="31"/>
        <v>0</v>
      </c>
      <c r="AK126" s="39"/>
      <c r="AL126" s="39"/>
      <c r="AM126" s="9">
        <v>0</v>
      </c>
      <c r="AN126" s="101">
        <v>44655</v>
      </c>
      <c r="AO126" s="14" t="s">
        <v>31</v>
      </c>
      <c r="AP126" s="14"/>
      <c r="AQ126" s="58"/>
      <c r="AR126" s="39">
        <v>15795278</v>
      </c>
      <c r="AS126" s="39">
        <f t="shared" si="32"/>
        <v>0</v>
      </c>
      <c r="AT126" s="39"/>
      <c r="AU126" s="39"/>
      <c r="AV126" s="9">
        <v>0</v>
      </c>
      <c r="AW126" s="101">
        <v>44683</v>
      </c>
      <c r="AX126" s="14" t="s">
        <v>31</v>
      </c>
      <c r="AY126" s="14"/>
      <c r="AZ126" s="9"/>
      <c r="BA126" s="39">
        <v>15795278</v>
      </c>
      <c r="BB126" s="39">
        <f t="shared" ref="BB126:BB135" si="33">AR126-BA126</f>
        <v>0</v>
      </c>
      <c r="BC126" s="39"/>
      <c r="BD126" s="39"/>
      <c r="BE126" s="9">
        <v>0</v>
      </c>
      <c r="BF126" s="101">
        <v>44713</v>
      </c>
      <c r="BG126" s="14" t="s">
        <v>31</v>
      </c>
      <c r="BH126" s="101">
        <v>44728</v>
      </c>
      <c r="BI126" s="9"/>
      <c r="BJ126" s="39">
        <v>15795278</v>
      </c>
      <c r="BK126" s="39">
        <f>BA126-BJ126</f>
        <v>0</v>
      </c>
      <c r="BL126" s="39"/>
      <c r="BM126" s="39"/>
      <c r="BN126" s="9">
        <v>0</v>
      </c>
      <c r="BO126" s="101">
        <v>44743</v>
      </c>
      <c r="BP126" s="14" t="s">
        <v>31</v>
      </c>
      <c r="BQ126" s="101">
        <v>44757</v>
      </c>
      <c r="BR126" s="9"/>
      <c r="BS126" s="39">
        <v>15795278</v>
      </c>
      <c r="BT126" s="39">
        <f>BJ126-BS126</f>
        <v>0</v>
      </c>
      <c r="BU126" s="39"/>
      <c r="BV126" s="39"/>
      <c r="BW126" s="9">
        <v>0</v>
      </c>
      <c r="BX126" s="101">
        <v>44774</v>
      </c>
      <c r="BY126" s="14" t="s">
        <v>31</v>
      </c>
      <c r="BZ126" s="14"/>
      <c r="CA126" s="9"/>
      <c r="CB126" s="39"/>
      <c r="CC126" s="39"/>
      <c r="CD126" s="39"/>
      <c r="CE126" s="39"/>
      <c r="CF126" s="9"/>
      <c r="CG126" s="101"/>
      <c r="CH126" s="14"/>
      <c r="CI126" s="14"/>
      <c r="CJ126" s="9"/>
      <c r="CK126" s="39"/>
      <c r="CL126" s="39"/>
      <c r="CM126" s="39"/>
      <c r="CN126" s="39"/>
      <c r="CO126" s="9"/>
      <c r="CP126" s="101"/>
      <c r="CQ126" s="14"/>
      <c r="CR126" s="14"/>
      <c r="CS126" s="39"/>
      <c r="CT126" s="39"/>
      <c r="CU126" s="39"/>
      <c r="CV126" s="39"/>
      <c r="CW126" s="39"/>
      <c r="CX126" s="39"/>
      <c r="CY126" s="103"/>
      <c r="CZ126" s="39"/>
      <c r="DA126" s="115"/>
      <c r="DB126" s="9"/>
      <c r="DC126" s="39"/>
      <c r="DD126" s="39"/>
      <c r="DE126" s="39"/>
      <c r="DF126" s="39"/>
      <c r="DG126" s="9"/>
      <c r="DH126" s="101"/>
      <c r="DI126" s="14"/>
      <c r="DJ126" s="14"/>
    </row>
    <row r="127" spans="1:114" ht="15" hidden="1" customHeight="1" x14ac:dyDescent="0.35">
      <c r="A127" s="1" t="s">
        <v>467</v>
      </c>
      <c r="B127" s="14" t="s">
        <v>468</v>
      </c>
      <c r="C127" s="14" t="s">
        <v>29</v>
      </c>
      <c r="D127" s="2">
        <v>6718</v>
      </c>
      <c r="E127" s="3">
        <v>204525</v>
      </c>
      <c r="F127" s="3" t="s">
        <v>469</v>
      </c>
      <c r="G127" s="52">
        <v>52866739</v>
      </c>
      <c r="H127" s="8">
        <v>5530446</v>
      </c>
      <c r="I127" s="39">
        <v>5082032</v>
      </c>
      <c r="J127" s="39"/>
      <c r="K127" s="39">
        <v>5082032</v>
      </c>
      <c r="L127" s="39">
        <f>I127-K127</f>
        <v>0</v>
      </c>
      <c r="M127" s="39"/>
      <c r="N127" s="39"/>
      <c r="O127" s="9">
        <f>L127/H127</f>
        <v>0</v>
      </c>
      <c r="P127" s="101">
        <v>44572</v>
      </c>
      <c r="Q127" s="3" t="s">
        <v>31</v>
      </c>
      <c r="R127" s="20"/>
      <c r="S127" s="39">
        <v>5530446</v>
      </c>
      <c r="T127" s="8">
        <f>K127-S127</f>
        <v>-448414</v>
      </c>
      <c r="U127" s="14"/>
      <c r="V127" s="9">
        <f>T127/K127</f>
        <v>-8.8235178369597045E-2</v>
      </c>
      <c r="W127" s="101">
        <v>44603</v>
      </c>
      <c r="X127" s="14" t="s">
        <v>31</v>
      </c>
      <c r="Y127" s="20"/>
      <c r="Z127" s="67"/>
      <c r="AA127" s="57">
        <v>5530446</v>
      </c>
      <c r="AB127" s="57">
        <f t="shared" si="26"/>
        <v>0</v>
      </c>
      <c r="AC127" s="14"/>
      <c r="AD127" s="58">
        <v>0</v>
      </c>
      <c r="AE127" s="131">
        <v>44621</v>
      </c>
      <c r="AF127" s="14" t="s">
        <v>31</v>
      </c>
      <c r="AG127" s="20"/>
      <c r="AH127" s="67"/>
      <c r="AI127" s="39">
        <v>5530446</v>
      </c>
      <c r="AJ127" s="39">
        <f t="shared" si="31"/>
        <v>0</v>
      </c>
      <c r="AK127" s="39"/>
      <c r="AL127" s="39"/>
      <c r="AM127" s="9">
        <v>0</v>
      </c>
      <c r="AN127" s="101">
        <v>44655</v>
      </c>
      <c r="AO127" s="14" t="s">
        <v>31</v>
      </c>
      <c r="AP127" s="14"/>
      <c r="AQ127" s="58"/>
      <c r="AR127" s="39">
        <v>5530446</v>
      </c>
      <c r="AS127" s="39">
        <f t="shared" si="32"/>
        <v>0</v>
      </c>
      <c r="AT127" s="39"/>
      <c r="AU127" s="39"/>
      <c r="AV127" s="9">
        <v>0</v>
      </c>
      <c r="AW127" s="101">
        <v>44687</v>
      </c>
      <c r="AX127" s="14" t="s">
        <v>31</v>
      </c>
      <c r="AY127" s="14"/>
      <c r="AZ127" s="9"/>
      <c r="BA127" s="39">
        <v>5530446</v>
      </c>
      <c r="BB127" s="39">
        <f t="shared" si="33"/>
        <v>0</v>
      </c>
      <c r="BC127" s="39"/>
      <c r="BD127" s="39"/>
      <c r="BE127" s="9">
        <v>0</v>
      </c>
      <c r="BF127" s="101">
        <v>44718</v>
      </c>
      <c r="BG127" s="14" t="s">
        <v>31</v>
      </c>
      <c r="BH127" s="101">
        <v>44728</v>
      </c>
      <c r="BI127" s="9"/>
      <c r="BJ127" s="39">
        <v>5530446</v>
      </c>
      <c r="BK127" s="39">
        <f>BA127-BJ127</f>
        <v>0</v>
      </c>
      <c r="BL127" s="39"/>
      <c r="BM127" s="39"/>
      <c r="BN127" s="9">
        <v>0</v>
      </c>
      <c r="BO127" s="101">
        <v>44755</v>
      </c>
      <c r="BP127" s="14" t="s">
        <v>31</v>
      </c>
      <c r="BQ127" s="101">
        <v>44768</v>
      </c>
      <c r="BR127" s="9"/>
      <c r="BS127" s="39">
        <v>5530446</v>
      </c>
      <c r="BT127" s="39">
        <f>BJ127-BS127</f>
        <v>0</v>
      </c>
      <c r="BU127" s="39"/>
      <c r="BV127" s="39"/>
      <c r="BW127" s="9">
        <v>0</v>
      </c>
      <c r="BX127" s="101">
        <v>44785</v>
      </c>
      <c r="BY127" s="14" t="s">
        <v>31</v>
      </c>
      <c r="BZ127" s="14"/>
      <c r="CA127" s="9"/>
      <c r="CB127" s="39"/>
      <c r="CC127" s="39"/>
      <c r="CD127" s="39"/>
      <c r="CE127" s="39"/>
      <c r="CF127" s="9"/>
      <c r="CG127" s="101"/>
      <c r="CH127" s="14"/>
      <c r="CI127" s="14"/>
      <c r="CJ127" s="9"/>
      <c r="CK127" s="39"/>
      <c r="CL127" s="39"/>
      <c r="CM127" s="39"/>
      <c r="CN127" s="39"/>
      <c r="CO127" s="9"/>
      <c r="CP127" s="101"/>
      <c r="CQ127" s="14"/>
      <c r="CR127" s="14"/>
      <c r="CS127" s="39"/>
      <c r="CT127" s="39"/>
      <c r="CU127" s="39"/>
      <c r="CV127" s="39"/>
      <c r="CW127" s="39"/>
      <c r="CX127" s="39"/>
      <c r="CY127" s="39"/>
      <c r="CZ127" s="39"/>
      <c r="DA127" s="115"/>
      <c r="DB127" s="9"/>
      <c r="DC127" s="39"/>
      <c r="DD127" s="39"/>
      <c r="DE127" s="39"/>
      <c r="DF127" s="39"/>
      <c r="DG127" s="9"/>
      <c r="DH127" s="101"/>
      <c r="DI127" s="14"/>
      <c r="DJ127" s="14"/>
    </row>
    <row r="128" spans="1:114" ht="15" hidden="1" customHeight="1" x14ac:dyDescent="0.35">
      <c r="A128" s="1" t="s">
        <v>473</v>
      </c>
      <c r="B128" s="14" t="s">
        <v>474</v>
      </c>
      <c r="C128" s="14" t="s">
        <v>113</v>
      </c>
      <c r="D128" s="2">
        <v>6759</v>
      </c>
      <c r="E128" s="3">
        <v>207634</v>
      </c>
      <c r="F128" s="3" t="s">
        <v>475</v>
      </c>
      <c r="G128" s="52" t="s">
        <v>423</v>
      </c>
      <c r="H128" s="39">
        <v>14659084</v>
      </c>
      <c r="I128" s="39">
        <v>14659084</v>
      </c>
      <c r="J128" s="39"/>
      <c r="K128" s="39">
        <v>14659084</v>
      </c>
      <c r="L128" s="39">
        <f>H128-K128</f>
        <v>0</v>
      </c>
      <c r="M128" s="39"/>
      <c r="N128" s="39"/>
      <c r="O128" s="9">
        <v>0</v>
      </c>
      <c r="P128" s="102">
        <v>44564</v>
      </c>
      <c r="Q128" s="3" t="s">
        <v>31</v>
      </c>
      <c r="R128" s="20"/>
      <c r="S128" s="39">
        <v>14659084</v>
      </c>
      <c r="T128" s="8">
        <f t="shared" ref="T128:T135" si="34">K128-S128</f>
        <v>0</v>
      </c>
      <c r="U128" s="14"/>
      <c r="V128" s="9">
        <v>0</v>
      </c>
      <c r="W128" s="101">
        <v>44595</v>
      </c>
      <c r="X128" s="14" t="s">
        <v>31</v>
      </c>
      <c r="Y128" s="20"/>
      <c r="Z128" s="14"/>
      <c r="AA128" s="57">
        <v>14659084</v>
      </c>
      <c r="AB128" s="57">
        <f t="shared" si="26"/>
        <v>0</v>
      </c>
      <c r="AC128" s="14"/>
      <c r="AD128" s="58">
        <v>0</v>
      </c>
      <c r="AE128" s="131">
        <v>44622</v>
      </c>
      <c r="AF128" s="14" t="s">
        <v>31</v>
      </c>
      <c r="AG128" s="20"/>
      <c r="AH128" s="67"/>
      <c r="AI128" s="39">
        <v>14659084</v>
      </c>
      <c r="AJ128" s="39">
        <f t="shared" si="31"/>
        <v>0</v>
      </c>
      <c r="AK128" s="39"/>
      <c r="AL128" s="39"/>
      <c r="AM128" s="9">
        <v>0</v>
      </c>
      <c r="AN128" s="101">
        <v>44655</v>
      </c>
      <c r="AO128" s="14" t="s">
        <v>31</v>
      </c>
      <c r="AP128" s="14"/>
      <c r="AQ128" s="58"/>
      <c r="AR128" s="39">
        <v>14659084</v>
      </c>
      <c r="AS128" s="39">
        <f t="shared" si="32"/>
        <v>0</v>
      </c>
      <c r="AT128" s="39"/>
      <c r="AU128" s="39"/>
      <c r="AV128" s="9">
        <v>0</v>
      </c>
      <c r="AW128" s="101">
        <v>44683</v>
      </c>
      <c r="AX128" s="14" t="s">
        <v>31</v>
      </c>
      <c r="AY128" s="14"/>
      <c r="AZ128" s="9"/>
      <c r="BA128" s="39">
        <v>14659084</v>
      </c>
      <c r="BB128" s="39">
        <f t="shared" si="33"/>
        <v>0</v>
      </c>
      <c r="BC128" s="39"/>
      <c r="BD128" s="39"/>
      <c r="BE128" s="9">
        <v>0</v>
      </c>
      <c r="BF128" s="101">
        <v>44713</v>
      </c>
      <c r="BG128" s="14" t="s">
        <v>31</v>
      </c>
      <c r="BH128" s="101">
        <v>44728</v>
      </c>
      <c r="BI128" s="9"/>
      <c r="BJ128" s="39">
        <v>14659084</v>
      </c>
      <c r="BK128" s="39">
        <f t="shared" ref="BK128:BK136" si="35">BA128-BJ128</f>
        <v>0</v>
      </c>
      <c r="BL128" s="39"/>
      <c r="BM128" s="39"/>
      <c r="BN128" s="9">
        <v>0</v>
      </c>
      <c r="BO128" s="101">
        <v>44743</v>
      </c>
      <c r="BP128" s="14" t="s">
        <v>31</v>
      </c>
      <c r="BQ128" s="101">
        <v>44757</v>
      </c>
      <c r="BR128" s="9"/>
      <c r="BS128" s="39">
        <v>14659084</v>
      </c>
      <c r="BT128" s="39">
        <f t="shared" ref="BT128:BT136" si="36">BJ128-BS128</f>
        <v>0</v>
      </c>
      <c r="BU128" s="39"/>
      <c r="BV128" s="39"/>
      <c r="BW128" s="9">
        <v>0</v>
      </c>
      <c r="BX128" s="101">
        <v>44774</v>
      </c>
      <c r="BY128" s="14" t="s">
        <v>31</v>
      </c>
      <c r="BZ128" s="14"/>
      <c r="CA128" s="9"/>
      <c r="CB128" s="39"/>
      <c r="CC128" s="39"/>
      <c r="CD128" s="39"/>
      <c r="CE128" s="39"/>
      <c r="CF128" s="9"/>
      <c r="CG128" s="101"/>
      <c r="CH128" s="14"/>
      <c r="CI128" s="14"/>
      <c r="CJ128" s="9"/>
      <c r="CK128" s="39"/>
      <c r="CL128" s="39"/>
      <c r="CM128" s="39"/>
      <c r="CN128" s="39"/>
      <c r="CO128" s="9"/>
      <c r="CP128" s="101"/>
      <c r="CQ128" s="14"/>
      <c r="CR128" s="14"/>
      <c r="CS128" s="39"/>
      <c r="CT128" s="39"/>
      <c r="CU128" s="39"/>
      <c r="CV128" s="39"/>
      <c r="CW128" s="39"/>
      <c r="CX128" s="39"/>
      <c r="CY128" s="103"/>
      <c r="CZ128" s="39"/>
      <c r="DA128" s="115"/>
      <c r="DB128" s="9"/>
      <c r="DC128" s="39"/>
      <c r="DD128" s="39"/>
      <c r="DE128" s="39"/>
      <c r="DF128" s="39"/>
      <c r="DG128" s="9"/>
      <c r="DH128" s="101"/>
      <c r="DI128" s="14"/>
      <c r="DJ128" s="14"/>
    </row>
    <row r="129" spans="1:114" ht="15" hidden="1" customHeight="1" x14ac:dyDescent="0.35">
      <c r="A129" s="1" t="s">
        <v>476</v>
      </c>
      <c r="B129" s="14" t="s">
        <v>477</v>
      </c>
      <c r="C129" s="14" t="s">
        <v>60</v>
      </c>
      <c r="D129" s="2">
        <v>6760</v>
      </c>
      <c r="E129" s="3">
        <v>207634</v>
      </c>
      <c r="F129" s="3" t="s">
        <v>478</v>
      </c>
      <c r="G129" s="52" t="s">
        <v>423</v>
      </c>
      <c r="H129" s="39">
        <v>12812463</v>
      </c>
      <c r="I129" s="39">
        <v>12812463</v>
      </c>
      <c r="J129" s="39"/>
      <c r="K129" s="39">
        <v>12812463</v>
      </c>
      <c r="L129" s="39">
        <f>H129-K129</f>
        <v>0</v>
      </c>
      <c r="M129" s="39"/>
      <c r="N129" s="39"/>
      <c r="O129" s="9">
        <v>0</v>
      </c>
      <c r="P129" s="102">
        <v>44564</v>
      </c>
      <c r="Q129" s="3" t="s">
        <v>31</v>
      </c>
      <c r="R129" s="20"/>
      <c r="S129" s="39">
        <v>12812463</v>
      </c>
      <c r="T129" s="8">
        <f t="shared" si="34"/>
        <v>0</v>
      </c>
      <c r="U129" s="14"/>
      <c r="V129" s="9">
        <v>0</v>
      </c>
      <c r="W129" s="101">
        <v>44595</v>
      </c>
      <c r="X129" s="14" t="s">
        <v>31</v>
      </c>
      <c r="Y129" s="20"/>
      <c r="Z129" s="14"/>
      <c r="AA129" s="57">
        <v>12812463</v>
      </c>
      <c r="AB129" s="57">
        <f t="shared" si="26"/>
        <v>0</v>
      </c>
      <c r="AC129" s="14"/>
      <c r="AD129" s="58">
        <v>0</v>
      </c>
      <c r="AE129" s="131">
        <v>44621</v>
      </c>
      <c r="AF129" s="14" t="s">
        <v>31</v>
      </c>
      <c r="AG129" s="20"/>
      <c r="AH129" s="67"/>
      <c r="AI129" s="39">
        <v>12812463</v>
      </c>
      <c r="AJ129" s="39">
        <f t="shared" si="31"/>
        <v>0</v>
      </c>
      <c r="AK129" s="39"/>
      <c r="AL129" s="39"/>
      <c r="AM129" s="9">
        <v>0</v>
      </c>
      <c r="AN129" s="101">
        <v>44655</v>
      </c>
      <c r="AO129" s="14" t="s">
        <v>31</v>
      </c>
      <c r="AP129" s="14"/>
      <c r="AQ129" s="58"/>
      <c r="AR129" s="39">
        <v>12812463</v>
      </c>
      <c r="AS129" s="39">
        <f t="shared" si="32"/>
        <v>0</v>
      </c>
      <c r="AT129" s="39"/>
      <c r="AU129" s="39"/>
      <c r="AV129" s="9">
        <v>0</v>
      </c>
      <c r="AW129" s="101">
        <v>44683</v>
      </c>
      <c r="AX129" s="14" t="s">
        <v>31</v>
      </c>
      <c r="AY129" s="14"/>
      <c r="AZ129" s="9"/>
      <c r="BA129" s="39">
        <v>12812463</v>
      </c>
      <c r="BB129" s="39">
        <f t="shared" si="33"/>
        <v>0</v>
      </c>
      <c r="BC129" s="39"/>
      <c r="BD129" s="39"/>
      <c r="BE129" s="9">
        <v>0</v>
      </c>
      <c r="BF129" s="101">
        <v>44713</v>
      </c>
      <c r="BG129" s="14" t="s">
        <v>31</v>
      </c>
      <c r="BH129" s="101">
        <v>44728</v>
      </c>
      <c r="BI129" s="9"/>
      <c r="BJ129" s="39">
        <v>12812463</v>
      </c>
      <c r="BK129" s="39">
        <f t="shared" si="35"/>
        <v>0</v>
      </c>
      <c r="BL129" s="39"/>
      <c r="BM129" s="39"/>
      <c r="BN129" s="9">
        <v>0</v>
      </c>
      <c r="BO129" s="101">
        <v>44743</v>
      </c>
      <c r="BP129" s="14" t="s">
        <v>31</v>
      </c>
      <c r="BQ129" s="101">
        <v>44757</v>
      </c>
      <c r="BR129" s="9"/>
      <c r="BS129" s="39">
        <v>12812463</v>
      </c>
      <c r="BT129" s="39">
        <f t="shared" si="36"/>
        <v>0</v>
      </c>
      <c r="BU129" s="39"/>
      <c r="BV129" s="39"/>
      <c r="BW129" s="9">
        <v>0</v>
      </c>
      <c r="BX129" s="101">
        <v>44774</v>
      </c>
      <c r="BY129" s="14" t="s">
        <v>31</v>
      </c>
      <c r="BZ129" s="14"/>
      <c r="CA129" s="9"/>
      <c r="CB129" s="39"/>
      <c r="CC129" s="39"/>
      <c r="CD129" s="39"/>
      <c r="CE129" s="39"/>
      <c r="CF129" s="9"/>
      <c r="CG129" s="101"/>
      <c r="CH129" s="14"/>
      <c r="CI129" s="14"/>
      <c r="CJ129" s="9"/>
      <c r="CK129" s="39"/>
      <c r="CL129" s="39"/>
      <c r="CM129" s="39"/>
      <c r="CN129" s="39"/>
      <c r="CO129" s="9"/>
      <c r="CP129" s="101"/>
      <c r="CQ129" s="14"/>
      <c r="CR129" s="14"/>
      <c r="CS129" s="39"/>
      <c r="CT129" s="39"/>
      <c r="CU129" s="39"/>
      <c r="CV129" s="39"/>
      <c r="CW129" s="39"/>
      <c r="CX129" s="39"/>
      <c r="CY129" s="103"/>
      <c r="CZ129" s="39"/>
      <c r="DA129" s="115"/>
      <c r="DB129" s="9"/>
      <c r="DC129" s="39"/>
      <c r="DD129" s="39"/>
      <c r="DE129" s="39"/>
      <c r="DF129" s="39"/>
      <c r="DG129" s="9"/>
      <c r="DH129" s="101"/>
      <c r="DI129" s="14"/>
      <c r="DJ129" s="14"/>
    </row>
    <row r="130" spans="1:114" ht="15" hidden="1" customHeight="1" x14ac:dyDescent="0.35">
      <c r="A130" s="1" t="s">
        <v>483</v>
      </c>
      <c r="B130" s="14" t="s">
        <v>484</v>
      </c>
      <c r="C130" s="14" t="s">
        <v>29</v>
      </c>
      <c r="D130" s="2">
        <v>6762</v>
      </c>
      <c r="E130" s="3">
        <v>254545</v>
      </c>
      <c r="F130" s="3" t="s">
        <v>485</v>
      </c>
      <c r="G130" s="52" t="s">
        <v>486</v>
      </c>
      <c r="H130" s="39">
        <v>26579236</v>
      </c>
      <c r="I130" s="39">
        <v>24671534</v>
      </c>
      <c r="J130" s="39"/>
      <c r="K130" s="39">
        <v>26479236</v>
      </c>
      <c r="L130" s="39">
        <f>I130-K130</f>
        <v>-1807702</v>
      </c>
      <c r="M130" s="39"/>
      <c r="N130" s="39"/>
      <c r="O130" s="9">
        <f>L130/I130</f>
        <v>-7.3270758113378756E-2</v>
      </c>
      <c r="P130" s="102">
        <v>44575</v>
      </c>
      <c r="Q130" s="14" t="s">
        <v>31</v>
      </c>
      <c r="R130" s="20"/>
      <c r="S130" s="39">
        <v>26579236</v>
      </c>
      <c r="T130" s="8">
        <f t="shared" si="34"/>
        <v>-100000</v>
      </c>
      <c r="U130" s="14"/>
      <c r="V130" s="9">
        <f>T130/K130</f>
        <v>-3.7765440060279687E-3</v>
      </c>
      <c r="W130" s="102">
        <v>44593</v>
      </c>
      <c r="X130" s="14" t="s">
        <v>31</v>
      </c>
      <c r="Y130" s="20"/>
      <c r="Z130" s="14"/>
      <c r="AA130" s="57">
        <v>26579236</v>
      </c>
      <c r="AB130" s="57">
        <f t="shared" si="26"/>
        <v>0</v>
      </c>
      <c r="AC130" s="14"/>
      <c r="AD130" s="58">
        <v>0</v>
      </c>
      <c r="AE130" s="131">
        <v>44621</v>
      </c>
      <c r="AF130" s="14" t="s">
        <v>31</v>
      </c>
      <c r="AG130" s="20"/>
      <c r="AH130" s="67"/>
      <c r="AI130" s="39">
        <v>26579236</v>
      </c>
      <c r="AJ130" s="39">
        <f t="shared" si="31"/>
        <v>0</v>
      </c>
      <c r="AK130" s="39"/>
      <c r="AL130" s="39"/>
      <c r="AM130" s="9">
        <v>0</v>
      </c>
      <c r="AN130" s="101">
        <v>44655</v>
      </c>
      <c r="AO130" s="14" t="s">
        <v>31</v>
      </c>
      <c r="AP130" s="14"/>
      <c r="AQ130" s="58"/>
      <c r="AR130" s="39">
        <v>26579236</v>
      </c>
      <c r="AS130" s="39">
        <f t="shared" si="32"/>
        <v>0</v>
      </c>
      <c r="AT130" s="39"/>
      <c r="AU130" s="39"/>
      <c r="AV130" s="9">
        <v>0</v>
      </c>
      <c r="AW130" s="101">
        <v>44684</v>
      </c>
      <c r="AX130" s="14" t="s">
        <v>31</v>
      </c>
      <c r="AY130" s="14"/>
      <c r="AZ130" s="9"/>
      <c r="BA130" s="39">
        <v>26579236</v>
      </c>
      <c r="BB130" s="39">
        <f t="shared" si="33"/>
        <v>0</v>
      </c>
      <c r="BC130" s="39"/>
      <c r="BD130" s="39"/>
      <c r="BE130" s="9">
        <v>0</v>
      </c>
      <c r="BF130" s="101">
        <v>44715</v>
      </c>
      <c r="BG130" s="14" t="s">
        <v>31</v>
      </c>
      <c r="BH130" s="101">
        <v>44728</v>
      </c>
      <c r="BI130" s="9"/>
      <c r="BJ130" s="39">
        <v>26579236</v>
      </c>
      <c r="BK130" s="39">
        <f t="shared" si="35"/>
        <v>0</v>
      </c>
      <c r="BL130" s="39"/>
      <c r="BM130" s="39"/>
      <c r="BN130" s="9">
        <v>0</v>
      </c>
      <c r="BO130" s="101">
        <v>44747</v>
      </c>
      <c r="BP130" s="14" t="s">
        <v>31</v>
      </c>
      <c r="BQ130" s="101">
        <v>44757</v>
      </c>
      <c r="BR130" s="9"/>
      <c r="BS130" s="39">
        <v>26579236</v>
      </c>
      <c r="BT130" s="39">
        <f t="shared" si="36"/>
        <v>0</v>
      </c>
      <c r="BU130" s="39"/>
      <c r="BV130" s="39"/>
      <c r="BW130" s="9">
        <v>0</v>
      </c>
      <c r="BX130" s="101">
        <v>44777</v>
      </c>
      <c r="BY130" s="14" t="s">
        <v>31</v>
      </c>
      <c r="BZ130" s="14"/>
      <c r="CA130" s="9"/>
      <c r="CB130" s="39"/>
      <c r="CC130" s="39"/>
      <c r="CD130" s="39"/>
      <c r="CE130" s="39"/>
      <c r="CF130" s="9"/>
      <c r="CG130" s="101"/>
      <c r="CH130" s="14"/>
      <c r="CI130" s="14"/>
      <c r="CJ130" s="9"/>
      <c r="CK130" s="39"/>
      <c r="CL130" s="39"/>
      <c r="CM130" s="39"/>
      <c r="CN130" s="39"/>
      <c r="CO130" s="9"/>
      <c r="CP130" s="101"/>
      <c r="CQ130" s="14"/>
      <c r="CR130" s="14"/>
      <c r="CS130" s="39"/>
      <c r="CT130" s="39"/>
      <c r="CU130" s="39"/>
      <c r="CV130" s="39"/>
      <c r="CW130" s="39"/>
      <c r="CX130" s="9"/>
      <c r="CY130" s="103"/>
      <c r="CZ130" s="39"/>
      <c r="DA130" s="115"/>
      <c r="DB130" s="9"/>
      <c r="DC130" s="39"/>
      <c r="DD130" s="39"/>
      <c r="DE130" s="39"/>
      <c r="DF130" s="39"/>
      <c r="DG130" s="9"/>
      <c r="DH130" s="101"/>
      <c r="DI130" s="14"/>
      <c r="DJ130" s="14"/>
    </row>
    <row r="131" spans="1:114" ht="15" hidden="1" customHeight="1" x14ac:dyDescent="0.35">
      <c r="A131" s="1" t="s">
        <v>487</v>
      </c>
      <c r="B131" s="14" t="s">
        <v>488</v>
      </c>
      <c r="C131" s="14" t="s">
        <v>29</v>
      </c>
      <c r="D131" s="2">
        <v>6763</v>
      </c>
      <c r="E131" s="3">
        <v>205762</v>
      </c>
      <c r="F131" s="3" t="s">
        <v>489</v>
      </c>
      <c r="G131" s="52">
        <v>900699834</v>
      </c>
      <c r="H131" s="39">
        <v>11277871</v>
      </c>
      <c r="I131" s="39">
        <v>10922556</v>
      </c>
      <c r="J131" s="39"/>
      <c r="K131" s="39">
        <v>10922556</v>
      </c>
      <c r="L131" s="39">
        <f>I131-K131</f>
        <v>0</v>
      </c>
      <c r="M131" s="39"/>
      <c r="N131" s="39"/>
      <c r="O131" s="9">
        <v>0</v>
      </c>
      <c r="P131" s="102">
        <v>44564</v>
      </c>
      <c r="Q131" s="3" t="s">
        <v>31</v>
      </c>
      <c r="R131" s="20"/>
      <c r="S131" s="39">
        <v>10922556</v>
      </c>
      <c r="T131" s="8">
        <f t="shared" si="34"/>
        <v>0</v>
      </c>
      <c r="U131" s="14"/>
      <c r="V131" s="9">
        <v>0</v>
      </c>
      <c r="W131" s="102">
        <v>44593</v>
      </c>
      <c r="X131" s="14" t="s">
        <v>31</v>
      </c>
      <c r="Y131" s="20"/>
      <c r="Z131" s="14"/>
      <c r="AA131" s="57">
        <v>10922556</v>
      </c>
      <c r="AB131" s="57">
        <f t="shared" si="26"/>
        <v>0</v>
      </c>
      <c r="AC131" s="14"/>
      <c r="AD131" s="58">
        <v>0</v>
      </c>
      <c r="AE131" s="131">
        <v>44621</v>
      </c>
      <c r="AF131" s="14" t="s">
        <v>31</v>
      </c>
      <c r="AG131" s="20"/>
      <c r="AH131" s="67"/>
      <c r="AI131" s="39">
        <f>10922556+2487201</f>
        <v>13409757</v>
      </c>
      <c r="AJ131" s="39"/>
      <c r="AK131" s="39">
        <f>AA131-AI131</f>
        <v>-2487201</v>
      </c>
      <c r="AL131" s="39"/>
      <c r="AM131" s="9">
        <f>AK131/AA131</f>
        <v>-0.22771235963450312</v>
      </c>
      <c r="AN131" s="102">
        <v>44658</v>
      </c>
      <c r="AO131" s="14" t="s">
        <v>31</v>
      </c>
      <c r="AP131" s="14"/>
      <c r="AQ131" s="58"/>
      <c r="AR131" s="39">
        <v>11277871</v>
      </c>
      <c r="AS131" s="39"/>
      <c r="AT131" s="39">
        <f>AA131-AR131</f>
        <v>-355315</v>
      </c>
      <c r="AU131" s="39"/>
      <c r="AV131" s="9">
        <f>AT131/AA131</f>
        <v>-3.2530389407021583E-2</v>
      </c>
      <c r="AW131" s="101">
        <v>44683</v>
      </c>
      <c r="AX131" s="14" t="s">
        <v>31</v>
      </c>
      <c r="AY131" s="14"/>
      <c r="AZ131" s="9"/>
      <c r="BA131" s="39">
        <v>11277871</v>
      </c>
      <c r="BB131" s="39">
        <f t="shared" si="33"/>
        <v>0</v>
      </c>
      <c r="BC131" s="39"/>
      <c r="BD131" s="39"/>
      <c r="BE131" s="9">
        <v>0</v>
      </c>
      <c r="BF131" s="101">
        <v>44713</v>
      </c>
      <c r="BG131" s="14" t="s">
        <v>31</v>
      </c>
      <c r="BH131" s="101">
        <v>44728</v>
      </c>
      <c r="BI131" s="9"/>
      <c r="BJ131" s="39">
        <v>11277871</v>
      </c>
      <c r="BK131" s="39">
        <f t="shared" si="35"/>
        <v>0</v>
      </c>
      <c r="BL131" s="39"/>
      <c r="BM131" s="39"/>
      <c r="BN131" s="9">
        <v>0</v>
      </c>
      <c r="BO131" s="101">
        <v>44743</v>
      </c>
      <c r="BP131" s="14" t="s">
        <v>31</v>
      </c>
      <c r="BQ131" s="101">
        <v>44757</v>
      </c>
      <c r="BR131" s="9"/>
      <c r="BS131" s="39">
        <v>11277871</v>
      </c>
      <c r="BT131" s="39">
        <f t="shared" si="36"/>
        <v>0</v>
      </c>
      <c r="BU131" s="39"/>
      <c r="BV131" s="39"/>
      <c r="BW131" s="9">
        <v>0</v>
      </c>
      <c r="BX131" s="101">
        <v>44774</v>
      </c>
      <c r="BY131" s="14" t="s">
        <v>31</v>
      </c>
      <c r="BZ131" s="14"/>
      <c r="CA131" s="9"/>
      <c r="CB131" s="39"/>
      <c r="CC131" s="39"/>
      <c r="CD131" s="39"/>
      <c r="CE131" s="39"/>
      <c r="CF131" s="9"/>
      <c r="CG131" s="101"/>
      <c r="CH131" s="14"/>
      <c r="CI131" s="14"/>
      <c r="CJ131" s="9"/>
      <c r="CK131" s="39"/>
      <c r="CL131" s="39"/>
      <c r="CM131" s="39"/>
      <c r="CN131" s="39"/>
      <c r="CO131" s="9"/>
      <c r="CP131" s="101"/>
      <c r="CQ131" s="14"/>
      <c r="CR131" s="14"/>
      <c r="CS131" s="39"/>
      <c r="CT131" s="39"/>
      <c r="CU131" s="39"/>
      <c r="CV131" s="39"/>
      <c r="CW131" s="39"/>
      <c r="CX131" s="39"/>
      <c r="CY131" s="39"/>
      <c r="CZ131" s="39"/>
      <c r="DA131" s="115"/>
      <c r="DB131" s="9"/>
      <c r="DC131" s="39"/>
      <c r="DD131" s="39"/>
      <c r="DE131" s="39"/>
      <c r="DF131" s="39"/>
      <c r="DG131" s="9"/>
      <c r="DH131" s="101"/>
      <c r="DI131" s="14"/>
      <c r="DJ131" s="14"/>
    </row>
    <row r="132" spans="1:114" ht="15" hidden="1" customHeight="1" x14ac:dyDescent="0.35">
      <c r="A132" s="1" t="s">
        <v>487</v>
      </c>
      <c r="B132" s="14" t="s">
        <v>488</v>
      </c>
      <c r="C132" s="14" t="s">
        <v>29</v>
      </c>
      <c r="D132" s="2">
        <v>6763</v>
      </c>
      <c r="E132" s="3">
        <v>205764</v>
      </c>
      <c r="F132" s="3" t="s">
        <v>490</v>
      </c>
      <c r="G132" s="52" t="s">
        <v>491</v>
      </c>
      <c r="H132" s="39">
        <v>5638935</v>
      </c>
      <c r="I132" s="39">
        <v>5461278</v>
      </c>
      <c r="J132" s="39"/>
      <c r="K132" s="39">
        <v>5461278</v>
      </c>
      <c r="L132" s="39">
        <f>I132-K132</f>
        <v>0</v>
      </c>
      <c r="M132" s="39"/>
      <c r="N132" s="39"/>
      <c r="O132" s="9">
        <v>0</v>
      </c>
      <c r="P132" s="102">
        <v>44564</v>
      </c>
      <c r="Q132" s="3" t="s">
        <v>31</v>
      </c>
      <c r="R132" s="20"/>
      <c r="S132" s="39">
        <v>5461278</v>
      </c>
      <c r="T132" s="8">
        <f t="shared" si="34"/>
        <v>0</v>
      </c>
      <c r="U132" s="14"/>
      <c r="V132" s="9">
        <v>0</v>
      </c>
      <c r="W132" s="102">
        <v>44593</v>
      </c>
      <c r="X132" s="14" t="s">
        <v>31</v>
      </c>
      <c r="Y132" s="20"/>
      <c r="Z132" s="14"/>
      <c r="AA132" s="57">
        <v>5461278</v>
      </c>
      <c r="AB132" s="57">
        <f t="shared" si="26"/>
        <v>0</v>
      </c>
      <c r="AC132" s="14"/>
      <c r="AD132" s="58">
        <v>0</v>
      </c>
      <c r="AE132" s="131">
        <v>44621</v>
      </c>
      <c r="AF132" s="14" t="s">
        <v>31</v>
      </c>
      <c r="AG132" s="20"/>
      <c r="AH132" s="67"/>
      <c r="AI132" s="39">
        <f>5461278+1243601</f>
        <v>6704879</v>
      </c>
      <c r="AJ132" s="39"/>
      <c r="AK132" s="39">
        <f>AA132-AI132</f>
        <v>-1243601</v>
      </c>
      <c r="AL132" s="39"/>
      <c r="AM132" s="9">
        <f>AK132/AA132</f>
        <v>-0.2277124511881651</v>
      </c>
      <c r="AN132" s="102">
        <v>44658</v>
      </c>
      <c r="AO132" s="14" t="s">
        <v>31</v>
      </c>
      <c r="AP132" s="14"/>
      <c r="AQ132" s="58"/>
      <c r="AR132" s="39">
        <v>5638935</v>
      </c>
      <c r="AS132" s="39"/>
      <c r="AT132" s="39">
        <f>AA132-AR132</f>
        <v>-177657</v>
      </c>
      <c r="AU132" s="39"/>
      <c r="AV132" s="9">
        <f>AT132/AA132</f>
        <v>-3.2530297853359598E-2</v>
      </c>
      <c r="AW132" s="101">
        <v>44683</v>
      </c>
      <c r="AX132" s="14" t="s">
        <v>31</v>
      </c>
      <c r="AY132" s="14"/>
      <c r="AZ132" s="9"/>
      <c r="BA132" s="39">
        <v>5638935</v>
      </c>
      <c r="BB132" s="39">
        <f t="shared" si="33"/>
        <v>0</v>
      </c>
      <c r="BC132" s="39"/>
      <c r="BD132" s="39"/>
      <c r="BE132" s="9">
        <v>0</v>
      </c>
      <c r="BF132" s="101">
        <v>44713</v>
      </c>
      <c r="BG132" s="14" t="s">
        <v>31</v>
      </c>
      <c r="BH132" s="101">
        <v>44728</v>
      </c>
      <c r="BI132" s="9"/>
      <c r="BJ132" s="39">
        <v>5638935</v>
      </c>
      <c r="BK132" s="39">
        <f t="shared" si="35"/>
        <v>0</v>
      </c>
      <c r="BL132" s="39"/>
      <c r="BM132" s="39"/>
      <c r="BN132" s="9">
        <v>0</v>
      </c>
      <c r="BO132" s="101">
        <v>44743</v>
      </c>
      <c r="BP132" s="14" t="s">
        <v>31</v>
      </c>
      <c r="BQ132" s="101">
        <v>44757</v>
      </c>
      <c r="BR132" s="9"/>
      <c r="BS132" s="39">
        <v>5638935</v>
      </c>
      <c r="BT132" s="39">
        <f t="shared" si="36"/>
        <v>0</v>
      </c>
      <c r="BU132" s="39"/>
      <c r="BV132" s="39"/>
      <c r="BW132" s="9">
        <v>0</v>
      </c>
      <c r="BX132" s="101">
        <v>44774</v>
      </c>
      <c r="BY132" s="14" t="s">
        <v>31</v>
      </c>
      <c r="BZ132" s="14"/>
      <c r="CA132" s="9"/>
      <c r="CB132" s="39"/>
      <c r="CC132" s="39"/>
      <c r="CD132" s="39"/>
      <c r="CE132" s="39"/>
      <c r="CF132" s="9"/>
      <c r="CG132" s="101"/>
      <c r="CH132" s="14"/>
      <c r="CI132" s="14"/>
      <c r="CJ132" s="9"/>
      <c r="CK132" s="39"/>
      <c r="CL132" s="39"/>
      <c r="CM132" s="39"/>
      <c r="CN132" s="39"/>
      <c r="CO132" s="9"/>
      <c r="CP132" s="101"/>
      <c r="CQ132" s="14"/>
      <c r="CR132" s="14"/>
      <c r="CS132" s="39"/>
      <c r="CT132" s="39"/>
      <c r="CU132" s="39"/>
      <c r="CV132" s="39"/>
      <c r="CW132" s="39"/>
      <c r="CX132" s="39"/>
      <c r="CY132" s="39"/>
      <c r="CZ132" s="39"/>
      <c r="DA132" s="115"/>
      <c r="DB132" s="9"/>
      <c r="DC132" s="39"/>
      <c r="DD132" s="39"/>
      <c r="DE132" s="39"/>
      <c r="DF132" s="39"/>
      <c r="DG132" s="9"/>
      <c r="DH132" s="101"/>
      <c r="DI132" s="14"/>
      <c r="DJ132" s="14"/>
    </row>
    <row r="133" spans="1:114" ht="15" hidden="1" customHeight="1" x14ac:dyDescent="0.35">
      <c r="A133" s="1" t="s">
        <v>487</v>
      </c>
      <c r="B133" s="14" t="s">
        <v>488</v>
      </c>
      <c r="C133" s="14" t="s">
        <v>29</v>
      </c>
      <c r="D133" s="2">
        <v>6763</v>
      </c>
      <c r="E133" s="3">
        <v>205763</v>
      </c>
      <c r="F133" s="3" t="s">
        <v>492</v>
      </c>
      <c r="G133" s="52" t="s">
        <v>493</v>
      </c>
      <c r="H133" s="39">
        <v>5638935</v>
      </c>
      <c r="I133" s="39">
        <v>5461278</v>
      </c>
      <c r="J133" s="39"/>
      <c r="K133" s="39">
        <v>5461278</v>
      </c>
      <c r="L133" s="39">
        <f>I133-K133</f>
        <v>0</v>
      </c>
      <c r="M133" s="39"/>
      <c r="N133" s="39"/>
      <c r="O133" s="9">
        <v>0</v>
      </c>
      <c r="P133" s="101">
        <v>44567</v>
      </c>
      <c r="Q133" s="101" t="s">
        <v>31</v>
      </c>
      <c r="R133" s="20"/>
      <c r="S133" s="39">
        <v>5461278</v>
      </c>
      <c r="T133" s="8">
        <f t="shared" si="34"/>
        <v>0</v>
      </c>
      <c r="U133" s="14"/>
      <c r="V133" s="9">
        <v>0</v>
      </c>
      <c r="W133" s="101">
        <v>44594</v>
      </c>
      <c r="X133" s="14" t="s">
        <v>31</v>
      </c>
      <c r="Y133" s="20"/>
      <c r="Z133" s="14"/>
      <c r="AA133" s="57">
        <v>5461278</v>
      </c>
      <c r="AB133" s="57">
        <f t="shared" si="26"/>
        <v>0</v>
      </c>
      <c r="AC133" s="14"/>
      <c r="AD133" s="58">
        <v>0</v>
      </c>
      <c r="AE133" s="131">
        <v>44622</v>
      </c>
      <c r="AF133" s="14" t="s">
        <v>31</v>
      </c>
      <c r="AG133" s="20"/>
      <c r="AH133" s="9"/>
      <c r="AI133" s="39">
        <f>5461278+1243601</f>
        <v>6704879</v>
      </c>
      <c r="AJ133" s="39"/>
      <c r="AK133" s="39">
        <f>AA133-AI133</f>
        <v>-1243601</v>
      </c>
      <c r="AL133" s="39"/>
      <c r="AM133" s="9">
        <f>AK133/AA133</f>
        <v>-0.2277124511881651</v>
      </c>
      <c r="AN133" s="102">
        <v>44658</v>
      </c>
      <c r="AO133" s="14" t="s">
        <v>31</v>
      </c>
      <c r="AP133" s="14"/>
      <c r="AQ133" s="58"/>
      <c r="AR133" s="39">
        <v>5638935</v>
      </c>
      <c r="AS133" s="39"/>
      <c r="AT133" s="39">
        <f>AA133-AR133</f>
        <v>-177657</v>
      </c>
      <c r="AU133" s="39">
        <v>6704879</v>
      </c>
      <c r="AV133" s="9">
        <f>AT133/AA133</f>
        <v>-3.2530297853359598E-2</v>
      </c>
      <c r="AW133" s="101">
        <v>44692</v>
      </c>
      <c r="AX133" s="14" t="s">
        <v>31</v>
      </c>
      <c r="AY133" s="14"/>
      <c r="AZ133" s="9"/>
      <c r="BA133" s="39">
        <v>5638935</v>
      </c>
      <c r="BB133" s="39">
        <f t="shared" si="33"/>
        <v>0</v>
      </c>
      <c r="BC133" s="39"/>
      <c r="BD133" s="39"/>
      <c r="BE133" s="9">
        <v>0</v>
      </c>
      <c r="BF133" s="101">
        <v>44718</v>
      </c>
      <c r="BG133" s="14" t="s">
        <v>31</v>
      </c>
      <c r="BH133" s="101">
        <v>44728</v>
      </c>
      <c r="BI133" s="9"/>
      <c r="BJ133" s="39">
        <v>5638935</v>
      </c>
      <c r="BK133" s="39">
        <f t="shared" si="35"/>
        <v>0</v>
      </c>
      <c r="BL133" s="39"/>
      <c r="BM133" s="39"/>
      <c r="BN133" s="9">
        <v>0</v>
      </c>
      <c r="BO133" s="101">
        <v>44748</v>
      </c>
      <c r="BP133" s="14" t="s">
        <v>31</v>
      </c>
      <c r="BQ133" s="14"/>
      <c r="BR133" s="9"/>
      <c r="BS133" s="39">
        <v>5638935</v>
      </c>
      <c r="BT133" s="39">
        <f t="shared" si="36"/>
        <v>0</v>
      </c>
      <c r="BU133" s="39"/>
      <c r="BV133" s="39"/>
      <c r="BW133" s="9">
        <v>0</v>
      </c>
      <c r="BX133" s="101">
        <v>44775</v>
      </c>
      <c r="BY133" s="14" t="s">
        <v>31</v>
      </c>
      <c r="BZ133" s="14"/>
      <c r="CA133" s="9"/>
      <c r="CB133" s="39"/>
      <c r="CC133" s="39"/>
      <c r="CD133" s="39"/>
      <c r="CE133" s="39"/>
      <c r="CF133" s="9"/>
      <c r="CG133" s="101"/>
      <c r="CH133" s="14"/>
      <c r="CI133" s="14"/>
      <c r="CJ133" s="9"/>
      <c r="CK133" s="39"/>
      <c r="CL133" s="39"/>
      <c r="CM133" s="39"/>
      <c r="CN133" s="39"/>
      <c r="CO133" s="9"/>
      <c r="CP133" s="101"/>
      <c r="CQ133" s="14"/>
      <c r="CR133" s="14"/>
      <c r="CS133" s="39"/>
      <c r="CT133" s="39"/>
      <c r="CU133" s="39"/>
      <c r="CV133" s="39"/>
      <c r="CW133" s="39"/>
      <c r="CX133" s="39"/>
      <c r="CY133" s="39"/>
      <c r="CZ133" s="39"/>
      <c r="DA133" s="115"/>
      <c r="DB133" s="9"/>
      <c r="DC133" s="39"/>
      <c r="DD133" s="39"/>
      <c r="DE133" s="39"/>
      <c r="DF133" s="39"/>
      <c r="DG133" s="9"/>
      <c r="DH133" s="101"/>
      <c r="DI133" s="14"/>
      <c r="DJ133" s="14"/>
    </row>
    <row r="134" spans="1:114" ht="15" hidden="1" customHeight="1" x14ac:dyDescent="0.35">
      <c r="A134" s="1" t="s">
        <v>494</v>
      </c>
      <c r="B134" s="14" t="s">
        <v>495</v>
      </c>
      <c r="C134" s="14" t="s">
        <v>457</v>
      </c>
      <c r="D134" s="2">
        <v>6764</v>
      </c>
      <c r="E134" s="3">
        <v>207634</v>
      </c>
      <c r="F134" s="3" t="s">
        <v>496</v>
      </c>
      <c r="G134" s="52" t="s">
        <v>423</v>
      </c>
      <c r="H134" s="39">
        <v>4277887</v>
      </c>
      <c r="I134" s="39">
        <v>3974993</v>
      </c>
      <c r="J134" s="39"/>
      <c r="K134" s="39">
        <v>3974993</v>
      </c>
      <c r="L134" s="39">
        <f>I134-K134</f>
        <v>0</v>
      </c>
      <c r="M134" s="39"/>
      <c r="N134" s="39"/>
      <c r="O134" s="9">
        <v>0</v>
      </c>
      <c r="P134" s="102">
        <v>44564</v>
      </c>
      <c r="Q134" s="3" t="s">
        <v>31</v>
      </c>
      <c r="R134" s="20"/>
      <c r="S134" s="39">
        <v>4277887</v>
      </c>
      <c r="T134" s="8">
        <f t="shared" si="34"/>
        <v>-302894</v>
      </c>
      <c r="U134" s="14"/>
      <c r="V134" s="9">
        <f>T134/K134</f>
        <v>-7.6199882616145492E-2</v>
      </c>
      <c r="W134" s="101">
        <v>44595</v>
      </c>
      <c r="X134" s="14" t="s">
        <v>31</v>
      </c>
      <c r="Y134" s="20"/>
      <c r="Z134" s="14"/>
      <c r="AA134" s="57">
        <v>4277887</v>
      </c>
      <c r="AB134" s="57">
        <f t="shared" si="26"/>
        <v>0</v>
      </c>
      <c r="AC134" s="14"/>
      <c r="AD134" s="58">
        <v>0</v>
      </c>
      <c r="AE134" s="131">
        <v>44621</v>
      </c>
      <c r="AF134" s="14" t="s">
        <v>31</v>
      </c>
      <c r="AG134" s="20"/>
      <c r="AH134" s="67"/>
      <c r="AI134" s="39">
        <v>4277887</v>
      </c>
      <c r="AJ134" s="39">
        <f>AA134-AI134</f>
        <v>0</v>
      </c>
      <c r="AK134" s="39"/>
      <c r="AL134" s="39"/>
      <c r="AM134" s="9">
        <v>0</v>
      </c>
      <c r="AN134" s="101">
        <v>44655</v>
      </c>
      <c r="AO134" s="14" t="s">
        <v>31</v>
      </c>
      <c r="AP134" s="14"/>
      <c r="AQ134" s="58"/>
      <c r="AR134" s="39">
        <v>4277887</v>
      </c>
      <c r="AS134" s="39">
        <f>AI134-AR134</f>
        <v>0</v>
      </c>
      <c r="AT134" s="39"/>
      <c r="AU134" s="39"/>
      <c r="AV134" s="9">
        <v>0</v>
      </c>
      <c r="AW134" s="101">
        <v>44683</v>
      </c>
      <c r="AX134" s="14" t="s">
        <v>31</v>
      </c>
      <c r="AY134" s="14"/>
      <c r="AZ134" s="9"/>
      <c r="BA134" s="39">
        <v>4277887</v>
      </c>
      <c r="BB134" s="39">
        <f t="shared" si="33"/>
        <v>0</v>
      </c>
      <c r="BC134" s="39"/>
      <c r="BD134" s="39"/>
      <c r="BE134" s="9">
        <v>0</v>
      </c>
      <c r="BF134" s="101">
        <v>44713</v>
      </c>
      <c r="BG134" s="14" t="s">
        <v>31</v>
      </c>
      <c r="BH134" s="101">
        <v>44728</v>
      </c>
      <c r="BI134" s="9"/>
      <c r="BJ134" s="39">
        <v>4277887</v>
      </c>
      <c r="BK134" s="39">
        <f t="shared" si="35"/>
        <v>0</v>
      </c>
      <c r="BL134" s="39"/>
      <c r="BM134" s="39"/>
      <c r="BN134" s="9">
        <v>0</v>
      </c>
      <c r="BO134" s="101">
        <v>44743</v>
      </c>
      <c r="BP134" s="14" t="s">
        <v>31</v>
      </c>
      <c r="BQ134" s="101">
        <v>44757</v>
      </c>
      <c r="BR134" s="9"/>
      <c r="BS134" s="39">
        <v>4277887</v>
      </c>
      <c r="BT134" s="39">
        <f t="shared" si="36"/>
        <v>0</v>
      </c>
      <c r="BU134" s="39"/>
      <c r="BV134" s="39"/>
      <c r="BW134" s="9">
        <v>0</v>
      </c>
      <c r="BX134" s="101">
        <v>44774</v>
      </c>
      <c r="BY134" s="14" t="s">
        <v>31</v>
      </c>
      <c r="BZ134" s="14"/>
      <c r="CA134" s="9"/>
      <c r="CB134" s="39"/>
      <c r="CC134" s="39"/>
      <c r="CD134" s="39"/>
      <c r="CE134" s="39"/>
      <c r="CF134" s="9"/>
      <c r="CG134" s="101"/>
      <c r="CH134" s="14"/>
      <c r="CI134" s="14"/>
      <c r="CJ134" s="9"/>
      <c r="CK134" s="39"/>
      <c r="CL134" s="39"/>
      <c r="CM134" s="39"/>
      <c r="CN134" s="39"/>
      <c r="CO134" s="9"/>
      <c r="CP134" s="101"/>
      <c r="CQ134" s="14"/>
      <c r="CR134" s="14"/>
      <c r="CS134" s="39"/>
      <c r="CT134" s="39"/>
      <c r="CU134" s="39"/>
      <c r="CV134" s="39"/>
      <c r="CW134" s="39"/>
      <c r="CX134" s="39"/>
      <c r="CY134" s="103"/>
      <c r="CZ134" s="39"/>
      <c r="DA134" s="115"/>
      <c r="DB134" s="9"/>
      <c r="DC134" s="39"/>
      <c r="DD134" s="39"/>
      <c r="DE134" s="39"/>
      <c r="DF134" s="39"/>
      <c r="DG134" s="9"/>
      <c r="DH134" s="101"/>
      <c r="DI134" s="14"/>
      <c r="DJ134" s="14"/>
    </row>
    <row r="135" spans="1:114" ht="15" hidden="1" customHeight="1" x14ac:dyDescent="0.35">
      <c r="A135" s="1" t="s">
        <v>497</v>
      </c>
      <c r="B135" s="14" t="s">
        <v>498</v>
      </c>
      <c r="C135" s="14" t="s">
        <v>29</v>
      </c>
      <c r="D135" s="2">
        <v>6766</v>
      </c>
      <c r="E135" s="3">
        <v>207634</v>
      </c>
      <c r="F135" s="3" t="s">
        <v>499</v>
      </c>
      <c r="G135" s="52" t="s">
        <v>423</v>
      </c>
      <c r="H135" s="39">
        <v>24261280</v>
      </c>
      <c r="I135" s="39">
        <v>24261280</v>
      </c>
      <c r="J135" s="39"/>
      <c r="K135" s="39">
        <v>24261280</v>
      </c>
      <c r="L135" s="39">
        <f>H135-K135</f>
        <v>0</v>
      </c>
      <c r="M135" s="39"/>
      <c r="N135" s="39"/>
      <c r="O135" s="9">
        <v>0</v>
      </c>
      <c r="P135" s="102">
        <v>44564</v>
      </c>
      <c r="Q135" s="3" t="s">
        <v>31</v>
      </c>
      <c r="R135" s="20"/>
      <c r="S135" s="39">
        <v>24261280</v>
      </c>
      <c r="T135" s="8">
        <f t="shared" si="34"/>
        <v>0</v>
      </c>
      <c r="U135" s="14"/>
      <c r="V135" s="9">
        <v>0</v>
      </c>
      <c r="W135" s="101">
        <v>44595</v>
      </c>
      <c r="X135" s="14" t="s">
        <v>31</v>
      </c>
      <c r="Y135" s="20"/>
      <c r="Z135" s="14"/>
      <c r="AA135" s="57">
        <v>24261280</v>
      </c>
      <c r="AB135" s="57">
        <f t="shared" si="26"/>
        <v>0</v>
      </c>
      <c r="AC135" s="14"/>
      <c r="AD135" s="58">
        <v>0</v>
      </c>
      <c r="AE135" s="131">
        <v>44621</v>
      </c>
      <c r="AF135" s="14" t="s">
        <v>31</v>
      </c>
      <c r="AG135" s="20"/>
      <c r="AH135" s="67"/>
      <c r="AI135" s="39">
        <v>24261280</v>
      </c>
      <c r="AJ135" s="39">
        <f>AA135-AI135</f>
        <v>0</v>
      </c>
      <c r="AK135" s="39"/>
      <c r="AL135" s="39"/>
      <c r="AM135" s="9">
        <v>0</v>
      </c>
      <c r="AN135" s="101">
        <v>44655</v>
      </c>
      <c r="AO135" s="14" t="s">
        <v>31</v>
      </c>
      <c r="AP135" s="14"/>
      <c r="AQ135" s="58"/>
      <c r="AR135" s="39">
        <v>24261280</v>
      </c>
      <c r="AS135" s="39">
        <f>AI135-AR135</f>
        <v>0</v>
      </c>
      <c r="AT135" s="39"/>
      <c r="AU135" s="39"/>
      <c r="AV135" s="9">
        <v>0</v>
      </c>
      <c r="AW135" s="101">
        <v>44683</v>
      </c>
      <c r="AX135" s="14" t="s">
        <v>31</v>
      </c>
      <c r="AY135" s="14"/>
      <c r="AZ135" s="9"/>
      <c r="BA135" s="39">
        <v>24261280</v>
      </c>
      <c r="BB135" s="39">
        <f t="shared" si="33"/>
        <v>0</v>
      </c>
      <c r="BC135" s="39"/>
      <c r="BD135" s="39"/>
      <c r="BE135" s="9">
        <v>0</v>
      </c>
      <c r="BF135" s="101">
        <v>44713</v>
      </c>
      <c r="BG135" s="14" t="s">
        <v>31</v>
      </c>
      <c r="BH135" s="101">
        <v>44728</v>
      </c>
      <c r="BI135" s="9"/>
      <c r="BJ135" s="39">
        <v>24261280</v>
      </c>
      <c r="BK135" s="39">
        <f t="shared" si="35"/>
        <v>0</v>
      </c>
      <c r="BL135" s="39"/>
      <c r="BM135" s="39"/>
      <c r="BN135" s="9">
        <v>0</v>
      </c>
      <c r="BO135" s="101">
        <v>44743</v>
      </c>
      <c r="BP135" s="14" t="s">
        <v>31</v>
      </c>
      <c r="BQ135" s="101">
        <v>44757</v>
      </c>
      <c r="BR135" s="9"/>
      <c r="BS135" s="39">
        <v>24261280</v>
      </c>
      <c r="BT135" s="39">
        <f t="shared" si="36"/>
        <v>0</v>
      </c>
      <c r="BU135" s="39"/>
      <c r="BV135" s="39"/>
      <c r="BW135" s="9">
        <v>0</v>
      </c>
      <c r="BX135" s="101">
        <v>44774</v>
      </c>
      <c r="BY135" s="14" t="s">
        <v>31</v>
      </c>
      <c r="BZ135" s="14"/>
      <c r="CA135" s="9"/>
      <c r="CB135" s="39"/>
      <c r="CC135" s="39"/>
      <c r="CD135" s="39"/>
      <c r="CE135" s="39"/>
      <c r="CF135" s="9"/>
      <c r="CG135" s="101"/>
      <c r="CH135" s="14"/>
      <c r="CI135" s="14"/>
      <c r="CJ135" s="9"/>
      <c r="CK135" s="39"/>
      <c r="CL135" s="39"/>
      <c r="CM135" s="39"/>
      <c r="CN135" s="39"/>
      <c r="CO135" s="9"/>
      <c r="CP135" s="101"/>
      <c r="CQ135" s="14"/>
      <c r="CR135" s="14"/>
      <c r="CS135" s="39"/>
      <c r="CT135" s="39"/>
      <c r="CU135" s="39"/>
      <c r="CV135" s="39"/>
      <c r="CW135" s="39"/>
      <c r="CX135" s="39"/>
      <c r="CY135" s="103"/>
      <c r="CZ135" s="39"/>
      <c r="DA135" s="115"/>
      <c r="DB135" s="9"/>
      <c r="DC135" s="39"/>
      <c r="DD135" s="39"/>
      <c r="DE135" s="39"/>
      <c r="DF135" s="39"/>
      <c r="DG135" s="9"/>
      <c r="DH135" s="101"/>
      <c r="DI135" s="14"/>
      <c r="DJ135" s="14"/>
    </row>
    <row r="136" spans="1:114" ht="15" hidden="1" customHeight="1" x14ac:dyDescent="0.35">
      <c r="A136" s="1" t="s">
        <v>514</v>
      </c>
      <c r="B136" s="14" t="s">
        <v>515</v>
      </c>
      <c r="C136" s="14" t="s">
        <v>113</v>
      </c>
      <c r="D136" s="14" t="s">
        <v>516</v>
      </c>
      <c r="E136" s="3">
        <v>332321</v>
      </c>
      <c r="F136" s="3" t="s">
        <v>517</v>
      </c>
      <c r="G136" s="52" t="s">
        <v>518</v>
      </c>
      <c r="H136" s="39">
        <v>10969386</v>
      </c>
      <c r="I136" s="39">
        <v>10192702</v>
      </c>
      <c r="J136" s="39"/>
      <c r="K136" s="39">
        <v>10192702</v>
      </c>
      <c r="L136" s="39">
        <f>I136-K136</f>
        <v>0</v>
      </c>
      <c r="M136" s="39"/>
      <c r="N136" s="39"/>
      <c r="O136" s="9">
        <v>0</v>
      </c>
      <c r="P136" s="101">
        <v>44574</v>
      </c>
      <c r="Q136" s="14" t="s">
        <v>31</v>
      </c>
      <c r="R136" s="20"/>
      <c r="S136" s="39">
        <v>10192702</v>
      </c>
      <c r="T136" s="8">
        <f>K136-S136</f>
        <v>0</v>
      </c>
      <c r="U136" s="14"/>
      <c r="V136" s="9">
        <v>0</v>
      </c>
      <c r="W136" s="102">
        <v>44600</v>
      </c>
      <c r="X136" s="14" t="s">
        <v>31</v>
      </c>
      <c r="Y136" s="20"/>
      <c r="Z136" s="14"/>
      <c r="AA136" s="57">
        <v>10192702</v>
      </c>
      <c r="AB136" s="57">
        <f t="shared" si="26"/>
        <v>0</v>
      </c>
      <c r="AC136" s="14"/>
      <c r="AD136" s="58">
        <v>0</v>
      </c>
      <c r="AE136" s="101">
        <v>44624</v>
      </c>
      <c r="AF136" s="14" t="s">
        <v>31</v>
      </c>
      <c r="AG136" s="20"/>
      <c r="AH136" s="9"/>
      <c r="AI136" s="39">
        <v>10192702</v>
      </c>
      <c r="AJ136" s="39">
        <f>AA136-AI136</f>
        <v>0</v>
      </c>
      <c r="AK136" s="39"/>
      <c r="AL136" s="39"/>
      <c r="AM136" s="9">
        <v>0</v>
      </c>
      <c r="AN136" s="101">
        <v>44657</v>
      </c>
      <c r="AO136" s="14" t="s">
        <v>31</v>
      </c>
      <c r="AP136" s="14"/>
      <c r="AQ136" s="58"/>
      <c r="AR136" s="39">
        <v>10969386</v>
      </c>
      <c r="AS136" s="39"/>
      <c r="AT136" s="39">
        <f>AI136-AR136</f>
        <v>-776684</v>
      </c>
      <c r="AU136" s="39"/>
      <c r="AV136" s="9">
        <f>AT136/AI136</f>
        <v>-7.6200010556572731E-2</v>
      </c>
      <c r="AW136" s="101">
        <v>44693</v>
      </c>
      <c r="AX136" s="14" t="s">
        <v>31</v>
      </c>
      <c r="AY136" s="14"/>
      <c r="AZ136" s="9"/>
      <c r="BA136" s="39">
        <v>10969386</v>
      </c>
      <c r="BB136" s="39">
        <f>AR136-BA136</f>
        <v>0</v>
      </c>
      <c r="BC136" s="39"/>
      <c r="BD136" s="39"/>
      <c r="BE136" s="9">
        <v>0</v>
      </c>
      <c r="BF136" s="101">
        <v>44721</v>
      </c>
      <c r="BG136" s="14" t="s">
        <v>31</v>
      </c>
      <c r="BH136" s="101">
        <v>44728</v>
      </c>
      <c r="BI136" s="9"/>
      <c r="BJ136" s="39">
        <v>10969386</v>
      </c>
      <c r="BK136" s="39">
        <f t="shared" si="35"/>
        <v>0</v>
      </c>
      <c r="BL136" s="39"/>
      <c r="BM136" s="39"/>
      <c r="BN136" s="9">
        <v>0</v>
      </c>
      <c r="BO136" s="101">
        <v>44743</v>
      </c>
      <c r="BP136" s="14" t="s">
        <v>31</v>
      </c>
      <c r="BQ136" s="101">
        <v>44757</v>
      </c>
      <c r="BR136" s="9"/>
      <c r="BS136" s="39">
        <v>10969386</v>
      </c>
      <c r="BT136" s="39">
        <f t="shared" si="36"/>
        <v>0</v>
      </c>
      <c r="BU136" s="39"/>
      <c r="BV136" s="39"/>
      <c r="BW136" s="9">
        <v>0</v>
      </c>
      <c r="BX136" s="101">
        <v>44781</v>
      </c>
      <c r="BY136" s="14" t="s">
        <v>31</v>
      </c>
      <c r="BZ136" s="14"/>
      <c r="CA136" s="9"/>
      <c r="CB136" s="39"/>
      <c r="CC136" s="39"/>
      <c r="CD136" s="39"/>
      <c r="CE136" s="39"/>
      <c r="CF136" s="9"/>
      <c r="CG136" s="101"/>
      <c r="CH136" s="14"/>
      <c r="CI136" s="14"/>
      <c r="CJ136" s="9"/>
      <c r="CK136" s="39"/>
      <c r="CL136" s="39"/>
      <c r="CM136" s="39"/>
      <c r="CN136" s="39"/>
      <c r="CO136" s="9"/>
      <c r="CP136" s="101"/>
      <c r="CQ136" s="14"/>
      <c r="CR136" s="14"/>
      <c r="CS136" s="39"/>
      <c r="CT136" s="39"/>
      <c r="CU136" s="39"/>
      <c r="CV136" s="39"/>
      <c r="CW136" s="39"/>
      <c r="CX136" s="39"/>
      <c r="CY136" s="39"/>
      <c r="CZ136" s="39"/>
      <c r="DA136" s="115"/>
      <c r="DB136" s="9"/>
      <c r="DC136" s="39"/>
      <c r="DD136" s="39"/>
      <c r="DE136" s="39"/>
      <c r="DF136" s="39"/>
      <c r="DG136" s="9"/>
      <c r="DH136" s="101"/>
      <c r="DI136" s="14"/>
      <c r="DJ136" s="14"/>
    </row>
    <row r="137" spans="1:114" hidden="1" x14ac:dyDescent="0.35">
      <c r="A137" s="1" t="s">
        <v>281</v>
      </c>
      <c r="B137" s="14" t="s">
        <v>282</v>
      </c>
      <c r="C137" s="14" t="s">
        <v>119</v>
      </c>
      <c r="D137" s="2" t="s">
        <v>61</v>
      </c>
      <c r="E137" s="3">
        <v>214089</v>
      </c>
      <c r="F137" s="3" t="s">
        <v>284</v>
      </c>
      <c r="G137" s="52" t="s">
        <v>105</v>
      </c>
      <c r="H137" s="203" t="s">
        <v>61</v>
      </c>
      <c r="I137" s="204"/>
      <c r="J137" s="39"/>
      <c r="K137" s="39">
        <v>4350201</v>
      </c>
      <c r="L137" s="39">
        <v>0</v>
      </c>
      <c r="M137" s="39"/>
      <c r="N137" s="39"/>
      <c r="O137" s="9">
        <v>0</v>
      </c>
      <c r="P137" s="101">
        <v>44578</v>
      </c>
      <c r="Q137" s="3" t="s">
        <v>31</v>
      </c>
      <c r="R137" s="14"/>
      <c r="S137" s="172" t="s">
        <v>533</v>
      </c>
      <c r="T137" s="173"/>
      <c r="U137" s="173"/>
      <c r="V137" s="173"/>
      <c r="W137" s="173"/>
      <c r="X137" s="173"/>
      <c r="Y137" s="174"/>
      <c r="Z137" s="172" t="s">
        <v>533</v>
      </c>
      <c r="AA137" s="173"/>
      <c r="AB137" s="173"/>
      <c r="AC137" s="173"/>
      <c r="AD137" s="173"/>
      <c r="AE137" s="173"/>
      <c r="AF137" s="173"/>
      <c r="AG137" s="174"/>
      <c r="AH137" s="172" t="s">
        <v>533</v>
      </c>
      <c r="AI137" s="173"/>
      <c r="AJ137" s="173"/>
      <c r="AK137" s="173"/>
      <c r="AL137" s="173"/>
      <c r="AM137" s="173"/>
      <c r="AN137" s="173"/>
      <c r="AO137" s="173"/>
      <c r="AP137" s="174"/>
      <c r="AQ137" s="163" t="s">
        <v>510</v>
      </c>
      <c r="AR137" s="164"/>
      <c r="AS137" s="164"/>
      <c r="AT137" s="164"/>
      <c r="AU137" s="164"/>
      <c r="AV137" s="164"/>
      <c r="AW137" s="164"/>
      <c r="AX137" s="164"/>
      <c r="AY137" s="165"/>
      <c r="AZ137" s="163" t="s">
        <v>532</v>
      </c>
      <c r="BA137" s="164"/>
      <c r="BB137" s="164"/>
      <c r="BC137" s="164"/>
      <c r="BD137" s="164"/>
      <c r="BE137" s="164"/>
      <c r="BF137" s="164"/>
      <c r="BG137" s="164"/>
      <c r="BH137" s="165"/>
      <c r="BI137" s="172"/>
      <c r="BJ137" s="173"/>
      <c r="BK137" s="173"/>
      <c r="BL137" s="173"/>
      <c r="BM137" s="173"/>
      <c r="BN137" s="173"/>
      <c r="BO137" s="173"/>
      <c r="BP137" s="173"/>
      <c r="BQ137" s="174"/>
      <c r="BR137" s="172"/>
      <c r="BS137" s="173"/>
      <c r="BT137" s="173"/>
      <c r="BU137" s="173"/>
      <c r="BV137" s="173"/>
      <c r="BW137" s="173"/>
      <c r="BX137" s="173"/>
      <c r="BY137" s="173"/>
      <c r="BZ137" s="174"/>
      <c r="CA137" s="9"/>
      <c r="CB137" s="39"/>
      <c r="CC137" s="39"/>
      <c r="CD137" s="39"/>
      <c r="CE137" s="39"/>
      <c r="CF137" s="9"/>
      <c r="CG137" s="101"/>
      <c r="CH137" s="14"/>
      <c r="CI137" s="14"/>
      <c r="CJ137" s="163"/>
      <c r="CK137" s="164"/>
      <c r="CL137" s="164"/>
      <c r="CM137" s="164"/>
      <c r="CN137" s="164"/>
      <c r="CO137" s="164"/>
      <c r="CP137" s="164"/>
      <c r="CQ137" s="164"/>
      <c r="CR137" s="165"/>
      <c r="CS137" s="163"/>
      <c r="CT137" s="164"/>
      <c r="CU137" s="164"/>
      <c r="CV137" s="164"/>
      <c r="CW137" s="164"/>
      <c r="CX137" s="164"/>
      <c r="CY137" s="164"/>
      <c r="CZ137" s="164"/>
      <c r="DA137" s="165"/>
      <c r="DB137" s="9"/>
      <c r="DC137" s="39"/>
      <c r="DD137" s="39"/>
      <c r="DE137" s="39"/>
      <c r="DF137" s="39"/>
      <c r="DG137" s="9"/>
      <c r="DH137" s="101"/>
      <c r="DI137" s="14"/>
      <c r="DJ137" s="14"/>
    </row>
    <row r="138" spans="1:114" hidden="1" x14ac:dyDescent="0.35">
      <c r="A138" s="1" t="s">
        <v>424</v>
      </c>
      <c r="B138" s="14" t="s">
        <v>425</v>
      </c>
      <c r="C138" s="14" t="s">
        <v>158</v>
      </c>
      <c r="D138" s="2" t="s">
        <v>61</v>
      </c>
      <c r="E138" s="3">
        <v>204942</v>
      </c>
      <c r="F138" s="3" t="s">
        <v>426</v>
      </c>
      <c r="G138" s="52">
        <v>8050305871</v>
      </c>
      <c r="H138" s="39"/>
      <c r="I138" s="39"/>
      <c r="J138" s="111"/>
      <c r="K138" s="111">
        <v>530915</v>
      </c>
      <c r="L138" s="111">
        <v>0</v>
      </c>
      <c r="M138" s="111"/>
      <c r="N138" s="111"/>
      <c r="O138" s="113">
        <v>0</v>
      </c>
      <c r="P138" s="121">
        <v>44783</v>
      </c>
      <c r="Q138" s="111" t="s">
        <v>31</v>
      </c>
      <c r="R138" s="111"/>
      <c r="S138" s="172" t="s">
        <v>533</v>
      </c>
      <c r="T138" s="173"/>
      <c r="U138" s="173"/>
      <c r="V138" s="173"/>
      <c r="W138" s="173"/>
      <c r="X138" s="173"/>
      <c r="Y138" s="174"/>
      <c r="Z138" s="14"/>
      <c r="AA138" s="57">
        <f>724004+2328645</f>
        <v>3052649</v>
      </c>
      <c r="AB138" s="57">
        <v>0</v>
      </c>
      <c r="AC138" s="14"/>
      <c r="AD138" s="58">
        <v>0</v>
      </c>
      <c r="AE138" s="102">
        <v>44700</v>
      </c>
      <c r="AF138" s="14" t="s">
        <v>31</v>
      </c>
      <c r="AG138" s="20"/>
      <c r="AH138" s="67"/>
      <c r="AI138" s="39">
        <v>111761</v>
      </c>
      <c r="AJ138" s="39">
        <v>0</v>
      </c>
      <c r="AK138" s="39"/>
      <c r="AL138" s="39"/>
      <c r="AM138" s="9">
        <v>0</v>
      </c>
      <c r="AN138" s="101">
        <v>44671</v>
      </c>
      <c r="AO138" s="14" t="s">
        <v>31</v>
      </c>
      <c r="AP138" s="14"/>
      <c r="AQ138" s="163" t="s">
        <v>510</v>
      </c>
      <c r="AR138" s="164"/>
      <c r="AS138" s="164"/>
      <c r="AT138" s="164"/>
      <c r="AU138" s="164"/>
      <c r="AV138" s="164"/>
      <c r="AW138" s="164"/>
      <c r="AX138" s="164"/>
      <c r="AY138" s="165"/>
      <c r="AZ138" s="163" t="s">
        <v>532</v>
      </c>
      <c r="BA138" s="164"/>
      <c r="BB138" s="164"/>
      <c r="BC138" s="164"/>
      <c r="BD138" s="164"/>
      <c r="BE138" s="164"/>
      <c r="BF138" s="164"/>
      <c r="BG138" s="164"/>
      <c r="BH138" s="165"/>
      <c r="BI138" s="163" t="s">
        <v>532</v>
      </c>
      <c r="BJ138" s="164"/>
      <c r="BK138" s="164"/>
      <c r="BL138" s="164"/>
      <c r="BM138" s="164"/>
      <c r="BN138" s="164"/>
      <c r="BO138" s="164"/>
      <c r="BP138" s="164"/>
      <c r="BQ138" s="165"/>
      <c r="BR138" s="9"/>
      <c r="BS138" s="39">
        <v>1305860</v>
      </c>
      <c r="BT138" s="39">
        <v>0</v>
      </c>
      <c r="BU138" s="39"/>
      <c r="BV138" s="39"/>
      <c r="BW138" s="9">
        <v>0</v>
      </c>
      <c r="BX138" s="101">
        <v>44791</v>
      </c>
      <c r="BY138" s="14" t="s">
        <v>31</v>
      </c>
      <c r="BZ138" s="14"/>
      <c r="CA138" s="9"/>
      <c r="CB138" s="39"/>
      <c r="CC138" s="39"/>
      <c r="CD138" s="39"/>
      <c r="CE138" s="39"/>
      <c r="CF138" s="9"/>
      <c r="CG138" s="101"/>
      <c r="CH138" s="14"/>
      <c r="CI138" s="14"/>
      <c r="CJ138" s="163"/>
      <c r="CK138" s="164"/>
      <c r="CL138" s="164"/>
      <c r="CM138" s="164"/>
      <c r="CN138" s="164"/>
      <c r="CO138" s="164"/>
      <c r="CP138" s="164"/>
      <c r="CQ138" s="164"/>
      <c r="CR138" s="165"/>
      <c r="CS138" s="163"/>
      <c r="CT138" s="164"/>
      <c r="CU138" s="164"/>
      <c r="CV138" s="164"/>
      <c r="CW138" s="164"/>
      <c r="CX138" s="164"/>
      <c r="CY138" s="164"/>
      <c r="CZ138" s="164"/>
      <c r="DA138" s="165"/>
      <c r="DB138" s="9"/>
      <c r="DC138" s="39"/>
      <c r="DD138" s="39"/>
      <c r="DE138" s="39"/>
      <c r="DF138" s="39"/>
      <c r="DG138" s="9"/>
      <c r="DH138" s="101"/>
      <c r="DI138" s="14"/>
      <c r="DJ138" s="14"/>
    </row>
    <row r="139" spans="1:114" hidden="1" x14ac:dyDescent="0.35">
      <c r="A139" s="1" t="s">
        <v>84</v>
      </c>
      <c r="B139" s="14" t="s">
        <v>85</v>
      </c>
      <c r="C139" s="14" t="s">
        <v>29</v>
      </c>
      <c r="D139" s="2" t="s">
        <v>61</v>
      </c>
      <c r="E139" s="3">
        <v>211510</v>
      </c>
      <c r="F139" s="3" t="s">
        <v>86</v>
      </c>
      <c r="G139" s="53">
        <v>900536058</v>
      </c>
      <c r="H139" s="203" t="s">
        <v>61</v>
      </c>
      <c r="I139" s="204"/>
      <c r="J139" s="39"/>
      <c r="K139" s="39">
        <v>9887469</v>
      </c>
      <c r="L139" s="39">
        <v>0</v>
      </c>
      <c r="M139" s="39"/>
      <c r="N139" s="39"/>
      <c r="O139" s="9">
        <v>0</v>
      </c>
      <c r="P139" s="102">
        <v>44579</v>
      </c>
      <c r="Q139" s="3" t="s">
        <v>31</v>
      </c>
      <c r="R139" s="20"/>
      <c r="S139" s="39">
        <v>1542007</v>
      </c>
      <c r="T139" s="8">
        <v>0</v>
      </c>
      <c r="U139" s="14"/>
      <c r="V139" s="9">
        <v>0</v>
      </c>
      <c r="W139" s="102">
        <v>44600</v>
      </c>
      <c r="X139" s="14" t="s">
        <v>31</v>
      </c>
      <c r="Y139" s="20"/>
      <c r="Z139" s="172" t="s">
        <v>533</v>
      </c>
      <c r="AA139" s="173"/>
      <c r="AB139" s="173"/>
      <c r="AC139" s="173"/>
      <c r="AD139" s="173"/>
      <c r="AE139" s="173"/>
      <c r="AF139" s="173"/>
      <c r="AG139" s="174"/>
      <c r="AH139" s="172" t="s">
        <v>533</v>
      </c>
      <c r="AI139" s="173"/>
      <c r="AJ139" s="173"/>
      <c r="AK139" s="173"/>
      <c r="AL139" s="173"/>
      <c r="AM139" s="173"/>
      <c r="AN139" s="173"/>
      <c r="AO139" s="173"/>
      <c r="AP139" s="174"/>
      <c r="AQ139" s="163" t="s">
        <v>510</v>
      </c>
      <c r="AR139" s="164"/>
      <c r="AS139" s="164"/>
      <c r="AT139" s="164"/>
      <c r="AU139" s="164"/>
      <c r="AV139" s="164"/>
      <c r="AW139" s="164"/>
      <c r="AX139" s="164"/>
      <c r="AY139" s="165"/>
      <c r="AZ139" s="9"/>
      <c r="BA139" s="39">
        <v>648435</v>
      </c>
      <c r="BB139" s="39">
        <v>0</v>
      </c>
      <c r="BC139" s="39"/>
      <c r="BD139" s="39"/>
      <c r="BE139" s="9">
        <v>0</v>
      </c>
      <c r="BF139" s="101">
        <v>44727</v>
      </c>
      <c r="BG139" s="14" t="s">
        <v>31</v>
      </c>
      <c r="BH139" s="101">
        <v>44754</v>
      </c>
      <c r="BI139" s="9"/>
      <c r="BJ139" s="39">
        <v>557704</v>
      </c>
      <c r="BK139" s="39">
        <v>0</v>
      </c>
      <c r="BL139" s="39"/>
      <c r="BM139" s="39"/>
      <c r="BN139" s="9">
        <v>0</v>
      </c>
      <c r="BO139" s="101">
        <v>44753</v>
      </c>
      <c r="BP139" s="14" t="s">
        <v>31</v>
      </c>
      <c r="BQ139" s="101">
        <v>44757</v>
      </c>
      <c r="BR139" s="9"/>
      <c r="BS139" s="39">
        <v>851251</v>
      </c>
      <c r="BT139" s="39">
        <v>0</v>
      </c>
      <c r="BU139" s="39"/>
      <c r="BV139" s="39"/>
      <c r="BW139" s="9">
        <v>0</v>
      </c>
      <c r="BX139" s="101">
        <v>44789</v>
      </c>
      <c r="BY139" s="14" t="s">
        <v>31</v>
      </c>
      <c r="BZ139" s="14"/>
      <c r="CA139" s="178"/>
      <c r="CB139" s="179"/>
      <c r="CC139" s="179"/>
      <c r="CD139" s="179"/>
      <c r="CE139" s="179"/>
      <c r="CF139" s="179"/>
      <c r="CG139" s="179"/>
      <c r="CH139" s="179"/>
      <c r="CI139" s="180"/>
      <c r="CJ139" s="9"/>
      <c r="CK139" s="39"/>
      <c r="CL139" s="39"/>
      <c r="CM139" s="39"/>
      <c r="CN139" s="39"/>
      <c r="CO139" s="9"/>
      <c r="CP139" s="101"/>
      <c r="CQ139" s="14"/>
      <c r="CR139" s="14"/>
      <c r="CS139" s="163"/>
      <c r="CT139" s="164"/>
      <c r="CU139" s="164"/>
      <c r="CV139" s="164"/>
      <c r="CW139" s="164"/>
      <c r="CX139" s="164"/>
      <c r="CY139" s="164"/>
      <c r="CZ139" s="164"/>
      <c r="DA139" s="165"/>
      <c r="DB139" s="9"/>
      <c r="DC139" s="39"/>
      <c r="DD139" s="39"/>
      <c r="DE139" s="39"/>
      <c r="DF139" s="39"/>
      <c r="DG139" s="9"/>
      <c r="DH139" s="101"/>
      <c r="DI139" s="14"/>
      <c r="DJ139" s="14"/>
    </row>
    <row r="140" spans="1:114" hidden="1" x14ac:dyDescent="0.35">
      <c r="A140" s="1" t="s">
        <v>96</v>
      </c>
      <c r="B140" s="14" t="s">
        <v>97</v>
      </c>
      <c r="C140" s="26" t="s">
        <v>29</v>
      </c>
      <c r="D140" s="2" t="s">
        <v>61</v>
      </c>
      <c r="E140" s="3">
        <v>289666</v>
      </c>
      <c r="F140" s="3" t="s">
        <v>508</v>
      </c>
      <c r="G140" s="52" t="s">
        <v>509</v>
      </c>
      <c r="H140" s="203" t="s">
        <v>61</v>
      </c>
      <c r="I140" s="204"/>
      <c r="J140" s="39"/>
      <c r="K140" s="39">
        <v>4408322</v>
      </c>
      <c r="L140" s="39">
        <v>0</v>
      </c>
      <c r="M140" s="39"/>
      <c r="N140" s="39"/>
      <c r="O140" s="9">
        <v>0</v>
      </c>
      <c r="P140" s="102">
        <v>44581</v>
      </c>
      <c r="Q140" s="14" t="s">
        <v>31</v>
      </c>
      <c r="R140" s="20"/>
      <c r="S140" s="172" t="s">
        <v>533</v>
      </c>
      <c r="T140" s="173"/>
      <c r="U140" s="173"/>
      <c r="V140" s="173"/>
      <c r="W140" s="173"/>
      <c r="X140" s="173"/>
      <c r="Y140" s="174"/>
      <c r="Z140" s="172" t="s">
        <v>533</v>
      </c>
      <c r="AA140" s="173"/>
      <c r="AB140" s="173"/>
      <c r="AC140" s="173"/>
      <c r="AD140" s="173"/>
      <c r="AE140" s="173"/>
      <c r="AF140" s="173"/>
      <c r="AG140" s="174"/>
      <c r="AH140" s="172" t="s">
        <v>533</v>
      </c>
      <c r="AI140" s="173"/>
      <c r="AJ140" s="173"/>
      <c r="AK140" s="173"/>
      <c r="AL140" s="173"/>
      <c r="AM140" s="173"/>
      <c r="AN140" s="173"/>
      <c r="AO140" s="173"/>
      <c r="AP140" s="174"/>
      <c r="AQ140" s="163" t="s">
        <v>510</v>
      </c>
      <c r="AR140" s="164"/>
      <c r="AS140" s="164"/>
      <c r="AT140" s="164"/>
      <c r="AU140" s="164"/>
      <c r="AV140" s="164"/>
      <c r="AW140" s="164"/>
      <c r="AX140" s="164"/>
      <c r="AY140" s="165"/>
      <c r="AZ140" s="163" t="s">
        <v>532</v>
      </c>
      <c r="BA140" s="164"/>
      <c r="BB140" s="164"/>
      <c r="BC140" s="164"/>
      <c r="BD140" s="164"/>
      <c r="BE140" s="164"/>
      <c r="BF140" s="164"/>
      <c r="BG140" s="164"/>
      <c r="BH140" s="165"/>
      <c r="BI140" s="163" t="s">
        <v>532</v>
      </c>
      <c r="BJ140" s="164"/>
      <c r="BK140" s="164"/>
      <c r="BL140" s="164"/>
      <c r="BM140" s="164"/>
      <c r="BN140" s="164"/>
      <c r="BO140" s="164"/>
      <c r="BP140" s="164"/>
      <c r="BQ140" s="165"/>
      <c r="BR140" s="9"/>
      <c r="BS140" s="39"/>
      <c r="BT140" s="39"/>
      <c r="BU140" s="39"/>
      <c r="BV140" s="39"/>
      <c r="BW140" s="9"/>
      <c r="BX140" s="101"/>
      <c r="BY140" s="14"/>
      <c r="BZ140" s="14"/>
      <c r="CA140" s="9"/>
      <c r="CB140" s="39"/>
      <c r="CC140" s="39"/>
      <c r="CD140" s="39"/>
      <c r="CE140" s="39"/>
      <c r="CF140" s="9"/>
      <c r="CG140" s="101"/>
      <c r="CH140" s="14"/>
      <c r="CI140" s="14"/>
      <c r="CJ140" s="9"/>
      <c r="CK140" s="39"/>
      <c r="CL140" s="39"/>
      <c r="CM140" s="39"/>
      <c r="CN140" s="39"/>
      <c r="CO140" s="9"/>
      <c r="CP140" s="101"/>
      <c r="CQ140" s="14"/>
      <c r="CR140" s="14"/>
      <c r="CS140" s="9"/>
      <c r="CT140" s="39"/>
      <c r="CU140" s="39"/>
      <c r="CV140" s="39"/>
      <c r="CW140" s="39"/>
      <c r="CX140" s="9"/>
      <c r="CY140" s="101"/>
      <c r="CZ140" s="14"/>
      <c r="DA140" s="86"/>
      <c r="DB140" s="9"/>
      <c r="DC140" s="39"/>
      <c r="DD140" s="39"/>
      <c r="DE140" s="39"/>
      <c r="DF140" s="39"/>
      <c r="DG140" s="9"/>
      <c r="DH140" s="101"/>
      <c r="DI140" s="14"/>
      <c r="DJ140" s="14"/>
    </row>
    <row r="141" spans="1:114" x14ac:dyDescent="0.35">
      <c r="A141" s="1" t="s">
        <v>227</v>
      </c>
      <c r="B141" s="14" t="s">
        <v>228</v>
      </c>
      <c r="C141" s="14" t="s">
        <v>60</v>
      </c>
      <c r="D141" s="2" t="s">
        <v>61</v>
      </c>
      <c r="E141" s="3">
        <v>231460</v>
      </c>
      <c r="F141" s="3" t="s">
        <v>178</v>
      </c>
      <c r="G141" s="52">
        <v>9006121181</v>
      </c>
      <c r="H141" s="203" t="s">
        <v>61</v>
      </c>
      <c r="I141" s="204"/>
      <c r="J141" s="39"/>
      <c r="K141" s="39">
        <v>49605</v>
      </c>
      <c r="L141" s="39">
        <v>0</v>
      </c>
      <c r="M141" s="39"/>
      <c r="N141" s="39"/>
      <c r="O141" s="9">
        <v>0</v>
      </c>
      <c r="P141" s="101">
        <v>44567</v>
      </c>
      <c r="Q141" s="101" t="s">
        <v>31</v>
      </c>
      <c r="R141" s="20"/>
      <c r="S141" s="172" t="s">
        <v>533</v>
      </c>
      <c r="T141" s="173"/>
      <c r="U141" s="173"/>
      <c r="V141" s="173"/>
      <c r="W141" s="173"/>
      <c r="X141" s="173"/>
      <c r="Y141" s="174"/>
      <c r="Z141" s="172" t="s">
        <v>533</v>
      </c>
      <c r="AA141" s="173"/>
      <c r="AB141" s="173"/>
      <c r="AC141" s="173"/>
      <c r="AD141" s="173"/>
      <c r="AE141" s="173"/>
      <c r="AF141" s="173"/>
      <c r="AG141" s="174"/>
      <c r="AH141" s="172" t="s">
        <v>533</v>
      </c>
      <c r="AI141" s="173"/>
      <c r="AJ141" s="173"/>
      <c r="AK141" s="173"/>
      <c r="AL141" s="173"/>
      <c r="AM141" s="173"/>
      <c r="AN141" s="173"/>
      <c r="AO141" s="173"/>
      <c r="AP141" s="174"/>
      <c r="AQ141" s="163" t="s">
        <v>510</v>
      </c>
      <c r="AR141" s="164"/>
      <c r="AS141" s="164"/>
      <c r="AT141" s="164"/>
      <c r="AU141" s="164"/>
      <c r="AV141" s="164"/>
      <c r="AW141" s="164"/>
      <c r="AX141" s="164"/>
      <c r="AY141" s="165"/>
      <c r="AZ141" s="163" t="s">
        <v>532</v>
      </c>
      <c r="BA141" s="164"/>
      <c r="BB141" s="164"/>
      <c r="BC141" s="164"/>
      <c r="BD141" s="164"/>
      <c r="BE141" s="164"/>
      <c r="BF141" s="164"/>
      <c r="BG141" s="164"/>
      <c r="BH141" s="165"/>
      <c r="BI141" s="163" t="s">
        <v>532</v>
      </c>
      <c r="BJ141" s="164"/>
      <c r="BK141" s="164"/>
      <c r="BL141" s="164"/>
      <c r="BM141" s="164"/>
      <c r="BN141" s="164"/>
      <c r="BO141" s="164"/>
      <c r="BP141" s="164"/>
      <c r="BQ141" s="165"/>
      <c r="BR141" s="9"/>
      <c r="BS141" s="39"/>
      <c r="BT141" s="39"/>
      <c r="BU141" s="39"/>
      <c r="BV141" s="39"/>
      <c r="BW141" s="9"/>
      <c r="BX141" s="101"/>
      <c r="BY141" s="14"/>
      <c r="BZ141" s="14"/>
      <c r="CA141" s="9"/>
      <c r="CB141" s="39"/>
      <c r="CC141" s="39"/>
      <c r="CD141" s="39"/>
      <c r="CE141" s="39"/>
      <c r="CF141" s="9"/>
      <c r="CG141" s="101"/>
      <c r="CH141" s="14"/>
      <c r="CI141" s="14"/>
      <c r="CJ141" s="9"/>
      <c r="CK141" s="39"/>
      <c r="CL141" s="39"/>
      <c r="CM141" s="39"/>
      <c r="CN141" s="39"/>
      <c r="CO141" s="9"/>
      <c r="CP141" s="101"/>
      <c r="CQ141" s="14"/>
      <c r="CR141" s="14"/>
      <c r="CS141" s="9"/>
      <c r="CT141" s="39"/>
      <c r="CU141" s="39"/>
      <c r="CV141" s="39"/>
      <c r="CW141" s="39"/>
      <c r="CX141" s="9"/>
      <c r="CY141" s="101"/>
      <c r="CZ141" s="14"/>
      <c r="DA141" s="86"/>
      <c r="DB141" s="9"/>
      <c r="DC141" s="39"/>
      <c r="DD141" s="39"/>
      <c r="DE141" s="39"/>
      <c r="DF141" s="39"/>
      <c r="DG141" s="9"/>
      <c r="DH141" s="101"/>
      <c r="DI141" s="14"/>
      <c r="DJ141" s="14"/>
    </row>
    <row r="142" spans="1:114" hidden="1" x14ac:dyDescent="0.35">
      <c r="A142" s="1" t="s">
        <v>525</v>
      </c>
      <c r="B142" s="14" t="s">
        <v>100</v>
      </c>
      <c r="C142" s="26" t="s">
        <v>29</v>
      </c>
      <c r="D142" s="2" t="s">
        <v>526</v>
      </c>
      <c r="E142" s="3">
        <v>205547</v>
      </c>
      <c r="F142" s="3" t="s">
        <v>101</v>
      </c>
      <c r="G142" s="52">
        <v>830054539</v>
      </c>
      <c r="H142" s="88">
        <v>23000000</v>
      </c>
      <c r="I142" s="39">
        <v>4981930</v>
      </c>
      <c r="J142" s="21"/>
      <c r="K142" s="88">
        <v>23000000</v>
      </c>
      <c r="L142" s="39">
        <v>0</v>
      </c>
      <c r="M142" s="9"/>
      <c r="N142" s="3"/>
      <c r="O142" s="130">
        <v>0</v>
      </c>
      <c r="P142" s="101">
        <v>44574</v>
      </c>
      <c r="Q142" s="14" t="s">
        <v>31</v>
      </c>
      <c r="R142" s="14"/>
      <c r="S142" s="39">
        <v>23000000</v>
      </c>
      <c r="T142" s="8">
        <f>K142-S142</f>
        <v>0</v>
      </c>
      <c r="U142" s="20"/>
      <c r="V142" s="9">
        <v>0</v>
      </c>
      <c r="W142" s="102">
        <v>44600</v>
      </c>
      <c r="X142" s="14" t="s">
        <v>31</v>
      </c>
      <c r="Y142" s="39"/>
      <c r="Z142" s="57"/>
      <c r="AA142" s="57">
        <v>23000000</v>
      </c>
      <c r="AB142" s="8">
        <f>S142-AA142</f>
        <v>0</v>
      </c>
      <c r="AC142" s="20"/>
      <c r="AD142" s="113">
        <v>0</v>
      </c>
      <c r="AE142" s="101">
        <v>44624</v>
      </c>
      <c r="AF142" s="14" t="s">
        <v>31</v>
      </c>
      <c r="AG142" s="14"/>
      <c r="AH142" s="14"/>
      <c r="AI142" s="111">
        <v>23000000</v>
      </c>
      <c r="AJ142" s="8">
        <f>AA142-AI142</f>
        <v>0</v>
      </c>
      <c r="AK142" s="14"/>
      <c r="AL142" s="14"/>
      <c r="AM142" s="113">
        <v>0</v>
      </c>
      <c r="AN142" s="101">
        <v>44657</v>
      </c>
      <c r="AO142" s="14" t="s">
        <v>31</v>
      </c>
      <c r="AP142" s="14"/>
      <c r="AQ142" s="14"/>
      <c r="AR142" s="111">
        <v>23000000</v>
      </c>
      <c r="AS142" s="8">
        <f>AI142-AR142</f>
        <v>0</v>
      </c>
      <c r="AT142" s="14"/>
      <c r="AU142" s="14"/>
      <c r="AV142" s="113">
        <v>0</v>
      </c>
      <c r="AW142" s="101">
        <v>44687</v>
      </c>
      <c r="AX142" s="14" t="s">
        <v>31</v>
      </c>
      <c r="AY142" s="14"/>
      <c r="AZ142" s="14"/>
      <c r="BA142" s="111">
        <v>23000000</v>
      </c>
      <c r="BB142" s="8">
        <f>AR142-BA142</f>
        <v>0</v>
      </c>
      <c r="BC142" s="14"/>
      <c r="BD142" s="14"/>
      <c r="BE142" s="113">
        <v>0</v>
      </c>
      <c r="BF142" s="101">
        <v>44718</v>
      </c>
      <c r="BG142" s="14" t="s">
        <v>31</v>
      </c>
      <c r="BH142" s="121">
        <v>44728</v>
      </c>
      <c r="BI142" s="14"/>
      <c r="BJ142" s="111">
        <v>23000000</v>
      </c>
      <c r="BK142" s="139">
        <f>BA142-BJ142</f>
        <v>0</v>
      </c>
      <c r="BL142" s="101"/>
      <c r="BM142" s="14"/>
      <c r="BN142" s="113">
        <v>0</v>
      </c>
      <c r="BO142" s="101">
        <v>44753</v>
      </c>
      <c r="BP142" s="14" t="s">
        <v>31</v>
      </c>
      <c r="BQ142" s="101">
        <v>44768</v>
      </c>
      <c r="BR142" s="39"/>
      <c r="BS142" s="39">
        <v>23000000</v>
      </c>
      <c r="BT142" s="142">
        <f>BJ142-BS142</f>
        <v>0</v>
      </c>
      <c r="BU142" s="101"/>
      <c r="BV142" s="14"/>
      <c r="BW142" s="9">
        <v>0</v>
      </c>
      <c r="BX142" s="101">
        <v>44778</v>
      </c>
      <c r="BY142" s="14" t="s">
        <v>31</v>
      </c>
      <c r="BZ142" s="39"/>
      <c r="CA142" s="39"/>
      <c r="CB142" s="39"/>
      <c r="CC142" s="9"/>
      <c r="CD142" s="101"/>
      <c r="CE142" s="14"/>
      <c r="CF142" s="14"/>
      <c r="CG142" s="9"/>
      <c r="CH142" s="39"/>
      <c r="CI142" s="39"/>
      <c r="CJ142" s="39"/>
      <c r="CK142" s="39"/>
      <c r="CL142" s="9"/>
      <c r="CM142" s="101"/>
      <c r="CN142" s="14"/>
      <c r="CO142" s="14"/>
      <c r="CP142" s="9"/>
      <c r="CQ142" s="39"/>
      <c r="CR142" s="39"/>
      <c r="CS142" s="39"/>
      <c r="CT142" s="39"/>
      <c r="CU142" s="9"/>
      <c r="CV142" s="101"/>
      <c r="CW142" s="14"/>
      <c r="CX142" s="86"/>
      <c r="CY142" s="9"/>
      <c r="CZ142" s="39"/>
      <c r="DA142" s="39"/>
      <c r="DB142" s="39"/>
      <c r="DC142" s="39"/>
      <c r="DD142" s="9"/>
      <c r="DE142" s="101"/>
      <c r="DF142" s="14"/>
      <c r="DG142" s="14"/>
    </row>
    <row r="143" spans="1:114" hidden="1" x14ac:dyDescent="0.35">
      <c r="A143" s="1" t="s">
        <v>519</v>
      </c>
      <c r="B143" s="14" t="s">
        <v>520</v>
      </c>
      <c r="C143" s="14" t="s">
        <v>521</v>
      </c>
      <c r="D143" s="2" t="s">
        <v>61</v>
      </c>
      <c r="E143" s="3">
        <v>348824</v>
      </c>
      <c r="F143" s="3" t="s">
        <v>523</v>
      </c>
      <c r="G143" s="53" t="s">
        <v>524</v>
      </c>
      <c r="H143" s="203" t="s">
        <v>61</v>
      </c>
      <c r="I143" s="204"/>
      <c r="J143" s="39"/>
      <c r="K143" s="39">
        <v>5538688</v>
      </c>
      <c r="L143" s="39">
        <v>0</v>
      </c>
      <c r="M143" s="39"/>
      <c r="N143" s="39"/>
      <c r="O143" s="9">
        <v>0</v>
      </c>
      <c r="P143" s="102">
        <v>44581</v>
      </c>
      <c r="Q143" s="14" t="s">
        <v>31</v>
      </c>
      <c r="R143" s="20"/>
      <c r="S143" s="39">
        <v>1401984</v>
      </c>
      <c r="T143" s="8">
        <v>0</v>
      </c>
      <c r="U143" s="14"/>
      <c r="V143" s="9">
        <v>0</v>
      </c>
      <c r="W143" s="102">
        <v>44609</v>
      </c>
      <c r="X143" s="14" t="s">
        <v>31</v>
      </c>
      <c r="Y143" s="20"/>
      <c r="Z143" s="14"/>
      <c r="AA143" s="57">
        <v>208698</v>
      </c>
      <c r="AB143" s="57">
        <v>0</v>
      </c>
      <c r="AC143" s="14"/>
      <c r="AD143" s="58">
        <v>0</v>
      </c>
      <c r="AE143" s="131">
        <v>44642</v>
      </c>
      <c r="AF143" s="14" t="s">
        <v>31</v>
      </c>
      <c r="AG143" s="20"/>
      <c r="AH143" s="14"/>
      <c r="AI143" s="39">
        <v>682538</v>
      </c>
      <c r="AJ143" s="39">
        <v>0</v>
      </c>
      <c r="AK143" s="39"/>
      <c r="AL143" s="39"/>
      <c r="AM143" s="9">
        <v>0</v>
      </c>
      <c r="AN143" s="101">
        <v>44670</v>
      </c>
      <c r="AO143" s="14" t="s">
        <v>31</v>
      </c>
      <c r="AP143" s="14"/>
      <c r="AQ143" s="163" t="s">
        <v>510</v>
      </c>
      <c r="AR143" s="164"/>
      <c r="AS143" s="164"/>
      <c r="AT143" s="164"/>
      <c r="AU143" s="164"/>
      <c r="AV143" s="164"/>
      <c r="AW143" s="164"/>
      <c r="AX143" s="164"/>
      <c r="AY143" s="165"/>
      <c r="AZ143" s="163" t="s">
        <v>532</v>
      </c>
      <c r="BA143" s="164"/>
      <c r="BB143" s="164"/>
      <c r="BC143" s="164"/>
      <c r="BD143" s="164"/>
      <c r="BE143" s="164"/>
      <c r="BF143" s="164"/>
      <c r="BG143" s="164"/>
      <c r="BH143" s="165"/>
      <c r="BI143" s="9"/>
      <c r="BJ143" s="39">
        <v>479296</v>
      </c>
      <c r="BK143" s="39">
        <v>0</v>
      </c>
      <c r="BL143" s="39"/>
      <c r="BM143" s="39"/>
      <c r="BN143" s="9">
        <v>0</v>
      </c>
      <c r="BO143" s="101">
        <v>44761</v>
      </c>
      <c r="BP143" s="14" t="s">
        <v>31</v>
      </c>
      <c r="BQ143" s="101">
        <v>44769</v>
      </c>
      <c r="BR143" s="9"/>
      <c r="BS143" s="39"/>
      <c r="BT143" s="39"/>
      <c r="BU143" s="39"/>
      <c r="BV143" s="39"/>
      <c r="BW143" s="9"/>
      <c r="BX143" s="101"/>
      <c r="BY143" s="14"/>
      <c r="BZ143" s="14"/>
      <c r="CA143" s="178"/>
      <c r="CB143" s="179"/>
      <c r="CC143" s="179"/>
      <c r="CD143" s="179"/>
      <c r="CE143" s="179"/>
      <c r="CF143" s="179"/>
      <c r="CG143" s="179"/>
      <c r="CH143" s="179"/>
      <c r="CI143" s="180"/>
      <c r="CJ143" s="9"/>
      <c r="CK143" s="39"/>
      <c r="CL143" s="39"/>
      <c r="CM143" s="39"/>
      <c r="CN143" s="39"/>
      <c r="CO143" s="9"/>
      <c r="CP143" s="101"/>
      <c r="CQ143" s="14"/>
      <c r="CR143" s="14"/>
      <c r="CS143" s="9"/>
      <c r="CT143" s="39"/>
      <c r="CU143" s="39"/>
      <c r="CV143" s="39"/>
      <c r="CW143" s="39"/>
      <c r="CX143" s="9"/>
      <c r="CY143" s="101"/>
      <c r="CZ143" s="14"/>
      <c r="DA143" s="86"/>
      <c r="DB143" s="9"/>
      <c r="DC143" s="39"/>
      <c r="DD143" s="39"/>
      <c r="DE143" s="39"/>
      <c r="DF143" s="39"/>
      <c r="DG143" s="9"/>
      <c r="DH143" s="101"/>
      <c r="DI143" s="14"/>
      <c r="DJ143" s="14"/>
    </row>
    <row r="144" spans="1:114" hidden="1" x14ac:dyDescent="0.35">
      <c r="A144" s="1" t="s">
        <v>519</v>
      </c>
      <c r="B144" s="14" t="s">
        <v>520</v>
      </c>
      <c r="C144" s="14" t="s">
        <v>521</v>
      </c>
      <c r="D144" s="2" t="s">
        <v>522</v>
      </c>
      <c r="E144" s="3">
        <v>348824</v>
      </c>
      <c r="F144" s="3" t="s">
        <v>523</v>
      </c>
      <c r="G144" s="53" t="s">
        <v>524</v>
      </c>
      <c r="H144" s="118">
        <v>6845232</v>
      </c>
      <c r="I144" s="118">
        <v>6481000</v>
      </c>
      <c r="J144" s="39"/>
      <c r="K144" s="39">
        <v>6845232</v>
      </c>
      <c r="L144" s="39">
        <f>H144-K144</f>
        <v>0</v>
      </c>
      <c r="M144" s="39"/>
      <c r="N144" s="39"/>
      <c r="O144" s="9">
        <v>0</v>
      </c>
      <c r="P144" s="102">
        <v>44574</v>
      </c>
      <c r="Q144" s="14" t="s">
        <v>31</v>
      </c>
      <c r="R144" s="20"/>
      <c r="S144" s="39">
        <v>6845232</v>
      </c>
      <c r="T144" s="8">
        <f>I144-S144</f>
        <v>-364232</v>
      </c>
      <c r="U144" s="14"/>
      <c r="V144" s="9">
        <f>T144/I144</f>
        <v>-5.6199969140564729E-2</v>
      </c>
      <c r="W144" s="102">
        <v>44600</v>
      </c>
      <c r="X144" s="14" t="s">
        <v>31</v>
      </c>
      <c r="Y144" s="20"/>
      <c r="Z144" s="14"/>
      <c r="AA144" s="57">
        <v>6845232</v>
      </c>
      <c r="AB144" s="57">
        <f>S144-AA144</f>
        <v>0</v>
      </c>
      <c r="AC144" s="14"/>
      <c r="AD144" s="58">
        <v>0</v>
      </c>
      <c r="AE144" s="102">
        <v>44628</v>
      </c>
      <c r="AF144" s="14" t="s">
        <v>31</v>
      </c>
      <c r="AG144" s="20"/>
      <c r="AH144" s="14"/>
      <c r="AI144" s="39">
        <v>6845232</v>
      </c>
      <c r="AJ144" s="39">
        <f>AA144-AI144</f>
        <v>0</v>
      </c>
      <c r="AK144" s="39"/>
      <c r="AL144" s="39"/>
      <c r="AM144" s="9">
        <v>0</v>
      </c>
      <c r="AN144" s="102">
        <v>44659</v>
      </c>
      <c r="AO144" s="14" t="s">
        <v>31</v>
      </c>
      <c r="AP144" s="14"/>
      <c r="AQ144" s="58"/>
      <c r="AR144" s="39">
        <v>6845232</v>
      </c>
      <c r="AS144" s="39">
        <f>AI144-AR144</f>
        <v>0</v>
      </c>
      <c r="AT144" s="39"/>
      <c r="AU144" s="39"/>
      <c r="AV144" s="9">
        <v>0</v>
      </c>
      <c r="AW144" s="101">
        <v>44687</v>
      </c>
      <c r="AX144" s="14" t="s">
        <v>31</v>
      </c>
      <c r="AY144" s="14"/>
      <c r="AZ144" s="9"/>
      <c r="BA144" s="39">
        <v>6845232</v>
      </c>
      <c r="BB144" s="39">
        <f>AR144-BA144</f>
        <v>0</v>
      </c>
      <c r="BC144" s="39"/>
      <c r="BD144" s="39"/>
      <c r="BE144" s="9">
        <v>0</v>
      </c>
      <c r="BF144" s="101">
        <v>44719</v>
      </c>
      <c r="BG144" s="14" t="s">
        <v>31</v>
      </c>
      <c r="BH144" s="121">
        <v>44728</v>
      </c>
      <c r="BI144" s="9"/>
      <c r="BJ144" s="39">
        <v>6845232</v>
      </c>
      <c r="BK144" s="39">
        <f>BA144-BJ144</f>
        <v>0</v>
      </c>
      <c r="BL144" s="39"/>
      <c r="BM144" s="39"/>
      <c r="BN144" s="9">
        <v>0</v>
      </c>
      <c r="BO144" s="101">
        <v>44750</v>
      </c>
      <c r="BP144" s="14" t="s">
        <v>31</v>
      </c>
      <c r="BQ144" s="101">
        <v>44768</v>
      </c>
      <c r="BR144" s="9"/>
      <c r="BS144" s="39">
        <v>6845232</v>
      </c>
      <c r="BT144" s="39">
        <f>BJ144-BS144</f>
        <v>0</v>
      </c>
      <c r="BU144" s="39"/>
      <c r="BV144" s="39"/>
      <c r="BW144" s="9">
        <v>0</v>
      </c>
      <c r="BX144" s="101">
        <v>44781</v>
      </c>
      <c r="BY144" s="14" t="s">
        <v>31</v>
      </c>
      <c r="BZ144" s="14"/>
      <c r="CA144" s="178"/>
      <c r="CB144" s="179"/>
      <c r="CC144" s="179"/>
      <c r="CD144" s="179"/>
      <c r="CE144" s="179"/>
      <c r="CF144" s="179"/>
      <c r="CG144" s="179"/>
      <c r="CH144" s="179"/>
      <c r="CI144" s="180"/>
      <c r="CJ144" s="9"/>
      <c r="CK144" s="39"/>
      <c r="CL144" s="39"/>
      <c r="CM144" s="39"/>
      <c r="CN144" s="39"/>
      <c r="CO144" s="9"/>
      <c r="CP144" s="101"/>
      <c r="CQ144" s="14"/>
      <c r="CR144" s="14"/>
      <c r="CS144" s="9"/>
      <c r="CT144" s="39"/>
      <c r="CU144" s="39"/>
      <c r="CV144" s="39"/>
      <c r="CW144" s="39"/>
      <c r="CX144" s="9"/>
      <c r="CY144" s="101"/>
      <c r="CZ144" s="14"/>
      <c r="DA144" s="86"/>
      <c r="DB144" s="9"/>
      <c r="DC144" s="39"/>
      <c r="DD144" s="39"/>
      <c r="DE144" s="39"/>
      <c r="DF144" s="39"/>
      <c r="DG144" s="9"/>
      <c r="DH144" s="101"/>
      <c r="DI144" s="14"/>
      <c r="DJ144" s="14"/>
    </row>
    <row r="145" spans="1:111" hidden="1" x14ac:dyDescent="0.35">
      <c r="A145" s="1" t="s">
        <v>525</v>
      </c>
      <c r="B145" s="14" t="s">
        <v>100</v>
      </c>
      <c r="C145" s="26" t="s">
        <v>29</v>
      </c>
      <c r="D145" s="2" t="s">
        <v>61</v>
      </c>
      <c r="E145" s="3">
        <v>205547</v>
      </c>
      <c r="F145" s="3" t="s">
        <v>101</v>
      </c>
      <c r="G145" s="52">
        <v>830054539</v>
      </c>
      <c r="H145" s="88"/>
      <c r="I145" s="39"/>
      <c r="J145" s="21"/>
      <c r="K145" s="88"/>
      <c r="L145" s="39"/>
      <c r="M145" s="9"/>
      <c r="N145" s="3"/>
      <c r="O145" s="130"/>
      <c r="P145" s="101"/>
      <c r="Q145" s="14"/>
      <c r="R145" s="14"/>
      <c r="S145" s="39"/>
      <c r="T145" s="8"/>
      <c r="U145" s="20"/>
      <c r="V145" s="9"/>
      <c r="W145" s="102"/>
      <c r="X145" s="14"/>
      <c r="Y145" s="39"/>
      <c r="Z145" s="57"/>
      <c r="AA145" s="57"/>
      <c r="AB145" s="8"/>
      <c r="AC145" s="20"/>
      <c r="AD145" s="113"/>
      <c r="AE145" s="101"/>
      <c r="AF145" s="14"/>
      <c r="AG145" s="14"/>
      <c r="AH145" s="14"/>
      <c r="AI145" s="111"/>
      <c r="AJ145" s="8">
        <f>AA145-AI145</f>
        <v>0</v>
      </c>
      <c r="AK145" s="14"/>
      <c r="AL145" s="14"/>
      <c r="AM145" s="113"/>
      <c r="AN145" s="101"/>
      <c r="AO145" s="14"/>
      <c r="AP145" s="14"/>
      <c r="AQ145" s="14"/>
      <c r="AR145" s="111">
        <v>28742444</v>
      </c>
      <c r="AS145" s="8">
        <v>0</v>
      </c>
      <c r="AT145" s="14"/>
      <c r="AU145" s="14"/>
      <c r="AV145" s="113">
        <v>0</v>
      </c>
      <c r="AW145" s="101">
        <v>44705</v>
      </c>
      <c r="AX145" s="14" t="s">
        <v>31</v>
      </c>
      <c r="AY145" s="14"/>
      <c r="AZ145" s="14"/>
      <c r="BA145" s="111">
        <v>33753290</v>
      </c>
      <c r="BB145" s="111">
        <v>0</v>
      </c>
      <c r="BC145" s="14"/>
      <c r="BD145" s="14"/>
      <c r="BE145" s="113">
        <v>0</v>
      </c>
      <c r="BF145" s="101">
        <v>44733</v>
      </c>
      <c r="BG145" s="14" t="s">
        <v>31</v>
      </c>
      <c r="BH145" s="121">
        <v>44757</v>
      </c>
      <c r="BI145" s="14"/>
      <c r="BJ145" s="111">
        <v>27143868</v>
      </c>
      <c r="BK145" s="111">
        <v>0</v>
      </c>
      <c r="BL145" s="101"/>
      <c r="BM145" s="14"/>
      <c r="BN145" s="113">
        <v>0</v>
      </c>
      <c r="BO145" s="101">
        <v>44760</v>
      </c>
      <c r="BP145" s="14" t="s">
        <v>31</v>
      </c>
      <c r="BQ145" s="101">
        <v>44768</v>
      </c>
      <c r="BR145" s="39"/>
      <c r="BS145" s="39"/>
      <c r="BT145" s="9"/>
      <c r="BU145" s="101"/>
      <c r="BV145" s="14"/>
      <c r="BW145" s="14"/>
      <c r="BX145" s="9"/>
      <c r="BY145" s="39"/>
      <c r="BZ145" s="39"/>
      <c r="CA145" s="39"/>
      <c r="CB145" s="39"/>
      <c r="CC145" s="9"/>
      <c r="CD145" s="101"/>
      <c r="CE145" s="14"/>
      <c r="CF145" s="14"/>
      <c r="CG145" s="9"/>
      <c r="CH145" s="39"/>
      <c r="CI145" s="39"/>
      <c r="CJ145" s="39"/>
      <c r="CK145" s="39"/>
      <c r="CL145" s="9"/>
      <c r="CM145" s="101"/>
      <c r="CN145" s="14"/>
      <c r="CO145" s="14"/>
      <c r="CP145" s="9"/>
      <c r="CQ145" s="39"/>
      <c r="CR145" s="39"/>
      <c r="CS145" s="39"/>
      <c r="CT145" s="39"/>
      <c r="CU145" s="9"/>
      <c r="CV145" s="101"/>
      <c r="CW145" s="14"/>
      <c r="CX145" s="86"/>
      <c r="CY145" s="9"/>
      <c r="CZ145" s="39"/>
      <c r="DA145" s="39"/>
      <c r="DB145" s="39"/>
      <c r="DC145" s="39"/>
      <c r="DD145" s="9"/>
      <c r="DE145" s="101"/>
      <c r="DF145" s="14"/>
      <c r="DG145" s="14"/>
    </row>
    <row r="146" spans="1:111" x14ac:dyDescent="0.35">
      <c r="K146" s="82"/>
      <c r="L146" s="82"/>
      <c r="M146" s="82"/>
      <c r="N146" s="82"/>
      <c r="O146" s="128"/>
      <c r="BA146" s="68"/>
      <c r="BJ146" s="68"/>
      <c r="BS146" s="68"/>
    </row>
    <row r="147" spans="1:111" x14ac:dyDescent="0.35">
      <c r="K147" s="127"/>
      <c r="L147" s="127"/>
      <c r="M147" s="127"/>
      <c r="N147" s="127"/>
      <c r="O147" s="128"/>
    </row>
    <row r="148" spans="1:111" x14ac:dyDescent="0.35">
      <c r="K148" s="82"/>
      <c r="L148" s="82"/>
      <c r="M148" s="82"/>
      <c r="N148" s="82"/>
      <c r="O148" s="128"/>
    </row>
    <row r="149" spans="1:111" x14ac:dyDescent="0.35">
      <c r="K149" s="82"/>
      <c r="L149" s="82"/>
      <c r="M149" s="82"/>
      <c r="N149" s="82"/>
      <c r="O149" s="128"/>
    </row>
    <row r="150" spans="1:111" x14ac:dyDescent="0.35">
      <c r="K150" s="82"/>
      <c r="L150" s="82"/>
      <c r="M150" s="82"/>
      <c r="N150" s="82"/>
      <c r="O150" s="128"/>
    </row>
    <row r="151" spans="1:111" x14ac:dyDescent="0.35">
      <c r="K151" s="82"/>
      <c r="L151" s="82"/>
      <c r="M151" s="82"/>
      <c r="N151" s="82"/>
      <c r="O151" s="128"/>
    </row>
    <row r="152" spans="1:111" x14ac:dyDescent="0.35">
      <c r="C152" s="4" t="s">
        <v>10</v>
      </c>
      <c r="D152" s="4" t="s">
        <v>13</v>
      </c>
      <c r="K152" s="82"/>
      <c r="L152" s="82"/>
      <c r="M152" s="82"/>
      <c r="N152" s="82"/>
      <c r="O152" s="128"/>
    </row>
    <row r="153" spans="1:111" x14ac:dyDescent="0.35">
      <c r="C153" s="161" t="s">
        <v>989</v>
      </c>
      <c r="D153" s="161">
        <v>9367</v>
      </c>
      <c r="K153" s="82"/>
      <c r="L153" s="82"/>
      <c r="M153" s="82"/>
      <c r="N153" s="82"/>
      <c r="O153" s="128"/>
    </row>
    <row r="154" spans="1:111" x14ac:dyDescent="0.35">
      <c r="C154" s="161" t="s">
        <v>990</v>
      </c>
      <c r="D154" s="161">
        <v>8140074</v>
      </c>
    </row>
    <row r="155" spans="1:111" x14ac:dyDescent="0.35">
      <c r="C155" s="161">
        <v>619</v>
      </c>
      <c r="D155" s="161">
        <v>9366</v>
      </c>
    </row>
    <row r="156" spans="1:111" x14ac:dyDescent="0.35">
      <c r="C156" s="161" t="s">
        <v>991</v>
      </c>
      <c r="D156" s="161" t="s">
        <v>516</v>
      </c>
    </row>
    <row r="157" spans="1:111" x14ac:dyDescent="0.35">
      <c r="C157" s="161">
        <v>138</v>
      </c>
      <c r="D157" s="161" t="s">
        <v>522</v>
      </c>
    </row>
    <row r="158" spans="1:111" x14ac:dyDescent="0.35">
      <c r="C158" s="161">
        <v>635</v>
      </c>
      <c r="D158" s="161" t="s">
        <v>526</v>
      </c>
    </row>
    <row r="163" spans="9:9" x14ac:dyDescent="0.35">
      <c r="I163" s="40"/>
    </row>
    <row r="164" spans="9:9" x14ac:dyDescent="0.35">
      <c r="I164" s="40"/>
    </row>
    <row r="1048568" spans="17:17" x14ac:dyDescent="0.35">
      <c r="Q1048568" s="14"/>
    </row>
    <row r="1048569" spans="17:17" x14ac:dyDescent="0.35">
      <c r="Q1048569" s="3"/>
    </row>
  </sheetData>
  <autoFilter ref="A2:DJ145" xr:uid="{3E08E957-EC7F-4FCF-9D39-7AACBE3A4D7B}">
    <filterColumn colId="0">
      <filters>
        <filter val="T022"/>
        <filter val="T122"/>
      </filters>
    </filterColumn>
  </autoFilter>
  <mergeCells count="183">
    <mergeCell ref="CS42:DA42"/>
    <mergeCell ref="AQ60:AY60"/>
    <mergeCell ref="AQ67:AY67"/>
    <mergeCell ref="AQ78:AY78"/>
    <mergeCell ref="AQ137:AY137"/>
    <mergeCell ref="AQ138:AY138"/>
    <mergeCell ref="Z44:AG44"/>
    <mergeCell ref="Z46:AG46"/>
    <mergeCell ref="Z52:AG52"/>
    <mergeCell ref="Z54:AG54"/>
    <mergeCell ref="AH46:AP46"/>
    <mergeCell ref="AH52:AP52"/>
    <mergeCell ref="Z56:AG56"/>
    <mergeCell ref="Z60:AG60"/>
    <mergeCell ref="Z67:AG67"/>
    <mergeCell ref="BR107:DJ107"/>
    <mergeCell ref="CS46:DA46"/>
    <mergeCell ref="AQ107:AY107"/>
    <mergeCell ref="AZ107:BH107"/>
    <mergeCell ref="BI107:BQ107"/>
    <mergeCell ref="CJ58:CR58"/>
    <mergeCell ref="CS58:DA58"/>
    <mergeCell ref="BI46:BQ46"/>
    <mergeCell ref="BR46:BZ46"/>
    <mergeCell ref="CJ46:CR46"/>
    <mergeCell ref="A1:G1"/>
    <mergeCell ref="S25:Y25"/>
    <mergeCell ref="S44:Y44"/>
    <mergeCell ref="AH3:DJ3"/>
    <mergeCell ref="Z1:AG1"/>
    <mergeCell ref="CS44:DA44"/>
    <mergeCell ref="CS19:DA19"/>
    <mergeCell ref="AQ39:AY39"/>
    <mergeCell ref="CS39:DA39"/>
    <mergeCell ref="Z13:AG13"/>
    <mergeCell ref="Z19:AG19"/>
    <mergeCell ref="Z23:AG23"/>
    <mergeCell ref="Z25:AG25"/>
    <mergeCell ref="Z39:AG39"/>
    <mergeCell ref="Z42:AG42"/>
    <mergeCell ref="H1:H2"/>
    <mergeCell ref="I1:I2"/>
    <mergeCell ref="S1:Y1"/>
    <mergeCell ref="AQ25:AY25"/>
    <mergeCell ref="CJ23:CR23"/>
    <mergeCell ref="CS23:DA23"/>
    <mergeCell ref="CS25:DA25"/>
    <mergeCell ref="AZ25:BH25"/>
    <mergeCell ref="S60:Y60"/>
    <mergeCell ref="S46:Y46"/>
    <mergeCell ref="S52:Y52"/>
    <mergeCell ref="H10:I10"/>
    <mergeCell ref="H13:I13"/>
    <mergeCell ref="H19:I19"/>
    <mergeCell ref="H23:I23"/>
    <mergeCell ref="AH25:AP25"/>
    <mergeCell ref="AH39:AP39"/>
    <mergeCell ref="AH42:AP42"/>
    <mergeCell ref="AH44:AP44"/>
    <mergeCell ref="S54:Y54"/>
    <mergeCell ref="S56:Y56"/>
    <mergeCell ref="CA143:CI143"/>
    <mergeCell ref="AZ138:BH138"/>
    <mergeCell ref="AZ140:BH140"/>
    <mergeCell ref="AZ141:BH141"/>
    <mergeCell ref="AZ143:BH143"/>
    <mergeCell ref="J1:R1"/>
    <mergeCell ref="CA96:CI96"/>
    <mergeCell ref="CJ60:CR60"/>
    <mergeCell ref="BI25:BQ25"/>
    <mergeCell ref="BR25:BZ25"/>
    <mergeCell ref="CJ25:CR25"/>
    <mergeCell ref="CJ1:CR1"/>
    <mergeCell ref="CJ138:CR138"/>
    <mergeCell ref="J46:R46"/>
    <mergeCell ref="J52:R52"/>
    <mergeCell ref="J54:R54"/>
    <mergeCell ref="J56:R56"/>
    <mergeCell ref="J60:R60"/>
    <mergeCell ref="J67:R67"/>
    <mergeCell ref="J78:R78"/>
    <mergeCell ref="CA58:CI58"/>
    <mergeCell ref="BI137:BQ137"/>
    <mergeCell ref="BR137:BZ137"/>
    <mergeCell ref="AH140:AP140"/>
    <mergeCell ref="H143:I143"/>
    <mergeCell ref="H141:I141"/>
    <mergeCell ref="H40:I40"/>
    <mergeCell ref="H137:I137"/>
    <mergeCell ref="H42:I42"/>
    <mergeCell ref="H56:I56"/>
    <mergeCell ref="H39:I39"/>
    <mergeCell ref="H54:I54"/>
    <mergeCell ref="J25:R25"/>
    <mergeCell ref="J39:R39"/>
    <mergeCell ref="H111:I111"/>
    <mergeCell ref="H44:I44"/>
    <mergeCell ref="H46:I46"/>
    <mergeCell ref="H60:I60"/>
    <mergeCell ref="H139:I139"/>
    <mergeCell ref="H140:I140"/>
    <mergeCell ref="J107:R107"/>
    <mergeCell ref="CA144:CI144"/>
    <mergeCell ref="DB1:DJ1"/>
    <mergeCell ref="CJ10:CR10"/>
    <mergeCell ref="AH1:AP1"/>
    <mergeCell ref="AQ1:AY1"/>
    <mergeCell ref="AZ1:BH1"/>
    <mergeCell ref="BI1:BQ1"/>
    <mergeCell ref="BR1:BZ1"/>
    <mergeCell ref="CA1:CI1"/>
    <mergeCell ref="CA17:CI17"/>
    <mergeCell ref="CS1:DA1"/>
    <mergeCell ref="S6:DJ6"/>
    <mergeCell ref="CA139:CI139"/>
    <mergeCell ref="AH54:AP54"/>
    <mergeCell ref="AH56:AP56"/>
    <mergeCell ref="CS139:DA139"/>
    <mergeCell ref="CS138:DA138"/>
    <mergeCell ref="CS56:DA56"/>
    <mergeCell ref="AH60:AP60"/>
    <mergeCell ref="AH67:AP67"/>
    <mergeCell ref="AH78:AP78"/>
    <mergeCell ref="AH137:AP137"/>
    <mergeCell ref="AH139:AP139"/>
    <mergeCell ref="CS78:DA78"/>
    <mergeCell ref="AH141:AP141"/>
    <mergeCell ref="AH107:AP107"/>
    <mergeCell ref="S67:Y67"/>
    <mergeCell ref="S78:Y78"/>
    <mergeCell ref="S140:Y140"/>
    <mergeCell ref="S141:Y141"/>
    <mergeCell ref="S137:Y137"/>
    <mergeCell ref="S138:Y138"/>
    <mergeCell ref="Z78:AG78"/>
    <mergeCell ref="Z137:AG137"/>
    <mergeCell ref="Z139:AG139"/>
    <mergeCell ref="Z140:AG140"/>
    <mergeCell ref="Z141:AG141"/>
    <mergeCell ref="Z107:AG107"/>
    <mergeCell ref="AZ10:BH10"/>
    <mergeCell ref="AZ42:BH42"/>
    <mergeCell ref="AZ44:BH44"/>
    <mergeCell ref="AZ52:BH52"/>
    <mergeCell ref="AZ54:BH54"/>
    <mergeCell ref="AZ60:BH60"/>
    <mergeCell ref="AZ67:BH67"/>
    <mergeCell ref="AZ78:BH78"/>
    <mergeCell ref="AZ137:BH137"/>
    <mergeCell ref="AZ46:BH46"/>
    <mergeCell ref="AH48:DJ48"/>
    <mergeCell ref="CS54:DA54"/>
    <mergeCell ref="BI10:BQ10"/>
    <mergeCell ref="CS137:DA137"/>
    <mergeCell ref="CA70:CI70"/>
    <mergeCell ref="CS60:DA60"/>
    <mergeCell ref="CJ137:CR137"/>
    <mergeCell ref="CJ117:CR117"/>
    <mergeCell ref="AZ102:DJ102"/>
    <mergeCell ref="AZ103:DJ103"/>
    <mergeCell ref="AZ104:DJ104"/>
    <mergeCell ref="CJ42:CR42"/>
    <mergeCell ref="CJ78:CR78"/>
    <mergeCell ref="CS117:DA117"/>
    <mergeCell ref="AQ139:AY139"/>
    <mergeCell ref="AQ140:AY140"/>
    <mergeCell ref="AQ141:AY141"/>
    <mergeCell ref="AQ143:AY143"/>
    <mergeCell ref="AQ42:AY42"/>
    <mergeCell ref="AQ44:AY44"/>
    <mergeCell ref="AQ52:AY52"/>
    <mergeCell ref="AQ54:AY54"/>
    <mergeCell ref="BI140:BQ140"/>
    <mergeCell ref="BI141:BQ141"/>
    <mergeCell ref="BI42:BQ42"/>
    <mergeCell ref="BI44:BQ44"/>
    <mergeCell ref="BI52:BQ52"/>
    <mergeCell ref="BI54:BQ54"/>
    <mergeCell ref="BI60:BQ60"/>
    <mergeCell ref="BI67:BQ67"/>
    <mergeCell ref="BI78:BQ78"/>
    <mergeCell ref="BI138:BQ138"/>
    <mergeCell ref="AQ46:AY46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E945-2B3F-49D4-AC24-F0F618B5FF62}">
  <dimension ref="A1:C157"/>
  <sheetViews>
    <sheetView workbookViewId="0">
      <selection activeCell="E158" sqref="E158"/>
    </sheetView>
  </sheetViews>
  <sheetFormatPr baseColWidth="10" defaultRowHeight="14.5" x14ac:dyDescent="0.35"/>
  <cols>
    <col min="1" max="1" width="35.1796875" customWidth="1"/>
  </cols>
  <sheetData>
    <row r="1" spans="1:1" x14ac:dyDescent="0.35">
      <c r="A1" s="144">
        <v>204517</v>
      </c>
    </row>
    <row r="2" spans="1:1" x14ac:dyDescent="0.35">
      <c r="A2" s="144" t="s">
        <v>935</v>
      </c>
    </row>
    <row r="3" spans="1:1" x14ac:dyDescent="0.35">
      <c r="A3" s="144">
        <v>204518</v>
      </c>
    </row>
    <row r="4" spans="1:1" x14ac:dyDescent="0.35">
      <c r="A4" s="144" t="s">
        <v>936</v>
      </c>
    </row>
    <row r="5" spans="1:1" x14ac:dyDescent="0.35">
      <c r="A5" s="144">
        <v>204519</v>
      </c>
    </row>
    <row r="6" spans="1:1" x14ac:dyDescent="0.35">
      <c r="A6" s="144" t="s">
        <v>937</v>
      </c>
    </row>
    <row r="7" spans="1:1" x14ac:dyDescent="0.35">
      <c r="A7" s="144">
        <v>204522</v>
      </c>
    </row>
    <row r="8" spans="1:1" x14ac:dyDescent="0.35">
      <c r="A8" s="144" t="s">
        <v>938</v>
      </c>
    </row>
    <row r="9" spans="1:1" x14ac:dyDescent="0.35">
      <c r="A9" s="144">
        <v>204532</v>
      </c>
    </row>
    <row r="10" spans="1:1" x14ac:dyDescent="0.35">
      <c r="A10" s="144" t="s">
        <v>939</v>
      </c>
    </row>
    <row r="11" spans="1:1" x14ac:dyDescent="0.35">
      <c r="A11" s="144">
        <v>204545</v>
      </c>
    </row>
    <row r="12" spans="1:1" x14ac:dyDescent="0.35">
      <c r="A12" s="144" t="s">
        <v>940</v>
      </c>
    </row>
    <row r="13" spans="1:1" x14ac:dyDescent="0.35">
      <c r="A13" s="144">
        <v>204547</v>
      </c>
    </row>
    <row r="14" spans="1:1" x14ac:dyDescent="0.35">
      <c r="A14" s="144" t="s">
        <v>273</v>
      </c>
    </row>
    <row r="15" spans="1:1" x14ac:dyDescent="0.35">
      <c r="A15" s="144">
        <v>204550</v>
      </c>
    </row>
    <row r="16" spans="1:1" x14ac:dyDescent="0.35">
      <c r="A16" s="144" t="s">
        <v>941</v>
      </c>
    </row>
    <row r="17" spans="1:1" x14ac:dyDescent="0.35">
      <c r="A17" s="144">
        <v>204570</v>
      </c>
    </row>
    <row r="18" spans="1:1" x14ac:dyDescent="0.35">
      <c r="A18" s="144" t="s">
        <v>418</v>
      </c>
    </row>
    <row r="19" spans="1:1" x14ac:dyDescent="0.35">
      <c r="A19" s="144">
        <v>204578</v>
      </c>
    </row>
    <row r="20" spans="1:1" x14ac:dyDescent="0.35">
      <c r="A20" s="144" t="s">
        <v>942</v>
      </c>
    </row>
    <row r="21" spans="1:1" x14ac:dyDescent="0.35">
      <c r="A21" s="144">
        <v>204583</v>
      </c>
    </row>
    <row r="22" spans="1:1" x14ac:dyDescent="0.35">
      <c r="A22" s="144" t="s">
        <v>943</v>
      </c>
    </row>
    <row r="23" spans="1:1" x14ac:dyDescent="0.35">
      <c r="A23" s="144">
        <v>204588</v>
      </c>
    </row>
    <row r="24" spans="1:1" x14ac:dyDescent="0.35">
      <c r="A24" s="144" t="s">
        <v>513</v>
      </c>
    </row>
    <row r="25" spans="1:1" x14ac:dyDescent="0.35">
      <c r="A25" s="144">
        <v>204603</v>
      </c>
    </row>
    <row r="26" spans="1:1" x14ac:dyDescent="0.35">
      <c r="A26" s="144" t="s">
        <v>445</v>
      </c>
    </row>
    <row r="27" spans="1:1" x14ac:dyDescent="0.35">
      <c r="A27" s="144">
        <v>204609</v>
      </c>
    </row>
    <row r="28" spans="1:1" x14ac:dyDescent="0.35">
      <c r="A28" s="144" t="s">
        <v>944</v>
      </c>
    </row>
    <row r="29" spans="1:1" x14ac:dyDescent="0.35">
      <c r="A29" s="144">
        <v>204631</v>
      </c>
    </row>
    <row r="30" spans="1:1" x14ac:dyDescent="0.35">
      <c r="A30" s="144" t="s">
        <v>945</v>
      </c>
    </row>
    <row r="31" spans="1:1" x14ac:dyDescent="0.35">
      <c r="A31" s="144">
        <v>204634</v>
      </c>
    </row>
    <row r="32" spans="1:1" ht="29" x14ac:dyDescent="0.35">
      <c r="A32" s="144" t="s">
        <v>946</v>
      </c>
    </row>
    <row r="33" spans="1:1" x14ac:dyDescent="0.35">
      <c r="A33" s="144">
        <v>204635</v>
      </c>
    </row>
    <row r="34" spans="1:1" x14ac:dyDescent="0.35">
      <c r="A34" s="144" t="s">
        <v>254</v>
      </c>
    </row>
    <row r="35" spans="1:1" x14ac:dyDescent="0.35">
      <c r="A35" s="144">
        <v>204815</v>
      </c>
    </row>
    <row r="36" spans="1:1" x14ac:dyDescent="0.35">
      <c r="A36" s="144" t="s">
        <v>947</v>
      </c>
    </row>
    <row r="37" spans="1:1" x14ac:dyDescent="0.35">
      <c r="A37" s="144">
        <v>204816</v>
      </c>
    </row>
    <row r="38" spans="1:1" x14ac:dyDescent="0.35">
      <c r="A38" s="144" t="s">
        <v>317</v>
      </c>
    </row>
    <row r="39" spans="1:1" x14ac:dyDescent="0.35">
      <c r="A39" s="144">
        <v>204884</v>
      </c>
    </row>
    <row r="40" spans="1:1" x14ac:dyDescent="0.35">
      <c r="A40" s="144" t="s">
        <v>948</v>
      </c>
    </row>
    <row r="41" spans="1:1" x14ac:dyDescent="0.35">
      <c r="A41" s="144">
        <v>204900</v>
      </c>
    </row>
    <row r="42" spans="1:1" x14ac:dyDescent="0.35">
      <c r="A42" s="144" t="s">
        <v>949</v>
      </c>
    </row>
    <row r="43" spans="1:1" x14ac:dyDescent="0.35">
      <c r="A43" s="144">
        <v>204970</v>
      </c>
    </row>
    <row r="44" spans="1:1" x14ac:dyDescent="0.35">
      <c r="A44" s="144" t="s">
        <v>950</v>
      </c>
    </row>
    <row r="45" spans="1:1" x14ac:dyDescent="0.35">
      <c r="A45" s="144">
        <v>205635</v>
      </c>
    </row>
    <row r="46" spans="1:1" x14ac:dyDescent="0.35">
      <c r="A46" s="144" t="s">
        <v>951</v>
      </c>
    </row>
    <row r="47" spans="1:1" x14ac:dyDescent="0.35">
      <c r="A47" s="144">
        <v>205762</v>
      </c>
    </row>
    <row r="48" spans="1:1" x14ac:dyDescent="0.35">
      <c r="A48" s="144" t="s">
        <v>952</v>
      </c>
    </row>
    <row r="49" spans="1:1" x14ac:dyDescent="0.35">
      <c r="A49" s="144">
        <v>205763</v>
      </c>
    </row>
    <row r="50" spans="1:1" x14ac:dyDescent="0.35">
      <c r="A50" s="144" t="s">
        <v>953</v>
      </c>
    </row>
    <row r="51" spans="1:1" x14ac:dyDescent="0.35">
      <c r="A51" s="144">
        <v>205764</v>
      </c>
    </row>
    <row r="52" spans="1:1" x14ac:dyDescent="0.35">
      <c r="A52" s="144" t="s">
        <v>954</v>
      </c>
    </row>
    <row r="53" spans="1:1" x14ac:dyDescent="0.35">
      <c r="A53" s="144">
        <v>206169</v>
      </c>
    </row>
    <row r="54" spans="1:1" x14ac:dyDescent="0.35">
      <c r="A54" s="144" t="s">
        <v>171</v>
      </c>
    </row>
    <row r="55" spans="1:1" x14ac:dyDescent="0.35">
      <c r="A55" s="144">
        <v>206218</v>
      </c>
    </row>
    <row r="56" spans="1:1" x14ac:dyDescent="0.35">
      <c r="A56" s="144" t="s">
        <v>348</v>
      </c>
    </row>
    <row r="57" spans="1:1" x14ac:dyDescent="0.35">
      <c r="A57" s="144">
        <v>206286</v>
      </c>
    </row>
    <row r="58" spans="1:1" x14ac:dyDescent="0.35">
      <c r="A58" s="144" t="s">
        <v>955</v>
      </c>
    </row>
    <row r="59" spans="1:1" x14ac:dyDescent="0.35">
      <c r="A59" s="144" t="s">
        <v>263</v>
      </c>
    </row>
    <row r="60" spans="1:1" x14ac:dyDescent="0.35">
      <c r="A60" s="144">
        <v>207634</v>
      </c>
    </row>
    <row r="61" spans="1:1" x14ac:dyDescent="0.35">
      <c r="A61" s="144" t="s">
        <v>956</v>
      </c>
    </row>
    <row r="62" spans="1:1" x14ac:dyDescent="0.35">
      <c r="A62" s="144">
        <v>208094</v>
      </c>
    </row>
    <row r="63" spans="1:1" x14ac:dyDescent="0.35">
      <c r="A63" s="144" t="s">
        <v>952</v>
      </c>
    </row>
    <row r="64" spans="1:1" x14ac:dyDescent="0.35">
      <c r="A64" s="144" t="s">
        <v>957</v>
      </c>
    </row>
    <row r="65" spans="1:1" x14ac:dyDescent="0.35">
      <c r="A65" s="144">
        <v>208141</v>
      </c>
    </row>
    <row r="66" spans="1:1" x14ac:dyDescent="0.35">
      <c r="A66" s="144" t="s">
        <v>958</v>
      </c>
    </row>
    <row r="67" spans="1:1" x14ac:dyDescent="0.35">
      <c r="A67" s="144" t="s">
        <v>326</v>
      </c>
    </row>
    <row r="68" spans="1:1" x14ac:dyDescent="0.35">
      <c r="A68" s="144">
        <v>209631</v>
      </c>
    </row>
    <row r="69" spans="1:1" x14ac:dyDescent="0.35">
      <c r="A69" s="144" t="s">
        <v>959</v>
      </c>
    </row>
    <row r="70" spans="1:1" x14ac:dyDescent="0.35">
      <c r="A70" s="144">
        <v>210056</v>
      </c>
    </row>
    <row r="71" spans="1:1" ht="29" x14ac:dyDescent="0.35">
      <c r="A71" s="144" t="s">
        <v>960</v>
      </c>
    </row>
    <row r="72" spans="1:1" x14ac:dyDescent="0.35">
      <c r="A72" s="144">
        <v>210118</v>
      </c>
    </row>
    <row r="73" spans="1:1" x14ac:dyDescent="0.35">
      <c r="A73" s="144" t="s">
        <v>77</v>
      </c>
    </row>
    <row r="74" spans="1:1" x14ac:dyDescent="0.35">
      <c r="A74" s="144">
        <v>214089</v>
      </c>
    </row>
    <row r="75" spans="1:1" x14ac:dyDescent="0.35">
      <c r="A75" s="144" t="s">
        <v>961</v>
      </c>
    </row>
    <row r="76" spans="1:1" x14ac:dyDescent="0.35">
      <c r="A76" s="144" t="s">
        <v>105</v>
      </c>
    </row>
    <row r="77" spans="1:1" x14ac:dyDescent="0.35">
      <c r="A77" s="144">
        <v>219333</v>
      </c>
    </row>
    <row r="78" spans="1:1" x14ac:dyDescent="0.35">
      <c r="A78" s="144" t="s">
        <v>962</v>
      </c>
    </row>
    <row r="79" spans="1:1" x14ac:dyDescent="0.35">
      <c r="A79" s="144">
        <v>231456</v>
      </c>
    </row>
    <row r="80" spans="1:1" ht="29" x14ac:dyDescent="0.35">
      <c r="A80" s="144" t="s">
        <v>963</v>
      </c>
    </row>
    <row r="81" spans="1:1" x14ac:dyDescent="0.35">
      <c r="A81" s="144">
        <v>231457</v>
      </c>
    </row>
    <row r="82" spans="1:1" ht="29" x14ac:dyDescent="0.35">
      <c r="A82" s="144" t="s">
        <v>963</v>
      </c>
    </row>
    <row r="83" spans="1:1" x14ac:dyDescent="0.35">
      <c r="A83" s="144">
        <v>231458</v>
      </c>
    </row>
    <row r="84" spans="1:1" ht="29" x14ac:dyDescent="0.35">
      <c r="A84" s="144" t="s">
        <v>963</v>
      </c>
    </row>
    <row r="85" spans="1:1" x14ac:dyDescent="0.35">
      <c r="A85" s="144">
        <v>231459</v>
      </c>
    </row>
    <row r="86" spans="1:1" ht="29" x14ac:dyDescent="0.35">
      <c r="A86" s="144" t="s">
        <v>963</v>
      </c>
    </row>
    <row r="87" spans="1:1" x14ac:dyDescent="0.35">
      <c r="A87" s="144">
        <v>231460</v>
      </c>
    </row>
    <row r="88" spans="1:1" ht="29" x14ac:dyDescent="0.35">
      <c r="A88" s="144" t="s">
        <v>963</v>
      </c>
    </row>
    <row r="89" spans="1:1" x14ac:dyDescent="0.35">
      <c r="A89" s="144">
        <v>246683</v>
      </c>
    </row>
    <row r="90" spans="1:1" x14ac:dyDescent="0.35">
      <c r="A90" s="144" t="s">
        <v>964</v>
      </c>
    </row>
    <row r="91" spans="1:1" x14ac:dyDescent="0.35">
      <c r="A91" s="144">
        <v>285926</v>
      </c>
    </row>
    <row r="92" spans="1:1" x14ac:dyDescent="0.35">
      <c r="A92" s="144" t="s">
        <v>965</v>
      </c>
    </row>
    <row r="93" spans="1:1" x14ac:dyDescent="0.35">
      <c r="A93" s="144">
        <v>366495</v>
      </c>
    </row>
    <row r="94" spans="1:1" x14ac:dyDescent="0.35">
      <c r="A94" s="144" t="s">
        <v>530</v>
      </c>
    </row>
    <row r="95" spans="1:1" x14ac:dyDescent="0.35">
      <c r="A95" s="144">
        <v>424900</v>
      </c>
    </row>
    <row r="96" spans="1:1" x14ac:dyDescent="0.35">
      <c r="A96" s="144" t="s">
        <v>966</v>
      </c>
    </row>
    <row r="97" spans="1:1" x14ac:dyDescent="0.35">
      <c r="A97" s="144">
        <v>427410</v>
      </c>
    </row>
    <row r="98" spans="1:1" ht="29" x14ac:dyDescent="0.35">
      <c r="A98" s="144" t="s">
        <v>967</v>
      </c>
    </row>
    <row r="99" spans="1:1" x14ac:dyDescent="0.35">
      <c r="A99" s="144" t="s">
        <v>308</v>
      </c>
    </row>
    <row r="100" spans="1:1" x14ac:dyDescent="0.35">
      <c r="A100" s="144" t="s">
        <v>968</v>
      </c>
    </row>
    <row r="101" spans="1:1" x14ac:dyDescent="0.35">
      <c r="A101" s="144" t="s">
        <v>344</v>
      </c>
    </row>
    <row r="102" spans="1:1" x14ac:dyDescent="0.35">
      <c r="A102" s="144" t="s">
        <v>273</v>
      </c>
    </row>
    <row r="103" spans="1:1" x14ac:dyDescent="0.35">
      <c r="A103" s="144">
        <v>204515</v>
      </c>
    </row>
    <row r="104" spans="1:1" x14ac:dyDescent="0.35">
      <c r="A104" s="144" t="s">
        <v>969</v>
      </c>
    </row>
    <row r="105" spans="1:1" x14ac:dyDescent="0.35">
      <c r="A105" s="144">
        <v>204523</v>
      </c>
    </row>
    <row r="106" spans="1:1" x14ac:dyDescent="0.35">
      <c r="A106" s="144" t="s">
        <v>458</v>
      </c>
    </row>
    <row r="107" spans="1:1" x14ac:dyDescent="0.35">
      <c r="A107" s="144">
        <v>204531</v>
      </c>
    </row>
    <row r="108" spans="1:1" x14ac:dyDescent="0.35">
      <c r="A108" s="144" t="s">
        <v>970</v>
      </c>
    </row>
    <row r="109" spans="1:1" x14ac:dyDescent="0.35">
      <c r="A109" s="144">
        <v>204551</v>
      </c>
    </row>
    <row r="110" spans="1:1" x14ac:dyDescent="0.35">
      <c r="A110" s="144" t="s">
        <v>971</v>
      </c>
    </row>
    <row r="111" spans="1:1" x14ac:dyDescent="0.35">
      <c r="A111" s="144">
        <v>204617</v>
      </c>
    </row>
    <row r="112" spans="1:1" x14ac:dyDescent="0.35">
      <c r="A112" s="144" t="s">
        <v>317</v>
      </c>
    </row>
    <row r="113" spans="1:1" x14ac:dyDescent="0.35">
      <c r="A113" s="144">
        <v>204623</v>
      </c>
    </row>
    <row r="114" spans="1:1" x14ac:dyDescent="0.35">
      <c r="A114" s="144" t="s">
        <v>972</v>
      </c>
    </row>
    <row r="115" spans="1:1" x14ac:dyDescent="0.35">
      <c r="A115" s="144">
        <v>204883</v>
      </c>
    </row>
    <row r="116" spans="1:1" x14ac:dyDescent="0.35">
      <c r="A116" s="144" t="s">
        <v>143</v>
      </c>
    </row>
    <row r="117" spans="1:1" x14ac:dyDescent="0.35">
      <c r="A117" s="144">
        <v>204942</v>
      </c>
    </row>
    <row r="118" spans="1:1" x14ac:dyDescent="0.35">
      <c r="A118" s="144" t="s">
        <v>973</v>
      </c>
    </row>
    <row r="119" spans="1:1" x14ac:dyDescent="0.35">
      <c r="A119" s="144">
        <v>205529</v>
      </c>
    </row>
    <row r="120" spans="1:1" x14ac:dyDescent="0.35">
      <c r="A120" s="144" t="s">
        <v>974</v>
      </c>
    </row>
    <row r="121" spans="1:1" x14ac:dyDescent="0.35">
      <c r="A121" s="144">
        <v>205547</v>
      </c>
    </row>
    <row r="122" spans="1:1" ht="29" x14ac:dyDescent="0.35">
      <c r="A122" s="144" t="s">
        <v>562</v>
      </c>
    </row>
    <row r="123" spans="1:1" x14ac:dyDescent="0.35">
      <c r="A123" s="144">
        <v>206706</v>
      </c>
    </row>
    <row r="124" spans="1:1" x14ac:dyDescent="0.35">
      <c r="A124" s="144" t="s">
        <v>975</v>
      </c>
    </row>
    <row r="125" spans="1:1" x14ac:dyDescent="0.35">
      <c r="A125" s="144">
        <v>206707</v>
      </c>
    </row>
    <row r="126" spans="1:1" x14ac:dyDescent="0.35">
      <c r="A126" s="144" t="s">
        <v>187</v>
      </c>
    </row>
    <row r="127" spans="1:1" x14ac:dyDescent="0.35">
      <c r="A127" s="144">
        <v>206755</v>
      </c>
    </row>
    <row r="128" spans="1:1" ht="29" x14ac:dyDescent="0.35">
      <c r="A128" s="144" t="s">
        <v>976</v>
      </c>
    </row>
    <row r="129" spans="1:1" x14ac:dyDescent="0.35">
      <c r="A129" s="144">
        <v>208499</v>
      </c>
    </row>
    <row r="130" spans="1:1" x14ac:dyDescent="0.35">
      <c r="A130" s="144" t="s">
        <v>977</v>
      </c>
    </row>
    <row r="131" spans="1:1" x14ac:dyDescent="0.35">
      <c r="A131" s="144">
        <v>208501</v>
      </c>
    </row>
    <row r="132" spans="1:1" x14ac:dyDescent="0.35">
      <c r="A132" s="144" t="s">
        <v>978</v>
      </c>
    </row>
    <row r="133" spans="1:1" x14ac:dyDescent="0.35">
      <c r="A133" s="144">
        <v>209672</v>
      </c>
    </row>
    <row r="134" spans="1:1" x14ac:dyDescent="0.35">
      <c r="A134" s="144" t="s">
        <v>979</v>
      </c>
    </row>
    <row r="135" spans="1:1" x14ac:dyDescent="0.35">
      <c r="A135" s="144">
        <v>209683</v>
      </c>
    </row>
    <row r="136" spans="1:1" x14ac:dyDescent="0.35">
      <c r="A136" s="144" t="s">
        <v>980</v>
      </c>
    </row>
    <row r="137" spans="1:1" x14ac:dyDescent="0.35">
      <c r="A137" s="144">
        <v>211510</v>
      </c>
    </row>
    <row r="138" spans="1:1" ht="29" x14ac:dyDescent="0.35">
      <c r="A138" s="144" t="s">
        <v>981</v>
      </c>
    </row>
    <row r="139" spans="1:1" x14ac:dyDescent="0.35">
      <c r="A139" s="144">
        <v>228274</v>
      </c>
    </row>
    <row r="140" spans="1:1" ht="29" x14ac:dyDescent="0.35">
      <c r="A140" s="144" t="s">
        <v>982</v>
      </c>
    </row>
    <row r="141" spans="1:1" x14ac:dyDescent="0.35">
      <c r="A141" s="144">
        <v>230440</v>
      </c>
    </row>
    <row r="142" spans="1:1" ht="29" x14ac:dyDescent="0.35">
      <c r="A142" s="144" t="s">
        <v>562</v>
      </c>
    </row>
    <row r="143" spans="1:1" x14ac:dyDescent="0.35">
      <c r="A143" s="144">
        <v>238175</v>
      </c>
    </row>
    <row r="144" spans="1:1" x14ac:dyDescent="0.35">
      <c r="A144" s="144" t="s">
        <v>211</v>
      </c>
    </row>
    <row r="145" spans="1:3" x14ac:dyDescent="0.35">
      <c r="A145" s="144">
        <v>243073</v>
      </c>
    </row>
    <row r="146" spans="1:3" x14ac:dyDescent="0.35">
      <c r="A146" s="144" t="s">
        <v>983</v>
      </c>
    </row>
    <row r="147" spans="1:3" x14ac:dyDescent="0.35">
      <c r="A147" s="144">
        <v>243147</v>
      </c>
    </row>
    <row r="148" spans="1:3" ht="29" x14ac:dyDescent="0.35">
      <c r="A148" s="144" t="s">
        <v>984</v>
      </c>
    </row>
    <row r="149" spans="1:3" x14ac:dyDescent="0.35">
      <c r="A149" s="144">
        <v>289666</v>
      </c>
    </row>
    <row r="150" spans="1:3" ht="29" x14ac:dyDescent="0.35">
      <c r="A150" s="144" t="s">
        <v>557</v>
      </c>
    </row>
    <row r="151" spans="1:3" x14ac:dyDescent="0.35">
      <c r="A151" s="144">
        <v>348824</v>
      </c>
    </row>
    <row r="152" spans="1:3" x14ac:dyDescent="0.35">
      <c r="A152" s="144" t="s">
        <v>523</v>
      </c>
    </row>
    <row r="153" spans="1:3" x14ac:dyDescent="0.35">
      <c r="A153" s="144">
        <v>366703</v>
      </c>
    </row>
    <row r="154" spans="1:3" x14ac:dyDescent="0.35">
      <c r="A154" s="144" t="s">
        <v>985</v>
      </c>
    </row>
    <row r="155" spans="1:3" x14ac:dyDescent="0.35">
      <c r="A155" s="144">
        <v>409015</v>
      </c>
    </row>
    <row r="156" spans="1:3" x14ac:dyDescent="0.35">
      <c r="A156" s="144" t="s">
        <v>986</v>
      </c>
    </row>
    <row r="157" spans="1:3" x14ac:dyDescent="0.35">
      <c r="C157" s="145">
        <f>156/2</f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35D4-44A8-42E6-BAB3-ED084856273A}">
  <sheetPr filterMode="1">
    <tabColor rgb="FFFFFF00"/>
  </sheetPr>
  <dimension ref="A1:CW1048568"/>
  <sheetViews>
    <sheetView zoomScale="80" zoomScaleNormal="80" workbookViewId="0">
      <selection activeCell="A2" sqref="A2:D2"/>
    </sheetView>
  </sheetViews>
  <sheetFormatPr baseColWidth="10" defaultColWidth="11.453125" defaultRowHeight="14.5" x14ac:dyDescent="0.35"/>
  <cols>
    <col min="2" max="2" width="63.7265625" bestFit="1" customWidth="1"/>
    <col min="3" max="3" width="11.453125" customWidth="1"/>
    <col min="4" max="4" width="19.1796875" bestFit="1" customWidth="1"/>
    <col min="5" max="5" width="70.54296875" customWidth="1"/>
    <col min="6" max="6" width="17.453125" customWidth="1"/>
    <col min="7" max="7" width="15.1796875" customWidth="1"/>
    <col min="8" max="8" width="14.26953125" customWidth="1"/>
    <col min="9" max="9" width="24.54296875" customWidth="1"/>
    <col min="10" max="10" width="22.54296875" customWidth="1"/>
    <col min="11" max="11" width="18.1796875" customWidth="1"/>
    <col min="12" max="12" width="11.81640625" customWidth="1"/>
    <col min="13" max="14" width="12.26953125" customWidth="1"/>
    <col min="15" max="15" width="17.26953125" customWidth="1"/>
    <col min="16" max="16" width="18.1796875" customWidth="1"/>
    <col min="17" max="17" width="11.453125" customWidth="1"/>
    <col min="18" max="18" width="12.26953125" customWidth="1"/>
    <col min="19" max="19" width="11.453125" customWidth="1"/>
    <col min="20" max="20" width="23.81640625" style="117" bestFit="1" customWidth="1"/>
    <col min="21" max="21" width="11.453125" customWidth="1"/>
    <col min="22" max="22" width="18.7265625" customWidth="1"/>
    <col min="23" max="23" width="18.1796875" customWidth="1"/>
    <col min="24" max="24" width="16" customWidth="1"/>
    <col min="25" max="25" width="19.1796875" customWidth="1"/>
    <col min="26" max="26" width="11.453125" customWidth="1"/>
    <col min="27" max="27" width="23.81640625" bestFit="1" customWidth="1"/>
    <col min="28" max="29" width="17.26953125" customWidth="1"/>
    <col min="30" max="30" width="18.1796875" customWidth="1"/>
    <col min="31" max="32" width="16" customWidth="1"/>
    <col min="33" max="33" width="19.1796875" customWidth="1"/>
    <col min="34" max="34" width="11.453125" customWidth="1"/>
    <col min="35" max="35" width="13.7265625" customWidth="1"/>
    <col min="36" max="36" width="17.26953125" customWidth="1"/>
    <col min="37" max="37" width="17.81640625" bestFit="1" customWidth="1"/>
    <col min="38" max="38" width="18.1796875" bestFit="1" customWidth="1"/>
    <col min="39" max="39" width="18.54296875" bestFit="1" customWidth="1"/>
    <col min="40" max="40" width="15.7265625" bestFit="1" customWidth="1"/>
    <col min="41" max="41" width="21.7265625" bestFit="1" customWidth="1"/>
    <col min="43" max="43" width="17.26953125" bestFit="1" customWidth="1"/>
    <col min="44" max="44" width="19.7265625" bestFit="1" customWidth="1"/>
    <col min="45" max="45" width="19.1796875" bestFit="1" customWidth="1"/>
    <col min="46" max="46" width="24.54296875" bestFit="1" customWidth="1"/>
    <col min="47" max="47" width="25" bestFit="1" customWidth="1"/>
    <col min="48" max="48" width="22.1796875" bestFit="1" customWidth="1"/>
    <col min="49" max="49" width="28.26953125" bestFit="1" customWidth="1"/>
    <col min="51" max="51" width="23.81640625" bestFit="1" customWidth="1"/>
    <col min="52" max="52" width="23" bestFit="1" customWidth="1"/>
    <col min="53" max="53" width="24.453125" bestFit="1" customWidth="1"/>
    <col min="54" max="54" width="24.54296875" bestFit="1" customWidth="1"/>
    <col min="55" max="55" width="25" bestFit="1" customWidth="1"/>
    <col min="57" max="57" width="28.26953125" bestFit="1" customWidth="1"/>
    <col min="59" max="59" width="23.81640625" bestFit="1" customWidth="1"/>
    <col min="61" max="61" width="26" bestFit="1" customWidth="1"/>
    <col min="62" max="62" width="24.54296875" bestFit="1" customWidth="1"/>
    <col min="63" max="63" width="25" bestFit="1" customWidth="1"/>
    <col min="67" max="67" width="23.81640625" bestFit="1" customWidth="1"/>
    <col min="70" max="70" width="24.54296875" bestFit="1" customWidth="1"/>
    <col min="73" max="73" width="28.26953125" bestFit="1" customWidth="1"/>
    <col min="75" max="75" width="23.81640625" bestFit="1" customWidth="1"/>
    <col min="78" max="78" width="24.54296875" bestFit="1" customWidth="1"/>
    <col min="79" max="79" width="25" bestFit="1" customWidth="1"/>
    <col min="80" max="80" width="22.1796875" bestFit="1" customWidth="1"/>
    <col min="81" max="81" width="28.26953125" bestFit="1" customWidth="1"/>
    <col min="83" max="83" width="23.81640625" bestFit="1" customWidth="1"/>
    <col min="84" max="84" width="23" bestFit="1" customWidth="1"/>
    <col min="86" max="86" width="24.54296875" bestFit="1" customWidth="1"/>
    <col min="92" max="92" width="23" bestFit="1" customWidth="1"/>
    <col min="94" max="94" width="24.54296875" bestFit="1" customWidth="1"/>
    <col min="96" max="96" width="22.1796875" bestFit="1" customWidth="1"/>
  </cols>
  <sheetData>
    <row r="1" spans="1:101" ht="26" x14ac:dyDescent="0.6">
      <c r="A1" s="239" t="s">
        <v>540</v>
      </c>
      <c r="B1" s="239"/>
      <c r="C1" s="239"/>
      <c r="D1" s="239"/>
      <c r="E1" s="239"/>
      <c r="F1" s="239"/>
      <c r="G1" s="240" t="s">
        <v>541</v>
      </c>
      <c r="H1" s="240" t="s">
        <v>542</v>
      </c>
      <c r="I1" s="214" t="s">
        <v>503</v>
      </c>
      <c r="J1" s="215"/>
      <c r="K1" s="215"/>
      <c r="L1" s="215"/>
      <c r="M1" s="215"/>
      <c r="N1" s="215"/>
      <c r="O1" s="216"/>
      <c r="P1" s="232" t="s">
        <v>17</v>
      </c>
      <c r="Q1" s="233"/>
      <c r="R1" s="233"/>
      <c r="S1" s="233"/>
      <c r="T1" s="233"/>
      <c r="U1" s="233"/>
      <c r="V1" s="234"/>
      <c r="W1" s="226" t="s">
        <v>0</v>
      </c>
      <c r="X1" s="227"/>
      <c r="Y1" s="227"/>
      <c r="Z1" s="227"/>
      <c r="AA1" s="227"/>
      <c r="AB1" s="227"/>
      <c r="AC1" s="228"/>
      <c r="AD1" s="185" t="s">
        <v>1</v>
      </c>
      <c r="AE1" s="186"/>
      <c r="AF1" s="186"/>
      <c r="AG1" s="186"/>
      <c r="AH1" s="186"/>
      <c r="AI1" s="186"/>
      <c r="AJ1" s="186"/>
      <c r="AK1" s="186"/>
      <c r="AL1" s="187" t="s">
        <v>2</v>
      </c>
      <c r="AM1" s="187"/>
      <c r="AN1" s="187"/>
      <c r="AO1" s="187"/>
      <c r="AP1" s="187"/>
      <c r="AQ1" s="187"/>
      <c r="AR1" s="187"/>
      <c r="AS1" s="187"/>
      <c r="AT1" s="188" t="s">
        <v>3</v>
      </c>
      <c r="AU1" s="188"/>
      <c r="AV1" s="188"/>
      <c r="AW1" s="188"/>
      <c r="AX1" s="188"/>
      <c r="AY1" s="188"/>
      <c r="AZ1" s="188"/>
      <c r="BA1" s="188"/>
      <c r="BB1" s="189" t="s">
        <v>4</v>
      </c>
      <c r="BC1" s="189"/>
      <c r="BD1" s="189"/>
      <c r="BE1" s="189"/>
      <c r="BF1" s="189"/>
      <c r="BG1" s="189"/>
      <c r="BH1" s="189"/>
      <c r="BI1" s="189"/>
      <c r="BJ1" s="190" t="s">
        <v>5</v>
      </c>
      <c r="BK1" s="190"/>
      <c r="BL1" s="190"/>
      <c r="BM1" s="190"/>
      <c r="BN1" s="190"/>
      <c r="BO1" s="190"/>
      <c r="BP1" s="190"/>
      <c r="BQ1" s="190"/>
      <c r="BR1" s="191" t="s">
        <v>6</v>
      </c>
      <c r="BS1" s="191"/>
      <c r="BT1" s="191"/>
      <c r="BU1" s="191"/>
      <c r="BV1" s="191"/>
      <c r="BW1" s="191"/>
      <c r="BX1" s="191"/>
      <c r="BY1" s="191"/>
      <c r="BZ1" s="217" t="s">
        <v>7</v>
      </c>
      <c r="CA1" s="217"/>
      <c r="CB1" s="217"/>
      <c r="CC1" s="217"/>
      <c r="CD1" s="217"/>
      <c r="CE1" s="217"/>
      <c r="CF1" s="217"/>
      <c r="CG1" s="217"/>
      <c r="CH1" s="192" t="s">
        <v>8</v>
      </c>
      <c r="CI1" s="192"/>
      <c r="CJ1" s="192"/>
      <c r="CK1" s="192"/>
      <c r="CL1" s="192"/>
      <c r="CM1" s="192"/>
      <c r="CN1" s="192"/>
      <c r="CO1" s="192"/>
      <c r="CP1" s="184" t="s">
        <v>9</v>
      </c>
      <c r="CQ1" s="184"/>
      <c r="CR1" s="184"/>
      <c r="CS1" s="184"/>
      <c r="CT1" s="184"/>
      <c r="CU1" s="184"/>
      <c r="CV1" s="184"/>
      <c r="CW1" s="184"/>
    </row>
    <row r="2" spans="1:101" x14ac:dyDescent="0.35">
      <c r="A2" s="253" t="s">
        <v>10</v>
      </c>
      <c r="B2" s="253" t="s">
        <v>543</v>
      </c>
      <c r="C2" s="253" t="s">
        <v>544</v>
      </c>
      <c r="D2" s="253" t="s">
        <v>545</v>
      </c>
      <c r="E2" s="4" t="s">
        <v>546</v>
      </c>
      <c r="F2" s="4" t="s">
        <v>16</v>
      </c>
      <c r="G2" s="241"/>
      <c r="H2" s="241"/>
      <c r="I2" s="70" t="s">
        <v>18</v>
      </c>
      <c r="J2" s="4" t="s">
        <v>21</v>
      </c>
      <c r="K2" s="4" t="s">
        <v>22</v>
      </c>
      <c r="L2" s="4" t="s">
        <v>20</v>
      </c>
      <c r="M2" s="89" t="s">
        <v>24</v>
      </c>
      <c r="N2" s="89" t="s">
        <v>528</v>
      </c>
      <c r="O2" s="89" t="s">
        <v>27</v>
      </c>
      <c r="P2" s="70" t="s">
        <v>18</v>
      </c>
      <c r="Q2" s="4" t="s">
        <v>21</v>
      </c>
      <c r="R2" s="4" t="s">
        <v>22</v>
      </c>
      <c r="S2" s="4" t="s">
        <v>20</v>
      </c>
      <c r="T2" s="116" t="s">
        <v>528</v>
      </c>
      <c r="U2" s="89" t="s">
        <v>24</v>
      </c>
      <c r="V2" s="89" t="s">
        <v>27</v>
      </c>
      <c r="W2" s="70" t="s">
        <v>18</v>
      </c>
      <c r="X2" s="4" t="s">
        <v>21</v>
      </c>
      <c r="Y2" s="4" t="s">
        <v>22</v>
      </c>
      <c r="Z2" s="4" t="s">
        <v>20</v>
      </c>
      <c r="AA2" s="4" t="s">
        <v>528</v>
      </c>
      <c r="AB2" s="89" t="s">
        <v>24</v>
      </c>
      <c r="AC2" s="89" t="s">
        <v>27</v>
      </c>
      <c r="AD2" s="70" t="s">
        <v>18</v>
      </c>
      <c r="AE2" s="70" t="s">
        <v>21</v>
      </c>
      <c r="AF2" s="70" t="s">
        <v>506</v>
      </c>
      <c r="AG2" s="70" t="s">
        <v>22</v>
      </c>
      <c r="AH2" s="70" t="s">
        <v>20</v>
      </c>
      <c r="AI2" s="70" t="s">
        <v>507</v>
      </c>
      <c r="AJ2" s="100" t="s">
        <v>24</v>
      </c>
      <c r="AK2" s="104" t="s">
        <v>27</v>
      </c>
      <c r="AL2" s="70" t="s">
        <v>18</v>
      </c>
      <c r="AM2" s="70" t="s">
        <v>21</v>
      </c>
      <c r="AN2" s="70" t="s">
        <v>506</v>
      </c>
      <c r="AO2" s="70" t="s">
        <v>22</v>
      </c>
      <c r="AP2" s="70" t="s">
        <v>20</v>
      </c>
      <c r="AQ2" s="70" t="s">
        <v>507</v>
      </c>
      <c r="AR2" s="100" t="s">
        <v>24</v>
      </c>
      <c r="AS2" s="70" t="s">
        <v>27</v>
      </c>
      <c r="AT2" s="70" t="s">
        <v>18</v>
      </c>
      <c r="AU2" s="70" t="s">
        <v>21</v>
      </c>
      <c r="AV2" s="70" t="s">
        <v>506</v>
      </c>
      <c r="AW2" s="70" t="s">
        <v>22</v>
      </c>
      <c r="AX2" s="70" t="s">
        <v>20</v>
      </c>
      <c r="AY2" s="70" t="s">
        <v>507</v>
      </c>
      <c r="AZ2" s="100" t="s">
        <v>24</v>
      </c>
      <c r="BA2" s="70" t="s">
        <v>529</v>
      </c>
      <c r="BB2" s="70" t="s">
        <v>18</v>
      </c>
      <c r="BC2" s="70" t="s">
        <v>21</v>
      </c>
      <c r="BD2" s="70" t="s">
        <v>506</v>
      </c>
      <c r="BE2" s="70" t="s">
        <v>22</v>
      </c>
      <c r="BF2" s="70" t="s">
        <v>20</v>
      </c>
      <c r="BG2" s="70" t="s">
        <v>507</v>
      </c>
      <c r="BH2" s="100" t="s">
        <v>24</v>
      </c>
      <c r="BI2" s="70" t="s">
        <v>529</v>
      </c>
      <c r="BJ2" s="70" t="s">
        <v>18</v>
      </c>
      <c r="BK2" s="70" t="s">
        <v>21</v>
      </c>
      <c r="BL2" s="70" t="s">
        <v>506</v>
      </c>
      <c r="BM2" s="70" t="s">
        <v>22</v>
      </c>
      <c r="BN2" s="70" t="s">
        <v>20</v>
      </c>
      <c r="BO2" s="70" t="s">
        <v>507</v>
      </c>
      <c r="BP2" s="100" t="s">
        <v>24</v>
      </c>
      <c r="BQ2" s="70" t="s">
        <v>529</v>
      </c>
      <c r="BR2" s="70" t="s">
        <v>18</v>
      </c>
      <c r="BS2" s="70" t="s">
        <v>21</v>
      </c>
      <c r="BT2" s="70" t="s">
        <v>506</v>
      </c>
      <c r="BU2" s="70" t="s">
        <v>22</v>
      </c>
      <c r="BV2" s="70" t="s">
        <v>20</v>
      </c>
      <c r="BW2" s="70" t="s">
        <v>507</v>
      </c>
      <c r="BX2" s="100" t="s">
        <v>24</v>
      </c>
      <c r="BY2" s="70" t="s">
        <v>27</v>
      </c>
      <c r="BZ2" s="70" t="s">
        <v>18</v>
      </c>
      <c r="CA2" s="70" t="s">
        <v>21</v>
      </c>
      <c r="CB2" s="70" t="s">
        <v>506</v>
      </c>
      <c r="CC2" s="70" t="s">
        <v>22</v>
      </c>
      <c r="CD2" s="70" t="s">
        <v>20</v>
      </c>
      <c r="CE2" s="70" t="s">
        <v>507</v>
      </c>
      <c r="CF2" s="100" t="s">
        <v>24</v>
      </c>
      <c r="CG2" s="70" t="s">
        <v>27</v>
      </c>
      <c r="CH2" s="70" t="s">
        <v>18</v>
      </c>
      <c r="CI2" s="70" t="s">
        <v>21</v>
      </c>
      <c r="CJ2" s="70" t="s">
        <v>506</v>
      </c>
      <c r="CK2" s="70" t="s">
        <v>22</v>
      </c>
      <c r="CL2" s="70" t="s">
        <v>20</v>
      </c>
      <c r="CM2" s="70" t="s">
        <v>507</v>
      </c>
      <c r="CN2" s="100" t="s">
        <v>24</v>
      </c>
      <c r="CO2" s="70" t="s">
        <v>27</v>
      </c>
      <c r="CP2" s="70" t="s">
        <v>18</v>
      </c>
      <c r="CQ2" s="70" t="s">
        <v>21</v>
      </c>
      <c r="CR2" s="70" t="s">
        <v>506</v>
      </c>
      <c r="CS2" s="70" t="s">
        <v>22</v>
      </c>
      <c r="CT2" s="70" t="s">
        <v>20</v>
      </c>
      <c r="CU2" s="70" t="s">
        <v>507</v>
      </c>
      <c r="CV2" s="100" t="s">
        <v>24</v>
      </c>
      <c r="CW2" s="70" t="s">
        <v>27</v>
      </c>
    </row>
    <row r="3" spans="1:101" hidden="1" x14ac:dyDescent="0.35">
      <c r="A3" s="73" t="s">
        <v>33</v>
      </c>
      <c r="B3" s="14" t="s">
        <v>547</v>
      </c>
      <c r="C3" s="1" t="s">
        <v>987</v>
      </c>
      <c r="D3" s="1">
        <v>238176</v>
      </c>
      <c r="E3" s="16" t="s">
        <v>548</v>
      </c>
      <c r="F3" s="17" t="s">
        <v>549</v>
      </c>
      <c r="G3" s="39">
        <v>10134625</v>
      </c>
      <c r="H3" s="39">
        <v>9356205</v>
      </c>
      <c r="I3" s="57">
        <v>9255365</v>
      </c>
      <c r="J3" s="8">
        <f>H3-I3</f>
        <v>100840</v>
      </c>
      <c r="K3" s="14"/>
      <c r="L3" s="58">
        <v>0</v>
      </c>
      <c r="M3" s="3" t="s">
        <v>31</v>
      </c>
      <c r="N3" s="123">
        <v>44566</v>
      </c>
      <c r="O3" s="20"/>
      <c r="P3" s="57">
        <v>9255365</v>
      </c>
      <c r="Q3" s="8">
        <f>I3-P3</f>
        <v>0</v>
      </c>
      <c r="R3" s="14"/>
      <c r="S3" s="58">
        <v>0</v>
      </c>
      <c r="T3" s="101">
        <v>44593</v>
      </c>
      <c r="U3" s="14" t="s">
        <v>31</v>
      </c>
      <c r="V3" s="20"/>
      <c r="W3" s="57">
        <v>11893145</v>
      </c>
      <c r="X3" s="57">
        <f>P3-W3</f>
        <v>-2637780</v>
      </c>
      <c r="Y3" s="14"/>
      <c r="Z3" s="58">
        <f>X3/P3</f>
        <v>-0.2850001053443057</v>
      </c>
      <c r="AA3" s="101">
        <v>44624</v>
      </c>
      <c r="AB3" s="14" t="s">
        <v>31</v>
      </c>
      <c r="AC3" s="20"/>
      <c r="AD3" s="57">
        <v>10134625</v>
      </c>
      <c r="AE3" s="57"/>
      <c r="AF3" s="57">
        <f>P3-AD3</f>
        <v>-879260</v>
      </c>
      <c r="AG3" s="57"/>
      <c r="AH3" s="58">
        <f>AF3/P3</f>
        <v>-9.5000035114768566E-2</v>
      </c>
      <c r="AI3" s="120">
        <v>44655</v>
      </c>
      <c r="AJ3" s="57" t="s">
        <v>31</v>
      </c>
      <c r="AK3" s="14"/>
      <c r="AL3" s="57">
        <v>10134625</v>
      </c>
      <c r="AM3" s="57">
        <f>AD3-AL3</f>
        <v>0</v>
      </c>
      <c r="AN3" s="57"/>
      <c r="AO3" s="57"/>
      <c r="AP3" s="58">
        <v>0</v>
      </c>
      <c r="AQ3" s="101">
        <v>44684</v>
      </c>
      <c r="AR3" s="14" t="s">
        <v>31</v>
      </c>
      <c r="AS3" s="14"/>
      <c r="AT3" s="57">
        <v>10134625</v>
      </c>
      <c r="AU3" s="57">
        <f>AL3-AT3</f>
        <v>0</v>
      </c>
      <c r="AV3" s="57"/>
      <c r="AW3" s="57"/>
      <c r="AX3" s="58">
        <v>0</v>
      </c>
      <c r="AY3" s="120">
        <v>44715</v>
      </c>
      <c r="AZ3" s="57" t="s">
        <v>31</v>
      </c>
      <c r="BA3" s="120">
        <v>44728</v>
      </c>
      <c r="BB3" s="57">
        <v>10134625</v>
      </c>
      <c r="BC3" s="57">
        <f>AT3-BB3</f>
        <v>0</v>
      </c>
      <c r="BD3" s="57"/>
      <c r="BE3" s="57"/>
      <c r="BF3" s="58">
        <v>0</v>
      </c>
      <c r="BG3" s="101">
        <v>44743</v>
      </c>
      <c r="BH3" s="14" t="s">
        <v>31</v>
      </c>
      <c r="BI3" s="101">
        <v>44757</v>
      </c>
      <c r="BJ3" s="57">
        <v>10134625</v>
      </c>
      <c r="BK3" s="57">
        <f>BJ3-BB3</f>
        <v>0</v>
      </c>
      <c r="BL3" s="57"/>
      <c r="BM3" s="57"/>
      <c r="BN3" s="58">
        <v>0</v>
      </c>
      <c r="BO3" s="101">
        <v>44784</v>
      </c>
      <c r="BP3" s="14" t="s">
        <v>31</v>
      </c>
      <c r="BQ3" s="14"/>
      <c r="BR3" s="57"/>
      <c r="BS3" s="57"/>
      <c r="BT3" s="57"/>
      <c r="BU3" s="57"/>
      <c r="BV3" s="58"/>
      <c r="BW3" s="101"/>
      <c r="BX3" s="14"/>
      <c r="BY3" s="14"/>
      <c r="BZ3" s="57"/>
      <c r="CA3" s="57"/>
      <c r="CB3" s="57"/>
      <c r="CC3" s="57"/>
      <c r="CD3" s="58"/>
      <c r="CE3" s="101"/>
      <c r="CF3" s="14"/>
      <c r="CG3" s="14"/>
      <c r="CH3" s="57"/>
      <c r="CI3" s="57"/>
      <c r="CJ3" s="57"/>
      <c r="CK3" s="57"/>
      <c r="CL3" s="58"/>
      <c r="CM3" s="101"/>
      <c r="CN3" s="14"/>
      <c r="CO3" s="14"/>
      <c r="CP3" s="57"/>
      <c r="CQ3" s="57"/>
      <c r="CR3" s="57"/>
      <c r="CS3" s="57"/>
      <c r="CT3" s="58"/>
      <c r="CU3" s="101"/>
      <c r="CV3" s="14"/>
      <c r="CW3" s="14"/>
    </row>
    <row r="4" spans="1:101" hidden="1" x14ac:dyDescent="0.35">
      <c r="A4" s="73" t="s">
        <v>28</v>
      </c>
      <c r="B4" s="14" t="s">
        <v>28</v>
      </c>
      <c r="C4" s="1">
        <v>8525</v>
      </c>
      <c r="D4" s="1">
        <v>251769</v>
      </c>
      <c r="E4" s="16" t="s">
        <v>550</v>
      </c>
      <c r="F4" s="23">
        <v>800121696</v>
      </c>
      <c r="G4" s="57">
        <v>721004</v>
      </c>
      <c r="H4" s="39">
        <v>682640</v>
      </c>
      <c r="I4" s="57">
        <v>721004</v>
      </c>
      <c r="J4" s="8">
        <f>H4-I4</f>
        <v>-38364</v>
      </c>
      <c r="K4" s="14"/>
      <c r="L4" s="108">
        <f>J4/H4</f>
        <v>-5.6199460916442047E-2</v>
      </c>
      <c r="M4" s="3" t="s">
        <v>31</v>
      </c>
      <c r="N4" s="123">
        <v>44567</v>
      </c>
      <c r="O4" s="20"/>
      <c r="P4" s="57">
        <v>721000</v>
      </c>
      <c r="Q4" s="8">
        <f>I4-P4</f>
        <v>4</v>
      </c>
      <c r="R4" s="14"/>
      <c r="S4" s="58">
        <f>Q4/I4</f>
        <v>5.5478194295732064E-6</v>
      </c>
      <c r="T4" s="101">
        <v>44600</v>
      </c>
      <c r="U4" s="14" t="s">
        <v>31</v>
      </c>
      <c r="V4" s="20"/>
      <c r="W4" s="57">
        <v>721000</v>
      </c>
      <c r="X4" s="57">
        <f>P4-W4</f>
        <v>0</v>
      </c>
      <c r="Y4" s="14"/>
      <c r="Z4" s="58">
        <v>0</v>
      </c>
      <c r="AA4" s="101">
        <v>44624</v>
      </c>
      <c r="AB4" s="14" t="s">
        <v>31</v>
      </c>
      <c r="AC4" s="20"/>
      <c r="AD4" s="194" t="s">
        <v>408</v>
      </c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5"/>
      <c r="AP4" s="195"/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5"/>
      <c r="BL4" s="195"/>
      <c r="BM4" s="195"/>
      <c r="BN4" s="195"/>
      <c r="BO4" s="195"/>
      <c r="BP4" s="195"/>
      <c r="BQ4" s="195"/>
      <c r="BR4" s="195"/>
      <c r="BS4" s="195"/>
      <c r="BT4" s="195"/>
      <c r="BU4" s="195"/>
      <c r="BV4" s="195"/>
      <c r="BW4" s="195"/>
      <c r="BX4" s="195"/>
      <c r="BY4" s="195"/>
      <c r="BZ4" s="195"/>
      <c r="CA4" s="195"/>
      <c r="CB4" s="195"/>
      <c r="CC4" s="195"/>
      <c r="CD4" s="195"/>
      <c r="CE4" s="195"/>
      <c r="CF4" s="195"/>
      <c r="CG4" s="195"/>
      <c r="CH4" s="195"/>
      <c r="CI4" s="195"/>
      <c r="CJ4" s="195"/>
      <c r="CK4" s="195"/>
      <c r="CL4" s="195"/>
      <c r="CM4" s="195"/>
      <c r="CN4" s="195"/>
      <c r="CO4" s="195"/>
      <c r="CP4" s="195"/>
      <c r="CQ4" s="195"/>
      <c r="CR4" s="195"/>
      <c r="CS4" s="195"/>
      <c r="CT4" s="195"/>
      <c r="CU4" s="195"/>
      <c r="CV4" s="195"/>
      <c r="CW4" s="196"/>
    </row>
    <row r="5" spans="1:101" hidden="1" x14ac:dyDescent="0.35">
      <c r="A5" s="73" t="s">
        <v>39</v>
      </c>
      <c r="B5" s="162" t="s">
        <v>551</v>
      </c>
      <c r="C5" s="1">
        <v>9205</v>
      </c>
      <c r="D5" s="1">
        <v>204573</v>
      </c>
      <c r="E5" s="18" t="s">
        <v>552</v>
      </c>
      <c r="F5" s="19" t="s">
        <v>553</v>
      </c>
      <c r="G5" s="57">
        <v>1011805</v>
      </c>
      <c r="H5" s="57">
        <v>1011805</v>
      </c>
      <c r="I5" s="57">
        <v>1011805</v>
      </c>
      <c r="J5" s="8">
        <f>G5-I5</f>
        <v>0</v>
      </c>
      <c r="K5" s="14"/>
      <c r="L5" s="58">
        <v>0</v>
      </c>
      <c r="M5" s="3" t="s">
        <v>31</v>
      </c>
      <c r="N5" s="123">
        <v>44567</v>
      </c>
      <c r="O5" s="20"/>
      <c r="P5" s="57">
        <v>1011805</v>
      </c>
      <c r="Q5" s="8">
        <f>I5-P5</f>
        <v>0</v>
      </c>
      <c r="R5" s="14"/>
      <c r="S5" s="58">
        <v>0</v>
      </c>
      <c r="T5" s="101">
        <v>44600</v>
      </c>
      <c r="U5" s="14" t="s">
        <v>31</v>
      </c>
      <c r="V5" s="20"/>
      <c r="W5" s="57">
        <v>1011805</v>
      </c>
      <c r="X5" s="57">
        <f>P5-W5</f>
        <v>0</v>
      </c>
      <c r="Y5" s="14"/>
      <c r="Z5" s="58">
        <v>0</v>
      </c>
      <c r="AA5" s="101">
        <v>44627</v>
      </c>
      <c r="AB5" s="14" t="s">
        <v>31</v>
      </c>
      <c r="AC5" s="20"/>
      <c r="AD5" s="57">
        <v>1011805</v>
      </c>
      <c r="AE5" s="57">
        <f>W5-AD5</f>
        <v>0</v>
      </c>
      <c r="AF5" s="57"/>
      <c r="AG5" s="57"/>
      <c r="AH5" s="58">
        <v>0</v>
      </c>
      <c r="AI5" s="120">
        <v>44659</v>
      </c>
      <c r="AJ5" s="57" t="s">
        <v>31</v>
      </c>
      <c r="AK5" s="14"/>
      <c r="AL5" s="57">
        <v>1011805</v>
      </c>
      <c r="AM5" s="57">
        <f>AD5-AL5</f>
        <v>0</v>
      </c>
      <c r="AN5" s="57"/>
      <c r="AO5" s="57"/>
      <c r="AP5" s="58">
        <v>0</v>
      </c>
      <c r="AQ5" s="101">
        <v>44687</v>
      </c>
      <c r="AR5" s="14" t="s">
        <v>31</v>
      </c>
      <c r="AS5" s="14"/>
      <c r="AT5" s="57">
        <v>1011805</v>
      </c>
      <c r="AU5" s="57">
        <f>AL5-AT5</f>
        <v>0</v>
      </c>
      <c r="AV5" s="57"/>
      <c r="AW5" s="57"/>
      <c r="AX5" s="58">
        <v>0</v>
      </c>
      <c r="AY5" s="120">
        <v>44718</v>
      </c>
      <c r="AZ5" s="57" t="s">
        <v>31</v>
      </c>
      <c r="BA5" s="120">
        <v>44728</v>
      </c>
      <c r="BB5" s="57">
        <v>1011805</v>
      </c>
      <c r="BC5" s="57">
        <f>AT5-BB5</f>
        <v>0</v>
      </c>
      <c r="BD5" s="57"/>
      <c r="BE5" s="57"/>
      <c r="BF5" s="58">
        <v>0</v>
      </c>
      <c r="BG5" s="101">
        <v>44750</v>
      </c>
      <c r="BH5" s="14" t="s">
        <v>31</v>
      </c>
      <c r="BI5" s="101">
        <v>44768</v>
      </c>
      <c r="BJ5" s="57">
        <v>1011805</v>
      </c>
      <c r="BK5" s="57">
        <f>BB5-BJ5</f>
        <v>0</v>
      </c>
      <c r="BL5" s="57"/>
      <c r="BM5" s="57"/>
      <c r="BN5" s="58">
        <v>0</v>
      </c>
      <c r="BO5" s="101">
        <v>44778</v>
      </c>
      <c r="BP5" s="14" t="s">
        <v>31</v>
      </c>
      <c r="BQ5" s="14"/>
      <c r="BR5" s="57"/>
      <c r="BS5" s="57"/>
      <c r="BT5" s="57"/>
      <c r="BU5" s="57"/>
      <c r="BV5" s="58"/>
      <c r="BW5" s="101"/>
      <c r="BX5" s="14"/>
      <c r="BY5" s="14"/>
      <c r="BZ5" s="57"/>
      <c r="CA5" s="57"/>
      <c r="CB5" s="57"/>
      <c r="CC5" s="57"/>
      <c r="CD5" s="58"/>
      <c r="CE5" s="101"/>
      <c r="CF5" s="14"/>
      <c r="CG5" s="14"/>
      <c r="CH5" s="57"/>
      <c r="CI5" s="57"/>
      <c r="CJ5" s="57"/>
      <c r="CK5" s="57"/>
      <c r="CL5" s="58"/>
      <c r="CM5" s="101"/>
      <c r="CN5" s="14"/>
      <c r="CO5" s="14"/>
      <c r="CP5" s="57"/>
      <c r="CQ5" s="57"/>
      <c r="CR5" s="57"/>
      <c r="CS5" s="57"/>
      <c r="CT5" s="58"/>
      <c r="CU5" s="101"/>
      <c r="CV5" s="14"/>
      <c r="CW5" s="14"/>
    </row>
    <row r="6" spans="1:101" hidden="1" x14ac:dyDescent="0.35">
      <c r="A6" s="74" t="s">
        <v>42</v>
      </c>
      <c r="B6" s="26" t="s">
        <v>43</v>
      </c>
      <c r="C6" s="15">
        <v>9208</v>
      </c>
      <c r="D6" s="1">
        <v>204600</v>
      </c>
      <c r="E6" s="18" t="s">
        <v>554</v>
      </c>
      <c r="F6" s="19" t="s">
        <v>555</v>
      </c>
      <c r="G6" s="39">
        <v>1172387</v>
      </c>
      <c r="H6" s="39">
        <v>1172387</v>
      </c>
      <c r="I6" s="57">
        <v>1290447</v>
      </c>
      <c r="J6" s="8">
        <f>G6-I6</f>
        <v>-118060</v>
      </c>
      <c r="K6" s="14"/>
      <c r="L6" s="58">
        <f>J6/G6</f>
        <v>-0.10070053659755696</v>
      </c>
      <c r="M6" s="123" t="s">
        <v>31</v>
      </c>
      <c r="N6" s="123">
        <v>44565</v>
      </c>
      <c r="O6" s="20"/>
      <c r="P6" s="194" t="s">
        <v>531</v>
      </c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  <c r="AL6" s="195"/>
      <c r="AM6" s="195"/>
      <c r="AN6" s="195"/>
      <c r="AO6" s="195"/>
      <c r="AP6" s="195"/>
      <c r="AQ6" s="195"/>
      <c r="AR6" s="195"/>
      <c r="AS6" s="195"/>
      <c r="AT6" s="195"/>
      <c r="AU6" s="195"/>
      <c r="AV6" s="195"/>
      <c r="AW6" s="195"/>
      <c r="AX6" s="195"/>
      <c r="AY6" s="195"/>
      <c r="AZ6" s="195"/>
      <c r="BA6" s="195"/>
      <c r="BB6" s="195"/>
      <c r="BC6" s="195"/>
      <c r="BD6" s="195"/>
      <c r="BE6" s="195"/>
      <c r="BF6" s="195"/>
      <c r="BG6" s="195"/>
      <c r="BH6" s="195"/>
      <c r="BI6" s="195"/>
      <c r="BJ6" s="195"/>
      <c r="BK6" s="195"/>
      <c r="BL6" s="195"/>
      <c r="BM6" s="195"/>
      <c r="BN6" s="195"/>
      <c r="BO6" s="195"/>
      <c r="BP6" s="195"/>
      <c r="BQ6" s="195"/>
      <c r="BR6" s="195"/>
      <c r="BS6" s="195"/>
      <c r="BT6" s="195"/>
      <c r="BU6" s="195"/>
      <c r="BV6" s="195"/>
      <c r="BW6" s="195"/>
      <c r="BX6" s="195"/>
      <c r="BY6" s="195"/>
      <c r="BZ6" s="195"/>
      <c r="CA6" s="195"/>
      <c r="CB6" s="195"/>
      <c r="CC6" s="195"/>
      <c r="CD6" s="195"/>
      <c r="CE6" s="195"/>
      <c r="CF6" s="195"/>
      <c r="CG6" s="195"/>
      <c r="CH6" s="195"/>
      <c r="CI6" s="195"/>
      <c r="CJ6" s="195"/>
      <c r="CK6" s="195"/>
      <c r="CL6" s="195"/>
      <c r="CM6" s="195"/>
      <c r="CN6" s="195"/>
      <c r="CO6" s="195"/>
      <c r="CP6" s="195"/>
      <c r="CQ6" s="195"/>
      <c r="CR6" s="195"/>
      <c r="CS6" s="195"/>
      <c r="CT6" s="195"/>
      <c r="CU6" s="195"/>
      <c r="CV6" s="195"/>
      <c r="CW6" s="196"/>
    </row>
    <row r="7" spans="1:101" hidden="1" x14ac:dyDescent="0.35">
      <c r="A7" s="73" t="s">
        <v>48</v>
      </c>
      <c r="B7" s="14" t="s">
        <v>556</v>
      </c>
      <c r="C7" s="1">
        <v>9264</v>
      </c>
      <c r="D7" s="1">
        <v>238175</v>
      </c>
      <c r="E7" s="3" t="s">
        <v>557</v>
      </c>
      <c r="F7" s="20">
        <v>901394357</v>
      </c>
      <c r="G7" s="39">
        <v>1365664</v>
      </c>
      <c r="H7" s="39">
        <v>1519694</v>
      </c>
      <c r="I7" s="57">
        <v>1672817</v>
      </c>
      <c r="J7" s="8">
        <f>H7-I7</f>
        <v>-153123</v>
      </c>
      <c r="K7" s="14"/>
      <c r="L7" s="58">
        <f>J7/H7</f>
        <v>-0.10075910018727455</v>
      </c>
      <c r="M7" s="3" t="s">
        <v>31</v>
      </c>
      <c r="N7" s="123">
        <v>44574</v>
      </c>
      <c r="O7" s="20"/>
      <c r="P7" s="8">
        <v>1672727</v>
      </c>
      <c r="Q7" s="8">
        <f>I7-P7</f>
        <v>90</v>
      </c>
      <c r="R7" s="14"/>
      <c r="S7" s="58">
        <f>Q7/I7</f>
        <v>5.3801461845497747E-5</v>
      </c>
      <c r="T7" s="101">
        <v>44600</v>
      </c>
      <c r="U7" s="14" t="s">
        <v>31</v>
      </c>
      <c r="V7" s="20"/>
      <c r="W7" s="57">
        <v>1672727</v>
      </c>
      <c r="X7" s="57">
        <f>P7-W7</f>
        <v>0</v>
      </c>
      <c r="Y7" s="14"/>
      <c r="Z7" s="58">
        <v>0</v>
      </c>
      <c r="AA7" s="131">
        <v>44628</v>
      </c>
      <c r="AB7" s="14" t="s">
        <v>31</v>
      </c>
      <c r="AC7" s="20"/>
      <c r="AD7" s="57">
        <v>1672727</v>
      </c>
      <c r="AE7" s="57">
        <f>W7-AD7</f>
        <v>0</v>
      </c>
      <c r="AF7" s="57"/>
      <c r="AG7" s="57"/>
      <c r="AH7" s="58">
        <v>0</v>
      </c>
      <c r="AI7" s="120">
        <v>44659</v>
      </c>
      <c r="AJ7" s="57" t="s">
        <v>31</v>
      </c>
      <c r="AK7" s="14"/>
      <c r="AL7" s="57">
        <v>1672727</v>
      </c>
      <c r="AM7" s="57">
        <f>AD7-AL7</f>
        <v>0</v>
      </c>
      <c r="AN7" s="57"/>
      <c r="AO7" s="57"/>
      <c r="AP7" s="58">
        <v>0</v>
      </c>
      <c r="AQ7" s="101">
        <v>44687</v>
      </c>
      <c r="AR7" s="14" t="s">
        <v>31</v>
      </c>
      <c r="AS7" s="14"/>
      <c r="AT7" s="57">
        <v>1672727</v>
      </c>
      <c r="AU7" s="57">
        <f>AL7-AT7</f>
        <v>0</v>
      </c>
      <c r="AV7" s="57"/>
      <c r="AW7" s="57"/>
      <c r="AX7" s="58">
        <v>0</v>
      </c>
      <c r="AY7" s="120">
        <v>44719</v>
      </c>
      <c r="AZ7" s="57" t="s">
        <v>31</v>
      </c>
      <c r="BA7" s="120">
        <v>44728</v>
      </c>
      <c r="BB7" s="57">
        <v>1672727</v>
      </c>
      <c r="BC7" s="57">
        <f>AT7-BB7</f>
        <v>0</v>
      </c>
      <c r="BD7" s="57"/>
      <c r="BE7" s="57"/>
      <c r="BF7" s="58">
        <v>0</v>
      </c>
      <c r="BG7" s="101">
        <v>44750</v>
      </c>
      <c r="BH7" s="14" t="s">
        <v>31</v>
      </c>
      <c r="BI7" s="101">
        <v>44768</v>
      </c>
      <c r="BJ7" s="57">
        <v>1672727</v>
      </c>
      <c r="BK7" s="57">
        <f>BB7-BJ7</f>
        <v>0</v>
      </c>
      <c r="BL7" s="57"/>
      <c r="BM7" s="57"/>
      <c r="BN7" s="58">
        <v>0</v>
      </c>
      <c r="BO7" s="101">
        <v>44778</v>
      </c>
      <c r="BP7" s="14" t="s">
        <v>31</v>
      </c>
      <c r="BQ7" s="14"/>
      <c r="BR7" s="57"/>
      <c r="BS7" s="57"/>
      <c r="BT7" s="57"/>
      <c r="BU7" s="57"/>
      <c r="BV7" s="58"/>
      <c r="BW7" s="101"/>
      <c r="BX7" s="14"/>
      <c r="BY7" s="14"/>
      <c r="BZ7" s="57"/>
      <c r="CA7" s="57"/>
      <c r="CB7" s="57"/>
      <c r="CC7" s="57"/>
      <c r="CD7" s="58"/>
      <c r="CE7" s="101"/>
      <c r="CF7" s="14"/>
      <c r="CG7" s="14"/>
      <c r="CH7" s="57"/>
      <c r="CI7" s="57"/>
      <c r="CJ7" s="57"/>
      <c r="CK7" s="57"/>
      <c r="CL7" s="58"/>
      <c r="CM7" s="101"/>
      <c r="CN7" s="14"/>
      <c r="CO7" s="14"/>
      <c r="CP7" s="57"/>
      <c r="CQ7" s="57"/>
      <c r="CR7" s="57"/>
      <c r="CS7" s="57"/>
      <c r="CT7" s="58"/>
      <c r="CU7" s="101"/>
      <c r="CV7" s="14"/>
      <c r="CW7" s="14"/>
    </row>
    <row r="8" spans="1:101" hidden="1" x14ac:dyDescent="0.35">
      <c r="A8" s="73" t="s">
        <v>51</v>
      </c>
      <c r="B8" s="14" t="s">
        <v>558</v>
      </c>
      <c r="C8" s="1">
        <v>9355</v>
      </c>
      <c r="D8" s="1">
        <v>209888</v>
      </c>
      <c r="E8" s="16" t="s">
        <v>559</v>
      </c>
      <c r="F8" s="17" t="s">
        <v>560</v>
      </c>
      <c r="G8" s="39">
        <v>2722843</v>
      </c>
      <c r="H8" s="39">
        <v>2577961</v>
      </c>
      <c r="I8" s="57">
        <f>1266981+26404+1425499+19894</f>
        <v>2738778</v>
      </c>
      <c r="J8" s="57">
        <f>253396+5281+285100+3979</f>
        <v>547756</v>
      </c>
      <c r="K8" s="14"/>
      <c r="L8" s="58">
        <f>J8/I8</f>
        <v>0.20000014605053787</v>
      </c>
      <c r="M8" s="14" t="s">
        <v>31</v>
      </c>
      <c r="N8" s="101">
        <v>44574</v>
      </c>
      <c r="O8" s="20"/>
      <c r="P8" s="57">
        <f>1252237+1408910+26097+19662</f>
        <v>2706906</v>
      </c>
      <c r="Q8" s="57">
        <f>250447+281782+5219+3932</f>
        <v>541380</v>
      </c>
      <c r="R8" s="14"/>
      <c r="S8" s="58">
        <f>Q8/P8</f>
        <v>0.19999955668944544</v>
      </c>
      <c r="T8" s="101">
        <v>44593</v>
      </c>
      <c r="U8" s="14" t="s">
        <v>31</v>
      </c>
      <c r="V8" s="20"/>
      <c r="W8" s="57">
        <f>1259609+1417205+19778+26251</f>
        <v>2722843</v>
      </c>
      <c r="X8" s="57">
        <f>283441+251922+5250+3956</f>
        <v>544569</v>
      </c>
      <c r="Y8" s="14"/>
      <c r="Z8" s="58">
        <f>X8/W8</f>
        <v>0.20000014690527512</v>
      </c>
      <c r="AA8" s="131">
        <v>44622</v>
      </c>
      <c r="AB8" s="14" t="s">
        <v>31</v>
      </c>
      <c r="AC8" s="20"/>
      <c r="AD8" s="57">
        <f>1259609+1417205+19778+26251</f>
        <v>2722843</v>
      </c>
      <c r="AE8" s="57">
        <f>5250+3956+283441+251922</f>
        <v>544569</v>
      </c>
      <c r="AF8" s="57"/>
      <c r="AG8" s="57"/>
      <c r="AH8" s="58">
        <f>AE8/AD8</f>
        <v>0.20000014690527512</v>
      </c>
      <c r="AI8" s="120">
        <v>44655</v>
      </c>
      <c r="AJ8" s="57" t="s">
        <v>31</v>
      </c>
      <c r="AK8" s="14"/>
      <c r="AL8" s="57">
        <f>1417205+1259609+26251+19778</f>
        <v>2722843</v>
      </c>
      <c r="AM8" s="57">
        <f>251922+283441+5250+3956</f>
        <v>544569</v>
      </c>
      <c r="AN8" s="57"/>
      <c r="AO8" s="57"/>
      <c r="AP8" s="58">
        <f>AM8/AL8</f>
        <v>0.20000014690527512</v>
      </c>
      <c r="AQ8" s="101">
        <v>44683</v>
      </c>
      <c r="AR8" s="14" t="s">
        <v>31</v>
      </c>
      <c r="AS8" s="14"/>
      <c r="AT8" s="57">
        <f>1417205+1259609+26251+19778</f>
        <v>2722843</v>
      </c>
      <c r="AU8" s="57">
        <f>251922+283441+3956+5250</f>
        <v>544569</v>
      </c>
      <c r="AV8" s="57"/>
      <c r="AW8" s="57"/>
      <c r="AX8" s="58">
        <f>AU8/AT8</f>
        <v>0.20000014690527512</v>
      </c>
      <c r="AY8" s="120">
        <v>44713</v>
      </c>
      <c r="AZ8" s="57" t="s">
        <v>31</v>
      </c>
      <c r="BA8" s="120">
        <v>44728</v>
      </c>
      <c r="BB8" s="57">
        <f>1259609+1417205+26251</f>
        <v>2703065</v>
      </c>
      <c r="BC8" s="57">
        <f>283441+251922+5250</f>
        <v>540613</v>
      </c>
      <c r="BD8" s="57"/>
      <c r="BE8" s="57"/>
      <c r="BF8" s="58">
        <f>BC8/BB8</f>
        <v>0.2</v>
      </c>
      <c r="BG8" s="101">
        <v>44743</v>
      </c>
      <c r="BH8" s="14" t="s">
        <v>31</v>
      </c>
      <c r="BI8" s="101">
        <v>44757</v>
      </c>
      <c r="BJ8" s="57">
        <f>1417205+1259609+19778+26251</f>
        <v>2722843</v>
      </c>
      <c r="BK8" s="57">
        <f>283441+251922+3956+5250</f>
        <v>544569</v>
      </c>
      <c r="BL8" s="57"/>
      <c r="BM8" s="57"/>
      <c r="BN8" s="58">
        <f>BK8/BJ8</f>
        <v>0.20000014690527512</v>
      </c>
      <c r="BO8" s="101">
        <v>44774</v>
      </c>
      <c r="BP8" s="14" t="s">
        <v>31</v>
      </c>
      <c r="BQ8" s="14"/>
      <c r="BR8" s="57"/>
      <c r="BS8" s="57"/>
      <c r="BT8" s="57"/>
      <c r="BU8" s="57"/>
      <c r="BV8" s="58"/>
      <c r="BW8" s="101"/>
      <c r="BX8" s="14"/>
      <c r="BY8" s="14"/>
      <c r="BZ8" s="57"/>
      <c r="CA8" s="57"/>
      <c r="CB8" s="57"/>
      <c r="CC8" s="57"/>
      <c r="CD8" s="58"/>
      <c r="CE8" s="101"/>
      <c r="CF8" s="14"/>
      <c r="CG8" s="14"/>
      <c r="CH8" s="57"/>
      <c r="CI8" s="57"/>
      <c r="CJ8" s="57"/>
      <c r="CK8" s="57"/>
      <c r="CL8" s="58"/>
      <c r="CM8" s="101"/>
      <c r="CN8" s="14"/>
      <c r="CO8" s="14"/>
      <c r="CP8" s="57"/>
      <c r="CQ8" s="57"/>
      <c r="CR8" s="57"/>
      <c r="CS8" s="57"/>
      <c r="CT8" s="58"/>
      <c r="CU8" s="101"/>
      <c r="CV8" s="14"/>
      <c r="CW8" s="14"/>
    </row>
    <row r="9" spans="1:101" hidden="1" x14ac:dyDescent="0.35">
      <c r="A9" s="2" t="s">
        <v>58</v>
      </c>
      <c r="B9" s="14" t="s">
        <v>561</v>
      </c>
      <c r="C9" s="2">
        <v>9596</v>
      </c>
      <c r="D9" s="2">
        <v>230440</v>
      </c>
      <c r="E9" s="3" t="s">
        <v>562</v>
      </c>
      <c r="F9" s="21">
        <v>830054539</v>
      </c>
      <c r="G9" s="88">
        <f>2642012+266051</f>
        <v>2908063</v>
      </c>
      <c r="H9" s="39">
        <v>2642012</v>
      </c>
      <c r="I9" s="88">
        <f>2642012+266051</f>
        <v>2908063</v>
      </c>
      <c r="J9" s="8">
        <f>H9-I9</f>
        <v>-266051</v>
      </c>
      <c r="K9" s="14"/>
      <c r="L9" s="58">
        <f>J9/H9</f>
        <v>-0.10070014822037145</v>
      </c>
      <c r="M9" s="3" t="s">
        <v>31</v>
      </c>
      <c r="N9" s="123">
        <v>44587</v>
      </c>
      <c r="O9" s="20"/>
      <c r="P9" s="57">
        <v>2908063</v>
      </c>
      <c r="Q9" s="8">
        <f t="shared" ref="Q9:Q18" si="0">I9-P9</f>
        <v>0</v>
      </c>
      <c r="R9" s="14"/>
      <c r="S9" s="58">
        <v>0</v>
      </c>
      <c r="T9" s="101">
        <v>44600</v>
      </c>
      <c r="U9" s="14" t="s">
        <v>31</v>
      </c>
      <c r="V9" s="20"/>
      <c r="W9" s="57">
        <v>2908063</v>
      </c>
      <c r="X9" s="57">
        <f t="shared" ref="X9:X18" si="1">P9-W9</f>
        <v>0</v>
      </c>
      <c r="Y9" s="14"/>
      <c r="Z9" s="58">
        <v>0</v>
      </c>
      <c r="AA9" s="101">
        <v>44624</v>
      </c>
      <c r="AB9" s="14" t="s">
        <v>31</v>
      </c>
      <c r="AC9" s="20"/>
      <c r="AD9" s="57">
        <v>2908063</v>
      </c>
      <c r="AE9" s="57">
        <f>W9-AD9</f>
        <v>0</v>
      </c>
      <c r="AF9" s="57"/>
      <c r="AG9" s="57"/>
      <c r="AH9" s="58">
        <v>0</v>
      </c>
      <c r="AI9" s="120">
        <v>44657</v>
      </c>
      <c r="AJ9" s="57" t="s">
        <v>31</v>
      </c>
      <c r="AK9" s="14"/>
      <c r="AL9" s="57">
        <v>2908063</v>
      </c>
      <c r="AM9" s="57">
        <f t="shared" ref="AM9:AM18" si="2">AD9-AL9</f>
        <v>0</v>
      </c>
      <c r="AN9" s="57"/>
      <c r="AO9" s="57"/>
      <c r="AP9" s="58">
        <v>0</v>
      </c>
      <c r="AQ9" s="101">
        <v>44686</v>
      </c>
      <c r="AR9" s="14" t="s">
        <v>31</v>
      </c>
      <c r="AS9" s="14"/>
      <c r="AT9" s="57">
        <v>2908063</v>
      </c>
      <c r="AU9" s="57">
        <f>AL9-AT9</f>
        <v>0</v>
      </c>
      <c r="AV9" s="57"/>
      <c r="AW9" s="57"/>
      <c r="AX9" s="58">
        <v>0</v>
      </c>
      <c r="AY9" s="120">
        <v>44721</v>
      </c>
      <c r="AZ9" s="57" t="s">
        <v>31</v>
      </c>
      <c r="BA9" s="120">
        <v>44736</v>
      </c>
      <c r="BB9" s="57">
        <v>2908063</v>
      </c>
      <c r="BC9" s="57">
        <f>AT9-BB9</f>
        <v>0</v>
      </c>
      <c r="BD9" s="57"/>
      <c r="BE9" s="57"/>
      <c r="BF9" s="58">
        <v>0</v>
      </c>
      <c r="BG9" s="101">
        <v>44750</v>
      </c>
      <c r="BH9" s="14" t="s">
        <v>31</v>
      </c>
      <c r="BI9" s="101">
        <v>44768</v>
      </c>
      <c r="BJ9" s="57">
        <v>2908063</v>
      </c>
      <c r="BK9" s="57">
        <f t="shared" ref="BK9:BK17" si="3">BB9-BJ9</f>
        <v>0</v>
      </c>
      <c r="BL9" s="57"/>
      <c r="BM9" s="57"/>
      <c r="BN9" s="58">
        <v>0</v>
      </c>
      <c r="BO9" s="101">
        <v>44778</v>
      </c>
      <c r="BP9" s="14" t="s">
        <v>31</v>
      </c>
      <c r="BQ9" s="14"/>
      <c r="BR9" s="57"/>
      <c r="BS9" s="57"/>
      <c r="BT9" s="57"/>
      <c r="BU9" s="57"/>
      <c r="BV9" s="58"/>
      <c r="BW9" s="101"/>
      <c r="BX9" s="14"/>
      <c r="BY9" s="14"/>
      <c r="BZ9" s="57"/>
      <c r="CA9" s="57"/>
      <c r="CB9" s="57"/>
      <c r="CC9" s="57"/>
      <c r="CD9" s="58"/>
      <c r="CE9" s="101"/>
      <c r="CF9" s="14"/>
      <c r="CG9" s="14"/>
      <c r="CH9" s="57"/>
      <c r="CI9" s="57"/>
      <c r="CJ9" s="57"/>
      <c r="CK9" s="57"/>
      <c r="CL9" s="58"/>
      <c r="CM9" s="101"/>
      <c r="CN9" s="14"/>
      <c r="CO9" s="14"/>
      <c r="CP9" s="57"/>
      <c r="CQ9" s="57"/>
      <c r="CR9" s="57"/>
      <c r="CS9" s="57"/>
      <c r="CT9" s="58"/>
      <c r="CU9" s="101"/>
      <c r="CV9" s="14"/>
      <c r="CW9" s="14"/>
    </row>
    <row r="10" spans="1:101" hidden="1" x14ac:dyDescent="0.35">
      <c r="A10" s="2" t="s">
        <v>64</v>
      </c>
      <c r="B10" s="14" t="s">
        <v>563</v>
      </c>
      <c r="C10" s="2" t="s">
        <v>67</v>
      </c>
      <c r="D10" s="1">
        <v>238658</v>
      </c>
      <c r="E10" s="3" t="s">
        <v>564</v>
      </c>
      <c r="F10" s="20" t="s">
        <v>565</v>
      </c>
      <c r="G10" s="39">
        <v>3107720</v>
      </c>
      <c r="H10" s="39">
        <v>2825200</v>
      </c>
      <c r="I10" s="57">
        <v>2825200</v>
      </c>
      <c r="J10" s="8">
        <f>H10-I10</f>
        <v>0</v>
      </c>
      <c r="K10" s="14"/>
      <c r="L10" s="58">
        <v>0</v>
      </c>
      <c r="M10" s="3" t="s">
        <v>31</v>
      </c>
      <c r="N10" s="123">
        <v>44567</v>
      </c>
      <c r="O10" s="20"/>
      <c r="P10" s="57">
        <v>2825200</v>
      </c>
      <c r="Q10" s="8">
        <f t="shared" si="0"/>
        <v>0</v>
      </c>
      <c r="R10" s="14"/>
      <c r="S10" s="58">
        <v>0</v>
      </c>
      <c r="T10" s="101">
        <v>44593</v>
      </c>
      <c r="U10" s="14" t="s">
        <v>31</v>
      </c>
      <c r="V10" s="20"/>
      <c r="W10" s="57">
        <v>2825200</v>
      </c>
      <c r="X10" s="57">
        <f t="shared" si="1"/>
        <v>0</v>
      </c>
      <c r="Y10" s="14"/>
      <c r="Z10" s="58">
        <v>0</v>
      </c>
      <c r="AA10" s="101">
        <v>44622</v>
      </c>
      <c r="AB10" s="14" t="s">
        <v>31</v>
      </c>
      <c r="AC10" s="20"/>
      <c r="AD10" s="57">
        <v>3107720</v>
      </c>
      <c r="AE10" s="57"/>
      <c r="AF10" s="57">
        <f>AD10-W10</f>
        <v>282520</v>
      </c>
      <c r="AG10" s="57"/>
      <c r="AH10" s="58">
        <f>AF10/W10</f>
        <v>0.1</v>
      </c>
      <c r="AI10" s="120">
        <v>44656</v>
      </c>
      <c r="AJ10" s="57" t="s">
        <v>31</v>
      </c>
      <c r="AK10" s="14"/>
      <c r="AL10" s="57">
        <v>3107720</v>
      </c>
      <c r="AM10" s="57">
        <f t="shared" si="2"/>
        <v>0</v>
      </c>
      <c r="AN10" s="57"/>
      <c r="AO10" s="57"/>
      <c r="AP10" s="58">
        <v>0</v>
      </c>
      <c r="AQ10" s="101">
        <v>44683</v>
      </c>
      <c r="AR10" s="14" t="s">
        <v>31</v>
      </c>
      <c r="AS10" s="14"/>
      <c r="AT10" s="57">
        <v>3107720</v>
      </c>
      <c r="AU10" s="57">
        <f t="shared" ref="AU10:AU17" si="4">AL10-AT10</f>
        <v>0</v>
      </c>
      <c r="AV10" s="57"/>
      <c r="AW10" s="57"/>
      <c r="AX10" s="58">
        <v>0</v>
      </c>
      <c r="AY10" s="120">
        <v>44713</v>
      </c>
      <c r="AZ10" s="57" t="s">
        <v>31</v>
      </c>
      <c r="BA10" s="120">
        <v>44728</v>
      </c>
      <c r="BB10" s="57">
        <v>3107720</v>
      </c>
      <c r="BC10" s="57">
        <f>AT10-BB10</f>
        <v>0</v>
      </c>
      <c r="BD10" s="57"/>
      <c r="BE10" s="57"/>
      <c r="BF10" s="58">
        <v>0</v>
      </c>
      <c r="BG10" s="101">
        <v>44743</v>
      </c>
      <c r="BH10" s="14" t="s">
        <v>31</v>
      </c>
      <c r="BI10" s="101">
        <v>44757</v>
      </c>
      <c r="BJ10" s="57">
        <v>3107720</v>
      </c>
      <c r="BK10" s="57">
        <f t="shared" si="3"/>
        <v>0</v>
      </c>
      <c r="BL10" s="57"/>
      <c r="BM10" s="57"/>
      <c r="BN10" s="58">
        <v>0</v>
      </c>
      <c r="BO10" s="101">
        <v>44774</v>
      </c>
      <c r="BP10" s="14" t="s">
        <v>31</v>
      </c>
      <c r="BQ10" s="14"/>
      <c r="BR10" s="57"/>
      <c r="BS10" s="57"/>
      <c r="BT10" s="57"/>
      <c r="BU10" s="57"/>
      <c r="BV10" s="58"/>
      <c r="BW10" s="101"/>
      <c r="BX10" s="14"/>
      <c r="BY10" s="14"/>
      <c r="BZ10" s="57"/>
      <c r="CA10" s="8"/>
      <c r="CB10" s="57"/>
      <c r="CC10" s="57"/>
      <c r="CD10" s="58"/>
      <c r="CE10" s="101"/>
      <c r="CF10" s="14"/>
      <c r="CG10" s="14"/>
      <c r="CH10" s="57"/>
      <c r="CI10" s="57"/>
      <c r="CJ10" s="57"/>
      <c r="CK10" s="57"/>
      <c r="CL10" s="58"/>
      <c r="CM10" s="101"/>
      <c r="CN10" s="14"/>
      <c r="CO10" s="14"/>
      <c r="CP10" s="57"/>
      <c r="CQ10" s="57"/>
      <c r="CR10" s="57"/>
      <c r="CS10" s="57"/>
      <c r="CT10" s="58"/>
      <c r="CU10" s="101"/>
      <c r="CV10" s="14"/>
      <c r="CW10" s="14"/>
    </row>
    <row r="11" spans="1:101" hidden="1" x14ac:dyDescent="0.35">
      <c r="A11" s="74" t="s">
        <v>566</v>
      </c>
      <c r="B11" s="14" t="s">
        <v>567</v>
      </c>
      <c r="C11" s="1">
        <v>9058</v>
      </c>
      <c r="D11" s="1">
        <v>209631</v>
      </c>
      <c r="E11" s="18" t="s">
        <v>568</v>
      </c>
      <c r="F11" s="19" t="s">
        <v>569</v>
      </c>
      <c r="G11" s="39">
        <v>1510763</v>
      </c>
      <c r="H11" s="39">
        <v>1987846</v>
      </c>
      <c r="I11" s="57">
        <v>1510763</v>
      </c>
      <c r="J11" s="57">
        <f>G11-I11</f>
        <v>0</v>
      </c>
      <c r="K11" s="57"/>
      <c r="L11" s="58">
        <v>0</v>
      </c>
      <c r="M11" s="123" t="s">
        <v>31</v>
      </c>
      <c r="N11" s="123">
        <v>44564</v>
      </c>
      <c r="O11" s="20"/>
      <c r="P11" s="8">
        <v>1510763</v>
      </c>
      <c r="Q11" s="8">
        <f t="shared" si="0"/>
        <v>0</v>
      </c>
      <c r="R11" s="14"/>
      <c r="S11" s="58">
        <v>0</v>
      </c>
      <c r="T11" s="101">
        <v>44596</v>
      </c>
      <c r="U11" s="14" t="s">
        <v>31</v>
      </c>
      <c r="V11" s="20"/>
      <c r="W11" s="57">
        <f>1510763+477083</f>
        <v>1987846</v>
      </c>
      <c r="X11" s="57">
        <f t="shared" si="1"/>
        <v>-477083</v>
      </c>
      <c r="Y11" s="14"/>
      <c r="Z11" s="58">
        <v>0</v>
      </c>
      <c r="AA11" s="131">
        <v>44638</v>
      </c>
      <c r="AB11" s="14" t="s">
        <v>31</v>
      </c>
      <c r="AC11" s="20"/>
      <c r="AD11" s="57">
        <f>589651+463297</f>
        <v>1052948</v>
      </c>
      <c r="AE11" s="57">
        <f>P11-AD11</f>
        <v>457815</v>
      </c>
      <c r="AF11" s="57"/>
      <c r="AG11" s="57"/>
      <c r="AH11" s="58">
        <f>AE11/P11</f>
        <v>0.30303561842592119</v>
      </c>
      <c r="AI11" s="120">
        <v>44662</v>
      </c>
      <c r="AJ11" s="57" t="s">
        <v>31</v>
      </c>
      <c r="AK11" s="14"/>
      <c r="AL11" s="57">
        <f>589651+463297</f>
        <v>1052948</v>
      </c>
      <c r="AM11" s="57">
        <f t="shared" si="2"/>
        <v>0</v>
      </c>
      <c r="AN11" s="57"/>
      <c r="AO11" s="57"/>
      <c r="AP11" s="58">
        <v>0</v>
      </c>
      <c r="AQ11" s="101">
        <v>44692</v>
      </c>
      <c r="AR11" s="14" t="s">
        <v>31</v>
      </c>
      <c r="AS11" s="14"/>
      <c r="AT11" s="57">
        <f>800240+252708</f>
        <v>1052948</v>
      </c>
      <c r="AU11" s="57">
        <f t="shared" si="4"/>
        <v>0</v>
      </c>
      <c r="AV11" s="57"/>
      <c r="AW11" s="57">
        <v>800240</v>
      </c>
      <c r="AX11" s="58">
        <f>AU11/AL11</f>
        <v>0</v>
      </c>
      <c r="AY11" s="120">
        <v>44727</v>
      </c>
      <c r="AZ11" s="57" t="s">
        <v>31</v>
      </c>
      <c r="BA11" s="120">
        <v>44728</v>
      </c>
      <c r="BB11" s="57">
        <v>800240</v>
      </c>
      <c r="BC11" s="57">
        <v>0</v>
      </c>
      <c r="BD11" s="57"/>
      <c r="BE11" s="57"/>
      <c r="BF11" s="58">
        <v>0</v>
      </c>
      <c r="BG11" s="101">
        <v>44747</v>
      </c>
      <c r="BH11" s="14" t="s">
        <v>31</v>
      </c>
      <c r="BI11" s="101">
        <v>44757</v>
      </c>
      <c r="BJ11" s="57">
        <v>800240</v>
      </c>
      <c r="BK11" s="57">
        <f t="shared" si="3"/>
        <v>0</v>
      </c>
      <c r="BL11" s="57"/>
      <c r="BM11" s="57"/>
      <c r="BN11" s="58">
        <v>0</v>
      </c>
      <c r="BO11" s="101">
        <v>44775</v>
      </c>
      <c r="BP11" s="14" t="s">
        <v>31</v>
      </c>
      <c r="BQ11" s="14"/>
      <c r="BR11" s="57"/>
      <c r="BS11" s="57"/>
      <c r="BT11" s="57"/>
      <c r="BU11" s="57"/>
      <c r="BV11" s="58"/>
      <c r="BW11" s="101"/>
      <c r="BX11" s="14"/>
      <c r="BY11" s="14"/>
      <c r="BZ11" s="57"/>
      <c r="CA11" s="57"/>
      <c r="CB11" s="57"/>
      <c r="CC11" s="57"/>
      <c r="CD11" s="58"/>
      <c r="CE11" s="101"/>
      <c r="CF11" s="14"/>
      <c r="CG11" s="14"/>
      <c r="CH11" s="57"/>
      <c r="CI11" s="57"/>
      <c r="CJ11" s="57"/>
      <c r="CK11" s="57"/>
      <c r="CL11" s="58"/>
      <c r="CM11" s="101"/>
      <c r="CN11" s="14"/>
      <c r="CO11" s="14"/>
      <c r="CP11" s="57"/>
      <c r="CQ11" s="57"/>
      <c r="CR11" s="57"/>
      <c r="CS11" s="57"/>
      <c r="CT11" s="58"/>
      <c r="CU11" s="101"/>
      <c r="CV11" s="14"/>
      <c r="CW11" s="14"/>
    </row>
    <row r="12" spans="1:101" hidden="1" x14ac:dyDescent="0.35">
      <c r="A12" s="1" t="s">
        <v>570</v>
      </c>
      <c r="B12" s="14" t="s">
        <v>571</v>
      </c>
      <c r="C12" s="15">
        <v>9104</v>
      </c>
      <c r="D12" s="22">
        <v>204573</v>
      </c>
      <c r="E12" s="18" t="s">
        <v>572</v>
      </c>
      <c r="F12" s="19" t="s">
        <v>553</v>
      </c>
      <c r="G12" s="57">
        <v>1463504</v>
      </c>
      <c r="H12" s="57">
        <v>1463504</v>
      </c>
      <c r="I12" s="88">
        <v>1463504</v>
      </c>
      <c r="J12" s="57">
        <f>G12-I12</f>
        <v>0</v>
      </c>
      <c r="K12" s="14"/>
      <c r="L12" s="58">
        <v>0</v>
      </c>
      <c r="M12" s="3" t="s">
        <v>31</v>
      </c>
      <c r="N12" s="123">
        <v>44566</v>
      </c>
      <c r="O12" s="20"/>
      <c r="P12" s="57">
        <v>1463504</v>
      </c>
      <c r="Q12" s="8">
        <f t="shared" si="0"/>
        <v>0</v>
      </c>
      <c r="R12" s="14"/>
      <c r="S12" s="58">
        <v>0</v>
      </c>
      <c r="T12" s="101">
        <v>44600</v>
      </c>
      <c r="U12" s="14" t="s">
        <v>31</v>
      </c>
      <c r="V12" s="20"/>
      <c r="W12" s="57">
        <v>1463504</v>
      </c>
      <c r="X12" s="57">
        <f t="shared" si="1"/>
        <v>0</v>
      </c>
      <c r="Y12" s="14"/>
      <c r="Z12" s="58">
        <v>0</v>
      </c>
      <c r="AA12" s="101">
        <v>44627</v>
      </c>
      <c r="AB12" s="14" t="s">
        <v>31</v>
      </c>
      <c r="AC12" s="20"/>
      <c r="AD12" s="57">
        <v>1463504</v>
      </c>
      <c r="AE12" s="57">
        <f t="shared" ref="AE12:AE18" si="5">W12-AD12</f>
        <v>0</v>
      </c>
      <c r="AF12" s="57"/>
      <c r="AG12" s="57"/>
      <c r="AH12" s="58">
        <v>0</v>
      </c>
      <c r="AI12" s="120">
        <v>44659</v>
      </c>
      <c r="AJ12" s="57" t="s">
        <v>31</v>
      </c>
      <c r="AK12" s="14"/>
      <c r="AL12" s="57">
        <v>1463504</v>
      </c>
      <c r="AM12" s="57">
        <f t="shared" si="2"/>
        <v>0</v>
      </c>
      <c r="AN12" s="57"/>
      <c r="AO12" s="57"/>
      <c r="AP12" s="58">
        <v>0</v>
      </c>
      <c r="AQ12" s="101">
        <v>44687</v>
      </c>
      <c r="AR12" s="14" t="s">
        <v>31</v>
      </c>
      <c r="AS12" s="14"/>
      <c r="AT12" s="57">
        <v>1463504</v>
      </c>
      <c r="AU12" s="57">
        <f t="shared" si="4"/>
        <v>0</v>
      </c>
      <c r="AV12" s="57"/>
      <c r="AW12" s="57"/>
      <c r="AX12" s="58">
        <v>0</v>
      </c>
      <c r="AY12" s="120">
        <v>44718</v>
      </c>
      <c r="AZ12" s="57" t="s">
        <v>31</v>
      </c>
      <c r="BA12" s="120">
        <v>44728</v>
      </c>
      <c r="BB12" s="57">
        <v>1463504</v>
      </c>
      <c r="BC12" s="57">
        <f>AT12-BB12</f>
        <v>0</v>
      </c>
      <c r="BD12" s="57"/>
      <c r="BE12" s="57"/>
      <c r="BF12" s="58">
        <v>0</v>
      </c>
      <c r="BG12" s="101">
        <v>44750</v>
      </c>
      <c r="BH12" s="14" t="s">
        <v>31</v>
      </c>
      <c r="BI12" s="101">
        <v>44768</v>
      </c>
      <c r="BJ12" s="57">
        <v>1463504</v>
      </c>
      <c r="BK12" s="57">
        <f t="shared" si="3"/>
        <v>0</v>
      </c>
      <c r="BL12" s="57"/>
      <c r="BM12" s="57"/>
      <c r="BN12" s="58">
        <v>0</v>
      </c>
      <c r="BO12" s="101">
        <v>44778</v>
      </c>
      <c r="BP12" s="14" t="s">
        <v>31</v>
      </c>
      <c r="BQ12" s="14"/>
      <c r="BR12" s="57"/>
      <c r="BS12" s="57"/>
      <c r="BT12" s="57"/>
      <c r="BU12" s="57"/>
      <c r="BV12" s="58"/>
      <c r="BW12" s="101"/>
      <c r="BX12" s="14"/>
      <c r="BY12" s="14"/>
      <c r="BZ12" s="57"/>
      <c r="CA12" s="57"/>
      <c r="CB12" s="57"/>
      <c r="CC12" s="57"/>
      <c r="CD12" s="58"/>
      <c r="CE12" s="101"/>
      <c r="CF12" s="14"/>
      <c r="CG12" s="14"/>
      <c r="CH12" s="57"/>
      <c r="CI12" s="57"/>
      <c r="CJ12" s="57"/>
      <c r="CK12" s="57"/>
      <c r="CL12" s="58"/>
      <c r="CM12" s="101"/>
      <c r="CN12" s="14"/>
      <c r="CO12" s="14"/>
      <c r="CP12" s="57"/>
      <c r="CQ12" s="57"/>
      <c r="CR12" s="57"/>
      <c r="CS12" s="57"/>
      <c r="CT12" s="58"/>
      <c r="CU12" s="101"/>
      <c r="CV12" s="14"/>
      <c r="CW12" s="14"/>
    </row>
    <row r="13" spans="1:101" hidden="1" x14ac:dyDescent="0.35">
      <c r="A13" s="74" t="s">
        <v>573</v>
      </c>
      <c r="B13" s="14" t="s">
        <v>574</v>
      </c>
      <c r="C13" s="1">
        <v>9177</v>
      </c>
      <c r="D13" s="15" t="s">
        <v>575</v>
      </c>
      <c r="E13" s="18" t="s">
        <v>554</v>
      </c>
      <c r="F13" s="19" t="s">
        <v>555</v>
      </c>
      <c r="G13" s="57">
        <v>1041114</v>
      </c>
      <c r="H13" s="39">
        <v>975577</v>
      </c>
      <c r="I13" s="57">
        <v>1073818</v>
      </c>
      <c r="J13" s="8">
        <f>I13-H13</f>
        <v>98241</v>
      </c>
      <c r="K13" s="14"/>
      <c r="L13" s="58">
        <f>J13/G13</f>
        <v>9.4361424397328253E-2</v>
      </c>
      <c r="M13" s="123" t="s">
        <v>31</v>
      </c>
      <c r="N13" s="123">
        <v>44565</v>
      </c>
      <c r="O13" s="20"/>
      <c r="P13" s="57">
        <v>1073818</v>
      </c>
      <c r="Q13" s="8">
        <f t="shared" si="0"/>
        <v>0</v>
      </c>
      <c r="R13" s="14"/>
      <c r="S13" s="58">
        <v>0</v>
      </c>
      <c r="T13" s="101">
        <v>44603</v>
      </c>
      <c r="U13" s="14" t="s">
        <v>31</v>
      </c>
      <c r="V13" s="20"/>
      <c r="W13" s="57">
        <v>1073818</v>
      </c>
      <c r="X13" s="57">
        <f t="shared" si="1"/>
        <v>0</v>
      </c>
      <c r="Y13" s="14"/>
      <c r="Z13" s="58">
        <v>0</v>
      </c>
      <c r="AA13" s="131">
        <v>44622</v>
      </c>
      <c r="AB13" s="14" t="s">
        <v>31</v>
      </c>
      <c r="AC13" s="20"/>
      <c r="AD13" s="57">
        <v>1073818</v>
      </c>
      <c r="AE13" s="57">
        <f t="shared" si="5"/>
        <v>0</v>
      </c>
      <c r="AF13" s="57"/>
      <c r="AG13" s="57"/>
      <c r="AH13" s="58">
        <v>0</v>
      </c>
      <c r="AI13" s="120">
        <v>44658</v>
      </c>
      <c r="AJ13" s="57" t="s">
        <v>31</v>
      </c>
      <c r="AK13" s="14"/>
      <c r="AL13" s="57">
        <v>1073818</v>
      </c>
      <c r="AM13" s="57">
        <f t="shared" si="2"/>
        <v>0</v>
      </c>
      <c r="AN13" s="57"/>
      <c r="AO13" s="57"/>
      <c r="AP13" s="58">
        <v>0</v>
      </c>
      <c r="AQ13" s="101">
        <v>44684</v>
      </c>
      <c r="AR13" s="14" t="s">
        <v>31</v>
      </c>
      <c r="AS13" s="14"/>
      <c r="AT13" s="57">
        <v>1041114</v>
      </c>
      <c r="AU13" s="57">
        <f t="shared" si="4"/>
        <v>32704</v>
      </c>
      <c r="AV13" s="57"/>
      <c r="AW13" s="57"/>
      <c r="AX13" s="58">
        <f>AU13/AL13</f>
        <v>3.045581280999201E-2</v>
      </c>
      <c r="AY13" s="120">
        <v>44719</v>
      </c>
      <c r="AZ13" s="57" t="s">
        <v>31</v>
      </c>
      <c r="BA13" s="120">
        <v>44728</v>
      </c>
      <c r="BB13" s="57">
        <v>1041114</v>
      </c>
      <c r="BC13" s="57">
        <f>AT13-BB13</f>
        <v>0</v>
      </c>
      <c r="BD13" s="57"/>
      <c r="BE13" s="57"/>
      <c r="BF13" s="58">
        <v>0</v>
      </c>
      <c r="BG13" s="101">
        <v>44748</v>
      </c>
      <c r="BH13" s="14" t="s">
        <v>31</v>
      </c>
      <c r="BI13" s="101">
        <v>44757</v>
      </c>
      <c r="BJ13" s="57">
        <v>1041114</v>
      </c>
      <c r="BK13" s="57">
        <f t="shared" si="3"/>
        <v>0</v>
      </c>
      <c r="BL13" s="57"/>
      <c r="BM13" s="57"/>
      <c r="BN13" s="58">
        <v>0</v>
      </c>
      <c r="BO13" s="101">
        <v>44778</v>
      </c>
      <c r="BP13" s="14" t="s">
        <v>31</v>
      </c>
      <c r="BQ13" s="14"/>
      <c r="BR13" s="212"/>
      <c r="BS13" s="218"/>
      <c r="BT13" s="218"/>
      <c r="BU13" s="218"/>
      <c r="BV13" s="218"/>
      <c r="BW13" s="218"/>
      <c r="BX13" s="218"/>
      <c r="BY13" s="213"/>
      <c r="BZ13" s="57"/>
      <c r="CA13" s="57"/>
      <c r="CB13" s="57"/>
      <c r="CC13" s="57"/>
      <c r="CD13" s="58"/>
      <c r="CE13" s="101"/>
      <c r="CF13" s="14"/>
      <c r="CG13" s="14"/>
      <c r="CH13" s="57"/>
      <c r="CI13" s="57"/>
      <c r="CJ13" s="57"/>
      <c r="CK13" s="57"/>
      <c r="CL13" s="58"/>
      <c r="CM13" s="101"/>
      <c r="CN13" s="14"/>
      <c r="CO13" s="14"/>
      <c r="CP13" s="57"/>
      <c r="CQ13" s="57"/>
      <c r="CR13" s="57"/>
      <c r="CS13" s="57"/>
      <c r="CT13" s="58"/>
      <c r="CU13" s="101"/>
      <c r="CV13" s="14"/>
      <c r="CW13" s="14"/>
    </row>
    <row r="14" spans="1:101" hidden="1" x14ac:dyDescent="0.35">
      <c r="A14" s="74" t="s">
        <v>576</v>
      </c>
      <c r="B14" s="14" t="s">
        <v>577</v>
      </c>
      <c r="C14" s="1">
        <v>9302</v>
      </c>
      <c r="D14" s="15">
        <v>212833</v>
      </c>
      <c r="E14" s="16" t="s">
        <v>578</v>
      </c>
      <c r="F14" s="23">
        <v>901094453</v>
      </c>
      <c r="G14" s="39">
        <v>1402652</v>
      </c>
      <c r="H14" s="39">
        <v>1402652</v>
      </c>
      <c r="I14" s="57">
        <v>1402652</v>
      </c>
      <c r="J14" s="8">
        <f>G14-I14</f>
        <v>0</v>
      </c>
      <c r="K14" s="14"/>
      <c r="L14" s="58">
        <v>0</v>
      </c>
      <c r="M14" s="123" t="s">
        <v>31</v>
      </c>
      <c r="N14" s="123">
        <v>44565</v>
      </c>
      <c r="O14" s="20"/>
      <c r="P14" s="57">
        <v>1402652</v>
      </c>
      <c r="Q14" s="8">
        <f t="shared" si="0"/>
        <v>0</v>
      </c>
      <c r="R14" s="14"/>
      <c r="S14" s="58">
        <v>0</v>
      </c>
      <c r="T14" s="131">
        <v>44594</v>
      </c>
      <c r="U14" s="14" t="s">
        <v>31</v>
      </c>
      <c r="V14" s="20"/>
      <c r="W14" s="57">
        <v>1402652</v>
      </c>
      <c r="X14" s="57">
        <f t="shared" si="1"/>
        <v>0</v>
      </c>
      <c r="Y14" s="14"/>
      <c r="Z14" s="58">
        <v>0</v>
      </c>
      <c r="AA14" s="131">
        <v>44621</v>
      </c>
      <c r="AB14" s="14" t="s">
        <v>31</v>
      </c>
      <c r="AC14" s="20"/>
      <c r="AD14" s="57">
        <v>1402652</v>
      </c>
      <c r="AE14" s="57">
        <f t="shared" si="5"/>
        <v>0</v>
      </c>
      <c r="AF14" s="57"/>
      <c r="AG14" s="57"/>
      <c r="AH14" s="58">
        <v>0</v>
      </c>
      <c r="AI14" s="120">
        <v>44655</v>
      </c>
      <c r="AJ14" s="57" t="s">
        <v>31</v>
      </c>
      <c r="AK14" s="14"/>
      <c r="AL14" s="57">
        <v>1402652</v>
      </c>
      <c r="AM14" s="57">
        <f t="shared" si="2"/>
        <v>0</v>
      </c>
      <c r="AN14" s="57"/>
      <c r="AO14" s="57"/>
      <c r="AP14" s="58">
        <v>0</v>
      </c>
      <c r="AQ14" s="101">
        <v>44683</v>
      </c>
      <c r="AR14" s="14" t="s">
        <v>31</v>
      </c>
      <c r="AS14" s="14"/>
      <c r="AT14" s="57">
        <v>1402652</v>
      </c>
      <c r="AU14" s="57">
        <f t="shared" si="4"/>
        <v>0</v>
      </c>
      <c r="AV14" s="57"/>
      <c r="AW14" s="57"/>
      <c r="AX14" s="58">
        <v>0</v>
      </c>
      <c r="AY14" s="120">
        <v>44713</v>
      </c>
      <c r="AZ14" s="57" t="s">
        <v>31</v>
      </c>
      <c r="BA14" s="120">
        <v>44728</v>
      </c>
      <c r="BB14" s="57">
        <v>1402652</v>
      </c>
      <c r="BC14" s="57">
        <f>AT14-BB14</f>
        <v>0</v>
      </c>
      <c r="BD14" s="57"/>
      <c r="BE14" s="57"/>
      <c r="BF14" s="58">
        <v>0</v>
      </c>
      <c r="BG14" s="101">
        <v>44743</v>
      </c>
      <c r="BH14" s="14" t="s">
        <v>31</v>
      </c>
      <c r="BI14" s="101">
        <v>44757</v>
      </c>
      <c r="BJ14" s="57">
        <v>1402652</v>
      </c>
      <c r="BK14" s="57">
        <f t="shared" si="3"/>
        <v>0</v>
      </c>
      <c r="BL14" s="57"/>
      <c r="BM14" s="57"/>
      <c r="BN14" s="58">
        <v>0</v>
      </c>
      <c r="BO14" s="101">
        <v>44776</v>
      </c>
      <c r="BP14" s="14" t="s">
        <v>31</v>
      </c>
      <c r="BQ14" s="14"/>
      <c r="BR14" s="235"/>
      <c r="BS14" s="236"/>
      <c r="BT14" s="236"/>
      <c r="BU14" s="236"/>
      <c r="BV14" s="236"/>
      <c r="BW14" s="236"/>
      <c r="BX14" s="236"/>
      <c r="BY14" s="237"/>
      <c r="BZ14" s="57"/>
      <c r="CA14" s="57"/>
      <c r="CB14" s="57"/>
      <c r="CC14" s="57"/>
      <c r="CD14" s="58"/>
      <c r="CE14" s="101"/>
      <c r="CF14" s="14"/>
      <c r="CG14" s="14"/>
      <c r="CH14" s="57"/>
      <c r="CI14" s="57"/>
      <c r="CJ14" s="57"/>
      <c r="CK14" s="57"/>
      <c r="CL14" s="58"/>
      <c r="CM14" s="101"/>
      <c r="CN14" s="14"/>
      <c r="CO14" s="14"/>
      <c r="CP14" s="57"/>
      <c r="CQ14" s="57"/>
      <c r="CR14" s="57"/>
      <c r="CS14" s="57"/>
      <c r="CT14" s="58"/>
      <c r="CU14" s="101"/>
      <c r="CV14" s="14"/>
      <c r="CW14" s="14"/>
    </row>
    <row r="15" spans="1:101" hidden="1" x14ac:dyDescent="0.35">
      <c r="A15" s="73" t="s">
        <v>579</v>
      </c>
      <c r="B15" s="14" t="s">
        <v>580</v>
      </c>
      <c r="C15" s="1">
        <v>9304</v>
      </c>
      <c r="D15" s="1">
        <v>217751</v>
      </c>
      <c r="E15" s="16" t="s">
        <v>90</v>
      </c>
      <c r="F15" s="23" t="s">
        <v>581</v>
      </c>
      <c r="G15" s="88">
        <v>789405</v>
      </c>
      <c r="H15" s="39">
        <v>717185</v>
      </c>
      <c r="I15" s="88">
        <v>789405</v>
      </c>
      <c r="J15" s="8">
        <f>H15-I15</f>
        <v>-72220</v>
      </c>
      <c r="K15" s="14"/>
      <c r="L15" s="58">
        <f>J15/H15</f>
        <v>-0.1006992616967728</v>
      </c>
      <c r="M15" s="3" t="s">
        <v>31</v>
      </c>
      <c r="N15" s="123">
        <v>44574</v>
      </c>
      <c r="O15" s="20"/>
      <c r="P15" s="8">
        <v>789405</v>
      </c>
      <c r="Q15" s="8">
        <f t="shared" si="0"/>
        <v>0</v>
      </c>
      <c r="R15" s="14"/>
      <c r="S15" s="58">
        <v>0</v>
      </c>
      <c r="T15" s="101">
        <v>44600</v>
      </c>
      <c r="U15" s="14" t="s">
        <v>31</v>
      </c>
      <c r="V15" s="20"/>
      <c r="W15" s="57">
        <v>789405</v>
      </c>
      <c r="X15" s="57">
        <f t="shared" si="1"/>
        <v>0</v>
      </c>
      <c r="Y15" s="14"/>
      <c r="Z15" s="58">
        <v>0</v>
      </c>
      <c r="AA15" s="131">
        <v>44627</v>
      </c>
      <c r="AB15" s="14" t="s">
        <v>31</v>
      </c>
      <c r="AC15" s="20"/>
      <c r="AD15" s="57">
        <v>789405</v>
      </c>
      <c r="AE15" s="57">
        <f t="shared" si="5"/>
        <v>0</v>
      </c>
      <c r="AF15" s="57"/>
      <c r="AG15" s="57"/>
      <c r="AH15" s="58">
        <v>0</v>
      </c>
      <c r="AI15" s="120">
        <v>44659</v>
      </c>
      <c r="AJ15" s="57" t="s">
        <v>31</v>
      </c>
      <c r="AK15" s="14"/>
      <c r="AL15" s="57">
        <v>789405</v>
      </c>
      <c r="AM15" s="57">
        <f t="shared" si="2"/>
        <v>0</v>
      </c>
      <c r="AN15" s="57"/>
      <c r="AO15" s="57"/>
      <c r="AP15" s="58">
        <v>0</v>
      </c>
      <c r="AQ15" s="101">
        <v>44687</v>
      </c>
      <c r="AR15" s="14" t="s">
        <v>31</v>
      </c>
      <c r="AS15" s="14"/>
      <c r="AT15" s="57">
        <v>789268</v>
      </c>
      <c r="AU15" s="57">
        <f t="shared" si="4"/>
        <v>137</v>
      </c>
      <c r="AV15" s="57"/>
      <c r="AW15" s="57"/>
      <c r="AX15" s="58">
        <f>AU15/AL15</f>
        <v>1.7354843204692142E-4</v>
      </c>
      <c r="AY15" s="120">
        <v>44719</v>
      </c>
      <c r="AZ15" s="57" t="s">
        <v>31</v>
      </c>
      <c r="BA15" s="120">
        <v>44728</v>
      </c>
      <c r="BB15" s="57">
        <v>789405</v>
      </c>
      <c r="BC15" s="57">
        <f>AL15-BB15</f>
        <v>0</v>
      </c>
      <c r="BD15" s="57"/>
      <c r="BE15" s="57"/>
      <c r="BF15" s="58">
        <v>0</v>
      </c>
      <c r="BG15" s="101">
        <v>44750</v>
      </c>
      <c r="BH15" s="14" t="s">
        <v>31</v>
      </c>
      <c r="BI15" s="101">
        <v>44768</v>
      </c>
      <c r="BJ15" s="57">
        <v>789405</v>
      </c>
      <c r="BK15" s="57">
        <f t="shared" si="3"/>
        <v>0</v>
      </c>
      <c r="BL15" s="57"/>
      <c r="BM15" s="57"/>
      <c r="BN15" s="58">
        <v>0</v>
      </c>
      <c r="BO15" s="101">
        <v>44778</v>
      </c>
      <c r="BP15" s="14" t="s">
        <v>31</v>
      </c>
      <c r="BQ15" s="14"/>
      <c r="BR15" s="57"/>
      <c r="BS15" s="57"/>
      <c r="BT15" s="57"/>
      <c r="BU15" s="57"/>
      <c r="BV15" s="58"/>
      <c r="BW15" s="101"/>
      <c r="BX15" s="14"/>
      <c r="BY15" s="14"/>
      <c r="BZ15" s="57"/>
      <c r="CA15" s="57"/>
      <c r="CB15" s="57"/>
      <c r="CC15" s="57"/>
      <c r="CD15" s="58"/>
      <c r="CE15" s="101"/>
      <c r="CF15" s="14"/>
      <c r="CG15" s="14"/>
      <c r="CH15" s="57"/>
      <c r="CI15" s="57"/>
      <c r="CJ15" s="57"/>
      <c r="CK15" s="57"/>
      <c r="CL15" s="58"/>
      <c r="CM15" s="101"/>
      <c r="CN15" s="14"/>
      <c r="CO15" s="14"/>
      <c r="CP15" s="57"/>
      <c r="CQ15" s="57"/>
      <c r="CR15" s="57"/>
      <c r="CS15" s="57"/>
      <c r="CT15" s="58"/>
      <c r="CU15" s="101"/>
      <c r="CV15" s="14"/>
      <c r="CW15" s="14"/>
    </row>
    <row r="16" spans="1:101" hidden="1" x14ac:dyDescent="0.35">
      <c r="A16" s="73" t="s">
        <v>582</v>
      </c>
      <c r="B16" s="14" t="s">
        <v>583</v>
      </c>
      <c r="C16" s="1">
        <v>9303</v>
      </c>
      <c r="D16" s="63">
        <v>289666</v>
      </c>
      <c r="E16" s="16" t="s">
        <v>534</v>
      </c>
      <c r="F16" s="20" t="s">
        <v>535</v>
      </c>
      <c r="G16" s="57">
        <v>1188154</v>
      </c>
      <c r="H16" s="39">
        <v>1079453</v>
      </c>
      <c r="I16" s="57">
        <v>1188154</v>
      </c>
      <c r="J16" s="8">
        <f>H16-I16</f>
        <v>-108701</v>
      </c>
      <c r="K16" s="14"/>
      <c r="L16" s="58">
        <f>J16/H16</f>
        <v>-0.1007000767981561</v>
      </c>
      <c r="M16" s="3" t="s">
        <v>31</v>
      </c>
      <c r="N16" s="123">
        <v>44574</v>
      </c>
      <c r="O16" s="20"/>
      <c r="P16" s="8">
        <v>1188154</v>
      </c>
      <c r="Q16" s="8">
        <f t="shared" si="0"/>
        <v>0</v>
      </c>
      <c r="R16" s="14"/>
      <c r="S16" s="58">
        <v>0</v>
      </c>
      <c r="T16" s="101">
        <v>44600</v>
      </c>
      <c r="U16" s="14" t="s">
        <v>31</v>
      </c>
      <c r="V16" s="20"/>
      <c r="W16" s="57">
        <v>1188154</v>
      </c>
      <c r="X16" s="57">
        <f t="shared" si="1"/>
        <v>0</v>
      </c>
      <c r="Y16" s="14"/>
      <c r="Z16" s="58">
        <v>0</v>
      </c>
      <c r="AA16" s="131">
        <v>44628</v>
      </c>
      <c r="AB16" s="14" t="s">
        <v>31</v>
      </c>
      <c r="AC16" s="20"/>
      <c r="AD16" s="57">
        <v>1188154</v>
      </c>
      <c r="AE16" s="57">
        <f t="shared" si="5"/>
        <v>0</v>
      </c>
      <c r="AF16" s="57"/>
      <c r="AG16" s="57"/>
      <c r="AH16" s="58">
        <v>0</v>
      </c>
      <c r="AI16" s="120">
        <v>44659</v>
      </c>
      <c r="AJ16" s="57" t="s">
        <v>31</v>
      </c>
      <c r="AK16" s="14"/>
      <c r="AL16" s="57">
        <v>1188154</v>
      </c>
      <c r="AM16" s="57">
        <f t="shared" si="2"/>
        <v>0</v>
      </c>
      <c r="AN16" s="57"/>
      <c r="AO16" s="57"/>
      <c r="AP16" s="58">
        <v>0</v>
      </c>
      <c r="AQ16" s="101">
        <v>44687</v>
      </c>
      <c r="AR16" s="14" t="s">
        <v>31</v>
      </c>
      <c r="AS16" s="14"/>
      <c r="AT16" s="57">
        <v>1188154</v>
      </c>
      <c r="AU16" s="57">
        <f t="shared" si="4"/>
        <v>0</v>
      </c>
      <c r="AV16" s="57"/>
      <c r="AW16" s="57"/>
      <c r="AX16" s="58">
        <v>0</v>
      </c>
      <c r="AY16" s="120">
        <v>44719</v>
      </c>
      <c r="AZ16" s="57" t="s">
        <v>31</v>
      </c>
      <c r="BA16" s="120">
        <v>44728</v>
      </c>
      <c r="BB16" s="57">
        <v>1188154</v>
      </c>
      <c r="BC16" s="57">
        <f>AT16-BB16</f>
        <v>0</v>
      </c>
      <c r="BD16" s="57"/>
      <c r="BE16" s="57"/>
      <c r="BF16" s="58">
        <v>0</v>
      </c>
      <c r="BG16" s="101">
        <v>44750</v>
      </c>
      <c r="BH16" s="14" t="s">
        <v>31</v>
      </c>
      <c r="BI16" s="101">
        <v>44768</v>
      </c>
      <c r="BJ16" s="57">
        <v>1188154</v>
      </c>
      <c r="BK16" s="57">
        <f t="shared" si="3"/>
        <v>0</v>
      </c>
      <c r="BL16" s="57"/>
      <c r="BM16" s="57"/>
      <c r="BN16" s="58">
        <v>0</v>
      </c>
      <c r="BO16" s="101">
        <v>44778</v>
      </c>
      <c r="BP16" s="14" t="s">
        <v>31</v>
      </c>
      <c r="BQ16" s="14"/>
      <c r="BR16" s="57"/>
      <c r="BS16" s="57"/>
      <c r="BT16" s="57"/>
      <c r="BU16" s="57"/>
      <c r="BV16" s="58"/>
      <c r="BW16" s="101"/>
      <c r="BX16" s="14"/>
      <c r="BY16" s="14"/>
      <c r="BZ16" s="57"/>
      <c r="CA16" s="57"/>
      <c r="CB16" s="57"/>
      <c r="CC16" s="57"/>
      <c r="CD16" s="58"/>
      <c r="CE16" s="101"/>
      <c r="CF16" s="14"/>
      <c r="CG16" s="14"/>
      <c r="CH16" s="57"/>
      <c r="CI16" s="57"/>
      <c r="CJ16" s="57"/>
      <c r="CK16" s="57"/>
      <c r="CL16" s="58"/>
      <c r="CM16" s="101"/>
      <c r="CN16" s="14"/>
      <c r="CO16" s="14"/>
      <c r="CP16" s="57"/>
      <c r="CQ16" s="57"/>
      <c r="CR16" s="57"/>
      <c r="CS16" s="57"/>
      <c r="CT16" s="58"/>
      <c r="CU16" s="101"/>
      <c r="CV16" s="14"/>
      <c r="CW16" s="14"/>
    </row>
    <row r="17" spans="1:101" hidden="1" x14ac:dyDescent="0.35">
      <c r="A17" s="2" t="s">
        <v>584</v>
      </c>
      <c r="B17" s="14" t="s">
        <v>585</v>
      </c>
      <c r="C17" s="1">
        <v>9305</v>
      </c>
      <c r="D17" s="1">
        <v>214089</v>
      </c>
      <c r="E17" s="16" t="s">
        <v>284</v>
      </c>
      <c r="F17" s="17" t="s">
        <v>586</v>
      </c>
      <c r="G17" s="8">
        <v>1514082</v>
      </c>
      <c r="H17" s="39">
        <v>1433518</v>
      </c>
      <c r="I17" s="57">
        <v>1433518</v>
      </c>
      <c r="J17" s="8">
        <f>H17-I17</f>
        <v>0</v>
      </c>
      <c r="K17" s="14"/>
      <c r="L17" s="58">
        <v>0</v>
      </c>
      <c r="M17" s="123" t="s">
        <v>31</v>
      </c>
      <c r="N17" s="123">
        <v>44564</v>
      </c>
      <c r="O17" s="20"/>
      <c r="P17" s="8">
        <v>1514082</v>
      </c>
      <c r="Q17" s="8">
        <f t="shared" si="0"/>
        <v>-80564</v>
      </c>
      <c r="R17" s="14"/>
      <c r="S17" s="58">
        <f>Q17/I17</f>
        <v>-5.6200201183382419E-2</v>
      </c>
      <c r="T17" s="101">
        <v>44594</v>
      </c>
      <c r="U17" s="14" t="s">
        <v>31</v>
      </c>
      <c r="V17" s="20"/>
      <c r="W17" s="57">
        <v>1514082</v>
      </c>
      <c r="X17" s="57">
        <f t="shared" si="1"/>
        <v>0</v>
      </c>
      <c r="Y17" s="14"/>
      <c r="Z17" s="58">
        <v>0</v>
      </c>
      <c r="AA17" s="131">
        <v>44621</v>
      </c>
      <c r="AB17" s="14" t="s">
        <v>31</v>
      </c>
      <c r="AC17" s="20"/>
      <c r="AD17" s="57">
        <v>1514082</v>
      </c>
      <c r="AE17" s="57">
        <f t="shared" si="5"/>
        <v>0</v>
      </c>
      <c r="AF17" s="57"/>
      <c r="AG17" s="57"/>
      <c r="AH17" s="58">
        <v>0</v>
      </c>
      <c r="AI17" s="120">
        <v>44658</v>
      </c>
      <c r="AJ17" s="57" t="s">
        <v>31</v>
      </c>
      <c r="AK17" s="14"/>
      <c r="AL17" s="57">
        <v>1514082</v>
      </c>
      <c r="AM17" s="57">
        <f t="shared" si="2"/>
        <v>0</v>
      </c>
      <c r="AN17" s="57"/>
      <c r="AO17" s="57"/>
      <c r="AP17" s="58">
        <v>0</v>
      </c>
      <c r="AQ17" s="101">
        <v>44686</v>
      </c>
      <c r="AR17" s="14" t="s">
        <v>31</v>
      </c>
      <c r="AS17" s="14"/>
      <c r="AT17" s="57">
        <v>1514082</v>
      </c>
      <c r="AU17" s="57">
        <f t="shared" si="4"/>
        <v>0</v>
      </c>
      <c r="AV17" s="57"/>
      <c r="AW17" s="57"/>
      <c r="AX17" s="58">
        <v>0</v>
      </c>
      <c r="AY17" s="120">
        <v>44719</v>
      </c>
      <c r="AZ17" s="57" t="s">
        <v>31</v>
      </c>
      <c r="BA17" s="120">
        <v>44728</v>
      </c>
      <c r="BB17" s="57">
        <v>1514082</v>
      </c>
      <c r="BC17" s="57">
        <f>AT17-BB17</f>
        <v>0</v>
      </c>
      <c r="BD17" s="57"/>
      <c r="BE17" s="57"/>
      <c r="BF17" s="58">
        <v>0</v>
      </c>
      <c r="BG17" s="101">
        <v>44743</v>
      </c>
      <c r="BH17" s="14" t="s">
        <v>31</v>
      </c>
      <c r="BI17" s="101">
        <v>44757</v>
      </c>
      <c r="BJ17" s="57">
        <v>1514082</v>
      </c>
      <c r="BK17" s="57">
        <f t="shared" si="3"/>
        <v>0</v>
      </c>
      <c r="BL17" s="57"/>
      <c r="BM17" s="57"/>
      <c r="BN17" s="58">
        <v>0</v>
      </c>
      <c r="BO17" s="101">
        <v>44775</v>
      </c>
      <c r="BP17" s="14" t="s">
        <v>31</v>
      </c>
      <c r="BQ17" s="14"/>
      <c r="BR17" s="57"/>
      <c r="BS17" s="57"/>
      <c r="BT17" s="57"/>
      <c r="BU17" s="57"/>
      <c r="BV17" s="58"/>
      <c r="BW17" s="101"/>
      <c r="BX17" s="14"/>
      <c r="BY17" s="14"/>
      <c r="BZ17" s="57"/>
      <c r="CA17" s="57"/>
      <c r="CB17" s="57"/>
      <c r="CC17" s="57"/>
      <c r="CD17" s="58"/>
      <c r="CE17" s="101"/>
      <c r="CF17" s="14"/>
      <c r="CG17" s="14"/>
      <c r="CH17" s="57"/>
      <c r="CI17" s="57"/>
      <c r="CJ17" s="57"/>
      <c r="CK17" s="57"/>
      <c r="CL17" s="58"/>
      <c r="CM17" s="101"/>
      <c r="CN17" s="14"/>
      <c r="CO17" s="14"/>
      <c r="CP17" s="57"/>
      <c r="CQ17" s="57"/>
      <c r="CR17" s="57"/>
      <c r="CS17" s="57"/>
      <c r="CT17" s="58"/>
      <c r="CU17" s="101"/>
      <c r="CV17" s="14"/>
      <c r="CW17" s="14"/>
    </row>
    <row r="18" spans="1:101" hidden="1" x14ac:dyDescent="0.35">
      <c r="A18" s="1" t="s">
        <v>107</v>
      </c>
      <c r="B18" s="14" t="s">
        <v>587</v>
      </c>
      <c r="C18" s="24">
        <v>6553</v>
      </c>
      <c r="D18" s="22">
        <v>204600</v>
      </c>
      <c r="E18" s="18" t="s">
        <v>554</v>
      </c>
      <c r="F18" s="19" t="s">
        <v>555</v>
      </c>
      <c r="G18" s="39">
        <v>2906913</v>
      </c>
      <c r="H18" s="39">
        <v>2718570</v>
      </c>
      <c r="I18" s="57">
        <f>1495202+1497128</f>
        <v>2992330</v>
      </c>
      <c r="J18" s="8">
        <f>G18-I18</f>
        <v>-85417</v>
      </c>
      <c r="K18" s="14"/>
      <c r="L18" s="58">
        <f>J18/G18</f>
        <v>-2.9384092334376707E-2</v>
      </c>
      <c r="M18" s="123" t="s">
        <v>31</v>
      </c>
      <c r="N18" s="123">
        <v>44565</v>
      </c>
      <c r="O18" s="20"/>
      <c r="P18" s="57">
        <f>1495202+1497128</f>
        <v>2992330</v>
      </c>
      <c r="Q18" s="8">
        <f t="shared" si="0"/>
        <v>0</v>
      </c>
      <c r="R18" s="14"/>
      <c r="S18" s="58">
        <v>0</v>
      </c>
      <c r="T18" s="101">
        <v>44600</v>
      </c>
      <c r="U18" s="14" t="s">
        <v>31</v>
      </c>
      <c r="V18" s="20"/>
      <c r="W18" s="57">
        <f>1495202+1497128</f>
        <v>2992330</v>
      </c>
      <c r="X18" s="57">
        <f t="shared" si="1"/>
        <v>0</v>
      </c>
      <c r="Y18" s="14"/>
      <c r="Z18" s="58">
        <v>0</v>
      </c>
      <c r="AA18" s="131">
        <v>44622</v>
      </c>
      <c r="AB18" s="14" t="s">
        <v>31</v>
      </c>
      <c r="AC18" s="20"/>
      <c r="AD18" s="57">
        <f>1495202+1497128</f>
        <v>2992330</v>
      </c>
      <c r="AE18" s="57">
        <f t="shared" si="5"/>
        <v>0</v>
      </c>
      <c r="AF18" s="57"/>
      <c r="AG18" s="57"/>
      <c r="AH18" s="58">
        <v>0</v>
      </c>
      <c r="AI18" s="120">
        <v>44658</v>
      </c>
      <c r="AJ18" s="57" t="s">
        <v>31</v>
      </c>
      <c r="AK18" s="14"/>
      <c r="AL18" s="57">
        <f>1495202+1497128</f>
        <v>2992330</v>
      </c>
      <c r="AM18" s="57">
        <f t="shared" si="2"/>
        <v>0</v>
      </c>
      <c r="AN18" s="57"/>
      <c r="AO18" s="57"/>
      <c r="AP18" s="58">
        <v>0</v>
      </c>
      <c r="AQ18" s="101">
        <v>44687</v>
      </c>
      <c r="AR18" s="14" t="s">
        <v>31</v>
      </c>
      <c r="AS18" s="14"/>
      <c r="AT18" s="57">
        <f>1454902+1452011</f>
        <v>2906913</v>
      </c>
      <c r="AU18" s="57">
        <f>AL18-AT18</f>
        <v>85417</v>
      </c>
      <c r="AV18" s="57"/>
      <c r="AW18" s="57"/>
      <c r="AX18" s="58">
        <f>AU18/AL18</f>
        <v>2.8545314186603749E-2</v>
      </c>
      <c r="AY18" s="120">
        <v>44721</v>
      </c>
      <c r="AZ18" s="57" t="s">
        <v>31</v>
      </c>
      <c r="BA18" s="120">
        <v>44736</v>
      </c>
      <c r="BB18" s="57">
        <f>1452011+1454902</f>
        <v>2906913</v>
      </c>
      <c r="BC18" s="57">
        <f>AT18-BB18</f>
        <v>0</v>
      </c>
      <c r="BD18" s="57"/>
      <c r="BE18" s="57"/>
      <c r="BF18" s="58">
        <v>0</v>
      </c>
      <c r="BG18" s="101">
        <v>44748</v>
      </c>
      <c r="BH18" s="14" t="s">
        <v>31</v>
      </c>
      <c r="BI18" s="101">
        <v>44757</v>
      </c>
      <c r="BJ18" s="57">
        <f>1454902+1452011</f>
        <v>2906913</v>
      </c>
      <c r="BK18" s="57">
        <f>BB18-BJ18</f>
        <v>0</v>
      </c>
      <c r="BL18" s="57"/>
      <c r="BM18" s="57"/>
      <c r="BN18" s="58">
        <v>0</v>
      </c>
      <c r="BO18" s="101">
        <v>44784</v>
      </c>
      <c r="BP18" s="14" t="s">
        <v>31</v>
      </c>
      <c r="BQ18" s="14"/>
      <c r="BR18" s="212"/>
      <c r="BS18" s="218"/>
      <c r="BT18" s="218"/>
      <c r="BU18" s="218"/>
      <c r="BV18" s="218"/>
      <c r="BW18" s="218"/>
      <c r="BX18" s="218"/>
      <c r="BY18" s="213"/>
      <c r="BZ18" s="57"/>
      <c r="CA18" s="57"/>
      <c r="CB18" s="57"/>
      <c r="CC18" s="57"/>
      <c r="CD18" s="58"/>
      <c r="CE18" s="101"/>
      <c r="CF18" s="14"/>
      <c r="CG18" s="14"/>
      <c r="CH18" s="57"/>
      <c r="CI18" s="57"/>
      <c r="CJ18" s="57"/>
      <c r="CK18" s="57"/>
      <c r="CL18" s="58"/>
      <c r="CM18" s="101"/>
      <c r="CN18" s="14"/>
      <c r="CO18" s="14"/>
      <c r="CP18" s="57"/>
      <c r="CQ18" s="57"/>
      <c r="CR18" s="57"/>
      <c r="CS18" s="57"/>
      <c r="CT18" s="58"/>
      <c r="CU18" s="101"/>
      <c r="CV18" s="14"/>
      <c r="CW18" s="14"/>
    </row>
    <row r="19" spans="1:101" hidden="1" x14ac:dyDescent="0.35">
      <c r="A19" s="1" t="s">
        <v>111</v>
      </c>
      <c r="B19" s="14" t="s">
        <v>588</v>
      </c>
      <c r="C19" s="24">
        <v>6554</v>
      </c>
      <c r="D19" s="22">
        <v>204526</v>
      </c>
      <c r="E19" s="18" t="s">
        <v>589</v>
      </c>
      <c r="F19" s="19" t="s">
        <v>590</v>
      </c>
      <c r="G19" s="57">
        <v>2508901</v>
      </c>
      <c r="H19" s="39">
        <v>2283391</v>
      </c>
      <c r="I19" s="57">
        <v>2411718</v>
      </c>
      <c r="J19" s="57">
        <v>482344</v>
      </c>
      <c r="K19" s="14"/>
      <c r="L19" s="58">
        <f>J19/I19</f>
        <v>0.2000001658568705</v>
      </c>
      <c r="M19" s="3" t="s">
        <v>31</v>
      </c>
      <c r="N19" s="123">
        <v>44568</v>
      </c>
      <c r="O19" s="20"/>
      <c r="P19" s="57">
        <v>2411718</v>
      </c>
      <c r="Q19" s="57">
        <v>482344</v>
      </c>
      <c r="R19" s="14"/>
      <c r="S19" s="58">
        <f>Q19/P19</f>
        <v>0.2000001658568705</v>
      </c>
      <c r="T19" s="131">
        <v>44594</v>
      </c>
      <c r="U19" s="14" t="s">
        <v>31</v>
      </c>
      <c r="V19" s="20"/>
      <c r="W19" s="57">
        <v>2411718</v>
      </c>
      <c r="X19" s="57">
        <v>482344</v>
      </c>
      <c r="Y19" s="14"/>
      <c r="Z19" s="58">
        <f>X19/W19</f>
        <v>0.2000001658568705</v>
      </c>
      <c r="AA19" s="131">
        <v>44621</v>
      </c>
      <c r="AB19" s="14" t="s">
        <v>31</v>
      </c>
      <c r="AC19" s="20"/>
      <c r="AD19" s="57">
        <v>2461703</v>
      </c>
      <c r="AE19" s="57">
        <v>492341</v>
      </c>
      <c r="AF19" s="57"/>
      <c r="AG19" s="57"/>
      <c r="AH19" s="58">
        <f>AE19/AD19</f>
        <v>0.20000016248913863</v>
      </c>
      <c r="AI19" s="120">
        <v>44657</v>
      </c>
      <c r="AJ19" s="57" t="s">
        <v>31</v>
      </c>
      <c r="AK19" s="14"/>
      <c r="AL19" s="57">
        <v>2461703</v>
      </c>
      <c r="AM19" s="57">
        <v>492341</v>
      </c>
      <c r="AN19" s="57"/>
      <c r="AO19" s="57"/>
      <c r="AP19" s="58">
        <f>AM19/AL19</f>
        <v>0.20000016248913863</v>
      </c>
      <c r="AQ19" s="101">
        <v>44684</v>
      </c>
      <c r="AR19" s="14" t="s">
        <v>31</v>
      </c>
      <c r="AS19" s="14"/>
      <c r="AT19" s="57">
        <v>2461703</v>
      </c>
      <c r="AU19" s="57">
        <v>492341</v>
      </c>
      <c r="AV19" s="57"/>
      <c r="AW19" s="57"/>
      <c r="AX19" s="58">
        <f>AU19/AT19</f>
        <v>0.20000016248913863</v>
      </c>
      <c r="AY19" s="120">
        <v>44715</v>
      </c>
      <c r="AZ19" s="57" t="s">
        <v>31</v>
      </c>
      <c r="BA19" s="120">
        <v>44728</v>
      </c>
      <c r="BB19" s="57">
        <v>2508901</v>
      </c>
      <c r="BC19" s="57">
        <v>501780</v>
      </c>
      <c r="BD19" s="57"/>
      <c r="BE19" s="57"/>
      <c r="BF19" s="58">
        <f>BC19/BB19</f>
        <v>0.19999992028382149</v>
      </c>
      <c r="BG19" s="101">
        <v>44743</v>
      </c>
      <c r="BH19" s="14" t="s">
        <v>31</v>
      </c>
      <c r="BI19" s="101">
        <v>44757</v>
      </c>
      <c r="BJ19" s="57">
        <v>2508901</v>
      </c>
      <c r="BK19" s="57">
        <v>501780</v>
      </c>
      <c r="BL19" s="57"/>
      <c r="BM19" s="57"/>
      <c r="BN19" s="58">
        <f>BK19/BJ19</f>
        <v>0.19999992028382149</v>
      </c>
      <c r="BO19" s="101">
        <v>44774</v>
      </c>
      <c r="BP19" s="14" t="s">
        <v>31</v>
      </c>
      <c r="BQ19" s="14"/>
      <c r="BR19" s="57"/>
      <c r="BS19" s="57"/>
      <c r="BT19" s="57"/>
      <c r="BU19" s="57"/>
      <c r="BV19" s="58"/>
      <c r="BW19" s="101"/>
      <c r="BX19" s="14"/>
      <c r="BY19" s="14"/>
      <c r="BZ19" s="57"/>
      <c r="CA19" s="57"/>
      <c r="CB19" s="57"/>
      <c r="CC19" s="57"/>
      <c r="CD19" s="58"/>
      <c r="CE19" s="101"/>
      <c r="CF19" s="14"/>
      <c r="CG19" s="14"/>
      <c r="CH19" s="57"/>
      <c r="CI19" s="57"/>
      <c r="CJ19" s="57"/>
      <c r="CK19" s="57"/>
      <c r="CL19" s="58"/>
      <c r="CM19" s="101"/>
      <c r="CN19" s="14"/>
      <c r="CO19" s="14"/>
      <c r="CP19" s="57"/>
      <c r="CQ19" s="57"/>
      <c r="CR19" s="57"/>
      <c r="CS19" s="57"/>
      <c r="CT19" s="58"/>
      <c r="CU19" s="101"/>
      <c r="CV19" s="14"/>
      <c r="CW19" s="14"/>
    </row>
    <row r="20" spans="1:101" hidden="1" x14ac:dyDescent="0.35">
      <c r="A20" s="1" t="s">
        <v>117</v>
      </c>
      <c r="B20" s="14" t="s">
        <v>591</v>
      </c>
      <c r="C20" s="24">
        <v>6556</v>
      </c>
      <c r="D20" s="22">
        <v>204648</v>
      </c>
      <c r="E20" s="18" t="s">
        <v>592</v>
      </c>
      <c r="F20" s="19" t="s">
        <v>593</v>
      </c>
      <c r="G20" s="57">
        <v>707373</v>
      </c>
      <c r="H20" s="39">
        <v>669734</v>
      </c>
      <c r="I20" s="57">
        <v>707373</v>
      </c>
      <c r="J20" s="8">
        <f t="shared" ref="J20:J25" si="6">H20-I20</f>
        <v>-37639</v>
      </c>
      <c r="K20" s="14"/>
      <c r="L20" s="58">
        <f>J20/H20</f>
        <v>-5.6199924148990492E-2</v>
      </c>
      <c r="M20" s="3" t="s">
        <v>31</v>
      </c>
      <c r="N20" s="123">
        <v>44572</v>
      </c>
      <c r="O20" s="20"/>
      <c r="P20" s="57">
        <v>707373</v>
      </c>
      <c r="Q20" s="8">
        <f t="shared" ref="Q20:Q34" si="7">I20-P20</f>
        <v>0</v>
      </c>
      <c r="R20" s="14"/>
      <c r="S20" s="58">
        <v>0</v>
      </c>
      <c r="T20" s="101">
        <v>44596</v>
      </c>
      <c r="U20" s="14" t="s">
        <v>31</v>
      </c>
      <c r="V20" s="20"/>
      <c r="W20" s="57">
        <v>707373</v>
      </c>
      <c r="X20" s="57">
        <f>P20-W20</f>
        <v>0</v>
      </c>
      <c r="Y20" s="14"/>
      <c r="Z20" s="58">
        <v>0</v>
      </c>
      <c r="AA20" s="101">
        <v>44624</v>
      </c>
      <c r="AB20" s="14" t="s">
        <v>31</v>
      </c>
      <c r="AC20" s="20"/>
      <c r="AD20" s="57">
        <v>707373</v>
      </c>
      <c r="AE20" s="57">
        <f>W20-AD20</f>
        <v>0</v>
      </c>
      <c r="AF20" s="57"/>
      <c r="AG20" s="57"/>
      <c r="AH20" s="58">
        <v>0</v>
      </c>
      <c r="AI20" s="120">
        <v>44657</v>
      </c>
      <c r="AJ20" s="57" t="s">
        <v>31</v>
      </c>
      <c r="AK20" s="14"/>
      <c r="AL20" s="57">
        <v>707373</v>
      </c>
      <c r="AM20" s="57">
        <f t="shared" ref="AM20:AM25" si="8">AD20-AL20</f>
        <v>0</v>
      </c>
      <c r="AN20" s="57"/>
      <c r="AO20" s="57">
        <v>58532</v>
      </c>
      <c r="AP20" s="58">
        <v>0</v>
      </c>
      <c r="AQ20" s="101">
        <v>44686</v>
      </c>
      <c r="AR20" s="14" t="s">
        <v>31</v>
      </c>
      <c r="AS20" s="14"/>
      <c r="AT20" s="57">
        <v>707373</v>
      </c>
      <c r="AU20" s="57">
        <f t="shared" ref="AU20:AU26" si="9">AL20-AT20</f>
        <v>0</v>
      </c>
      <c r="AV20" s="57"/>
      <c r="AW20" s="57"/>
      <c r="AX20" s="58">
        <v>0</v>
      </c>
      <c r="AY20" s="120">
        <v>44718</v>
      </c>
      <c r="AZ20" s="57" t="s">
        <v>31</v>
      </c>
      <c r="BA20" s="120">
        <v>44728</v>
      </c>
      <c r="BB20" s="57">
        <v>707373</v>
      </c>
      <c r="BC20" s="57">
        <f>AT20-BB20</f>
        <v>0</v>
      </c>
      <c r="BD20" s="57"/>
      <c r="BE20" s="57">
        <v>58532</v>
      </c>
      <c r="BF20" s="58">
        <v>0</v>
      </c>
      <c r="BG20" s="101">
        <v>44748</v>
      </c>
      <c r="BH20" s="14" t="s">
        <v>31</v>
      </c>
      <c r="BI20" s="101">
        <v>44757</v>
      </c>
      <c r="BJ20" s="57">
        <v>707373</v>
      </c>
      <c r="BK20" s="57">
        <f>BB20-BJ20</f>
        <v>0</v>
      </c>
      <c r="BL20" s="57"/>
      <c r="BM20" s="57"/>
      <c r="BN20" s="58">
        <v>0</v>
      </c>
      <c r="BO20" s="101">
        <v>44777</v>
      </c>
      <c r="BP20" s="14" t="s">
        <v>31</v>
      </c>
      <c r="BQ20" s="14"/>
      <c r="BR20" s="57"/>
      <c r="BS20" s="57"/>
      <c r="BT20" s="57"/>
      <c r="BU20" s="57"/>
      <c r="BV20" s="58"/>
      <c r="BW20" s="101"/>
      <c r="BX20" s="14"/>
      <c r="BY20" s="14"/>
      <c r="BZ20" s="57"/>
      <c r="CA20" s="57"/>
      <c r="CB20" s="57"/>
      <c r="CC20" s="57"/>
      <c r="CD20" s="58"/>
      <c r="CE20" s="101"/>
      <c r="CF20" s="14"/>
      <c r="CG20" s="14"/>
      <c r="CH20" s="57"/>
      <c r="CI20" s="57"/>
      <c r="CJ20" s="57"/>
      <c r="CK20" s="57"/>
      <c r="CL20" s="58"/>
      <c r="CM20" s="101"/>
      <c r="CN20" s="14"/>
      <c r="CO20" s="14"/>
      <c r="CP20" s="57"/>
      <c r="CQ20" s="57"/>
      <c r="CR20" s="57"/>
      <c r="CS20" s="57"/>
      <c r="CT20" s="58"/>
      <c r="CU20" s="101"/>
      <c r="CV20" s="14"/>
      <c r="CW20" s="14"/>
    </row>
    <row r="21" spans="1:101" hidden="1" x14ac:dyDescent="0.35">
      <c r="A21" s="1" t="s">
        <v>123</v>
      </c>
      <c r="B21" s="26" t="s">
        <v>594</v>
      </c>
      <c r="C21" s="24">
        <v>6561</v>
      </c>
      <c r="D21" s="22">
        <v>205635</v>
      </c>
      <c r="E21" s="18" t="s">
        <v>595</v>
      </c>
      <c r="F21" s="25" t="s">
        <v>596</v>
      </c>
      <c r="G21" s="57">
        <v>2642672</v>
      </c>
      <c r="H21" s="39">
        <v>2477420</v>
      </c>
      <c r="I21" s="57">
        <v>2642672</v>
      </c>
      <c r="J21" s="8">
        <f>H21-I21</f>
        <v>-165252</v>
      </c>
      <c r="K21" s="14"/>
      <c r="L21" s="58">
        <f>J21/G21</f>
        <v>-6.253216441540986E-2</v>
      </c>
      <c r="M21" s="3" t="s">
        <v>31</v>
      </c>
      <c r="N21" s="123">
        <v>44568</v>
      </c>
      <c r="O21" s="20"/>
      <c r="P21" s="8">
        <v>2642672</v>
      </c>
      <c r="Q21" s="8">
        <f t="shared" si="7"/>
        <v>0</v>
      </c>
      <c r="R21" s="14"/>
      <c r="S21" s="58">
        <v>0</v>
      </c>
      <c r="T21" s="101">
        <v>44600</v>
      </c>
      <c r="U21" s="14" t="s">
        <v>31</v>
      </c>
      <c r="V21" s="20"/>
      <c r="W21" s="57">
        <v>2486670</v>
      </c>
      <c r="X21" s="57">
        <f>P21-W21</f>
        <v>156002</v>
      </c>
      <c r="Y21" s="14"/>
      <c r="Z21" s="58">
        <f>X21/P21</f>
        <v>5.9031919209042966E-2</v>
      </c>
      <c r="AA21" s="101">
        <v>44624</v>
      </c>
      <c r="AB21" s="14" t="s">
        <v>31</v>
      </c>
      <c r="AC21" s="20"/>
      <c r="AD21" s="57">
        <v>2642672</v>
      </c>
      <c r="AE21" s="57">
        <f>P21-AD21</f>
        <v>0</v>
      </c>
      <c r="AF21" s="57"/>
      <c r="AG21" s="57"/>
      <c r="AH21" s="58">
        <v>0</v>
      </c>
      <c r="AI21" s="120">
        <v>44656</v>
      </c>
      <c r="AJ21" s="57" t="s">
        <v>31</v>
      </c>
      <c r="AK21" s="14"/>
      <c r="AL21" s="57">
        <v>2642672</v>
      </c>
      <c r="AM21" s="57">
        <f t="shared" si="8"/>
        <v>0</v>
      </c>
      <c r="AN21" s="57"/>
      <c r="AO21" s="57"/>
      <c r="AP21" s="58">
        <v>0</v>
      </c>
      <c r="AQ21" s="101">
        <v>44687</v>
      </c>
      <c r="AR21" s="14" t="s">
        <v>31</v>
      </c>
      <c r="AS21" s="14"/>
      <c r="AT21" s="57">
        <v>2550842</v>
      </c>
      <c r="AU21" s="57">
        <f t="shared" si="9"/>
        <v>91830</v>
      </c>
      <c r="AV21" s="57"/>
      <c r="AW21" s="57"/>
      <c r="AX21" s="58">
        <f>AU21/AL21</f>
        <v>3.4748920789261777E-2</v>
      </c>
      <c r="AY21" s="120">
        <v>44718</v>
      </c>
      <c r="AZ21" s="57" t="s">
        <v>31</v>
      </c>
      <c r="BA21" s="120">
        <v>44728</v>
      </c>
      <c r="BB21" s="57">
        <v>2711274</v>
      </c>
      <c r="BC21" s="57"/>
      <c r="BD21" s="57">
        <f>AL21-BB21</f>
        <v>-68602</v>
      </c>
      <c r="BE21" s="57"/>
      <c r="BF21" s="58">
        <f>BD21/AL21</f>
        <v>-2.5959332069965549E-2</v>
      </c>
      <c r="BG21" s="101">
        <v>44750</v>
      </c>
      <c r="BH21" s="14" t="s">
        <v>31</v>
      </c>
      <c r="BI21" s="101">
        <v>44768</v>
      </c>
      <c r="BJ21" s="57">
        <v>2642672</v>
      </c>
      <c r="BK21" s="57">
        <f>AL21-BJ21</f>
        <v>0</v>
      </c>
      <c r="BL21" s="57"/>
      <c r="BM21" s="57"/>
      <c r="BN21" s="58">
        <v>0</v>
      </c>
      <c r="BO21" s="101">
        <v>44781</v>
      </c>
      <c r="BP21" s="14" t="s">
        <v>31</v>
      </c>
      <c r="BQ21" s="14"/>
      <c r="BR21" s="57"/>
      <c r="BS21" s="57"/>
      <c r="BT21" s="57"/>
      <c r="BU21" s="57"/>
      <c r="BV21" s="58"/>
      <c r="BW21" s="101"/>
      <c r="BX21" s="14"/>
      <c r="BY21" s="14"/>
      <c r="BZ21" s="57"/>
      <c r="CA21" s="57"/>
      <c r="CB21" s="57"/>
      <c r="CC21" s="57"/>
      <c r="CD21" s="58"/>
      <c r="CE21" s="101"/>
      <c r="CF21" s="14"/>
      <c r="CG21" s="14"/>
      <c r="CH21" s="57"/>
      <c r="CI21" s="57"/>
      <c r="CJ21" s="57"/>
      <c r="CK21" s="57"/>
      <c r="CL21" s="58"/>
      <c r="CM21" s="101"/>
      <c r="CN21" s="14"/>
      <c r="CO21" s="14"/>
      <c r="CP21" s="57"/>
      <c r="CQ21" s="57"/>
      <c r="CR21" s="57"/>
      <c r="CS21" s="57"/>
      <c r="CT21" s="58"/>
      <c r="CU21" s="101"/>
      <c r="CV21" s="14"/>
      <c r="CW21" s="14"/>
    </row>
    <row r="22" spans="1:101" hidden="1" x14ac:dyDescent="0.35">
      <c r="A22" s="1" t="s">
        <v>127</v>
      </c>
      <c r="B22" s="26" t="s">
        <v>597</v>
      </c>
      <c r="C22" s="24">
        <v>6563</v>
      </c>
      <c r="D22" s="22">
        <v>208501</v>
      </c>
      <c r="E22" s="18" t="s">
        <v>129</v>
      </c>
      <c r="F22" s="19" t="s">
        <v>598</v>
      </c>
      <c r="G22" s="57">
        <v>3830042</v>
      </c>
      <c r="H22" s="39">
        <v>3466615</v>
      </c>
      <c r="I22" s="57">
        <v>3830042</v>
      </c>
      <c r="J22" s="8">
        <f t="shared" si="6"/>
        <v>-363427</v>
      </c>
      <c r="K22" s="14"/>
      <c r="L22" s="58">
        <f>J22/H22</f>
        <v>-0.10483627400216061</v>
      </c>
      <c r="M22" s="3" t="s">
        <v>31</v>
      </c>
      <c r="N22" s="123">
        <v>44578</v>
      </c>
      <c r="O22" s="20"/>
      <c r="P22" s="57">
        <v>3779297</v>
      </c>
      <c r="Q22" s="8">
        <f t="shared" si="7"/>
        <v>50745</v>
      </c>
      <c r="R22" s="14"/>
      <c r="S22" s="58">
        <f>Q22/I22</f>
        <v>1.3249201966975819E-2</v>
      </c>
      <c r="T22" s="101">
        <v>44602</v>
      </c>
      <c r="U22" s="14" t="s">
        <v>31</v>
      </c>
      <c r="V22" s="20"/>
      <c r="W22" s="57">
        <v>3894297</v>
      </c>
      <c r="X22" s="57">
        <f>I22-W22</f>
        <v>-64255</v>
      </c>
      <c r="Y22" s="14"/>
      <c r="Z22" s="58">
        <f>X22/I22</f>
        <v>-1.677657842916605E-2</v>
      </c>
      <c r="AA22" s="101">
        <v>44629</v>
      </c>
      <c r="AB22" s="14" t="s">
        <v>31</v>
      </c>
      <c r="AC22" s="20"/>
      <c r="AD22" s="57">
        <v>3894297</v>
      </c>
      <c r="AE22" s="57">
        <f>W22-AD22</f>
        <v>0</v>
      </c>
      <c r="AF22" s="57"/>
      <c r="AG22" s="57"/>
      <c r="AH22" s="58">
        <v>0</v>
      </c>
      <c r="AI22" s="120">
        <v>44655</v>
      </c>
      <c r="AJ22" s="57" t="s">
        <v>31</v>
      </c>
      <c r="AK22" s="14"/>
      <c r="AL22" s="57">
        <v>3894297</v>
      </c>
      <c r="AM22" s="57">
        <f t="shared" si="8"/>
        <v>0</v>
      </c>
      <c r="AN22" s="57"/>
      <c r="AO22" s="57"/>
      <c r="AP22" s="58">
        <v>0</v>
      </c>
      <c r="AQ22" s="101">
        <v>44684</v>
      </c>
      <c r="AR22" s="14" t="s">
        <v>31</v>
      </c>
      <c r="AS22" s="14"/>
      <c r="AT22" s="57">
        <v>3894297</v>
      </c>
      <c r="AU22" s="57">
        <f t="shared" si="9"/>
        <v>0</v>
      </c>
      <c r="AV22" s="57"/>
      <c r="AW22" s="57"/>
      <c r="AX22" s="58">
        <v>0</v>
      </c>
      <c r="AY22" s="120">
        <v>44715</v>
      </c>
      <c r="AZ22" s="57" t="s">
        <v>31</v>
      </c>
      <c r="BA22" s="120">
        <v>44728</v>
      </c>
      <c r="BB22" s="57">
        <v>3894297</v>
      </c>
      <c r="BC22" s="57">
        <f>AT22-BB22</f>
        <v>0</v>
      </c>
      <c r="BD22" s="57"/>
      <c r="BE22" s="57"/>
      <c r="BF22" s="58">
        <v>0</v>
      </c>
      <c r="BG22" s="101">
        <v>44748</v>
      </c>
      <c r="BH22" s="14" t="s">
        <v>31</v>
      </c>
      <c r="BI22" s="101">
        <v>44757</v>
      </c>
      <c r="BJ22" s="57">
        <v>3894297</v>
      </c>
      <c r="BK22" s="57">
        <f>BB22-BJ22</f>
        <v>0</v>
      </c>
      <c r="BL22" s="57"/>
      <c r="BM22" s="57"/>
      <c r="BN22" s="58">
        <v>0</v>
      </c>
      <c r="BO22" s="101">
        <v>44777</v>
      </c>
      <c r="BP22" s="14" t="s">
        <v>31</v>
      </c>
      <c r="BQ22" s="14"/>
      <c r="BR22" s="57"/>
      <c r="BS22" s="57"/>
      <c r="BT22" s="57"/>
      <c r="BU22" s="57"/>
      <c r="BV22" s="58"/>
      <c r="BW22" s="101"/>
      <c r="BX22" s="14"/>
      <c r="BY22" s="14"/>
      <c r="BZ22" s="57"/>
      <c r="CA22" s="57"/>
      <c r="CB22" s="57"/>
      <c r="CC22" s="57"/>
      <c r="CD22" s="58"/>
      <c r="CE22" s="101"/>
      <c r="CF22" s="14"/>
      <c r="CG22" s="14"/>
      <c r="CH22" s="57"/>
      <c r="CI22" s="57"/>
      <c r="CJ22" s="57"/>
      <c r="CK22" s="57"/>
      <c r="CL22" s="58"/>
      <c r="CM22" s="101"/>
      <c r="CN22" s="14"/>
      <c r="CO22" s="14"/>
      <c r="CP22" s="57"/>
      <c r="CQ22" s="57"/>
      <c r="CR22" s="57"/>
      <c r="CS22" s="57"/>
      <c r="CT22" s="58"/>
      <c r="CU22" s="101"/>
      <c r="CV22" s="14"/>
      <c r="CW22" s="14"/>
    </row>
    <row r="23" spans="1:101" hidden="1" x14ac:dyDescent="0.35">
      <c r="A23" s="1" t="s">
        <v>132</v>
      </c>
      <c r="B23" s="162" t="s">
        <v>599</v>
      </c>
      <c r="C23" s="24">
        <v>6564</v>
      </c>
      <c r="D23" s="22">
        <v>204606</v>
      </c>
      <c r="E23" s="18" t="s">
        <v>600</v>
      </c>
      <c r="F23" s="19" t="s">
        <v>601</v>
      </c>
      <c r="G23" s="39">
        <v>1313296</v>
      </c>
      <c r="H23" s="8">
        <v>1250758</v>
      </c>
      <c r="I23" s="57">
        <v>1250758</v>
      </c>
      <c r="J23" s="8">
        <f t="shared" si="6"/>
        <v>0</v>
      </c>
      <c r="K23" s="14"/>
      <c r="L23" s="58">
        <v>0</v>
      </c>
      <c r="M23" s="123" t="s">
        <v>31</v>
      </c>
      <c r="N23" s="123">
        <v>44565</v>
      </c>
      <c r="O23" s="20"/>
      <c r="P23" s="57">
        <v>1250758</v>
      </c>
      <c r="Q23" s="8">
        <f t="shared" si="7"/>
        <v>0</v>
      </c>
      <c r="R23" s="14"/>
      <c r="S23" s="58">
        <v>0</v>
      </c>
      <c r="T23" s="101">
        <v>44595</v>
      </c>
      <c r="U23" s="14" t="s">
        <v>31</v>
      </c>
      <c r="V23" s="20"/>
      <c r="W23" s="57">
        <v>1250758</v>
      </c>
      <c r="X23" s="57">
        <f t="shared" ref="X23:X29" si="10">P23-W23</f>
        <v>0</v>
      </c>
      <c r="Y23" s="14"/>
      <c r="Z23" s="58">
        <v>0</v>
      </c>
      <c r="AA23" s="131">
        <v>44621</v>
      </c>
      <c r="AB23" s="14" t="s">
        <v>31</v>
      </c>
      <c r="AC23" s="20"/>
      <c r="AD23" s="57">
        <v>1313296</v>
      </c>
      <c r="AE23" s="57"/>
      <c r="AF23" s="57">
        <f>W23-AD23</f>
        <v>-62538</v>
      </c>
      <c r="AG23" s="57"/>
      <c r="AH23" s="58">
        <f>AF23/W23</f>
        <v>-5.0000079951517402E-2</v>
      </c>
      <c r="AI23" s="120">
        <v>44658</v>
      </c>
      <c r="AJ23" s="57" t="s">
        <v>31</v>
      </c>
      <c r="AK23" s="14"/>
      <c r="AL23" s="57">
        <v>1313296</v>
      </c>
      <c r="AM23" s="57">
        <f t="shared" si="8"/>
        <v>0</v>
      </c>
      <c r="AN23" s="57"/>
      <c r="AO23" s="57"/>
      <c r="AP23" s="58">
        <v>0</v>
      </c>
      <c r="AQ23" s="101">
        <v>44686</v>
      </c>
      <c r="AR23" s="14" t="s">
        <v>31</v>
      </c>
      <c r="AS23" s="14"/>
      <c r="AT23" s="57">
        <v>1313297</v>
      </c>
      <c r="AU23" s="57">
        <f t="shared" si="9"/>
        <v>-1</v>
      </c>
      <c r="AV23" s="57"/>
      <c r="AW23" s="57"/>
      <c r="AX23" s="58">
        <v>0</v>
      </c>
      <c r="AY23" s="120">
        <v>44721</v>
      </c>
      <c r="AZ23" s="57" t="s">
        <v>31</v>
      </c>
      <c r="BA23" s="120">
        <v>44736</v>
      </c>
      <c r="BB23" s="57">
        <v>1313297</v>
      </c>
      <c r="BC23" s="57">
        <f>AT23-BB23</f>
        <v>0</v>
      </c>
      <c r="BD23" s="57"/>
      <c r="BE23" s="57"/>
      <c r="BF23" s="58">
        <v>0</v>
      </c>
      <c r="BG23" s="101">
        <v>44743</v>
      </c>
      <c r="BH23" s="14" t="s">
        <v>31</v>
      </c>
      <c r="BI23" s="101">
        <v>44757</v>
      </c>
      <c r="BJ23" s="57">
        <v>1313297</v>
      </c>
      <c r="BK23" s="57">
        <f>BB23-BJ23</f>
        <v>0</v>
      </c>
      <c r="BL23" s="57"/>
      <c r="BM23" s="57"/>
      <c r="BN23" s="58">
        <v>0</v>
      </c>
      <c r="BO23" s="101">
        <v>44775</v>
      </c>
      <c r="BP23" s="14" t="s">
        <v>31</v>
      </c>
      <c r="BQ23" s="14"/>
      <c r="BR23" s="57"/>
      <c r="BS23" s="57"/>
      <c r="BT23" s="57"/>
      <c r="BU23" s="57"/>
      <c r="BV23" s="58"/>
      <c r="BW23" s="101"/>
      <c r="BX23" s="14"/>
      <c r="BY23" s="14"/>
      <c r="BZ23" s="57"/>
      <c r="CA23" s="57"/>
      <c r="CB23" s="57"/>
      <c r="CC23" s="57"/>
      <c r="CD23" s="58"/>
      <c r="CE23" s="101"/>
      <c r="CF23" s="14"/>
      <c r="CG23" s="14"/>
      <c r="CH23" s="57"/>
      <c r="CI23" s="57"/>
      <c r="CJ23" s="57"/>
      <c r="CK23" s="57"/>
      <c r="CL23" s="58"/>
      <c r="CM23" s="101"/>
      <c r="CN23" s="14"/>
      <c r="CO23" s="14"/>
      <c r="CP23" s="57"/>
      <c r="CQ23" s="57"/>
      <c r="CR23" s="57"/>
      <c r="CS23" s="57"/>
      <c r="CT23" s="58"/>
      <c r="CU23" s="101"/>
      <c r="CV23" s="14"/>
      <c r="CW23" s="14"/>
    </row>
    <row r="24" spans="1:101" hidden="1" x14ac:dyDescent="0.35">
      <c r="A24" s="1" t="s">
        <v>136</v>
      </c>
      <c r="B24" s="26" t="s">
        <v>602</v>
      </c>
      <c r="C24" s="24">
        <v>6568</v>
      </c>
      <c r="D24" s="22">
        <v>204589</v>
      </c>
      <c r="E24" s="18" t="s">
        <v>603</v>
      </c>
      <c r="F24" s="19" t="s">
        <v>604</v>
      </c>
      <c r="G24" s="57">
        <v>2847927</v>
      </c>
      <c r="H24" s="39">
        <v>2485550</v>
      </c>
      <c r="I24" s="57">
        <v>2735843</v>
      </c>
      <c r="J24" s="8">
        <f t="shared" si="6"/>
        <v>-250293</v>
      </c>
      <c r="K24" s="14"/>
      <c r="L24" s="58">
        <f>J24/H24</f>
        <v>-0.10069924161654362</v>
      </c>
      <c r="M24" s="3" t="s">
        <v>31</v>
      </c>
      <c r="N24" s="123">
        <v>44566</v>
      </c>
      <c r="O24" s="20"/>
      <c r="P24" s="57">
        <v>2735843</v>
      </c>
      <c r="Q24" s="8">
        <f t="shared" si="7"/>
        <v>0</v>
      </c>
      <c r="R24" s="14"/>
      <c r="S24" s="58">
        <v>0</v>
      </c>
      <c r="T24" s="101">
        <v>44595</v>
      </c>
      <c r="U24" s="14" t="s">
        <v>31</v>
      </c>
      <c r="V24" s="20"/>
      <c r="W24" s="57">
        <v>2735843</v>
      </c>
      <c r="X24" s="57">
        <f t="shared" si="10"/>
        <v>0</v>
      </c>
      <c r="Y24" s="14"/>
      <c r="Z24" s="58">
        <v>0</v>
      </c>
      <c r="AA24" s="101">
        <v>44624</v>
      </c>
      <c r="AB24" s="14" t="s">
        <v>31</v>
      </c>
      <c r="AC24" s="20"/>
      <c r="AD24" s="57">
        <v>2847927</v>
      </c>
      <c r="AE24" s="57"/>
      <c r="AF24" s="57">
        <f>W24-AD24</f>
        <v>-112084</v>
      </c>
      <c r="AG24" s="57"/>
      <c r="AH24" s="58">
        <f>AF24/W24</f>
        <v>-4.0968725179039878E-2</v>
      </c>
      <c r="AI24" s="120">
        <v>44656</v>
      </c>
      <c r="AJ24" s="57" t="s">
        <v>31</v>
      </c>
      <c r="AK24" s="14"/>
      <c r="AL24" s="57">
        <v>2847927</v>
      </c>
      <c r="AM24" s="57">
        <f t="shared" si="8"/>
        <v>0</v>
      </c>
      <c r="AN24" s="57"/>
      <c r="AO24" s="57"/>
      <c r="AP24" s="58">
        <v>0</v>
      </c>
      <c r="AQ24" s="101">
        <v>44687</v>
      </c>
      <c r="AR24" s="14" t="s">
        <v>31</v>
      </c>
      <c r="AS24" s="14"/>
      <c r="AT24" s="57">
        <v>2847927</v>
      </c>
      <c r="AU24" s="57">
        <f t="shared" si="9"/>
        <v>0</v>
      </c>
      <c r="AV24" s="57"/>
      <c r="AW24" s="57"/>
      <c r="AX24" s="58">
        <v>0</v>
      </c>
      <c r="AY24" s="120">
        <v>44718</v>
      </c>
      <c r="AZ24" s="57" t="s">
        <v>31</v>
      </c>
      <c r="BA24" s="120">
        <v>44728</v>
      </c>
      <c r="BB24" s="57">
        <v>2847927</v>
      </c>
      <c r="BC24" s="57">
        <f>AT24-BB24</f>
        <v>0</v>
      </c>
      <c r="BD24" s="57"/>
      <c r="BE24" s="57"/>
      <c r="BF24" s="58">
        <v>0</v>
      </c>
      <c r="BG24" s="101">
        <v>44748</v>
      </c>
      <c r="BH24" s="14" t="s">
        <v>31</v>
      </c>
      <c r="BI24" s="101">
        <v>44757</v>
      </c>
      <c r="BJ24" s="57">
        <v>2847927</v>
      </c>
      <c r="BK24" s="57">
        <f>BB24-BJ24</f>
        <v>0</v>
      </c>
      <c r="BL24" s="57"/>
      <c r="BM24" s="57"/>
      <c r="BN24" s="58">
        <v>0</v>
      </c>
      <c r="BO24" s="101">
        <v>44778</v>
      </c>
      <c r="BP24" s="14" t="s">
        <v>31</v>
      </c>
      <c r="BQ24" s="14"/>
      <c r="BR24" s="57"/>
      <c r="BS24" s="57"/>
      <c r="BT24" s="57"/>
      <c r="BU24" s="57"/>
      <c r="BV24" s="58"/>
      <c r="BW24" s="101"/>
      <c r="BX24" s="14"/>
      <c r="BY24" s="14"/>
      <c r="BZ24" s="57"/>
      <c r="CA24" s="57"/>
      <c r="CB24" s="57"/>
      <c r="CC24" s="57"/>
      <c r="CD24" s="58"/>
      <c r="CE24" s="101"/>
      <c r="CF24" s="14"/>
      <c r="CG24" s="14"/>
      <c r="CH24" s="57"/>
      <c r="CI24" s="57"/>
      <c r="CJ24" s="57"/>
      <c r="CK24" s="57"/>
      <c r="CL24" s="58"/>
      <c r="CM24" s="101"/>
      <c r="CN24" s="14"/>
      <c r="CO24" s="14"/>
      <c r="CP24" s="57"/>
      <c r="CQ24" s="57"/>
      <c r="CR24" s="57"/>
      <c r="CS24" s="57"/>
      <c r="CT24" s="58"/>
      <c r="CU24" s="101"/>
      <c r="CV24" s="14"/>
      <c r="CW24" s="14"/>
    </row>
    <row r="25" spans="1:101" hidden="1" x14ac:dyDescent="0.35">
      <c r="A25" s="1" t="s">
        <v>140</v>
      </c>
      <c r="B25" s="26" t="s">
        <v>605</v>
      </c>
      <c r="C25" s="15">
        <v>6767</v>
      </c>
      <c r="D25" s="22">
        <v>204887</v>
      </c>
      <c r="E25" s="18" t="s">
        <v>606</v>
      </c>
      <c r="F25" s="19" t="s">
        <v>607</v>
      </c>
      <c r="G25" s="39">
        <v>1391868</v>
      </c>
      <c r="H25" s="39">
        <v>1317807</v>
      </c>
      <c r="I25" s="57">
        <v>1317807</v>
      </c>
      <c r="J25" s="8">
        <f t="shared" si="6"/>
        <v>0</v>
      </c>
      <c r="K25" s="14"/>
      <c r="L25" s="58">
        <v>0</v>
      </c>
      <c r="M25" s="14" t="s">
        <v>31</v>
      </c>
      <c r="N25" s="101">
        <v>44574</v>
      </c>
      <c r="O25" s="20"/>
      <c r="P25" s="57">
        <v>1317807</v>
      </c>
      <c r="Q25" s="8">
        <f t="shared" si="7"/>
        <v>0</v>
      </c>
      <c r="R25" s="14"/>
      <c r="S25" s="58">
        <v>0</v>
      </c>
      <c r="T25" s="101">
        <v>44603</v>
      </c>
      <c r="U25" s="14" t="s">
        <v>31</v>
      </c>
      <c r="V25" s="20"/>
      <c r="W25" s="57">
        <v>1391868</v>
      </c>
      <c r="X25" s="57">
        <f t="shared" si="10"/>
        <v>-74061</v>
      </c>
      <c r="Y25" s="14"/>
      <c r="Z25" s="58">
        <f>X25/P25</f>
        <v>-5.6200187129071252E-2</v>
      </c>
      <c r="AA25" s="131">
        <v>44630</v>
      </c>
      <c r="AB25" s="14" t="s">
        <v>31</v>
      </c>
      <c r="AC25" s="20"/>
      <c r="AD25" s="57">
        <v>1391868</v>
      </c>
      <c r="AE25" s="57">
        <f>W25-AD25</f>
        <v>0</v>
      </c>
      <c r="AF25" s="57"/>
      <c r="AG25" s="57"/>
      <c r="AH25" s="58">
        <v>0</v>
      </c>
      <c r="AI25" s="120">
        <v>44664</v>
      </c>
      <c r="AJ25" s="57" t="s">
        <v>31</v>
      </c>
      <c r="AK25" s="14"/>
      <c r="AL25" s="57">
        <v>1391868</v>
      </c>
      <c r="AM25" s="57">
        <f t="shared" si="8"/>
        <v>0</v>
      </c>
      <c r="AN25" s="57"/>
      <c r="AO25" s="57"/>
      <c r="AP25" s="58">
        <v>0</v>
      </c>
      <c r="AQ25" s="101">
        <v>44694</v>
      </c>
      <c r="AR25" s="14" t="s">
        <v>31</v>
      </c>
      <c r="AS25" s="14"/>
      <c r="AT25" s="57">
        <v>1391868</v>
      </c>
      <c r="AU25" s="57">
        <f t="shared" si="9"/>
        <v>0</v>
      </c>
      <c r="AV25" s="57"/>
      <c r="AW25" s="57"/>
      <c r="AX25" s="58">
        <v>0</v>
      </c>
      <c r="AY25" s="120">
        <v>44725</v>
      </c>
      <c r="AZ25" s="57" t="s">
        <v>31</v>
      </c>
      <c r="BA25" s="120">
        <v>44755</v>
      </c>
      <c r="BB25" s="57">
        <v>1391868</v>
      </c>
      <c r="BC25" s="57">
        <f>AT25-BB25</f>
        <v>0</v>
      </c>
      <c r="BD25" s="57"/>
      <c r="BE25" s="57"/>
      <c r="BF25" s="58">
        <v>0</v>
      </c>
      <c r="BG25" s="101">
        <v>44753</v>
      </c>
      <c r="BH25" s="14" t="s">
        <v>31</v>
      </c>
      <c r="BI25" s="101">
        <v>44768</v>
      </c>
      <c r="BJ25" s="57">
        <v>1391868</v>
      </c>
      <c r="BK25" s="57">
        <f>BB25-BJ25</f>
        <v>0</v>
      </c>
      <c r="BL25" s="57"/>
      <c r="BM25" s="57"/>
      <c r="BN25" s="58">
        <v>0</v>
      </c>
      <c r="BO25" s="101">
        <v>44785</v>
      </c>
      <c r="BP25" s="14" t="s">
        <v>31</v>
      </c>
      <c r="BQ25" s="14"/>
      <c r="BR25" s="57"/>
      <c r="BS25" s="57"/>
      <c r="BT25" s="57"/>
      <c r="BU25" s="57"/>
      <c r="BV25" s="58"/>
      <c r="BW25" s="101"/>
      <c r="BX25" s="14"/>
      <c r="BY25" s="14"/>
      <c r="BZ25" s="57"/>
      <c r="CA25" s="57"/>
      <c r="CB25" s="57"/>
      <c r="CC25" s="57"/>
      <c r="CD25" s="58"/>
      <c r="CE25" s="101"/>
      <c r="CF25" s="14"/>
      <c r="CG25" s="14"/>
      <c r="CH25" s="57"/>
      <c r="CI25" s="57"/>
      <c r="CJ25" s="57"/>
      <c r="CK25" s="57"/>
      <c r="CL25" s="58"/>
      <c r="CM25" s="101"/>
      <c r="CN25" s="14"/>
      <c r="CO25" s="14"/>
      <c r="CP25" s="57"/>
      <c r="CQ25" s="57"/>
      <c r="CR25" s="57"/>
      <c r="CS25" s="57"/>
      <c r="CT25" s="58"/>
      <c r="CU25" s="101"/>
      <c r="CV25" s="14"/>
      <c r="CW25" s="14"/>
    </row>
    <row r="26" spans="1:101" hidden="1" x14ac:dyDescent="0.35">
      <c r="A26" s="1" t="s">
        <v>147</v>
      </c>
      <c r="B26" s="26" t="s">
        <v>608</v>
      </c>
      <c r="C26" s="15">
        <v>6776</v>
      </c>
      <c r="D26" s="22">
        <v>204984</v>
      </c>
      <c r="E26" s="18" t="s">
        <v>609</v>
      </c>
      <c r="F26" s="19" t="s">
        <v>610</v>
      </c>
      <c r="G26" s="39">
        <v>1638420</v>
      </c>
      <c r="H26" s="39">
        <v>1551239</v>
      </c>
      <c r="I26" s="57">
        <f>878191+673048</f>
        <v>1551239</v>
      </c>
      <c r="J26" s="8">
        <f>H26-I26</f>
        <v>0</v>
      </c>
      <c r="K26" s="14"/>
      <c r="L26" s="58">
        <v>0</v>
      </c>
      <c r="M26" s="3" t="s">
        <v>31</v>
      </c>
      <c r="N26" s="123">
        <v>44566</v>
      </c>
      <c r="O26" s="20"/>
      <c r="P26" s="57">
        <f>878191+673048</f>
        <v>1551239</v>
      </c>
      <c r="Q26" s="8">
        <f t="shared" si="7"/>
        <v>0</v>
      </c>
      <c r="R26" s="14"/>
      <c r="S26" s="58">
        <v>0</v>
      </c>
      <c r="T26" s="131">
        <v>44594</v>
      </c>
      <c r="U26" s="14" t="s">
        <v>31</v>
      </c>
      <c r="V26" s="20"/>
      <c r="W26" s="57">
        <f>710874+927546</f>
        <v>1638420</v>
      </c>
      <c r="X26" s="57">
        <f t="shared" si="10"/>
        <v>-87181</v>
      </c>
      <c r="Y26" s="14"/>
      <c r="Z26" s="58">
        <f>X26/P26</f>
        <v>-5.6200882004642738E-2</v>
      </c>
      <c r="AA26" s="101">
        <v>44643</v>
      </c>
      <c r="AB26" s="14" t="s">
        <v>31</v>
      </c>
      <c r="AC26" s="20"/>
      <c r="AD26" s="57">
        <v>710874</v>
      </c>
      <c r="AE26" s="57"/>
      <c r="AF26" s="57"/>
      <c r="AG26" s="57"/>
      <c r="AH26" s="57"/>
      <c r="AI26" s="120">
        <v>44656</v>
      </c>
      <c r="AJ26" s="57" t="s">
        <v>31</v>
      </c>
      <c r="AK26" s="14"/>
      <c r="AL26" s="57">
        <f>927546+710874</f>
        <v>1638420</v>
      </c>
      <c r="AM26" s="57">
        <f>W26-AL26</f>
        <v>0</v>
      </c>
      <c r="AN26" s="57"/>
      <c r="AO26" s="57"/>
      <c r="AP26" s="58">
        <v>0</v>
      </c>
      <c r="AQ26" s="101">
        <v>44683</v>
      </c>
      <c r="AR26" s="14" t="s">
        <v>31</v>
      </c>
      <c r="AS26" s="14"/>
      <c r="AT26" s="57">
        <f>927546+710874</f>
        <v>1638420</v>
      </c>
      <c r="AU26" s="57">
        <f t="shared" si="9"/>
        <v>0</v>
      </c>
      <c r="AV26" s="57"/>
      <c r="AW26" s="57"/>
      <c r="AX26" s="58">
        <v>0</v>
      </c>
      <c r="AY26" s="120">
        <v>44725</v>
      </c>
      <c r="AZ26" s="57" t="s">
        <v>31</v>
      </c>
      <c r="BA26" s="120">
        <v>44755</v>
      </c>
      <c r="BB26" s="57">
        <f>710874+927546</f>
        <v>1638420</v>
      </c>
      <c r="BC26" s="57">
        <f t="shared" ref="BC26:BC33" si="11">AT26-BB26</f>
        <v>0</v>
      </c>
      <c r="BD26" s="57"/>
      <c r="BE26" s="57"/>
      <c r="BF26" s="58">
        <v>0</v>
      </c>
      <c r="BG26" s="101">
        <v>44743</v>
      </c>
      <c r="BH26" s="14" t="s">
        <v>31</v>
      </c>
      <c r="BI26" s="101">
        <v>44757</v>
      </c>
      <c r="BJ26" s="57">
        <f>710874+927546</f>
        <v>1638420</v>
      </c>
      <c r="BK26" s="57">
        <f t="shared" ref="BK26:BK33" si="12">BB26-BJ26</f>
        <v>0</v>
      </c>
      <c r="BL26" s="57"/>
      <c r="BM26" s="57"/>
      <c r="BN26" s="58">
        <v>0</v>
      </c>
      <c r="BO26" s="101">
        <v>44776</v>
      </c>
      <c r="BP26" s="14" t="s">
        <v>31</v>
      </c>
      <c r="BQ26" s="14"/>
      <c r="BR26" s="57"/>
      <c r="BS26" s="57"/>
      <c r="BT26" s="57"/>
      <c r="BU26" s="57"/>
      <c r="BV26" s="58"/>
      <c r="BW26" s="101"/>
      <c r="BX26" s="14"/>
      <c r="BY26" s="14"/>
      <c r="BZ26" s="57"/>
      <c r="CA26" s="57"/>
      <c r="CB26" s="57"/>
      <c r="CC26" s="57"/>
      <c r="CD26" s="58"/>
      <c r="CE26" s="101"/>
      <c r="CF26" s="14"/>
      <c r="CG26" s="14"/>
      <c r="CH26" s="57"/>
      <c r="CI26" s="57"/>
      <c r="CJ26" s="57"/>
      <c r="CK26" s="57"/>
      <c r="CL26" s="58"/>
      <c r="CM26" s="101"/>
      <c r="CN26" s="14"/>
      <c r="CO26" s="14"/>
      <c r="CP26" s="57"/>
      <c r="CQ26" s="57"/>
      <c r="CR26" s="57"/>
      <c r="CS26" s="57"/>
      <c r="CT26" s="58"/>
      <c r="CU26" s="101"/>
      <c r="CV26" s="14"/>
      <c r="CW26" s="14"/>
    </row>
    <row r="27" spans="1:101" hidden="1" x14ac:dyDescent="0.35">
      <c r="A27" s="1" t="s">
        <v>152</v>
      </c>
      <c r="B27" s="26" t="s">
        <v>611</v>
      </c>
      <c r="C27" s="15">
        <v>8580</v>
      </c>
      <c r="D27" s="22">
        <v>205547</v>
      </c>
      <c r="E27" s="18" t="s">
        <v>208</v>
      </c>
      <c r="F27" s="19" t="s">
        <v>612</v>
      </c>
      <c r="G27" s="39">
        <v>1938574</v>
      </c>
      <c r="H27" s="39">
        <v>1809722</v>
      </c>
      <c r="I27" s="57">
        <v>1809722</v>
      </c>
      <c r="J27" s="8">
        <f>H27-I27</f>
        <v>0</v>
      </c>
      <c r="K27" s="14"/>
      <c r="L27" s="58">
        <v>0</v>
      </c>
      <c r="M27" s="3" t="s">
        <v>31</v>
      </c>
      <c r="N27" s="123">
        <v>44566</v>
      </c>
      <c r="O27" s="20"/>
      <c r="P27" s="57">
        <v>2067426</v>
      </c>
      <c r="Q27" s="8">
        <f t="shared" si="7"/>
        <v>-257704</v>
      </c>
      <c r="R27" s="14"/>
      <c r="S27" s="58">
        <f>Q27/I27</f>
        <v>-0.14239977189866732</v>
      </c>
      <c r="T27" s="101">
        <v>44595</v>
      </c>
      <c r="U27" s="14" t="s">
        <v>31</v>
      </c>
      <c r="V27" s="20"/>
      <c r="W27" s="57">
        <v>1938574</v>
      </c>
      <c r="X27" s="57">
        <f t="shared" si="10"/>
        <v>128852</v>
      </c>
      <c r="Y27" s="14"/>
      <c r="Z27" s="58">
        <f>X27/P27</f>
        <v>6.2324842582031956E-2</v>
      </c>
      <c r="AA27" s="131">
        <v>44622</v>
      </c>
      <c r="AB27" s="14" t="s">
        <v>31</v>
      </c>
      <c r="AC27" s="20"/>
      <c r="AD27" s="57">
        <v>1938574</v>
      </c>
      <c r="AE27" s="57">
        <f>W27-AD27</f>
        <v>0</v>
      </c>
      <c r="AF27" s="57"/>
      <c r="AG27" s="57"/>
      <c r="AH27" s="58">
        <v>0</v>
      </c>
      <c r="AI27" s="120">
        <v>44659</v>
      </c>
      <c r="AJ27" s="57" t="s">
        <v>31</v>
      </c>
      <c r="AK27" s="14"/>
      <c r="AL27" s="57">
        <f>1027118+911456</f>
        <v>1938574</v>
      </c>
      <c r="AM27" s="8">
        <f t="shared" ref="AM27:AM33" si="13">AD27-AL27</f>
        <v>0</v>
      </c>
      <c r="AN27" s="14"/>
      <c r="AO27" s="14"/>
      <c r="AP27" s="58">
        <v>0</v>
      </c>
      <c r="AQ27" s="101">
        <v>44686</v>
      </c>
      <c r="AR27" s="14" t="s">
        <v>31</v>
      </c>
      <c r="AS27" s="14"/>
      <c r="AT27" s="57">
        <v>1938574</v>
      </c>
      <c r="AU27" s="57">
        <f>AL27-AT27</f>
        <v>0</v>
      </c>
      <c r="AV27" s="57"/>
      <c r="AW27" s="57"/>
      <c r="AX27" s="58">
        <v>0</v>
      </c>
      <c r="AY27" s="120">
        <v>44734</v>
      </c>
      <c r="AZ27" s="57" t="s">
        <v>31</v>
      </c>
      <c r="BA27" s="120">
        <v>44753</v>
      </c>
      <c r="BB27" s="57">
        <v>1938574</v>
      </c>
      <c r="BC27" s="57">
        <f t="shared" si="11"/>
        <v>0</v>
      </c>
      <c r="BD27" s="57"/>
      <c r="BE27" s="57"/>
      <c r="BF27" s="58">
        <v>0</v>
      </c>
      <c r="BG27" s="101">
        <v>44749</v>
      </c>
      <c r="BH27" s="14" t="s">
        <v>31</v>
      </c>
      <c r="BI27" s="101">
        <v>44768</v>
      </c>
      <c r="BJ27" s="57">
        <v>1938574</v>
      </c>
      <c r="BK27" s="57">
        <f t="shared" si="12"/>
        <v>0</v>
      </c>
      <c r="BL27" s="57"/>
      <c r="BM27" s="57"/>
      <c r="BN27" s="58">
        <v>0</v>
      </c>
      <c r="BO27" s="101">
        <v>44775</v>
      </c>
      <c r="BP27" s="14" t="s">
        <v>31</v>
      </c>
      <c r="BQ27" s="14"/>
      <c r="BR27" s="57"/>
      <c r="BS27" s="57"/>
      <c r="BT27" s="57"/>
      <c r="BU27" s="57"/>
      <c r="BV27" s="58"/>
      <c r="BW27" s="101"/>
      <c r="BX27" s="14"/>
      <c r="BY27" s="14"/>
      <c r="BZ27" s="57"/>
      <c r="CA27" s="57"/>
      <c r="CB27" s="57"/>
      <c r="CC27" s="57"/>
      <c r="CD27" s="58"/>
      <c r="CE27" s="101"/>
      <c r="CF27" s="14"/>
      <c r="CG27" s="14"/>
      <c r="CH27" s="57"/>
      <c r="CI27" s="57"/>
      <c r="CJ27" s="57"/>
      <c r="CK27" s="57"/>
      <c r="CL27" s="58"/>
      <c r="CM27" s="101"/>
      <c r="CN27" s="14"/>
      <c r="CO27" s="14"/>
      <c r="CP27" s="57"/>
      <c r="CQ27" s="57"/>
      <c r="CR27" s="57"/>
      <c r="CS27" s="57"/>
      <c r="CT27" s="58"/>
      <c r="CU27" s="101"/>
      <c r="CV27" s="14"/>
      <c r="CW27" s="14"/>
    </row>
    <row r="28" spans="1:101" hidden="1" x14ac:dyDescent="0.35">
      <c r="A28" s="1" t="s">
        <v>156</v>
      </c>
      <c r="B28" s="26" t="s">
        <v>613</v>
      </c>
      <c r="C28" s="15">
        <v>8581</v>
      </c>
      <c r="D28" s="22">
        <v>204996</v>
      </c>
      <c r="E28" s="18" t="s">
        <v>159</v>
      </c>
      <c r="F28" s="19" t="s">
        <v>614</v>
      </c>
      <c r="G28" s="39">
        <v>1412233</v>
      </c>
      <c r="H28" s="39">
        <v>999800</v>
      </c>
      <c r="I28" s="57">
        <v>999800</v>
      </c>
      <c r="J28" s="57">
        <f>G28-I28</f>
        <v>412433</v>
      </c>
      <c r="K28" s="14"/>
      <c r="L28" s="58">
        <f>J28/G28</f>
        <v>0.29204316851397749</v>
      </c>
      <c r="M28" s="3" t="s">
        <v>31</v>
      </c>
      <c r="N28" s="123">
        <v>44565</v>
      </c>
      <c r="O28" s="20"/>
      <c r="P28" s="8">
        <v>999800</v>
      </c>
      <c r="Q28" s="8">
        <f t="shared" si="7"/>
        <v>0</v>
      </c>
      <c r="R28" s="14"/>
      <c r="S28" s="58">
        <v>0</v>
      </c>
      <c r="T28" s="101">
        <v>44594</v>
      </c>
      <c r="U28" s="14" t="s">
        <v>31</v>
      </c>
      <c r="V28" s="20"/>
      <c r="W28" s="57">
        <v>999800</v>
      </c>
      <c r="X28" s="57">
        <f t="shared" si="10"/>
        <v>0</v>
      </c>
      <c r="Y28" s="14"/>
      <c r="Z28" s="58">
        <v>0</v>
      </c>
      <c r="AA28" s="101">
        <v>44622</v>
      </c>
      <c r="AB28" s="14" t="s">
        <v>31</v>
      </c>
      <c r="AC28" s="20"/>
      <c r="AD28" s="57">
        <v>999800</v>
      </c>
      <c r="AE28" s="57">
        <f>W28-AD28</f>
        <v>0</v>
      </c>
      <c r="AF28" s="57"/>
      <c r="AG28" s="57"/>
      <c r="AH28" s="58">
        <v>0</v>
      </c>
      <c r="AI28" s="120">
        <v>44658</v>
      </c>
      <c r="AJ28" s="57" t="s">
        <v>31</v>
      </c>
      <c r="AK28" s="14"/>
      <c r="AL28" s="57">
        <v>999800</v>
      </c>
      <c r="AM28" s="57">
        <f t="shared" si="13"/>
        <v>0</v>
      </c>
      <c r="AN28" s="57"/>
      <c r="AO28" s="57"/>
      <c r="AP28" s="58">
        <v>0</v>
      </c>
      <c r="AQ28" s="101">
        <v>44683</v>
      </c>
      <c r="AR28" s="14" t="s">
        <v>31</v>
      </c>
      <c r="AS28" s="14"/>
      <c r="AT28" s="57">
        <v>999800</v>
      </c>
      <c r="AU28" s="57">
        <f t="shared" ref="AU28:AU33" si="14">AL28-AT28</f>
        <v>0</v>
      </c>
      <c r="AV28" s="57"/>
      <c r="AW28" s="57"/>
      <c r="AX28" s="58">
        <v>0</v>
      </c>
      <c r="AY28" s="120">
        <v>44715</v>
      </c>
      <c r="AZ28" s="57" t="s">
        <v>31</v>
      </c>
      <c r="BA28" s="120">
        <v>44728</v>
      </c>
      <c r="BB28" s="57">
        <v>999800</v>
      </c>
      <c r="BC28" s="57">
        <f t="shared" si="11"/>
        <v>0</v>
      </c>
      <c r="BD28" s="57"/>
      <c r="BE28" s="57"/>
      <c r="BF28" s="58">
        <v>0</v>
      </c>
      <c r="BG28" s="101">
        <v>44743</v>
      </c>
      <c r="BH28" s="14" t="s">
        <v>31</v>
      </c>
      <c r="BI28" s="101">
        <v>44757</v>
      </c>
      <c r="BJ28" s="57">
        <v>999800</v>
      </c>
      <c r="BK28" s="57">
        <f t="shared" si="12"/>
        <v>0</v>
      </c>
      <c r="BL28" s="57"/>
      <c r="BM28" s="57"/>
      <c r="BN28" s="58">
        <v>0</v>
      </c>
      <c r="BO28" s="101">
        <v>44775</v>
      </c>
      <c r="BP28" s="14" t="s">
        <v>31</v>
      </c>
      <c r="BQ28" s="14"/>
      <c r="BR28" s="57"/>
      <c r="BS28" s="57"/>
      <c r="BT28" s="57"/>
      <c r="BU28" s="57"/>
      <c r="BV28" s="58"/>
      <c r="BW28" s="101"/>
      <c r="BX28" s="14"/>
      <c r="BY28" s="14"/>
      <c r="BZ28" s="57"/>
      <c r="CA28" s="57"/>
      <c r="CB28" s="57"/>
      <c r="CC28" s="57"/>
      <c r="CD28" s="58"/>
      <c r="CE28" s="101"/>
      <c r="CF28" s="14"/>
      <c r="CG28" s="14"/>
      <c r="CH28" s="57"/>
      <c r="CI28" s="57"/>
      <c r="CJ28" s="57"/>
      <c r="CK28" s="57"/>
      <c r="CL28" s="58"/>
      <c r="CM28" s="101"/>
      <c r="CN28" s="14"/>
      <c r="CO28" s="14"/>
      <c r="CP28" s="57"/>
      <c r="CQ28" s="57"/>
      <c r="CR28" s="57"/>
      <c r="CS28" s="57"/>
      <c r="CT28" s="58"/>
      <c r="CU28" s="101"/>
      <c r="CV28" s="14"/>
      <c r="CW28" s="14"/>
    </row>
    <row r="29" spans="1:101" hidden="1" x14ac:dyDescent="0.35">
      <c r="A29" s="1" t="s">
        <v>161</v>
      </c>
      <c r="B29" s="26" t="s">
        <v>615</v>
      </c>
      <c r="C29" s="15">
        <v>8582</v>
      </c>
      <c r="D29" s="22">
        <v>205022</v>
      </c>
      <c r="E29" s="18" t="s">
        <v>616</v>
      </c>
      <c r="F29" s="19" t="s">
        <v>617</v>
      </c>
      <c r="G29" s="88">
        <v>1453268</v>
      </c>
      <c r="H29" s="39">
        <v>1375940</v>
      </c>
      <c r="I29" s="88">
        <v>1453268</v>
      </c>
      <c r="J29" s="88">
        <f>H29-I29</f>
        <v>-77328</v>
      </c>
      <c r="K29" s="14"/>
      <c r="L29" s="58">
        <f t="shared" ref="L29:L34" si="15">J29/H29</f>
        <v>-5.6200125005450817E-2</v>
      </c>
      <c r="M29" s="3" t="s">
        <v>31</v>
      </c>
      <c r="N29" s="123">
        <v>44574</v>
      </c>
      <c r="O29" s="20"/>
      <c r="P29" s="8">
        <v>1453268</v>
      </c>
      <c r="Q29" s="8">
        <f t="shared" si="7"/>
        <v>0</v>
      </c>
      <c r="R29" s="14"/>
      <c r="S29" s="58">
        <v>0</v>
      </c>
      <c r="T29" s="101">
        <v>44600</v>
      </c>
      <c r="U29" s="14" t="s">
        <v>31</v>
      </c>
      <c r="V29" s="20"/>
      <c r="W29" s="57">
        <v>1453268</v>
      </c>
      <c r="X29" s="57">
        <f t="shared" si="10"/>
        <v>0</v>
      </c>
      <c r="Y29" s="14"/>
      <c r="Z29" s="58">
        <v>0</v>
      </c>
      <c r="AA29" s="131">
        <v>44628</v>
      </c>
      <c r="AB29" s="14" t="s">
        <v>31</v>
      </c>
      <c r="AC29" s="20"/>
      <c r="AD29" s="57">
        <v>1453268</v>
      </c>
      <c r="AE29" s="57">
        <f>W29-AD29</f>
        <v>0</v>
      </c>
      <c r="AF29" s="57"/>
      <c r="AG29" s="57"/>
      <c r="AH29" s="58">
        <v>0</v>
      </c>
      <c r="AI29" s="120">
        <v>44659</v>
      </c>
      <c r="AJ29" s="57" t="s">
        <v>31</v>
      </c>
      <c r="AK29" s="14"/>
      <c r="AL29" s="57">
        <v>1453268</v>
      </c>
      <c r="AM29" s="57">
        <f t="shared" si="13"/>
        <v>0</v>
      </c>
      <c r="AN29" s="57"/>
      <c r="AO29" s="57"/>
      <c r="AP29" s="58">
        <v>0</v>
      </c>
      <c r="AQ29" s="101">
        <v>44687</v>
      </c>
      <c r="AR29" s="14" t="s">
        <v>31</v>
      </c>
      <c r="AS29" s="14"/>
      <c r="AT29" s="57">
        <v>1453268</v>
      </c>
      <c r="AU29" s="57">
        <f t="shared" si="14"/>
        <v>0</v>
      </c>
      <c r="AV29" s="57"/>
      <c r="AW29" s="57"/>
      <c r="AX29" s="58">
        <v>0</v>
      </c>
      <c r="AY29" s="120">
        <v>44719</v>
      </c>
      <c r="AZ29" s="57" t="s">
        <v>31</v>
      </c>
      <c r="BA29" s="120">
        <v>44728</v>
      </c>
      <c r="BB29" s="57">
        <v>1453268</v>
      </c>
      <c r="BC29" s="57">
        <f t="shared" si="11"/>
        <v>0</v>
      </c>
      <c r="BD29" s="57"/>
      <c r="BE29" s="57"/>
      <c r="BF29" s="58">
        <v>0</v>
      </c>
      <c r="BG29" s="101">
        <v>44750</v>
      </c>
      <c r="BH29" s="14" t="s">
        <v>31</v>
      </c>
      <c r="BI29" s="101">
        <v>44768</v>
      </c>
      <c r="BJ29" s="57">
        <v>1453268</v>
      </c>
      <c r="BK29" s="57">
        <f t="shared" si="12"/>
        <v>0</v>
      </c>
      <c r="BL29" s="57"/>
      <c r="BM29" s="57"/>
      <c r="BN29" s="58">
        <v>0</v>
      </c>
      <c r="BO29" s="101">
        <v>44778</v>
      </c>
      <c r="BP29" s="14" t="s">
        <v>31</v>
      </c>
      <c r="BQ29" s="14"/>
      <c r="BR29" s="57"/>
      <c r="BS29" s="57"/>
      <c r="BT29" s="57"/>
      <c r="BU29" s="57"/>
      <c r="BV29" s="58"/>
      <c r="BW29" s="101"/>
      <c r="BX29" s="14"/>
      <c r="BY29" s="14"/>
      <c r="BZ29" s="57"/>
      <c r="CA29" s="57"/>
      <c r="CB29" s="57"/>
      <c r="CC29" s="57"/>
      <c r="CD29" s="58"/>
      <c r="CE29" s="101"/>
      <c r="CF29" s="14"/>
      <c r="CG29" s="14"/>
      <c r="CH29" s="57"/>
      <c r="CI29" s="57"/>
      <c r="CJ29" s="57"/>
      <c r="CK29" s="57"/>
      <c r="CL29" s="58"/>
      <c r="CM29" s="101"/>
      <c r="CN29" s="14"/>
      <c r="CO29" s="14"/>
      <c r="CP29" s="57"/>
      <c r="CQ29" s="57"/>
      <c r="CR29" s="57"/>
      <c r="CS29" s="57"/>
      <c r="CT29" s="58"/>
      <c r="CU29" s="101"/>
      <c r="CV29" s="14"/>
      <c r="CW29" s="14"/>
    </row>
    <row r="30" spans="1:101" hidden="1" x14ac:dyDescent="0.35">
      <c r="A30" s="1" t="s">
        <v>166</v>
      </c>
      <c r="B30" s="26" t="s">
        <v>618</v>
      </c>
      <c r="C30" s="15">
        <v>8583</v>
      </c>
      <c r="D30" s="22">
        <v>206169</v>
      </c>
      <c r="E30" s="18" t="s">
        <v>619</v>
      </c>
      <c r="F30" s="19" t="s">
        <v>620</v>
      </c>
      <c r="G30" s="57">
        <v>1503077</v>
      </c>
      <c r="H30" s="39">
        <v>1423099</v>
      </c>
      <c r="I30" s="57">
        <v>1503077</v>
      </c>
      <c r="J30" s="8">
        <f>H30-I30</f>
        <v>-79978</v>
      </c>
      <c r="K30" s="14"/>
      <c r="L30" s="58">
        <f t="shared" si="15"/>
        <v>-5.6199884899082918E-2</v>
      </c>
      <c r="M30" s="3" t="s">
        <v>31</v>
      </c>
      <c r="N30" s="123">
        <v>44568</v>
      </c>
      <c r="O30" s="20"/>
      <c r="P30" s="57">
        <v>1503077</v>
      </c>
      <c r="Q30" s="8">
        <f t="shared" si="7"/>
        <v>0</v>
      </c>
      <c r="R30" s="14"/>
      <c r="S30" s="58">
        <v>0</v>
      </c>
      <c r="T30" s="131">
        <v>44588</v>
      </c>
      <c r="U30" s="14" t="s">
        <v>31</v>
      </c>
      <c r="V30" s="20"/>
      <c r="W30" s="57">
        <v>1503077</v>
      </c>
      <c r="X30" s="57">
        <f t="shared" ref="X30:X38" si="16">P30-W30</f>
        <v>0</v>
      </c>
      <c r="Y30" s="57"/>
      <c r="Z30" s="58">
        <v>0</v>
      </c>
      <c r="AA30" s="131">
        <v>44620</v>
      </c>
      <c r="AB30" s="14" t="s">
        <v>31</v>
      </c>
      <c r="AC30" s="20"/>
      <c r="AD30" s="57">
        <v>1503077</v>
      </c>
      <c r="AE30" s="57">
        <f>W30-AD30</f>
        <v>0</v>
      </c>
      <c r="AF30" s="57"/>
      <c r="AG30" s="57"/>
      <c r="AH30" s="58">
        <v>0</v>
      </c>
      <c r="AI30" s="120">
        <v>44645</v>
      </c>
      <c r="AJ30" s="57" t="s">
        <v>31</v>
      </c>
      <c r="AK30" s="14"/>
      <c r="AL30" s="57">
        <v>1503077</v>
      </c>
      <c r="AM30" s="57">
        <f t="shared" si="13"/>
        <v>0</v>
      </c>
      <c r="AN30" s="57"/>
      <c r="AO30" s="57"/>
      <c r="AP30" s="58">
        <v>0</v>
      </c>
      <c r="AQ30" s="101">
        <v>44677</v>
      </c>
      <c r="AR30" s="14" t="s">
        <v>31</v>
      </c>
      <c r="AS30" s="14"/>
      <c r="AT30" s="57">
        <v>1503077</v>
      </c>
      <c r="AU30" s="57">
        <f t="shared" si="14"/>
        <v>0</v>
      </c>
      <c r="AV30" s="57"/>
      <c r="AW30" s="57"/>
      <c r="AX30" s="58">
        <v>0</v>
      </c>
      <c r="AY30" s="120">
        <v>44712</v>
      </c>
      <c r="AZ30" s="57" t="s">
        <v>31</v>
      </c>
      <c r="BA30" s="120">
        <v>44728</v>
      </c>
      <c r="BB30" s="57">
        <v>1503077</v>
      </c>
      <c r="BC30" s="57">
        <f t="shared" si="11"/>
        <v>0</v>
      </c>
      <c r="BD30" s="57"/>
      <c r="BE30" s="57"/>
      <c r="BF30" s="58">
        <v>0</v>
      </c>
      <c r="BG30" s="101">
        <v>44741</v>
      </c>
      <c r="BH30" s="14" t="s">
        <v>31</v>
      </c>
      <c r="BI30" s="101">
        <v>44757</v>
      </c>
      <c r="BJ30" s="57">
        <v>1503077</v>
      </c>
      <c r="BK30" s="57">
        <f t="shared" si="12"/>
        <v>0</v>
      </c>
      <c r="BL30" s="57"/>
      <c r="BM30" s="57"/>
      <c r="BN30" s="58">
        <v>0</v>
      </c>
      <c r="BO30" s="101">
        <v>44774</v>
      </c>
      <c r="BP30" s="14" t="s">
        <v>31</v>
      </c>
      <c r="BQ30" s="14"/>
      <c r="BR30" s="57"/>
      <c r="BS30" s="57"/>
      <c r="BT30" s="57"/>
      <c r="BU30" s="57"/>
      <c r="BV30" s="58"/>
      <c r="BW30" s="101"/>
      <c r="BX30" s="14"/>
      <c r="BY30" s="14"/>
      <c r="BZ30" s="57"/>
      <c r="CA30" s="57"/>
      <c r="CB30" s="57"/>
      <c r="CC30" s="57"/>
      <c r="CD30" s="58"/>
      <c r="CE30" s="101"/>
      <c r="CF30" s="14"/>
      <c r="CG30" s="14"/>
      <c r="CH30" s="57"/>
      <c r="CI30" s="57"/>
      <c r="CJ30" s="57"/>
      <c r="CK30" s="57"/>
      <c r="CL30" s="58"/>
      <c r="CM30" s="101"/>
      <c r="CN30" s="14"/>
      <c r="CO30" s="14"/>
      <c r="CP30" s="57"/>
      <c r="CQ30" s="57"/>
      <c r="CR30" s="57"/>
      <c r="CS30" s="57"/>
      <c r="CT30" s="58"/>
      <c r="CU30" s="101"/>
      <c r="CV30" s="14"/>
      <c r="CW30" s="14"/>
    </row>
    <row r="31" spans="1:101" hidden="1" x14ac:dyDescent="0.35">
      <c r="A31" s="1" t="s">
        <v>172</v>
      </c>
      <c r="B31" s="26" t="s">
        <v>621</v>
      </c>
      <c r="C31" s="15">
        <v>8584</v>
      </c>
      <c r="D31" s="22">
        <v>206207</v>
      </c>
      <c r="E31" s="18" t="s">
        <v>622</v>
      </c>
      <c r="F31" s="19" t="s">
        <v>623</v>
      </c>
      <c r="G31" s="57">
        <v>1114018</v>
      </c>
      <c r="H31" s="39">
        <v>1012849</v>
      </c>
      <c r="I31" s="57">
        <v>1069771</v>
      </c>
      <c r="J31" s="8">
        <f>I31-H31</f>
        <v>56922</v>
      </c>
      <c r="K31" s="14"/>
      <c r="L31" s="58">
        <f t="shared" si="15"/>
        <v>5.6199887643666527E-2</v>
      </c>
      <c r="M31" s="3" t="s">
        <v>31</v>
      </c>
      <c r="N31" s="123">
        <v>44568</v>
      </c>
      <c r="O31" s="20"/>
      <c r="P31" s="57">
        <v>1069771</v>
      </c>
      <c r="Q31" s="8">
        <f t="shared" si="7"/>
        <v>0</v>
      </c>
      <c r="R31" s="14"/>
      <c r="S31" s="58">
        <v>0</v>
      </c>
      <c r="T31" s="131">
        <v>44594</v>
      </c>
      <c r="U31" s="14" t="s">
        <v>31</v>
      </c>
      <c r="V31" s="20"/>
      <c r="W31" s="57">
        <v>1069771</v>
      </c>
      <c r="X31" s="57">
        <f t="shared" si="16"/>
        <v>0</v>
      </c>
      <c r="Y31" s="8"/>
      <c r="Z31" s="58">
        <v>0</v>
      </c>
      <c r="AA31" s="131">
        <v>44622</v>
      </c>
      <c r="AB31" s="14" t="s">
        <v>31</v>
      </c>
      <c r="AC31" s="20"/>
      <c r="AD31" s="57">
        <v>1114018</v>
      </c>
      <c r="AE31" s="57"/>
      <c r="AF31" s="57">
        <f>W31-AD31</f>
        <v>-44247</v>
      </c>
      <c r="AG31" s="57"/>
      <c r="AH31" s="58">
        <f>AF31/W31</f>
        <v>-4.1361188516046893E-2</v>
      </c>
      <c r="AI31" s="120">
        <v>44676</v>
      </c>
      <c r="AJ31" s="57" t="s">
        <v>31</v>
      </c>
      <c r="AK31" s="14"/>
      <c r="AL31" s="57">
        <v>1114018</v>
      </c>
      <c r="AM31" s="57">
        <f t="shared" si="13"/>
        <v>0</v>
      </c>
      <c r="AN31" s="57"/>
      <c r="AO31" s="57"/>
      <c r="AP31" s="58">
        <v>0</v>
      </c>
      <c r="AQ31" s="101">
        <v>44704</v>
      </c>
      <c r="AR31" s="14" t="s">
        <v>31</v>
      </c>
      <c r="AS31" s="14"/>
      <c r="AT31" s="57">
        <v>1114018</v>
      </c>
      <c r="AU31" s="57">
        <f t="shared" si="14"/>
        <v>0</v>
      </c>
      <c r="AV31" s="57"/>
      <c r="AW31" s="57"/>
      <c r="AX31" s="58">
        <v>0</v>
      </c>
      <c r="AY31" s="120">
        <v>44713</v>
      </c>
      <c r="AZ31" s="57" t="s">
        <v>31</v>
      </c>
      <c r="BA31" s="120">
        <v>44728</v>
      </c>
      <c r="BB31" s="57">
        <v>1114018</v>
      </c>
      <c r="BC31" s="57">
        <f t="shared" si="11"/>
        <v>0</v>
      </c>
      <c r="BD31" s="57"/>
      <c r="BE31" s="57"/>
      <c r="BF31" s="58">
        <v>0</v>
      </c>
      <c r="BG31" s="101">
        <v>44750</v>
      </c>
      <c r="BH31" s="14" t="s">
        <v>31</v>
      </c>
      <c r="BI31" s="101">
        <v>44768</v>
      </c>
      <c r="BJ31" s="57">
        <v>1114018</v>
      </c>
      <c r="BK31" s="57">
        <f t="shared" si="12"/>
        <v>0</v>
      </c>
      <c r="BL31" s="57"/>
      <c r="BM31" s="57"/>
      <c r="BN31" s="58">
        <v>0</v>
      </c>
      <c r="BO31" s="101">
        <v>44778</v>
      </c>
      <c r="BP31" s="14" t="s">
        <v>31</v>
      </c>
      <c r="BQ31" s="14"/>
      <c r="BR31" s="57"/>
      <c r="BS31" s="57"/>
      <c r="BT31" s="57"/>
      <c r="BU31" s="57"/>
      <c r="BV31" s="58"/>
      <c r="BW31" s="101"/>
      <c r="BX31" s="14"/>
      <c r="BY31" s="14"/>
      <c r="BZ31" s="57"/>
      <c r="CA31" s="57"/>
      <c r="CB31" s="57"/>
      <c r="CC31" s="57"/>
      <c r="CD31" s="58"/>
      <c r="CE31" s="101"/>
      <c r="CF31" s="14"/>
      <c r="CG31" s="14"/>
      <c r="CH31" s="57"/>
      <c r="CI31" s="57"/>
      <c r="CJ31" s="57"/>
      <c r="CK31" s="57"/>
      <c r="CL31" s="58"/>
      <c r="CM31" s="101"/>
      <c r="CN31" s="14"/>
      <c r="CO31" s="14"/>
      <c r="CP31" s="57"/>
      <c r="CQ31" s="57"/>
      <c r="CR31" s="57"/>
      <c r="CS31" s="57"/>
      <c r="CT31" s="58"/>
      <c r="CU31" s="101"/>
      <c r="CV31" s="14"/>
      <c r="CW31" s="14"/>
    </row>
    <row r="32" spans="1:101" hidden="1" x14ac:dyDescent="0.35">
      <c r="A32" s="1" t="s">
        <v>177</v>
      </c>
      <c r="B32" s="26" t="s">
        <v>624</v>
      </c>
      <c r="C32" s="15">
        <v>8585</v>
      </c>
      <c r="D32" s="22">
        <v>205016</v>
      </c>
      <c r="E32" s="18" t="s">
        <v>625</v>
      </c>
      <c r="F32" s="19" t="s">
        <v>626</v>
      </c>
      <c r="G32" s="57">
        <v>1822722</v>
      </c>
      <c r="H32" s="39">
        <v>1698391</v>
      </c>
      <c r="I32" s="57">
        <v>1725735</v>
      </c>
      <c r="J32" s="8">
        <f>I32-H32</f>
        <v>27344</v>
      </c>
      <c r="K32" s="14"/>
      <c r="L32" s="58">
        <f t="shared" si="15"/>
        <v>1.6099944005826691E-2</v>
      </c>
      <c r="M32" s="3" t="s">
        <v>31</v>
      </c>
      <c r="N32" s="123">
        <v>44568</v>
      </c>
      <c r="O32" s="20"/>
      <c r="P32" s="57">
        <v>1777461</v>
      </c>
      <c r="Q32" s="8">
        <f t="shared" si="7"/>
        <v>-51726</v>
      </c>
      <c r="R32" s="14"/>
      <c r="S32" s="58">
        <f>Q32/I32</f>
        <v>-2.9973315717650741E-2</v>
      </c>
      <c r="T32" s="131">
        <v>44588</v>
      </c>
      <c r="U32" s="14" t="s">
        <v>31</v>
      </c>
      <c r="V32" s="20"/>
      <c r="W32" s="57">
        <v>1822722</v>
      </c>
      <c r="X32" s="57">
        <f t="shared" si="16"/>
        <v>-45261</v>
      </c>
      <c r="Y32" s="14"/>
      <c r="Z32" s="58">
        <f>X32/P32</f>
        <v>-2.546384983974332E-2</v>
      </c>
      <c r="AA32" s="131">
        <v>44620</v>
      </c>
      <c r="AB32" s="14" t="s">
        <v>31</v>
      </c>
      <c r="AC32" s="20"/>
      <c r="AD32" s="57">
        <v>1822722</v>
      </c>
      <c r="AE32" s="57">
        <f>W32-AD32</f>
        <v>0</v>
      </c>
      <c r="AF32" s="57"/>
      <c r="AG32" s="57"/>
      <c r="AH32" s="58">
        <v>0</v>
      </c>
      <c r="AI32" s="120">
        <v>44645</v>
      </c>
      <c r="AJ32" s="57" t="s">
        <v>31</v>
      </c>
      <c r="AK32" s="14"/>
      <c r="AL32" s="57">
        <v>1822722</v>
      </c>
      <c r="AM32" s="57">
        <f t="shared" si="13"/>
        <v>0</v>
      </c>
      <c r="AN32" s="57"/>
      <c r="AO32" s="57"/>
      <c r="AP32" s="58">
        <v>0</v>
      </c>
      <c r="AQ32" s="101">
        <v>44677</v>
      </c>
      <c r="AR32" s="14" t="s">
        <v>31</v>
      </c>
      <c r="AS32" s="14"/>
      <c r="AT32" s="57">
        <v>1822722</v>
      </c>
      <c r="AU32" s="57">
        <f t="shared" si="14"/>
        <v>0</v>
      </c>
      <c r="AV32" s="57"/>
      <c r="AW32" s="57"/>
      <c r="AX32" s="58">
        <v>0</v>
      </c>
      <c r="AY32" s="120">
        <v>44712</v>
      </c>
      <c r="AZ32" s="57" t="s">
        <v>31</v>
      </c>
      <c r="BA32" s="120">
        <v>44728</v>
      </c>
      <c r="BB32" s="57">
        <v>1822722</v>
      </c>
      <c r="BC32" s="57">
        <f t="shared" si="11"/>
        <v>0</v>
      </c>
      <c r="BD32" s="57"/>
      <c r="BE32" s="57"/>
      <c r="BF32" s="58">
        <v>0</v>
      </c>
      <c r="BG32" s="101">
        <v>44741</v>
      </c>
      <c r="BH32" s="14" t="s">
        <v>31</v>
      </c>
      <c r="BI32" s="101">
        <v>44757</v>
      </c>
      <c r="BJ32" s="57">
        <v>1822722</v>
      </c>
      <c r="BK32" s="57">
        <f t="shared" si="12"/>
        <v>0</v>
      </c>
      <c r="BL32" s="57"/>
      <c r="BM32" s="57"/>
      <c r="BN32" s="58">
        <v>0</v>
      </c>
      <c r="BO32" s="101">
        <v>44774</v>
      </c>
      <c r="BP32" s="14" t="s">
        <v>31</v>
      </c>
      <c r="BQ32" s="14"/>
      <c r="BR32" s="57"/>
      <c r="BS32" s="57"/>
      <c r="BT32" s="57"/>
      <c r="BU32" s="57"/>
      <c r="BV32" s="58"/>
      <c r="BW32" s="101"/>
      <c r="BX32" s="14"/>
      <c r="BY32" s="14"/>
      <c r="BZ32" s="57"/>
      <c r="CA32" s="57"/>
      <c r="CB32" s="57"/>
      <c r="CC32" s="57"/>
      <c r="CD32" s="58"/>
      <c r="CE32" s="101"/>
      <c r="CF32" s="14"/>
      <c r="CG32" s="14"/>
      <c r="CH32" s="57"/>
      <c r="CI32" s="57"/>
      <c r="CJ32" s="57"/>
      <c r="CK32" s="57"/>
      <c r="CL32" s="58"/>
      <c r="CM32" s="101"/>
      <c r="CN32" s="14"/>
      <c r="CO32" s="14"/>
      <c r="CP32" s="57"/>
      <c r="CQ32" s="57"/>
      <c r="CR32" s="57"/>
      <c r="CS32" s="57"/>
      <c r="CT32" s="58"/>
      <c r="CU32" s="101"/>
      <c r="CV32" s="14"/>
      <c r="CW32" s="14"/>
    </row>
    <row r="33" spans="1:101" hidden="1" x14ac:dyDescent="0.35">
      <c r="A33" s="1" t="s">
        <v>179</v>
      </c>
      <c r="B33" s="26" t="s">
        <v>627</v>
      </c>
      <c r="C33" s="15">
        <v>8714</v>
      </c>
      <c r="D33" s="22">
        <v>206202</v>
      </c>
      <c r="E33" s="18" t="s">
        <v>628</v>
      </c>
      <c r="F33" s="19" t="s">
        <v>626</v>
      </c>
      <c r="G33" s="57">
        <v>1146792</v>
      </c>
      <c r="H33" s="39">
        <v>1068568</v>
      </c>
      <c r="I33" s="57">
        <v>1085772</v>
      </c>
      <c r="J33" s="8">
        <f>H33-I33</f>
        <v>-17204</v>
      </c>
      <c r="K33" s="14"/>
      <c r="L33" s="58">
        <f t="shared" si="15"/>
        <v>-1.6100051657919758E-2</v>
      </c>
      <c r="M33" s="3" t="s">
        <v>31</v>
      </c>
      <c r="N33" s="123">
        <v>44568</v>
      </c>
      <c r="O33" s="20"/>
      <c r="P33" s="57">
        <v>1085772</v>
      </c>
      <c r="Q33" s="8">
        <f t="shared" si="7"/>
        <v>0</v>
      </c>
      <c r="R33" s="14"/>
      <c r="S33" s="58">
        <v>0</v>
      </c>
      <c r="T33" s="131">
        <v>44588</v>
      </c>
      <c r="U33" s="14" t="s">
        <v>31</v>
      </c>
      <c r="V33" s="20"/>
      <c r="W33" s="57">
        <v>1085772</v>
      </c>
      <c r="X33" s="57">
        <f t="shared" si="16"/>
        <v>0</v>
      </c>
      <c r="Y33" s="14"/>
      <c r="Z33" s="58">
        <v>0</v>
      </c>
      <c r="AA33" s="131">
        <v>44617</v>
      </c>
      <c r="AB33" s="14" t="s">
        <v>31</v>
      </c>
      <c r="AC33" s="20"/>
      <c r="AD33" s="57">
        <v>1146792</v>
      </c>
      <c r="AE33" s="57"/>
      <c r="AF33" s="57">
        <f>W33-AD33</f>
        <v>-61020</v>
      </c>
      <c r="AG33" s="57"/>
      <c r="AH33" s="58">
        <f>AF33/W33</f>
        <v>-5.619964412418077E-2</v>
      </c>
      <c r="AI33" s="120">
        <v>44645</v>
      </c>
      <c r="AJ33" s="57" t="s">
        <v>31</v>
      </c>
      <c r="AK33" s="14"/>
      <c r="AL33" s="57">
        <v>1146792</v>
      </c>
      <c r="AM33" s="57">
        <f t="shared" si="13"/>
        <v>0</v>
      </c>
      <c r="AN33" s="57"/>
      <c r="AO33" s="57"/>
      <c r="AP33" s="58">
        <v>0</v>
      </c>
      <c r="AQ33" s="101">
        <v>44677</v>
      </c>
      <c r="AR33" s="14" t="s">
        <v>31</v>
      </c>
      <c r="AS33" s="14"/>
      <c r="AT33" s="57">
        <v>1146792</v>
      </c>
      <c r="AU33" s="57">
        <f t="shared" si="14"/>
        <v>0</v>
      </c>
      <c r="AV33" s="57"/>
      <c r="AW33" s="57"/>
      <c r="AX33" s="58">
        <v>0</v>
      </c>
      <c r="AY33" s="120">
        <v>44712</v>
      </c>
      <c r="AZ33" s="57" t="s">
        <v>31</v>
      </c>
      <c r="BA33" s="120">
        <v>44728</v>
      </c>
      <c r="BB33" s="57">
        <v>1146792</v>
      </c>
      <c r="BC33" s="57">
        <f t="shared" si="11"/>
        <v>0</v>
      </c>
      <c r="BD33" s="57"/>
      <c r="BE33" s="57"/>
      <c r="BF33" s="58">
        <v>0</v>
      </c>
      <c r="BG33" s="101">
        <v>44742</v>
      </c>
      <c r="BH33" s="14" t="s">
        <v>31</v>
      </c>
      <c r="BI33" s="101">
        <v>44757</v>
      </c>
      <c r="BJ33" s="57">
        <v>1146792</v>
      </c>
      <c r="BK33" s="57">
        <f t="shared" si="12"/>
        <v>0</v>
      </c>
      <c r="BL33" s="57"/>
      <c r="BM33" s="57"/>
      <c r="BN33" s="58">
        <v>0</v>
      </c>
      <c r="BO33" s="101">
        <v>44774</v>
      </c>
      <c r="BP33" s="14" t="s">
        <v>31</v>
      </c>
      <c r="BQ33" s="14"/>
      <c r="BR33" s="57"/>
      <c r="BS33" s="57"/>
      <c r="BT33" s="57"/>
      <c r="BU33" s="57"/>
      <c r="BV33" s="58"/>
      <c r="BW33" s="101"/>
      <c r="BX33" s="14"/>
      <c r="BY33" s="14"/>
      <c r="BZ33" s="57"/>
      <c r="CA33" s="57"/>
      <c r="CB33" s="57"/>
      <c r="CC33" s="57"/>
      <c r="CD33" s="58"/>
      <c r="CE33" s="101"/>
      <c r="CF33" s="14"/>
      <c r="CG33" s="14"/>
      <c r="CH33" s="57"/>
      <c r="CI33" s="57"/>
      <c r="CJ33" s="57"/>
      <c r="CK33" s="57"/>
      <c r="CL33" s="58"/>
      <c r="CM33" s="101"/>
      <c r="CN33" s="14"/>
      <c r="CO33" s="14"/>
      <c r="CP33" s="57"/>
      <c r="CQ33" s="57"/>
      <c r="CR33" s="57"/>
      <c r="CS33" s="57"/>
      <c r="CT33" s="58"/>
      <c r="CU33" s="101"/>
      <c r="CV33" s="14"/>
      <c r="CW33" s="14"/>
    </row>
    <row r="34" spans="1:101" hidden="1" x14ac:dyDescent="0.35">
      <c r="A34" s="1" t="s">
        <v>180</v>
      </c>
      <c r="B34" s="26" t="s">
        <v>629</v>
      </c>
      <c r="C34" s="24">
        <v>6570</v>
      </c>
      <c r="D34" s="22">
        <v>204620</v>
      </c>
      <c r="E34" s="18" t="s">
        <v>630</v>
      </c>
      <c r="F34" s="19" t="s">
        <v>631</v>
      </c>
      <c r="G34" s="57">
        <v>841642</v>
      </c>
      <c r="H34" s="39">
        <v>786581</v>
      </c>
      <c r="I34" s="57">
        <v>841642</v>
      </c>
      <c r="J34" s="8">
        <f>H34-I34</f>
        <v>-55061</v>
      </c>
      <c r="K34" s="14"/>
      <c r="L34" s="58">
        <f t="shared" si="15"/>
        <v>-7.0000419537212311E-2</v>
      </c>
      <c r="M34" s="3" t="s">
        <v>31</v>
      </c>
      <c r="N34" s="123">
        <v>44581</v>
      </c>
      <c r="O34" s="20"/>
      <c r="P34" s="57">
        <v>841642</v>
      </c>
      <c r="Q34" s="8">
        <f t="shared" si="7"/>
        <v>0</v>
      </c>
      <c r="R34" s="14"/>
      <c r="S34" s="58">
        <v>0</v>
      </c>
      <c r="T34" s="131">
        <v>44594</v>
      </c>
      <c r="U34" s="14" t="s">
        <v>31</v>
      </c>
      <c r="V34" s="20"/>
      <c r="W34" s="57">
        <v>841642</v>
      </c>
      <c r="X34" s="57">
        <f t="shared" si="16"/>
        <v>0</v>
      </c>
      <c r="Y34" s="14"/>
      <c r="Z34" s="58">
        <v>0</v>
      </c>
      <c r="AA34" s="131">
        <v>44622</v>
      </c>
      <c r="AB34" s="14" t="s">
        <v>31</v>
      </c>
      <c r="AC34" s="20"/>
      <c r="AD34" s="194" t="s">
        <v>408</v>
      </c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  <c r="AU34" s="195"/>
      <c r="AV34" s="195"/>
      <c r="AW34" s="195"/>
      <c r="AX34" s="195"/>
      <c r="AY34" s="195"/>
      <c r="AZ34" s="195"/>
      <c r="BA34" s="195"/>
      <c r="BB34" s="195"/>
      <c r="BC34" s="195"/>
      <c r="BD34" s="195"/>
      <c r="BE34" s="195"/>
      <c r="BF34" s="195"/>
      <c r="BG34" s="195"/>
      <c r="BH34" s="195"/>
      <c r="BI34" s="195"/>
      <c r="BJ34" s="195"/>
      <c r="BK34" s="195"/>
      <c r="BL34" s="195"/>
      <c r="BM34" s="195"/>
      <c r="BN34" s="195"/>
      <c r="BO34" s="195"/>
      <c r="BP34" s="195"/>
      <c r="BQ34" s="195"/>
      <c r="BR34" s="195"/>
      <c r="BS34" s="195"/>
      <c r="BT34" s="195"/>
      <c r="BU34" s="195"/>
      <c r="BV34" s="195"/>
      <c r="BW34" s="195"/>
      <c r="BX34" s="195"/>
      <c r="BY34" s="195"/>
      <c r="BZ34" s="195"/>
      <c r="CA34" s="195"/>
      <c r="CB34" s="195"/>
      <c r="CC34" s="195"/>
      <c r="CD34" s="195"/>
      <c r="CE34" s="195"/>
      <c r="CF34" s="195"/>
      <c r="CG34" s="195"/>
      <c r="CH34" s="195"/>
      <c r="CI34" s="195"/>
      <c r="CJ34" s="195"/>
      <c r="CK34" s="195"/>
      <c r="CL34" s="195"/>
      <c r="CM34" s="195"/>
      <c r="CN34" s="195"/>
      <c r="CO34" s="195"/>
      <c r="CP34" s="195"/>
      <c r="CQ34" s="195"/>
      <c r="CR34" s="195"/>
      <c r="CS34" s="195"/>
      <c r="CT34" s="195"/>
      <c r="CU34" s="195"/>
      <c r="CV34" s="195"/>
      <c r="CW34" s="196"/>
    </row>
    <row r="35" spans="1:101" hidden="1" x14ac:dyDescent="0.35">
      <c r="A35" s="1" t="s">
        <v>184</v>
      </c>
      <c r="B35" s="26" t="s">
        <v>632</v>
      </c>
      <c r="C35" s="15">
        <v>8712</v>
      </c>
      <c r="D35" s="22">
        <v>206377</v>
      </c>
      <c r="E35" s="18" t="s">
        <v>633</v>
      </c>
      <c r="F35" s="19" t="s">
        <v>634</v>
      </c>
      <c r="G35" s="39">
        <v>2054000</v>
      </c>
      <c r="H35" s="57">
        <v>2019000</v>
      </c>
      <c r="I35" s="212" t="s">
        <v>635</v>
      </c>
      <c r="J35" s="218"/>
      <c r="K35" s="218"/>
      <c r="L35" s="218"/>
      <c r="M35" s="218"/>
      <c r="N35" s="218"/>
      <c r="O35" s="213"/>
      <c r="P35" s="57">
        <v>2222000</v>
      </c>
      <c r="Q35" s="8">
        <f>H35-P35</f>
        <v>-203000</v>
      </c>
      <c r="R35" s="14"/>
      <c r="S35" s="58">
        <f>Q35/H35</f>
        <v>-0.10054482417038138</v>
      </c>
      <c r="T35" s="131">
        <v>44608</v>
      </c>
      <c r="U35" s="14" t="s">
        <v>31</v>
      </c>
      <c r="V35" s="20"/>
      <c r="W35" s="57">
        <v>2222000</v>
      </c>
      <c r="X35" s="57">
        <f t="shared" si="16"/>
        <v>0</v>
      </c>
      <c r="Y35" s="14"/>
      <c r="Z35" s="58">
        <v>0</v>
      </c>
      <c r="AA35" s="101">
        <v>44624</v>
      </c>
      <c r="AB35" s="14" t="s">
        <v>31</v>
      </c>
      <c r="AC35" s="20"/>
      <c r="AD35" s="57">
        <v>1549060</v>
      </c>
      <c r="AE35" s="57">
        <f>W35-AD35</f>
        <v>672940</v>
      </c>
      <c r="AF35" s="57"/>
      <c r="AG35" s="57"/>
      <c r="AH35" s="58">
        <f>AE35/W35</f>
        <v>0.30285328532853284</v>
      </c>
      <c r="AI35" s="120">
        <v>44657</v>
      </c>
      <c r="AJ35" s="57" t="s">
        <v>31</v>
      </c>
      <c r="AK35" s="14"/>
      <c r="AL35" s="57">
        <v>2054000</v>
      </c>
      <c r="AM35" s="57">
        <f>W35-AL35</f>
        <v>168000</v>
      </c>
      <c r="AN35" s="57"/>
      <c r="AO35" s="57">
        <v>513500</v>
      </c>
      <c r="AP35" s="58">
        <f>AM35/W35</f>
        <v>7.5607560756075609E-2</v>
      </c>
      <c r="AQ35" s="101">
        <v>44687</v>
      </c>
      <c r="AR35" s="14" t="s">
        <v>31</v>
      </c>
      <c r="AS35" s="14"/>
      <c r="AT35" s="57">
        <v>2054000</v>
      </c>
      <c r="AU35" s="57">
        <f t="shared" ref="AU35:AU43" si="17">AL35-AT35</f>
        <v>0</v>
      </c>
      <c r="AV35" s="57"/>
      <c r="AW35" s="57">
        <v>513500</v>
      </c>
      <c r="AX35" s="58">
        <v>0</v>
      </c>
      <c r="AY35" s="120">
        <v>44718</v>
      </c>
      <c r="AZ35" s="57" t="s">
        <v>31</v>
      </c>
      <c r="BA35" s="120">
        <v>44728</v>
      </c>
      <c r="BB35" s="57">
        <v>2054000</v>
      </c>
      <c r="BC35" s="57">
        <f t="shared" ref="BC35:BC43" si="18">AT35-BB35</f>
        <v>0</v>
      </c>
      <c r="BD35" s="57"/>
      <c r="BE35" s="57">
        <v>513500</v>
      </c>
      <c r="BF35" s="58">
        <v>0</v>
      </c>
      <c r="BG35" s="101">
        <v>44747</v>
      </c>
      <c r="BH35" s="14" t="s">
        <v>31</v>
      </c>
      <c r="BI35" s="101">
        <v>44757</v>
      </c>
      <c r="BJ35" s="57">
        <v>2054000</v>
      </c>
      <c r="BK35" s="57">
        <f t="shared" ref="BK35:BK40" si="19">BB35-BJ35</f>
        <v>0</v>
      </c>
      <c r="BL35" s="57"/>
      <c r="BM35" s="57"/>
      <c r="BN35" s="58">
        <v>0</v>
      </c>
      <c r="BO35" s="101">
        <v>44778</v>
      </c>
      <c r="BP35" s="14" t="s">
        <v>31</v>
      </c>
      <c r="BQ35" s="14"/>
      <c r="BR35" s="212"/>
      <c r="BS35" s="218"/>
      <c r="BT35" s="218"/>
      <c r="BU35" s="218"/>
      <c r="BV35" s="218"/>
      <c r="BW35" s="218"/>
      <c r="BX35" s="218"/>
      <c r="BY35" s="213"/>
      <c r="BZ35" s="212"/>
      <c r="CA35" s="218"/>
      <c r="CB35" s="218"/>
      <c r="CC35" s="218"/>
      <c r="CD35" s="218"/>
      <c r="CE35" s="218"/>
      <c r="CF35" s="218"/>
      <c r="CG35" s="213"/>
      <c r="CH35" s="212"/>
      <c r="CI35" s="218"/>
      <c r="CJ35" s="218"/>
      <c r="CK35" s="218"/>
      <c r="CL35" s="218"/>
      <c r="CM35" s="218"/>
      <c r="CN35" s="218"/>
      <c r="CO35" s="213"/>
      <c r="CP35" s="212"/>
      <c r="CQ35" s="218"/>
      <c r="CR35" s="218"/>
      <c r="CS35" s="218"/>
      <c r="CT35" s="218"/>
      <c r="CU35" s="218"/>
      <c r="CV35" s="218"/>
      <c r="CW35" s="213"/>
    </row>
    <row r="36" spans="1:101" hidden="1" x14ac:dyDescent="0.35">
      <c r="A36" s="1" t="s">
        <v>191</v>
      </c>
      <c r="B36" s="26" t="s">
        <v>636</v>
      </c>
      <c r="C36" s="15">
        <v>8751</v>
      </c>
      <c r="D36" s="22">
        <v>206868</v>
      </c>
      <c r="E36" s="18" t="s">
        <v>637</v>
      </c>
      <c r="F36" s="19" t="s">
        <v>638</v>
      </c>
      <c r="G36" s="39">
        <v>2500681</v>
      </c>
      <c r="H36" s="39">
        <v>2370518</v>
      </c>
      <c r="I36" s="57">
        <v>2370518</v>
      </c>
      <c r="J36" s="8">
        <f>H36-I36</f>
        <v>0</v>
      </c>
      <c r="K36" s="14"/>
      <c r="L36" s="58">
        <v>0</v>
      </c>
      <c r="M36" s="3" t="s">
        <v>31</v>
      </c>
      <c r="N36" s="123">
        <v>44566</v>
      </c>
      <c r="O36" s="20"/>
      <c r="P36" s="57">
        <v>2370518</v>
      </c>
      <c r="Q36" s="8">
        <f>I36-P36</f>
        <v>0</v>
      </c>
      <c r="R36" s="14"/>
      <c r="S36" s="58">
        <v>0</v>
      </c>
      <c r="T36" s="101">
        <v>44595</v>
      </c>
      <c r="U36" s="14" t="s">
        <v>31</v>
      </c>
      <c r="V36" s="20"/>
      <c r="W36" s="57">
        <v>2370518</v>
      </c>
      <c r="X36" s="57">
        <f t="shared" si="16"/>
        <v>0</v>
      </c>
      <c r="Y36" s="14"/>
      <c r="Z36" s="58">
        <v>0</v>
      </c>
      <c r="AA36" s="131">
        <v>44622</v>
      </c>
      <c r="AB36" s="14" t="s">
        <v>31</v>
      </c>
      <c r="AC36" s="20"/>
      <c r="AD36" s="57">
        <v>2500681</v>
      </c>
      <c r="AE36" s="57"/>
      <c r="AF36" s="57">
        <f>W36-AD36</f>
        <v>-130163</v>
      </c>
      <c r="AG36" s="57"/>
      <c r="AH36" s="58">
        <f>AF36/W36</f>
        <v>-5.4909095817876091E-2</v>
      </c>
      <c r="AI36" s="120">
        <v>44658</v>
      </c>
      <c r="AJ36" s="57" t="s">
        <v>31</v>
      </c>
      <c r="AK36" s="14"/>
      <c r="AL36" s="57">
        <v>2500681</v>
      </c>
      <c r="AM36" s="57">
        <f t="shared" ref="AM36:AM49" si="20">AD36-AL36</f>
        <v>0</v>
      </c>
      <c r="AN36" s="57"/>
      <c r="AO36" s="57"/>
      <c r="AP36" s="58">
        <v>0</v>
      </c>
      <c r="AQ36" s="101">
        <v>44690</v>
      </c>
      <c r="AR36" s="14" t="s">
        <v>31</v>
      </c>
      <c r="AS36" s="14"/>
      <c r="AT36" s="57">
        <v>2500681</v>
      </c>
      <c r="AU36" s="57">
        <f t="shared" si="17"/>
        <v>0</v>
      </c>
      <c r="AV36" s="57"/>
      <c r="AW36" s="57"/>
      <c r="AX36" s="58">
        <v>0</v>
      </c>
      <c r="AY36" s="120">
        <v>44715</v>
      </c>
      <c r="AZ36" s="57" t="s">
        <v>31</v>
      </c>
      <c r="BA36" s="120">
        <v>44728</v>
      </c>
      <c r="BB36" s="57">
        <v>2500681</v>
      </c>
      <c r="BC36" s="57">
        <f t="shared" si="18"/>
        <v>0</v>
      </c>
      <c r="BD36" s="57"/>
      <c r="BE36" s="57"/>
      <c r="BF36" s="58">
        <v>0</v>
      </c>
      <c r="BG36" s="101">
        <v>44743</v>
      </c>
      <c r="BH36" s="14" t="s">
        <v>31</v>
      </c>
      <c r="BI36" s="101">
        <v>44757</v>
      </c>
      <c r="BJ36" s="57">
        <v>2500681</v>
      </c>
      <c r="BK36" s="57">
        <f t="shared" si="19"/>
        <v>0</v>
      </c>
      <c r="BL36" s="57"/>
      <c r="BM36" s="57"/>
      <c r="BN36" s="58">
        <v>0</v>
      </c>
      <c r="BO36" s="101">
        <v>44778</v>
      </c>
      <c r="BP36" s="14" t="s">
        <v>31</v>
      </c>
      <c r="BQ36" s="14"/>
      <c r="BR36" s="57"/>
      <c r="BS36" s="57"/>
      <c r="BT36" s="57"/>
      <c r="BU36" s="57"/>
      <c r="BV36" s="58"/>
      <c r="BW36" s="101"/>
      <c r="BX36" s="14"/>
      <c r="BY36" s="14"/>
      <c r="BZ36" s="57"/>
      <c r="CA36" s="57"/>
      <c r="CB36" s="57"/>
      <c r="CC36" s="57"/>
      <c r="CD36" s="58"/>
      <c r="CE36" s="101"/>
      <c r="CF36" s="14"/>
      <c r="CG36" s="14"/>
      <c r="CH36" s="57"/>
      <c r="CI36" s="57"/>
      <c r="CJ36" s="57"/>
      <c r="CK36" s="57"/>
      <c r="CL36" s="58"/>
      <c r="CM36" s="101"/>
      <c r="CN36" s="14"/>
      <c r="CO36" s="14"/>
      <c r="CP36" s="57"/>
      <c r="CQ36" s="57"/>
      <c r="CR36" s="57"/>
      <c r="CS36" s="57"/>
      <c r="CT36" s="58"/>
      <c r="CU36" s="101"/>
      <c r="CV36" s="14"/>
      <c r="CW36" s="14"/>
    </row>
    <row r="37" spans="1:101" hidden="1" x14ac:dyDescent="0.35">
      <c r="A37" s="1" t="s">
        <v>201</v>
      </c>
      <c r="B37" s="26" t="s">
        <v>639</v>
      </c>
      <c r="C37" s="15">
        <v>8749</v>
      </c>
      <c r="D37" s="22">
        <v>206753</v>
      </c>
      <c r="E37" s="18" t="s">
        <v>640</v>
      </c>
      <c r="F37" s="19" t="s">
        <v>641</v>
      </c>
      <c r="G37" s="39">
        <v>686570</v>
      </c>
      <c r="H37" s="39">
        <v>635713</v>
      </c>
      <c r="I37" s="57">
        <v>699729</v>
      </c>
      <c r="J37" s="8">
        <f>H37-I37</f>
        <v>-64016</v>
      </c>
      <c r="K37" s="14"/>
      <c r="L37" s="58">
        <f>J37/G37</f>
        <v>-9.3240310529152159E-2</v>
      </c>
      <c r="M37" s="3" t="s">
        <v>31</v>
      </c>
      <c r="N37" s="123">
        <v>44564</v>
      </c>
      <c r="O37" s="20"/>
      <c r="P37" s="57">
        <v>699729</v>
      </c>
      <c r="Q37" s="8">
        <f>I37-P37</f>
        <v>0</v>
      </c>
      <c r="R37" s="14"/>
      <c r="S37" s="58">
        <v>0</v>
      </c>
      <c r="T37" s="131">
        <v>44594</v>
      </c>
      <c r="U37" s="14" t="s">
        <v>31</v>
      </c>
      <c r="V37" s="20"/>
      <c r="W37" s="57">
        <v>699729</v>
      </c>
      <c r="X37" s="57">
        <f t="shared" si="16"/>
        <v>0</v>
      </c>
      <c r="Y37" s="14"/>
      <c r="Z37" s="58">
        <v>0</v>
      </c>
      <c r="AA37" s="131">
        <v>44622</v>
      </c>
      <c r="AB37" s="14" t="s">
        <v>31</v>
      </c>
      <c r="AC37" s="20"/>
      <c r="AD37" s="57">
        <v>686570</v>
      </c>
      <c r="AE37" s="57">
        <f>W37-AD37</f>
        <v>13159</v>
      </c>
      <c r="AF37" s="57"/>
      <c r="AG37" s="57"/>
      <c r="AH37" s="58">
        <f>AE37/W37</f>
        <v>1.8805851979837907E-2</v>
      </c>
      <c r="AI37" s="120">
        <v>44655</v>
      </c>
      <c r="AJ37" s="57" t="s">
        <v>31</v>
      </c>
      <c r="AK37" s="14"/>
      <c r="AL37" s="57">
        <v>686570</v>
      </c>
      <c r="AM37" s="57">
        <f t="shared" si="20"/>
        <v>0</v>
      </c>
      <c r="AN37" s="57"/>
      <c r="AO37" s="57"/>
      <c r="AP37" s="58">
        <v>0</v>
      </c>
      <c r="AQ37" s="101">
        <v>44684</v>
      </c>
      <c r="AR37" s="14" t="s">
        <v>31</v>
      </c>
      <c r="AS37" s="14"/>
      <c r="AT37" s="57">
        <v>686570</v>
      </c>
      <c r="AU37" s="57">
        <f t="shared" si="17"/>
        <v>0</v>
      </c>
      <c r="AV37" s="57"/>
      <c r="AW37" s="57"/>
      <c r="AX37" s="58">
        <v>0</v>
      </c>
      <c r="AY37" s="120">
        <v>44715</v>
      </c>
      <c r="AZ37" s="57" t="s">
        <v>31</v>
      </c>
      <c r="BA37" s="120">
        <v>44728</v>
      </c>
      <c r="BB37" s="57">
        <v>686570</v>
      </c>
      <c r="BC37" s="57">
        <f t="shared" si="18"/>
        <v>0</v>
      </c>
      <c r="BD37" s="57"/>
      <c r="BE37" s="57"/>
      <c r="BF37" s="58">
        <v>0</v>
      </c>
      <c r="BG37" s="101">
        <v>44743</v>
      </c>
      <c r="BH37" s="14" t="s">
        <v>31</v>
      </c>
      <c r="BI37" s="101">
        <v>44757</v>
      </c>
      <c r="BJ37" s="57">
        <v>686570</v>
      </c>
      <c r="BK37" s="57">
        <f t="shared" si="19"/>
        <v>0</v>
      </c>
      <c r="BL37" s="57"/>
      <c r="BM37" s="57"/>
      <c r="BN37" s="58">
        <v>0</v>
      </c>
      <c r="BO37" s="101">
        <v>44774</v>
      </c>
      <c r="BP37" s="14" t="s">
        <v>31</v>
      </c>
      <c r="BQ37" s="14"/>
      <c r="BR37" s="212"/>
      <c r="BS37" s="218"/>
      <c r="BT37" s="218"/>
      <c r="BU37" s="218"/>
      <c r="BV37" s="218"/>
      <c r="BW37" s="218"/>
      <c r="BX37" s="218"/>
      <c r="BY37" s="213"/>
      <c r="BZ37" s="111"/>
      <c r="CA37" s="111"/>
      <c r="CB37" s="111"/>
      <c r="CC37" s="111"/>
      <c r="CD37" s="111"/>
      <c r="CE37" s="121"/>
      <c r="CF37" s="111"/>
      <c r="CG37" s="111"/>
      <c r="CH37" s="111"/>
      <c r="CI37" s="111"/>
      <c r="CJ37" s="111"/>
      <c r="CK37" s="111"/>
      <c r="CL37" s="111"/>
      <c r="CM37" s="121"/>
      <c r="CN37" s="111"/>
      <c r="CO37" s="111"/>
      <c r="CP37" s="111"/>
      <c r="CQ37" s="111"/>
      <c r="CR37" s="111"/>
      <c r="CS37" s="111"/>
      <c r="CT37" s="111"/>
      <c r="CU37" s="121"/>
      <c r="CV37" s="111"/>
      <c r="CW37" s="111"/>
    </row>
    <row r="38" spans="1:101" hidden="1" x14ac:dyDescent="0.35">
      <c r="A38" s="1" t="s">
        <v>205</v>
      </c>
      <c r="B38" s="26" t="s">
        <v>642</v>
      </c>
      <c r="C38" s="15">
        <v>8860</v>
      </c>
      <c r="D38" s="22">
        <v>207689</v>
      </c>
      <c r="E38" s="18" t="s">
        <v>208</v>
      </c>
      <c r="F38" s="19" t="s">
        <v>612</v>
      </c>
      <c r="G38" s="39">
        <v>1885213</v>
      </c>
      <c r="H38" s="39">
        <v>1759908</v>
      </c>
      <c r="I38" s="57">
        <v>1759908</v>
      </c>
      <c r="J38" s="8">
        <f>H38-I38</f>
        <v>0</v>
      </c>
      <c r="K38" s="14"/>
      <c r="L38" s="58">
        <v>0</v>
      </c>
      <c r="M38" s="3" t="s">
        <v>31</v>
      </c>
      <c r="N38" s="123">
        <v>44566</v>
      </c>
      <c r="O38" s="20"/>
      <c r="P38" s="57">
        <v>2010518</v>
      </c>
      <c r="Q38" s="8">
        <f>I38-P38</f>
        <v>-250610</v>
      </c>
      <c r="R38" s="14"/>
      <c r="S38" s="58">
        <f>Q38/I38</f>
        <v>-0.14239948906420108</v>
      </c>
      <c r="T38" s="101">
        <v>44595</v>
      </c>
      <c r="U38" s="14" t="s">
        <v>31</v>
      </c>
      <c r="V38" s="20"/>
      <c r="W38" s="57">
        <v>1885213</v>
      </c>
      <c r="X38" s="57">
        <f t="shared" si="16"/>
        <v>125305</v>
      </c>
      <c r="Y38" s="14"/>
      <c r="Z38" s="58">
        <f>X38/P38</f>
        <v>6.2324734222722701E-2</v>
      </c>
      <c r="AA38" s="131">
        <v>44622</v>
      </c>
      <c r="AB38" s="14" t="s">
        <v>31</v>
      </c>
      <c r="AC38" s="20"/>
      <c r="AD38" s="57">
        <v>1885213</v>
      </c>
      <c r="AE38" s="57">
        <f>W38-AD38</f>
        <v>0</v>
      </c>
      <c r="AF38" s="57"/>
      <c r="AG38" s="57"/>
      <c r="AH38" s="58">
        <v>0</v>
      </c>
      <c r="AI38" s="120">
        <v>44657</v>
      </c>
      <c r="AJ38" s="57" t="s">
        <v>31</v>
      </c>
      <c r="AK38" s="14"/>
      <c r="AL38" s="57">
        <v>1885213</v>
      </c>
      <c r="AM38" s="57">
        <f t="shared" si="20"/>
        <v>0</v>
      </c>
      <c r="AN38" s="57"/>
      <c r="AO38" s="57"/>
      <c r="AP38" s="58">
        <v>0</v>
      </c>
      <c r="AQ38" s="101">
        <v>44686</v>
      </c>
      <c r="AR38" s="14" t="s">
        <v>31</v>
      </c>
      <c r="AS38" s="14"/>
      <c r="AT38" s="57">
        <v>1885213</v>
      </c>
      <c r="AU38" s="57">
        <f t="shared" si="17"/>
        <v>0</v>
      </c>
      <c r="AV38" s="57"/>
      <c r="AW38" s="57"/>
      <c r="AX38" s="58">
        <v>0</v>
      </c>
      <c r="AY38" s="120">
        <v>44719</v>
      </c>
      <c r="AZ38" s="57" t="s">
        <v>31</v>
      </c>
      <c r="BA38" s="120">
        <v>44728</v>
      </c>
      <c r="BB38" s="57">
        <v>1885213</v>
      </c>
      <c r="BC38" s="57">
        <f t="shared" si="18"/>
        <v>0</v>
      </c>
      <c r="BD38" s="57"/>
      <c r="BE38" s="57"/>
      <c r="BF38" s="58">
        <v>0</v>
      </c>
      <c r="BG38" s="101">
        <v>44748</v>
      </c>
      <c r="BH38" s="14" t="s">
        <v>31</v>
      </c>
      <c r="BI38" s="101">
        <v>44757</v>
      </c>
      <c r="BJ38" s="57">
        <v>1885213</v>
      </c>
      <c r="BK38" s="57">
        <f t="shared" si="19"/>
        <v>0</v>
      </c>
      <c r="BL38" s="57"/>
      <c r="BM38" s="57"/>
      <c r="BN38" s="58">
        <v>0</v>
      </c>
      <c r="BO38" s="101">
        <v>44776</v>
      </c>
      <c r="BP38" s="14" t="s">
        <v>31</v>
      </c>
      <c r="BQ38" s="14"/>
      <c r="BR38" s="57"/>
      <c r="BS38" s="57"/>
      <c r="BT38" s="57"/>
      <c r="BU38" s="57"/>
      <c r="BV38" s="58"/>
      <c r="BW38" s="101"/>
      <c r="BX38" s="14"/>
      <c r="BY38" s="14"/>
      <c r="BZ38" s="57"/>
      <c r="CA38" s="57"/>
      <c r="CB38" s="57"/>
      <c r="CC38" s="57"/>
      <c r="CD38" s="58"/>
      <c r="CE38" s="101"/>
      <c r="CF38" s="14"/>
      <c r="CG38" s="14"/>
      <c r="CH38" s="57"/>
      <c r="CI38" s="57"/>
      <c r="CJ38" s="57"/>
      <c r="CK38" s="57"/>
      <c r="CL38" s="58"/>
      <c r="CM38" s="101"/>
      <c r="CN38" s="14"/>
      <c r="CO38" s="14"/>
      <c r="CP38" s="57"/>
      <c r="CQ38" s="57"/>
      <c r="CR38" s="57"/>
      <c r="CS38" s="57"/>
      <c r="CT38" s="58"/>
      <c r="CU38" s="101"/>
      <c r="CV38" s="14"/>
      <c r="CW38" s="14"/>
    </row>
    <row r="39" spans="1:101" hidden="1" x14ac:dyDescent="0.35">
      <c r="A39" s="1" t="s">
        <v>209</v>
      </c>
      <c r="B39" s="26" t="s">
        <v>643</v>
      </c>
      <c r="C39" s="15">
        <v>8859</v>
      </c>
      <c r="D39" s="22">
        <v>208093</v>
      </c>
      <c r="E39" s="16" t="s">
        <v>534</v>
      </c>
      <c r="F39" s="19" t="s">
        <v>535</v>
      </c>
      <c r="G39" s="57">
        <v>2580492</v>
      </c>
      <c r="H39" s="39">
        <v>2344410</v>
      </c>
      <c r="I39" s="57">
        <v>2580492</v>
      </c>
      <c r="J39" s="8">
        <f>H39-I39</f>
        <v>-236082</v>
      </c>
      <c r="K39" s="14"/>
      <c r="L39" s="58">
        <f>J39/H39</f>
        <v>-0.10069996289045005</v>
      </c>
      <c r="M39" s="3" t="s">
        <v>31</v>
      </c>
      <c r="N39" s="123">
        <v>44574</v>
      </c>
      <c r="O39" s="20"/>
      <c r="P39" s="8">
        <v>2580492</v>
      </c>
      <c r="Q39" s="8">
        <f>I39-P39</f>
        <v>0</v>
      </c>
      <c r="R39" s="14"/>
      <c r="S39" s="58">
        <v>0</v>
      </c>
      <c r="T39" s="101">
        <v>44600</v>
      </c>
      <c r="U39" s="14" t="s">
        <v>31</v>
      </c>
      <c r="V39" s="20"/>
      <c r="W39" s="57">
        <v>2580492</v>
      </c>
      <c r="X39" s="57">
        <f>P39-W39</f>
        <v>0</v>
      </c>
      <c r="Y39" s="14"/>
      <c r="Z39" s="58">
        <v>0</v>
      </c>
      <c r="AA39" s="131">
        <v>44628</v>
      </c>
      <c r="AB39" s="14" t="s">
        <v>31</v>
      </c>
      <c r="AC39" s="20"/>
      <c r="AD39" s="57">
        <v>2580492</v>
      </c>
      <c r="AE39" s="57">
        <f>W39-AD39</f>
        <v>0</v>
      </c>
      <c r="AF39" s="57"/>
      <c r="AG39" s="57"/>
      <c r="AH39" s="58">
        <v>0</v>
      </c>
      <c r="AI39" s="120">
        <v>44659</v>
      </c>
      <c r="AJ39" s="57" t="s">
        <v>31</v>
      </c>
      <c r="AK39" s="14"/>
      <c r="AL39" s="57">
        <v>2580492</v>
      </c>
      <c r="AM39" s="57">
        <f t="shared" si="20"/>
        <v>0</v>
      </c>
      <c r="AN39" s="57"/>
      <c r="AO39" s="57"/>
      <c r="AP39" s="58">
        <v>0</v>
      </c>
      <c r="AQ39" s="101">
        <v>44687</v>
      </c>
      <c r="AR39" s="14" t="s">
        <v>31</v>
      </c>
      <c r="AS39" s="14"/>
      <c r="AT39" s="57">
        <v>2580492</v>
      </c>
      <c r="AU39" s="57">
        <f t="shared" si="17"/>
        <v>0</v>
      </c>
      <c r="AV39" s="57"/>
      <c r="AW39" s="57"/>
      <c r="AX39" s="58">
        <v>0</v>
      </c>
      <c r="AY39" s="120">
        <v>44719</v>
      </c>
      <c r="AZ39" s="57" t="s">
        <v>31</v>
      </c>
      <c r="BA39" s="120">
        <v>44728</v>
      </c>
      <c r="BB39" s="57">
        <v>2580492</v>
      </c>
      <c r="BC39" s="57">
        <f t="shared" si="18"/>
        <v>0</v>
      </c>
      <c r="BD39" s="57"/>
      <c r="BE39" s="57"/>
      <c r="BF39" s="58">
        <v>0</v>
      </c>
      <c r="BG39" s="101">
        <v>44753</v>
      </c>
      <c r="BH39" s="14" t="s">
        <v>31</v>
      </c>
      <c r="BI39" s="101">
        <v>44768</v>
      </c>
      <c r="BJ39" s="57">
        <v>2580492</v>
      </c>
      <c r="BK39" s="57">
        <f t="shared" si="19"/>
        <v>0</v>
      </c>
      <c r="BL39" s="57"/>
      <c r="BM39" s="57"/>
      <c r="BN39" s="58">
        <v>0</v>
      </c>
      <c r="BO39" s="101">
        <v>44778</v>
      </c>
      <c r="BP39" s="14" t="s">
        <v>31</v>
      </c>
      <c r="BQ39" s="14"/>
      <c r="BR39" s="57"/>
      <c r="BS39" s="57"/>
      <c r="BT39" s="57"/>
      <c r="BU39" s="57"/>
      <c r="BV39" s="58"/>
      <c r="BW39" s="101"/>
      <c r="BX39" s="14"/>
      <c r="BY39" s="14"/>
      <c r="BZ39" s="57"/>
      <c r="CA39" s="57"/>
      <c r="CB39" s="57"/>
      <c r="CC39" s="57"/>
      <c r="CD39" s="58"/>
      <c r="CE39" s="101"/>
      <c r="CF39" s="14"/>
      <c r="CG39" s="14"/>
      <c r="CH39" s="57"/>
      <c r="CI39" s="57"/>
      <c r="CJ39" s="57"/>
      <c r="CK39" s="57"/>
      <c r="CL39" s="58"/>
      <c r="CM39" s="101"/>
      <c r="CN39" s="14"/>
      <c r="CO39" s="14"/>
      <c r="CP39" s="57"/>
      <c r="CQ39" s="57"/>
      <c r="CR39" s="57"/>
      <c r="CS39" s="57"/>
      <c r="CT39" s="58"/>
      <c r="CU39" s="101"/>
      <c r="CV39" s="14"/>
      <c r="CW39" s="14"/>
    </row>
    <row r="40" spans="1:101" hidden="1" x14ac:dyDescent="0.35">
      <c r="A40" s="74" t="s">
        <v>212</v>
      </c>
      <c r="B40" s="26" t="s">
        <v>644</v>
      </c>
      <c r="C40" s="15" t="s">
        <v>645</v>
      </c>
      <c r="D40" s="22">
        <v>219333</v>
      </c>
      <c r="E40" s="28" t="s">
        <v>646</v>
      </c>
      <c r="F40" s="19" t="s">
        <v>647</v>
      </c>
      <c r="G40" s="39">
        <v>2128323</v>
      </c>
      <c r="H40" s="39">
        <v>2015040</v>
      </c>
      <c r="I40" s="88">
        <v>2128323</v>
      </c>
      <c r="J40" s="88">
        <f>H40-I40</f>
        <v>-113283</v>
      </c>
      <c r="K40" s="14"/>
      <c r="L40" s="58">
        <f>J40/H40</f>
        <v>-5.6218735111958074E-2</v>
      </c>
      <c r="M40" s="14" t="s">
        <v>31</v>
      </c>
      <c r="N40" s="123">
        <v>44637</v>
      </c>
      <c r="O40" s="20"/>
      <c r="P40" s="8">
        <v>2128323</v>
      </c>
      <c r="Q40" s="8">
        <f>I40-P40</f>
        <v>0</v>
      </c>
      <c r="R40" s="14"/>
      <c r="S40" s="58">
        <v>0</v>
      </c>
      <c r="T40" s="101">
        <v>44637</v>
      </c>
      <c r="U40" s="14" t="s">
        <v>31</v>
      </c>
      <c r="V40" s="20"/>
      <c r="W40" s="57">
        <v>2128323</v>
      </c>
      <c r="X40" s="57">
        <f>H40-W40</f>
        <v>-113283</v>
      </c>
      <c r="Y40" s="14"/>
      <c r="Z40" s="58">
        <f>X40/H40</f>
        <v>-5.6218735111958074E-2</v>
      </c>
      <c r="AA40" s="131">
        <v>44634</v>
      </c>
      <c r="AB40" s="14" t="s">
        <v>31</v>
      </c>
      <c r="AC40" s="20"/>
      <c r="AD40" s="57">
        <v>2128323</v>
      </c>
      <c r="AE40" s="57">
        <f>W40-AD40</f>
        <v>0</v>
      </c>
      <c r="AF40" s="57"/>
      <c r="AG40" s="57"/>
      <c r="AH40" s="58">
        <v>0</v>
      </c>
      <c r="AI40" s="120">
        <v>44669</v>
      </c>
      <c r="AJ40" s="57" t="s">
        <v>31</v>
      </c>
      <c r="AK40" s="14"/>
      <c r="AL40" s="57">
        <v>2128323</v>
      </c>
      <c r="AM40" s="57">
        <f t="shared" si="20"/>
        <v>0</v>
      </c>
      <c r="AN40" s="57"/>
      <c r="AO40" s="57"/>
      <c r="AP40" s="58">
        <v>0</v>
      </c>
      <c r="AQ40" s="101">
        <v>44692</v>
      </c>
      <c r="AR40" s="14" t="s">
        <v>31</v>
      </c>
      <c r="AS40" s="14"/>
      <c r="AT40" s="57">
        <v>2128323</v>
      </c>
      <c r="AU40" s="57">
        <f t="shared" si="17"/>
        <v>0</v>
      </c>
      <c r="AV40" s="57"/>
      <c r="AW40" s="57"/>
      <c r="AX40" s="58">
        <v>0</v>
      </c>
      <c r="AY40" s="120">
        <v>44727</v>
      </c>
      <c r="AZ40" s="57" t="s">
        <v>31</v>
      </c>
      <c r="BA40" s="120">
        <v>44755</v>
      </c>
      <c r="BB40" s="57">
        <v>2128323</v>
      </c>
      <c r="BC40" s="57">
        <f t="shared" si="18"/>
        <v>0</v>
      </c>
      <c r="BD40" s="57"/>
      <c r="BE40" s="57"/>
      <c r="BF40" s="58">
        <v>0</v>
      </c>
      <c r="BG40" s="101">
        <v>44756</v>
      </c>
      <c r="BH40" s="14" t="s">
        <v>31</v>
      </c>
      <c r="BI40" s="101">
        <v>44768</v>
      </c>
      <c r="BJ40" s="57">
        <v>2128323</v>
      </c>
      <c r="BK40" s="57">
        <f t="shared" si="19"/>
        <v>0</v>
      </c>
      <c r="BL40" s="57"/>
      <c r="BM40" s="57"/>
      <c r="BN40" s="58">
        <v>0</v>
      </c>
      <c r="BO40" s="101">
        <v>44789</v>
      </c>
      <c r="BP40" s="14" t="s">
        <v>31</v>
      </c>
      <c r="BQ40" s="14"/>
      <c r="BR40" s="111"/>
      <c r="BS40" s="111"/>
      <c r="BT40" s="111"/>
      <c r="BU40" s="111"/>
      <c r="BV40" s="111"/>
      <c r="BW40" s="111"/>
      <c r="BX40" s="111"/>
      <c r="BY40" s="111"/>
      <c r="BZ40" s="212"/>
      <c r="CA40" s="218"/>
      <c r="CB40" s="218"/>
      <c r="CC40" s="218"/>
      <c r="CD40" s="218"/>
      <c r="CE40" s="218"/>
      <c r="CF40" s="218"/>
      <c r="CG40" s="213"/>
      <c r="CH40" s="212"/>
      <c r="CI40" s="218"/>
      <c r="CJ40" s="218"/>
      <c r="CK40" s="218"/>
      <c r="CL40" s="218"/>
      <c r="CM40" s="218"/>
      <c r="CN40" s="218"/>
      <c r="CO40" s="213"/>
      <c r="CP40" s="212"/>
      <c r="CQ40" s="218"/>
      <c r="CR40" s="218"/>
      <c r="CS40" s="218"/>
      <c r="CT40" s="218"/>
      <c r="CU40" s="218"/>
      <c r="CV40" s="218"/>
      <c r="CW40" s="213"/>
    </row>
    <row r="41" spans="1:101" hidden="1" x14ac:dyDescent="0.35">
      <c r="A41" s="1" t="s">
        <v>215</v>
      </c>
      <c r="B41" s="26" t="s">
        <v>648</v>
      </c>
      <c r="C41" s="15">
        <v>9053</v>
      </c>
      <c r="D41" s="22">
        <v>210358</v>
      </c>
      <c r="E41" s="14" t="s">
        <v>217</v>
      </c>
      <c r="F41" s="20" t="s">
        <v>649</v>
      </c>
      <c r="G41" s="39">
        <v>2087039</v>
      </c>
      <c r="H41" s="39">
        <v>2087039</v>
      </c>
      <c r="I41" s="57">
        <v>2087039</v>
      </c>
      <c r="J41" s="8">
        <f>I41-H41</f>
        <v>0</v>
      </c>
      <c r="K41" s="14"/>
      <c r="L41" s="58">
        <v>0</v>
      </c>
      <c r="M41" s="3" t="s">
        <v>31</v>
      </c>
      <c r="N41" s="123">
        <v>44564</v>
      </c>
      <c r="O41" s="20"/>
      <c r="P41" s="57">
        <v>2087039</v>
      </c>
      <c r="Q41" s="8">
        <f t="shared" ref="Q41:Q47" si="21">I41-P41</f>
        <v>0</v>
      </c>
      <c r="R41" s="14"/>
      <c r="S41" s="58">
        <v>0</v>
      </c>
      <c r="T41" s="131">
        <v>44594</v>
      </c>
      <c r="U41" s="14" t="s">
        <v>31</v>
      </c>
      <c r="V41" s="20"/>
      <c r="W41" s="57"/>
      <c r="X41" s="57"/>
      <c r="Y41" s="14"/>
      <c r="Z41" s="14"/>
      <c r="AA41" s="14"/>
      <c r="AB41" s="14"/>
      <c r="AC41" s="20"/>
      <c r="AD41" s="57">
        <v>2087039</v>
      </c>
      <c r="AE41" s="57">
        <f>P41-AD41</f>
        <v>0</v>
      </c>
      <c r="AF41" s="57"/>
      <c r="AG41" s="57"/>
      <c r="AH41" s="58">
        <v>0</v>
      </c>
      <c r="AI41" s="120">
        <v>44656</v>
      </c>
      <c r="AJ41" s="57" t="s">
        <v>31</v>
      </c>
      <c r="AK41" s="14"/>
      <c r="AL41" s="57">
        <v>2087039</v>
      </c>
      <c r="AM41" s="57">
        <f t="shared" si="20"/>
        <v>0</v>
      </c>
      <c r="AN41" s="57"/>
      <c r="AO41" s="57"/>
      <c r="AP41" s="58">
        <v>0</v>
      </c>
      <c r="AQ41" s="101">
        <v>44683</v>
      </c>
      <c r="AR41" s="14" t="s">
        <v>31</v>
      </c>
      <c r="AS41" s="14"/>
      <c r="AT41" s="57">
        <v>2087039</v>
      </c>
      <c r="AU41" s="57">
        <f t="shared" si="17"/>
        <v>0</v>
      </c>
      <c r="AV41" s="57"/>
      <c r="AW41" s="57"/>
      <c r="AX41" s="58">
        <v>0</v>
      </c>
      <c r="AY41" s="120">
        <v>44713</v>
      </c>
      <c r="AZ41" s="57" t="s">
        <v>31</v>
      </c>
      <c r="BA41" s="120">
        <v>44728</v>
      </c>
      <c r="BB41" s="57">
        <v>2087039</v>
      </c>
      <c r="BC41" s="57">
        <f t="shared" si="18"/>
        <v>0</v>
      </c>
      <c r="BD41" s="57"/>
      <c r="BE41" s="57"/>
      <c r="BF41" s="58">
        <v>0</v>
      </c>
      <c r="BG41" s="101">
        <v>44743</v>
      </c>
      <c r="BH41" s="14" t="s">
        <v>31</v>
      </c>
      <c r="BI41" s="101">
        <v>44757</v>
      </c>
      <c r="BJ41" s="57">
        <v>2087039</v>
      </c>
      <c r="BK41" s="57">
        <f t="shared" ref="BK41:BK52" si="22">BB41-BJ41</f>
        <v>0</v>
      </c>
      <c r="BL41" s="57"/>
      <c r="BM41" s="57"/>
      <c r="BN41" s="58">
        <v>0</v>
      </c>
      <c r="BO41" s="101">
        <v>44774</v>
      </c>
      <c r="BP41" s="14" t="s">
        <v>31</v>
      </c>
      <c r="BQ41" s="14"/>
      <c r="BR41" s="57"/>
      <c r="BS41" s="57"/>
      <c r="BT41" s="57"/>
      <c r="BU41" s="57"/>
      <c r="BV41" s="58"/>
      <c r="BW41" s="101"/>
      <c r="BX41" s="14"/>
      <c r="BY41" s="14"/>
      <c r="BZ41" s="57"/>
      <c r="CA41" s="57"/>
      <c r="CB41" s="57"/>
      <c r="CC41" s="57"/>
      <c r="CD41" s="58"/>
      <c r="CE41" s="101"/>
      <c r="CF41" s="14"/>
      <c r="CG41" s="14"/>
      <c r="CH41" s="57"/>
      <c r="CI41" s="57"/>
      <c r="CJ41" s="57"/>
      <c r="CK41" s="57"/>
      <c r="CL41" s="58"/>
      <c r="CM41" s="101"/>
      <c r="CN41" s="14"/>
      <c r="CO41" s="14"/>
      <c r="CP41" s="57"/>
      <c r="CQ41" s="57"/>
      <c r="CR41" s="57"/>
      <c r="CS41" s="57"/>
      <c r="CT41" s="58"/>
      <c r="CU41" s="101"/>
      <c r="CV41" s="14"/>
      <c r="CW41" s="14"/>
    </row>
    <row r="42" spans="1:101" hidden="1" x14ac:dyDescent="0.35">
      <c r="A42" s="74" t="s">
        <v>219</v>
      </c>
      <c r="B42" s="26" t="s">
        <v>650</v>
      </c>
      <c r="C42" s="15">
        <v>8968</v>
      </c>
      <c r="D42" s="22">
        <v>208872</v>
      </c>
      <c r="E42" s="18" t="s">
        <v>178</v>
      </c>
      <c r="F42" s="19" t="s">
        <v>626</v>
      </c>
      <c r="G42" s="57">
        <v>1054383</v>
      </c>
      <c r="H42" s="39">
        <v>982462</v>
      </c>
      <c r="I42" s="57">
        <v>998280</v>
      </c>
      <c r="J42" s="8">
        <f>H42-I42</f>
        <v>-15818</v>
      </c>
      <c r="K42" s="14"/>
      <c r="L42" s="58">
        <f>J42/H42</f>
        <v>-1.6100368258517888E-2</v>
      </c>
      <c r="M42" s="3" t="s">
        <v>31</v>
      </c>
      <c r="N42" s="123">
        <v>44568</v>
      </c>
      <c r="O42" s="20"/>
      <c r="P42" s="57">
        <v>1054383</v>
      </c>
      <c r="Q42" s="8">
        <f t="shared" si="21"/>
        <v>-56103</v>
      </c>
      <c r="R42" s="14"/>
      <c r="S42" s="58">
        <f>Q42/I42</f>
        <v>-5.6199663421084262E-2</v>
      </c>
      <c r="T42" s="131">
        <v>44588</v>
      </c>
      <c r="U42" s="14" t="s">
        <v>31</v>
      </c>
      <c r="V42" s="20"/>
      <c r="W42" s="57">
        <v>1054383</v>
      </c>
      <c r="X42" s="57">
        <f t="shared" ref="X42:X47" si="23">P42-W42</f>
        <v>0</v>
      </c>
      <c r="Y42" s="14"/>
      <c r="Z42" s="58">
        <v>0</v>
      </c>
      <c r="AA42" s="131">
        <v>44617</v>
      </c>
      <c r="AB42" s="14" t="s">
        <v>31</v>
      </c>
      <c r="AC42" s="20"/>
      <c r="AD42" s="57">
        <v>1054383</v>
      </c>
      <c r="AE42" s="57">
        <f>W42-AD42</f>
        <v>0</v>
      </c>
      <c r="AF42" s="57"/>
      <c r="AG42" s="57"/>
      <c r="AH42" s="58">
        <v>0</v>
      </c>
      <c r="AI42" s="120">
        <v>44645</v>
      </c>
      <c r="AJ42" s="57" t="s">
        <v>31</v>
      </c>
      <c r="AK42" s="14"/>
      <c r="AL42" s="57">
        <v>1054383</v>
      </c>
      <c r="AM42" s="57">
        <f t="shared" si="20"/>
        <v>0</v>
      </c>
      <c r="AN42" s="57"/>
      <c r="AO42" s="57"/>
      <c r="AP42" s="58">
        <v>0</v>
      </c>
      <c r="AQ42" s="101">
        <v>44677</v>
      </c>
      <c r="AR42" s="14" t="s">
        <v>31</v>
      </c>
      <c r="AS42" s="14"/>
      <c r="AT42" s="57">
        <v>1054383</v>
      </c>
      <c r="AU42" s="57">
        <f t="shared" si="17"/>
        <v>0</v>
      </c>
      <c r="AV42" s="57"/>
      <c r="AW42" s="57"/>
      <c r="AX42" s="58">
        <v>0</v>
      </c>
      <c r="AY42" s="120">
        <v>44712</v>
      </c>
      <c r="AZ42" s="57" t="s">
        <v>31</v>
      </c>
      <c r="BA42" s="120">
        <v>44728</v>
      </c>
      <c r="BB42" s="57">
        <v>1054383</v>
      </c>
      <c r="BC42" s="57">
        <f t="shared" si="18"/>
        <v>0</v>
      </c>
      <c r="BD42" s="57"/>
      <c r="BE42" s="57"/>
      <c r="BF42" s="58">
        <v>0</v>
      </c>
      <c r="BG42" s="101">
        <v>44742</v>
      </c>
      <c r="BH42" s="14" t="s">
        <v>31</v>
      </c>
      <c r="BI42" s="101">
        <v>44757</v>
      </c>
      <c r="BJ42" s="57">
        <v>1054383</v>
      </c>
      <c r="BK42" s="57">
        <f t="shared" si="22"/>
        <v>0</v>
      </c>
      <c r="BL42" s="57"/>
      <c r="BM42" s="57"/>
      <c r="BN42" s="58">
        <v>0</v>
      </c>
      <c r="BO42" s="101">
        <v>44771</v>
      </c>
      <c r="BP42" s="14" t="s">
        <v>31</v>
      </c>
      <c r="BQ42" s="14"/>
      <c r="BR42" s="57"/>
      <c r="BS42" s="57"/>
      <c r="BT42" s="57"/>
      <c r="BU42" s="57"/>
      <c r="BV42" s="58"/>
      <c r="BW42" s="101"/>
      <c r="BX42" s="14"/>
      <c r="BY42" s="14"/>
      <c r="BZ42" s="57"/>
      <c r="CA42" s="57"/>
      <c r="CB42" s="57"/>
      <c r="CC42" s="57"/>
      <c r="CD42" s="58"/>
      <c r="CE42" s="101"/>
      <c r="CF42" s="14"/>
      <c r="CG42" s="14"/>
      <c r="CH42" s="57"/>
      <c r="CI42" s="57"/>
      <c r="CJ42" s="57"/>
      <c r="CK42" s="57"/>
      <c r="CL42" s="58"/>
      <c r="CM42" s="101"/>
      <c r="CN42" s="14"/>
      <c r="CO42" s="14"/>
      <c r="CP42" s="57"/>
      <c r="CQ42" s="57"/>
      <c r="CR42" s="57"/>
      <c r="CS42" s="57"/>
      <c r="CT42" s="58"/>
      <c r="CU42" s="101"/>
      <c r="CV42" s="14"/>
      <c r="CW42" s="14"/>
    </row>
    <row r="43" spans="1:101" hidden="1" x14ac:dyDescent="0.35">
      <c r="A43" s="74" t="s">
        <v>224</v>
      </c>
      <c r="B43" s="26" t="s">
        <v>651</v>
      </c>
      <c r="C43" s="15">
        <v>8969</v>
      </c>
      <c r="D43" s="1">
        <v>208873</v>
      </c>
      <c r="E43" s="18" t="s">
        <v>652</v>
      </c>
      <c r="F43" s="19" t="s">
        <v>626</v>
      </c>
      <c r="G43" s="57">
        <v>1158137</v>
      </c>
      <c r="H43" s="39">
        <v>1079139</v>
      </c>
      <c r="I43" s="57">
        <v>1096513</v>
      </c>
      <c r="J43" s="8">
        <v>-17374</v>
      </c>
      <c r="K43" s="14"/>
      <c r="L43" s="58">
        <f>J43/H43</f>
        <v>-1.6099872212940132E-2</v>
      </c>
      <c r="M43" s="3" t="s">
        <v>31</v>
      </c>
      <c r="N43" s="123">
        <v>44568</v>
      </c>
      <c r="O43" s="20"/>
      <c r="P43" s="57">
        <v>1158137</v>
      </c>
      <c r="Q43" s="8">
        <f t="shared" si="21"/>
        <v>-61624</v>
      </c>
      <c r="R43" s="14"/>
      <c r="S43" s="58">
        <f>Q43/I43</f>
        <v>-5.6199972093354117E-2</v>
      </c>
      <c r="T43" s="131">
        <v>44588</v>
      </c>
      <c r="U43" s="14" t="s">
        <v>31</v>
      </c>
      <c r="V43" s="20"/>
      <c r="W43" s="57">
        <v>1158137</v>
      </c>
      <c r="X43" s="57">
        <f t="shared" si="23"/>
        <v>0</v>
      </c>
      <c r="Y43" s="14"/>
      <c r="Z43" s="58">
        <v>0</v>
      </c>
      <c r="AA43" s="131">
        <v>44617</v>
      </c>
      <c r="AB43" s="14" t="s">
        <v>31</v>
      </c>
      <c r="AC43" s="20"/>
      <c r="AD43" s="57">
        <v>1158137</v>
      </c>
      <c r="AE43" s="57">
        <f>W43-AD43</f>
        <v>0</v>
      </c>
      <c r="AF43" s="57"/>
      <c r="AG43" s="57"/>
      <c r="AH43" s="58">
        <v>0</v>
      </c>
      <c r="AI43" s="120">
        <v>44645</v>
      </c>
      <c r="AJ43" s="57" t="s">
        <v>31</v>
      </c>
      <c r="AK43" s="14"/>
      <c r="AL43" s="57">
        <v>1158137</v>
      </c>
      <c r="AM43" s="57">
        <f t="shared" si="20"/>
        <v>0</v>
      </c>
      <c r="AN43" s="57"/>
      <c r="AO43" s="57"/>
      <c r="AP43" s="58">
        <v>0</v>
      </c>
      <c r="AQ43" s="101">
        <v>44677</v>
      </c>
      <c r="AR43" s="14" t="s">
        <v>31</v>
      </c>
      <c r="AS43" s="14"/>
      <c r="AT43" s="57">
        <v>1158137</v>
      </c>
      <c r="AU43" s="57">
        <f t="shared" si="17"/>
        <v>0</v>
      </c>
      <c r="AV43" s="57"/>
      <c r="AW43" s="57"/>
      <c r="AX43" s="58">
        <v>0</v>
      </c>
      <c r="AY43" s="120">
        <v>44712</v>
      </c>
      <c r="AZ43" s="57" t="s">
        <v>31</v>
      </c>
      <c r="BA43" s="120">
        <v>44728</v>
      </c>
      <c r="BB43" s="57">
        <v>1158137</v>
      </c>
      <c r="BC43" s="57">
        <f t="shared" si="18"/>
        <v>0</v>
      </c>
      <c r="BD43" s="57"/>
      <c r="BE43" s="57"/>
      <c r="BF43" s="58">
        <v>0</v>
      </c>
      <c r="BG43" s="101">
        <v>44742</v>
      </c>
      <c r="BH43" s="14" t="s">
        <v>31</v>
      </c>
      <c r="BI43" s="101">
        <v>44757</v>
      </c>
      <c r="BJ43" s="57">
        <v>1158137</v>
      </c>
      <c r="BK43" s="57">
        <f t="shared" si="22"/>
        <v>0</v>
      </c>
      <c r="BL43" s="57"/>
      <c r="BM43" s="57"/>
      <c r="BN43" s="58">
        <v>0</v>
      </c>
      <c r="BO43" s="101">
        <v>44774</v>
      </c>
      <c r="BP43" s="14" t="s">
        <v>31</v>
      </c>
      <c r="BQ43" s="14"/>
      <c r="BR43" s="57"/>
      <c r="BS43" s="57"/>
      <c r="BT43" s="57"/>
      <c r="BU43" s="57"/>
      <c r="BV43" s="58"/>
      <c r="BW43" s="101"/>
      <c r="BX43" s="14"/>
      <c r="BY43" s="14"/>
      <c r="BZ43" s="57"/>
      <c r="CA43" s="57"/>
      <c r="CB43" s="57"/>
      <c r="CC43" s="57"/>
      <c r="CD43" s="58"/>
      <c r="CE43" s="101"/>
      <c r="CF43" s="14"/>
      <c r="CG43" s="14"/>
      <c r="CH43" s="57"/>
      <c r="CI43" s="57"/>
      <c r="CJ43" s="57"/>
      <c r="CK43" s="57"/>
      <c r="CL43" s="58"/>
      <c r="CM43" s="101"/>
      <c r="CN43" s="14"/>
      <c r="CO43" s="14"/>
      <c r="CP43" s="57"/>
      <c r="CQ43" s="57"/>
      <c r="CR43" s="57"/>
      <c r="CS43" s="57"/>
      <c r="CT43" s="58"/>
      <c r="CU43" s="101"/>
      <c r="CV43" s="14"/>
      <c r="CW43" s="14"/>
    </row>
    <row r="44" spans="1:101" x14ac:dyDescent="0.35">
      <c r="A44" s="1" t="s">
        <v>227</v>
      </c>
      <c r="B44" s="26" t="s">
        <v>653</v>
      </c>
      <c r="C44" s="15">
        <v>9072</v>
      </c>
      <c r="D44" s="22">
        <v>210304</v>
      </c>
      <c r="E44" s="18" t="s">
        <v>654</v>
      </c>
      <c r="F44" s="19" t="s">
        <v>626</v>
      </c>
      <c r="G44" s="57">
        <v>1770161</v>
      </c>
      <c r="H44" s="39">
        <v>1691416</v>
      </c>
      <c r="I44" s="57">
        <v>1718648</v>
      </c>
      <c r="J44" s="8">
        <f>H44-I44</f>
        <v>-27232</v>
      </c>
      <c r="K44" s="14"/>
      <c r="L44" s="58">
        <f>J44/H44</f>
        <v>-1.6100119663051551E-2</v>
      </c>
      <c r="M44" s="3" t="s">
        <v>31</v>
      </c>
      <c r="N44" s="123">
        <v>44568</v>
      </c>
      <c r="O44" s="20"/>
      <c r="P44" s="57">
        <v>1718648</v>
      </c>
      <c r="Q44" s="8">
        <f t="shared" si="21"/>
        <v>0</v>
      </c>
      <c r="R44" s="14"/>
      <c r="S44" s="58">
        <v>0</v>
      </c>
      <c r="T44" s="131">
        <v>44588</v>
      </c>
      <c r="U44" s="14" t="s">
        <v>31</v>
      </c>
      <c r="V44" s="20"/>
      <c r="W44" s="57">
        <v>1718648</v>
      </c>
      <c r="X44" s="57">
        <f t="shared" si="23"/>
        <v>0</v>
      </c>
      <c r="Y44" s="14"/>
      <c r="Z44" s="58">
        <v>0</v>
      </c>
      <c r="AA44" s="131">
        <v>44617</v>
      </c>
      <c r="AB44" s="14" t="s">
        <v>31</v>
      </c>
      <c r="AC44" s="20"/>
      <c r="AD44" s="57">
        <v>1718648</v>
      </c>
      <c r="AE44" s="57">
        <f>W44-AD44</f>
        <v>0</v>
      </c>
      <c r="AF44" s="57"/>
      <c r="AG44" s="57"/>
      <c r="AH44" s="58">
        <v>0</v>
      </c>
      <c r="AI44" s="120">
        <v>44645</v>
      </c>
      <c r="AJ44" s="57" t="s">
        <v>31</v>
      </c>
      <c r="AK44" s="14"/>
      <c r="AL44" s="57">
        <v>1718648</v>
      </c>
      <c r="AM44" s="57">
        <f t="shared" si="20"/>
        <v>0</v>
      </c>
      <c r="AN44" s="57"/>
      <c r="AO44" s="57"/>
      <c r="AP44" s="58">
        <v>0</v>
      </c>
      <c r="AQ44" s="101">
        <v>44677</v>
      </c>
      <c r="AR44" s="14" t="s">
        <v>31</v>
      </c>
      <c r="AS44" s="14"/>
      <c r="AT44" s="57">
        <v>1770161</v>
      </c>
      <c r="AU44" s="57"/>
      <c r="AV44" s="57">
        <f>AL44-AT44</f>
        <v>-51513</v>
      </c>
      <c r="AW44" s="57"/>
      <c r="AX44" s="58">
        <f>AV44/AL44</f>
        <v>-2.9972978760048598E-2</v>
      </c>
      <c r="AY44" s="120">
        <v>44712</v>
      </c>
      <c r="AZ44" s="57" t="s">
        <v>31</v>
      </c>
      <c r="BA44" s="120">
        <v>44728</v>
      </c>
      <c r="BB44" s="57">
        <v>1815236</v>
      </c>
      <c r="BC44" s="57"/>
      <c r="BD44" s="57">
        <f>AT44-BB44</f>
        <v>-45075</v>
      </c>
      <c r="BE44" s="57"/>
      <c r="BF44" s="58">
        <v>0</v>
      </c>
      <c r="BG44" s="101">
        <v>44742</v>
      </c>
      <c r="BH44" s="14" t="s">
        <v>31</v>
      </c>
      <c r="BI44" s="101">
        <v>44757</v>
      </c>
      <c r="BJ44" s="57">
        <v>1815236</v>
      </c>
      <c r="BK44" s="57">
        <f t="shared" si="22"/>
        <v>0</v>
      </c>
      <c r="BL44" s="57"/>
      <c r="BM44" s="57"/>
      <c r="BN44" s="58">
        <v>0</v>
      </c>
      <c r="BO44" s="101">
        <v>44774</v>
      </c>
      <c r="BP44" s="14" t="s">
        <v>31</v>
      </c>
      <c r="BQ44" s="14"/>
      <c r="BR44" s="57"/>
      <c r="BS44" s="57"/>
      <c r="BT44" s="57"/>
      <c r="BU44" s="57"/>
      <c r="BV44" s="58"/>
      <c r="BW44" s="101"/>
      <c r="BX44" s="14"/>
      <c r="BY44" s="14"/>
      <c r="BZ44" s="57"/>
      <c r="CA44" s="57"/>
      <c r="CB44" s="57"/>
      <c r="CC44" s="57"/>
      <c r="CD44" s="58"/>
      <c r="CE44" s="101"/>
      <c r="CF44" s="14"/>
      <c r="CG44" s="14"/>
      <c r="CH44" s="57"/>
      <c r="CI44" s="57"/>
      <c r="CJ44" s="57"/>
      <c r="CK44" s="57"/>
      <c r="CL44" s="58"/>
      <c r="CM44" s="101"/>
      <c r="CN44" s="14"/>
      <c r="CO44" s="14"/>
      <c r="CP44" s="57"/>
      <c r="CQ44" s="57"/>
      <c r="CR44" s="57"/>
      <c r="CS44" s="57"/>
      <c r="CT44" s="58"/>
      <c r="CU44" s="101"/>
      <c r="CV44" s="14"/>
      <c r="CW44" s="14"/>
    </row>
    <row r="45" spans="1:101" hidden="1" x14ac:dyDescent="0.35">
      <c r="A45" s="1" t="s">
        <v>229</v>
      </c>
      <c r="B45" s="26" t="s">
        <v>655</v>
      </c>
      <c r="C45" s="15">
        <v>9096</v>
      </c>
      <c r="D45" s="22"/>
      <c r="E45" s="18" t="s">
        <v>656</v>
      </c>
      <c r="F45" s="19"/>
      <c r="G45" s="39">
        <v>1848159</v>
      </c>
      <c r="H45" s="39">
        <v>1679000</v>
      </c>
      <c r="I45" s="8">
        <v>1848159</v>
      </c>
      <c r="J45" s="8">
        <f>H45-I45</f>
        <v>-169159</v>
      </c>
      <c r="K45" s="14"/>
      <c r="L45" s="58">
        <f>J45/G45</f>
        <v>-9.1528380404499829E-2</v>
      </c>
      <c r="M45" s="3" t="s">
        <v>31</v>
      </c>
      <c r="N45" s="123">
        <v>44566</v>
      </c>
      <c r="O45" s="20"/>
      <c r="P45" s="8">
        <v>1848159</v>
      </c>
      <c r="Q45" s="8">
        <f t="shared" si="21"/>
        <v>0</v>
      </c>
      <c r="R45" s="14"/>
      <c r="S45" s="58">
        <v>0</v>
      </c>
      <c r="T45" s="101">
        <v>44595</v>
      </c>
      <c r="U45" s="14" t="s">
        <v>31</v>
      </c>
      <c r="V45" s="20"/>
      <c r="W45" s="57">
        <v>1848159</v>
      </c>
      <c r="X45" s="57">
        <f t="shared" si="23"/>
        <v>0</v>
      </c>
      <c r="Y45" s="14"/>
      <c r="Z45" s="108">
        <v>0</v>
      </c>
      <c r="AA45" s="131">
        <v>44621</v>
      </c>
      <c r="AB45" s="14" t="s">
        <v>31</v>
      </c>
      <c r="AC45" s="20"/>
      <c r="AD45" s="57">
        <v>1848159</v>
      </c>
      <c r="AE45" s="57">
        <f>W45-AD45</f>
        <v>0</v>
      </c>
      <c r="AF45" s="57"/>
      <c r="AG45" s="57"/>
      <c r="AH45" s="58">
        <v>0</v>
      </c>
      <c r="AI45" s="120">
        <v>44656</v>
      </c>
      <c r="AJ45" s="57" t="s">
        <v>31</v>
      </c>
      <c r="AK45" s="14"/>
      <c r="AL45" s="57">
        <v>1848159</v>
      </c>
      <c r="AM45" s="57">
        <f t="shared" si="20"/>
        <v>0</v>
      </c>
      <c r="AN45" s="57"/>
      <c r="AO45" s="57"/>
      <c r="AP45" s="58">
        <v>0</v>
      </c>
      <c r="AQ45" s="101">
        <v>44684</v>
      </c>
      <c r="AR45" s="14" t="s">
        <v>31</v>
      </c>
      <c r="AS45" s="14"/>
      <c r="AT45" s="57">
        <v>1848159</v>
      </c>
      <c r="AU45" s="57">
        <f>AL45-AT45</f>
        <v>0</v>
      </c>
      <c r="AV45" s="57"/>
      <c r="AW45" s="57"/>
      <c r="AX45" s="58">
        <v>0</v>
      </c>
      <c r="AY45" s="120">
        <v>44715</v>
      </c>
      <c r="AZ45" s="57" t="s">
        <v>31</v>
      </c>
      <c r="BA45" s="120">
        <v>44728</v>
      </c>
      <c r="BB45" s="57">
        <v>1848159</v>
      </c>
      <c r="BC45" s="57">
        <f t="shared" ref="BC45:BC66" si="24">AT45-BB45</f>
        <v>0</v>
      </c>
      <c r="BD45" s="57"/>
      <c r="BE45" s="57"/>
      <c r="BF45" s="58">
        <v>0</v>
      </c>
      <c r="BG45" s="101">
        <v>44747</v>
      </c>
      <c r="BH45" s="14" t="s">
        <v>31</v>
      </c>
      <c r="BI45" s="101">
        <v>44757</v>
      </c>
      <c r="BJ45" s="57">
        <v>1848159</v>
      </c>
      <c r="BK45" s="57">
        <f t="shared" si="22"/>
        <v>0</v>
      </c>
      <c r="BL45" s="57"/>
      <c r="BM45" s="57"/>
      <c r="BN45" s="58">
        <v>0</v>
      </c>
      <c r="BO45" s="101">
        <v>44776</v>
      </c>
      <c r="BP45" s="14" t="s">
        <v>31</v>
      </c>
      <c r="BQ45" s="14"/>
      <c r="BR45" s="57"/>
      <c r="BS45" s="57"/>
      <c r="BT45" s="57"/>
      <c r="BU45" s="57"/>
      <c r="BV45" s="58"/>
      <c r="BW45" s="101"/>
      <c r="BX45" s="14"/>
      <c r="BY45" s="14"/>
      <c r="BZ45" s="57"/>
      <c r="CA45" s="57"/>
      <c r="CB45" s="57"/>
      <c r="CC45" s="57"/>
      <c r="CD45" s="58"/>
      <c r="CE45" s="101"/>
      <c r="CF45" s="14"/>
      <c r="CG45" s="14"/>
      <c r="CH45" s="57"/>
      <c r="CI45" s="57"/>
      <c r="CJ45" s="57"/>
      <c r="CK45" s="57"/>
      <c r="CL45" s="58"/>
      <c r="CM45" s="101"/>
      <c r="CN45" s="14"/>
      <c r="CO45" s="14"/>
      <c r="CP45" s="57"/>
      <c r="CQ45" s="57"/>
      <c r="CR45" s="57"/>
      <c r="CS45" s="57"/>
      <c r="CT45" s="58"/>
      <c r="CU45" s="101"/>
      <c r="CV45" s="14"/>
      <c r="CW45" s="14"/>
    </row>
    <row r="46" spans="1:101" hidden="1" x14ac:dyDescent="0.35">
      <c r="A46" s="74" t="s">
        <v>232</v>
      </c>
      <c r="B46" s="14" t="s">
        <v>657</v>
      </c>
      <c r="C46" s="15">
        <v>9100</v>
      </c>
      <c r="D46" s="15" t="s">
        <v>658</v>
      </c>
      <c r="E46" s="18" t="s">
        <v>234</v>
      </c>
      <c r="F46" s="19" t="s">
        <v>659</v>
      </c>
      <c r="G46" s="57">
        <v>3609563</v>
      </c>
      <c r="H46" s="8">
        <v>2636813</v>
      </c>
      <c r="I46" s="57">
        <v>2507427</v>
      </c>
      <c r="J46" s="8">
        <f>I46-H46</f>
        <v>-129386</v>
      </c>
      <c r="K46" s="14"/>
      <c r="L46" s="58">
        <f>J46/H46</f>
        <v>-4.9069084535004949E-2</v>
      </c>
      <c r="M46" s="3" t="s">
        <v>31</v>
      </c>
      <c r="N46" s="123">
        <v>44568</v>
      </c>
      <c r="O46" s="20"/>
      <c r="P46" s="8">
        <v>2505687</v>
      </c>
      <c r="Q46" s="8">
        <f t="shared" si="21"/>
        <v>1740</v>
      </c>
      <c r="R46" s="14"/>
      <c r="S46" s="58">
        <f>Q46/I46</f>
        <v>6.9393844765969258E-4</v>
      </c>
      <c r="T46" s="101">
        <v>44594</v>
      </c>
      <c r="U46" s="14" t="s">
        <v>31</v>
      </c>
      <c r="V46" s="20"/>
      <c r="W46" s="57">
        <v>2389287</v>
      </c>
      <c r="X46" s="57">
        <f t="shared" si="23"/>
        <v>116400</v>
      </c>
      <c r="Y46" s="14"/>
      <c r="Z46" s="58">
        <f>X46/P46</f>
        <v>4.6454325699897873E-2</v>
      </c>
      <c r="AA46" s="131">
        <v>44622</v>
      </c>
      <c r="AB46" s="14" t="s">
        <v>31</v>
      </c>
      <c r="AC46" s="20"/>
      <c r="AD46" s="57">
        <v>2404342</v>
      </c>
      <c r="AE46" s="57">
        <f>P46-AD46</f>
        <v>101345</v>
      </c>
      <c r="AF46" s="57"/>
      <c r="AG46" s="57"/>
      <c r="AH46" s="58">
        <f>AE46/P46</f>
        <v>4.0445993454090633E-2</v>
      </c>
      <c r="AI46" s="120">
        <v>44655</v>
      </c>
      <c r="AJ46" s="57" t="s">
        <v>31</v>
      </c>
      <c r="AK46" s="14"/>
      <c r="AL46" s="57">
        <v>2397985</v>
      </c>
      <c r="AM46" s="57">
        <f t="shared" si="20"/>
        <v>6357</v>
      </c>
      <c r="AN46" s="57"/>
      <c r="AO46" s="57"/>
      <c r="AP46" s="58">
        <f>AM46/AD46</f>
        <v>2.6439666237165929E-3</v>
      </c>
      <c r="AQ46" s="101">
        <v>44687</v>
      </c>
      <c r="AR46" s="14" t="s">
        <v>31</v>
      </c>
      <c r="AS46" s="14"/>
      <c r="AT46" s="57">
        <v>3609563</v>
      </c>
      <c r="AU46" s="57"/>
      <c r="AV46" s="57">
        <f>P46-AT46</f>
        <v>-1103876</v>
      </c>
      <c r="AW46" s="57"/>
      <c r="AX46" s="58">
        <f>AV46/P46</f>
        <v>-0.44054824086168781</v>
      </c>
      <c r="AY46" s="120">
        <v>44715</v>
      </c>
      <c r="AZ46" s="57" t="s">
        <v>31</v>
      </c>
      <c r="BA46" s="120">
        <v>44728</v>
      </c>
      <c r="BB46" s="57">
        <v>2402721</v>
      </c>
      <c r="BC46" s="57">
        <f t="shared" si="24"/>
        <v>1206842</v>
      </c>
      <c r="BD46" s="57"/>
      <c r="BE46" s="57"/>
      <c r="BF46" s="58">
        <f>BC46/AT46</f>
        <v>0.33434573658916605</v>
      </c>
      <c r="BG46" s="101">
        <v>44747</v>
      </c>
      <c r="BH46" s="14" t="s">
        <v>31</v>
      </c>
      <c r="BI46" s="101">
        <v>44757</v>
      </c>
      <c r="BJ46" s="57">
        <v>2405368</v>
      </c>
      <c r="BK46" s="57">
        <f t="shared" si="22"/>
        <v>-2647</v>
      </c>
      <c r="BL46" s="57"/>
      <c r="BM46" s="57"/>
      <c r="BN46" s="58">
        <f>BK46/BB46</f>
        <v>-1.1016676509673824E-3</v>
      </c>
      <c r="BO46" s="101">
        <v>44776</v>
      </c>
      <c r="BP46" s="14" t="s">
        <v>31</v>
      </c>
      <c r="BQ46" s="14"/>
      <c r="BR46" s="57"/>
      <c r="BS46" s="57"/>
      <c r="BT46" s="57"/>
      <c r="BU46" s="57"/>
      <c r="BV46" s="58"/>
      <c r="BW46" s="101"/>
      <c r="BX46" s="14"/>
      <c r="BY46" s="14"/>
      <c r="BZ46" s="57"/>
      <c r="CA46" s="57"/>
      <c r="CB46" s="57"/>
      <c r="CC46" s="57"/>
      <c r="CD46" s="58"/>
      <c r="CE46" s="101"/>
      <c r="CF46" s="14"/>
      <c r="CG46" s="14"/>
      <c r="CH46" s="57"/>
      <c r="CI46" s="57"/>
      <c r="CJ46" s="57"/>
      <c r="CK46" s="57"/>
      <c r="CL46" s="58"/>
      <c r="CM46" s="101"/>
      <c r="CN46" s="14"/>
      <c r="CO46" s="14"/>
      <c r="CP46" s="57"/>
      <c r="CQ46" s="57"/>
      <c r="CR46" s="57"/>
      <c r="CS46" s="57"/>
      <c r="CT46" s="58"/>
      <c r="CU46" s="101"/>
      <c r="CV46" s="14"/>
      <c r="CW46" s="14"/>
    </row>
    <row r="47" spans="1:101" hidden="1" x14ac:dyDescent="0.35">
      <c r="A47" s="74" t="s">
        <v>237</v>
      </c>
      <c r="B47" s="26" t="s">
        <v>660</v>
      </c>
      <c r="C47" s="15">
        <v>9101</v>
      </c>
      <c r="D47" s="22">
        <v>210622</v>
      </c>
      <c r="E47" s="18" t="s">
        <v>661</v>
      </c>
      <c r="F47" s="29">
        <v>900089075</v>
      </c>
      <c r="G47" s="57">
        <f>817514+1334111</f>
        <v>2151625</v>
      </c>
      <c r="H47" s="39">
        <v>1954779</v>
      </c>
      <c r="I47" s="57">
        <f>817514+1334111</f>
        <v>2151625</v>
      </c>
      <c r="J47" s="8">
        <f>H47-I47</f>
        <v>-196846</v>
      </c>
      <c r="K47" s="14"/>
      <c r="L47" s="58">
        <f>J47/H47</f>
        <v>-0.10069987451266869</v>
      </c>
      <c r="M47" s="3" t="s">
        <v>31</v>
      </c>
      <c r="N47" s="123">
        <v>44566</v>
      </c>
      <c r="O47" s="20"/>
      <c r="P47" s="57">
        <f>1334111+817514</f>
        <v>2151625</v>
      </c>
      <c r="Q47" s="8">
        <f t="shared" si="21"/>
        <v>0</v>
      </c>
      <c r="R47" s="14"/>
      <c r="S47" s="58">
        <v>0</v>
      </c>
      <c r="T47" s="131">
        <v>44594</v>
      </c>
      <c r="U47" s="14" t="s">
        <v>31</v>
      </c>
      <c r="V47" s="20"/>
      <c r="W47" s="57">
        <f>817514+1334111</f>
        <v>2151625</v>
      </c>
      <c r="X47" s="57">
        <f t="shared" si="23"/>
        <v>0</v>
      </c>
      <c r="Y47" s="14"/>
      <c r="Z47" s="58">
        <v>0</v>
      </c>
      <c r="AA47" s="131">
        <v>44621</v>
      </c>
      <c r="AB47" s="14" t="s">
        <v>31</v>
      </c>
      <c r="AC47" s="20"/>
      <c r="AD47" s="57">
        <f>817514+1334111</f>
        <v>2151625</v>
      </c>
      <c r="AE47" s="57">
        <f>W47-AD47</f>
        <v>0</v>
      </c>
      <c r="AF47" s="57"/>
      <c r="AG47" s="57"/>
      <c r="AH47" s="58">
        <v>0</v>
      </c>
      <c r="AI47" s="120">
        <v>44655</v>
      </c>
      <c r="AJ47" s="57" t="s">
        <v>31</v>
      </c>
      <c r="AK47" s="14"/>
      <c r="AL47" s="57">
        <f>1334111+817514</f>
        <v>2151625</v>
      </c>
      <c r="AM47" s="57">
        <f t="shared" si="20"/>
        <v>0</v>
      </c>
      <c r="AN47" s="57"/>
      <c r="AO47" s="57"/>
      <c r="AP47" s="58">
        <v>0</v>
      </c>
      <c r="AQ47" s="101">
        <v>44683</v>
      </c>
      <c r="AR47" s="14" t="s">
        <v>31</v>
      </c>
      <c r="AS47" s="14"/>
      <c r="AT47" s="57">
        <f>817514+1334111</f>
        <v>2151625</v>
      </c>
      <c r="AU47" s="57">
        <f t="shared" ref="AU47:AU55" si="25">AL47-AT47</f>
        <v>0</v>
      </c>
      <c r="AV47" s="57"/>
      <c r="AW47" s="57"/>
      <c r="AX47" s="58">
        <v>0</v>
      </c>
      <c r="AY47" s="120">
        <v>44713</v>
      </c>
      <c r="AZ47" s="57" t="s">
        <v>31</v>
      </c>
      <c r="BA47" s="120">
        <v>44728</v>
      </c>
      <c r="BB47" s="57">
        <f>1334111+817514</f>
        <v>2151625</v>
      </c>
      <c r="BC47" s="57">
        <f t="shared" si="24"/>
        <v>0</v>
      </c>
      <c r="BD47" s="57"/>
      <c r="BE47" s="57"/>
      <c r="BF47" s="58">
        <v>0</v>
      </c>
      <c r="BG47" s="101">
        <v>44743</v>
      </c>
      <c r="BH47" s="14" t="s">
        <v>31</v>
      </c>
      <c r="BI47" s="101">
        <v>44757</v>
      </c>
      <c r="BJ47" s="57">
        <f>817514+1334111</f>
        <v>2151625</v>
      </c>
      <c r="BK47" s="57">
        <f t="shared" si="22"/>
        <v>0</v>
      </c>
      <c r="BL47" s="57"/>
      <c r="BM47" s="57"/>
      <c r="BN47" s="58">
        <v>0</v>
      </c>
      <c r="BO47" s="101">
        <v>44774</v>
      </c>
      <c r="BP47" s="14" t="s">
        <v>31</v>
      </c>
      <c r="BQ47" s="14"/>
      <c r="BR47" s="57"/>
      <c r="BS47" s="57"/>
      <c r="BT47" s="57"/>
      <c r="BU47" s="57"/>
      <c r="BV47" s="58"/>
      <c r="BW47" s="101"/>
      <c r="BX47" s="14"/>
      <c r="BY47" s="14"/>
      <c r="BZ47" s="57"/>
      <c r="CA47" s="57"/>
      <c r="CB47" s="57"/>
      <c r="CC47" s="57"/>
      <c r="CD47" s="58"/>
      <c r="CE47" s="101"/>
      <c r="CF47" s="14"/>
      <c r="CG47" s="14"/>
      <c r="CH47" s="57"/>
      <c r="CI47" s="57"/>
      <c r="CJ47" s="57"/>
      <c r="CK47" s="57"/>
      <c r="CL47" s="58"/>
      <c r="CM47" s="101"/>
      <c r="CN47" s="14"/>
      <c r="CO47" s="14"/>
      <c r="CP47" s="57"/>
      <c r="CQ47" s="57"/>
      <c r="CR47" s="57"/>
      <c r="CS47" s="57"/>
      <c r="CT47" s="58"/>
      <c r="CU47" s="101"/>
      <c r="CV47" s="14"/>
      <c r="CW47" s="14"/>
    </row>
    <row r="48" spans="1:101" hidden="1" x14ac:dyDescent="0.35">
      <c r="A48" s="74" t="s">
        <v>240</v>
      </c>
      <c r="B48" s="26" t="s">
        <v>662</v>
      </c>
      <c r="C48" s="15">
        <v>9102</v>
      </c>
      <c r="D48" s="15" t="s">
        <v>663</v>
      </c>
      <c r="E48" s="18" t="s">
        <v>664</v>
      </c>
      <c r="F48" s="19" t="s">
        <v>553</v>
      </c>
      <c r="G48" s="57">
        <v>2014577</v>
      </c>
      <c r="H48" s="57">
        <v>2014577</v>
      </c>
      <c r="I48" s="21">
        <v>2014577</v>
      </c>
      <c r="J48" s="57">
        <f>G48-I48</f>
        <v>0</v>
      </c>
      <c r="K48" s="14"/>
      <c r="L48" s="58">
        <v>0</v>
      </c>
      <c r="M48" s="3" t="s">
        <v>31</v>
      </c>
      <c r="N48" s="123">
        <v>44566</v>
      </c>
      <c r="O48" s="20"/>
      <c r="P48" s="57">
        <v>2014577</v>
      </c>
      <c r="Q48" s="8">
        <f>I48-P48</f>
        <v>0</v>
      </c>
      <c r="R48" s="14"/>
      <c r="S48" s="58">
        <v>0</v>
      </c>
      <c r="T48" s="101">
        <v>44600</v>
      </c>
      <c r="U48" s="14" t="s">
        <v>31</v>
      </c>
      <c r="V48" s="20"/>
      <c r="W48" s="57">
        <v>2014577</v>
      </c>
      <c r="X48" s="57">
        <f t="shared" ref="X48:X53" si="26">P48-W48</f>
        <v>0</v>
      </c>
      <c r="Y48" s="14"/>
      <c r="Z48" s="58">
        <v>0</v>
      </c>
      <c r="AA48" s="101">
        <v>44627</v>
      </c>
      <c r="AB48" s="14" t="s">
        <v>31</v>
      </c>
      <c r="AC48" s="20"/>
      <c r="AD48" s="57">
        <v>2014577</v>
      </c>
      <c r="AE48" s="57">
        <f>W48-AD48</f>
        <v>0</v>
      </c>
      <c r="AF48" s="57"/>
      <c r="AG48" s="57"/>
      <c r="AH48" s="58">
        <v>0</v>
      </c>
      <c r="AI48" s="120">
        <v>44658</v>
      </c>
      <c r="AJ48" s="57" t="s">
        <v>31</v>
      </c>
      <c r="AK48" s="14"/>
      <c r="AL48" s="57">
        <v>2014577</v>
      </c>
      <c r="AM48" s="57">
        <f t="shared" si="20"/>
        <v>0</v>
      </c>
      <c r="AN48" s="57"/>
      <c r="AO48" s="57"/>
      <c r="AP48" s="58">
        <v>0</v>
      </c>
      <c r="AQ48" s="101">
        <v>44687</v>
      </c>
      <c r="AR48" s="14" t="s">
        <v>31</v>
      </c>
      <c r="AS48" s="14"/>
      <c r="AT48" s="57">
        <v>2014577</v>
      </c>
      <c r="AU48" s="57">
        <f t="shared" si="25"/>
        <v>0</v>
      </c>
      <c r="AV48" s="57"/>
      <c r="AW48" s="57"/>
      <c r="AX48" s="58">
        <v>0</v>
      </c>
      <c r="AY48" s="120">
        <v>44718</v>
      </c>
      <c r="AZ48" s="57" t="s">
        <v>31</v>
      </c>
      <c r="BA48" s="120">
        <v>44728</v>
      </c>
      <c r="BB48" s="57">
        <v>2014577</v>
      </c>
      <c r="BC48" s="57">
        <f t="shared" si="24"/>
        <v>0</v>
      </c>
      <c r="BD48" s="57"/>
      <c r="BE48" s="57"/>
      <c r="BF48" s="58">
        <v>0</v>
      </c>
      <c r="BG48" s="101">
        <v>44750</v>
      </c>
      <c r="BH48" s="14" t="s">
        <v>31</v>
      </c>
      <c r="BI48" s="101">
        <v>44768</v>
      </c>
      <c r="BJ48" s="57">
        <v>2014577</v>
      </c>
      <c r="BK48" s="57">
        <f t="shared" si="22"/>
        <v>0</v>
      </c>
      <c r="BL48" s="57"/>
      <c r="BM48" s="57"/>
      <c r="BN48" s="58">
        <v>0</v>
      </c>
      <c r="BO48" s="101">
        <v>44778</v>
      </c>
      <c r="BP48" s="14" t="s">
        <v>31</v>
      </c>
      <c r="BQ48" s="14"/>
      <c r="BR48" s="57"/>
      <c r="BS48" s="57"/>
      <c r="BT48" s="57"/>
      <c r="BU48" s="57"/>
      <c r="BV48" s="58"/>
      <c r="BW48" s="101"/>
      <c r="BX48" s="14"/>
      <c r="BY48" s="14"/>
      <c r="BZ48" s="57"/>
      <c r="CA48" s="57"/>
      <c r="CB48" s="57"/>
      <c r="CC48" s="57"/>
      <c r="CD48" s="58"/>
      <c r="CE48" s="101"/>
      <c r="CF48" s="14"/>
      <c r="CG48" s="14"/>
      <c r="CH48" s="57"/>
      <c r="CI48" s="57"/>
      <c r="CJ48" s="57"/>
      <c r="CK48" s="57"/>
      <c r="CL48" s="58"/>
      <c r="CM48" s="101"/>
      <c r="CN48" s="14"/>
      <c r="CO48" s="14"/>
      <c r="CP48" s="57"/>
      <c r="CQ48" s="57"/>
      <c r="CR48" s="57"/>
      <c r="CS48" s="57"/>
      <c r="CT48" s="58"/>
      <c r="CU48" s="101"/>
      <c r="CV48" s="14"/>
      <c r="CW48" s="14"/>
    </row>
    <row r="49" spans="1:101" hidden="1" x14ac:dyDescent="0.35">
      <c r="A49" s="74" t="s">
        <v>244</v>
      </c>
      <c r="B49" s="26" t="s">
        <v>665</v>
      </c>
      <c r="C49" s="15">
        <v>9120</v>
      </c>
      <c r="D49" s="15">
        <v>212833</v>
      </c>
      <c r="E49" s="18" t="s">
        <v>578</v>
      </c>
      <c r="F49" s="23">
        <v>901094453</v>
      </c>
      <c r="G49" s="39">
        <v>3526286</v>
      </c>
      <c r="H49" s="39">
        <v>3526286</v>
      </c>
      <c r="I49" s="88">
        <v>3526286</v>
      </c>
      <c r="J49" s="8">
        <f>H49-I49</f>
        <v>0</v>
      </c>
      <c r="K49" s="14"/>
      <c r="L49" s="58">
        <v>0</v>
      </c>
      <c r="M49" s="123" t="s">
        <v>31</v>
      </c>
      <c r="N49" s="123">
        <v>44565</v>
      </c>
      <c r="O49" s="20"/>
      <c r="P49" s="57">
        <v>3526286</v>
      </c>
      <c r="Q49" s="8">
        <f t="shared" ref="Q49:Q56" si="27">I49-P49</f>
        <v>0</v>
      </c>
      <c r="R49" s="14"/>
      <c r="S49" s="58">
        <v>0</v>
      </c>
      <c r="T49" s="131">
        <v>44594</v>
      </c>
      <c r="U49" s="14" t="s">
        <v>31</v>
      </c>
      <c r="V49" s="20"/>
      <c r="W49" s="57">
        <v>3526286</v>
      </c>
      <c r="X49" s="57">
        <f t="shared" si="26"/>
        <v>0</v>
      </c>
      <c r="Y49" s="14"/>
      <c r="Z49" s="58">
        <v>0</v>
      </c>
      <c r="AA49" s="131">
        <v>44621</v>
      </c>
      <c r="AB49" s="14" t="s">
        <v>31</v>
      </c>
      <c r="AC49" s="20"/>
      <c r="AD49" s="57">
        <v>3526286</v>
      </c>
      <c r="AE49" s="57">
        <f>W49-AD49</f>
        <v>0</v>
      </c>
      <c r="AF49" s="57"/>
      <c r="AG49" s="57"/>
      <c r="AH49" s="58">
        <v>0</v>
      </c>
      <c r="AI49" s="120">
        <v>44655</v>
      </c>
      <c r="AJ49" s="57" t="s">
        <v>31</v>
      </c>
      <c r="AK49" s="14"/>
      <c r="AL49" s="57">
        <v>3526286</v>
      </c>
      <c r="AM49" s="57">
        <f t="shared" si="20"/>
        <v>0</v>
      </c>
      <c r="AN49" s="57"/>
      <c r="AO49" s="57"/>
      <c r="AP49" s="58">
        <v>0</v>
      </c>
      <c r="AQ49" s="101">
        <v>44683</v>
      </c>
      <c r="AR49" s="14" t="s">
        <v>31</v>
      </c>
      <c r="AS49" s="14"/>
      <c r="AT49" s="57">
        <v>3526286</v>
      </c>
      <c r="AU49" s="57">
        <f t="shared" si="25"/>
        <v>0</v>
      </c>
      <c r="AV49" s="57"/>
      <c r="AW49" s="57"/>
      <c r="AX49" s="58">
        <v>0</v>
      </c>
      <c r="AY49" s="120">
        <v>44713</v>
      </c>
      <c r="AZ49" s="57" t="s">
        <v>31</v>
      </c>
      <c r="BA49" s="120">
        <v>44728</v>
      </c>
      <c r="BB49" s="57">
        <v>3526286</v>
      </c>
      <c r="BC49" s="57">
        <f t="shared" si="24"/>
        <v>0</v>
      </c>
      <c r="BD49" s="57"/>
      <c r="BE49" s="57"/>
      <c r="BF49" s="58">
        <v>0</v>
      </c>
      <c r="BG49" s="101">
        <v>44743</v>
      </c>
      <c r="BH49" s="14" t="s">
        <v>31</v>
      </c>
      <c r="BI49" s="101">
        <v>44757</v>
      </c>
      <c r="BJ49" s="57">
        <v>3526286</v>
      </c>
      <c r="BK49" s="57">
        <f t="shared" si="22"/>
        <v>0</v>
      </c>
      <c r="BL49" s="57"/>
      <c r="BM49" s="57"/>
      <c r="BN49" s="58">
        <v>0</v>
      </c>
      <c r="BO49" s="101">
        <v>44776</v>
      </c>
      <c r="BP49" s="14" t="s">
        <v>31</v>
      </c>
      <c r="BQ49" s="14"/>
      <c r="BR49" s="235"/>
      <c r="BS49" s="236"/>
      <c r="BT49" s="236"/>
      <c r="BU49" s="236"/>
      <c r="BV49" s="236"/>
      <c r="BW49" s="236"/>
      <c r="BX49" s="236"/>
      <c r="BY49" s="237"/>
      <c r="BZ49" s="57"/>
      <c r="CA49" s="57"/>
      <c r="CB49" s="57"/>
      <c r="CC49" s="57"/>
      <c r="CD49" s="58"/>
      <c r="CE49" s="101"/>
      <c r="CF49" s="14"/>
      <c r="CG49" s="14"/>
      <c r="CH49" s="57"/>
      <c r="CI49" s="57"/>
      <c r="CJ49" s="57"/>
      <c r="CK49" s="57"/>
      <c r="CL49" s="58"/>
      <c r="CM49" s="101"/>
      <c r="CN49" s="14"/>
      <c r="CO49" s="14"/>
      <c r="CP49" s="57"/>
      <c r="CQ49" s="57"/>
      <c r="CR49" s="57"/>
      <c r="CS49" s="57"/>
      <c r="CT49" s="58"/>
      <c r="CU49" s="101"/>
      <c r="CV49" s="14"/>
      <c r="CW49" s="14"/>
    </row>
    <row r="50" spans="1:101" hidden="1" x14ac:dyDescent="0.35">
      <c r="A50" s="74" t="s">
        <v>246</v>
      </c>
      <c r="B50" s="26" t="s">
        <v>666</v>
      </c>
      <c r="C50" s="15">
        <v>9103</v>
      </c>
      <c r="D50" s="15" t="s">
        <v>667</v>
      </c>
      <c r="E50" s="18" t="s">
        <v>668</v>
      </c>
      <c r="F50" s="19" t="s">
        <v>669</v>
      </c>
      <c r="G50" s="57">
        <v>1216300</v>
      </c>
      <c r="H50" s="57">
        <v>1105000</v>
      </c>
      <c r="I50" s="57">
        <v>1216300</v>
      </c>
      <c r="J50" s="8">
        <f>H50-I50</f>
        <v>-111300</v>
      </c>
      <c r="K50" s="14"/>
      <c r="L50" s="58">
        <f>J50/H50</f>
        <v>-0.10072398190045249</v>
      </c>
      <c r="M50" s="3" t="s">
        <v>31</v>
      </c>
      <c r="N50" s="123">
        <v>44566</v>
      </c>
      <c r="O50" s="20"/>
      <c r="P50" s="57">
        <v>1216300</v>
      </c>
      <c r="Q50" s="8">
        <f t="shared" si="27"/>
        <v>0</v>
      </c>
      <c r="R50" s="14"/>
      <c r="S50" s="58">
        <v>0</v>
      </c>
      <c r="T50" s="131">
        <v>44594</v>
      </c>
      <c r="U50" s="14" t="s">
        <v>31</v>
      </c>
      <c r="V50" s="20"/>
      <c r="W50" s="57">
        <v>1068700</v>
      </c>
      <c r="X50" s="57">
        <f t="shared" si="26"/>
        <v>147600</v>
      </c>
      <c r="Y50" s="14"/>
      <c r="Z50" s="58">
        <f>X50/P50</f>
        <v>0.12135164022034038</v>
      </c>
      <c r="AA50" s="101">
        <v>44624</v>
      </c>
      <c r="AB50" s="14" t="s">
        <v>31</v>
      </c>
      <c r="AC50" s="20"/>
      <c r="AD50" s="57">
        <v>1167100</v>
      </c>
      <c r="AE50" s="57">
        <f>P50-AD50</f>
        <v>49200</v>
      </c>
      <c r="AF50" s="57"/>
      <c r="AG50" s="57"/>
      <c r="AH50" s="58">
        <f>AE50/P50</f>
        <v>4.0450546740113461E-2</v>
      </c>
      <c r="AI50" s="120">
        <v>44655</v>
      </c>
      <c r="AJ50" s="57" t="s">
        <v>31</v>
      </c>
      <c r="AK50" s="14"/>
      <c r="AL50" s="57">
        <v>1167100</v>
      </c>
      <c r="AM50" s="57">
        <v>0</v>
      </c>
      <c r="AN50" s="57"/>
      <c r="AO50" s="57"/>
      <c r="AP50" s="58">
        <v>0</v>
      </c>
      <c r="AQ50" s="101">
        <v>44683</v>
      </c>
      <c r="AR50" s="14" t="s">
        <v>31</v>
      </c>
      <c r="AS50" s="14"/>
      <c r="AT50" s="57">
        <v>1167100</v>
      </c>
      <c r="AU50" s="57">
        <f t="shared" si="25"/>
        <v>0</v>
      </c>
      <c r="AV50" s="57"/>
      <c r="AW50" s="57"/>
      <c r="AX50" s="58">
        <v>0</v>
      </c>
      <c r="AY50" s="120">
        <v>44718</v>
      </c>
      <c r="AZ50" s="57" t="s">
        <v>31</v>
      </c>
      <c r="BA50" s="120">
        <v>44728</v>
      </c>
      <c r="BB50" s="57">
        <v>1167100</v>
      </c>
      <c r="BC50" s="57">
        <f t="shared" si="24"/>
        <v>0</v>
      </c>
      <c r="BD50" s="57"/>
      <c r="BE50" s="57"/>
      <c r="BF50" s="58">
        <v>0</v>
      </c>
      <c r="BG50" s="101">
        <v>44743</v>
      </c>
      <c r="BH50" s="14" t="s">
        <v>31</v>
      </c>
      <c r="BI50" s="101">
        <v>44757</v>
      </c>
      <c r="BJ50" s="57">
        <v>1167100</v>
      </c>
      <c r="BK50" s="57">
        <f t="shared" si="22"/>
        <v>0</v>
      </c>
      <c r="BL50" s="57"/>
      <c r="BM50" s="57"/>
      <c r="BN50" s="58">
        <v>0</v>
      </c>
      <c r="BO50" s="101">
        <v>44775</v>
      </c>
      <c r="BP50" s="14" t="s">
        <v>31</v>
      </c>
      <c r="BQ50" s="14"/>
      <c r="BR50" s="57"/>
      <c r="BS50" s="57"/>
      <c r="BT50" s="57"/>
      <c r="BU50" s="57"/>
      <c r="BV50" s="58"/>
      <c r="BW50" s="101"/>
      <c r="BX50" s="14"/>
      <c r="BY50" s="14"/>
      <c r="BZ50" s="57"/>
      <c r="CA50" s="57"/>
      <c r="CB50" s="57"/>
      <c r="CC50" s="57"/>
      <c r="CD50" s="58"/>
      <c r="CE50" s="101"/>
      <c r="CF50" s="14"/>
      <c r="CG50" s="14"/>
      <c r="CH50" s="57"/>
      <c r="CI50" s="57"/>
      <c r="CJ50" s="57"/>
      <c r="CK50" s="57"/>
      <c r="CL50" s="58"/>
      <c r="CM50" s="101"/>
      <c r="CN50" s="14"/>
      <c r="CO50" s="14"/>
      <c r="CP50" s="57"/>
      <c r="CQ50" s="57"/>
      <c r="CR50" s="57"/>
      <c r="CS50" s="57"/>
      <c r="CT50" s="58"/>
      <c r="CU50" s="101"/>
      <c r="CV50" s="14"/>
      <c r="CW50" s="14"/>
    </row>
    <row r="51" spans="1:101" hidden="1" x14ac:dyDescent="0.35">
      <c r="A51" s="74" t="s">
        <v>250</v>
      </c>
      <c r="B51" s="26" t="s">
        <v>670</v>
      </c>
      <c r="C51" s="15">
        <v>8974</v>
      </c>
      <c r="D51" s="22">
        <v>204532</v>
      </c>
      <c r="E51" s="18" t="s">
        <v>671</v>
      </c>
      <c r="F51" s="19" t="s">
        <v>672</v>
      </c>
      <c r="G51" s="39">
        <v>2407956</v>
      </c>
      <c r="H51" s="39">
        <v>2237636</v>
      </c>
      <c r="I51" s="57">
        <v>2237636</v>
      </c>
      <c r="J51" s="8">
        <f>H51-I51</f>
        <v>0</v>
      </c>
      <c r="K51" s="14"/>
      <c r="L51" s="58">
        <v>0</v>
      </c>
      <c r="M51" s="3" t="s">
        <v>31</v>
      </c>
      <c r="N51" s="123">
        <v>44566</v>
      </c>
      <c r="O51" s="20"/>
      <c r="P51" s="8">
        <v>2363387</v>
      </c>
      <c r="Q51" s="8">
        <f t="shared" si="27"/>
        <v>-125751</v>
      </c>
      <c r="R51" s="14"/>
      <c r="S51" s="58">
        <f>Q51/I51</f>
        <v>-5.6198148403046787E-2</v>
      </c>
      <c r="T51" s="101">
        <v>44594</v>
      </c>
      <c r="U51" s="14" t="s">
        <v>31</v>
      </c>
      <c r="V51" s="20"/>
      <c r="W51" s="57">
        <v>2363387</v>
      </c>
      <c r="X51" s="57">
        <f t="shared" si="26"/>
        <v>0</v>
      </c>
      <c r="Y51" s="14"/>
      <c r="Z51" s="58">
        <v>0</v>
      </c>
      <c r="AA51" s="131">
        <v>44622</v>
      </c>
      <c r="AB51" s="14" t="s">
        <v>31</v>
      </c>
      <c r="AC51" s="20"/>
      <c r="AD51" s="57">
        <f>2363387+248467</f>
        <v>2611854</v>
      </c>
      <c r="AE51" s="57"/>
      <c r="AF51" s="57">
        <f>W51-AD51</f>
        <v>-248467</v>
      </c>
      <c r="AG51" s="57"/>
      <c r="AH51" s="58">
        <f>AF51/W51</f>
        <v>-0.10513174524527723</v>
      </c>
      <c r="AI51" s="120">
        <v>44664</v>
      </c>
      <c r="AJ51" s="57" t="s">
        <v>31</v>
      </c>
      <c r="AK51" s="14"/>
      <c r="AL51" s="57">
        <f>2363387+44569</f>
        <v>2407956</v>
      </c>
      <c r="AM51" s="57">
        <f>W51-AL51</f>
        <v>-44569</v>
      </c>
      <c r="AN51" s="57"/>
      <c r="AO51" s="57">
        <f>59415+18586</f>
        <v>78001</v>
      </c>
      <c r="AP51" s="58">
        <v>0</v>
      </c>
      <c r="AQ51" s="101">
        <v>44713</v>
      </c>
      <c r="AR51" s="14" t="s">
        <v>31</v>
      </c>
      <c r="AS51" s="14"/>
      <c r="AT51" s="57">
        <v>2407956</v>
      </c>
      <c r="AU51" s="57">
        <f t="shared" si="25"/>
        <v>0</v>
      </c>
      <c r="AV51" s="57"/>
      <c r="AW51" s="57"/>
      <c r="AX51" s="58">
        <v>0</v>
      </c>
      <c r="AY51" s="120">
        <v>44715</v>
      </c>
      <c r="AZ51" s="57" t="s">
        <v>31</v>
      </c>
      <c r="BA51" s="120">
        <v>44728</v>
      </c>
      <c r="BB51" s="57">
        <v>2407956</v>
      </c>
      <c r="BC51" s="57">
        <f t="shared" si="24"/>
        <v>0</v>
      </c>
      <c r="BD51" s="57"/>
      <c r="BE51" s="57">
        <v>14740</v>
      </c>
      <c r="BF51" s="58">
        <v>0</v>
      </c>
      <c r="BG51" s="101">
        <v>44747</v>
      </c>
      <c r="BH51" s="14" t="s">
        <v>31</v>
      </c>
      <c r="BI51" s="101">
        <v>44757</v>
      </c>
      <c r="BJ51" s="57">
        <v>2393220</v>
      </c>
      <c r="BK51" s="57">
        <f t="shared" si="22"/>
        <v>14736</v>
      </c>
      <c r="BL51" s="57"/>
      <c r="BM51" s="57"/>
      <c r="BN51" s="58">
        <f>BK51/BB51</f>
        <v>6.1197131509047511E-3</v>
      </c>
      <c r="BO51" s="101">
        <v>44776</v>
      </c>
      <c r="BP51" s="14" t="s">
        <v>31</v>
      </c>
      <c r="BQ51" s="14"/>
      <c r="BR51" s="57"/>
      <c r="BS51" s="57"/>
      <c r="BT51" s="57"/>
      <c r="BU51" s="57"/>
      <c r="BV51" s="58"/>
      <c r="BW51" s="101"/>
      <c r="BX51" s="14"/>
      <c r="BY51" s="14"/>
      <c r="BZ51" s="57"/>
      <c r="CA51" s="57"/>
      <c r="CB51" s="57"/>
      <c r="CC51" s="57"/>
      <c r="CD51" s="58"/>
      <c r="CE51" s="101"/>
      <c r="CF51" s="14"/>
      <c r="CG51" s="14"/>
      <c r="CH51" s="57"/>
      <c r="CI51" s="57"/>
      <c r="CJ51" s="57"/>
      <c r="CK51" s="57"/>
      <c r="CL51" s="58"/>
      <c r="CM51" s="101"/>
      <c r="CN51" s="14"/>
      <c r="CO51" s="14"/>
      <c r="CP51" s="57"/>
      <c r="CQ51" s="57"/>
      <c r="CR51" s="57"/>
      <c r="CS51" s="57"/>
      <c r="CT51" s="58"/>
      <c r="CU51" s="101"/>
      <c r="CV51" s="14"/>
      <c r="CW51" s="14"/>
    </row>
    <row r="52" spans="1:101" hidden="1" x14ac:dyDescent="0.35">
      <c r="A52" s="1" t="s">
        <v>252</v>
      </c>
      <c r="B52" s="18" t="s">
        <v>673</v>
      </c>
      <c r="C52" s="24">
        <v>6573</v>
      </c>
      <c r="D52" s="22">
        <v>204606</v>
      </c>
      <c r="E52" s="18" t="s">
        <v>600</v>
      </c>
      <c r="F52" s="19" t="s">
        <v>601</v>
      </c>
      <c r="G52" s="39">
        <v>1313296</v>
      </c>
      <c r="H52" s="39">
        <v>1250758</v>
      </c>
      <c r="I52" s="57">
        <v>1250758</v>
      </c>
      <c r="J52" s="8">
        <f>H52-I52</f>
        <v>0</v>
      </c>
      <c r="K52" s="14"/>
      <c r="L52" s="58">
        <v>0</v>
      </c>
      <c r="M52" s="3" t="s">
        <v>31</v>
      </c>
      <c r="N52" s="123">
        <v>44565</v>
      </c>
      <c r="O52" s="20"/>
      <c r="P52" s="57">
        <v>1250758</v>
      </c>
      <c r="Q52" s="8">
        <f t="shared" si="27"/>
        <v>0</v>
      </c>
      <c r="R52" s="14"/>
      <c r="S52" s="58">
        <v>0</v>
      </c>
      <c r="T52" s="101">
        <v>44595</v>
      </c>
      <c r="U52" s="14" t="s">
        <v>31</v>
      </c>
      <c r="V52" s="20"/>
      <c r="W52" s="57">
        <v>1250758</v>
      </c>
      <c r="X52" s="57">
        <f t="shared" si="26"/>
        <v>0</v>
      </c>
      <c r="Y52" s="14"/>
      <c r="Z52" s="58">
        <v>0</v>
      </c>
      <c r="AA52" s="131">
        <v>44621</v>
      </c>
      <c r="AB52" s="14" t="s">
        <v>31</v>
      </c>
      <c r="AC52" s="20"/>
      <c r="AD52" s="57">
        <v>1313296</v>
      </c>
      <c r="AE52" s="57"/>
      <c r="AF52" s="57">
        <f>W52-AD52</f>
        <v>-62538</v>
      </c>
      <c r="AG52" s="57"/>
      <c r="AH52" s="58">
        <f>AF52/W52</f>
        <v>-5.0000079951517402E-2</v>
      </c>
      <c r="AI52" s="120">
        <v>44658</v>
      </c>
      <c r="AJ52" s="57" t="s">
        <v>31</v>
      </c>
      <c r="AK52" s="14"/>
      <c r="AL52" s="57">
        <v>1313296</v>
      </c>
      <c r="AM52" s="57">
        <f>AD52-AL52</f>
        <v>0</v>
      </c>
      <c r="AN52" s="57"/>
      <c r="AO52" s="57"/>
      <c r="AP52" s="58">
        <v>0</v>
      </c>
      <c r="AQ52" s="101">
        <v>44686</v>
      </c>
      <c r="AR52" s="14" t="s">
        <v>31</v>
      </c>
      <c r="AS52" s="14"/>
      <c r="AT52" s="57">
        <v>1313297</v>
      </c>
      <c r="AU52" s="57">
        <f t="shared" si="25"/>
        <v>-1</v>
      </c>
      <c r="AV52" s="57"/>
      <c r="AW52" s="57"/>
      <c r="AX52" s="58">
        <v>0</v>
      </c>
      <c r="AY52" s="120">
        <v>44721</v>
      </c>
      <c r="AZ52" s="57" t="s">
        <v>31</v>
      </c>
      <c r="BA52" s="120">
        <v>44736</v>
      </c>
      <c r="BB52" s="57">
        <v>1313297</v>
      </c>
      <c r="BC52" s="57">
        <f t="shared" si="24"/>
        <v>0</v>
      </c>
      <c r="BD52" s="57"/>
      <c r="BE52" s="57"/>
      <c r="BF52" s="58">
        <v>0</v>
      </c>
      <c r="BG52" s="101">
        <v>44743</v>
      </c>
      <c r="BH52" s="14" t="s">
        <v>31</v>
      </c>
      <c r="BI52" s="101">
        <v>44757</v>
      </c>
      <c r="BJ52" s="57">
        <v>1313297</v>
      </c>
      <c r="BK52" s="57">
        <f t="shared" si="22"/>
        <v>0</v>
      </c>
      <c r="BL52" s="57"/>
      <c r="BM52" s="57"/>
      <c r="BN52" s="58">
        <v>0</v>
      </c>
      <c r="BO52" s="101">
        <v>44775</v>
      </c>
      <c r="BP52" s="14" t="s">
        <v>31</v>
      </c>
      <c r="BQ52" s="14"/>
      <c r="BR52" s="57"/>
      <c r="BS52" s="57"/>
      <c r="BT52" s="57"/>
      <c r="BU52" s="57"/>
      <c r="BV52" s="58"/>
      <c r="BW52" s="101"/>
      <c r="BX52" s="14"/>
      <c r="BY52" s="14"/>
      <c r="BZ52" s="57"/>
      <c r="CA52" s="57"/>
      <c r="CB52" s="57"/>
      <c r="CC52" s="57"/>
      <c r="CD52" s="58"/>
      <c r="CE52" s="101"/>
      <c r="CF52" s="14"/>
      <c r="CG52" s="14"/>
      <c r="CH52" s="57"/>
      <c r="CI52" s="57"/>
      <c r="CJ52" s="57"/>
      <c r="CK52" s="57"/>
      <c r="CL52" s="58"/>
      <c r="CM52" s="101"/>
      <c r="CN52" s="14"/>
      <c r="CO52" s="14"/>
      <c r="CP52" s="57"/>
      <c r="CQ52" s="57"/>
      <c r="CR52" s="57"/>
      <c r="CS52" s="57"/>
      <c r="CT52" s="58"/>
      <c r="CU52" s="101"/>
      <c r="CV52" s="14"/>
      <c r="CW52" s="14"/>
    </row>
    <row r="53" spans="1:101" hidden="1" x14ac:dyDescent="0.35">
      <c r="A53" s="73" t="s">
        <v>256</v>
      </c>
      <c r="B53" s="14" t="s">
        <v>674</v>
      </c>
      <c r="C53" s="1">
        <v>9209</v>
      </c>
      <c r="D53" s="15" t="s">
        <v>675</v>
      </c>
      <c r="E53" s="16" t="s">
        <v>676</v>
      </c>
      <c r="F53" s="17" t="s">
        <v>677</v>
      </c>
      <c r="G53" s="39">
        <v>1118101</v>
      </c>
      <c r="H53" s="39">
        <v>1118101</v>
      </c>
      <c r="I53" s="57">
        <f>600104+517997</f>
        <v>1118101</v>
      </c>
      <c r="J53" s="8">
        <f>H53-I53</f>
        <v>0</v>
      </c>
      <c r="K53" s="14"/>
      <c r="L53" s="58">
        <v>0</v>
      </c>
      <c r="M53" s="3" t="s">
        <v>31</v>
      </c>
      <c r="N53" s="123">
        <v>44568</v>
      </c>
      <c r="O53" s="20"/>
      <c r="P53" s="57">
        <f>517997+600104</f>
        <v>1118101</v>
      </c>
      <c r="Q53" s="8">
        <f t="shared" si="27"/>
        <v>0</v>
      </c>
      <c r="R53" s="14"/>
      <c r="S53" s="58">
        <v>0</v>
      </c>
      <c r="T53" s="101">
        <v>44596</v>
      </c>
      <c r="U53" s="14" t="s">
        <v>31</v>
      </c>
      <c r="V53" s="20"/>
      <c r="W53" s="57">
        <f>600104+517997</f>
        <v>1118101</v>
      </c>
      <c r="X53" s="57">
        <f t="shared" si="26"/>
        <v>0</v>
      </c>
      <c r="Y53" s="14"/>
      <c r="Z53" s="58">
        <v>0</v>
      </c>
      <c r="AA53" s="101">
        <v>44627</v>
      </c>
      <c r="AB53" s="14" t="s">
        <v>31</v>
      </c>
      <c r="AC53" s="20"/>
      <c r="AD53" s="57">
        <f>600104+517997</f>
        <v>1118101</v>
      </c>
      <c r="AE53" s="57">
        <f>W53-AD53</f>
        <v>0</v>
      </c>
      <c r="AF53" s="57"/>
      <c r="AG53" s="57"/>
      <c r="AH53" s="58">
        <v>0</v>
      </c>
      <c r="AI53" s="120">
        <v>44659</v>
      </c>
      <c r="AJ53" s="57" t="s">
        <v>31</v>
      </c>
      <c r="AK53" s="14"/>
      <c r="AL53" s="57">
        <f>600104+517997</f>
        <v>1118101</v>
      </c>
      <c r="AM53" s="57">
        <f>AD53-AL53</f>
        <v>0</v>
      </c>
      <c r="AN53" s="57"/>
      <c r="AO53" s="57"/>
      <c r="AP53" s="58">
        <v>0</v>
      </c>
      <c r="AQ53" s="101">
        <v>44687</v>
      </c>
      <c r="AR53" s="14" t="s">
        <v>31</v>
      </c>
      <c r="AS53" s="14"/>
      <c r="AT53" s="57">
        <f>600104+517997</f>
        <v>1118101</v>
      </c>
      <c r="AU53" s="57">
        <f t="shared" si="25"/>
        <v>0</v>
      </c>
      <c r="AV53" s="57"/>
      <c r="AW53" s="57"/>
      <c r="AX53" s="58">
        <v>0</v>
      </c>
      <c r="AY53" s="120">
        <v>44721</v>
      </c>
      <c r="AZ53" s="57" t="s">
        <v>31</v>
      </c>
      <c r="BA53" s="120">
        <v>44736</v>
      </c>
      <c r="BB53" s="57">
        <f>600104+517997</f>
        <v>1118101</v>
      </c>
      <c r="BC53" s="57">
        <f t="shared" si="24"/>
        <v>0</v>
      </c>
      <c r="BD53" s="57"/>
      <c r="BE53" s="57"/>
      <c r="BF53" s="58">
        <v>0</v>
      </c>
      <c r="BG53" s="101">
        <v>44748</v>
      </c>
      <c r="BH53" s="14" t="s">
        <v>31</v>
      </c>
      <c r="BI53" s="101">
        <v>44757</v>
      </c>
      <c r="BJ53" s="57">
        <f>600104+517997</f>
        <v>1118101</v>
      </c>
      <c r="BK53" s="57">
        <f>BB53-BJ53</f>
        <v>0</v>
      </c>
      <c r="BL53" s="57"/>
      <c r="BM53" s="57"/>
      <c r="BN53" s="58">
        <v>0</v>
      </c>
      <c r="BO53" s="101">
        <v>44785</v>
      </c>
      <c r="BP53" s="14" t="s">
        <v>31</v>
      </c>
      <c r="BQ53" s="14"/>
      <c r="BR53" s="57"/>
      <c r="BS53" s="57"/>
      <c r="BT53" s="57"/>
      <c r="BU53" s="57"/>
      <c r="BV53" s="58"/>
      <c r="BW53" s="101"/>
      <c r="BX53" s="14"/>
      <c r="BY53" s="14"/>
      <c r="BZ53" s="57"/>
      <c r="CA53" s="57"/>
      <c r="CB53" s="57"/>
      <c r="CC53" s="57"/>
      <c r="CD53" s="58"/>
      <c r="CE53" s="101"/>
      <c r="CF53" s="14"/>
      <c r="CG53" s="14"/>
      <c r="CH53" s="57"/>
      <c r="CI53" s="57"/>
      <c r="CJ53" s="57"/>
      <c r="CK53" s="57"/>
      <c r="CL53" s="58"/>
      <c r="CM53" s="101"/>
      <c r="CN53" s="14"/>
      <c r="CO53" s="14"/>
      <c r="CP53" s="57"/>
      <c r="CQ53" s="57"/>
      <c r="CR53" s="57"/>
      <c r="CS53" s="57"/>
      <c r="CT53" s="58"/>
      <c r="CU53" s="101"/>
      <c r="CV53" s="14"/>
      <c r="CW53" s="14"/>
    </row>
    <row r="54" spans="1:101" hidden="1" x14ac:dyDescent="0.35">
      <c r="A54" s="30" t="s">
        <v>260</v>
      </c>
      <c r="B54" s="14" t="s">
        <v>678</v>
      </c>
      <c r="C54" s="30">
        <v>9458</v>
      </c>
      <c r="D54" s="30">
        <v>206286</v>
      </c>
      <c r="E54" s="31" t="s">
        <v>375</v>
      </c>
      <c r="F54" s="32" t="s">
        <v>679</v>
      </c>
      <c r="G54" s="39">
        <v>1841371</v>
      </c>
      <c r="H54" s="39">
        <v>1841371</v>
      </c>
      <c r="I54" s="57">
        <v>1841371</v>
      </c>
      <c r="J54" s="8">
        <f>G54-I54</f>
        <v>0</v>
      </c>
      <c r="K54" s="14"/>
      <c r="L54" s="58">
        <v>0</v>
      </c>
      <c r="M54" s="3" t="s">
        <v>31</v>
      </c>
      <c r="N54" s="123">
        <v>44565</v>
      </c>
      <c r="O54" s="20"/>
      <c r="P54" s="8">
        <v>1841371</v>
      </c>
      <c r="Q54" s="8">
        <f t="shared" si="27"/>
        <v>0</v>
      </c>
      <c r="R54" s="14"/>
      <c r="S54" s="58">
        <v>0</v>
      </c>
      <c r="T54" s="101">
        <v>44593</v>
      </c>
      <c r="U54" s="14" t="s">
        <v>31</v>
      </c>
      <c r="V54" s="20"/>
      <c r="W54" s="57">
        <v>1841371</v>
      </c>
      <c r="X54" s="57">
        <f t="shared" ref="X54:X61" si="28">P54-W54</f>
        <v>0</v>
      </c>
      <c r="Y54" s="57"/>
      <c r="Z54" s="58">
        <v>0</v>
      </c>
      <c r="AA54" s="131">
        <v>44621</v>
      </c>
      <c r="AB54" s="14" t="s">
        <v>31</v>
      </c>
      <c r="AC54" s="20"/>
      <c r="AD54" s="57">
        <v>1841371</v>
      </c>
      <c r="AE54" s="57">
        <f>W54-AD54</f>
        <v>0</v>
      </c>
      <c r="AF54" s="57"/>
      <c r="AG54" s="57"/>
      <c r="AH54" s="58">
        <v>0</v>
      </c>
      <c r="AI54" s="120">
        <v>44658</v>
      </c>
      <c r="AJ54" s="57" t="s">
        <v>31</v>
      </c>
      <c r="AK54" s="14"/>
      <c r="AL54" s="57">
        <v>1841371</v>
      </c>
      <c r="AM54" s="57">
        <f>AD54-AL54</f>
        <v>0</v>
      </c>
      <c r="AN54" s="57"/>
      <c r="AO54" s="57"/>
      <c r="AP54" s="58">
        <v>0</v>
      </c>
      <c r="AQ54" s="101">
        <v>44684</v>
      </c>
      <c r="AR54" s="14" t="s">
        <v>31</v>
      </c>
      <c r="AS54" s="14"/>
      <c r="AT54" s="57">
        <v>1841371</v>
      </c>
      <c r="AU54" s="57">
        <f t="shared" si="25"/>
        <v>0</v>
      </c>
      <c r="AV54" s="57"/>
      <c r="AW54" s="57"/>
      <c r="AX54" s="58">
        <v>0</v>
      </c>
      <c r="AY54" s="120">
        <v>44719</v>
      </c>
      <c r="AZ54" s="57" t="s">
        <v>31</v>
      </c>
      <c r="BA54" s="120">
        <v>44734</v>
      </c>
      <c r="BB54" s="57">
        <v>1841371</v>
      </c>
      <c r="BC54" s="57">
        <f t="shared" si="24"/>
        <v>0</v>
      </c>
      <c r="BD54" s="57"/>
      <c r="BE54" s="57"/>
      <c r="BF54" s="58">
        <v>0</v>
      </c>
      <c r="BG54" s="101">
        <v>44743</v>
      </c>
      <c r="BH54" s="14" t="s">
        <v>31</v>
      </c>
      <c r="BI54" s="101">
        <v>44757</v>
      </c>
      <c r="BJ54" s="57">
        <v>1841371</v>
      </c>
      <c r="BK54" s="57">
        <f>BB54-BJ54</f>
        <v>0</v>
      </c>
      <c r="BL54" s="57"/>
      <c r="BM54" s="57"/>
      <c r="BN54" s="58">
        <v>0</v>
      </c>
      <c r="BO54" s="101">
        <v>44790</v>
      </c>
      <c r="BP54" s="14" t="s">
        <v>31</v>
      </c>
      <c r="BQ54" s="14"/>
      <c r="BR54" s="57"/>
      <c r="BS54" s="57"/>
      <c r="BT54" s="57"/>
      <c r="BU54" s="57"/>
      <c r="BV54" s="58"/>
      <c r="BW54" s="101"/>
      <c r="BX54" s="14"/>
      <c r="BY54" s="14"/>
      <c r="BZ54" s="57"/>
      <c r="CA54" s="57"/>
      <c r="CB54" s="57"/>
      <c r="CC54" s="57"/>
      <c r="CD54" s="58"/>
      <c r="CE54" s="101"/>
      <c r="CF54" s="14"/>
      <c r="CG54" s="14"/>
      <c r="CH54" s="57"/>
      <c r="CI54" s="57"/>
      <c r="CJ54" s="57"/>
      <c r="CK54" s="57"/>
      <c r="CL54" s="58"/>
      <c r="CM54" s="101"/>
      <c r="CN54" s="14"/>
      <c r="CO54" s="14"/>
      <c r="CP54" s="57"/>
      <c r="CQ54" s="57"/>
      <c r="CR54" s="57"/>
      <c r="CS54" s="57"/>
      <c r="CT54" s="58"/>
      <c r="CU54" s="101"/>
      <c r="CV54" s="14"/>
      <c r="CW54" s="14"/>
    </row>
    <row r="55" spans="1:101" hidden="1" x14ac:dyDescent="0.35">
      <c r="A55" s="30" t="s">
        <v>268</v>
      </c>
      <c r="B55" s="14" t="s">
        <v>680</v>
      </c>
      <c r="C55" s="30">
        <v>9216</v>
      </c>
      <c r="D55" s="30">
        <v>204606</v>
      </c>
      <c r="E55" s="31" t="s">
        <v>681</v>
      </c>
      <c r="F55" s="19" t="s">
        <v>601</v>
      </c>
      <c r="G55" s="39">
        <v>2074158</v>
      </c>
      <c r="H55" s="39">
        <v>1975390</v>
      </c>
      <c r="I55" s="57">
        <v>1975390</v>
      </c>
      <c r="J55" s="8">
        <f>H55-I55</f>
        <v>0</v>
      </c>
      <c r="K55" s="14"/>
      <c r="L55" s="58">
        <v>0</v>
      </c>
      <c r="M55" s="3" t="s">
        <v>31</v>
      </c>
      <c r="N55" s="123">
        <v>44565</v>
      </c>
      <c r="O55" s="20"/>
      <c r="P55" s="57">
        <v>1975390</v>
      </c>
      <c r="Q55" s="8">
        <f t="shared" si="27"/>
        <v>0</v>
      </c>
      <c r="R55" s="14"/>
      <c r="S55" s="58">
        <v>0</v>
      </c>
      <c r="T55" s="101">
        <v>44595</v>
      </c>
      <c r="U55" s="14" t="s">
        <v>31</v>
      </c>
      <c r="V55" s="20"/>
      <c r="W55" s="57">
        <v>1975390</v>
      </c>
      <c r="X55" s="57">
        <f t="shared" si="28"/>
        <v>0</v>
      </c>
      <c r="Y55" s="14"/>
      <c r="Z55" s="58">
        <v>0</v>
      </c>
      <c r="AA55" s="131">
        <v>44621</v>
      </c>
      <c r="AB55" s="14" t="s">
        <v>31</v>
      </c>
      <c r="AC55" s="20"/>
      <c r="AD55" s="57">
        <v>2074158</v>
      </c>
      <c r="AE55" s="57"/>
      <c r="AF55" s="57">
        <f>W55-AD55</f>
        <v>-98768</v>
      </c>
      <c r="AG55" s="57"/>
      <c r="AH55" s="58">
        <f>AF55/W55</f>
        <v>-4.9999240656275472E-2</v>
      </c>
      <c r="AI55" s="120">
        <v>44658</v>
      </c>
      <c r="AJ55" s="57" t="s">
        <v>31</v>
      </c>
      <c r="AK55" s="14"/>
      <c r="AL55" s="57">
        <v>2074158</v>
      </c>
      <c r="AM55" s="57">
        <f>AD55-AL55</f>
        <v>0</v>
      </c>
      <c r="AN55" s="57"/>
      <c r="AO55" s="57"/>
      <c r="AP55" s="58">
        <v>0</v>
      </c>
      <c r="AQ55" s="101">
        <v>44686</v>
      </c>
      <c r="AR55" s="14" t="s">
        <v>31</v>
      </c>
      <c r="AS55" s="14"/>
      <c r="AT55" s="57">
        <v>2074160</v>
      </c>
      <c r="AU55" s="57">
        <f t="shared" si="25"/>
        <v>-2</v>
      </c>
      <c r="AV55" s="57"/>
      <c r="AW55" s="57"/>
      <c r="AX55" s="58">
        <f>AU55/AL55</f>
        <v>-9.6424669673187861E-7</v>
      </c>
      <c r="AY55" s="120">
        <v>44721</v>
      </c>
      <c r="AZ55" s="57" t="s">
        <v>31</v>
      </c>
      <c r="BA55" s="120">
        <v>44736</v>
      </c>
      <c r="BB55" s="57">
        <v>2074160</v>
      </c>
      <c r="BC55" s="57">
        <f t="shared" si="24"/>
        <v>0</v>
      </c>
      <c r="BD55" s="57"/>
      <c r="BE55" s="57"/>
      <c r="BF55" s="58">
        <v>0</v>
      </c>
      <c r="BG55" s="101">
        <v>44743</v>
      </c>
      <c r="BH55" s="14" t="s">
        <v>31</v>
      </c>
      <c r="BI55" s="101">
        <v>44757</v>
      </c>
      <c r="BJ55" s="57">
        <v>2074160</v>
      </c>
      <c r="BK55" s="57">
        <f t="shared" ref="BK55:BK66" si="29">BB55-BJ55</f>
        <v>0</v>
      </c>
      <c r="BL55" s="57"/>
      <c r="BM55" s="57"/>
      <c r="BN55" s="58">
        <v>0</v>
      </c>
      <c r="BO55" s="101">
        <v>44775</v>
      </c>
      <c r="BP55" s="14" t="s">
        <v>31</v>
      </c>
      <c r="BQ55" s="14"/>
      <c r="BR55" s="57"/>
      <c r="BS55" s="57"/>
      <c r="BT55" s="57"/>
      <c r="BU55" s="57"/>
      <c r="BV55" s="58"/>
      <c r="BW55" s="101"/>
      <c r="BX55" s="14"/>
      <c r="BY55" s="14"/>
      <c r="BZ55" s="57"/>
      <c r="CA55" s="57"/>
      <c r="CB55" s="57"/>
      <c r="CC55" s="57"/>
      <c r="CD55" s="58"/>
      <c r="CE55" s="101"/>
      <c r="CF55" s="14"/>
      <c r="CG55" s="14"/>
      <c r="CH55" s="57"/>
      <c r="CI55" s="57"/>
      <c r="CJ55" s="57"/>
      <c r="CK55" s="57"/>
      <c r="CL55" s="58"/>
      <c r="CM55" s="101"/>
      <c r="CN55" s="14"/>
      <c r="CO55" s="14"/>
      <c r="CP55" s="57"/>
      <c r="CQ55" s="57"/>
      <c r="CR55" s="57"/>
      <c r="CS55" s="57"/>
      <c r="CT55" s="58"/>
      <c r="CU55" s="101"/>
      <c r="CV55" s="14"/>
      <c r="CW55" s="14"/>
    </row>
    <row r="56" spans="1:101" hidden="1" x14ac:dyDescent="0.35">
      <c r="A56" s="30" t="s">
        <v>271</v>
      </c>
      <c r="B56" s="14" t="s">
        <v>682</v>
      </c>
      <c r="C56" s="30">
        <v>9575</v>
      </c>
      <c r="D56" s="30">
        <v>204547</v>
      </c>
      <c r="E56" s="31" t="s">
        <v>273</v>
      </c>
      <c r="F56" s="25" t="s">
        <v>683</v>
      </c>
      <c r="G56" s="39">
        <v>1761758</v>
      </c>
      <c r="H56" s="39">
        <v>1740899</v>
      </c>
      <c r="I56" s="57">
        <v>1740899</v>
      </c>
      <c r="J56" s="8">
        <f>H56-I56</f>
        <v>0</v>
      </c>
      <c r="K56" s="14"/>
      <c r="L56" s="58">
        <v>0</v>
      </c>
      <c r="M56" s="3" t="s">
        <v>31</v>
      </c>
      <c r="N56" s="123">
        <v>44564</v>
      </c>
      <c r="O56" s="20"/>
      <c r="P56" s="8">
        <v>1740899</v>
      </c>
      <c r="Q56" s="8">
        <f t="shared" si="27"/>
        <v>0</v>
      </c>
      <c r="R56" s="14"/>
      <c r="S56" s="58">
        <v>0</v>
      </c>
      <c r="T56" s="101">
        <v>44593</v>
      </c>
      <c r="U56" s="14" t="s">
        <v>31</v>
      </c>
      <c r="V56" s="20"/>
      <c r="W56" s="57">
        <v>1740899</v>
      </c>
      <c r="X56" s="57">
        <f t="shared" si="28"/>
        <v>0</v>
      </c>
      <c r="Y56" s="14"/>
      <c r="Z56" s="58">
        <v>0</v>
      </c>
      <c r="AA56" s="101">
        <v>44621</v>
      </c>
      <c r="AB56" s="14" t="s">
        <v>31</v>
      </c>
      <c r="AC56" s="20"/>
      <c r="AD56" s="57">
        <v>1740899</v>
      </c>
      <c r="AE56" s="57">
        <f>W56-AD56</f>
        <v>0</v>
      </c>
      <c r="AF56" s="57"/>
      <c r="AG56" s="57"/>
      <c r="AH56" s="58">
        <v>0</v>
      </c>
      <c r="AI56" s="120">
        <v>44655</v>
      </c>
      <c r="AJ56" s="57" t="s">
        <v>31</v>
      </c>
      <c r="AK56" s="14"/>
      <c r="AL56" s="57">
        <v>1761758</v>
      </c>
      <c r="AM56" s="57"/>
      <c r="AN56" s="57">
        <f>AD56-AL56</f>
        <v>-20859</v>
      </c>
      <c r="AO56" s="57"/>
      <c r="AP56" s="58">
        <f>AN56/AD56</f>
        <v>-1.1981740468573995E-2</v>
      </c>
      <c r="AQ56" s="101">
        <v>44683</v>
      </c>
      <c r="AR56" s="14" t="s">
        <v>31</v>
      </c>
      <c r="AS56" s="14"/>
      <c r="AT56" s="57">
        <v>1761758</v>
      </c>
      <c r="AU56" s="57">
        <f t="shared" ref="AU56:AU63" si="30">AL56-AT56</f>
        <v>0</v>
      </c>
      <c r="AV56" s="57"/>
      <c r="AW56" s="57"/>
      <c r="AX56" s="58">
        <v>0</v>
      </c>
      <c r="AY56" s="120">
        <v>44713</v>
      </c>
      <c r="AZ56" s="57" t="s">
        <v>31</v>
      </c>
      <c r="BA56" s="101">
        <v>44728</v>
      </c>
      <c r="BB56" s="57">
        <v>1761758</v>
      </c>
      <c r="BC56" s="57">
        <f t="shared" si="24"/>
        <v>0</v>
      </c>
      <c r="BD56" s="57"/>
      <c r="BE56" s="57"/>
      <c r="BF56" s="58">
        <v>0</v>
      </c>
      <c r="BG56" s="101">
        <v>44743</v>
      </c>
      <c r="BH56" s="14" t="s">
        <v>31</v>
      </c>
      <c r="BI56" s="101">
        <v>44757</v>
      </c>
      <c r="BJ56" s="57">
        <v>1761758</v>
      </c>
      <c r="BK56" s="57">
        <f t="shared" si="29"/>
        <v>0</v>
      </c>
      <c r="BL56" s="57"/>
      <c r="BM56" s="57"/>
      <c r="BN56" s="58">
        <v>0</v>
      </c>
      <c r="BO56" s="101">
        <v>44774</v>
      </c>
      <c r="BP56" s="14" t="s">
        <v>31</v>
      </c>
      <c r="BQ56" s="14"/>
      <c r="BR56" s="57"/>
      <c r="BS56" s="57"/>
      <c r="BT56" s="57"/>
      <c r="BU56" s="57"/>
      <c r="BV56" s="58"/>
      <c r="BW56" s="101"/>
      <c r="BX56" s="14"/>
      <c r="BY56" s="14"/>
      <c r="BZ56" s="57"/>
      <c r="CA56" s="57"/>
      <c r="CB56" s="57"/>
      <c r="CC56" s="57"/>
      <c r="CD56" s="58"/>
      <c r="CE56" s="101"/>
      <c r="CF56" s="14"/>
      <c r="CG56" s="14"/>
      <c r="CH56" s="57"/>
      <c r="CI56" s="57"/>
      <c r="CJ56" s="57"/>
      <c r="CK56" s="57"/>
      <c r="CL56" s="58"/>
      <c r="CM56" s="101"/>
      <c r="CN56" s="14"/>
      <c r="CO56" s="14"/>
      <c r="CP56" s="57"/>
      <c r="CQ56" s="57"/>
      <c r="CR56" s="57"/>
      <c r="CS56" s="57"/>
      <c r="CT56" s="58"/>
      <c r="CU56" s="101"/>
      <c r="CV56" s="14"/>
      <c r="CW56" s="14"/>
    </row>
    <row r="57" spans="1:101" hidden="1" x14ac:dyDescent="0.35">
      <c r="A57" s="2" t="s">
        <v>275</v>
      </c>
      <c r="B57" s="14" t="s">
        <v>684</v>
      </c>
      <c r="C57" s="2">
        <v>9636</v>
      </c>
      <c r="D57" s="15" t="s">
        <v>685</v>
      </c>
      <c r="E57" s="16" t="s">
        <v>686</v>
      </c>
      <c r="F57" s="17" t="s">
        <v>687</v>
      </c>
      <c r="G57" s="39">
        <v>5727916</v>
      </c>
      <c r="H57" s="39">
        <v>5203487</v>
      </c>
      <c r="I57" s="88">
        <f>5203487+523991</f>
        <v>5727478</v>
      </c>
      <c r="J57" s="8">
        <f>I57-H57</f>
        <v>523991</v>
      </c>
      <c r="K57" s="14"/>
      <c r="L57" s="58">
        <f>J57/H57</f>
        <v>0.10069997292200403</v>
      </c>
      <c r="M57" s="3" t="s">
        <v>31</v>
      </c>
      <c r="N57" s="123">
        <v>44588</v>
      </c>
      <c r="O57" s="20"/>
      <c r="P57" s="57">
        <v>5727478</v>
      </c>
      <c r="Q57" s="8">
        <f t="shared" ref="Q57:Q69" si="31">I57-P57</f>
        <v>0</v>
      </c>
      <c r="R57" s="14"/>
      <c r="S57" s="58">
        <v>0</v>
      </c>
      <c r="T57" s="101">
        <v>44600</v>
      </c>
      <c r="U57" s="14" t="s">
        <v>31</v>
      </c>
      <c r="V57" s="20"/>
      <c r="W57" s="57">
        <v>5727478</v>
      </c>
      <c r="X57" s="57">
        <f t="shared" si="28"/>
        <v>0</v>
      </c>
      <c r="Y57" s="14"/>
      <c r="Z57" s="58">
        <v>0</v>
      </c>
      <c r="AA57" s="101">
        <v>44624</v>
      </c>
      <c r="AB57" s="14" t="s">
        <v>31</v>
      </c>
      <c r="AC57" s="20"/>
      <c r="AD57" s="57">
        <v>5727478</v>
      </c>
      <c r="AE57" s="57">
        <f>W57-AD57</f>
        <v>0</v>
      </c>
      <c r="AF57" s="57"/>
      <c r="AG57" s="57"/>
      <c r="AH57" s="58">
        <v>0</v>
      </c>
      <c r="AI57" s="120">
        <v>44657</v>
      </c>
      <c r="AJ57" s="57" t="s">
        <v>31</v>
      </c>
      <c r="AK57" s="14"/>
      <c r="AL57" s="57">
        <v>5727478</v>
      </c>
      <c r="AM57" s="57">
        <f>AD57-AL57</f>
        <v>0</v>
      </c>
      <c r="AN57" s="57"/>
      <c r="AO57" s="57"/>
      <c r="AP57" s="58">
        <v>0</v>
      </c>
      <c r="AQ57" s="101">
        <v>44686</v>
      </c>
      <c r="AR57" s="14" t="s">
        <v>31</v>
      </c>
      <c r="AS57" s="14"/>
      <c r="AT57" s="57">
        <v>5727478</v>
      </c>
      <c r="AU57" s="57">
        <f t="shared" si="30"/>
        <v>0</v>
      </c>
      <c r="AV57" s="57"/>
      <c r="AW57" s="57"/>
      <c r="AX57" s="58">
        <v>0</v>
      </c>
      <c r="AY57" s="120">
        <v>44719</v>
      </c>
      <c r="AZ57" s="57" t="s">
        <v>31</v>
      </c>
      <c r="BA57" s="120">
        <v>44736</v>
      </c>
      <c r="BB57" s="57">
        <v>5727478</v>
      </c>
      <c r="BC57" s="57">
        <f t="shared" si="24"/>
        <v>0</v>
      </c>
      <c r="BD57" s="57"/>
      <c r="BE57" s="57"/>
      <c r="BF57" s="58">
        <v>0</v>
      </c>
      <c r="BG57" s="101">
        <v>44750</v>
      </c>
      <c r="BH57" s="14" t="s">
        <v>31</v>
      </c>
      <c r="BI57" s="101">
        <v>44768</v>
      </c>
      <c r="BJ57" s="57">
        <v>5727916</v>
      </c>
      <c r="BK57" s="57">
        <f t="shared" si="29"/>
        <v>-438</v>
      </c>
      <c r="BL57" s="57"/>
      <c r="BM57" s="57"/>
      <c r="BN57" s="58">
        <f>BK57/BB57</f>
        <v>-7.6473449570648718E-5</v>
      </c>
      <c r="BO57" s="101">
        <v>44778</v>
      </c>
      <c r="BP57" s="14" t="s">
        <v>31</v>
      </c>
      <c r="BQ57" s="14"/>
      <c r="BR57" s="57"/>
      <c r="BS57" s="57"/>
      <c r="BT57" s="57"/>
      <c r="BU57" s="57"/>
      <c r="BV57" s="58"/>
      <c r="BW57" s="101"/>
      <c r="BX57" s="14"/>
      <c r="BY57" s="14"/>
      <c r="BZ57" s="57"/>
      <c r="CA57" s="57"/>
      <c r="CB57" s="57"/>
      <c r="CC57" s="57"/>
      <c r="CD57" s="58"/>
      <c r="CE57" s="101"/>
      <c r="CF57" s="14"/>
      <c r="CG57" s="14"/>
      <c r="CH57" s="57"/>
      <c r="CI57" s="57"/>
      <c r="CJ57" s="57"/>
      <c r="CK57" s="57"/>
      <c r="CL57" s="58"/>
      <c r="CM57" s="101"/>
      <c r="CN57" s="14"/>
      <c r="CO57" s="14"/>
      <c r="CP57" s="57"/>
      <c r="CQ57" s="57"/>
      <c r="CR57" s="57"/>
      <c r="CS57" s="57"/>
      <c r="CT57" s="58"/>
      <c r="CU57" s="101"/>
      <c r="CV57" s="14"/>
      <c r="CW57" s="14"/>
    </row>
    <row r="58" spans="1:101" hidden="1" x14ac:dyDescent="0.35">
      <c r="A58" s="2" t="s">
        <v>281</v>
      </c>
      <c r="B58" s="14" t="s">
        <v>688</v>
      </c>
      <c r="C58" s="2" t="s">
        <v>283</v>
      </c>
      <c r="D58" s="1">
        <v>214089</v>
      </c>
      <c r="E58" s="14" t="s">
        <v>284</v>
      </c>
      <c r="F58" s="17" t="s">
        <v>586</v>
      </c>
      <c r="G58" s="8">
        <v>2462133</v>
      </c>
      <c r="H58" s="39">
        <v>2331124</v>
      </c>
      <c r="I58" s="57">
        <v>2331124</v>
      </c>
      <c r="J58" s="8">
        <f>H58-I58</f>
        <v>0</v>
      </c>
      <c r="K58" s="14"/>
      <c r="L58" s="58">
        <v>0</v>
      </c>
      <c r="M58" s="3" t="s">
        <v>31</v>
      </c>
      <c r="N58" s="123">
        <v>44564</v>
      </c>
      <c r="O58" s="20"/>
      <c r="P58" s="8">
        <v>2462133</v>
      </c>
      <c r="Q58" s="8">
        <f t="shared" si="31"/>
        <v>-131009</v>
      </c>
      <c r="R58" s="14"/>
      <c r="S58" s="58">
        <f>Q58/I58</f>
        <v>-5.6199927588579585E-2</v>
      </c>
      <c r="T58" s="101">
        <v>44594</v>
      </c>
      <c r="U58" s="14" t="s">
        <v>31</v>
      </c>
      <c r="V58" s="20"/>
      <c r="W58" s="57">
        <v>2380062</v>
      </c>
      <c r="X58" s="57">
        <f t="shared" si="28"/>
        <v>82071</v>
      </c>
      <c r="Y58" s="14"/>
      <c r="Z58" s="58">
        <v>0</v>
      </c>
      <c r="AA58" s="131">
        <v>44621</v>
      </c>
      <c r="AB58" s="14" t="s">
        <v>31</v>
      </c>
      <c r="AC58" s="20"/>
      <c r="AD58" s="57">
        <v>1514082</v>
      </c>
      <c r="AE58" s="57">
        <f t="shared" ref="AE58" si="32">W58-AD58</f>
        <v>865980</v>
      </c>
      <c r="AF58" s="57"/>
      <c r="AG58" s="57"/>
      <c r="AH58" s="58">
        <v>0</v>
      </c>
      <c r="AI58" s="120">
        <v>44658</v>
      </c>
      <c r="AJ58" s="57" t="s">
        <v>31</v>
      </c>
      <c r="AK58" s="14"/>
      <c r="AL58" s="57">
        <v>2462133</v>
      </c>
      <c r="AM58" s="57">
        <f>P58-AL58</f>
        <v>0</v>
      </c>
      <c r="AN58" s="57"/>
      <c r="AO58" s="57"/>
      <c r="AP58" s="58">
        <v>0</v>
      </c>
      <c r="AQ58" s="101">
        <v>44694</v>
      </c>
      <c r="AR58" s="14" t="s">
        <v>31</v>
      </c>
      <c r="AS58" s="14"/>
      <c r="AT58" s="57">
        <v>2462133</v>
      </c>
      <c r="AU58" s="57">
        <f t="shared" si="30"/>
        <v>0</v>
      </c>
      <c r="AV58" s="57"/>
      <c r="AW58" s="57"/>
      <c r="AX58" s="58">
        <v>0</v>
      </c>
      <c r="AY58" s="120">
        <v>44719</v>
      </c>
      <c r="AZ58" s="57" t="s">
        <v>31</v>
      </c>
      <c r="BA58" s="120">
        <v>44728</v>
      </c>
      <c r="BB58" s="57">
        <v>2462133</v>
      </c>
      <c r="BC58" s="57">
        <f t="shared" si="24"/>
        <v>0</v>
      </c>
      <c r="BD58" s="57"/>
      <c r="BE58" s="57"/>
      <c r="BF58" s="58">
        <v>0</v>
      </c>
      <c r="BG58" s="101">
        <v>44743</v>
      </c>
      <c r="BH58" s="14" t="s">
        <v>31</v>
      </c>
      <c r="BI58" s="101">
        <v>44757</v>
      </c>
      <c r="BJ58" s="57">
        <v>2462133</v>
      </c>
      <c r="BK58" s="57">
        <f t="shared" si="29"/>
        <v>0</v>
      </c>
      <c r="BL58" s="57"/>
      <c r="BM58" s="57"/>
      <c r="BN58" s="58">
        <v>0</v>
      </c>
      <c r="BO58" s="101">
        <v>44775</v>
      </c>
      <c r="BP58" s="14" t="s">
        <v>31</v>
      </c>
      <c r="BQ58" s="14"/>
      <c r="BR58" s="57"/>
      <c r="BS58" s="57"/>
      <c r="BT58" s="57"/>
      <c r="BU58" s="57"/>
      <c r="BV58" s="58"/>
      <c r="BW58" s="101"/>
      <c r="BX58" s="14"/>
      <c r="BY58" s="14"/>
      <c r="BZ58" s="57"/>
      <c r="CA58" s="57"/>
      <c r="CB58" s="57"/>
      <c r="CC58" s="57"/>
      <c r="CD58" s="58"/>
      <c r="CE58" s="101"/>
      <c r="CF58" s="14"/>
      <c r="CG58" s="14"/>
      <c r="CH58" s="57"/>
      <c r="CI58" s="57"/>
      <c r="CJ58" s="57"/>
      <c r="CK58" s="57"/>
      <c r="CL58" s="58"/>
      <c r="CM58" s="101"/>
      <c r="CN58" s="14"/>
      <c r="CO58" s="14"/>
      <c r="CP58" s="57"/>
      <c r="CQ58" s="57"/>
      <c r="CR58" s="57"/>
      <c r="CS58" s="57"/>
      <c r="CT58" s="58"/>
      <c r="CU58" s="101"/>
      <c r="CV58" s="14"/>
      <c r="CW58" s="14"/>
    </row>
    <row r="59" spans="1:101" hidden="1" x14ac:dyDescent="0.35">
      <c r="A59" s="1" t="s">
        <v>295</v>
      </c>
      <c r="B59" s="26" t="s">
        <v>689</v>
      </c>
      <c r="C59" s="24">
        <v>6598</v>
      </c>
      <c r="D59" s="22">
        <v>204741</v>
      </c>
      <c r="E59" s="18" t="s">
        <v>690</v>
      </c>
      <c r="F59" s="19" t="s">
        <v>691</v>
      </c>
      <c r="G59" s="57">
        <v>1200742</v>
      </c>
      <c r="H59" s="57">
        <v>1081750</v>
      </c>
      <c r="I59" s="57">
        <v>1142544</v>
      </c>
      <c r="J59" s="8">
        <f>H59-I59</f>
        <v>-60794</v>
      </c>
      <c r="K59" s="14"/>
      <c r="L59" s="58">
        <f>J59/H59</f>
        <v>-5.619967645019644E-2</v>
      </c>
      <c r="M59" s="3" t="s">
        <v>31</v>
      </c>
      <c r="N59" s="123">
        <v>44568</v>
      </c>
      <c r="O59" s="20"/>
      <c r="P59" s="57">
        <v>1142544</v>
      </c>
      <c r="Q59" s="8">
        <f t="shared" si="31"/>
        <v>0</v>
      </c>
      <c r="R59" s="14"/>
      <c r="S59" s="58">
        <v>0</v>
      </c>
      <c r="T59" s="101">
        <v>44600</v>
      </c>
      <c r="U59" s="14" t="s">
        <v>31</v>
      </c>
      <c r="V59" s="20"/>
      <c r="W59" s="57">
        <v>1142544</v>
      </c>
      <c r="X59" s="57">
        <f t="shared" si="28"/>
        <v>0</v>
      </c>
      <c r="Y59" s="14"/>
      <c r="Z59" s="58">
        <v>0</v>
      </c>
      <c r="AA59" s="101">
        <v>44624</v>
      </c>
      <c r="AB59" s="14" t="s">
        <v>31</v>
      </c>
      <c r="AC59" s="20"/>
      <c r="AD59" s="57">
        <v>1200742</v>
      </c>
      <c r="AE59" s="8"/>
      <c r="AF59" s="57">
        <f>AD59-W59</f>
        <v>58198</v>
      </c>
      <c r="AG59" s="57"/>
      <c r="AH59" s="58">
        <f>AF59/W59</f>
        <v>5.0937206794661738E-2</v>
      </c>
      <c r="AI59" s="120">
        <v>44657</v>
      </c>
      <c r="AJ59" s="57" t="s">
        <v>31</v>
      </c>
      <c r="AK59" s="14"/>
      <c r="AL59" s="57">
        <v>1200742</v>
      </c>
      <c r="AM59" s="57">
        <f t="shared" ref="AM59:AM64" si="33">AD59-AL59</f>
        <v>0</v>
      </c>
      <c r="AN59" s="57"/>
      <c r="AO59" s="57"/>
      <c r="AP59" s="58">
        <v>0</v>
      </c>
      <c r="AQ59" s="101">
        <v>44687</v>
      </c>
      <c r="AR59" s="14" t="s">
        <v>31</v>
      </c>
      <c r="AS59" s="14"/>
      <c r="AT59" s="57">
        <v>1200742</v>
      </c>
      <c r="AU59" s="57">
        <f t="shared" si="30"/>
        <v>0</v>
      </c>
      <c r="AV59" s="57"/>
      <c r="AW59" s="57"/>
      <c r="AX59" s="58">
        <v>0</v>
      </c>
      <c r="AY59" s="120">
        <v>44715</v>
      </c>
      <c r="AZ59" s="57" t="s">
        <v>31</v>
      </c>
      <c r="BA59" s="120">
        <v>44728</v>
      </c>
      <c r="BB59" s="57">
        <v>1200742</v>
      </c>
      <c r="BC59" s="57">
        <f t="shared" si="24"/>
        <v>0</v>
      </c>
      <c r="BD59" s="57"/>
      <c r="BE59" s="57"/>
      <c r="BF59" s="58">
        <v>0</v>
      </c>
      <c r="BG59" s="101">
        <v>44749</v>
      </c>
      <c r="BH59" s="14" t="s">
        <v>31</v>
      </c>
      <c r="BI59" s="101">
        <v>44768</v>
      </c>
      <c r="BJ59" s="57">
        <v>1200742</v>
      </c>
      <c r="BK59" s="57">
        <f t="shared" si="29"/>
        <v>0</v>
      </c>
      <c r="BL59" s="57"/>
      <c r="BM59" s="57"/>
      <c r="BN59" s="58">
        <v>0</v>
      </c>
      <c r="BO59" s="101">
        <v>44778</v>
      </c>
      <c r="BP59" s="14" t="s">
        <v>31</v>
      </c>
      <c r="BQ59" s="14"/>
      <c r="BR59" s="57"/>
      <c r="BS59" s="57"/>
      <c r="BT59" s="57"/>
      <c r="BU59" s="57"/>
      <c r="BV59" s="58"/>
      <c r="BW59" s="101"/>
      <c r="BX59" s="14"/>
      <c r="BY59" s="14"/>
      <c r="BZ59" s="57"/>
      <c r="CA59" s="57"/>
      <c r="CB59" s="57"/>
      <c r="CC59" s="57"/>
      <c r="CD59" s="58"/>
      <c r="CE59" s="101"/>
      <c r="CF59" s="14"/>
      <c r="CG59" s="14"/>
      <c r="CH59" s="57"/>
      <c r="CI59" s="57"/>
      <c r="CJ59" s="57"/>
      <c r="CK59" s="57"/>
      <c r="CL59" s="58"/>
      <c r="CM59" s="101"/>
      <c r="CN59" s="14"/>
      <c r="CO59" s="14"/>
      <c r="CP59" s="57"/>
      <c r="CQ59" s="57"/>
      <c r="CR59" s="57"/>
      <c r="CS59" s="57"/>
      <c r="CT59" s="58"/>
      <c r="CU59" s="101"/>
      <c r="CV59" s="14"/>
      <c r="CW59" s="14"/>
    </row>
    <row r="60" spans="1:101" x14ac:dyDescent="0.35">
      <c r="A60" s="1" t="s">
        <v>302</v>
      </c>
      <c r="B60" s="162" t="s">
        <v>692</v>
      </c>
      <c r="C60" s="24">
        <v>6600</v>
      </c>
      <c r="D60" s="22">
        <v>204546</v>
      </c>
      <c r="E60" s="18" t="s">
        <v>693</v>
      </c>
      <c r="F60" s="19" t="s">
        <v>694</v>
      </c>
      <c r="G60" s="57">
        <v>795250</v>
      </c>
      <c r="H60" s="39">
        <v>736342</v>
      </c>
      <c r="I60" s="57">
        <f>394907+382818</f>
        <v>777725</v>
      </c>
      <c r="J60" s="8">
        <f>H60-I60</f>
        <v>-41383</v>
      </c>
      <c r="K60" s="14"/>
      <c r="L60" s="58">
        <f>J60/H60</f>
        <v>-5.6200787134239254E-2</v>
      </c>
      <c r="M60" s="14" t="s">
        <v>31</v>
      </c>
      <c r="N60" s="101">
        <v>44574</v>
      </c>
      <c r="O60" s="20"/>
      <c r="P60" s="57">
        <f>382818+394907</f>
        <v>777725</v>
      </c>
      <c r="Q60" s="8">
        <f t="shared" si="31"/>
        <v>0</v>
      </c>
      <c r="R60" s="14"/>
      <c r="S60" s="58">
        <v>0</v>
      </c>
      <c r="T60" s="101">
        <v>44595</v>
      </c>
      <c r="U60" s="14" t="s">
        <v>31</v>
      </c>
      <c r="V60" s="20"/>
      <c r="W60" s="57">
        <f>394907+382818</f>
        <v>777725</v>
      </c>
      <c r="X60" s="57">
        <f t="shared" si="28"/>
        <v>0</v>
      </c>
      <c r="Y60" s="14"/>
      <c r="Z60" s="58">
        <v>0</v>
      </c>
      <c r="AA60" s="101">
        <v>44624</v>
      </c>
      <c r="AB60" s="14" t="s">
        <v>31</v>
      </c>
      <c r="AC60" s="20"/>
      <c r="AD60" s="57">
        <f>391444+403806</f>
        <v>795250</v>
      </c>
      <c r="AE60" s="57"/>
      <c r="AF60" s="57">
        <f>W60-AD60</f>
        <v>-17525</v>
      </c>
      <c r="AG60" s="57"/>
      <c r="AH60" s="58">
        <f>AF60/W60</f>
        <v>-2.2533671927737954E-2</v>
      </c>
      <c r="AI60" s="120">
        <v>44657</v>
      </c>
      <c r="AJ60" s="57" t="s">
        <v>31</v>
      </c>
      <c r="AK60" s="14"/>
      <c r="AL60" s="57">
        <f>391444+403806</f>
        <v>795250</v>
      </c>
      <c r="AM60" s="57">
        <f t="shared" si="33"/>
        <v>0</v>
      </c>
      <c r="AN60" s="57"/>
      <c r="AO60" s="57"/>
      <c r="AP60" s="58">
        <v>0</v>
      </c>
      <c r="AQ60" s="101">
        <v>44686</v>
      </c>
      <c r="AR60" s="14" t="s">
        <v>31</v>
      </c>
      <c r="AS60" s="14"/>
      <c r="AT60" s="57">
        <f>391444+403806</f>
        <v>795250</v>
      </c>
      <c r="AU60" s="57">
        <f t="shared" si="30"/>
        <v>0</v>
      </c>
      <c r="AV60" s="57"/>
      <c r="AW60" s="57"/>
      <c r="AX60" s="58">
        <v>0</v>
      </c>
      <c r="AY60" s="120">
        <v>44715</v>
      </c>
      <c r="AZ60" s="57" t="s">
        <v>31</v>
      </c>
      <c r="BA60" s="120">
        <v>44728</v>
      </c>
      <c r="BB60" s="57">
        <f>391444+403806</f>
        <v>795250</v>
      </c>
      <c r="BC60" s="57">
        <f t="shared" si="24"/>
        <v>0</v>
      </c>
      <c r="BD60" s="57"/>
      <c r="BE60" s="57"/>
      <c r="BF60" s="58">
        <v>0</v>
      </c>
      <c r="BG60" s="101">
        <v>44750</v>
      </c>
      <c r="BH60" s="14" t="s">
        <v>31</v>
      </c>
      <c r="BI60" s="101">
        <v>44768</v>
      </c>
      <c r="BJ60" s="57">
        <f>391444+403806</f>
        <v>795250</v>
      </c>
      <c r="BK60" s="57">
        <f t="shared" si="29"/>
        <v>0</v>
      </c>
      <c r="BL60" s="57"/>
      <c r="BM60" s="57"/>
      <c r="BN60" s="58">
        <v>0</v>
      </c>
      <c r="BO60" s="101">
        <v>44778</v>
      </c>
      <c r="BP60" s="14" t="s">
        <v>31</v>
      </c>
      <c r="BQ60" s="14"/>
      <c r="BR60" s="57"/>
      <c r="BS60" s="57"/>
      <c r="BT60" s="57"/>
      <c r="BU60" s="57"/>
      <c r="BV60" s="58"/>
      <c r="BW60" s="101"/>
      <c r="BX60" s="14"/>
      <c r="BY60" s="14"/>
      <c r="BZ60" s="57"/>
      <c r="CA60" s="57"/>
      <c r="CB60" s="57"/>
      <c r="CC60" s="57"/>
      <c r="CD60" s="58"/>
      <c r="CE60" s="101"/>
      <c r="CF60" s="14"/>
      <c r="CG60" s="14"/>
      <c r="CH60" s="57"/>
      <c r="CI60" s="57"/>
      <c r="CJ60" s="57"/>
      <c r="CK60" s="57"/>
      <c r="CL60" s="58"/>
      <c r="CM60" s="101"/>
      <c r="CN60" s="14"/>
      <c r="CO60" s="14"/>
      <c r="CP60" s="57"/>
      <c r="CQ60" s="57"/>
      <c r="CR60" s="57"/>
      <c r="CS60" s="57"/>
      <c r="CT60" s="58"/>
      <c r="CU60" s="101"/>
      <c r="CV60" s="14"/>
      <c r="CW60" s="14"/>
    </row>
    <row r="61" spans="1:101" hidden="1" x14ac:dyDescent="0.35">
      <c r="A61" s="1" t="s">
        <v>311</v>
      </c>
      <c r="B61" s="26" t="s">
        <v>695</v>
      </c>
      <c r="C61" s="24">
        <v>6602</v>
      </c>
      <c r="D61" s="22">
        <v>204592</v>
      </c>
      <c r="E61" s="18" t="s">
        <v>696</v>
      </c>
      <c r="F61" s="19" t="s">
        <v>697</v>
      </c>
      <c r="G61" s="57">
        <v>3248938</v>
      </c>
      <c r="H61" s="39">
        <v>3076064</v>
      </c>
      <c r="I61" s="57">
        <v>3248938</v>
      </c>
      <c r="J61" s="129">
        <f>H61-I61</f>
        <v>-172874</v>
      </c>
      <c r="K61" s="14"/>
      <c r="L61" s="58">
        <f>J61/H61</f>
        <v>-5.6199740967678179E-2</v>
      </c>
      <c r="M61" s="3" t="s">
        <v>31</v>
      </c>
      <c r="N61" s="123">
        <v>44568</v>
      </c>
      <c r="O61" s="20"/>
      <c r="P61" s="57">
        <v>3248938</v>
      </c>
      <c r="Q61" s="8">
        <f t="shared" si="31"/>
        <v>0</v>
      </c>
      <c r="R61" s="14"/>
      <c r="S61" s="58">
        <v>0</v>
      </c>
      <c r="T61" s="101">
        <v>44593</v>
      </c>
      <c r="U61" s="14" t="s">
        <v>31</v>
      </c>
      <c r="V61" s="20"/>
      <c r="W61" s="57">
        <v>3248938</v>
      </c>
      <c r="X61" s="57">
        <f t="shared" si="28"/>
        <v>0</v>
      </c>
      <c r="Y61" s="14"/>
      <c r="Z61" s="58">
        <v>0</v>
      </c>
      <c r="AA61" s="131">
        <v>44621</v>
      </c>
      <c r="AB61" s="14" t="s">
        <v>31</v>
      </c>
      <c r="AC61" s="20"/>
      <c r="AD61" s="57">
        <v>3248938</v>
      </c>
      <c r="AE61" s="57">
        <f t="shared" ref="AE61:AE66" si="34">W61-AD61</f>
        <v>0</v>
      </c>
      <c r="AF61" s="57"/>
      <c r="AG61" s="57"/>
      <c r="AH61" s="58">
        <v>0</v>
      </c>
      <c r="AI61" s="120">
        <v>44655</v>
      </c>
      <c r="AJ61" s="57" t="s">
        <v>31</v>
      </c>
      <c r="AK61" s="14"/>
      <c r="AL61" s="57">
        <v>3248938</v>
      </c>
      <c r="AM61" s="57">
        <f t="shared" si="33"/>
        <v>0</v>
      </c>
      <c r="AN61" s="57"/>
      <c r="AO61" s="57"/>
      <c r="AP61" s="58">
        <v>0</v>
      </c>
      <c r="AQ61" s="101">
        <v>44683</v>
      </c>
      <c r="AR61" s="14" t="s">
        <v>31</v>
      </c>
      <c r="AS61" s="14"/>
      <c r="AT61" s="57">
        <v>3248938</v>
      </c>
      <c r="AU61" s="57">
        <f t="shared" si="30"/>
        <v>0</v>
      </c>
      <c r="AV61" s="57"/>
      <c r="AW61" s="57"/>
      <c r="AX61" s="58">
        <v>0</v>
      </c>
      <c r="AY61" s="120">
        <v>44713</v>
      </c>
      <c r="AZ61" s="57" t="s">
        <v>31</v>
      </c>
      <c r="BA61" s="120">
        <v>44728</v>
      </c>
      <c r="BB61" s="57">
        <v>3248938</v>
      </c>
      <c r="BC61" s="57">
        <f t="shared" si="24"/>
        <v>0</v>
      </c>
      <c r="BD61" s="57"/>
      <c r="BE61" s="57"/>
      <c r="BF61" s="58">
        <v>0</v>
      </c>
      <c r="BG61" s="101">
        <v>44743</v>
      </c>
      <c r="BH61" s="14" t="s">
        <v>31</v>
      </c>
      <c r="BI61" s="101">
        <v>44757</v>
      </c>
      <c r="BJ61" s="57">
        <v>3248938</v>
      </c>
      <c r="BK61" s="57">
        <f t="shared" si="29"/>
        <v>0</v>
      </c>
      <c r="BL61" s="57"/>
      <c r="BM61" s="57"/>
      <c r="BN61" s="58">
        <v>0</v>
      </c>
      <c r="BO61" s="101">
        <v>44774</v>
      </c>
      <c r="BP61" s="14" t="s">
        <v>31</v>
      </c>
      <c r="BQ61" s="14"/>
      <c r="BR61" s="57"/>
      <c r="BS61" s="57"/>
      <c r="BT61" s="57"/>
      <c r="BU61" s="57"/>
      <c r="BV61" s="58"/>
      <c r="BW61" s="101"/>
      <c r="BX61" s="14"/>
      <c r="BY61" s="14"/>
      <c r="BZ61" s="57"/>
      <c r="CA61" s="57"/>
      <c r="CB61" s="57"/>
      <c r="CC61" s="57"/>
      <c r="CD61" s="58"/>
      <c r="CE61" s="101"/>
      <c r="CF61" s="14"/>
      <c r="CG61" s="14"/>
      <c r="CH61" s="57"/>
      <c r="CI61" s="57"/>
      <c r="CJ61" s="57"/>
      <c r="CK61" s="57"/>
      <c r="CL61" s="58"/>
      <c r="CM61" s="101"/>
      <c r="CN61" s="14"/>
      <c r="CO61" s="14"/>
      <c r="CP61" s="57"/>
      <c r="CQ61" s="57"/>
      <c r="CR61" s="57"/>
      <c r="CS61" s="57"/>
      <c r="CT61" s="58"/>
      <c r="CU61" s="101"/>
      <c r="CV61" s="14"/>
      <c r="CW61" s="14"/>
    </row>
    <row r="62" spans="1:101" hidden="1" x14ac:dyDescent="0.35">
      <c r="A62" s="1" t="s">
        <v>698</v>
      </c>
      <c r="B62" s="26" t="s">
        <v>699</v>
      </c>
      <c r="C62" s="24">
        <v>6603</v>
      </c>
      <c r="D62" s="22">
        <v>204573</v>
      </c>
      <c r="E62" s="18" t="s">
        <v>552</v>
      </c>
      <c r="F62" s="19" t="s">
        <v>553</v>
      </c>
      <c r="G62" s="57">
        <v>858228</v>
      </c>
      <c r="H62" s="57">
        <v>858228</v>
      </c>
      <c r="I62" s="88">
        <v>858228</v>
      </c>
      <c r="J62" s="8">
        <f>H62-I62</f>
        <v>0</v>
      </c>
      <c r="K62" s="14"/>
      <c r="L62" s="58">
        <v>0</v>
      </c>
      <c r="M62" s="3" t="s">
        <v>31</v>
      </c>
      <c r="N62" s="123">
        <v>44566</v>
      </c>
      <c r="O62" s="20"/>
      <c r="P62" s="57">
        <v>858228</v>
      </c>
      <c r="Q62" s="8">
        <f t="shared" si="31"/>
        <v>0</v>
      </c>
      <c r="R62" s="14"/>
      <c r="S62" s="58">
        <v>0</v>
      </c>
      <c r="T62" s="101">
        <v>44600</v>
      </c>
      <c r="U62" s="14" t="s">
        <v>31</v>
      </c>
      <c r="V62" s="20"/>
      <c r="W62" s="57">
        <v>858228</v>
      </c>
      <c r="X62" s="57">
        <f>P62-W62</f>
        <v>0</v>
      </c>
      <c r="Y62" s="14"/>
      <c r="Z62" s="58">
        <v>0</v>
      </c>
      <c r="AA62" s="101">
        <v>44627</v>
      </c>
      <c r="AB62" s="14" t="s">
        <v>31</v>
      </c>
      <c r="AC62" s="20"/>
      <c r="AD62" s="57">
        <v>858228</v>
      </c>
      <c r="AE62" s="57">
        <f t="shared" si="34"/>
        <v>0</v>
      </c>
      <c r="AF62" s="57"/>
      <c r="AG62" s="57"/>
      <c r="AH62" s="58">
        <v>0</v>
      </c>
      <c r="AI62" s="120">
        <v>44659</v>
      </c>
      <c r="AJ62" s="57" t="s">
        <v>31</v>
      </c>
      <c r="AK62" s="14"/>
      <c r="AL62" s="57">
        <v>858228</v>
      </c>
      <c r="AM62" s="57">
        <f t="shared" si="33"/>
        <v>0</v>
      </c>
      <c r="AN62" s="57"/>
      <c r="AO62" s="57"/>
      <c r="AP62" s="58">
        <v>0</v>
      </c>
      <c r="AQ62" s="101">
        <v>44687</v>
      </c>
      <c r="AR62" s="14" t="s">
        <v>31</v>
      </c>
      <c r="AS62" s="14"/>
      <c r="AT62" s="57">
        <v>858228</v>
      </c>
      <c r="AU62" s="57">
        <f t="shared" si="30"/>
        <v>0</v>
      </c>
      <c r="AV62" s="57"/>
      <c r="AW62" s="57"/>
      <c r="AX62" s="58">
        <v>0</v>
      </c>
      <c r="AY62" s="120">
        <v>44718</v>
      </c>
      <c r="AZ62" s="57" t="s">
        <v>31</v>
      </c>
      <c r="BA62" s="120">
        <v>44728</v>
      </c>
      <c r="BB62" s="57">
        <v>858228</v>
      </c>
      <c r="BC62" s="57">
        <f t="shared" si="24"/>
        <v>0</v>
      </c>
      <c r="BD62" s="57"/>
      <c r="BE62" s="57"/>
      <c r="BF62" s="58">
        <v>0</v>
      </c>
      <c r="BG62" s="101">
        <v>44750</v>
      </c>
      <c r="BH62" s="14" t="s">
        <v>31</v>
      </c>
      <c r="BI62" s="101">
        <v>44768</v>
      </c>
      <c r="BJ62" s="57">
        <v>858228</v>
      </c>
      <c r="BK62" s="57">
        <f t="shared" si="29"/>
        <v>0</v>
      </c>
      <c r="BL62" s="57"/>
      <c r="BM62" s="57"/>
      <c r="BN62" s="58">
        <v>0</v>
      </c>
      <c r="BO62" s="101">
        <v>44778</v>
      </c>
      <c r="BP62" s="14" t="s">
        <v>31</v>
      </c>
      <c r="BQ62" s="14"/>
      <c r="BR62" s="57"/>
      <c r="BS62" s="57"/>
      <c r="BT62" s="57"/>
      <c r="BU62" s="57"/>
      <c r="BV62" s="58"/>
      <c r="BW62" s="101"/>
      <c r="BX62" s="14"/>
      <c r="BY62" s="14"/>
      <c r="BZ62" s="57"/>
      <c r="CA62" s="57"/>
      <c r="CB62" s="57"/>
      <c r="CC62" s="57"/>
      <c r="CD62" s="58"/>
      <c r="CE62" s="101"/>
      <c r="CF62" s="14"/>
      <c r="CG62" s="14"/>
      <c r="CH62" s="57"/>
      <c r="CI62" s="57"/>
      <c r="CJ62" s="57"/>
      <c r="CK62" s="57"/>
      <c r="CL62" s="58"/>
      <c r="CM62" s="101"/>
      <c r="CN62" s="14"/>
      <c r="CO62" s="14"/>
      <c r="CP62" s="57"/>
      <c r="CQ62" s="57"/>
      <c r="CR62" s="57"/>
      <c r="CS62" s="57"/>
      <c r="CT62" s="58"/>
      <c r="CU62" s="101"/>
      <c r="CV62" s="14"/>
      <c r="CW62" s="14"/>
    </row>
    <row r="63" spans="1:101" hidden="1" x14ac:dyDescent="0.35">
      <c r="A63" s="1" t="s">
        <v>698</v>
      </c>
      <c r="B63" s="26" t="s">
        <v>700</v>
      </c>
      <c r="C63" s="24" t="s">
        <v>988</v>
      </c>
      <c r="D63" s="22">
        <v>204573</v>
      </c>
      <c r="E63" s="18" t="s">
        <v>552</v>
      </c>
      <c r="F63" s="19" t="s">
        <v>553</v>
      </c>
      <c r="G63" s="57">
        <v>1833897</v>
      </c>
      <c r="H63" s="57">
        <v>1833897</v>
      </c>
      <c r="I63" s="57">
        <v>1833897</v>
      </c>
      <c r="J63" s="8">
        <f>G63-I63</f>
        <v>0</v>
      </c>
      <c r="K63" s="14"/>
      <c r="L63" s="58">
        <v>0</v>
      </c>
      <c r="M63" s="3" t="s">
        <v>31</v>
      </c>
      <c r="N63" s="123">
        <v>44566</v>
      </c>
      <c r="O63" s="20"/>
      <c r="P63" s="57">
        <v>1833897</v>
      </c>
      <c r="Q63" s="8">
        <f t="shared" si="31"/>
        <v>0</v>
      </c>
      <c r="R63" s="14"/>
      <c r="S63" s="58">
        <v>0</v>
      </c>
      <c r="T63" s="101">
        <v>44600</v>
      </c>
      <c r="U63" s="14" t="s">
        <v>31</v>
      </c>
      <c r="V63" s="20"/>
      <c r="W63" s="57">
        <v>1833897</v>
      </c>
      <c r="X63" s="57">
        <f>P63-W63</f>
        <v>0</v>
      </c>
      <c r="Y63" s="14"/>
      <c r="Z63" s="58">
        <v>0</v>
      </c>
      <c r="AA63" s="101">
        <v>44627</v>
      </c>
      <c r="AB63" s="14" t="s">
        <v>31</v>
      </c>
      <c r="AC63" s="20"/>
      <c r="AD63" s="57">
        <v>1833897</v>
      </c>
      <c r="AE63" s="57">
        <f t="shared" si="34"/>
        <v>0</v>
      </c>
      <c r="AF63" s="57"/>
      <c r="AG63" s="57"/>
      <c r="AH63" s="58">
        <v>0</v>
      </c>
      <c r="AI63" s="120">
        <v>44659</v>
      </c>
      <c r="AJ63" s="57" t="s">
        <v>31</v>
      </c>
      <c r="AK63" s="14"/>
      <c r="AL63" s="57">
        <v>1833897</v>
      </c>
      <c r="AM63" s="57">
        <f t="shared" si="33"/>
        <v>0</v>
      </c>
      <c r="AN63" s="57"/>
      <c r="AO63" s="57"/>
      <c r="AP63" s="58">
        <v>0</v>
      </c>
      <c r="AQ63" s="101">
        <v>44687</v>
      </c>
      <c r="AR63" s="14" t="s">
        <v>31</v>
      </c>
      <c r="AS63" s="14"/>
      <c r="AT63" s="57">
        <v>1833897</v>
      </c>
      <c r="AU63" s="57">
        <f t="shared" si="30"/>
        <v>0</v>
      </c>
      <c r="AV63" s="57"/>
      <c r="AW63" s="57"/>
      <c r="AX63" s="58">
        <v>0</v>
      </c>
      <c r="AY63" s="120">
        <v>44718</v>
      </c>
      <c r="AZ63" s="57" t="s">
        <v>31</v>
      </c>
      <c r="BA63" s="120">
        <v>44728</v>
      </c>
      <c r="BB63" s="57">
        <v>1833897</v>
      </c>
      <c r="BC63" s="57">
        <f t="shared" si="24"/>
        <v>0</v>
      </c>
      <c r="BD63" s="57"/>
      <c r="BE63" s="57"/>
      <c r="BF63" s="58">
        <v>0</v>
      </c>
      <c r="BG63" s="101">
        <v>44750</v>
      </c>
      <c r="BH63" s="14" t="s">
        <v>31</v>
      </c>
      <c r="BI63" s="101">
        <v>44768</v>
      </c>
      <c r="BJ63" s="57">
        <v>1833897</v>
      </c>
      <c r="BK63" s="57">
        <f t="shared" si="29"/>
        <v>0</v>
      </c>
      <c r="BL63" s="57"/>
      <c r="BM63" s="57"/>
      <c r="BN63" s="58">
        <v>0</v>
      </c>
      <c r="BO63" s="101">
        <v>44778</v>
      </c>
      <c r="BP63" s="14" t="s">
        <v>31</v>
      </c>
      <c r="BQ63" s="14"/>
      <c r="BR63" s="57"/>
      <c r="BS63" s="57"/>
      <c r="BT63" s="57"/>
      <c r="BU63" s="57"/>
      <c r="BV63" s="58"/>
      <c r="BW63" s="101"/>
      <c r="BX63" s="14"/>
      <c r="BY63" s="14"/>
      <c r="BZ63" s="57"/>
      <c r="CA63" s="57"/>
      <c r="CB63" s="57"/>
      <c r="CC63" s="57"/>
      <c r="CD63" s="58"/>
      <c r="CE63" s="101"/>
      <c r="CF63" s="14"/>
      <c r="CG63" s="14"/>
      <c r="CH63" s="57"/>
      <c r="CI63" s="57"/>
      <c r="CJ63" s="57"/>
      <c r="CK63" s="57"/>
      <c r="CL63" s="58"/>
      <c r="CM63" s="101"/>
      <c r="CN63" s="14"/>
      <c r="CO63" s="14"/>
      <c r="CP63" s="57"/>
      <c r="CQ63" s="57"/>
      <c r="CR63" s="57"/>
      <c r="CS63" s="57"/>
      <c r="CT63" s="58"/>
      <c r="CU63" s="101"/>
      <c r="CV63" s="14"/>
      <c r="CW63" s="14"/>
    </row>
    <row r="64" spans="1:101" hidden="1" x14ac:dyDescent="0.35">
      <c r="A64" s="1" t="s">
        <v>323</v>
      </c>
      <c r="B64" s="26" t="s">
        <v>701</v>
      </c>
      <c r="C64" s="24" t="s">
        <v>934</v>
      </c>
      <c r="D64" s="22">
        <v>204591</v>
      </c>
      <c r="E64" s="18" t="s">
        <v>702</v>
      </c>
      <c r="F64" s="19" t="s">
        <v>703</v>
      </c>
      <c r="G64" s="57">
        <v>698564</v>
      </c>
      <c r="H64" s="39">
        <v>688018</v>
      </c>
      <c r="I64" s="57">
        <f>695656+55330</f>
        <v>750986</v>
      </c>
      <c r="J64" s="8">
        <f t="shared" ref="J64:J69" si="35">H64-I64</f>
        <v>-62968</v>
      </c>
      <c r="K64" s="14"/>
      <c r="L64" s="58">
        <f>J64/H64</f>
        <v>-9.1520861372812914E-2</v>
      </c>
      <c r="M64" s="3" t="s">
        <v>31</v>
      </c>
      <c r="N64" s="123">
        <v>44567</v>
      </c>
      <c r="O64" s="20"/>
      <c r="P64" s="57">
        <f>55330+695656</f>
        <v>750986</v>
      </c>
      <c r="Q64" s="8">
        <f t="shared" si="31"/>
        <v>0</v>
      </c>
      <c r="R64" s="14"/>
      <c r="S64" s="58">
        <v>0</v>
      </c>
      <c r="T64" s="131">
        <v>44594</v>
      </c>
      <c r="U64" s="14" t="s">
        <v>31</v>
      </c>
      <c r="V64" s="20"/>
      <c r="W64" s="57">
        <f>55330+695656</f>
        <v>750986</v>
      </c>
      <c r="X64" s="57">
        <f>P64-W64</f>
        <v>0</v>
      </c>
      <c r="Y64" s="14"/>
      <c r="Z64" s="58">
        <v>0</v>
      </c>
      <c r="AA64" s="131">
        <v>44621</v>
      </c>
      <c r="AB64" s="14" t="s">
        <v>31</v>
      </c>
      <c r="AC64" s="20"/>
      <c r="AD64" s="57">
        <v>695656</v>
      </c>
      <c r="AE64" s="57">
        <f t="shared" si="34"/>
        <v>55330</v>
      </c>
      <c r="AF64" s="57"/>
      <c r="AG64" s="57"/>
      <c r="AH64" s="58">
        <f>AE64/W64</f>
        <v>7.3676473329729181E-2</v>
      </c>
      <c r="AI64" s="120">
        <v>44676</v>
      </c>
      <c r="AJ64" s="120" t="s">
        <v>31</v>
      </c>
      <c r="AK64" s="14"/>
      <c r="AL64" s="57">
        <v>695656</v>
      </c>
      <c r="AM64" s="57">
        <f t="shared" si="33"/>
        <v>0</v>
      </c>
      <c r="AN64" s="57"/>
      <c r="AO64" s="57"/>
      <c r="AP64" s="58">
        <v>0</v>
      </c>
      <c r="AQ64" s="101">
        <v>44704</v>
      </c>
      <c r="AR64" s="14" t="s">
        <v>31</v>
      </c>
      <c r="AS64" s="14"/>
      <c r="AT64" s="57">
        <v>698155</v>
      </c>
      <c r="AU64" s="57"/>
      <c r="AV64" s="57">
        <f>AL64-AT64</f>
        <v>-2499</v>
      </c>
      <c r="AW64" s="57"/>
      <c r="AX64" s="58">
        <f>AV64/AL64</f>
        <v>-3.5922927423899169E-3</v>
      </c>
      <c r="AY64" s="120">
        <v>44715</v>
      </c>
      <c r="AZ64" s="57" t="s">
        <v>31</v>
      </c>
      <c r="BA64" s="120">
        <v>44728</v>
      </c>
      <c r="BB64" s="57">
        <v>698155</v>
      </c>
      <c r="BC64" s="57">
        <f t="shared" si="24"/>
        <v>0</v>
      </c>
      <c r="BD64" s="57"/>
      <c r="BE64" s="57"/>
      <c r="BF64" s="58">
        <v>0</v>
      </c>
      <c r="BG64" s="101">
        <v>44743</v>
      </c>
      <c r="BH64" s="14" t="s">
        <v>31</v>
      </c>
      <c r="BI64" s="101">
        <v>44757</v>
      </c>
      <c r="BJ64" s="57">
        <v>698564</v>
      </c>
      <c r="BK64" s="57">
        <f t="shared" si="29"/>
        <v>-409</v>
      </c>
      <c r="BL64" s="57"/>
      <c r="BM64" s="57"/>
      <c r="BN64" s="58">
        <f>BK64/BB64</f>
        <v>-5.8582979424339865E-4</v>
      </c>
      <c r="BO64" s="101">
        <v>44778</v>
      </c>
      <c r="BP64" s="14" t="s">
        <v>31</v>
      </c>
      <c r="BQ64" s="14"/>
      <c r="BR64" s="57"/>
      <c r="BS64" s="57"/>
      <c r="BT64" s="57"/>
      <c r="BU64" s="57"/>
      <c r="BV64" s="58"/>
      <c r="BW64" s="101"/>
      <c r="BX64" s="14"/>
      <c r="BY64" s="14"/>
      <c r="BZ64" s="57"/>
      <c r="CA64" s="57"/>
      <c r="CB64" s="57"/>
      <c r="CC64" s="57"/>
      <c r="CD64" s="58"/>
      <c r="CE64" s="101"/>
      <c r="CF64" s="14"/>
      <c r="CG64" s="14"/>
      <c r="CH64" s="57"/>
      <c r="CI64" s="57"/>
      <c r="CJ64" s="57"/>
      <c r="CK64" s="57"/>
      <c r="CL64" s="58"/>
      <c r="CM64" s="101"/>
      <c r="CN64" s="14"/>
      <c r="CO64" s="14"/>
      <c r="CP64" s="57"/>
      <c r="CQ64" s="57"/>
      <c r="CR64" s="57"/>
      <c r="CS64" s="57"/>
      <c r="CT64" s="58"/>
      <c r="CU64" s="101"/>
      <c r="CV64" s="14"/>
      <c r="CW64" s="14"/>
    </row>
    <row r="65" spans="1:101" hidden="1" x14ac:dyDescent="0.35">
      <c r="A65" s="1" t="s">
        <v>328</v>
      </c>
      <c r="B65" s="26" t="s">
        <v>704</v>
      </c>
      <c r="C65" s="24">
        <v>6610</v>
      </c>
      <c r="D65" s="22">
        <v>204586</v>
      </c>
      <c r="E65" s="18" t="s">
        <v>705</v>
      </c>
      <c r="F65" s="19" t="s">
        <v>706</v>
      </c>
      <c r="G65" s="57">
        <v>2357930</v>
      </c>
      <c r="H65" s="39">
        <v>2176703</v>
      </c>
      <c r="I65" s="57">
        <v>2299026</v>
      </c>
      <c r="J65" s="8">
        <f t="shared" si="35"/>
        <v>-122323</v>
      </c>
      <c r="K65" s="14"/>
      <c r="L65" s="58">
        <f>J65/H65</f>
        <v>-5.6196458588976081E-2</v>
      </c>
      <c r="M65" s="3" t="s">
        <v>31</v>
      </c>
      <c r="N65" s="123">
        <v>44568</v>
      </c>
      <c r="O65" s="20"/>
      <c r="P65" s="57">
        <v>2299026</v>
      </c>
      <c r="Q65" s="8">
        <f t="shared" si="31"/>
        <v>0</v>
      </c>
      <c r="R65" s="14"/>
      <c r="S65" s="58">
        <v>0</v>
      </c>
      <c r="T65" s="101">
        <v>44596</v>
      </c>
      <c r="U65" s="14" t="s">
        <v>31</v>
      </c>
      <c r="V65" s="20"/>
      <c r="W65" s="57">
        <v>2299026</v>
      </c>
      <c r="X65" s="57">
        <f>P65-W65</f>
        <v>0</v>
      </c>
      <c r="Y65" s="14"/>
      <c r="Z65" s="58">
        <v>0</v>
      </c>
      <c r="AA65" s="131">
        <v>44622</v>
      </c>
      <c r="AB65" s="14" t="s">
        <v>31</v>
      </c>
      <c r="AC65" s="20"/>
      <c r="AD65" s="57">
        <v>2357930</v>
      </c>
      <c r="AE65" s="57">
        <f t="shared" si="34"/>
        <v>-58904</v>
      </c>
      <c r="AF65" s="57"/>
      <c r="AG65" s="57"/>
      <c r="AH65" s="58">
        <f>AE65/W65</f>
        <v>-2.5621284839753879E-2</v>
      </c>
      <c r="AI65" s="120">
        <v>44655</v>
      </c>
      <c r="AJ65" s="57" t="s">
        <v>31</v>
      </c>
      <c r="AK65" s="14"/>
      <c r="AL65" s="57">
        <v>2357930</v>
      </c>
      <c r="AM65" s="57">
        <f t="shared" ref="AM65:AM76" si="36">AD65-AL65</f>
        <v>0</v>
      </c>
      <c r="AN65" s="57"/>
      <c r="AO65" s="57"/>
      <c r="AP65" s="58">
        <v>0</v>
      </c>
      <c r="AQ65" s="101">
        <v>44684</v>
      </c>
      <c r="AR65" s="14" t="s">
        <v>31</v>
      </c>
      <c r="AS65" s="14"/>
      <c r="AT65" s="57">
        <v>2357930</v>
      </c>
      <c r="AU65" s="57">
        <f t="shared" ref="AU65:AU75" si="37">AL65-AT65</f>
        <v>0</v>
      </c>
      <c r="AV65" s="57"/>
      <c r="AW65" s="57"/>
      <c r="AX65" s="58">
        <v>0</v>
      </c>
      <c r="AY65" s="120">
        <v>44715</v>
      </c>
      <c r="AZ65" s="57" t="s">
        <v>31</v>
      </c>
      <c r="BA65" s="120">
        <v>44728</v>
      </c>
      <c r="BB65" s="57">
        <v>2357930</v>
      </c>
      <c r="BC65" s="57">
        <f t="shared" si="24"/>
        <v>0</v>
      </c>
      <c r="BD65" s="57"/>
      <c r="BE65" s="57"/>
      <c r="BF65" s="58">
        <v>0</v>
      </c>
      <c r="BG65" s="101">
        <v>44743</v>
      </c>
      <c r="BH65" s="14" t="s">
        <v>31</v>
      </c>
      <c r="BI65" s="101">
        <v>44757</v>
      </c>
      <c r="BJ65" s="57">
        <v>2357930</v>
      </c>
      <c r="BK65" s="57">
        <f t="shared" si="29"/>
        <v>0</v>
      </c>
      <c r="BL65" s="57"/>
      <c r="BM65" s="57"/>
      <c r="BN65" s="58">
        <v>0</v>
      </c>
      <c r="BO65" s="101">
        <v>44775</v>
      </c>
      <c r="BP65" s="14" t="s">
        <v>31</v>
      </c>
      <c r="BQ65" s="14"/>
      <c r="BR65" s="57"/>
      <c r="BS65" s="57"/>
      <c r="BT65" s="57"/>
      <c r="BU65" s="57"/>
      <c r="BV65" s="58"/>
      <c r="BW65" s="101"/>
      <c r="BX65" s="14"/>
      <c r="BY65" s="14"/>
      <c r="BZ65" s="57"/>
      <c r="CA65" s="57"/>
      <c r="CB65" s="57"/>
      <c r="CC65" s="57"/>
      <c r="CD65" s="58"/>
      <c r="CE65" s="101"/>
      <c r="CF65" s="14"/>
      <c r="CG65" s="14"/>
      <c r="CH65" s="57"/>
      <c r="CI65" s="57"/>
      <c r="CJ65" s="57"/>
      <c r="CK65" s="57"/>
      <c r="CL65" s="58"/>
      <c r="CM65" s="101"/>
      <c r="CN65" s="14"/>
      <c r="CO65" s="14"/>
      <c r="CP65" s="57"/>
      <c r="CQ65" s="57"/>
      <c r="CR65" s="57"/>
      <c r="CS65" s="57"/>
      <c r="CT65" s="58"/>
      <c r="CU65" s="101"/>
      <c r="CV65" s="14"/>
      <c r="CW65" s="14"/>
    </row>
    <row r="66" spans="1:101" hidden="1" x14ac:dyDescent="0.35">
      <c r="A66" s="1" t="s">
        <v>331</v>
      </c>
      <c r="B66" s="26" t="s">
        <v>707</v>
      </c>
      <c r="C66" s="24">
        <v>6616</v>
      </c>
      <c r="D66" s="22">
        <v>204845</v>
      </c>
      <c r="E66" s="18" t="s">
        <v>708</v>
      </c>
      <c r="F66" s="19" t="s">
        <v>709</v>
      </c>
      <c r="G66" s="39">
        <v>391000</v>
      </c>
      <c r="H66" s="39">
        <v>372000</v>
      </c>
      <c r="I66" s="57">
        <v>372000</v>
      </c>
      <c r="J66" s="8">
        <f t="shared" si="35"/>
        <v>0</v>
      </c>
      <c r="K66" s="14"/>
      <c r="L66" s="58">
        <v>0</v>
      </c>
      <c r="M66" s="3" t="s">
        <v>31</v>
      </c>
      <c r="N66" s="123">
        <v>44578</v>
      </c>
      <c r="O66" s="20"/>
      <c r="P66" s="57">
        <v>391000</v>
      </c>
      <c r="Q66" s="8">
        <f t="shared" si="31"/>
        <v>-19000</v>
      </c>
      <c r="R66" s="14"/>
      <c r="S66" s="58">
        <f>Q66/I66</f>
        <v>-5.1075268817204304E-2</v>
      </c>
      <c r="T66" s="131">
        <v>44589</v>
      </c>
      <c r="U66" s="14" t="s">
        <v>31</v>
      </c>
      <c r="V66" s="20"/>
      <c r="W66" s="57">
        <v>391000</v>
      </c>
      <c r="X66" s="57">
        <v>0</v>
      </c>
      <c r="Y66" s="8"/>
      <c r="Z66" s="58">
        <v>0</v>
      </c>
      <c r="AA66" s="131">
        <v>44630</v>
      </c>
      <c r="AB66" s="14" t="s">
        <v>31</v>
      </c>
      <c r="AC66" s="20"/>
      <c r="AD66" s="57">
        <v>391000</v>
      </c>
      <c r="AE66" s="57">
        <f t="shared" si="34"/>
        <v>0</v>
      </c>
      <c r="AF66" s="57"/>
      <c r="AG66" s="57"/>
      <c r="AH66" s="58">
        <v>0</v>
      </c>
      <c r="AI66" s="120">
        <v>44664</v>
      </c>
      <c r="AJ66" s="57" t="s">
        <v>31</v>
      </c>
      <c r="AK66" s="14"/>
      <c r="AL66" s="57">
        <v>391000</v>
      </c>
      <c r="AM66" s="57">
        <f t="shared" si="36"/>
        <v>0</v>
      </c>
      <c r="AN66" s="57"/>
      <c r="AO66" s="57"/>
      <c r="AP66" s="58">
        <v>0</v>
      </c>
      <c r="AQ66" s="101">
        <v>44690</v>
      </c>
      <c r="AR66" s="14" t="s">
        <v>31</v>
      </c>
      <c r="AS66" s="14"/>
      <c r="AT66" s="57">
        <v>391000</v>
      </c>
      <c r="AU66" s="57">
        <f t="shared" si="37"/>
        <v>0</v>
      </c>
      <c r="AV66" s="57"/>
      <c r="AW66" s="57"/>
      <c r="AX66" s="58">
        <v>0</v>
      </c>
      <c r="AY66" s="120">
        <v>44719</v>
      </c>
      <c r="AZ66" s="57" t="s">
        <v>31</v>
      </c>
      <c r="BA66" s="120">
        <v>44728</v>
      </c>
      <c r="BB66" s="57">
        <v>391000</v>
      </c>
      <c r="BC66" s="57">
        <f t="shared" si="24"/>
        <v>0</v>
      </c>
      <c r="BD66" s="57"/>
      <c r="BE66" s="57"/>
      <c r="BF66" s="58">
        <v>0</v>
      </c>
      <c r="BG66" s="101">
        <v>44750</v>
      </c>
      <c r="BH66" s="14" t="s">
        <v>31</v>
      </c>
      <c r="BI66" s="101">
        <v>44768</v>
      </c>
      <c r="BJ66" s="57">
        <v>391000</v>
      </c>
      <c r="BK66" s="57">
        <f t="shared" si="29"/>
        <v>0</v>
      </c>
      <c r="BL66" s="57"/>
      <c r="BM66" s="57"/>
      <c r="BN66" s="58">
        <v>0</v>
      </c>
      <c r="BO66" s="101">
        <v>44781</v>
      </c>
      <c r="BP66" s="14" t="s">
        <v>31</v>
      </c>
      <c r="BQ66" s="14"/>
      <c r="BR66" s="57"/>
      <c r="BS66" s="57"/>
      <c r="BT66" s="57"/>
      <c r="BU66" s="57"/>
      <c r="BV66" s="58"/>
      <c r="BW66" s="101"/>
      <c r="BX66" s="14"/>
      <c r="BY66" s="14"/>
      <c r="BZ66" s="57"/>
      <c r="CA66" s="57"/>
      <c r="CB66" s="57"/>
      <c r="CC66" s="57"/>
      <c r="CD66" s="58"/>
      <c r="CE66" s="101"/>
      <c r="CF66" s="14"/>
      <c r="CG66" s="14"/>
      <c r="CH66" s="57"/>
      <c r="CI66" s="57"/>
      <c r="CJ66" s="57"/>
      <c r="CK66" s="57"/>
      <c r="CL66" s="58"/>
      <c r="CM66" s="101"/>
      <c r="CN66" s="14"/>
      <c r="CO66" s="14"/>
      <c r="CP66" s="57"/>
      <c r="CQ66" s="57"/>
      <c r="CR66" s="57"/>
      <c r="CS66" s="57"/>
      <c r="CT66" s="58"/>
      <c r="CU66" s="101"/>
      <c r="CV66" s="14"/>
      <c r="CW66" s="14"/>
    </row>
    <row r="67" spans="1:101" hidden="1" x14ac:dyDescent="0.35">
      <c r="A67" s="1" t="s">
        <v>335</v>
      </c>
      <c r="B67" s="26" t="s">
        <v>710</v>
      </c>
      <c r="C67" s="24">
        <v>6617</v>
      </c>
      <c r="D67" s="22">
        <v>204531</v>
      </c>
      <c r="E67" s="18" t="s">
        <v>711</v>
      </c>
      <c r="F67" s="19" t="s">
        <v>712</v>
      </c>
      <c r="G67" s="39">
        <v>1123439</v>
      </c>
      <c r="H67" s="39">
        <v>1063661</v>
      </c>
      <c r="I67" s="57">
        <v>1063661</v>
      </c>
      <c r="J67" s="8">
        <f t="shared" si="35"/>
        <v>0</v>
      </c>
      <c r="K67" s="14"/>
      <c r="L67" s="58">
        <v>0</v>
      </c>
      <c r="M67" s="3" t="s">
        <v>31</v>
      </c>
      <c r="N67" s="123">
        <v>44574</v>
      </c>
      <c r="O67" s="20"/>
      <c r="P67" s="57">
        <v>1063661</v>
      </c>
      <c r="Q67" s="8">
        <f t="shared" si="31"/>
        <v>0</v>
      </c>
      <c r="R67" s="14"/>
      <c r="S67" s="58">
        <v>0</v>
      </c>
      <c r="T67" s="101">
        <v>44601</v>
      </c>
      <c r="U67" s="14" t="s">
        <v>31</v>
      </c>
      <c r="V67" s="20"/>
      <c r="W67" s="57">
        <v>1063661</v>
      </c>
      <c r="X67" s="57">
        <f t="shared" ref="X67:X74" si="38">P67-W67</f>
        <v>0</v>
      </c>
      <c r="Y67" s="14"/>
      <c r="Z67" s="58">
        <v>0</v>
      </c>
      <c r="AA67" s="101">
        <v>44634</v>
      </c>
      <c r="AB67" s="14" t="s">
        <v>31</v>
      </c>
      <c r="AC67" s="20"/>
      <c r="AD67" s="57">
        <v>1123439</v>
      </c>
      <c r="AE67" s="57"/>
      <c r="AF67" s="57">
        <f>W67-AD67</f>
        <v>-59778</v>
      </c>
      <c r="AG67" s="57"/>
      <c r="AH67" s="58">
        <f>AF67/W67</f>
        <v>-5.6200236729559511E-2</v>
      </c>
      <c r="AI67" s="120">
        <v>44662</v>
      </c>
      <c r="AJ67" s="57" t="s">
        <v>31</v>
      </c>
      <c r="AK67" s="14"/>
      <c r="AL67" s="57">
        <v>1123439</v>
      </c>
      <c r="AM67" s="57">
        <f t="shared" si="36"/>
        <v>0</v>
      </c>
      <c r="AN67" s="57"/>
      <c r="AO67" s="57"/>
      <c r="AP67" s="58">
        <v>0</v>
      </c>
      <c r="AQ67" s="101">
        <v>44690</v>
      </c>
      <c r="AR67" s="14" t="s">
        <v>31</v>
      </c>
      <c r="AS67" s="14"/>
      <c r="AT67" s="57">
        <v>1123439</v>
      </c>
      <c r="AU67" s="57">
        <f t="shared" si="37"/>
        <v>0</v>
      </c>
      <c r="AV67" s="57"/>
      <c r="AW67" s="57"/>
      <c r="AX67" s="58">
        <v>0</v>
      </c>
      <c r="AY67" s="120">
        <v>44718</v>
      </c>
      <c r="AZ67" s="57" t="s">
        <v>31</v>
      </c>
      <c r="BA67" s="120">
        <v>44728</v>
      </c>
      <c r="BB67" s="57">
        <v>1123439</v>
      </c>
      <c r="BC67" s="57">
        <f>AT67-BB67</f>
        <v>0</v>
      </c>
      <c r="BD67" s="57"/>
      <c r="BE67" s="57"/>
      <c r="BF67" s="58">
        <v>0</v>
      </c>
      <c r="BG67" s="101">
        <v>44753</v>
      </c>
      <c r="BH67" s="14" t="s">
        <v>31</v>
      </c>
      <c r="BI67" s="101">
        <v>44768</v>
      </c>
      <c r="BJ67" s="57">
        <v>1123439</v>
      </c>
      <c r="BK67" s="57">
        <f>BB67-BJ67</f>
        <v>0</v>
      </c>
      <c r="BL67" s="57"/>
      <c r="BM67" s="57"/>
      <c r="BN67" s="58">
        <v>0</v>
      </c>
      <c r="BO67" s="101">
        <v>44783</v>
      </c>
      <c r="BP67" s="14" t="s">
        <v>31</v>
      </c>
      <c r="BQ67" s="14"/>
      <c r="BR67" s="57"/>
      <c r="BS67" s="57"/>
      <c r="BT67" s="57"/>
      <c r="BU67" s="57"/>
      <c r="BV67" s="58"/>
      <c r="BW67" s="101"/>
      <c r="BX67" s="14"/>
      <c r="BY67" s="14"/>
      <c r="BZ67" s="57"/>
      <c r="CA67" s="57"/>
      <c r="CB67" s="57"/>
      <c r="CC67" s="57"/>
      <c r="CD67" s="58"/>
      <c r="CE67" s="101"/>
      <c r="CF67" s="14"/>
      <c r="CG67" s="14"/>
      <c r="CH67" s="57"/>
      <c r="CI67" s="57"/>
      <c r="CJ67" s="57"/>
      <c r="CK67" s="57"/>
      <c r="CL67" s="58"/>
      <c r="CM67" s="101"/>
      <c r="CN67" s="14"/>
      <c r="CO67" s="14"/>
      <c r="CP67" s="57"/>
      <c r="CQ67" s="57"/>
      <c r="CR67" s="57"/>
      <c r="CS67" s="57"/>
      <c r="CT67" s="58"/>
      <c r="CU67" s="101"/>
      <c r="CV67" s="14"/>
      <c r="CW67" s="14"/>
    </row>
    <row r="68" spans="1:101" hidden="1" x14ac:dyDescent="0.35">
      <c r="A68" s="1" t="s">
        <v>339</v>
      </c>
      <c r="B68" s="26" t="s">
        <v>713</v>
      </c>
      <c r="C68" s="24">
        <v>6619</v>
      </c>
      <c r="D68" s="22">
        <v>204694</v>
      </c>
      <c r="E68" s="18" t="s">
        <v>714</v>
      </c>
      <c r="F68" s="19" t="s">
        <v>715</v>
      </c>
      <c r="G68" s="57">
        <v>1494830</v>
      </c>
      <c r="H68" s="39">
        <v>1384699</v>
      </c>
      <c r="I68" s="57">
        <v>1524138</v>
      </c>
      <c r="J68" s="8">
        <f t="shared" si="35"/>
        <v>-139439</v>
      </c>
      <c r="K68" s="14"/>
      <c r="L68" s="58">
        <f>J68/H68</f>
        <v>-0.100699863291589</v>
      </c>
      <c r="M68" s="3" t="s">
        <v>31</v>
      </c>
      <c r="N68" s="123">
        <v>44566</v>
      </c>
      <c r="O68" s="20"/>
      <c r="P68" s="57">
        <v>1524138</v>
      </c>
      <c r="Q68" s="8">
        <f t="shared" si="31"/>
        <v>0</v>
      </c>
      <c r="R68" s="14"/>
      <c r="S68" s="58">
        <v>0</v>
      </c>
      <c r="T68" s="131">
        <v>44594</v>
      </c>
      <c r="U68" s="14" t="s">
        <v>31</v>
      </c>
      <c r="V68" s="20"/>
      <c r="W68" s="57">
        <v>1494830</v>
      </c>
      <c r="X68" s="57">
        <f t="shared" si="38"/>
        <v>29308</v>
      </c>
      <c r="Y68" s="14"/>
      <c r="Z68" s="58">
        <f>X68/P68</f>
        <v>1.9229229899129868E-2</v>
      </c>
      <c r="AA68" s="101">
        <v>44624</v>
      </c>
      <c r="AB68" s="14" t="s">
        <v>31</v>
      </c>
      <c r="AC68" s="20"/>
      <c r="AD68" s="57">
        <v>1494830</v>
      </c>
      <c r="AE68" s="57">
        <f t="shared" ref="AE68:AE76" si="39">W68-AD68</f>
        <v>0</v>
      </c>
      <c r="AF68" s="57"/>
      <c r="AG68" s="57"/>
      <c r="AH68" s="58">
        <v>0</v>
      </c>
      <c r="AI68" s="120">
        <v>44656</v>
      </c>
      <c r="AJ68" s="57" t="s">
        <v>31</v>
      </c>
      <c r="AK68" s="14"/>
      <c r="AL68" s="57">
        <v>1494830</v>
      </c>
      <c r="AM68" s="57">
        <f t="shared" si="36"/>
        <v>0</v>
      </c>
      <c r="AN68" s="57"/>
      <c r="AO68" s="57"/>
      <c r="AP68" s="58">
        <v>0</v>
      </c>
      <c r="AQ68" s="101">
        <v>44684</v>
      </c>
      <c r="AR68" s="14" t="s">
        <v>31</v>
      </c>
      <c r="AS68" s="14"/>
      <c r="AT68" s="57">
        <v>1494830</v>
      </c>
      <c r="AU68" s="57">
        <f t="shared" si="37"/>
        <v>0</v>
      </c>
      <c r="AV68" s="57"/>
      <c r="AW68" s="57"/>
      <c r="AX68" s="58">
        <v>0</v>
      </c>
      <c r="AY68" s="120">
        <v>44715</v>
      </c>
      <c r="AZ68" s="57" t="s">
        <v>31</v>
      </c>
      <c r="BA68" s="120">
        <v>44728</v>
      </c>
      <c r="BB68" s="57">
        <v>1494830</v>
      </c>
      <c r="BC68" s="57">
        <f t="shared" ref="BC68:BC85" si="40">AT68-BB68</f>
        <v>0</v>
      </c>
      <c r="BD68" s="57"/>
      <c r="BE68" s="57"/>
      <c r="BF68" s="58">
        <v>0</v>
      </c>
      <c r="BG68" s="101">
        <v>44743</v>
      </c>
      <c r="BH68" s="14" t="s">
        <v>31</v>
      </c>
      <c r="BI68" s="101">
        <v>44757</v>
      </c>
      <c r="BJ68" s="57">
        <v>1494830</v>
      </c>
      <c r="BK68" s="57">
        <f t="shared" ref="BK68:BK85" si="41">BB68-BJ68</f>
        <v>0</v>
      </c>
      <c r="BL68" s="57"/>
      <c r="BM68" s="57"/>
      <c r="BN68" s="58">
        <v>0</v>
      </c>
      <c r="BO68" s="101">
        <v>44778</v>
      </c>
      <c r="BP68" s="14" t="s">
        <v>31</v>
      </c>
      <c r="BQ68" s="14"/>
      <c r="BR68" s="57"/>
      <c r="BS68" s="57"/>
      <c r="BT68" s="57"/>
      <c r="BU68" s="57"/>
      <c r="BV68" s="58"/>
      <c r="BW68" s="101"/>
      <c r="BX68" s="14"/>
      <c r="BY68" s="14"/>
      <c r="BZ68" s="57"/>
      <c r="CA68" s="57"/>
      <c r="CB68" s="57"/>
      <c r="CC68" s="57"/>
      <c r="CD68" s="58"/>
      <c r="CE68" s="101"/>
      <c r="CF68" s="14"/>
      <c r="CG68" s="14"/>
      <c r="CH68" s="57"/>
      <c r="CI68" s="57"/>
      <c r="CJ68" s="57"/>
      <c r="CK68" s="57"/>
      <c r="CL68" s="58"/>
      <c r="CM68" s="101"/>
      <c r="CN68" s="14"/>
      <c r="CO68" s="14"/>
      <c r="CP68" s="57"/>
      <c r="CQ68" s="57"/>
      <c r="CR68" s="57"/>
      <c r="CS68" s="57"/>
      <c r="CT68" s="58"/>
      <c r="CU68" s="101"/>
      <c r="CV68" s="14"/>
      <c r="CW68" s="14"/>
    </row>
    <row r="69" spans="1:101" hidden="1" x14ac:dyDescent="0.35">
      <c r="A69" s="1" t="s">
        <v>342</v>
      </c>
      <c r="B69" s="26" t="s">
        <v>716</v>
      </c>
      <c r="C69" s="35">
        <v>6620</v>
      </c>
      <c r="D69" s="22">
        <v>204616</v>
      </c>
      <c r="E69" s="18" t="s">
        <v>717</v>
      </c>
      <c r="F69" s="29">
        <v>900250796</v>
      </c>
      <c r="G69" s="57">
        <v>1608558</v>
      </c>
      <c r="H69" s="39">
        <f>781921+750039</f>
        <v>1531960</v>
      </c>
      <c r="I69" s="57">
        <f>810042+844474</f>
        <v>1654516</v>
      </c>
      <c r="J69" s="57">
        <f t="shared" si="35"/>
        <v>-122556</v>
      </c>
      <c r="K69" s="14"/>
      <c r="L69" s="58">
        <f>J69/H69</f>
        <v>-7.9999477793153861E-2</v>
      </c>
      <c r="M69" s="14" t="s">
        <v>31</v>
      </c>
      <c r="N69" s="101">
        <v>44574</v>
      </c>
      <c r="O69" s="20"/>
      <c r="P69" s="57">
        <f>844474+810042</f>
        <v>1654516</v>
      </c>
      <c r="Q69" s="8">
        <f t="shared" si="31"/>
        <v>0</v>
      </c>
      <c r="R69" s="14"/>
      <c r="S69" s="58">
        <v>0</v>
      </c>
      <c r="T69" s="101">
        <v>44600</v>
      </c>
      <c r="U69" s="14" t="s">
        <v>31</v>
      </c>
      <c r="V69" s="20"/>
      <c r="W69" s="57">
        <f>821017+787541</f>
        <v>1608558</v>
      </c>
      <c r="X69" s="57">
        <f t="shared" si="38"/>
        <v>45958</v>
      </c>
      <c r="Y69" s="14"/>
      <c r="Z69" s="58">
        <f>X69/P69</f>
        <v>2.777730768393899E-2</v>
      </c>
      <c r="AA69" s="131">
        <v>44635</v>
      </c>
      <c r="AB69" s="14" t="s">
        <v>31</v>
      </c>
      <c r="AC69" s="20"/>
      <c r="AD69" s="57">
        <f>787541+821017</f>
        <v>1608558</v>
      </c>
      <c r="AE69" s="57">
        <f t="shared" si="39"/>
        <v>0</v>
      </c>
      <c r="AF69" s="57"/>
      <c r="AG69" s="57"/>
      <c r="AH69" s="58">
        <v>0</v>
      </c>
      <c r="AI69" s="120">
        <v>44658</v>
      </c>
      <c r="AJ69" s="57" t="s">
        <v>31</v>
      </c>
      <c r="AK69" s="14"/>
      <c r="AL69" s="57">
        <f>787541+821017</f>
        <v>1608558</v>
      </c>
      <c r="AM69" s="57">
        <f t="shared" si="36"/>
        <v>0</v>
      </c>
      <c r="AN69" s="57"/>
      <c r="AO69" s="57"/>
      <c r="AP69" s="58">
        <v>0</v>
      </c>
      <c r="AQ69" s="101">
        <v>44687</v>
      </c>
      <c r="AR69" s="14" t="s">
        <v>31</v>
      </c>
      <c r="AS69" s="14"/>
      <c r="AT69" s="57">
        <f>787541+821017</f>
        <v>1608558</v>
      </c>
      <c r="AU69" s="57">
        <f t="shared" si="37"/>
        <v>0</v>
      </c>
      <c r="AV69" s="57"/>
      <c r="AW69" s="57"/>
      <c r="AX69" s="58">
        <v>0</v>
      </c>
      <c r="AY69" s="120">
        <v>44719</v>
      </c>
      <c r="AZ69" s="57" t="s">
        <v>31</v>
      </c>
      <c r="BA69" s="120">
        <v>44728</v>
      </c>
      <c r="BB69" s="57">
        <f>821017+787541</f>
        <v>1608558</v>
      </c>
      <c r="BC69" s="57">
        <f t="shared" si="40"/>
        <v>0</v>
      </c>
      <c r="BD69" s="57"/>
      <c r="BE69" s="57"/>
      <c r="BF69" s="58">
        <v>0</v>
      </c>
      <c r="BG69" s="101">
        <v>44750</v>
      </c>
      <c r="BH69" s="14" t="s">
        <v>31</v>
      </c>
      <c r="BI69" s="101">
        <v>44768</v>
      </c>
      <c r="BJ69" s="57">
        <f>787541+821017</f>
        <v>1608558</v>
      </c>
      <c r="BK69" s="57">
        <f t="shared" si="41"/>
        <v>0</v>
      </c>
      <c r="BL69" s="57"/>
      <c r="BM69" s="57"/>
      <c r="BN69" s="58">
        <v>0</v>
      </c>
      <c r="BO69" s="101">
        <v>44781</v>
      </c>
      <c r="BP69" s="14" t="s">
        <v>31</v>
      </c>
      <c r="BQ69" s="14"/>
      <c r="BR69" s="57"/>
      <c r="BS69" s="57"/>
      <c r="BT69" s="57"/>
      <c r="BU69" s="57"/>
      <c r="BV69" s="58"/>
      <c r="BW69" s="101"/>
      <c r="BX69" s="14"/>
      <c r="BY69" s="14"/>
      <c r="BZ69" s="57"/>
      <c r="CA69" s="57"/>
      <c r="CB69" s="57"/>
      <c r="CC69" s="57"/>
      <c r="CD69" s="58"/>
      <c r="CE69" s="101"/>
      <c r="CF69" s="14"/>
      <c r="CG69" s="14"/>
      <c r="CH69" s="57"/>
      <c r="CI69" s="57"/>
      <c r="CJ69" s="57"/>
      <c r="CK69" s="57"/>
      <c r="CL69" s="58"/>
      <c r="CM69" s="101"/>
      <c r="CN69" s="14"/>
      <c r="CO69" s="14"/>
      <c r="CP69" s="57"/>
      <c r="CQ69" s="57"/>
      <c r="CR69" s="57"/>
      <c r="CS69" s="57"/>
      <c r="CT69" s="58"/>
      <c r="CU69" s="101"/>
      <c r="CV69" s="14"/>
      <c r="CW69" s="14"/>
    </row>
    <row r="70" spans="1:101" hidden="1" x14ac:dyDescent="0.35">
      <c r="A70" s="1" t="s">
        <v>346</v>
      </c>
      <c r="B70" s="26" t="s">
        <v>718</v>
      </c>
      <c r="C70" s="24">
        <v>6621</v>
      </c>
      <c r="D70" s="36">
        <v>206218</v>
      </c>
      <c r="E70" s="18" t="s">
        <v>348</v>
      </c>
      <c r="F70" s="19" t="s">
        <v>719</v>
      </c>
      <c r="G70" s="39">
        <v>787644</v>
      </c>
      <c r="H70" s="39">
        <v>718700</v>
      </c>
      <c r="I70" s="57">
        <v>359350</v>
      </c>
      <c r="J70" s="8">
        <v>0</v>
      </c>
      <c r="K70" s="14"/>
      <c r="L70" s="58">
        <v>0</v>
      </c>
      <c r="M70" s="3" t="s">
        <v>31</v>
      </c>
      <c r="N70" s="123">
        <v>44566</v>
      </c>
      <c r="O70" s="20"/>
      <c r="P70" s="8">
        <v>787644</v>
      </c>
      <c r="Q70" s="8">
        <f>H70-P70</f>
        <v>-68944</v>
      </c>
      <c r="R70" s="14"/>
      <c r="S70" s="58">
        <f>Q70/H70</f>
        <v>-9.592876026158341E-2</v>
      </c>
      <c r="T70" s="101">
        <v>44595</v>
      </c>
      <c r="U70" s="14" t="s">
        <v>31</v>
      </c>
      <c r="V70" s="20"/>
      <c r="W70" s="57">
        <v>787644</v>
      </c>
      <c r="X70" s="57">
        <f t="shared" si="38"/>
        <v>0</v>
      </c>
      <c r="Y70" s="14"/>
      <c r="Z70" s="58">
        <v>0</v>
      </c>
      <c r="AA70" s="131">
        <v>44594</v>
      </c>
      <c r="AB70" s="14" t="s">
        <v>31</v>
      </c>
      <c r="AC70" s="20"/>
      <c r="AD70" s="57">
        <v>787644</v>
      </c>
      <c r="AE70" s="57">
        <f t="shared" si="39"/>
        <v>0</v>
      </c>
      <c r="AF70" s="57"/>
      <c r="AG70" s="57"/>
      <c r="AH70" s="58">
        <v>0</v>
      </c>
      <c r="AI70" s="120">
        <v>44656</v>
      </c>
      <c r="AJ70" s="57" t="s">
        <v>31</v>
      </c>
      <c r="AK70" s="14"/>
      <c r="AL70" s="57">
        <v>787644</v>
      </c>
      <c r="AM70" s="57">
        <f t="shared" si="36"/>
        <v>0</v>
      </c>
      <c r="AN70" s="57"/>
      <c r="AO70" s="57"/>
      <c r="AP70" s="58">
        <v>0</v>
      </c>
      <c r="AQ70" s="101">
        <v>44684</v>
      </c>
      <c r="AR70" s="14" t="s">
        <v>31</v>
      </c>
      <c r="AS70" s="14"/>
      <c r="AT70" s="57">
        <v>787644</v>
      </c>
      <c r="AU70" s="57">
        <f t="shared" si="37"/>
        <v>0</v>
      </c>
      <c r="AV70" s="57"/>
      <c r="AW70" s="57"/>
      <c r="AX70" s="58">
        <v>0</v>
      </c>
      <c r="AY70" s="120">
        <v>44713</v>
      </c>
      <c r="AZ70" s="57" t="s">
        <v>31</v>
      </c>
      <c r="BA70" s="120">
        <v>44728</v>
      </c>
      <c r="BB70" s="57">
        <v>787644</v>
      </c>
      <c r="BC70" s="57">
        <f t="shared" si="40"/>
        <v>0</v>
      </c>
      <c r="BD70" s="57"/>
      <c r="BE70" s="57"/>
      <c r="BF70" s="58">
        <v>0</v>
      </c>
      <c r="BG70" s="101">
        <v>44747</v>
      </c>
      <c r="BH70" s="14" t="s">
        <v>31</v>
      </c>
      <c r="BI70" s="101">
        <v>44757</v>
      </c>
      <c r="BJ70" s="57">
        <v>787644</v>
      </c>
      <c r="BK70" s="57">
        <f t="shared" si="41"/>
        <v>0</v>
      </c>
      <c r="BL70" s="57"/>
      <c r="BM70" s="57"/>
      <c r="BN70" s="58">
        <v>0</v>
      </c>
      <c r="BO70" s="101">
        <v>44775</v>
      </c>
      <c r="BP70" s="14" t="s">
        <v>31</v>
      </c>
      <c r="BQ70" s="14"/>
      <c r="BR70" s="57"/>
      <c r="BS70" s="57"/>
      <c r="BT70" s="57"/>
      <c r="BU70" s="57"/>
      <c r="BV70" s="58"/>
      <c r="BW70" s="101"/>
      <c r="BX70" s="14"/>
      <c r="BY70" s="14"/>
      <c r="BZ70" s="57"/>
      <c r="CA70" s="57"/>
      <c r="CB70" s="57"/>
      <c r="CC70" s="57"/>
      <c r="CD70" s="58"/>
      <c r="CE70" s="101"/>
      <c r="CF70" s="14"/>
      <c r="CG70" s="14"/>
      <c r="CH70" s="57"/>
      <c r="CI70" s="57"/>
      <c r="CJ70" s="57"/>
      <c r="CK70" s="57"/>
      <c r="CL70" s="58"/>
      <c r="CM70" s="101"/>
      <c r="CN70" s="14"/>
      <c r="CO70" s="14"/>
      <c r="CP70" s="57"/>
      <c r="CQ70" s="57"/>
      <c r="CR70" s="57"/>
      <c r="CS70" s="57"/>
      <c r="CT70" s="58"/>
      <c r="CU70" s="101"/>
      <c r="CV70" s="14"/>
      <c r="CW70" s="14"/>
    </row>
    <row r="71" spans="1:101" hidden="1" x14ac:dyDescent="0.35">
      <c r="A71" s="1" t="s">
        <v>350</v>
      </c>
      <c r="B71" s="26" t="s">
        <v>720</v>
      </c>
      <c r="C71" s="35">
        <v>6623</v>
      </c>
      <c r="D71" s="22">
        <v>204556</v>
      </c>
      <c r="E71" s="18" t="s">
        <v>721</v>
      </c>
      <c r="F71" s="19" t="s">
        <v>722</v>
      </c>
      <c r="G71" s="57">
        <v>1135564</v>
      </c>
      <c r="H71" s="39">
        <v>1135564</v>
      </c>
      <c r="I71" s="57">
        <v>1135564</v>
      </c>
      <c r="J71" s="8">
        <f>I71-G71</f>
        <v>0</v>
      </c>
      <c r="K71" s="14"/>
      <c r="L71" s="58">
        <v>0</v>
      </c>
      <c r="M71" s="3" t="s">
        <v>31</v>
      </c>
      <c r="N71" s="123">
        <v>44567</v>
      </c>
      <c r="O71" s="20"/>
      <c r="P71" s="57">
        <v>1135564</v>
      </c>
      <c r="Q71" s="8">
        <f>I71-P71</f>
        <v>0</v>
      </c>
      <c r="R71" s="57"/>
      <c r="S71" s="58">
        <v>0</v>
      </c>
      <c r="T71" s="101">
        <v>44595</v>
      </c>
      <c r="U71" s="14" t="s">
        <v>31</v>
      </c>
      <c r="V71" s="20"/>
      <c r="W71" s="57">
        <v>1135564</v>
      </c>
      <c r="X71" s="57">
        <f t="shared" si="38"/>
        <v>0</v>
      </c>
      <c r="Y71" s="14"/>
      <c r="Z71" s="58">
        <v>0</v>
      </c>
      <c r="AA71" s="101">
        <v>44624</v>
      </c>
      <c r="AB71" s="14" t="s">
        <v>31</v>
      </c>
      <c r="AC71" s="20"/>
      <c r="AD71" s="57">
        <v>1135564</v>
      </c>
      <c r="AE71" s="57">
        <f t="shared" si="39"/>
        <v>0</v>
      </c>
      <c r="AF71" s="57"/>
      <c r="AG71" s="57"/>
      <c r="AH71" s="58">
        <v>0</v>
      </c>
      <c r="AI71" s="120">
        <v>44657</v>
      </c>
      <c r="AJ71" s="57" t="s">
        <v>31</v>
      </c>
      <c r="AK71" s="14"/>
      <c r="AL71" s="57">
        <v>1135564</v>
      </c>
      <c r="AM71" s="57">
        <f t="shared" si="36"/>
        <v>0</v>
      </c>
      <c r="AN71" s="57"/>
      <c r="AO71" s="57"/>
      <c r="AP71" s="58">
        <v>0</v>
      </c>
      <c r="AQ71" s="101">
        <v>44686</v>
      </c>
      <c r="AR71" s="14" t="s">
        <v>31</v>
      </c>
      <c r="AS71" s="14"/>
      <c r="AT71" s="57">
        <v>1135564</v>
      </c>
      <c r="AU71" s="57">
        <f t="shared" si="37"/>
        <v>0</v>
      </c>
      <c r="AV71" s="57"/>
      <c r="AW71" s="57"/>
      <c r="AX71" s="58">
        <v>0</v>
      </c>
      <c r="AY71" s="120">
        <v>44715</v>
      </c>
      <c r="AZ71" s="57" t="s">
        <v>31</v>
      </c>
      <c r="BA71" s="120">
        <v>44728</v>
      </c>
      <c r="BB71" s="57">
        <v>1135564</v>
      </c>
      <c r="BC71" s="57">
        <f t="shared" si="40"/>
        <v>0</v>
      </c>
      <c r="BD71" s="57"/>
      <c r="BE71" s="57"/>
      <c r="BF71" s="58">
        <v>0</v>
      </c>
      <c r="BG71" s="101">
        <v>44748</v>
      </c>
      <c r="BH71" s="14" t="s">
        <v>31</v>
      </c>
      <c r="BI71" s="101">
        <v>44757</v>
      </c>
      <c r="BJ71" s="57">
        <v>1135564</v>
      </c>
      <c r="BK71" s="57">
        <f t="shared" si="41"/>
        <v>0</v>
      </c>
      <c r="BL71" s="57"/>
      <c r="BM71" s="57"/>
      <c r="BN71" s="58">
        <v>0</v>
      </c>
      <c r="BO71" s="101">
        <v>44777</v>
      </c>
      <c r="BP71" s="14" t="s">
        <v>31</v>
      </c>
      <c r="BQ71" s="14"/>
      <c r="BR71" s="111"/>
      <c r="BS71" s="111"/>
      <c r="BT71" s="111"/>
      <c r="BU71" s="111"/>
      <c r="BV71" s="111"/>
      <c r="BW71" s="121"/>
      <c r="BX71" s="111"/>
      <c r="BY71" s="111"/>
      <c r="BZ71" s="111"/>
      <c r="CA71" s="111"/>
      <c r="CB71" s="111"/>
      <c r="CC71" s="111"/>
      <c r="CD71" s="111"/>
      <c r="CE71" s="121"/>
      <c r="CF71" s="111"/>
      <c r="CG71" s="111"/>
      <c r="CH71" s="111"/>
      <c r="CI71" s="111"/>
      <c r="CJ71" s="111"/>
      <c r="CK71" s="111"/>
      <c r="CL71" s="113"/>
      <c r="CM71" s="121"/>
      <c r="CN71" s="111"/>
      <c r="CO71" s="111"/>
      <c r="CP71" s="111"/>
      <c r="CQ71" s="111"/>
      <c r="CR71" s="111"/>
      <c r="CS71" s="111"/>
      <c r="CT71" s="113"/>
      <c r="CU71" s="121"/>
      <c r="CV71" s="111"/>
      <c r="CW71" s="111"/>
    </row>
    <row r="72" spans="1:101" hidden="1" x14ac:dyDescent="0.35">
      <c r="A72" s="1" t="s">
        <v>354</v>
      </c>
      <c r="B72" s="26" t="s">
        <v>723</v>
      </c>
      <c r="C72" s="24">
        <v>6626</v>
      </c>
      <c r="D72" s="22">
        <v>204613</v>
      </c>
      <c r="E72" s="18" t="s">
        <v>724</v>
      </c>
      <c r="F72" s="19" t="s">
        <v>725</v>
      </c>
      <c r="G72" s="57">
        <v>1809306</v>
      </c>
      <c r="H72" s="39">
        <v>1809306</v>
      </c>
      <c r="I72" s="57">
        <v>1991504</v>
      </c>
      <c r="J72" s="8">
        <f>H72-I72</f>
        <v>-182198</v>
      </c>
      <c r="K72" s="14"/>
      <c r="L72" s="58">
        <f>J72/H72</f>
        <v>-0.10070048957998261</v>
      </c>
      <c r="M72" s="3" t="s">
        <v>31</v>
      </c>
      <c r="N72" s="123">
        <v>44572</v>
      </c>
      <c r="O72" s="20"/>
      <c r="P72" s="57">
        <v>1991504</v>
      </c>
      <c r="Q72" s="8">
        <f>I72-P72</f>
        <v>0</v>
      </c>
      <c r="R72" s="14"/>
      <c r="S72" s="58">
        <v>0</v>
      </c>
      <c r="T72" s="101">
        <v>44596</v>
      </c>
      <c r="U72" s="14" t="s">
        <v>31</v>
      </c>
      <c r="V72" s="20"/>
      <c r="W72" s="57">
        <v>1991504</v>
      </c>
      <c r="X72" s="57">
        <f t="shared" si="38"/>
        <v>0</v>
      </c>
      <c r="Y72" s="14"/>
      <c r="Z72" s="58">
        <v>0</v>
      </c>
      <c r="AA72" s="101">
        <v>44624</v>
      </c>
      <c r="AB72" s="14" t="s">
        <v>31</v>
      </c>
      <c r="AC72" s="20"/>
      <c r="AD72" s="57">
        <v>1809306</v>
      </c>
      <c r="AE72" s="57">
        <f t="shared" si="39"/>
        <v>182198</v>
      </c>
      <c r="AF72" s="57"/>
      <c r="AG72" s="57"/>
      <c r="AH72" s="58">
        <f>AE72/W72</f>
        <v>9.1487639492564415E-2</v>
      </c>
      <c r="AI72" s="120">
        <v>44657</v>
      </c>
      <c r="AJ72" s="57" t="s">
        <v>31</v>
      </c>
      <c r="AK72" s="14"/>
      <c r="AL72" s="57">
        <v>1809306</v>
      </c>
      <c r="AM72" s="57">
        <f t="shared" si="36"/>
        <v>0</v>
      </c>
      <c r="AN72" s="57"/>
      <c r="AO72" s="57"/>
      <c r="AP72" s="58">
        <v>0</v>
      </c>
      <c r="AQ72" s="101">
        <v>44687</v>
      </c>
      <c r="AR72" s="14" t="s">
        <v>31</v>
      </c>
      <c r="AS72" s="14"/>
      <c r="AT72" s="57">
        <v>1809306</v>
      </c>
      <c r="AU72" s="57">
        <f t="shared" si="37"/>
        <v>0</v>
      </c>
      <c r="AV72" s="57"/>
      <c r="AW72" s="57"/>
      <c r="AX72" s="58">
        <v>0</v>
      </c>
      <c r="AY72" s="120">
        <v>44715</v>
      </c>
      <c r="AZ72" s="57" t="s">
        <v>31</v>
      </c>
      <c r="BA72" s="120">
        <v>44728</v>
      </c>
      <c r="BB72" s="57">
        <v>1809306</v>
      </c>
      <c r="BC72" s="57">
        <f t="shared" si="40"/>
        <v>0</v>
      </c>
      <c r="BD72" s="57"/>
      <c r="BE72" s="57"/>
      <c r="BF72" s="58">
        <v>0</v>
      </c>
      <c r="BG72" s="101">
        <v>44747</v>
      </c>
      <c r="BH72" s="14" t="s">
        <v>31</v>
      </c>
      <c r="BI72" s="101">
        <v>44757</v>
      </c>
      <c r="BJ72" s="57">
        <v>1809306</v>
      </c>
      <c r="BK72" s="57">
        <f t="shared" si="41"/>
        <v>0</v>
      </c>
      <c r="BL72" s="57"/>
      <c r="BM72" s="57"/>
      <c r="BN72" s="58">
        <v>0</v>
      </c>
      <c r="BO72" s="101">
        <v>44778</v>
      </c>
      <c r="BP72" s="14" t="s">
        <v>31</v>
      </c>
      <c r="BQ72" s="14"/>
      <c r="BR72" s="57"/>
      <c r="BS72" s="57"/>
      <c r="BT72" s="57"/>
      <c r="BU72" s="57"/>
      <c r="BV72" s="58"/>
      <c r="BW72" s="101"/>
      <c r="BX72" s="14"/>
      <c r="BY72" s="14"/>
      <c r="BZ72" s="57"/>
      <c r="CA72" s="57"/>
      <c r="CB72" s="57"/>
      <c r="CC72" s="57"/>
      <c r="CD72" s="58"/>
      <c r="CE72" s="101"/>
      <c r="CF72" s="14"/>
      <c r="CG72" s="14"/>
      <c r="CH72" s="57"/>
      <c r="CI72" s="57"/>
      <c r="CJ72" s="57"/>
      <c r="CK72" s="57"/>
      <c r="CL72" s="58"/>
      <c r="CM72" s="101"/>
      <c r="CN72" s="14"/>
      <c r="CO72" s="14"/>
      <c r="CP72" s="57"/>
      <c r="CQ72" s="57"/>
      <c r="CR72" s="57"/>
      <c r="CS72" s="57"/>
      <c r="CT72" s="58"/>
      <c r="CU72" s="101"/>
      <c r="CV72" s="14"/>
      <c r="CW72" s="14"/>
    </row>
    <row r="73" spans="1:101" hidden="1" x14ac:dyDescent="0.35">
      <c r="A73" s="1" t="s">
        <v>358</v>
      </c>
      <c r="B73" s="26" t="s">
        <v>726</v>
      </c>
      <c r="C73" s="24">
        <v>6627</v>
      </c>
      <c r="D73" s="22">
        <v>204556</v>
      </c>
      <c r="E73" s="18" t="s">
        <v>721</v>
      </c>
      <c r="F73" s="19" t="s">
        <v>722</v>
      </c>
      <c r="G73" s="39">
        <v>1358529</v>
      </c>
      <c r="H73" s="39">
        <v>1358529</v>
      </c>
      <c r="I73" s="57">
        <v>1358529</v>
      </c>
      <c r="J73" s="8">
        <f>G73-I73</f>
        <v>0</v>
      </c>
      <c r="K73" s="14"/>
      <c r="L73" s="58">
        <v>0</v>
      </c>
      <c r="M73" s="3" t="s">
        <v>31</v>
      </c>
      <c r="N73" s="123">
        <v>44567</v>
      </c>
      <c r="O73" s="20"/>
      <c r="P73" s="57">
        <v>1358529</v>
      </c>
      <c r="Q73" s="8">
        <f>I73-P73</f>
        <v>0</v>
      </c>
      <c r="R73" s="57"/>
      <c r="S73" s="58">
        <v>0</v>
      </c>
      <c r="T73" s="101">
        <v>44595</v>
      </c>
      <c r="U73" s="14" t="s">
        <v>31</v>
      </c>
      <c r="V73" s="20"/>
      <c r="W73" s="57">
        <v>1358529</v>
      </c>
      <c r="X73" s="57">
        <f t="shared" si="38"/>
        <v>0</v>
      </c>
      <c r="Y73" s="14"/>
      <c r="Z73" s="58">
        <v>0</v>
      </c>
      <c r="AA73" s="101">
        <v>44624</v>
      </c>
      <c r="AB73" s="14" t="s">
        <v>31</v>
      </c>
      <c r="AC73" s="20"/>
      <c r="AD73" s="57">
        <v>1358529</v>
      </c>
      <c r="AE73" s="57">
        <f t="shared" si="39"/>
        <v>0</v>
      </c>
      <c r="AF73" s="57"/>
      <c r="AG73" s="57"/>
      <c r="AH73" s="58">
        <v>0</v>
      </c>
      <c r="AI73" s="120">
        <v>44657</v>
      </c>
      <c r="AJ73" s="57" t="s">
        <v>31</v>
      </c>
      <c r="AK73" s="14"/>
      <c r="AL73" s="57">
        <v>1358529</v>
      </c>
      <c r="AM73" s="57">
        <f t="shared" si="36"/>
        <v>0</v>
      </c>
      <c r="AN73" s="57"/>
      <c r="AO73" s="57"/>
      <c r="AP73" s="58">
        <v>0</v>
      </c>
      <c r="AQ73" s="101">
        <v>44686</v>
      </c>
      <c r="AR73" s="14" t="s">
        <v>31</v>
      </c>
      <c r="AS73" s="14"/>
      <c r="AT73" s="57">
        <v>1358529</v>
      </c>
      <c r="AU73" s="57">
        <f t="shared" si="37"/>
        <v>0</v>
      </c>
      <c r="AV73" s="57"/>
      <c r="AW73" s="57"/>
      <c r="AX73" s="58">
        <v>0</v>
      </c>
      <c r="AY73" s="120">
        <v>44715</v>
      </c>
      <c r="AZ73" s="57" t="s">
        <v>31</v>
      </c>
      <c r="BA73" s="120">
        <v>44728</v>
      </c>
      <c r="BB73" s="57">
        <v>1358529</v>
      </c>
      <c r="BC73" s="57">
        <f t="shared" si="40"/>
        <v>0</v>
      </c>
      <c r="BD73" s="57"/>
      <c r="BE73" s="57"/>
      <c r="BF73" s="58">
        <v>0</v>
      </c>
      <c r="BG73" s="101">
        <v>44748</v>
      </c>
      <c r="BH73" s="14" t="s">
        <v>31</v>
      </c>
      <c r="BI73" s="101">
        <v>44757</v>
      </c>
      <c r="BJ73" s="57">
        <v>1358529</v>
      </c>
      <c r="BK73" s="57">
        <f t="shared" si="41"/>
        <v>0</v>
      </c>
      <c r="BL73" s="57"/>
      <c r="BM73" s="57"/>
      <c r="BN73" s="58">
        <v>0</v>
      </c>
      <c r="BO73" s="101">
        <v>44777</v>
      </c>
      <c r="BP73" s="14" t="s">
        <v>31</v>
      </c>
      <c r="BQ73" s="14"/>
      <c r="BR73" s="111"/>
      <c r="BS73" s="111"/>
      <c r="BT73" s="111"/>
      <c r="BU73" s="111"/>
      <c r="BV73" s="111"/>
      <c r="BW73" s="121"/>
      <c r="BX73" s="111"/>
      <c r="BY73" s="111"/>
      <c r="BZ73" s="111"/>
      <c r="CA73" s="111"/>
      <c r="CB73" s="111"/>
      <c r="CC73" s="111"/>
      <c r="CD73" s="111"/>
      <c r="CE73" s="121"/>
      <c r="CF73" s="111"/>
      <c r="CG73" s="111"/>
      <c r="CH73" s="111"/>
      <c r="CI73" s="111"/>
      <c r="CJ73" s="111"/>
      <c r="CK73" s="111"/>
      <c r="CL73" s="113"/>
      <c r="CM73" s="121"/>
      <c r="CN73" s="111"/>
      <c r="CO73" s="111"/>
      <c r="CP73" s="111"/>
      <c r="CQ73" s="111"/>
      <c r="CR73" s="111"/>
      <c r="CS73" s="111"/>
      <c r="CT73" s="113"/>
      <c r="CU73" s="121"/>
      <c r="CV73" s="111"/>
      <c r="CW73" s="111"/>
    </row>
    <row r="74" spans="1:101" hidden="1" x14ac:dyDescent="0.35">
      <c r="A74" s="1" t="s">
        <v>369</v>
      </c>
      <c r="B74" s="26" t="s">
        <v>727</v>
      </c>
      <c r="C74" s="24">
        <v>6629</v>
      </c>
      <c r="D74" s="22">
        <v>206755</v>
      </c>
      <c r="E74" s="18" t="s">
        <v>371</v>
      </c>
      <c r="F74" s="19" t="s">
        <v>728</v>
      </c>
      <c r="G74" s="39">
        <v>428895</v>
      </c>
      <c r="H74" s="39">
        <v>428895</v>
      </c>
      <c r="I74" s="57">
        <v>428895</v>
      </c>
      <c r="J74" s="8">
        <f>H74-I74</f>
        <v>0</v>
      </c>
      <c r="K74" s="14"/>
      <c r="L74" s="58">
        <v>0</v>
      </c>
      <c r="M74" s="3" t="s">
        <v>31</v>
      </c>
      <c r="N74" s="123">
        <v>44567</v>
      </c>
      <c r="O74" s="20"/>
      <c r="P74" s="57">
        <v>428895</v>
      </c>
      <c r="Q74" s="8">
        <f>I74-P74</f>
        <v>0</v>
      </c>
      <c r="R74" s="14"/>
      <c r="S74" s="58">
        <v>0</v>
      </c>
      <c r="T74" s="101">
        <v>44600</v>
      </c>
      <c r="U74" s="14" t="s">
        <v>31</v>
      </c>
      <c r="V74" s="20"/>
      <c r="W74" s="57">
        <v>428895</v>
      </c>
      <c r="X74" s="57">
        <f t="shared" si="38"/>
        <v>0</v>
      </c>
      <c r="Y74" s="14"/>
      <c r="Z74" s="58">
        <v>0</v>
      </c>
      <c r="AA74" s="131">
        <v>44624</v>
      </c>
      <c r="AB74" s="14" t="s">
        <v>31</v>
      </c>
      <c r="AC74" s="20"/>
      <c r="AD74" s="57">
        <v>428895</v>
      </c>
      <c r="AE74" s="57">
        <f t="shared" si="39"/>
        <v>0</v>
      </c>
      <c r="AF74" s="57"/>
      <c r="AG74" s="57"/>
      <c r="AH74" s="58">
        <v>0</v>
      </c>
      <c r="AI74" s="120">
        <v>44657</v>
      </c>
      <c r="AJ74" s="57" t="s">
        <v>31</v>
      </c>
      <c r="AK74" s="14"/>
      <c r="AL74" s="57">
        <v>428895</v>
      </c>
      <c r="AM74" s="57">
        <f t="shared" si="36"/>
        <v>0</v>
      </c>
      <c r="AN74" s="57"/>
      <c r="AO74" s="57"/>
      <c r="AP74" s="58">
        <v>0</v>
      </c>
      <c r="AQ74" s="101">
        <v>44687</v>
      </c>
      <c r="AR74" s="14" t="s">
        <v>31</v>
      </c>
      <c r="AS74" s="14"/>
      <c r="AT74" s="57">
        <v>428895</v>
      </c>
      <c r="AU74" s="57">
        <f t="shared" si="37"/>
        <v>0</v>
      </c>
      <c r="AV74" s="57"/>
      <c r="AW74" s="57"/>
      <c r="AX74" s="58">
        <v>0</v>
      </c>
      <c r="AY74" s="120">
        <v>44715</v>
      </c>
      <c r="AZ74" s="57" t="s">
        <v>31</v>
      </c>
      <c r="BA74" s="120">
        <v>44728</v>
      </c>
      <c r="BB74" s="57">
        <v>428895</v>
      </c>
      <c r="BC74" s="57">
        <f t="shared" si="40"/>
        <v>0</v>
      </c>
      <c r="BD74" s="57"/>
      <c r="BE74" s="57"/>
      <c r="BF74" s="58">
        <v>0</v>
      </c>
      <c r="BG74" s="101">
        <v>44747</v>
      </c>
      <c r="BH74" s="14" t="s">
        <v>31</v>
      </c>
      <c r="BI74" s="101">
        <v>44757</v>
      </c>
      <c r="BJ74" s="57">
        <v>428895</v>
      </c>
      <c r="BK74" s="57">
        <f t="shared" si="41"/>
        <v>0</v>
      </c>
      <c r="BL74" s="57"/>
      <c r="BM74" s="57"/>
      <c r="BN74" s="58">
        <v>0</v>
      </c>
      <c r="BO74" s="101">
        <v>44776</v>
      </c>
      <c r="BP74" s="14" t="s">
        <v>31</v>
      </c>
      <c r="BQ74" s="14"/>
      <c r="BR74" s="57"/>
      <c r="BS74" s="57"/>
      <c r="BT74" s="57"/>
      <c r="BU74" s="57"/>
      <c r="BV74" s="58"/>
      <c r="BW74" s="101"/>
      <c r="BX74" s="14"/>
      <c r="BY74" s="14"/>
      <c r="BZ74" s="57"/>
      <c r="CA74" s="57"/>
      <c r="CB74" s="57"/>
      <c r="CC74" s="57"/>
      <c r="CD74" s="58"/>
      <c r="CE74" s="101"/>
      <c r="CF74" s="14"/>
      <c r="CG74" s="14"/>
      <c r="CH74" s="57"/>
      <c r="CI74" s="57"/>
      <c r="CJ74" s="57"/>
      <c r="CK74" s="57"/>
      <c r="CL74" s="58"/>
      <c r="CM74" s="101"/>
      <c r="CN74" s="14"/>
      <c r="CO74" s="14"/>
      <c r="CP74" s="57"/>
      <c r="CQ74" s="57"/>
      <c r="CR74" s="57"/>
      <c r="CS74" s="57"/>
      <c r="CT74" s="58"/>
      <c r="CU74" s="101"/>
      <c r="CV74" s="14"/>
      <c r="CW74" s="14"/>
    </row>
    <row r="75" spans="1:101" hidden="1" x14ac:dyDescent="0.35">
      <c r="A75" s="1" t="s">
        <v>373</v>
      </c>
      <c r="B75" s="26" t="s">
        <v>729</v>
      </c>
      <c r="C75" s="24">
        <v>6632</v>
      </c>
      <c r="D75" s="22">
        <v>204652</v>
      </c>
      <c r="E75" s="18" t="s">
        <v>730</v>
      </c>
      <c r="F75" s="19" t="s">
        <v>679</v>
      </c>
      <c r="G75" s="39">
        <v>1139007</v>
      </c>
      <c r="H75" s="39">
        <v>1139007</v>
      </c>
      <c r="I75" s="57">
        <v>1139007</v>
      </c>
      <c r="J75" s="8">
        <f t="shared" ref="J75:J80" si="42">G75-I75</f>
        <v>0</v>
      </c>
      <c r="K75" s="14"/>
      <c r="L75" s="58">
        <v>0</v>
      </c>
      <c r="M75" s="3" t="s">
        <v>31</v>
      </c>
      <c r="N75" s="123">
        <v>44565</v>
      </c>
      <c r="O75" s="20"/>
      <c r="P75" s="57">
        <f>1139007+3701</f>
        <v>1142708</v>
      </c>
      <c r="Q75" s="8">
        <f t="shared" ref="Q75:Q80" si="43">I75-P75</f>
        <v>-3701</v>
      </c>
      <c r="R75" s="14"/>
      <c r="S75" s="58">
        <v>0</v>
      </c>
      <c r="T75" s="131">
        <v>44608</v>
      </c>
      <c r="U75" s="14" t="s">
        <v>31</v>
      </c>
      <c r="V75" s="20"/>
      <c r="W75" s="57">
        <v>1139007</v>
      </c>
      <c r="X75" s="57">
        <f>I75-W75</f>
        <v>0</v>
      </c>
      <c r="Y75" s="57"/>
      <c r="Z75" s="58">
        <v>0</v>
      </c>
      <c r="AA75" s="131">
        <v>44621</v>
      </c>
      <c r="AB75" s="14" t="s">
        <v>31</v>
      </c>
      <c r="AC75" s="20"/>
      <c r="AD75" s="57">
        <v>1139007</v>
      </c>
      <c r="AE75" s="57">
        <f t="shared" si="39"/>
        <v>0</v>
      </c>
      <c r="AF75" s="57"/>
      <c r="AG75" s="57"/>
      <c r="AH75" s="58">
        <v>0</v>
      </c>
      <c r="AI75" s="120">
        <v>44658</v>
      </c>
      <c r="AJ75" s="57" t="s">
        <v>31</v>
      </c>
      <c r="AK75" s="14"/>
      <c r="AL75" s="57">
        <v>1139007</v>
      </c>
      <c r="AM75" s="57">
        <f t="shared" si="36"/>
        <v>0</v>
      </c>
      <c r="AN75" s="57"/>
      <c r="AO75" s="57"/>
      <c r="AP75" s="58">
        <v>0</v>
      </c>
      <c r="AQ75" s="101">
        <v>44684</v>
      </c>
      <c r="AR75" s="14" t="s">
        <v>31</v>
      </c>
      <c r="AS75" s="14"/>
      <c r="AT75" s="57">
        <v>1139007</v>
      </c>
      <c r="AU75" s="57">
        <f t="shared" si="37"/>
        <v>0</v>
      </c>
      <c r="AV75" s="57"/>
      <c r="AW75" s="57"/>
      <c r="AX75" s="58">
        <v>0</v>
      </c>
      <c r="AY75" s="120">
        <v>44719</v>
      </c>
      <c r="AZ75" s="57" t="s">
        <v>31</v>
      </c>
      <c r="BA75" s="120">
        <v>44728</v>
      </c>
      <c r="BB75" s="57">
        <v>1139007</v>
      </c>
      <c r="BC75" s="57">
        <f t="shared" si="40"/>
        <v>0</v>
      </c>
      <c r="BD75" s="57"/>
      <c r="BE75" s="57"/>
      <c r="BF75" s="58">
        <v>0</v>
      </c>
      <c r="BG75" s="101">
        <v>44743</v>
      </c>
      <c r="BH75" s="14" t="s">
        <v>31</v>
      </c>
      <c r="BI75" s="101">
        <v>44757</v>
      </c>
      <c r="BJ75" s="57">
        <v>1139007</v>
      </c>
      <c r="BK75" s="57">
        <f t="shared" si="41"/>
        <v>0</v>
      </c>
      <c r="BL75" s="57"/>
      <c r="BM75" s="57"/>
      <c r="BN75" s="58">
        <v>0</v>
      </c>
      <c r="BO75" s="101">
        <v>44775</v>
      </c>
      <c r="BP75" s="14" t="s">
        <v>31</v>
      </c>
      <c r="BQ75" s="14"/>
      <c r="BR75" s="57"/>
      <c r="BS75" s="57"/>
      <c r="BT75" s="57"/>
      <c r="BU75" s="57"/>
      <c r="BV75" s="58"/>
      <c r="BW75" s="101"/>
      <c r="BX75" s="14"/>
      <c r="BY75" s="14"/>
      <c r="BZ75" s="57"/>
      <c r="CA75" s="57"/>
      <c r="CB75" s="57"/>
      <c r="CC75" s="57"/>
      <c r="CD75" s="58"/>
      <c r="CE75" s="101"/>
      <c r="CF75" s="14"/>
      <c r="CG75" s="14"/>
      <c r="CH75" s="57"/>
      <c r="CI75" s="57"/>
      <c r="CJ75" s="57"/>
      <c r="CK75" s="57"/>
      <c r="CL75" s="58"/>
      <c r="CM75" s="101"/>
      <c r="CN75" s="14"/>
      <c r="CO75" s="14"/>
      <c r="CP75" s="57"/>
      <c r="CQ75" s="57"/>
      <c r="CR75" s="57"/>
      <c r="CS75" s="57"/>
      <c r="CT75" s="58"/>
      <c r="CU75" s="101"/>
      <c r="CV75" s="14"/>
      <c r="CW75" s="14"/>
    </row>
    <row r="76" spans="1:101" hidden="1" x14ac:dyDescent="0.35">
      <c r="A76" s="1" t="s">
        <v>380</v>
      </c>
      <c r="B76" s="26" t="s">
        <v>731</v>
      </c>
      <c r="C76" s="24">
        <v>6636</v>
      </c>
      <c r="D76" s="22">
        <v>204588</v>
      </c>
      <c r="E76" s="18" t="s">
        <v>513</v>
      </c>
      <c r="F76" s="19" t="s">
        <v>732</v>
      </c>
      <c r="G76" s="39">
        <v>2508638</v>
      </c>
      <c r="H76" s="39">
        <v>2270261</v>
      </c>
      <c r="I76" s="57">
        <v>2270261</v>
      </c>
      <c r="J76" s="8">
        <f>H76-I76</f>
        <v>0</v>
      </c>
      <c r="K76" s="14"/>
      <c r="L76" s="58">
        <v>0</v>
      </c>
      <c r="M76" s="123" t="s">
        <v>31</v>
      </c>
      <c r="N76" s="123">
        <v>44565</v>
      </c>
      <c r="O76" s="20"/>
      <c r="P76" s="57">
        <v>2270261</v>
      </c>
      <c r="Q76" s="8">
        <f t="shared" si="43"/>
        <v>0</v>
      </c>
      <c r="R76" s="14"/>
      <c r="S76" s="58">
        <v>0</v>
      </c>
      <c r="T76" s="131">
        <v>44594</v>
      </c>
      <c r="U76" s="14" t="s">
        <v>31</v>
      </c>
      <c r="V76" s="20"/>
      <c r="W76" s="57">
        <v>2985393</v>
      </c>
      <c r="X76" s="57">
        <f>P76-W76</f>
        <v>-715132</v>
      </c>
      <c r="Y76" s="57"/>
      <c r="Z76" s="58">
        <f>X76/P76</f>
        <v>-0.31499990529723232</v>
      </c>
      <c r="AA76" s="131">
        <v>44621</v>
      </c>
      <c r="AB76" s="14" t="s">
        <v>31</v>
      </c>
      <c r="AC76" s="20"/>
      <c r="AD76" s="57">
        <v>2508638</v>
      </c>
      <c r="AE76" s="57">
        <f t="shared" si="39"/>
        <v>476755</v>
      </c>
      <c r="AF76" s="57"/>
      <c r="AG76" s="57"/>
      <c r="AH76" s="58">
        <f>AE76/W76</f>
        <v>0.15969589263457107</v>
      </c>
      <c r="AI76" s="120">
        <v>44658</v>
      </c>
      <c r="AJ76" s="57" t="s">
        <v>31</v>
      </c>
      <c r="AK76" s="14"/>
      <c r="AL76" s="57">
        <f>2508638+33448</f>
        <v>2542086</v>
      </c>
      <c r="AM76" s="57">
        <f t="shared" si="36"/>
        <v>-33448</v>
      </c>
      <c r="AN76" s="57"/>
      <c r="AO76" s="57"/>
      <c r="AP76" s="58">
        <v>0</v>
      </c>
      <c r="AQ76" s="101">
        <v>44692</v>
      </c>
      <c r="AR76" s="14" t="s">
        <v>31</v>
      </c>
      <c r="AS76" s="14"/>
      <c r="AT76" s="57">
        <v>2508638</v>
      </c>
      <c r="AU76" s="57">
        <f>AD76-AT76</f>
        <v>0</v>
      </c>
      <c r="AV76" s="57"/>
      <c r="AW76" s="57"/>
      <c r="AX76" s="58">
        <v>0</v>
      </c>
      <c r="AY76" s="120">
        <v>44721</v>
      </c>
      <c r="AZ76" s="57" t="s">
        <v>31</v>
      </c>
      <c r="BA76" s="120">
        <v>44728</v>
      </c>
      <c r="BB76" s="57">
        <v>2508638</v>
      </c>
      <c r="BC76" s="57">
        <f t="shared" si="40"/>
        <v>0</v>
      </c>
      <c r="BD76" s="57"/>
      <c r="BE76" s="57"/>
      <c r="BF76" s="58">
        <v>0</v>
      </c>
      <c r="BG76" s="101">
        <v>44743</v>
      </c>
      <c r="BH76" s="14" t="s">
        <v>31</v>
      </c>
      <c r="BI76" s="101">
        <v>44757</v>
      </c>
      <c r="BJ76" s="57">
        <v>2508638</v>
      </c>
      <c r="BK76" s="57">
        <f t="shared" si="41"/>
        <v>0</v>
      </c>
      <c r="BL76" s="57"/>
      <c r="BM76" s="57"/>
      <c r="BN76" s="58">
        <v>0</v>
      </c>
      <c r="BO76" s="101">
        <v>44775</v>
      </c>
      <c r="BP76" s="14" t="s">
        <v>31</v>
      </c>
      <c r="BQ76" s="14"/>
      <c r="BR76" s="57"/>
      <c r="BS76" s="57"/>
      <c r="BT76" s="57"/>
      <c r="BU76" s="57"/>
      <c r="BV76" s="58"/>
      <c r="BW76" s="101"/>
      <c r="BX76" s="14"/>
      <c r="BY76" s="14"/>
      <c r="BZ76" s="57"/>
      <c r="CA76" s="57"/>
      <c r="CB76" s="57"/>
      <c r="CC76" s="57"/>
      <c r="CD76" s="58"/>
      <c r="CE76" s="101"/>
      <c r="CF76" s="14"/>
      <c r="CG76" s="14"/>
      <c r="CH76" s="57"/>
      <c r="CI76" s="57"/>
      <c r="CJ76" s="57"/>
      <c r="CK76" s="57"/>
      <c r="CL76" s="58"/>
      <c r="CM76" s="101"/>
      <c r="CN76" s="14"/>
      <c r="CO76" s="14"/>
      <c r="CP76" s="57"/>
      <c r="CQ76" s="57"/>
      <c r="CR76" s="57"/>
      <c r="CS76" s="57"/>
      <c r="CT76" s="58"/>
      <c r="CU76" s="101"/>
      <c r="CV76" s="14"/>
      <c r="CW76" s="14"/>
    </row>
    <row r="77" spans="1:101" hidden="1" x14ac:dyDescent="0.35">
      <c r="A77" s="1" t="s">
        <v>91</v>
      </c>
      <c r="B77" s="26" t="s">
        <v>733</v>
      </c>
      <c r="C77" s="24">
        <v>6640</v>
      </c>
      <c r="D77" s="22">
        <v>204549</v>
      </c>
      <c r="E77" s="18" t="s">
        <v>734</v>
      </c>
      <c r="F77" s="19" t="s">
        <v>735</v>
      </c>
      <c r="G77" s="39">
        <v>1294406</v>
      </c>
      <c r="H77" s="39">
        <v>1281590</v>
      </c>
      <c r="I77" s="57">
        <v>1281590</v>
      </c>
      <c r="J77" s="8">
        <f>H77-I77</f>
        <v>0</v>
      </c>
      <c r="K77" s="14"/>
      <c r="L77" s="58">
        <v>0</v>
      </c>
      <c r="M77" s="3" t="s">
        <v>31</v>
      </c>
      <c r="N77" s="123">
        <v>44568</v>
      </c>
      <c r="O77" s="20"/>
      <c r="P77" s="57">
        <v>1281590</v>
      </c>
      <c r="Q77" s="8">
        <f t="shared" si="43"/>
        <v>0</v>
      </c>
      <c r="R77" s="14"/>
      <c r="S77" s="58">
        <v>0</v>
      </c>
      <c r="T77" s="101">
        <v>44596</v>
      </c>
      <c r="U77" s="14" t="s">
        <v>31</v>
      </c>
      <c r="V77" s="20"/>
      <c r="W77" s="57">
        <v>1281590</v>
      </c>
      <c r="X77" s="57">
        <f>P77-W77</f>
        <v>0</v>
      </c>
      <c r="Y77" s="14"/>
      <c r="Z77" s="58">
        <v>0</v>
      </c>
      <c r="AA77" s="101">
        <v>44624</v>
      </c>
      <c r="AB77" s="14" t="s">
        <v>31</v>
      </c>
      <c r="AC77" s="20"/>
      <c r="AD77" s="57">
        <v>1332854</v>
      </c>
      <c r="AE77" s="57"/>
      <c r="AF77" s="57">
        <f>W77-AD77</f>
        <v>-51264</v>
      </c>
      <c r="AG77" s="57"/>
      <c r="AH77" s="58">
        <f>AF77/W77</f>
        <v>-4.0000312112298007E-2</v>
      </c>
      <c r="AI77" s="120">
        <v>44658</v>
      </c>
      <c r="AJ77" s="57" t="s">
        <v>31</v>
      </c>
      <c r="AK77" s="14"/>
      <c r="AL77" s="57">
        <v>1294406</v>
      </c>
      <c r="AM77" s="57">
        <f>AD77-AL77</f>
        <v>38448</v>
      </c>
      <c r="AN77" s="57"/>
      <c r="AO77" s="57"/>
      <c r="AP77" s="58">
        <f>AM77/AD77</f>
        <v>2.8846370270112106E-2</v>
      </c>
      <c r="AQ77" s="101">
        <v>44697</v>
      </c>
      <c r="AR77" s="14" t="s">
        <v>31</v>
      </c>
      <c r="AS77" s="14"/>
      <c r="AT77" s="57">
        <v>1294406</v>
      </c>
      <c r="AU77" s="57">
        <f t="shared" ref="AU77:AU82" si="44">AL77-AT77</f>
        <v>0</v>
      </c>
      <c r="AV77" s="57"/>
      <c r="AW77" s="57"/>
      <c r="AX77" s="58">
        <v>0</v>
      </c>
      <c r="AY77" s="120">
        <v>44718</v>
      </c>
      <c r="AZ77" s="57" t="s">
        <v>31</v>
      </c>
      <c r="BA77" s="120">
        <v>44728</v>
      </c>
      <c r="BB77" s="57">
        <v>1294406</v>
      </c>
      <c r="BC77" s="57">
        <f t="shared" si="40"/>
        <v>0</v>
      </c>
      <c r="BD77" s="57"/>
      <c r="BE77" s="57"/>
      <c r="BF77" s="58">
        <v>0</v>
      </c>
      <c r="BG77" s="101">
        <v>44747</v>
      </c>
      <c r="BH77" s="14" t="s">
        <v>31</v>
      </c>
      <c r="BI77" s="101">
        <v>44757</v>
      </c>
      <c r="BJ77" s="57">
        <v>1294406</v>
      </c>
      <c r="BK77" s="57">
        <f t="shared" si="41"/>
        <v>0</v>
      </c>
      <c r="BL77" s="57"/>
      <c r="BM77" s="57"/>
      <c r="BN77" s="58">
        <v>0</v>
      </c>
      <c r="BO77" s="101">
        <v>44778</v>
      </c>
      <c r="BP77" s="14" t="s">
        <v>31</v>
      </c>
      <c r="BQ77" s="14"/>
      <c r="BR77" s="57"/>
      <c r="BS77" s="57"/>
      <c r="BT77" s="57"/>
      <c r="BU77" s="57"/>
      <c r="BV77" s="58"/>
      <c r="BW77" s="101"/>
      <c r="BX77" s="14"/>
      <c r="BY77" s="14"/>
      <c r="BZ77" s="57"/>
      <c r="CA77" s="57"/>
      <c r="CB77" s="57"/>
      <c r="CC77" s="57"/>
      <c r="CD77" s="58"/>
      <c r="CE77" s="101"/>
      <c r="CF77" s="14"/>
      <c r="CG77" s="14"/>
      <c r="CH77" s="57"/>
      <c r="CI77" s="57"/>
      <c r="CJ77" s="57"/>
      <c r="CK77" s="57"/>
      <c r="CL77" s="58"/>
      <c r="CM77" s="101"/>
      <c r="CN77" s="14"/>
      <c r="CO77" s="14"/>
      <c r="CP77" s="57"/>
      <c r="CQ77" s="57"/>
      <c r="CR77" s="57"/>
      <c r="CS77" s="57"/>
      <c r="CT77" s="58"/>
      <c r="CU77" s="101"/>
      <c r="CV77" s="14"/>
      <c r="CW77" s="14"/>
    </row>
    <row r="78" spans="1:101" hidden="1" x14ac:dyDescent="0.35">
      <c r="A78" s="1" t="s">
        <v>397</v>
      </c>
      <c r="B78" s="26" t="s">
        <v>736</v>
      </c>
      <c r="C78" s="24">
        <v>6652</v>
      </c>
      <c r="D78" s="22">
        <v>204565</v>
      </c>
      <c r="E78" s="18" t="s">
        <v>737</v>
      </c>
      <c r="F78" s="19" t="s">
        <v>738</v>
      </c>
      <c r="G78" s="39">
        <v>1680351</v>
      </c>
      <c r="H78" s="39">
        <v>1680351</v>
      </c>
      <c r="I78" s="57">
        <v>1680351</v>
      </c>
      <c r="J78" s="8">
        <f t="shared" si="42"/>
        <v>0</v>
      </c>
      <c r="K78" s="14"/>
      <c r="L78" s="58">
        <v>0</v>
      </c>
      <c r="M78" s="3" t="s">
        <v>31</v>
      </c>
      <c r="N78" s="123">
        <v>44566</v>
      </c>
      <c r="O78" s="20"/>
      <c r="P78" s="57">
        <v>1680351</v>
      </c>
      <c r="Q78" s="8">
        <f t="shared" si="43"/>
        <v>0</v>
      </c>
      <c r="R78" s="14"/>
      <c r="S78" s="58">
        <v>0</v>
      </c>
      <c r="T78" s="131">
        <v>44594</v>
      </c>
      <c r="U78" s="14" t="s">
        <v>31</v>
      </c>
      <c r="V78" s="20"/>
      <c r="W78" s="57">
        <v>1680351</v>
      </c>
      <c r="X78" s="57">
        <f>P78-W78</f>
        <v>0</v>
      </c>
      <c r="Y78" s="14"/>
      <c r="Z78" s="58">
        <v>0</v>
      </c>
      <c r="AA78" s="131">
        <v>44622</v>
      </c>
      <c r="AB78" s="14" t="s">
        <v>31</v>
      </c>
      <c r="AC78" s="20"/>
      <c r="AD78" s="57">
        <v>1680351</v>
      </c>
      <c r="AE78" s="57">
        <f>W78-AD78</f>
        <v>0</v>
      </c>
      <c r="AF78" s="57"/>
      <c r="AG78" s="57"/>
      <c r="AH78" s="58">
        <v>0</v>
      </c>
      <c r="AI78" s="120">
        <v>44657</v>
      </c>
      <c r="AJ78" s="57" t="s">
        <v>31</v>
      </c>
      <c r="AK78" s="14"/>
      <c r="AL78" s="57">
        <v>1680351</v>
      </c>
      <c r="AM78" s="57">
        <f>AD78-AL78</f>
        <v>0</v>
      </c>
      <c r="AN78" s="57"/>
      <c r="AO78" s="57"/>
      <c r="AP78" s="58">
        <v>0</v>
      </c>
      <c r="AQ78" s="101">
        <v>44686</v>
      </c>
      <c r="AR78" s="14" t="s">
        <v>31</v>
      </c>
      <c r="AS78" s="14"/>
      <c r="AT78" s="57">
        <v>1680351</v>
      </c>
      <c r="AU78" s="57">
        <f t="shared" si="44"/>
        <v>0</v>
      </c>
      <c r="AV78" s="57"/>
      <c r="AW78" s="57"/>
      <c r="AX78" s="58">
        <v>0</v>
      </c>
      <c r="AY78" s="120">
        <v>44713</v>
      </c>
      <c r="AZ78" s="57" t="s">
        <v>31</v>
      </c>
      <c r="BA78" s="120">
        <v>44728</v>
      </c>
      <c r="BB78" s="57">
        <v>1680351</v>
      </c>
      <c r="BC78" s="57">
        <f t="shared" si="40"/>
        <v>0</v>
      </c>
      <c r="BD78" s="57"/>
      <c r="BE78" s="57"/>
      <c r="BF78" s="58">
        <v>0</v>
      </c>
      <c r="BG78" s="101">
        <v>44743</v>
      </c>
      <c r="BH78" s="14" t="s">
        <v>31</v>
      </c>
      <c r="BI78" s="101">
        <v>44757</v>
      </c>
      <c r="BJ78" s="57">
        <v>1680351</v>
      </c>
      <c r="BK78" s="57">
        <f t="shared" si="41"/>
        <v>0</v>
      </c>
      <c r="BL78" s="57"/>
      <c r="BM78" s="57"/>
      <c r="BN78" s="58">
        <v>0</v>
      </c>
      <c r="BO78" s="101">
        <v>44776</v>
      </c>
      <c r="BP78" s="14" t="s">
        <v>31</v>
      </c>
      <c r="BQ78" s="14"/>
      <c r="BR78" s="57"/>
      <c r="BS78" s="57"/>
      <c r="BT78" s="57"/>
      <c r="BU78" s="57"/>
      <c r="BV78" s="58"/>
      <c r="BW78" s="101"/>
      <c r="BX78" s="14"/>
      <c r="BY78" s="14"/>
      <c r="BZ78" s="57"/>
      <c r="CA78" s="57"/>
      <c r="CB78" s="57"/>
      <c r="CC78" s="57"/>
      <c r="CD78" s="58"/>
      <c r="CE78" s="101"/>
      <c r="CF78" s="14"/>
      <c r="CG78" s="14"/>
      <c r="CH78" s="57"/>
      <c r="CI78" s="57"/>
      <c r="CJ78" s="57"/>
      <c r="CK78" s="57"/>
      <c r="CL78" s="58"/>
      <c r="CM78" s="101"/>
      <c r="CN78" s="14"/>
      <c r="CO78" s="14"/>
      <c r="CP78" s="57"/>
      <c r="CQ78" s="57"/>
      <c r="CR78" s="57"/>
      <c r="CS78" s="57"/>
      <c r="CT78" s="58"/>
      <c r="CU78" s="101"/>
      <c r="CV78" s="14"/>
      <c r="CW78" s="14"/>
    </row>
    <row r="79" spans="1:101" hidden="1" x14ac:dyDescent="0.35">
      <c r="A79" s="1" t="s">
        <v>401</v>
      </c>
      <c r="B79" s="26" t="s">
        <v>739</v>
      </c>
      <c r="C79" s="24">
        <v>6660</v>
      </c>
      <c r="D79" s="22">
        <v>204618</v>
      </c>
      <c r="E79" s="18" t="s">
        <v>740</v>
      </c>
      <c r="F79" s="19" t="s">
        <v>741</v>
      </c>
      <c r="G79" s="39">
        <v>2096681</v>
      </c>
      <c r="H79" s="39">
        <v>2010240</v>
      </c>
      <c r="I79" s="57">
        <v>2010240</v>
      </c>
      <c r="J79" s="8">
        <f>H79-I79</f>
        <v>0</v>
      </c>
      <c r="K79" s="14"/>
      <c r="L79" s="58">
        <v>0</v>
      </c>
      <c r="M79" s="3" t="s">
        <v>31</v>
      </c>
      <c r="N79" s="123">
        <v>44572</v>
      </c>
      <c r="O79" s="20"/>
      <c r="P79" s="57">
        <v>2010240</v>
      </c>
      <c r="Q79" s="8">
        <f t="shared" si="43"/>
        <v>0</v>
      </c>
      <c r="R79" s="14"/>
      <c r="S79" s="58">
        <v>0</v>
      </c>
      <c r="T79" s="131">
        <v>44594</v>
      </c>
      <c r="U79" s="14" t="s">
        <v>31</v>
      </c>
      <c r="V79" s="20"/>
      <c r="W79" s="57">
        <v>2096681</v>
      </c>
      <c r="X79" s="57">
        <f>P79-W79</f>
        <v>-86441</v>
      </c>
      <c r="Y79" s="57"/>
      <c r="Z79" s="58">
        <f>X79/P79</f>
        <v>-4.3000338268067498E-2</v>
      </c>
      <c r="AA79" s="131">
        <v>44664</v>
      </c>
      <c r="AB79" s="14" t="s">
        <v>31</v>
      </c>
      <c r="AC79" s="20"/>
      <c r="AD79" s="57">
        <v>2096681</v>
      </c>
      <c r="AE79" s="57">
        <f>W79-AD79</f>
        <v>0</v>
      </c>
      <c r="AF79" s="57"/>
      <c r="AG79" s="57"/>
      <c r="AH79" s="58">
        <v>0</v>
      </c>
      <c r="AI79" s="120">
        <v>44657</v>
      </c>
      <c r="AJ79" s="57" t="s">
        <v>31</v>
      </c>
      <c r="AK79" s="14"/>
      <c r="AL79" s="57">
        <v>2096681</v>
      </c>
      <c r="AM79" s="57">
        <f>AD79-AL79</f>
        <v>0</v>
      </c>
      <c r="AN79" s="57"/>
      <c r="AO79" s="57"/>
      <c r="AP79" s="58">
        <v>0</v>
      </c>
      <c r="AQ79" s="101">
        <v>44684</v>
      </c>
      <c r="AR79" s="14" t="s">
        <v>31</v>
      </c>
      <c r="AS79" s="14"/>
      <c r="AT79" s="57">
        <v>2096681</v>
      </c>
      <c r="AU79" s="57">
        <f t="shared" si="44"/>
        <v>0</v>
      </c>
      <c r="AV79" s="57"/>
      <c r="AW79" s="57"/>
      <c r="AX79" s="58">
        <v>0</v>
      </c>
      <c r="AY79" s="120">
        <v>44715</v>
      </c>
      <c r="AZ79" s="57" t="s">
        <v>31</v>
      </c>
      <c r="BA79" s="120">
        <v>44728</v>
      </c>
      <c r="BB79" s="57">
        <v>2096681</v>
      </c>
      <c r="BC79" s="57">
        <f t="shared" si="40"/>
        <v>0</v>
      </c>
      <c r="BD79" s="57"/>
      <c r="BE79" s="57"/>
      <c r="BF79" s="58">
        <v>0</v>
      </c>
      <c r="BG79" s="101">
        <v>44747</v>
      </c>
      <c r="BH79" s="14" t="s">
        <v>31</v>
      </c>
      <c r="BI79" s="101">
        <v>44757</v>
      </c>
      <c r="BJ79" s="57">
        <v>2096681</v>
      </c>
      <c r="BK79" s="57">
        <f t="shared" si="41"/>
        <v>0</v>
      </c>
      <c r="BL79" s="57"/>
      <c r="BM79" s="57"/>
      <c r="BN79" s="58">
        <v>0</v>
      </c>
      <c r="BO79" s="101">
        <v>44776</v>
      </c>
      <c r="BP79" s="14" t="s">
        <v>31</v>
      </c>
      <c r="BQ79" s="14"/>
      <c r="BR79" s="57"/>
      <c r="BS79" s="57"/>
      <c r="BT79" s="57"/>
      <c r="BU79" s="57"/>
      <c r="BV79" s="58"/>
      <c r="BW79" s="101"/>
      <c r="BX79" s="14"/>
      <c r="BY79" s="14"/>
      <c r="BZ79" s="57"/>
      <c r="CA79" s="57"/>
      <c r="CB79" s="57"/>
      <c r="CC79" s="57"/>
      <c r="CD79" s="58"/>
      <c r="CE79" s="101"/>
      <c r="CF79" s="14"/>
      <c r="CG79" s="14"/>
      <c r="CH79" s="57"/>
      <c r="CI79" s="57"/>
      <c r="CJ79" s="57"/>
      <c r="CK79" s="57"/>
      <c r="CL79" s="58"/>
      <c r="CM79" s="101"/>
      <c r="CN79" s="14"/>
      <c r="CO79" s="14"/>
      <c r="CP79" s="57"/>
      <c r="CQ79" s="57"/>
      <c r="CR79" s="57"/>
      <c r="CS79" s="57"/>
      <c r="CT79" s="58"/>
      <c r="CU79" s="101"/>
      <c r="CV79" s="14"/>
      <c r="CW79" s="14"/>
    </row>
    <row r="80" spans="1:101" hidden="1" x14ac:dyDescent="0.35">
      <c r="A80" s="1" t="s">
        <v>416</v>
      </c>
      <c r="B80" s="26" t="s">
        <v>742</v>
      </c>
      <c r="C80" s="24">
        <v>6687</v>
      </c>
      <c r="D80" s="22">
        <v>204596</v>
      </c>
      <c r="E80" s="18" t="s">
        <v>743</v>
      </c>
      <c r="F80" s="19" t="s">
        <v>744</v>
      </c>
      <c r="G80" s="39">
        <v>1346000</v>
      </c>
      <c r="H80" s="39">
        <v>1346000</v>
      </c>
      <c r="I80" s="57">
        <v>1346000</v>
      </c>
      <c r="J80" s="8">
        <f t="shared" si="42"/>
        <v>0</v>
      </c>
      <c r="K80" s="14"/>
      <c r="L80" s="58">
        <v>0</v>
      </c>
      <c r="M80" s="3" t="s">
        <v>31</v>
      </c>
      <c r="N80" s="123">
        <v>44564</v>
      </c>
      <c r="O80" s="20"/>
      <c r="P80" s="57">
        <v>1346000</v>
      </c>
      <c r="Q80" s="8">
        <f t="shared" si="43"/>
        <v>0</v>
      </c>
      <c r="R80" s="14"/>
      <c r="S80" s="58">
        <v>0</v>
      </c>
      <c r="T80" s="101">
        <v>44595</v>
      </c>
      <c r="U80" s="14" t="s">
        <v>31</v>
      </c>
      <c r="V80" s="20"/>
      <c r="W80" s="57">
        <v>1346000</v>
      </c>
      <c r="X80" s="57">
        <f t="shared" ref="X80:X85" si="45">P80-W80</f>
        <v>0</v>
      </c>
      <c r="Y80" s="14"/>
      <c r="Z80" s="58">
        <v>0</v>
      </c>
      <c r="AA80" s="101">
        <v>44624</v>
      </c>
      <c r="AB80" s="14" t="s">
        <v>31</v>
      </c>
      <c r="AC80" s="20"/>
      <c r="AD80" s="57">
        <v>1346000</v>
      </c>
      <c r="AE80" s="57">
        <f>W80-AD80</f>
        <v>0</v>
      </c>
      <c r="AF80" s="57"/>
      <c r="AG80" s="57"/>
      <c r="AH80" s="58">
        <v>0</v>
      </c>
      <c r="AI80" s="120">
        <v>44656</v>
      </c>
      <c r="AJ80" s="57" t="s">
        <v>31</v>
      </c>
      <c r="AK80" s="14"/>
      <c r="AL80" s="57">
        <v>1346000</v>
      </c>
      <c r="AM80" s="57">
        <f>AD80-AL80</f>
        <v>0</v>
      </c>
      <c r="AN80" s="57"/>
      <c r="AO80" s="57"/>
      <c r="AP80" s="58">
        <v>0</v>
      </c>
      <c r="AQ80" s="101">
        <v>44683</v>
      </c>
      <c r="AR80" s="14" t="s">
        <v>31</v>
      </c>
      <c r="AS80" s="14"/>
      <c r="AT80" s="57">
        <v>1346000</v>
      </c>
      <c r="AU80" s="57">
        <f t="shared" si="44"/>
        <v>0</v>
      </c>
      <c r="AV80" s="57"/>
      <c r="AW80" s="57"/>
      <c r="AX80" s="58">
        <v>0</v>
      </c>
      <c r="AY80" s="120">
        <v>44713</v>
      </c>
      <c r="AZ80" s="57" t="s">
        <v>31</v>
      </c>
      <c r="BA80" s="120">
        <v>44728</v>
      </c>
      <c r="BB80" s="57">
        <v>1346000</v>
      </c>
      <c r="BC80" s="57">
        <f t="shared" si="40"/>
        <v>0</v>
      </c>
      <c r="BD80" s="57"/>
      <c r="BE80" s="57"/>
      <c r="BF80" s="58">
        <v>0</v>
      </c>
      <c r="BG80" s="101">
        <v>44743</v>
      </c>
      <c r="BH80" s="14" t="s">
        <v>31</v>
      </c>
      <c r="BI80" s="101">
        <v>44757</v>
      </c>
      <c r="BJ80" s="57">
        <v>1346000</v>
      </c>
      <c r="BK80" s="57">
        <f t="shared" si="41"/>
        <v>0</v>
      </c>
      <c r="BL80" s="57"/>
      <c r="BM80" s="57"/>
      <c r="BN80" s="58">
        <v>0</v>
      </c>
      <c r="BO80" s="101">
        <v>44776</v>
      </c>
      <c r="BP80" s="14" t="s">
        <v>31</v>
      </c>
      <c r="BQ80" s="101">
        <v>44784</v>
      </c>
      <c r="BR80" s="57"/>
      <c r="BS80" s="57"/>
      <c r="BT80" s="57"/>
      <c r="BU80" s="57"/>
      <c r="BV80" s="58"/>
      <c r="BW80" s="101"/>
      <c r="BX80" s="14"/>
      <c r="BY80" s="14"/>
      <c r="BZ80" s="57"/>
      <c r="CA80" s="57"/>
      <c r="CB80" s="57"/>
      <c r="CC80" s="57"/>
      <c r="CD80" s="58"/>
      <c r="CE80" s="101"/>
      <c r="CF80" s="14"/>
      <c r="CG80" s="14"/>
      <c r="CH80" s="57"/>
      <c r="CI80" s="57"/>
      <c r="CJ80" s="57"/>
      <c r="CK80" s="57"/>
      <c r="CL80" s="58"/>
      <c r="CM80" s="101"/>
      <c r="CN80" s="14"/>
      <c r="CO80" s="14"/>
      <c r="CP80" s="57"/>
      <c r="CQ80" s="57"/>
      <c r="CR80" s="57"/>
      <c r="CS80" s="57"/>
      <c r="CT80" s="58"/>
      <c r="CU80" s="101"/>
      <c r="CV80" s="14"/>
      <c r="CW80" s="14"/>
    </row>
    <row r="81" spans="1:101" hidden="1" x14ac:dyDescent="0.35">
      <c r="A81" s="1" t="s">
        <v>420</v>
      </c>
      <c r="B81" s="26" t="s">
        <v>745</v>
      </c>
      <c r="C81" s="24">
        <v>6688</v>
      </c>
      <c r="D81" s="22">
        <v>204614</v>
      </c>
      <c r="E81" s="18" t="s">
        <v>746</v>
      </c>
      <c r="F81" s="19" t="s">
        <v>747</v>
      </c>
      <c r="G81" s="39">
        <v>1433273</v>
      </c>
      <c r="H81" s="39">
        <v>1358811</v>
      </c>
      <c r="I81" s="57">
        <v>1358811</v>
      </c>
      <c r="J81" s="8">
        <f>H81-I81</f>
        <v>0</v>
      </c>
      <c r="K81" s="14"/>
      <c r="L81" s="58">
        <v>0</v>
      </c>
      <c r="M81" s="123" t="s">
        <v>31</v>
      </c>
      <c r="N81" s="123">
        <v>44565</v>
      </c>
      <c r="O81" s="20"/>
      <c r="P81" s="57">
        <v>1358811</v>
      </c>
      <c r="Q81" s="8">
        <f>I81-P81</f>
        <v>0</v>
      </c>
      <c r="R81" s="14"/>
      <c r="S81" s="58">
        <v>0</v>
      </c>
      <c r="T81" s="131">
        <v>44608</v>
      </c>
      <c r="U81" s="14" t="s">
        <v>31</v>
      </c>
      <c r="V81" s="20"/>
      <c r="W81" s="57">
        <v>1358811</v>
      </c>
      <c r="X81" s="57">
        <f t="shared" si="45"/>
        <v>0</v>
      </c>
      <c r="Y81" s="14"/>
      <c r="Z81" s="58">
        <v>0</v>
      </c>
      <c r="AA81" s="131">
        <v>44622</v>
      </c>
      <c r="AB81" s="14" t="s">
        <v>31</v>
      </c>
      <c r="AC81" s="20"/>
      <c r="AD81" s="57">
        <v>1433273</v>
      </c>
      <c r="AE81" s="57"/>
      <c r="AF81" s="57">
        <f>W81-AD81</f>
        <v>-74462</v>
      </c>
      <c r="AG81" s="57"/>
      <c r="AH81" s="58">
        <f>AF81/W81</f>
        <v>-5.4799379751856586E-2</v>
      </c>
      <c r="AI81" s="120">
        <v>44658</v>
      </c>
      <c r="AJ81" s="57" t="s">
        <v>31</v>
      </c>
      <c r="AK81" s="14"/>
      <c r="AL81" s="57">
        <v>1433273</v>
      </c>
      <c r="AM81" s="57">
        <f>AD81-AL81</f>
        <v>0</v>
      </c>
      <c r="AN81" s="57"/>
      <c r="AO81" s="57"/>
      <c r="AP81" s="58">
        <v>0</v>
      </c>
      <c r="AQ81" s="101">
        <v>44686</v>
      </c>
      <c r="AR81" s="14" t="s">
        <v>31</v>
      </c>
      <c r="AS81" s="14"/>
      <c r="AT81" s="57">
        <v>1433273</v>
      </c>
      <c r="AU81" s="57">
        <f t="shared" si="44"/>
        <v>0</v>
      </c>
      <c r="AV81" s="57"/>
      <c r="AW81" s="57"/>
      <c r="AX81" s="58">
        <v>0</v>
      </c>
      <c r="AY81" s="120">
        <v>44719</v>
      </c>
      <c r="AZ81" s="57" t="s">
        <v>31</v>
      </c>
      <c r="BA81" s="120">
        <v>44736</v>
      </c>
      <c r="BB81" s="57">
        <v>1433273</v>
      </c>
      <c r="BC81" s="57">
        <f t="shared" si="40"/>
        <v>0</v>
      </c>
      <c r="BD81" s="57"/>
      <c r="BE81" s="57"/>
      <c r="BF81" s="58">
        <v>0</v>
      </c>
      <c r="BG81" s="101">
        <v>44748</v>
      </c>
      <c r="BH81" s="14" t="s">
        <v>31</v>
      </c>
      <c r="BI81" s="101">
        <v>44757</v>
      </c>
      <c r="BJ81" s="57">
        <v>1433273</v>
      </c>
      <c r="BK81" s="57">
        <f t="shared" si="41"/>
        <v>0</v>
      </c>
      <c r="BL81" s="57"/>
      <c r="BM81" s="57"/>
      <c r="BN81" s="58">
        <v>0</v>
      </c>
      <c r="BO81" s="101">
        <v>44775</v>
      </c>
      <c r="BP81" s="14" t="s">
        <v>31</v>
      </c>
      <c r="BQ81" s="14"/>
      <c r="BR81" s="57"/>
      <c r="BS81" s="57"/>
      <c r="BT81" s="57"/>
      <c r="BU81" s="57"/>
      <c r="BV81" s="58"/>
      <c r="BW81" s="101"/>
      <c r="BX81" s="14"/>
      <c r="BY81" s="14"/>
      <c r="BZ81" s="57"/>
      <c r="CA81" s="57"/>
      <c r="CB81" s="57"/>
      <c r="CC81" s="57"/>
      <c r="CD81" s="58"/>
      <c r="CE81" s="101"/>
      <c r="CF81" s="14"/>
      <c r="CG81" s="14"/>
      <c r="CH81" s="57"/>
      <c r="CI81" s="57"/>
      <c r="CJ81" s="57"/>
      <c r="CK81" s="57"/>
      <c r="CL81" s="58"/>
      <c r="CM81" s="101"/>
      <c r="CN81" s="14"/>
      <c r="CO81" s="14"/>
      <c r="CP81" s="57"/>
      <c r="CQ81" s="57"/>
      <c r="CR81" s="57"/>
      <c r="CS81" s="57"/>
      <c r="CT81" s="58"/>
      <c r="CU81" s="101"/>
      <c r="CV81" s="14"/>
      <c r="CW81" s="14"/>
    </row>
    <row r="82" spans="1:101" hidden="1" x14ac:dyDescent="0.35">
      <c r="A82" s="1" t="s">
        <v>424</v>
      </c>
      <c r="B82" s="26" t="s">
        <v>748</v>
      </c>
      <c r="C82" s="24">
        <v>6692</v>
      </c>
      <c r="D82" s="37">
        <v>204942</v>
      </c>
      <c r="E82" s="18" t="s">
        <v>749</v>
      </c>
      <c r="F82" s="19" t="s">
        <v>750</v>
      </c>
      <c r="G82" s="57">
        <v>2248854</v>
      </c>
      <c r="H82" s="39">
        <v>2043113</v>
      </c>
      <c r="I82" s="57">
        <v>2248854</v>
      </c>
      <c r="J82" s="8">
        <f>H82-I82</f>
        <v>-205741</v>
      </c>
      <c r="K82" s="14"/>
      <c r="L82" s="58">
        <f>J82/H82</f>
        <v>-0.10069976550489376</v>
      </c>
      <c r="M82" s="3" t="s">
        <v>31</v>
      </c>
      <c r="N82" s="123">
        <v>44603</v>
      </c>
      <c r="O82" s="20"/>
      <c r="P82" s="57">
        <v>2248854</v>
      </c>
      <c r="Q82" s="8">
        <f>I82-P82</f>
        <v>0</v>
      </c>
      <c r="R82" s="14"/>
      <c r="S82" s="58">
        <v>0</v>
      </c>
      <c r="T82" s="101">
        <v>44603</v>
      </c>
      <c r="U82" s="14" t="s">
        <v>31</v>
      </c>
      <c r="V82" s="20"/>
      <c r="W82" s="57">
        <v>2248854</v>
      </c>
      <c r="X82" s="57">
        <f t="shared" si="45"/>
        <v>0</v>
      </c>
      <c r="Y82" s="14"/>
      <c r="Z82" s="58">
        <v>0</v>
      </c>
      <c r="AA82" s="131">
        <v>44621</v>
      </c>
      <c r="AB82" s="14" t="s">
        <v>31</v>
      </c>
      <c r="AC82" s="20"/>
      <c r="AD82" s="57">
        <f>2248854+129502</f>
        <v>2378356</v>
      </c>
      <c r="AE82" s="57">
        <f>W82-AD82</f>
        <v>-129502</v>
      </c>
      <c r="AF82" s="57"/>
      <c r="AG82" s="57"/>
      <c r="AH82" s="58">
        <v>0</v>
      </c>
      <c r="AI82" s="120">
        <v>44673</v>
      </c>
      <c r="AJ82" s="57" t="s">
        <v>31</v>
      </c>
      <c r="AK82" s="14"/>
      <c r="AL82" s="57">
        <v>2248854</v>
      </c>
      <c r="AM82" s="57">
        <f>W82-AL82</f>
        <v>0</v>
      </c>
      <c r="AN82" s="57"/>
      <c r="AO82" s="57"/>
      <c r="AP82" s="58">
        <v>0</v>
      </c>
      <c r="AQ82" s="101">
        <v>44687</v>
      </c>
      <c r="AR82" s="14" t="s">
        <v>31</v>
      </c>
      <c r="AS82" s="14"/>
      <c r="AT82" s="57">
        <v>2248854</v>
      </c>
      <c r="AU82" s="57">
        <f t="shared" si="44"/>
        <v>0</v>
      </c>
      <c r="AV82" s="57"/>
      <c r="AW82" s="57"/>
      <c r="AX82" s="58">
        <v>0</v>
      </c>
      <c r="AY82" s="120">
        <v>44713</v>
      </c>
      <c r="AZ82" s="57" t="s">
        <v>31</v>
      </c>
      <c r="BA82" s="120">
        <v>44728</v>
      </c>
      <c r="BB82" s="57">
        <v>2248854</v>
      </c>
      <c r="BC82" s="57">
        <f t="shared" si="40"/>
        <v>0</v>
      </c>
      <c r="BD82" s="57"/>
      <c r="BE82" s="57"/>
      <c r="BF82" s="58">
        <v>0</v>
      </c>
      <c r="BG82" s="101">
        <v>44747</v>
      </c>
      <c r="BH82" s="14" t="s">
        <v>31</v>
      </c>
      <c r="BI82" s="101">
        <v>44757</v>
      </c>
      <c r="BJ82" s="57">
        <v>2248854</v>
      </c>
      <c r="BK82" s="57">
        <f t="shared" si="41"/>
        <v>0</v>
      </c>
      <c r="BL82" s="57"/>
      <c r="BM82" s="57"/>
      <c r="BN82" s="58">
        <v>0</v>
      </c>
      <c r="BO82" s="101">
        <v>44777</v>
      </c>
      <c r="BP82" s="14" t="s">
        <v>31</v>
      </c>
      <c r="BQ82" s="14"/>
      <c r="BR82" s="57"/>
      <c r="BS82" s="57"/>
      <c r="BT82" s="57"/>
      <c r="BU82" s="57"/>
      <c r="BV82" s="58"/>
      <c r="BW82" s="101"/>
      <c r="BX82" s="14"/>
      <c r="BY82" s="14"/>
      <c r="BZ82" s="212"/>
      <c r="CA82" s="218"/>
      <c r="CB82" s="218"/>
      <c r="CC82" s="218"/>
      <c r="CD82" s="218"/>
      <c r="CE82" s="218"/>
      <c r="CF82" s="218"/>
      <c r="CG82" s="213"/>
      <c r="CH82" s="212"/>
      <c r="CI82" s="218"/>
      <c r="CJ82" s="218"/>
      <c r="CK82" s="218"/>
      <c r="CL82" s="218"/>
      <c r="CM82" s="218"/>
      <c r="CN82" s="218"/>
      <c r="CO82" s="213"/>
      <c r="CP82" s="212"/>
      <c r="CQ82" s="218"/>
      <c r="CR82" s="218"/>
      <c r="CS82" s="218"/>
      <c r="CT82" s="218"/>
      <c r="CU82" s="218"/>
      <c r="CV82" s="218"/>
      <c r="CW82" s="213"/>
    </row>
    <row r="83" spans="1:101" hidden="1" x14ac:dyDescent="0.35">
      <c r="A83" s="1" t="s">
        <v>427</v>
      </c>
      <c r="B83" s="26" t="s">
        <v>751</v>
      </c>
      <c r="C83" s="24">
        <v>6693</v>
      </c>
      <c r="D83" s="22">
        <v>204630</v>
      </c>
      <c r="E83" s="18" t="s">
        <v>752</v>
      </c>
      <c r="F83" s="19" t="s">
        <v>753</v>
      </c>
      <c r="G83" s="57">
        <v>880700</v>
      </c>
      <c r="H83" s="39">
        <v>830300</v>
      </c>
      <c r="I83" s="57">
        <v>880700</v>
      </c>
      <c r="J83" s="8">
        <f t="shared" ref="J83:J88" si="46">H83-I83</f>
        <v>-50400</v>
      </c>
      <c r="K83" s="14"/>
      <c r="L83" s="58">
        <f>J83/H83</f>
        <v>-6.0700951463326505E-2</v>
      </c>
      <c r="M83" s="3" t="s">
        <v>31</v>
      </c>
      <c r="N83" s="123">
        <v>44566</v>
      </c>
      <c r="O83" s="20"/>
      <c r="P83" s="57">
        <v>880700</v>
      </c>
      <c r="Q83" s="8">
        <f>I83-P83</f>
        <v>0</v>
      </c>
      <c r="R83" s="14"/>
      <c r="S83" s="58">
        <v>0</v>
      </c>
      <c r="T83" s="131">
        <v>44594</v>
      </c>
      <c r="U83" s="14" t="s">
        <v>31</v>
      </c>
      <c r="V83" s="20"/>
      <c r="W83" s="57">
        <v>880700</v>
      </c>
      <c r="X83" s="57">
        <f t="shared" si="45"/>
        <v>0</v>
      </c>
      <c r="Y83" s="14"/>
      <c r="Z83" s="58">
        <v>0</v>
      </c>
      <c r="AA83" s="131">
        <v>44622</v>
      </c>
      <c r="AB83" s="14" t="s">
        <v>31</v>
      </c>
      <c r="AC83" s="20"/>
      <c r="AD83" s="57">
        <v>880700</v>
      </c>
      <c r="AE83" s="57">
        <f>W83-AD83</f>
        <v>0</v>
      </c>
      <c r="AF83" s="57"/>
      <c r="AG83" s="57"/>
      <c r="AH83" s="58">
        <v>0</v>
      </c>
      <c r="AI83" s="120">
        <v>44656</v>
      </c>
      <c r="AJ83" s="57" t="s">
        <v>31</v>
      </c>
      <c r="AK83" s="14"/>
      <c r="AL83" s="57">
        <v>880700</v>
      </c>
      <c r="AM83" s="57">
        <f>AD83-AL83</f>
        <v>0</v>
      </c>
      <c r="AN83" s="57"/>
      <c r="AO83" s="57"/>
      <c r="AP83" s="58">
        <v>0</v>
      </c>
      <c r="AQ83" s="101">
        <v>44684</v>
      </c>
      <c r="AR83" s="14" t="s">
        <v>31</v>
      </c>
      <c r="AS83" s="14"/>
      <c r="AT83" s="57">
        <v>880700</v>
      </c>
      <c r="AU83" s="57">
        <f>AL83-AT83</f>
        <v>0</v>
      </c>
      <c r="AV83" s="57"/>
      <c r="AW83" s="57"/>
      <c r="AX83" s="58">
        <v>0</v>
      </c>
      <c r="AY83" s="120">
        <v>44733</v>
      </c>
      <c r="AZ83" s="57" t="s">
        <v>31</v>
      </c>
      <c r="BA83" s="120">
        <v>44757</v>
      </c>
      <c r="BB83" s="57">
        <v>880700</v>
      </c>
      <c r="BC83" s="57">
        <f t="shared" si="40"/>
        <v>0</v>
      </c>
      <c r="BD83" s="57"/>
      <c r="BE83" s="57"/>
      <c r="BF83" s="58">
        <v>0</v>
      </c>
      <c r="BG83" s="101">
        <v>44747</v>
      </c>
      <c r="BH83" s="14" t="s">
        <v>31</v>
      </c>
      <c r="BI83" s="101">
        <v>44757</v>
      </c>
      <c r="BJ83" s="57">
        <v>880700</v>
      </c>
      <c r="BK83" s="57">
        <f t="shared" si="41"/>
        <v>0</v>
      </c>
      <c r="BL83" s="57"/>
      <c r="BM83" s="57"/>
      <c r="BN83" s="58">
        <v>0</v>
      </c>
      <c r="BO83" s="101">
        <v>44777</v>
      </c>
      <c r="BP83" s="14" t="s">
        <v>31</v>
      </c>
      <c r="BQ83" s="14"/>
      <c r="BR83" s="57"/>
      <c r="BS83" s="57"/>
      <c r="BT83" s="57"/>
      <c r="BU83" s="57"/>
      <c r="BV83" s="58"/>
      <c r="BW83" s="101"/>
      <c r="BX83" s="14"/>
      <c r="BY83" s="14"/>
      <c r="BZ83" s="57"/>
      <c r="CA83" s="57"/>
      <c r="CB83" s="57"/>
      <c r="CC83" s="57"/>
      <c r="CD83" s="58"/>
      <c r="CE83" s="101"/>
      <c r="CF83" s="14"/>
      <c r="CG83" s="14"/>
      <c r="CH83" s="57"/>
      <c r="CI83" s="57"/>
      <c r="CJ83" s="57"/>
      <c r="CK83" s="57"/>
      <c r="CL83" s="58"/>
      <c r="CM83" s="101"/>
      <c r="CN83" s="14"/>
      <c r="CO83" s="14"/>
      <c r="CP83" s="57"/>
      <c r="CQ83" s="57"/>
      <c r="CR83" s="57"/>
      <c r="CS83" s="57"/>
      <c r="CT83" s="58"/>
      <c r="CU83" s="101"/>
      <c r="CV83" s="14"/>
      <c r="CW83" s="14"/>
    </row>
    <row r="84" spans="1:101" hidden="1" x14ac:dyDescent="0.35">
      <c r="A84" s="1" t="s">
        <v>437</v>
      </c>
      <c r="B84" s="26" t="s">
        <v>754</v>
      </c>
      <c r="C84" s="24">
        <v>6699</v>
      </c>
      <c r="D84" s="22">
        <v>204626</v>
      </c>
      <c r="E84" s="18" t="s">
        <v>755</v>
      </c>
      <c r="F84" s="19" t="s">
        <v>756</v>
      </c>
      <c r="G84" s="57">
        <v>1368214</v>
      </c>
      <c r="H84" s="39">
        <v>1513229</v>
      </c>
      <c r="I84" s="57">
        <v>1437977</v>
      </c>
      <c r="J84" s="8">
        <f t="shared" si="46"/>
        <v>75252</v>
      </c>
      <c r="K84" s="14"/>
      <c r="L84" s="58">
        <f>J84/G84</f>
        <v>5.5000168102358256E-2</v>
      </c>
      <c r="M84" s="3" t="s">
        <v>31</v>
      </c>
      <c r="N84" s="123">
        <v>44566</v>
      </c>
      <c r="O84" s="20"/>
      <c r="P84" s="57">
        <v>1437977</v>
      </c>
      <c r="Q84" s="8">
        <f>I84-P84</f>
        <v>0</v>
      </c>
      <c r="R84" s="57"/>
      <c r="S84" s="58">
        <v>0</v>
      </c>
      <c r="T84" s="101">
        <v>44593</v>
      </c>
      <c r="U84" s="14" t="s">
        <v>31</v>
      </c>
      <c r="V84" s="20"/>
      <c r="W84" s="57">
        <v>1368214</v>
      </c>
      <c r="X84" s="57">
        <f t="shared" si="45"/>
        <v>69763</v>
      </c>
      <c r="Y84" s="14"/>
      <c r="Z84" s="58">
        <f>X84/P84</f>
        <v>4.8514684170887293E-2</v>
      </c>
      <c r="AA84" s="131">
        <v>44621</v>
      </c>
      <c r="AB84" s="14" t="s">
        <v>31</v>
      </c>
      <c r="AC84" s="20"/>
      <c r="AD84" s="57">
        <v>1368214</v>
      </c>
      <c r="AE84" s="57">
        <f>W84-AD84</f>
        <v>0</v>
      </c>
      <c r="AF84" s="57"/>
      <c r="AG84" s="57"/>
      <c r="AH84" s="58">
        <v>0</v>
      </c>
      <c r="AI84" s="120">
        <v>44656</v>
      </c>
      <c r="AJ84" s="57" t="s">
        <v>31</v>
      </c>
      <c r="AK84" s="14"/>
      <c r="AL84" s="57">
        <f>1368214+689921</f>
        <v>2058135</v>
      </c>
      <c r="AM84" s="57"/>
      <c r="AN84" s="57">
        <f>AD84-AL84</f>
        <v>-689921</v>
      </c>
      <c r="AO84" s="57"/>
      <c r="AP84" s="58">
        <f>AN84/AD84</f>
        <v>-0.50424933526480509</v>
      </c>
      <c r="AQ84" s="101">
        <v>44692</v>
      </c>
      <c r="AR84" s="14" t="s">
        <v>31</v>
      </c>
      <c r="AS84" s="14"/>
      <c r="AT84" s="57">
        <v>1368214</v>
      </c>
      <c r="AU84" s="57">
        <f>AD84-AT84</f>
        <v>0</v>
      </c>
      <c r="AV84" s="57"/>
      <c r="AW84" s="57"/>
      <c r="AX84" s="58">
        <v>0</v>
      </c>
      <c r="AY84" s="120">
        <v>44719</v>
      </c>
      <c r="AZ84" s="57" t="s">
        <v>31</v>
      </c>
      <c r="BA84" s="120">
        <v>44736</v>
      </c>
      <c r="BB84" s="57">
        <v>1368214</v>
      </c>
      <c r="BC84" s="57">
        <f t="shared" si="40"/>
        <v>0</v>
      </c>
      <c r="BD84" s="57"/>
      <c r="BE84" s="57"/>
      <c r="BF84" s="58">
        <v>0</v>
      </c>
      <c r="BG84" s="101">
        <v>44743</v>
      </c>
      <c r="BH84" s="14" t="s">
        <v>31</v>
      </c>
      <c r="BI84" s="101">
        <v>44757</v>
      </c>
      <c r="BJ84" s="57">
        <v>1368214</v>
      </c>
      <c r="BK84" s="57">
        <f t="shared" si="41"/>
        <v>0</v>
      </c>
      <c r="BL84" s="57"/>
      <c r="BM84" s="57"/>
      <c r="BN84" s="58">
        <v>0</v>
      </c>
      <c r="BO84" s="101">
        <v>44774</v>
      </c>
      <c r="BP84" s="14" t="s">
        <v>31</v>
      </c>
      <c r="BQ84" s="14"/>
      <c r="BR84" s="57"/>
      <c r="BS84" s="57"/>
      <c r="BT84" s="57"/>
      <c r="BU84" s="57"/>
      <c r="BV84" s="58"/>
      <c r="BW84" s="101"/>
      <c r="BX84" s="14"/>
      <c r="BY84" s="14"/>
      <c r="BZ84" s="57"/>
      <c r="CA84" s="57"/>
      <c r="CB84" s="57"/>
      <c r="CC84" s="57"/>
      <c r="CD84" s="58"/>
      <c r="CE84" s="101"/>
      <c r="CF84" s="14"/>
      <c r="CG84" s="14"/>
      <c r="CH84" s="57"/>
      <c r="CI84" s="57"/>
      <c r="CJ84" s="57"/>
      <c r="CK84" s="57"/>
      <c r="CL84" s="58"/>
      <c r="CM84" s="101"/>
      <c r="CN84" s="14"/>
      <c r="CO84" s="14"/>
      <c r="CP84" s="57"/>
      <c r="CQ84" s="57"/>
      <c r="CR84" s="57"/>
      <c r="CS84" s="57"/>
      <c r="CT84" s="58"/>
      <c r="CU84" s="101"/>
      <c r="CV84" s="14"/>
      <c r="CW84" s="14"/>
    </row>
    <row r="85" spans="1:101" hidden="1" x14ac:dyDescent="0.35">
      <c r="A85" s="1" t="s">
        <v>440</v>
      </c>
      <c r="B85" s="26" t="s">
        <v>757</v>
      </c>
      <c r="C85" s="24">
        <v>6700</v>
      </c>
      <c r="D85" s="22">
        <v>204625</v>
      </c>
      <c r="E85" s="18" t="s">
        <v>758</v>
      </c>
      <c r="F85" s="19" t="s">
        <v>759</v>
      </c>
      <c r="G85" s="57">
        <v>1265216</v>
      </c>
      <c r="H85" s="39">
        <v>1197893</v>
      </c>
      <c r="I85" s="57">
        <v>1318522</v>
      </c>
      <c r="J85" s="8">
        <f t="shared" si="46"/>
        <v>-120629</v>
      </c>
      <c r="K85" s="14"/>
      <c r="L85" s="58">
        <f>J85/H85</f>
        <v>-0.10070098080546426</v>
      </c>
      <c r="M85" s="3" t="s">
        <v>31</v>
      </c>
      <c r="N85" s="123">
        <v>44567</v>
      </c>
      <c r="O85" s="20"/>
      <c r="P85" s="57">
        <v>1318522</v>
      </c>
      <c r="Q85" s="8">
        <f>I85-P85</f>
        <v>0</v>
      </c>
      <c r="R85" s="14"/>
      <c r="S85" s="58">
        <v>0</v>
      </c>
      <c r="T85" s="131">
        <v>44594</v>
      </c>
      <c r="U85" s="14" t="s">
        <v>31</v>
      </c>
      <c r="V85" s="20"/>
      <c r="W85" s="57">
        <v>1318522</v>
      </c>
      <c r="X85" s="57">
        <f t="shared" si="45"/>
        <v>0</v>
      </c>
      <c r="Y85" s="14"/>
      <c r="Z85" s="58">
        <v>0</v>
      </c>
      <c r="AA85" s="101">
        <v>44624</v>
      </c>
      <c r="AB85" s="14" t="s">
        <v>31</v>
      </c>
      <c r="AC85" s="20"/>
      <c r="AD85" s="57">
        <v>1265216</v>
      </c>
      <c r="AE85" s="57">
        <f>W85-AD85</f>
        <v>53306</v>
      </c>
      <c r="AF85" s="57"/>
      <c r="AG85" s="57"/>
      <c r="AH85" s="58">
        <f>AE85/W85</f>
        <v>4.0428601115491437E-2</v>
      </c>
      <c r="AI85" s="120">
        <v>44656</v>
      </c>
      <c r="AJ85" s="57" t="s">
        <v>31</v>
      </c>
      <c r="AK85" s="14"/>
      <c r="AL85" s="57">
        <v>1265216</v>
      </c>
      <c r="AM85" s="57">
        <f>AD85-AL85</f>
        <v>0</v>
      </c>
      <c r="AN85" s="57"/>
      <c r="AO85" s="57"/>
      <c r="AP85" s="58">
        <v>0</v>
      </c>
      <c r="AQ85" s="101">
        <v>44686</v>
      </c>
      <c r="AR85" s="14" t="s">
        <v>31</v>
      </c>
      <c r="AS85" s="14"/>
      <c r="AT85" s="57">
        <v>1265216</v>
      </c>
      <c r="AU85" s="57">
        <f>AL85-AT85</f>
        <v>0</v>
      </c>
      <c r="AV85" s="57"/>
      <c r="AW85" s="57"/>
      <c r="AX85" s="58">
        <v>0</v>
      </c>
      <c r="AY85" s="120">
        <v>44715</v>
      </c>
      <c r="AZ85" s="57" t="s">
        <v>31</v>
      </c>
      <c r="BA85" s="120">
        <v>44728</v>
      </c>
      <c r="BB85" s="57">
        <v>1265216</v>
      </c>
      <c r="BC85" s="57">
        <f t="shared" si="40"/>
        <v>0</v>
      </c>
      <c r="BD85" s="57"/>
      <c r="BE85" s="57"/>
      <c r="BF85" s="58">
        <v>0</v>
      </c>
      <c r="BG85" s="101">
        <v>44749</v>
      </c>
      <c r="BH85" s="14" t="s">
        <v>31</v>
      </c>
      <c r="BI85" s="101">
        <v>44768</v>
      </c>
      <c r="BJ85" s="57">
        <v>1265216</v>
      </c>
      <c r="BK85" s="57">
        <f t="shared" si="41"/>
        <v>0</v>
      </c>
      <c r="BL85" s="57"/>
      <c r="BM85" s="57"/>
      <c r="BN85" s="58">
        <v>0</v>
      </c>
      <c r="BO85" s="101">
        <v>44776</v>
      </c>
      <c r="BP85" s="14" t="s">
        <v>31</v>
      </c>
      <c r="BQ85" s="14"/>
      <c r="BR85" s="212"/>
      <c r="BS85" s="218"/>
      <c r="BT85" s="218"/>
      <c r="BU85" s="218"/>
      <c r="BV85" s="218"/>
      <c r="BW85" s="218"/>
      <c r="BX85" s="218"/>
      <c r="BY85" s="213"/>
      <c r="BZ85" s="57"/>
      <c r="CA85" s="57"/>
      <c r="CB85" s="57"/>
      <c r="CC85" s="57"/>
      <c r="CD85" s="58"/>
      <c r="CE85" s="101"/>
      <c r="CF85" s="14"/>
      <c r="CG85" s="14"/>
      <c r="CH85" s="57"/>
      <c r="CI85" s="57"/>
      <c r="CJ85" s="57"/>
      <c r="CK85" s="57"/>
      <c r="CL85" s="58"/>
      <c r="CM85" s="101"/>
      <c r="CN85" s="14"/>
      <c r="CO85" s="14"/>
      <c r="CP85" s="57"/>
      <c r="CQ85" s="57"/>
      <c r="CR85" s="57"/>
      <c r="CS85" s="57"/>
      <c r="CT85" s="58"/>
      <c r="CU85" s="101"/>
      <c r="CV85" s="14"/>
      <c r="CW85" s="14"/>
    </row>
    <row r="86" spans="1:101" hidden="1" x14ac:dyDescent="0.35">
      <c r="A86" s="1" t="s">
        <v>443</v>
      </c>
      <c r="B86" s="26" t="s">
        <v>760</v>
      </c>
      <c r="C86" s="24">
        <v>6701</v>
      </c>
      <c r="D86" s="22">
        <v>204603</v>
      </c>
      <c r="E86" s="18" t="s">
        <v>445</v>
      </c>
      <c r="F86" s="19" t="s">
        <v>761</v>
      </c>
      <c r="G86" s="39">
        <v>3157397</v>
      </c>
      <c r="H86" s="39">
        <v>3031742</v>
      </c>
      <c r="I86" s="57">
        <v>2870995</v>
      </c>
      <c r="J86" s="8">
        <f t="shared" si="46"/>
        <v>160747</v>
      </c>
      <c r="K86" s="14"/>
      <c r="L86" s="58">
        <f>J86/H86</f>
        <v>5.3021332290148701E-2</v>
      </c>
      <c r="M86" s="3" t="s">
        <v>31</v>
      </c>
      <c r="N86" s="123">
        <v>44586</v>
      </c>
      <c r="O86" s="20"/>
      <c r="P86" s="57">
        <v>3049051</v>
      </c>
      <c r="Q86" s="8">
        <f>H86-P86</f>
        <v>-17309</v>
      </c>
      <c r="R86" s="14"/>
      <c r="S86" s="58">
        <f>Q86/H86</f>
        <v>-5.70925890131812E-3</v>
      </c>
      <c r="T86" s="131">
        <v>44620</v>
      </c>
      <c r="U86" s="14" t="s">
        <v>31</v>
      </c>
      <c r="V86" s="20"/>
      <c r="W86" s="57">
        <v>2875189</v>
      </c>
      <c r="X86" s="57">
        <f>P86-W86</f>
        <v>173862</v>
      </c>
      <c r="Y86" s="14"/>
      <c r="Z86" s="58">
        <f>X86/P86</f>
        <v>5.7021676580680351E-2</v>
      </c>
      <c r="AA86" s="131">
        <v>44648</v>
      </c>
      <c r="AB86" s="14" t="s">
        <v>31</v>
      </c>
      <c r="AC86" s="20"/>
      <c r="AD86" s="57">
        <v>3581165</v>
      </c>
      <c r="AE86" s="57"/>
      <c r="AF86" s="57">
        <f>H86-AD86</f>
        <v>-549423</v>
      </c>
      <c r="AG86" s="57"/>
      <c r="AH86" s="58">
        <f>AF86/H86</f>
        <v>-0.18122353419255333</v>
      </c>
      <c r="AI86" s="120">
        <v>44683</v>
      </c>
      <c r="AJ86" s="57" t="s">
        <v>31</v>
      </c>
      <c r="AK86" s="14"/>
      <c r="AL86" s="57">
        <v>3002711</v>
      </c>
      <c r="AM86" s="57">
        <f>AD86-AL86</f>
        <v>578454</v>
      </c>
      <c r="AN86" s="57"/>
      <c r="AO86" s="57"/>
      <c r="AP86" s="58">
        <f>AM86/AD86</f>
        <v>0.16152676573126343</v>
      </c>
      <c r="AQ86" s="101">
        <v>44712</v>
      </c>
      <c r="AR86" s="14" t="s">
        <v>31</v>
      </c>
      <c r="AS86" s="20"/>
      <c r="AT86" s="57">
        <v>3243743</v>
      </c>
      <c r="AU86" s="57"/>
      <c r="AV86" s="57">
        <f>AL86-AT86</f>
        <v>-241032</v>
      </c>
      <c r="AW86" s="57"/>
      <c r="AX86" s="58">
        <f>AV86/AL86</f>
        <v>-8.0271461356087884E-2</v>
      </c>
      <c r="AY86" s="120">
        <v>44725</v>
      </c>
      <c r="AZ86" s="57" t="s">
        <v>31</v>
      </c>
      <c r="BA86" s="120">
        <v>44755</v>
      </c>
      <c r="BB86" s="57">
        <v>3044629</v>
      </c>
      <c r="BC86" s="57">
        <f>AT86-BB86</f>
        <v>199114</v>
      </c>
      <c r="BD86" s="57"/>
      <c r="BE86" s="57"/>
      <c r="BF86" s="58">
        <f>BC86/AT86</f>
        <v>6.1384024566681149E-2</v>
      </c>
      <c r="BG86" s="101">
        <v>44753</v>
      </c>
      <c r="BH86" s="14" t="s">
        <v>31</v>
      </c>
      <c r="BI86" s="101">
        <v>44768</v>
      </c>
      <c r="BJ86" s="57">
        <v>3157397</v>
      </c>
      <c r="BK86" s="57">
        <f>AT86-BJ86</f>
        <v>86346</v>
      </c>
      <c r="BL86" s="57"/>
      <c r="BM86" s="57"/>
      <c r="BN86" s="58">
        <f>BK86/AT86</f>
        <v>2.6619248195680113E-2</v>
      </c>
      <c r="BO86" s="101">
        <v>44785</v>
      </c>
      <c r="BP86" s="14" t="s">
        <v>31</v>
      </c>
      <c r="BQ86" s="14"/>
      <c r="BR86" s="57"/>
      <c r="BS86" s="57"/>
      <c r="BT86" s="57"/>
      <c r="BU86" s="57"/>
      <c r="BV86" s="58"/>
      <c r="BW86" s="101"/>
      <c r="BX86" s="14"/>
      <c r="BY86" s="14"/>
      <c r="BZ86" s="57"/>
      <c r="CA86" s="57"/>
      <c r="CB86" s="57"/>
      <c r="CC86" s="57"/>
      <c r="CD86" s="58"/>
      <c r="CE86" s="101"/>
      <c r="CF86" s="14"/>
      <c r="CG86" s="14"/>
      <c r="CH86" s="57"/>
      <c r="CI86" s="57"/>
      <c r="CJ86" s="57"/>
      <c r="CK86" s="57"/>
      <c r="CL86" s="58"/>
      <c r="CM86" s="101"/>
      <c r="CN86" s="14"/>
      <c r="CO86" s="14"/>
      <c r="CP86" s="57"/>
      <c r="CQ86" s="57"/>
      <c r="CR86" s="57"/>
      <c r="CS86" s="57"/>
      <c r="CT86" s="58"/>
      <c r="CU86" s="121"/>
      <c r="CV86" s="111"/>
      <c r="CW86" s="14"/>
    </row>
    <row r="87" spans="1:101" hidden="1" x14ac:dyDescent="0.35">
      <c r="A87" s="1" t="s">
        <v>447</v>
      </c>
      <c r="B87" s="26" t="s">
        <v>762</v>
      </c>
      <c r="C87" s="24">
        <v>6711</v>
      </c>
      <c r="D87" s="22">
        <v>204608</v>
      </c>
      <c r="E87" s="18" t="s">
        <v>763</v>
      </c>
      <c r="F87" s="19" t="s">
        <v>764</v>
      </c>
      <c r="G87" s="57">
        <v>2653578</v>
      </c>
      <c r="H87" s="39">
        <v>2440963</v>
      </c>
      <c r="I87" s="57">
        <v>2686768</v>
      </c>
      <c r="J87" s="8">
        <f t="shared" si="46"/>
        <v>-245805</v>
      </c>
      <c r="K87" s="14"/>
      <c r="L87" s="58">
        <f>J87/H87</f>
        <v>-0.10070001061056641</v>
      </c>
      <c r="M87" s="3" t="s">
        <v>31</v>
      </c>
      <c r="N87" s="123">
        <v>44567</v>
      </c>
      <c r="O87" s="20"/>
      <c r="P87" s="57">
        <v>2686768</v>
      </c>
      <c r="Q87" s="8">
        <f t="shared" ref="Q87:Q97" si="47">I87-P87</f>
        <v>0</v>
      </c>
      <c r="R87" s="14"/>
      <c r="S87" s="58">
        <v>0</v>
      </c>
      <c r="T87" s="131">
        <v>44594</v>
      </c>
      <c r="U87" s="14" t="s">
        <v>31</v>
      </c>
      <c r="V87" s="20"/>
      <c r="W87" s="57">
        <v>2686768</v>
      </c>
      <c r="X87" s="57">
        <f t="shared" ref="X87:X95" si="48">P87-W87</f>
        <v>0</v>
      </c>
      <c r="Y87" s="14"/>
      <c r="Z87" s="58">
        <v>0</v>
      </c>
      <c r="AA87" s="131">
        <v>44622</v>
      </c>
      <c r="AB87" s="14" t="s">
        <v>31</v>
      </c>
      <c r="AC87" s="20"/>
      <c r="AD87" s="57">
        <v>2554009</v>
      </c>
      <c r="AE87" s="57">
        <f t="shared" ref="AE87:AE98" si="49">W87-AD87</f>
        <v>132759</v>
      </c>
      <c r="AF87" s="57"/>
      <c r="AG87" s="57"/>
      <c r="AH87" s="58">
        <f>AE87/W87</f>
        <v>4.9412156166814554E-2</v>
      </c>
      <c r="AI87" s="120">
        <v>44656</v>
      </c>
      <c r="AJ87" s="57" t="s">
        <v>31</v>
      </c>
      <c r="AK87" s="14"/>
      <c r="AL87" s="57">
        <v>2653578</v>
      </c>
      <c r="AM87" s="57">
        <f>W87-AL87</f>
        <v>33190</v>
      </c>
      <c r="AN87" s="57"/>
      <c r="AO87" s="57"/>
      <c r="AP87" s="58">
        <f>AM87/W87</f>
        <v>1.2353132090303294E-2</v>
      </c>
      <c r="AQ87" s="101">
        <v>44684</v>
      </c>
      <c r="AR87" s="14" t="s">
        <v>31</v>
      </c>
      <c r="AS87" s="14"/>
      <c r="AT87" s="57">
        <v>2653578</v>
      </c>
      <c r="AU87" s="57">
        <f>AL87-AT87</f>
        <v>0</v>
      </c>
      <c r="AV87" s="57"/>
      <c r="AW87" s="57"/>
      <c r="AX87" s="58">
        <v>0</v>
      </c>
      <c r="AY87" s="120">
        <v>44715</v>
      </c>
      <c r="AZ87" s="57" t="s">
        <v>31</v>
      </c>
      <c r="BA87" s="120">
        <v>44728</v>
      </c>
      <c r="BB87" s="57">
        <v>2653578</v>
      </c>
      <c r="BC87" s="57">
        <f t="shared" ref="BC87:BC93" si="50">AT87-BB87</f>
        <v>0</v>
      </c>
      <c r="BD87" s="57"/>
      <c r="BE87" s="57"/>
      <c r="BF87" s="58">
        <v>0</v>
      </c>
      <c r="BG87" s="101">
        <v>44743</v>
      </c>
      <c r="BH87" s="14" t="s">
        <v>31</v>
      </c>
      <c r="BI87" s="101">
        <v>44757</v>
      </c>
      <c r="BJ87" s="57">
        <v>2653578</v>
      </c>
      <c r="BK87" s="57">
        <f>BB87-BJ87</f>
        <v>0</v>
      </c>
      <c r="BL87" s="57"/>
      <c r="BM87" s="57"/>
      <c r="BN87" s="58">
        <v>0</v>
      </c>
      <c r="BO87" s="101">
        <v>44775</v>
      </c>
      <c r="BP87" s="14" t="s">
        <v>31</v>
      </c>
      <c r="BQ87" s="14"/>
      <c r="BR87" s="57"/>
      <c r="BS87" s="57"/>
      <c r="BT87" s="57"/>
      <c r="BU87" s="57"/>
      <c r="BV87" s="58"/>
      <c r="BW87" s="101"/>
      <c r="BX87" s="14"/>
      <c r="BY87" s="14"/>
      <c r="BZ87" s="57"/>
      <c r="CA87" s="57"/>
      <c r="CB87" s="57"/>
      <c r="CC87" s="57"/>
      <c r="CD87" s="58"/>
      <c r="CE87" s="101"/>
      <c r="CF87" s="14"/>
      <c r="CG87" s="14"/>
      <c r="CH87" s="57"/>
      <c r="CI87" s="57"/>
      <c r="CJ87" s="57"/>
      <c r="CK87" s="57"/>
      <c r="CL87" s="58"/>
      <c r="CM87" s="101"/>
      <c r="CN87" s="14"/>
      <c r="CO87" s="14"/>
      <c r="CP87" s="57"/>
      <c r="CQ87" s="57"/>
      <c r="CR87" s="57"/>
      <c r="CS87" s="57"/>
      <c r="CT87" s="58"/>
      <c r="CU87" s="101"/>
      <c r="CV87" s="14"/>
      <c r="CW87" s="14"/>
    </row>
    <row r="88" spans="1:101" hidden="1" x14ac:dyDescent="0.35">
      <c r="A88" s="1" t="s">
        <v>451</v>
      </c>
      <c r="B88" s="26" t="s">
        <v>765</v>
      </c>
      <c r="C88" s="24">
        <v>6714</v>
      </c>
      <c r="D88" s="22">
        <v>204611</v>
      </c>
      <c r="E88" s="18" t="s">
        <v>766</v>
      </c>
      <c r="F88" s="19" t="s">
        <v>767</v>
      </c>
      <c r="G88" s="57">
        <v>1106138</v>
      </c>
      <c r="H88" s="39">
        <v>1033774</v>
      </c>
      <c r="I88" s="57">
        <v>1137875</v>
      </c>
      <c r="J88" s="8">
        <f t="shared" si="46"/>
        <v>-104101</v>
      </c>
      <c r="K88" s="14"/>
      <c r="L88" s="58">
        <f>J88/H88</f>
        <v>-0.1006999595656304</v>
      </c>
      <c r="M88" s="3" t="s">
        <v>31</v>
      </c>
      <c r="N88" s="123">
        <v>44568</v>
      </c>
      <c r="O88" s="20"/>
      <c r="P88" s="57">
        <v>1137875</v>
      </c>
      <c r="Q88" s="8">
        <f t="shared" si="47"/>
        <v>0</v>
      </c>
      <c r="R88" s="14"/>
      <c r="S88" s="58">
        <v>0</v>
      </c>
      <c r="T88" s="101">
        <v>44600</v>
      </c>
      <c r="U88" s="14" t="s">
        <v>31</v>
      </c>
      <c r="V88" s="20"/>
      <c r="W88" s="57">
        <v>1137875</v>
      </c>
      <c r="X88" s="57">
        <f t="shared" si="48"/>
        <v>0</v>
      </c>
      <c r="Y88" s="14"/>
      <c r="Z88" s="58">
        <v>0</v>
      </c>
      <c r="AA88" s="101">
        <v>44624</v>
      </c>
      <c r="AB88" s="14" t="s">
        <v>31</v>
      </c>
      <c r="AC88" s="20"/>
      <c r="AD88" s="57">
        <v>1106138</v>
      </c>
      <c r="AE88" s="57">
        <f t="shared" si="49"/>
        <v>31737</v>
      </c>
      <c r="AF88" s="57"/>
      <c r="AG88" s="57"/>
      <c r="AH88" s="58">
        <f>AE88/W88</f>
        <v>2.7891464352411292E-2</v>
      </c>
      <c r="AI88" s="120">
        <v>44658</v>
      </c>
      <c r="AJ88" s="57" t="s">
        <v>31</v>
      </c>
      <c r="AK88" s="14"/>
      <c r="AL88" s="57">
        <v>1106138</v>
      </c>
      <c r="AM88" s="57">
        <f>AD88-AL88</f>
        <v>0</v>
      </c>
      <c r="AN88" s="57"/>
      <c r="AO88" s="57"/>
      <c r="AP88" s="58">
        <v>0</v>
      </c>
      <c r="AQ88" s="101">
        <v>44690</v>
      </c>
      <c r="AR88" s="14" t="s">
        <v>31</v>
      </c>
      <c r="AS88" s="14"/>
      <c r="AT88" s="57">
        <v>1106138</v>
      </c>
      <c r="AU88" s="57">
        <f>AL88-AT88</f>
        <v>0</v>
      </c>
      <c r="AV88" s="57"/>
      <c r="AW88" s="57"/>
      <c r="AX88" s="58">
        <v>0</v>
      </c>
      <c r="AY88" s="120">
        <v>44719</v>
      </c>
      <c r="AZ88" s="57" t="s">
        <v>31</v>
      </c>
      <c r="BA88" s="120">
        <v>44736</v>
      </c>
      <c r="BB88" s="57">
        <v>1106138</v>
      </c>
      <c r="BC88" s="57">
        <f t="shared" si="50"/>
        <v>0</v>
      </c>
      <c r="BD88" s="57"/>
      <c r="BE88" s="57"/>
      <c r="BF88" s="58">
        <v>0</v>
      </c>
      <c r="BG88" s="101">
        <v>44748</v>
      </c>
      <c r="BH88" s="14" t="s">
        <v>31</v>
      </c>
      <c r="BI88" s="101">
        <v>44757</v>
      </c>
      <c r="BJ88" s="57">
        <v>1106138</v>
      </c>
      <c r="BK88" s="57">
        <f>BB88-BJ88</f>
        <v>0</v>
      </c>
      <c r="BL88" s="57"/>
      <c r="BM88" s="57"/>
      <c r="BN88" s="58">
        <v>0</v>
      </c>
      <c r="BO88" s="101">
        <v>44778</v>
      </c>
      <c r="BP88" s="14" t="s">
        <v>31</v>
      </c>
      <c r="BQ88" s="14"/>
      <c r="BR88" s="57"/>
      <c r="BS88" s="57"/>
      <c r="BT88" s="57"/>
      <c r="BU88" s="57"/>
      <c r="BV88" s="58"/>
      <c r="BW88" s="101"/>
      <c r="BX88" s="14"/>
      <c r="BY88" s="14"/>
      <c r="BZ88" s="57"/>
      <c r="CA88" s="57"/>
      <c r="CB88" s="57"/>
      <c r="CC88" s="57"/>
      <c r="CD88" s="58"/>
      <c r="CE88" s="101"/>
      <c r="CF88" s="14"/>
      <c r="CG88" s="14"/>
      <c r="CH88" s="57"/>
      <c r="CI88" s="57"/>
      <c r="CJ88" s="57"/>
      <c r="CK88" s="57"/>
      <c r="CL88" s="58"/>
      <c r="CM88" s="101"/>
      <c r="CN88" s="14"/>
      <c r="CO88" s="14"/>
      <c r="CP88" s="57"/>
      <c r="CQ88" s="57"/>
      <c r="CR88" s="57"/>
      <c r="CS88" s="57"/>
      <c r="CT88" s="58"/>
      <c r="CU88" s="101"/>
      <c r="CV88" s="14"/>
      <c r="CW88" s="14"/>
    </row>
    <row r="89" spans="1:101" hidden="1" x14ac:dyDescent="0.35">
      <c r="A89" s="1" t="s">
        <v>455</v>
      </c>
      <c r="B89" s="26" t="s">
        <v>768</v>
      </c>
      <c r="C89" s="24">
        <v>6715</v>
      </c>
      <c r="D89" s="22">
        <v>204633</v>
      </c>
      <c r="E89" s="18" t="s">
        <v>769</v>
      </c>
      <c r="F89" s="19" t="s">
        <v>770</v>
      </c>
      <c r="G89" s="39">
        <v>1173620</v>
      </c>
      <c r="H89" s="39">
        <v>1111200</v>
      </c>
      <c r="I89" s="57">
        <v>1111200</v>
      </c>
      <c r="J89" s="8">
        <f>H89-I89</f>
        <v>0</v>
      </c>
      <c r="K89" s="14"/>
      <c r="L89" s="58">
        <v>0</v>
      </c>
      <c r="M89" s="123" t="s">
        <v>31</v>
      </c>
      <c r="N89" s="123">
        <v>44565</v>
      </c>
      <c r="O89" s="20"/>
      <c r="P89" s="57">
        <v>1111200</v>
      </c>
      <c r="Q89" s="8">
        <f t="shared" si="47"/>
        <v>0</v>
      </c>
      <c r="R89" s="14"/>
      <c r="S89" s="58">
        <v>0</v>
      </c>
      <c r="T89" s="101">
        <v>44596</v>
      </c>
      <c r="U89" s="14" t="s">
        <v>31</v>
      </c>
      <c r="V89" s="20"/>
      <c r="W89" s="57">
        <v>1298516</v>
      </c>
      <c r="X89" s="57">
        <f t="shared" si="48"/>
        <v>-187316</v>
      </c>
      <c r="Y89" s="14"/>
      <c r="Z89" s="58">
        <f>X89/P89</f>
        <v>-0.16857091432685384</v>
      </c>
      <c r="AA89" s="101">
        <v>44624</v>
      </c>
      <c r="AB89" s="14" t="s">
        <v>31</v>
      </c>
      <c r="AC89" s="20"/>
      <c r="AD89" s="57">
        <v>1173620</v>
      </c>
      <c r="AE89" s="57">
        <f t="shared" si="49"/>
        <v>124896</v>
      </c>
      <c r="AF89" s="57"/>
      <c r="AG89" s="57"/>
      <c r="AH89" s="108">
        <f>AE89/W89</f>
        <v>9.6183643482252043E-2</v>
      </c>
      <c r="AI89" s="120">
        <v>44656</v>
      </c>
      <c r="AJ89" s="57" t="s">
        <v>31</v>
      </c>
      <c r="AK89" s="14"/>
      <c r="AL89" s="57">
        <v>1173620</v>
      </c>
      <c r="AM89" s="57">
        <f>AD89-AL89</f>
        <v>0</v>
      </c>
      <c r="AN89" s="57"/>
      <c r="AO89" s="57"/>
      <c r="AP89" s="58">
        <v>0</v>
      </c>
      <c r="AQ89" s="101">
        <v>44683</v>
      </c>
      <c r="AR89" s="14" t="s">
        <v>31</v>
      </c>
      <c r="AS89" s="14"/>
      <c r="AT89" s="57">
        <v>1173620</v>
      </c>
      <c r="AU89" s="57">
        <f>AL89-AT89</f>
        <v>0</v>
      </c>
      <c r="AV89" s="57"/>
      <c r="AW89" s="57"/>
      <c r="AX89" s="58">
        <v>0</v>
      </c>
      <c r="AY89" s="120">
        <v>44715</v>
      </c>
      <c r="AZ89" s="57" t="s">
        <v>31</v>
      </c>
      <c r="BA89" s="120">
        <v>44728</v>
      </c>
      <c r="BB89" s="57">
        <v>1173620</v>
      </c>
      <c r="BC89" s="57">
        <f t="shared" si="50"/>
        <v>0</v>
      </c>
      <c r="BD89" s="57"/>
      <c r="BE89" s="57"/>
      <c r="BF89" s="58">
        <v>0</v>
      </c>
      <c r="BG89" s="101">
        <v>44748</v>
      </c>
      <c r="BH89" s="14" t="s">
        <v>31</v>
      </c>
      <c r="BI89" s="101">
        <v>44757</v>
      </c>
      <c r="BJ89" s="57">
        <v>1173620</v>
      </c>
      <c r="BK89" s="57">
        <f>BB89-BJ89</f>
        <v>0</v>
      </c>
      <c r="BL89" s="57"/>
      <c r="BM89" s="57"/>
      <c r="BN89" s="58">
        <v>0</v>
      </c>
      <c r="BO89" s="101">
        <v>44775</v>
      </c>
      <c r="BP89" s="14" t="s">
        <v>31</v>
      </c>
      <c r="BQ89" s="14"/>
      <c r="BR89" s="57"/>
      <c r="BS89" s="57"/>
      <c r="BT89" s="57"/>
      <c r="BU89" s="57"/>
      <c r="BV89" s="58"/>
      <c r="BW89" s="101"/>
      <c r="BX89" s="14"/>
      <c r="BY89" s="14"/>
      <c r="BZ89" s="57"/>
      <c r="CA89" s="57"/>
      <c r="CB89" s="57"/>
      <c r="CC89" s="57"/>
      <c r="CD89" s="58"/>
      <c r="CE89" s="101"/>
      <c r="CF89" s="14"/>
      <c r="CG89" s="14"/>
      <c r="CH89" s="57"/>
      <c r="CI89" s="57"/>
      <c r="CJ89" s="57"/>
      <c r="CK89" s="57"/>
      <c r="CL89" s="58"/>
      <c r="CM89" s="101"/>
      <c r="CN89" s="14"/>
      <c r="CO89" s="14"/>
      <c r="CP89" s="57"/>
      <c r="CQ89" s="57"/>
      <c r="CR89" s="57"/>
      <c r="CS89" s="57"/>
      <c r="CT89" s="58"/>
      <c r="CU89" s="101"/>
      <c r="CV89" s="14"/>
      <c r="CW89" s="14"/>
    </row>
    <row r="90" spans="1:101" hidden="1" x14ac:dyDescent="0.35">
      <c r="A90" s="1" t="s">
        <v>460</v>
      </c>
      <c r="B90" s="26" t="s">
        <v>771</v>
      </c>
      <c r="C90" s="24" t="s">
        <v>772</v>
      </c>
      <c r="D90" s="22">
        <v>204629</v>
      </c>
      <c r="E90" s="18" t="s">
        <v>773</v>
      </c>
      <c r="F90" s="19" t="s">
        <v>774</v>
      </c>
      <c r="G90" s="57">
        <v>2614301</v>
      </c>
      <c r="H90" s="39">
        <v>2477711</v>
      </c>
      <c r="I90" s="57">
        <v>2559400</v>
      </c>
      <c r="J90" s="8">
        <f t="shared" ref="J90:J95" si="51">H90-I90</f>
        <v>-81689</v>
      </c>
      <c r="K90" s="14"/>
      <c r="L90" s="58">
        <f>J90/G90</f>
        <v>-3.1246975769048783E-2</v>
      </c>
      <c r="M90" s="123" t="s">
        <v>31</v>
      </c>
      <c r="N90" s="123">
        <v>44565</v>
      </c>
      <c r="O90" s="20"/>
      <c r="P90" s="57">
        <v>2559400</v>
      </c>
      <c r="Q90" s="8">
        <f t="shared" si="47"/>
        <v>0</v>
      </c>
      <c r="R90" s="14"/>
      <c r="S90" s="58">
        <v>0</v>
      </c>
      <c r="T90" s="101">
        <v>44593</v>
      </c>
      <c r="U90" s="14" t="s">
        <v>31</v>
      </c>
      <c r="V90" s="20"/>
      <c r="W90" s="57">
        <v>2614301</v>
      </c>
      <c r="X90" s="57">
        <f t="shared" si="48"/>
        <v>-54901</v>
      </c>
      <c r="Y90" s="57"/>
      <c r="Z90" s="58">
        <f>X90/P90</f>
        <v>-2.145073063999375E-2</v>
      </c>
      <c r="AA90" s="131">
        <v>44622</v>
      </c>
      <c r="AB90" s="14" t="s">
        <v>31</v>
      </c>
      <c r="AC90" s="20"/>
      <c r="AD90" s="57">
        <v>2614301</v>
      </c>
      <c r="AE90" s="57">
        <f t="shared" si="49"/>
        <v>0</v>
      </c>
      <c r="AF90" s="57"/>
      <c r="AG90" s="57"/>
      <c r="AH90" s="58">
        <v>0</v>
      </c>
      <c r="AI90" s="120">
        <v>44658</v>
      </c>
      <c r="AJ90" s="57" t="s">
        <v>31</v>
      </c>
      <c r="AK90" s="14"/>
      <c r="AL90" s="57">
        <v>2614301</v>
      </c>
      <c r="AM90" s="57">
        <f>AD90-AL90</f>
        <v>0</v>
      </c>
      <c r="AN90" s="57"/>
      <c r="AO90" s="57"/>
      <c r="AP90" s="58">
        <v>0</v>
      </c>
      <c r="AQ90" s="101">
        <v>44684</v>
      </c>
      <c r="AR90" s="14" t="s">
        <v>31</v>
      </c>
      <c r="AS90" s="14"/>
      <c r="AT90" s="57">
        <v>2614301</v>
      </c>
      <c r="AU90" s="57">
        <f>AL90-AT90</f>
        <v>0</v>
      </c>
      <c r="AV90" s="57"/>
      <c r="AW90" s="57"/>
      <c r="AX90" s="58">
        <v>0</v>
      </c>
      <c r="AY90" s="120">
        <v>44719</v>
      </c>
      <c r="AZ90" s="57" t="s">
        <v>31</v>
      </c>
      <c r="BA90" s="120">
        <v>44736</v>
      </c>
      <c r="BB90" s="57">
        <v>2614301</v>
      </c>
      <c r="BC90" s="57">
        <f t="shared" si="50"/>
        <v>0</v>
      </c>
      <c r="BD90" s="57"/>
      <c r="BE90" s="57"/>
      <c r="BF90" s="58">
        <v>0</v>
      </c>
      <c r="BG90" s="101">
        <v>44748</v>
      </c>
      <c r="BH90" s="14" t="s">
        <v>31</v>
      </c>
      <c r="BI90" s="101">
        <v>44757</v>
      </c>
      <c r="BJ90" s="57">
        <v>2614301</v>
      </c>
      <c r="BK90" s="57">
        <f>BB90-BJ90</f>
        <v>0</v>
      </c>
      <c r="BL90" s="57"/>
      <c r="BM90" s="57"/>
      <c r="BN90" s="58">
        <v>0</v>
      </c>
      <c r="BO90" s="101">
        <v>44775</v>
      </c>
      <c r="BP90" s="14" t="s">
        <v>31</v>
      </c>
      <c r="BQ90" s="14"/>
      <c r="BR90" s="57"/>
      <c r="BS90" s="57"/>
      <c r="BT90" s="57"/>
      <c r="BU90" s="57"/>
      <c r="BV90" s="58"/>
      <c r="BW90" s="101"/>
      <c r="BX90" s="14"/>
      <c r="BY90" s="14"/>
      <c r="BZ90" s="57"/>
      <c r="CA90" s="57"/>
      <c r="CB90" s="57"/>
      <c r="CC90" s="57"/>
      <c r="CD90" s="58"/>
      <c r="CE90" s="101"/>
      <c r="CF90" s="14"/>
      <c r="CG90" s="14"/>
      <c r="CH90" s="57"/>
      <c r="CI90" s="57"/>
      <c r="CJ90" s="57"/>
      <c r="CK90" s="57"/>
      <c r="CL90" s="58"/>
      <c r="CM90" s="101"/>
      <c r="CN90" s="14"/>
      <c r="CO90" s="14"/>
      <c r="CP90" s="57"/>
      <c r="CQ90" s="57"/>
      <c r="CR90" s="57"/>
      <c r="CS90" s="57"/>
      <c r="CT90" s="58"/>
      <c r="CU90" s="101"/>
      <c r="CV90" s="14"/>
      <c r="CW90" s="14"/>
    </row>
    <row r="91" spans="1:101" hidden="1" x14ac:dyDescent="0.35">
      <c r="A91" s="1" t="s">
        <v>464</v>
      </c>
      <c r="B91" s="26" t="s">
        <v>775</v>
      </c>
      <c r="C91" s="24">
        <v>6717</v>
      </c>
      <c r="D91" s="22">
        <v>204625</v>
      </c>
      <c r="E91" s="18" t="s">
        <v>758</v>
      </c>
      <c r="F91" s="19" t="s">
        <v>759</v>
      </c>
      <c r="G91" s="57">
        <v>797315</v>
      </c>
      <c r="H91" s="39">
        <v>754890</v>
      </c>
      <c r="I91" s="57">
        <v>830908</v>
      </c>
      <c r="J91" s="8">
        <f t="shared" si="51"/>
        <v>-76018</v>
      </c>
      <c r="K91" s="14"/>
      <c r="L91" s="58">
        <f>J91/H91</f>
        <v>-0.10070076434977282</v>
      </c>
      <c r="M91" s="3" t="s">
        <v>31</v>
      </c>
      <c r="N91" s="123">
        <v>44567</v>
      </c>
      <c r="O91" s="20"/>
      <c r="P91" s="57">
        <v>830908</v>
      </c>
      <c r="Q91" s="8">
        <f t="shared" si="47"/>
        <v>0</v>
      </c>
      <c r="R91" s="14"/>
      <c r="S91" s="58">
        <v>0</v>
      </c>
      <c r="T91" s="131">
        <v>44594</v>
      </c>
      <c r="U91" s="14" t="s">
        <v>31</v>
      </c>
      <c r="V91" s="20"/>
      <c r="W91" s="57">
        <v>830908</v>
      </c>
      <c r="X91" s="57">
        <f t="shared" si="48"/>
        <v>0</v>
      </c>
      <c r="Y91" s="14"/>
      <c r="Z91" s="58">
        <v>0</v>
      </c>
      <c r="AA91" s="101">
        <v>44624</v>
      </c>
      <c r="AB91" s="14" t="s">
        <v>31</v>
      </c>
      <c r="AC91" s="20"/>
      <c r="AD91" s="57">
        <v>797315</v>
      </c>
      <c r="AE91" s="57">
        <f t="shared" si="49"/>
        <v>33593</v>
      </c>
      <c r="AF91" s="57"/>
      <c r="AG91" s="57"/>
      <c r="AH91" s="58">
        <f>AE91/W91</f>
        <v>4.0429265333827569E-2</v>
      </c>
      <c r="AI91" s="120">
        <v>44656</v>
      </c>
      <c r="AJ91" s="57" t="s">
        <v>31</v>
      </c>
      <c r="AK91" s="14"/>
      <c r="AL91" s="57">
        <v>797315</v>
      </c>
      <c r="AM91" s="57">
        <f>AD91-AL91</f>
        <v>0</v>
      </c>
      <c r="AN91" s="57"/>
      <c r="AO91" s="57"/>
      <c r="AP91" s="58">
        <v>0</v>
      </c>
      <c r="AQ91" s="101">
        <v>44686</v>
      </c>
      <c r="AR91" s="14" t="s">
        <v>31</v>
      </c>
      <c r="AS91" s="14"/>
      <c r="AT91" s="57">
        <v>797315</v>
      </c>
      <c r="AU91" s="57">
        <f>AL91-AT91</f>
        <v>0</v>
      </c>
      <c r="AV91" s="57"/>
      <c r="AW91" s="57"/>
      <c r="AX91" s="58">
        <v>0</v>
      </c>
      <c r="AY91" s="120">
        <v>44715</v>
      </c>
      <c r="AZ91" s="57" t="s">
        <v>31</v>
      </c>
      <c r="BA91" s="120">
        <v>44728</v>
      </c>
      <c r="BB91" s="57">
        <v>797315</v>
      </c>
      <c r="BC91" s="57">
        <f t="shared" si="50"/>
        <v>0</v>
      </c>
      <c r="BD91" s="57"/>
      <c r="BE91" s="57"/>
      <c r="BF91" s="58">
        <v>0</v>
      </c>
      <c r="BG91" s="101">
        <v>44749</v>
      </c>
      <c r="BH91" s="14" t="s">
        <v>31</v>
      </c>
      <c r="BI91" s="101">
        <v>44768</v>
      </c>
      <c r="BJ91" s="57">
        <v>797315</v>
      </c>
      <c r="BK91" s="57">
        <f>BB91-BJ91</f>
        <v>0</v>
      </c>
      <c r="BL91" s="57"/>
      <c r="BM91" s="57"/>
      <c r="BN91" s="58">
        <v>0</v>
      </c>
      <c r="BO91" s="101">
        <v>44776</v>
      </c>
      <c r="BP91" s="14" t="s">
        <v>31</v>
      </c>
      <c r="BQ91" s="14"/>
      <c r="BR91" s="212"/>
      <c r="BS91" s="218"/>
      <c r="BT91" s="218"/>
      <c r="BU91" s="218"/>
      <c r="BV91" s="218"/>
      <c r="BW91" s="218"/>
      <c r="BX91" s="218"/>
      <c r="BY91" s="213"/>
      <c r="BZ91" s="57"/>
      <c r="CA91" s="57"/>
      <c r="CB91" s="57"/>
      <c r="CC91" s="57"/>
      <c r="CD91" s="58"/>
      <c r="CE91" s="101"/>
      <c r="CF91" s="14"/>
      <c r="CG91" s="14"/>
      <c r="CH91" s="57"/>
      <c r="CI91" s="57"/>
      <c r="CJ91" s="57"/>
      <c r="CK91" s="57"/>
      <c r="CL91" s="58"/>
      <c r="CM91" s="101"/>
      <c r="CN91" s="14"/>
      <c r="CO91" s="14"/>
      <c r="CP91" s="57"/>
      <c r="CQ91" s="57"/>
      <c r="CR91" s="57"/>
      <c r="CS91" s="57"/>
      <c r="CT91" s="58"/>
      <c r="CU91" s="101"/>
      <c r="CV91" s="14"/>
      <c r="CW91" s="14"/>
    </row>
    <row r="92" spans="1:101" hidden="1" x14ac:dyDescent="0.35">
      <c r="A92" s="1" t="s">
        <v>467</v>
      </c>
      <c r="B92" s="26" t="s">
        <v>776</v>
      </c>
      <c r="C92" s="24">
        <v>6718</v>
      </c>
      <c r="D92" s="22">
        <v>204577</v>
      </c>
      <c r="E92" s="18" t="s">
        <v>777</v>
      </c>
      <c r="F92" s="19" t="s">
        <v>778</v>
      </c>
      <c r="G92" s="57">
        <v>1291000</v>
      </c>
      <c r="H92" s="39">
        <v>1174000</v>
      </c>
      <c r="I92" s="57">
        <v>1291000</v>
      </c>
      <c r="J92" s="8">
        <f t="shared" si="51"/>
        <v>-117000</v>
      </c>
      <c r="K92" s="14"/>
      <c r="L92" s="58">
        <f>J92/H92</f>
        <v>-9.9659284497444628E-2</v>
      </c>
      <c r="M92" s="3" t="s">
        <v>31</v>
      </c>
      <c r="N92" s="123">
        <v>44578</v>
      </c>
      <c r="O92" s="20"/>
      <c r="P92" s="57">
        <v>1291000</v>
      </c>
      <c r="Q92" s="8">
        <f t="shared" si="47"/>
        <v>0</v>
      </c>
      <c r="R92" s="14"/>
      <c r="S92" s="58">
        <v>0</v>
      </c>
      <c r="T92" s="131">
        <v>44608</v>
      </c>
      <c r="U92" s="14" t="s">
        <v>31</v>
      </c>
      <c r="V92" s="20"/>
      <c r="W92" s="57">
        <v>1291000</v>
      </c>
      <c r="X92" s="57">
        <f t="shared" si="48"/>
        <v>0</v>
      </c>
      <c r="Y92" s="14"/>
      <c r="Z92" s="58">
        <v>0</v>
      </c>
      <c r="AA92" s="101">
        <v>44624</v>
      </c>
      <c r="AB92" s="14" t="s">
        <v>31</v>
      </c>
      <c r="AC92" s="20"/>
      <c r="AD92" s="57">
        <v>1291000</v>
      </c>
      <c r="AE92" s="57">
        <f t="shared" si="49"/>
        <v>0</v>
      </c>
      <c r="AF92" s="57"/>
      <c r="AG92" s="57"/>
      <c r="AH92" s="58">
        <v>0</v>
      </c>
      <c r="AI92" s="120">
        <v>44659</v>
      </c>
      <c r="AJ92" s="57" t="s">
        <v>31</v>
      </c>
      <c r="AK92" s="14"/>
      <c r="AL92" s="57">
        <v>851600</v>
      </c>
      <c r="AM92" s="57">
        <f>AD92-AL92</f>
        <v>439400</v>
      </c>
      <c r="AN92" s="57"/>
      <c r="AO92" s="57"/>
      <c r="AP92" s="58">
        <f>AM92/AD92</f>
        <v>0.34035631293570873</v>
      </c>
      <c r="AQ92" s="101">
        <v>44713</v>
      </c>
      <c r="AR92" s="14" t="s">
        <v>31</v>
      </c>
      <c r="AS92" s="14"/>
      <c r="AT92" s="57">
        <v>1291000</v>
      </c>
      <c r="AU92" s="57">
        <f>AD92-AT92</f>
        <v>0</v>
      </c>
      <c r="AV92" s="57"/>
      <c r="AW92" s="57"/>
      <c r="AX92" s="58">
        <v>0</v>
      </c>
      <c r="AY92" s="120">
        <v>44718</v>
      </c>
      <c r="AZ92" s="57" t="s">
        <v>31</v>
      </c>
      <c r="BA92" s="120">
        <v>44728</v>
      </c>
      <c r="BB92" s="57">
        <v>1291000</v>
      </c>
      <c r="BC92" s="57">
        <f t="shared" si="50"/>
        <v>0</v>
      </c>
      <c r="BD92" s="57"/>
      <c r="BE92" s="57"/>
      <c r="BF92" s="58">
        <v>0</v>
      </c>
      <c r="BG92" s="101">
        <v>44750</v>
      </c>
      <c r="BH92" s="14" t="s">
        <v>31</v>
      </c>
      <c r="BI92" s="101">
        <v>44768</v>
      </c>
      <c r="BJ92" s="57"/>
      <c r="BK92" s="57"/>
      <c r="BL92" s="57"/>
      <c r="BM92" s="57"/>
      <c r="BN92" s="58"/>
      <c r="BO92" s="101"/>
      <c r="BP92" s="14"/>
      <c r="BQ92" s="14"/>
      <c r="BR92" s="57"/>
      <c r="BS92" s="57"/>
      <c r="BT92" s="57"/>
      <c r="BU92" s="57"/>
      <c r="BV92" s="58"/>
      <c r="BW92" s="101"/>
      <c r="BX92" s="14"/>
      <c r="BY92" s="14"/>
      <c r="BZ92" s="57"/>
      <c r="CA92" s="57"/>
      <c r="CB92" s="57"/>
      <c r="CC92" s="57"/>
      <c r="CD92" s="58"/>
      <c r="CE92" s="101"/>
      <c r="CF92" s="14"/>
      <c r="CG92" s="14"/>
      <c r="CH92" s="57"/>
      <c r="CI92" s="57"/>
      <c r="CJ92" s="57"/>
      <c r="CK92" s="57"/>
      <c r="CL92" s="58"/>
      <c r="CM92" s="101"/>
      <c r="CN92" s="14"/>
      <c r="CO92" s="14"/>
      <c r="CP92" s="57"/>
      <c r="CQ92" s="57"/>
      <c r="CR92" s="57"/>
      <c r="CS92" s="57"/>
      <c r="CT92" s="58"/>
      <c r="CU92" s="101"/>
      <c r="CV92" s="14"/>
      <c r="CW92" s="14"/>
    </row>
    <row r="93" spans="1:101" hidden="1" x14ac:dyDescent="0.35">
      <c r="A93" s="1" t="s">
        <v>473</v>
      </c>
      <c r="B93" s="26" t="s">
        <v>779</v>
      </c>
      <c r="C93" s="24">
        <v>6759</v>
      </c>
      <c r="D93" s="22">
        <v>204601</v>
      </c>
      <c r="E93" s="18" t="s">
        <v>780</v>
      </c>
      <c r="F93" s="19" t="s">
        <v>781</v>
      </c>
      <c r="G93" s="57">
        <v>2624530</v>
      </c>
      <c r="H93" s="39">
        <v>2407388</v>
      </c>
      <c r="I93" s="57">
        <v>2624530</v>
      </c>
      <c r="J93" s="8">
        <f t="shared" si="51"/>
        <v>-217142</v>
      </c>
      <c r="K93" s="14"/>
      <c r="L93" s="58">
        <f>J93/G93</f>
        <v>-8.2735575512567966E-2</v>
      </c>
      <c r="M93" s="123" t="s">
        <v>31</v>
      </c>
      <c r="N93" s="123">
        <v>44565</v>
      </c>
      <c r="O93" s="20"/>
      <c r="P93" s="57">
        <v>2624530</v>
      </c>
      <c r="Q93" s="8">
        <f t="shared" si="47"/>
        <v>0</v>
      </c>
      <c r="R93" s="14"/>
      <c r="S93" s="58">
        <v>0</v>
      </c>
      <c r="T93" s="101">
        <v>44593</v>
      </c>
      <c r="U93" s="14" t="s">
        <v>31</v>
      </c>
      <c r="V93" s="20"/>
      <c r="W93" s="57">
        <v>2624530</v>
      </c>
      <c r="X93" s="57">
        <f t="shared" si="48"/>
        <v>0</v>
      </c>
      <c r="Y93" s="14"/>
      <c r="Z93" s="58">
        <v>0</v>
      </c>
      <c r="AA93" s="131">
        <v>44621</v>
      </c>
      <c r="AB93" s="14" t="s">
        <v>31</v>
      </c>
      <c r="AC93" s="20"/>
      <c r="AD93" s="57">
        <v>2624530</v>
      </c>
      <c r="AE93" s="57">
        <f t="shared" si="49"/>
        <v>0</v>
      </c>
      <c r="AF93" s="57"/>
      <c r="AG93" s="57"/>
      <c r="AH93" s="58">
        <v>0</v>
      </c>
      <c r="AI93" s="120">
        <v>44658</v>
      </c>
      <c r="AJ93" s="57" t="s">
        <v>31</v>
      </c>
      <c r="AK93" s="14"/>
      <c r="AL93" s="57">
        <v>2624530</v>
      </c>
      <c r="AM93" s="57">
        <f t="shared" ref="AM93:AM98" si="52">AD93-AL93</f>
        <v>0</v>
      </c>
      <c r="AN93" s="57"/>
      <c r="AO93" s="57"/>
      <c r="AP93" s="58">
        <v>0</v>
      </c>
      <c r="AQ93" s="101">
        <v>44684</v>
      </c>
      <c r="AR93" s="14" t="s">
        <v>31</v>
      </c>
      <c r="AS93" s="14"/>
      <c r="AT93" s="57">
        <v>2624530</v>
      </c>
      <c r="AU93" s="57">
        <f>AL93-AT93</f>
        <v>0</v>
      </c>
      <c r="AV93" s="57"/>
      <c r="AW93" s="57"/>
      <c r="AX93" s="58">
        <v>0</v>
      </c>
      <c r="AY93" s="120">
        <v>44719</v>
      </c>
      <c r="AZ93" s="57" t="s">
        <v>31</v>
      </c>
      <c r="BA93" s="120">
        <v>44736</v>
      </c>
      <c r="BB93" s="57">
        <v>2624530</v>
      </c>
      <c r="BC93" s="57">
        <f t="shared" si="50"/>
        <v>0</v>
      </c>
      <c r="BD93" s="57"/>
      <c r="BE93" s="57"/>
      <c r="BF93" s="58">
        <v>0</v>
      </c>
      <c r="BG93" s="101">
        <v>44743</v>
      </c>
      <c r="BH93" s="14" t="s">
        <v>31</v>
      </c>
      <c r="BI93" s="101">
        <v>44757</v>
      </c>
      <c r="BJ93" s="57">
        <v>2624530</v>
      </c>
      <c r="BK93" s="57">
        <f t="shared" ref="BK93:BK98" si="53">BB93-BJ93</f>
        <v>0</v>
      </c>
      <c r="BL93" s="57"/>
      <c r="BM93" s="57"/>
      <c r="BN93" s="58">
        <v>0</v>
      </c>
      <c r="BO93" s="101">
        <v>44775</v>
      </c>
      <c r="BP93" s="14" t="s">
        <v>31</v>
      </c>
      <c r="BQ93" s="14"/>
      <c r="BR93" s="57"/>
      <c r="BS93" s="57"/>
      <c r="BT93" s="57"/>
      <c r="BU93" s="57"/>
      <c r="BV93" s="58"/>
      <c r="BW93" s="101"/>
      <c r="BX93" s="14"/>
      <c r="BY93" s="14"/>
      <c r="BZ93" s="57"/>
      <c r="CA93" s="57"/>
      <c r="CB93" s="57"/>
      <c r="CC93" s="57"/>
      <c r="CD93" s="58"/>
      <c r="CE93" s="101"/>
      <c r="CF93" s="14"/>
      <c r="CG93" s="14"/>
      <c r="CH93" s="57"/>
      <c r="CI93" s="57"/>
      <c r="CJ93" s="57"/>
      <c r="CK93" s="57"/>
      <c r="CL93" s="58"/>
      <c r="CM93" s="101"/>
      <c r="CN93" s="14"/>
      <c r="CO93" s="14"/>
      <c r="CP93" s="57"/>
      <c r="CQ93" s="57"/>
      <c r="CR93" s="57"/>
      <c r="CS93" s="57"/>
      <c r="CT93" s="58"/>
      <c r="CU93" s="101"/>
      <c r="CV93" s="14"/>
      <c r="CW93" s="14"/>
    </row>
    <row r="94" spans="1:101" hidden="1" x14ac:dyDescent="0.35">
      <c r="A94" s="1" t="s">
        <v>476</v>
      </c>
      <c r="B94" s="26" t="s">
        <v>782</v>
      </c>
      <c r="C94" s="24">
        <v>6760</v>
      </c>
      <c r="D94" s="22">
        <v>204544</v>
      </c>
      <c r="E94" s="18" t="s">
        <v>783</v>
      </c>
      <c r="F94" s="19" t="s">
        <v>784</v>
      </c>
      <c r="G94" s="57">
        <v>1699585</v>
      </c>
      <c r="H94" s="39">
        <v>1510742</v>
      </c>
      <c r="I94" s="57">
        <v>1699585</v>
      </c>
      <c r="J94" s="8">
        <f>H94-I94</f>
        <v>-188843</v>
      </c>
      <c r="K94" s="14"/>
      <c r="L94" s="58">
        <f>J94/H94</f>
        <v>-0.12500016548159779</v>
      </c>
      <c r="M94" s="3" t="s">
        <v>31</v>
      </c>
      <c r="N94" s="123">
        <v>44567</v>
      </c>
      <c r="O94" s="20"/>
      <c r="P94" s="57">
        <v>1699585</v>
      </c>
      <c r="Q94" s="8">
        <f t="shared" si="47"/>
        <v>0</v>
      </c>
      <c r="R94" s="14"/>
      <c r="S94" s="58">
        <v>0</v>
      </c>
      <c r="T94" s="101">
        <v>44596</v>
      </c>
      <c r="U94" s="14" t="s">
        <v>31</v>
      </c>
      <c r="V94" s="20"/>
      <c r="W94" s="57">
        <v>1699585</v>
      </c>
      <c r="X94" s="57">
        <f t="shared" si="48"/>
        <v>0</v>
      </c>
      <c r="Y94" s="14"/>
      <c r="Z94" s="58">
        <v>0</v>
      </c>
      <c r="AA94" s="101">
        <v>44624</v>
      </c>
      <c r="AB94" s="14" t="s">
        <v>31</v>
      </c>
      <c r="AC94" s="20"/>
      <c r="AD94" s="57">
        <v>1699585</v>
      </c>
      <c r="AE94" s="57">
        <f t="shared" si="49"/>
        <v>0</v>
      </c>
      <c r="AF94" s="57"/>
      <c r="AG94" s="57"/>
      <c r="AH94" s="58">
        <v>0</v>
      </c>
      <c r="AI94" s="120">
        <v>44656</v>
      </c>
      <c r="AJ94" s="57" t="s">
        <v>31</v>
      </c>
      <c r="AK94" s="14"/>
      <c r="AL94" s="57">
        <v>1699585</v>
      </c>
      <c r="AM94" s="57">
        <f t="shared" si="52"/>
        <v>0</v>
      </c>
      <c r="AN94" s="57"/>
      <c r="AO94" s="57"/>
      <c r="AP94" s="58">
        <v>0</v>
      </c>
      <c r="AQ94" s="101">
        <v>44684</v>
      </c>
      <c r="AR94" s="14" t="s">
        <v>31</v>
      </c>
      <c r="AS94" s="20"/>
      <c r="AT94" s="57">
        <v>1699585</v>
      </c>
      <c r="AU94" s="57">
        <f>AL94-AT94</f>
        <v>0</v>
      </c>
      <c r="AV94" s="57"/>
      <c r="AW94" s="57"/>
      <c r="AX94" s="58">
        <v>0</v>
      </c>
      <c r="AY94" s="120">
        <v>44725</v>
      </c>
      <c r="AZ94" s="57" t="s">
        <v>31</v>
      </c>
      <c r="BA94" s="120">
        <v>44755</v>
      </c>
      <c r="BB94" s="57">
        <v>1699585</v>
      </c>
      <c r="BC94" s="57">
        <f>AT94-BB94</f>
        <v>0</v>
      </c>
      <c r="BD94" s="57"/>
      <c r="BE94" s="57"/>
      <c r="BF94" s="58">
        <v>0</v>
      </c>
      <c r="BG94" s="101">
        <v>44753</v>
      </c>
      <c r="BH94" s="14" t="s">
        <v>31</v>
      </c>
      <c r="BI94" s="101">
        <v>44768</v>
      </c>
      <c r="BJ94" s="57">
        <v>1699585</v>
      </c>
      <c r="BK94" s="57">
        <f t="shared" si="53"/>
        <v>0</v>
      </c>
      <c r="BL94" s="57"/>
      <c r="BM94" s="57"/>
      <c r="BN94" s="58">
        <v>0</v>
      </c>
      <c r="BO94" s="101">
        <v>44778</v>
      </c>
      <c r="BP94" s="14" t="s">
        <v>31</v>
      </c>
      <c r="BQ94" s="14"/>
      <c r="BR94" s="212"/>
      <c r="BS94" s="218"/>
      <c r="BT94" s="218"/>
      <c r="BU94" s="218"/>
      <c r="BV94" s="218"/>
      <c r="BW94" s="218"/>
      <c r="BX94" s="218"/>
      <c r="BY94" s="213"/>
      <c r="BZ94" s="57"/>
      <c r="CA94" s="57"/>
      <c r="CB94" s="57"/>
      <c r="CC94" s="57"/>
      <c r="CD94" s="58"/>
      <c r="CE94" s="101"/>
      <c r="CF94" s="14"/>
      <c r="CG94" s="14"/>
      <c r="CH94" s="57"/>
      <c r="CI94" s="57"/>
      <c r="CJ94" s="57"/>
      <c r="CK94" s="57"/>
      <c r="CL94" s="58"/>
      <c r="CM94" s="101"/>
      <c r="CN94" s="14"/>
      <c r="CO94" s="14"/>
      <c r="CP94" s="57"/>
      <c r="CQ94" s="57"/>
      <c r="CR94" s="57"/>
      <c r="CS94" s="57"/>
      <c r="CT94" s="58"/>
      <c r="CU94" s="101"/>
      <c r="CV94" s="14"/>
      <c r="CW94" s="14"/>
    </row>
    <row r="95" spans="1:101" hidden="1" x14ac:dyDescent="0.35">
      <c r="A95" s="1" t="s">
        <v>483</v>
      </c>
      <c r="B95" s="26" t="s">
        <v>785</v>
      </c>
      <c r="C95" s="24">
        <v>6762</v>
      </c>
      <c r="D95" s="22">
        <v>204779</v>
      </c>
      <c r="E95" s="18" t="s">
        <v>485</v>
      </c>
      <c r="F95" s="19" t="s">
        <v>486</v>
      </c>
      <c r="G95" s="57">
        <v>3781389</v>
      </c>
      <c r="H95" s="39">
        <v>3580183</v>
      </c>
      <c r="I95" s="57">
        <v>3781389</v>
      </c>
      <c r="J95" s="8">
        <f t="shared" si="51"/>
        <v>-201206</v>
      </c>
      <c r="K95" s="14"/>
      <c r="L95" s="58">
        <f>J95/H95</f>
        <v>-5.6199920506856772E-2</v>
      </c>
      <c r="M95" s="3" t="s">
        <v>31</v>
      </c>
      <c r="N95" s="123">
        <v>44575</v>
      </c>
      <c r="O95" s="20"/>
      <c r="P95" s="57">
        <v>3781389</v>
      </c>
      <c r="Q95" s="8">
        <f t="shared" si="47"/>
        <v>0</v>
      </c>
      <c r="R95" s="14"/>
      <c r="S95" s="58">
        <v>0</v>
      </c>
      <c r="T95" s="101">
        <v>44593</v>
      </c>
      <c r="U95" s="14" t="s">
        <v>31</v>
      </c>
      <c r="V95" s="20"/>
      <c r="W95" s="57">
        <v>3781389</v>
      </c>
      <c r="X95" s="57">
        <f t="shared" si="48"/>
        <v>0</v>
      </c>
      <c r="Y95" s="14"/>
      <c r="Z95" s="58">
        <v>0</v>
      </c>
      <c r="AA95" s="131">
        <v>44621</v>
      </c>
      <c r="AB95" s="14" t="s">
        <v>31</v>
      </c>
      <c r="AC95" s="20"/>
      <c r="AD95" s="57">
        <v>3781389</v>
      </c>
      <c r="AE95" s="57">
        <f t="shared" si="49"/>
        <v>0</v>
      </c>
      <c r="AF95" s="57"/>
      <c r="AG95" s="57"/>
      <c r="AH95" s="58">
        <v>0</v>
      </c>
      <c r="AI95" s="120">
        <v>44655</v>
      </c>
      <c r="AJ95" s="57" t="s">
        <v>31</v>
      </c>
      <c r="AK95" s="14"/>
      <c r="AL95" s="57">
        <v>3781389</v>
      </c>
      <c r="AM95" s="57">
        <f t="shared" si="52"/>
        <v>0</v>
      </c>
      <c r="AN95" s="57"/>
      <c r="AO95" s="57"/>
      <c r="AP95" s="58">
        <v>0</v>
      </c>
      <c r="AQ95" s="101">
        <v>44686</v>
      </c>
      <c r="AR95" s="14" t="s">
        <v>31</v>
      </c>
      <c r="AS95" s="14"/>
      <c r="AT95" s="57">
        <v>3781389</v>
      </c>
      <c r="AU95" s="57">
        <f>AL95-AT95</f>
        <v>0</v>
      </c>
      <c r="AV95" s="57"/>
      <c r="AW95" s="57"/>
      <c r="AX95" s="58">
        <v>0</v>
      </c>
      <c r="AY95" s="120">
        <v>44715</v>
      </c>
      <c r="AZ95" s="57" t="s">
        <v>31</v>
      </c>
      <c r="BA95" s="120">
        <v>44728</v>
      </c>
      <c r="BB95" s="57">
        <v>3781389</v>
      </c>
      <c r="BC95" s="57">
        <f>AT95-BB95</f>
        <v>0</v>
      </c>
      <c r="BD95" s="57"/>
      <c r="BE95" s="57"/>
      <c r="BF95" s="58">
        <v>0</v>
      </c>
      <c r="BG95" s="101">
        <v>44747</v>
      </c>
      <c r="BH95" s="14" t="s">
        <v>31</v>
      </c>
      <c r="BI95" s="101">
        <v>44757</v>
      </c>
      <c r="BJ95" s="57">
        <v>3781389</v>
      </c>
      <c r="BK95" s="57">
        <f t="shared" si="53"/>
        <v>0</v>
      </c>
      <c r="BL95" s="57"/>
      <c r="BM95" s="57"/>
      <c r="BN95" s="58">
        <v>0</v>
      </c>
      <c r="BO95" s="101">
        <v>44777</v>
      </c>
      <c r="BP95" s="14" t="s">
        <v>31</v>
      </c>
      <c r="BQ95" s="14"/>
      <c r="BR95" s="57"/>
      <c r="BS95" s="57"/>
      <c r="BT95" s="57"/>
      <c r="BU95" s="57"/>
      <c r="BV95" s="58"/>
      <c r="BW95" s="101"/>
      <c r="BX95" s="14"/>
      <c r="BY95" s="14"/>
      <c r="BZ95" s="57"/>
      <c r="CA95" s="57"/>
      <c r="CB95" s="57"/>
      <c r="CC95" s="57"/>
      <c r="CD95" s="58"/>
      <c r="CE95" s="101"/>
      <c r="CF95" s="14"/>
      <c r="CG95" s="14"/>
      <c r="CH95" s="57"/>
      <c r="CI95" s="57"/>
      <c r="CJ95" s="57"/>
      <c r="CK95" s="57"/>
      <c r="CL95" s="58"/>
      <c r="CM95" s="101"/>
      <c r="CN95" s="14"/>
      <c r="CO95" s="14"/>
      <c r="CP95" s="57"/>
      <c r="CQ95" s="57"/>
      <c r="CR95" s="57"/>
      <c r="CS95" s="57"/>
      <c r="CT95" s="58"/>
      <c r="CU95" s="101"/>
      <c r="CV95" s="14"/>
      <c r="CW95" s="14"/>
    </row>
    <row r="96" spans="1:101" hidden="1" x14ac:dyDescent="0.35">
      <c r="A96" s="1" t="s">
        <v>487</v>
      </c>
      <c r="B96" s="26" t="s">
        <v>786</v>
      </c>
      <c r="C96" s="24">
        <v>6763</v>
      </c>
      <c r="D96" s="22">
        <v>205766</v>
      </c>
      <c r="E96" s="18" t="s">
        <v>787</v>
      </c>
      <c r="F96" s="19" t="s">
        <v>788</v>
      </c>
      <c r="G96" s="39">
        <v>1825921</v>
      </c>
      <c r="H96" s="39">
        <v>1825921</v>
      </c>
      <c r="I96" s="57">
        <f>919442+906479</f>
        <v>1825921</v>
      </c>
      <c r="J96" s="8">
        <f>G96-I96</f>
        <v>0</v>
      </c>
      <c r="K96" s="14"/>
      <c r="L96" s="58">
        <v>0</v>
      </c>
      <c r="M96" s="3" t="s">
        <v>31</v>
      </c>
      <c r="N96" s="123">
        <v>44566</v>
      </c>
      <c r="O96" s="20"/>
      <c r="P96" s="57">
        <f>919442+906479</f>
        <v>1825921</v>
      </c>
      <c r="Q96" s="8">
        <f t="shared" si="47"/>
        <v>0</v>
      </c>
      <c r="R96" s="57">
        <f>91944+90648</f>
        <v>182592</v>
      </c>
      <c r="S96" s="58">
        <v>0</v>
      </c>
      <c r="T96" s="131">
        <v>44620</v>
      </c>
      <c r="U96" s="14" t="s">
        <v>31</v>
      </c>
      <c r="V96" s="20"/>
      <c r="W96" s="57">
        <f>919442+906479</f>
        <v>1825921</v>
      </c>
      <c r="X96" s="57">
        <f>P96-W96</f>
        <v>0</v>
      </c>
      <c r="Y96" s="57"/>
      <c r="Z96" s="58">
        <v>0</v>
      </c>
      <c r="AA96" s="101">
        <v>44627</v>
      </c>
      <c r="AB96" s="14" t="s">
        <v>31</v>
      </c>
      <c r="AC96" s="20"/>
      <c r="AD96" s="57">
        <f>919442+906479</f>
        <v>1825921</v>
      </c>
      <c r="AE96" s="57">
        <f t="shared" si="49"/>
        <v>0</v>
      </c>
      <c r="AF96" s="57"/>
      <c r="AG96" s="57">
        <f>27193+27583+91944+90648</f>
        <v>237368</v>
      </c>
      <c r="AH96" s="58">
        <v>0</v>
      </c>
      <c r="AI96" s="120">
        <v>44683</v>
      </c>
      <c r="AJ96" s="57" t="s">
        <v>31</v>
      </c>
      <c r="AK96" s="14"/>
      <c r="AL96" s="57">
        <f>919442+906479</f>
        <v>1825921</v>
      </c>
      <c r="AM96" s="57">
        <f t="shared" si="52"/>
        <v>0</v>
      </c>
      <c r="AN96" s="57"/>
      <c r="AO96" s="57">
        <f>91944+90648</f>
        <v>182592</v>
      </c>
      <c r="AP96" s="58">
        <v>0</v>
      </c>
      <c r="AQ96" s="101">
        <v>44712</v>
      </c>
      <c r="AR96" s="14" t="s">
        <v>31</v>
      </c>
      <c r="AS96" s="14"/>
      <c r="AT96" s="57">
        <f>906479+919442</f>
        <v>1825921</v>
      </c>
      <c r="AU96" s="57">
        <f>AL96-AT96</f>
        <v>0</v>
      </c>
      <c r="AV96" s="57"/>
      <c r="AW96" s="57">
        <f>91944+90648</f>
        <v>182592</v>
      </c>
      <c r="AX96" s="58">
        <v>0</v>
      </c>
      <c r="AY96" s="120">
        <v>44715</v>
      </c>
      <c r="AZ96" s="57" t="s">
        <v>31</v>
      </c>
      <c r="BA96" s="120">
        <v>44728</v>
      </c>
      <c r="BB96" s="57">
        <f>906479+919442</f>
        <v>1825921</v>
      </c>
      <c r="BC96" s="57">
        <f>AT96-BB96</f>
        <v>0</v>
      </c>
      <c r="BD96" s="57"/>
      <c r="BE96" s="57">
        <f>90648+91944</f>
        <v>182592</v>
      </c>
      <c r="BF96" s="58">
        <v>0</v>
      </c>
      <c r="BG96" s="101">
        <v>44747</v>
      </c>
      <c r="BH96" s="14" t="s">
        <v>31</v>
      </c>
      <c r="BI96" s="101">
        <v>44757</v>
      </c>
      <c r="BJ96" s="57">
        <f>919442+906479</f>
        <v>1825921</v>
      </c>
      <c r="BK96" s="57">
        <f t="shared" si="53"/>
        <v>0</v>
      </c>
      <c r="BL96" s="57"/>
      <c r="BM96" s="57"/>
      <c r="BN96" s="58">
        <v>0</v>
      </c>
      <c r="BO96" s="101">
        <v>44778</v>
      </c>
      <c r="BP96" s="14" t="s">
        <v>31</v>
      </c>
      <c r="BQ96" s="14"/>
      <c r="BR96" s="57"/>
      <c r="BS96" s="57"/>
      <c r="BT96" s="57"/>
      <c r="BU96" s="57"/>
      <c r="BV96" s="58"/>
      <c r="BW96" s="101"/>
      <c r="BX96" s="14"/>
      <c r="BY96" s="14"/>
      <c r="BZ96" s="57"/>
      <c r="CA96" s="57"/>
      <c r="CB96" s="57"/>
      <c r="CC96" s="57"/>
      <c r="CD96" s="58"/>
      <c r="CE96" s="101"/>
      <c r="CF96" s="14"/>
      <c r="CG96" s="14"/>
      <c r="CH96" s="57"/>
      <c r="CI96" s="57"/>
      <c r="CJ96" s="57"/>
      <c r="CK96" s="57"/>
      <c r="CL96" s="58"/>
      <c r="CM96" s="101"/>
      <c r="CN96" s="14"/>
      <c r="CO96" s="14"/>
      <c r="CP96" s="57"/>
      <c r="CQ96" s="57"/>
      <c r="CR96" s="57"/>
      <c r="CS96" s="57"/>
      <c r="CT96" s="58"/>
      <c r="CU96" s="101"/>
      <c r="CV96" s="14"/>
      <c r="CW96" s="14"/>
    </row>
    <row r="97" spans="1:101" hidden="1" x14ac:dyDescent="0.35">
      <c r="A97" s="1" t="s">
        <v>494</v>
      </c>
      <c r="B97" s="26" t="s">
        <v>789</v>
      </c>
      <c r="C97" s="24">
        <v>6764</v>
      </c>
      <c r="D97" s="22">
        <v>205843</v>
      </c>
      <c r="E97" s="18" t="s">
        <v>790</v>
      </c>
      <c r="F97" s="19" t="s">
        <v>791</v>
      </c>
      <c r="G97" s="39">
        <v>1966475</v>
      </c>
      <c r="H97" s="39">
        <v>1966475</v>
      </c>
      <c r="I97" s="57">
        <v>1966475</v>
      </c>
      <c r="J97" s="8">
        <f>H97-I97</f>
        <v>0</v>
      </c>
      <c r="K97" s="14"/>
      <c r="L97" s="58">
        <v>0</v>
      </c>
      <c r="M97" s="123" t="s">
        <v>31</v>
      </c>
      <c r="N97" s="123">
        <v>44565</v>
      </c>
      <c r="O97" s="20"/>
      <c r="P97" s="57">
        <v>1966475</v>
      </c>
      <c r="Q97" s="8">
        <f t="shared" si="47"/>
        <v>0</v>
      </c>
      <c r="R97" s="14"/>
      <c r="S97" s="58">
        <v>0</v>
      </c>
      <c r="T97" s="101">
        <v>44596</v>
      </c>
      <c r="U97" s="14" t="s">
        <v>31</v>
      </c>
      <c r="V97" s="20"/>
      <c r="W97" s="57">
        <v>1966475</v>
      </c>
      <c r="X97" s="57">
        <f>P97-W97</f>
        <v>0</v>
      </c>
      <c r="Y97" s="14"/>
      <c r="Z97" s="58">
        <v>0</v>
      </c>
      <c r="AA97" s="131">
        <v>44622</v>
      </c>
      <c r="AB97" s="14" t="s">
        <v>31</v>
      </c>
      <c r="AC97" s="20"/>
      <c r="AD97" s="57">
        <v>1966475</v>
      </c>
      <c r="AE97" s="57">
        <f t="shared" si="49"/>
        <v>0</v>
      </c>
      <c r="AF97" s="57"/>
      <c r="AG97" s="57"/>
      <c r="AH97" s="58">
        <v>0</v>
      </c>
      <c r="AI97" s="120">
        <v>44656</v>
      </c>
      <c r="AJ97" s="57" t="s">
        <v>31</v>
      </c>
      <c r="AK97" s="14"/>
      <c r="AL97" s="57">
        <v>1966475</v>
      </c>
      <c r="AM97" s="57">
        <f t="shared" si="52"/>
        <v>0</v>
      </c>
      <c r="AN97" s="57"/>
      <c r="AO97" s="57"/>
      <c r="AP97" s="58">
        <v>0</v>
      </c>
      <c r="AQ97" s="101">
        <v>44687</v>
      </c>
      <c r="AR97" s="14" t="s">
        <v>31</v>
      </c>
      <c r="AS97" s="14"/>
      <c r="AT97" s="57">
        <v>2006855</v>
      </c>
      <c r="AU97" s="57"/>
      <c r="AV97" s="57">
        <f>AL97-AT97</f>
        <v>-40380</v>
      </c>
      <c r="AW97" s="57"/>
      <c r="AX97" s="58">
        <f>AV97/AL97</f>
        <v>-2.0534204604686052E-2</v>
      </c>
      <c r="AY97" s="120">
        <v>44715</v>
      </c>
      <c r="AZ97" s="57" t="s">
        <v>31</v>
      </c>
      <c r="BA97" s="120">
        <v>44728</v>
      </c>
      <c r="BB97" s="57">
        <v>1966475</v>
      </c>
      <c r="BC97" s="57">
        <f>AL97-BB97</f>
        <v>0</v>
      </c>
      <c r="BD97" s="57"/>
      <c r="BE97" s="57"/>
      <c r="BF97" s="58">
        <v>0</v>
      </c>
      <c r="BG97" s="101">
        <v>44747</v>
      </c>
      <c r="BH97" s="14" t="s">
        <v>31</v>
      </c>
      <c r="BI97" s="101">
        <v>44757</v>
      </c>
      <c r="BJ97" s="57">
        <v>1966475</v>
      </c>
      <c r="BK97" s="57">
        <f t="shared" si="53"/>
        <v>0</v>
      </c>
      <c r="BL97" s="57"/>
      <c r="BM97" s="57"/>
      <c r="BN97" s="58">
        <v>0</v>
      </c>
      <c r="BO97" s="101">
        <v>44775</v>
      </c>
      <c r="BP97" s="14" t="s">
        <v>31</v>
      </c>
      <c r="BQ97" s="14"/>
      <c r="BR97" s="57"/>
      <c r="BS97" s="57"/>
      <c r="BT97" s="57"/>
      <c r="BU97" s="57"/>
      <c r="BV97" s="58"/>
      <c r="BW97" s="101"/>
      <c r="BX97" s="14"/>
      <c r="BY97" s="14"/>
      <c r="BZ97" s="57"/>
      <c r="CA97" s="57"/>
      <c r="CB97" s="57"/>
      <c r="CC97" s="57"/>
      <c r="CD97" s="58"/>
      <c r="CE97" s="101"/>
      <c r="CF97" s="14"/>
      <c r="CG97" s="14"/>
      <c r="CH97" s="57"/>
      <c r="CI97" s="57"/>
      <c r="CJ97" s="57"/>
      <c r="CK97" s="57"/>
      <c r="CL97" s="58"/>
      <c r="CM97" s="101"/>
      <c r="CN97" s="14"/>
      <c r="CO97" s="14"/>
      <c r="CP97" s="57"/>
      <c r="CQ97" s="57"/>
      <c r="CR97" s="57"/>
      <c r="CS97" s="57"/>
      <c r="CT97" s="58"/>
      <c r="CU97" s="101"/>
      <c r="CV97" s="14"/>
      <c r="CW97" s="14"/>
    </row>
    <row r="98" spans="1:101" hidden="1" x14ac:dyDescent="0.35">
      <c r="A98" s="1" t="s">
        <v>497</v>
      </c>
      <c r="B98" s="26" t="s">
        <v>792</v>
      </c>
      <c r="C98" s="24">
        <v>6766</v>
      </c>
      <c r="D98" s="22">
        <v>204600</v>
      </c>
      <c r="E98" s="18" t="s">
        <v>554</v>
      </c>
      <c r="F98" s="19" t="s">
        <v>555</v>
      </c>
      <c r="G98" s="39">
        <v>1244255</v>
      </c>
      <c r="H98" s="39">
        <v>1194318</v>
      </c>
      <c r="I98" s="57"/>
      <c r="J98" s="14"/>
      <c r="K98" s="14"/>
      <c r="L98" s="14"/>
      <c r="M98" s="3"/>
      <c r="N98" s="3"/>
      <c r="O98" s="20"/>
      <c r="P98" s="57">
        <v>1314585</v>
      </c>
      <c r="Q98" s="8">
        <f>H98-P98</f>
        <v>-120267</v>
      </c>
      <c r="R98" s="14"/>
      <c r="S98" s="58">
        <f>Q98/H98</f>
        <v>-0.10069931123871531</v>
      </c>
      <c r="T98" s="101">
        <v>44600</v>
      </c>
      <c r="U98" s="14" t="s">
        <v>31</v>
      </c>
      <c r="V98" s="20"/>
      <c r="W98" s="57">
        <v>1314585</v>
      </c>
      <c r="X98" s="57">
        <f>P98-W98</f>
        <v>0</v>
      </c>
      <c r="Y98" s="14"/>
      <c r="Z98" s="58">
        <v>0</v>
      </c>
      <c r="AA98" s="131">
        <v>44622</v>
      </c>
      <c r="AB98" s="14" t="s">
        <v>31</v>
      </c>
      <c r="AC98" s="20"/>
      <c r="AD98" s="57">
        <v>1314585</v>
      </c>
      <c r="AE98" s="57">
        <f t="shared" si="49"/>
        <v>0</v>
      </c>
      <c r="AF98" s="57"/>
      <c r="AG98" s="57"/>
      <c r="AH98" s="58">
        <v>0</v>
      </c>
      <c r="AI98" s="120">
        <v>44658</v>
      </c>
      <c r="AJ98" s="57" t="s">
        <v>31</v>
      </c>
      <c r="AK98" s="14"/>
      <c r="AL98" s="57">
        <v>1314585</v>
      </c>
      <c r="AM98" s="57">
        <f t="shared" si="52"/>
        <v>0</v>
      </c>
      <c r="AN98" s="57"/>
      <c r="AO98" s="57"/>
      <c r="AP98" s="58">
        <v>0</v>
      </c>
      <c r="AQ98" s="101">
        <v>44687</v>
      </c>
      <c r="AR98" s="14" t="s">
        <v>31</v>
      </c>
      <c r="AS98" s="20"/>
      <c r="AT98" s="57">
        <v>1244255</v>
      </c>
      <c r="AU98" s="57">
        <f>AL98-AT98</f>
        <v>70330</v>
      </c>
      <c r="AV98" s="57"/>
      <c r="AW98" s="57"/>
      <c r="AX98" s="58">
        <f>AU98/AL98</f>
        <v>5.3499773692838426E-2</v>
      </c>
      <c r="AY98" s="120">
        <v>44721</v>
      </c>
      <c r="AZ98" s="57" t="s">
        <v>31</v>
      </c>
      <c r="BA98" s="120">
        <v>44736</v>
      </c>
      <c r="BB98" s="57">
        <v>1244255</v>
      </c>
      <c r="BC98" s="57">
        <f>AT98-BB98</f>
        <v>0</v>
      </c>
      <c r="BD98" s="57"/>
      <c r="BE98" s="57"/>
      <c r="BF98" s="58">
        <v>0</v>
      </c>
      <c r="BG98" s="101">
        <v>44748</v>
      </c>
      <c r="BH98" s="14" t="s">
        <v>31</v>
      </c>
      <c r="BI98" s="101">
        <v>44757</v>
      </c>
      <c r="BJ98" s="57">
        <v>1244255</v>
      </c>
      <c r="BK98" s="57">
        <f t="shared" si="53"/>
        <v>0</v>
      </c>
      <c r="BL98" s="57"/>
      <c r="BM98" s="57"/>
      <c r="BN98" s="58">
        <v>0</v>
      </c>
      <c r="BO98" s="101">
        <v>44778</v>
      </c>
      <c r="BP98" s="14" t="s">
        <v>31</v>
      </c>
      <c r="BQ98" s="14"/>
      <c r="BR98" s="212"/>
      <c r="BS98" s="218"/>
      <c r="BT98" s="218"/>
      <c r="BU98" s="218"/>
      <c r="BV98" s="218"/>
      <c r="BW98" s="218"/>
      <c r="BX98" s="218"/>
      <c r="BY98" s="213"/>
      <c r="BZ98" s="57"/>
      <c r="CA98" s="57"/>
      <c r="CB98" s="57"/>
      <c r="CC98" s="57"/>
      <c r="CD98" s="58"/>
      <c r="CE98" s="101"/>
      <c r="CF98" s="14"/>
      <c r="CG98" s="14"/>
      <c r="CH98" s="57"/>
      <c r="CI98" s="57"/>
      <c r="CJ98" s="57"/>
      <c r="CK98" s="57"/>
      <c r="CL98" s="58"/>
      <c r="CM98" s="101"/>
      <c r="CN98" s="14"/>
      <c r="CO98" s="14"/>
      <c r="CP98" s="57"/>
      <c r="CQ98" s="57"/>
      <c r="CR98" s="57"/>
      <c r="CS98" s="57"/>
      <c r="CT98" s="58"/>
      <c r="CU98" s="101"/>
      <c r="CV98" s="14"/>
      <c r="CW98" s="14"/>
    </row>
    <row r="99" spans="1:101" hidden="1" x14ac:dyDescent="0.35">
      <c r="A99" s="2" t="s">
        <v>514</v>
      </c>
      <c r="B99" s="14" t="s">
        <v>793</v>
      </c>
      <c r="C99" s="2" t="s">
        <v>516</v>
      </c>
      <c r="D99" s="22">
        <v>231462</v>
      </c>
      <c r="E99" s="18" t="s">
        <v>794</v>
      </c>
      <c r="F99" s="19">
        <v>830053812</v>
      </c>
      <c r="G99" s="14"/>
      <c r="H99" s="14"/>
      <c r="I99" s="14"/>
      <c r="J99" s="14"/>
      <c r="K99" s="14"/>
      <c r="L99" s="14"/>
      <c r="M99" s="3"/>
      <c r="N99" s="3"/>
      <c r="O99" s="14"/>
      <c r="P99" s="122"/>
      <c r="Q99" s="14"/>
      <c r="R99" s="14"/>
      <c r="S99" s="14"/>
      <c r="T99" s="101"/>
      <c r="U99" s="14"/>
      <c r="V99" s="14"/>
      <c r="W99" s="57"/>
      <c r="X99" s="57"/>
      <c r="Y99" s="14"/>
      <c r="Z99" s="58"/>
      <c r="AA99" s="58"/>
      <c r="AB99" s="14"/>
      <c r="AC99" s="14"/>
      <c r="AD99" s="57"/>
      <c r="AE99" s="57"/>
      <c r="AF99" s="57"/>
      <c r="AG99" s="57"/>
      <c r="AH99" s="58"/>
      <c r="AI99" s="120"/>
      <c r="AJ99" s="57"/>
      <c r="AK99" s="14"/>
      <c r="AL99" s="57"/>
      <c r="AM99" s="57"/>
      <c r="AN99" s="57"/>
      <c r="AO99" s="57"/>
      <c r="AP99" s="58"/>
      <c r="AQ99" s="101"/>
      <c r="AR99" s="14"/>
      <c r="AS99" s="14"/>
      <c r="AT99" s="57"/>
      <c r="AU99" s="57"/>
      <c r="AV99" s="57"/>
      <c r="AW99" s="57"/>
      <c r="AX99" s="58"/>
      <c r="AY99" s="120"/>
      <c r="AZ99" s="57"/>
      <c r="BA99" s="57"/>
      <c r="BB99" s="57"/>
      <c r="BC99" s="57"/>
      <c r="BD99" s="57"/>
      <c r="BE99" s="57"/>
      <c r="BF99" s="58"/>
      <c r="BG99" s="101"/>
      <c r="BH99" s="14"/>
      <c r="BI99" s="14"/>
      <c r="BJ99" s="57"/>
      <c r="BK99" s="57"/>
      <c r="BL99" s="57"/>
      <c r="BM99" s="57"/>
      <c r="BN99" s="58"/>
      <c r="BO99" s="101"/>
      <c r="BP99" s="14"/>
      <c r="BQ99" s="14"/>
      <c r="BR99" s="212"/>
      <c r="BS99" s="218"/>
      <c r="BT99" s="218"/>
      <c r="BU99" s="218"/>
      <c r="BV99" s="218"/>
      <c r="BW99" s="218"/>
      <c r="BX99" s="218"/>
      <c r="BY99" s="213"/>
      <c r="BZ99" s="212"/>
      <c r="CA99" s="218"/>
      <c r="CB99" s="218"/>
      <c r="CC99" s="218"/>
      <c r="CD99" s="218"/>
      <c r="CE99" s="218"/>
      <c r="CF99" s="218"/>
      <c r="CG99" s="213"/>
      <c r="CH99" s="212"/>
      <c r="CI99" s="218"/>
      <c r="CJ99" s="218"/>
      <c r="CK99" s="218"/>
      <c r="CL99" s="218"/>
      <c r="CM99" s="218"/>
      <c r="CN99" s="218"/>
      <c r="CO99" s="213"/>
      <c r="CP99" s="212"/>
      <c r="CQ99" s="218"/>
      <c r="CR99" s="218"/>
      <c r="CS99" s="218"/>
      <c r="CT99" s="218"/>
      <c r="CU99" s="218"/>
      <c r="CV99" s="218"/>
      <c r="CW99" s="213"/>
    </row>
    <row r="100" spans="1:101" hidden="1" x14ac:dyDescent="0.35">
      <c r="A100" s="2" t="s">
        <v>519</v>
      </c>
      <c r="B100" s="14" t="s">
        <v>520</v>
      </c>
      <c r="C100" s="2" t="s">
        <v>522</v>
      </c>
      <c r="D100" s="22">
        <v>348824</v>
      </c>
      <c r="E100" s="18" t="s">
        <v>523</v>
      </c>
      <c r="F100" s="19" t="s">
        <v>524</v>
      </c>
      <c r="G100" s="57">
        <v>1926082</v>
      </c>
      <c r="H100" s="39">
        <v>1749870</v>
      </c>
      <c r="I100" s="57">
        <v>1926082</v>
      </c>
      <c r="J100" s="8">
        <f>H100-I100</f>
        <v>-176212</v>
      </c>
      <c r="K100" s="14"/>
      <c r="L100" s="58">
        <f>J100/H100</f>
        <v>-0.10070005200386314</v>
      </c>
      <c r="M100" s="3" t="s">
        <v>31</v>
      </c>
      <c r="N100" s="123">
        <v>44574</v>
      </c>
      <c r="O100" s="14"/>
      <c r="P100" s="122">
        <v>1926082</v>
      </c>
      <c r="Q100" s="8">
        <f>I100-P100</f>
        <v>0</v>
      </c>
      <c r="R100" s="14"/>
      <c r="S100" s="58">
        <v>0</v>
      </c>
      <c r="T100" s="101">
        <v>44600</v>
      </c>
      <c r="U100" s="14" t="s">
        <v>31</v>
      </c>
      <c r="V100" s="14"/>
      <c r="W100" s="57">
        <v>1926082</v>
      </c>
      <c r="X100" s="57">
        <f>P100-W100</f>
        <v>0</v>
      </c>
      <c r="Y100" s="14"/>
      <c r="Z100" s="58">
        <v>0</v>
      </c>
      <c r="AA100" s="131">
        <v>44628</v>
      </c>
      <c r="AB100" s="14" t="s">
        <v>31</v>
      </c>
      <c r="AC100" s="14"/>
      <c r="AD100" s="57">
        <v>1926082</v>
      </c>
      <c r="AE100" s="57">
        <f>W100-AD100</f>
        <v>0</v>
      </c>
      <c r="AF100" s="57"/>
      <c r="AG100" s="57"/>
      <c r="AH100" s="58">
        <v>0</v>
      </c>
      <c r="AI100" s="120">
        <v>44659</v>
      </c>
      <c r="AJ100" s="57" t="s">
        <v>31</v>
      </c>
      <c r="AK100" s="14"/>
      <c r="AL100" s="57">
        <v>1926082</v>
      </c>
      <c r="AM100" s="57">
        <f>AD100-AL100</f>
        <v>0</v>
      </c>
      <c r="AN100" s="57"/>
      <c r="AO100" s="57"/>
      <c r="AP100" s="58">
        <v>0</v>
      </c>
      <c r="AQ100" s="101">
        <v>44687</v>
      </c>
      <c r="AR100" s="14" t="s">
        <v>31</v>
      </c>
      <c r="AS100" s="14"/>
      <c r="AT100" s="57">
        <v>1926082</v>
      </c>
      <c r="AU100" s="57">
        <f>AL100-AT100</f>
        <v>0</v>
      </c>
      <c r="AV100" s="57"/>
      <c r="AW100" s="57"/>
      <c r="AX100" s="58">
        <v>0</v>
      </c>
      <c r="AY100" s="120">
        <v>44719</v>
      </c>
      <c r="AZ100" s="57" t="s">
        <v>31</v>
      </c>
      <c r="BA100" s="120">
        <v>44728</v>
      </c>
      <c r="BB100" s="57">
        <v>1926082</v>
      </c>
      <c r="BC100" s="57">
        <f>AT100-BB100</f>
        <v>0</v>
      </c>
      <c r="BD100" s="57"/>
      <c r="BE100" s="57"/>
      <c r="BF100" s="58">
        <v>0</v>
      </c>
      <c r="BG100" s="101">
        <v>44750</v>
      </c>
      <c r="BH100" s="14" t="s">
        <v>31</v>
      </c>
      <c r="BI100" s="101">
        <v>44768</v>
      </c>
      <c r="BJ100" s="57">
        <v>1926082</v>
      </c>
      <c r="BK100" s="57">
        <f>BB100-BJ100</f>
        <v>0</v>
      </c>
      <c r="BL100" s="57"/>
      <c r="BM100" s="57"/>
      <c r="BN100" s="58">
        <v>0</v>
      </c>
      <c r="BO100" s="101">
        <v>44781</v>
      </c>
      <c r="BP100" s="14" t="s">
        <v>31</v>
      </c>
      <c r="BQ100" s="14"/>
      <c r="BR100" s="57"/>
      <c r="BS100" s="57"/>
      <c r="BT100" s="57"/>
      <c r="BU100" s="57"/>
      <c r="BV100" s="58"/>
      <c r="BW100" s="101"/>
      <c r="BX100" s="14"/>
      <c r="BY100" s="14"/>
      <c r="BZ100" s="57"/>
      <c r="CA100" s="57"/>
      <c r="CB100" s="57"/>
      <c r="CC100" s="57"/>
      <c r="CD100" s="58"/>
      <c r="CE100" s="101"/>
      <c r="CF100" s="14"/>
      <c r="CG100" s="14"/>
      <c r="CH100" s="57"/>
      <c r="CI100" s="57"/>
      <c r="CJ100" s="57"/>
      <c r="CK100" s="57"/>
      <c r="CL100" s="58"/>
      <c r="CM100" s="101"/>
      <c r="CN100" s="14"/>
      <c r="CO100" s="14"/>
      <c r="CP100" s="57"/>
      <c r="CQ100" s="57"/>
      <c r="CR100" s="57"/>
      <c r="CS100" s="57"/>
      <c r="CT100" s="58"/>
      <c r="CU100" s="101"/>
      <c r="CV100" s="14"/>
      <c r="CW100" s="14"/>
    </row>
    <row r="107" spans="1:101" x14ac:dyDescent="0.35">
      <c r="B107" s="238" t="s">
        <v>992</v>
      </c>
      <c r="C107" s="238"/>
    </row>
    <row r="108" spans="1:101" x14ac:dyDescent="0.35">
      <c r="B108" s="160"/>
      <c r="C108" s="160"/>
      <c r="D108" s="153"/>
    </row>
    <row r="109" spans="1:101" x14ac:dyDescent="0.35">
      <c r="B109" s="160" t="s">
        <v>994</v>
      </c>
      <c r="C109" s="160">
        <v>1532001604</v>
      </c>
    </row>
    <row r="110" spans="1:101" x14ac:dyDescent="0.35">
      <c r="B110" s="160" t="s">
        <v>996</v>
      </c>
      <c r="C110" s="160">
        <v>1532001600</v>
      </c>
    </row>
    <row r="111" spans="1:101" x14ac:dyDescent="0.35">
      <c r="B111" s="160" t="s">
        <v>998</v>
      </c>
      <c r="C111" s="160">
        <v>1532001605</v>
      </c>
    </row>
    <row r="112" spans="1:101" x14ac:dyDescent="0.35">
      <c r="B112" s="160"/>
      <c r="C112" s="160"/>
    </row>
    <row r="113" spans="2:9" x14ac:dyDescent="0.35">
      <c r="B113" s="238" t="s">
        <v>993</v>
      </c>
      <c r="C113" s="238"/>
    </row>
    <row r="114" spans="2:9" x14ac:dyDescent="0.35">
      <c r="B114" s="160"/>
      <c r="C114" s="160"/>
    </row>
    <row r="115" spans="2:9" x14ac:dyDescent="0.35">
      <c r="B115" s="160" t="s">
        <v>995</v>
      </c>
      <c r="C115" s="160">
        <v>1537180003</v>
      </c>
    </row>
    <row r="116" spans="2:9" x14ac:dyDescent="0.35">
      <c r="B116" s="160" t="s">
        <v>997</v>
      </c>
      <c r="C116" s="160">
        <v>1537180001</v>
      </c>
    </row>
    <row r="117" spans="2:9" x14ac:dyDescent="0.35">
      <c r="B117" s="160"/>
      <c r="C117" s="160"/>
    </row>
    <row r="120" spans="2:9" ht="14.5" customHeight="1" x14ac:dyDescent="0.35">
      <c r="F120" s="160"/>
      <c r="I120" s="160"/>
    </row>
    <row r="121" spans="2:9" x14ac:dyDescent="0.35">
      <c r="F121" s="160"/>
      <c r="I121" s="160"/>
    </row>
    <row r="122" spans="2:9" x14ac:dyDescent="0.35">
      <c r="F122" s="160"/>
      <c r="I122" s="160"/>
    </row>
    <row r="123" spans="2:9" x14ac:dyDescent="0.35">
      <c r="F123" s="160"/>
      <c r="I123" s="160"/>
    </row>
    <row r="124" spans="2:9" x14ac:dyDescent="0.35">
      <c r="F124" s="160"/>
      <c r="I124" s="160"/>
    </row>
    <row r="125" spans="2:9" x14ac:dyDescent="0.35">
      <c r="D125" s="160"/>
      <c r="E125" s="160"/>
      <c r="F125" s="160"/>
      <c r="G125" s="160"/>
      <c r="H125" s="160"/>
      <c r="I125" s="160"/>
    </row>
    <row r="126" spans="2:9" x14ac:dyDescent="0.35">
      <c r="D126" s="160"/>
      <c r="E126" s="160"/>
      <c r="F126" s="160"/>
      <c r="G126" s="160"/>
      <c r="H126" s="160"/>
      <c r="I126" s="160"/>
    </row>
    <row r="1048568" spans="13:13" x14ac:dyDescent="0.35">
      <c r="M1048568" s="14" t="s">
        <v>31</v>
      </c>
    </row>
  </sheetData>
  <autoFilter ref="A2:CW100" xr:uid="{00000000-0009-0000-0000-000003000000}">
    <filterColumn colId="0">
      <filters>
        <filter val="T022"/>
        <filter val="T122"/>
      </filters>
    </filterColumn>
  </autoFilter>
  <mergeCells count="44">
    <mergeCell ref="B107:C107"/>
    <mergeCell ref="B113:C113"/>
    <mergeCell ref="I35:O35"/>
    <mergeCell ref="W1:AC1"/>
    <mergeCell ref="A1:F1"/>
    <mergeCell ref="G1:G2"/>
    <mergeCell ref="H1:H2"/>
    <mergeCell ref="I1:O1"/>
    <mergeCell ref="P1:V1"/>
    <mergeCell ref="BR49:BY49"/>
    <mergeCell ref="BR18:BY18"/>
    <mergeCell ref="BR35:BY35"/>
    <mergeCell ref="BZ35:CG35"/>
    <mergeCell ref="CH35:CO35"/>
    <mergeCell ref="BR37:BY37"/>
    <mergeCell ref="BZ40:CG40"/>
    <mergeCell ref="CH40:CO40"/>
    <mergeCell ref="AD34:CW34"/>
    <mergeCell ref="CP40:CW40"/>
    <mergeCell ref="BR13:BY13"/>
    <mergeCell ref="BR14:BY14"/>
    <mergeCell ref="BR1:BY1"/>
    <mergeCell ref="P6:CW6"/>
    <mergeCell ref="CP35:CW35"/>
    <mergeCell ref="BZ1:CG1"/>
    <mergeCell ref="AD1:AK1"/>
    <mergeCell ref="AL1:AS1"/>
    <mergeCell ref="AT1:BA1"/>
    <mergeCell ref="BB1:BI1"/>
    <mergeCell ref="BJ1:BQ1"/>
    <mergeCell ref="CH1:CO1"/>
    <mergeCell ref="CP1:CW1"/>
    <mergeCell ref="AD4:CW4"/>
    <mergeCell ref="BZ82:CG82"/>
    <mergeCell ref="CH82:CO82"/>
    <mergeCell ref="CP82:CW82"/>
    <mergeCell ref="CH99:CO99"/>
    <mergeCell ref="CP99:CW99"/>
    <mergeCell ref="BZ99:CG99"/>
    <mergeCell ref="BR85:BY85"/>
    <mergeCell ref="BR91:BY91"/>
    <mergeCell ref="BR94:BY94"/>
    <mergeCell ref="BR98:BY98"/>
    <mergeCell ref="BR99:BY99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45FF-9A72-4E8A-AAB4-503349CCC711}">
  <dimension ref="A1:B99"/>
  <sheetViews>
    <sheetView topLeftCell="A25" workbookViewId="0">
      <selection activeCell="B45" sqref="B45"/>
    </sheetView>
  </sheetViews>
  <sheetFormatPr baseColWidth="10" defaultRowHeight="14.5" x14ac:dyDescent="0.35"/>
  <cols>
    <col min="2" max="2" width="53.08984375" customWidth="1"/>
  </cols>
  <sheetData>
    <row r="1" spans="1:2" x14ac:dyDescent="0.35">
      <c r="A1" s="4" t="s">
        <v>545</v>
      </c>
      <c r="B1" s="4" t="s">
        <v>546</v>
      </c>
    </row>
    <row r="2" spans="1:2" x14ac:dyDescent="0.35">
      <c r="A2" s="1">
        <v>209631</v>
      </c>
      <c r="B2" s="18" t="s">
        <v>568</v>
      </c>
    </row>
    <row r="3" spans="1:2" x14ac:dyDescent="0.35">
      <c r="A3" s="1">
        <v>238175</v>
      </c>
      <c r="B3" s="3" t="s">
        <v>557</v>
      </c>
    </row>
    <row r="4" spans="1:2" x14ac:dyDescent="0.35">
      <c r="A4" s="22">
        <v>231462</v>
      </c>
      <c r="B4" s="18" t="s">
        <v>794</v>
      </c>
    </row>
    <row r="5" spans="1:2" x14ac:dyDescent="0.35">
      <c r="A5" s="30">
        <v>206286</v>
      </c>
      <c r="B5" s="31" t="s">
        <v>375</v>
      </c>
    </row>
    <row r="6" spans="1:2" x14ac:dyDescent="0.35">
      <c r="A6" s="22">
        <v>204603</v>
      </c>
      <c r="B6" s="18" t="s">
        <v>445</v>
      </c>
    </row>
    <row r="7" spans="1:2" x14ac:dyDescent="0.35">
      <c r="A7" s="22">
        <v>204614</v>
      </c>
      <c r="B7" s="18" t="s">
        <v>746</v>
      </c>
    </row>
    <row r="8" spans="1:2" x14ac:dyDescent="0.35">
      <c r="A8" s="37">
        <v>204942</v>
      </c>
      <c r="B8" s="18" t="s">
        <v>749</v>
      </c>
    </row>
    <row r="9" spans="1:2" x14ac:dyDescent="0.35">
      <c r="A9" s="15" t="s">
        <v>675</v>
      </c>
      <c r="B9" s="16" t="s">
        <v>676</v>
      </c>
    </row>
    <row r="10" spans="1:2" x14ac:dyDescent="0.35">
      <c r="A10" s="22">
        <v>204591</v>
      </c>
      <c r="B10" s="18" t="s">
        <v>702</v>
      </c>
    </row>
    <row r="11" spans="1:2" x14ac:dyDescent="0.35">
      <c r="A11" s="1">
        <v>209888</v>
      </c>
      <c r="B11" s="16" t="s">
        <v>559</v>
      </c>
    </row>
    <row r="12" spans="1:2" x14ac:dyDescent="0.35">
      <c r="A12" s="22">
        <v>206377</v>
      </c>
      <c r="B12" s="18" t="s">
        <v>633</v>
      </c>
    </row>
    <row r="13" spans="1:2" x14ac:dyDescent="0.35">
      <c r="A13" s="22">
        <v>204887</v>
      </c>
      <c r="B13" s="18" t="s">
        <v>606</v>
      </c>
    </row>
    <row r="14" spans="1:2" x14ac:dyDescent="0.35">
      <c r="A14" s="22">
        <v>204618</v>
      </c>
      <c r="B14" s="18" t="s">
        <v>740</v>
      </c>
    </row>
    <row r="15" spans="1:2" x14ac:dyDescent="0.35">
      <c r="A15" s="146">
        <v>204531</v>
      </c>
      <c r="B15" s="18" t="s">
        <v>711</v>
      </c>
    </row>
    <row r="16" spans="1:2" x14ac:dyDescent="0.35">
      <c r="A16" s="22">
        <v>204546</v>
      </c>
      <c r="B16" s="18" t="s">
        <v>693</v>
      </c>
    </row>
    <row r="17" spans="1:2" x14ac:dyDescent="0.35">
      <c r="A17" s="22">
        <v>204633</v>
      </c>
      <c r="B17" s="18" t="s">
        <v>769</v>
      </c>
    </row>
    <row r="18" spans="1:2" x14ac:dyDescent="0.35">
      <c r="A18" s="22">
        <v>204592</v>
      </c>
      <c r="B18" s="18" t="s">
        <v>696</v>
      </c>
    </row>
    <row r="19" spans="1:2" x14ac:dyDescent="0.35">
      <c r="A19" s="22">
        <v>204565</v>
      </c>
      <c r="B19" s="18" t="s">
        <v>737</v>
      </c>
    </row>
    <row r="20" spans="1:2" x14ac:dyDescent="0.35">
      <c r="A20" s="22">
        <v>204694</v>
      </c>
      <c r="B20" s="18" t="s">
        <v>714</v>
      </c>
    </row>
    <row r="21" spans="1:2" x14ac:dyDescent="0.35">
      <c r="A21" s="22">
        <v>204608</v>
      </c>
      <c r="B21" s="18" t="s">
        <v>763</v>
      </c>
    </row>
    <row r="22" spans="1:2" x14ac:dyDescent="0.35">
      <c r="A22" s="22">
        <v>204589</v>
      </c>
      <c r="B22" s="18" t="s">
        <v>603</v>
      </c>
    </row>
    <row r="23" spans="1:2" x14ac:dyDescent="0.35">
      <c r="A23" s="22">
        <v>204626</v>
      </c>
      <c r="B23" s="18" t="s">
        <v>755</v>
      </c>
    </row>
    <row r="24" spans="1:2" x14ac:dyDescent="0.35">
      <c r="A24" s="15" t="s">
        <v>667</v>
      </c>
      <c r="B24" s="18" t="s">
        <v>668</v>
      </c>
    </row>
    <row r="25" spans="1:2" x14ac:dyDescent="0.35">
      <c r="A25" s="22">
        <v>204984</v>
      </c>
      <c r="B25" s="18" t="s">
        <v>609</v>
      </c>
    </row>
    <row r="26" spans="1:2" x14ac:dyDescent="0.35">
      <c r="A26" s="22">
        <v>206753</v>
      </c>
      <c r="B26" s="18" t="s">
        <v>640</v>
      </c>
    </row>
    <row r="27" spans="1:2" x14ac:dyDescent="0.35">
      <c r="A27" s="22">
        <v>210622</v>
      </c>
      <c r="B27" s="18" t="s">
        <v>661</v>
      </c>
    </row>
    <row r="28" spans="1:2" x14ac:dyDescent="0.35">
      <c r="A28" s="22">
        <v>204544</v>
      </c>
      <c r="B28" s="18" t="s">
        <v>783</v>
      </c>
    </row>
    <row r="29" spans="1:2" x14ac:dyDescent="0.35">
      <c r="A29" s="22">
        <v>206169</v>
      </c>
      <c r="B29" s="18" t="s">
        <v>619</v>
      </c>
    </row>
    <row r="30" spans="1:2" x14ac:dyDescent="0.35">
      <c r="A30" s="22">
        <v>204741</v>
      </c>
      <c r="B30" s="18" t="s">
        <v>690</v>
      </c>
    </row>
    <row r="31" spans="1:2" x14ac:dyDescent="0.35">
      <c r="A31" s="1">
        <v>204573</v>
      </c>
      <c r="B31" s="18" t="s">
        <v>552</v>
      </c>
    </row>
    <row r="32" spans="1:2" x14ac:dyDescent="0.35">
      <c r="A32" s="22">
        <v>204573</v>
      </c>
      <c r="B32" s="18" t="s">
        <v>552</v>
      </c>
    </row>
    <row r="33" spans="1:2" x14ac:dyDescent="0.35">
      <c r="A33" s="22">
        <v>204573</v>
      </c>
      <c r="B33" s="18" t="s">
        <v>552</v>
      </c>
    </row>
    <row r="34" spans="1:2" x14ac:dyDescent="0.35">
      <c r="A34" s="15" t="s">
        <v>663</v>
      </c>
      <c r="B34" s="18" t="s">
        <v>664</v>
      </c>
    </row>
    <row r="35" spans="1:2" x14ac:dyDescent="0.35">
      <c r="A35" s="22">
        <v>204573</v>
      </c>
      <c r="B35" s="18" t="s">
        <v>572</v>
      </c>
    </row>
    <row r="36" spans="1:2" x14ac:dyDescent="0.35">
      <c r="A36" s="22">
        <v>204648</v>
      </c>
      <c r="B36" s="18" t="s">
        <v>592</v>
      </c>
    </row>
    <row r="37" spans="1:2" x14ac:dyDescent="0.35">
      <c r="A37" s="22">
        <v>204588</v>
      </c>
      <c r="B37" s="18" t="s">
        <v>513</v>
      </c>
    </row>
    <row r="38" spans="1:2" x14ac:dyDescent="0.35">
      <c r="A38" s="22">
        <v>210358</v>
      </c>
      <c r="B38" s="14" t="s">
        <v>217</v>
      </c>
    </row>
    <row r="39" spans="1:2" x14ac:dyDescent="0.35">
      <c r="A39" s="22">
        <v>204586</v>
      </c>
      <c r="B39" s="18" t="s">
        <v>705</v>
      </c>
    </row>
    <row r="40" spans="1:2" x14ac:dyDescent="0.35">
      <c r="A40" s="22">
        <v>204629</v>
      </c>
      <c r="B40" s="18" t="s">
        <v>773</v>
      </c>
    </row>
    <row r="41" spans="1:2" x14ac:dyDescent="0.35">
      <c r="A41" s="22">
        <v>204601</v>
      </c>
      <c r="B41" s="18" t="s">
        <v>780</v>
      </c>
    </row>
    <row r="42" spans="1:2" x14ac:dyDescent="0.35">
      <c r="A42" s="22">
        <v>204652</v>
      </c>
      <c r="B42" s="18" t="s">
        <v>730</v>
      </c>
    </row>
    <row r="43" spans="1:2" x14ac:dyDescent="0.35">
      <c r="A43" s="22">
        <v>204625</v>
      </c>
      <c r="B43" s="18" t="s">
        <v>758</v>
      </c>
    </row>
    <row r="44" spans="1:2" x14ac:dyDescent="0.35">
      <c r="A44" s="22">
        <v>204625</v>
      </c>
      <c r="B44" s="18" t="s">
        <v>758</v>
      </c>
    </row>
    <row r="45" spans="1:2" x14ac:dyDescent="0.35">
      <c r="A45" s="1">
        <v>214089</v>
      </c>
      <c r="B45" s="16" t="s">
        <v>284</v>
      </c>
    </row>
    <row r="46" spans="1:2" x14ac:dyDescent="0.35">
      <c r="A46" s="1">
        <v>214089</v>
      </c>
      <c r="B46" s="14" t="s">
        <v>284</v>
      </c>
    </row>
    <row r="47" spans="1:2" x14ac:dyDescent="0.35">
      <c r="A47" s="22">
        <v>204845</v>
      </c>
      <c r="B47" s="18" t="s">
        <v>708</v>
      </c>
    </row>
    <row r="48" spans="1:2" x14ac:dyDescent="0.35">
      <c r="A48" s="22">
        <v>204549</v>
      </c>
      <c r="B48" s="18" t="s">
        <v>734</v>
      </c>
    </row>
    <row r="49" spans="1:2" x14ac:dyDescent="0.35">
      <c r="A49" s="22">
        <v>204577</v>
      </c>
      <c r="B49" s="18" t="s">
        <v>777</v>
      </c>
    </row>
    <row r="50" spans="1:2" x14ac:dyDescent="0.35">
      <c r="A50" s="22">
        <v>204611</v>
      </c>
      <c r="B50" s="18" t="s">
        <v>766</v>
      </c>
    </row>
    <row r="51" spans="1:2" x14ac:dyDescent="0.35">
      <c r="A51" s="1">
        <v>238176</v>
      </c>
      <c r="B51" s="16" t="s">
        <v>548</v>
      </c>
    </row>
    <row r="52" spans="1:2" x14ac:dyDescent="0.35">
      <c r="A52" s="22">
        <v>348824</v>
      </c>
      <c r="B52" s="18" t="s">
        <v>523</v>
      </c>
    </row>
    <row r="53" spans="1:2" x14ac:dyDescent="0.35">
      <c r="A53" s="22">
        <v>205547</v>
      </c>
      <c r="B53" s="18" t="s">
        <v>208</v>
      </c>
    </row>
    <row r="54" spans="1:2" x14ac:dyDescent="0.35">
      <c r="A54" s="22">
        <v>207689</v>
      </c>
      <c r="B54" s="18" t="s">
        <v>208</v>
      </c>
    </row>
    <row r="55" spans="1:2" x14ac:dyDescent="0.35">
      <c r="A55" s="30">
        <v>204606</v>
      </c>
      <c r="B55" s="31" t="s">
        <v>681</v>
      </c>
    </row>
    <row r="56" spans="1:2" x14ac:dyDescent="0.35">
      <c r="A56" s="22">
        <v>204606</v>
      </c>
      <c r="B56" s="18" t="s">
        <v>600</v>
      </c>
    </row>
    <row r="57" spans="1:2" x14ac:dyDescent="0.35">
      <c r="A57" s="22">
        <v>204606</v>
      </c>
      <c r="B57" s="18" t="s">
        <v>600</v>
      </c>
    </row>
    <row r="58" spans="1:2" x14ac:dyDescent="0.35">
      <c r="A58" s="22">
        <v>204613</v>
      </c>
      <c r="B58" s="18" t="s">
        <v>724</v>
      </c>
    </row>
    <row r="59" spans="1:2" x14ac:dyDescent="0.35">
      <c r="A59" s="30">
        <v>204547</v>
      </c>
      <c r="B59" s="31" t="s">
        <v>273</v>
      </c>
    </row>
    <row r="60" spans="1:2" x14ac:dyDescent="0.35">
      <c r="A60" s="1">
        <v>217751</v>
      </c>
      <c r="B60" s="16" t="s">
        <v>90</v>
      </c>
    </row>
    <row r="61" spans="1:2" x14ac:dyDescent="0.35">
      <c r="A61" s="22">
        <v>208501</v>
      </c>
      <c r="B61" s="18" t="s">
        <v>129</v>
      </c>
    </row>
    <row r="62" spans="1:2" x14ac:dyDescent="0.35">
      <c r="A62" s="22">
        <v>205022</v>
      </c>
      <c r="B62" s="18" t="s">
        <v>616</v>
      </c>
    </row>
    <row r="63" spans="1:2" x14ac:dyDescent="0.35">
      <c r="A63" s="22">
        <v>205635</v>
      </c>
      <c r="B63" s="18" t="s">
        <v>595</v>
      </c>
    </row>
    <row r="64" spans="1:2" x14ac:dyDescent="0.35">
      <c r="A64" s="15" t="s">
        <v>685</v>
      </c>
      <c r="B64" s="16" t="s">
        <v>686</v>
      </c>
    </row>
    <row r="65" spans="1:2" x14ac:dyDescent="0.35">
      <c r="A65" s="22">
        <v>204996</v>
      </c>
      <c r="B65" s="18" t="s">
        <v>159</v>
      </c>
    </row>
    <row r="66" spans="1:2" x14ac:dyDescent="0.35">
      <c r="A66" s="22">
        <v>205843</v>
      </c>
      <c r="B66" s="18" t="s">
        <v>790</v>
      </c>
    </row>
    <row r="67" spans="1:2" x14ac:dyDescent="0.35">
      <c r="A67" s="22">
        <v>206207</v>
      </c>
      <c r="B67" s="18" t="s">
        <v>622</v>
      </c>
    </row>
    <row r="68" spans="1:2" x14ac:dyDescent="0.35">
      <c r="A68" s="22">
        <v>219333</v>
      </c>
      <c r="B68" s="28" t="s">
        <v>646</v>
      </c>
    </row>
    <row r="69" spans="1:2" x14ac:dyDescent="0.35">
      <c r="A69" s="22">
        <v>204616</v>
      </c>
      <c r="B69" s="18" t="s">
        <v>717</v>
      </c>
    </row>
    <row r="70" spans="1:2" x14ac:dyDescent="0.35">
      <c r="A70" s="1">
        <v>238658</v>
      </c>
      <c r="B70" s="3" t="s">
        <v>564</v>
      </c>
    </row>
    <row r="71" spans="1:2" x14ac:dyDescent="0.35">
      <c r="A71" s="15">
        <v>212833</v>
      </c>
      <c r="B71" s="16" t="s">
        <v>578</v>
      </c>
    </row>
    <row r="72" spans="1:2" x14ac:dyDescent="0.35">
      <c r="A72" s="15">
        <v>212833</v>
      </c>
      <c r="B72" s="18" t="s">
        <v>578</v>
      </c>
    </row>
    <row r="73" spans="1:2" x14ac:dyDescent="0.35">
      <c r="A73" s="22">
        <v>204779</v>
      </c>
      <c r="B73" s="18" t="s">
        <v>485</v>
      </c>
    </row>
    <row r="74" spans="1:2" x14ac:dyDescent="0.35">
      <c r="A74" s="22"/>
      <c r="B74" s="18" t="s">
        <v>656</v>
      </c>
    </row>
    <row r="75" spans="1:2" x14ac:dyDescent="0.35">
      <c r="A75" s="2">
        <v>289666</v>
      </c>
      <c r="B75" s="16" t="s">
        <v>534</v>
      </c>
    </row>
    <row r="76" spans="1:2" x14ac:dyDescent="0.35">
      <c r="A76" s="22">
        <v>208093</v>
      </c>
      <c r="B76" s="16" t="s">
        <v>534</v>
      </c>
    </row>
    <row r="77" spans="1:2" x14ac:dyDescent="0.35">
      <c r="A77" s="22">
        <v>204526</v>
      </c>
      <c r="B77" s="18" t="s">
        <v>589</v>
      </c>
    </row>
    <row r="78" spans="1:2" x14ac:dyDescent="0.35">
      <c r="A78" s="1">
        <v>251769</v>
      </c>
      <c r="B78" s="16" t="s">
        <v>550</v>
      </c>
    </row>
    <row r="79" spans="1:2" x14ac:dyDescent="0.35">
      <c r="A79" s="2">
        <v>230440</v>
      </c>
      <c r="B79" s="3" t="s">
        <v>562</v>
      </c>
    </row>
    <row r="80" spans="1:2" x14ac:dyDescent="0.35">
      <c r="A80" s="22">
        <v>206868</v>
      </c>
      <c r="B80" s="18" t="s">
        <v>637</v>
      </c>
    </row>
    <row r="81" spans="1:2" x14ac:dyDescent="0.35">
      <c r="A81" s="22">
        <v>204596</v>
      </c>
      <c r="B81" s="18" t="s">
        <v>743</v>
      </c>
    </row>
    <row r="82" spans="1:2" x14ac:dyDescent="0.35">
      <c r="A82" s="22">
        <v>204620</v>
      </c>
      <c r="B82" s="18" t="s">
        <v>630</v>
      </c>
    </row>
    <row r="83" spans="1:2" x14ac:dyDescent="0.35">
      <c r="A83" s="36">
        <v>206218</v>
      </c>
      <c r="B83" s="18" t="s">
        <v>348</v>
      </c>
    </row>
    <row r="84" spans="1:2" x14ac:dyDescent="0.35">
      <c r="A84" s="15" t="s">
        <v>658</v>
      </c>
      <c r="B84" s="18" t="s">
        <v>234</v>
      </c>
    </row>
    <row r="85" spans="1:2" x14ac:dyDescent="0.35">
      <c r="A85" s="22">
        <v>204556</v>
      </c>
      <c r="B85" s="18" t="s">
        <v>721</v>
      </c>
    </row>
    <row r="86" spans="1:2" x14ac:dyDescent="0.35">
      <c r="A86" s="22">
        <v>204556</v>
      </c>
      <c r="B86" s="18" t="s">
        <v>721</v>
      </c>
    </row>
    <row r="87" spans="1:2" x14ac:dyDescent="0.35">
      <c r="A87" s="22">
        <v>204532</v>
      </c>
      <c r="B87" s="18" t="s">
        <v>671</v>
      </c>
    </row>
    <row r="88" spans="1:2" x14ac:dyDescent="0.35">
      <c r="A88" s="1">
        <v>204600</v>
      </c>
      <c r="B88" s="18" t="s">
        <v>554</v>
      </c>
    </row>
    <row r="89" spans="1:2" x14ac:dyDescent="0.35">
      <c r="A89" s="15" t="s">
        <v>575</v>
      </c>
      <c r="B89" s="18" t="s">
        <v>554</v>
      </c>
    </row>
    <row r="90" spans="1:2" x14ac:dyDescent="0.35">
      <c r="A90" s="22">
        <v>204600</v>
      </c>
      <c r="B90" s="18" t="s">
        <v>554</v>
      </c>
    </row>
    <row r="91" spans="1:2" x14ac:dyDescent="0.35">
      <c r="A91" s="22">
        <v>204600</v>
      </c>
      <c r="B91" s="18" t="s">
        <v>554</v>
      </c>
    </row>
    <row r="92" spans="1:2" x14ac:dyDescent="0.35">
      <c r="A92" s="22">
        <v>208872</v>
      </c>
      <c r="B92" s="18" t="s">
        <v>178</v>
      </c>
    </row>
    <row r="93" spans="1:2" x14ac:dyDescent="0.35">
      <c r="A93" s="22">
        <v>205016</v>
      </c>
      <c r="B93" s="18" t="s">
        <v>625</v>
      </c>
    </row>
    <row r="94" spans="1:2" x14ac:dyDescent="0.35">
      <c r="A94" s="1">
        <v>208873</v>
      </c>
      <c r="B94" s="18" t="s">
        <v>652</v>
      </c>
    </row>
    <row r="95" spans="1:2" x14ac:dyDescent="0.35">
      <c r="A95" s="22">
        <v>206202</v>
      </c>
      <c r="B95" s="18" t="s">
        <v>628</v>
      </c>
    </row>
    <row r="96" spans="1:2" x14ac:dyDescent="0.35">
      <c r="A96" s="22">
        <v>210304</v>
      </c>
      <c r="B96" s="18" t="s">
        <v>654</v>
      </c>
    </row>
    <row r="97" spans="1:2" x14ac:dyDescent="0.35">
      <c r="A97" s="22">
        <v>206755</v>
      </c>
      <c r="B97" s="18" t="s">
        <v>371</v>
      </c>
    </row>
    <row r="98" spans="1:2" x14ac:dyDescent="0.35">
      <c r="A98" s="22">
        <v>205766</v>
      </c>
      <c r="B98" s="18" t="s">
        <v>787</v>
      </c>
    </row>
    <row r="99" spans="1:2" x14ac:dyDescent="0.35">
      <c r="A99" s="22">
        <v>204630</v>
      </c>
      <c r="B99" s="18" t="s">
        <v>752</v>
      </c>
    </row>
  </sheetData>
  <autoFilter ref="A1:B99" xr:uid="{707945FF-9A72-4E8A-AAB4-503349CCC711}">
    <sortState xmlns:xlrd2="http://schemas.microsoft.com/office/spreadsheetml/2017/richdata2" ref="A2:B99">
      <sortCondition ref="B1:B99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0EFA-1AB6-4D53-A339-E4DF5CA2356A}">
  <dimension ref="A1:P28"/>
  <sheetViews>
    <sheetView topLeftCell="A15" workbookViewId="0">
      <selection activeCell="C54" sqref="C54"/>
    </sheetView>
  </sheetViews>
  <sheetFormatPr baseColWidth="10" defaultColWidth="11.453125" defaultRowHeight="14.5" x14ac:dyDescent="0.35"/>
  <cols>
    <col min="1" max="1" width="17.54296875" bestFit="1" customWidth="1"/>
    <col min="10" max="10" width="3.81640625" customWidth="1"/>
  </cols>
  <sheetData>
    <row r="1" spans="1:16" hidden="1" x14ac:dyDescent="0.35">
      <c r="K1" t="s">
        <v>795</v>
      </c>
    </row>
    <row r="2" spans="1:16" hidden="1" x14ac:dyDescent="0.35">
      <c r="B2" s="133" t="s">
        <v>796</v>
      </c>
      <c r="C2" s="133" t="s">
        <v>797</v>
      </c>
      <c r="D2" s="133" t="s">
        <v>798</v>
      </c>
      <c r="E2" s="133" t="s">
        <v>799</v>
      </c>
      <c r="F2" s="133" t="s">
        <v>800</v>
      </c>
      <c r="G2" s="133"/>
      <c r="H2" s="133" t="s">
        <v>801</v>
      </c>
      <c r="I2" s="133" t="s">
        <v>802</v>
      </c>
      <c r="K2" s="134" t="s">
        <v>798</v>
      </c>
      <c r="L2" s="134" t="s">
        <v>799</v>
      </c>
      <c r="M2" s="134" t="s">
        <v>800</v>
      </c>
      <c r="N2" s="134" t="s">
        <v>803</v>
      </c>
      <c r="O2" s="134" t="s">
        <v>801</v>
      </c>
      <c r="P2" s="134" t="s">
        <v>802</v>
      </c>
    </row>
    <row r="3" spans="1:16" hidden="1" x14ac:dyDescent="0.35">
      <c r="A3" s="135" t="s">
        <v>804</v>
      </c>
      <c r="B3" s="2">
        <v>111</v>
      </c>
      <c r="C3" s="2">
        <v>74</v>
      </c>
      <c r="D3" s="2">
        <v>31</v>
      </c>
      <c r="E3" s="2">
        <v>4</v>
      </c>
      <c r="F3" s="2">
        <v>2</v>
      </c>
      <c r="G3" s="2"/>
      <c r="H3" s="2">
        <f>SUM(C3:F3)</f>
        <v>111</v>
      </c>
      <c r="I3" s="136">
        <f>H3/B3</f>
        <v>1</v>
      </c>
      <c r="K3" s="14">
        <v>4</v>
      </c>
      <c r="L3" s="14">
        <v>97</v>
      </c>
      <c r="M3" s="14">
        <v>5</v>
      </c>
      <c r="N3" s="14">
        <v>14</v>
      </c>
      <c r="O3" s="14">
        <f>SUM(K3:N3)</f>
        <v>120</v>
      </c>
      <c r="P3" s="9">
        <f>O3/B5</f>
        <v>1</v>
      </c>
    </row>
    <row r="4" spans="1:16" hidden="1" x14ac:dyDescent="0.35">
      <c r="A4" s="135" t="s">
        <v>805</v>
      </c>
      <c r="B4" s="2">
        <v>9</v>
      </c>
      <c r="C4" s="137">
        <v>0</v>
      </c>
      <c r="D4" s="2">
        <v>2</v>
      </c>
      <c r="E4" s="2">
        <v>4</v>
      </c>
      <c r="F4" s="2">
        <v>3</v>
      </c>
      <c r="G4" s="2"/>
      <c r="H4" s="138">
        <f>SUM(C4:F4)</f>
        <v>9</v>
      </c>
      <c r="I4" s="136">
        <f>H4/B4</f>
        <v>1</v>
      </c>
    </row>
    <row r="5" spans="1:16" hidden="1" x14ac:dyDescent="0.35">
      <c r="A5" s="135" t="s">
        <v>806</v>
      </c>
      <c r="B5" s="2">
        <f t="shared" ref="B5:H5" si="0">SUM(B3:B4)</f>
        <v>120</v>
      </c>
      <c r="C5" s="2">
        <f t="shared" si="0"/>
        <v>74</v>
      </c>
      <c r="D5" s="2">
        <f t="shared" si="0"/>
        <v>33</v>
      </c>
      <c r="E5" s="2">
        <f t="shared" si="0"/>
        <v>8</v>
      </c>
      <c r="F5" s="2">
        <f t="shared" si="0"/>
        <v>5</v>
      </c>
      <c r="G5" s="2"/>
      <c r="H5" s="2">
        <f t="shared" si="0"/>
        <v>120</v>
      </c>
      <c r="I5" s="136">
        <f>H5/B5</f>
        <v>1</v>
      </c>
    </row>
    <row r="6" spans="1:16" hidden="1" x14ac:dyDescent="0.35"/>
    <row r="7" spans="1:16" hidden="1" x14ac:dyDescent="0.35"/>
    <row r="8" spans="1:16" hidden="1" x14ac:dyDescent="0.35"/>
    <row r="9" spans="1:16" hidden="1" x14ac:dyDescent="0.35">
      <c r="K9" t="s">
        <v>795</v>
      </c>
    </row>
    <row r="10" spans="1:16" hidden="1" x14ac:dyDescent="0.35">
      <c r="B10" s="134" t="s">
        <v>796</v>
      </c>
      <c r="C10" s="134" t="s">
        <v>797</v>
      </c>
      <c r="D10" s="134" t="s">
        <v>798</v>
      </c>
      <c r="E10" s="134" t="s">
        <v>799</v>
      </c>
      <c r="F10" s="134" t="s">
        <v>800</v>
      </c>
      <c r="G10" s="134"/>
      <c r="H10" s="134" t="s">
        <v>801</v>
      </c>
      <c r="I10" s="134" t="s">
        <v>802</v>
      </c>
      <c r="K10" s="134" t="s">
        <v>798</v>
      </c>
      <c r="L10" s="134" t="s">
        <v>799</v>
      </c>
      <c r="M10" s="134" t="s">
        <v>800</v>
      </c>
      <c r="N10" s="134" t="s">
        <v>803</v>
      </c>
      <c r="O10" s="134" t="s">
        <v>801</v>
      </c>
      <c r="P10" s="134" t="s">
        <v>802</v>
      </c>
    </row>
    <row r="11" spans="1:16" hidden="1" x14ac:dyDescent="0.35">
      <c r="A11" s="135" t="s">
        <v>807</v>
      </c>
      <c r="B11" s="2">
        <v>94</v>
      </c>
      <c r="C11" s="2">
        <v>45</v>
      </c>
      <c r="D11" s="2">
        <v>42</v>
      </c>
      <c r="E11" s="2">
        <v>5</v>
      </c>
      <c r="F11" s="2">
        <v>2</v>
      </c>
      <c r="G11" s="2"/>
      <c r="H11" s="2">
        <f>SUM(C11:F11)</f>
        <v>94</v>
      </c>
      <c r="I11" s="136">
        <f>H11/B11</f>
        <v>1</v>
      </c>
      <c r="K11" s="39">
        <v>0</v>
      </c>
      <c r="L11" s="14">
        <v>73</v>
      </c>
      <c r="M11" s="14">
        <v>14</v>
      </c>
      <c r="N11" s="14">
        <v>7</v>
      </c>
      <c r="O11" s="14">
        <f>SUM(K11:N11)</f>
        <v>94</v>
      </c>
      <c r="P11" s="9">
        <f>O11/B11</f>
        <v>1</v>
      </c>
    </row>
    <row r="12" spans="1:16" hidden="1" x14ac:dyDescent="0.35">
      <c r="H12">
        <f>H11-B11</f>
        <v>0</v>
      </c>
    </row>
    <row r="13" spans="1:16" hidden="1" x14ac:dyDescent="0.35"/>
    <row r="14" spans="1:16" hidden="1" x14ac:dyDescent="0.35"/>
    <row r="17" spans="1:16" x14ac:dyDescent="0.35">
      <c r="K17" t="s">
        <v>795</v>
      </c>
    </row>
    <row r="18" spans="1:16" x14ac:dyDescent="0.35">
      <c r="B18" s="133" t="s">
        <v>808</v>
      </c>
      <c r="C18" s="134" t="s">
        <v>809</v>
      </c>
      <c r="D18" s="134" t="s">
        <v>810</v>
      </c>
      <c r="E18" s="134" t="s">
        <v>803</v>
      </c>
      <c r="F18" s="134" t="s">
        <v>811</v>
      </c>
      <c r="G18" s="134" t="s">
        <v>812</v>
      </c>
      <c r="H18" s="133" t="s">
        <v>801</v>
      </c>
      <c r="I18" s="133" t="s">
        <v>802</v>
      </c>
      <c r="K18" s="134" t="s">
        <v>803</v>
      </c>
      <c r="L18" s="134" t="s">
        <v>812</v>
      </c>
      <c r="M18" s="134" t="s">
        <v>813</v>
      </c>
      <c r="N18" s="134"/>
      <c r="O18" s="134" t="s">
        <v>801</v>
      </c>
      <c r="P18" s="134" t="s">
        <v>802</v>
      </c>
    </row>
    <row r="19" spans="1:16" x14ac:dyDescent="0.35">
      <c r="A19" s="135" t="s">
        <v>804</v>
      </c>
      <c r="B19" s="2">
        <v>112</v>
      </c>
      <c r="C19" s="2">
        <v>54</v>
      </c>
      <c r="D19" s="2">
        <v>45</v>
      </c>
      <c r="E19" s="2">
        <v>7</v>
      </c>
      <c r="F19" s="2">
        <v>2</v>
      </c>
      <c r="G19" s="2">
        <v>3</v>
      </c>
      <c r="H19" s="2">
        <f>SUM(C19:G19)</f>
        <v>111</v>
      </c>
      <c r="I19" s="136">
        <f>H19/B19</f>
        <v>0.9910714285714286</v>
      </c>
      <c r="K19" s="14">
        <v>85</v>
      </c>
      <c r="L19" s="14">
        <v>30</v>
      </c>
      <c r="M19" s="14">
        <v>1</v>
      </c>
      <c r="N19" s="14"/>
      <c r="O19" s="14">
        <f>SUM(K19:N19)</f>
        <v>116</v>
      </c>
      <c r="P19" s="9">
        <f>O19/B21</f>
        <v>0.95081967213114749</v>
      </c>
    </row>
    <row r="20" spans="1:16" x14ac:dyDescent="0.35">
      <c r="A20" s="135" t="s">
        <v>805</v>
      </c>
      <c r="B20" s="2">
        <v>10</v>
      </c>
      <c r="C20" s="137"/>
      <c r="D20" s="2"/>
      <c r="E20" s="2">
        <v>4</v>
      </c>
      <c r="F20" s="2">
        <v>6</v>
      </c>
      <c r="G20" s="2"/>
      <c r="H20" s="138">
        <f>SUM(C20:G20)</f>
        <v>10</v>
      </c>
      <c r="I20" s="136">
        <f>H20/B20</f>
        <v>1</v>
      </c>
    </row>
    <row r="21" spans="1:16" x14ac:dyDescent="0.35">
      <c r="A21" s="135" t="s">
        <v>806</v>
      </c>
      <c r="B21" s="2">
        <f t="shared" ref="B21:H21" si="1">SUM(B19:B20)</f>
        <v>122</v>
      </c>
      <c r="C21" s="2">
        <f t="shared" si="1"/>
        <v>54</v>
      </c>
      <c r="D21" s="2">
        <f t="shared" si="1"/>
        <v>45</v>
      </c>
      <c r="E21" s="2">
        <f t="shared" si="1"/>
        <v>11</v>
      </c>
      <c r="F21" s="2">
        <f t="shared" si="1"/>
        <v>8</v>
      </c>
      <c r="G21" s="2"/>
      <c r="H21" s="2">
        <f t="shared" si="1"/>
        <v>121</v>
      </c>
      <c r="I21" s="136">
        <f>H21/B21</f>
        <v>0.99180327868852458</v>
      </c>
    </row>
    <row r="22" spans="1:16" x14ac:dyDescent="0.35">
      <c r="H22">
        <f>H21-B21</f>
        <v>-1</v>
      </c>
    </row>
    <row r="25" spans="1:16" x14ac:dyDescent="0.35">
      <c r="K25" t="s">
        <v>795</v>
      </c>
    </row>
    <row r="26" spans="1:16" x14ac:dyDescent="0.35">
      <c r="B26" s="134" t="s">
        <v>808</v>
      </c>
      <c r="C26" s="134" t="s">
        <v>809</v>
      </c>
      <c r="D26" s="134" t="s">
        <v>810</v>
      </c>
      <c r="E26" s="134" t="s">
        <v>803</v>
      </c>
      <c r="F26" s="134" t="s">
        <v>811</v>
      </c>
      <c r="G26" s="134" t="s">
        <v>812</v>
      </c>
      <c r="H26" s="134" t="s">
        <v>801</v>
      </c>
      <c r="I26" s="134" t="s">
        <v>802</v>
      </c>
      <c r="K26" s="134" t="s">
        <v>803</v>
      </c>
      <c r="L26" s="134" t="s">
        <v>812</v>
      </c>
      <c r="M26" s="134"/>
      <c r="N26" s="134"/>
      <c r="O26" s="134" t="s">
        <v>801</v>
      </c>
      <c r="P26" s="134" t="s">
        <v>802</v>
      </c>
    </row>
    <row r="27" spans="1:16" x14ac:dyDescent="0.35">
      <c r="A27" s="135" t="s">
        <v>807</v>
      </c>
      <c r="B27" s="2">
        <v>94</v>
      </c>
      <c r="C27" s="2">
        <v>37</v>
      </c>
      <c r="D27" s="2">
        <v>51</v>
      </c>
      <c r="E27" s="2">
        <v>6</v>
      </c>
      <c r="F27" s="2"/>
      <c r="G27" s="2"/>
      <c r="H27" s="2">
        <f>SUM(C27:F27)</f>
        <v>94</v>
      </c>
      <c r="I27" s="136">
        <f>H27/B27</f>
        <v>1</v>
      </c>
      <c r="K27" s="140">
        <v>66</v>
      </c>
      <c r="L27" s="14">
        <v>28</v>
      </c>
      <c r="M27" s="14"/>
      <c r="N27" s="14"/>
      <c r="O27" s="14">
        <f>SUM(K27:N27)</f>
        <v>94</v>
      </c>
      <c r="P27" s="9">
        <f>O27/B27</f>
        <v>1</v>
      </c>
    </row>
    <row r="28" spans="1:16" x14ac:dyDescent="0.35">
      <c r="H28">
        <f>H27-B27</f>
        <v>0</v>
      </c>
    </row>
  </sheetData>
  <pageMargins left="0.7" right="0.7" top="0.75" bottom="0.75" header="0.3" footer="0.3"/>
  <pageSetup paperSize="9" orientation="portrait" r:id="rId1"/>
  <ignoredErrors>
    <ignoredError sqref="H4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F119"/>
  <sheetViews>
    <sheetView zoomScale="60" zoomScaleNormal="60" workbookViewId="0">
      <pane xSplit="4" ySplit="21" topLeftCell="E22" activePane="bottomRight" state="frozen"/>
      <selection pane="topRight" activeCell="E1" sqref="E1"/>
      <selection pane="bottomLeft" activeCell="A22" sqref="A22"/>
      <selection pane="bottomRight" activeCell="E22" sqref="E22"/>
    </sheetView>
  </sheetViews>
  <sheetFormatPr baseColWidth="10" defaultColWidth="11.453125" defaultRowHeight="14.5" x14ac:dyDescent="0.35"/>
  <cols>
    <col min="1" max="1" width="19.453125" bestFit="1" customWidth="1"/>
    <col min="2" max="2" width="75.453125" bestFit="1" customWidth="1"/>
    <col min="3" max="3" width="14.453125" bestFit="1" customWidth="1"/>
    <col min="4" max="4" width="35.54296875" bestFit="1" customWidth="1"/>
    <col min="5" max="5" width="60.1796875" customWidth="1"/>
    <col min="6" max="6" width="16.54296875" bestFit="1" customWidth="1"/>
    <col min="7" max="7" width="22.26953125" bestFit="1" customWidth="1"/>
    <col min="8" max="8" width="25.54296875" bestFit="1" customWidth="1"/>
    <col min="9" max="9" width="24.1796875" bestFit="1" customWidth="1"/>
    <col min="10" max="10" width="11.54296875" bestFit="1" customWidth="1"/>
    <col min="11" max="12" width="25.54296875" bestFit="1" customWidth="1"/>
    <col min="13" max="13" width="29.7265625" bestFit="1" customWidth="1"/>
    <col min="14" max="14" width="11.54296875" bestFit="1" customWidth="1"/>
    <col min="15" max="15" width="24.7265625" bestFit="1" customWidth="1"/>
    <col min="16" max="16" width="22.26953125" bestFit="1" customWidth="1"/>
    <col min="17" max="17" width="83.26953125" bestFit="1" customWidth="1"/>
    <col min="18" max="18" width="20.453125" bestFit="1" customWidth="1"/>
    <col min="19" max="19" width="17.26953125" bestFit="1" customWidth="1"/>
    <col min="20" max="21" width="25.54296875" bestFit="1" customWidth="1"/>
    <col min="22" max="22" width="29.7265625" bestFit="1" customWidth="1"/>
    <col min="23" max="23" width="11.54296875" bestFit="1" customWidth="1"/>
    <col min="24" max="24" width="22.26953125" bestFit="1" customWidth="1"/>
    <col min="25" max="25" width="84.453125" bestFit="1" customWidth="1"/>
    <col min="26" max="26" width="20.453125" bestFit="1" customWidth="1"/>
    <col min="27" max="27" width="20.453125" customWidth="1"/>
    <col min="28" max="28" width="25.54296875" bestFit="1" customWidth="1"/>
    <col min="29" max="29" width="12.7265625" customWidth="1"/>
    <col min="33" max="33" width="27.7265625" bestFit="1" customWidth="1"/>
    <col min="34" max="34" width="20.453125" bestFit="1" customWidth="1"/>
    <col min="35" max="35" width="17.26953125" bestFit="1" customWidth="1"/>
    <col min="36" max="36" width="25.453125" style="5" bestFit="1" customWidth="1"/>
    <col min="37" max="37" width="27.7265625" bestFit="1" customWidth="1"/>
    <col min="38" max="38" width="18.26953125" bestFit="1" customWidth="1"/>
    <col min="39" max="39" width="18.54296875" customWidth="1"/>
    <col min="44" max="44" width="25.1796875" bestFit="1" customWidth="1"/>
    <col min="45" max="45" width="27.7265625" bestFit="1" customWidth="1"/>
    <col min="52" max="52" width="18.453125" bestFit="1" customWidth="1"/>
    <col min="53" max="53" width="20.1796875" bestFit="1" customWidth="1"/>
    <col min="54" max="54" width="25.54296875" bestFit="1" customWidth="1"/>
    <col min="61" max="61" width="13.7265625" bestFit="1" customWidth="1"/>
    <col min="62" max="62" width="25.54296875" bestFit="1" customWidth="1"/>
    <col min="63" max="63" width="29.7265625" bestFit="1" customWidth="1"/>
    <col min="69" max="69" width="20.1796875" bestFit="1" customWidth="1"/>
    <col min="77" max="77" width="20.1796875" bestFit="1" customWidth="1"/>
  </cols>
  <sheetData>
    <row r="2" spans="1:84" ht="26" x14ac:dyDescent="0.6">
      <c r="A2" s="239" t="s">
        <v>540</v>
      </c>
      <c r="B2" s="239"/>
      <c r="C2" s="239"/>
      <c r="D2" s="239"/>
      <c r="E2" s="239"/>
      <c r="F2" s="239"/>
      <c r="G2" s="48"/>
      <c r="H2" s="249" t="s">
        <v>0</v>
      </c>
      <c r="I2" s="249"/>
      <c r="J2" s="249"/>
      <c r="K2" s="251" t="s">
        <v>1</v>
      </c>
      <c r="L2" s="251"/>
      <c r="M2" s="251"/>
      <c r="N2" s="251"/>
      <c r="O2" s="251"/>
      <c r="P2" s="251"/>
      <c r="Q2" s="251"/>
      <c r="R2" s="251"/>
      <c r="S2" s="72"/>
      <c r="T2" s="250" t="s">
        <v>2</v>
      </c>
      <c r="U2" s="250"/>
      <c r="V2" s="250"/>
      <c r="W2" s="250"/>
      <c r="X2" s="250"/>
      <c r="Y2" s="250"/>
      <c r="Z2" s="250"/>
      <c r="AA2" s="71"/>
      <c r="AB2" s="252" t="s">
        <v>3</v>
      </c>
      <c r="AC2" s="252"/>
      <c r="AD2" s="252"/>
      <c r="AE2" s="252"/>
      <c r="AF2" s="252"/>
      <c r="AG2" s="252"/>
      <c r="AH2" s="252"/>
      <c r="AI2" s="252"/>
      <c r="AJ2" s="252"/>
      <c r="AK2" s="248" t="s">
        <v>4</v>
      </c>
      <c r="AL2" s="248"/>
      <c r="AM2" s="248"/>
      <c r="AN2" s="248"/>
      <c r="AO2" s="248"/>
      <c r="AP2" s="248"/>
      <c r="AQ2" s="248"/>
      <c r="AR2" s="248"/>
      <c r="AS2" s="246" t="s">
        <v>5</v>
      </c>
      <c r="AT2" s="246"/>
      <c r="AU2" s="246"/>
      <c r="AV2" s="246"/>
      <c r="AW2" s="246"/>
      <c r="AX2" s="246"/>
      <c r="AY2" s="246"/>
      <c r="AZ2" s="247"/>
      <c r="BA2" s="245" t="s">
        <v>6</v>
      </c>
      <c r="BB2" s="245"/>
      <c r="BC2" s="245"/>
      <c r="BD2" s="245"/>
      <c r="BE2" s="245"/>
      <c r="BF2" s="245"/>
      <c r="BG2" s="245"/>
      <c r="BH2" s="245"/>
      <c r="BI2" s="244" t="s">
        <v>7</v>
      </c>
      <c r="BJ2" s="244"/>
      <c r="BK2" s="244"/>
      <c r="BL2" s="244"/>
      <c r="BM2" s="244"/>
      <c r="BN2" s="244"/>
      <c r="BO2" s="244"/>
      <c r="BP2" s="244"/>
      <c r="BQ2" s="243" t="s">
        <v>8</v>
      </c>
      <c r="BR2" s="243"/>
      <c r="BS2" s="243"/>
      <c r="BT2" s="243"/>
      <c r="BU2" s="243"/>
      <c r="BV2" s="243"/>
      <c r="BW2" s="243"/>
      <c r="BX2" s="243"/>
      <c r="BY2" s="242" t="s">
        <v>9</v>
      </c>
      <c r="BZ2" s="242"/>
      <c r="CA2" s="242"/>
      <c r="CB2" s="242"/>
      <c r="CC2" s="242"/>
      <c r="CD2" s="242"/>
      <c r="CE2" s="242"/>
      <c r="CF2" s="242"/>
    </row>
    <row r="3" spans="1:84" ht="13.5" customHeight="1" x14ac:dyDescent="0.35">
      <c r="A3" s="4" t="s">
        <v>10</v>
      </c>
      <c r="B3" s="4" t="s">
        <v>543</v>
      </c>
      <c r="C3" s="4" t="s">
        <v>544</v>
      </c>
      <c r="D3" s="4" t="s">
        <v>545</v>
      </c>
      <c r="E3" s="4" t="s">
        <v>546</v>
      </c>
      <c r="F3" s="4" t="s">
        <v>16</v>
      </c>
      <c r="G3" s="50" t="s">
        <v>17</v>
      </c>
      <c r="H3" s="4" t="s">
        <v>18</v>
      </c>
      <c r="I3" s="4" t="s">
        <v>19</v>
      </c>
      <c r="J3" s="4" t="s">
        <v>20</v>
      </c>
      <c r="K3" s="4" t="s">
        <v>18</v>
      </c>
      <c r="L3" s="4" t="s">
        <v>21</v>
      </c>
      <c r="M3" s="4" t="s">
        <v>22</v>
      </c>
      <c r="N3" s="4" t="s">
        <v>20</v>
      </c>
      <c r="O3" s="4" t="s">
        <v>814</v>
      </c>
      <c r="P3" s="4" t="s">
        <v>23</v>
      </c>
      <c r="Q3" s="4" t="s">
        <v>24</v>
      </c>
      <c r="R3" s="4" t="s">
        <v>25</v>
      </c>
      <c r="S3" s="4" t="s">
        <v>26</v>
      </c>
      <c r="T3" s="4" t="s">
        <v>18</v>
      </c>
      <c r="U3" s="4" t="s">
        <v>21</v>
      </c>
      <c r="V3" s="4" t="s">
        <v>22</v>
      </c>
      <c r="W3" s="4" t="s">
        <v>20</v>
      </c>
      <c r="X3" s="4" t="s">
        <v>23</v>
      </c>
      <c r="Y3" s="4" t="s">
        <v>24</v>
      </c>
      <c r="Z3" s="4" t="s">
        <v>25</v>
      </c>
      <c r="AA3" s="4" t="s">
        <v>26</v>
      </c>
      <c r="AB3" s="70" t="s">
        <v>18</v>
      </c>
      <c r="AC3" s="4" t="s">
        <v>21</v>
      </c>
      <c r="AD3" s="4" t="s">
        <v>22</v>
      </c>
      <c r="AE3" s="4" t="s">
        <v>20</v>
      </c>
      <c r="AF3" s="4" t="s">
        <v>23</v>
      </c>
      <c r="AG3" s="4" t="s">
        <v>24</v>
      </c>
      <c r="AH3" s="4" t="s">
        <v>25</v>
      </c>
      <c r="AI3" s="4" t="s">
        <v>26</v>
      </c>
      <c r="AJ3" s="69" t="s">
        <v>27</v>
      </c>
      <c r="AK3" s="70" t="s">
        <v>18</v>
      </c>
      <c r="AL3" s="4" t="s">
        <v>21</v>
      </c>
      <c r="AM3" s="4" t="s">
        <v>22</v>
      </c>
      <c r="AN3" s="4" t="s">
        <v>20</v>
      </c>
      <c r="AO3" s="4" t="s">
        <v>24</v>
      </c>
      <c r="AP3" s="4" t="s">
        <v>25</v>
      </c>
      <c r="AQ3" s="4" t="s">
        <v>26</v>
      </c>
      <c r="AR3" s="69" t="s">
        <v>27</v>
      </c>
      <c r="AS3" s="70" t="s">
        <v>18</v>
      </c>
      <c r="AT3" s="4" t="s">
        <v>21</v>
      </c>
      <c r="AU3" s="4" t="s">
        <v>22</v>
      </c>
      <c r="AV3" s="4" t="s">
        <v>20</v>
      </c>
      <c r="AW3" s="4" t="s">
        <v>24</v>
      </c>
      <c r="AX3" s="4" t="s">
        <v>25</v>
      </c>
      <c r="AY3" s="4" t="s">
        <v>26</v>
      </c>
      <c r="AZ3" s="83" t="s">
        <v>27</v>
      </c>
      <c r="BA3" s="70" t="s">
        <v>18</v>
      </c>
      <c r="BB3" s="4" t="s">
        <v>21</v>
      </c>
      <c r="BC3" s="4" t="s">
        <v>22</v>
      </c>
      <c r="BD3" s="4" t="s">
        <v>20</v>
      </c>
      <c r="BE3" s="4" t="s">
        <v>24</v>
      </c>
      <c r="BF3" s="4" t="s">
        <v>25</v>
      </c>
      <c r="BG3" s="4" t="s">
        <v>26</v>
      </c>
      <c r="BH3" s="69" t="s">
        <v>27</v>
      </c>
      <c r="BI3" s="70" t="s">
        <v>18</v>
      </c>
      <c r="BJ3" s="4" t="s">
        <v>21</v>
      </c>
      <c r="BK3" s="4" t="s">
        <v>22</v>
      </c>
      <c r="BL3" s="4" t="s">
        <v>20</v>
      </c>
      <c r="BM3" s="4" t="s">
        <v>24</v>
      </c>
      <c r="BN3" s="4" t="s">
        <v>25</v>
      </c>
      <c r="BO3" s="4" t="s">
        <v>26</v>
      </c>
      <c r="BP3" s="69" t="s">
        <v>27</v>
      </c>
      <c r="BQ3" s="70" t="s">
        <v>18</v>
      </c>
      <c r="BR3" s="4" t="s">
        <v>21</v>
      </c>
      <c r="BS3" s="4" t="s">
        <v>22</v>
      </c>
      <c r="BT3" s="4" t="s">
        <v>20</v>
      </c>
      <c r="BU3" s="4" t="s">
        <v>24</v>
      </c>
      <c r="BV3" s="4" t="s">
        <v>25</v>
      </c>
      <c r="BW3" s="4" t="s">
        <v>26</v>
      </c>
      <c r="BX3" s="69" t="s">
        <v>27</v>
      </c>
      <c r="BY3" s="70" t="s">
        <v>18</v>
      </c>
      <c r="BZ3" s="4" t="s">
        <v>21</v>
      </c>
      <c r="CA3" s="4" t="s">
        <v>22</v>
      </c>
      <c r="CB3" s="4" t="s">
        <v>20</v>
      </c>
      <c r="CC3" s="4" t="s">
        <v>24</v>
      </c>
      <c r="CD3" s="4" t="s">
        <v>25</v>
      </c>
      <c r="CE3" s="4" t="s">
        <v>26</v>
      </c>
      <c r="CF3" s="69" t="s">
        <v>27</v>
      </c>
    </row>
    <row r="4" spans="1:84" x14ac:dyDescent="0.35">
      <c r="A4" s="73" t="s">
        <v>33</v>
      </c>
      <c r="B4" s="14" t="s">
        <v>547</v>
      </c>
      <c r="C4" s="1"/>
      <c r="D4" s="1">
        <v>238176</v>
      </c>
      <c r="E4" s="16" t="s">
        <v>548</v>
      </c>
      <c r="F4" s="17" t="s">
        <v>549</v>
      </c>
      <c r="G4" s="39">
        <v>8731476</v>
      </c>
      <c r="H4" s="39">
        <v>8731476</v>
      </c>
      <c r="I4" s="8">
        <f>+H4-G4</f>
        <v>0</v>
      </c>
      <c r="J4" s="8">
        <f>+I4/G4</f>
        <v>0</v>
      </c>
      <c r="K4" s="12">
        <v>8731476</v>
      </c>
      <c r="L4" s="12"/>
      <c r="M4" s="12"/>
      <c r="N4" s="9"/>
      <c r="O4" s="14"/>
      <c r="P4" s="14" t="s">
        <v>38</v>
      </c>
      <c r="Q4" s="14"/>
      <c r="R4" s="14" t="s">
        <v>31</v>
      </c>
      <c r="S4" s="77" t="s">
        <v>83</v>
      </c>
      <c r="T4" s="43">
        <v>8731476</v>
      </c>
      <c r="U4" s="44">
        <f>+H4-T4</f>
        <v>0</v>
      </c>
      <c r="V4" s="14"/>
      <c r="W4" s="8">
        <f>+U4/H4</f>
        <v>0</v>
      </c>
      <c r="X4" s="14"/>
      <c r="Y4" s="14" t="s">
        <v>815</v>
      </c>
      <c r="Z4" s="14" t="s">
        <v>31</v>
      </c>
      <c r="AA4" s="3"/>
      <c r="AB4" s="39">
        <f>+T4</f>
        <v>8731476</v>
      </c>
      <c r="AC4" s="8">
        <f>+K4-AB4</f>
        <v>0</v>
      </c>
      <c r="AD4" s="14"/>
      <c r="AE4" s="14">
        <v>0</v>
      </c>
      <c r="AF4" s="14" t="s">
        <v>38</v>
      </c>
      <c r="AG4" s="14"/>
      <c r="AH4" s="14" t="s">
        <v>31</v>
      </c>
      <c r="AI4" s="3"/>
      <c r="AJ4" s="51">
        <v>1900003299</v>
      </c>
      <c r="AK4" s="39">
        <v>8731476</v>
      </c>
      <c r="AL4" s="14">
        <v>0</v>
      </c>
      <c r="AM4" s="14"/>
      <c r="AN4" s="14">
        <v>0</v>
      </c>
      <c r="AO4" s="14"/>
      <c r="AP4" s="14" t="s">
        <v>31</v>
      </c>
      <c r="AQ4" s="14"/>
      <c r="AR4" s="20">
        <v>1900003684</v>
      </c>
      <c r="AS4" s="39">
        <v>8731476</v>
      </c>
      <c r="AT4" s="8">
        <f>+H4-AS4</f>
        <v>0</v>
      </c>
      <c r="AU4" s="14"/>
      <c r="AV4" s="9">
        <f>+AT4/H4</f>
        <v>0</v>
      </c>
      <c r="AW4" s="14"/>
      <c r="AX4" s="14" t="s">
        <v>31</v>
      </c>
      <c r="AY4" s="14"/>
      <c r="AZ4" s="85" t="s">
        <v>816</v>
      </c>
      <c r="BA4" s="39">
        <v>8731476</v>
      </c>
      <c r="BB4" s="14">
        <v>0</v>
      </c>
      <c r="BC4" s="14"/>
      <c r="BD4" s="14">
        <v>0</v>
      </c>
      <c r="BE4" s="14"/>
      <c r="BF4" s="14" t="s">
        <v>31</v>
      </c>
      <c r="BG4" s="14"/>
      <c r="BH4" s="14"/>
      <c r="BI4" s="39">
        <v>9255365</v>
      </c>
      <c r="BJ4" s="8">
        <f>+H4-BI4</f>
        <v>-523889</v>
      </c>
      <c r="BK4" s="14"/>
      <c r="BL4" s="9">
        <f>+BJ4/H4</f>
        <v>-6.0000050392396427E-2</v>
      </c>
      <c r="BM4" s="14"/>
      <c r="BN4" s="14" t="s">
        <v>31</v>
      </c>
      <c r="BO4" s="14"/>
      <c r="BP4" s="14"/>
      <c r="BQ4" s="39">
        <v>9255365</v>
      </c>
      <c r="BR4" s="14">
        <v>0</v>
      </c>
      <c r="BS4" s="14"/>
      <c r="BT4" s="14">
        <v>0</v>
      </c>
      <c r="BU4" s="14"/>
      <c r="BV4" s="14" t="s">
        <v>31</v>
      </c>
      <c r="BW4" s="14"/>
      <c r="BX4" s="14"/>
      <c r="BY4" s="39">
        <v>9255365</v>
      </c>
      <c r="BZ4" s="14">
        <v>0</v>
      </c>
      <c r="CA4" s="14"/>
      <c r="CB4" s="14">
        <v>0</v>
      </c>
      <c r="CC4" s="14"/>
      <c r="CD4" s="14" t="s">
        <v>31</v>
      </c>
      <c r="CE4" s="14"/>
      <c r="CF4" s="14"/>
    </row>
    <row r="5" spans="1:84" x14ac:dyDescent="0.35">
      <c r="A5" s="73" t="s">
        <v>28</v>
      </c>
      <c r="B5" s="14" t="s">
        <v>28</v>
      </c>
      <c r="C5" s="1">
        <v>8525</v>
      </c>
      <c r="D5" s="1">
        <v>251769</v>
      </c>
      <c r="E5" s="16" t="s">
        <v>550</v>
      </c>
      <c r="F5" s="23">
        <v>800121696</v>
      </c>
      <c r="G5" s="39"/>
      <c r="H5" s="39"/>
      <c r="I5" s="8"/>
      <c r="J5" s="8"/>
      <c r="K5" s="12"/>
      <c r="L5" s="12"/>
      <c r="M5" s="12"/>
      <c r="N5" s="9"/>
      <c r="O5" s="14"/>
      <c r="P5" s="14"/>
      <c r="Q5" s="14"/>
      <c r="R5" s="14"/>
      <c r="S5" s="77"/>
      <c r="T5" s="43"/>
      <c r="U5" s="44"/>
      <c r="V5" s="14"/>
      <c r="W5" s="8"/>
      <c r="X5" s="14"/>
      <c r="Y5" s="14"/>
      <c r="Z5" s="14"/>
      <c r="AA5" s="3"/>
      <c r="AB5" s="39">
        <v>682640</v>
      </c>
      <c r="AC5" s="8"/>
      <c r="AD5" s="14"/>
      <c r="AE5" s="14"/>
      <c r="AF5" s="14" t="s">
        <v>38</v>
      </c>
      <c r="AG5" s="14"/>
      <c r="AH5" s="14" t="s">
        <v>31</v>
      </c>
      <c r="AI5" s="3"/>
      <c r="AJ5" s="51"/>
      <c r="AK5" s="39">
        <v>682640</v>
      </c>
      <c r="AL5" s="8">
        <f>+AB5-AK5</f>
        <v>0</v>
      </c>
      <c r="AM5" s="14"/>
      <c r="AN5" s="8">
        <f>+AL5/AB5</f>
        <v>0</v>
      </c>
      <c r="AO5" s="14"/>
      <c r="AP5" s="14" t="s">
        <v>31</v>
      </c>
      <c r="AQ5" s="14"/>
      <c r="AR5" s="20"/>
      <c r="AS5" s="39">
        <v>682640</v>
      </c>
      <c r="AT5" s="8">
        <v>0</v>
      </c>
      <c r="AU5" s="14"/>
      <c r="AV5" s="14">
        <v>0</v>
      </c>
      <c r="AW5" s="14"/>
      <c r="AX5" s="14" t="s">
        <v>31</v>
      </c>
      <c r="AY5" s="14"/>
      <c r="AZ5" s="85">
        <v>1900004206</v>
      </c>
      <c r="BA5" s="39">
        <v>682640</v>
      </c>
      <c r="BB5" s="14">
        <v>0</v>
      </c>
      <c r="BC5" s="14"/>
      <c r="BD5" s="14">
        <v>0</v>
      </c>
      <c r="BE5" s="14"/>
      <c r="BF5" s="14" t="s">
        <v>31</v>
      </c>
      <c r="BG5" s="14"/>
      <c r="BH5" s="14"/>
      <c r="BI5" s="39">
        <v>682640</v>
      </c>
      <c r="BJ5" s="8">
        <v>0</v>
      </c>
      <c r="BK5" s="14"/>
      <c r="BL5" s="9">
        <v>0</v>
      </c>
      <c r="BM5" s="14"/>
      <c r="BN5" s="14" t="s">
        <v>31</v>
      </c>
      <c r="BO5" s="14"/>
      <c r="BP5" s="14"/>
      <c r="BQ5" s="39">
        <v>682640</v>
      </c>
      <c r="BR5" s="14">
        <v>0</v>
      </c>
      <c r="BS5" s="14"/>
      <c r="BT5" s="14">
        <v>0</v>
      </c>
      <c r="BU5" s="14"/>
      <c r="BV5" s="14" t="s">
        <v>31</v>
      </c>
      <c r="BW5" s="14"/>
      <c r="BX5" s="14"/>
      <c r="BY5" s="39">
        <v>682640</v>
      </c>
      <c r="BZ5" s="14">
        <v>0</v>
      </c>
      <c r="CA5" s="14"/>
      <c r="CB5" s="14">
        <v>0</v>
      </c>
      <c r="CC5" s="14"/>
      <c r="CD5" s="14" t="s">
        <v>31</v>
      </c>
      <c r="CE5" s="14"/>
      <c r="CF5" s="14"/>
    </row>
    <row r="6" spans="1:84" x14ac:dyDescent="0.35">
      <c r="A6" s="73" t="s">
        <v>39</v>
      </c>
      <c r="B6" s="26" t="s">
        <v>551</v>
      </c>
      <c r="C6" s="1">
        <v>9205</v>
      </c>
      <c r="D6" s="1">
        <v>204573</v>
      </c>
      <c r="E6" s="18" t="s">
        <v>552</v>
      </c>
      <c r="F6" s="19" t="s">
        <v>553</v>
      </c>
      <c r="G6" s="39">
        <v>1040962</v>
      </c>
      <c r="H6" s="39">
        <v>1040962</v>
      </c>
      <c r="I6" s="8">
        <f t="shared" ref="I6:I69" si="0">+H6-G6</f>
        <v>0</v>
      </c>
      <c r="J6" s="8">
        <f t="shared" ref="J6:J69" si="1">+I6/G6</f>
        <v>0</v>
      </c>
      <c r="K6" s="12">
        <v>505903</v>
      </c>
      <c r="L6" s="12">
        <f>+H6-K6</f>
        <v>535059</v>
      </c>
      <c r="M6" s="12"/>
      <c r="N6" s="9">
        <f t="shared" ref="N6:N69" si="2">+(L6+M6)/H6</f>
        <v>0.51400435366516739</v>
      </c>
      <c r="O6" s="14"/>
      <c r="P6" s="14" t="s">
        <v>46</v>
      </c>
      <c r="Q6" s="14" t="s">
        <v>122</v>
      </c>
      <c r="R6" s="14" t="s">
        <v>31</v>
      </c>
      <c r="S6" s="77" t="s">
        <v>32</v>
      </c>
      <c r="T6" s="39">
        <v>1011805</v>
      </c>
      <c r="U6" s="44">
        <f>+H6-T6</f>
        <v>29157</v>
      </c>
      <c r="V6" s="14"/>
      <c r="W6" s="9">
        <f>+U6/H6</f>
        <v>2.8009667980195243E-2</v>
      </c>
      <c r="X6" s="14"/>
      <c r="Y6" s="14"/>
      <c r="Z6" s="14"/>
      <c r="AA6" s="3"/>
      <c r="AB6" s="39">
        <v>1011805</v>
      </c>
      <c r="AC6" s="8">
        <f>+H6-AB6</f>
        <v>29157</v>
      </c>
      <c r="AD6" s="14"/>
      <c r="AE6" s="9">
        <f>+AC6/H6</f>
        <v>2.8009667980195243E-2</v>
      </c>
      <c r="AF6" s="14"/>
      <c r="AG6" s="14"/>
      <c r="AH6" s="14"/>
      <c r="AI6" s="3"/>
      <c r="AJ6" s="51"/>
      <c r="AK6" s="14"/>
      <c r="AL6" s="14"/>
      <c r="AM6" s="14"/>
      <c r="AN6" s="14"/>
      <c r="AO6" s="14"/>
      <c r="AP6" s="14"/>
      <c r="AQ6" s="14"/>
      <c r="AR6" s="20"/>
      <c r="AS6" s="39">
        <v>1011805</v>
      </c>
      <c r="AT6" s="8">
        <f>+H6-AS6</f>
        <v>29157</v>
      </c>
      <c r="AU6" s="14"/>
      <c r="AV6" s="9">
        <f>+AT6/H6</f>
        <v>2.8009667980195243E-2</v>
      </c>
      <c r="AW6" s="14"/>
      <c r="AX6" s="14" t="s">
        <v>31</v>
      </c>
      <c r="AY6" s="14"/>
      <c r="AZ6" s="85"/>
      <c r="BA6" s="39">
        <v>1011805</v>
      </c>
      <c r="BB6" s="8">
        <f t="shared" ref="BB6:BB11" si="3">+H6-BA6</f>
        <v>29157</v>
      </c>
      <c r="BC6" s="14"/>
      <c r="BD6" s="9">
        <f>+BB6/H6</f>
        <v>2.8009667980195243E-2</v>
      </c>
      <c r="BE6" s="14"/>
      <c r="BF6" s="14" t="s">
        <v>31</v>
      </c>
      <c r="BG6" s="14"/>
      <c r="BH6" s="14"/>
      <c r="BI6" s="39">
        <v>1011805</v>
      </c>
      <c r="BJ6" s="39">
        <f>+H6-BI6</f>
        <v>29157</v>
      </c>
      <c r="BK6" s="14"/>
      <c r="BL6" s="9">
        <f>+BJ6/H6</f>
        <v>2.8009667980195243E-2</v>
      </c>
      <c r="BM6" s="14"/>
      <c r="BN6" s="14" t="s">
        <v>31</v>
      </c>
      <c r="BO6" s="14"/>
      <c r="BP6" s="14"/>
      <c r="BQ6" s="39">
        <v>1011805</v>
      </c>
      <c r="BR6" s="8">
        <f>+H6-BQ6</f>
        <v>29157</v>
      </c>
      <c r="BS6" s="14"/>
      <c r="BT6" s="9">
        <f>+BR6/H6</f>
        <v>2.8009667980195243E-2</v>
      </c>
      <c r="BU6" s="14"/>
      <c r="BV6" s="14" t="s">
        <v>31</v>
      </c>
      <c r="BW6" s="14"/>
      <c r="BX6" s="14"/>
      <c r="BY6" s="39">
        <v>1011805</v>
      </c>
      <c r="BZ6" s="14">
        <v>0</v>
      </c>
      <c r="CA6" s="14"/>
      <c r="CB6" s="14">
        <v>0</v>
      </c>
      <c r="CC6" s="14"/>
      <c r="CD6" s="14" t="s">
        <v>31</v>
      </c>
      <c r="CE6" s="14"/>
      <c r="CF6" s="14"/>
    </row>
    <row r="7" spans="1:84" x14ac:dyDescent="0.35">
      <c r="A7" s="74" t="s">
        <v>42</v>
      </c>
      <c r="B7" s="26" t="s">
        <v>817</v>
      </c>
      <c r="C7" s="15">
        <v>9208</v>
      </c>
      <c r="D7" s="1">
        <v>204600</v>
      </c>
      <c r="E7" s="18" t="s">
        <v>554</v>
      </c>
      <c r="F7" s="19" t="s">
        <v>555</v>
      </c>
      <c r="G7" s="39">
        <v>984992</v>
      </c>
      <c r="H7" s="39">
        <v>984992</v>
      </c>
      <c r="I7" s="8">
        <f t="shared" si="0"/>
        <v>0</v>
      </c>
      <c r="J7" s="8">
        <f t="shared" si="1"/>
        <v>0</v>
      </c>
      <c r="K7" s="12">
        <f>+H7</f>
        <v>984992</v>
      </c>
      <c r="L7" s="12"/>
      <c r="M7" s="12"/>
      <c r="N7" s="9"/>
      <c r="O7" s="14"/>
      <c r="P7" s="14" t="s">
        <v>38</v>
      </c>
      <c r="Q7" s="14"/>
      <c r="R7" s="14" t="s">
        <v>31</v>
      </c>
      <c r="S7" s="77" t="s">
        <v>83</v>
      </c>
      <c r="T7" s="43">
        <v>984992</v>
      </c>
      <c r="U7" s="44">
        <f>+K7-T7</f>
        <v>0</v>
      </c>
      <c r="V7" s="14"/>
      <c r="W7" s="8">
        <f>+U7/H7</f>
        <v>0</v>
      </c>
      <c r="X7" s="14" t="s">
        <v>38</v>
      </c>
      <c r="Y7" s="14"/>
      <c r="Z7" s="14" t="s">
        <v>31</v>
      </c>
      <c r="AA7" s="77" t="s">
        <v>55</v>
      </c>
      <c r="AB7" s="39">
        <v>984992</v>
      </c>
      <c r="AC7" s="8">
        <f>+H7-AB7</f>
        <v>0</v>
      </c>
      <c r="AD7" s="39">
        <v>787994</v>
      </c>
      <c r="AE7" s="9">
        <f>+AD7/H7</f>
        <v>0.80000040609466883</v>
      </c>
      <c r="AF7" s="14" t="s">
        <v>38</v>
      </c>
      <c r="AG7" s="14"/>
      <c r="AH7" s="14" t="s">
        <v>31</v>
      </c>
      <c r="AI7" s="3"/>
      <c r="AJ7" s="51" t="s">
        <v>818</v>
      </c>
      <c r="AK7" s="39">
        <v>984992</v>
      </c>
      <c r="AL7" s="8">
        <f t="shared" ref="AL7:AL13" si="4">+H7-AK7</f>
        <v>0</v>
      </c>
      <c r="AM7" s="14"/>
      <c r="AN7" s="9">
        <f t="shared" ref="AN7:AN13" si="5">+AL7/H7</f>
        <v>0</v>
      </c>
      <c r="AO7" s="14"/>
      <c r="AP7" s="14" t="s">
        <v>31</v>
      </c>
      <c r="AQ7" s="14"/>
      <c r="AR7" s="20">
        <v>1900003690</v>
      </c>
      <c r="AS7" s="39">
        <v>984992</v>
      </c>
      <c r="AT7" s="8">
        <f>+H7-AS7</f>
        <v>0</v>
      </c>
      <c r="AU7" s="14"/>
      <c r="AV7" s="9">
        <f>+AT7/H7</f>
        <v>0</v>
      </c>
      <c r="AW7" s="14"/>
      <c r="AX7" s="14" t="s">
        <v>31</v>
      </c>
      <c r="AY7" s="14"/>
      <c r="AZ7" s="85">
        <v>1900004214</v>
      </c>
      <c r="BA7" s="39">
        <v>984992</v>
      </c>
      <c r="BB7" s="8">
        <f t="shared" si="3"/>
        <v>0</v>
      </c>
      <c r="BC7" s="14"/>
      <c r="BD7" s="14">
        <v>0</v>
      </c>
      <c r="BE7" s="14"/>
      <c r="BF7" s="14" t="s">
        <v>31</v>
      </c>
      <c r="BG7" s="14"/>
      <c r="BH7" s="14"/>
      <c r="BI7" s="39">
        <v>984992</v>
      </c>
      <c r="BJ7" s="8">
        <f>+H7-BI7</f>
        <v>0</v>
      </c>
      <c r="BK7" s="14"/>
      <c r="BL7" s="14">
        <v>0</v>
      </c>
      <c r="BM7" s="14"/>
      <c r="BN7" s="14" t="s">
        <v>31</v>
      </c>
      <c r="BO7" s="14"/>
      <c r="BP7" s="14"/>
      <c r="BQ7" s="39">
        <v>984992</v>
      </c>
      <c r="BR7" s="14">
        <v>0</v>
      </c>
      <c r="BS7" s="14"/>
      <c r="BT7" s="14">
        <v>0</v>
      </c>
      <c r="BU7" s="14"/>
      <c r="BV7" s="14" t="s">
        <v>31</v>
      </c>
      <c r="BW7" s="14"/>
      <c r="BX7" s="14"/>
      <c r="BY7" s="39">
        <v>984992</v>
      </c>
      <c r="BZ7" s="39">
        <f>BQ7-BY7</f>
        <v>0</v>
      </c>
      <c r="CA7" s="39"/>
      <c r="CB7" s="9">
        <v>0</v>
      </c>
      <c r="CC7" s="14"/>
      <c r="CD7" s="14" t="s">
        <v>31</v>
      </c>
      <c r="CE7" s="14"/>
      <c r="CF7" s="14"/>
    </row>
    <row r="8" spans="1:84" x14ac:dyDescent="0.35">
      <c r="A8" s="73" t="s">
        <v>48</v>
      </c>
      <c r="B8" s="14" t="s">
        <v>556</v>
      </c>
      <c r="C8" s="1">
        <v>9264</v>
      </c>
      <c r="D8" s="1">
        <v>208093</v>
      </c>
      <c r="E8" s="3" t="s">
        <v>819</v>
      </c>
      <c r="F8" s="20" t="s">
        <v>535</v>
      </c>
      <c r="G8" s="39">
        <v>1365664</v>
      </c>
      <c r="H8" s="39">
        <v>1365664</v>
      </c>
      <c r="I8" s="8">
        <f t="shared" si="0"/>
        <v>0</v>
      </c>
      <c r="J8" s="8">
        <f t="shared" si="1"/>
        <v>0</v>
      </c>
      <c r="K8" s="12"/>
      <c r="L8" s="12"/>
      <c r="M8" s="12"/>
      <c r="N8" s="8">
        <f t="shared" si="2"/>
        <v>0</v>
      </c>
      <c r="O8" s="14"/>
      <c r="P8" s="14"/>
      <c r="Q8" s="14"/>
      <c r="R8" s="14"/>
      <c r="S8" s="3"/>
      <c r="T8" s="39">
        <v>546266</v>
      </c>
      <c r="U8" s="8">
        <f>+H8-T8</f>
        <v>819398</v>
      </c>
      <c r="V8" s="14"/>
      <c r="W8" s="9">
        <f>+U8/H8</f>
        <v>0.5999997071021862</v>
      </c>
      <c r="X8" s="14" t="s">
        <v>46</v>
      </c>
      <c r="Y8" s="14"/>
      <c r="Z8" s="14" t="s">
        <v>31</v>
      </c>
      <c r="AA8" s="3"/>
      <c r="AB8" s="39">
        <v>546266</v>
      </c>
      <c r="AC8" s="8">
        <f>+H8-AB8</f>
        <v>819398</v>
      </c>
      <c r="AD8" s="14"/>
      <c r="AE8" s="9">
        <f>+AC8/H8</f>
        <v>0.5999997071021862</v>
      </c>
      <c r="AF8" s="14"/>
      <c r="AG8" s="14"/>
      <c r="AH8" s="14" t="s">
        <v>31</v>
      </c>
      <c r="AI8" s="3"/>
      <c r="AJ8" s="52">
        <v>1900003439</v>
      </c>
      <c r="AK8" s="39">
        <v>546266</v>
      </c>
      <c r="AL8" s="8">
        <f t="shared" si="4"/>
        <v>819398</v>
      </c>
      <c r="AM8" s="14"/>
      <c r="AN8" s="9">
        <f t="shared" si="5"/>
        <v>0.5999997071021862</v>
      </c>
      <c r="AO8" s="14"/>
      <c r="AP8" s="14" t="s">
        <v>31</v>
      </c>
      <c r="AQ8" s="14"/>
      <c r="AR8" s="20">
        <v>1900003889</v>
      </c>
      <c r="AS8" s="39">
        <v>1365664</v>
      </c>
      <c r="AT8" s="8">
        <f>+H8-AS8</f>
        <v>0</v>
      </c>
      <c r="AU8" s="14"/>
      <c r="AV8" s="14">
        <v>0</v>
      </c>
      <c r="AW8" s="14"/>
      <c r="AX8" s="14" t="s">
        <v>31</v>
      </c>
      <c r="AY8" s="14"/>
      <c r="AZ8" s="84">
        <v>1900004340</v>
      </c>
      <c r="BA8" s="8">
        <f>+AS8</f>
        <v>1365664</v>
      </c>
      <c r="BB8" s="8">
        <f t="shared" si="3"/>
        <v>0</v>
      </c>
      <c r="BC8" s="14"/>
      <c r="BD8" s="14">
        <v>0</v>
      </c>
      <c r="BE8" s="14"/>
      <c r="BF8" s="14" t="s">
        <v>31</v>
      </c>
      <c r="BG8" s="14"/>
      <c r="BH8" s="14"/>
      <c r="BI8" s="39">
        <v>955965</v>
      </c>
      <c r="BJ8" s="8">
        <f>+H8-BI8</f>
        <v>409699</v>
      </c>
      <c r="BK8" s="14"/>
      <c r="BL8" s="9">
        <f>+BJ8/H8</f>
        <v>0.2999998535510931</v>
      </c>
      <c r="BM8" s="14"/>
      <c r="BN8" s="14" t="s">
        <v>31</v>
      </c>
      <c r="BO8" s="14"/>
      <c r="BP8" s="14"/>
      <c r="BQ8" s="39">
        <v>955965</v>
      </c>
      <c r="BR8" s="14">
        <v>409699</v>
      </c>
      <c r="BS8" s="14"/>
      <c r="BT8" s="67">
        <v>0.3</v>
      </c>
      <c r="BU8" s="14"/>
      <c r="BV8" s="14" t="s">
        <v>31</v>
      </c>
      <c r="BW8" s="14"/>
      <c r="BX8" s="14"/>
      <c r="BY8" s="14"/>
      <c r="BZ8" s="14"/>
      <c r="CA8" s="14"/>
      <c r="CB8" s="14"/>
      <c r="CC8" s="14"/>
      <c r="CD8" s="14"/>
      <c r="CE8" s="14"/>
      <c r="CF8" s="14"/>
    </row>
    <row r="9" spans="1:84" x14ac:dyDescent="0.35">
      <c r="A9" s="73" t="s">
        <v>51</v>
      </c>
      <c r="B9" s="14" t="s">
        <v>558</v>
      </c>
      <c r="C9" s="1">
        <v>9355</v>
      </c>
      <c r="D9" s="1">
        <v>209888</v>
      </c>
      <c r="E9" s="16" t="s">
        <v>559</v>
      </c>
      <c r="F9" s="17" t="s">
        <v>560</v>
      </c>
      <c r="G9" s="39">
        <v>3964332</v>
      </c>
      <c r="H9" s="39">
        <v>3964332</v>
      </c>
      <c r="I9" s="8">
        <f t="shared" si="0"/>
        <v>0</v>
      </c>
      <c r="J9" s="8">
        <f t="shared" si="1"/>
        <v>0</v>
      </c>
      <c r="K9" s="12">
        <v>706717</v>
      </c>
      <c r="L9" s="12">
        <f>+H9-K9</f>
        <v>3257615</v>
      </c>
      <c r="M9" s="12"/>
      <c r="N9" s="9">
        <f t="shared" si="2"/>
        <v>0.82173112645459567</v>
      </c>
      <c r="O9" s="14"/>
      <c r="P9" s="14" t="s">
        <v>46</v>
      </c>
      <c r="Q9" s="14" t="s">
        <v>820</v>
      </c>
      <c r="R9" s="14" t="s">
        <v>31</v>
      </c>
      <c r="S9" s="3"/>
      <c r="T9" s="43">
        <f>795139+590768+883397</f>
        <v>2269304</v>
      </c>
      <c r="U9" s="44">
        <f>+H9-T9</f>
        <v>1695028</v>
      </c>
      <c r="V9" s="14"/>
      <c r="W9" s="9">
        <f>+U9/H9</f>
        <v>0.42756963846620311</v>
      </c>
      <c r="X9" s="14"/>
      <c r="Y9" s="14"/>
      <c r="Z9" s="14" t="s">
        <v>31</v>
      </c>
      <c r="AA9" s="78" t="s">
        <v>821</v>
      </c>
      <c r="AB9" s="39">
        <f>706717+11097+14728</f>
        <v>732542</v>
      </c>
      <c r="AC9" s="8">
        <f>+K9-AB9</f>
        <v>-25825</v>
      </c>
      <c r="AD9" s="14"/>
      <c r="AE9" s="9">
        <f>+AC9/H9</f>
        <v>-6.5143383551125389E-3</v>
      </c>
      <c r="AF9" s="14" t="s">
        <v>38</v>
      </c>
      <c r="AG9" s="14"/>
      <c r="AH9" s="14" t="s">
        <v>31</v>
      </c>
      <c r="AI9" s="3"/>
      <c r="AJ9" s="51" t="s">
        <v>822</v>
      </c>
      <c r="AK9" s="39">
        <f>883397+993923+738460</f>
        <v>2615780</v>
      </c>
      <c r="AL9" s="8">
        <f t="shared" si="4"/>
        <v>1348552</v>
      </c>
      <c r="AM9" s="14"/>
      <c r="AN9" s="9">
        <f t="shared" si="5"/>
        <v>0.34017130754941816</v>
      </c>
      <c r="AO9" s="14"/>
      <c r="AP9" s="14" t="s">
        <v>31</v>
      </c>
      <c r="AQ9" s="14"/>
      <c r="AR9" s="20" t="s">
        <v>823</v>
      </c>
      <c r="AS9" s="39">
        <f>706717+795139+14728+11097</f>
        <v>1527681</v>
      </c>
      <c r="AT9" s="14"/>
      <c r="AU9" s="14"/>
      <c r="AV9" s="14"/>
      <c r="AW9" s="14"/>
      <c r="AX9" s="14" t="s">
        <v>31</v>
      </c>
      <c r="AY9" s="14"/>
      <c r="AZ9" s="84" t="s">
        <v>824</v>
      </c>
      <c r="BA9" s="39">
        <f>989405+1113194+2061+15535</f>
        <v>2120195</v>
      </c>
      <c r="BB9" s="8">
        <f t="shared" si="3"/>
        <v>1844137</v>
      </c>
      <c r="BC9" s="14"/>
      <c r="BD9" s="9">
        <f>+BB9/H9</f>
        <v>0.46518228039427578</v>
      </c>
      <c r="BE9" s="14"/>
      <c r="BF9" s="14" t="s">
        <v>31</v>
      </c>
      <c r="BG9" s="14"/>
      <c r="BH9" s="14"/>
      <c r="BI9" s="39">
        <f>1413435+1590277+22193+29456</f>
        <v>3055361</v>
      </c>
      <c r="BJ9" s="14">
        <v>0</v>
      </c>
      <c r="BK9" s="14"/>
      <c r="BL9" s="14">
        <v>0</v>
      </c>
      <c r="BM9" s="14"/>
      <c r="BN9" s="14" t="s">
        <v>31</v>
      </c>
      <c r="BO9" s="14"/>
      <c r="BP9" s="14"/>
      <c r="BQ9" s="39">
        <f>1766794+1987846</f>
        <v>3754640</v>
      </c>
      <c r="BR9" s="14">
        <v>0</v>
      </c>
      <c r="BS9" s="14"/>
      <c r="BT9" s="14">
        <v>0</v>
      </c>
      <c r="BU9" s="14"/>
      <c r="BV9" s="14" t="s">
        <v>31</v>
      </c>
      <c r="BW9" s="14"/>
      <c r="BX9" s="14"/>
      <c r="BY9" s="39">
        <f>1766794+1987846</f>
        <v>3754640</v>
      </c>
      <c r="BZ9" s="8">
        <f>+H9-BY9</f>
        <v>209692</v>
      </c>
      <c r="CA9" s="14"/>
      <c r="CB9" s="9">
        <f>+BZ9/G9</f>
        <v>5.2894661698364313E-2</v>
      </c>
      <c r="CC9" s="14"/>
      <c r="CD9" s="14" t="s">
        <v>31</v>
      </c>
      <c r="CE9" s="14"/>
      <c r="CF9" s="14"/>
    </row>
    <row r="10" spans="1:84" x14ac:dyDescent="0.35">
      <c r="A10" s="2" t="s">
        <v>58</v>
      </c>
      <c r="B10" s="14" t="s">
        <v>561</v>
      </c>
      <c r="C10" s="2">
        <v>9596</v>
      </c>
      <c r="D10" s="2">
        <v>230440</v>
      </c>
      <c r="E10" s="3" t="s">
        <v>562</v>
      </c>
      <c r="F10" s="21">
        <v>830054539</v>
      </c>
      <c r="G10" s="39">
        <v>2540396</v>
      </c>
      <c r="H10" s="39">
        <v>2540396</v>
      </c>
      <c r="I10" s="8">
        <f t="shared" si="0"/>
        <v>0</v>
      </c>
      <c r="J10" s="8">
        <f t="shared" si="1"/>
        <v>0</v>
      </c>
      <c r="K10" s="12"/>
      <c r="L10" s="12"/>
      <c r="M10" s="12"/>
      <c r="N10" s="8">
        <f t="shared" si="2"/>
        <v>0</v>
      </c>
      <c r="O10" s="14"/>
      <c r="P10" s="14"/>
      <c r="Q10" s="14"/>
      <c r="R10" s="14"/>
      <c r="S10" s="3"/>
      <c r="T10" s="39">
        <v>1727469</v>
      </c>
      <c r="U10" s="8">
        <f>+H10-T10</f>
        <v>812927</v>
      </c>
      <c r="V10" s="14"/>
      <c r="W10" s="9">
        <f>+U10/H10</f>
        <v>0.32000011021903674</v>
      </c>
      <c r="X10" s="14" t="s">
        <v>46</v>
      </c>
      <c r="Y10" s="14"/>
      <c r="Z10" s="14" t="s">
        <v>31</v>
      </c>
      <c r="AA10" s="3"/>
      <c r="AB10" s="8">
        <f>+H10-914543</f>
        <v>1625853</v>
      </c>
      <c r="AC10" s="8">
        <f>+H10-AB10</f>
        <v>914543</v>
      </c>
      <c r="AD10" s="14"/>
      <c r="AE10" s="9">
        <f>+AC10/H10</f>
        <v>0.36000017320134342</v>
      </c>
      <c r="AF10" s="14"/>
      <c r="AG10" s="14"/>
      <c r="AH10" s="14" t="s">
        <v>31</v>
      </c>
      <c r="AI10" s="3"/>
      <c r="AJ10" s="52">
        <v>1900003549</v>
      </c>
      <c r="AK10" s="39">
        <v>2349866</v>
      </c>
      <c r="AL10" s="8">
        <f t="shared" si="4"/>
        <v>190530</v>
      </c>
      <c r="AM10" s="14"/>
      <c r="AN10" s="9">
        <f t="shared" si="5"/>
        <v>7.5000118091825052E-2</v>
      </c>
      <c r="AO10" s="14"/>
      <c r="AP10" s="14" t="s">
        <v>31</v>
      </c>
      <c r="AQ10" s="14"/>
      <c r="AR10" s="20">
        <v>1900003950</v>
      </c>
      <c r="AS10" s="39">
        <v>2133933</v>
      </c>
      <c r="AT10" s="8">
        <f t="shared" ref="AT10:AT17" si="6">+H10-AS10</f>
        <v>406463</v>
      </c>
      <c r="AU10" s="14"/>
      <c r="AV10" s="9">
        <f>+AT10/H10</f>
        <v>0.15999985828980995</v>
      </c>
      <c r="AW10" s="14"/>
      <c r="AX10" s="14" t="s">
        <v>31</v>
      </c>
      <c r="AY10" s="14"/>
      <c r="AZ10" s="86">
        <v>1900004470</v>
      </c>
      <c r="BA10" s="39">
        <v>2133933</v>
      </c>
      <c r="BB10" s="8">
        <f t="shared" si="3"/>
        <v>406463</v>
      </c>
      <c r="BC10" s="14"/>
      <c r="BD10" s="9">
        <f>+BB10/H10</f>
        <v>0.15999985828980995</v>
      </c>
      <c r="BE10" s="14"/>
      <c r="BF10" s="14" t="s">
        <v>31</v>
      </c>
      <c r="BG10" s="14"/>
      <c r="BH10" s="14"/>
      <c r="BI10" s="39">
        <v>2540396</v>
      </c>
      <c r="BJ10" s="8">
        <f>+H10-BI10</f>
        <v>0</v>
      </c>
      <c r="BK10" s="14"/>
      <c r="BL10" s="14">
        <v>0</v>
      </c>
      <c r="BM10" s="14"/>
      <c r="BN10" s="14" t="s">
        <v>31</v>
      </c>
      <c r="BO10" s="14"/>
      <c r="BP10" s="14"/>
      <c r="BQ10" s="39">
        <f>2540396-406463</f>
        <v>2133933</v>
      </c>
      <c r="BR10" s="8">
        <f>+H10-BQ10</f>
        <v>406463</v>
      </c>
      <c r="BS10" s="14"/>
      <c r="BT10" s="9">
        <f>+BR10/H10</f>
        <v>0.15999985828980995</v>
      </c>
      <c r="BU10" s="14"/>
      <c r="BV10" s="14" t="s">
        <v>31</v>
      </c>
      <c r="BW10" s="14"/>
      <c r="BX10" s="14"/>
      <c r="BY10" s="39">
        <v>2540396</v>
      </c>
      <c r="BZ10" s="14">
        <v>0</v>
      </c>
      <c r="CA10" s="14"/>
      <c r="CB10" s="14">
        <v>0</v>
      </c>
      <c r="CC10" s="14"/>
      <c r="CD10" s="14" t="s">
        <v>31</v>
      </c>
      <c r="CE10" s="14"/>
      <c r="CF10" s="14"/>
    </row>
    <row r="11" spans="1:84" x14ac:dyDescent="0.35">
      <c r="A11" s="2" t="s">
        <v>64</v>
      </c>
      <c r="B11" s="14" t="s">
        <v>563</v>
      </c>
      <c r="C11" s="2"/>
      <c r="D11" s="2">
        <v>206275</v>
      </c>
      <c r="E11" s="3" t="s">
        <v>564</v>
      </c>
      <c r="F11" s="20" t="s">
        <v>565</v>
      </c>
      <c r="G11" s="39">
        <v>2825200</v>
      </c>
      <c r="H11" s="39">
        <v>2825200</v>
      </c>
      <c r="I11" s="8">
        <f t="shared" si="0"/>
        <v>0</v>
      </c>
      <c r="J11" s="8">
        <f t="shared" si="1"/>
        <v>0</v>
      </c>
      <c r="K11" s="12">
        <v>2825200</v>
      </c>
      <c r="L11" s="12"/>
      <c r="M11" s="12"/>
      <c r="N11" s="9"/>
      <c r="O11" s="14"/>
      <c r="P11" s="14" t="s">
        <v>38</v>
      </c>
      <c r="Q11" s="14"/>
      <c r="R11" s="14" t="s">
        <v>31</v>
      </c>
      <c r="S11" s="3"/>
      <c r="T11" s="14"/>
      <c r="U11" s="14"/>
      <c r="V11" s="14"/>
      <c r="W11" s="14"/>
      <c r="X11" s="14"/>
      <c r="Y11" s="14"/>
      <c r="Z11" s="14"/>
      <c r="AA11" s="3"/>
      <c r="AB11" s="39">
        <v>2825200</v>
      </c>
      <c r="AC11" s="8">
        <f>+K11-AB11</f>
        <v>0</v>
      </c>
      <c r="AD11" s="14"/>
      <c r="AE11" s="9">
        <f>+AC11/H11</f>
        <v>0</v>
      </c>
      <c r="AF11" s="14" t="s">
        <v>46</v>
      </c>
      <c r="AG11" s="14"/>
      <c r="AH11" s="14" t="s">
        <v>31</v>
      </c>
      <c r="AI11" s="3"/>
      <c r="AJ11" s="51"/>
      <c r="AK11" s="39">
        <v>2825200</v>
      </c>
      <c r="AL11" s="8">
        <f t="shared" si="4"/>
        <v>0</v>
      </c>
      <c r="AM11" s="14"/>
      <c r="AN11" s="8">
        <f t="shared" si="5"/>
        <v>0</v>
      </c>
      <c r="AO11" s="14"/>
      <c r="AP11" s="14" t="s">
        <v>31</v>
      </c>
      <c r="AQ11" s="14"/>
      <c r="AR11" s="20">
        <v>1900003695</v>
      </c>
      <c r="AS11" s="39">
        <v>2825200</v>
      </c>
      <c r="AT11" s="8">
        <f t="shared" si="6"/>
        <v>0</v>
      </c>
      <c r="AU11" s="14"/>
      <c r="AV11" s="14">
        <v>0</v>
      </c>
      <c r="AW11" s="14"/>
      <c r="AX11" s="14" t="s">
        <v>31</v>
      </c>
      <c r="AY11" s="14"/>
      <c r="AZ11" s="85">
        <v>1900004178</v>
      </c>
      <c r="BA11" s="39">
        <v>2825200</v>
      </c>
      <c r="BB11" s="8">
        <f t="shared" si="3"/>
        <v>0</v>
      </c>
      <c r="BC11" s="14"/>
      <c r="BD11" s="14">
        <v>0</v>
      </c>
      <c r="BE11" s="14"/>
      <c r="BF11" s="14" t="s">
        <v>31</v>
      </c>
      <c r="BG11" s="14"/>
      <c r="BH11" s="14"/>
      <c r="BI11" s="39">
        <v>2825200</v>
      </c>
      <c r="BJ11" s="14">
        <v>0</v>
      </c>
      <c r="BK11" s="39">
        <v>1695120</v>
      </c>
      <c r="BL11" s="14">
        <v>0</v>
      </c>
      <c r="BM11" s="14"/>
      <c r="BN11" s="14" t="s">
        <v>31</v>
      </c>
      <c r="BO11" s="14"/>
      <c r="BP11" s="14"/>
      <c r="BQ11" s="39">
        <v>3361988</v>
      </c>
      <c r="BR11" s="8">
        <f>+H11-BQ11</f>
        <v>-536788</v>
      </c>
      <c r="BS11" s="14"/>
      <c r="BT11" s="14">
        <v>0</v>
      </c>
      <c r="BU11" s="14"/>
      <c r="BV11" s="14" t="s">
        <v>31</v>
      </c>
      <c r="BW11" s="14"/>
      <c r="BX11" s="14"/>
      <c r="BY11" s="39">
        <v>3361988</v>
      </c>
      <c r="BZ11" s="14">
        <v>0</v>
      </c>
      <c r="CA11" s="14"/>
      <c r="CB11" s="14">
        <v>0</v>
      </c>
      <c r="CC11" s="14"/>
      <c r="CD11" s="14" t="s">
        <v>31</v>
      </c>
      <c r="CE11" s="14"/>
      <c r="CF11" s="14"/>
    </row>
    <row r="12" spans="1:84" x14ac:dyDescent="0.35">
      <c r="A12" s="74" t="s">
        <v>566</v>
      </c>
      <c r="B12" s="14" t="s">
        <v>567</v>
      </c>
      <c r="C12" s="1">
        <v>9058</v>
      </c>
      <c r="D12" s="1">
        <v>209631</v>
      </c>
      <c r="E12" s="18" t="s">
        <v>568</v>
      </c>
      <c r="F12" s="19" t="s">
        <v>569</v>
      </c>
      <c r="G12" s="39">
        <v>1165113</v>
      </c>
      <c r="H12" s="39">
        <v>1165113</v>
      </c>
      <c r="I12" s="8">
        <f t="shared" si="0"/>
        <v>0</v>
      </c>
      <c r="J12" s="8">
        <f t="shared" si="1"/>
        <v>0</v>
      </c>
      <c r="K12" s="12">
        <v>671382</v>
      </c>
      <c r="L12" s="12">
        <f>+H12-K12</f>
        <v>493731</v>
      </c>
      <c r="M12" s="12"/>
      <c r="N12" s="9">
        <f>+L12/H12</f>
        <v>0.42376233034907346</v>
      </c>
      <c r="O12" s="14"/>
      <c r="P12" s="14" t="s">
        <v>38</v>
      </c>
      <c r="Q12" s="14" t="s">
        <v>825</v>
      </c>
      <c r="R12" s="14" t="s">
        <v>31</v>
      </c>
      <c r="S12" s="3"/>
      <c r="T12" s="43">
        <v>1165113</v>
      </c>
      <c r="U12" s="44">
        <f>+H12-T12</f>
        <v>0</v>
      </c>
      <c r="V12" s="14"/>
      <c r="W12" s="14"/>
      <c r="X12" s="14" t="s">
        <v>38</v>
      </c>
      <c r="Y12" s="14"/>
      <c r="Z12" s="14" t="s">
        <v>31</v>
      </c>
      <c r="AA12" s="3"/>
      <c r="AB12" s="39">
        <v>1165113</v>
      </c>
      <c r="AC12" s="8">
        <f t="shared" ref="AC12:AC17" si="7">+H12-AB12</f>
        <v>0</v>
      </c>
      <c r="AD12" s="14"/>
      <c r="AE12" s="9">
        <f>+AC12/G12</f>
        <v>0</v>
      </c>
      <c r="AF12" s="14"/>
      <c r="AG12" s="14"/>
      <c r="AH12" s="14" t="s">
        <v>31</v>
      </c>
      <c r="AI12" s="3"/>
      <c r="AJ12" s="20">
        <v>1900003320</v>
      </c>
      <c r="AK12" s="39">
        <v>1165113</v>
      </c>
      <c r="AL12" s="8">
        <f t="shared" si="4"/>
        <v>0</v>
      </c>
      <c r="AM12" s="14"/>
      <c r="AN12" s="9">
        <f t="shared" si="5"/>
        <v>0</v>
      </c>
      <c r="AO12" s="14"/>
      <c r="AP12" s="14" t="s">
        <v>31</v>
      </c>
      <c r="AQ12" s="14"/>
      <c r="AR12" s="20">
        <v>1900003691</v>
      </c>
      <c r="AS12" s="39">
        <v>1165113</v>
      </c>
      <c r="AT12" s="8">
        <f t="shared" si="6"/>
        <v>0</v>
      </c>
      <c r="AU12" s="14"/>
      <c r="AV12" s="14">
        <v>0</v>
      </c>
      <c r="AW12" s="14"/>
      <c r="AX12" s="14" t="s">
        <v>31</v>
      </c>
      <c r="AY12" s="14"/>
      <c r="AZ12">
        <v>1900004383</v>
      </c>
      <c r="BA12" s="39">
        <v>1165113</v>
      </c>
      <c r="BB12" s="14">
        <v>0</v>
      </c>
      <c r="BC12" s="39">
        <v>349534</v>
      </c>
      <c r="BD12" s="9">
        <f>+BC12/BA12</f>
        <v>0.30000008582858484</v>
      </c>
      <c r="BE12" s="14"/>
      <c r="BF12" s="14" t="s">
        <v>31</v>
      </c>
      <c r="BG12" s="14"/>
      <c r="BH12" s="14"/>
      <c r="BI12" s="39">
        <v>1165113</v>
      </c>
      <c r="BJ12" s="14">
        <v>0</v>
      </c>
      <c r="BK12" s="14"/>
      <c r="BL12" s="14">
        <v>0</v>
      </c>
      <c r="BM12" s="14"/>
      <c r="BN12" s="14" t="s">
        <v>31</v>
      </c>
      <c r="BO12" s="14"/>
      <c r="BP12" s="14"/>
      <c r="BQ12" s="39">
        <v>1165113</v>
      </c>
      <c r="BR12" s="14">
        <v>0</v>
      </c>
      <c r="BS12" s="14"/>
      <c r="BT12" s="14">
        <v>0</v>
      </c>
      <c r="BU12" s="14"/>
      <c r="BV12" s="14" t="s">
        <v>31</v>
      </c>
      <c r="BW12" s="14"/>
      <c r="BX12" s="14"/>
      <c r="BY12" s="14"/>
      <c r="BZ12" s="14"/>
      <c r="CA12" s="14"/>
      <c r="CB12" s="14"/>
      <c r="CC12" s="14"/>
      <c r="CD12" s="14"/>
      <c r="CE12" s="14"/>
      <c r="CF12" s="14"/>
    </row>
    <row r="13" spans="1:84" x14ac:dyDescent="0.35">
      <c r="A13" s="1" t="s">
        <v>570</v>
      </c>
      <c r="B13" s="26" t="s">
        <v>571</v>
      </c>
      <c r="C13" s="15">
        <v>9104</v>
      </c>
      <c r="D13" s="22">
        <v>204573</v>
      </c>
      <c r="E13" s="18" t="s">
        <v>572</v>
      </c>
      <c r="F13" s="19" t="s">
        <v>553</v>
      </c>
      <c r="G13" s="39">
        <v>1505677</v>
      </c>
      <c r="H13" s="39">
        <v>1505677</v>
      </c>
      <c r="I13" s="8">
        <f t="shared" si="0"/>
        <v>0</v>
      </c>
      <c r="J13" s="8">
        <f t="shared" si="1"/>
        <v>0</v>
      </c>
      <c r="K13" s="12">
        <v>731752</v>
      </c>
      <c r="L13" s="12">
        <f>+H13-K13</f>
        <v>773925</v>
      </c>
      <c r="M13" s="12"/>
      <c r="N13" s="9">
        <f t="shared" si="2"/>
        <v>0.51400466368284836</v>
      </c>
      <c r="O13" s="14"/>
      <c r="P13" s="14" t="s">
        <v>46</v>
      </c>
      <c r="Q13" s="14" t="s">
        <v>122</v>
      </c>
      <c r="R13" s="14" t="s">
        <v>31</v>
      </c>
      <c r="S13" s="3"/>
      <c r="T13" s="39">
        <v>1463504</v>
      </c>
      <c r="U13" s="44">
        <f>+H13-T13</f>
        <v>42173</v>
      </c>
      <c r="V13" s="14"/>
      <c r="W13" s="9">
        <f>+U13/H13</f>
        <v>2.8009327365696626E-2</v>
      </c>
      <c r="X13" s="14"/>
      <c r="Y13" s="14"/>
      <c r="Z13" s="14"/>
      <c r="AA13" s="3"/>
      <c r="AB13" s="39">
        <v>1463504</v>
      </c>
      <c r="AC13" s="8">
        <f t="shared" si="7"/>
        <v>42173</v>
      </c>
      <c r="AD13" s="14"/>
      <c r="AE13" s="9">
        <f>+AC13/H13</f>
        <v>2.8009327365696626E-2</v>
      </c>
      <c r="AF13" s="14"/>
      <c r="AG13" s="14"/>
      <c r="AH13" s="14"/>
      <c r="AI13" s="3"/>
      <c r="AJ13" s="51"/>
      <c r="AK13" s="39">
        <v>1463504</v>
      </c>
      <c r="AL13" s="8">
        <f t="shared" si="4"/>
        <v>42173</v>
      </c>
      <c r="AM13" s="14"/>
      <c r="AN13" s="9">
        <f t="shared" si="5"/>
        <v>2.8009327365696626E-2</v>
      </c>
      <c r="AO13" s="14"/>
      <c r="AP13" s="14" t="s">
        <v>31</v>
      </c>
      <c r="AQ13" s="14"/>
      <c r="AR13" s="20">
        <v>1900003951</v>
      </c>
      <c r="AS13" s="39">
        <v>1463504</v>
      </c>
      <c r="AT13" s="8">
        <f t="shared" si="6"/>
        <v>42173</v>
      </c>
      <c r="AU13" s="14"/>
      <c r="AV13" s="9">
        <f>+AT13/H13</f>
        <v>2.8009327365696626E-2</v>
      </c>
      <c r="AW13" s="14"/>
      <c r="AX13" s="14" t="s">
        <v>31</v>
      </c>
      <c r="AY13" s="14"/>
      <c r="AZ13" s="85"/>
      <c r="BA13" s="39">
        <v>1463504</v>
      </c>
      <c r="BB13" s="8">
        <f t="shared" ref="BB13:BB18" si="8">+H13-BA13</f>
        <v>42173</v>
      </c>
      <c r="BC13" s="14"/>
      <c r="BD13" s="9">
        <f>+BB13/H13</f>
        <v>2.8009327365696626E-2</v>
      </c>
      <c r="BE13" s="14"/>
      <c r="BF13" s="14" t="s">
        <v>31</v>
      </c>
      <c r="BG13" s="14"/>
      <c r="BH13" s="14"/>
      <c r="BI13" s="39">
        <v>1463504</v>
      </c>
      <c r="BJ13" s="39">
        <f>+H13-BI13</f>
        <v>42173</v>
      </c>
      <c r="BK13" s="14"/>
      <c r="BL13" s="9">
        <f>+BJ13/H13</f>
        <v>2.8009327365696626E-2</v>
      </c>
      <c r="BM13" s="14"/>
      <c r="BN13" s="14" t="s">
        <v>31</v>
      </c>
      <c r="BO13" s="14"/>
      <c r="BP13" s="14"/>
      <c r="BQ13" s="39">
        <v>1463504</v>
      </c>
      <c r="BR13" s="8">
        <f>+H13-BQ13</f>
        <v>42173</v>
      </c>
      <c r="BS13" s="14"/>
      <c r="BT13" s="9">
        <f>+BR13/H13</f>
        <v>2.8009327365696626E-2</v>
      </c>
      <c r="BU13" s="14"/>
      <c r="BV13" s="14" t="s">
        <v>31</v>
      </c>
      <c r="BW13" s="14"/>
      <c r="BX13" s="14"/>
      <c r="BY13" s="39">
        <v>1463504</v>
      </c>
      <c r="BZ13" s="14">
        <v>0</v>
      </c>
      <c r="CA13" s="14"/>
      <c r="CB13" s="14">
        <v>0</v>
      </c>
      <c r="CC13" s="14"/>
      <c r="CD13" s="14" t="s">
        <v>31</v>
      </c>
      <c r="CE13" s="14"/>
      <c r="CF13" s="14"/>
    </row>
    <row r="14" spans="1:84" x14ac:dyDescent="0.35">
      <c r="A14" s="74" t="s">
        <v>573</v>
      </c>
      <c r="B14" s="26" t="s">
        <v>574</v>
      </c>
      <c r="C14" s="1">
        <v>9177</v>
      </c>
      <c r="D14" s="15" t="s">
        <v>575</v>
      </c>
      <c r="E14" s="18" t="s">
        <v>554</v>
      </c>
      <c r="F14" s="19" t="s">
        <v>555</v>
      </c>
      <c r="G14" s="39">
        <v>819640</v>
      </c>
      <c r="H14" s="39">
        <v>819640</v>
      </c>
      <c r="I14" s="8">
        <f t="shared" si="0"/>
        <v>0</v>
      </c>
      <c r="J14" s="8">
        <f t="shared" si="1"/>
        <v>0</v>
      </c>
      <c r="K14" s="12">
        <f>+H14</f>
        <v>819640</v>
      </c>
      <c r="L14" s="12"/>
      <c r="M14" s="12"/>
      <c r="N14" s="9"/>
      <c r="O14" s="14"/>
      <c r="P14" s="14" t="s">
        <v>38</v>
      </c>
      <c r="Q14" s="14"/>
      <c r="R14" s="14" t="s">
        <v>31</v>
      </c>
      <c r="S14" s="77" t="s">
        <v>83</v>
      </c>
      <c r="T14" s="43">
        <v>819640</v>
      </c>
      <c r="U14" s="44">
        <f>+K14-T14</f>
        <v>0</v>
      </c>
      <c r="V14" s="14"/>
      <c r="W14" s="8">
        <f>+U14/H14</f>
        <v>0</v>
      </c>
      <c r="X14" s="14" t="s">
        <v>38</v>
      </c>
      <c r="Y14" s="14"/>
      <c r="Z14" s="14" t="s">
        <v>31</v>
      </c>
      <c r="AA14" s="77" t="s">
        <v>55</v>
      </c>
      <c r="AB14" s="39">
        <v>819640</v>
      </c>
      <c r="AC14" s="8">
        <f t="shared" si="7"/>
        <v>0</v>
      </c>
      <c r="AD14" s="39">
        <v>655712</v>
      </c>
      <c r="AE14" s="9">
        <f>+AD14/H14</f>
        <v>0.8</v>
      </c>
      <c r="AF14" s="14" t="s">
        <v>38</v>
      </c>
      <c r="AG14" s="14"/>
      <c r="AH14" s="14" t="s">
        <v>31</v>
      </c>
      <c r="AI14" s="3"/>
      <c r="AJ14" s="51" t="s">
        <v>826</v>
      </c>
      <c r="AK14" s="39">
        <v>819640</v>
      </c>
      <c r="AL14" s="8">
        <f>+H14-AK14</f>
        <v>0</v>
      </c>
      <c r="AM14" s="14"/>
      <c r="AN14" s="9">
        <f>+AL14/H14</f>
        <v>0</v>
      </c>
      <c r="AO14" s="14"/>
      <c r="AP14" s="14" t="s">
        <v>31</v>
      </c>
      <c r="AQ14" s="14"/>
      <c r="AR14" s="20">
        <v>1900003688</v>
      </c>
      <c r="AS14" s="39">
        <v>819640</v>
      </c>
      <c r="AT14" s="8">
        <f t="shared" si="6"/>
        <v>0</v>
      </c>
      <c r="AU14" s="14"/>
      <c r="AV14" s="9">
        <f>+AT14/H14</f>
        <v>0</v>
      </c>
      <c r="AW14" s="14"/>
      <c r="AX14" s="14" t="s">
        <v>31</v>
      </c>
      <c r="AY14" s="14"/>
      <c r="AZ14" s="85">
        <v>1900004215</v>
      </c>
      <c r="BA14" s="39">
        <v>819640</v>
      </c>
      <c r="BB14" s="8">
        <f t="shared" si="8"/>
        <v>0</v>
      </c>
      <c r="BC14" s="14"/>
      <c r="BD14" s="14">
        <v>0</v>
      </c>
      <c r="BE14" s="14"/>
      <c r="BF14" s="14" t="s">
        <v>31</v>
      </c>
      <c r="BG14" s="14"/>
      <c r="BH14" s="14"/>
      <c r="BI14" s="39">
        <v>819640</v>
      </c>
      <c r="BJ14" s="8">
        <f>+H14-BI14</f>
        <v>0</v>
      </c>
      <c r="BK14" s="14"/>
      <c r="BL14" s="14">
        <v>0</v>
      </c>
      <c r="BM14" s="14"/>
      <c r="BN14" s="14" t="s">
        <v>31</v>
      </c>
      <c r="BO14" s="14"/>
      <c r="BP14" s="14"/>
      <c r="BQ14" s="39">
        <v>819640</v>
      </c>
      <c r="BR14" s="14">
        <v>0</v>
      </c>
      <c r="BS14" s="14"/>
      <c r="BT14" s="14">
        <v>0</v>
      </c>
      <c r="BU14" s="14"/>
      <c r="BV14" s="14" t="s">
        <v>31</v>
      </c>
      <c r="BW14" s="14"/>
      <c r="BX14" s="14"/>
      <c r="BY14" s="39">
        <v>819640</v>
      </c>
      <c r="BZ14" s="39">
        <f>BQ14-BY14</f>
        <v>0</v>
      </c>
      <c r="CA14" s="39"/>
      <c r="CB14" s="9">
        <v>0</v>
      </c>
      <c r="CC14" s="14"/>
      <c r="CD14" s="14" t="s">
        <v>31</v>
      </c>
      <c r="CE14" s="14"/>
      <c r="CF14" s="14"/>
    </row>
    <row r="15" spans="1:84" ht="15.5" x14ac:dyDescent="0.35">
      <c r="A15" s="74" t="s">
        <v>576</v>
      </c>
      <c r="B15" s="14" t="s">
        <v>577</v>
      </c>
      <c r="C15" s="1">
        <v>9302</v>
      </c>
      <c r="D15" s="15">
        <v>212833</v>
      </c>
      <c r="E15" s="16" t="s">
        <v>578</v>
      </c>
      <c r="F15" s="23">
        <v>901094453</v>
      </c>
      <c r="G15" s="39">
        <v>1402652</v>
      </c>
      <c r="H15" s="39">
        <v>1402652</v>
      </c>
      <c r="I15" s="8">
        <f t="shared" si="0"/>
        <v>0</v>
      </c>
      <c r="J15" s="8">
        <f t="shared" si="1"/>
        <v>0</v>
      </c>
      <c r="K15" s="12">
        <v>841591</v>
      </c>
      <c r="L15" s="12">
        <f>+H15-K15</f>
        <v>561061</v>
      </c>
      <c r="M15" s="12"/>
      <c r="N15" s="9">
        <f t="shared" si="2"/>
        <v>0.40000014258704225</v>
      </c>
      <c r="O15" s="14"/>
      <c r="P15" s="14" t="s">
        <v>46</v>
      </c>
      <c r="Q15" s="14" t="s">
        <v>87</v>
      </c>
      <c r="R15" s="14" t="s">
        <v>31</v>
      </c>
      <c r="S15" s="3"/>
      <c r="T15" s="39">
        <v>701326</v>
      </c>
      <c r="U15" s="8">
        <f>+H15-T15</f>
        <v>701326</v>
      </c>
      <c r="V15" s="14"/>
      <c r="W15" s="9">
        <f>+U15/H15</f>
        <v>0.5</v>
      </c>
      <c r="X15" s="14" t="s">
        <v>46</v>
      </c>
      <c r="Y15" s="14" t="s">
        <v>106</v>
      </c>
      <c r="Z15" s="14" t="s">
        <v>31</v>
      </c>
      <c r="AA15" s="80" t="s">
        <v>83</v>
      </c>
      <c r="AB15" s="39">
        <v>1122121</v>
      </c>
      <c r="AC15" s="8">
        <f t="shared" si="7"/>
        <v>280531</v>
      </c>
      <c r="AD15" s="14"/>
      <c r="AE15" s="9">
        <f>+AC15/H15</f>
        <v>0.20000042776112678</v>
      </c>
      <c r="AF15" s="14"/>
      <c r="AG15" s="14"/>
      <c r="AH15" s="14" t="s">
        <v>31</v>
      </c>
      <c r="AI15" s="77" t="s">
        <v>47</v>
      </c>
      <c r="AJ15" s="20">
        <v>1900003460</v>
      </c>
      <c r="AK15" s="39">
        <v>1402652</v>
      </c>
      <c r="AL15" s="8">
        <f>+H15-AK15</f>
        <v>0</v>
      </c>
      <c r="AM15" s="14"/>
      <c r="AN15" s="9">
        <f>+AL15/H15</f>
        <v>0</v>
      </c>
      <c r="AO15" s="14"/>
      <c r="AP15" s="14" t="s">
        <v>31</v>
      </c>
      <c r="AQ15" s="14"/>
      <c r="AR15" s="20">
        <v>1900003689</v>
      </c>
      <c r="AS15" s="39">
        <v>1122121</v>
      </c>
      <c r="AT15" s="8">
        <f t="shared" si="6"/>
        <v>280531</v>
      </c>
      <c r="AU15" s="14"/>
      <c r="AV15" s="9">
        <f>+AT15/H15</f>
        <v>0.20000042776112678</v>
      </c>
      <c r="AW15" s="14"/>
      <c r="AX15" s="14" t="s">
        <v>31</v>
      </c>
      <c r="AY15" s="14"/>
      <c r="AZ15" s="84">
        <v>1900004303</v>
      </c>
      <c r="BA15" s="39">
        <v>1402652</v>
      </c>
      <c r="BB15" s="8">
        <f t="shared" si="8"/>
        <v>0</v>
      </c>
      <c r="BC15" s="14"/>
      <c r="BD15" s="14">
        <v>0</v>
      </c>
      <c r="BE15" s="14"/>
      <c r="BF15" s="14" t="s">
        <v>31</v>
      </c>
      <c r="BG15" s="14"/>
      <c r="BH15" s="14"/>
      <c r="BI15" s="39">
        <v>1402652</v>
      </c>
      <c r="BJ15" s="14">
        <v>0</v>
      </c>
      <c r="BK15" s="14"/>
      <c r="BL15" s="14">
        <v>0</v>
      </c>
      <c r="BM15" s="14"/>
      <c r="BN15" s="14" t="s">
        <v>31</v>
      </c>
      <c r="BO15" s="14"/>
      <c r="BP15" s="14"/>
      <c r="BQ15" s="39">
        <v>1402652</v>
      </c>
      <c r="BR15" s="14">
        <v>0</v>
      </c>
      <c r="BS15" s="14"/>
      <c r="BT15" s="14">
        <v>0</v>
      </c>
      <c r="BU15" s="14"/>
      <c r="BV15" s="14" t="s">
        <v>31</v>
      </c>
      <c r="BW15" s="14"/>
      <c r="BX15" s="14"/>
      <c r="BY15" s="39">
        <v>1402652</v>
      </c>
      <c r="BZ15" s="14">
        <v>0</v>
      </c>
      <c r="CA15" s="14"/>
      <c r="CB15" s="14">
        <v>0</v>
      </c>
      <c r="CC15" s="14"/>
      <c r="CD15" s="14" t="s">
        <v>31</v>
      </c>
      <c r="CE15" s="14"/>
      <c r="CF15" s="14"/>
    </row>
    <row r="16" spans="1:84" x14ac:dyDescent="0.35">
      <c r="A16" s="73" t="s">
        <v>579</v>
      </c>
      <c r="B16" s="14" t="s">
        <v>580</v>
      </c>
      <c r="C16" s="1">
        <v>9304</v>
      </c>
      <c r="D16" s="1">
        <v>217751</v>
      </c>
      <c r="E16" s="16" t="s">
        <v>90</v>
      </c>
      <c r="F16" s="23" t="s">
        <v>581</v>
      </c>
      <c r="G16" s="39">
        <v>396773</v>
      </c>
      <c r="H16" s="39">
        <v>413732</v>
      </c>
      <c r="I16" s="8">
        <f t="shared" si="0"/>
        <v>16959</v>
      </c>
      <c r="J16" s="10">
        <f t="shared" si="1"/>
        <v>4.2742323696420878E-2</v>
      </c>
      <c r="K16" s="12"/>
      <c r="L16" s="12"/>
      <c r="M16" s="12"/>
      <c r="N16" s="8">
        <f t="shared" si="2"/>
        <v>0</v>
      </c>
      <c r="O16" s="14"/>
      <c r="P16" s="14"/>
      <c r="Q16" s="14"/>
      <c r="R16" s="14"/>
      <c r="S16" s="3"/>
      <c r="T16" s="39"/>
      <c r="U16" s="8"/>
      <c r="V16" s="14"/>
      <c r="W16" s="14"/>
      <c r="X16" s="14" t="s">
        <v>38</v>
      </c>
      <c r="Y16" s="14"/>
      <c r="Z16" s="14" t="s">
        <v>31</v>
      </c>
      <c r="AA16" s="3"/>
      <c r="AB16" s="39">
        <v>685192</v>
      </c>
      <c r="AC16" s="8">
        <f t="shared" si="7"/>
        <v>-271460</v>
      </c>
      <c r="AD16" s="14"/>
      <c r="AE16" s="9">
        <f>+AC16/H16</f>
        <v>-0.65612522115765759</v>
      </c>
      <c r="AF16" s="14"/>
      <c r="AG16" s="14"/>
      <c r="AH16" s="14" t="s">
        <v>31</v>
      </c>
      <c r="AI16" s="77" t="s">
        <v>47</v>
      </c>
      <c r="AJ16" s="51">
        <v>1900003478</v>
      </c>
      <c r="AK16" s="39">
        <v>554346</v>
      </c>
      <c r="AL16" s="8">
        <f>+H16-AK16</f>
        <v>-140614</v>
      </c>
      <c r="AM16" s="14"/>
      <c r="AN16" s="14">
        <v>0</v>
      </c>
      <c r="AO16" s="14"/>
      <c r="AP16" s="14" t="s">
        <v>31</v>
      </c>
      <c r="AQ16" s="14"/>
      <c r="AR16" s="20">
        <v>1900003871</v>
      </c>
      <c r="AS16" s="39">
        <v>413732</v>
      </c>
      <c r="AT16" s="8">
        <f t="shared" si="6"/>
        <v>0</v>
      </c>
      <c r="AU16" s="14"/>
      <c r="AV16" s="14">
        <v>0</v>
      </c>
      <c r="AW16" s="14"/>
      <c r="AX16" s="14" t="s">
        <v>31</v>
      </c>
      <c r="AY16" s="14"/>
      <c r="AZ16" s="85">
        <v>1900004157</v>
      </c>
      <c r="BA16" s="39">
        <v>319200</v>
      </c>
      <c r="BB16" s="8">
        <f t="shared" si="8"/>
        <v>94532</v>
      </c>
      <c r="BC16" s="14"/>
      <c r="BD16" s="9">
        <f>+BB16/H16</f>
        <v>0.22848607311012925</v>
      </c>
      <c r="BE16" s="14"/>
      <c r="BF16" s="14" t="s">
        <v>31</v>
      </c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</row>
    <row r="17" spans="1:84" x14ac:dyDescent="0.35">
      <c r="A17" s="73" t="s">
        <v>582</v>
      </c>
      <c r="B17" s="26" t="s">
        <v>583</v>
      </c>
      <c r="C17" s="1">
        <v>9303</v>
      </c>
      <c r="D17" s="15">
        <v>208093</v>
      </c>
      <c r="E17" s="16" t="s">
        <v>819</v>
      </c>
      <c r="F17" s="20" t="s">
        <v>535</v>
      </c>
      <c r="G17" s="39">
        <v>854563</v>
      </c>
      <c r="H17" s="39">
        <v>854563</v>
      </c>
      <c r="I17" s="8">
        <f t="shared" si="0"/>
        <v>0</v>
      </c>
      <c r="J17" s="8">
        <f t="shared" si="1"/>
        <v>0</v>
      </c>
      <c r="K17" s="12"/>
      <c r="L17" s="12"/>
      <c r="M17" s="12"/>
      <c r="N17" s="8">
        <f t="shared" si="2"/>
        <v>0</v>
      </c>
      <c r="O17" s="14"/>
      <c r="P17" s="14"/>
      <c r="Q17" s="14"/>
      <c r="R17" s="14"/>
      <c r="S17" s="3"/>
      <c r="T17" s="39">
        <v>341825</v>
      </c>
      <c r="U17" s="8">
        <f>+H17-T17</f>
        <v>512738</v>
      </c>
      <c r="V17" s="14"/>
      <c r="W17" s="9">
        <f>+U17/H17</f>
        <v>0.60000023403774794</v>
      </c>
      <c r="X17" s="14" t="s">
        <v>46</v>
      </c>
      <c r="Y17" s="14"/>
      <c r="Z17" s="14" t="s">
        <v>31</v>
      </c>
      <c r="AA17" s="3"/>
      <c r="AB17" s="39">
        <v>341825</v>
      </c>
      <c r="AC17" s="8">
        <f t="shared" si="7"/>
        <v>512738</v>
      </c>
      <c r="AD17" s="14"/>
      <c r="AE17" s="9">
        <f>+AC17/H17</f>
        <v>0.60000023403774794</v>
      </c>
      <c r="AF17" s="14"/>
      <c r="AG17" s="14"/>
      <c r="AH17" s="14" t="s">
        <v>31</v>
      </c>
      <c r="AI17" s="3"/>
      <c r="AJ17" s="52">
        <v>1900003441</v>
      </c>
      <c r="AK17" s="39">
        <v>341825</v>
      </c>
      <c r="AL17" s="8">
        <f>+H17-AK17</f>
        <v>512738</v>
      </c>
      <c r="AM17" s="14"/>
      <c r="AN17" s="9">
        <f>+AL17/H17</f>
        <v>0.60000023403774794</v>
      </c>
      <c r="AO17" s="14"/>
      <c r="AP17" s="14" t="s">
        <v>31</v>
      </c>
      <c r="AQ17" s="14"/>
      <c r="AR17" s="20">
        <v>1900003873</v>
      </c>
      <c r="AS17" s="39">
        <v>854563</v>
      </c>
      <c r="AT17" s="8">
        <f t="shared" si="6"/>
        <v>0</v>
      </c>
      <c r="AU17" s="14"/>
      <c r="AV17" s="14">
        <v>0</v>
      </c>
      <c r="AW17" s="14"/>
      <c r="AX17" s="14" t="s">
        <v>31</v>
      </c>
      <c r="AY17" s="14"/>
      <c r="AZ17" s="84">
        <v>1900004328</v>
      </c>
      <c r="BA17" s="8">
        <f>+AS17</f>
        <v>854563</v>
      </c>
      <c r="BB17" s="8">
        <f t="shared" si="8"/>
        <v>0</v>
      </c>
      <c r="BC17" s="14"/>
      <c r="BD17" s="14">
        <v>0</v>
      </c>
      <c r="BE17" s="14"/>
      <c r="BF17" s="14" t="s">
        <v>31</v>
      </c>
      <c r="BG17" s="14"/>
      <c r="BH17" s="14"/>
      <c r="BI17" s="39">
        <v>598194</v>
      </c>
      <c r="BJ17" s="8">
        <f>+H17-BI17</f>
        <v>256369</v>
      </c>
      <c r="BK17" s="14"/>
      <c r="BL17" s="9">
        <f>+BJ17/H17</f>
        <v>0.30000011701887397</v>
      </c>
      <c r="BM17" s="14"/>
      <c r="BN17" s="14" t="s">
        <v>31</v>
      </c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</row>
    <row r="18" spans="1:84" x14ac:dyDescent="0.35">
      <c r="A18" s="2" t="s">
        <v>584</v>
      </c>
      <c r="B18" s="14" t="s">
        <v>585</v>
      </c>
      <c r="C18" s="1">
        <v>9305</v>
      </c>
      <c r="D18" s="1">
        <v>214089</v>
      </c>
      <c r="E18" s="16" t="s">
        <v>284</v>
      </c>
      <c r="F18" s="17" t="s">
        <v>586</v>
      </c>
      <c r="G18" s="39">
        <v>1410804</v>
      </c>
      <c r="H18" s="39">
        <v>1410804</v>
      </c>
      <c r="I18" s="8">
        <f t="shared" si="0"/>
        <v>0</v>
      </c>
      <c r="J18" s="8">
        <f t="shared" si="1"/>
        <v>0</v>
      </c>
      <c r="K18" s="12">
        <f>+H18</f>
        <v>1410804</v>
      </c>
      <c r="L18" s="12"/>
      <c r="M18" s="12"/>
      <c r="N18" s="9"/>
      <c r="O18" s="14"/>
      <c r="P18" s="14" t="s">
        <v>38</v>
      </c>
      <c r="Q18" s="14" t="s">
        <v>827</v>
      </c>
      <c r="R18" s="14" t="s">
        <v>31</v>
      </c>
      <c r="S18" s="3"/>
      <c r="T18" s="39">
        <v>1410804</v>
      </c>
      <c r="U18" s="8">
        <f>+H18-T18</f>
        <v>0</v>
      </c>
      <c r="V18" s="14"/>
      <c r="W18" s="14">
        <v>0</v>
      </c>
      <c r="X18" s="14" t="s">
        <v>38</v>
      </c>
      <c r="Y18" s="14"/>
      <c r="Z18" s="14" t="s">
        <v>31</v>
      </c>
      <c r="AA18" s="77" t="s">
        <v>116</v>
      </c>
      <c r="AB18" s="39">
        <v>1410804</v>
      </c>
      <c r="AC18" s="8">
        <f>+K18-AB18</f>
        <v>0</v>
      </c>
      <c r="AD18" s="14"/>
      <c r="AE18" s="9">
        <f>+AC18/H18</f>
        <v>0</v>
      </c>
      <c r="AF18" s="14" t="s">
        <v>38</v>
      </c>
      <c r="AG18" s="14"/>
      <c r="AH18" s="14" t="s">
        <v>31</v>
      </c>
      <c r="AI18" s="3"/>
      <c r="AJ18" s="51">
        <v>1900003303</v>
      </c>
      <c r="AK18" s="39">
        <v>1410804</v>
      </c>
      <c r="AL18" s="8">
        <f>+H18-AK18</f>
        <v>0</v>
      </c>
      <c r="AM18" s="14"/>
      <c r="AN18" s="14">
        <v>0</v>
      </c>
      <c r="AO18" s="14"/>
      <c r="AP18" s="14" t="s">
        <v>31</v>
      </c>
      <c r="AQ18" s="14"/>
      <c r="AR18" s="20">
        <v>1900003755</v>
      </c>
      <c r="AS18" s="8">
        <f>+AK18</f>
        <v>1410804</v>
      </c>
      <c r="AT18" s="14">
        <v>0</v>
      </c>
      <c r="AU18" s="14"/>
      <c r="AV18" s="14">
        <v>0</v>
      </c>
      <c r="AW18" s="14"/>
      <c r="AX18" s="14" t="s">
        <v>31</v>
      </c>
      <c r="AY18" s="14"/>
      <c r="AZ18" s="85">
        <v>1900004156</v>
      </c>
      <c r="BA18" s="39">
        <v>1410804</v>
      </c>
      <c r="BB18" s="8">
        <f t="shared" si="8"/>
        <v>0</v>
      </c>
      <c r="BC18" s="14"/>
      <c r="BD18" s="14">
        <v>0</v>
      </c>
      <c r="BE18" s="14"/>
      <c r="BF18" s="14" t="s">
        <v>31</v>
      </c>
      <c r="BG18" s="14"/>
      <c r="BH18" s="14"/>
      <c r="BI18" s="39">
        <v>1410804</v>
      </c>
      <c r="BJ18" s="14">
        <v>0</v>
      </c>
      <c r="BK18" s="14"/>
      <c r="BL18" s="14">
        <v>0</v>
      </c>
      <c r="BM18" s="14"/>
      <c r="BN18" s="14" t="s">
        <v>31</v>
      </c>
      <c r="BO18" s="14"/>
      <c r="BP18" s="14"/>
      <c r="BQ18" s="39">
        <v>1410804</v>
      </c>
      <c r="BR18" s="14">
        <v>0</v>
      </c>
      <c r="BS18" s="14"/>
      <c r="BT18" s="14">
        <v>0</v>
      </c>
      <c r="BU18" s="14"/>
      <c r="BV18" s="14" t="s">
        <v>31</v>
      </c>
      <c r="BW18" s="14"/>
      <c r="BX18" s="14"/>
      <c r="BY18" s="14"/>
      <c r="BZ18" s="14"/>
      <c r="CA18" s="14"/>
      <c r="CB18" s="14"/>
      <c r="CC18" s="14"/>
      <c r="CD18" s="14"/>
      <c r="CE18" s="14"/>
      <c r="CF18" s="14"/>
    </row>
    <row r="19" spans="1:84" x14ac:dyDescent="0.35">
      <c r="A19" s="2" t="s">
        <v>828</v>
      </c>
      <c r="B19" s="14" t="s">
        <v>829</v>
      </c>
      <c r="C19" s="20"/>
      <c r="D19" s="14"/>
      <c r="E19" s="14" t="s">
        <v>830</v>
      </c>
      <c r="F19" s="20" t="s">
        <v>831</v>
      </c>
      <c r="G19" s="7"/>
      <c r="H19" s="7"/>
      <c r="I19" s="8">
        <f t="shared" si="0"/>
        <v>0</v>
      </c>
      <c r="J19" s="8">
        <v>0</v>
      </c>
      <c r="K19" s="12"/>
      <c r="L19" s="12"/>
      <c r="M19" s="12"/>
      <c r="N19" s="8">
        <v>0</v>
      </c>
      <c r="O19" s="14"/>
      <c r="P19" s="14"/>
      <c r="Q19" s="14"/>
      <c r="R19" s="14"/>
      <c r="S19" s="3"/>
      <c r="T19" s="14"/>
      <c r="U19" s="14"/>
      <c r="V19" s="14"/>
      <c r="W19" s="14"/>
      <c r="X19" s="14"/>
      <c r="Y19" s="14"/>
      <c r="Z19" s="14"/>
      <c r="AA19" s="3"/>
      <c r="AB19" s="14"/>
      <c r="AC19" s="14"/>
      <c r="AD19" s="14"/>
      <c r="AE19" s="14"/>
      <c r="AF19" s="14"/>
      <c r="AG19" s="14"/>
      <c r="AH19" s="14"/>
      <c r="AI19" s="3"/>
      <c r="AJ19" s="51"/>
      <c r="AK19" s="14"/>
      <c r="AL19" s="14"/>
      <c r="AM19" s="14"/>
      <c r="AN19" s="14"/>
      <c r="AO19" s="14"/>
      <c r="AP19" s="14"/>
      <c r="AQ19" s="14"/>
      <c r="AR19" s="20"/>
      <c r="AS19" s="14"/>
      <c r="AT19" s="14"/>
      <c r="AU19" s="14"/>
      <c r="AV19" s="14"/>
      <c r="AW19" s="14"/>
      <c r="AX19" s="14"/>
      <c r="AY19" s="14"/>
      <c r="AZ19" s="85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</row>
    <row r="20" spans="1:84" ht="15.5" x14ac:dyDescent="0.35">
      <c r="A20" s="1" t="s">
        <v>107</v>
      </c>
      <c r="B20" s="26" t="s">
        <v>587</v>
      </c>
      <c r="C20" s="24">
        <v>6553</v>
      </c>
      <c r="D20" s="22">
        <v>204600</v>
      </c>
      <c r="E20" s="18" t="s">
        <v>554</v>
      </c>
      <c r="F20" s="19" t="s">
        <v>555</v>
      </c>
      <c r="G20" s="39">
        <v>2284033</v>
      </c>
      <c r="H20" s="39">
        <v>2284033</v>
      </c>
      <c r="I20" s="8">
        <f t="shared" si="0"/>
        <v>0</v>
      </c>
      <c r="J20" s="8">
        <f t="shared" si="1"/>
        <v>0</v>
      </c>
      <c r="K20" s="12">
        <f>1141282+1142751</f>
        <v>2284033</v>
      </c>
      <c r="L20" s="12"/>
      <c r="M20" s="12"/>
      <c r="N20" s="9"/>
      <c r="O20" s="14"/>
      <c r="P20" s="14" t="s">
        <v>38</v>
      </c>
      <c r="Q20" s="14"/>
      <c r="R20" s="14" t="s">
        <v>31</v>
      </c>
      <c r="S20" s="78" t="s">
        <v>832</v>
      </c>
      <c r="T20" s="43">
        <f>1141282+1142751</f>
        <v>2284033</v>
      </c>
      <c r="U20" s="44">
        <f>+K20-T20</f>
        <v>0</v>
      </c>
      <c r="V20" s="14"/>
      <c r="W20" s="8">
        <f>+U20/H20</f>
        <v>0</v>
      </c>
      <c r="X20" s="14" t="s">
        <v>38</v>
      </c>
      <c r="Y20" s="14"/>
      <c r="Z20" s="14" t="s">
        <v>31</v>
      </c>
      <c r="AA20" s="80" t="s">
        <v>83</v>
      </c>
      <c r="AB20" s="39">
        <f>1141282+1142751</f>
        <v>2284033</v>
      </c>
      <c r="AC20" s="8">
        <f>+H20-AB20</f>
        <v>0</v>
      </c>
      <c r="AD20" s="39">
        <f>914201+913026</f>
        <v>1827227</v>
      </c>
      <c r="AE20" s="9">
        <f>+AD20/H20</f>
        <v>0.80000026269322733</v>
      </c>
      <c r="AF20" s="14" t="s">
        <v>38</v>
      </c>
      <c r="AG20" s="14"/>
      <c r="AH20" s="14" t="s">
        <v>31</v>
      </c>
      <c r="AI20" s="3"/>
      <c r="AJ20" s="51" t="s">
        <v>833</v>
      </c>
      <c r="AK20" s="39">
        <f>1141282+1142751</f>
        <v>2284033</v>
      </c>
      <c r="AL20" s="8">
        <f>+H20-AK20</f>
        <v>0</v>
      </c>
      <c r="AM20" s="14"/>
      <c r="AN20" s="9">
        <f>+AL20/H20</f>
        <v>0</v>
      </c>
      <c r="AO20" s="14"/>
      <c r="AP20" s="14" t="s">
        <v>31</v>
      </c>
      <c r="AQ20" s="14"/>
      <c r="AR20" s="20" t="s">
        <v>834</v>
      </c>
      <c r="AS20" s="39">
        <f>1141282+1142751</f>
        <v>2284033</v>
      </c>
      <c r="AT20" s="8">
        <f>+H20-AS20</f>
        <v>0</v>
      </c>
      <c r="AU20" s="14"/>
      <c r="AV20" s="9">
        <f>+AT20/H20</f>
        <v>0</v>
      </c>
      <c r="AW20" s="14"/>
      <c r="AX20" s="14" t="s">
        <v>31</v>
      </c>
      <c r="AY20" s="14"/>
      <c r="AZ20" s="84" t="s">
        <v>835</v>
      </c>
      <c r="BA20" s="39">
        <f>1141282+1142751</f>
        <v>2284033</v>
      </c>
      <c r="BB20" s="8">
        <f>+H20-BA20</f>
        <v>0</v>
      </c>
      <c r="BC20" s="14"/>
      <c r="BD20" s="14">
        <v>0</v>
      </c>
      <c r="BE20" s="14"/>
      <c r="BF20" s="14" t="s">
        <v>31</v>
      </c>
      <c r="BG20" s="14"/>
      <c r="BH20" s="14"/>
      <c r="BI20" s="39">
        <f>1141282+1142751</f>
        <v>2284033</v>
      </c>
      <c r="BJ20" s="8">
        <f>+H20-BI20</f>
        <v>0</v>
      </c>
      <c r="BK20" s="14"/>
      <c r="BL20" s="14">
        <v>0</v>
      </c>
      <c r="BM20" s="14"/>
      <c r="BN20" s="14" t="s">
        <v>31</v>
      </c>
      <c r="BO20" s="14"/>
      <c r="BP20" s="14"/>
      <c r="BQ20" s="39">
        <f>1141282+1142751</f>
        <v>2284033</v>
      </c>
      <c r="BR20" s="14">
        <v>0</v>
      </c>
      <c r="BS20" s="14"/>
      <c r="BT20" s="14">
        <v>0</v>
      </c>
      <c r="BU20" s="14"/>
      <c r="BV20" s="14" t="s">
        <v>31</v>
      </c>
      <c r="BW20" s="14"/>
      <c r="BX20" s="14"/>
      <c r="BY20" s="39">
        <f>1141282+1142751</f>
        <v>2284033</v>
      </c>
      <c r="BZ20" s="39">
        <f>BQ20-BY20</f>
        <v>0</v>
      </c>
      <c r="CA20" s="39"/>
      <c r="CB20" s="9">
        <v>0</v>
      </c>
      <c r="CC20" s="14"/>
      <c r="CD20" s="14" t="s">
        <v>31</v>
      </c>
      <c r="CE20" s="14"/>
      <c r="CF20" s="14"/>
    </row>
    <row r="21" spans="1:84" x14ac:dyDescent="0.35">
      <c r="A21" s="1" t="s">
        <v>111</v>
      </c>
      <c r="B21" s="26" t="s">
        <v>588</v>
      </c>
      <c r="C21" s="24">
        <v>6554</v>
      </c>
      <c r="D21" s="22">
        <v>204526</v>
      </c>
      <c r="E21" s="18" t="s">
        <v>589</v>
      </c>
      <c r="F21" s="19" t="s">
        <v>590</v>
      </c>
      <c r="G21" s="39">
        <v>2656273</v>
      </c>
      <c r="H21" s="39">
        <v>2656273</v>
      </c>
      <c r="I21" s="8">
        <f t="shared" si="0"/>
        <v>0</v>
      </c>
      <c r="J21" s="8">
        <f t="shared" si="1"/>
        <v>0</v>
      </c>
      <c r="K21" s="12">
        <v>1235025</v>
      </c>
      <c r="L21" s="12">
        <f>+H21-K21</f>
        <v>1421248</v>
      </c>
      <c r="M21" s="12"/>
      <c r="N21" s="9">
        <f t="shared" si="2"/>
        <v>0.53505343765493985</v>
      </c>
      <c r="O21" s="14"/>
      <c r="P21" s="14" t="s">
        <v>46</v>
      </c>
      <c r="Q21" s="14"/>
      <c r="R21" s="14" t="s">
        <v>31</v>
      </c>
      <c r="S21" s="77" t="s">
        <v>83</v>
      </c>
      <c r="T21" s="39">
        <v>1516418</v>
      </c>
      <c r="U21" s="8">
        <f>+H21-T21</f>
        <v>1139855</v>
      </c>
      <c r="V21" s="14"/>
      <c r="W21" s="9">
        <f>+U21/H21</f>
        <v>0.42911816669446251</v>
      </c>
      <c r="X21" s="14" t="s">
        <v>46</v>
      </c>
      <c r="Y21" s="14"/>
      <c r="Z21" s="14" t="s">
        <v>31</v>
      </c>
      <c r="AA21" s="77" t="s">
        <v>47</v>
      </c>
      <c r="AB21" s="39">
        <v>1243347</v>
      </c>
      <c r="AC21" s="8">
        <f>+H21-AB21</f>
        <v>1412926</v>
      </c>
      <c r="AD21" s="14"/>
      <c r="AE21" s="9">
        <f>+AC21/H21</f>
        <v>0.53192047654740304</v>
      </c>
      <c r="AF21" s="14" t="s">
        <v>46</v>
      </c>
      <c r="AG21" s="14"/>
      <c r="AH21" s="14" t="s">
        <v>31</v>
      </c>
      <c r="AI21" s="3"/>
      <c r="AJ21" s="51">
        <v>1900003274</v>
      </c>
      <c r="AK21" s="39">
        <v>2521103</v>
      </c>
      <c r="AL21" s="8">
        <f>+H21-AK21</f>
        <v>135170</v>
      </c>
      <c r="AM21" s="14"/>
      <c r="AN21" s="9">
        <f>+AL21/H21</f>
        <v>5.0887088789442952E-2</v>
      </c>
      <c r="AO21" s="14"/>
      <c r="AP21" s="14" t="s">
        <v>31</v>
      </c>
      <c r="AQ21" s="14"/>
      <c r="AR21" s="20">
        <v>1900003790</v>
      </c>
      <c r="AS21" s="39">
        <v>1261417</v>
      </c>
      <c r="AT21" s="8">
        <f>+H21-AS21</f>
        <v>1394856</v>
      </c>
      <c r="AU21" s="14"/>
      <c r="AV21" s="9">
        <f>+AT21/H21</f>
        <v>0.52511771192192969</v>
      </c>
      <c r="AW21" s="14"/>
      <c r="AX21" s="14" t="s">
        <v>31</v>
      </c>
      <c r="AY21" s="14"/>
      <c r="AZ21" s="84">
        <v>1900004275</v>
      </c>
      <c r="BA21" s="39">
        <v>1195141</v>
      </c>
      <c r="BB21" s="8">
        <f>+H21-BA21</f>
        <v>1461132</v>
      </c>
      <c r="BC21" s="14"/>
      <c r="BD21" s="9">
        <f>+BB21/H21</f>
        <v>0.55006846058368253</v>
      </c>
      <c r="BE21" s="14"/>
      <c r="BF21" s="14" t="s">
        <v>31</v>
      </c>
      <c r="BG21" s="14"/>
      <c r="BH21" s="14"/>
      <c r="BI21" s="39">
        <v>2016882</v>
      </c>
      <c r="BJ21" s="8">
        <f>+H21-BI21</f>
        <v>639391</v>
      </c>
      <c r="BK21" s="14"/>
      <c r="BL21" s="9">
        <f>+BJ21/BI21</f>
        <v>0.31701953807907451</v>
      </c>
      <c r="BM21" s="14"/>
      <c r="BN21" s="14" t="s">
        <v>31</v>
      </c>
      <c r="BO21" s="14"/>
      <c r="BP21" s="14"/>
      <c r="BQ21" s="39">
        <v>2016882</v>
      </c>
      <c r="BR21" s="8">
        <f>+H21-BQ21</f>
        <v>639391</v>
      </c>
      <c r="BS21" s="14"/>
      <c r="BT21" s="9">
        <f>+BR21/H21</f>
        <v>0.24070982161848575</v>
      </c>
      <c r="BU21" s="14"/>
      <c r="BV21" s="14" t="s">
        <v>31</v>
      </c>
      <c r="BW21" s="14"/>
      <c r="BX21" s="14"/>
      <c r="BY21" s="39">
        <v>2016882</v>
      </c>
      <c r="BZ21" s="14">
        <v>0</v>
      </c>
      <c r="CA21" s="14"/>
      <c r="CB21" s="14">
        <v>0</v>
      </c>
      <c r="CC21" s="14"/>
      <c r="CD21" s="14" t="s">
        <v>31</v>
      </c>
      <c r="CE21" s="14"/>
      <c r="CF21" s="14"/>
    </row>
    <row r="22" spans="1:84" ht="15.5" x14ac:dyDescent="0.35">
      <c r="A22" s="1" t="s">
        <v>117</v>
      </c>
      <c r="B22" s="26" t="s">
        <v>591</v>
      </c>
      <c r="C22" s="24">
        <v>6556</v>
      </c>
      <c r="D22" s="22">
        <v>204648</v>
      </c>
      <c r="E22" s="18" t="s">
        <v>592</v>
      </c>
      <c r="F22" s="19" t="s">
        <v>593</v>
      </c>
      <c r="G22" s="39">
        <v>680470</v>
      </c>
      <c r="H22" s="39">
        <v>680470</v>
      </c>
      <c r="I22" s="8">
        <f t="shared" si="0"/>
        <v>0</v>
      </c>
      <c r="J22" s="8">
        <f t="shared" si="1"/>
        <v>0</v>
      </c>
      <c r="K22" s="12">
        <v>659122</v>
      </c>
      <c r="L22" s="12">
        <f>+H22-K22</f>
        <v>21348</v>
      </c>
      <c r="M22" s="12"/>
      <c r="N22" s="9">
        <f>+(L22+M22)/H22</f>
        <v>3.1372433759019498E-2</v>
      </c>
      <c r="O22" s="14"/>
      <c r="P22" s="14" t="s">
        <v>38</v>
      </c>
      <c r="Q22" s="14"/>
      <c r="R22" s="14" t="s">
        <v>31</v>
      </c>
      <c r="S22" s="77" t="s">
        <v>83</v>
      </c>
      <c r="T22" s="43">
        <v>659122</v>
      </c>
      <c r="U22" s="44">
        <f>+H22-T22</f>
        <v>21348</v>
      </c>
      <c r="V22" s="14"/>
      <c r="W22" s="9">
        <f>+U22/H22</f>
        <v>3.1372433759019498E-2</v>
      </c>
      <c r="X22" s="14" t="s">
        <v>38</v>
      </c>
      <c r="Y22" s="14"/>
      <c r="Z22" s="14" t="s">
        <v>31</v>
      </c>
      <c r="AA22" s="80" t="s">
        <v>83</v>
      </c>
      <c r="AB22" s="39">
        <v>659122</v>
      </c>
      <c r="AC22" s="8">
        <f>+K22-AB22</f>
        <v>0</v>
      </c>
      <c r="AD22" s="14"/>
      <c r="AE22" s="9">
        <f>+AC22/H22</f>
        <v>0</v>
      </c>
      <c r="AF22" s="14" t="s">
        <v>38</v>
      </c>
      <c r="AG22" s="14"/>
      <c r="AH22" s="14" t="s">
        <v>31</v>
      </c>
      <c r="AI22" s="3"/>
      <c r="AJ22" s="51">
        <v>1900003304</v>
      </c>
      <c r="AK22" s="39">
        <v>659122</v>
      </c>
      <c r="AL22" s="8">
        <f>+H22-AK22</f>
        <v>21348</v>
      </c>
      <c r="AM22" s="14"/>
      <c r="AN22" s="9">
        <f>+AL22/H22</f>
        <v>3.1372433759019498E-2</v>
      </c>
      <c r="AO22" s="14"/>
      <c r="AP22" s="14" t="s">
        <v>31</v>
      </c>
      <c r="AQ22" s="14"/>
      <c r="AR22" s="20">
        <v>1900003897</v>
      </c>
      <c r="AS22" s="39">
        <v>659122</v>
      </c>
      <c r="AT22" s="8">
        <f>+H22-AS22</f>
        <v>21348</v>
      </c>
      <c r="AU22" s="14"/>
      <c r="AV22" s="9">
        <f>+AT22/H22</f>
        <v>3.1372433759019498E-2</v>
      </c>
      <c r="AW22" s="14"/>
      <c r="AX22" s="14" t="s">
        <v>31</v>
      </c>
      <c r="AY22" s="14"/>
      <c r="AZ22" s="85">
        <v>1900004249</v>
      </c>
      <c r="BA22" s="39">
        <v>659122</v>
      </c>
      <c r="BB22" s="8">
        <f>+H22-BA22</f>
        <v>21348</v>
      </c>
      <c r="BC22" s="14"/>
      <c r="BD22" s="14">
        <v>0</v>
      </c>
      <c r="BE22" s="14"/>
      <c r="BF22" s="14" t="s">
        <v>31</v>
      </c>
      <c r="BG22" s="14"/>
      <c r="BH22" s="14"/>
      <c r="BI22" s="39">
        <v>659122</v>
      </c>
      <c r="BJ22" s="14">
        <v>0</v>
      </c>
      <c r="BK22" s="14"/>
      <c r="BL22" s="14">
        <v>0</v>
      </c>
      <c r="BM22" s="14"/>
      <c r="BN22" s="14" t="s">
        <v>31</v>
      </c>
      <c r="BO22" s="14"/>
      <c r="BP22" s="14"/>
      <c r="BQ22" s="39">
        <v>659122</v>
      </c>
      <c r="BR22" s="14">
        <v>0</v>
      </c>
      <c r="BS22" s="14"/>
      <c r="BT22" s="14">
        <v>0</v>
      </c>
      <c r="BU22" s="14"/>
      <c r="BV22" s="14" t="s">
        <v>31</v>
      </c>
      <c r="BW22" s="14"/>
      <c r="BX22" s="14"/>
      <c r="BY22" s="39">
        <v>659122</v>
      </c>
      <c r="BZ22" s="14">
        <v>0</v>
      </c>
      <c r="CA22" s="14"/>
      <c r="CB22" s="14">
        <v>0</v>
      </c>
      <c r="CC22" s="14"/>
      <c r="CD22" s="14" t="s">
        <v>31</v>
      </c>
      <c r="CE22" s="14"/>
      <c r="CF22" s="14"/>
    </row>
    <row r="23" spans="1:84" x14ac:dyDescent="0.35">
      <c r="A23" s="1" t="s">
        <v>123</v>
      </c>
      <c r="B23" s="26" t="s">
        <v>594</v>
      </c>
      <c r="C23" s="24">
        <v>6561</v>
      </c>
      <c r="D23" s="22">
        <v>205635</v>
      </c>
      <c r="E23" s="18" t="s">
        <v>595</v>
      </c>
      <c r="F23" s="25" t="s">
        <v>596</v>
      </c>
      <c r="G23" s="39">
        <v>2477420</v>
      </c>
      <c r="H23" s="7"/>
      <c r="I23" s="8">
        <f t="shared" si="0"/>
        <v>-2477420</v>
      </c>
      <c r="J23" s="9">
        <f t="shared" si="1"/>
        <v>-1</v>
      </c>
      <c r="K23" s="12">
        <v>1191032</v>
      </c>
      <c r="L23" s="12">
        <f>+G23-K23</f>
        <v>1286388</v>
      </c>
      <c r="M23" s="12"/>
      <c r="N23" s="9">
        <f>+L23/G23</f>
        <v>0.51924502102994241</v>
      </c>
      <c r="O23" s="14"/>
      <c r="P23" s="14"/>
      <c r="Q23" s="14"/>
      <c r="R23" s="14"/>
      <c r="S23" s="3"/>
      <c r="T23" s="14"/>
      <c r="U23" s="14"/>
      <c r="V23" s="14"/>
      <c r="W23" s="14"/>
      <c r="X23" s="14"/>
      <c r="Y23" s="14"/>
      <c r="Z23" s="14"/>
      <c r="AA23" s="3"/>
      <c r="AB23" s="39">
        <v>1191032</v>
      </c>
      <c r="AC23" s="8">
        <f>+G23-AB23</f>
        <v>1286388</v>
      </c>
      <c r="AD23" s="14"/>
      <c r="AE23" s="9">
        <f>+AC23/G23</f>
        <v>0.51924502102994241</v>
      </c>
      <c r="AF23" s="14"/>
      <c r="AG23" s="14"/>
      <c r="AH23" s="14"/>
      <c r="AI23" s="3"/>
      <c r="AJ23" s="51"/>
      <c r="AK23" s="8">
        <f>+AB23</f>
        <v>1191032</v>
      </c>
      <c r="AL23" s="8">
        <f>+G23-AK23</f>
        <v>1286388</v>
      </c>
      <c r="AM23" s="14"/>
      <c r="AN23" s="9">
        <f>+AL23/G23</f>
        <v>0.51924502102994241</v>
      </c>
      <c r="AO23" s="14"/>
      <c r="AP23" s="14" t="s">
        <v>31</v>
      </c>
      <c r="AQ23" s="14"/>
      <c r="AR23" s="20">
        <v>1900003825</v>
      </c>
      <c r="AS23" s="39">
        <v>1401210</v>
      </c>
      <c r="AT23" s="8">
        <f>+G23-AS23</f>
        <v>1076210</v>
      </c>
      <c r="AU23" s="14"/>
      <c r="AV23" s="9">
        <f>+AT23/G23</f>
        <v>0.43440756916469553</v>
      </c>
      <c r="AW23" s="14"/>
      <c r="AX23" s="14" t="s">
        <v>31</v>
      </c>
      <c r="AY23" s="14"/>
      <c r="AZ23" s="84">
        <v>1900004319</v>
      </c>
      <c r="BA23" s="39">
        <v>1401210</v>
      </c>
      <c r="BB23" s="8">
        <f>+G23-BA23</f>
        <v>1076210</v>
      </c>
      <c r="BC23" s="14"/>
      <c r="BD23" s="9">
        <f>+BB23/G23</f>
        <v>0.43440756916469553</v>
      </c>
      <c r="BE23" s="14"/>
      <c r="BF23" s="14" t="s">
        <v>31</v>
      </c>
      <c r="BG23" s="14"/>
      <c r="BH23" s="14"/>
      <c r="BI23" s="39">
        <v>1401210</v>
      </c>
      <c r="BJ23" s="8">
        <f>+G23-BI23</f>
        <v>1076210</v>
      </c>
      <c r="BK23" s="14"/>
      <c r="BL23" s="9">
        <f>+BJ23/G23</f>
        <v>0.43440756916469553</v>
      </c>
      <c r="BM23" s="14"/>
      <c r="BN23" s="14" t="s">
        <v>31</v>
      </c>
      <c r="BO23" s="14"/>
      <c r="BP23" s="14"/>
      <c r="BQ23" s="39">
        <v>1401214</v>
      </c>
      <c r="BR23" s="8">
        <f>+G23-BQ23</f>
        <v>1076206</v>
      </c>
      <c r="BS23" s="14"/>
      <c r="BT23" s="9">
        <f>+BR23/G23</f>
        <v>0.43440595458178266</v>
      </c>
      <c r="BU23" s="14"/>
      <c r="BV23" s="14" t="s">
        <v>31</v>
      </c>
      <c r="BW23" s="14"/>
      <c r="BX23" s="14"/>
      <c r="BY23" s="39">
        <v>1401210</v>
      </c>
      <c r="BZ23" s="8">
        <f>+G23-BY23</f>
        <v>1076210</v>
      </c>
      <c r="CA23" s="14"/>
      <c r="CB23" s="9">
        <f>+BZ23/G23</f>
        <v>0.43440756916469553</v>
      </c>
      <c r="CC23" s="14"/>
      <c r="CD23" s="14" t="s">
        <v>31</v>
      </c>
      <c r="CE23" s="14"/>
      <c r="CF23" s="14"/>
    </row>
    <row r="24" spans="1:84" x14ac:dyDescent="0.35">
      <c r="A24" s="1" t="s">
        <v>127</v>
      </c>
      <c r="B24" s="26" t="s">
        <v>597</v>
      </c>
      <c r="C24" s="24">
        <v>6563</v>
      </c>
      <c r="D24" s="22">
        <v>208501</v>
      </c>
      <c r="E24" s="18" t="s">
        <v>129</v>
      </c>
      <c r="F24" s="19" t="s">
        <v>598</v>
      </c>
      <c r="G24" s="39">
        <v>4121493</v>
      </c>
      <c r="H24" s="39">
        <v>4121493</v>
      </c>
      <c r="I24" s="8">
        <f t="shared" si="0"/>
        <v>0</v>
      </c>
      <c r="J24" s="8">
        <f t="shared" si="1"/>
        <v>0</v>
      </c>
      <c r="K24" s="12">
        <v>4121493</v>
      </c>
      <c r="L24" s="12"/>
      <c r="M24" s="12">
        <v>4121493</v>
      </c>
      <c r="N24" s="9">
        <f t="shared" si="2"/>
        <v>1</v>
      </c>
      <c r="O24" s="14"/>
      <c r="P24" s="14" t="s">
        <v>38</v>
      </c>
      <c r="Q24" s="14"/>
      <c r="R24" s="14"/>
      <c r="S24" s="3"/>
      <c r="T24" s="43">
        <v>4121493</v>
      </c>
      <c r="U24" s="44">
        <f t="shared" ref="U24:U29" si="9">+H24-T24</f>
        <v>0</v>
      </c>
      <c r="V24" s="39">
        <f>+T24</f>
        <v>4121493</v>
      </c>
      <c r="W24" s="9">
        <f>+V24/H24</f>
        <v>1</v>
      </c>
      <c r="X24" s="14" t="s">
        <v>38</v>
      </c>
      <c r="Y24" s="14"/>
      <c r="Z24" s="14" t="s">
        <v>31</v>
      </c>
      <c r="AA24" s="3"/>
      <c r="AB24" s="39">
        <v>4121493</v>
      </c>
      <c r="AC24" s="8">
        <f>+H24-AB24</f>
        <v>0</v>
      </c>
      <c r="AD24" s="14"/>
      <c r="AE24" s="14">
        <v>0</v>
      </c>
      <c r="AF24" s="14"/>
      <c r="AG24" s="14"/>
      <c r="AH24" s="14" t="s">
        <v>31</v>
      </c>
      <c r="AI24" s="3"/>
      <c r="AJ24" s="52" t="s">
        <v>131</v>
      </c>
      <c r="AK24" s="39">
        <v>4121493</v>
      </c>
      <c r="AL24" s="8">
        <f t="shared" ref="AL24:AL32" si="10">+H24-AK24</f>
        <v>0</v>
      </c>
      <c r="AM24" s="14"/>
      <c r="AN24" s="9">
        <f t="shared" ref="AN24:AN32" si="11">+AL24/H24</f>
        <v>0</v>
      </c>
      <c r="AO24" s="14"/>
      <c r="AP24" s="14" t="s">
        <v>31</v>
      </c>
      <c r="AQ24" s="14"/>
      <c r="AR24" s="20">
        <v>1900003712</v>
      </c>
      <c r="AS24" s="39">
        <v>4121493</v>
      </c>
      <c r="AT24" s="8">
        <f>+H24-AS24</f>
        <v>0</v>
      </c>
      <c r="AU24" s="14"/>
      <c r="AV24" s="14">
        <v>0</v>
      </c>
      <c r="AW24" s="14"/>
      <c r="AX24" s="14" t="s">
        <v>31</v>
      </c>
      <c r="AY24" s="14"/>
      <c r="AZ24">
        <v>1900004261</v>
      </c>
      <c r="BA24" s="39">
        <v>2849565</v>
      </c>
      <c r="BB24" s="8">
        <f>+H24-BA24</f>
        <v>1271928</v>
      </c>
      <c r="BC24" s="14"/>
      <c r="BD24" s="9">
        <f>+BB24/H24</f>
        <v>0.30860855520074887</v>
      </c>
      <c r="BE24" s="14"/>
      <c r="BF24" s="14" t="s">
        <v>31</v>
      </c>
      <c r="BG24" s="14"/>
      <c r="BH24" s="14"/>
      <c r="BI24" s="39">
        <v>2848565</v>
      </c>
      <c r="BJ24" s="8">
        <f>+H24-BI24</f>
        <v>1272928</v>
      </c>
      <c r="BK24" s="14"/>
      <c r="BL24" s="9">
        <f>+BJ24/H24</f>
        <v>0.30885118572323184</v>
      </c>
      <c r="BM24" s="14"/>
      <c r="BN24" s="14" t="s">
        <v>31</v>
      </c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</row>
    <row r="25" spans="1:84" x14ac:dyDescent="0.35">
      <c r="A25" s="1" t="s">
        <v>132</v>
      </c>
      <c r="B25" s="26" t="s">
        <v>599</v>
      </c>
      <c r="C25" s="24">
        <v>6564</v>
      </c>
      <c r="D25" s="22">
        <v>204606</v>
      </c>
      <c r="E25" s="18" t="s">
        <v>600</v>
      </c>
      <c r="F25" s="19" t="s">
        <v>601</v>
      </c>
      <c r="G25" s="39">
        <v>1316588</v>
      </c>
      <c r="H25" s="39">
        <v>1316588</v>
      </c>
      <c r="I25" s="8">
        <f t="shared" si="0"/>
        <v>0</v>
      </c>
      <c r="J25" s="8">
        <f t="shared" si="1"/>
        <v>0</v>
      </c>
      <c r="K25" s="12">
        <v>658294</v>
      </c>
      <c r="L25" s="12">
        <f t="shared" ref="L25:L30" si="12">+H25-K25</f>
        <v>658294</v>
      </c>
      <c r="M25" s="12"/>
      <c r="N25" s="9">
        <f>+L25/H25</f>
        <v>0.5</v>
      </c>
      <c r="O25" s="14"/>
      <c r="P25" s="14" t="s">
        <v>38</v>
      </c>
      <c r="Q25" s="14" t="s">
        <v>122</v>
      </c>
      <c r="R25" s="14" t="s">
        <v>31</v>
      </c>
      <c r="S25" s="77" t="s">
        <v>83</v>
      </c>
      <c r="T25" s="43">
        <v>658294</v>
      </c>
      <c r="U25" s="44">
        <f t="shared" si="9"/>
        <v>658294</v>
      </c>
      <c r="V25" s="14"/>
      <c r="W25" s="9">
        <f>+U25/H25</f>
        <v>0.5</v>
      </c>
      <c r="X25" s="14" t="s">
        <v>46</v>
      </c>
      <c r="Y25" s="14" t="s">
        <v>122</v>
      </c>
      <c r="Z25" s="14" t="s">
        <v>31</v>
      </c>
      <c r="AA25" s="77" t="s">
        <v>55</v>
      </c>
      <c r="AB25" s="39">
        <v>658294</v>
      </c>
      <c r="AC25" s="8">
        <f>+K25-AB25</f>
        <v>0</v>
      </c>
      <c r="AD25" s="14"/>
      <c r="AE25" s="9">
        <f>+AC25/H25</f>
        <v>0</v>
      </c>
      <c r="AF25" s="14" t="s">
        <v>38</v>
      </c>
      <c r="AG25" s="14"/>
      <c r="AH25" s="14" t="s">
        <v>31</v>
      </c>
      <c r="AI25" s="77" t="s">
        <v>32</v>
      </c>
      <c r="AJ25" s="51">
        <v>1900003305</v>
      </c>
      <c r="AK25" s="39">
        <v>658294</v>
      </c>
      <c r="AL25" s="8">
        <f t="shared" si="10"/>
        <v>658294</v>
      </c>
      <c r="AM25" s="14"/>
      <c r="AN25" s="9">
        <f t="shared" si="11"/>
        <v>0.5</v>
      </c>
      <c r="AO25" s="14"/>
      <c r="AP25" s="14" t="s">
        <v>31</v>
      </c>
      <c r="AQ25" s="14"/>
      <c r="AR25" s="20">
        <v>1900003680</v>
      </c>
      <c r="AS25" s="39">
        <v>658294</v>
      </c>
      <c r="AT25" s="8">
        <f>+H25-AS25</f>
        <v>658294</v>
      </c>
      <c r="AU25" s="14"/>
      <c r="AV25" s="9">
        <f>+AT25/H25</f>
        <v>0.5</v>
      </c>
      <c r="AW25" s="14"/>
      <c r="AX25" s="14" t="s">
        <v>31</v>
      </c>
      <c r="AY25" s="14"/>
      <c r="AZ25" s="85">
        <v>1900004207</v>
      </c>
      <c r="BA25" s="39">
        <v>1316588</v>
      </c>
      <c r="BB25" s="8">
        <f>+H25-BA25</f>
        <v>0</v>
      </c>
      <c r="BC25" s="14"/>
      <c r="BD25" s="14">
        <v>0</v>
      </c>
      <c r="BE25" s="14"/>
      <c r="BF25" s="14" t="s">
        <v>31</v>
      </c>
      <c r="BG25" s="14"/>
      <c r="BH25" s="14"/>
      <c r="BI25" s="39">
        <v>1316588</v>
      </c>
      <c r="BJ25" s="14">
        <v>0</v>
      </c>
      <c r="BK25" s="14"/>
      <c r="BL25" s="14">
        <v>0</v>
      </c>
      <c r="BM25" s="14"/>
      <c r="BN25" s="14" t="s">
        <v>31</v>
      </c>
      <c r="BO25" s="14"/>
      <c r="BP25" s="14"/>
      <c r="BQ25" s="39">
        <v>1316588</v>
      </c>
      <c r="BR25" s="14">
        <v>0</v>
      </c>
      <c r="BS25" s="14"/>
      <c r="BT25" s="14">
        <v>0</v>
      </c>
      <c r="BU25" s="14"/>
      <c r="BV25" s="14" t="s">
        <v>31</v>
      </c>
      <c r="BW25" s="14"/>
      <c r="BX25" s="14"/>
      <c r="BY25" s="8">
        <f>+BQ25</f>
        <v>1316588</v>
      </c>
      <c r="BZ25" s="14">
        <v>0</v>
      </c>
      <c r="CA25" s="14"/>
      <c r="CB25" s="14">
        <v>0</v>
      </c>
      <c r="CC25" s="14"/>
      <c r="CD25" s="14" t="s">
        <v>31</v>
      </c>
      <c r="CE25" s="14"/>
      <c r="CF25" s="14"/>
    </row>
    <row r="26" spans="1:84" x14ac:dyDescent="0.35">
      <c r="A26" s="1" t="s">
        <v>136</v>
      </c>
      <c r="B26" s="26" t="s">
        <v>602</v>
      </c>
      <c r="C26" s="24">
        <v>6568</v>
      </c>
      <c r="D26" s="22">
        <v>204589</v>
      </c>
      <c r="E26" s="18" t="s">
        <v>603</v>
      </c>
      <c r="F26" s="19" t="s">
        <v>604</v>
      </c>
      <c r="G26" s="39">
        <v>3117418</v>
      </c>
      <c r="H26" s="39">
        <v>3117418</v>
      </c>
      <c r="I26" s="8">
        <f t="shared" si="0"/>
        <v>0</v>
      </c>
      <c r="J26" s="8">
        <f t="shared" si="1"/>
        <v>0</v>
      </c>
      <c r="K26" s="12">
        <v>1558709</v>
      </c>
      <c r="L26" s="12">
        <f t="shared" si="12"/>
        <v>1558709</v>
      </c>
      <c r="M26" s="12"/>
      <c r="N26" s="9">
        <f t="shared" si="2"/>
        <v>0.5</v>
      </c>
      <c r="O26" s="14"/>
      <c r="P26" s="14" t="s">
        <v>46</v>
      </c>
      <c r="Q26" s="14"/>
      <c r="R26" s="14" t="s">
        <v>31</v>
      </c>
      <c r="S26" s="77" t="s">
        <v>55</v>
      </c>
      <c r="T26" s="43">
        <v>1558709</v>
      </c>
      <c r="U26" s="44">
        <f t="shared" si="9"/>
        <v>1558709</v>
      </c>
      <c r="V26" s="14"/>
      <c r="W26" s="9">
        <f>+U26/H26</f>
        <v>0.5</v>
      </c>
      <c r="X26" s="14" t="s">
        <v>46</v>
      </c>
      <c r="Y26" s="14" t="s">
        <v>122</v>
      </c>
      <c r="Z26" s="14" t="s">
        <v>31</v>
      </c>
      <c r="AA26" s="3"/>
      <c r="AB26" s="39">
        <v>1558709</v>
      </c>
      <c r="AC26" s="8">
        <f>+K26-AB26</f>
        <v>0</v>
      </c>
      <c r="AD26" s="14"/>
      <c r="AE26" s="9">
        <f>+AC26/H26</f>
        <v>0</v>
      </c>
      <c r="AF26" s="14" t="s">
        <v>38</v>
      </c>
      <c r="AG26" s="14"/>
      <c r="AH26" s="14" t="s">
        <v>31</v>
      </c>
      <c r="AI26" s="77" t="s">
        <v>32</v>
      </c>
      <c r="AJ26" s="51">
        <v>1900003306</v>
      </c>
      <c r="AK26" s="39">
        <v>2493395</v>
      </c>
      <c r="AL26" s="8">
        <f t="shared" si="10"/>
        <v>624023</v>
      </c>
      <c r="AM26" s="14"/>
      <c r="AN26" s="9">
        <f t="shared" si="11"/>
        <v>0.20017302780698643</v>
      </c>
      <c r="AO26" s="14"/>
      <c r="AP26" s="14" t="s">
        <v>31</v>
      </c>
      <c r="AQ26" s="14"/>
      <c r="AR26" s="20">
        <v>1900003787</v>
      </c>
      <c r="AS26" s="39">
        <v>2182193</v>
      </c>
      <c r="AT26" s="8">
        <f>+H26-AS26</f>
        <v>935225</v>
      </c>
      <c r="AU26" s="14"/>
      <c r="AV26" s="9">
        <f>+AT26/H26</f>
        <v>0.29999987168868597</v>
      </c>
      <c r="AW26" s="14"/>
      <c r="AX26" s="14" t="s">
        <v>31</v>
      </c>
      <c r="AY26" s="14"/>
      <c r="AZ26" s="85">
        <v>1900004221</v>
      </c>
      <c r="BA26" s="39">
        <v>2182193</v>
      </c>
      <c r="BB26" s="8">
        <f>+H26-BA26</f>
        <v>935225</v>
      </c>
      <c r="BC26" s="14"/>
      <c r="BD26" s="9">
        <f>+BB26/H26</f>
        <v>0.29999987168868597</v>
      </c>
      <c r="BE26" s="14"/>
      <c r="BF26" s="14" t="s">
        <v>31</v>
      </c>
      <c r="BG26" s="14"/>
      <c r="BH26" s="14"/>
      <c r="BI26" s="39">
        <v>2182193</v>
      </c>
      <c r="BJ26" s="8">
        <f>+H26-BI26</f>
        <v>935225</v>
      </c>
      <c r="BK26" s="14"/>
      <c r="BL26" s="9">
        <f>+BJ26/H26</f>
        <v>0.29999987168868597</v>
      </c>
      <c r="BM26" s="14"/>
      <c r="BN26" s="14" t="s">
        <v>31</v>
      </c>
      <c r="BO26" s="14"/>
      <c r="BP26" s="14"/>
      <c r="BQ26" s="39">
        <v>2493904</v>
      </c>
      <c r="BR26" s="8">
        <f>+H26-BQ26</f>
        <v>623514</v>
      </c>
      <c r="BS26" s="14"/>
      <c r="BT26" s="9">
        <f>+BR26/H26</f>
        <v>0.20000975165986723</v>
      </c>
      <c r="BU26" s="14"/>
      <c r="BV26" s="14" t="s">
        <v>31</v>
      </c>
      <c r="BW26" s="14"/>
      <c r="BX26" s="14"/>
      <c r="BY26" s="39">
        <v>2493904</v>
      </c>
      <c r="BZ26" s="8">
        <f>+H26-BY26</f>
        <v>623514</v>
      </c>
      <c r="CA26" s="14"/>
      <c r="CB26" s="9">
        <f>+BZ26/G26</f>
        <v>0.20000975165986723</v>
      </c>
      <c r="CC26" s="14"/>
      <c r="CD26" s="14" t="s">
        <v>31</v>
      </c>
      <c r="CE26" s="14"/>
      <c r="CF26" s="14"/>
    </row>
    <row r="27" spans="1:84" x14ac:dyDescent="0.35">
      <c r="A27" s="1" t="s">
        <v>140</v>
      </c>
      <c r="B27" s="26" t="s">
        <v>605</v>
      </c>
      <c r="C27" s="15">
        <v>6767</v>
      </c>
      <c r="D27" s="22">
        <v>204887</v>
      </c>
      <c r="E27" s="18" t="s">
        <v>606</v>
      </c>
      <c r="F27" s="19" t="s">
        <v>607</v>
      </c>
      <c r="G27" s="39">
        <v>1269563</v>
      </c>
      <c r="H27" s="39">
        <v>1269563</v>
      </c>
      <c r="I27" s="8">
        <f t="shared" si="0"/>
        <v>0</v>
      </c>
      <c r="J27" s="8">
        <f t="shared" si="1"/>
        <v>0</v>
      </c>
      <c r="K27" s="12">
        <v>444347</v>
      </c>
      <c r="L27" s="12">
        <f t="shared" si="12"/>
        <v>825216</v>
      </c>
      <c r="M27" s="12"/>
      <c r="N27" s="9">
        <f t="shared" si="2"/>
        <v>0.65000003938363038</v>
      </c>
      <c r="O27" s="14"/>
      <c r="P27" s="14" t="s">
        <v>46</v>
      </c>
      <c r="Q27" s="14" t="s">
        <v>836</v>
      </c>
      <c r="R27" s="14" t="s">
        <v>31</v>
      </c>
      <c r="S27" s="77" t="s">
        <v>83</v>
      </c>
      <c r="T27" s="39">
        <v>444347</v>
      </c>
      <c r="U27" s="8">
        <f t="shared" si="9"/>
        <v>825216</v>
      </c>
      <c r="V27" s="14"/>
      <c r="W27" s="9">
        <f>+U27/H27</f>
        <v>0.65000003938363038</v>
      </c>
      <c r="X27" s="14" t="s">
        <v>46</v>
      </c>
      <c r="Y27" s="14"/>
      <c r="Z27" s="14" t="s">
        <v>31</v>
      </c>
      <c r="AA27" s="77" t="s">
        <v>47</v>
      </c>
      <c r="AB27" s="39">
        <v>634782</v>
      </c>
      <c r="AC27" s="8"/>
      <c r="AD27" s="14"/>
      <c r="AE27" s="9"/>
      <c r="AF27" s="14"/>
      <c r="AG27" s="14"/>
      <c r="AH27" s="14"/>
      <c r="AI27" s="3"/>
      <c r="AJ27" s="20">
        <v>1900003562</v>
      </c>
      <c r="AK27" s="39">
        <v>634782</v>
      </c>
      <c r="AL27" s="8">
        <f t="shared" si="10"/>
        <v>634781</v>
      </c>
      <c r="AM27" s="14"/>
      <c r="AN27" s="9">
        <f t="shared" si="11"/>
        <v>0.49999960616369571</v>
      </c>
      <c r="AO27" s="14"/>
      <c r="AP27" s="14" t="s">
        <v>31</v>
      </c>
      <c r="AQ27" s="14"/>
      <c r="AR27" s="20">
        <v>1900004043</v>
      </c>
      <c r="AS27" s="39">
        <v>507825</v>
      </c>
      <c r="AT27" s="8">
        <f>+H27-AS27</f>
        <v>761738</v>
      </c>
      <c r="AU27" s="14"/>
      <c r="AV27" s="9">
        <f>+AT27/H27</f>
        <v>0.60000015753452174</v>
      </c>
      <c r="AW27" s="14"/>
      <c r="AX27" s="14" t="s">
        <v>31</v>
      </c>
      <c r="AY27" s="14"/>
      <c r="AZ27" s="86">
        <v>1900004375</v>
      </c>
      <c r="BA27" s="39">
        <v>698260</v>
      </c>
      <c r="BB27" s="8">
        <f>+H27-BA27</f>
        <v>571303</v>
      </c>
      <c r="BC27" s="14"/>
      <c r="BD27" s="9">
        <f>+BB27/H27</f>
        <v>0.44999972431458701</v>
      </c>
      <c r="BE27" s="14"/>
      <c r="BF27" s="14" t="s">
        <v>31</v>
      </c>
      <c r="BG27" s="14"/>
      <c r="BH27" s="14"/>
      <c r="BI27" s="39">
        <v>888694</v>
      </c>
      <c r="BJ27" s="8">
        <f>+H27-BI27</f>
        <v>380869</v>
      </c>
      <c r="BK27" s="14"/>
      <c r="BL27" s="9">
        <f>+BJ27/H27</f>
        <v>0.30000007876726087</v>
      </c>
      <c r="BM27" s="14"/>
      <c r="BN27" s="14" t="s">
        <v>31</v>
      </c>
      <c r="BO27" s="14"/>
      <c r="BP27" s="14"/>
      <c r="BQ27" s="39">
        <v>888694</v>
      </c>
      <c r="BR27" s="14">
        <v>0</v>
      </c>
      <c r="BS27" s="14"/>
      <c r="BT27" s="14">
        <v>0</v>
      </c>
      <c r="BU27" s="14"/>
      <c r="BV27" s="14" t="s">
        <v>31</v>
      </c>
      <c r="BW27" s="14"/>
      <c r="BX27" s="14"/>
      <c r="BY27" s="39">
        <v>888694</v>
      </c>
      <c r="BZ27" s="14">
        <v>0</v>
      </c>
      <c r="CA27" s="14"/>
      <c r="CB27" s="14">
        <v>0</v>
      </c>
      <c r="CC27" s="14"/>
      <c r="CD27" s="14" t="s">
        <v>31</v>
      </c>
      <c r="CE27" s="14"/>
      <c r="CF27" s="14"/>
    </row>
    <row r="28" spans="1:84" ht="15.5" x14ac:dyDescent="0.35">
      <c r="A28" s="1" t="s">
        <v>147</v>
      </c>
      <c r="B28" s="26" t="s">
        <v>608</v>
      </c>
      <c r="C28" s="15">
        <v>6776</v>
      </c>
      <c r="D28" s="22">
        <v>204984</v>
      </c>
      <c r="E28" s="18" t="s">
        <v>609</v>
      </c>
      <c r="F28" s="19" t="s">
        <v>610</v>
      </c>
      <c r="G28" s="39">
        <v>1535882</v>
      </c>
      <c r="H28" s="39">
        <v>1551239</v>
      </c>
      <c r="I28" s="8">
        <f t="shared" si="0"/>
        <v>15357</v>
      </c>
      <c r="J28" s="9">
        <f t="shared" si="1"/>
        <v>9.9988150131325188E-3</v>
      </c>
      <c r="K28" s="12">
        <v>864634</v>
      </c>
      <c r="L28" s="12">
        <f t="shared" si="12"/>
        <v>686605</v>
      </c>
      <c r="M28" s="12"/>
      <c r="N28" s="9">
        <f t="shared" si="2"/>
        <v>0.44261715957373426</v>
      </c>
      <c r="O28" s="14"/>
      <c r="P28" s="14" t="s">
        <v>46</v>
      </c>
      <c r="Q28" s="14"/>
      <c r="R28" s="14" t="s">
        <v>31</v>
      </c>
      <c r="S28" s="77" t="s">
        <v>83</v>
      </c>
      <c r="T28" s="43">
        <v>864634</v>
      </c>
      <c r="U28" s="44">
        <f t="shared" si="9"/>
        <v>686605</v>
      </c>
      <c r="V28" s="14"/>
      <c r="W28" s="9">
        <f>+U28/H28</f>
        <v>0.44261715957373426</v>
      </c>
      <c r="X28" s="14" t="s">
        <v>46</v>
      </c>
      <c r="Y28" s="14"/>
      <c r="Z28" s="14" t="s">
        <v>31</v>
      </c>
      <c r="AA28" s="80" t="s">
        <v>83</v>
      </c>
      <c r="AB28" s="39">
        <v>673048</v>
      </c>
      <c r="AC28" s="8">
        <f>+K28-AB28</f>
        <v>191586</v>
      </c>
      <c r="AD28" s="14"/>
      <c r="AE28" s="9">
        <f>+AC28/H28</f>
        <v>0.12350514653125663</v>
      </c>
      <c r="AF28" s="14" t="s">
        <v>46</v>
      </c>
      <c r="AG28" s="14"/>
      <c r="AH28" s="14" t="s">
        <v>31</v>
      </c>
      <c r="AI28" s="77" t="s">
        <v>47</v>
      </c>
      <c r="AJ28" s="20">
        <v>1900003573</v>
      </c>
      <c r="AK28" s="39">
        <f>673048+878191</f>
        <v>1551239</v>
      </c>
      <c r="AL28" s="8">
        <f t="shared" si="10"/>
        <v>0</v>
      </c>
      <c r="AM28" s="14"/>
      <c r="AN28" s="9">
        <f t="shared" si="11"/>
        <v>0</v>
      </c>
      <c r="AO28" s="14"/>
      <c r="AP28" s="14"/>
      <c r="AQ28" s="14"/>
      <c r="AR28" s="20"/>
      <c r="AS28" s="39">
        <f>673048+878191</f>
        <v>1551239</v>
      </c>
      <c r="AT28" s="8">
        <f>+H28-AS28</f>
        <v>0</v>
      </c>
      <c r="AU28" s="14"/>
      <c r="AV28" s="14">
        <v>0</v>
      </c>
      <c r="AW28" s="14"/>
      <c r="AX28" s="14"/>
      <c r="AY28" s="14"/>
      <c r="AZ28" s="85"/>
      <c r="BA28" s="39">
        <f>673048+878191</f>
        <v>1551239</v>
      </c>
      <c r="BB28" s="14">
        <v>0</v>
      </c>
      <c r="BC28" s="14"/>
      <c r="BD28" s="14">
        <v>0</v>
      </c>
      <c r="BE28" s="14"/>
      <c r="BF28" s="14"/>
      <c r="BG28" s="14"/>
      <c r="BH28" s="14"/>
      <c r="BI28" s="39">
        <v>1551239</v>
      </c>
      <c r="BJ28" s="14">
        <v>0</v>
      </c>
      <c r="BK28" s="14"/>
      <c r="BL28" s="14">
        <v>0</v>
      </c>
      <c r="BM28" s="14"/>
      <c r="BN28" s="14" t="s">
        <v>31</v>
      </c>
      <c r="BO28" s="14"/>
      <c r="BP28" s="14"/>
      <c r="BQ28" s="39">
        <f>878191+673048</f>
        <v>1551239</v>
      </c>
      <c r="BR28" s="14">
        <v>0</v>
      </c>
      <c r="BS28" s="14"/>
      <c r="BT28" s="14">
        <v>0</v>
      </c>
      <c r="BU28" s="14"/>
      <c r="BV28" s="14" t="s">
        <v>31</v>
      </c>
      <c r="BW28" s="14"/>
      <c r="BX28" s="14"/>
      <c r="BY28" s="39">
        <f>673048+878191</f>
        <v>1551239</v>
      </c>
      <c r="BZ28" s="14">
        <v>0</v>
      </c>
      <c r="CA28" s="14"/>
      <c r="CB28" s="14">
        <v>0</v>
      </c>
      <c r="CC28" s="14"/>
      <c r="CD28" s="14" t="s">
        <v>31</v>
      </c>
      <c r="CE28" s="14"/>
      <c r="CF28" s="14"/>
    </row>
    <row r="29" spans="1:84" x14ac:dyDescent="0.35">
      <c r="A29" s="1" t="s">
        <v>152</v>
      </c>
      <c r="B29" s="26" t="s">
        <v>611</v>
      </c>
      <c r="C29" s="15">
        <v>8580</v>
      </c>
      <c r="D29" s="22">
        <v>205547</v>
      </c>
      <c r="E29" s="18" t="s">
        <v>208</v>
      </c>
      <c r="F29" s="19" t="s">
        <v>612</v>
      </c>
      <c r="G29" s="39">
        <v>1867921</v>
      </c>
      <c r="H29" s="39">
        <v>1814237</v>
      </c>
      <c r="I29" s="8">
        <f t="shared" si="0"/>
        <v>-53684</v>
      </c>
      <c r="J29" s="9">
        <f t="shared" si="1"/>
        <v>-2.8739973478535762E-2</v>
      </c>
      <c r="K29" s="12">
        <v>1295193</v>
      </c>
      <c r="L29" s="12">
        <f t="shared" si="12"/>
        <v>519044</v>
      </c>
      <c r="M29" s="12"/>
      <c r="N29" s="9">
        <f t="shared" si="2"/>
        <v>0.2860949258558832</v>
      </c>
      <c r="O29" s="14"/>
      <c r="P29" s="14" t="s">
        <v>46</v>
      </c>
      <c r="Q29" s="14"/>
      <c r="R29" s="14" t="s">
        <v>31</v>
      </c>
      <c r="S29" s="77"/>
      <c r="T29" s="39">
        <f>101807+81694</f>
        <v>183501</v>
      </c>
      <c r="U29" s="8">
        <f t="shared" si="9"/>
        <v>1630736</v>
      </c>
      <c r="V29" s="14"/>
      <c r="W29" s="9">
        <f>+U29/H29</f>
        <v>0.89885500075238245</v>
      </c>
      <c r="X29" s="14" t="s">
        <v>46</v>
      </c>
      <c r="Y29" s="14"/>
      <c r="Z29" s="14" t="s">
        <v>31</v>
      </c>
      <c r="AA29" s="3"/>
      <c r="AB29" s="39">
        <v>1373975</v>
      </c>
      <c r="AC29" s="8">
        <f t="shared" ref="AC29:AC35" si="13">+H29-AB29</f>
        <v>440262</v>
      </c>
      <c r="AD29" s="14"/>
      <c r="AE29" s="9">
        <f>+AC29/H29</f>
        <v>0.24267061028961487</v>
      </c>
      <c r="AF29" s="14"/>
      <c r="AG29" s="14"/>
      <c r="AH29" s="14" t="s">
        <v>31</v>
      </c>
      <c r="AI29" s="3"/>
      <c r="AJ29" s="52">
        <v>1900003469</v>
      </c>
      <c r="AK29" s="39">
        <v>1306908</v>
      </c>
      <c r="AL29" s="8">
        <f t="shared" si="10"/>
        <v>507329</v>
      </c>
      <c r="AM29" s="14"/>
      <c r="AN29" s="9">
        <f t="shared" si="11"/>
        <v>0.27963766586173694</v>
      </c>
      <c r="AO29" s="14"/>
      <c r="AP29" s="14" t="s">
        <v>31</v>
      </c>
      <c r="AQ29" s="14"/>
      <c r="AR29" s="20">
        <v>1900003821</v>
      </c>
      <c r="AS29" s="39">
        <v>1774237</v>
      </c>
      <c r="AT29" s="8">
        <f>++H29-AS29</f>
        <v>40000</v>
      </c>
      <c r="AU29" s="14"/>
      <c r="AV29" s="9">
        <f>+AT29/H29</f>
        <v>2.2047836087567392E-2</v>
      </c>
      <c r="AW29" s="14"/>
      <c r="AX29" s="14" t="s">
        <v>31</v>
      </c>
      <c r="AY29" s="14"/>
      <c r="AZ29" s="84">
        <v>1900004297</v>
      </c>
      <c r="BA29" s="39">
        <f>178609+158496</f>
        <v>337105</v>
      </c>
      <c r="BB29" s="8">
        <f>+H29-BA29</f>
        <v>1477132</v>
      </c>
      <c r="BC29" s="14"/>
      <c r="BD29" s="9">
        <f>+BB29/H29</f>
        <v>0.81418910539251488</v>
      </c>
      <c r="BE29" s="14"/>
      <c r="BF29" s="14" t="s">
        <v>31</v>
      </c>
      <c r="BG29" s="14"/>
      <c r="BH29" s="14"/>
      <c r="BI29" s="39">
        <v>1774237</v>
      </c>
      <c r="BJ29" s="8">
        <f>+H29-BI29</f>
        <v>40000</v>
      </c>
      <c r="BK29" s="14"/>
      <c r="BL29" s="14">
        <v>0</v>
      </c>
      <c r="BM29" s="14"/>
      <c r="BN29" s="14" t="s">
        <v>31</v>
      </c>
      <c r="BO29" s="14"/>
      <c r="BP29" s="14"/>
      <c r="BQ29" s="39">
        <f>940047+834190</f>
        <v>1774237</v>
      </c>
      <c r="BR29" s="14">
        <v>0</v>
      </c>
      <c r="BS29" s="14"/>
      <c r="BT29" s="14">
        <v>0</v>
      </c>
      <c r="BU29" s="14"/>
      <c r="BV29" s="14" t="s">
        <v>31</v>
      </c>
      <c r="BW29" s="14"/>
      <c r="BX29" s="14"/>
      <c r="BY29" s="39">
        <f>940047+834190</f>
        <v>1774237</v>
      </c>
      <c r="BZ29" s="14">
        <v>0</v>
      </c>
      <c r="CA29" s="14"/>
      <c r="CB29" s="14">
        <v>0</v>
      </c>
      <c r="CC29" s="14"/>
      <c r="CD29" s="14" t="s">
        <v>31</v>
      </c>
      <c r="CE29" s="14"/>
      <c r="CF29" s="14"/>
    </row>
    <row r="30" spans="1:84" x14ac:dyDescent="0.35">
      <c r="A30" s="1" t="s">
        <v>156</v>
      </c>
      <c r="B30" s="26" t="s">
        <v>613</v>
      </c>
      <c r="C30" s="15">
        <v>8581</v>
      </c>
      <c r="D30" s="22">
        <v>204996</v>
      </c>
      <c r="E30" s="18" t="s">
        <v>159</v>
      </c>
      <c r="F30" s="19" t="s">
        <v>614</v>
      </c>
      <c r="G30" s="39">
        <v>1412233</v>
      </c>
      <c r="H30" s="39">
        <v>1412233</v>
      </c>
      <c r="I30" s="8">
        <f t="shared" si="0"/>
        <v>0</v>
      </c>
      <c r="J30" s="8">
        <f t="shared" si="1"/>
        <v>0</v>
      </c>
      <c r="K30" s="12">
        <v>1412233</v>
      </c>
      <c r="L30" s="12">
        <f t="shared" si="12"/>
        <v>0</v>
      </c>
      <c r="M30" s="12"/>
      <c r="N30" s="8">
        <f t="shared" si="2"/>
        <v>0</v>
      </c>
      <c r="O30" s="14"/>
      <c r="P30" s="14"/>
      <c r="Q30" s="14"/>
      <c r="R30" s="14"/>
      <c r="S30" s="77"/>
      <c r="T30" s="39">
        <v>1412233</v>
      </c>
      <c r="U30" s="14">
        <v>0</v>
      </c>
      <c r="V30" s="14"/>
      <c r="W30" s="14">
        <v>0</v>
      </c>
      <c r="X30" s="14"/>
      <c r="Y30" s="14"/>
      <c r="Z30" s="14"/>
      <c r="AA30" s="3"/>
      <c r="AB30" s="39">
        <v>706116</v>
      </c>
      <c r="AC30" s="8">
        <f t="shared" si="13"/>
        <v>706117</v>
      </c>
      <c r="AD30" s="14"/>
      <c r="AE30" s="9">
        <f>+AC30/H30</f>
        <v>0.5000003540492256</v>
      </c>
      <c r="AF30" s="14"/>
      <c r="AG30" s="14"/>
      <c r="AH30" s="14"/>
      <c r="AI30" s="3"/>
      <c r="AJ30" s="20">
        <v>1900003700</v>
      </c>
      <c r="AK30" s="39">
        <v>1412233</v>
      </c>
      <c r="AL30" s="8">
        <f t="shared" si="10"/>
        <v>0</v>
      </c>
      <c r="AM30" s="14"/>
      <c r="AN30" s="9">
        <f t="shared" si="11"/>
        <v>0</v>
      </c>
      <c r="AO30" s="14"/>
      <c r="AP30" s="14" t="s">
        <v>31</v>
      </c>
      <c r="AQ30" s="14"/>
      <c r="AR30" s="20">
        <v>1900003920</v>
      </c>
      <c r="AS30" s="8">
        <f>+AK30</f>
        <v>1412233</v>
      </c>
      <c r="AT30" s="14">
        <v>0</v>
      </c>
      <c r="AU30" s="14"/>
      <c r="AV30" s="14">
        <v>0</v>
      </c>
      <c r="AW30" s="14"/>
      <c r="AX30" s="14" t="s">
        <v>31</v>
      </c>
      <c r="AY30" s="14"/>
      <c r="AZ30" s="86">
        <v>1900004473</v>
      </c>
      <c r="BA30" s="14"/>
      <c r="BB30" s="14"/>
      <c r="BC30" s="14"/>
      <c r="BD30" s="14"/>
      <c r="BE30" s="14"/>
      <c r="BF30" s="14"/>
      <c r="BG30" s="14"/>
      <c r="BH30" s="14"/>
      <c r="BI30" s="39">
        <v>1412233</v>
      </c>
      <c r="BJ30" s="14">
        <v>0</v>
      </c>
      <c r="BK30" s="14"/>
      <c r="BL30" s="14">
        <v>0</v>
      </c>
      <c r="BM30" s="14"/>
      <c r="BN30" s="14" t="s">
        <v>31</v>
      </c>
      <c r="BO30" s="14"/>
      <c r="BP30" s="14"/>
      <c r="BQ30" s="39">
        <v>1412233</v>
      </c>
      <c r="BR30" s="14">
        <v>0</v>
      </c>
      <c r="BS30" s="14"/>
      <c r="BT30" s="14">
        <v>0</v>
      </c>
      <c r="BU30" s="14"/>
      <c r="BV30" s="14" t="s">
        <v>31</v>
      </c>
      <c r="BW30" s="14"/>
      <c r="BX30" s="14"/>
      <c r="BY30" s="39">
        <v>1412233</v>
      </c>
      <c r="BZ30" s="14">
        <v>0</v>
      </c>
      <c r="CA30" s="14"/>
      <c r="CB30" s="14">
        <v>0</v>
      </c>
      <c r="CC30" s="14"/>
      <c r="CD30" s="14" t="s">
        <v>31</v>
      </c>
      <c r="CE30" s="14"/>
      <c r="CF30" s="14"/>
    </row>
    <row r="31" spans="1:84" x14ac:dyDescent="0.35">
      <c r="A31" s="1" t="s">
        <v>161</v>
      </c>
      <c r="B31" s="26" t="s">
        <v>615</v>
      </c>
      <c r="C31" s="15">
        <v>8582</v>
      </c>
      <c r="D31" s="22">
        <v>205022</v>
      </c>
      <c r="E31" s="18" t="s">
        <v>616</v>
      </c>
      <c r="F31" s="19" t="s">
        <v>617</v>
      </c>
      <c r="G31" s="39">
        <v>615776</v>
      </c>
      <c r="H31" s="39">
        <v>615776</v>
      </c>
      <c r="I31" s="8">
        <f t="shared" si="0"/>
        <v>0</v>
      </c>
      <c r="J31" s="8">
        <f t="shared" si="1"/>
        <v>0</v>
      </c>
      <c r="K31" s="12"/>
      <c r="L31" s="12"/>
      <c r="M31" s="12">
        <v>49262</v>
      </c>
      <c r="N31" s="8">
        <f t="shared" si="2"/>
        <v>7.9999870082627447E-2</v>
      </c>
      <c r="O31" s="14"/>
      <c r="P31" s="14"/>
      <c r="Q31" s="14"/>
      <c r="R31" s="14"/>
      <c r="S31" s="77"/>
      <c r="T31" s="39">
        <v>246310</v>
      </c>
      <c r="U31" s="8">
        <f t="shared" ref="U31:U36" si="14">+H31-T31</f>
        <v>369466</v>
      </c>
      <c r="V31" s="14"/>
      <c r="W31" s="9">
        <f t="shared" ref="W31:W36" si="15">+U31/H31</f>
        <v>0.60000064958686272</v>
      </c>
      <c r="X31" s="14" t="s">
        <v>46</v>
      </c>
      <c r="Y31" s="14"/>
      <c r="Z31" s="14" t="s">
        <v>31</v>
      </c>
      <c r="AA31" s="77" t="s">
        <v>47</v>
      </c>
      <c r="AB31" s="39">
        <v>246310</v>
      </c>
      <c r="AC31" s="8">
        <f t="shared" si="13"/>
        <v>369466</v>
      </c>
      <c r="AD31" s="14"/>
      <c r="AE31" s="9">
        <f>+AC31/H31</f>
        <v>0.60000064958686272</v>
      </c>
      <c r="AF31" s="14"/>
      <c r="AG31" s="14"/>
      <c r="AH31" s="14" t="s">
        <v>31</v>
      </c>
      <c r="AI31" s="3"/>
      <c r="AJ31" s="52">
        <v>1900003433</v>
      </c>
      <c r="AK31" s="39">
        <v>246310</v>
      </c>
      <c r="AL31" s="8">
        <f t="shared" si="10"/>
        <v>369466</v>
      </c>
      <c r="AM31" s="14"/>
      <c r="AN31" s="9">
        <f t="shared" si="11"/>
        <v>0.60000064958686272</v>
      </c>
      <c r="AO31" s="14"/>
      <c r="AP31" s="14" t="s">
        <v>31</v>
      </c>
      <c r="AQ31" s="14"/>
      <c r="AR31" s="20">
        <v>1900003881</v>
      </c>
      <c r="AS31" s="39">
        <v>615776</v>
      </c>
      <c r="AT31" s="8">
        <f>+H31-AS31</f>
        <v>0</v>
      </c>
      <c r="AU31" s="14"/>
      <c r="AV31" s="14">
        <v>0</v>
      </c>
      <c r="AW31" s="14"/>
      <c r="AX31" s="14" t="s">
        <v>31</v>
      </c>
      <c r="AY31" s="14"/>
      <c r="AZ31" s="84">
        <v>1900004324</v>
      </c>
      <c r="BA31" s="39">
        <v>615776</v>
      </c>
      <c r="BB31" s="8">
        <f>+H31-BA31</f>
        <v>0</v>
      </c>
      <c r="BC31" s="14"/>
      <c r="BD31" s="14">
        <v>0</v>
      </c>
      <c r="BE31" s="14"/>
      <c r="BF31" s="14" t="s">
        <v>31</v>
      </c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39">
        <v>431043</v>
      </c>
      <c r="BR31" s="14">
        <v>0</v>
      </c>
      <c r="BS31" s="14"/>
      <c r="BT31" s="14">
        <v>0</v>
      </c>
      <c r="BU31" s="14"/>
      <c r="BV31" s="14" t="s">
        <v>31</v>
      </c>
      <c r="BW31" s="14"/>
      <c r="BX31" s="14"/>
      <c r="BY31" s="14"/>
      <c r="BZ31" s="14"/>
      <c r="CA31" s="14"/>
      <c r="CB31" s="14"/>
      <c r="CC31" s="14"/>
      <c r="CD31" s="14"/>
      <c r="CE31" s="14"/>
      <c r="CF31" s="14"/>
    </row>
    <row r="32" spans="1:84" x14ac:dyDescent="0.35">
      <c r="A32" s="1" t="s">
        <v>166</v>
      </c>
      <c r="B32" s="26" t="s">
        <v>618</v>
      </c>
      <c r="C32" s="15">
        <v>8583</v>
      </c>
      <c r="D32" s="22">
        <v>206169</v>
      </c>
      <c r="E32" s="18" t="s">
        <v>619</v>
      </c>
      <c r="F32" s="19" t="s">
        <v>620</v>
      </c>
      <c r="G32" s="39">
        <v>1400500</v>
      </c>
      <c r="H32" s="39">
        <v>1400550</v>
      </c>
      <c r="I32" s="8">
        <f t="shared" si="0"/>
        <v>50</v>
      </c>
      <c r="J32" s="9">
        <f t="shared" si="1"/>
        <v>3.5701535166012142E-5</v>
      </c>
      <c r="K32" s="12">
        <v>1400550</v>
      </c>
      <c r="L32" s="12"/>
      <c r="M32" s="12"/>
      <c r="N32" s="8">
        <f t="shared" si="2"/>
        <v>0</v>
      </c>
      <c r="O32" s="14"/>
      <c r="P32" s="14" t="s">
        <v>38</v>
      </c>
      <c r="Q32" s="14"/>
      <c r="R32" s="14" t="s">
        <v>31</v>
      </c>
      <c r="S32" s="77" t="s">
        <v>55</v>
      </c>
      <c r="T32" s="39">
        <v>1120440</v>
      </c>
      <c r="U32" s="8">
        <f t="shared" si="14"/>
        <v>280110</v>
      </c>
      <c r="V32" s="14"/>
      <c r="W32" s="9">
        <f t="shared" si="15"/>
        <v>0.2</v>
      </c>
      <c r="X32" s="14" t="s">
        <v>46</v>
      </c>
      <c r="Y32" s="14"/>
      <c r="Z32" s="14" t="s">
        <v>31</v>
      </c>
      <c r="AA32" s="77" t="s">
        <v>47</v>
      </c>
      <c r="AB32" s="39">
        <v>1120440</v>
      </c>
      <c r="AC32" s="8">
        <f t="shared" si="13"/>
        <v>280110</v>
      </c>
      <c r="AD32" s="14"/>
      <c r="AE32" s="9">
        <f>+AC32/H32</f>
        <v>0.2</v>
      </c>
      <c r="AF32" s="14"/>
      <c r="AG32" s="14"/>
      <c r="AH32" s="14" t="s">
        <v>31</v>
      </c>
      <c r="AI32" s="3"/>
      <c r="AJ32" s="52">
        <v>1900003396</v>
      </c>
      <c r="AK32" s="39">
        <v>1400550</v>
      </c>
      <c r="AL32" s="8">
        <f t="shared" si="10"/>
        <v>0</v>
      </c>
      <c r="AM32" s="14"/>
      <c r="AN32" s="9">
        <f t="shared" si="11"/>
        <v>0</v>
      </c>
      <c r="AO32" s="14"/>
      <c r="AP32" s="14" t="s">
        <v>31</v>
      </c>
      <c r="AQ32" s="14"/>
      <c r="AR32" s="20">
        <v>1900003802</v>
      </c>
      <c r="AS32" s="39">
        <v>1260495</v>
      </c>
      <c r="AT32" s="8">
        <f>+H32-AS32</f>
        <v>140055</v>
      </c>
      <c r="AU32" s="14"/>
      <c r="AV32" s="9">
        <f>+AT32/H32</f>
        <v>0.1</v>
      </c>
      <c r="AW32" s="14"/>
      <c r="AX32" s="14" t="s">
        <v>31</v>
      </c>
      <c r="AY32" s="14"/>
      <c r="AZ32" s="85">
        <v>1900004192</v>
      </c>
      <c r="BA32" s="39">
        <v>1260465</v>
      </c>
      <c r="BB32" s="8">
        <f>+H32-BA32</f>
        <v>140085</v>
      </c>
      <c r="BC32" s="14"/>
      <c r="BD32" s="9">
        <f>+BB32/H32</f>
        <v>0.10002142015636714</v>
      </c>
      <c r="BE32" s="14"/>
      <c r="BF32" s="14" t="s">
        <v>31</v>
      </c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39">
        <v>1400550</v>
      </c>
      <c r="BR32" s="8">
        <f>+H32-BQ32</f>
        <v>0</v>
      </c>
      <c r="BS32" s="14"/>
      <c r="BT32" s="14">
        <v>0</v>
      </c>
      <c r="BU32" s="14"/>
      <c r="BV32" s="14" t="s">
        <v>31</v>
      </c>
      <c r="BW32" s="14"/>
      <c r="BX32" s="14"/>
      <c r="BY32" s="39">
        <v>1400550</v>
      </c>
      <c r="BZ32" s="14">
        <v>0</v>
      </c>
      <c r="CA32" s="14"/>
      <c r="CB32" s="14">
        <v>0</v>
      </c>
      <c r="CC32" s="14"/>
      <c r="CD32" s="14" t="s">
        <v>31</v>
      </c>
      <c r="CE32" s="14"/>
      <c r="CF32" s="14"/>
    </row>
    <row r="33" spans="1:84" x14ac:dyDescent="0.35">
      <c r="A33" s="1" t="s">
        <v>172</v>
      </c>
      <c r="B33" s="26" t="s">
        <v>621</v>
      </c>
      <c r="C33" s="45">
        <v>8584</v>
      </c>
      <c r="D33" s="22">
        <v>206207</v>
      </c>
      <c r="E33" s="18" t="s">
        <v>622</v>
      </c>
      <c r="F33" s="19" t="s">
        <v>623</v>
      </c>
      <c r="G33" s="39">
        <v>1284368</v>
      </c>
      <c r="H33" s="39">
        <v>1284368</v>
      </c>
      <c r="I33" s="8">
        <f t="shared" si="0"/>
        <v>0</v>
      </c>
      <c r="J33" s="8">
        <f t="shared" si="1"/>
        <v>0</v>
      </c>
      <c r="K33" s="12">
        <v>1600449</v>
      </c>
      <c r="L33" s="12">
        <v>939947</v>
      </c>
      <c r="M33" s="12"/>
      <c r="N33" s="9">
        <f t="shared" si="2"/>
        <v>0.73183620270825811</v>
      </c>
      <c r="O33" s="14"/>
      <c r="P33" s="14" t="s">
        <v>46</v>
      </c>
      <c r="Q33" s="14"/>
      <c r="R33" s="14" t="s">
        <v>31</v>
      </c>
      <c r="S33" s="77"/>
      <c r="T33" s="39">
        <v>1320921</v>
      </c>
      <c r="U33" s="8">
        <f t="shared" si="14"/>
        <v>-36553</v>
      </c>
      <c r="V33" s="14"/>
      <c r="W33" s="9">
        <f t="shared" si="15"/>
        <v>-2.8459911800979159E-2</v>
      </c>
      <c r="X33" s="14" t="s">
        <v>38</v>
      </c>
      <c r="Y33" s="14" t="s">
        <v>837</v>
      </c>
      <c r="Z33" s="14" t="s">
        <v>31</v>
      </c>
      <c r="AA33" s="77" t="s">
        <v>47</v>
      </c>
      <c r="AB33" s="39">
        <v>1320921</v>
      </c>
      <c r="AC33" s="8">
        <f t="shared" si="13"/>
        <v>-36553</v>
      </c>
      <c r="AD33" s="14"/>
      <c r="AE33" s="67">
        <v>-0.03</v>
      </c>
      <c r="AF33" s="14"/>
      <c r="AG33" s="14"/>
      <c r="AH33" s="14" t="s">
        <v>31</v>
      </c>
      <c r="AI33" s="3"/>
      <c r="AJ33" s="52">
        <v>1900003550</v>
      </c>
      <c r="AK33" s="39">
        <v>1320921</v>
      </c>
      <c r="AL33" s="14">
        <v>0</v>
      </c>
      <c r="AM33" s="14"/>
      <c r="AN33" s="14">
        <v>0</v>
      </c>
      <c r="AO33" s="14"/>
      <c r="AP33" s="14"/>
      <c r="AQ33" s="14"/>
      <c r="AR33" s="20"/>
      <c r="AS33" s="39">
        <v>1320921</v>
      </c>
      <c r="AT33" s="14">
        <v>0</v>
      </c>
      <c r="AU33" s="14"/>
      <c r="AV33" s="14">
        <v>0</v>
      </c>
      <c r="AW33" s="14"/>
      <c r="AX33" s="14"/>
      <c r="AY33" s="14"/>
      <c r="AZ33" s="85"/>
      <c r="BA33" s="39">
        <v>1320921</v>
      </c>
      <c r="BB33" s="14">
        <v>0</v>
      </c>
      <c r="BC33" s="14"/>
      <c r="BD33" s="14">
        <v>0</v>
      </c>
      <c r="BE33" s="14"/>
      <c r="BF33" s="14" t="s">
        <v>31</v>
      </c>
      <c r="BG33" s="14"/>
      <c r="BH33" s="14"/>
      <c r="BI33" s="39">
        <v>1320921</v>
      </c>
      <c r="BJ33" s="14">
        <v>0</v>
      </c>
      <c r="BK33" s="39">
        <v>845390</v>
      </c>
      <c r="BL33" s="9">
        <f>+BK33/BI33</f>
        <v>0.64000042394662515</v>
      </c>
      <c r="BM33" s="14"/>
      <c r="BN33" s="14" t="s">
        <v>31</v>
      </c>
      <c r="BO33" s="14"/>
      <c r="BP33" s="14"/>
      <c r="BQ33" s="39">
        <v>974506</v>
      </c>
      <c r="BR33" s="14">
        <v>0</v>
      </c>
      <c r="BS33" s="14"/>
      <c r="BT33" s="14">
        <v>0</v>
      </c>
      <c r="BU33" s="14"/>
      <c r="BV33" s="14" t="s">
        <v>31</v>
      </c>
      <c r="BW33" s="14"/>
      <c r="BX33" s="14"/>
      <c r="BY33" s="39">
        <v>974506</v>
      </c>
      <c r="BZ33" s="14">
        <v>0</v>
      </c>
      <c r="CA33" s="14"/>
      <c r="CB33" s="14">
        <v>0</v>
      </c>
      <c r="CC33" s="14"/>
      <c r="CD33" s="14" t="s">
        <v>31</v>
      </c>
      <c r="CE33" s="14"/>
      <c r="CF33" s="14"/>
    </row>
    <row r="34" spans="1:84" x14ac:dyDescent="0.35">
      <c r="A34" s="1" t="s">
        <v>177</v>
      </c>
      <c r="B34" s="26" t="s">
        <v>624</v>
      </c>
      <c r="C34" s="15">
        <v>8585</v>
      </c>
      <c r="D34" s="22">
        <v>205016</v>
      </c>
      <c r="E34" s="18" t="s">
        <v>625</v>
      </c>
      <c r="F34" s="19" t="s">
        <v>626</v>
      </c>
      <c r="G34" s="39">
        <v>1669376</v>
      </c>
      <c r="H34" s="75">
        <v>1698391</v>
      </c>
      <c r="I34" s="8">
        <f t="shared" si="0"/>
        <v>29015</v>
      </c>
      <c r="J34" s="9">
        <f t="shared" si="1"/>
        <v>1.7380745859530748E-2</v>
      </c>
      <c r="K34" s="12">
        <v>1698391</v>
      </c>
      <c r="L34" s="12"/>
      <c r="M34" s="12"/>
      <c r="N34" s="8">
        <f t="shared" si="2"/>
        <v>0</v>
      </c>
      <c r="O34" s="14"/>
      <c r="P34" s="14" t="s">
        <v>38</v>
      </c>
      <c r="Q34" s="14"/>
      <c r="R34" s="14" t="s">
        <v>31</v>
      </c>
      <c r="S34" s="77"/>
      <c r="T34" s="39">
        <v>1358713</v>
      </c>
      <c r="U34" s="8">
        <f t="shared" si="14"/>
        <v>339678</v>
      </c>
      <c r="V34" s="14"/>
      <c r="W34" s="9">
        <f t="shared" si="15"/>
        <v>0.19999988224148621</v>
      </c>
      <c r="X34" s="14" t="s">
        <v>46</v>
      </c>
      <c r="Y34" s="14"/>
      <c r="Z34" s="14" t="s">
        <v>31</v>
      </c>
      <c r="AA34" s="3"/>
      <c r="AB34" s="39">
        <v>1358713</v>
      </c>
      <c r="AC34" s="8">
        <f t="shared" si="13"/>
        <v>339678</v>
      </c>
      <c r="AD34" s="14"/>
      <c r="AE34" s="9">
        <f>+AC34/H34</f>
        <v>0.19999988224148621</v>
      </c>
      <c r="AF34" s="14"/>
      <c r="AG34" s="14"/>
      <c r="AH34" s="14" t="s">
        <v>31</v>
      </c>
      <c r="AI34" s="3"/>
      <c r="AJ34" s="52">
        <v>1900003397</v>
      </c>
      <c r="AK34" s="39">
        <v>1698391</v>
      </c>
      <c r="AL34" s="8">
        <f>+H34-AK34</f>
        <v>0</v>
      </c>
      <c r="AM34" s="14"/>
      <c r="AN34" s="9">
        <f>+AL34/H34</f>
        <v>0</v>
      </c>
      <c r="AO34" s="14"/>
      <c r="AP34" s="14" t="s">
        <v>31</v>
      </c>
      <c r="AQ34" s="14"/>
      <c r="AR34" s="20">
        <v>1900003803</v>
      </c>
      <c r="AS34" s="39">
        <v>1528552</v>
      </c>
      <c r="AT34" s="8">
        <f>+H34-AS34</f>
        <v>169839</v>
      </c>
      <c r="AU34" s="14"/>
      <c r="AV34" s="9">
        <f>+AT34/H34</f>
        <v>9.9999941120743105E-2</v>
      </c>
      <c r="AW34" s="14"/>
      <c r="AX34" s="14" t="s">
        <v>31</v>
      </c>
      <c r="AY34" s="14"/>
      <c r="AZ34" s="85">
        <v>1900004196</v>
      </c>
      <c r="BA34" s="39">
        <v>1528552</v>
      </c>
      <c r="BB34" s="8">
        <f>+H34-BA34</f>
        <v>169839</v>
      </c>
      <c r="BC34" s="14"/>
      <c r="BD34" s="9">
        <f>+BB34/H34</f>
        <v>9.9999941120743105E-2</v>
      </c>
      <c r="BE34" s="14"/>
      <c r="BF34" s="14" t="s">
        <v>31</v>
      </c>
      <c r="BG34" s="14"/>
      <c r="BH34" s="14"/>
      <c r="BI34" s="39">
        <v>1698391</v>
      </c>
      <c r="BJ34" s="8">
        <f>+H34-BI34</f>
        <v>0</v>
      </c>
      <c r="BK34" s="14"/>
      <c r="BL34" s="14">
        <v>0</v>
      </c>
      <c r="BM34" s="14"/>
      <c r="BN34" s="14" t="s">
        <v>31</v>
      </c>
      <c r="BO34" s="14"/>
      <c r="BP34" s="14"/>
      <c r="BQ34" s="39">
        <v>1698391</v>
      </c>
      <c r="BR34" s="14">
        <v>0</v>
      </c>
      <c r="BS34" s="14"/>
      <c r="BT34" s="14">
        <v>0</v>
      </c>
      <c r="BU34" s="14"/>
      <c r="BV34" s="14" t="s">
        <v>31</v>
      </c>
      <c r="BW34" s="14"/>
      <c r="BX34" s="14"/>
      <c r="BY34" s="39">
        <v>1698391</v>
      </c>
      <c r="BZ34" s="14">
        <v>0</v>
      </c>
      <c r="CA34" s="14"/>
      <c r="CB34" s="14">
        <v>0</v>
      </c>
      <c r="CC34" s="14"/>
      <c r="CD34" s="14" t="s">
        <v>31</v>
      </c>
      <c r="CE34" s="14"/>
      <c r="CF34" s="14"/>
    </row>
    <row r="35" spans="1:84" x14ac:dyDescent="0.35">
      <c r="A35" s="1" t="s">
        <v>179</v>
      </c>
      <c r="B35" s="26" t="s">
        <v>627</v>
      </c>
      <c r="C35" s="15">
        <v>8714</v>
      </c>
      <c r="D35" s="22">
        <v>206202</v>
      </c>
      <c r="E35" s="18" t="s">
        <v>628</v>
      </c>
      <c r="F35" s="19" t="s">
        <v>626</v>
      </c>
      <c r="G35" s="39">
        <v>1029449</v>
      </c>
      <c r="H35" s="75">
        <v>1029449</v>
      </c>
      <c r="I35" s="8">
        <f t="shared" si="0"/>
        <v>0</v>
      </c>
      <c r="J35" s="8">
        <f t="shared" si="1"/>
        <v>0</v>
      </c>
      <c r="K35" s="12">
        <v>1068568</v>
      </c>
      <c r="L35" s="12"/>
      <c r="M35" s="12"/>
      <c r="N35" s="8">
        <f t="shared" si="2"/>
        <v>0</v>
      </c>
      <c r="O35" s="14"/>
      <c r="P35" s="14" t="s">
        <v>38</v>
      </c>
      <c r="Q35" s="14"/>
      <c r="R35" s="14" t="s">
        <v>31</v>
      </c>
      <c r="S35" s="77"/>
      <c r="T35" s="39">
        <v>854854</v>
      </c>
      <c r="U35" s="8">
        <f t="shared" si="14"/>
        <v>174595</v>
      </c>
      <c r="V35" s="14"/>
      <c r="W35" s="9">
        <f t="shared" si="15"/>
        <v>0.16960043673848826</v>
      </c>
      <c r="X35" s="14" t="s">
        <v>46</v>
      </c>
      <c r="Y35" s="14"/>
      <c r="Z35" s="14" t="s">
        <v>31</v>
      </c>
      <c r="AA35" s="3"/>
      <c r="AB35" s="39">
        <v>854854</v>
      </c>
      <c r="AC35" s="8">
        <f t="shared" si="13"/>
        <v>174595</v>
      </c>
      <c r="AD35" s="14"/>
      <c r="AE35" s="9">
        <f>+AC35/H35</f>
        <v>0.16960043673848826</v>
      </c>
      <c r="AF35" s="14"/>
      <c r="AG35" s="14"/>
      <c r="AH35" s="14" t="s">
        <v>31</v>
      </c>
      <c r="AI35" s="3"/>
      <c r="AJ35" s="52">
        <v>1900003398</v>
      </c>
      <c r="AK35" s="39">
        <v>1068568</v>
      </c>
      <c r="AL35" s="8">
        <f>+H35-AK35</f>
        <v>-39119</v>
      </c>
      <c r="AM35" s="14"/>
      <c r="AN35" s="9">
        <f>+AL35/H35</f>
        <v>-3.7999939773607043E-2</v>
      </c>
      <c r="AO35" s="14"/>
      <c r="AP35" s="14" t="s">
        <v>31</v>
      </c>
      <c r="AQ35" s="14"/>
      <c r="AR35" s="20">
        <v>1900003804</v>
      </c>
      <c r="AS35" s="39">
        <v>961711</v>
      </c>
      <c r="AT35" s="8">
        <f>+H35-AS35</f>
        <v>67738</v>
      </c>
      <c r="AU35" s="14"/>
      <c r="AV35" s="9">
        <f>+AT35/H35</f>
        <v>6.5800248482440607E-2</v>
      </c>
      <c r="AW35" s="14"/>
      <c r="AX35" s="14" t="s">
        <v>31</v>
      </c>
      <c r="AY35" s="14"/>
      <c r="AZ35" s="85">
        <v>1900004197</v>
      </c>
      <c r="BA35" s="39">
        <v>961711</v>
      </c>
      <c r="BB35" s="8">
        <f>+H35-BA35</f>
        <v>67738</v>
      </c>
      <c r="BC35" s="14"/>
      <c r="BD35" s="9">
        <f>+BB35/H35</f>
        <v>6.5800248482440607E-2</v>
      </c>
      <c r="BE35" s="14"/>
      <c r="BF35" s="14" t="s">
        <v>31</v>
      </c>
      <c r="BG35" s="14"/>
      <c r="BH35" s="14"/>
      <c r="BI35" s="39">
        <v>1068568</v>
      </c>
      <c r="BJ35" s="8">
        <f>+H35-BI35</f>
        <v>-39119</v>
      </c>
      <c r="BK35" s="14"/>
      <c r="BL35" s="14">
        <v>0</v>
      </c>
      <c r="BM35" s="14"/>
      <c r="BN35" s="14" t="s">
        <v>31</v>
      </c>
      <c r="BO35" s="14"/>
      <c r="BP35" s="14"/>
      <c r="BQ35" s="39">
        <v>1068568</v>
      </c>
      <c r="BR35" s="14">
        <v>0</v>
      </c>
      <c r="BS35" s="14"/>
      <c r="BT35" s="14">
        <v>0</v>
      </c>
      <c r="BU35" s="14"/>
      <c r="BV35" s="14" t="s">
        <v>31</v>
      </c>
      <c r="BW35" s="14"/>
      <c r="BX35" s="14"/>
      <c r="BY35" s="39">
        <v>1068568</v>
      </c>
      <c r="BZ35" s="14">
        <v>0</v>
      </c>
      <c r="CA35" s="14"/>
      <c r="CB35" s="14">
        <v>0</v>
      </c>
      <c r="CC35" s="14"/>
      <c r="CD35" s="14" t="s">
        <v>31</v>
      </c>
      <c r="CE35" s="14"/>
      <c r="CF35" s="14"/>
    </row>
    <row r="36" spans="1:84" x14ac:dyDescent="0.35">
      <c r="A36" s="1" t="s">
        <v>180</v>
      </c>
      <c r="B36" s="26" t="s">
        <v>629</v>
      </c>
      <c r="C36" s="24">
        <v>6570</v>
      </c>
      <c r="D36" s="22">
        <v>204620</v>
      </c>
      <c r="E36" s="18" t="s">
        <v>630</v>
      </c>
      <c r="F36" s="19" t="s">
        <v>631</v>
      </c>
      <c r="G36" s="39">
        <v>786581</v>
      </c>
      <c r="H36" s="39">
        <v>786581</v>
      </c>
      <c r="I36" s="8">
        <f t="shared" si="0"/>
        <v>0</v>
      </c>
      <c r="J36" s="8">
        <f t="shared" si="1"/>
        <v>0</v>
      </c>
      <c r="K36" s="12">
        <v>786581</v>
      </c>
      <c r="L36" s="12">
        <f>+H36-K36</f>
        <v>0</v>
      </c>
      <c r="M36" s="12"/>
      <c r="N36" s="8">
        <f t="shared" si="2"/>
        <v>0</v>
      </c>
      <c r="O36" s="14"/>
      <c r="P36" s="14" t="s">
        <v>38</v>
      </c>
      <c r="Q36" s="14" t="s">
        <v>236</v>
      </c>
      <c r="R36" s="14" t="s">
        <v>31</v>
      </c>
      <c r="S36" s="77" t="s">
        <v>55</v>
      </c>
      <c r="T36" s="43">
        <v>786581</v>
      </c>
      <c r="U36" s="44">
        <f t="shared" si="14"/>
        <v>0</v>
      </c>
      <c r="V36" s="14"/>
      <c r="W36" s="9">
        <f t="shared" si="15"/>
        <v>0</v>
      </c>
      <c r="X36" s="14" t="s">
        <v>38</v>
      </c>
      <c r="Y36" s="14" t="s">
        <v>236</v>
      </c>
      <c r="Z36" s="14" t="s">
        <v>31</v>
      </c>
      <c r="AA36" s="77" t="s">
        <v>55</v>
      </c>
      <c r="AB36" s="39">
        <f>+T36</f>
        <v>786581</v>
      </c>
      <c r="AC36" s="8">
        <f>+K36-AB36</f>
        <v>0</v>
      </c>
      <c r="AD36" s="14"/>
      <c r="AE36" s="9">
        <f>+AC36/H36</f>
        <v>0</v>
      </c>
      <c r="AF36" s="14" t="s">
        <v>38</v>
      </c>
      <c r="AG36" s="14"/>
      <c r="AH36" s="14" t="s">
        <v>31</v>
      </c>
      <c r="AI36" s="3"/>
      <c r="AJ36" s="51">
        <v>1900003195</v>
      </c>
      <c r="AK36" s="39">
        <v>786581</v>
      </c>
      <c r="AL36" s="14">
        <v>0</v>
      </c>
      <c r="AM36" s="14"/>
      <c r="AN36" s="14">
        <v>0</v>
      </c>
      <c r="AO36" s="14"/>
      <c r="AP36" s="14" t="s">
        <v>31</v>
      </c>
      <c r="AQ36" s="14"/>
      <c r="AR36" s="20"/>
      <c r="AS36" s="39">
        <v>786581</v>
      </c>
      <c r="AT36" s="14">
        <v>0</v>
      </c>
      <c r="AU36" s="14"/>
      <c r="AV36" s="14">
        <v>0</v>
      </c>
      <c r="AW36" s="14"/>
      <c r="AX36" s="14"/>
      <c r="AY36" s="14"/>
      <c r="AZ36" s="85"/>
      <c r="BA36" s="39">
        <v>786581</v>
      </c>
      <c r="BB36" s="8">
        <f>+H36-BA36</f>
        <v>0</v>
      </c>
      <c r="BC36" s="14"/>
      <c r="BD36" s="14">
        <v>0</v>
      </c>
      <c r="BE36" s="14"/>
      <c r="BF36" s="14" t="s">
        <v>31</v>
      </c>
      <c r="BG36" s="14"/>
      <c r="BH36" s="14"/>
      <c r="BI36" s="39">
        <v>786581</v>
      </c>
      <c r="BJ36" s="8">
        <f>+H36-BI36</f>
        <v>0</v>
      </c>
      <c r="BK36" s="14"/>
      <c r="BL36" s="14">
        <v>0</v>
      </c>
      <c r="BM36" s="14"/>
      <c r="BN36" s="14" t="s">
        <v>31</v>
      </c>
      <c r="BO36" s="14"/>
      <c r="BP36" s="14"/>
      <c r="BQ36" s="39">
        <v>786581</v>
      </c>
      <c r="BR36" s="14">
        <v>0</v>
      </c>
      <c r="BS36" s="14"/>
      <c r="BT36" s="14">
        <v>0</v>
      </c>
      <c r="BU36" s="14"/>
      <c r="BV36" s="14" t="s">
        <v>31</v>
      </c>
      <c r="BW36" s="14"/>
      <c r="BX36" s="14"/>
      <c r="BY36" s="39">
        <v>786581</v>
      </c>
      <c r="BZ36" s="14">
        <v>0</v>
      </c>
      <c r="CA36" s="14"/>
      <c r="CB36" s="14">
        <v>0</v>
      </c>
      <c r="CC36" s="14"/>
      <c r="CD36" s="14" t="s">
        <v>31</v>
      </c>
      <c r="CE36" s="14"/>
      <c r="CF36" s="14"/>
    </row>
    <row r="37" spans="1:84" x14ac:dyDescent="0.35">
      <c r="A37" s="1" t="s">
        <v>184</v>
      </c>
      <c r="B37" s="26" t="s">
        <v>632</v>
      </c>
      <c r="C37" s="15">
        <v>8712</v>
      </c>
      <c r="D37" s="22">
        <v>206377</v>
      </c>
      <c r="E37" s="18" t="s">
        <v>633</v>
      </c>
      <c r="F37" s="19" t="s">
        <v>634</v>
      </c>
      <c r="G37" s="39">
        <v>2121357</v>
      </c>
      <c r="H37" s="39">
        <v>2121357</v>
      </c>
      <c r="I37" s="8">
        <f t="shared" si="0"/>
        <v>0</v>
      </c>
      <c r="J37" s="8">
        <f t="shared" si="1"/>
        <v>0</v>
      </c>
      <c r="K37" s="12">
        <v>1947930</v>
      </c>
      <c r="L37" s="12">
        <f>+H37-K37</f>
        <v>173427</v>
      </c>
      <c r="M37" s="12"/>
      <c r="N37" s="10">
        <f t="shared" si="2"/>
        <v>8.1752859136863809E-2</v>
      </c>
      <c r="O37" s="14"/>
      <c r="P37" s="14"/>
      <c r="Q37" s="14" t="s">
        <v>838</v>
      </c>
      <c r="R37" s="14" t="s">
        <v>31</v>
      </c>
      <c r="S37" s="77" t="s">
        <v>55</v>
      </c>
      <c r="T37" s="14"/>
      <c r="U37" s="14"/>
      <c r="V37" s="14"/>
      <c r="W37" s="14"/>
      <c r="X37" s="14"/>
      <c r="Y37" s="14"/>
      <c r="Z37" s="14"/>
      <c r="AA37" s="3"/>
      <c r="AB37" s="39">
        <v>2078000</v>
      </c>
      <c r="AC37" s="8">
        <f>+H37-AB37</f>
        <v>43357</v>
      </c>
      <c r="AD37" s="14"/>
      <c r="AE37" s="9">
        <f>+AC37/H37</f>
        <v>2.0438332633309717E-2</v>
      </c>
      <c r="AF37" s="14"/>
      <c r="AG37" s="14"/>
      <c r="AH37" s="14" t="s">
        <v>31</v>
      </c>
      <c r="AI37" s="3"/>
      <c r="AJ37" s="52">
        <v>1900003470</v>
      </c>
      <c r="AK37" s="39">
        <v>2078000</v>
      </c>
      <c r="AL37" s="8">
        <f t="shared" ref="AL37:AL43" si="16">+H37-AK37</f>
        <v>43357</v>
      </c>
      <c r="AM37" s="14"/>
      <c r="AN37" s="9">
        <f t="shared" ref="AN37:AN42" si="17">+AL37/H37</f>
        <v>2.0438332633309717E-2</v>
      </c>
      <c r="AO37" s="14"/>
      <c r="AP37" s="14" t="s">
        <v>31</v>
      </c>
      <c r="AQ37" s="14"/>
      <c r="AR37" s="59">
        <v>1900004094</v>
      </c>
      <c r="AS37" s="39">
        <v>2078000</v>
      </c>
      <c r="AT37" s="8">
        <f t="shared" ref="AT37:AT42" si="18">+H37-AS37</f>
        <v>43357</v>
      </c>
      <c r="AU37" s="14"/>
      <c r="AV37" s="14">
        <v>0</v>
      </c>
      <c r="AW37" s="14"/>
      <c r="AX37" s="14" t="s">
        <v>31</v>
      </c>
      <c r="AY37" s="14"/>
      <c r="AZ37" s="84">
        <v>1900004351</v>
      </c>
      <c r="BA37" s="39">
        <v>1558500</v>
      </c>
      <c r="BB37" s="8">
        <f>+H37-BA37</f>
        <v>562857</v>
      </c>
      <c r="BC37" s="14"/>
      <c r="BD37" s="9">
        <f>+BB37/H37</f>
        <v>0.26532874947498231</v>
      </c>
      <c r="BE37" s="14"/>
      <c r="BF37" s="14" t="s">
        <v>31</v>
      </c>
      <c r="BG37" s="14"/>
      <c r="BH37" s="14"/>
      <c r="BI37" s="39">
        <v>2078000</v>
      </c>
      <c r="BJ37" s="8">
        <f>+H37-BI37</f>
        <v>43357</v>
      </c>
      <c r="BK37" s="14"/>
      <c r="BL37" s="9">
        <f>+BJ37/H37</f>
        <v>2.0438332633309717E-2</v>
      </c>
      <c r="BM37" s="14"/>
      <c r="BN37" s="14" t="s">
        <v>31</v>
      </c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</row>
    <row r="38" spans="1:84" x14ac:dyDescent="0.35">
      <c r="A38" s="1" t="s">
        <v>191</v>
      </c>
      <c r="B38" s="26" t="s">
        <v>636</v>
      </c>
      <c r="C38" s="15">
        <v>8751</v>
      </c>
      <c r="D38" s="22">
        <v>206868</v>
      </c>
      <c r="E38" s="18" t="s">
        <v>637</v>
      </c>
      <c r="F38" s="19" t="s">
        <v>638</v>
      </c>
      <c r="G38" s="39">
        <v>2370518</v>
      </c>
      <c r="H38" s="39">
        <v>2370518</v>
      </c>
      <c r="I38" s="8">
        <f t="shared" si="0"/>
        <v>0</v>
      </c>
      <c r="J38" s="8">
        <f t="shared" si="1"/>
        <v>0</v>
      </c>
      <c r="K38" s="12">
        <f>+H38</f>
        <v>2370518</v>
      </c>
      <c r="L38" s="12"/>
      <c r="M38" s="12"/>
      <c r="N38" s="8">
        <f t="shared" si="2"/>
        <v>0</v>
      </c>
      <c r="O38" s="14"/>
      <c r="P38" s="14" t="s">
        <v>38</v>
      </c>
      <c r="Q38" s="14"/>
      <c r="R38" s="14"/>
      <c r="S38" s="3"/>
      <c r="T38" s="43">
        <v>2370518</v>
      </c>
      <c r="U38" s="44">
        <f>+H38-T38</f>
        <v>0</v>
      </c>
      <c r="V38" s="14"/>
      <c r="W38" s="9">
        <f>+U38/H38</f>
        <v>0</v>
      </c>
      <c r="X38" s="14" t="s">
        <v>38</v>
      </c>
      <c r="Y38" s="14"/>
      <c r="Z38" s="14" t="s">
        <v>31</v>
      </c>
      <c r="AA38" s="3"/>
      <c r="AB38" s="39">
        <v>2370518</v>
      </c>
      <c r="AC38" s="8">
        <f>+K38-AB38</f>
        <v>0</v>
      </c>
      <c r="AD38" s="14"/>
      <c r="AE38" s="9">
        <f>+AC38/H38</f>
        <v>0</v>
      </c>
      <c r="AF38" s="14" t="s">
        <v>38</v>
      </c>
      <c r="AG38" s="14"/>
      <c r="AH38" s="14" t="s">
        <v>31</v>
      </c>
      <c r="AI38" s="3"/>
      <c r="AJ38" s="51">
        <v>1900003313</v>
      </c>
      <c r="AK38" s="39">
        <v>2370518</v>
      </c>
      <c r="AL38" s="8">
        <f t="shared" si="16"/>
        <v>0</v>
      </c>
      <c r="AM38" s="14"/>
      <c r="AN38" s="9">
        <f t="shared" si="17"/>
        <v>0</v>
      </c>
      <c r="AO38" s="14"/>
      <c r="AP38" s="14" t="s">
        <v>31</v>
      </c>
      <c r="AQ38" s="14"/>
      <c r="AR38" s="20">
        <v>1900003686</v>
      </c>
      <c r="AS38" s="39">
        <v>2370518</v>
      </c>
      <c r="AT38" s="8">
        <f t="shared" si="18"/>
        <v>0</v>
      </c>
      <c r="AU38" s="14"/>
      <c r="AV38" s="14">
        <v>0</v>
      </c>
      <c r="AW38" s="14"/>
      <c r="AX38" s="14" t="s">
        <v>31</v>
      </c>
      <c r="AY38" s="14"/>
      <c r="AZ38" s="85">
        <v>1900004238</v>
      </c>
      <c r="BA38" s="39">
        <v>2370518</v>
      </c>
      <c r="BB38" s="8">
        <f>+H38-BA38</f>
        <v>0</v>
      </c>
      <c r="BC38" s="14"/>
      <c r="BD38" s="14">
        <v>0</v>
      </c>
      <c r="BE38" s="14"/>
      <c r="BF38" s="14" t="s">
        <v>31</v>
      </c>
      <c r="BG38" s="14"/>
      <c r="BH38" s="14"/>
      <c r="BI38" s="14"/>
      <c r="BJ38" s="14"/>
      <c r="BK38" s="39">
        <f>1403315+1403315+1403315</f>
        <v>4209945</v>
      </c>
      <c r="BL38" s="14"/>
      <c r="BM38" s="14"/>
      <c r="BN38" s="14"/>
      <c r="BO38" s="14"/>
      <c r="BP38" s="14"/>
      <c r="BQ38" s="39">
        <v>1812972</v>
      </c>
      <c r="BR38" s="8">
        <f>+H38-BQ38</f>
        <v>557546</v>
      </c>
      <c r="BS38" s="14"/>
      <c r="BT38" s="9">
        <f>+BR38/H38</f>
        <v>0.23520007019562814</v>
      </c>
      <c r="BU38" s="14"/>
      <c r="BV38" s="14" t="s">
        <v>31</v>
      </c>
      <c r="BW38" s="14"/>
      <c r="BX38" s="14"/>
      <c r="BY38" s="39">
        <v>2038645</v>
      </c>
      <c r="BZ38" s="8">
        <f>+H38-BY38</f>
        <v>331873</v>
      </c>
      <c r="CA38" s="14"/>
      <c r="CB38" s="9">
        <f>+BZ38/H38</f>
        <v>0.14000020248738884</v>
      </c>
      <c r="CC38" s="14"/>
      <c r="CD38" s="14" t="s">
        <v>31</v>
      </c>
      <c r="CE38" s="14"/>
      <c r="CF38" s="14"/>
    </row>
    <row r="39" spans="1:84" x14ac:dyDescent="0.35">
      <c r="A39" s="1" t="s">
        <v>195</v>
      </c>
      <c r="B39" s="26" t="s">
        <v>839</v>
      </c>
      <c r="C39" s="15">
        <v>8750</v>
      </c>
      <c r="D39" s="22">
        <v>206408</v>
      </c>
      <c r="E39" s="18" t="s">
        <v>840</v>
      </c>
      <c r="F39" s="19" t="s">
        <v>841</v>
      </c>
      <c r="G39" s="39">
        <v>1517016</v>
      </c>
      <c r="H39" s="39">
        <v>1517016</v>
      </c>
      <c r="I39" s="8">
        <f t="shared" si="0"/>
        <v>0</v>
      </c>
      <c r="J39" s="8">
        <f t="shared" si="1"/>
        <v>0</v>
      </c>
      <c r="K39" s="12">
        <v>1517016</v>
      </c>
      <c r="L39" s="12"/>
      <c r="M39" s="12"/>
      <c r="N39" s="9"/>
      <c r="O39" s="14"/>
      <c r="P39" s="14" t="s">
        <v>38</v>
      </c>
      <c r="Q39" s="14"/>
      <c r="R39" s="14" t="s">
        <v>31</v>
      </c>
      <c r="S39" s="77" t="s">
        <v>32</v>
      </c>
      <c r="T39" s="12">
        <f>+K39</f>
        <v>1517016</v>
      </c>
      <c r="U39" s="8">
        <f>+H39-T39</f>
        <v>0</v>
      </c>
      <c r="V39" s="14"/>
      <c r="W39" s="14">
        <v>0</v>
      </c>
      <c r="X39" s="14" t="s">
        <v>38</v>
      </c>
      <c r="Y39" s="14" t="s">
        <v>842</v>
      </c>
      <c r="Z39" s="14" t="s">
        <v>31</v>
      </c>
      <c r="AA39" s="77" t="s">
        <v>32</v>
      </c>
      <c r="AB39" s="39">
        <v>1517016</v>
      </c>
      <c r="AC39" s="8">
        <f>+H39-AB39</f>
        <v>0</v>
      </c>
      <c r="AD39" s="14"/>
      <c r="AE39" s="9">
        <f>+AC39/G39</f>
        <v>0</v>
      </c>
      <c r="AF39" s="14"/>
      <c r="AG39" s="14"/>
      <c r="AH39" s="14" t="s">
        <v>31</v>
      </c>
      <c r="AI39" s="3"/>
      <c r="AJ39" s="51">
        <v>1900003236</v>
      </c>
      <c r="AK39" s="39">
        <v>1517016</v>
      </c>
      <c r="AL39" s="8">
        <f t="shared" si="16"/>
        <v>0</v>
      </c>
      <c r="AM39" s="14"/>
      <c r="AN39" s="9">
        <f t="shared" si="17"/>
        <v>0</v>
      </c>
      <c r="AO39" s="14"/>
      <c r="AP39" s="14" t="s">
        <v>31</v>
      </c>
      <c r="AQ39" s="14"/>
      <c r="AR39" s="20">
        <v>1900003805</v>
      </c>
      <c r="AS39" s="39">
        <v>1517016</v>
      </c>
      <c r="AT39" s="8">
        <f t="shared" si="18"/>
        <v>0</v>
      </c>
      <c r="AU39" s="14"/>
      <c r="AV39" s="14">
        <v>0</v>
      </c>
      <c r="AW39" s="14"/>
      <c r="AX39" s="14" t="s">
        <v>31</v>
      </c>
      <c r="AY39" s="14"/>
      <c r="AZ39" s="85">
        <v>1900004247</v>
      </c>
      <c r="BA39" s="39">
        <v>1517016</v>
      </c>
      <c r="BB39" s="14">
        <v>0</v>
      </c>
      <c r="BC39" s="14"/>
      <c r="BD39" s="14">
        <v>0</v>
      </c>
      <c r="BE39" s="14"/>
      <c r="BF39" s="14" t="s">
        <v>31</v>
      </c>
      <c r="BG39" s="14"/>
      <c r="BH39" s="14"/>
      <c r="BI39" s="39">
        <v>1517016</v>
      </c>
      <c r="BJ39" s="14">
        <v>0</v>
      </c>
      <c r="BK39" s="14"/>
      <c r="BL39" s="14">
        <v>0</v>
      </c>
      <c r="BM39" s="14"/>
      <c r="BN39" s="14" t="s">
        <v>31</v>
      </c>
      <c r="BO39" s="14"/>
      <c r="BP39" s="14"/>
      <c r="BQ39" s="39">
        <v>1517016</v>
      </c>
      <c r="BR39" s="14">
        <v>0</v>
      </c>
      <c r="BS39" s="14"/>
      <c r="BT39" s="14">
        <v>0</v>
      </c>
      <c r="BU39" s="14"/>
      <c r="BV39" s="14" t="s">
        <v>31</v>
      </c>
      <c r="BW39" s="14"/>
      <c r="BX39" s="14"/>
      <c r="BY39" s="39">
        <v>1517016</v>
      </c>
      <c r="BZ39" s="14">
        <v>0</v>
      </c>
      <c r="CA39" s="14"/>
      <c r="CB39" s="14">
        <v>0</v>
      </c>
      <c r="CC39" s="14"/>
      <c r="CD39" s="14" t="s">
        <v>31</v>
      </c>
      <c r="CE39" s="14"/>
      <c r="CF39" s="14"/>
    </row>
    <row r="40" spans="1:84" x14ac:dyDescent="0.35">
      <c r="A40" s="1" t="s">
        <v>201</v>
      </c>
      <c r="B40" s="26" t="s">
        <v>639</v>
      </c>
      <c r="C40" s="15">
        <v>8749</v>
      </c>
      <c r="D40" s="22">
        <v>206753</v>
      </c>
      <c r="E40" s="18" t="s">
        <v>640</v>
      </c>
      <c r="F40" s="19" t="s">
        <v>641</v>
      </c>
      <c r="G40" s="39">
        <v>888760</v>
      </c>
      <c r="H40" s="39">
        <v>888760</v>
      </c>
      <c r="I40" s="8">
        <f t="shared" si="0"/>
        <v>0</v>
      </c>
      <c r="J40" s="8">
        <f t="shared" si="1"/>
        <v>0</v>
      </c>
      <c r="K40" s="12">
        <v>854242</v>
      </c>
      <c r="L40" s="12">
        <f>+H40-K40</f>
        <v>34518</v>
      </c>
      <c r="M40" s="12"/>
      <c r="N40" s="9">
        <f t="shared" si="2"/>
        <v>3.8838381565326971E-2</v>
      </c>
      <c r="O40" s="14"/>
      <c r="P40" s="14" t="s">
        <v>38</v>
      </c>
      <c r="Q40" s="14"/>
      <c r="R40" s="14" t="s">
        <v>31</v>
      </c>
      <c r="S40" s="3"/>
      <c r="T40" s="39">
        <v>681364</v>
      </c>
      <c r="U40" s="8">
        <f>+H40-T40</f>
        <v>207396</v>
      </c>
      <c r="V40" s="14"/>
      <c r="W40" s="9">
        <f>+U40/H40</f>
        <v>0.23335433637877492</v>
      </c>
      <c r="X40" s="14" t="s">
        <v>46</v>
      </c>
      <c r="Y40" s="14"/>
      <c r="Z40" s="14" t="s">
        <v>31</v>
      </c>
      <c r="AA40" s="77" t="s">
        <v>32</v>
      </c>
      <c r="AB40" s="39">
        <v>798070</v>
      </c>
      <c r="AC40" s="8">
        <f>+K40-AB40</f>
        <v>56172</v>
      </c>
      <c r="AD40" s="14"/>
      <c r="AE40" s="9">
        <f>+AC40/H40</f>
        <v>6.3202664386336024E-2</v>
      </c>
      <c r="AF40" s="14" t="s">
        <v>46</v>
      </c>
      <c r="AG40" s="14"/>
      <c r="AH40" s="14" t="s">
        <v>31</v>
      </c>
      <c r="AI40" s="3"/>
      <c r="AJ40" s="51"/>
      <c r="AK40" s="39">
        <v>798070</v>
      </c>
      <c r="AL40" s="8">
        <f t="shared" si="16"/>
        <v>90690</v>
      </c>
      <c r="AM40" s="14"/>
      <c r="AN40" s="9">
        <f t="shared" si="17"/>
        <v>0.102041045951663</v>
      </c>
      <c r="AO40" s="14"/>
      <c r="AP40" s="14" t="s">
        <v>31</v>
      </c>
      <c r="AQ40" s="14"/>
      <c r="AR40" s="20">
        <v>1900003822</v>
      </c>
      <c r="AS40" s="39">
        <v>681364</v>
      </c>
      <c r="AT40" s="8">
        <f t="shared" si="18"/>
        <v>207396</v>
      </c>
      <c r="AU40" s="14"/>
      <c r="AV40" s="9">
        <f>+AT40/H40</f>
        <v>0.23335433637877492</v>
      </c>
      <c r="AW40" s="14"/>
      <c r="AX40" s="14" t="s">
        <v>31</v>
      </c>
      <c r="AY40" s="14"/>
      <c r="AZ40" s="85">
        <v>1900004248</v>
      </c>
      <c r="BA40" s="39">
        <v>681364</v>
      </c>
      <c r="BB40" s="8">
        <f>+H40-BA40</f>
        <v>207396</v>
      </c>
      <c r="BC40" s="39">
        <v>272538</v>
      </c>
      <c r="BD40" s="9">
        <f>+BB40/H40</f>
        <v>0.23335433637877492</v>
      </c>
      <c r="BE40" s="14"/>
      <c r="BF40" s="14" t="s">
        <v>31</v>
      </c>
      <c r="BG40" s="14"/>
      <c r="BH40" s="14"/>
      <c r="BI40" s="39">
        <v>681364</v>
      </c>
      <c r="BJ40" s="14">
        <v>0</v>
      </c>
      <c r="BK40" s="14"/>
      <c r="BL40" s="14">
        <v>0</v>
      </c>
      <c r="BM40" s="14"/>
      <c r="BN40" s="14" t="s">
        <v>31</v>
      </c>
      <c r="BO40" s="14"/>
      <c r="BP40" s="14"/>
      <c r="BQ40" s="39">
        <v>681364</v>
      </c>
      <c r="BR40" s="14">
        <v>0</v>
      </c>
      <c r="BS40" s="14">
        <v>204409</v>
      </c>
      <c r="BT40" s="9">
        <f>+BS40/BQ40</f>
        <v>0.29999970647113733</v>
      </c>
      <c r="BU40" s="14"/>
      <c r="BV40" s="14" t="s">
        <v>31</v>
      </c>
      <c r="BW40" s="14"/>
      <c r="BX40" s="14"/>
      <c r="BY40" s="39">
        <v>681364</v>
      </c>
      <c r="BZ40" s="14">
        <v>0</v>
      </c>
      <c r="CA40" s="14"/>
      <c r="CB40" s="14">
        <v>0</v>
      </c>
      <c r="CC40" s="14"/>
      <c r="CD40" s="14" t="s">
        <v>31</v>
      </c>
      <c r="CE40" s="14"/>
      <c r="CF40" s="14"/>
    </row>
    <row r="41" spans="1:84" x14ac:dyDescent="0.35">
      <c r="A41" s="1" t="s">
        <v>205</v>
      </c>
      <c r="B41" s="26" t="s">
        <v>642</v>
      </c>
      <c r="C41" s="15">
        <v>8860</v>
      </c>
      <c r="D41" s="22">
        <v>207689</v>
      </c>
      <c r="E41" s="18" t="s">
        <v>208</v>
      </c>
      <c r="F41" s="19" t="s">
        <v>612</v>
      </c>
      <c r="G41" s="39">
        <v>1817920</v>
      </c>
      <c r="H41" s="39">
        <v>1725400</v>
      </c>
      <c r="I41" s="8">
        <f t="shared" si="0"/>
        <v>-92520</v>
      </c>
      <c r="J41" s="9">
        <f t="shared" si="1"/>
        <v>-5.0893328639324061E-2</v>
      </c>
      <c r="K41" s="12">
        <v>1259542</v>
      </c>
      <c r="L41" s="12">
        <f>+H41-K41</f>
        <v>465858</v>
      </c>
      <c r="M41" s="12"/>
      <c r="N41" s="9">
        <f t="shared" si="2"/>
        <v>0.27</v>
      </c>
      <c r="O41" s="14"/>
      <c r="P41" s="14" t="s">
        <v>46</v>
      </c>
      <c r="Q41" s="14"/>
      <c r="R41" s="14" t="s">
        <v>31</v>
      </c>
      <c r="S41" s="3"/>
      <c r="T41" s="39">
        <v>983478</v>
      </c>
      <c r="U41" s="8">
        <f>+H41-T41</f>
        <v>741922</v>
      </c>
      <c r="V41" s="14"/>
      <c r="W41" s="9">
        <f>+U41/H41</f>
        <v>0.43</v>
      </c>
      <c r="X41" s="14" t="s">
        <v>46</v>
      </c>
      <c r="Y41" s="14"/>
      <c r="Z41" s="14" t="s">
        <v>31</v>
      </c>
      <c r="AA41" s="3"/>
      <c r="AB41" s="39">
        <v>1121510</v>
      </c>
      <c r="AC41" s="8">
        <f>+H41-AB41</f>
        <v>603890</v>
      </c>
      <c r="AD41" s="14"/>
      <c r="AE41" s="9">
        <f>+AC41/H41</f>
        <v>0.35</v>
      </c>
      <c r="AF41" s="14"/>
      <c r="AG41" s="14"/>
      <c r="AH41" s="14" t="s">
        <v>31</v>
      </c>
      <c r="AI41" s="3"/>
      <c r="AJ41" s="52">
        <v>1900003399</v>
      </c>
      <c r="AK41" s="39">
        <v>1466590</v>
      </c>
      <c r="AL41" s="8">
        <f t="shared" si="16"/>
        <v>258810</v>
      </c>
      <c r="AM41" s="14"/>
      <c r="AN41" s="9">
        <f t="shared" si="17"/>
        <v>0.15</v>
      </c>
      <c r="AO41" s="14"/>
      <c r="AP41" s="14" t="s">
        <v>31</v>
      </c>
      <c r="AQ41" s="14"/>
      <c r="AR41" s="20">
        <v>1900003806</v>
      </c>
      <c r="AS41" s="39">
        <v>1466590</v>
      </c>
      <c r="AT41" s="8">
        <f t="shared" si="18"/>
        <v>258810</v>
      </c>
      <c r="AU41" s="14"/>
      <c r="AV41" s="9">
        <f>+AT41/H41</f>
        <v>0.15</v>
      </c>
      <c r="AW41" s="14"/>
      <c r="AX41" s="14" t="s">
        <v>31</v>
      </c>
      <c r="AY41" s="14"/>
      <c r="AZ41" s="84">
        <v>1900004299</v>
      </c>
      <c r="BA41" s="39">
        <v>1725400</v>
      </c>
      <c r="BB41" s="14">
        <v>0</v>
      </c>
      <c r="BC41" s="14"/>
      <c r="BD41" s="14">
        <v>0</v>
      </c>
      <c r="BE41" s="14"/>
      <c r="BF41" s="14" t="s">
        <v>31</v>
      </c>
      <c r="BG41" s="14"/>
      <c r="BH41" s="14"/>
      <c r="BI41" s="39">
        <v>1725400</v>
      </c>
      <c r="BJ41" s="8">
        <f>+H41-BI41</f>
        <v>0</v>
      </c>
      <c r="BK41" s="14"/>
      <c r="BL41" s="14">
        <v>0</v>
      </c>
      <c r="BM41" s="14"/>
      <c r="BN41" s="14" t="s">
        <v>31</v>
      </c>
      <c r="BO41" s="14"/>
      <c r="BP41" s="14"/>
      <c r="BQ41" s="39">
        <v>1725400</v>
      </c>
      <c r="BR41" s="14">
        <v>0</v>
      </c>
      <c r="BS41" s="14"/>
      <c r="BT41" s="14">
        <v>0</v>
      </c>
      <c r="BU41" s="14"/>
      <c r="BV41" s="14" t="s">
        <v>31</v>
      </c>
      <c r="BW41" s="14"/>
      <c r="BX41" s="14"/>
      <c r="BY41" s="39">
        <v>1725400</v>
      </c>
      <c r="BZ41" s="14">
        <v>0</v>
      </c>
      <c r="CA41" s="14"/>
      <c r="CB41" s="14">
        <v>0</v>
      </c>
      <c r="CC41" s="14"/>
      <c r="CD41" s="14" t="s">
        <v>31</v>
      </c>
      <c r="CE41" s="14"/>
      <c r="CF41" s="14"/>
    </row>
    <row r="42" spans="1:84" x14ac:dyDescent="0.35">
      <c r="A42" s="1" t="s">
        <v>209</v>
      </c>
      <c r="B42" s="26" t="s">
        <v>643</v>
      </c>
      <c r="C42" s="15">
        <v>8859</v>
      </c>
      <c r="D42" s="22">
        <v>208093</v>
      </c>
      <c r="E42" s="18" t="s">
        <v>819</v>
      </c>
      <c r="F42" s="19" t="s">
        <v>535</v>
      </c>
      <c r="G42" s="39">
        <v>1252918</v>
      </c>
      <c r="H42" s="39">
        <v>1252918</v>
      </c>
      <c r="I42" s="8">
        <f t="shared" si="0"/>
        <v>0</v>
      </c>
      <c r="J42" s="8">
        <f t="shared" si="1"/>
        <v>0</v>
      </c>
      <c r="K42" s="12"/>
      <c r="L42" s="12"/>
      <c r="M42" s="12"/>
      <c r="N42" s="8">
        <f t="shared" si="2"/>
        <v>0</v>
      </c>
      <c r="O42" s="14"/>
      <c r="P42" s="14"/>
      <c r="Q42" s="14"/>
      <c r="R42" s="9"/>
      <c r="S42" s="79"/>
      <c r="T42" s="39">
        <v>501167</v>
      </c>
      <c r="U42" s="8">
        <f>+H42-T42</f>
        <v>751751</v>
      </c>
      <c r="V42" s="14"/>
      <c r="W42" s="9">
        <f>+U42/H42</f>
        <v>0.60000015962736586</v>
      </c>
      <c r="X42" s="14" t="s">
        <v>46</v>
      </c>
      <c r="Y42" s="14"/>
      <c r="Z42" s="14" t="s">
        <v>31</v>
      </c>
      <c r="AA42" s="3"/>
      <c r="AB42" s="39">
        <v>501167</v>
      </c>
      <c r="AC42" s="8">
        <f>+H42-AB42</f>
        <v>751751</v>
      </c>
      <c r="AD42" s="14"/>
      <c r="AE42" s="9">
        <f>+AC42/H42</f>
        <v>0.60000015962736586</v>
      </c>
      <c r="AF42" s="14"/>
      <c r="AG42" s="14"/>
      <c r="AH42" s="14" t="s">
        <v>31</v>
      </c>
      <c r="AI42" s="3"/>
      <c r="AJ42" s="52">
        <v>1900003435</v>
      </c>
      <c r="AK42" s="39">
        <v>501167</v>
      </c>
      <c r="AL42" s="8">
        <f t="shared" si="16"/>
        <v>751751</v>
      </c>
      <c r="AM42" s="14"/>
      <c r="AN42" s="9">
        <f t="shared" si="17"/>
        <v>0.60000015962736586</v>
      </c>
      <c r="AO42" s="14"/>
      <c r="AP42" s="14" t="s">
        <v>31</v>
      </c>
      <c r="AQ42" s="14"/>
      <c r="AR42" s="20">
        <v>1900003888</v>
      </c>
      <c r="AS42" s="39">
        <v>1252918</v>
      </c>
      <c r="AT42" s="8">
        <f t="shared" si="18"/>
        <v>0</v>
      </c>
      <c r="AU42" s="14"/>
      <c r="AV42" s="14">
        <v>0</v>
      </c>
      <c r="AW42" s="14"/>
      <c r="AX42" s="14" t="s">
        <v>31</v>
      </c>
      <c r="AY42" s="14"/>
      <c r="AZ42" s="84">
        <v>1900004339</v>
      </c>
      <c r="BA42" s="39">
        <v>1252918</v>
      </c>
      <c r="BB42" s="8">
        <f>+H42-BA42</f>
        <v>0</v>
      </c>
      <c r="BC42" s="14"/>
      <c r="BD42" s="14">
        <v>0</v>
      </c>
      <c r="BE42" s="14"/>
      <c r="BF42" s="14" t="s">
        <v>31</v>
      </c>
      <c r="BG42" s="14"/>
      <c r="BH42" s="14"/>
      <c r="BI42" s="39">
        <v>877043</v>
      </c>
      <c r="BJ42" s="8">
        <f>+H42-BI42</f>
        <v>375875</v>
      </c>
      <c r="BK42" s="14"/>
      <c r="BL42" s="9">
        <f>+BJ42/H42</f>
        <v>0.29999968074526823</v>
      </c>
      <c r="BM42" s="14"/>
      <c r="BN42" s="14" t="s">
        <v>31</v>
      </c>
      <c r="BO42" s="14"/>
      <c r="BP42" s="14"/>
      <c r="BQ42" s="39">
        <v>1252918</v>
      </c>
      <c r="BR42" s="14">
        <v>0</v>
      </c>
      <c r="BS42" s="14"/>
      <c r="BT42" s="14">
        <v>0</v>
      </c>
      <c r="BU42" s="14"/>
      <c r="BV42" s="14" t="s">
        <v>31</v>
      </c>
      <c r="BW42" s="14"/>
      <c r="BX42" s="14"/>
      <c r="BY42" s="14"/>
      <c r="BZ42" s="14"/>
      <c r="CA42" s="14"/>
      <c r="CB42" s="14"/>
      <c r="CC42" s="14"/>
      <c r="CD42" s="14"/>
      <c r="CE42" s="14"/>
      <c r="CF42" s="14"/>
    </row>
    <row r="43" spans="1:84" ht="15.5" x14ac:dyDescent="0.35">
      <c r="A43" s="74" t="s">
        <v>212</v>
      </c>
      <c r="B43" s="26" t="s">
        <v>644</v>
      </c>
      <c r="C43" s="15">
        <v>8976</v>
      </c>
      <c r="D43" s="27" t="s">
        <v>843</v>
      </c>
      <c r="E43" s="28" t="s">
        <v>646</v>
      </c>
      <c r="F43" s="19" t="s">
        <v>647</v>
      </c>
      <c r="G43" s="39">
        <v>2978736</v>
      </c>
      <c r="H43" s="39">
        <v>1942373</v>
      </c>
      <c r="I43" s="8">
        <f t="shared" si="0"/>
        <v>-1036363</v>
      </c>
      <c r="J43" s="9">
        <f t="shared" si="1"/>
        <v>-0.34792039307948069</v>
      </c>
      <c r="K43" s="12">
        <v>1942373</v>
      </c>
      <c r="L43" s="12"/>
      <c r="M43" s="12"/>
      <c r="N43" s="9"/>
      <c r="O43" s="14"/>
      <c r="P43" s="14" t="s">
        <v>38</v>
      </c>
      <c r="Q43" s="14"/>
      <c r="R43" s="14" t="s">
        <v>31</v>
      </c>
      <c r="S43" s="77" t="s">
        <v>83</v>
      </c>
      <c r="T43" s="39">
        <v>1942373</v>
      </c>
      <c r="U43" s="8">
        <f>+G43-T43</f>
        <v>1036363</v>
      </c>
      <c r="V43" s="14"/>
      <c r="W43" s="9">
        <f>+U43/G43</f>
        <v>0.34792039307948069</v>
      </c>
      <c r="X43" s="14" t="s">
        <v>46</v>
      </c>
      <c r="Y43" s="14"/>
      <c r="Z43" s="14" t="s">
        <v>31</v>
      </c>
      <c r="AA43" s="80" t="s">
        <v>83</v>
      </c>
      <c r="AB43" s="39">
        <v>1942373</v>
      </c>
      <c r="AC43" s="39">
        <f>+H43-AB43</f>
        <v>0</v>
      </c>
      <c r="AD43" s="14"/>
      <c r="AE43" s="14">
        <v>0</v>
      </c>
      <c r="AF43" s="14"/>
      <c r="AG43" s="14"/>
      <c r="AH43" s="14" t="s">
        <v>31</v>
      </c>
      <c r="AI43" s="3"/>
      <c r="AJ43" s="51">
        <v>1900003532</v>
      </c>
      <c r="AK43" s="39">
        <v>1942373</v>
      </c>
      <c r="AL43" s="8">
        <f t="shared" si="16"/>
        <v>0</v>
      </c>
      <c r="AM43" s="14"/>
      <c r="AN43" s="14">
        <v>0</v>
      </c>
      <c r="AO43" s="14"/>
      <c r="AP43" s="14" t="s">
        <v>31</v>
      </c>
      <c r="AQ43" s="14"/>
      <c r="AR43" s="20">
        <v>1900003916</v>
      </c>
      <c r="AS43" s="39">
        <v>1942373</v>
      </c>
      <c r="AT43" s="8">
        <f>+H43-AS43</f>
        <v>0</v>
      </c>
      <c r="AU43" s="14"/>
      <c r="AV43" s="14">
        <v>0</v>
      </c>
      <c r="AW43" s="14"/>
      <c r="AX43" s="14" t="s">
        <v>31</v>
      </c>
      <c r="AY43" s="14"/>
      <c r="AZ43" s="86">
        <v>1900004452</v>
      </c>
      <c r="BA43" s="39">
        <v>1942373</v>
      </c>
      <c r="BB43" s="14">
        <v>0</v>
      </c>
      <c r="BC43" s="14"/>
      <c r="BD43" s="14">
        <v>0</v>
      </c>
      <c r="BE43" s="14"/>
      <c r="BF43" s="14" t="s">
        <v>31</v>
      </c>
      <c r="BG43" s="14"/>
      <c r="BH43" s="14"/>
      <c r="BI43" s="39">
        <v>1942373</v>
      </c>
      <c r="BJ43" s="14">
        <v>0</v>
      </c>
      <c r="BK43" s="14"/>
      <c r="BL43" s="14">
        <v>0</v>
      </c>
      <c r="BM43" s="14"/>
      <c r="BN43" s="14"/>
      <c r="BO43" s="14"/>
      <c r="BP43" s="14"/>
      <c r="BQ43" s="39">
        <v>1942373</v>
      </c>
      <c r="BR43" s="14">
        <v>0</v>
      </c>
      <c r="BS43" s="14"/>
      <c r="BT43" s="14">
        <v>0</v>
      </c>
      <c r="BU43" s="14"/>
      <c r="BV43" s="14" t="s">
        <v>31</v>
      </c>
      <c r="BW43" s="14"/>
      <c r="BX43" s="14"/>
      <c r="BY43" s="14"/>
      <c r="BZ43" s="14"/>
      <c r="CA43" s="14"/>
      <c r="CB43" s="14"/>
      <c r="CC43" s="14"/>
      <c r="CD43" s="14"/>
      <c r="CE43" s="14"/>
      <c r="CF43" s="14"/>
    </row>
    <row r="44" spans="1:84" x14ac:dyDescent="0.35">
      <c r="A44" s="1" t="s">
        <v>215</v>
      </c>
      <c r="B44" s="26" t="s">
        <v>648</v>
      </c>
      <c r="C44" s="15">
        <v>9053</v>
      </c>
      <c r="D44" s="22">
        <v>210358</v>
      </c>
      <c r="E44" s="14" t="s">
        <v>217</v>
      </c>
      <c r="F44" s="20" t="s">
        <v>649</v>
      </c>
      <c r="G44" s="39">
        <v>2087039</v>
      </c>
      <c r="H44" s="39">
        <v>2087039</v>
      </c>
      <c r="I44" s="8">
        <f t="shared" si="0"/>
        <v>0</v>
      </c>
      <c r="J44" s="8">
        <f t="shared" si="1"/>
        <v>0</v>
      </c>
      <c r="K44" s="12">
        <f>2087039-626112</f>
        <v>1460927</v>
      </c>
      <c r="L44" s="12">
        <f>+H44-K44</f>
        <v>626112</v>
      </c>
      <c r="M44" s="12"/>
      <c r="N44" s="9">
        <f t="shared" si="2"/>
        <v>0.3000001437443191</v>
      </c>
      <c r="O44" s="14"/>
      <c r="P44" s="14" t="s">
        <v>46</v>
      </c>
      <c r="Q44" s="14" t="s">
        <v>844</v>
      </c>
      <c r="R44" s="14" t="s">
        <v>31</v>
      </c>
      <c r="S44" s="3"/>
      <c r="T44" s="43">
        <v>2087039</v>
      </c>
      <c r="U44" s="44">
        <f>+H44-T44</f>
        <v>0</v>
      </c>
      <c r="V44" s="14"/>
      <c r="W44" s="14">
        <v>0</v>
      </c>
      <c r="X44" s="14" t="s">
        <v>38</v>
      </c>
      <c r="Y44" s="14"/>
      <c r="Z44" s="14" t="s">
        <v>31</v>
      </c>
      <c r="AA44" s="77" t="s">
        <v>47</v>
      </c>
      <c r="AB44" s="39">
        <v>2087039</v>
      </c>
      <c r="AC44" s="8">
        <f t="shared" ref="AC44:AC49" si="19">+H44-AB44</f>
        <v>0</v>
      </c>
      <c r="AD44" s="14"/>
      <c r="AE44" s="9">
        <f>+AC44/G44</f>
        <v>0</v>
      </c>
      <c r="AF44" s="14"/>
      <c r="AG44" s="14"/>
      <c r="AH44" s="14" t="s">
        <v>31</v>
      </c>
      <c r="AI44" s="3"/>
      <c r="AJ44" s="51">
        <v>1900003230</v>
      </c>
      <c r="AK44" s="39">
        <v>2087039</v>
      </c>
      <c r="AL44" s="14">
        <v>0</v>
      </c>
      <c r="AM44" s="14"/>
      <c r="AN44" s="14">
        <v>0</v>
      </c>
      <c r="AO44" s="14"/>
      <c r="AP44" s="14" t="s">
        <v>31</v>
      </c>
      <c r="AQ44" s="14"/>
      <c r="AR44" s="20">
        <v>1900003824</v>
      </c>
      <c r="AS44" s="39">
        <v>2087039</v>
      </c>
      <c r="AT44" s="8">
        <f t="shared" ref="AT44:AT50" si="20">+H44-AS44</f>
        <v>0</v>
      </c>
      <c r="AU44" s="14"/>
      <c r="AV44" s="9">
        <f>+AT44/H44</f>
        <v>0</v>
      </c>
      <c r="AW44" s="14"/>
      <c r="AX44" s="14" t="s">
        <v>31</v>
      </c>
      <c r="AY44" s="14"/>
      <c r="AZ44" s="85">
        <v>1900004208</v>
      </c>
      <c r="BA44" s="39">
        <v>2087039</v>
      </c>
      <c r="BB44" s="8">
        <f>+H44-BA44</f>
        <v>0</v>
      </c>
      <c r="BC44" s="14"/>
      <c r="BD44" s="14">
        <v>0</v>
      </c>
      <c r="BE44" s="14"/>
      <c r="BF44" s="14" t="s">
        <v>31</v>
      </c>
      <c r="BG44" s="14"/>
      <c r="BH44" s="14"/>
      <c r="BI44" s="39">
        <v>2087039</v>
      </c>
      <c r="BJ44" s="14">
        <v>0</v>
      </c>
      <c r="BK44" s="14"/>
      <c r="BL44" s="14">
        <v>0</v>
      </c>
      <c r="BM44" s="14"/>
      <c r="BN44" s="14" t="s">
        <v>31</v>
      </c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39">
        <v>2087039</v>
      </c>
      <c r="BZ44" s="14">
        <v>0</v>
      </c>
      <c r="CA44" s="14"/>
      <c r="CB44" s="14">
        <v>0</v>
      </c>
      <c r="CC44" s="14"/>
      <c r="CD44" s="14" t="s">
        <v>31</v>
      </c>
      <c r="CE44" s="14"/>
      <c r="CF44" s="14"/>
    </row>
    <row r="45" spans="1:84" x14ac:dyDescent="0.35">
      <c r="A45" s="74" t="s">
        <v>219</v>
      </c>
      <c r="B45" s="26" t="s">
        <v>650</v>
      </c>
      <c r="C45" s="15">
        <v>8968</v>
      </c>
      <c r="D45" s="22">
        <v>208872</v>
      </c>
      <c r="E45" s="18" t="s">
        <v>178</v>
      </c>
      <c r="F45" s="19" t="s">
        <v>626</v>
      </c>
      <c r="G45" s="39">
        <v>982462</v>
      </c>
      <c r="H45" s="75">
        <v>982462</v>
      </c>
      <c r="I45" s="8">
        <f t="shared" si="0"/>
        <v>0</v>
      </c>
      <c r="J45" s="8">
        <f t="shared" si="1"/>
        <v>0</v>
      </c>
      <c r="K45" s="12">
        <v>982462</v>
      </c>
      <c r="L45" s="12"/>
      <c r="M45" s="12"/>
      <c r="N45" s="8">
        <f t="shared" si="2"/>
        <v>0</v>
      </c>
      <c r="O45" s="14"/>
      <c r="P45" s="14" t="s">
        <v>38</v>
      </c>
      <c r="Q45" s="14"/>
      <c r="R45" s="14" t="s">
        <v>31</v>
      </c>
      <c r="S45" s="3"/>
      <c r="T45" s="39">
        <v>785970</v>
      </c>
      <c r="U45" s="8">
        <f>+H45-T45</f>
        <v>196492</v>
      </c>
      <c r="V45" s="14"/>
      <c r="W45" s="9">
        <f>+U45/H45</f>
        <v>0.19999959285957117</v>
      </c>
      <c r="X45" s="14" t="s">
        <v>46</v>
      </c>
      <c r="Y45" s="14"/>
      <c r="Z45" s="14" t="s">
        <v>31</v>
      </c>
      <c r="AA45" s="3"/>
      <c r="AB45" s="39">
        <v>785970</v>
      </c>
      <c r="AC45" s="8">
        <f t="shared" si="19"/>
        <v>196492</v>
      </c>
      <c r="AD45" s="14"/>
      <c r="AE45" s="9">
        <f>+AC45/H45</f>
        <v>0.19999959285957117</v>
      </c>
      <c r="AF45" s="14"/>
      <c r="AG45" s="14"/>
      <c r="AH45" s="14" t="s">
        <v>31</v>
      </c>
      <c r="AI45" s="3"/>
      <c r="AJ45" s="52">
        <v>1900003400</v>
      </c>
      <c r="AK45" s="39">
        <v>982462</v>
      </c>
      <c r="AL45" s="8">
        <f>+H45-AK45</f>
        <v>0</v>
      </c>
      <c r="AM45" s="14"/>
      <c r="AN45" s="9">
        <f>+AL45/H45</f>
        <v>0</v>
      </c>
      <c r="AO45" s="14"/>
      <c r="AP45" s="14" t="s">
        <v>31</v>
      </c>
      <c r="AQ45" s="14"/>
      <c r="AR45" s="20">
        <v>1900003807</v>
      </c>
      <c r="AS45" s="39">
        <v>884216</v>
      </c>
      <c r="AT45" s="8">
        <f t="shared" si="20"/>
        <v>98246</v>
      </c>
      <c r="AU45" s="14"/>
      <c r="AV45" s="9">
        <f>+AT45/H45</f>
        <v>9.9999796429785584E-2</v>
      </c>
      <c r="AW45" s="14"/>
      <c r="AX45" s="14" t="s">
        <v>31</v>
      </c>
      <c r="AY45" s="14"/>
      <c r="AZ45" s="85">
        <v>1900004199</v>
      </c>
      <c r="BA45" s="39">
        <v>884216</v>
      </c>
      <c r="BB45" s="8">
        <f>+H45-BA45</f>
        <v>98246</v>
      </c>
      <c r="BC45" s="14"/>
      <c r="BD45" s="9">
        <f>+BB45/H45</f>
        <v>9.9999796429785584E-2</v>
      </c>
      <c r="BE45" s="14"/>
      <c r="BF45" s="14" t="s">
        <v>31</v>
      </c>
      <c r="BG45" s="14"/>
      <c r="BH45" s="14"/>
      <c r="BI45" s="39">
        <v>982462</v>
      </c>
      <c r="BJ45" s="8">
        <f>+H45-BI45</f>
        <v>0</v>
      </c>
      <c r="BK45" s="14"/>
      <c r="BL45" s="14">
        <v>0</v>
      </c>
      <c r="BM45" s="14"/>
      <c r="BN45" s="14" t="s">
        <v>31</v>
      </c>
      <c r="BO45" s="14"/>
      <c r="BP45" s="14"/>
      <c r="BQ45" s="39">
        <v>982462</v>
      </c>
      <c r="BR45" s="14">
        <v>0</v>
      </c>
      <c r="BS45" s="14"/>
      <c r="BT45" s="14">
        <v>0</v>
      </c>
      <c r="BU45" s="14"/>
      <c r="BV45" s="14" t="s">
        <v>31</v>
      </c>
      <c r="BW45" s="14"/>
      <c r="BX45" s="14"/>
      <c r="BY45" s="39">
        <v>982462</v>
      </c>
      <c r="BZ45" s="14">
        <v>0</v>
      </c>
      <c r="CA45" s="14"/>
      <c r="CB45" s="14">
        <v>0</v>
      </c>
      <c r="CC45" s="14"/>
      <c r="CD45" s="14" t="s">
        <v>31</v>
      </c>
      <c r="CE45" s="14"/>
      <c r="CF45" s="14"/>
    </row>
    <row r="46" spans="1:84" x14ac:dyDescent="0.35">
      <c r="A46" s="74" t="s">
        <v>224</v>
      </c>
      <c r="B46" s="26" t="s">
        <v>651</v>
      </c>
      <c r="C46" s="15">
        <v>8969</v>
      </c>
      <c r="D46" s="1">
        <v>208873</v>
      </c>
      <c r="E46" s="18" t="s">
        <v>652</v>
      </c>
      <c r="F46" s="19" t="s">
        <v>626</v>
      </c>
      <c r="G46" s="39">
        <v>1079139</v>
      </c>
      <c r="H46" s="75">
        <v>1079139</v>
      </c>
      <c r="I46" s="8">
        <f t="shared" si="0"/>
        <v>0</v>
      </c>
      <c r="J46" s="8">
        <f t="shared" si="1"/>
        <v>0</v>
      </c>
      <c r="K46" s="12">
        <v>1079139</v>
      </c>
      <c r="L46" s="12"/>
      <c r="M46" s="12"/>
      <c r="N46" s="8">
        <f t="shared" si="2"/>
        <v>0</v>
      </c>
      <c r="O46" s="14"/>
      <c r="P46" s="14" t="s">
        <v>38</v>
      </c>
      <c r="Q46" s="14"/>
      <c r="R46" s="14" t="s">
        <v>31</v>
      </c>
      <c r="S46" s="3"/>
      <c r="T46" s="39">
        <v>863311</v>
      </c>
      <c r="U46" s="8">
        <f>+H46-T46</f>
        <v>215828</v>
      </c>
      <c r="V46" s="14"/>
      <c r="W46" s="9">
        <f>+U46/H46</f>
        <v>0.20000018533293673</v>
      </c>
      <c r="X46" s="14" t="s">
        <v>46</v>
      </c>
      <c r="Y46" s="14"/>
      <c r="Z46" s="14" t="s">
        <v>31</v>
      </c>
      <c r="AA46" s="3"/>
      <c r="AB46" s="39">
        <v>863311</v>
      </c>
      <c r="AC46" s="8">
        <f t="shared" si="19"/>
        <v>215828</v>
      </c>
      <c r="AD46" s="14"/>
      <c r="AE46" s="9">
        <f>+AC46/H46</f>
        <v>0.20000018533293673</v>
      </c>
      <c r="AF46" s="14"/>
      <c r="AG46" s="14"/>
      <c r="AH46" s="14" t="s">
        <v>31</v>
      </c>
      <c r="AI46" s="3"/>
      <c r="AJ46" s="52" t="s">
        <v>845</v>
      </c>
      <c r="AK46" s="39">
        <v>1079139</v>
      </c>
      <c r="AL46" s="8">
        <f>+H46-AK46</f>
        <v>0</v>
      </c>
      <c r="AM46" s="14"/>
      <c r="AN46" s="9">
        <f>+AL46/H46</f>
        <v>0</v>
      </c>
      <c r="AO46" s="14"/>
      <c r="AP46" s="14" t="s">
        <v>31</v>
      </c>
      <c r="AQ46" s="14"/>
      <c r="AR46" s="20">
        <v>1900003816</v>
      </c>
      <c r="AS46" s="39">
        <v>971225</v>
      </c>
      <c r="AT46" s="8">
        <f t="shared" si="20"/>
        <v>107914</v>
      </c>
      <c r="AU46" s="14"/>
      <c r="AV46" s="9">
        <f>+AT46/H46</f>
        <v>0.10000009266646837</v>
      </c>
      <c r="AW46" s="14"/>
      <c r="AX46" s="14" t="s">
        <v>31</v>
      </c>
      <c r="AY46" s="14"/>
      <c r="AZ46" s="85">
        <v>1900004200</v>
      </c>
      <c r="BA46" s="39">
        <v>971225</v>
      </c>
      <c r="BB46" s="8">
        <f>+H46-BA46</f>
        <v>107914</v>
      </c>
      <c r="BC46" s="14"/>
      <c r="BD46" s="9">
        <f>+BB46/H46</f>
        <v>0.10000009266646837</v>
      </c>
      <c r="BE46" s="14"/>
      <c r="BF46" s="14" t="s">
        <v>31</v>
      </c>
      <c r="BG46" s="14"/>
      <c r="BH46" s="14"/>
      <c r="BI46" s="39">
        <v>1079139</v>
      </c>
      <c r="BJ46" s="8">
        <f>+H46-BI46</f>
        <v>0</v>
      </c>
      <c r="BK46" s="14"/>
      <c r="BL46" s="14">
        <v>0</v>
      </c>
      <c r="BM46" s="14"/>
      <c r="BN46" s="14" t="s">
        <v>31</v>
      </c>
      <c r="BO46" s="14"/>
      <c r="BP46" s="14"/>
      <c r="BQ46" s="39">
        <v>1079139</v>
      </c>
      <c r="BR46" s="14">
        <v>0</v>
      </c>
      <c r="BS46" s="14"/>
      <c r="BT46" s="14">
        <v>0</v>
      </c>
      <c r="BU46" s="14"/>
      <c r="BV46" s="14" t="s">
        <v>31</v>
      </c>
      <c r="BW46" s="14"/>
      <c r="BX46" s="14"/>
      <c r="BY46" s="39">
        <v>1079139</v>
      </c>
      <c r="BZ46" s="14">
        <v>0</v>
      </c>
      <c r="CA46" s="14"/>
      <c r="CB46" s="14">
        <v>0</v>
      </c>
      <c r="CC46" s="14"/>
      <c r="CD46" s="14" t="s">
        <v>31</v>
      </c>
      <c r="CE46" s="14"/>
      <c r="CF46" s="14"/>
    </row>
    <row r="47" spans="1:84" x14ac:dyDescent="0.35">
      <c r="A47" s="1" t="s">
        <v>227</v>
      </c>
      <c r="B47" s="26" t="s">
        <v>653</v>
      </c>
      <c r="C47" s="15">
        <v>9072</v>
      </c>
      <c r="D47" s="22">
        <v>210304</v>
      </c>
      <c r="E47" s="18" t="s">
        <v>654</v>
      </c>
      <c r="F47" s="19" t="s">
        <v>626</v>
      </c>
      <c r="G47" s="39">
        <v>1629495</v>
      </c>
      <c r="H47" s="75">
        <v>1629495</v>
      </c>
      <c r="I47" s="8">
        <f t="shared" si="0"/>
        <v>0</v>
      </c>
      <c r="J47" s="8">
        <f t="shared" si="1"/>
        <v>0</v>
      </c>
      <c r="K47" s="12">
        <v>1629495</v>
      </c>
      <c r="L47" s="12">
        <f>+H47-K47</f>
        <v>0</v>
      </c>
      <c r="M47" s="12"/>
      <c r="N47" s="9">
        <f t="shared" si="2"/>
        <v>0</v>
      </c>
      <c r="O47" s="14"/>
      <c r="P47" s="14" t="s">
        <v>38</v>
      </c>
      <c r="Q47" s="14"/>
      <c r="R47" s="14" t="s">
        <v>31</v>
      </c>
      <c r="S47" s="3"/>
      <c r="T47" s="39">
        <v>1303596</v>
      </c>
      <c r="U47" s="8">
        <f>+H47-T47</f>
        <v>325899</v>
      </c>
      <c r="V47" s="14"/>
      <c r="W47" s="9">
        <f>+U47/H47</f>
        <v>0.2</v>
      </c>
      <c r="X47" s="14" t="s">
        <v>46</v>
      </c>
      <c r="Y47" s="14"/>
      <c r="Z47" s="14" t="s">
        <v>31</v>
      </c>
      <c r="AA47" s="3"/>
      <c r="AB47" s="39">
        <v>1303596</v>
      </c>
      <c r="AC47" s="8">
        <f t="shared" si="19"/>
        <v>325899</v>
      </c>
      <c r="AD47" s="14"/>
      <c r="AE47" s="9">
        <f>+AC47/H47</f>
        <v>0.2</v>
      </c>
      <c r="AF47" s="14"/>
      <c r="AG47" s="14"/>
      <c r="AH47" s="14" t="s">
        <v>31</v>
      </c>
      <c r="AI47" s="3"/>
      <c r="AJ47" s="52">
        <v>1900003627</v>
      </c>
      <c r="AK47" s="39">
        <v>1691416</v>
      </c>
      <c r="AL47" s="8">
        <f>+H47-AK47</f>
        <v>-61921</v>
      </c>
      <c r="AM47" s="14"/>
      <c r="AN47" s="9">
        <f>+AL47/H47</f>
        <v>-3.8000116600541888E-2</v>
      </c>
      <c r="AO47" s="14"/>
      <c r="AP47" s="14" t="s">
        <v>31</v>
      </c>
      <c r="AQ47" s="14"/>
      <c r="AR47" s="20">
        <v>1900003808</v>
      </c>
      <c r="AS47" s="39">
        <v>1522274</v>
      </c>
      <c r="AT47" s="8">
        <f t="shared" si="20"/>
        <v>107221</v>
      </c>
      <c r="AU47" s="14"/>
      <c r="AV47" s="9">
        <f>+AT47/H47</f>
        <v>6.5800140534337331E-2</v>
      </c>
      <c r="AW47" s="14"/>
      <c r="AX47" s="14" t="s">
        <v>31</v>
      </c>
      <c r="AY47" s="14"/>
      <c r="AZ47" s="85">
        <v>1900004201</v>
      </c>
      <c r="BA47" s="39">
        <v>1522274</v>
      </c>
      <c r="BB47" s="8">
        <f>+H47-BA47</f>
        <v>107221</v>
      </c>
      <c r="BC47" s="14"/>
      <c r="BD47" s="9">
        <f>+BB47/H47</f>
        <v>6.5800140534337331E-2</v>
      </c>
      <c r="BE47" s="14"/>
      <c r="BF47" s="14" t="s">
        <v>31</v>
      </c>
      <c r="BG47" s="14"/>
      <c r="BH47" s="14"/>
      <c r="BI47" s="39">
        <v>1691416</v>
      </c>
      <c r="BJ47" s="8">
        <f>+H47-BI47</f>
        <v>-61921</v>
      </c>
      <c r="BK47" s="14"/>
      <c r="BL47" s="14">
        <v>0</v>
      </c>
      <c r="BM47" s="14"/>
      <c r="BN47" s="14" t="s">
        <v>31</v>
      </c>
      <c r="BO47" s="14"/>
      <c r="BP47" s="14"/>
      <c r="BQ47" s="39">
        <v>1691416</v>
      </c>
      <c r="BR47" s="14">
        <v>0</v>
      </c>
      <c r="BS47" s="14"/>
      <c r="BT47" s="14">
        <v>0</v>
      </c>
      <c r="BU47" s="14"/>
      <c r="BV47" s="14" t="s">
        <v>31</v>
      </c>
      <c r="BW47" s="14"/>
      <c r="BX47" s="14"/>
      <c r="BY47" s="39">
        <v>1691416</v>
      </c>
      <c r="BZ47" s="14">
        <v>0</v>
      </c>
      <c r="CA47" s="14"/>
      <c r="CB47" s="14">
        <v>0</v>
      </c>
      <c r="CC47" s="14"/>
      <c r="CD47" s="14" t="s">
        <v>31</v>
      </c>
      <c r="CE47" s="14"/>
      <c r="CF47" s="14"/>
    </row>
    <row r="48" spans="1:84" x14ac:dyDescent="0.35">
      <c r="A48" s="1" t="s">
        <v>229</v>
      </c>
      <c r="B48" s="26" t="s">
        <v>655</v>
      </c>
      <c r="C48" s="15">
        <v>9096</v>
      </c>
      <c r="D48" s="22">
        <v>204532</v>
      </c>
      <c r="E48" s="18" t="s">
        <v>671</v>
      </c>
      <c r="F48" s="19" t="s">
        <v>672</v>
      </c>
      <c r="G48" s="39">
        <v>1486270</v>
      </c>
      <c r="H48" s="39">
        <v>1486270</v>
      </c>
      <c r="I48" s="8">
        <f t="shared" si="0"/>
        <v>0</v>
      </c>
      <c r="J48" s="8">
        <f t="shared" si="1"/>
        <v>0</v>
      </c>
      <c r="K48" s="12"/>
      <c r="L48" s="12"/>
      <c r="M48" s="12"/>
      <c r="N48" s="8">
        <f t="shared" si="2"/>
        <v>0</v>
      </c>
      <c r="O48" s="14"/>
      <c r="P48" s="14"/>
      <c r="Q48" s="14"/>
      <c r="R48" s="14"/>
      <c r="S48" s="3"/>
      <c r="T48" s="14"/>
      <c r="U48" s="14"/>
      <c r="V48" s="14"/>
      <c r="W48" s="14"/>
      <c r="X48" s="14"/>
      <c r="Y48" s="14"/>
      <c r="Z48" s="14"/>
      <c r="AA48" s="3"/>
      <c r="AB48" s="39">
        <f>739724+369863</f>
        <v>1109587</v>
      </c>
      <c r="AC48" s="8">
        <f t="shared" si="19"/>
        <v>376683</v>
      </c>
      <c r="AD48" s="14"/>
      <c r="AE48" s="9">
        <f>+AC48/H48</f>
        <v>0.25344183762035161</v>
      </c>
      <c r="AF48" s="14"/>
      <c r="AG48" s="14"/>
      <c r="AH48" s="14" t="s">
        <v>31</v>
      </c>
      <c r="AI48" s="3"/>
      <c r="AJ48" s="52" t="s">
        <v>846</v>
      </c>
      <c r="AK48" s="39">
        <v>1486270</v>
      </c>
      <c r="AL48" s="8">
        <f>+H48-AK48</f>
        <v>0</v>
      </c>
      <c r="AM48" s="14"/>
      <c r="AN48" s="14">
        <v>0</v>
      </c>
      <c r="AO48" s="14"/>
      <c r="AP48" s="14" t="s">
        <v>31</v>
      </c>
      <c r="AQ48" s="14"/>
      <c r="AR48" s="20">
        <v>1900003855</v>
      </c>
      <c r="AS48" s="39">
        <v>1486270</v>
      </c>
      <c r="AT48" s="8">
        <f t="shared" si="20"/>
        <v>0</v>
      </c>
      <c r="AU48" s="14"/>
      <c r="AV48" s="14">
        <v>0</v>
      </c>
      <c r="AW48" s="14"/>
      <c r="AX48" s="14" t="s">
        <v>31</v>
      </c>
      <c r="AY48" s="14"/>
      <c r="AZ48">
        <v>1900004185</v>
      </c>
      <c r="BA48" s="39">
        <v>1486270</v>
      </c>
      <c r="BB48" s="14">
        <v>0</v>
      </c>
      <c r="BD48" s="9">
        <v>0</v>
      </c>
      <c r="BE48" s="14"/>
      <c r="BF48" s="14" t="s">
        <v>31</v>
      </c>
      <c r="BG48" s="14"/>
      <c r="BH48" s="14"/>
      <c r="BI48" s="39">
        <v>1486270</v>
      </c>
      <c r="BJ48" s="14">
        <v>0</v>
      </c>
      <c r="BK48" s="14"/>
      <c r="BL48" s="14">
        <v>0</v>
      </c>
      <c r="BM48" s="14"/>
      <c r="BN48" s="14" t="s">
        <v>31</v>
      </c>
      <c r="BO48" s="14"/>
      <c r="BP48" s="14"/>
      <c r="BQ48" s="39">
        <v>1486270</v>
      </c>
      <c r="BR48" s="14">
        <v>0</v>
      </c>
      <c r="BS48" s="39">
        <v>1701326</v>
      </c>
      <c r="BT48" s="14">
        <v>0</v>
      </c>
      <c r="BU48" s="14"/>
      <c r="BV48" s="14" t="s">
        <v>31</v>
      </c>
      <c r="BW48" s="14"/>
      <c r="BX48" s="14"/>
      <c r="BY48" s="39">
        <v>1486270</v>
      </c>
      <c r="BZ48" s="14">
        <v>0</v>
      </c>
      <c r="CA48" s="14"/>
      <c r="CB48" s="14">
        <v>0</v>
      </c>
      <c r="CC48" s="14"/>
      <c r="CD48" s="14" t="s">
        <v>31</v>
      </c>
      <c r="CE48" s="14"/>
      <c r="CF48" s="14"/>
    </row>
    <row r="49" spans="1:84" x14ac:dyDescent="0.35">
      <c r="A49" s="74" t="s">
        <v>232</v>
      </c>
      <c r="B49" s="14" t="s">
        <v>657</v>
      </c>
      <c r="C49" s="15">
        <v>9100</v>
      </c>
      <c r="D49" s="15" t="s">
        <v>658</v>
      </c>
      <c r="E49" s="18" t="s">
        <v>234</v>
      </c>
      <c r="F49" s="19" t="s">
        <v>659</v>
      </c>
      <c r="G49" s="39">
        <v>3024272</v>
      </c>
      <c r="H49" s="39">
        <v>3024272</v>
      </c>
      <c r="I49" s="8">
        <f t="shared" si="0"/>
        <v>0</v>
      </c>
      <c r="J49" s="8">
        <f t="shared" si="1"/>
        <v>0</v>
      </c>
      <c r="K49" s="12">
        <f>+H49</f>
        <v>3024272</v>
      </c>
      <c r="L49" s="12"/>
      <c r="M49" s="12"/>
      <c r="N49" s="9"/>
      <c r="O49" s="14"/>
      <c r="P49" s="14" t="s">
        <v>38</v>
      </c>
      <c r="Q49" s="14"/>
      <c r="R49" s="14"/>
      <c r="S49" s="3"/>
      <c r="T49" s="43">
        <v>3024272</v>
      </c>
      <c r="U49" s="44">
        <f>+H49-T49</f>
        <v>0</v>
      </c>
      <c r="V49" s="14"/>
      <c r="W49" s="14">
        <v>0</v>
      </c>
      <c r="X49" s="14" t="s">
        <v>38</v>
      </c>
      <c r="Y49" s="14" t="s">
        <v>842</v>
      </c>
      <c r="Z49" s="14" t="s">
        <v>31</v>
      </c>
      <c r="AA49" s="3"/>
      <c r="AB49" s="39">
        <v>3024272</v>
      </c>
      <c r="AC49" s="8">
        <f t="shared" si="19"/>
        <v>0</v>
      </c>
      <c r="AD49" s="14"/>
      <c r="AE49" s="14">
        <v>0</v>
      </c>
      <c r="AF49" s="14"/>
      <c r="AG49" s="14"/>
      <c r="AH49" s="14" t="s">
        <v>31</v>
      </c>
      <c r="AI49" s="3"/>
      <c r="AJ49" s="51">
        <v>1900003391</v>
      </c>
      <c r="AK49" s="39">
        <v>3024272</v>
      </c>
      <c r="AL49" s="14">
        <v>0</v>
      </c>
      <c r="AM49" s="14"/>
      <c r="AN49" s="14">
        <v>0</v>
      </c>
      <c r="AO49" s="14"/>
      <c r="AP49" s="14" t="s">
        <v>31</v>
      </c>
      <c r="AQ49" s="14"/>
      <c r="AR49" s="20" t="s">
        <v>847</v>
      </c>
      <c r="AS49" s="39">
        <v>3024272</v>
      </c>
      <c r="AT49" s="8">
        <f t="shared" si="20"/>
        <v>0</v>
      </c>
      <c r="AU49" s="14"/>
      <c r="AV49" s="9">
        <f t="shared" ref="AV49:AV55" si="21">+AT49/H49</f>
        <v>0</v>
      </c>
      <c r="AW49" s="14"/>
      <c r="AX49" s="14" t="s">
        <v>31</v>
      </c>
      <c r="AY49" s="14"/>
      <c r="AZ49" s="85">
        <v>1900004133</v>
      </c>
      <c r="BA49" s="14"/>
      <c r="BB49" s="14"/>
      <c r="BC49" s="14"/>
      <c r="BD49" s="14"/>
      <c r="BE49" s="14"/>
      <c r="BF49" s="14"/>
      <c r="BG49" s="14"/>
      <c r="BH49" s="14"/>
      <c r="BI49" s="39">
        <v>1535977</v>
      </c>
      <c r="BJ49" s="8">
        <f>+H49-BI49</f>
        <v>1488295</v>
      </c>
      <c r="BK49" s="14"/>
      <c r="BL49" s="9">
        <f>+BJ49/H49</f>
        <v>0.49211678050122476</v>
      </c>
      <c r="BM49" s="14"/>
      <c r="BN49" s="14" t="s">
        <v>31</v>
      </c>
      <c r="BO49" s="14"/>
      <c r="BP49" s="14"/>
      <c r="BQ49" s="39">
        <v>2653197</v>
      </c>
      <c r="BR49" s="8">
        <f>+H49-BQ49</f>
        <v>371075</v>
      </c>
      <c r="BS49" s="14"/>
      <c r="BT49" s="9">
        <f>+BR49/H49</f>
        <v>0.12269895035896242</v>
      </c>
      <c r="BU49" s="14"/>
      <c r="BV49" s="14" t="s">
        <v>31</v>
      </c>
      <c r="BW49" s="14"/>
      <c r="BX49" s="14"/>
      <c r="BY49" s="8">
        <f>+BQ49</f>
        <v>2653197</v>
      </c>
      <c r="BZ49" s="14">
        <v>0</v>
      </c>
      <c r="CA49" s="14"/>
      <c r="CB49" s="14">
        <v>0</v>
      </c>
      <c r="CC49" s="14"/>
      <c r="CD49" s="14" t="s">
        <v>31</v>
      </c>
      <c r="CE49" s="14"/>
      <c r="CF49" s="14"/>
    </row>
    <row r="50" spans="1:84" x14ac:dyDescent="0.35">
      <c r="A50" s="74" t="s">
        <v>237</v>
      </c>
      <c r="B50" s="26" t="s">
        <v>660</v>
      </c>
      <c r="C50" s="15">
        <v>9101</v>
      </c>
      <c r="D50" s="22">
        <v>210622</v>
      </c>
      <c r="E50" s="18" t="s">
        <v>661</v>
      </c>
      <c r="F50" s="29">
        <v>900089075</v>
      </c>
      <c r="G50" s="39">
        <v>1954779</v>
      </c>
      <c r="H50" s="39">
        <v>1954779</v>
      </c>
      <c r="I50" s="8">
        <f t="shared" si="0"/>
        <v>0</v>
      </c>
      <c r="J50" s="8">
        <f t="shared" si="1"/>
        <v>0</v>
      </c>
      <c r="K50" s="12">
        <f>742722-74272+1212057-121206</f>
        <v>1759301</v>
      </c>
      <c r="L50" s="12">
        <f>+H50-K50</f>
        <v>195478</v>
      </c>
      <c r="M50" s="12"/>
      <c r="N50" s="9">
        <f t="shared" si="2"/>
        <v>0.10000005115667807</v>
      </c>
      <c r="O50" s="14"/>
      <c r="P50" s="14" t="s">
        <v>46</v>
      </c>
      <c r="Q50" s="14" t="s">
        <v>848</v>
      </c>
      <c r="R50" s="14" t="s">
        <v>31</v>
      </c>
      <c r="S50" s="77" t="s">
        <v>32</v>
      </c>
      <c r="T50" s="39">
        <f>742722+1212057</f>
        <v>1954779</v>
      </c>
      <c r="U50" s="8">
        <f>+H50-T50</f>
        <v>0</v>
      </c>
      <c r="V50" s="14"/>
      <c r="W50" s="9">
        <f>+U50/H50</f>
        <v>0</v>
      </c>
      <c r="X50" s="14" t="s">
        <v>32</v>
      </c>
      <c r="Y50" s="14"/>
      <c r="Z50" s="14" t="s">
        <v>31</v>
      </c>
      <c r="AA50" s="77" t="s">
        <v>32</v>
      </c>
      <c r="AB50" s="39">
        <f>722507+442737</f>
        <v>1165244</v>
      </c>
      <c r="AC50" s="8">
        <f>+H50-AB50</f>
        <v>789535</v>
      </c>
      <c r="AD50" s="14"/>
      <c r="AE50" s="9">
        <f>+AC50/H50</f>
        <v>0.40389987819594952</v>
      </c>
      <c r="AF50" s="14"/>
      <c r="AG50" s="14"/>
      <c r="AH50" s="14"/>
      <c r="AI50" s="3"/>
      <c r="AJ50" s="20" t="s">
        <v>849</v>
      </c>
      <c r="AK50" s="39">
        <f>722507+442737</f>
        <v>1165244</v>
      </c>
      <c r="AL50" s="8">
        <f>+H50-AK50</f>
        <v>789535</v>
      </c>
      <c r="AM50" s="14"/>
      <c r="AN50" s="9">
        <f>+AL50/H50</f>
        <v>0.40389987819594952</v>
      </c>
      <c r="AO50" s="14"/>
      <c r="AP50" s="14" t="s">
        <v>31</v>
      </c>
      <c r="AQ50" s="14"/>
      <c r="AR50" s="20" t="s">
        <v>850</v>
      </c>
      <c r="AS50" s="39">
        <f>722507+442737</f>
        <v>1165244</v>
      </c>
      <c r="AT50" s="8">
        <f t="shared" si="20"/>
        <v>789535</v>
      </c>
      <c r="AU50" s="14"/>
      <c r="AV50" s="9">
        <f t="shared" si="21"/>
        <v>0.40389987819594952</v>
      </c>
      <c r="AW50" s="14"/>
      <c r="AX50" s="14" t="s">
        <v>31</v>
      </c>
      <c r="AY50" s="14"/>
      <c r="AZ50" s="85" t="s">
        <v>851</v>
      </c>
      <c r="BA50" s="39">
        <f>722507+442737</f>
        <v>1165244</v>
      </c>
      <c r="BB50" s="8">
        <f t="shared" ref="BB50:BB57" si="22">+H50-BA50</f>
        <v>789535</v>
      </c>
      <c r="BC50" s="14"/>
      <c r="BD50" s="9">
        <f>+BB50/H50</f>
        <v>0.40389987819594952</v>
      </c>
      <c r="BE50" s="14"/>
      <c r="BF50" s="14" t="s">
        <v>31</v>
      </c>
      <c r="BG50" s="14"/>
      <c r="BH50" s="14"/>
      <c r="BI50" s="39">
        <f>722507+442737</f>
        <v>1165244</v>
      </c>
      <c r="BJ50" s="8">
        <f>+H50-BI50</f>
        <v>789535</v>
      </c>
      <c r="BK50" s="14"/>
      <c r="BL50" s="9">
        <f>+BJ50/H50</f>
        <v>0.40389987819594952</v>
      </c>
      <c r="BM50" s="14"/>
      <c r="BN50" s="14" t="s">
        <v>31</v>
      </c>
      <c r="BO50" s="14"/>
      <c r="BP50" s="14"/>
      <c r="BQ50" s="39">
        <f>722507+442737</f>
        <v>1165244</v>
      </c>
      <c r="BR50" s="8">
        <f>+H50-BQ50</f>
        <v>789535</v>
      </c>
      <c r="BS50" s="14"/>
      <c r="BT50" s="9">
        <f>+BR50/H50</f>
        <v>0.40389987819594952</v>
      </c>
      <c r="BU50" s="14"/>
      <c r="BV50" s="14" t="s">
        <v>31</v>
      </c>
      <c r="BW50" s="14"/>
      <c r="BX50" s="14"/>
      <c r="BY50" s="39">
        <f>722507+442737</f>
        <v>1165244</v>
      </c>
      <c r="BZ50" s="8">
        <f>+H50-BY50</f>
        <v>789535</v>
      </c>
      <c r="CA50" s="14"/>
      <c r="CB50" s="9">
        <f>+BZ50/H50</f>
        <v>0.40389987819594952</v>
      </c>
      <c r="CC50" s="14"/>
      <c r="CD50" s="14" t="s">
        <v>31</v>
      </c>
      <c r="CE50" s="14"/>
      <c r="CF50" s="14"/>
    </row>
    <row r="51" spans="1:84" x14ac:dyDescent="0.35">
      <c r="A51" s="74" t="s">
        <v>240</v>
      </c>
      <c r="B51" s="26" t="s">
        <v>662</v>
      </c>
      <c r="C51" s="15">
        <v>9102</v>
      </c>
      <c r="D51" s="15" t="s">
        <v>663</v>
      </c>
      <c r="E51" s="18" t="s">
        <v>664</v>
      </c>
      <c r="F51" s="19" t="s">
        <v>553</v>
      </c>
      <c r="G51" s="39">
        <v>2014577</v>
      </c>
      <c r="H51" s="39">
        <v>2014577</v>
      </c>
      <c r="I51" s="8">
        <f t="shared" si="0"/>
        <v>0</v>
      </c>
      <c r="J51" s="8">
        <f t="shared" si="1"/>
        <v>0</v>
      </c>
      <c r="K51" s="12">
        <v>916949</v>
      </c>
      <c r="L51" s="12">
        <f>+H51-K51</f>
        <v>1097628</v>
      </c>
      <c r="M51" s="12"/>
      <c r="N51" s="9">
        <f t="shared" si="2"/>
        <v>0.54484291243273397</v>
      </c>
      <c r="O51" s="14"/>
      <c r="P51" s="14" t="s">
        <v>46</v>
      </c>
      <c r="Q51" s="14" t="s">
        <v>122</v>
      </c>
      <c r="R51" s="14" t="s">
        <v>31</v>
      </c>
      <c r="S51" s="77" t="s">
        <v>32</v>
      </c>
      <c r="T51" s="39">
        <v>2014577</v>
      </c>
      <c r="U51" s="8">
        <f>+H51-T51</f>
        <v>0</v>
      </c>
      <c r="V51" s="14"/>
      <c r="W51" s="14">
        <v>0</v>
      </c>
      <c r="X51" s="14"/>
      <c r="Y51" s="14"/>
      <c r="Z51" s="14"/>
      <c r="AA51" s="3"/>
      <c r="AB51" s="39">
        <v>1165113</v>
      </c>
      <c r="AC51" s="8">
        <f>+K51-AB51</f>
        <v>-248164</v>
      </c>
      <c r="AD51" s="14"/>
      <c r="AE51" s="9">
        <f>+AC51/H51</f>
        <v>-0.12318417216120307</v>
      </c>
      <c r="AF51" s="14" t="s">
        <v>38</v>
      </c>
      <c r="AG51" s="14"/>
      <c r="AH51" s="14" t="s">
        <v>31</v>
      </c>
      <c r="AI51" s="3"/>
      <c r="AJ51" s="51">
        <v>19000003192</v>
      </c>
      <c r="AK51" s="39">
        <v>2014577</v>
      </c>
      <c r="AL51" s="8">
        <f>+H51-AK51</f>
        <v>0</v>
      </c>
      <c r="AM51" s="14"/>
      <c r="AN51" s="9">
        <f>+AL51/H51</f>
        <v>0</v>
      </c>
      <c r="AO51" s="14"/>
      <c r="AP51" s="14" t="s">
        <v>31</v>
      </c>
      <c r="AQ51" s="14"/>
      <c r="AR51" s="20">
        <v>1900003945</v>
      </c>
      <c r="AS51" s="39">
        <v>2014577</v>
      </c>
      <c r="AT51" s="8">
        <f>+H51-AS51</f>
        <v>0</v>
      </c>
      <c r="AU51" s="14"/>
      <c r="AV51" s="9">
        <f t="shared" si="21"/>
        <v>0</v>
      </c>
      <c r="AW51" s="14"/>
      <c r="AX51" s="14" t="s">
        <v>31</v>
      </c>
      <c r="AY51" s="14"/>
      <c r="AZ51" s="85"/>
      <c r="BA51" s="39">
        <v>2014577</v>
      </c>
      <c r="BB51" s="8">
        <f t="shared" si="22"/>
        <v>0</v>
      </c>
      <c r="BC51" s="14"/>
      <c r="BD51" s="9">
        <f>+BB51/H51</f>
        <v>0</v>
      </c>
      <c r="BE51" s="14"/>
      <c r="BF51" s="14" t="s">
        <v>31</v>
      </c>
      <c r="BG51" s="14"/>
      <c r="BH51" s="14"/>
      <c r="BI51" s="39">
        <v>2014577</v>
      </c>
      <c r="BJ51" s="39">
        <f>+H51-BI51</f>
        <v>0</v>
      </c>
      <c r="BK51" s="14"/>
      <c r="BL51" s="9">
        <f>+BJ51/H51</f>
        <v>0</v>
      </c>
      <c r="BM51" s="14"/>
      <c r="BN51" s="14" t="s">
        <v>31</v>
      </c>
      <c r="BO51" s="14"/>
      <c r="BP51" s="14"/>
      <c r="BQ51" s="39">
        <v>2014577</v>
      </c>
      <c r="BR51" s="8">
        <f>+H51-BQ51</f>
        <v>0</v>
      </c>
      <c r="BS51" s="14"/>
      <c r="BT51" s="9">
        <f>+BR51/H51</f>
        <v>0</v>
      </c>
      <c r="BU51" s="14"/>
      <c r="BV51" s="14" t="s">
        <v>31</v>
      </c>
      <c r="BW51" s="14"/>
      <c r="BX51" s="14"/>
      <c r="BY51" s="39">
        <v>2014577</v>
      </c>
      <c r="BZ51" s="14">
        <v>0</v>
      </c>
      <c r="CA51" s="14"/>
      <c r="CB51" s="14">
        <v>0</v>
      </c>
      <c r="CC51" s="14"/>
      <c r="CD51" s="14" t="s">
        <v>31</v>
      </c>
      <c r="CE51" s="14"/>
      <c r="CF51" s="14"/>
    </row>
    <row r="52" spans="1:84" ht="15.5" x14ac:dyDescent="0.35">
      <c r="A52" s="74" t="s">
        <v>244</v>
      </c>
      <c r="B52" s="26" t="s">
        <v>665</v>
      </c>
      <c r="C52" s="15">
        <v>9120</v>
      </c>
      <c r="D52" s="15">
        <v>212833</v>
      </c>
      <c r="E52" s="18" t="s">
        <v>578</v>
      </c>
      <c r="F52" s="23">
        <v>901094453</v>
      </c>
      <c r="G52" s="39">
        <v>3526286</v>
      </c>
      <c r="H52" s="39">
        <v>3526286</v>
      </c>
      <c r="I52" s="8">
        <f t="shared" si="0"/>
        <v>0</v>
      </c>
      <c r="J52" s="8">
        <f t="shared" si="1"/>
        <v>0</v>
      </c>
      <c r="K52" s="12">
        <v>2115771</v>
      </c>
      <c r="L52" s="12">
        <f>+H52-K52</f>
        <v>1410515</v>
      </c>
      <c r="M52" s="12"/>
      <c r="N52" s="9">
        <f t="shared" si="2"/>
        <v>0.40000017015069111</v>
      </c>
      <c r="O52" s="14"/>
      <c r="P52" s="14" t="s">
        <v>46</v>
      </c>
      <c r="Q52" s="14" t="s">
        <v>87</v>
      </c>
      <c r="R52" s="14" t="s">
        <v>31</v>
      </c>
      <c r="S52" s="80" t="s">
        <v>83</v>
      </c>
      <c r="T52" s="39">
        <v>1763143</v>
      </c>
      <c r="U52" s="8">
        <f t="shared" ref="U52:U57" si="23">+H52-T52</f>
        <v>1763143</v>
      </c>
      <c r="V52" s="14"/>
      <c r="W52" s="9">
        <f t="shared" ref="W52:W57" si="24">+U52/H52</f>
        <v>0.5</v>
      </c>
      <c r="X52" s="14" t="s">
        <v>46</v>
      </c>
      <c r="Y52" s="14" t="s">
        <v>106</v>
      </c>
      <c r="Z52" s="14" t="s">
        <v>31</v>
      </c>
      <c r="AA52" s="80" t="s">
        <v>83</v>
      </c>
      <c r="AB52" s="39">
        <v>2821029</v>
      </c>
      <c r="AC52" s="8">
        <f>+H52-AB52</f>
        <v>705257</v>
      </c>
      <c r="AD52" s="14"/>
      <c r="AE52" s="9">
        <f>+AC52/H52</f>
        <v>0.19999994328310297</v>
      </c>
      <c r="AF52" s="14"/>
      <c r="AG52" s="14"/>
      <c r="AH52" s="14" t="s">
        <v>31</v>
      </c>
      <c r="AI52" s="3"/>
      <c r="AJ52" s="51">
        <v>1900003461</v>
      </c>
      <c r="AK52" s="39">
        <v>3526286</v>
      </c>
      <c r="AL52" s="8">
        <f>+H52-AK52</f>
        <v>0</v>
      </c>
      <c r="AM52" s="14"/>
      <c r="AN52" s="9">
        <f>+AL52/H52</f>
        <v>0</v>
      </c>
      <c r="AO52" s="14"/>
      <c r="AP52" s="14" t="s">
        <v>31</v>
      </c>
      <c r="AQ52" s="14"/>
      <c r="AR52" s="20">
        <v>1900003814</v>
      </c>
      <c r="AS52" s="39">
        <v>2821029</v>
      </c>
      <c r="AT52" s="8">
        <f>+H52-AS52</f>
        <v>705257</v>
      </c>
      <c r="AU52" s="14"/>
      <c r="AV52" s="9">
        <f t="shared" si="21"/>
        <v>0.19999994328310297</v>
      </c>
      <c r="AW52" s="14"/>
      <c r="AX52" s="14" t="s">
        <v>31</v>
      </c>
      <c r="AY52" s="14"/>
      <c r="AZ52" s="84">
        <v>1900004305</v>
      </c>
      <c r="BA52" s="39">
        <v>3526286</v>
      </c>
      <c r="BB52" s="8">
        <f t="shared" si="22"/>
        <v>0</v>
      </c>
      <c r="BC52" s="14"/>
      <c r="BD52" s="14">
        <v>0</v>
      </c>
      <c r="BE52" s="14"/>
      <c r="BF52" s="14" t="s">
        <v>31</v>
      </c>
      <c r="BG52" s="14"/>
      <c r="BH52" s="14"/>
      <c r="BI52" s="39">
        <v>3526286</v>
      </c>
      <c r="BJ52" s="14">
        <v>0</v>
      </c>
      <c r="BK52" s="14"/>
      <c r="BL52" s="14">
        <v>0</v>
      </c>
      <c r="BM52" s="14"/>
      <c r="BN52" s="14" t="s">
        <v>31</v>
      </c>
      <c r="BO52" s="14"/>
      <c r="BP52" s="14"/>
      <c r="BQ52" s="8">
        <v>3526286</v>
      </c>
      <c r="BR52" s="14">
        <v>0</v>
      </c>
      <c r="BS52" s="14"/>
      <c r="BT52" s="14">
        <v>0</v>
      </c>
      <c r="BU52" s="14"/>
      <c r="BV52" s="14" t="s">
        <v>31</v>
      </c>
      <c r="BW52" s="14"/>
      <c r="BX52" s="14"/>
      <c r="BY52" s="39">
        <v>3525286</v>
      </c>
      <c r="BZ52" s="14">
        <v>0</v>
      </c>
      <c r="CA52" s="14"/>
      <c r="CB52" s="14">
        <v>0</v>
      </c>
      <c r="CC52" s="14"/>
      <c r="CD52" s="14" t="s">
        <v>31</v>
      </c>
      <c r="CE52" s="14"/>
      <c r="CF52" s="14"/>
    </row>
    <row r="53" spans="1:84" x14ac:dyDescent="0.35">
      <c r="A53" s="74" t="s">
        <v>246</v>
      </c>
      <c r="B53" s="26" t="s">
        <v>666</v>
      </c>
      <c r="C53" s="15">
        <v>9103</v>
      </c>
      <c r="D53" s="15" t="s">
        <v>667</v>
      </c>
      <c r="E53" s="18" t="s">
        <v>668</v>
      </c>
      <c r="F53" s="19" t="s">
        <v>669</v>
      </c>
      <c r="G53" s="39">
        <v>1227800</v>
      </c>
      <c r="H53" s="39">
        <v>1227800</v>
      </c>
      <c r="I53" s="8">
        <f t="shared" si="0"/>
        <v>0</v>
      </c>
      <c r="J53" s="8">
        <f t="shared" si="1"/>
        <v>0</v>
      </c>
      <c r="K53" s="12">
        <v>749150</v>
      </c>
      <c r="L53" s="12">
        <f>+H53-K53</f>
        <v>478650</v>
      </c>
      <c r="M53" s="12"/>
      <c r="N53" s="9">
        <f>+L53/H53</f>
        <v>0.3898436227398599</v>
      </c>
      <c r="O53" s="14"/>
      <c r="P53" s="14"/>
      <c r="Q53" s="14"/>
      <c r="R53" s="14"/>
      <c r="S53" s="3"/>
      <c r="T53" s="12">
        <f>+K53</f>
        <v>749150</v>
      </c>
      <c r="U53" s="12">
        <f t="shared" si="23"/>
        <v>478650</v>
      </c>
      <c r="V53" s="14"/>
      <c r="W53" s="9">
        <f t="shared" si="24"/>
        <v>0.3898436227398599</v>
      </c>
      <c r="X53" s="14" t="s">
        <v>46</v>
      </c>
      <c r="Y53" s="14" t="s">
        <v>852</v>
      </c>
      <c r="Z53" s="14" t="s">
        <v>31</v>
      </c>
      <c r="AA53" s="77" t="s">
        <v>47</v>
      </c>
      <c r="AB53" s="39">
        <v>796070</v>
      </c>
      <c r="AC53" s="8">
        <f>+H53-AB53</f>
        <v>431730</v>
      </c>
      <c r="AD53" s="14"/>
      <c r="AE53" s="9">
        <f>+AC53/H53</f>
        <v>0.35162892979312593</v>
      </c>
      <c r="AF53" s="14"/>
      <c r="AG53" s="14"/>
      <c r="AH53" s="14"/>
      <c r="AI53" s="3"/>
      <c r="AJ53" s="51"/>
      <c r="AK53" s="39">
        <v>798070</v>
      </c>
      <c r="AL53" s="8">
        <f>+H53-AK53</f>
        <v>429730</v>
      </c>
      <c r="AM53" s="14"/>
      <c r="AN53" s="9">
        <f>+AL53/H53</f>
        <v>0.35</v>
      </c>
      <c r="AO53" s="14"/>
      <c r="AP53" s="14"/>
      <c r="AQ53" s="14"/>
      <c r="AR53" s="20"/>
      <c r="AS53" s="39">
        <v>920850</v>
      </c>
      <c r="AT53" s="8">
        <f>+H53-AS53</f>
        <v>306950</v>
      </c>
      <c r="AU53" s="14"/>
      <c r="AV53" s="9">
        <f t="shared" si="21"/>
        <v>0.25</v>
      </c>
      <c r="AW53" s="14"/>
      <c r="AX53" s="14" t="s">
        <v>31</v>
      </c>
      <c r="AY53" s="14"/>
      <c r="AZ53" s="85">
        <v>1900004195</v>
      </c>
      <c r="BA53" s="39">
        <v>920850</v>
      </c>
      <c r="BB53" s="8">
        <f t="shared" si="22"/>
        <v>306950</v>
      </c>
      <c r="BC53" s="14"/>
      <c r="BD53" s="9">
        <f>+BB53/H53</f>
        <v>0.25</v>
      </c>
      <c r="BE53" s="14"/>
      <c r="BF53" s="14"/>
      <c r="BG53" s="14"/>
      <c r="BH53" s="14"/>
      <c r="BI53" s="39">
        <v>613900</v>
      </c>
      <c r="BJ53" s="8">
        <f>+H53-BI53</f>
        <v>613900</v>
      </c>
      <c r="BK53" s="14"/>
      <c r="BL53" s="9">
        <f>+BJ53/H53</f>
        <v>0.5</v>
      </c>
      <c r="BM53" s="14"/>
      <c r="BN53" s="14" t="s">
        <v>31</v>
      </c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</row>
    <row r="54" spans="1:84" x14ac:dyDescent="0.35">
      <c r="A54" s="74" t="s">
        <v>250</v>
      </c>
      <c r="B54" s="26" t="s">
        <v>670</v>
      </c>
      <c r="C54" s="15">
        <v>8974</v>
      </c>
      <c r="D54" s="22">
        <v>204532</v>
      </c>
      <c r="E54" s="18" t="s">
        <v>671</v>
      </c>
      <c r="F54" s="19" t="s">
        <v>672</v>
      </c>
      <c r="G54" s="39">
        <v>2218056</v>
      </c>
      <c r="H54" s="39">
        <v>2218056</v>
      </c>
      <c r="I54" s="8">
        <f t="shared" si="0"/>
        <v>0</v>
      </c>
      <c r="J54" s="8">
        <f t="shared" si="1"/>
        <v>0</v>
      </c>
      <c r="K54" s="12"/>
      <c r="L54" s="12"/>
      <c r="M54" s="12"/>
      <c r="N54" s="8"/>
      <c r="O54" s="14"/>
      <c r="P54" s="14"/>
      <c r="Q54" s="14"/>
      <c r="R54" s="14"/>
      <c r="S54" s="3"/>
      <c r="T54" s="39">
        <v>268206</v>
      </c>
      <c r="U54" s="8">
        <f t="shared" si="23"/>
        <v>1949850</v>
      </c>
      <c r="V54" s="39">
        <f>390410+91498+91498</f>
        <v>573406</v>
      </c>
      <c r="W54" s="9">
        <f t="shared" si="24"/>
        <v>0.87908060030946023</v>
      </c>
      <c r="X54" s="14" t="s">
        <v>46</v>
      </c>
      <c r="Y54" s="14"/>
      <c r="Z54" s="14" t="s">
        <v>31</v>
      </c>
      <c r="AA54" s="77" t="s">
        <v>116</v>
      </c>
      <c r="AB54" s="39">
        <v>2218056</v>
      </c>
      <c r="AC54" s="8">
        <f>+H54-AB54</f>
        <v>0</v>
      </c>
      <c r="AD54" s="14"/>
      <c r="AE54" s="14">
        <v>0</v>
      </c>
      <c r="AF54" s="14"/>
      <c r="AG54" s="14"/>
      <c r="AH54" s="14" t="s">
        <v>31</v>
      </c>
      <c r="AI54" s="77" t="s">
        <v>116</v>
      </c>
      <c r="AJ54" s="20" t="s">
        <v>853</v>
      </c>
      <c r="AK54" s="39">
        <v>2237657</v>
      </c>
      <c r="AL54" s="14">
        <v>0</v>
      </c>
      <c r="AM54" s="14"/>
      <c r="AN54" s="14">
        <v>0</v>
      </c>
      <c r="AO54" s="14"/>
      <c r="AP54" s="14" t="s">
        <v>31</v>
      </c>
      <c r="AQ54" s="14"/>
      <c r="AR54" s="20">
        <v>1900003856</v>
      </c>
      <c r="AS54" s="39">
        <v>2237657</v>
      </c>
      <c r="AT54" s="8">
        <f>+H54-AS54</f>
        <v>-19601</v>
      </c>
      <c r="AU54" s="14"/>
      <c r="AV54" s="9">
        <f t="shared" si="21"/>
        <v>-8.8370176406727327E-3</v>
      </c>
      <c r="AW54" s="14"/>
      <c r="AX54" s="14" t="s">
        <v>31</v>
      </c>
      <c r="AY54" s="14"/>
      <c r="AZ54">
        <v>1900004136</v>
      </c>
      <c r="BA54" s="39">
        <v>2237657</v>
      </c>
      <c r="BB54" s="8">
        <f t="shared" si="22"/>
        <v>-19601</v>
      </c>
      <c r="BC54" s="39">
        <v>393122</v>
      </c>
      <c r="BD54" s="9">
        <f>+BC54/BA54</f>
        <v>0.17568465586995682</v>
      </c>
      <c r="BE54" s="14"/>
      <c r="BF54" s="14" t="s">
        <v>31</v>
      </c>
      <c r="BG54" s="14"/>
      <c r="BH54" s="14"/>
      <c r="BI54" s="39">
        <v>2237657</v>
      </c>
      <c r="BJ54" s="14">
        <v>0</v>
      </c>
      <c r="BK54" s="14"/>
      <c r="BL54" s="14">
        <v>0</v>
      </c>
      <c r="BM54" s="14"/>
      <c r="BN54" s="14" t="s">
        <v>31</v>
      </c>
      <c r="BO54" s="14"/>
      <c r="BP54" s="14"/>
      <c r="BQ54" s="39">
        <v>2237657</v>
      </c>
      <c r="BR54" s="14">
        <v>0</v>
      </c>
      <c r="BS54" s="39">
        <v>1204052</v>
      </c>
      <c r="BT54" s="14">
        <v>0</v>
      </c>
      <c r="BU54" s="14"/>
      <c r="BV54" s="14" t="s">
        <v>31</v>
      </c>
      <c r="BW54" s="14"/>
      <c r="BX54" s="14"/>
      <c r="BY54" s="39">
        <v>1302795</v>
      </c>
      <c r="BZ54" s="14">
        <v>0</v>
      </c>
      <c r="CA54" s="14"/>
      <c r="CB54" s="14">
        <v>0</v>
      </c>
      <c r="CC54" s="14"/>
      <c r="CD54" s="14" t="s">
        <v>31</v>
      </c>
      <c r="CE54" s="14"/>
      <c r="CF54" s="14"/>
    </row>
    <row r="55" spans="1:84" ht="15.5" x14ac:dyDescent="0.35">
      <c r="A55" s="1" t="s">
        <v>252</v>
      </c>
      <c r="B55" s="18" t="s">
        <v>673</v>
      </c>
      <c r="C55" s="24">
        <v>6573</v>
      </c>
      <c r="D55" s="22">
        <v>204606</v>
      </c>
      <c r="E55" s="18" t="s">
        <v>600</v>
      </c>
      <c r="F55" s="19" t="s">
        <v>601</v>
      </c>
      <c r="G55" s="39">
        <v>1242230</v>
      </c>
      <c r="H55" s="75">
        <v>1316588</v>
      </c>
      <c r="I55" s="8">
        <f t="shared" si="0"/>
        <v>74358</v>
      </c>
      <c r="J55" s="10">
        <f t="shared" si="1"/>
        <v>5.9858480313629524E-2</v>
      </c>
      <c r="K55" s="12">
        <v>658294</v>
      </c>
      <c r="L55" s="12">
        <f>+H55-K55</f>
        <v>658294</v>
      </c>
      <c r="M55" s="12"/>
      <c r="N55" s="9">
        <f>+L55/H55</f>
        <v>0.5</v>
      </c>
      <c r="O55" s="14"/>
      <c r="P55" s="14" t="s">
        <v>46</v>
      </c>
      <c r="Q55" s="14" t="s">
        <v>122</v>
      </c>
      <c r="R55" s="14" t="s">
        <v>31</v>
      </c>
      <c r="S55" s="3"/>
      <c r="T55" s="43">
        <v>658294</v>
      </c>
      <c r="U55" s="44">
        <f t="shared" si="23"/>
        <v>658294</v>
      </c>
      <c r="V55" s="14"/>
      <c r="W55" s="9">
        <f t="shared" si="24"/>
        <v>0.5</v>
      </c>
      <c r="X55" s="14" t="s">
        <v>46</v>
      </c>
      <c r="Y55" s="14" t="s">
        <v>122</v>
      </c>
      <c r="Z55" s="14" t="s">
        <v>31</v>
      </c>
      <c r="AA55" s="80" t="s">
        <v>83</v>
      </c>
      <c r="AB55" s="39">
        <v>658294</v>
      </c>
      <c r="AC55" s="8">
        <f>+K55-AB55</f>
        <v>0</v>
      </c>
      <c r="AD55" s="14"/>
      <c r="AE55" s="9">
        <f>+AC55/H55</f>
        <v>0</v>
      </c>
      <c r="AF55" s="14" t="s">
        <v>38</v>
      </c>
      <c r="AG55" s="14"/>
      <c r="AH55" s="14" t="s">
        <v>31</v>
      </c>
      <c r="AI55" s="77" t="s">
        <v>32</v>
      </c>
      <c r="AJ55" s="51">
        <v>1900003307</v>
      </c>
      <c r="AK55" s="39">
        <v>658294</v>
      </c>
      <c r="AL55" s="8">
        <f>+H55-AK55</f>
        <v>658294</v>
      </c>
      <c r="AM55" s="14"/>
      <c r="AN55" s="9">
        <f>+AL55/H55</f>
        <v>0.5</v>
      </c>
      <c r="AO55" s="14"/>
      <c r="AP55" s="14" t="s">
        <v>31</v>
      </c>
      <c r="AQ55" s="14"/>
      <c r="AR55" s="20">
        <v>1900003681</v>
      </c>
      <c r="AS55" s="39">
        <v>658294</v>
      </c>
      <c r="AT55" s="8">
        <f>+H55-AS55</f>
        <v>658294</v>
      </c>
      <c r="AU55" s="14"/>
      <c r="AV55" s="9">
        <f t="shared" si="21"/>
        <v>0.5</v>
      </c>
      <c r="AW55" s="14"/>
      <c r="AX55" s="14" t="s">
        <v>31</v>
      </c>
      <c r="AY55" s="14"/>
      <c r="AZ55" s="85">
        <v>1900004186</v>
      </c>
      <c r="BA55" s="39">
        <v>1316588</v>
      </c>
      <c r="BB55" s="8">
        <f t="shared" si="22"/>
        <v>0</v>
      </c>
      <c r="BC55" s="14"/>
      <c r="BD55" s="14">
        <v>0</v>
      </c>
      <c r="BE55" s="14"/>
      <c r="BF55" s="14" t="s">
        <v>31</v>
      </c>
      <c r="BG55" s="14"/>
      <c r="BH55" s="14"/>
      <c r="BI55" s="39">
        <v>1316588</v>
      </c>
      <c r="BJ55" s="14">
        <v>0</v>
      </c>
      <c r="BK55" s="14"/>
      <c r="BL55" s="14">
        <v>0</v>
      </c>
      <c r="BM55" s="14"/>
      <c r="BN55" s="14" t="s">
        <v>31</v>
      </c>
      <c r="BO55" s="14"/>
      <c r="BP55" s="14"/>
      <c r="BQ55" s="39">
        <v>1316588</v>
      </c>
      <c r="BR55" s="14">
        <v>0</v>
      </c>
      <c r="BS55" s="14"/>
      <c r="BT55" s="14">
        <v>0</v>
      </c>
      <c r="BU55" s="14"/>
      <c r="BV55" s="14" t="s">
        <v>31</v>
      </c>
      <c r="BW55" s="14"/>
      <c r="BX55" s="14"/>
      <c r="BY55" s="39">
        <v>1316588</v>
      </c>
      <c r="BZ55" s="14">
        <v>0</v>
      </c>
      <c r="CA55" s="14"/>
      <c r="CB55" s="14">
        <v>0</v>
      </c>
      <c r="CC55" s="14"/>
      <c r="CD55" s="14" t="s">
        <v>31</v>
      </c>
      <c r="CE55" s="14"/>
      <c r="CF55" s="14"/>
    </row>
    <row r="56" spans="1:84" x14ac:dyDescent="0.35">
      <c r="A56" s="73" t="s">
        <v>256</v>
      </c>
      <c r="B56" s="14" t="s">
        <v>674</v>
      </c>
      <c r="C56" s="1">
        <v>9209</v>
      </c>
      <c r="D56" s="15" t="s">
        <v>675</v>
      </c>
      <c r="E56" s="16" t="s">
        <v>676</v>
      </c>
      <c r="F56" s="17" t="s">
        <v>677</v>
      </c>
      <c r="G56" s="39">
        <v>2075456</v>
      </c>
      <c r="H56" s="39">
        <v>2051993</v>
      </c>
      <c r="I56" s="8">
        <f t="shared" si="0"/>
        <v>-23463</v>
      </c>
      <c r="J56" s="10">
        <f t="shared" si="1"/>
        <v>-1.1304985506799469E-2</v>
      </c>
      <c r="K56" s="12">
        <v>1118101</v>
      </c>
      <c r="L56" s="12">
        <f>+H56-K56</f>
        <v>933892</v>
      </c>
      <c r="M56" s="12"/>
      <c r="N56" s="9">
        <f t="shared" si="2"/>
        <v>0.45511461296407929</v>
      </c>
      <c r="O56" s="14"/>
      <c r="P56" s="14"/>
      <c r="Q56" s="14"/>
      <c r="R56" s="14"/>
      <c r="S56" s="77" t="s">
        <v>32</v>
      </c>
      <c r="T56" s="39">
        <v>1118101</v>
      </c>
      <c r="U56" s="8">
        <f t="shared" si="23"/>
        <v>933892</v>
      </c>
      <c r="V56" s="14"/>
      <c r="W56" s="9">
        <f t="shared" si="24"/>
        <v>0.45511461296407929</v>
      </c>
      <c r="X56" s="14"/>
      <c r="Y56" s="14"/>
      <c r="Z56" s="14"/>
      <c r="AA56" s="3"/>
      <c r="AB56" s="39">
        <v>1118101</v>
      </c>
      <c r="AC56" s="8">
        <f>+H56-AB56</f>
        <v>933892</v>
      </c>
      <c r="AD56" s="14"/>
      <c r="AE56" s="9">
        <f>+AC56/H56</f>
        <v>0.45511461296407929</v>
      </c>
      <c r="AF56" s="14"/>
      <c r="AG56" s="14"/>
      <c r="AH56" s="14" t="s">
        <v>31</v>
      </c>
      <c r="AI56" s="3"/>
      <c r="AJ56" s="20">
        <v>1900003572</v>
      </c>
      <c r="AK56" s="39">
        <v>1118101</v>
      </c>
      <c r="AL56" s="8">
        <f>+H56-AK56</f>
        <v>933892</v>
      </c>
      <c r="AM56" s="14"/>
      <c r="AN56" s="9">
        <f>+AL56/H56</f>
        <v>0.45511461296407929</v>
      </c>
      <c r="AO56" s="14"/>
      <c r="AP56" s="14" t="s">
        <v>31</v>
      </c>
      <c r="AQ56" s="14"/>
      <c r="AR56" s="20">
        <v>1900003878</v>
      </c>
      <c r="AS56" s="14"/>
      <c r="AT56" s="14"/>
      <c r="AU56" s="14"/>
      <c r="AV56" s="14"/>
      <c r="AW56" s="14"/>
      <c r="AX56" s="14"/>
      <c r="AY56" s="14"/>
      <c r="AZ56" s="85"/>
      <c r="BA56" s="39">
        <f>600104+517997</f>
        <v>1118101</v>
      </c>
      <c r="BB56" s="8">
        <f t="shared" si="22"/>
        <v>933892</v>
      </c>
      <c r="BC56" s="14"/>
      <c r="BD56" s="9">
        <f>+BB56/H56</f>
        <v>0.45511461296407929</v>
      </c>
      <c r="BE56" s="14"/>
      <c r="BF56" s="14" t="s">
        <v>31</v>
      </c>
      <c r="BG56" s="14"/>
      <c r="BH56" s="14"/>
      <c r="BI56" s="39">
        <v>1027653</v>
      </c>
      <c r="BJ56" s="14">
        <v>0</v>
      </c>
      <c r="BK56" s="14"/>
      <c r="BL56" s="14">
        <v>0</v>
      </c>
      <c r="BM56" s="14"/>
      <c r="BN56" s="14" t="s">
        <v>31</v>
      </c>
      <c r="BO56" s="14"/>
      <c r="BP56" s="14"/>
      <c r="BQ56" s="39">
        <f>600104+517997</f>
        <v>1118101</v>
      </c>
      <c r="BR56" s="14">
        <v>0</v>
      </c>
      <c r="BS56" s="14"/>
      <c r="BT56" s="14">
        <v>0</v>
      </c>
      <c r="BU56" s="14"/>
      <c r="BV56" s="14" t="s">
        <v>31</v>
      </c>
      <c r="BW56" s="14"/>
      <c r="BX56" s="14"/>
      <c r="BY56" s="39">
        <f>600104+517997</f>
        <v>1118101</v>
      </c>
      <c r="BZ56" s="14">
        <v>0</v>
      </c>
      <c r="CA56" s="14"/>
      <c r="CB56" s="14">
        <v>0</v>
      </c>
      <c r="CC56" s="14"/>
      <c r="CD56" s="14" t="s">
        <v>31</v>
      </c>
      <c r="CE56" s="14"/>
      <c r="CF56" s="14"/>
    </row>
    <row r="57" spans="1:84" x14ac:dyDescent="0.35">
      <c r="A57" s="30" t="s">
        <v>260</v>
      </c>
      <c r="B57" s="14" t="s">
        <v>678</v>
      </c>
      <c r="C57" s="30">
        <v>9458</v>
      </c>
      <c r="D57" s="30">
        <v>206286</v>
      </c>
      <c r="E57" s="31" t="s">
        <v>375</v>
      </c>
      <c r="F57" s="32" t="s">
        <v>679</v>
      </c>
      <c r="G57" s="39">
        <v>1841371</v>
      </c>
      <c r="H57" s="39">
        <v>1841371</v>
      </c>
      <c r="I57" s="8">
        <f t="shared" si="0"/>
        <v>0</v>
      </c>
      <c r="J57" s="8">
        <f t="shared" si="1"/>
        <v>0</v>
      </c>
      <c r="K57" s="12">
        <f>+H57</f>
        <v>1841371</v>
      </c>
      <c r="L57" s="12"/>
      <c r="M57" s="12"/>
      <c r="N57" s="8">
        <f t="shared" si="2"/>
        <v>0</v>
      </c>
      <c r="O57" s="14"/>
      <c r="P57" s="14" t="s">
        <v>38</v>
      </c>
      <c r="Q57" s="14"/>
      <c r="R57" s="14"/>
      <c r="S57" s="3"/>
      <c r="T57" s="39">
        <v>1841371</v>
      </c>
      <c r="U57" s="8">
        <f t="shared" si="23"/>
        <v>0</v>
      </c>
      <c r="V57" s="14"/>
      <c r="W57" s="9">
        <f t="shared" si="24"/>
        <v>0</v>
      </c>
      <c r="X57" s="14" t="s">
        <v>38</v>
      </c>
      <c r="Y57" s="14" t="s">
        <v>854</v>
      </c>
      <c r="Z57" s="14" t="s">
        <v>31</v>
      </c>
      <c r="AA57" s="3"/>
      <c r="AB57" s="8">
        <f>+H57</f>
        <v>1841371</v>
      </c>
      <c r="AC57" s="8">
        <f>+H57-AB57</f>
        <v>0</v>
      </c>
      <c r="AD57" s="14"/>
      <c r="AE57" s="9">
        <v>0</v>
      </c>
      <c r="AF57" s="14"/>
      <c r="AG57" s="14"/>
      <c r="AH57" s="14" t="s">
        <v>31</v>
      </c>
      <c r="AI57" s="3"/>
      <c r="AJ57" s="52">
        <v>1900003382</v>
      </c>
      <c r="AK57" s="39">
        <v>1841371</v>
      </c>
      <c r="AL57" s="8">
        <f>+H57-AK57</f>
        <v>0</v>
      </c>
      <c r="AM57" s="14"/>
      <c r="AN57" s="14"/>
      <c r="AO57" s="14"/>
      <c r="AP57" s="14" t="s">
        <v>31</v>
      </c>
      <c r="AQ57" s="14"/>
      <c r="AR57" s="20">
        <v>1900004033</v>
      </c>
      <c r="AS57" s="39">
        <v>1841371</v>
      </c>
      <c r="AT57" s="8">
        <f>+H57-AS57</f>
        <v>0</v>
      </c>
      <c r="AU57" s="14"/>
      <c r="AV57" s="14">
        <v>0</v>
      </c>
      <c r="AW57" s="14"/>
      <c r="AX57" s="14" t="s">
        <v>31</v>
      </c>
      <c r="AY57" s="14"/>
      <c r="AZ57" s="85">
        <v>1900004116</v>
      </c>
      <c r="BA57" s="39">
        <v>1841371</v>
      </c>
      <c r="BB57" s="8">
        <f t="shared" si="22"/>
        <v>0</v>
      </c>
      <c r="BC57" s="14"/>
      <c r="BD57" s="14">
        <v>0</v>
      </c>
      <c r="BE57" s="14"/>
      <c r="BF57" s="14" t="s">
        <v>31</v>
      </c>
      <c r="BG57" s="14"/>
      <c r="BH57" s="14"/>
      <c r="BI57" s="39">
        <v>1841371</v>
      </c>
      <c r="BJ57" s="14">
        <v>0</v>
      </c>
      <c r="BK57" s="14"/>
      <c r="BL57" s="14">
        <v>0</v>
      </c>
      <c r="BM57" s="14"/>
      <c r="BN57" s="14" t="s">
        <v>31</v>
      </c>
      <c r="BO57" s="14"/>
      <c r="BP57" s="14"/>
      <c r="BQ57" s="39">
        <v>1841371</v>
      </c>
      <c r="BR57" s="14">
        <v>0</v>
      </c>
      <c r="BS57" s="14"/>
      <c r="BT57" s="14">
        <v>0</v>
      </c>
      <c r="BU57" s="14"/>
      <c r="BV57" s="14" t="s">
        <v>31</v>
      </c>
      <c r="BW57" s="14"/>
      <c r="BX57" s="14"/>
      <c r="BY57" s="14"/>
      <c r="BZ57" s="14"/>
      <c r="CA57" s="14"/>
      <c r="CB57" s="14"/>
      <c r="CC57" s="14"/>
      <c r="CD57" s="14"/>
      <c r="CE57" s="14"/>
      <c r="CF57" s="14"/>
    </row>
    <row r="58" spans="1:84" x14ac:dyDescent="0.35">
      <c r="A58" s="30" t="s">
        <v>264</v>
      </c>
      <c r="B58" s="14" t="s">
        <v>855</v>
      </c>
      <c r="C58" s="30" t="s">
        <v>856</v>
      </c>
      <c r="D58" s="30">
        <v>219464</v>
      </c>
      <c r="E58" s="33" t="s">
        <v>267</v>
      </c>
      <c r="F58" s="32" t="s">
        <v>647</v>
      </c>
      <c r="G58" s="39">
        <v>2452789</v>
      </c>
      <c r="H58" s="39">
        <v>1472810</v>
      </c>
      <c r="I58" s="8">
        <f t="shared" si="0"/>
        <v>-979979</v>
      </c>
      <c r="J58" s="10">
        <f t="shared" si="1"/>
        <v>-0.39953660914167505</v>
      </c>
      <c r="K58" s="12">
        <v>1546451</v>
      </c>
      <c r="L58" s="12">
        <f>+H58-K58</f>
        <v>-73641</v>
      </c>
      <c r="M58" s="12"/>
      <c r="N58" s="9">
        <f t="shared" si="2"/>
        <v>-5.0000339487102884E-2</v>
      </c>
      <c r="O58" s="14"/>
      <c r="P58" s="14" t="s">
        <v>38</v>
      </c>
      <c r="Q58" s="14"/>
      <c r="R58" s="14" t="s">
        <v>31</v>
      </c>
      <c r="S58" s="77" t="s">
        <v>32</v>
      </c>
      <c r="T58" s="39">
        <v>1472810</v>
      </c>
      <c r="U58" s="8">
        <f>+G58-T58</f>
        <v>979979</v>
      </c>
      <c r="V58" s="14"/>
      <c r="W58" s="9">
        <f>+U58/G58</f>
        <v>0.39953660914167505</v>
      </c>
      <c r="X58" s="14" t="s">
        <v>46</v>
      </c>
      <c r="Y58" s="14"/>
      <c r="Z58" s="14" t="s">
        <v>31</v>
      </c>
      <c r="AA58" s="77" t="s">
        <v>32</v>
      </c>
      <c r="AB58" s="39">
        <v>1472810</v>
      </c>
      <c r="AC58" s="39">
        <f>+H58-AB58</f>
        <v>0</v>
      </c>
      <c r="AD58" s="14"/>
      <c r="AE58" s="14">
        <v>0</v>
      </c>
      <c r="AF58" s="14"/>
      <c r="AG58" s="14"/>
      <c r="AH58" s="14" t="s">
        <v>31</v>
      </c>
      <c r="AI58" s="3"/>
      <c r="AJ58" s="20">
        <v>1900003534</v>
      </c>
      <c r="AK58" s="39">
        <v>1472810</v>
      </c>
      <c r="AL58" s="8">
        <f>+H58-AK58</f>
        <v>0</v>
      </c>
      <c r="AM58" s="14"/>
      <c r="AN58" s="14">
        <v>0</v>
      </c>
      <c r="AO58" s="14"/>
      <c r="AP58" s="14" t="s">
        <v>31</v>
      </c>
      <c r="AQ58" s="14"/>
      <c r="AR58" s="20">
        <v>1900003915</v>
      </c>
      <c r="AS58" s="39">
        <v>1472810</v>
      </c>
      <c r="AT58" s="8">
        <f>+H58-AS58</f>
        <v>0</v>
      </c>
      <c r="AU58" s="14"/>
      <c r="AV58" s="14">
        <v>0</v>
      </c>
      <c r="AW58" s="14"/>
      <c r="AX58" s="14" t="s">
        <v>31</v>
      </c>
      <c r="AY58" s="14"/>
      <c r="AZ58" s="86">
        <v>1900004454</v>
      </c>
      <c r="BA58" s="39">
        <v>1472810</v>
      </c>
      <c r="BB58" s="14">
        <v>0</v>
      </c>
      <c r="BC58" s="14"/>
      <c r="BD58" s="14">
        <v>0</v>
      </c>
      <c r="BE58" s="14"/>
      <c r="BF58" s="14" t="s">
        <v>31</v>
      </c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39">
        <v>1472810</v>
      </c>
      <c r="BR58" s="14">
        <v>0</v>
      </c>
      <c r="BS58" s="14"/>
      <c r="BT58" s="14">
        <v>0</v>
      </c>
      <c r="BU58" s="14"/>
      <c r="BV58" s="14" t="s">
        <v>31</v>
      </c>
      <c r="BW58" s="14"/>
      <c r="BX58" s="14"/>
      <c r="BY58" s="14"/>
      <c r="BZ58" s="14"/>
      <c r="CA58" s="14"/>
      <c r="CB58" s="14"/>
      <c r="CC58" s="14"/>
      <c r="CD58" s="14"/>
      <c r="CE58" s="14"/>
      <c r="CF58" s="14"/>
    </row>
    <row r="59" spans="1:84" ht="15.5" x14ac:dyDescent="0.35">
      <c r="A59" s="30" t="s">
        <v>268</v>
      </c>
      <c r="B59" s="14" t="s">
        <v>680</v>
      </c>
      <c r="C59" s="46">
        <v>9216</v>
      </c>
      <c r="D59" s="30">
        <v>204606</v>
      </c>
      <c r="E59" s="31" t="s">
        <v>681</v>
      </c>
      <c r="F59" s="19" t="s">
        <v>601</v>
      </c>
      <c r="G59" s="39">
        <v>2079357</v>
      </c>
      <c r="H59" s="39">
        <v>2079357</v>
      </c>
      <c r="I59" s="8">
        <f t="shared" si="0"/>
        <v>0</v>
      </c>
      <c r="J59" s="8">
        <f t="shared" si="1"/>
        <v>0</v>
      </c>
      <c r="K59" s="12">
        <v>1039679</v>
      </c>
      <c r="L59" s="12">
        <f>+H59-K59</f>
        <v>1039678</v>
      </c>
      <c r="M59" s="12"/>
      <c r="N59" s="9">
        <f>+L59/H59</f>
        <v>0.49999975954105041</v>
      </c>
      <c r="O59" s="14"/>
      <c r="P59" s="14" t="s">
        <v>38</v>
      </c>
      <c r="Q59" s="14" t="s">
        <v>122</v>
      </c>
      <c r="R59" s="14" t="s">
        <v>31</v>
      </c>
      <c r="S59" s="80" t="s">
        <v>83</v>
      </c>
      <c r="T59" s="43">
        <v>1039679</v>
      </c>
      <c r="U59" s="44">
        <f>+H59-T59</f>
        <v>1039678</v>
      </c>
      <c r="V59" s="14"/>
      <c r="W59" s="9">
        <f>+U59/H59</f>
        <v>0.49999975954105041</v>
      </c>
      <c r="X59" s="14" t="s">
        <v>46</v>
      </c>
      <c r="Y59" s="14" t="s">
        <v>122</v>
      </c>
      <c r="Z59" s="14" t="s">
        <v>31</v>
      </c>
      <c r="AA59" s="80" t="s">
        <v>83</v>
      </c>
      <c r="AB59" s="39">
        <v>1039679</v>
      </c>
      <c r="AC59" s="8">
        <f>+K59-AB59</f>
        <v>0</v>
      </c>
      <c r="AD59" s="14"/>
      <c r="AE59" s="9">
        <f>+AC59/H59</f>
        <v>0</v>
      </c>
      <c r="AF59" s="14" t="s">
        <v>38</v>
      </c>
      <c r="AG59" s="14"/>
      <c r="AH59" s="14" t="s">
        <v>31</v>
      </c>
      <c r="AI59" s="77" t="s">
        <v>32</v>
      </c>
      <c r="AJ59" s="51">
        <v>1900003315</v>
      </c>
      <c r="AK59" s="39">
        <v>1039679</v>
      </c>
      <c r="AL59" s="8">
        <f>+H59-AK59</f>
        <v>1039678</v>
      </c>
      <c r="AM59" s="14"/>
      <c r="AN59" s="9">
        <f>+AL59/H59</f>
        <v>0.49999975954105041</v>
      </c>
      <c r="AO59" s="14"/>
      <c r="AP59" s="14" t="s">
        <v>31</v>
      </c>
      <c r="AQ59" s="14"/>
      <c r="AR59" s="20">
        <v>1900003679</v>
      </c>
      <c r="AS59" s="39">
        <v>1039679</v>
      </c>
      <c r="AT59" s="8">
        <f>+H59-AS59</f>
        <v>1039678</v>
      </c>
      <c r="AU59" s="14"/>
      <c r="AV59" s="9">
        <f>+AT59/H59</f>
        <v>0.49999975954105041</v>
      </c>
      <c r="AW59" s="14"/>
      <c r="AX59" s="14" t="s">
        <v>31</v>
      </c>
      <c r="AY59" s="14"/>
      <c r="AZ59" s="85">
        <v>1900004204</v>
      </c>
      <c r="BA59" s="39">
        <v>2079357</v>
      </c>
      <c r="BB59" s="8">
        <f>+H59-BA59</f>
        <v>0</v>
      </c>
      <c r="BC59" s="14"/>
      <c r="BD59" s="14">
        <v>0</v>
      </c>
      <c r="BE59" s="14"/>
      <c r="BF59" s="14" t="s">
        <v>31</v>
      </c>
      <c r="BG59" s="14"/>
      <c r="BH59" s="14"/>
      <c r="BI59" s="39">
        <v>2079357</v>
      </c>
      <c r="BJ59" s="14">
        <v>0</v>
      </c>
      <c r="BK59" s="14"/>
      <c r="BL59" s="14">
        <v>0</v>
      </c>
      <c r="BM59" s="14"/>
      <c r="BN59" s="14" t="s">
        <v>31</v>
      </c>
      <c r="BO59" s="14"/>
      <c r="BP59" s="14"/>
      <c r="BQ59" s="39">
        <v>2079357</v>
      </c>
      <c r="BR59" s="14">
        <v>0</v>
      </c>
      <c r="BS59" s="14"/>
      <c r="BT59" s="14">
        <v>0</v>
      </c>
      <c r="BU59" s="14"/>
      <c r="BV59" s="14" t="s">
        <v>31</v>
      </c>
      <c r="BW59" s="14"/>
      <c r="BX59" s="14"/>
      <c r="BY59" s="39">
        <v>2079357</v>
      </c>
      <c r="BZ59" s="14">
        <v>0</v>
      </c>
      <c r="CA59" s="14"/>
      <c r="CB59" s="14">
        <v>0</v>
      </c>
      <c r="CC59" s="14"/>
      <c r="CD59" s="14" t="s">
        <v>31</v>
      </c>
      <c r="CE59" s="14"/>
      <c r="CF59" s="14"/>
    </row>
    <row r="60" spans="1:84" x14ac:dyDescent="0.35">
      <c r="A60" s="30" t="s">
        <v>271</v>
      </c>
      <c r="B60" s="14" t="s">
        <v>682</v>
      </c>
      <c r="C60" s="30">
        <v>9575</v>
      </c>
      <c r="D60" s="30">
        <v>204547</v>
      </c>
      <c r="E60" s="31" t="s">
        <v>273</v>
      </c>
      <c r="F60" s="25" t="s">
        <v>683</v>
      </c>
      <c r="G60" s="39">
        <v>1740899</v>
      </c>
      <c r="H60" s="39">
        <v>1740899</v>
      </c>
      <c r="I60" s="8">
        <f t="shared" si="0"/>
        <v>0</v>
      </c>
      <c r="J60" s="8">
        <f t="shared" si="1"/>
        <v>0</v>
      </c>
      <c r="K60" s="12">
        <f>1046864+875115</f>
        <v>1921979</v>
      </c>
      <c r="L60" s="12"/>
      <c r="M60" s="12"/>
      <c r="N60" s="8">
        <f t="shared" si="2"/>
        <v>0</v>
      </c>
      <c r="O60" s="14"/>
      <c r="P60" s="14"/>
      <c r="Q60" s="14"/>
      <c r="R60" s="14"/>
      <c r="S60" s="3"/>
      <c r="T60" s="14"/>
      <c r="U60" s="14"/>
      <c r="V60" s="14"/>
      <c r="W60" s="14"/>
      <c r="X60" s="14"/>
      <c r="Y60" s="14" t="s">
        <v>857</v>
      </c>
      <c r="Z60" s="14"/>
      <c r="AA60" s="3"/>
      <c r="AB60" s="14"/>
      <c r="AC60" s="14"/>
      <c r="AD60" s="14"/>
      <c r="AE60" s="14"/>
      <c r="AF60" s="14"/>
      <c r="AG60" s="14"/>
      <c r="AH60" s="14"/>
      <c r="AI60" s="3"/>
      <c r="AJ60" s="51"/>
      <c r="AK60" s="14"/>
      <c r="AL60" s="14"/>
      <c r="AM60" s="14"/>
      <c r="AN60" s="14"/>
      <c r="AO60" s="14"/>
      <c r="AP60" s="14"/>
      <c r="AQ60" s="14"/>
      <c r="AR60" s="20"/>
      <c r="AS60" s="14"/>
      <c r="AT60" s="14"/>
      <c r="AU60" s="14"/>
      <c r="AV60" s="14"/>
      <c r="AW60" s="14"/>
      <c r="AX60" s="14"/>
      <c r="AY60" s="14"/>
      <c r="AZ60" s="85"/>
      <c r="BA60" s="14"/>
      <c r="BB60" s="14"/>
      <c r="BC60" s="14"/>
      <c r="BD60" s="14"/>
      <c r="BE60" s="14"/>
      <c r="BF60" s="14"/>
      <c r="BG60" s="14"/>
      <c r="BH60" s="14"/>
      <c r="BI60" s="43">
        <v>1740899</v>
      </c>
      <c r="BJ60" s="14">
        <v>0</v>
      </c>
      <c r="BK60" s="14"/>
      <c r="BL60" s="14">
        <v>0</v>
      </c>
      <c r="BM60" s="14"/>
      <c r="BN60" s="14" t="s">
        <v>31</v>
      </c>
      <c r="BO60" s="14"/>
      <c r="BP60" s="14"/>
      <c r="BQ60" s="39">
        <v>1740899</v>
      </c>
      <c r="BR60" s="14">
        <v>0</v>
      </c>
      <c r="BS60" s="14"/>
      <c r="BT60" s="14">
        <v>0</v>
      </c>
      <c r="BU60" s="14"/>
      <c r="BV60" s="14" t="s">
        <v>31</v>
      </c>
      <c r="BW60" s="14"/>
      <c r="BX60" s="14"/>
      <c r="BY60" s="14"/>
      <c r="BZ60" s="14"/>
      <c r="CA60" s="14"/>
      <c r="CB60" s="14"/>
      <c r="CC60" s="14"/>
      <c r="CD60" s="14"/>
      <c r="CE60" s="14"/>
      <c r="CF60" s="14"/>
    </row>
    <row r="61" spans="1:84" x14ac:dyDescent="0.35">
      <c r="A61" s="2" t="s">
        <v>275</v>
      </c>
      <c r="B61" s="14" t="s">
        <v>684</v>
      </c>
      <c r="C61" s="2">
        <v>9636</v>
      </c>
      <c r="D61" s="15" t="s">
        <v>685</v>
      </c>
      <c r="E61" s="16" t="s">
        <v>686</v>
      </c>
      <c r="F61" s="17" t="s">
        <v>687</v>
      </c>
      <c r="G61" s="39">
        <v>5003353</v>
      </c>
      <c r="H61" s="39">
        <v>5003353</v>
      </c>
      <c r="I61" s="8">
        <f t="shared" si="0"/>
        <v>0</v>
      </c>
      <c r="J61" s="8">
        <f t="shared" si="1"/>
        <v>0</v>
      </c>
      <c r="K61" s="12">
        <v>2201475</v>
      </c>
      <c r="L61" s="12">
        <v>2801878</v>
      </c>
      <c r="M61" s="12"/>
      <c r="N61" s="9">
        <f t="shared" si="2"/>
        <v>0.56000006395711033</v>
      </c>
      <c r="O61" s="14"/>
      <c r="P61" s="14" t="s">
        <v>46</v>
      </c>
      <c r="Q61" s="14"/>
      <c r="R61" s="14" t="s">
        <v>31</v>
      </c>
      <c r="S61" s="3"/>
      <c r="T61" s="39">
        <v>2901945</v>
      </c>
      <c r="U61" s="8">
        <f>+H61-T61</f>
        <v>2101408</v>
      </c>
      <c r="V61" s="14"/>
      <c r="W61" s="9">
        <f>+U61/H61</f>
        <v>0.41999994803484786</v>
      </c>
      <c r="X61" s="14" t="s">
        <v>46</v>
      </c>
      <c r="Y61" s="14"/>
      <c r="Z61" s="14" t="s">
        <v>31</v>
      </c>
      <c r="AA61" s="3"/>
      <c r="AB61" s="39">
        <v>4002682</v>
      </c>
      <c r="AC61" s="8">
        <f>+H61-AB61</f>
        <v>1000671</v>
      </c>
      <c r="AD61" s="14"/>
      <c r="AE61" s="9">
        <f>+AC61/H61</f>
        <v>0.20000007994638797</v>
      </c>
      <c r="AF61" s="14"/>
      <c r="AG61" s="14"/>
      <c r="AH61" s="14" t="s">
        <v>31</v>
      </c>
      <c r="AI61" s="3"/>
      <c r="AJ61" s="52">
        <v>1900003473</v>
      </c>
      <c r="AK61" s="39">
        <v>4442977</v>
      </c>
      <c r="AL61" s="8">
        <f>+H61-AK61</f>
        <v>560376</v>
      </c>
      <c r="AM61" s="14"/>
      <c r="AN61" s="9">
        <f>+AL61/H61</f>
        <v>0.11200009273781003</v>
      </c>
      <c r="AO61" s="14"/>
      <c r="AP61" s="14" t="s">
        <v>31</v>
      </c>
      <c r="AQ61" s="14"/>
      <c r="AR61" s="20">
        <v>1900003947</v>
      </c>
      <c r="AS61" s="39">
        <v>3902615</v>
      </c>
      <c r="AT61" s="8">
        <f>+H61-AS61</f>
        <v>1100738</v>
      </c>
      <c r="AU61" s="14"/>
      <c r="AV61" s="9">
        <f>+AT61/H61</f>
        <v>0.22000006795442975</v>
      </c>
      <c r="AW61" s="14"/>
      <c r="AX61" s="14" t="s">
        <v>31</v>
      </c>
      <c r="AY61" s="14"/>
      <c r="AZ61" s="84">
        <v>1900004300</v>
      </c>
      <c r="BA61" s="39">
        <v>3902615</v>
      </c>
      <c r="BB61" s="8">
        <f>+H61-BA61</f>
        <v>1100738</v>
      </c>
      <c r="BC61" s="14"/>
      <c r="BD61" s="9">
        <f>+BB61/H61</f>
        <v>0.22000006795442975</v>
      </c>
      <c r="BE61" s="14"/>
      <c r="BF61" s="14" t="s">
        <v>31</v>
      </c>
      <c r="BG61" s="14"/>
      <c r="BH61" s="14"/>
      <c r="BI61" s="39">
        <f>5003353-1100738</f>
        <v>3902615</v>
      </c>
      <c r="BJ61" s="8">
        <f>+H61-BI61</f>
        <v>1100738</v>
      </c>
      <c r="BK61" s="14"/>
      <c r="BL61" s="9">
        <f>+BJ61/H61</f>
        <v>0.22000006795442975</v>
      </c>
      <c r="BM61" s="14"/>
      <c r="BN61" s="14" t="s">
        <v>31</v>
      </c>
      <c r="BO61" s="14"/>
      <c r="BP61" s="14"/>
      <c r="BQ61" s="39">
        <v>3902615</v>
      </c>
      <c r="BR61" s="8">
        <f>+H61-BQ61</f>
        <v>1100738</v>
      </c>
      <c r="BS61" s="14"/>
      <c r="BT61" s="9">
        <f>+BR61/H61</f>
        <v>0.22000006795442975</v>
      </c>
      <c r="BU61" s="14"/>
      <c r="BV61" s="14" t="s">
        <v>31</v>
      </c>
      <c r="BW61" s="14"/>
      <c r="BX61" s="14"/>
      <c r="BY61" s="39">
        <v>5003353</v>
      </c>
      <c r="BZ61" s="14">
        <v>0</v>
      </c>
      <c r="CA61" s="14"/>
      <c r="CB61" s="14">
        <v>0</v>
      </c>
      <c r="CC61" s="14"/>
      <c r="CD61" s="14" t="s">
        <v>31</v>
      </c>
      <c r="CE61" s="14"/>
      <c r="CF61" s="14"/>
    </row>
    <row r="62" spans="1:84" ht="15.5" x14ac:dyDescent="0.35">
      <c r="A62" s="2" t="s">
        <v>281</v>
      </c>
      <c r="B62" s="14" t="s">
        <v>688</v>
      </c>
      <c r="C62" s="2"/>
      <c r="D62" s="1">
        <v>214089</v>
      </c>
      <c r="E62" s="14" t="s">
        <v>284</v>
      </c>
      <c r="F62" s="17" t="s">
        <v>586</v>
      </c>
      <c r="G62" s="39">
        <v>2294188</v>
      </c>
      <c r="H62" s="39">
        <v>2294188</v>
      </c>
      <c r="I62" s="8">
        <f t="shared" si="0"/>
        <v>0</v>
      </c>
      <c r="J62" s="8">
        <f t="shared" si="1"/>
        <v>0</v>
      </c>
      <c r="K62" s="12">
        <v>2294188</v>
      </c>
      <c r="L62" s="12"/>
      <c r="M62" s="12"/>
      <c r="N62" s="9"/>
      <c r="O62" s="14"/>
      <c r="P62" s="14" t="s">
        <v>38</v>
      </c>
      <c r="Q62" s="14" t="s">
        <v>827</v>
      </c>
      <c r="R62" s="14" t="s">
        <v>31</v>
      </c>
      <c r="S62" s="80" t="s">
        <v>83</v>
      </c>
      <c r="T62" s="39">
        <v>2294188</v>
      </c>
      <c r="U62" s="8">
        <f>+H62-T62</f>
        <v>0</v>
      </c>
      <c r="V62" s="14"/>
      <c r="W62" s="14">
        <v>0</v>
      </c>
      <c r="X62" s="14" t="s">
        <v>38</v>
      </c>
      <c r="Y62" s="14"/>
      <c r="Z62" s="14" t="s">
        <v>31</v>
      </c>
      <c r="AA62" s="3"/>
      <c r="AB62" s="39">
        <v>2294188</v>
      </c>
      <c r="AC62" s="8">
        <f>+K62-AB62</f>
        <v>0</v>
      </c>
      <c r="AD62" s="14"/>
      <c r="AE62" s="9">
        <f>+AC62/H62</f>
        <v>0</v>
      </c>
      <c r="AF62" s="14" t="s">
        <v>38</v>
      </c>
      <c r="AG62" s="14"/>
      <c r="AH62" s="14" t="s">
        <v>31</v>
      </c>
      <c r="AI62" s="3"/>
      <c r="AJ62" s="51">
        <v>1900003316</v>
      </c>
      <c r="AK62" s="39">
        <v>2294188</v>
      </c>
      <c r="AL62" s="14">
        <v>0</v>
      </c>
      <c r="AM62" s="14"/>
      <c r="AN62" s="14">
        <v>0</v>
      </c>
      <c r="AO62" s="14"/>
      <c r="AP62" s="14" t="s">
        <v>31</v>
      </c>
      <c r="AQ62" s="14"/>
      <c r="AR62" s="20">
        <v>1900003753</v>
      </c>
      <c r="AS62" s="39">
        <v>2294188</v>
      </c>
      <c r="AT62" s="8">
        <f>+H62-AS62</f>
        <v>0</v>
      </c>
      <c r="AU62" s="14"/>
      <c r="AV62" s="9">
        <f>+AT62/H62</f>
        <v>0</v>
      </c>
      <c r="AW62" s="14"/>
      <c r="AX62" s="14" t="s">
        <v>31</v>
      </c>
      <c r="AY62" s="14"/>
      <c r="AZ62" s="85">
        <v>1900004159</v>
      </c>
      <c r="BA62" s="39">
        <v>2294188</v>
      </c>
      <c r="BB62" s="8">
        <f>+H62-BA62</f>
        <v>0</v>
      </c>
      <c r="BC62" s="14"/>
      <c r="BD62" s="14">
        <v>0</v>
      </c>
      <c r="BE62" s="14"/>
      <c r="BF62" s="14" t="s">
        <v>31</v>
      </c>
      <c r="BG62" s="14"/>
      <c r="BH62" s="14"/>
      <c r="BI62" s="39">
        <v>2294188</v>
      </c>
      <c r="BJ62" s="14">
        <v>0</v>
      </c>
      <c r="BK62" s="14"/>
      <c r="BL62" s="14">
        <v>0</v>
      </c>
      <c r="BM62" s="14"/>
      <c r="BN62" s="14" t="s">
        <v>31</v>
      </c>
      <c r="BO62" s="14"/>
      <c r="BP62" s="14"/>
      <c r="BQ62" s="39">
        <v>2294188</v>
      </c>
      <c r="BR62" s="14">
        <v>0</v>
      </c>
      <c r="BS62" s="14"/>
      <c r="BT62" s="14">
        <v>0</v>
      </c>
      <c r="BU62" s="14"/>
      <c r="BV62" s="14" t="s">
        <v>31</v>
      </c>
      <c r="BW62" s="14"/>
      <c r="BX62" s="14"/>
      <c r="BY62" s="14"/>
      <c r="BZ62" s="14"/>
      <c r="CA62" s="14"/>
      <c r="CB62" s="14"/>
      <c r="CC62" s="14"/>
      <c r="CD62" s="14"/>
      <c r="CE62" s="14"/>
      <c r="CF62" s="14"/>
    </row>
    <row r="63" spans="1:84" x14ac:dyDescent="0.35">
      <c r="A63" s="1" t="s">
        <v>292</v>
      </c>
      <c r="B63" s="26" t="s">
        <v>858</v>
      </c>
      <c r="C63" s="24">
        <v>6586</v>
      </c>
      <c r="D63" s="22">
        <v>204692</v>
      </c>
      <c r="E63" s="18" t="s">
        <v>859</v>
      </c>
      <c r="F63" s="34" t="s">
        <v>860</v>
      </c>
      <c r="G63" s="39">
        <v>329580</v>
      </c>
      <c r="H63" s="39">
        <v>329580</v>
      </c>
      <c r="I63" s="8">
        <f t="shared" si="0"/>
        <v>0</v>
      </c>
      <c r="J63" s="8">
        <f t="shared" si="1"/>
        <v>0</v>
      </c>
      <c r="K63" s="12"/>
      <c r="L63" s="12"/>
      <c r="M63" s="12"/>
      <c r="N63" s="8">
        <f t="shared" si="2"/>
        <v>0</v>
      </c>
      <c r="O63" s="14"/>
      <c r="P63" s="14"/>
      <c r="Q63" s="14"/>
      <c r="R63" s="14"/>
      <c r="S63" s="3"/>
      <c r="T63" s="14"/>
      <c r="U63" s="14"/>
      <c r="V63" s="14"/>
      <c r="W63" s="14"/>
      <c r="X63" s="14"/>
      <c r="Y63" s="14"/>
      <c r="Z63" s="14"/>
      <c r="AA63" s="3"/>
      <c r="AB63" s="14"/>
      <c r="AC63" s="14"/>
      <c r="AD63" s="14"/>
      <c r="AE63" s="14"/>
      <c r="AF63" s="14"/>
      <c r="AG63" s="14"/>
      <c r="AH63" s="14"/>
      <c r="AI63" s="3"/>
      <c r="AJ63" s="51"/>
      <c r="AK63" s="39">
        <v>329580</v>
      </c>
      <c r="AL63" s="8">
        <f t="shared" ref="AL63:AL71" si="25">+H63-AK63</f>
        <v>0</v>
      </c>
      <c r="AM63" s="14"/>
      <c r="AN63" s="8">
        <f>+AL63/H63</f>
        <v>0</v>
      </c>
      <c r="AO63" s="14"/>
      <c r="AP63" s="14" t="s">
        <v>31</v>
      </c>
      <c r="AQ63" s="14"/>
      <c r="AR63" s="20">
        <v>1900003862</v>
      </c>
      <c r="AS63" s="39">
        <v>329580</v>
      </c>
      <c r="AT63" s="14">
        <v>0</v>
      </c>
      <c r="AU63" s="14"/>
      <c r="AV63" s="14">
        <v>0</v>
      </c>
      <c r="AW63" s="14"/>
      <c r="AX63" s="14"/>
      <c r="AY63" s="14"/>
      <c r="AZ63" s="85">
        <v>1900004139</v>
      </c>
      <c r="BA63" s="39">
        <v>329580</v>
      </c>
      <c r="BB63" s="14">
        <v>0</v>
      </c>
      <c r="BC63" s="14"/>
      <c r="BD63" s="14">
        <v>0</v>
      </c>
      <c r="BE63" s="14"/>
      <c r="BF63" s="14" t="s">
        <v>31</v>
      </c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</row>
    <row r="64" spans="1:84" x14ac:dyDescent="0.35">
      <c r="A64" s="1" t="s">
        <v>295</v>
      </c>
      <c r="B64" s="26" t="s">
        <v>689</v>
      </c>
      <c r="C64" s="24">
        <v>6598</v>
      </c>
      <c r="D64" s="22">
        <v>204741</v>
      </c>
      <c r="E64" s="18" t="s">
        <v>690</v>
      </c>
      <c r="F64" s="19" t="s">
        <v>691</v>
      </c>
      <c r="G64" s="39">
        <v>1079591</v>
      </c>
      <c r="H64" s="39">
        <v>1079591</v>
      </c>
      <c r="I64" s="8">
        <f t="shared" si="0"/>
        <v>0</v>
      </c>
      <c r="J64" s="8">
        <f t="shared" si="1"/>
        <v>0</v>
      </c>
      <c r="K64" s="12"/>
      <c r="L64" s="12"/>
      <c r="M64" s="12"/>
      <c r="N64" s="8">
        <f t="shared" si="2"/>
        <v>0</v>
      </c>
      <c r="O64" s="14"/>
      <c r="P64" s="14"/>
      <c r="Q64" s="14"/>
      <c r="R64" s="14"/>
      <c r="S64" s="3"/>
      <c r="T64" s="39">
        <f>1061246+1335055</f>
        <v>2396301</v>
      </c>
      <c r="U64" s="14"/>
      <c r="V64" s="14"/>
      <c r="W64" s="14"/>
      <c r="X64" s="14" t="s">
        <v>38</v>
      </c>
      <c r="Y64" s="14" t="s">
        <v>861</v>
      </c>
      <c r="Z64" s="14" t="s">
        <v>31</v>
      </c>
      <c r="AA64" s="3"/>
      <c r="AB64" s="14"/>
      <c r="AC64" s="14"/>
      <c r="AD64" s="14"/>
      <c r="AE64" s="14"/>
      <c r="AF64" s="14"/>
      <c r="AG64" s="14"/>
      <c r="AH64" s="14"/>
      <c r="AI64" s="3"/>
      <c r="AJ64" s="51"/>
      <c r="AK64" s="39">
        <v>1061246</v>
      </c>
      <c r="AL64" s="8">
        <f t="shared" si="25"/>
        <v>18345</v>
      </c>
      <c r="AM64" s="14"/>
      <c r="AN64" s="9">
        <f>+AL64/H64</f>
        <v>1.699254625131184E-2</v>
      </c>
      <c r="AO64" s="14"/>
      <c r="AP64" s="14" t="s">
        <v>31</v>
      </c>
      <c r="AQ64" s="14"/>
      <c r="AR64" s="20">
        <v>1900003876</v>
      </c>
      <c r="AS64" s="14"/>
      <c r="AT64" s="14"/>
      <c r="AU64" s="14"/>
      <c r="AV64" s="14"/>
      <c r="AW64" s="14"/>
      <c r="AX64" s="14"/>
      <c r="AY64" s="14"/>
      <c r="AZ64" s="85" t="s">
        <v>835</v>
      </c>
      <c r="BA64" s="39">
        <v>1061246</v>
      </c>
      <c r="BB64" s="8">
        <f>+H64-BA64</f>
        <v>18345</v>
      </c>
      <c r="BC64" s="14"/>
      <c r="BD64" s="9">
        <f>+BB64/H64</f>
        <v>1.699254625131184E-2</v>
      </c>
      <c r="BE64" s="14"/>
      <c r="BF64" s="14" t="s">
        <v>31</v>
      </c>
      <c r="BG64" s="14"/>
      <c r="BH64" s="14"/>
      <c r="BI64" s="39">
        <v>1061246</v>
      </c>
      <c r="BJ64" s="8">
        <f>+H64-BI64</f>
        <v>18345</v>
      </c>
      <c r="BK64" s="14"/>
      <c r="BL64" s="9">
        <f>+BJ64/H64</f>
        <v>1.699254625131184E-2</v>
      </c>
      <c r="BM64" s="14"/>
      <c r="BN64" s="14" t="s">
        <v>31</v>
      </c>
      <c r="BO64" s="14"/>
      <c r="BP64" s="14"/>
      <c r="BQ64" s="39">
        <v>1061246</v>
      </c>
      <c r="BR64" s="14">
        <v>0</v>
      </c>
      <c r="BS64" s="14"/>
      <c r="BT64" s="14">
        <v>0</v>
      </c>
      <c r="BU64" s="14"/>
      <c r="BV64" s="14" t="s">
        <v>31</v>
      </c>
      <c r="BW64" s="14"/>
      <c r="BX64" s="14"/>
      <c r="BY64" s="39">
        <v>1061246</v>
      </c>
      <c r="BZ64" s="14">
        <v>0</v>
      </c>
      <c r="CA64" s="14"/>
      <c r="CB64" s="14">
        <v>0</v>
      </c>
      <c r="CC64" s="14"/>
      <c r="CD64" s="14" t="s">
        <v>31</v>
      </c>
      <c r="CE64" s="14"/>
      <c r="CF64" s="14"/>
    </row>
    <row r="65" spans="1:84" x14ac:dyDescent="0.35">
      <c r="A65" s="1" t="s">
        <v>299</v>
      </c>
      <c r="B65" s="26" t="s">
        <v>862</v>
      </c>
      <c r="C65" s="24">
        <v>6599</v>
      </c>
      <c r="D65" s="22">
        <v>204741</v>
      </c>
      <c r="E65" s="18" t="s">
        <v>690</v>
      </c>
      <c r="F65" s="19" t="s">
        <v>691</v>
      </c>
      <c r="G65" s="8">
        <v>1214811</v>
      </c>
      <c r="H65" s="39">
        <v>1214811</v>
      </c>
      <c r="I65" s="8">
        <f t="shared" si="0"/>
        <v>0</v>
      </c>
      <c r="J65" s="8">
        <f t="shared" si="1"/>
        <v>0</v>
      </c>
      <c r="K65" s="12">
        <v>1502272</v>
      </c>
      <c r="L65" s="12">
        <f>+H65-K65</f>
        <v>-287461</v>
      </c>
      <c r="M65" s="12"/>
      <c r="N65" s="9">
        <f t="shared" si="2"/>
        <v>-0.23663022478393758</v>
      </c>
      <c r="O65" s="14"/>
      <c r="P65" s="14" t="s">
        <v>38</v>
      </c>
      <c r="Q65" s="14"/>
      <c r="R65" s="14" t="s">
        <v>31</v>
      </c>
      <c r="S65" s="77" t="s">
        <v>55</v>
      </c>
      <c r="T65" s="39">
        <v>1194198</v>
      </c>
      <c r="U65" s="8">
        <f t="shared" ref="U65:U71" si="26">+H65-T65</f>
        <v>20613</v>
      </c>
      <c r="V65" s="14"/>
      <c r="W65" s="9">
        <f>+U65/H65</f>
        <v>1.696807157656623E-2</v>
      </c>
      <c r="X65" s="14" t="s">
        <v>38</v>
      </c>
      <c r="Y65" s="14" t="s">
        <v>863</v>
      </c>
      <c r="Z65" s="14" t="s">
        <v>31</v>
      </c>
      <c r="AA65" s="77" t="s">
        <v>47</v>
      </c>
      <c r="AB65" s="39">
        <v>1194168</v>
      </c>
      <c r="AC65" s="8">
        <f t="shared" ref="AC65:AC71" si="27">+H65-AB65</f>
        <v>20643</v>
      </c>
      <c r="AD65" s="14"/>
      <c r="AE65" s="9">
        <f>+AC65/H65</f>
        <v>1.6992766776066402E-2</v>
      </c>
      <c r="AF65" s="14" t="s">
        <v>38</v>
      </c>
      <c r="AG65" s="14"/>
      <c r="AH65" s="14" t="s">
        <v>31</v>
      </c>
      <c r="AI65" s="77" t="s">
        <v>47</v>
      </c>
      <c r="AJ65" s="51">
        <v>1900003283</v>
      </c>
      <c r="AK65" s="39">
        <v>1194168</v>
      </c>
      <c r="AL65" s="8">
        <f t="shared" si="25"/>
        <v>20643</v>
      </c>
      <c r="AM65" s="14"/>
      <c r="AN65" s="9">
        <f>+AL65/H65</f>
        <v>1.6992766776066402E-2</v>
      </c>
      <c r="AO65" s="14"/>
      <c r="AP65" s="14" t="s">
        <v>31</v>
      </c>
      <c r="AQ65" s="14"/>
      <c r="AR65" s="20">
        <v>1900003789</v>
      </c>
      <c r="AS65" s="39">
        <v>1194168</v>
      </c>
      <c r="AT65" s="8">
        <f t="shared" ref="AT65:AT71" si="28">+H65-AS65</f>
        <v>20643</v>
      </c>
      <c r="AU65" s="14"/>
      <c r="AV65" s="9">
        <f t="shared" ref="AV65:AV71" si="29">+AT65/H65</f>
        <v>1.6992766776066402E-2</v>
      </c>
      <c r="AW65" s="14"/>
      <c r="AX65" s="14" t="s">
        <v>31</v>
      </c>
      <c r="AY65" s="14"/>
      <c r="AZ65" s="84">
        <v>1900004276</v>
      </c>
      <c r="BA65" s="39">
        <v>1194169</v>
      </c>
      <c r="BB65" s="8">
        <f>+H65-BA65</f>
        <v>20642</v>
      </c>
      <c r="BC65" s="14"/>
      <c r="BD65" s="9">
        <f>+BB65/H65</f>
        <v>1.6991943602749728E-2</v>
      </c>
      <c r="BE65" s="14"/>
      <c r="BF65" s="14" t="s">
        <v>31</v>
      </c>
      <c r="BG65" s="14"/>
      <c r="BH65" s="14"/>
      <c r="BI65" s="39">
        <v>1194169</v>
      </c>
      <c r="BJ65" s="8">
        <f>+H65-BI65</f>
        <v>20642</v>
      </c>
      <c r="BK65" s="14"/>
      <c r="BL65" s="9">
        <f>+BJ65/H65</f>
        <v>1.6991943602749728E-2</v>
      </c>
      <c r="BM65" s="14"/>
      <c r="BN65" s="14" t="s">
        <v>31</v>
      </c>
      <c r="BO65" s="14"/>
      <c r="BP65" s="14"/>
      <c r="BQ65" s="14" t="s">
        <v>864</v>
      </c>
      <c r="BR65" s="14"/>
      <c r="BS65" s="14"/>
      <c r="BT65" s="14"/>
      <c r="BU65" s="14"/>
      <c r="BV65" s="14" t="s">
        <v>31</v>
      </c>
      <c r="BW65" s="14"/>
      <c r="BX65" s="14"/>
      <c r="BY65" s="14"/>
      <c r="BZ65" s="14"/>
      <c r="CA65" s="14"/>
      <c r="CB65" s="14"/>
      <c r="CC65" s="14"/>
      <c r="CD65" s="14"/>
      <c r="CE65" s="14"/>
      <c r="CF65" s="14"/>
    </row>
    <row r="66" spans="1:84" ht="15.5" x14ac:dyDescent="0.35">
      <c r="A66" s="1" t="s">
        <v>302</v>
      </c>
      <c r="B66" s="26" t="s">
        <v>692</v>
      </c>
      <c r="C66" s="24">
        <v>6600</v>
      </c>
      <c r="D66" s="22">
        <v>204546</v>
      </c>
      <c r="E66" s="18" t="s">
        <v>693</v>
      </c>
      <c r="F66" s="19" t="s">
        <v>694</v>
      </c>
      <c r="G66" s="39">
        <v>1893803</v>
      </c>
      <c r="H66" s="39">
        <v>1915824</v>
      </c>
      <c r="I66" s="8">
        <f t="shared" si="0"/>
        <v>22021</v>
      </c>
      <c r="J66" s="10">
        <f t="shared" si="1"/>
        <v>1.1627925396675367E-2</v>
      </c>
      <c r="K66" s="12">
        <f>963028+931116</f>
        <v>1894144</v>
      </c>
      <c r="L66" s="12">
        <f>+H66-K66</f>
        <v>21680</v>
      </c>
      <c r="M66" s="12"/>
      <c r="N66" s="9">
        <f t="shared" si="2"/>
        <v>1.131627957474173E-2</v>
      </c>
      <c r="O66" s="14"/>
      <c r="P66" s="14" t="s">
        <v>38</v>
      </c>
      <c r="Q66" s="14"/>
      <c r="R66" s="14" t="s">
        <v>31</v>
      </c>
      <c r="S66" s="80" t="s">
        <v>83</v>
      </c>
      <c r="T66" s="43">
        <f>928680+963028</f>
        <v>1891708</v>
      </c>
      <c r="U66" s="44">
        <f t="shared" si="26"/>
        <v>24116</v>
      </c>
      <c r="V66" s="14"/>
      <c r="W66" s="9">
        <f>+U66/H66</f>
        <v>1.2587795121054962E-2</v>
      </c>
      <c r="X66" s="14" t="s">
        <v>38</v>
      </c>
      <c r="Y66" s="14"/>
      <c r="Z66" s="14" t="s">
        <v>31</v>
      </c>
      <c r="AA66" s="80" t="s">
        <v>47</v>
      </c>
      <c r="AB66" s="43">
        <f>928680+963028</f>
        <v>1891708</v>
      </c>
      <c r="AC66" s="8">
        <f t="shared" si="27"/>
        <v>24116</v>
      </c>
      <c r="AD66" s="14"/>
      <c r="AE66" s="9">
        <f>+AC66/G66</f>
        <v>1.2734165063631222E-2</v>
      </c>
      <c r="AF66" s="14"/>
      <c r="AG66" s="14"/>
      <c r="AH66" s="14" t="s">
        <v>31</v>
      </c>
      <c r="AI66" s="3"/>
      <c r="AJ66" s="51" t="s">
        <v>865</v>
      </c>
      <c r="AK66" s="39">
        <f>356705+927773</f>
        <v>1284478</v>
      </c>
      <c r="AL66" s="8">
        <f t="shared" si="25"/>
        <v>631346</v>
      </c>
      <c r="AM66" s="39">
        <f>211532+203955</f>
        <v>415487</v>
      </c>
      <c r="AN66" s="9">
        <f>+(AL66+AM66)/H66</f>
        <v>0.54641397122073843</v>
      </c>
      <c r="AO66" s="14"/>
      <c r="AP66" s="14" t="s">
        <v>31</v>
      </c>
      <c r="AQ66" s="14"/>
      <c r="AR66" s="20" t="s">
        <v>866</v>
      </c>
      <c r="AS66" s="39">
        <f>367970+356705</f>
        <v>724675</v>
      </c>
      <c r="AT66" s="8">
        <f t="shared" si="28"/>
        <v>1191149</v>
      </c>
      <c r="AU66" s="14"/>
      <c r="AV66" s="9">
        <f t="shared" si="29"/>
        <v>0.62174239387334118</v>
      </c>
      <c r="AW66" s="14"/>
      <c r="AX66" s="14" t="s">
        <v>31</v>
      </c>
      <c r="AY66" s="14"/>
      <c r="AZ66" s="84" t="s">
        <v>867</v>
      </c>
      <c r="BA66" s="39">
        <f>+AS66</f>
        <v>724675</v>
      </c>
      <c r="BB66" s="14">
        <v>0</v>
      </c>
      <c r="BC66" s="14"/>
      <c r="BD66" s="14">
        <v>0</v>
      </c>
      <c r="BE66" s="14"/>
      <c r="BF66" s="14" t="s">
        <v>31</v>
      </c>
      <c r="BG66" s="14"/>
      <c r="BH66" s="14"/>
      <c r="BI66" s="39">
        <f>356705+367970</f>
        <v>724675</v>
      </c>
      <c r="BJ66" s="14">
        <v>0</v>
      </c>
      <c r="BK66" s="14"/>
      <c r="BL66" s="14">
        <v>0</v>
      </c>
      <c r="BM66" s="14"/>
      <c r="BN66" s="14" t="s">
        <v>31</v>
      </c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39">
        <v>899851</v>
      </c>
      <c r="BZ66" s="14">
        <v>0</v>
      </c>
      <c r="CA66" s="14"/>
      <c r="CB66" s="14">
        <v>0</v>
      </c>
      <c r="CC66" s="14"/>
      <c r="CD66" s="14" t="s">
        <v>31</v>
      </c>
      <c r="CE66" s="14"/>
      <c r="CF66" s="14"/>
    </row>
    <row r="67" spans="1:84" x14ac:dyDescent="0.35">
      <c r="A67" s="1" t="s">
        <v>311</v>
      </c>
      <c r="B67" s="26" t="s">
        <v>695</v>
      </c>
      <c r="C67" s="24">
        <v>6602</v>
      </c>
      <c r="D67" s="22">
        <v>204592</v>
      </c>
      <c r="E67" s="18" t="s">
        <v>696</v>
      </c>
      <c r="F67" s="19" t="s">
        <v>697</v>
      </c>
      <c r="G67" s="39">
        <v>3924155</v>
      </c>
      <c r="H67" s="39">
        <v>3173456</v>
      </c>
      <c r="I67" s="8">
        <f t="shared" si="0"/>
        <v>-750699</v>
      </c>
      <c r="J67" s="10">
        <f t="shared" si="1"/>
        <v>-0.19130207649799766</v>
      </c>
      <c r="K67" s="12">
        <v>3142362</v>
      </c>
      <c r="L67" s="12">
        <f>+H67-K67</f>
        <v>31094</v>
      </c>
      <c r="M67" s="12"/>
      <c r="N67" s="9">
        <f t="shared" si="2"/>
        <v>9.7981506597223968E-3</v>
      </c>
      <c r="O67" s="14"/>
      <c r="P67" s="14"/>
      <c r="Q67" s="14" t="s">
        <v>868</v>
      </c>
      <c r="R67" s="14"/>
      <c r="S67" s="3"/>
      <c r="T67" s="39">
        <v>3027324</v>
      </c>
      <c r="U67" s="8">
        <f t="shared" si="26"/>
        <v>146132</v>
      </c>
      <c r="V67" s="14"/>
      <c r="W67" s="9">
        <f>+U67/H67</f>
        <v>4.6048219984773694E-2</v>
      </c>
      <c r="X67" s="14"/>
      <c r="Y67" s="14"/>
      <c r="Z67" s="14"/>
      <c r="AA67" s="3"/>
      <c r="AB67" s="39">
        <v>3027324</v>
      </c>
      <c r="AC67" s="8">
        <f t="shared" si="27"/>
        <v>146132</v>
      </c>
      <c r="AD67" s="14"/>
      <c r="AE67" s="9">
        <f>+AC67/H67</f>
        <v>4.6048219984773694E-2</v>
      </c>
      <c r="AF67" s="14" t="s">
        <v>38</v>
      </c>
      <c r="AG67" s="14"/>
      <c r="AH67" s="14" t="s">
        <v>31</v>
      </c>
      <c r="AI67" s="77" t="s">
        <v>32</v>
      </c>
      <c r="AJ67" s="51">
        <v>1900003308</v>
      </c>
      <c r="AK67" s="39">
        <v>3027324</v>
      </c>
      <c r="AL67" s="8">
        <f t="shared" si="25"/>
        <v>146132</v>
      </c>
      <c r="AM67" s="14"/>
      <c r="AN67" s="9">
        <f>+AL67/H67</f>
        <v>4.6048219984773694E-2</v>
      </c>
      <c r="AO67" s="14"/>
      <c r="AP67" s="14"/>
      <c r="AQ67" s="14"/>
      <c r="AR67" s="20"/>
      <c r="AS67" s="39">
        <v>3027324</v>
      </c>
      <c r="AT67" s="8">
        <f t="shared" si="28"/>
        <v>146132</v>
      </c>
      <c r="AU67" s="14"/>
      <c r="AV67" s="9">
        <f t="shared" si="29"/>
        <v>4.6048219984773694E-2</v>
      </c>
      <c r="AW67" s="14"/>
      <c r="AX67" s="14" t="s">
        <v>31</v>
      </c>
      <c r="AY67" s="14"/>
      <c r="AZ67" s="85"/>
      <c r="BA67" s="39">
        <v>3027324</v>
      </c>
      <c r="BB67" s="8">
        <f>+H67-BA67</f>
        <v>146132</v>
      </c>
      <c r="BC67" s="14"/>
      <c r="BD67" s="9">
        <f>+BB67/H67</f>
        <v>4.6048219984773694E-2</v>
      </c>
      <c r="BE67" s="14"/>
      <c r="BF67" s="14" t="s">
        <v>31</v>
      </c>
      <c r="BG67" s="14"/>
      <c r="BH67" s="14"/>
      <c r="BI67" s="39">
        <v>3027324</v>
      </c>
      <c r="BJ67" s="8">
        <f>+H67-BI67</f>
        <v>146132</v>
      </c>
      <c r="BK67" s="14"/>
      <c r="BL67" s="8">
        <f>+BJ67/H67</f>
        <v>4.6048219984773694E-2</v>
      </c>
      <c r="BM67" s="14"/>
      <c r="BN67" s="14" t="s">
        <v>31</v>
      </c>
      <c r="BO67" s="14"/>
      <c r="BP67" s="14"/>
      <c r="BQ67" s="39">
        <v>3027324</v>
      </c>
      <c r="BR67" s="14">
        <v>0</v>
      </c>
      <c r="BS67" s="14"/>
      <c r="BT67" s="14">
        <v>0</v>
      </c>
      <c r="BU67" s="14"/>
      <c r="BV67" s="14" t="s">
        <v>31</v>
      </c>
      <c r="BW67" s="14"/>
      <c r="BX67" s="14"/>
      <c r="BY67" s="39">
        <v>3027324</v>
      </c>
      <c r="BZ67" s="14">
        <v>0</v>
      </c>
      <c r="CA67" s="39">
        <v>1271843</v>
      </c>
      <c r="CB67" s="39">
        <f>+CA67/BY67</f>
        <v>0.42012120275200143</v>
      </c>
      <c r="CC67" s="14"/>
      <c r="CD67" s="14" t="s">
        <v>31</v>
      </c>
      <c r="CE67" s="14"/>
      <c r="CF67" s="14"/>
    </row>
    <row r="68" spans="1:84" x14ac:dyDescent="0.35">
      <c r="A68" s="1" t="s">
        <v>698</v>
      </c>
      <c r="B68" s="26" t="s">
        <v>699</v>
      </c>
      <c r="C68" s="24">
        <v>6603</v>
      </c>
      <c r="D68" s="22">
        <v>204573</v>
      </c>
      <c r="E68" s="18" t="s">
        <v>552</v>
      </c>
      <c r="F68" s="19" t="s">
        <v>553</v>
      </c>
      <c r="G68" s="39">
        <v>882959</v>
      </c>
      <c r="H68" s="39">
        <v>882959</v>
      </c>
      <c r="I68" s="8">
        <f t="shared" si="0"/>
        <v>0</v>
      </c>
      <c r="J68" s="8">
        <f t="shared" si="1"/>
        <v>0</v>
      </c>
      <c r="K68" s="12">
        <v>429114</v>
      </c>
      <c r="L68" s="12">
        <f>+H68-K68</f>
        <v>453845</v>
      </c>
      <c r="M68" s="12"/>
      <c r="N68" s="9">
        <f t="shared" si="2"/>
        <v>0.51400461403077602</v>
      </c>
      <c r="O68" s="14"/>
      <c r="P68" s="14" t="s">
        <v>46</v>
      </c>
      <c r="Q68" s="14" t="s">
        <v>869</v>
      </c>
      <c r="R68" s="14" t="s">
        <v>31</v>
      </c>
      <c r="S68" s="77" t="s">
        <v>32</v>
      </c>
      <c r="T68" s="39">
        <v>858228</v>
      </c>
      <c r="U68" s="8">
        <f t="shared" si="26"/>
        <v>24731</v>
      </c>
      <c r="V68" s="14"/>
      <c r="W68" s="9">
        <f>+U68/H68</f>
        <v>2.8009228061552122E-2</v>
      </c>
      <c r="X68" s="14"/>
      <c r="Y68" s="14"/>
      <c r="Z68" s="14"/>
      <c r="AA68" s="3"/>
      <c r="AB68" s="39">
        <v>858228</v>
      </c>
      <c r="AC68" s="8">
        <f t="shared" si="27"/>
        <v>24731</v>
      </c>
      <c r="AD68" s="14"/>
      <c r="AE68" s="9">
        <f>+AC68/H68</f>
        <v>2.8009228061552122E-2</v>
      </c>
      <c r="AF68" s="14"/>
      <c r="AG68" s="14"/>
      <c r="AH68" s="14"/>
      <c r="AI68" s="3"/>
      <c r="AJ68" s="51"/>
      <c r="AK68" s="39">
        <v>858228</v>
      </c>
      <c r="AL68" s="8">
        <f t="shared" si="25"/>
        <v>24731</v>
      </c>
      <c r="AM68" s="14"/>
      <c r="AN68" s="9">
        <f>+AL68/H68</f>
        <v>2.8009228061552122E-2</v>
      </c>
      <c r="AO68" s="14"/>
      <c r="AP68" s="14" t="s">
        <v>31</v>
      </c>
      <c r="AQ68" s="14"/>
      <c r="AR68" s="20">
        <v>1900003954</v>
      </c>
      <c r="AS68" s="39">
        <v>858228</v>
      </c>
      <c r="AT68" s="8">
        <f t="shared" si="28"/>
        <v>24731</v>
      </c>
      <c r="AU68" s="14"/>
      <c r="AV68" s="9">
        <f t="shared" si="29"/>
        <v>2.8009228061552122E-2</v>
      </c>
      <c r="AW68" s="14"/>
      <c r="AX68" s="14" t="s">
        <v>31</v>
      </c>
      <c r="AY68" s="14"/>
      <c r="AZ68" s="85"/>
      <c r="BA68" s="39">
        <v>858228</v>
      </c>
      <c r="BB68" s="14">
        <f>+H68-BA68</f>
        <v>24731</v>
      </c>
      <c r="BC68" s="14"/>
      <c r="BD68" s="9">
        <f>+BB68/H68</f>
        <v>2.8009228061552122E-2</v>
      </c>
      <c r="BE68" s="14"/>
      <c r="BF68" s="14" t="s">
        <v>31</v>
      </c>
      <c r="BG68" s="14"/>
      <c r="BH68" s="14"/>
      <c r="BI68" s="39">
        <v>858228</v>
      </c>
      <c r="BJ68" s="39">
        <f>+H68-BI68</f>
        <v>24731</v>
      </c>
      <c r="BK68" s="14"/>
      <c r="BL68" s="9">
        <f t="shared" ref="BL68:BL69" si="30">+BJ68/H68</f>
        <v>2.8009228061552122E-2</v>
      </c>
      <c r="BM68" s="14"/>
      <c r="BN68" s="14" t="s">
        <v>31</v>
      </c>
      <c r="BO68" s="14"/>
      <c r="BP68" s="14"/>
      <c r="BQ68" s="39">
        <v>858228</v>
      </c>
      <c r="BR68" s="8">
        <f>+H68-BQ68</f>
        <v>24731</v>
      </c>
      <c r="BS68" s="14"/>
      <c r="BT68" s="9">
        <f>+BR68/H68</f>
        <v>2.8009228061552122E-2</v>
      </c>
      <c r="BU68" s="14"/>
      <c r="BV68" s="14" t="s">
        <v>31</v>
      </c>
      <c r="BW68" s="14"/>
      <c r="BX68" s="14"/>
      <c r="BY68" s="39">
        <v>858228</v>
      </c>
      <c r="BZ68" s="14">
        <v>0</v>
      </c>
      <c r="CA68" s="14"/>
      <c r="CB68" s="14">
        <v>0</v>
      </c>
      <c r="CC68" s="14"/>
      <c r="CD68" s="14" t="s">
        <v>31</v>
      </c>
      <c r="CE68" s="14"/>
      <c r="CF68" s="14"/>
    </row>
    <row r="69" spans="1:84" x14ac:dyDescent="0.35">
      <c r="A69" s="1" t="s">
        <v>698</v>
      </c>
      <c r="B69" s="26" t="s">
        <v>700</v>
      </c>
      <c r="C69" s="24">
        <v>6603</v>
      </c>
      <c r="D69" s="22">
        <v>204573</v>
      </c>
      <c r="E69" s="18" t="s">
        <v>552</v>
      </c>
      <c r="F69" s="19" t="s">
        <v>553</v>
      </c>
      <c r="G69" s="39">
        <v>1886744</v>
      </c>
      <c r="H69" s="39">
        <v>1886744</v>
      </c>
      <c r="I69" s="8">
        <f t="shared" si="0"/>
        <v>0</v>
      </c>
      <c r="J69" s="8">
        <f t="shared" si="1"/>
        <v>0</v>
      </c>
      <c r="K69" s="12"/>
      <c r="L69" s="12"/>
      <c r="M69" s="12"/>
      <c r="N69" s="8">
        <f t="shared" si="2"/>
        <v>0</v>
      </c>
      <c r="O69" s="14"/>
      <c r="P69" s="14"/>
      <c r="Q69" s="14" t="s">
        <v>869</v>
      </c>
      <c r="R69" s="14"/>
      <c r="S69" s="3"/>
      <c r="T69" s="39">
        <v>1833897</v>
      </c>
      <c r="U69" s="8">
        <f t="shared" si="26"/>
        <v>52847</v>
      </c>
      <c r="V69" s="14"/>
      <c r="W69" s="9">
        <f>+U69/H69</f>
        <v>2.8009629287280097E-2</v>
      </c>
      <c r="X69" s="14"/>
      <c r="Y69" s="14"/>
      <c r="Z69" s="14"/>
      <c r="AA69" s="3"/>
      <c r="AB69" s="39">
        <v>1833897</v>
      </c>
      <c r="AC69" s="8">
        <f t="shared" si="27"/>
        <v>52847</v>
      </c>
      <c r="AD69" s="14"/>
      <c r="AE69" s="9">
        <f>+AC69/H69</f>
        <v>2.8009629287280097E-2</v>
      </c>
      <c r="AF69" s="14"/>
      <c r="AG69" s="14"/>
      <c r="AH69" s="14"/>
      <c r="AI69" s="3"/>
      <c r="AJ69" s="51"/>
      <c r="AK69" s="39">
        <v>1833897</v>
      </c>
      <c r="AL69" s="14">
        <f t="shared" si="25"/>
        <v>52847</v>
      </c>
      <c r="AM69" s="14"/>
      <c r="AN69" s="9">
        <f>+AL69/H69</f>
        <v>2.8009629287280097E-2</v>
      </c>
      <c r="AO69" s="14"/>
      <c r="AP69" s="14" t="s">
        <v>31</v>
      </c>
      <c r="AQ69" s="14"/>
      <c r="AR69" s="20">
        <v>1900003953</v>
      </c>
      <c r="AS69" s="39">
        <v>1833897</v>
      </c>
      <c r="AT69" s="8">
        <f t="shared" si="28"/>
        <v>52847</v>
      </c>
      <c r="AU69" s="14"/>
      <c r="AV69" s="9">
        <f t="shared" si="29"/>
        <v>2.8009629287280097E-2</v>
      </c>
      <c r="AW69" s="14"/>
      <c r="AX69" s="14" t="s">
        <v>31</v>
      </c>
      <c r="AY69" s="14"/>
      <c r="AZ69" s="85"/>
      <c r="BA69" s="39">
        <v>1833897</v>
      </c>
      <c r="BB69" s="14">
        <f>+H69-BA69</f>
        <v>52847</v>
      </c>
      <c r="BC69" s="14"/>
      <c r="BD69" s="9">
        <f>+BB69/H69</f>
        <v>2.8009629287280097E-2</v>
      </c>
      <c r="BE69" s="14"/>
      <c r="BF69" s="14" t="s">
        <v>31</v>
      </c>
      <c r="BG69" s="14"/>
      <c r="BH69" s="14"/>
      <c r="BI69" s="39">
        <v>1833897</v>
      </c>
      <c r="BJ69" s="39">
        <f>+H69-BI69</f>
        <v>52847</v>
      </c>
      <c r="BK69" s="14"/>
      <c r="BL69" s="9">
        <f t="shared" si="30"/>
        <v>2.8009629287280097E-2</v>
      </c>
      <c r="BM69" s="14"/>
      <c r="BN69" s="14" t="s">
        <v>31</v>
      </c>
      <c r="BO69" s="14"/>
      <c r="BP69" s="14"/>
      <c r="BQ69" s="39">
        <v>1833897</v>
      </c>
      <c r="BR69" s="8">
        <f>+H69-BQ69</f>
        <v>52847</v>
      </c>
      <c r="BS69" s="14"/>
      <c r="BT69" s="9">
        <f>+BR69/H69</f>
        <v>2.8009629287280097E-2</v>
      </c>
      <c r="BU69" s="14"/>
      <c r="BV69" s="14" t="s">
        <v>31</v>
      </c>
      <c r="BW69" s="14"/>
      <c r="BX69" s="14"/>
      <c r="BY69" s="39">
        <v>1833897</v>
      </c>
      <c r="BZ69" s="14">
        <v>0</v>
      </c>
      <c r="CA69" s="14"/>
      <c r="CB69" s="14">
        <v>0</v>
      </c>
      <c r="CC69" s="14"/>
      <c r="CD69" s="14" t="s">
        <v>31</v>
      </c>
      <c r="CE69" s="14"/>
      <c r="CF69" s="14"/>
    </row>
    <row r="70" spans="1:84" x14ac:dyDescent="0.35">
      <c r="A70" s="1" t="s">
        <v>323</v>
      </c>
      <c r="B70" s="26" t="s">
        <v>701</v>
      </c>
      <c r="C70" s="24">
        <v>6606</v>
      </c>
      <c r="D70" s="22">
        <v>204591</v>
      </c>
      <c r="E70" s="18" t="s">
        <v>702</v>
      </c>
      <c r="F70" s="19" t="s">
        <v>703</v>
      </c>
      <c r="G70" s="39">
        <v>625750</v>
      </c>
      <c r="H70" s="39">
        <v>625750</v>
      </c>
      <c r="I70" s="8">
        <f t="shared" ref="I70:I109" si="31">+H70-G70</f>
        <v>0</v>
      </c>
      <c r="J70" s="8">
        <f t="shared" ref="J70:J109" si="32">+I70/G70</f>
        <v>0</v>
      </c>
      <c r="K70" s="12">
        <f>438025+187725</f>
        <v>625750</v>
      </c>
      <c r="L70" s="12">
        <f>+H70-K70</f>
        <v>0</v>
      </c>
      <c r="M70" s="12">
        <v>183192</v>
      </c>
      <c r="N70" s="9">
        <f t="shared" ref="N70:N108" si="33">+(L70+M70)/H70</f>
        <v>0.29275589292848581</v>
      </c>
      <c r="O70" s="14"/>
      <c r="P70" s="14" t="s">
        <v>46</v>
      </c>
      <c r="Q70" s="14"/>
      <c r="R70" s="14" t="s">
        <v>31</v>
      </c>
      <c r="S70" s="78" t="s">
        <v>327</v>
      </c>
      <c r="T70" s="39">
        <f>305320*2</f>
        <v>610640</v>
      </c>
      <c r="U70" s="8">
        <f t="shared" si="26"/>
        <v>15110</v>
      </c>
      <c r="V70" s="14">
        <v>305320</v>
      </c>
      <c r="W70" s="9">
        <f>+(U70+V70)/H70</f>
        <v>0.51207351178585692</v>
      </c>
      <c r="X70" s="14" t="s">
        <v>46</v>
      </c>
      <c r="Y70" s="14"/>
      <c r="Z70" s="14" t="s">
        <v>31</v>
      </c>
      <c r="AA70" s="77" t="s">
        <v>32</v>
      </c>
      <c r="AB70" s="39">
        <v>305320</v>
      </c>
      <c r="AC70" s="8">
        <f t="shared" si="27"/>
        <v>320430</v>
      </c>
      <c r="AD70" s="14"/>
      <c r="AE70" s="9">
        <f>+AC70/H70</f>
        <v>0.51207351178585692</v>
      </c>
      <c r="AF70" s="14"/>
      <c r="AG70" s="14"/>
      <c r="AH70" s="14" t="s">
        <v>31</v>
      </c>
      <c r="AI70" s="3"/>
      <c r="AJ70" s="51" t="s">
        <v>870</v>
      </c>
      <c r="AK70" s="39">
        <v>610640</v>
      </c>
      <c r="AL70" s="8">
        <f t="shared" si="25"/>
        <v>15110</v>
      </c>
      <c r="AM70" s="14"/>
      <c r="AN70" s="9">
        <f>+AL70/H70</f>
        <v>2.4147023571713944E-2</v>
      </c>
      <c r="AO70" s="14"/>
      <c r="AP70" s="14" t="s">
        <v>31</v>
      </c>
      <c r="AQ70" s="14"/>
      <c r="AR70" s="20" t="s">
        <v>871</v>
      </c>
      <c r="AS70" s="39">
        <v>610640</v>
      </c>
      <c r="AT70" s="8">
        <f t="shared" si="28"/>
        <v>15110</v>
      </c>
      <c r="AU70" s="14"/>
      <c r="AV70" s="9">
        <f t="shared" si="29"/>
        <v>2.4147023571713944E-2</v>
      </c>
      <c r="AW70" s="14"/>
      <c r="AX70" s="14" t="s">
        <v>31</v>
      </c>
      <c r="AY70" s="14"/>
      <c r="AZ70" s="84" t="s">
        <v>872</v>
      </c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</row>
    <row r="71" spans="1:84" x14ac:dyDescent="0.35">
      <c r="A71" s="1" t="s">
        <v>328</v>
      </c>
      <c r="B71" s="26" t="s">
        <v>704</v>
      </c>
      <c r="C71" s="24">
        <v>6610</v>
      </c>
      <c r="D71" s="22">
        <v>204586</v>
      </c>
      <c r="E71" s="18" t="s">
        <v>705</v>
      </c>
      <c r="F71" s="19" t="s">
        <v>706</v>
      </c>
      <c r="G71" s="39">
        <v>2207639</v>
      </c>
      <c r="H71" s="41">
        <v>2376314</v>
      </c>
      <c r="I71" s="8">
        <f t="shared" si="31"/>
        <v>168675</v>
      </c>
      <c r="J71" s="10">
        <f t="shared" si="32"/>
        <v>7.6405155009492035E-2</v>
      </c>
      <c r="K71" s="12">
        <v>2263864</v>
      </c>
      <c r="L71" s="12">
        <f>+H71-K71</f>
        <v>112450</v>
      </c>
      <c r="M71" s="12"/>
      <c r="N71" s="9">
        <f>+(L71+M71)/H71</f>
        <v>4.7321187351503209E-2</v>
      </c>
      <c r="O71" s="14"/>
      <c r="P71" s="14" t="s">
        <v>38</v>
      </c>
      <c r="Q71" s="14"/>
      <c r="R71" s="14" t="s">
        <v>31</v>
      </c>
      <c r="S71" s="77" t="s">
        <v>55</v>
      </c>
      <c r="T71" s="43">
        <v>2263864</v>
      </c>
      <c r="U71" s="44">
        <f t="shared" si="26"/>
        <v>112450</v>
      </c>
      <c r="V71" s="14"/>
      <c r="W71" s="9">
        <f>+U71/H71</f>
        <v>4.7321187351503209E-2</v>
      </c>
      <c r="X71" s="14" t="s">
        <v>38</v>
      </c>
      <c r="Y71" s="14"/>
      <c r="Z71" s="14" t="s">
        <v>31</v>
      </c>
      <c r="AA71" s="77" t="s">
        <v>55</v>
      </c>
      <c r="AB71" s="44">
        <f>++T71</f>
        <v>2263864</v>
      </c>
      <c r="AC71" s="12">
        <f t="shared" si="27"/>
        <v>112450</v>
      </c>
      <c r="AD71" s="14"/>
      <c r="AE71" s="9">
        <f>+AC71/H71</f>
        <v>4.7321187351503209E-2</v>
      </c>
      <c r="AF71" s="14"/>
      <c r="AG71" s="14"/>
      <c r="AH71" s="14" t="s">
        <v>31</v>
      </c>
      <c r="AI71" s="3"/>
      <c r="AJ71" s="51">
        <v>1900003295</v>
      </c>
      <c r="AK71" s="39">
        <v>2176792</v>
      </c>
      <c r="AL71" s="8">
        <f t="shared" si="25"/>
        <v>199522</v>
      </c>
      <c r="AM71" s="14"/>
      <c r="AN71" s="9">
        <f>+AL71/H71</f>
        <v>8.3962809628693846E-2</v>
      </c>
      <c r="AO71" s="14"/>
      <c r="AP71" s="14" t="s">
        <v>31</v>
      </c>
      <c r="AQ71" s="14"/>
      <c r="AR71" s="20">
        <v>1900003958</v>
      </c>
      <c r="AS71" s="39">
        <v>2176792</v>
      </c>
      <c r="AT71" s="8">
        <f t="shared" si="28"/>
        <v>199522</v>
      </c>
      <c r="AU71" s="14"/>
      <c r="AV71" s="9">
        <f t="shared" si="29"/>
        <v>8.3962809628693846E-2</v>
      </c>
      <c r="AW71" s="14"/>
      <c r="AX71" s="14" t="s">
        <v>31</v>
      </c>
      <c r="AY71" s="14"/>
      <c r="AZ71" s="85">
        <v>1900004250</v>
      </c>
      <c r="BA71" s="39">
        <v>2176792</v>
      </c>
      <c r="BB71" s="8">
        <f>+H71-BA71</f>
        <v>199522</v>
      </c>
      <c r="BC71" s="14"/>
      <c r="BD71" s="9">
        <f>+BB71/H71</f>
        <v>8.3962809628693846E-2</v>
      </c>
      <c r="BE71" s="14"/>
      <c r="BF71" s="14" t="s">
        <v>31</v>
      </c>
      <c r="BG71" s="14"/>
      <c r="BH71" s="14"/>
      <c r="BI71" s="39">
        <v>2176703</v>
      </c>
      <c r="BJ71" s="8">
        <f>+H71-BI71</f>
        <v>199611</v>
      </c>
      <c r="BK71" s="14"/>
      <c r="BL71" s="9">
        <f>+BJ71/H71</f>
        <v>8.4000262591559863E-2</v>
      </c>
      <c r="BM71" s="14"/>
      <c r="BN71" s="14" t="s">
        <v>31</v>
      </c>
      <c r="BO71" s="14"/>
      <c r="BP71" s="14"/>
      <c r="BQ71" s="39">
        <v>2176703</v>
      </c>
      <c r="BR71" s="14">
        <v>0</v>
      </c>
      <c r="BS71" s="14"/>
      <c r="BT71" s="14">
        <v>0</v>
      </c>
      <c r="BU71" s="14"/>
      <c r="BV71" s="14" t="s">
        <v>31</v>
      </c>
      <c r="BW71" s="14"/>
      <c r="BX71" s="14"/>
      <c r="BY71" s="39">
        <v>2176703</v>
      </c>
      <c r="BZ71" s="14">
        <v>0</v>
      </c>
      <c r="CA71" s="14"/>
      <c r="CB71" s="14">
        <v>0</v>
      </c>
      <c r="CC71" s="14"/>
      <c r="CD71" s="14" t="s">
        <v>31</v>
      </c>
      <c r="CE71" s="14"/>
      <c r="CF71" s="14"/>
    </row>
    <row r="72" spans="1:84" x14ac:dyDescent="0.35">
      <c r="A72" s="1" t="s">
        <v>331</v>
      </c>
      <c r="B72" s="26" t="s">
        <v>707</v>
      </c>
      <c r="C72" s="24">
        <v>6616</v>
      </c>
      <c r="D72" s="22">
        <v>204845</v>
      </c>
      <c r="E72" s="18" t="s">
        <v>708</v>
      </c>
      <c r="F72" s="19" t="s">
        <v>709</v>
      </c>
      <c r="G72" s="39">
        <v>251000</v>
      </c>
      <c r="H72" s="39">
        <v>251000</v>
      </c>
      <c r="I72" s="8">
        <f t="shared" si="31"/>
        <v>0</v>
      </c>
      <c r="J72" s="8">
        <f t="shared" si="32"/>
        <v>0</v>
      </c>
      <c r="K72" s="12">
        <v>359000</v>
      </c>
      <c r="L72" s="12">
        <v>0</v>
      </c>
      <c r="M72" s="12"/>
      <c r="N72" s="8">
        <v>0</v>
      </c>
      <c r="O72" s="14"/>
      <c r="P72" s="14"/>
      <c r="Q72" s="14"/>
      <c r="R72" s="14"/>
      <c r="S72" s="3"/>
      <c r="T72" s="39">
        <v>359000</v>
      </c>
      <c r="U72" s="14">
        <v>0</v>
      </c>
      <c r="V72" s="14"/>
      <c r="W72" s="14">
        <v>0</v>
      </c>
      <c r="X72" s="14"/>
      <c r="Y72" s="14"/>
      <c r="Z72" s="14"/>
      <c r="AA72" s="3"/>
      <c r="AB72" s="39">
        <v>359000</v>
      </c>
      <c r="AC72" s="14">
        <v>0</v>
      </c>
      <c r="AD72" s="14"/>
      <c r="AE72" s="14">
        <v>0</v>
      </c>
      <c r="AF72" s="14"/>
      <c r="AG72" s="14"/>
      <c r="AH72" s="14"/>
      <c r="AI72" s="3"/>
      <c r="AJ72" s="51"/>
      <c r="AK72" s="39">
        <v>359000</v>
      </c>
      <c r="AL72" s="14">
        <v>0</v>
      </c>
      <c r="AM72" s="14"/>
      <c r="AN72" s="14">
        <v>0</v>
      </c>
      <c r="AO72" s="14"/>
      <c r="AP72" s="14"/>
      <c r="AQ72" s="14"/>
      <c r="AR72" s="20"/>
      <c r="AS72" s="39">
        <v>359000</v>
      </c>
      <c r="AT72" s="14">
        <v>0</v>
      </c>
      <c r="AU72" s="14"/>
      <c r="AV72" s="14">
        <v>0</v>
      </c>
      <c r="AW72" s="14"/>
      <c r="AX72" s="14"/>
      <c r="AY72" s="14"/>
      <c r="AZ72" s="85"/>
      <c r="BA72" s="39">
        <v>359000</v>
      </c>
      <c r="BB72" s="14">
        <v>0</v>
      </c>
      <c r="BC72" s="14"/>
      <c r="BD72" s="14">
        <v>0</v>
      </c>
      <c r="BE72" s="14"/>
      <c r="BF72" s="14"/>
      <c r="BG72" s="14"/>
      <c r="BH72" s="14"/>
      <c r="BI72" s="39">
        <v>359000</v>
      </c>
      <c r="BJ72" s="14">
        <v>0</v>
      </c>
      <c r="BK72" s="14"/>
      <c r="BL72" s="14">
        <v>0</v>
      </c>
      <c r="BM72" s="14"/>
      <c r="BN72" s="14"/>
      <c r="BO72" s="14"/>
      <c r="BP72" s="14"/>
      <c r="BQ72" s="39">
        <v>359000</v>
      </c>
      <c r="BR72" s="14">
        <v>0</v>
      </c>
      <c r="BS72" s="14"/>
      <c r="BT72" s="14">
        <v>0</v>
      </c>
      <c r="BU72" s="14"/>
      <c r="BV72" s="14" t="s">
        <v>31</v>
      </c>
      <c r="BW72" s="14"/>
      <c r="BX72" s="14"/>
      <c r="BY72" s="14"/>
      <c r="BZ72" s="14"/>
      <c r="CA72" s="14"/>
      <c r="CB72" s="14"/>
      <c r="CC72" s="14"/>
      <c r="CD72" s="14"/>
      <c r="CE72" s="14"/>
      <c r="CF72" s="14"/>
    </row>
    <row r="73" spans="1:84" x14ac:dyDescent="0.35">
      <c r="A73" s="1" t="s">
        <v>335</v>
      </c>
      <c r="B73" s="26" t="s">
        <v>710</v>
      </c>
      <c r="C73" s="24">
        <v>6617</v>
      </c>
      <c r="D73" s="22">
        <v>204531</v>
      </c>
      <c r="E73" s="18" t="s">
        <v>711</v>
      </c>
      <c r="F73" s="19" t="s">
        <v>712</v>
      </c>
      <c r="G73" s="39">
        <v>1063661</v>
      </c>
      <c r="H73" s="39">
        <v>1063661</v>
      </c>
      <c r="I73" s="8">
        <f t="shared" si="31"/>
        <v>0</v>
      </c>
      <c r="J73" s="8">
        <f t="shared" si="32"/>
        <v>0</v>
      </c>
      <c r="K73" s="12">
        <v>563740</v>
      </c>
      <c r="L73" s="12">
        <f>+H73-K73</f>
        <v>499921</v>
      </c>
      <c r="M73" s="12"/>
      <c r="N73" s="9">
        <f>+(L73+M73)/H73</f>
        <v>0.47000031024922412</v>
      </c>
      <c r="O73" s="14"/>
      <c r="P73" s="14" t="s">
        <v>46</v>
      </c>
      <c r="Q73" s="14" t="s">
        <v>106</v>
      </c>
      <c r="R73" s="14" t="s">
        <v>31</v>
      </c>
      <c r="S73" s="3"/>
      <c r="T73" s="12">
        <f>+K73</f>
        <v>563740</v>
      </c>
      <c r="U73" s="8">
        <f>+H73-T73</f>
        <v>499921</v>
      </c>
      <c r="V73" s="14"/>
      <c r="W73" s="9">
        <f>+U73/H73</f>
        <v>0.47000031024922412</v>
      </c>
      <c r="X73" s="14" t="s">
        <v>46</v>
      </c>
      <c r="Y73" s="14"/>
      <c r="Z73" s="14" t="s">
        <v>31</v>
      </c>
      <c r="AA73" s="3"/>
      <c r="AB73" s="39">
        <v>1063661</v>
      </c>
      <c r="AC73" s="8">
        <f>+H73-AB73</f>
        <v>0</v>
      </c>
      <c r="AD73" s="14"/>
      <c r="AE73" s="9">
        <f>+AC73/H73</f>
        <v>0</v>
      </c>
      <c r="AF73" s="14"/>
      <c r="AG73" s="14"/>
      <c r="AH73" s="14" t="s">
        <v>31</v>
      </c>
      <c r="AI73" s="3"/>
      <c r="AJ73" s="20">
        <v>1900003569</v>
      </c>
      <c r="AK73" s="8">
        <f>+AB73</f>
        <v>1063661</v>
      </c>
      <c r="AL73" s="14">
        <v>0</v>
      </c>
      <c r="AM73" s="14"/>
      <c r="AN73" s="14">
        <v>0</v>
      </c>
      <c r="AO73" s="14"/>
      <c r="AP73" s="14" t="s">
        <v>31</v>
      </c>
      <c r="AQ73" s="14"/>
      <c r="AR73" s="20">
        <v>1900003875</v>
      </c>
      <c r="AS73" s="39">
        <v>1063661</v>
      </c>
      <c r="AT73" s="8">
        <f>+H73-AS73</f>
        <v>0</v>
      </c>
      <c r="AU73" s="14"/>
      <c r="AV73" s="9">
        <f>+AT73/H73</f>
        <v>0</v>
      </c>
      <c r="AW73" s="14"/>
      <c r="AX73" s="14" t="s">
        <v>31</v>
      </c>
      <c r="AY73" s="14"/>
      <c r="AZ73" s="86">
        <v>1900004445</v>
      </c>
      <c r="BA73" s="39">
        <v>1063661</v>
      </c>
      <c r="BB73" s="14">
        <v>0</v>
      </c>
      <c r="BC73" s="14"/>
      <c r="BD73" s="14">
        <v>0</v>
      </c>
      <c r="BE73" s="14"/>
      <c r="BF73" s="14" t="s">
        <v>31</v>
      </c>
      <c r="BG73" s="14"/>
      <c r="BH73" s="14"/>
      <c r="BI73" s="39">
        <v>1063661</v>
      </c>
      <c r="BJ73" s="8">
        <f>+H73-BI73</f>
        <v>0</v>
      </c>
      <c r="BK73" s="14"/>
      <c r="BL73" s="9">
        <f>+BJ73/H73</f>
        <v>0</v>
      </c>
      <c r="BM73" s="14"/>
      <c r="BN73" s="14" t="s">
        <v>31</v>
      </c>
      <c r="BO73" s="14"/>
      <c r="BP73" s="14"/>
      <c r="BQ73" s="39">
        <v>1063661</v>
      </c>
      <c r="BR73" s="14">
        <v>0</v>
      </c>
      <c r="BS73" s="14"/>
      <c r="BT73" s="14">
        <v>0</v>
      </c>
      <c r="BU73" s="14"/>
      <c r="BV73" s="14" t="s">
        <v>31</v>
      </c>
      <c r="BW73" s="14"/>
      <c r="BX73" s="14"/>
      <c r="BY73" s="14"/>
      <c r="BZ73" s="14"/>
      <c r="CA73" s="14"/>
      <c r="CB73" s="14"/>
      <c r="CC73" s="14"/>
      <c r="CD73" s="14"/>
      <c r="CE73" s="14"/>
      <c r="CF73" s="14"/>
    </row>
    <row r="74" spans="1:84" ht="15.5" x14ac:dyDescent="0.35">
      <c r="A74" s="1" t="s">
        <v>339</v>
      </c>
      <c r="B74" s="26" t="s">
        <v>713</v>
      </c>
      <c r="C74" s="24">
        <v>6619</v>
      </c>
      <c r="D74" s="22">
        <v>204694</v>
      </c>
      <c r="E74" s="18" t="s">
        <v>714</v>
      </c>
      <c r="F74" s="19" t="s">
        <v>715</v>
      </c>
      <c r="G74" s="39">
        <v>1615630</v>
      </c>
      <c r="H74" s="39">
        <v>1615630</v>
      </c>
      <c r="I74" s="8">
        <f t="shared" si="31"/>
        <v>0</v>
      </c>
      <c r="J74" s="8">
        <f t="shared" si="32"/>
        <v>0</v>
      </c>
      <c r="K74" s="12">
        <v>1296431</v>
      </c>
      <c r="L74" s="12">
        <f>+H74-K74</f>
        <v>319199</v>
      </c>
      <c r="M74" s="12"/>
      <c r="N74" s="9">
        <f t="shared" si="33"/>
        <v>0.19756936922438925</v>
      </c>
      <c r="O74" s="14"/>
      <c r="P74" s="14" t="s">
        <v>46</v>
      </c>
      <c r="Q74" s="14"/>
      <c r="R74" s="14" t="s">
        <v>31</v>
      </c>
      <c r="S74" s="80" t="s">
        <v>83</v>
      </c>
      <c r="T74" s="43">
        <v>1180596</v>
      </c>
      <c r="U74" s="44">
        <f>+H74-T74</f>
        <v>435034</v>
      </c>
      <c r="V74" s="14"/>
      <c r="W74" s="9">
        <f>+U74/H74</f>
        <v>0.2692658591385404</v>
      </c>
      <c r="X74" s="14" t="s">
        <v>46</v>
      </c>
      <c r="Y74" s="14"/>
      <c r="Z74" s="14" t="s">
        <v>31</v>
      </c>
      <c r="AA74" s="80" t="s">
        <v>83</v>
      </c>
      <c r="AB74" s="39">
        <v>1249567</v>
      </c>
      <c r="AC74" s="8">
        <f>+H74-AB74</f>
        <v>366063</v>
      </c>
      <c r="AD74" s="14"/>
      <c r="AE74" s="9">
        <f>+AC74/H74</f>
        <v>0.22657601059648558</v>
      </c>
      <c r="AF74" s="14" t="s">
        <v>46</v>
      </c>
      <c r="AG74" s="14"/>
      <c r="AH74" s="14" t="s">
        <v>31</v>
      </c>
      <c r="AI74" s="3"/>
      <c r="AJ74" s="51">
        <v>1900003309</v>
      </c>
      <c r="AK74" s="39">
        <v>1278495</v>
      </c>
      <c r="AL74" s="8">
        <f>+H74-AK74</f>
        <v>337135</v>
      </c>
      <c r="AM74" s="14"/>
      <c r="AN74" s="9">
        <f>+AL74/H74</f>
        <v>0.20867092094105705</v>
      </c>
      <c r="AO74" s="14"/>
      <c r="AP74" s="14" t="s">
        <v>31</v>
      </c>
      <c r="AQ74" s="14"/>
      <c r="AR74" s="20">
        <v>1900003792</v>
      </c>
      <c r="AS74" s="39">
        <v>1177949</v>
      </c>
      <c r="AT74" s="8">
        <f>+H74-AS74</f>
        <v>437681</v>
      </c>
      <c r="AU74" s="14"/>
      <c r="AV74" s="9">
        <f>+AT74/H74</f>
        <v>0.27090422930992863</v>
      </c>
      <c r="AW74" s="14"/>
      <c r="AX74" s="14" t="s">
        <v>31</v>
      </c>
      <c r="AY74" s="14"/>
      <c r="AZ74" s="85">
        <v>1900004241</v>
      </c>
      <c r="BA74" s="39">
        <v>1456099</v>
      </c>
      <c r="BB74" s="8">
        <f>+H74-BA74</f>
        <v>159531</v>
      </c>
      <c r="BC74" s="14"/>
      <c r="BD74" s="9">
        <f>+BB74/H74</f>
        <v>9.8742286290796774E-2</v>
      </c>
      <c r="BE74" s="14"/>
      <c r="BF74" s="14" t="s">
        <v>31</v>
      </c>
      <c r="BG74" s="14"/>
      <c r="BH74" s="14"/>
      <c r="BI74" s="39">
        <v>1510105</v>
      </c>
      <c r="BJ74" s="8">
        <f>+H74-BI74</f>
        <v>105525</v>
      </c>
      <c r="BK74" s="14"/>
      <c r="BL74" s="8">
        <f>+BJ74/H74</f>
        <v>6.5315078328577705E-2</v>
      </c>
      <c r="BM74" s="14"/>
      <c r="BN74" s="14" t="s">
        <v>31</v>
      </c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39">
        <v>1610346</v>
      </c>
      <c r="BZ74" s="8">
        <f>+H74-BY74</f>
        <v>5284</v>
      </c>
      <c r="CA74" s="14"/>
      <c r="CB74" s="9">
        <f>+BZ74/H74</f>
        <v>3.2705508068060136E-3</v>
      </c>
      <c r="CC74" s="14"/>
      <c r="CD74" s="14" t="s">
        <v>31</v>
      </c>
      <c r="CE74" s="14"/>
      <c r="CF74" s="14"/>
    </row>
    <row r="75" spans="1:84" x14ac:dyDescent="0.35">
      <c r="A75" s="1" t="s">
        <v>342</v>
      </c>
      <c r="B75" s="26" t="s">
        <v>716</v>
      </c>
      <c r="C75" s="35">
        <v>6620</v>
      </c>
      <c r="D75" s="22">
        <v>204616</v>
      </c>
      <c r="E75" s="18" t="s">
        <v>717</v>
      </c>
      <c r="F75" s="29">
        <v>900250796</v>
      </c>
      <c r="G75" s="39">
        <v>1531960</v>
      </c>
      <c r="H75" s="39">
        <v>1531960</v>
      </c>
      <c r="I75" s="8">
        <f t="shared" si="31"/>
        <v>0</v>
      </c>
      <c r="J75" s="8">
        <f t="shared" si="32"/>
        <v>0</v>
      </c>
      <c r="K75" s="12"/>
      <c r="L75" s="12"/>
      <c r="M75" s="12"/>
      <c r="N75" s="8">
        <f t="shared" si="33"/>
        <v>0</v>
      </c>
      <c r="O75" s="14"/>
      <c r="P75" s="14"/>
      <c r="Q75" s="14"/>
      <c r="R75" s="14"/>
      <c r="S75" s="3"/>
      <c r="T75" s="14"/>
      <c r="U75" s="14"/>
      <c r="V75" s="14"/>
      <c r="W75" s="14"/>
      <c r="X75" s="14"/>
      <c r="Y75" s="14"/>
      <c r="Z75" s="14"/>
      <c r="AA75" s="3"/>
      <c r="AB75" s="14"/>
      <c r="AC75" s="14"/>
      <c r="AD75" s="14"/>
      <c r="AE75" s="14"/>
      <c r="AF75" s="14"/>
      <c r="AG75" s="14"/>
      <c r="AH75" s="14"/>
      <c r="AI75" s="3"/>
      <c r="AJ75" s="51"/>
      <c r="AK75" s="39">
        <f>750039+781921</f>
        <v>1531960</v>
      </c>
      <c r="AL75" s="8">
        <f>+H75-AK75</f>
        <v>0</v>
      </c>
      <c r="AM75" s="14"/>
      <c r="AN75" s="14">
        <v>0</v>
      </c>
      <c r="AO75" s="14"/>
      <c r="AP75" s="14" t="s">
        <v>31</v>
      </c>
      <c r="AQ75" s="14"/>
      <c r="AR75" s="59" t="s">
        <v>873</v>
      </c>
      <c r="AS75" s="39">
        <f>781921+750039</f>
        <v>1531960</v>
      </c>
      <c r="AT75" s="8">
        <f>+H75-AS75</f>
        <v>0</v>
      </c>
      <c r="AU75" s="14"/>
      <c r="AV75" s="9">
        <f>+AT75/H75</f>
        <v>0</v>
      </c>
      <c r="AW75" s="14"/>
      <c r="AX75" s="14" t="s">
        <v>31</v>
      </c>
      <c r="AY75" s="14"/>
      <c r="AZ75" s="86" t="s">
        <v>874</v>
      </c>
      <c r="BA75" s="39">
        <f>781921+750039</f>
        <v>1531960</v>
      </c>
      <c r="BB75" s="8">
        <f>+H75-BA75</f>
        <v>0</v>
      </c>
      <c r="BC75" s="14"/>
      <c r="BD75" s="9">
        <f>+BB75/H75</f>
        <v>0</v>
      </c>
      <c r="BE75" s="14"/>
      <c r="BF75" s="14" t="s">
        <v>31</v>
      </c>
      <c r="BG75" s="14"/>
      <c r="BH75" s="14"/>
      <c r="BI75" s="39">
        <f>781921+750039</f>
        <v>1531960</v>
      </c>
      <c r="BJ75" s="14">
        <v>0</v>
      </c>
      <c r="BK75" s="14"/>
      <c r="BL75" s="14">
        <v>0</v>
      </c>
      <c r="BM75" s="14"/>
      <c r="BN75" s="14" t="s">
        <v>31</v>
      </c>
      <c r="BO75" s="14"/>
      <c r="BP75" s="14"/>
      <c r="BQ75" s="39">
        <f>781921+750039</f>
        <v>1531960</v>
      </c>
      <c r="BR75" s="14">
        <v>0</v>
      </c>
      <c r="BS75" s="14"/>
      <c r="BT75" s="14">
        <v>0</v>
      </c>
      <c r="BU75" s="14"/>
      <c r="BV75" s="14" t="s">
        <v>31</v>
      </c>
      <c r="BW75" s="14"/>
      <c r="BX75" s="14"/>
      <c r="BY75" s="39">
        <f>781921+750039</f>
        <v>1531960</v>
      </c>
      <c r="BZ75" s="14">
        <v>0</v>
      </c>
      <c r="CA75" s="14"/>
      <c r="CB75" s="14">
        <v>0</v>
      </c>
      <c r="CC75" s="14"/>
      <c r="CD75" s="14" t="s">
        <v>31</v>
      </c>
      <c r="CE75" s="14"/>
      <c r="CF75" s="14"/>
    </row>
    <row r="76" spans="1:84" x14ac:dyDescent="0.35">
      <c r="A76" s="1" t="s">
        <v>346</v>
      </c>
      <c r="B76" s="26" t="s">
        <v>718</v>
      </c>
      <c r="C76" s="24">
        <v>6621</v>
      </c>
      <c r="D76" s="36">
        <v>206218</v>
      </c>
      <c r="E76" s="18" t="s">
        <v>348</v>
      </c>
      <c r="F76" s="19" t="s">
        <v>719</v>
      </c>
      <c r="G76" s="39">
        <v>718700</v>
      </c>
      <c r="H76" s="39">
        <v>718700</v>
      </c>
      <c r="I76" s="8">
        <f t="shared" si="31"/>
        <v>0</v>
      </c>
      <c r="J76" s="8">
        <f t="shared" si="32"/>
        <v>0</v>
      </c>
      <c r="K76" s="12">
        <v>574960</v>
      </c>
      <c r="L76" s="12">
        <f>+H76-K76</f>
        <v>143740</v>
      </c>
      <c r="M76" s="12"/>
      <c r="N76" s="9">
        <f t="shared" si="33"/>
        <v>0.2</v>
      </c>
      <c r="O76" s="14"/>
      <c r="P76" s="14" t="s">
        <v>46</v>
      </c>
      <c r="Q76" s="14"/>
      <c r="R76" s="14" t="s">
        <v>31</v>
      </c>
      <c r="S76" s="77" t="s">
        <v>116</v>
      </c>
      <c r="T76" s="39">
        <v>718700</v>
      </c>
      <c r="U76" s="8">
        <f t="shared" ref="U76:U82" si="34">+H76-T76</f>
        <v>0</v>
      </c>
      <c r="V76" s="14"/>
      <c r="W76" s="14">
        <v>0</v>
      </c>
      <c r="X76" s="14" t="s">
        <v>38</v>
      </c>
      <c r="Y76" s="14"/>
      <c r="Z76" s="14" t="s">
        <v>31</v>
      </c>
      <c r="AA76" s="3"/>
      <c r="AB76" s="39">
        <v>359350</v>
      </c>
      <c r="AC76" s="8">
        <f>+H76-AB76</f>
        <v>359350</v>
      </c>
      <c r="AD76" s="14"/>
      <c r="AE76" s="9">
        <f>+AC76/H76</f>
        <v>0.5</v>
      </c>
      <c r="AF76" s="14"/>
      <c r="AG76" s="14"/>
      <c r="AH76" s="14" t="s">
        <v>31</v>
      </c>
      <c r="AI76" s="3"/>
      <c r="AJ76" s="20">
        <v>1900003566</v>
      </c>
      <c r="AK76" s="39">
        <v>359350</v>
      </c>
      <c r="AL76" s="8">
        <f t="shared" ref="AL76:AL82" si="35">+H76-AK76</f>
        <v>359350</v>
      </c>
      <c r="AM76" s="14"/>
      <c r="AN76" s="9">
        <f>+AL76/H76</f>
        <v>0.5</v>
      </c>
      <c r="AO76" s="14"/>
      <c r="AP76" s="14" t="s">
        <v>31</v>
      </c>
      <c r="AQ76" s="14"/>
      <c r="AR76" s="20">
        <v>1900004026</v>
      </c>
      <c r="AS76" s="39">
        <v>359350</v>
      </c>
      <c r="AT76" s="8">
        <f>+H76-AS76</f>
        <v>359350</v>
      </c>
      <c r="AU76" s="14"/>
      <c r="AV76" s="9">
        <f>+AT76/H76</f>
        <v>0.5</v>
      </c>
      <c r="AW76" s="14"/>
      <c r="AX76" s="14" t="s">
        <v>31</v>
      </c>
      <c r="AY76" s="14"/>
      <c r="AZ76" s="86">
        <v>1900004461</v>
      </c>
      <c r="BA76" s="39">
        <v>359350</v>
      </c>
      <c r="BB76" s="8">
        <f t="shared" ref="BB76:BB83" si="36">+H76-BA76</f>
        <v>359350</v>
      </c>
      <c r="BC76" s="14"/>
      <c r="BD76" s="9">
        <f>+BB76/H76</f>
        <v>0.5</v>
      </c>
      <c r="BE76" s="14"/>
      <c r="BF76" s="14" t="s">
        <v>31</v>
      </c>
      <c r="BG76" s="14"/>
      <c r="BH76" s="14"/>
      <c r="BI76" s="39">
        <v>359350</v>
      </c>
      <c r="BJ76" s="8">
        <f>+H76-BI76</f>
        <v>359350</v>
      </c>
      <c r="BK76" s="14"/>
      <c r="BL76" s="9">
        <f>+BJ76/H76</f>
        <v>0.5</v>
      </c>
      <c r="BM76" s="14"/>
      <c r="BN76" s="14" t="s">
        <v>31</v>
      </c>
      <c r="BO76" s="14"/>
      <c r="BP76" s="14"/>
      <c r="BQ76" s="39">
        <v>359350</v>
      </c>
      <c r="BR76" s="8">
        <f>+H76-BQ76</f>
        <v>359350</v>
      </c>
      <c r="BS76" s="14"/>
      <c r="BT76" s="9">
        <f>+BR76/H76</f>
        <v>0.5</v>
      </c>
      <c r="BU76" s="14"/>
      <c r="BV76" s="14" t="s">
        <v>31</v>
      </c>
      <c r="BW76" s="14"/>
      <c r="BX76" s="14"/>
      <c r="BY76" s="14"/>
      <c r="BZ76" s="14"/>
      <c r="CA76" s="14"/>
      <c r="CB76" s="14"/>
      <c r="CC76" s="14"/>
      <c r="CD76" s="14"/>
      <c r="CE76" s="14"/>
      <c r="CF76" s="14"/>
    </row>
    <row r="77" spans="1:84" x14ac:dyDescent="0.35">
      <c r="A77" s="1" t="s">
        <v>350</v>
      </c>
      <c r="B77" s="26" t="s">
        <v>875</v>
      </c>
      <c r="C77" s="35">
        <v>6623</v>
      </c>
      <c r="D77" s="22">
        <v>204556</v>
      </c>
      <c r="E77" s="18" t="s">
        <v>721</v>
      </c>
      <c r="F77" s="19" t="s">
        <v>722</v>
      </c>
      <c r="G77" s="39">
        <v>1169630</v>
      </c>
      <c r="H77" s="39">
        <v>1169630</v>
      </c>
      <c r="I77" s="8">
        <f t="shared" si="31"/>
        <v>0</v>
      </c>
      <c r="J77" s="8">
        <f t="shared" si="32"/>
        <v>0</v>
      </c>
      <c r="K77" s="12">
        <v>1135564</v>
      </c>
      <c r="L77" s="12"/>
      <c r="M77" s="12"/>
      <c r="N77" s="8">
        <f t="shared" si="33"/>
        <v>0</v>
      </c>
      <c r="O77" s="14"/>
      <c r="P77" s="14" t="s">
        <v>38</v>
      </c>
      <c r="Q77" s="14" t="s">
        <v>876</v>
      </c>
      <c r="R77" s="14" t="s">
        <v>31</v>
      </c>
      <c r="S77" s="77" t="s">
        <v>55</v>
      </c>
      <c r="T77" s="39">
        <v>1135564</v>
      </c>
      <c r="U77" s="8">
        <f t="shared" si="34"/>
        <v>34066</v>
      </c>
      <c r="V77" s="14"/>
      <c r="W77" s="9">
        <f>+U77/H77</f>
        <v>2.9125449928609902E-2</v>
      </c>
      <c r="X77" s="14" t="s">
        <v>38</v>
      </c>
      <c r="Y77" s="14"/>
      <c r="Z77" s="14" t="s">
        <v>31</v>
      </c>
      <c r="AA77" s="77" t="s">
        <v>47</v>
      </c>
      <c r="AB77" s="39">
        <v>1135564</v>
      </c>
      <c r="AC77" s="8">
        <f>+H77-AB77</f>
        <v>34066</v>
      </c>
      <c r="AD77" s="14"/>
      <c r="AE77" s="9">
        <f>+AC77/G77</f>
        <v>2.9125449928609902E-2</v>
      </c>
      <c r="AF77" s="14"/>
      <c r="AG77" s="14"/>
      <c r="AH77" s="14" t="s">
        <v>31</v>
      </c>
      <c r="AI77" s="3"/>
      <c r="AJ77" s="51">
        <v>1900003232</v>
      </c>
      <c r="AK77" s="39">
        <v>1135564</v>
      </c>
      <c r="AL77" s="8">
        <f t="shared" si="35"/>
        <v>34066</v>
      </c>
      <c r="AM77" s="14"/>
      <c r="AN77" s="9">
        <f>+AL77/H77</f>
        <v>2.9125449928609902E-2</v>
      </c>
      <c r="AO77" s="14"/>
      <c r="AP77" s="14" t="s">
        <v>31</v>
      </c>
      <c r="AQ77" s="14"/>
      <c r="AR77" s="20">
        <v>1900003893</v>
      </c>
      <c r="AS77" s="39">
        <v>1135564</v>
      </c>
      <c r="AT77" s="8">
        <f t="shared" ref="AT77:AT82" si="37">+H77-AS77</f>
        <v>34066</v>
      </c>
      <c r="AU77" s="39">
        <v>567782</v>
      </c>
      <c r="AV77" s="9">
        <f>+(AT77+AU77)/H77</f>
        <v>0.514562724964305</v>
      </c>
      <c r="AW77" s="14"/>
      <c r="AX77" s="14" t="s">
        <v>31</v>
      </c>
      <c r="AY77" s="14"/>
      <c r="AZ77" s="84" t="s">
        <v>877</v>
      </c>
      <c r="BA77" s="39">
        <v>1135586</v>
      </c>
      <c r="BB77" s="8">
        <f t="shared" si="36"/>
        <v>34044</v>
      </c>
      <c r="BC77" s="39">
        <v>409370</v>
      </c>
      <c r="BD77" s="9">
        <f>+(BB77+BC77)/H77</f>
        <v>0.37910621307593001</v>
      </c>
      <c r="BE77" s="14"/>
      <c r="BF77" s="14" t="s">
        <v>31</v>
      </c>
      <c r="BG77" s="14"/>
      <c r="BH77" s="14"/>
      <c r="BI77" s="39">
        <v>1135563</v>
      </c>
      <c r="BJ77" s="8">
        <f>+H77-BI77</f>
        <v>34067</v>
      </c>
      <c r="BK77" s="14"/>
      <c r="BL77" s="9">
        <f>+BJ77/H77</f>
        <v>2.9126304899840121E-2</v>
      </c>
      <c r="BM77" s="14"/>
      <c r="BN77" s="14" t="s">
        <v>31</v>
      </c>
      <c r="BO77" s="14"/>
      <c r="BP77" s="14"/>
      <c r="BQ77" s="39">
        <v>1135563</v>
      </c>
      <c r="BR77" s="8">
        <f>+H77-BQ77</f>
        <v>34067</v>
      </c>
      <c r="BS77" s="14"/>
      <c r="BT77" s="9">
        <f>+BR77/H77</f>
        <v>2.9126304899840121E-2</v>
      </c>
      <c r="BU77" s="14"/>
      <c r="BV77" s="14" t="s">
        <v>31</v>
      </c>
      <c r="BW77" s="14"/>
      <c r="BX77" s="14"/>
      <c r="BY77" s="39">
        <v>1135583</v>
      </c>
      <c r="BZ77" s="14">
        <v>0</v>
      </c>
      <c r="CA77" s="39">
        <v>511004</v>
      </c>
      <c r="CB77" s="9">
        <f>+CA77/BY77</f>
        <v>0.44999264694874791</v>
      </c>
      <c r="CC77" s="14"/>
      <c r="CD77" s="14" t="s">
        <v>31</v>
      </c>
      <c r="CE77" s="14"/>
      <c r="CF77" s="14"/>
    </row>
    <row r="78" spans="1:84" x14ac:dyDescent="0.35">
      <c r="A78" s="1" t="s">
        <v>354</v>
      </c>
      <c r="B78" s="26" t="s">
        <v>723</v>
      </c>
      <c r="C78" s="24">
        <v>6626</v>
      </c>
      <c r="D78" s="22">
        <v>204613</v>
      </c>
      <c r="E78" s="18" t="s">
        <v>724</v>
      </c>
      <c r="F78" s="19" t="s">
        <v>725</v>
      </c>
      <c r="G78" s="39">
        <v>1760554</v>
      </c>
      <c r="H78" s="39">
        <v>1760533</v>
      </c>
      <c r="I78" s="8">
        <f t="shared" si="31"/>
        <v>-21</v>
      </c>
      <c r="J78" s="10">
        <f t="shared" si="32"/>
        <v>-1.1928063552722609E-5</v>
      </c>
      <c r="K78" s="41">
        <v>1917865</v>
      </c>
      <c r="L78" s="12">
        <f>+H78-K78</f>
        <v>-157332</v>
      </c>
      <c r="M78" s="12"/>
      <c r="N78" s="9">
        <f>+(L78+M78)/H78</f>
        <v>-8.9366118101733963E-2</v>
      </c>
      <c r="O78" s="14"/>
      <c r="P78" s="14" t="s">
        <v>38</v>
      </c>
      <c r="Q78" s="14"/>
      <c r="R78" s="14" t="s">
        <v>31</v>
      </c>
      <c r="S78" s="77" t="s">
        <v>55</v>
      </c>
      <c r="T78" s="12">
        <f>+K78</f>
        <v>1917865</v>
      </c>
      <c r="U78" s="8">
        <f t="shared" si="34"/>
        <v>-157332</v>
      </c>
      <c r="V78" s="14"/>
      <c r="W78" s="14">
        <v>0</v>
      </c>
      <c r="X78" s="14" t="s">
        <v>38</v>
      </c>
      <c r="Y78" s="14" t="s">
        <v>878</v>
      </c>
      <c r="Z78" s="14" t="s">
        <v>31</v>
      </c>
      <c r="AA78" s="77" t="s">
        <v>47</v>
      </c>
      <c r="AB78" s="39">
        <v>1917865</v>
      </c>
      <c r="AC78" s="8">
        <f>+H78-AB78</f>
        <v>-157332</v>
      </c>
      <c r="AD78" s="14"/>
      <c r="AE78" s="9">
        <f>+AC78/G78</f>
        <v>-8.9365052136997788E-2</v>
      </c>
      <c r="AF78" s="14"/>
      <c r="AG78" s="14"/>
      <c r="AH78" s="14" t="s">
        <v>31</v>
      </c>
      <c r="AI78" s="3"/>
      <c r="AJ78" s="51">
        <v>1900003228</v>
      </c>
      <c r="AK78" s="39">
        <v>1899122</v>
      </c>
      <c r="AL78" s="8">
        <f t="shared" si="35"/>
        <v>-138589</v>
      </c>
      <c r="AM78" s="14"/>
      <c r="AN78" s="9">
        <f>+AL78/H78</f>
        <v>-7.8719910390773709E-2</v>
      </c>
      <c r="AO78" s="14"/>
      <c r="AP78" s="14" t="s">
        <v>31</v>
      </c>
      <c r="AQ78" s="14"/>
      <c r="AR78" s="20">
        <v>1900003894</v>
      </c>
      <c r="AS78" s="39">
        <v>1899122</v>
      </c>
      <c r="AT78" s="8">
        <f t="shared" si="37"/>
        <v>-138589</v>
      </c>
      <c r="AU78" s="14"/>
      <c r="AV78" s="14">
        <v>0</v>
      </c>
      <c r="AW78" s="14"/>
      <c r="AX78" s="14" t="s">
        <v>31</v>
      </c>
      <c r="AY78" s="14"/>
      <c r="AZ78" s="84">
        <v>1900004279</v>
      </c>
      <c r="BA78" s="39">
        <v>1899122</v>
      </c>
      <c r="BB78" s="8">
        <f t="shared" si="36"/>
        <v>-138589</v>
      </c>
      <c r="BC78" s="14"/>
      <c r="BD78" s="14">
        <v>0</v>
      </c>
      <c r="BE78" s="14"/>
      <c r="BF78" s="14" t="s">
        <v>31</v>
      </c>
      <c r="BG78" s="14"/>
      <c r="BH78" s="14"/>
      <c r="BI78" s="39">
        <v>1899122</v>
      </c>
      <c r="BJ78" s="14">
        <v>0</v>
      </c>
      <c r="BK78" s="14"/>
      <c r="BL78" s="14">
        <v>0</v>
      </c>
      <c r="BM78" s="14"/>
      <c r="BN78" s="14" t="s">
        <v>31</v>
      </c>
      <c r="BO78" s="14"/>
      <c r="BP78" s="14"/>
      <c r="BQ78" s="39">
        <v>1899122</v>
      </c>
      <c r="BR78" s="14">
        <v>0</v>
      </c>
      <c r="BS78" s="14"/>
      <c r="BT78" s="14">
        <v>0</v>
      </c>
      <c r="BU78" s="14"/>
      <c r="BV78" s="14" t="s">
        <v>31</v>
      </c>
      <c r="BW78" s="14"/>
      <c r="BX78" s="14"/>
      <c r="BY78" s="39">
        <v>1899122</v>
      </c>
      <c r="BZ78" s="14">
        <v>0</v>
      </c>
      <c r="CA78" s="14"/>
      <c r="CB78" s="14">
        <v>0</v>
      </c>
      <c r="CC78" s="14"/>
      <c r="CD78" s="14" t="s">
        <v>31</v>
      </c>
      <c r="CE78" s="14"/>
      <c r="CF78" s="14"/>
    </row>
    <row r="79" spans="1:84" x14ac:dyDescent="0.35">
      <c r="A79" s="1" t="s">
        <v>358</v>
      </c>
      <c r="B79" s="26" t="s">
        <v>726</v>
      </c>
      <c r="C79" s="24">
        <v>6627</v>
      </c>
      <c r="D79" s="22">
        <v>204556</v>
      </c>
      <c r="E79" s="18" t="s">
        <v>721</v>
      </c>
      <c r="F79" s="19" t="s">
        <v>722</v>
      </c>
      <c r="G79" s="39">
        <v>1399284</v>
      </c>
      <c r="H79" s="39">
        <v>1399284</v>
      </c>
      <c r="I79" s="8">
        <f t="shared" si="31"/>
        <v>0</v>
      </c>
      <c r="J79" s="8">
        <f t="shared" si="32"/>
        <v>0</v>
      </c>
      <c r="K79" s="12">
        <v>1358529</v>
      </c>
      <c r="L79" s="12"/>
      <c r="M79" s="12"/>
      <c r="N79" s="8">
        <f t="shared" si="33"/>
        <v>0</v>
      </c>
      <c r="O79" s="14"/>
      <c r="P79" s="14" t="s">
        <v>38</v>
      </c>
      <c r="Q79" s="14" t="s">
        <v>876</v>
      </c>
      <c r="R79" s="14" t="s">
        <v>31</v>
      </c>
      <c r="S79" s="77" t="s">
        <v>55</v>
      </c>
      <c r="T79" s="39">
        <v>1358529</v>
      </c>
      <c r="U79" s="8">
        <f t="shared" si="34"/>
        <v>40755</v>
      </c>
      <c r="V79" s="14"/>
      <c r="W79" s="9">
        <f>+U79/H79</f>
        <v>2.9125609954805457E-2</v>
      </c>
      <c r="X79" s="14" t="s">
        <v>38</v>
      </c>
      <c r="Y79" s="14"/>
      <c r="Z79" s="14" t="s">
        <v>31</v>
      </c>
      <c r="AA79" s="77" t="s">
        <v>47</v>
      </c>
      <c r="AB79" s="39">
        <v>1358529</v>
      </c>
      <c r="AC79" s="8">
        <f>+H79-AB79</f>
        <v>40755</v>
      </c>
      <c r="AD79" s="14"/>
      <c r="AE79" s="9">
        <f>+AC79/G79</f>
        <v>2.9125609954805457E-2</v>
      </c>
      <c r="AF79" s="14"/>
      <c r="AG79" s="14"/>
      <c r="AH79" s="14" t="s">
        <v>31</v>
      </c>
      <c r="AI79" s="3"/>
      <c r="AJ79" s="51">
        <v>1900003233</v>
      </c>
      <c r="AK79" s="39">
        <v>1358528</v>
      </c>
      <c r="AL79" s="8">
        <f t="shared" si="35"/>
        <v>40756</v>
      </c>
      <c r="AM79" s="14"/>
      <c r="AN79" s="9">
        <f>+AL79/H79</f>
        <v>2.9126324606012791E-2</v>
      </c>
      <c r="AO79" s="14"/>
      <c r="AP79" s="14" t="s">
        <v>31</v>
      </c>
      <c r="AQ79" s="14"/>
      <c r="AR79" s="20">
        <v>1900003895</v>
      </c>
      <c r="AS79" s="39">
        <v>1358528</v>
      </c>
      <c r="AT79" s="8">
        <f t="shared" si="37"/>
        <v>40756</v>
      </c>
      <c r="AU79" s="39">
        <v>679265</v>
      </c>
      <c r="AV79" s="9">
        <f>+(AT79+AU79)/H79</f>
        <v>0.51456387695421368</v>
      </c>
      <c r="AW79" s="14"/>
      <c r="AX79" s="14" t="s">
        <v>31</v>
      </c>
      <c r="AY79" s="14"/>
      <c r="AZ79" s="84" t="s">
        <v>879</v>
      </c>
      <c r="BA79" s="39">
        <v>1358528</v>
      </c>
      <c r="BB79" s="8">
        <f t="shared" si="36"/>
        <v>40756</v>
      </c>
      <c r="BC79" s="39">
        <v>489750</v>
      </c>
      <c r="BD79" s="9">
        <f>+(BB79+BC79)/H79</f>
        <v>0.37912675339673718</v>
      </c>
      <c r="BE79" s="14"/>
      <c r="BF79" s="14" t="s">
        <v>31</v>
      </c>
      <c r="BG79" s="14"/>
      <c r="BH79" s="14"/>
      <c r="BI79" s="39">
        <v>1358528</v>
      </c>
      <c r="BJ79" s="8">
        <f>+H79-BI79</f>
        <v>40756</v>
      </c>
      <c r="BK79" s="14"/>
      <c r="BL79" s="9">
        <f>+BJ79/H79</f>
        <v>2.9126324606012791E-2</v>
      </c>
      <c r="BM79" s="14"/>
      <c r="BN79" s="14" t="s">
        <v>31</v>
      </c>
      <c r="BO79" s="14"/>
      <c r="BP79" s="14"/>
      <c r="BQ79" s="39">
        <v>1358528</v>
      </c>
      <c r="BR79" s="8">
        <f>+H79-BQ79</f>
        <v>40756</v>
      </c>
      <c r="BS79" s="39">
        <v>475485</v>
      </c>
      <c r="BT79" s="9">
        <f>+BR79/H79</f>
        <v>2.9126324606012791E-2</v>
      </c>
      <c r="BU79" s="14"/>
      <c r="BV79" s="14" t="s">
        <v>31</v>
      </c>
      <c r="BW79" s="14"/>
      <c r="BX79" s="14"/>
      <c r="BY79" s="39">
        <v>1358528</v>
      </c>
      <c r="BZ79" s="14">
        <v>0</v>
      </c>
      <c r="CA79" s="39">
        <v>771593</v>
      </c>
      <c r="CB79" s="9">
        <f>+CA79/BY79</f>
        <v>0.56796253003250574</v>
      </c>
      <c r="CC79" s="39"/>
      <c r="CD79" s="14" t="s">
        <v>31</v>
      </c>
      <c r="CE79" s="14"/>
      <c r="CF79" s="14"/>
    </row>
    <row r="80" spans="1:84" x14ac:dyDescent="0.35">
      <c r="A80" s="1" t="s">
        <v>369</v>
      </c>
      <c r="B80" s="26" t="s">
        <v>727</v>
      </c>
      <c r="C80" s="24">
        <v>6629</v>
      </c>
      <c r="D80" s="22">
        <v>206755</v>
      </c>
      <c r="E80" s="18" t="s">
        <v>371</v>
      </c>
      <c r="F80" s="19" t="s">
        <v>728</v>
      </c>
      <c r="G80" s="39">
        <v>857790</v>
      </c>
      <c r="H80" s="39">
        <v>857790</v>
      </c>
      <c r="I80" s="8">
        <f t="shared" si="31"/>
        <v>0</v>
      </c>
      <c r="J80" s="8">
        <f t="shared" si="32"/>
        <v>0</v>
      </c>
      <c r="K80" s="39">
        <v>428892</v>
      </c>
      <c r="L80" s="12">
        <f>+H80-K80</f>
        <v>428898</v>
      </c>
      <c r="M80" s="12"/>
      <c r="N80" s="9">
        <f t="shared" si="33"/>
        <v>0.50000349735949356</v>
      </c>
      <c r="O80" s="14"/>
      <c r="P80" s="14"/>
      <c r="Q80" s="14"/>
      <c r="R80" s="14"/>
      <c r="S80" s="3"/>
      <c r="T80" s="39">
        <v>428892</v>
      </c>
      <c r="U80" s="8">
        <f t="shared" si="34"/>
        <v>428898</v>
      </c>
      <c r="V80" s="14"/>
      <c r="W80" s="9">
        <f>+U80/H80</f>
        <v>0.50000349735949356</v>
      </c>
      <c r="X80" s="14"/>
      <c r="Y80" s="14"/>
      <c r="Z80" s="14"/>
      <c r="AA80" s="3"/>
      <c r="AB80" s="39">
        <v>428892</v>
      </c>
      <c r="AC80" s="8">
        <f>+H80-AB80</f>
        <v>428898</v>
      </c>
      <c r="AD80" s="14"/>
      <c r="AE80" s="9">
        <f>+AC80/H80</f>
        <v>0.50000349735949356</v>
      </c>
      <c r="AF80" s="14"/>
      <c r="AG80" s="14"/>
      <c r="AH80" s="14" t="s">
        <v>31</v>
      </c>
      <c r="AI80" s="3"/>
      <c r="AJ80" s="20">
        <v>1900003447</v>
      </c>
      <c r="AK80" s="39">
        <v>428895</v>
      </c>
      <c r="AL80" s="8">
        <f t="shared" si="35"/>
        <v>428895</v>
      </c>
      <c r="AM80" s="14"/>
      <c r="AN80" s="9">
        <f>+AL80/H80</f>
        <v>0.5</v>
      </c>
      <c r="AO80" s="14"/>
      <c r="AP80" s="14" t="s">
        <v>31</v>
      </c>
      <c r="AQ80" s="14"/>
      <c r="AR80" s="20">
        <v>1900003761</v>
      </c>
      <c r="AS80" s="39">
        <v>428895</v>
      </c>
      <c r="AT80" s="8">
        <f t="shared" si="37"/>
        <v>428895</v>
      </c>
      <c r="AU80" s="14"/>
      <c r="AV80" s="9">
        <f>+AT80/H80</f>
        <v>0.5</v>
      </c>
      <c r="AW80" s="14"/>
      <c r="AX80" s="14" t="s">
        <v>31</v>
      </c>
      <c r="AY80" s="14"/>
      <c r="AZ80" s="85">
        <v>1900004171</v>
      </c>
      <c r="BA80" s="39">
        <v>428895</v>
      </c>
      <c r="BB80" s="8">
        <f t="shared" si="36"/>
        <v>428895</v>
      </c>
      <c r="BC80" s="14"/>
      <c r="BD80" s="9">
        <f>+BB80/H80</f>
        <v>0.5</v>
      </c>
      <c r="BE80" s="14"/>
      <c r="BF80" s="14" t="s">
        <v>31</v>
      </c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</row>
    <row r="81" spans="1:84" x14ac:dyDescent="0.35">
      <c r="A81" s="1" t="s">
        <v>373</v>
      </c>
      <c r="B81" s="26" t="s">
        <v>729</v>
      </c>
      <c r="C81" s="24">
        <v>6632</v>
      </c>
      <c r="D81" s="22">
        <v>204652</v>
      </c>
      <c r="E81" s="18" t="s">
        <v>730</v>
      </c>
      <c r="F81" s="19" t="s">
        <v>679</v>
      </c>
      <c r="G81" s="39">
        <v>1016547</v>
      </c>
      <c r="H81" s="39">
        <v>1016547</v>
      </c>
      <c r="I81" s="8">
        <f t="shared" si="31"/>
        <v>0</v>
      </c>
      <c r="J81" s="8">
        <f t="shared" si="32"/>
        <v>0</v>
      </c>
      <c r="K81" s="12"/>
      <c r="L81" s="12"/>
      <c r="M81" s="12"/>
      <c r="N81" s="8">
        <f t="shared" si="33"/>
        <v>0</v>
      </c>
      <c r="O81" s="14"/>
      <c r="P81" s="14"/>
      <c r="Q81" s="14"/>
      <c r="R81" s="14"/>
      <c r="S81" s="3"/>
      <c r="T81" s="39">
        <v>1016547</v>
      </c>
      <c r="U81" s="8">
        <f t="shared" si="34"/>
        <v>0</v>
      </c>
      <c r="V81" s="14"/>
      <c r="W81" s="14">
        <v>0</v>
      </c>
      <c r="X81" s="14" t="s">
        <v>38</v>
      </c>
      <c r="Y81" s="14"/>
      <c r="Z81" s="14" t="s">
        <v>31</v>
      </c>
      <c r="AA81" s="3"/>
      <c r="AB81" s="8">
        <f>+H81</f>
        <v>1016547</v>
      </c>
      <c r="AC81" s="14">
        <v>0</v>
      </c>
      <c r="AD81" s="14"/>
      <c r="AE81" s="14">
        <v>0</v>
      </c>
      <c r="AF81" s="14"/>
      <c r="AG81" s="14"/>
      <c r="AH81" s="14" t="s">
        <v>31</v>
      </c>
      <c r="AI81" s="3"/>
      <c r="AJ81" s="52">
        <v>1900003381</v>
      </c>
      <c r="AK81" s="39">
        <v>1177774</v>
      </c>
      <c r="AL81" s="8">
        <f t="shared" si="35"/>
        <v>-161227</v>
      </c>
      <c r="AM81" s="14"/>
      <c r="AN81" s="14">
        <v>0</v>
      </c>
      <c r="AO81" s="14"/>
      <c r="AP81" s="14" t="s">
        <v>31</v>
      </c>
      <c r="AQ81" s="14"/>
      <c r="AR81" s="20">
        <v>1900004034</v>
      </c>
      <c r="AS81" s="39">
        <v>1016547</v>
      </c>
      <c r="AT81" s="8">
        <f t="shared" si="37"/>
        <v>0</v>
      </c>
      <c r="AU81" s="14"/>
      <c r="AV81" s="14">
        <v>0</v>
      </c>
      <c r="AW81" s="14"/>
      <c r="AX81" s="14" t="s">
        <v>31</v>
      </c>
      <c r="AY81" s="14"/>
      <c r="AZ81" s="85">
        <v>1900004103</v>
      </c>
      <c r="BA81" s="39">
        <v>1177774</v>
      </c>
      <c r="BB81" s="8">
        <f t="shared" si="36"/>
        <v>-161227</v>
      </c>
      <c r="BC81" s="14"/>
      <c r="BD81" s="14">
        <v>0</v>
      </c>
      <c r="BE81" s="14"/>
      <c r="BF81" s="14" t="s">
        <v>31</v>
      </c>
      <c r="BG81" s="14"/>
      <c r="BH81" s="14"/>
      <c r="BI81" s="39">
        <v>1016548</v>
      </c>
      <c r="BJ81" s="8">
        <f>+H81-BI81</f>
        <v>-1</v>
      </c>
      <c r="BK81" s="14"/>
      <c r="BL81" s="14">
        <v>0</v>
      </c>
      <c r="BM81" s="14"/>
      <c r="BN81" s="14" t="s">
        <v>31</v>
      </c>
      <c r="BO81" s="14"/>
      <c r="BP81" s="14"/>
      <c r="BQ81" s="39">
        <v>1016548</v>
      </c>
      <c r="BR81" s="14">
        <v>0</v>
      </c>
      <c r="BS81" s="14"/>
      <c r="BT81" s="14">
        <v>0</v>
      </c>
      <c r="BU81" s="14"/>
      <c r="BV81" s="14" t="s">
        <v>31</v>
      </c>
      <c r="BW81" s="14"/>
      <c r="BX81" s="14"/>
      <c r="BY81" s="14"/>
      <c r="BZ81" s="14"/>
      <c r="CA81" s="14"/>
      <c r="CB81" s="14"/>
      <c r="CC81" s="14"/>
      <c r="CD81" s="14"/>
      <c r="CE81" s="14"/>
      <c r="CF81" s="14"/>
    </row>
    <row r="82" spans="1:84" x14ac:dyDescent="0.35">
      <c r="A82" s="1" t="s">
        <v>380</v>
      </c>
      <c r="B82" s="26" t="s">
        <v>731</v>
      </c>
      <c r="C82" s="24">
        <v>6636</v>
      </c>
      <c r="D82" s="22">
        <v>204588</v>
      </c>
      <c r="E82" s="18" t="s">
        <v>382</v>
      </c>
      <c r="F82" s="19" t="s">
        <v>732</v>
      </c>
      <c r="G82" s="39">
        <v>1807751</v>
      </c>
      <c r="H82" s="39">
        <v>2051797</v>
      </c>
      <c r="I82" s="8">
        <f t="shared" si="31"/>
        <v>244046</v>
      </c>
      <c r="J82" s="10">
        <f t="shared" si="32"/>
        <v>0.13499978702819138</v>
      </c>
      <c r="K82" s="12">
        <v>1889100</v>
      </c>
      <c r="L82" s="12">
        <f>+H82-K82</f>
        <v>162697</v>
      </c>
      <c r="M82" s="12"/>
      <c r="N82" s="9">
        <f t="shared" si="33"/>
        <v>7.9294881511182636E-2</v>
      </c>
      <c r="O82" s="14"/>
      <c r="P82" s="14" t="s">
        <v>38</v>
      </c>
      <c r="Q82" s="14"/>
      <c r="R82" s="14" t="s">
        <v>31</v>
      </c>
      <c r="S82" s="78" t="s">
        <v>832</v>
      </c>
      <c r="T82" s="43">
        <v>1133460</v>
      </c>
      <c r="U82" s="44">
        <f t="shared" si="34"/>
        <v>918337</v>
      </c>
      <c r="V82" s="14"/>
      <c r="W82" s="9">
        <f>+U82/H82</f>
        <v>0.44757692890670958</v>
      </c>
      <c r="X82" s="14" t="s">
        <v>46</v>
      </c>
      <c r="Y82" s="14"/>
      <c r="Z82" s="14" t="s">
        <v>31</v>
      </c>
      <c r="AA82" s="77" t="s">
        <v>47</v>
      </c>
      <c r="AB82" s="39">
        <v>1133460</v>
      </c>
      <c r="AC82" s="8">
        <f>+H82-AB82</f>
        <v>918337</v>
      </c>
      <c r="AD82" s="14"/>
      <c r="AE82" s="9">
        <f>+AC82/H82</f>
        <v>0.44757692890670958</v>
      </c>
      <c r="AF82" s="14" t="s">
        <v>46</v>
      </c>
      <c r="AG82" s="14"/>
      <c r="AH82" s="14" t="s">
        <v>31</v>
      </c>
      <c r="AI82" s="3"/>
      <c r="AJ82" s="51">
        <v>1900003310</v>
      </c>
      <c r="AK82" s="39">
        <v>1227915</v>
      </c>
      <c r="AL82" s="8">
        <f t="shared" si="35"/>
        <v>823882</v>
      </c>
      <c r="AM82" s="14"/>
      <c r="AN82" s="9">
        <f>+AL82/H82</f>
        <v>0.40154167298226873</v>
      </c>
      <c r="AO82" s="14"/>
      <c r="AP82" s="14" t="s">
        <v>31</v>
      </c>
      <c r="AQ82" s="14"/>
      <c r="AR82" s="20">
        <v>1900003793</v>
      </c>
      <c r="AS82" s="39">
        <v>1227915</v>
      </c>
      <c r="AT82" s="39">
        <f t="shared" si="37"/>
        <v>823882</v>
      </c>
      <c r="AU82" s="14"/>
      <c r="AV82" s="9">
        <f>+AT82/H82</f>
        <v>0.40154167298226873</v>
      </c>
      <c r="AW82" s="14"/>
      <c r="AX82" s="14" t="s">
        <v>31</v>
      </c>
      <c r="AY82" s="14"/>
      <c r="AZ82" s="85">
        <v>1900004187</v>
      </c>
      <c r="BA82" s="39">
        <v>1227915</v>
      </c>
      <c r="BB82" s="8">
        <f t="shared" si="36"/>
        <v>823882</v>
      </c>
      <c r="BC82" s="14"/>
      <c r="BD82" s="9">
        <f>+BB82/H82</f>
        <v>0.40154167298226873</v>
      </c>
      <c r="BE82" s="14"/>
      <c r="BF82" s="14" t="s">
        <v>31</v>
      </c>
      <c r="BG82" s="14"/>
      <c r="BH82" s="14"/>
      <c r="BI82" s="39">
        <v>1511280</v>
      </c>
      <c r="BJ82" s="14">
        <v>0</v>
      </c>
      <c r="BK82" s="14"/>
      <c r="BL82" s="14">
        <v>0</v>
      </c>
      <c r="BM82" s="14"/>
      <c r="BN82" s="14" t="s">
        <v>31</v>
      </c>
      <c r="BO82" s="14"/>
      <c r="BP82" s="14"/>
      <c r="BQ82" s="39">
        <v>1605735</v>
      </c>
      <c r="BR82" s="14">
        <v>0</v>
      </c>
      <c r="BS82" s="14"/>
      <c r="BT82" s="14">
        <v>0</v>
      </c>
      <c r="BU82" s="14"/>
      <c r="BV82" s="14" t="s">
        <v>31</v>
      </c>
      <c r="BW82" s="14"/>
      <c r="BX82" s="14"/>
      <c r="BY82" s="39">
        <v>1889100</v>
      </c>
      <c r="BZ82" s="14">
        <v>0</v>
      </c>
      <c r="CA82" s="14"/>
      <c r="CB82" s="14">
        <v>0</v>
      </c>
      <c r="CC82" s="14"/>
      <c r="CD82" s="14" t="s">
        <v>31</v>
      </c>
      <c r="CE82" s="14"/>
      <c r="CF82" s="14"/>
    </row>
    <row r="83" spans="1:84" ht="15.5" x14ac:dyDescent="0.35">
      <c r="A83" s="1" t="s">
        <v>91</v>
      </c>
      <c r="B83" s="26" t="s">
        <v>733</v>
      </c>
      <c r="C83" s="24">
        <v>6640</v>
      </c>
      <c r="D83" s="22">
        <v>204549</v>
      </c>
      <c r="E83" s="18" t="s">
        <v>734</v>
      </c>
      <c r="F83" s="19" t="s">
        <v>735</v>
      </c>
      <c r="G83" s="39">
        <v>1358486</v>
      </c>
      <c r="H83" s="39">
        <v>1358486</v>
      </c>
      <c r="I83" s="8">
        <f t="shared" si="31"/>
        <v>0</v>
      </c>
      <c r="J83" s="8">
        <f t="shared" si="32"/>
        <v>0</v>
      </c>
      <c r="K83" s="12">
        <v>1397879</v>
      </c>
      <c r="L83" s="12">
        <f>+H83-K83</f>
        <v>-39393</v>
      </c>
      <c r="M83" s="12"/>
      <c r="N83" s="9">
        <f t="shared" si="33"/>
        <v>-2.8997722464567173E-2</v>
      </c>
      <c r="O83" s="14"/>
      <c r="P83" s="14" t="s">
        <v>38</v>
      </c>
      <c r="Q83" s="14" t="s">
        <v>880</v>
      </c>
      <c r="R83" s="14" t="s">
        <v>31</v>
      </c>
      <c r="S83" s="80" t="s">
        <v>47</v>
      </c>
      <c r="T83" s="14"/>
      <c r="U83" s="14"/>
      <c r="V83" s="14"/>
      <c r="W83" s="14"/>
      <c r="X83" s="14"/>
      <c r="Y83" s="14"/>
      <c r="Z83" s="14"/>
      <c r="AA83" s="3"/>
      <c r="AB83" s="14"/>
      <c r="AC83" s="14"/>
      <c r="AD83" s="14"/>
      <c r="AE83" s="14"/>
      <c r="AF83" s="14"/>
      <c r="AG83" s="14"/>
      <c r="AH83" s="14"/>
      <c r="AI83" s="3"/>
      <c r="AJ83" s="51"/>
      <c r="AK83" s="14"/>
      <c r="AL83" s="14"/>
      <c r="AM83" s="14"/>
      <c r="AN83" s="14"/>
      <c r="AO83" s="14"/>
      <c r="AP83" s="14"/>
      <c r="AQ83" s="14"/>
      <c r="AR83" s="20"/>
      <c r="AS83" s="39">
        <v>961193</v>
      </c>
      <c r="AT83" s="8">
        <f>+H83-AS83</f>
        <v>397293</v>
      </c>
      <c r="AU83" s="14"/>
      <c r="AV83" s="9">
        <f>+AT83/H83</f>
        <v>0.29245277463293695</v>
      </c>
      <c r="AW83" s="14"/>
      <c r="AX83" s="14" t="s">
        <v>31</v>
      </c>
      <c r="AY83" s="14"/>
      <c r="AZ83" s="84">
        <v>1900004304</v>
      </c>
      <c r="BA83" s="39">
        <v>1052272</v>
      </c>
      <c r="BB83" s="8">
        <f t="shared" si="36"/>
        <v>306214</v>
      </c>
      <c r="BC83" s="14"/>
      <c r="BD83" s="9">
        <f>+BB83/H83</f>
        <v>0.22540828540007038</v>
      </c>
      <c r="BE83" s="14"/>
      <c r="BF83" s="14" t="s">
        <v>31</v>
      </c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39">
        <v>1089352</v>
      </c>
      <c r="BR83" s="8">
        <f>+H83-BQ83</f>
        <v>269134</v>
      </c>
      <c r="BS83" s="14"/>
      <c r="BT83" s="9">
        <f>+BR83/H83</f>
        <v>0.19811319365823424</v>
      </c>
      <c r="BU83" s="14"/>
      <c r="BV83" s="14" t="s">
        <v>31</v>
      </c>
      <c r="BW83" s="14"/>
      <c r="BX83" s="14"/>
      <c r="BY83" s="39">
        <v>1281590</v>
      </c>
      <c r="BZ83" s="14">
        <v>0</v>
      </c>
      <c r="CA83" s="14"/>
      <c r="CB83" s="14">
        <v>0</v>
      </c>
      <c r="CC83" s="14"/>
      <c r="CD83" s="14" t="s">
        <v>31</v>
      </c>
      <c r="CE83" s="14"/>
      <c r="CF83" s="14"/>
    </row>
    <row r="84" spans="1:84" x14ac:dyDescent="0.35">
      <c r="A84" s="1" t="s">
        <v>881</v>
      </c>
      <c r="B84" s="26" t="s">
        <v>882</v>
      </c>
      <c r="C84" s="24">
        <v>6649</v>
      </c>
      <c r="D84" s="22">
        <v>204554</v>
      </c>
      <c r="E84" s="18" t="s">
        <v>883</v>
      </c>
      <c r="F84" s="19" t="s">
        <v>884</v>
      </c>
      <c r="G84" s="39">
        <v>441000</v>
      </c>
      <c r="H84" s="7">
        <v>0</v>
      </c>
      <c r="I84" s="8">
        <f t="shared" si="31"/>
        <v>-441000</v>
      </c>
      <c r="J84" s="9">
        <f t="shared" si="32"/>
        <v>-1</v>
      </c>
      <c r="K84" s="12"/>
      <c r="L84" s="12"/>
      <c r="M84" s="12"/>
      <c r="N84" s="8">
        <v>0</v>
      </c>
      <c r="O84" s="14"/>
      <c r="P84" s="14"/>
      <c r="Q84" s="14"/>
      <c r="R84" s="14"/>
      <c r="S84" s="3"/>
      <c r="T84" s="14"/>
      <c r="U84" s="14"/>
      <c r="V84" s="14"/>
      <c r="W84" s="14"/>
      <c r="X84" s="14"/>
      <c r="Y84" s="14"/>
      <c r="Z84" s="14"/>
      <c r="AA84" s="3"/>
      <c r="AB84" s="14"/>
      <c r="AC84" s="14"/>
      <c r="AD84" s="14"/>
      <c r="AE84" s="14"/>
      <c r="AF84" s="14"/>
      <c r="AG84" s="14"/>
      <c r="AH84" s="14"/>
      <c r="AI84" s="3"/>
      <c r="AJ84" s="51"/>
      <c r="AK84" s="14"/>
      <c r="AL84" s="14"/>
      <c r="AM84" s="14"/>
      <c r="AN84" s="14"/>
      <c r="AO84" s="14"/>
      <c r="AP84" s="14"/>
      <c r="AQ84" s="14"/>
      <c r="AR84" s="20"/>
      <c r="AS84" s="14"/>
      <c r="AT84" s="14"/>
      <c r="AU84" s="14"/>
      <c r="AV84" s="14"/>
      <c r="AW84" s="14"/>
      <c r="AX84" s="14"/>
      <c r="AY84" s="14"/>
      <c r="AZ84" s="85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</row>
    <row r="85" spans="1:84" x14ac:dyDescent="0.35">
      <c r="A85" s="1" t="s">
        <v>397</v>
      </c>
      <c r="B85" s="26" t="s">
        <v>736</v>
      </c>
      <c r="C85" s="24">
        <v>6652</v>
      </c>
      <c r="D85" s="22">
        <v>204565</v>
      </c>
      <c r="E85" s="18" t="s">
        <v>737</v>
      </c>
      <c r="F85" s="19" t="s">
        <v>738</v>
      </c>
      <c r="G85" s="39">
        <v>1513996</v>
      </c>
      <c r="H85" s="39">
        <v>1680351</v>
      </c>
      <c r="I85" s="8">
        <f t="shared" si="31"/>
        <v>166355</v>
      </c>
      <c r="J85" s="9">
        <f t="shared" si="32"/>
        <v>0.10987809743222571</v>
      </c>
      <c r="K85" s="12">
        <v>1680351</v>
      </c>
      <c r="L85" s="12">
        <f>+H85-K85</f>
        <v>0</v>
      </c>
      <c r="M85" s="12"/>
      <c r="N85" s="8">
        <f t="shared" si="33"/>
        <v>0</v>
      </c>
      <c r="O85" s="14"/>
      <c r="P85" s="14"/>
      <c r="Q85" s="14" t="s">
        <v>885</v>
      </c>
      <c r="R85" s="14"/>
      <c r="S85" s="3"/>
      <c r="T85" s="39">
        <v>1680351</v>
      </c>
      <c r="U85" s="8">
        <f>+H85-T85</f>
        <v>0</v>
      </c>
      <c r="V85" s="14"/>
      <c r="W85" s="14">
        <v>0</v>
      </c>
      <c r="X85" s="14"/>
      <c r="Y85" s="14"/>
      <c r="Z85" s="14"/>
      <c r="AA85" s="3"/>
      <c r="AB85" s="39">
        <v>1680351</v>
      </c>
      <c r="AC85" s="8">
        <f>+H85-AB85</f>
        <v>0</v>
      </c>
      <c r="AD85" s="14"/>
      <c r="AE85" s="14">
        <v>0</v>
      </c>
      <c r="AF85" s="14"/>
      <c r="AG85" s="14"/>
      <c r="AH85" s="14"/>
      <c r="AI85" s="3"/>
      <c r="AJ85" s="51"/>
      <c r="AK85" s="39">
        <v>1680351</v>
      </c>
      <c r="AL85" s="8">
        <f>+H85-AK85</f>
        <v>0</v>
      </c>
      <c r="AM85" s="14"/>
      <c r="AN85" s="14">
        <v>0</v>
      </c>
      <c r="AO85" s="14"/>
      <c r="AP85" s="14"/>
      <c r="AQ85" s="14"/>
      <c r="AR85" s="20"/>
      <c r="AS85" s="39">
        <v>1680351</v>
      </c>
      <c r="AT85" s="8">
        <f>+H85-AS85</f>
        <v>0</v>
      </c>
      <c r="AU85" s="14"/>
      <c r="AV85" s="14">
        <v>0</v>
      </c>
      <c r="AW85" s="14"/>
      <c r="AX85" s="14"/>
      <c r="AY85" s="14"/>
      <c r="AZ85" s="85"/>
      <c r="BA85" s="39">
        <v>1680351</v>
      </c>
      <c r="BB85" s="8">
        <f>+H85-BA85</f>
        <v>0</v>
      </c>
      <c r="BC85" s="14"/>
      <c r="BD85" s="14">
        <v>0</v>
      </c>
      <c r="BE85" s="14"/>
      <c r="BF85" s="14" t="s">
        <v>31</v>
      </c>
      <c r="BG85" s="14"/>
      <c r="BH85" s="14"/>
      <c r="BI85" s="39">
        <v>1680351</v>
      </c>
      <c r="BJ85" s="14">
        <v>0</v>
      </c>
      <c r="BK85" s="14"/>
      <c r="BL85" s="14">
        <v>0</v>
      </c>
      <c r="BM85" s="14"/>
      <c r="BN85" s="14" t="s">
        <v>31</v>
      </c>
      <c r="BO85" s="14"/>
      <c r="BP85" s="14"/>
      <c r="BQ85" s="39">
        <v>1680351</v>
      </c>
      <c r="BR85" s="14">
        <v>0</v>
      </c>
      <c r="BS85" s="14"/>
      <c r="BT85" s="14">
        <v>0</v>
      </c>
      <c r="BU85" s="14"/>
      <c r="BV85" s="14" t="s">
        <v>31</v>
      </c>
      <c r="BW85" s="14"/>
      <c r="BX85" s="14"/>
      <c r="BY85" s="39">
        <v>1680351</v>
      </c>
      <c r="BZ85" s="14">
        <v>0</v>
      </c>
      <c r="CA85" s="14"/>
      <c r="CB85" s="14">
        <v>0</v>
      </c>
      <c r="CC85" s="14"/>
      <c r="CD85" s="14" t="s">
        <v>31</v>
      </c>
      <c r="CE85" s="14"/>
      <c r="CF85" s="14"/>
    </row>
    <row r="86" spans="1:84" x14ac:dyDescent="0.35">
      <c r="A86" s="1" t="s">
        <v>401</v>
      </c>
      <c r="B86" s="26" t="s">
        <v>739</v>
      </c>
      <c r="C86" s="24">
        <v>6660</v>
      </c>
      <c r="D86" s="22">
        <v>204618</v>
      </c>
      <c r="E86" s="18" t="s">
        <v>740</v>
      </c>
      <c r="F86" s="19" t="s">
        <v>741</v>
      </c>
      <c r="G86" s="39">
        <v>1951690</v>
      </c>
      <c r="H86" s="39">
        <v>2010240</v>
      </c>
      <c r="I86" s="8">
        <f t="shared" si="31"/>
        <v>58550</v>
      </c>
      <c r="J86" s="9">
        <f t="shared" si="32"/>
        <v>2.9999641336482741E-2</v>
      </c>
      <c r="K86" s="12">
        <v>1951690</v>
      </c>
      <c r="L86" s="12"/>
      <c r="M86" s="12"/>
      <c r="N86" s="8">
        <f t="shared" si="33"/>
        <v>0</v>
      </c>
      <c r="O86" s="14"/>
      <c r="P86" s="14" t="s">
        <v>38</v>
      </c>
      <c r="Q86" s="14" t="s">
        <v>886</v>
      </c>
      <c r="R86" s="14" t="s">
        <v>31</v>
      </c>
      <c r="S86" s="77" t="s">
        <v>55</v>
      </c>
      <c r="T86" s="39">
        <f>878261+1951690</f>
        <v>2829951</v>
      </c>
      <c r="U86" s="8">
        <f>+H86-T86</f>
        <v>-819711</v>
      </c>
      <c r="V86" s="14"/>
      <c r="W86" s="9">
        <f>+U86/H86</f>
        <v>-0.40776772922636101</v>
      </c>
      <c r="X86" s="14" t="s">
        <v>46</v>
      </c>
      <c r="Y86" s="14"/>
      <c r="Z86" s="14" t="s">
        <v>31</v>
      </c>
      <c r="AA86" s="3"/>
      <c r="AB86" s="39">
        <v>975845</v>
      </c>
      <c r="AC86" s="8">
        <f>+H86-AB86</f>
        <v>1034395</v>
      </c>
      <c r="AD86" s="14"/>
      <c r="AE86" s="9">
        <f>+AC86/H86</f>
        <v>0.51456293775867556</v>
      </c>
      <c r="AF86" s="14"/>
      <c r="AG86" s="14"/>
      <c r="AH86" s="14" t="s">
        <v>31</v>
      </c>
      <c r="AI86" s="77" t="s">
        <v>47</v>
      </c>
      <c r="AJ86" s="20">
        <v>1900003571</v>
      </c>
      <c r="AK86" s="39">
        <v>878261</v>
      </c>
      <c r="AL86" s="8">
        <f>+H86-AK86</f>
        <v>1131979</v>
      </c>
      <c r="AM86" s="14"/>
      <c r="AN86" s="9">
        <f>+AL86/H86</f>
        <v>0.56310639525628781</v>
      </c>
      <c r="AO86" s="14"/>
      <c r="AP86" s="14" t="s">
        <v>31</v>
      </c>
      <c r="AQ86" s="14"/>
      <c r="AR86" s="20"/>
      <c r="AS86" s="39">
        <f>804096+1005150</f>
        <v>1809246</v>
      </c>
      <c r="AT86" s="8">
        <f>+H86-AS86</f>
        <v>200994</v>
      </c>
      <c r="AU86" s="14"/>
      <c r="AV86" s="9">
        <f>+AT86/H86</f>
        <v>9.998507640878701E-2</v>
      </c>
      <c r="AW86" s="14"/>
      <c r="AX86" s="14" t="s">
        <v>31</v>
      </c>
      <c r="AY86" s="14"/>
      <c r="AZ86" s="86">
        <v>1900004376</v>
      </c>
      <c r="BA86" s="39">
        <v>1306656</v>
      </c>
      <c r="BB86" s="39">
        <f>+H86-BA86</f>
        <v>703584</v>
      </c>
      <c r="BC86" s="39">
        <v>195169</v>
      </c>
      <c r="BD86" s="9">
        <f>+BB86/H86</f>
        <v>0.35</v>
      </c>
      <c r="BE86" s="14"/>
      <c r="BF86" s="14" t="s">
        <v>31</v>
      </c>
      <c r="BG86" s="14"/>
      <c r="BH86" s="14"/>
      <c r="BI86" s="39">
        <v>1407168</v>
      </c>
      <c r="BJ86" s="8">
        <f>+H86-BI86</f>
        <v>603072</v>
      </c>
      <c r="BK86" s="14"/>
      <c r="BL86" s="9">
        <f>+BJ86/H86</f>
        <v>0.3</v>
      </c>
      <c r="BM86" s="14"/>
      <c r="BN86" s="14" t="s">
        <v>31</v>
      </c>
      <c r="BO86" s="14"/>
      <c r="BP86" s="14"/>
      <c r="BQ86" s="39">
        <v>1608192</v>
      </c>
      <c r="BR86" s="8">
        <f>+H86-BQ86</f>
        <v>402048</v>
      </c>
      <c r="BS86" s="14"/>
      <c r="BT86" s="9">
        <f>+BR86/H86</f>
        <v>0.2</v>
      </c>
      <c r="BU86" s="14"/>
      <c r="BV86" s="14" t="s">
        <v>31</v>
      </c>
      <c r="BW86" s="14"/>
      <c r="BX86" s="14"/>
      <c r="BY86" s="39">
        <v>1829318</v>
      </c>
      <c r="BZ86" s="14">
        <v>0</v>
      </c>
      <c r="CA86" s="14"/>
      <c r="CB86" s="14">
        <v>0</v>
      </c>
      <c r="CC86" s="14"/>
      <c r="CD86" s="14" t="s">
        <v>31</v>
      </c>
      <c r="CE86" s="14"/>
      <c r="CF86" s="14"/>
    </row>
    <row r="87" spans="1:84" x14ac:dyDescent="0.35">
      <c r="A87" s="74" t="s">
        <v>887</v>
      </c>
      <c r="B87" s="26" t="s">
        <v>888</v>
      </c>
      <c r="C87" s="1">
        <v>6664</v>
      </c>
      <c r="D87" s="15" t="s">
        <v>889</v>
      </c>
      <c r="E87" s="18" t="s">
        <v>890</v>
      </c>
      <c r="F87" s="19" t="s">
        <v>891</v>
      </c>
      <c r="G87" s="39">
        <v>1423135</v>
      </c>
      <c r="H87" s="39">
        <v>1423135</v>
      </c>
      <c r="I87" s="8">
        <f t="shared" si="31"/>
        <v>0</v>
      </c>
      <c r="J87" s="8">
        <f t="shared" si="32"/>
        <v>0</v>
      </c>
      <c r="K87" s="12"/>
      <c r="L87" s="12"/>
      <c r="M87" s="12"/>
      <c r="N87" s="8">
        <f t="shared" si="33"/>
        <v>0</v>
      </c>
      <c r="O87" s="14"/>
      <c r="P87" s="14"/>
      <c r="Q87" s="14"/>
      <c r="R87" s="14"/>
      <c r="S87" s="3"/>
      <c r="T87" s="14"/>
      <c r="U87" s="14"/>
      <c r="V87" s="14"/>
      <c r="W87" s="14"/>
      <c r="X87" s="14"/>
      <c r="Y87" s="14"/>
      <c r="Z87" s="14"/>
      <c r="AA87" s="3"/>
      <c r="AB87" s="14"/>
      <c r="AC87" s="14"/>
      <c r="AD87" s="14"/>
      <c r="AE87" s="14"/>
      <c r="AF87" s="14"/>
      <c r="AG87" s="14"/>
      <c r="AH87" s="14"/>
      <c r="AI87" s="3"/>
      <c r="AJ87" s="51"/>
      <c r="AK87" s="14"/>
      <c r="AL87" s="14"/>
      <c r="AM87" s="14"/>
      <c r="AN87" s="14"/>
      <c r="AO87" s="14"/>
      <c r="AP87" s="14"/>
      <c r="AQ87" s="14"/>
      <c r="AR87" s="20"/>
      <c r="AS87" s="14"/>
      <c r="AT87" s="14"/>
      <c r="AU87" s="14"/>
      <c r="AV87" s="14"/>
      <c r="AW87" s="14"/>
      <c r="AX87" s="14"/>
      <c r="AY87" s="14"/>
      <c r="AZ87" s="85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</row>
    <row r="88" spans="1:84" x14ac:dyDescent="0.35">
      <c r="A88" s="1" t="s">
        <v>409</v>
      </c>
      <c r="B88" s="26" t="s">
        <v>892</v>
      </c>
      <c r="C88" s="24">
        <v>6685</v>
      </c>
      <c r="D88" s="22">
        <v>204605</v>
      </c>
      <c r="E88" s="18" t="s">
        <v>893</v>
      </c>
      <c r="F88" s="19" t="s">
        <v>894</v>
      </c>
      <c r="G88" s="39">
        <v>1053257</v>
      </c>
      <c r="H88" s="39">
        <v>189586</v>
      </c>
      <c r="I88" s="8">
        <f t="shared" si="31"/>
        <v>-863671</v>
      </c>
      <c r="J88" s="9">
        <f t="shared" si="32"/>
        <v>-0.82000024685333206</v>
      </c>
      <c r="K88" s="43">
        <v>1116453</v>
      </c>
      <c r="L88" s="12"/>
      <c r="M88" s="12"/>
      <c r="N88" s="8">
        <f t="shared" si="33"/>
        <v>0</v>
      </c>
      <c r="O88" s="14"/>
      <c r="P88" s="14"/>
      <c r="Q88" s="14"/>
      <c r="R88" s="14"/>
      <c r="S88" s="3"/>
      <c r="T88" s="39">
        <v>1053257</v>
      </c>
      <c r="U88" s="8">
        <f>+G88-T88</f>
        <v>0</v>
      </c>
      <c r="V88" s="14"/>
      <c r="W88" s="14">
        <v>0</v>
      </c>
      <c r="X88" s="14"/>
      <c r="Y88" s="14"/>
      <c r="Z88" s="14"/>
      <c r="AA88" s="3"/>
      <c r="AB88" s="43">
        <v>1053257</v>
      </c>
      <c r="AC88" s="14"/>
      <c r="AD88" s="14"/>
      <c r="AE88" s="14"/>
      <c r="AF88" s="14"/>
      <c r="AG88" s="14"/>
      <c r="AH88" s="14"/>
      <c r="AI88" s="3"/>
      <c r="AJ88" s="51"/>
      <c r="AK88" s="43">
        <v>1116453</v>
      </c>
      <c r="AL88" s="14"/>
      <c r="AM88" s="14"/>
      <c r="AN88" s="14"/>
      <c r="AO88" s="14"/>
      <c r="AP88" s="14"/>
      <c r="AQ88" s="14"/>
      <c r="AR88" s="20"/>
      <c r="AS88" s="43">
        <v>1116453</v>
      </c>
      <c r="AT88" s="14"/>
      <c r="AU88" s="14"/>
      <c r="AV88" s="14"/>
      <c r="AW88" s="14"/>
      <c r="AX88" s="14"/>
      <c r="AY88" s="14"/>
      <c r="AZ88" s="85"/>
      <c r="BA88" s="43">
        <v>1116453</v>
      </c>
      <c r="BB88" s="14"/>
      <c r="BC88" s="14"/>
      <c r="BD88" s="14"/>
      <c r="BE88" s="14"/>
      <c r="BF88" s="14"/>
      <c r="BG88" s="14"/>
      <c r="BH88" s="14"/>
      <c r="BI88" s="43">
        <v>1116453</v>
      </c>
      <c r="BJ88" s="14"/>
      <c r="BK88" s="14"/>
      <c r="BL88" s="14"/>
      <c r="BM88" s="14"/>
      <c r="BN88" s="14"/>
      <c r="BO88" s="14"/>
      <c r="BP88" s="14"/>
      <c r="BQ88" s="43">
        <v>1116453</v>
      </c>
      <c r="BR88" s="14"/>
      <c r="BS88" s="14"/>
      <c r="BT88" s="14"/>
      <c r="BU88" s="14"/>
      <c r="BV88" s="14"/>
      <c r="BW88" s="14"/>
      <c r="BX88" s="14"/>
      <c r="BY88" s="43">
        <v>1116453</v>
      </c>
      <c r="BZ88" s="14"/>
      <c r="CA88" s="14"/>
      <c r="CB88" s="14"/>
      <c r="CC88" s="14"/>
      <c r="CD88" s="14" t="s">
        <v>31</v>
      </c>
      <c r="CE88" s="14"/>
      <c r="CF88" s="14"/>
    </row>
    <row r="89" spans="1:84" x14ac:dyDescent="0.35">
      <c r="A89" s="1" t="s">
        <v>416</v>
      </c>
      <c r="B89" s="26" t="s">
        <v>742</v>
      </c>
      <c r="C89" s="24">
        <v>6687</v>
      </c>
      <c r="D89" s="22">
        <v>204596</v>
      </c>
      <c r="E89" s="18" t="s">
        <v>743</v>
      </c>
      <c r="F89" s="19" t="s">
        <v>744</v>
      </c>
      <c r="G89" s="39">
        <v>1322304</v>
      </c>
      <c r="H89" s="39">
        <v>1760789</v>
      </c>
      <c r="I89" s="8">
        <f t="shared" si="31"/>
        <v>438485</v>
      </c>
      <c r="J89" s="9">
        <f t="shared" si="32"/>
        <v>0.33160680146169114</v>
      </c>
      <c r="K89" s="12">
        <v>1346000</v>
      </c>
      <c r="L89" s="12">
        <f>+H89-K89</f>
        <v>414789</v>
      </c>
      <c r="M89" s="12"/>
      <c r="N89" s="9">
        <f>+L89/H89</f>
        <v>0.23556996323807111</v>
      </c>
      <c r="O89" s="14"/>
      <c r="P89" s="14"/>
      <c r="Q89" s="14"/>
      <c r="R89" s="14"/>
      <c r="S89" s="3"/>
      <c r="T89" s="39">
        <v>1346000</v>
      </c>
      <c r="U89" s="8">
        <f>+H89-T89</f>
        <v>414789</v>
      </c>
      <c r="V89" s="14"/>
      <c r="W89" s="9">
        <f>+U89/H89</f>
        <v>0.23556996323807111</v>
      </c>
      <c r="X89" s="14"/>
      <c r="Y89" s="14"/>
      <c r="Z89" s="14"/>
      <c r="AA89" s="3"/>
      <c r="AB89" s="39">
        <v>1378801</v>
      </c>
      <c r="AC89" s="8">
        <f>+H89-AB89</f>
        <v>381988</v>
      </c>
      <c r="AD89" s="14"/>
      <c r="AE89" s="9">
        <f>+AC89/H89</f>
        <v>0.21694138252794629</v>
      </c>
      <c r="AF89" s="14" t="s">
        <v>46</v>
      </c>
      <c r="AG89" s="14" t="s">
        <v>895</v>
      </c>
      <c r="AH89" s="14" t="s">
        <v>31</v>
      </c>
      <c r="AI89" s="77" t="s">
        <v>32</v>
      </c>
      <c r="AJ89" s="51">
        <v>1900003272</v>
      </c>
      <c r="AK89" s="39">
        <v>1346000</v>
      </c>
      <c r="AL89" s="8">
        <f t="shared" ref="AL89:AL98" si="38">+H89-AK89</f>
        <v>414789</v>
      </c>
      <c r="AM89" s="14"/>
      <c r="AN89" s="9">
        <f>+AL89/H89</f>
        <v>0.23556996323807111</v>
      </c>
      <c r="AO89" s="14"/>
      <c r="AP89" s="14" t="s">
        <v>31</v>
      </c>
      <c r="AQ89" s="14"/>
      <c r="AR89" s="20">
        <v>1900003877</v>
      </c>
      <c r="AS89" s="39">
        <v>1346000</v>
      </c>
      <c r="AT89" s="8">
        <f>+H89-AS89</f>
        <v>414789</v>
      </c>
      <c r="AU89" s="14"/>
      <c r="AV89" s="9">
        <f>+AT89/H89</f>
        <v>0.23556996323807111</v>
      </c>
      <c r="AW89" s="14"/>
      <c r="AX89" s="14" t="s">
        <v>31</v>
      </c>
      <c r="AY89" s="14"/>
      <c r="AZ89" s="85">
        <v>1900004222</v>
      </c>
      <c r="BA89" s="39">
        <v>1346000</v>
      </c>
      <c r="BB89" s="8">
        <f t="shared" ref="BB89:BB94" si="39">+H89-BA89</f>
        <v>414789</v>
      </c>
      <c r="BC89" s="14"/>
      <c r="BD89" s="9">
        <f>++BB89/H89</f>
        <v>0.23556996323807111</v>
      </c>
      <c r="BE89" s="14"/>
      <c r="BF89" s="14"/>
      <c r="BG89" s="14"/>
      <c r="BH89" s="14"/>
      <c r="BI89" s="39">
        <v>1346000</v>
      </c>
      <c r="BJ89" s="8">
        <f>+H89-BI89</f>
        <v>414789</v>
      </c>
      <c r="BK89" s="14"/>
      <c r="BL89" s="9">
        <f>+BJ89/H89</f>
        <v>0.23556996323807111</v>
      </c>
      <c r="BM89" s="14"/>
      <c r="BN89" s="14"/>
      <c r="BO89" s="14"/>
      <c r="BP89" s="14"/>
      <c r="BQ89" s="39">
        <v>1346000</v>
      </c>
      <c r="BR89" s="14">
        <v>0</v>
      </c>
      <c r="BS89" s="14"/>
      <c r="BT89" s="14">
        <v>0</v>
      </c>
      <c r="BU89" s="14"/>
      <c r="BV89" s="14" t="s">
        <v>31</v>
      </c>
      <c r="BW89" s="14"/>
      <c r="BX89" s="14"/>
      <c r="BY89" s="39">
        <v>1346000</v>
      </c>
      <c r="BZ89" s="14">
        <v>0</v>
      </c>
      <c r="CA89" s="14"/>
      <c r="CB89" s="14">
        <v>0</v>
      </c>
      <c r="CC89" s="14"/>
      <c r="CD89" s="14" t="s">
        <v>31</v>
      </c>
      <c r="CE89" s="14"/>
      <c r="CF89" s="14"/>
    </row>
    <row r="90" spans="1:84" x14ac:dyDescent="0.35">
      <c r="A90" s="1" t="s">
        <v>420</v>
      </c>
      <c r="B90" s="26" t="s">
        <v>745</v>
      </c>
      <c r="C90" s="24">
        <v>6688</v>
      </c>
      <c r="D90" s="22">
        <v>204614</v>
      </c>
      <c r="E90" s="18" t="s">
        <v>746</v>
      </c>
      <c r="F90" s="19" t="s">
        <v>747</v>
      </c>
      <c r="G90" s="39">
        <v>1358811</v>
      </c>
      <c r="H90" s="39">
        <v>1358811</v>
      </c>
      <c r="I90" s="8">
        <f t="shared" si="31"/>
        <v>0</v>
      </c>
      <c r="J90" s="8">
        <f t="shared" si="32"/>
        <v>0</v>
      </c>
      <c r="K90" s="12">
        <v>1358811</v>
      </c>
      <c r="L90" s="12"/>
      <c r="M90" s="12"/>
      <c r="N90" s="9"/>
      <c r="O90" s="14"/>
      <c r="P90" s="14" t="s">
        <v>38</v>
      </c>
      <c r="Q90" s="14"/>
      <c r="R90" s="14" t="s">
        <v>31</v>
      </c>
      <c r="S90" s="77" t="s">
        <v>55</v>
      </c>
      <c r="T90" s="12">
        <f>+K90</f>
        <v>1358811</v>
      </c>
      <c r="U90" s="14">
        <v>0</v>
      </c>
      <c r="V90" s="14"/>
      <c r="W90" s="14">
        <v>0</v>
      </c>
      <c r="X90" s="14" t="s">
        <v>38</v>
      </c>
      <c r="Y90" s="14"/>
      <c r="Z90" s="14" t="s">
        <v>31</v>
      </c>
      <c r="AA90" s="77" t="s">
        <v>47</v>
      </c>
      <c r="AB90" s="39">
        <v>1358811</v>
      </c>
      <c r="AC90" s="8">
        <f>+H90-AB90</f>
        <v>0</v>
      </c>
      <c r="AD90" s="14"/>
      <c r="AE90" s="9">
        <f>+AC90/H90</f>
        <v>0</v>
      </c>
      <c r="AF90" s="14"/>
      <c r="AG90" s="14"/>
      <c r="AH90" s="14" t="s">
        <v>31</v>
      </c>
      <c r="AI90" s="3"/>
      <c r="AJ90" s="51">
        <v>1900003296</v>
      </c>
      <c r="AK90" s="39">
        <v>1358811</v>
      </c>
      <c r="AL90" s="8">
        <f t="shared" si="38"/>
        <v>0</v>
      </c>
      <c r="AM90" s="14"/>
      <c r="AN90" s="9">
        <f>+AL90/H90</f>
        <v>0</v>
      </c>
      <c r="AO90" s="14"/>
      <c r="AP90" s="14" t="s">
        <v>31</v>
      </c>
      <c r="AQ90" s="14"/>
      <c r="AR90" s="20">
        <v>1900003794</v>
      </c>
      <c r="AS90" s="39">
        <v>1358811</v>
      </c>
      <c r="AT90" s="8">
        <f>+H90-AS90</f>
        <v>0</v>
      </c>
      <c r="AU90" s="14"/>
      <c r="AV90" s="14">
        <v>0</v>
      </c>
      <c r="AW90" s="14"/>
      <c r="AX90" s="14" t="s">
        <v>31</v>
      </c>
      <c r="AY90" s="14"/>
      <c r="AZ90" s="85">
        <v>1900004242</v>
      </c>
      <c r="BA90" s="39">
        <v>1358811</v>
      </c>
      <c r="BB90" s="8">
        <f t="shared" si="39"/>
        <v>0</v>
      </c>
      <c r="BC90" s="14"/>
      <c r="BD90" s="14">
        <v>0</v>
      </c>
      <c r="BE90" s="14"/>
      <c r="BF90" s="14" t="s">
        <v>31</v>
      </c>
      <c r="BG90" s="14"/>
      <c r="BH90" s="14"/>
      <c r="BI90" s="39">
        <v>1358811</v>
      </c>
      <c r="BJ90" s="14">
        <v>0</v>
      </c>
      <c r="BK90" s="14"/>
      <c r="BL90" s="14">
        <v>0</v>
      </c>
      <c r="BM90" s="14"/>
      <c r="BN90" s="14" t="s">
        <v>31</v>
      </c>
      <c r="BO90" s="14"/>
      <c r="BP90" s="14"/>
      <c r="BQ90" s="39">
        <v>1358811</v>
      </c>
      <c r="BR90" s="8">
        <f>+H90-BQ90</f>
        <v>0</v>
      </c>
      <c r="BS90" s="14"/>
      <c r="BT90" s="14">
        <v>0</v>
      </c>
      <c r="BU90" s="14"/>
      <c r="BV90" s="14" t="s">
        <v>31</v>
      </c>
      <c r="BW90" s="14"/>
      <c r="BX90" s="14"/>
      <c r="BY90" s="39">
        <v>1358811</v>
      </c>
      <c r="BZ90" s="14">
        <v>0</v>
      </c>
      <c r="CA90" s="14"/>
      <c r="CB90" s="14">
        <v>0</v>
      </c>
      <c r="CC90" s="14"/>
      <c r="CD90" s="14" t="s">
        <v>31</v>
      </c>
      <c r="CE90" s="14"/>
      <c r="CF90" s="14"/>
    </row>
    <row r="91" spans="1:84" ht="15.5" x14ac:dyDescent="0.35">
      <c r="A91" s="1" t="s">
        <v>424</v>
      </c>
      <c r="B91" s="26" t="s">
        <v>748</v>
      </c>
      <c r="C91" s="24">
        <v>6692</v>
      </c>
      <c r="D91" s="37">
        <v>204942</v>
      </c>
      <c r="E91" s="18" t="s">
        <v>749</v>
      </c>
      <c r="F91" s="19" t="s">
        <v>750</v>
      </c>
      <c r="G91" s="39">
        <v>1974019</v>
      </c>
      <c r="H91" s="39">
        <v>1974019</v>
      </c>
      <c r="I91" s="8">
        <f t="shared" si="31"/>
        <v>0</v>
      </c>
      <c r="J91" s="8">
        <f t="shared" si="32"/>
        <v>0</v>
      </c>
      <c r="K91" s="12">
        <v>1283112</v>
      </c>
      <c r="L91" s="12">
        <f>+H91-K91</f>
        <v>690907</v>
      </c>
      <c r="M91" s="12"/>
      <c r="N91" s="9">
        <f>+L91/H91</f>
        <v>0.350000177303258</v>
      </c>
      <c r="O91" s="14"/>
      <c r="P91" s="14" t="s">
        <v>46</v>
      </c>
      <c r="Q91" s="14"/>
      <c r="R91" s="14" t="s">
        <v>31</v>
      </c>
      <c r="S91" s="80" t="s">
        <v>83</v>
      </c>
      <c r="T91" s="12">
        <v>1283112</v>
      </c>
      <c r="U91" s="8">
        <f>+H91-T91</f>
        <v>690907</v>
      </c>
      <c r="V91" s="14"/>
      <c r="W91" s="9">
        <f>+U91/H91</f>
        <v>0.350000177303258</v>
      </c>
      <c r="X91" s="14" t="s">
        <v>46</v>
      </c>
      <c r="Y91" s="14"/>
      <c r="Z91" s="14" t="s">
        <v>31</v>
      </c>
      <c r="AA91" s="77" t="s">
        <v>32</v>
      </c>
      <c r="AB91" s="39">
        <v>1776617</v>
      </c>
      <c r="AC91" s="8">
        <f>+H91-AB91</f>
        <v>197402</v>
      </c>
      <c r="AD91" s="14"/>
      <c r="AE91" s="9">
        <f>+AC91/H91</f>
        <v>0.1000000506580737</v>
      </c>
      <c r="AF91" s="14"/>
      <c r="AG91" s="14"/>
      <c r="AH91" s="14" t="s">
        <v>31</v>
      </c>
      <c r="AI91" s="3"/>
      <c r="AJ91" s="20">
        <v>1900003567</v>
      </c>
      <c r="AK91" s="39">
        <v>1974019</v>
      </c>
      <c r="AL91" s="8">
        <f t="shared" si="38"/>
        <v>0</v>
      </c>
      <c r="AM91" s="14"/>
      <c r="AN91" s="14">
        <v>0</v>
      </c>
      <c r="AO91" s="14"/>
      <c r="AP91" s="14" t="s">
        <v>31</v>
      </c>
      <c r="AQ91" s="14"/>
      <c r="AR91" s="20">
        <v>1900003880</v>
      </c>
      <c r="AS91" s="39">
        <v>1974019</v>
      </c>
      <c r="AT91" s="8">
        <f>+H91-AS91</f>
        <v>0</v>
      </c>
      <c r="AU91" s="14"/>
      <c r="AV91" s="14">
        <v>0</v>
      </c>
      <c r="AW91" s="14"/>
      <c r="AX91" s="14" t="s">
        <v>31</v>
      </c>
      <c r="AY91" s="14"/>
      <c r="AZ91" s="84">
        <v>1900004280</v>
      </c>
      <c r="BA91" s="39">
        <v>1974019</v>
      </c>
      <c r="BB91" s="8">
        <f t="shared" si="39"/>
        <v>0</v>
      </c>
      <c r="BC91" s="14"/>
      <c r="BD91" s="14">
        <v>0</v>
      </c>
      <c r="BE91" s="14"/>
      <c r="BF91" s="14" t="s">
        <v>31</v>
      </c>
      <c r="BG91" s="14"/>
      <c r="BH91" s="14"/>
      <c r="BI91" s="39">
        <v>1974019</v>
      </c>
      <c r="BJ91" s="14">
        <v>0</v>
      </c>
      <c r="BK91" s="14"/>
      <c r="BL91" s="14">
        <v>0</v>
      </c>
      <c r="BM91" s="14"/>
      <c r="BN91" s="14" t="s">
        <v>31</v>
      </c>
      <c r="BO91" s="14"/>
      <c r="BP91" s="14"/>
      <c r="BQ91" s="39">
        <v>1974019</v>
      </c>
      <c r="BR91" s="14">
        <v>0</v>
      </c>
      <c r="BS91" s="14"/>
      <c r="BT91" s="14">
        <v>0</v>
      </c>
      <c r="BU91" s="14"/>
      <c r="BV91" s="14" t="s">
        <v>31</v>
      </c>
      <c r="BW91" s="14"/>
      <c r="BX91" s="14"/>
      <c r="BY91" s="39">
        <v>1974019</v>
      </c>
      <c r="BZ91" s="14">
        <v>0</v>
      </c>
      <c r="CA91" s="14"/>
      <c r="CB91" s="14">
        <v>0</v>
      </c>
      <c r="CC91" s="14"/>
      <c r="CD91" s="14" t="s">
        <v>31</v>
      </c>
      <c r="CE91" s="14"/>
      <c r="CF91" s="14"/>
    </row>
    <row r="92" spans="1:84" ht="15.5" x14ac:dyDescent="0.35">
      <c r="A92" s="1" t="s">
        <v>427</v>
      </c>
      <c r="B92" s="26" t="s">
        <v>751</v>
      </c>
      <c r="C92" s="24">
        <v>6693</v>
      </c>
      <c r="D92" s="22">
        <v>204630</v>
      </c>
      <c r="E92" s="18" t="s">
        <v>752</v>
      </c>
      <c r="F92" s="19" t="s">
        <v>753</v>
      </c>
      <c r="G92" s="39">
        <v>806900</v>
      </c>
      <c r="H92" s="39">
        <v>806900</v>
      </c>
      <c r="I92" s="8">
        <f t="shared" si="31"/>
        <v>0</v>
      </c>
      <c r="J92" s="8">
        <f t="shared" si="32"/>
        <v>0</v>
      </c>
      <c r="K92" s="8">
        <f>+H92</f>
        <v>806900</v>
      </c>
      <c r="L92" s="12">
        <v>0</v>
      </c>
      <c r="M92" s="12"/>
      <c r="N92" s="8">
        <v>0</v>
      </c>
      <c r="O92" s="14"/>
      <c r="P92" s="14" t="s">
        <v>38</v>
      </c>
      <c r="Q92" s="14"/>
      <c r="R92" s="14"/>
      <c r="S92" s="80" t="s">
        <v>83</v>
      </c>
      <c r="T92" s="8">
        <f>+H92</f>
        <v>806900</v>
      </c>
      <c r="U92" s="14">
        <v>0</v>
      </c>
      <c r="V92" s="14"/>
      <c r="W92" s="14">
        <v>0</v>
      </c>
      <c r="X92" s="14" t="s">
        <v>38</v>
      </c>
      <c r="Y92" s="14"/>
      <c r="Z92" s="14" t="s">
        <v>31</v>
      </c>
      <c r="AA92" s="77" t="s">
        <v>47</v>
      </c>
      <c r="AB92" s="39">
        <v>806900</v>
      </c>
      <c r="AC92" s="8">
        <f>+H92-AB92</f>
        <v>0</v>
      </c>
      <c r="AD92" s="14"/>
      <c r="AE92" s="14">
        <v>0</v>
      </c>
      <c r="AF92" s="14"/>
      <c r="AG92" s="14"/>
      <c r="AH92" s="14"/>
      <c r="AI92" s="3"/>
      <c r="AJ92" s="20">
        <v>1900003687</v>
      </c>
      <c r="AK92" s="8">
        <f>+AB92</f>
        <v>806900</v>
      </c>
      <c r="AL92" s="8">
        <f t="shared" si="38"/>
        <v>0</v>
      </c>
      <c r="AM92" s="14"/>
      <c r="AN92" s="9">
        <f>+AL92/H92</f>
        <v>0</v>
      </c>
      <c r="AO92" s="14"/>
      <c r="AP92" s="14" t="s">
        <v>31</v>
      </c>
      <c r="AQ92" s="14"/>
      <c r="AR92" s="20">
        <v>1900003796</v>
      </c>
      <c r="AS92" s="39">
        <v>806900</v>
      </c>
      <c r="AT92" s="14">
        <v>0</v>
      </c>
      <c r="AU92" s="14"/>
      <c r="AV92" s="14">
        <v>0</v>
      </c>
      <c r="AW92" s="14"/>
      <c r="AX92" s="14" t="s">
        <v>31</v>
      </c>
      <c r="AY92" s="14"/>
      <c r="AZ92" s="85">
        <v>1900004189</v>
      </c>
      <c r="BA92" s="39">
        <v>806900</v>
      </c>
      <c r="BB92" s="8">
        <f t="shared" si="39"/>
        <v>0</v>
      </c>
      <c r="BC92" s="14"/>
      <c r="BD92" s="14">
        <v>0</v>
      </c>
      <c r="BE92" s="14"/>
      <c r="BF92" s="14" t="s">
        <v>31</v>
      </c>
      <c r="BG92" s="14"/>
      <c r="BH92" s="14"/>
      <c r="BI92" s="39">
        <v>806900</v>
      </c>
      <c r="BJ92" s="8">
        <f>+H92-BI92</f>
        <v>0</v>
      </c>
      <c r="BK92" s="14"/>
      <c r="BL92" s="14">
        <v>0</v>
      </c>
      <c r="BM92" s="14"/>
      <c r="BN92" s="14" t="s">
        <v>31</v>
      </c>
      <c r="BO92" s="14"/>
      <c r="BP92" s="14"/>
      <c r="BQ92" s="39">
        <v>806900</v>
      </c>
      <c r="BR92" s="14">
        <v>0</v>
      </c>
      <c r="BS92" s="39"/>
      <c r="BT92" s="9">
        <f>+BS92/BQ92</f>
        <v>0</v>
      </c>
      <c r="BU92" s="14"/>
      <c r="BV92" s="14" t="s">
        <v>31</v>
      </c>
      <c r="BW92" s="14"/>
      <c r="BX92" s="14"/>
      <c r="BY92" s="39">
        <v>806900</v>
      </c>
      <c r="BZ92" s="14">
        <v>0</v>
      </c>
      <c r="CA92" s="14"/>
      <c r="CB92" s="14">
        <v>0</v>
      </c>
      <c r="CC92" s="14"/>
      <c r="CD92" s="14" t="s">
        <v>31</v>
      </c>
      <c r="CE92" s="14"/>
      <c r="CF92" s="14"/>
    </row>
    <row r="93" spans="1:84" x14ac:dyDescent="0.35">
      <c r="A93" s="1" t="s">
        <v>431</v>
      </c>
      <c r="B93" s="26" t="s">
        <v>896</v>
      </c>
      <c r="C93" s="24">
        <v>6694</v>
      </c>
      <c r="D93" s="22">
        <v>204628</v>
      </c>
      <c r="E93" s="18" t="s">
        <v>897</v>
      </c>
      <c r="F93" s="38">
        <v>900374790</v>
      </c>
      <c r="G93" s="39">
        <v>1547993</v>
      </c>
      <c r="H93" s="39">
        <v>1547993</v>
      </c>
      <c r="I93" s="8">
        <f t="shared" si="31"/>
        <v>0</v>
      </c>
      <c r="J93" s="8">
        <f t="shared" si="32"/>
        <v>0</v>
      </c>
      <c r="K93" s="12">
        <v>1547992</v>
      </c>
      <c r="L93" s="12"/>
      <c r="M93" s="14"/>
      <c r="N93" s="9">
        <v>0</v>
      </c>
      <c r="O93" s="14"/>
      <c r="P93" s="14" t="s">
        <v>38</v>
      </c>
      <c r="Q93" s="14"/>
      <c r="R93" s="14" t="s">
        <v>31</v>
      </c>
      <c r="S93" s="77" t="s">
        <v>55</v>
      </c>
      <c r="T93" s="66">
        <v>1547993</v>
      </c>
      <c r="U93" s="8"/>
      <c r="V93" s="12">
        <f>121348+762084</f>
        <v>883432</v>
      </c>
      <c r="W93" s="14">
        <v>0</v>
      </c>
      <c r="X93" s="14" t="s">
        <v>38</v>
      </c>
      <c r="Y93" s="14"/>
      <c r="Z93" s="14" t="s">
        <v>31</v>
      </c>
      <c r="AA93" s="3"/>
      <c r="AB93" s="39">
        <v>1547993</v>
      </c>
      <c r="AC93" s="8">
        <f>+H93-AB93</f>
        <v>0</v>
      </c>
      <c r="AD93" s="14"/>
      <c r="AE93" s="14">
        <v>0</v>
      </c>
      <c r="AF93" s="14"/>
      <c r="AG93" s="14"/>
      <c r="AH93" s="14" t="s">
        <v>31</v>
      </c>
      <c r="AI93" s="3"/>
      <c r="AJ93" s="51">
        <v>1900003294</v>
      </c>
      <c r="AK93" s="39">
        <v>1547993</v>
      </c>
      <c r="AL93" s="8">
        <f t="shared" si="38"/>
        <v>0</v>
      </c>
      <c r="AM93" s="14"/>
      <c r="AN93" s="9">
        <f>+AL93/H93</f>
        <v>0</v>
      </c>
      <c r="AO93" s="14"/>
      <c r="AP93" s="14" t="s">
        <v>31</v>
      </c>
      <c r="AQ93" s="14"/>
      <c r="AR93" s="20">
        <v>1900003797</v>
      </c>
      <c r="AS93" s="39">
        <v>1547993</v>
      </c>
      <c r="AT93" s="8">
        <f>+H93-AS93</f>
        <v>0</v>
      </c>
      <c r="AU93" s="14"/>
      <c r="AV93" s="9">
        <f>+AT93/H93</f>
        <v>0</v>
      </c>
      <c r="AW93" s="14"/>
      <c r="AX93" s="14" t="s">
        <v>31</v>
      </c>
      <c r="AY93" s="14"/>
      <c r="AZ93" s="84">
        <v>1900004296</v>
      </c>
      <c r="BA93" s="39">
        <v>9902</v>
      </c>
      <c r="BB93" s="8">
        <f t="shared" si="39"/>
        <v>1538091</v>
      </c>
      <c r="BC93" s="14"/>
      <c r="BD93" s="9">
        <f>+BB93/H93</f>
        <v>0.99360333024761738</v>
      </c>
      <c r="BE93" s="14"/>
      <c r="BF93" s="14" t="s">
        <v>31</v>
      </c>
      <c r="BG93" s="14"/>
      <c r="BH93" s="14"/>
      <c r="BI93" s="39">
        <v>9902</v>
      </c>
      <c r="BJ93" s="8">
        <f>+H93-BI93</f>
        <v>1538091</v>
      </c>
      <c r="BK93" s="14"/>
      <c r="BL93" s="9">
        <f>+BJ93/H93</f>
        <v>0.99360333024761738</v>
      </c>
      <c r="BM93" s="14"/>
      <c r="BN93" s="14" t="s">
        <v>31</v>
      </c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39">
        <v>1365101</v>
      </c>
      <c r="BZ93" s="14">
        <v>0</v>
      </c>
      <c r="CA93" s="14"/>
      <c r="CB93" s="14">
        <v>0</v>
      </c>
      <c r="CC93" s="14"/>
      <c r="CD93" s="14" t="s">
        <v>31</v>
      </c>
      <c r="CE93" s="14"/>
      <c r="CF93" s="14"/>
    </row>
    <row r="94" spans="1:84" x14ac:dyDescent="0.35">
      <c r="A94" s="1" t="s">
        <v>437</v>
      </c>
      <c r="B94" s="26" t="s">
        <v>754</v>
      </c>
      <c r="C94" s="24">
        <v>6699</v>
      </c>
      <c r="D94" s="22">
        <v>204626</v>
      </c>
      <c r="E94" s="18" t="s">
        <v>755</v>
      </c>
      <c r="F94" s="19" t="s">
        <v>756</v>
      </c>
      <c r="G94" s="39">
        <v>1760789</v>
      </c>
      <c r="H94" s="39">
        <v>1760789</v>
      </c>
      <c r="I94" s="8">
        <f t="shared" si="31"/>
        <v>0</v>
      </c>
      <c r="J94" s="8">
        <f t="shared" si="32"/>
        <v>0</v>
      </c>
      <c r="K94" s="12">
        <v>1730337</v>
      </c>
      <c r="L94" s="12">
        <f>+H94-K94</f>
        <v>30452</v>
      </c>
      <c r="M94" s="12"/>
      <c r="N94" s="9">
        <f t="shared" si="33"/>
        <v>1.7294519672714902E-2</v>
      </c>
      <c r="O94" s="14"/>
      <c r="P94" s="14" t="s">
        <v>38</v>
      </c>
      <c r="Q94" s="14"/>
      <c r="R94" s="14" t="s">
        <v>31</v>
      </c>
      <c r="S94" s="3"/>
      <c r="T94" s="43">
        <v>1730337</v>
      </c>
      <c r="U94" s="44">
        <f>+H94-T94</f>
        <v>30452</v>
      </c>
      <c r="V94" s="14"/>
      <c r="W94" s="9">
        <f>+U94/H94</f>
        <v>1.7294519672714902E-2</v>
      </c>
      <c r="X94" s="14" t="s">
        <v>38</v>
      </c>
      <c r="Y94" s="14"/>
      <c r="Z94" s="14" t="s">
        <v>31</v>
      </c>
      <c r="AA94" s="3"/>
      <c r="AB94" s="39">
        <v>1703337</v>
      </c>
      <c r="AC94" s="8">
        <f t="shared" ref="AC94:AC101" si="40">+H94-AB94</f>
        <v>57452</v>
      </c>
      <c r="AD94" s="14"/>
      <c r="AE94" s="9">
        <f>+AC94/H94</f>
        <v>3.2628554585472765E-2</v>
      </c>
      <c r="AF94" s="14" t="s">
        <v>38</v>
      </c>
      <c r="AG94" s="14"/>
      <c r="AH94" s="14" t="s">
        <v>31</v>
      </c>
      <c r="AI94" s="3"/>
      <c r="AJ94" s="51" t="s">
        <v>898</v>
      </c>
      <c r="AK94" s="39">
        <v>1092887</v>
      </c>
      <c r="AL94" s="8">
        <f t="shared" si="38"/>
        <v>667902</v>
      </c>
      <c r="AM94" s="39">
        <v>865168</v>
      </c>
      <c r="AN94" s="9">
        <f>+(AL94+AM94)/H94</f>
        <v>0.87067218161858118</v>
      </c>
      <c r="AO94" s="14"/>
      <c r="AP94" s="14" t="s">
        <v>31</v>
      </c>
      <c r="AQ94" s="14"/>
      <c r="AR94" s="20">
        <v>1900003682</v>
      </c>
      <c r="AS94" s="39">
        <v>1261024</v>
      </c>
      <c r="AT94" s="8">
        <f>+H94-AS94</f>
        <v>499765</v>
      </c>
      <c r="AU94" s="14"/>
      <c r="AV94" s="9">
        <f>+AT94/H94</f>
        <v>0.28383014659905303</v>
      </c>
      <c r="AW94" s="14"/>
      <c r="AX94" s="14" t="s">
        <v>31</v>
      </c>
      <c r="AY94" s="14"/>
      <c r="AZ94" s="85">
        <v>1900004223</v>
      </c>
      <c r="BA94" s="39">
        <v>1429160</v>
      </c>
      <c r="BB94" s="8">
        <f t="shared" si="39"/>
        <v>331629</v>
      </c>
      <c r="BC94" s="14"/>
      <c r="BD94" s="9">
        <f>+BB94/H94</f>
        <v>0.18834113570677691</v>
      </c>
      <c r="BE94" s="14"/>
      <c r="BF94" s="14" t="s">
        <v>31</v>
      </c>
      <c r="BG94" s="14"/>
      <c r="BH94" s="14"/>
      <c r="BI94" s="39">
        <v>1429160</v>
      </c>
      <c r="BJ94" s="8">
        <f>+H94-BI94</f>
        <v>331629</v>
      </c>
      <c r="BK94" s="14"/>
      <c r="BL94" s="9">
        <f>+BJ94/H94</f>
        <v>0.18834113570677691</v>
      </c>
      <c r="BM94" s="14"/>
      <c r="BN94" s="14" t="s">
        <v>31</v>
      </c>
      <c r="BO94" s="14"/>
      <c r="BP94" s="14"/>
      <c r="BQ94" s="39">
        <v>1513229</v>
      </c>
      <c r="BR94" s="8">
        <f>+H94-BQ94</f>
        <v>247560</v>
      </c>
      <c r="BS94" s="14"/>
      <c r="BT94" s="9">
        <f>+BR94/H94</f>
        <v>0.14059606233341984</v>
      </c>
      <c r="BU94" s="14"/>
      <c r="BV94" s="14" t="s">
        <v>31</v>
      </c>
      <c r="BW94" s="14"/>
      <c r="BX94" s="14"/>
      <c r="BY94" s="39">
        <v>1513229</v>
      </c>
      <c r="BZ94" s="14">
        <v>0</v>
      </c>
      <c r="CA94" s="14"/>
      <c r="CB94" s="14">
        <v>0</v>
      </c>
      <c r="CC94" s="14"/>
      <c r="CD94" s="14" t="s">
        <v>31</v>
      </c>
      <c r="CE94" s="14"/>
      <c r="CF94" s="14"/>
    </row>
    <row r="95" spans="1:84" ht="15.5" x14ac:dyDescent="0.35">
      <c r="A95" s="1" t="s">
        <v>440</v>
      </c>
      <c r="B95" s="26" t="s">
        <v>757</v>
      </c>
      <c r="C95" s="24">
        <v>6700</v>
      </c>
      <c r="D95" s="22">
        <v>204625</v>
      </c>
      <c r="E95" s="18" t="s">
        <v>758</v>
      </c>
      <c r="F95" s="19" t="s">
        <v>759</v>
      </c>
      <c r="G95" s="39">
        <v>1736421</v>
      </c>
      <c r="H95" s="76"/>
      <c r="I95" s="8">
        <f t="shared" si="31"/>
        <v>-1736421</v>
      </c>
      <c r="J95" s="10">
        <f t="shared" si="32"/>
        <v>-1</v>
      </c>
      <c r="K95" s="12">
        <v>874114</v>
      </c>
      <c r="L95" s="12">
        <f>+G95-K95</f>
        <v>862307</v>
      </c>
      <c r="M95" s="12"/>
      <c r="N95" s="9">
        <f>+(L95+M95)/G95</f>
        <v>0.49660019085233364</v>
      </c>
      <c r="O95" s="14"/>
      <c r="P95" s="14" t="s">
        <v>46</v>
      </c>
      <c r="Q95" s="14"/>
      <c r="R95" s="14" t="s">
        <v>31</v>
      </c>
      <c r="S95" s="80" t="s">
        <v>83</v>
      </c>
      <c r="T95" s="39">
        <v>1083561</v>
      </c>
      <c r="U95" s="8">
        <f>+G95-T95</f>
        <v>652860</v>
      </c>
      <c r="V95" s="14"/>
      <c r="W95" s="9">
        <f>+U95/G95</f>
        <v>0.37598024902946925</v>
      </c>
      <c r="X95" s="14"/>
      <c r="Y95" s="14"/>
      <c r="Z95" s="14" t="s">
        <v>31</v>
      </c>
      <c r="AA95" s="78" t="s">
        <v>327</v>
      </c>
      <c r="AB95" s="39">
        <v>595566</v>
      </c>
      <c r="AC95" s="8">
        <f t="shared" si="40"/>
        <v>-595566</v>
      </c>
      <c r="AD95" s="14"/>
      <c r="AE95" s="9">
        <f>+AC95/G95</f>
        <v>-0.34298479458610553</v>
      </c>
      <c r="AF95" s="14"/>
      <c r="AG95" s="14"/>
      <c r="AH95" s="14" t="s">
        <v>31</v>
      </c>
      <c r="AI95" s="3"/>
      <c r="AJ95" s="51">
        <v>190003239</v>
      </c>
      <c r="AK95" s="39">
        <v>1191133</v>
      </c>
      <c r="AL95" s="8">
        <f t="shared" si="38"/>
        <v>-1191133</v>
      </c>
      <c r="AM95" s="14"/>
      <c r="AN95" s="9">
        <v>0</v>
      </c>
      <c r="AO95" s="14"/>
      <c r="AP95" s="14" t="s">
        <v>31</v>
      </c>
      <c r="AQ95" s="14"/>
      <c r="AR95" s="20">
        <v>1900003798</v>
      </c>
      <c r="AS95" s="39">
        <v>1191133</v>
      </c>
      <c r="AT95" s="39">
        <f>+G95-AS95</f>
        <v>545288</v>
      </c>
      <c r="AU95" s="14"/>
      <c r="AV95" s="9">
        <f>+AT95/G95</f>
        <v>0.31402983493058423</v>
      </c>
      <c r="AW95" s="14"/>
      <c r="AX95" s="14" t="s">
        <v>31</v>
      </c>
      <c r="AY95" s="14"/>
      <c r="AZ95" s="84">
        <v>1900004281</v>
      </c>
      <c r="BA95" s="39">
        <v>1191133</v>
      </c>
      <c r="BB95" s="8">
        <f>+G95-BA95</f>
        <v>545288</v>
      </c>
      <c r="BC95" s="14"/>
      <c r="BD95" s="9">
        <f>+BB95/G95</f>
        <v>0.31402983493058423</v>
      </c>
      <c r="BE95" s="14"/>
      <c r="BF95" s="14" t="s">
        <v>31</v>
      </c>
      <c r="BG95" s="14"/>
      <c r="BH95" s="14"/>
      <c r="BI95" s="39">
        <v>1191133</v>
      </c>
      <c r="BJ95" s="8">
        <f>+G95-BI95</f>
        <v>545288</v>
      </c>
      <c r="BK95" s="14"/>
      <c r="BL95" s="9">
        <f>+BJ95/G95</f>
        <v>0.31402983493058423</v>
      </c>
      <c r="BM95" s="14"/>
      <c r="BN95" s="14" t="s">
        <v>31</v>
      </c>
      <c r="BO95" s="14"/>
      <c r="BP95" s="14"/>
      <c r="BQ95" s="39">
        <v>1191133</v>
      </c>
      <c r="BR95" s="14">
        <v>0</v>
      </c>
      <c r="BS95" s="14"/>
      <c r="BT95" s="14">
        <v>0</v>
      </c>
      <c r="BU95" s="14"/>
      <c r="BV95" s="14" t="s">
        <v>31</v>
      </c>
      <c r="BW95" s="14"/>
      <c r="BX95" s="14"/>
      <c r="BY95" s="39">
        <v>1191133</v>
      </c>
      <c r="BZ95" s="8">
        <v>0</v>
      </c>
      <c r="CA95" s="14"/>
      <c r="CB95" s="14">
        <v>0</v>
      </c>
      <c r="CC95" s="14"/>
      <c r="CD95" s="14" t="s">
        <v>31</v>
      </c>
      <c r="CE95" s="14"/>
      <c r="CF95" s="14"/>
    </row>
    <row r="96" spans="1:84" x14ac:dyDescent="0.35">
      <c r="A96" s="1" t="s">
        <v>443</v>
      </c>
      <c r="B96" s="26" t="s">
        <v>760</v>
      </c>
      <c r="C96" s="24">
        <v>6701</v>
      </c>
      <c r="D96" s="22">
        <v>204603</v>
      </c>
      <c r="E96" s="18" t="s">
        <v>445</v>
      </c>
      <c r="F96" s="19" t="s">
        <v>761</v>
      </c>
      <c r="G96" s="39">
        <v>3203417</v>
      </c>
      <c r="H96" s="39">
        <v>2807460</v>
      </c>
      <c r="I96" s="8">
        <f t="shared" si="31"/>
        <v>-395957</v>
      </c>
      <c r="J96" s="10">
        <f t="shared" si="32"/>
        <v>-0.12360457598870206</v>
      </c>
      <c r="K96" s="12">
        <v>3050041</v>
      </c>
      <c r="L96" s="12"/>
      <c r="M96" s="12"/>
      <c r="N96" s="8">
        <f t="shared" si="33"/>
        <v>0</v>
      </c>
      <c r="O96" s="14"/>
      <c r="P96" s="14" t="s">
        <v>38</v>
      </c>
      <c r="Q96" s="14"/>
      <c r="R96" s="14" t="s">
        <v>31</v>
      </c>
      <c r="S96" s="3"/>
      <c r="T96" s="39">
        <v>2843377</v>
      </c>
      <c r="U96" s="14">
        <v>0</v>
      </c>
      <c r="V96" s="14"/>
      <c r="W96" s="14">
        <v>0</v>
      </c>
      <c r="X96" s="14" t="s">
        <v>38</v>
      </c>
      <c r="Y96" s="14"/>
      <c r="Z96" s="14" t="s">
        <v>31</v>
      </c>
      <c r="AA96" s="3"/>
      <c r="AB96" s="39">
        <v>2939401</v>
      </c>
      <c r="AC96" s="8">
        <f t="shared" si="40"/>
        <v>-131941</v>
      </c>
      <c r="AD96" s="14"/>
      <c r="AE96" s="9">
        <v>0</v>
      </c>
      <c r="AF96" s="14"/>
      <c r="AG96" s="14"/>
      <c r="AH96" s="14" t="s">
        <v>31</v>
      </c>
      <c r="AI96" s="3"/>
      <c r="AJ96" s="51">
        <v>1900003297</v>
      </c>
      <c r="AK96" s="39">
        <v>2597170</v>
      </c>
      <c r="AL96" s="8">
        <f t="shared" si="38"/>
        <v>210290</v>
      </c>
      <c r="AM96" s="14"/>
      <c r="AN96" s="9">
        <f>+AL96/H96</f>
        <v>7.4904005756092698E-2</v>
      </c>
      <c r="AO96" s="14"/>
      <c r="AP96" s="14" t="s">
        <v>31</v>
      </c>
      <c r="AQ96" s="14"/>
      <c r="AR96" s="20">
        <v>1900003820</v>
      </c>
      <c r="AS96" s="39">
        <v>2952840</v>
      </c>
      <c r="AT96" s="8">
        <f t="shared" ref="AT96:AT104" si="41">+H96-AS96</f>
        <v>-145380</v>
      </c>
      <c r="AU96" s="14"/>
      <c r="AV96" s="14">
        <v>0</v>
      </c>
      <c r="AW96" s="14"/>
      <c r="AX96" s="14" t="s">
        <v>31</v>
      </c>
      <c r="AY96" s="14"/>
      <c r="AZ96" s="84">
        <v>1900004352</v>
      </c>
      <c r="BA96" s="39">
        <v>2746715</v>
      </c>
      <c r="BB96" s="8">
        <f>+H96-BA96</f>
        <v>60745</v>
      </c>
      <c r="BC96" s="14"/>
      <c r="BD96" s="9">
        <f>+BB96/H96</f>
        <v>2.1636995718549865E-2</v>
      </c>
      <c r="BE96" s="14"/>
      <c r="BF96" s="14" t="s">
        <v>31</v>
      </c>
      <c r="BG96" s="14"/>
      <c r="BH96" s="14"/>
      <c r="BI96" s="39">
        <v>2957943</v>
      </c>
      <c r="BJ96" s="8">
        <v>0</v>
      </c>
      <c r="BK96" s="14"/>
      <c r="BL96" s="14">
        <v>0</v>
      </c>
      <c r="BM96" s="14"/>
      <c r="BN96" s="14" t="s">
        <v>31</v>
      </c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</row>
    <row r="97" spans="1:84" ht="15.5" x14ac:dyDescent="0.35">
      <c r="A97" s="1" t="s">
        <v>447</v>
      </c>
      <c r="B97" s="26" t="s">
        <v>762</v>
      </c>
      <c r="C97" s="24">
        <v>6711</v>
      </c>
      <c r="D97" s="22">
        <v>204608</v>
      </c>
      <c r="E97" s="18" t="s">
        <v>763</v>
      </c>
      <c r="F97" s="19" t="s">
        <v>764</v>
      </c>
      <c r="G97" s="39">
        <v>2366745</v>
      </c>
      <c r="H97" s="39">
        <v>2366745</v>
      </c>
      <c r="I97" s="8">
        <f t="shared" si="31"/>
        <v>0</v>
      </c>
      <c r="J97" s="8">
        <f t="shared" si="32"/>
        <v>0</v>
      </c>
      <c r="K97" s="12">
        <f>694267+1619957</f>
        <v>2314224</v>
      </c>
      <c r="L97" s="12">
        <f>+H97-K97</f>
        <v>52521</v>
      </c>
      <c r="M97" s="12"/>
      <c r="N97" s="9">
        <f>+(L97+M97)/H97</f>
        <v>2.2191237332285479E-2</v>
      </c>
      <c r="O97" s="14"/>
      <c r="P97" s="14" t="s">
        <v>38</v>
      </c>
      <c r="Q97" s="14" t="s">
        <v>899</v>
      </c>
      <c r="R97" s="14" t="s">
        <v>31</v>
      </c>
      <c r="S97" s="80" t="s">
        <v>83</v>
      </c>
      <c r="T97" s="43">
        <f>1619957+694267</f>
        <v>2314224</v>
      </c>
      <c r="U97" s="44">
        <f>+H97-T97</f>
        <v>52521</v>
      </c>
      <c r="V97" s="14"/>
      <c r="W97" s="9">
        <f>+U97/H97</f>
        <v>2.2191237332285479E-2</v>
      </c>
      <c r="X97" s="14" t="s">
        <v>38</v>
      </c>
      <c r="Y97" s="14"/>
      <c r="Z97" s="14" t="s">
        <v>31</v>
      </c>
      <c r="AA97" s="80" t="s">
        <v>47</v>
      </c>
      <c r="AB97" s="39">
        <f>710024+1656721</f>
        <v>2366745</v>
      </c>
      <c r="AC97" s="8">
        <f t="shared" si="40"/>
        <v>0</v>
      </c>
      <c r="AD97" s="14"/>
      <c r="AE97" s="9">
        <f>+AC97/H97</f>
        <v>0</v>
      </c>
      <c r="AF97" s="14" t="s">
        <v>38</v>
      </c>
      <c r="AG97" s="14"/>
      <c r="AH97" s="14" t="s">
        <v>31</v>
      </c>
      <c r="AI97" s="3"/>
      <c r="AJ97" s="51" t="s">
        <v>900</v>
      </c>
      <c r="AK97" s="39">
        <f>462845+1893396</f>
        <v>2356241</v>
      </c>
      <c r="AL97" s="8">
        <f t="shared" si="38"/>
        <v>10504</v>
      </c>
      <c r="AM97" s="14"/>
      <c r="AN97" s="9">
        <f>+AL97/H97</f>
        <v>4.4381629622118144E-3</v>
      </c>
      <c r="AO97" s="14"/>
      <c r="AP97" s="14" t="s">
        <v>31</v>
      </c>
      <c r="AQ97" s="14"/>
      <c r="AR97" s="20">
        <v>1900003799</v>
      </c>
      <c r="AS97" s="39">
        <v>1659075</v>
      </c>
      <c r="AT97" s="8">
        <f t="shared" si="41"/>
        <v>707670</v>
      </c>
      <c r="AU97" s="14"/>
      <c r="AV97" s="9">
        <f>+AT97/H97</f>
        <v>0.29900559629364382</v>
      </c>
      <c r="AW97" s="14"/>
      <c r="AX97" s="14" t="s">
        <v>31</v>
      </c>
      <c r="AY97" s="14"/>
      <c r="AZ97" s="85" t="s">
        <v>901</v>
      </c>
      <c r="BA97" s="39">
        <f>291966+2022238</f>
        <v>2314204</v>
      </c>
      <c r="BB97" s="8">
        <f>+H97-BA97</f>
        <v>52541</v>
      </c>
      <c r="BC97" s="14"/>
      <c r="BD97" s="14">
        <v>0</v>
      </c>
      <c r="BE97" s="14"/>
      <c r="BF97" s="14" t="s">
        <v>31</v>
      </c>
      <c r="BG97" s="14"/>
      <c r="BH97" s="14"/>
      <c r="BI97" s="39">
        <f>294689+2019535</f>
        <v>2314224</v>
      </c>
      <c r="BJ97" s="39">
        <f>+H97-BI97</f>
        <v>52521</v>
      </c>
      <c r="BK97" s="14"/>
      <c r="BL97" s="9">
        <f>+BJ97/H97</f>
        <v>2.2191237332285479E-2</v>
      </c>
      <c r="BM97" s="14"/>
      <c r="BN97" s="14" t="s">
        <v>31</v>
      </c>
      <c r="BO97" s="14"/>
      <c r="BP97" s="14"/>
      <c r="BQ97" s="39">
        <v>2130070</v>
      </c>
      <c r="BR97" s="14">
        <v>0</v>
      </c>
      <c r="BS97" s="39">
        <v>294689</v>
      </c>
      <c r="BT97" s="9">
        <f>+BS97/BQ97</f>
        <v>0.13834709657429098</v>
      </c>
      <c r="BU97" s="14"/>
      <c r="BV97" s="14" t="s">
        <v>31</v>
      </c>
      <c r="BW97" s="14"/>
      <c r="BX97" s="14"/>
      <c r="BY97" s="39">
        <v>2130070</v>
      </c>
      <c r="BZ97" s="14">
        <v>0</v>
      </c>
      <c r="CA97" s="14"/>
      <c r="CB97" s="14">
        <v>0</v>
      </c>
      <c r="CC97" s="14"/>
      <c r="CD97" s="14" t="s">
        <v>31</v>
      </c>
      <c r="CE97" s="14"/>
      <c r="CF97" s="14"/>
    </row>
    <row r="98" spans="1:84" x14ac:dyDescent="0.35">
      <c r="A98" s="1" t="s">
        <v>451</v>
      </c>
      <c r="B98" s="26" t="s">
        <v>765</v>
      </c>
      <c r="C98" s="24">
        <v>6714</v>
      </c>
      <c r="D98" s="22">
        <v>204611</v>
      </c>
      <c r="E98" s="18" t="s">
        <v>766</v>
      </c>
      <c r="F98" s="19" t="s">
        <v>767</v>
      </c>
      <c r="G98" s="39">
        <v>1095800</v>
      </c>
      <c r="H98" s="39">
        <v>1095800</v>
      </c>
      <c r="I98" s="8">
        <f t="shared" si="31"/>
        <v>0</v>
      </c>
      <c r="J98" s="8">
        <f t="shared" si="32"/>
        <v>0</v>
      </c>
      <c r="K98" s="39">
        <v>1095800</v>
      </c>
      <c r="L98" s="12">
        <v>0</v>
      </c>
      <c r="M98" s="12"/>
      <c r="N98" s="8">
        <v>0</v>
      </c>
      <c r="O98" s="14"/>
      <c r="P98" s="14"/>
      <c r="Q98" s="14"/>
      <c r="R98" s="14" t="s">
        <v>31</v>
      </c>
      <c r="S98" s="77" t="s">
        <v>47</v>
      </c>
      <c r="T98" s="39">
        <v>1353038</v>
      </c>
      <c r="U98" s="14">
        <v>0</v>
      </c>
      <c r="V98" s="14"/>
      <c r="W98" s="14">
        <v>0</v>
      </c>
      <c r="X98" s="14"/>
      <c r="Y98" s="14" t="s">
        <v>902</v>
      </c>
      <c r="Z98" s="14" t="s">
        <v>31</v>
      </c>
      <c r="AA98" s="81"/>
      <c r="AB98" s="8">
        <v>1033774</v>
      </c>
      <c r="AC98" s="8">
        <f t="shared" si="40"/>
        <v>62026</v>
      </c>
      <c r="AD98" s="14"/>
      <c r="AE98" s="9">
        <f>+AC98/H98</f>
        <v>5.6603394780069358E-2</v>
      </c>
      <c r="AF98" s="14"/>
      <c r="AG98" s="14"/>
      <c r="AH98" s="14" t="s">
        <v>31</v>
      </c>
      <c r="AI98" s="77" t="s">
        <v>47</v>
      </c>
      <c r="AJ98" s="51">
        <v>1900003298</v>
      </c>
      <c r="AK98" s="39">
        <v>1033774</v>
      </c>
      <c r="AL98" s="8">
        <f t="shared" si="38"/>
        <v>62026</v>
      </c>
      <c r="AM98" s="14"/>
      <c r="AN98" s="9">
        <f>+AL98/H98</f>
        <v>5.6603394780069358E-2</v>
      </c>
      <c r="AO98" s="14"/>
      <c r="AP98" s="14" t="s">
        <v>31</v>
      </c>
      <c r="AQ98" s="14"/>
      <c r="AR98" s="20">
        <v>1900003900</v>
      </c>
      <c r="AS98" s="39">
        <v>1033774</v>
      </c>
      <c r="AT98" s="8">
        <f t="shared" si="41"/>
        <v>62026</v>
      </c>
      <c r="AU98" s="14"/>
      <c r="AV98" s="9">
        <f>+AT98/H98</f>
        <v>5.6603394780069358E-2</v>
      </c>
      <c r="AW98" s="14"/>
      <c r="AX98" s="14" t="s">
        <v>31</v>
      </c>
      <c r="AY98" s="14"/>
      <c r="AZ98" s="86">
        <v>1900004377</v>
      </c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39">
        <v>1033774</v>
      </c>
      <c r="BZ98" s="14">
        <v>0</v>
      </c>
      <c r="CA98" s="14"/>
      <c r="CB98" s="14">
        <v>0</v>
      </c>
      <c r="CC98" s="14"/>
      <c r="CD98" s="14" t="s">
        <v>31</v>
      </c>
      <c r="CE98" s="14"/>
      <c r="CF98" s="14"/>
    </row>
    <row r="99" spans="1:84" x14ac:dyDescent="0.35">
      <c r="A99" s="1" t="s">
        <v>455</v>
      </c>
      <c r="B99" s="26" t="s">
        <v>768</v>
      </c>
      <c r="C99" s="24">
        <v>6715</v>
      </c>
      <c r="D99" s="22">
        <v>204633</v>
      </c>
      <c r="E99" s="18" t="s">
        <v>769</v>
      </c>
      <c r="F99" s="19" t="s">
        <v>770</v>
      </c>
      <c r="G99" s="39">
        <v>1093115</v>
      </c>
      <c r="H99" s="39">
        <v>1093566</v>
      </c>
      <c r="I99" s="8">
        <f t="shared" si="31"/>
        <v>451</v>
      </c>
      <c r="J99" s="6">
        <f t="shared" si="32"/>
        <v>4.1258239069082392E-4</v>
      </c>
      <c r="K99" s="12">
        <f>+H99</f>
        <v>1093566</v>
      </c>
      <c r="L99" s="12"/>
      <c r="M99" s="12"/>
      <c r="N99" s="9"/>
      <c r="O99" s="14"/>
      <c r="P99" s="14" t="s">
        <v>38</v>
      </c>
      <c r="Q99" s="14"/>
      <c r="R99" s="14" t="s">
        <v>31</v>
      </c>
      <c r="S99" s="77" t="s">
        <v>55</v>
      </c>
      <c r="T99" s="43">
        <v>1147077</v>
      </c>
      <c r="U99" s="44">
        <f>+H99-T99</f>
        <v>-53511</v>
      </c>
      <c r="V99" s="14"/>
      <c r="W99" s="9">
        <f>+U99/H99</f>
        <v>-4.8932574714283361E-2</v>
      </c>
      <c r="X99" s="14" t="s">
        <v>38</v>
      </c>
      <c r="Y99" s="14"/>
      <c r="Z99" s="14" t="s">
        <v>31</v>
      </c>
      <c r="AA99" s="77" t="s">
        <v>32</v>
      </c>
      <c r="AB99" s="39">
        <v>765496</v>
      </c>
      <c r="AC99" s="8">
        <f t="shared" si="40"/>
        <v>328070</v>
      </c>
      <c r="AD99" s="14"/>
      <c r="AE99" s="9">
        <f>+AC99/H99</f>
        <v>0.30000018288790981</v>
      </c>
      <c r="AF99" s="14" t="s">
        <v>46</v>
      </c>
      <c r="AG99" s="14"/>
      <c r="AH99" s="14" t="s">
        <v>31</v>
      </c>
      <c r="AI99" s="3"/>
      <c r="AJ99" s="51">
        <v>1900003282</v>
      </c>
      <c r="AK99" s="39">
        <v>765496</v>
      </c>
      <c r="AL99" s="14">
        <v>0</v>
      </c>
      <c r="AM99" s="14"/>
      <c r="AN99" s="14">
        <v>0</v>
      </c>
      <c r="AO99" s="14"/>
      <c r="AP99" s="14" t="s">
        <v>31</v>
      </c>
      <c r="AQ99" s="14"/>
      <c r="AR99" s="20">
        <v>1900003879</v>
      </c>
      <c r="AS99" s="39">
        <v>765496</v>
      </c>
      <c r="AT99" s="8">
        <f t="shared" si="41"/>
        <v>328070</v>
      </c>
      <c r="AU99" s="14"/>
      <c r="AV99" s="9">
        <f>+AT99/H99</f>
        <v>0.30000018288790981</v>
      </c>
      <c r="AW99" s="14"/>
      <c r="AX99" s="14" t="s">
        <v>31</v>
      </c>
      <c r="AY99" s="14"/>
      <c r="AZ99" s="85"/>
      <c r="BA99" s="39">
        <v>765496</v>
      </c>
      <c r="BB99" s="14">
        <v>0</v>
      </c>
      <c r="BC99" s="14"/>
      <c r="BD99" s="14">
        <v>0</v>
      </c>
      <c r="BE99" s="14"/>
      <c r="BF99" s="14"/>
      <c r="BG99" s="14"/>
      <c r="BH99" s="14"/>
      <c r="BI99" s="39">
        <v>765496</v>
      </c>
      <c r="BJ99" s="14">
        <v>0</v>
      </c>
      <c r="BK99" s="14"/>
      <c r="BL99" s="14">
        <v>0</v>
      </c>
      <c r="BM99" s="14"/>
      <c r="BN99" s="14"/>
      <c r="BO99" s="14"/>
      <c r="BP99" s="14"/>
      <c r="BQ99" s="39">
        <v>874852</v>
      </c>
      <c r="BR99" s="14">
        <v>0</v>
      </c>
      <c r="BS99" s="14"/>
      <c r="BT99" s="14">
        <v>0</v>
      </c>
      <c r="BU99" s="14"/>
      <c r="BV99" s="14"/>
      <c r="BW99" s="14"/>
      <c r="BX99" s="14"/>
      <c r="BY99" s="39">
        <v>874852</v>
      </c>
      <c r="BZ99" s="14">
        <v>0</v>
      </c>
      <c r="CA99" s="14"/>
      <c r="CB99" s="14">
        <v>0</v>
      </c>
      <c r="CC99" s="14"/>
      <c r="CD99" s="14" t="s">
        <v>31</v>
      </c>
      <c r="CE99" s="14"/>
      <c r="CF99" s="14"/>
    </row>
    <row r="100" spans="1:84" ht="15.5" x14ac:dyDescent="0.35">
      <c r="A100" s="1" t="s">
        <v>460</v>
      </c>
      <c r="B100" s="26" t="s">
        <v>771</v>
      </c>
      <c r="C100" s="24">
        <v>6716</v>
      </c>
      <c r="D100" s="22">
        <v>204629</v>
      </c>
      <c r="E100" s="18" t="s">
        <v>773</v>
      </c>
      <c r="F100" s="19" t="s">
        <v>774</v>
      </c>
      <c r="G100" s="39">
        <v>2013683</v>
      </c>
      <c r="H100" s="39">
        <v>2014225</v>
      </c>
      <c r="I100" s="8">
        <f t="shared" si="31"/>
        <v>542</v>
      </c>
      <c r="J100" s="6">
        <f t="shared" si="32"/>
        <v>2.6915855176807868E-4</v>
      </c>
      <c r="K100" s="12">
        <v>2289523</v>
      </c>
      <c r="L100" s="12">
        <f>+H100-K100</f>
        <v>-275298</v>
      </c>
      <c r="M100" s="12"/>
      <c r="N100" s="9">
        <f t="shared" si="33"/>
        <v>-0.13667688565080863</v>
      </c>
      <c r="O100" s="14"/>
      <c r="P100" s="14" t="s">
        <v>38</v>
      </c>
      <c r="Q100" s="14"/>
      <c r="R100" s="14" t="s">
        <v>31</v>
      </c>
      <c r="S100" s="3"/>
      <c r="T100" s="39">
        <f>2430571-545605</f>
        <v>1884966</v>
      </c>
      <c r="U100" s="8">
        <f>+H100-T100</f>
        <v>129259</v>
      </c>
      <c r="V100" s="14"/>
      <c r="W100" s="9">
        <f>+U100/H100</f>
        <v>6.4173069046407433E-2</v>
      </c>
      <c r="X100" s="14" t="s">
        <v>38</v>
      </c>
      <c r="Y100" s="14"/>
      <c r="Z100" s="14" t="s">
        <v>31</v>
      </c>
      <c r="AA100" s="80" t="s">
        <v>83</v>
      </c>
      <c r="AB100" s="39">
        <v>2430571</v>
      </c>
      <c r="AC100" s="8">
        <f t="shared" si="40"/>
        <v>-416346</v>
      </c>
      <c r="AD100" s="14"/>
      <c r="AE100" s="9">
        <f>+AC100/H100</f>
        <v>-0.20670282614901514</v>
      </c>
      <c r="AF100" s="14" t="s">
        <v>38</v>
      </c>
      <c r="AG100" s="14"/>
      <c r="AH100" s="14" t="s">
        <v>31</v>
      </c>
      <c r="AI100" s="3"/>
      <c r="AJ100" s="51">
        <v>1900003273</v>
      </c>
      <c r="AK100" s="39">
        <v>2430571</v>
      </c>
      <c r="AL100" s="8">
        <f>+H100-AK100</f>
        <v>-416346</v>
      </c>
      <c r="AM100" s="14"/>
      <c r="AN100" s="9">
        <f>+AL100/H100</f>
        <v>-0.20670282614901514</v>
      </c>
      <c r="AO100" s="14"/>
      <c r="AP100" s="14" t="s">
        <v>31</v>
      </c>
      <c r="AQ100" s="14"/>
      <c r="AR100" s="20">
        <v>1900003815</v>
      </c>
      <c r="AS100" s="39">
        <v>2430571</v>
      </c>
      <c r="AT100" s="8">
        <f t="shared" si="41"/>
        <v>-416346</v>
      </c>
      <c r="AU100" s="14"/>
      <c r="AV100" s="14">
        <v>0</v>
      </c>
      <c r="AW100" s="14"/>
      <c r="AX100" s="14" t="s">
        <v>31</v>
      </c>
      <c r="AY100" s="14"/>
      <c r="AZ100" s="85">
        <v>1900004251</v>
      </c>
      <c r="BA100" s="39">
        <v>2053578</v>
      </c>
      <c r="BB100" s="8">
        <f>+H100-BA100</f>
        <v>-39353</v>
      </c>
      <c r="BC100" s="14"/>
      <c r="BD100" s="9">
        <f>+BB100/H100</f>
        <v>-1.9537539252069653E-2</v>
      </c>
      <c r="BE100" s="14"/>
      <c r="BF100" s="14" t="s">
        <v>31</v>
      </c>
      <c r="BG100" s="14"/>
      <c r="BH100" s="14"/>
      <c r="BI100" s="39">
        <v>2204375</v>
      </c>
      <c r="BJ100" s="14">
        <v>0</v>
      </c>
      <c r="BK100" s="14"/>
      <c r="BL100" s="14">
        <v>0</v>
      </c>
      <c r="BM100" s="14"/>
      <c r="BN100" s="14" t="s">
        <v>31</v>
      </c>
      <c r="BO100" s="14"/>
      <c r="BP100" s="14"/>
      <c r="BQ100" s="39">
        <f>18995+2312925</f>
        <v>2331920</v>
      </c>
      <c r="BR100" s="8">
        <f>+H100-BQ100</f>
        <v>-317695</v>
      </c>
      <c r="BS100" s="14"/>
      <c r="BT100" s="9">
        <f>+BR100/H100</f>
        <v>-0.1577256761285358</v>
      </c>
      <c r="BU100" s="14"/>
      <c r="BV100" s="14" t="s">
        <v>31</v>
      </c>
      <c r="BW100" s="14"/>
      <c r="BX100" s="14"/>
      <c r="BY100" s="39">
        <v>2312925</v>
      </c>
      <c r="BZ100" s="14">
        <v>0</v>
      </c>
      <c r="CA100" s="39">
        <v>117647</v>
      </c>
      <c r="CB100" s="9">
        <f>+CA100/BY100</f>
        <v>5.0865030210663985E-2</v>
      </c>
      <c r="CC100" s="14"/>
      <c r="CD100" s="14" t="s">
        <v>31</v>
      </c>
      <c r="CE100" s="14"/>
      <c r="CF100" s="14"/>
    </row>
    <row r="101" spans="1:84" x14ac:dyDescent="0.35">
      <c r="A101" s="1" t="s">
        <v>464</v>
      </c>
      <c r="B101" s="26" t="s">
        <v>775</v>
      </c>
      <c r="C101" s="24">
        <v>6717</v>
      </c>
      <c r="D101" s="22">
        <v>204625</v>
      </c>
      <c r="E101" s="18" t="s">
        <v>758</v>
      </c>
      <c r="F101" s="19" t="s">
        <v>759</v>
      </c>
      <c r="G101" s="39">
        <v>1095363</v>
      </c>
      <c r="H101" s="39">
        <v>1099207</v>
      </c>
      <c r="I101" s="8">
        <f t="shared" si="31"/>
        <v>3844</v>
      </c>
      <c r="J101" s="6">
        <f t="shared" si="32"/>
        <v>3.5093389132187227E-3</v>
      </c>
      <c r="K101" s="12">
        <v>575947</v>
      </c>
      <c r="L101" s="12">
        <f>+H101-K101</f>
        <v>523260</v>
      </c>
      <c r="M101" s="12"/>
      <c r="N101" s="9">
        <f t="shared" si="33"/>
        <v>0.47603408639137124</v>
      </c>
      <c r="O101" s="14"/>
      <c r="P101" s="14" t="s">
        <v>46</v>
      </c>
      <c r="Q101" s="14"/>
      <c r="R101" s="14" t="s">
        <v>31</v>
      </c>
      <c r="S101" s="77" t="s">
        <v>55</v>
      </c>
      <c r="T101" s="39">
        <v>682900</v>
      </c>
      <c r="U101" s="8">
        <f>+G101-T101</f>
        <v>412463</v>
      </c>
      <c r="V101" s="14"/>
      <c r="W101" s="9">
        <f>+U101/G101</f>
        <v>0.37655370867922322</v>
      </c>
      <c r="X101" s="14"/>
      <c r="Y101" s="14"/>
      <c r="Z101" s="14" t="s">
        <v>31</v>
      </c>
      <c r="AA101" s="3"/>
      <c r="AB101" s="39">
        <v>375315</v>
      </c>
      <c r="AC101" s="8">
        <f t="shared" si="40"/>
        <v>723892</v>
      </c>
      <c r="AD101" s="14"/>
      <c r="AE101" s="9">
        <f>+AC101/G101</f>
        <v>0.66086950170856607</v>
      </c>
      <c r="AF101" s="14"/>
      <c r="AG101" s="14"/>
      <c r="AH101" s="14" t="s">
        <v>31</v>
      </c>
      <c r="AI101" s="3"/>
      <c r="AJ101" s="51">
        <v>190003240</v>
      </c>
      <c r="AK101" s="39">
        <v>750730</v>
      </c>
      <c r="AL101" s="8">
        <f>+H101-AK101</f>
        <v>348477</v>
      </c>
      <c r="AM101" s="14"/>
      <c r="AN101" s="9">
        <f>+AL101/H101</f>
        <v>0.31702581952261949</v>
      </c>
      <c r="AO101" s="14"/>
      <c r="AP101" s="14" t="s">
        <v>31</v>
      </c>
      <c r="AQ101" s="14"/>
      <c r="AR101" s="20">
        <v>1900003800</v>
      </c>
      <c r="AS101" s="39">
        <v>750630</v>
      </c>
      <c r="AT101" s="39">
        <f t="shared" si="41"/>
        <v>348577</v>
      </c>
      <c r="AU101" s="14"/>
      <c r="AV101" s="9">
        <f>+AT101/H101</f>
        <v>0.3171167941979991</v>
      </c>
      <c r="AW101" s="14"/>
      <c r="AX101" s="14" t="s">
        <v>31</v>
      </c>
      <c r="AY101" s="14"/>
      <c r="AZ101" s="84">
        <v>1900004282</v>
      </c>
      <c r="BA101" s="39">
        <v>750630</v>
      </c>
      <c r="BB101" s="8">
        <f>+H101-BA101</f>
        <v>348577</v>
      </c>
      <c r="BC101" s="14"/>
      <c r="BD101" s="9">
        <f>+BB101/H101</f>
        <v>0.3171167941979991</v>
      </c>
      <c r="BE101" s="14"/>
      <c r="BF101" s="14" t="s">
        <v>31</v>
      </c>
      <c r="BG101" s="14"/>
      <c r="BH101" s="14"/>
      <c r="BI101" s="39">
        <v>750630</v>
      </c>
      <c r="BJ101" s="8">
        <f>+G101-BI101</f>
        <v>344733</v>
      </c>
      <c r="BK101" s="14"/>
      <c r="BL101" s="9">
        <f>+BJ101/G101</f>
        <v>0.31472032559069457</v>
      </c>
      <c r="BM101" s="14"/>
      <c r="BN101" s="14" t="s">
        <v>31</v>
      </c>
      <c r="BO101" s="14"/>
      <c r="BP101" s="14"/>
      <c r="BQ101" s="39">
        <v>750630</v>
      </c>
      <c r="BR101" s="14">
        <v>0</v>
      </c>
      <c r="BS101" s="14"/>
      <c r="BT101" s="14">
        <v>0</v>
      </c>
      <c r="BU101" s="14"/>
      <c r="BV101" s="14" t="s">
        <v>31</v>
      </c>
      <c r="BW101" s="14"/>
      <c r="BX101" s="14"/>
      <c r="BY101" s="39">
        <v>750630</v>
      </c>
      <c r="BZ101" s="14">
        <v>0</v>
      </c>
      <c r="CA101" s="14"/>
      <c r="CB101" s="14">
        <v>0</v>
      </c>
      <c r="CC101" s="14"/>
      <c r="CD101" s="14" t="s">
        <v>31</v>
      </c>
      <c r="CE101" s="14"/>
      <c r="CF101" s="14"/>
    </row>
    <row r="102" spans="1:84" x14ac:dyDescent="0.35">
      <c r="A102" s="1" t="s">
        <v>467</v>
      </c>
      <c r="B102" s="26" t="s">
        <v>776</v>
      </c>
      <c r="C102" s="24">
        <v>6718</v>
      </c>
      <c r="D102" s="22">
        <v>204577</v>
      </c>
      <c r="E102" s="18" t="s">
        <v>777</v>
      </c>
      <c r="F102" s="19" t="s">
        <v>778</v>
      </c>
      <c r="G102" s="39">
        <v>1123000</v>
      </c>
      <c r="H102" s="75">
        <v>1134000</v>
      </c>
      <c r="I102" s="8">
        <f t="shared" si="31"/>
        <v>11000</v>
      </c>
      <c r="J102" s="6">
        <f t="shared" si="32"/>
        <v>9.7951914514692786E-3</v>
      </c>
      <c r="K102" s="12">
        <v>1134000</v>
      </c>
      <c r="L102" s="12"/>
      <c r="M102" s="12"/>
      <c r="N102" s="8">
        <f t="shared" si="33"/>
        <v>0</v>
      </c>
      <c r="O102" s="14"/>
      <c r="P102" s="14"/>
      <c r="Q102" s="14" t="s">
        <v>903</v>
      </c>
      <c r="R102" s="14"/>
      <c r="S102" s="3"/>
      <c r="T102" s="14"/>
      <c r="U102" s="14"/>
      <c r="V102" s="14"/>
      <c r="W102" s="14"/>
      <c r="X102" s="14"/>
      <c r="Y102" s="14"/>
      <c r="Z102" s="14"/>
      <c r="AA102" s="3"/>
      <c r="AB102" s="14"/>
      <c r="AC102" s="14"/>
      <c r="AD102" s="14"/>
      <c r="AE102" s="14"/>
      <c r="AF102" s="14"/>
      <c r="AG102" s="14"/>
      <c r="AH102" s="14"/>
      <c r="AI102" s="3"/>
      <c r="AJ102" s="51"/>
      <c r="AK102" s="39">
        <v>2650900</v>
      </c>
      <c r="AL102" s="14"/>
      <c r="AM102" s="14"/>
      <c r="AN102" s="14"/>
      <c r="AO102" s="14"/>
      <c r="AP102" s="14"/>
      <c r="AQ102" s="14"/>
      <c r="AR102" s="20"/>
      <c r="AS102" s="39">
        <v>1134000</v>
      </c>
      <c r="AT102" s="8">
        <f t="shared" si="41"/>
        <v>0</v>
      </c>
      <c r="AU102" s="14"/>
      <c r="AV102" s="14">
        <v>0</v>
      </c>
      <c r="AW102" s="14"/>
      <c r="AX102" s="14" t="s">
        <v>31</v>
      </c>
      <c r="AY102" s="14"/>
      <c r="AZ102" s="85">
        <v>1900004234</v>
      </c>
      <c r="BA102" s="14"/>
      <c r="BB102" s="14"/>
      <c r="BC102" s="14"/>
      <c r="BD102" s="14"/>
      <c r="BE102" s="14"/>
      <c r="BF102" s="14"/>
      <c r="BG102" s="14"/>
      <c r="BH102" s="14"/>
      <c r="BI102" s="39">
        <v>1134000</v>
      </c>
      <c r="BJ102" s="14">
        <v>0</v>
      </c>
      <c r="BK102" s="14"/>
      <c r="BL102" s="14">
        <v>0</v>
      </c>
      <c r="BM102" s="14"/>
      <c r="BN102" s="14" t="s">
        <v>31</v>
      </c>
      <c r="BO102" s="14"/>
      <c r="BP102" s="14"/>
      <c r="BQ102" s="14">
        <v>1134000</v>
      </c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</row>
    <row r="103" spans="1:84" x14ac:dyDescent="0.35">
      <c r="A103" s="1" t="s">
        <v>473</v>
      </c>
      <c r="B103" s="26" t="s">
        <v>779</v>
      </c>
      <c r="C103" s="24">
        <v>6759</v>
      </c>
      <c r="D103" s="22">
        <v>204601</v>
      </c>
      <c r="E103" s="18" t="s">
        <v>780</v>
      </c>
      <c r="F103" s="19" t="s">
        <v>781</v>
      </c>
      <c r="G103" s="39">
        <v>2453571</v>
      </c>
      <c r="H103" s="39">
        <v>2453571</v>
      </c>
      <c r="I103" s="8">
        <f t="shared" si="31"/>
        <v>0</v>
      </c>
      <c r="J103" s="8">
        <f t="shared" si="32"/>
        <v>0</v>
      </c>
      <c r="K103" s="12">
        <v>2553550</v>
      </c>
      <c r="L103" s="12">
        <f>+H103-K103</f>
        <v>-99979</v>
      </c>
      <c r="M103" s="12"/>
      <c r="N103" s="9">
        <f t="shared" si="33"/>
        <v>-4.0748362285012336E-2</v>
      </c>
      <c r="O103" s="14"/>
      <c r="P103" s="14" t="s">
        <v>38</v>
      </c>
      <c r="Q103" s="14"/>
      <c r="R103" s="14" t="s">
        <v>31</v>
      </c>
      <c r="S103" s="77" t="s">
        <v>55</v>
      </c>
      <c r="T103" s="43">
        <v>2275970</v>
      </c>
      <c r="U103" s="44">
        <f>+H103-T103</f>
        <v>177601</v>
      </c>
      <c r="V103" s="14"/>
      <c r="W103" s="9">
        <f>+U103/H103</f>
        <v>7.2384699688739396E-2</v>
      </c>
      <c r="X103" s="14" t="s">
        <v>38</v>
      </c>
      <c r="Y103" s="14"/>
      <c r="Z103" s="14" t="s">
        <v>31</v>
      </c>
      <c r="AA103" s="3"/>
      <c r="AB103" s="39">
        <v>1796358</v>
      </c>
      <c r="AC103" s="8">
        <f>+H103-AB103</f>
        <v>657213</v>
      </c>
      <c r="AD103" s="14"/>
      <c r="AE103" s="9">
        <f>+AC103/H103</f>
        <v>0.26785978477900169</v>
      </c>
      <c r="AF103" s="14" t="s">
        <v>46</v>
      </c>
      <c r="AG103" s="14"/>
      <c r="AH103" s="14" t="s">
        <v>31</v>
      </c>
      <c r="AI103" s="3"/>
      <c r="AJ103" s="51">
        <v>1900003194</v>
      </c>
      <c r="AK103" s="39">
        <v>1796358</v>
      </c>
      <c r="AL103" s="39">
        <f>+H103-AK103</f>
        <v>657213</v>
      </c>
      <c r="AM103" s="8"/>
      <c r="AN103" s="9">
        <f>+AL103/H103</f>
        <v>0.26785978477900169</v>
      </c>
      <c r="AO103" s="14"/>
      <c r="AP103" s="14" t="s">
        <v>31</v>
      </c>
      <c r="AQ103" s="14"/>
      <c r="AR103" s="20">
        <v>1900003683</v>
      </c>
      <c r="AS103" s="39">
        <v>1934539</v>
      </c>
      <c r="AT103" s="8">
        <f t="shared" si="41"/>
        <v>519032</v>
      </c>
      <c r="AU103" s="14"/>
      <c r="AV103" s="9">
        <f>+AT103/H103</f>
        <v>0.21154146344246813</v>
      </c>
      <c r="AW103" s="14"/>
      <c r="AX103" s="14" t="s">
        <v>31</v>
      </c>
      <c r="AY103" s="14"/>
      <c r="AZ103" s="85">
        <v>1900004190</v>
      </c>
      <c r="BA103" s="39">
        <v>1658177</v>
      </c>
      <c r="BB103" s="8">
        <f>+H103-BA103</f>
        <v>795394</v>
      </c>
      <c r="BC103" s="14"/>
      <c r="BD103" s="9">
        <f>+BB103/H103</f>
        <v>0.32417810611553527</v>
      </c>
      <c r="BE103" s="14"/>
      <c r="BF103" s="14" t="s">
        <v>31</v>
      </c>
      <c r="BG103" s="14"/>
      <c r="BH103" s="14"/>
      <c r="BI103" s="39">
        <v>2072721</v>
      </c>
      <c r="BJ103" s="8">
        <f>+H103-BI103</f>
        <v>380850</v>
      </c>
      <c r="BK103" s="14"/>
      <c r="BL103" s="9">
        <f>+BJ103/H103</f>
        <v>0.1552227345367222</v>
      </c>
      <c r="BM103" s="14"/>
      <c r="BN103" s="14" t="s">
        <v>31</v>
      </c>
      <c r="BO103" s="14"/>
      <c r="BP103" s="14"/>
      <c r="BQ103" s="39">
        <v>2072721</v>
      </c>
      <c r="BR103" s="8">
        <f>+H103-BQ103</f>
        <v>380850</v>
      </c>
      <c r="BS103" s="14"/>
      <c r="BT103" s="9">
        <f>+BR103/H103</f>
        <v>0.1552227345367222</v>
      </c>
      <c r="BU103" s="9"/>
      <c r="BV103" s="14" t="s">
        <v>31</v>
      </c>
      <c r="BW103" s="14"/>
      <c r="BX103" s="14"/>
      <c r="BY103" s="39">
        <v>2487265</v>
      </c>
      <c r="BZ103" s="8">
        <v>0</v>
      </c>
      <c r="CA103" s="14"/>
      <c r="CB103" s="14">
        <v>0</v>
      </c>
      <c r="CC103" s="14"/>
      <c r="CD103" s="14" t="s">
        <v>31</v>
      </c>
      <c r="CE103" s="14"/>
      <c r="CF103" s="14"/>
    </row>
    <row r="104" spans="1:84" ht="15.5" x14ac:dyDescent="0.35">
      <c r="A104" s="1" t="s">
        <v>476</v>
      </c>
      <c r="B104" s="26" t="s">
        <v>782</v>
      </c>
      <c r="C104" s="24">
        <v>6760</v>
      </c>
      <c r="D104" s="22">
        <v>204544</v>
      </c>
      <c r="E104" s="18" t="s">
        <v>783</v>
      </c>
      <c r="F104" s="19" t="s">
        <v>784</v>
      </c>
      <c r="G104" s="39">
        <v>1888428</v>
      </c>
      <c r="H104" s="75">
        <v>1888428</v>
      </c>
      <c r="I104" s="8">
        <f t="shared" si="31"/>
        <v>0</v>
      </c>
      <c r="J104" s="8">
        <f t="shared" si="32"/>
        <v>0</v>
      </c>
      <c r="K104" s="12">
        <f>+H104</f>
        <v>1888428</v>
      </c>
      <c r="L104" s="12"/>
      <c r="M104" s="12"/>
      <c r="N104" s="9"/>
      <c r="O104" s="14"/>
      <c r="P104" s="14" t="s">
        <v>38</v>
      </c>
      <c r="Q104" s="14"/>
      <c r="R104" s="14" t="s">
        <v>31</v>
      </c>
      <c r="S104" s="80" t="s">
        <v>83</v>
      </c>
      <c r="T104" s="39">
        <v>944214</v>
      </c>
      <c r="U104" s="8">
        <f>+H104-T104</f>
        <v>944214</v>
      </c>
      <c r="V104" s="14"/>
      <c r="W104" s="9">
        <f>+U104/H104</f>
        <v>0.5</v>
      </c>
      <c r="X104" s="14" t="s">
        <v>46</v>
      </c>
      <c r="Y104" s="14"/>
      <c r="Z104" s="14" t="s">
        <v>31</v>
      </c>
      <c r="AA104" s="77" t="s">
        <v>47</v>
      </c>
      <c r="AB104" s="39">
        <v>944214</v>
      </c>
      <c r="AC104" s="8">
        <f>+K104-AB104</f>
        <v>944214</v>
      </c>
      <c r="AD104" s="14"/>
      <c r="AE104" s="9">
        <f>+AC104/H104</f>
        <v>0.5</v>
      </c>
      <c r="AF104" s="14"/>
      <c r="AG104" s="14"/>
      <c r="AH104" s="14" t="s">
        <v>31</v>
      </c>
      <c r="AI104" s="3"/>
      <c r="AJ104" s="51">
        <v>1900003285</v>
      </c>
      <c r="AK104" s="39">
        <v>944214</v>
      </c>
      <c r="AL104" s="8">
        <f>+H104-AK104</f>
        <v>944214</v>
      </c>
      <c r="AM104" s="14"/>
      <c r="AN104" s="9">
        <f>+AL104/H104</f>
        <v>0.5</v>
      </c>
      <c r="AO104" s="14"/>
      <c r="AP104" s="14" t="s">
        <v>31</v>
      </c>
      <c r="AQ104" s="14"/>
      <c r="AR104" s="20">
        <v>1900003823</v>
      </c>
      <c r="AS104" s="39">
        <v>944214</v>
      </c>
      <c r="AT104" s="8">
        <f t="shared" si="41"/>
        <v>944214</v>
      </c>
      <c r="AU104" s="14"/>
      <c r="AV104" s="9">
        <f>+AT104/H104</f>
        <v>0.5</v>
      </c>
      <c r="AW104" s="14"/>
      <c r="AX104" s="14" t="s">
        <v>31</v>
      </c>
      <c r="AY104" s="14"/>
      <c r="AZ104" s="85">
        <v>1900004191</v>
      </c>
      <c r="BA104" s="39">
        <v>944214</v>
      </c>
      <c r="BB104" s="8">
        <f>+H104-BA104</f>
        <v>944214</v>
      </c>
      <c r="BC104" s="14"/>
      <c r="BD104" s="9">
        <f>+BB104/H104</f>
        <v>0.5</v>
      </c>
      <c r="BE104" s="14"/>
      <c r="BF104" s="14" t="s">
        <v>31</v>
      </c>
      <c r="BG104" s="14"/>
      <c r="BH104" s="14"/>
      <c r="BI104" s="39">
        <v>944214</v>
      </c>
      <c r="BJ104" s="8">
        <f>+H104-BI104</f>
        <v>944214</v>
      </c>
      <c r="BK104" s="14"/>
      <c r="BL104" s="9">
        <f>+BJ104/H104</f>
        <v>0.5</v>
      </c>
      <c r="BM104" s="14"/>
      <c r="BN104" s="14" t="s">
        <v>31</v>
      </c>
      <c r="BO104" s="14"/>
      <c r="BP104" s="14"/>
      <c r="BQ104" s="39">
        <v>1416321</v>
      </c>
      <c r="BR104" s="8">
        <f>+H104-BQ104</f>
        <v>472107</v>
      </c>
      <c r="BS104" s="14"/>
      <c r="BT104" s="9">
        <f>+BR104/H104</f>
        <v>0.25</v>
      </c>
      <c r="BU104" s="14"/>
      <c r="BV104" s="14" t="s">
        <v>31</v>
      </c>
      <c r="BW104" s="14"/>
      <c r="BX104" s="14"/>
      <c r="BY104" s="39">
        <v>1416321</v>
      </c>
      <c r="BZ104" s="14">
        <v>0</v>
      </c>
      <c r="CA104" s="14"/>
      <c r="CB104" s="14">
        <v>0</v>
      </c>
      <c r="CC104" s="14"/>
      <c r="CD104" s="14" t="s">
        <v>31</v>
      </c>
      <c r="CE104" s="14"/>
      <c r="CF104" s="14"/>
    </row>
    <row r="105" spans="1:84" x14ac:dyDescent="0.35">
      <c r="A105" s="1" t="s">
        <v>479</v>
      </c>
      <c r="B105" s="26" t="s">
        <v>904</v>
      </c>
      <c r="C105" s="24">
        <v>6761</v>
      </c>
      <c r="D105" s="22">
        <v>205617</v>
      </c>
      <c r="E105" s="18" t="s">
        <v>905</v>
      </c>
      <c r="F105" s="19" t="s">
        <v>906</v>
      </c>
      <c r="G105" s="39">
        <v>1191723</v>
      </c>
      <c r="H105" s="39">
        <v>1191723</v>
      </c>
      <c r="I105" s="8">
        <f t="shared" si="31"/>
        <v>0</v>
      </c>
      <c r="J105" s="8">
        <f t="shared" si="32"/>
        <v>0</v>
      </c>
      <c r="K105" s="12"/>
      <c r="L105" s="12"/>
      <c r="M105" s="12"/>
      <c r="N105" s="8">
        <f t="shared" si="33"/>
        <v>0</v>
      </c>
      <c r="O105" s="14"/>
      <c r="P105" s="14"/>
      <c r="Q105" s="14" t="s">
        <v>907</v>
      </c>
      <c r="R105" s="14"/>
      <c r="S105" s="3"/>
      <c r="T105" s="39">
        <v>682566</v>
      </c>
      <c r="U105" s="8">
        <f>+H105-T105</f>
        <v>509157</v>
      </c>
      <c r="V105" s="14"/>
      <c r="W105" s="9">
        <f>+U105/H105</f>
        <v>0.42724441837574673</v>
      </c>
      <c r="X105" s="14" t="s">
        <v>46</v>
      </c>
      <c r="Y105" s="14" t="s">
        <v>908</v>
      </c>
      <c r="Z105" s="14" t="s">
        <v>31</v>
      </c>
      <c r="AA105" s="77" t="s">
        <v>32</v>
      </c>
      <c r="AB105" s="14"/>
      <c r="AC105" s="14"/>
      <c r="AD105" s="14"/>
      <c r="AE105" s="14"/>
      <c r="AF105" s="14"/>
      <c r="AG105" s="14"/>
      <c r="AH105" s="14"/>
      <c r="AI105" s="3"/>
      <c r="AJ105" s="51"/>
      <c r="AK105" s="14"/>
      <c r="AL105" s="14"/>
      <c r="AM105" s="14"/>
      <c r="AN105" s="14"/>
      <c r="AO105" s="14"/>
      <c r="AP105" s="14"/>
      <c r="AQ105" s="14"/>
      <c r="AR105" s="20"/>
      <c r="AS105" s="39">
        <v>910088</v>
      </c>
      <c r="AT105" s="8">
        <f>+G105-AS105</f>
        <v>281635</v>
      </c>
      <c r="AU105" s="14"/>
      <c r="AV105" s="9">
        <f>+AT105/H105</f>
        <v>0.23632589116766228</v>
      </c>
      <c r="AW105" s="14"/>
      <c r="AX105" s="14" t="s">
        <v>31</v>
      </c>
      <c r="AY105" s="14"/>
      <c r="AZ105" s="84">
        <v>1900004283</v>
      </c>
      <c r="BA105" s="39">
        <v>1085950</v>
      </c>
      <c r="BB105" s="8">
        <f>+H105-BA105</f>
        <v>105773</v>
      </c>
      <c r="BC105" s="14"/>
      <c r="BD105" s="9">
        <f>+BB105/H105</f>
        <v>8.8756363685185233E-2</v>
      </c>
      <c r="BE105" s="14"/>
      <c r="BF105" s="14" t="s">
        <v>31</v>
      </c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</row>
    <row r="106" spans="1:84" x14ac:dyDescent="0.35">
      <c r="A106" s="1" t="s">
        <v>483</v>
      </c>
      <c r="B106" s="26" t="s">
        <v>785</v>
      </c>
      <c r="C106" s="24">
        <v>6762</v>
      </c>
      <c r="D106" s="22">
        <v>204779</v>
      </c>
      <c r="E106" s="18" t="s">
        <v>909</v>
      </c>
      <c r="F106" s="19" t="s">
        <v>910</v>
      </c>
      <c r="G106" s="39">
        <v>3523455</v>
      </c>
      <c r="H106" s="7"/>
      <c r="I106" s="8">
        <f t="shared" si="31"/>
        <v>-3523455</v>
      </c>
      <c r="J106" s="9">
        <f t="shared" si="32"/>
        <v>-1</v>
      </c>
      <c r="K106" s="12">
        <v>2477341</v>
      </c>
      <c r="L106" s="12">
        <f>+G106-K106</f>
        <v>1046114</v>
      </c>
      <c r="M106" s="12"/>
      <c r="N106" s="9">
        <f>+L106/G106</f>
        <v>0.29690005974249706</v>
      </c>
      <c r="O106" s="14"/>
      <c r="P106" s="14"/>
      <c r="Q106" s="14"/>
      <c r="R106" s="14"/>
      <c r="S106" s="3"/>
      <c r="T106" s="39">
        <v>2065802</v>
      </c>
      <c r="U106" s="8">
        <f>+G106-T106</f>
        <v>1457653</v>
      </c>
      <c r="V106" s="14"/>
      <c r="W106" s="9">
        <f>+U106/G106</f>
        <v>0.41369990534858542</v>
      </c>
      <c r="X106" s="14"/>
      <c r="Y106" s="14"/>
      <c r="Z106" s="14"/>
      <c r="AA106" s="3"/>
      <c r="AB106" s="39">
        <v>3523455</v>
      </c>
      <c r="AC106" s="8">
        <f>+G106-AB106</f>
        <v>0</v>
      </c>
      <c r="AD106" s="14"/>
      <c r="AE106" s="14">
        <v>0</v>
      </c>
      <c r="AF106" s="14"/>
      <c r="AG106" s="14"/>
      <c r="AH106" s="14" t="s">
        <v>31</v>
      </c>
      <c r="AI106" s="3"/>
      <c r="AJ106" s="51">
        <v>1900003293</v>
      </c>
      <c r="AK106" s="39">
        <v>2325480</v>
      </c>
      <c r="AL106" s="14">
        <v>0</v>
      </c>
      <c r="AM106" s="14"/>
      <c r="AN106" s="14">
        <v>0</v>
      </c>
      <c r="AO106" s="14"/>
      <c r="AP106" s="14" t="s">
        <v>31</v>
      </c>
      <c r="AQ106" s="14"/>
      <c r="AR106" s="20">
        <v>1900003896</v>
      </c>
      <c r="AS106" s="39">
        <v>3523455</v>
      </c>
      <c r="AT106" s="8">
        <f>+G106-AS106</f>
        <v>0</v>
      </c>
      <c r="AU106" s="14"/>
      <c r="AV106" s="14">
        <v>0</v>
      </c>
      <c r="AW106" s="14"/>
      <c r="AX106" s="14" t="s">
        <v>31</v>
      </c>
      <c r="AY106" s="14"/>
      <c r="AZ106" s="85">
        <v>1900004252</v>
      </c>
      <c r="BA106" s="39">
        <v>3523456</v>
      </c>
      <c r="BB106" s="14">
        <v>0</v>
      </c>
      <c r="BC106" s="14"/>
      <c r="BD106" s="14">
        <v>0</v>
      </c>
      <c r="BE106" s="14"/>
      <c r="BF106" s="14" t="s">
        <v>31</v>
      </c>
      <c r="BG106" s="14"/>
      <c r="BH106" s="14"/>
      <c r="BI106" s="39">
        <v>3523456</v>
      </c>
      <c r="BJ106" s="14">
        <v>0</v>
      </c>
      <c r="BK106" s="14"/>
      <c r="BL106" s="14">
        <v>0</v>
      </c>
      <c r="BM106" s="14"/>
      <c r="BN106" s="14"/>
      <c r="BO106" s="14"/>
      <c r="BP106" s="14"/>
      <c r="BQ106" s="39">
        <v>3523456</v>
      </c>
      <c r="BR106" s="14">
        <v>0</v>
      </c>
      <c r="BS106" s="14"/>
      <c r="BT106" s="14">
        <v>0</v>
      </c>
      <c r="BU106" s="14"/>
      <c r="BV106" s="14" t="s">
        <v>31</v>
      </c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</row>
    <row r="107" spans="1:84" x14ac:dyDescent="0.35">
      <c r="A107" s="1" t="s">
        <v>487</v>
      </c>
      <c r="B107" s="26" t="s">
        <v>786</v>
      </c>
      <c r="C107" s="24">
        <v>6763</v>
      </c>
      <c r="D107" s="22">
        <v>205766</v>
      </c>
      <c r="E107" s="18" t="s">
        <v>787</v>
      </c>
      <c r="F107" s="19" t="s">
        <v>788</v>
      </c>
      <c r="G107" s="39">
        <v>1825921</v>
      </c>
      <c r="H107" s="39">
        <v>1825921</v>
      </c>
      <c r="I107" s="8">
        <f t="shared" si="31"/>
        <v>0</v>
      </c>
      <c r="J107" s="8">
        <f t="shared" si="32"/>
        <v>0</v>
      </c>
      <c r="K107" s="12">
        <f>453239+459721</f>
        <v>912960</v>
      </c>
      <c r="L107" s="12">
        <f>+H107-K107</f>
        <v>912961</v>
      </c>
      <c r="M107" s="12"/>
      <c r="N107" s="9">
        <f t="shared" si="33"/>
        <v>0.50000027383441015</v>
      </c>
      <c r="O107" s="14"/>
      <c r="P107" s="14" t="s">
        <v>46</v>
      </c>
      <c r="Q107" s="14"/>
      <c r="R107" s="14" t="s">
        <v>31</v>
      </c>
      <c r="S107" s="77" t="s">
        <v>47</v>
      </c>
      <c r="T107" s="39">
        <f>906476+919442</f>
        <v>1825918</v>
      </c>
      <c r="U107" s="8">
        <f>+H107-T107</f>
        <v>3</v>
      </c>
      <c r="V107" s="14"/>
      <c r="W107" s="14">
        <v>0</v>
      </c>
      <c r="X107" s="14" t="s">
        <v>38</v>
      </c>
      <c r="Y107" s="14" t="s">
        <v>911</v>
      </c>
      <c r="Z107" s="14" t="s">
        <v>31</v>
      </c>
      <c r="AA107" s="77" t="s">
        <v>47</v>
      </c>
      <c r="AB107" s="39">
        <f>919442+906479</f>
        <v>1825921</v>
      </c>
      <c r="AC107" s="8">
        <f>+H107-AB107</f>
        <v>0</v>
      </c>
      <c r="AD107" s="14"/>
      <c r="AE107" s="9">
        <f>+AC107/H107</f>
        <v>0</v>
      </c>
      <c r="AF107" s="14" t="s">
        <v>38</v>
      </c>
      <c r="AG107" s="14"/>
      <c r="AH107" s="14" t="s">
        <v>31</v>
      </c>
      <c r="AI107" s="3"/>
      <c r="AJ107" s="51" t="s">
        <v>912</v>
      </c>
      <c r="AK107" s="39">
        <f>906479+919442</f>
        <v>1825921</v>
      </c>
      <c r="AL107" s="8">
        <f>+H107-AK107</f>
        <v>0</v>
      </c>
      <c r="AM107" s="14"/>
      <c r="AN107" s="14">
        <v>0</v>
      </c>
      <c r="AO107" s="14"/>
      <c r="AP107" s="14" t="s">
        <v>31</v>
      </c>
      <c r="AQ107" s="14"/>
      <c r="AR107" s="59" t="s">
        <v>913</v>
      </c>
      <c r="AS107" s="39">
        <f>906479+919442</f>
        <v>1825921</v>
      </c>
      <c r="AT107" s="8">
        <f>+H107-AS107</f>
        <v>0</v>
      </c>
      <c r="AU107" s="14"/>
      <c r="AV107" s="14">
        <v>0</v>
      </c>
      <c r="AW107" s="14"/>
      <c r="AX107" s="14" t="s">
        <v>31</v>
      </c>
      <c r="AY107" s="14"/>
      <c r="AZ107" s="85" t="s">
        <v>914</v>
      </c>
      <c r="BA107" s="39">
        <f>906479+919442</f>
        <v>1825921</v>
      </c>
      <c r="BB107" s="8">
        <f>+H107-BA107</f>
        <v>0</v>
      </c>
      <c r="BC107" s="14"/>
      <c r="BD107" s="14">
        <v>0</v>
      </c>
      <c r="BE107" s="14"/>
      <c r="BF107" s="14" t="s">
        <v>31</v>
      </c>
      <c r="BG107" s="14"/>
      <c r="BH107" s="14"/>
      <c r="BI107" s="39">
        <f>906479+919442</f>
        <v>1825921</v>
      </c>
      <c r="BJ107" s="14">
        <v>0</v>
      </c>
      <c r="BK107" s="14"/>
      <c r="BL107" s="14">
        <v>0</v>
      </c>
      <c r="BM107" s="14"/>
      <c r="BN107" s="14" t="s">
        <v>31</v>
      </c>
      <c r="BO107" s="14"/>
      <c r="BP107" s="14"/>
      <c r="BQ107" s="39">
        <f>906479+919442</f>
        <v>1825921</v>
      </c>
      <c r="BR107" s="14">
        <v>0</v>
      </c>
      <c r="BS107" s="39">
        <f>226620+229861</f>
        <v>456481</v>
      </c>
      <c r="BT107" s="9">
        <f>+BS107/BQ107</f>
        <v>0.25000041075161522</v>
      </c>
      <c r="BU107" s="14"/>
      <c r="BV107" s="14" t="s">
        <v>31</v>
      </c>
      <c r="BW107" s="14"/>
      <c r="BX107" s="14"/>
      <c r="BY107" s="39">
        <f>919442+906479</f>
        <v>1825921</v>
      </c>
      <c r="BZ107" s="14">
        <v>0</v>
      </c>
      <c r="CA107" s="14"/>
      <c r="CB107" s="14">
        <v>0</v>
      </c>
      <c r="CC107" s="14"/>
      <c r="CD107" s="14" t="s">
        <v>31</v>
      </c>
      <c r="CE107" s="14"/>
      <c r="CF107" s="14"/>
    </row>
    <row r="108" spans="1:84" x14ac:dyDescent="0.35">
      <c r="A108" s="1" t="s">
        <v>494</v>
      </c>
      <c r="B108" s="26" t="s">
        <v>789</v>
      </c>
      <c r="C108" s="24">
        <v>6764</v>
      </c>
      <c r="D108" s="22">
        <v>205843</v>
      </c>
      <c r="E108" s="18" t="s">
        <v>790</v>
      </c>
      <c r="F108" s="19" t="s">
        <v>791</v>
      </c>
      <c r="G108" s="39">
        <v>1966475</v>
      </c>
      <c r="H108" s="39">
        <v>1966475</v>
      </c>
      <c r="I108" s="8">
        <f t="shared" si="31"/>
        <v>0</v>
      </c>
      <c r="J108" s="8">
        <f t="shared" si="32"/>
        <v>0</v>
      </c>
      <c r="K108" s="12">
        <v>1966475</v>
      </c>
      <c r="L108" s="12">
        <f>+H108-K108</f>
        <v>0</v>
      </c>
      <c r="M108" s="12"/>
      <c r="N108" s="8">
        <f t="shared" si="33"/>
        <v>0</v>
      </c>
      <c r="O108" s="14"/>
      <c r="P108" s="14"/>
      <c r="Q108" s="14"/>
      <c r="R108" s="14"/>
      <c r="S108" s="3"/>
      <c r="T108" s="39">
        <v>1966475</v>
      </c>
      <c r="U108" s="8">
        <f>+H108-T108</f>
        <v>0</v>
      </c>
      <c r="V108" s="14"/>
      <c r="W108" s="14">
        <v>0</v>
      </c>
      <c r="X108" s="14"/>
      <c r="Y108" s="14"/>
      <c r="Z108" s="14"/>
      <c r="AA108" s="3"/>
      <c r="AB108" s="39">
        <v>1966475</v>
      </c>
      <c r="AC108" s="8">
        <f>+H108-AB108</f>
        <v>0</v>
      </c>
      <c r="AD108" s="14"/>
      <c r="AE108" s="14">
        <v>0</v>
      </c>
      <c r="AF108" s="14"/>
      <c r="AG108" s="14"/>
      <c r="AH108" s="14" t="s">
        <v>31</v>
      </c>
      <c r="AI108" s="3"/>
      <c r="AJ108" s="20">
        <v>1900003598</v>
      </c>
      <c r="AK108" s="14"/>
      <c r="AL108" s="14"/>
      <c r="AM108" s="14"/>
      <c r="AN108" s="14"/>
      <c r="AO108" s="14"/>
      <c r="AP108" s="14"/>
      <c r="AQ108" s="14"/>
      <c r="AR108" s="20"/>
      <c r="AS108" s="14"/>
      <c r="AT108" s="14"/>
      <c r="AU108" s="14"/>
      <c r="AV108" s="14"/>
      <c r="AW108" s="14"/>
      <c r="AX108" s="14"/>
      <c r="AY108" s="14"/>
      <c r="AZ108" s="85"/>
      <c r="BA108" s="39">
        <v>1966475</v>
      </c>
      <c r="BB108" s="14">
        <v>0</v>
      </c>
      <c r="BC108" s="14"/>
      <c r="BD108" s="14">
        <v>0</v>
      </c>
      <c r="BE108" s="14"/>
      <c r="BF108" s="14"/>
      <c r="BG108" s="14"/>
      <c r="BH108" s="14"/>
      <c r="BI108" s="39">
        <v>1966475</v>
      </c>
      <c r="BJ108" s="14">
        <v>0</v>
      </c>
      <c r="BK108" s="14"/>
      <c r="BL108" s="14">
        <v>0</v>
      </c>
      <c r="BM108" s="14"/>
      <c r="BN108" s="14"/>
      <c r="BO108" s="14"/>
      <c r="BP108" s="14"/>
      <c r="BQ108" s="39">
        <v>1966475</v>
      </c>
      <c r="BR108" s="14">
        <v>0</v>
      </c>
      <c r="BS108" s="14"/>
      <c r="BT108" s="14">
        <v>0</v>
      </c>
      <c r="BU108" s="14"/>
      <c r="BV108" s="14"/>
      <c r="BW108" s="14"/>
      <c r="BX108" s="14"/>
      <c r="BY108" s="39">
        <v>1966475</v>
      </c>
      <c r="BZ108" s="14">
        <v>0</v>
      </c>
      <c r="CA108" s="14"/>
      <c r="CB108" s="14">
        <v>0</v>
      </c>
      <c r="CC108" s="14"/>
      <c r="CD108" s="14" t="s">
        <v>31</v>
      </c>
      <c r="CE108" s="14"/>
      <c r="CF108" s="14"/>
    </row>
    <row r="109" spans="1:84" ht="15.5" x14ac:dyDescent="0.35">
      <c r="A109" s="1" t="s">
        <v>497</v>
      </c>
      <c r="B109" s="26" t="s">
        <v>792</v>
      </c>
      <c r="C109" s="24">
        <v>6766</v>
      </c>
      <c r="D109" s="22">
        <v>204600</v>
      </c>
      <c r="E109" s="18" t="s">
        <v>554</v>
      </c>
      <c r="F109" s="19" t="s">
        <v>555</v>
      </c>
      <c r="G109" s="39">
        <v>1003417</v>
      </c>
      <c r="H109" s="39">
        <v>1003417</v>
      </c>
      <c r="I109" s="8">
        <f t="shared" si="31"/>
        <v>0</v>
      </c>
      <c r="J109" s="8">
        <f t="shared" si="32"/>
        <v>0</v>
      </c>
      <c r="K109" s="12">
        <v>1003417</v>
      </c>
      <c r="L109" s="12"/>
      <c r="M109" s="12"/>
      <c r="N109" s="9"/>
      <c r="O109" s="14"/>
      <c r="P109" s="14" t="s">
        <v>38</v>
      </c>
      <c r="Q109" s="14"/>
      <c r="R109" s="14" t="s">
        <v>31</v>
      </c>
      <c r="S109" s="77" t="s">
        <v>55</v>
      </c>
      <c r="T109" s="43">
        <v>1003417</v>
      </c>
      <c r="U109" s="44">
        <f>+H109-T109</f>
        <v>0</v>
      </c>
      <c r="V109" s="14"/>
      <c r="W109" s="9">
        <f>+U109/H109</f>
        <v>0</v>
      </c>
      <c r="X109" s="14" t="s">
        <v>38</v>
      </c>
      <c r="Y109" s="14"/>
      <c r="Z109" s="14" t="s">
        <v>31</v>
      </c>
      <c r="AA109" s="80" t="s">
        <v>83</v>
      </c>
      <c r="AB109" s="39">
        <v>1003417</v>
      </c>
      <c r="AC109" s="8">
        <f>+H109-AB109</f>
        <v>0</v>
      </c>
      <c r="AD109" s="39">
        <v>802734</v>
      </c>
      <c r="AE109" s="9">
        <f>+AD109/H109</f>
        <v>0.80000039863785444</v>
      </c>
      <c r="AF109" s="14" t="s">
        <v>38</v>
      </c>
      <c r="AG109" s="14"/>
      <c r="AH109" s="14" t="s">
        <v>31</v>
      </c>
      <c r="AI109" s="3"/>
      <c r="AJ109" s="51" t="s">
        <v>915</v>
      </c>
      <c r="AK109" s="39">
        <v>1003417</v>
      </c>
      <c r="AL109" s="8">
        <f>+H109-AK109</f>
        <v>0</v>
      </c>
      <c r="AM109" s="14"/>
      <c r="AN109" s="9">
        <f>+AL109/H109</f>
        <v>0</v>
      </c>
      <c r="AO109" s="14"/>
      <c r="AP109" s="14" t="s">
        <v>31</v>
      </c>
      <c r="AQ109" s="14"/>
      <c r="AR109" s="20">
        <v>1900003801</v>
      </c>
      <c r="AS109" s="39">
        <v>1003417</v>
      </c>
      <c r="AT109" s="8">
        <f>+H109-AS109</f>
        <v>0</v>
      </c>
      <c r="AU109" s="14"/>
      <c r="AV109" s="9">
        <f>+AT109/H109</f>
        <v>0</v>
      </c>
      <c r="AW109" s="14"/>
      <c r="AX109" s="14" t="s">
        <v>31</v>
      </c>
      <c r="AY109" s="14"/>
      <c r="AZ109" s="85">
        <v>1900004224</v>
      </c>
      <c r="BA109" s="39">
        <v>1003417</v>
      </c>
      <c r="BB109" s="8">
        <f>+H109-BA109</f>
        <v>0</v>
      </c>
      <c r="BC109" s="14"/>
      <c r="BD109" s="14">
        <v>0</v>
      </c>
      <c r="BE109" s="14"/>
      <c r="BF109" s="14" t="s">
        <v>31</v>
      </c>
      <c r="BG109" s="14"/>
      <c r="BH109" s="14"/>
      <c r="BI109" s="39">
        <v>1003417</v>
      </c>
      <c r="BJ109" s="8">
        <f>+H109-BI109</f>
        <v>0</v>
      </c>
      <c r="BK109" s="14"/>
      <c r="BL109" s="14">
        <v>0</v>
      </c>
      <c r="BM109" s="14"/>
      <c r="BN109" s="14" t="s">
        <v>31</v>
      </c>
      <c r="BO109" s="14"/>
      <c r="BP109" s="14"/>
      <c r="BQ109" s="39">
        <v>1003417</v>
      </c>
      <c r="BR109" s="14">
        <v>0</v>
      </c>
      <c r="BS109" s="14"/>
      <c r="BT109" s="14">
        <v>0</v>
      </c>
      <c r="BU109" s="14"/>
      <c r="BV109" s="14" t="s">
        <v>31</v>
      </c>
      <c r="BW109" s="14"/>
      <c r="BX109" s="14"/>
      <c r="BY109" s="39">
        <v>1003417</v>
      </c>
      <c r="BZ109" s="39">
        <f>BQ109-BY109</f>
        <v>0</v>
      </c>
      <c r="CA109" s="39"/>
      <c r="CB109" s="9">
        <v>0</v>
      </c>
      <c r="CC109" s="14"/>
      <c r="CD109" s="14" t="s">
        <v>31</v>
      </c>
      <c r="CE109" s="14"/>
      <c r="CF109" s="14"/>
    </row>
    <row r="110" spans="1:84" x14ac:dyDescent="0.35">
      <c r="X110" s="14"/>
      <c r="AJ110" s="51"/>
      <c r="AR110" s="51"/>
    </row>
    <row r="118" spans="6:6" x14ac:dyDescent="0.35">
      <c r="F118" s="40"/>
    </row>
    <row r="119" spans="6:6" x14ac:dyDescent="0.35">
      <c r="F119" s="40"/>
    </row>
  </sheetData>
  <autoFilter ref="A3:CF109" xr:uid="{00000000-0009-0000-0000-000002000000}"/>
  <mergeCells count="11">
    <mergeCell ref="AK2:AR2"/>
    <mergeCell ref="A2:F2"/>
    <mergeCell ref="H2:J2"/>
    <mergeCell ref="T2:Z2"/>
    <mergeCell ref="K2:R2"/>
    <mergeCell ref="AB2:AJ2"/>
    <mergeCell ref="BY2:CF2"/>
    <mergeCell ref="BQ2:BX2"/>
    <mergeCell ref="BI2:BP2"/>
    <mergeCell ref="BA2:BH2"/>
    <mergeCell ref="AS2:AZ2"/>
  </mergeCells>
  <dataValidations count="2">
    <dataValidation type="list" allowBlank="1" showInputMessage="1" showErrorMessage="1" sqref="X96:X97 AF109 AF107 AF99:AF100 AF65 AF20:AF22 AF14 AF7 AF97 AF62 AF89 AF82 AF74 AF40 AF28 AF11 AF94 AF67 AF59 AF55 AF36 AF25:AF26 AF9 X57:X59 AF103 AF51 AF38 AF18 X90:X94 X73:X74 X99:X100 X109:X110 X7:X8 X103:X105 X12 X86 X81:X82 X64:X66 X24:X29 X52:X55 AF4:AF5 P4:P109 X20:X22 X61:X62 X14:X18 X31:X36 X38:X47 X107 X10 X76:X79 X49" xr:uid="{00000000-0002-0000-0200-000000000000}">
      <formula1>$AB$6:$AB$9</formula1>
    </dataValidation>
    <dataValidation type="list" allowBlank="1" showInputMessage="1" showErrorMessage="1" sqref="X70:X71" xr:uid="{00000000-0002-0000-0200-000001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4:O152"/>
  <sheetViews>
    <sheetView showGridLines="0" topLeftCell="B1" workbookViewId="0">
      <selection activeCell="G3" sqref="G3"/>
    </sheetView>
  </sheetViews>
  <sheetFormatPr baseColWidth="10" defaultColWidth="11.54296875" defaultRowHeight="14.5" x14ac:dyDescent="0.35"/>
  <cols>
    <col min="3" max="3" width="7.26953125" bestFit="1" customWidth="1"/>
    <col min="4" max="4" width="19.7265625" bestFit="1" customWidth="1"/>
    <col min="6" max="6" width="19.54296875" bestFit="1" customWidth="1"/>
    <col min="7" max="7" width="64.7265625" bestFit="1" customWidth="1"/>
    <col min="8" max="8" width="17" bestFit="1" customWidth="1"/>
    <col min="9" max="9" width="17" style="63" customWidth="1"/>
    <col min="10" max="10" width="17.453125" bestFit="1" customWidth="1"/>
    <col min="11" max="15" width="17.453125" customWidth="1"/>
  </cols>
  <sheetData>
    <row r="4" spans="3:15" x14ac:dyDescent="0.35">
      <c r="C4" t="s">
        <v>916</v>
      </c>
    </row>
    <row r="5" spans="3:15" x14ac:dyDescent="0.35">
      <c r="C5" s="4" t="s">
        <v>10</v>
      </c>
      <c r="D5" s="4" t="s">
        <v>11</v>
      </c>
      <c r="E5" s="4" t="s">
        <v>13</v>
      </c>
      <c r="F5" s="4" t="s">
        <v>14</v>
      </c>
      <c r="G5" s="4" t="s">
        <v>15</v>
      </c>
      <c r="H5" s="4" t="s">
        <v>917</v>
      </c>
      <c r="I5" s="4" t="s">
        <v>26</v>
      </c>
      <c r="J5" s="4" t="s">
        <v>918</v>
      </c>
      <c r="K5" s="4" t="s">
        <v>26</v>
      </c>
      <c r="L5" s="4" t="s">
        <v>919</v>
      </c>
      <c r="M5" s="4" t="s">
        <v>26</v>
      </c>
      <c r="N5" s="4" t="s">
        <v>920</v>
      </c>
      <c r="O5" s="4" t="s">
        <v>26</v>
      </c>
    </row>
    <row r="6" spans="3:15" x14ac:dyDescent="0.35">
      <c r="C6" s="1" t="s">
        <v>33</v>
      </c>
      <c r="D6" s="14" t="s">
        <v>34</v>
      </c>
      <c r="E6" s="2" t="s">
        <v>35</v>
      </c>
      <c r="F6" s="3" t="s">
        <v>921</v>
      </c>
      <c r="G6" s="3" t="s">
        <v>36</v>
      </c>
      <c r="H6" s="12" t="e">
        <f>IF(I6=0,0,#REF!)</f>
        <v>#REF!</v>
      </c>
      <c r="I6" s="2" t="e">
        <f>#REF!</f>
        <v>#REF!</v>
      </c>
      <c r="J6" s="12" t="e">
        <f>IF(K6=0,0,#REF!)</f>
        <v>#REF!</v>
      </c>
      <c r="K6" s="2" t="e">
        <f>#REF!</f>
        <v>#REF!</v>
      </c>
      <c r="L6" s="12" t="e">
        <f>IF(M6=0,0,#REF!)</f>
        <v>#REF!</v>
      </c>
      <c r="M6" s="2" t="e">
        <f>#REF!</f>
        <v>#REF!</v>
      </c>
      <c r="N6" s="14"/>
      <c r="O6" s="14"/>
    </row>
    <row r="7" spans="3:15" x14ac:dyDescent="0.35">
      <c r="C7" s="1" t="s">
        <v>39</v>
      </c>
      <c r="D7" s="14" t="s">
        <v>40</v>
      </c>
      <c r="E7" s="2">
        <v>9205</v>
      </c>
      <c r="F7" s="3">
        <v>212831</v>
      </c>
      <c r="G7" s="3" t="s">
        <v>41</v>
      </c>
      <c r="H7" s="12" t="e">
        <f>IF(I7=0,0,#REF!)</f>
        <v>#REF!</v>
      </c>
      <c r="I7" s="2" t="e">
        <f>#REF!</f>
        <v>#REF!</v>
      </c>
      <c r="J7" s="12" t="e">
        <f>IF(K7=0,0,#REF!)</f>
        <v>#REF!</v>
      </c>
      <c r="K7" s="2" t="e">
        <f>#REF!</f>
        <v>#REF!</v>
      </c>
      <c r="L7" s="12" t="e">
        <f>IF(M7=0,0,#REF!)</f>
        <v>#REF!</v>
      </c>
      <c r="M7" s="2" t="e">
        <f>#REF!</f>
        <v>#REF!</v>
      </c>
      <c r="N7" s="12"/>
      <c r="O7" s="12"/>
    </row>
    <row r="8" spans="3:15" x14ac:dyDescent="0.35">
      <c r="C8" s="1" t="s">
        <v>42</v>
      </c>
      <c r="D8" s="14" t="s">
        <v>43</v>
      </c>
      <c r="E8" s="2">
        <v>9208</v>
      </c>
      <c r="F8" s="3">
        <v>210943</v>
      </c>
      <c r="G8" s="3" t="s">
        <v>44</v>
      </c>
      <c r="H8" s="12" t="e">
        <f>IF(I8=0,0,#REF!)</f>
        <v>#REF!</v>
      </c>
      <c r="I8" s="2" t="e">
        <f>#REF!</f>
        <v>#REF!</v>
      </c>
      <c r="J8" s="12" t="e">
        <f>IF(K8=0,0,#REF!)</f>
        <v>#REF!</v>
      </c>
      <c r="K8" s="2" t="e">
        <f>#REF!</f>
        <v>#REF!</v>
      </c>
      <c r="L8" s="12" t="e">
        <f>IF(M8=0,0,#REF!)</f>
        <v>#REF!</v>
      </c>
      <c r="M8" s="2" t="e">
        <f>#REF!</f>
        <v>#REF!</v>
      </c>
      <c r="N8" s="61"/>
      <c r="O8" s="61"/>
    </row>
    <row r="9" spans="3:15" x14ac:dyDescent="0.35">
      <c r="C9" s="1" t="s">
        <v>48</v>
      </c>
      <c r="D9" s="14" t="s">
        <v>49</v>
      </c>
      <c r="E9" s="2">
        <v>9264</v>
      </c>
      <c r="F9" s="3">
        <v>238175</v>
      </c>
      <c r="G9" s="3" t="s">
        <v>50</v>
      </c>
      <c r="H9" s="12" t="e">
        <f>IF(I9=0,0,#REF!)</f>
        <v>#REF!</v>
      </c>
      <c r="I9" s="2" t="e">
        <f>#REF!</f>
        <v>#REF!</v>
      </c>
      <c r="J9" s="12" t="e">
        <f>IF(K9=0,0,#REF!)</f>
        <v>#REF!</v>
      </c>
      <c r="K9" s="2" t="e">
        <f>#REF!</f>
        <v>#REF!</v>
      </c>
      <c r="L9" s="12" t="e">
        <f>IF(M9=0,0,#REF!)</f>
        <v>#REF!</v>
      </c>
      <c r="M9" s="2" t="e">
        <f>#REF!</f>
        <v>#REF!</v>
      </c>
      <c r="N9" s="61"/>
      <c r="O9" s="61"/>
    </row>
    <row r="10" spans="3:15" x14ac:dyDescent="0.35">
      <c r="C10" s="1" t="s">
        <v>51</v>
      </c>
      <c r="D10" s="14" t="s">
        <v>52</v>
      </c>
      <c r="E10" s="2">
        <v>9355</v>
      </c>
      <c r="F10" s="3">
        <v>210421</v>
      </c>
      <c r="G10" s="3" t="s">
        <v>53</v>
      </c>
      <c r="H10" s="12" t="e">
        <f>IF(I10=0,0,#REF!)</f>
        <v>#REF!</v>
      </c>
      <c r="I10" s="2" t="e">
        <f>#REF!</f>
        <v>#REF!</v>
      </c>
      <c r="J10" s="12" t="e">
        <f>IF(K10=0,0,#REF!)</f>
        <v>#REF!</v>
      </c>
      <c r="K10" s="2" t="e">
        <f>#REF!</f>
        <v>#REF!</v>
      </c>
      <c r="L10" s="12" t="e">
        <f>IF(M10=0,0,#REF!)</f>
        <v>#REF!</v>
      </c>
      <c r="M10" s="2" t="e">
        <f>#REF!</f>
        <v>#REF!</v>
      </c>
      <c r="N10" s="12"/>
      <c r="O10" s="12"/>
    </row>
    <row r="11" spans="3:15" x14ac:dyDescent="0.35">
      <c r="C11" s="1" t="s">
        <v>51</v>
      </c>
      <c r="D11" s="14" t="s">
        <v>52</v>
      </c>
      <c r="E11" s="2">
        <v>9355</v>
      </c>
      <c r="F11" s="3">
        <v>210420</v>
      </c>
      <c r="G11" s="12" t="s">
        <v>56</v>
      </c>
      <c r="H11" s="12" t="e">
        <f>IF(I11=0,0,#REF!)</f>
        <v>#REF!</v>
      </c>
      <c r="I11" s="2" t="e">
        <f>#REF!</f>
        <v>#REF!</v>
      </c>
      <c r="J11" s="12" t="e">
        <f>IF(K11=0,0,#REF!)</f>
        <v>#REF!</v>
      </c>
      <c r="K11" s="2" t="e">
        <f>#REF!</f>
        <v>#REF!</v>
      </c>
      <c r="L11" s="12" t="e">
        <f>IF(M11=0,0,#REF!)</f>
        <v>#REF!</v>
      </c>
      <c r="M11" s="2" t="e">
        <f>#REF!</f>
        <v>#REF!</v>
      </c>
      <c r="N11" s="61"/>
      <c r="O11" s="61"/>
    </row>
    <row r="12" spans="3:15" x14ac:dyDescent="0.35">
      <c r="C12" s="1" t="s">
        <v>58</v>
      </c>
      <c r="D12" s="14" t="s">
        <v>59</v>
      </c>
      <c r="E12" s="2" t="s">
        <v>61</v>
      </c>
      <c r="F12" s="3">
        <v>230440</v>
      </c>
      <c r="G12" s="12" t="s">
        <v>62</v>
      </c>
      <c r="H12" s="12" t="e">
        <f>IF(I12=0,0,#REF!)</f>
        <v>#REF!</v>
      </c>
      <c r="I12" s="2" t="e">
        <f>#REF!</f>
        <v>#REF!</v>
      </c>
      <c r="J12" s="12" t="e">
        <f>IF(K12=0,0,#REF!)</f>
        <v>#REF!</v>
      </c>
      <c r="K12" s="2" t="e">
        <f>#REF!</f>
        <v>#REF!</v>
      </c>
      <c r="L12" s="12" t="e">
        <f>IF(M12=0,0,#REF!)</f>
        <v>#REF!</v>
      </c>
      <c r="M12" s="2" t="e">
        <f>#REF!</f>
        <v>#REF!</v>
      </c>
      <c r="N12" s="61"/>
      <c r="O12" s="61"/>
    </row>
    <row r="13" spans="3:15" x14ac:dyDescent="0.35">
      <c r="C13" s="1" t="s">
        <v>58</v>
      </c>
      <c r="D13" s="14" t="s">
        <v>59</v>
      </c>
      <c r="E13" s="2">
        <v>9596</v>
      </c>
      <c r="F13" s="3">
        <v>230440</v>
      </c>
      <c r="G13" s="3" t="s">
        <v>63</v>
      </c>
      <c r="H13" s="12" t="e">
        <f>IF(I13=0,0,#REF!)</f>
        <v>#REF!</v>
      </c>
      <c r="I13" s="2" t="e">
        <f>#REF!</f>
        <v>#REF!</v>
      </c>
      <c r="J13" s="12" t="e">
        <f>IF(K13=0,0,#REF!)</f>
        <v>#REF!</v>
      </c>
      <c r="K13" s="2" t="e">
        <f>#REF!</f>
        <v>#REF!</v>
      </c>
      <c r="L13" s="12" t="e">
        <f>IF(M13=0,0,#REF!)</f>
        <v>#REF!</v>
      </c>
      <c r="M13" s="2" t="e">
        <f>#REF!</f>
        <v>#REF!</v>
      </c>
      <c r="N13" s="61"/>
      <c r="O13" s="61"/>
    </row>
    <row r="14" spans="3:15" x14ac:dyDescent="0.35">
      <c r="C14" s="1" t="s">
        <v>64</v>
      </c>
      <c r="D14" s="14" t="s">
        <v>65</v>
      </c>
      <c r="E14" s="2" t="s">
        <v>67</v>
      </c>
      <c r="F14" s="3" t="s">
        <v>68</v>
      </c>
      <c r="G14" s="3" t="s">
        <v>69</v>
      </c>
      <c r="H14" s="12" t="e">
        <f>IF(I14=0,0,#REF!)</f>
        <v>#REF!</v>
      </c>
      <c r="I14" s="2" t="e">
        <f>#REF!</f>
        <v>#REF!</v>
      </c>
      <c r="J14" s="12" t="e">
        <f>IF(K14=0,0,#REF!)</f>
        <v>#REF!</v>
      </c>
      <c r="K14" s="2" t="e">
        <f>#REF!</f>
        <v>#REF!</v>
      </c>
      <c r="L14" s="12" t="e">
        <f>IF(M14=0,0,#REF!)</f>
        <v>#REF!</v>
      </c>
      <c r="M14" s="2" t="e">
        <f>#REF!</f>
        <v>#REF!</v>
      </c>
      <c r="N14" s="61"/>
      <c r="O14" s="61"/>
    </row>
    <row r="15" spans="3:15" x14ac:dyDescent="0.35">
      <c r="C15" s="1" t="s">
        <v>71</v>
      </c>
      <c r="D15" s="14" t="s">
        <v>72</v>
      </c>
      <c r="E15" s="2">
        <v>9058</v>
      </c>
      <c r="F15" s="3">
        <v>209631</v>
      </c>
      <c r="G15" s="3" t="s">
        <v>73</v>
      </c>
      <c r="H15" s="12" t="e">
        <f>IF(I15=0,0,#REF!)</f>
        <v>#REF!</v>
      </c>
      <c r="I15" s="2" t="e">
        <f>#REF!</f>
        <v>#REF!</v>
      </c>
      <c r="J15" s="12" t="e">
        <f>IF(K15=0,0,#REF!)</f>
        <v>#REF!</v>
      </c>
      <c r="K15" s="2" t="e">
        <f>#REF!</f>
        <v>#REF!</v>
      </c>
      <c r="L15" s="12" t="e">
        <f>IF(M15=0,0,#REF!)</f>
        <v>#REF!</v>
      </c>
      <c r="M15" s="2" t="e">
        <f>#REF!</f>
        <v>#REF!</v>
      </c>
      <c r="N15" s="61"/>
      <c r="O15" s="61"/>
    </row>
    <row r="16" spans="3:15" x14ac:dyDescent="0.35">
      <c r="C16" s="1" t="s">
        <v>75</v>
      </c>
      <c r="D16" s="14" t="s">
        <v>76</v>
      </c>
      <c r="E16" s="2">
        <v>9104</v>
      </c>
      <c r="F16" s="3">
        <v>210118</v>
      </c>
      <c r="G16" s="3" t="s">
        <v>77</v>
      </c>
      <c r="H16" s="12" t="e">
        <f>IF(I16=0,0,#REF!)</f>
        <v>#REF!</v>
      </c>
      <c r="I16" s="2" t="e">
        <f>#REF!</f>
        <v>#REF!</v>
      </c>
      <c r="J16" s="12" t="e">
        <f>IF(K16=0,0,#REF!)</f>
        <v>#REF!</v>
      </c>
      <c r="K16" s="2" t="e">
        <f>#REF!</f>
        <v>#REF!</v>
      </c>
      <c r="L16" s="12" t="e">
        <f>IF(M16=0,0,#REF!)</f>
        <v>#REF!</v>
      </c>
      <c r="M16" s="2" t="e">
        <f>#REF!</f>
        <v>#REF!</v>
      </c>
      <c r="N16" s="61"/>
      <c r="O16" s="61"/>
    </row>
    <row r="17" spans="3:15" x14ac:dyDescent="0.35">
      <c r="C17" s="1" t="s">
        <v>79</v>
      </c>
      <c r="D17" s="14" t="s">
        <v>80</v>
      </c>
      <c r="E17" s="2">
        <v>9177</v>
      </c>
      <c r="F17" s="3">
        <v>210301</v>
      </c>
      <c r="G17" s="3" t="s">
        <v>81</v>
      </c>
      <c r="H17" s="12" t="e">
        <f>IF(I17=0,0,#REF!)</f>
        <v>#REF!</v>
      </c>
      <c r="I17" s="2" t="e">
        <f>#REF!</f>
        <v>#REF!</v>
      </c>
      <c r="J17" s="12" t="e">
        <f>IF(K17=0,0,#REF!)</f>
        <v>#REF!</v>
      </c>
      <c r="K17" s="2" t="e">
        <f>#REF!</f>
        <v>#REF!</v>
      </c>
      <c r="L17" s="12" t="e">
        <f>IF(M17=0,0,#REF!)</f>
        <v>#REF!</v>
      </c>
      <c r="M17" s="2" t="e">
        <f>#REF!</f>
        <v>#REF!</v>
      </c>
      <c r="N17" s="61"/>
      <c r="O17" s="61"/>
    </row>
    <row r="18" spans="3:15" x14ac:dyDescent="0.35">
      <c r="C18" s="1" t="s">
        <v>84</v>
      </c>
      <c r="D18" s="14" t="s">
        <v>85</v>
      </c>
      <c r="E18" s="2">
        <v>9302</v>
      </c>
      <c r="F18" s="3">
        <v>211510</v>
      </c>
      <c r="G18" s="3" t="s">
        <v>86</v>
      </c>
      <c r="H18" s="12" t="e">
        <f>IF(I18=0,0,#REF!)</f>
        <v>#REF!</v>
      </c>
      <c r="I18" s="2" t="e">
        <f>#REF!</f>
        <v>#REF!</v>
      </c>
      <c r="J18" s="12" t="e">
        <f>IF(K18=0,0,#REF!)</f>
        <v>#REF!</v>
      </c>
      <c r="K18" s="2" t="e">
        <f>#REF!</f>
        <v>#REF!</v>
      </c>
      <c r="L18" s="12" t="e">
        <f>IF(M18=0,0,#REF!)</f>
        <v>#REF!</v>
      </c>
      <c r="M18" s="2" t="e">
        <f>#REF!</f>
        <v>#REF!</v>
      </c>
      <c r="N18" s="61"/>
      <c r="O18" s="61"/>
    </row>
    <row r="19" spans="3:15" x14ac:dyDescent="0.35">
      <c r="C19" s="1" t="s">
        <v>88</v>
      </c>
      <c r="D19" s="14" t="s">
        <v>89</v>
      </c>
      <c r="E19" s="2">
        <v>9304</v>
      </c>
      <c r="F19" s="3">
        <v>217751</v>
      </c>
      <c r="G19" s="3" t="s">
        <v>90</v>
      </c>
      <c r="H19" s="12" t="e">
        <f>IF(I19=0,0,#REF!)</f>
        <v>#REF!</v>
      </c>
      <c r="I19" s="2" t="e">
        <f>#REF!</f>
        <v>#REF!</v>
      </c>
      <c r="J19" s="12" t="e">
        <f>IF(K19=0,0,#REF!)</f>
        <v>#REF!</v>
      </c>
      <c r="K19" s="2" t="e">
        <f>#REF!</f>
        <v>#REF!</v>
      </c>
      <c r="L19" s="12" t="e">
        <f>IF(M19=0,0,#REF!)</f>
        <v>#REF!</v>
      </c>
      <c r="M19" s="2" t="e">
        <f>#REF!</f>
        <v>#REF!</v>
      </c>
      <c r="N19" s="61"/>
      <c r="O19" s="61"/>
    </row>
    <row r="20" spans="3:15" x14ac:dyDescent="0.35">
      <c r="C20" s="1" t="s">
        <v>91</v>
      </c>
      <c r="D20" s="14" t="s">
        <v>92</v>
      </c>
      <c r="E20" s="2">
        <v>6640</v>
      </c>
      <c r="F20" s="3">
        <v>204900</v>
      </c>
      <c r="G20" s="3" t="s">
        <v>94</v>
      </c>
      <c r="H20" s="12" t="e">
        <f>IF(I20=0,0,#REF!)</f>
        <v>#REF!</v>
      </c>
      <c r="I20" s="2" t="e">
        <f>#REF!</f>
        <v>#REF!</v>
      </c>
      <c r="J20" s="12" t="e">
        <f>IF(K20=0,0,#REF!)</f>
        <v>#REF!</v>
      </c>
      <c r="K20" s="2" t="e">
        <f>#REF!</f>
        <v>#REF!</v>
      </c>
      <c r="L20" s="12" t="e">
        <f>IF(M20=0,0,#REF!)</f>
        <v>#REF!</v>
      </c>
      <c r="M20" s="2" t="e">
        <f>#REF!</f>
        <v>#REF!</v>
      </c>
      <c r="N20" s="61"/>
      <c r="O20" s="61"/>
    </row>
    <row r="21" spans="3:15" x14ac:dyDescent="0.35">
      <c r="C21" s="1" t="s">
        <v>96</v>
      </c>
      <c r="D21" s="14" t="s">
        <v>97</v>
      </c>
      <c r="E21" s="2">
        <v>9303</v>
      </c>
      <c r="F21" s="3">
        <v>238175</v>
      </c>
      <c r="G21" s="3" t="s">
        <v>98</v>
      </c>
      <c r="H21" s="12" t="e">
        <f>IF(I21=0,0,#REF!)</f>
        <v>#REF!</v>
      </c>
      <c r="I21" s="2" t="e">
        <f>#REF!</f>
        <v>#REF!</v>
      </c>
      <c r="J21" s="12" t="e">
        <f>IF(K21=0,0,#REF!)</f>
        <v>#REF!</v>
      </c>
      <c r="K21" s="2" t="e">
        <f>#REF!</f>
        <v>#REF!</v>
      </c>
      <c r="L21" s="12" t="e">
        <f>IF(M21=0,0,#REF!)</f>
        <v>#REF!</v>
      </c>
      <c r="M21" s="2" t="e">
        <f>#REF!</f>
        <v>#REF!</v>
      </c>
      <c r="N21" s="61"/>
      <c r="O21" s="61"/>
    </row>
    <row r="22" spans="3:15" x14ac:dyDescent="0.35">
      <c r="C22" s="1" t="s">
        <v>99</v>
      </c>
      <c r="D22" s="14" t="s">
        <v>100</v>
      </c>
      <c r="E22" s="2">
        <v>9301</v>
      </c>
      <c r="F22" s="3">
        <v>205547</v>
      </c>
      <c r="G22" s="3" t="s">
        <v>101</v>
      </c>
      <c r="H22" s="12" t="e">
        <f>IF(I22=0,0,#REF!)</f>
        <v>#REF!</v>
      </c>
      <c r="I22" s="2" t="e">
        <f>#REF!</f>
        <v>#REF!</v>
      </c>
      <c r="J22" s="12" t="e">
        <f>IF(K22=0,0,#REF!)</f>
        <v>#REF!</v>
      </c>
      <c r="K22" s="2" t="e">
        <f>#REF!</f>
        <v>#REF!</v>
      </c>
      <c r="L22" s="12" t="e">
        <f>IF(M22=0,0,#REF!)</f>
        <v>#REF!</v>
      </c>
      <c r="M22" s="2" t="e">
        <f>#REF!</f>
        <v>#REF!</v>
      </c>
      <c r="N22" s="61"/>
      <c r="O22" s="61"/>
    </row>
    <row r="23" spans="3:15" x14ac:dyDescent="0.35">
      <c r="C23" s="1" t="s">
        <v>102</v>
      </c>
      <c r="D23" s="14" t="s">
        <v>103</v>
      </c>
      <c r="E23" s="2">
        <v>9305</v>
      </c>
      <c r="F23" s="3">
        <v>214089</v>
      </c>
      <c r="G23" s="3" t="s">
        <v>104</v>
      </c>
      <c r="H23" s="12" t="e">
        <f>IF(I23=0,0,#REF!)</f>
        <v>#REF!</v>
      </c>
      <c r="I23" s="2" t="e">
        <f>#REF!</f>
        <v>#REF!</v>
      </c>
      <c r="J23" s="12" t="e">
        <f>IF(K23=0,0,#REF!)</f>
        <v>#REF!</v>
      </c>
      <c r="K23" s="2" t="e">
        <f>#REF!</f>
        <v>#REF!</v>
      </c>
      <c r="L23" s="12" t="e">
        <f>IF(M23=0,0,#REF!)</f>
        <v>#REF!</v>
      </c>
      <c r="M23" s="2" t="e">
        <f>#REF!</f>
        <v>#REF!</v>
      </c>
      <c r="N23" s="61"/>
      <c r="O23" s="61"/>
    </row>
    <row r="24" spans="3:15" x14ac:dyDescent="0.35">
      <c r="C24" s="1" t="s">
        <v>107</v>
      </c>
      <c r="D24" s="14" t="s">
        <v>108</v>
      </c>
      <c r="E24" s="2" t="s">
        <v>61</v>
      </c>
      <c r="F24" s="3">
        <v>208094</v>
      </c>
      <c r="G24" s="3" t="s">
        <v>109</v>
      </c>
      <c r="H24" s="12" t="e">
        <f>IF(I24=0,0,#REF!)</f>
        <v>#REF!</v>
      </c>
      <c r="I24" s="2" t="e">
        <f>#REF!</f>
        <v>#REF!</v>
      </c>
      <c r="J24" s="12" t="e">
        <f>IF(K24=0,0,#REF!)</f>
        <v>#REF!</v>
      </c>
      <c r="K24" s="2" t="e">
        <f>#REF!</f>
        <v>#REF!</v>
      </c>
      <c r="L24" s="12" t="e">
        <f>IF(M24=0,0,#REF!)</f>
        <v>#REF!</v>
      </c>
      <c r="M24" s="2" t="e">
        <f>#REF!</f>
        <v>#REF!</v>
      </c>
      <c r="N24" s="61"/>
      <c r="O24" s="61"/>
    </row>
    <row r="25" spans="3:15" x14ac:dyDescent="0.35">
      <c r="C25" s="1" t="s">
        <v>107</v>
      </c>
      <c r="D25" s="14" t="s">
        <v>108</v>
      </c>
      <c r="E25" s="2">
        <v>6553</v>
      </c>
      <c r="F25" s="3">
        <v>208094</v>
      </c>
      <c r="G25" s="3" t="s">
        <v>110</v>
      </c>
      <c r="H25" s="12" t="e">
        <f>IF(I25=0,0,#REF!)</f>
        <v>#REF!</v>
      </c>
      <c r="I25" s="2" t="e">
        <f>#REF!</f>
        <v>#REF!</v>
      </c>
      <c r="J25" s="12" t="e">
        <f>IF(K25=0,0,#REF!)</f>
        <v>#REF!</v>
      </c>
      <c r="K25" s="2" t="e">
        <f>#REF!</f>
        <v>#REF!</v>
      </c>
      <c r="L25" s="12" t="e">
        <f>IF(M25=0,0,#REF!)</f>
        <v>#REF!</v>
      </c>
      <c r="M25" s="2" t="e">
        <f>#REF!</f>
        <v>#REF!</v>
      </c>
      <c r="N25" s="61"/>
      <c r="O25" s="61"/>
    </row>
    <row r="26" spans="3:15" x14ac:dyDescent="0.35">
      <c r="C26" s="1" t="s">
        <v>111</v>
      </c>
      <c r="D26" s="14" t="s">
        <v>112</v>
      </c>
      <c r="E26" s="2">
        <v>6554</v>
      </c>
      <c r="F26" s="3">
        <v>204532</v>
      </c>
      <c r="G26" s="3" t="s">
        <v>922</v>
      </c>
      <c r="H26" s="12" t="e">
        <f>IF(I26=0,0,#REF!)</f>
        <v>#REF!</v>
      </c>
      <c r="I26" s="2" t="e">
        <f>#REF!</f>
        <v>#REF!</v>
      </c>
      <c r="J26" s="12" t="e">
        <f>IF(K26=0,0,#REF!)</f>
        <v>#REF!</v>
      </c>
      <c r="K26" s="2" t="e">
        <f>#REF!</f>
        <v>#REF!</v>
      </c>
      <c r="L26" s="12" t="e">
        <f>IF(M26=0,0,#REF!)</f>
        <v>#REF!</v>
      </c>
      <c r="M26" s="2" t="e">
        <f>#REF!</f>
        <v>#REF!</v>
      </c>
      <c r="N26" s="61"/>
      <c r="O26" s="61"/>
    </row>
    <row r="27" spans="3:15" x14ac:dyDescent="0.35">
      <c r="C27" s="1" t="s">
        <v>117</v>
      </c>
      <c r="D27" s="14" t="s">
        <v>118</v>
      </c>
      <c r="E27" s="2">
        <v>6556</v>
      </c>
      <c r="F27" s="3">
        <v>204535</v>
      </c>
      <c r="G27" s="3" t="s">
        <v>120</v>
      </c>
      <c r="H27" s="12" t="e">
        <f>IF(I27=0,0,#REF!)</f>
        <v>#REF!</v>
      </c>
      <c r="I27" s="2" t="e">
        <f>#REF!</f>
        <v>#REF!</v>
      </c>
      <c r="J27" s="12" t="e">
        <f>IF(K27=0,0,#REF!)</f>
        <v>#REF!</v>
      </c>
      <c r="K27" s="2" t="e">
        <f>#REF!</f>
        <v>#REF!</v>
      </c>
      <c r="L27" s="12" t="e">
        <f>IF(M27=0,0,#REF!)</f>
        <v>#REF!</v>
      </c>
      <c r="M27" s="2" t="e">
        <f>#REF!</f>
        <v>#REF!</v>
      </c>
      <c r="N27" s="61"/>
      <c r="O27" s="61"/>
    </row>
    <row r="28" spans="3:15" x14ac:dyDescent="0.35">
      <c r="C28" s="1" t="s">
        <v>123</v>
      </c>
      <c r="D28" s="14" t="s">
        <v>124</v>
      </c>
      <c r="E28" s="2">
        <v>6561</v>
      </c>
      <c r="F28" s="3">
        <v>205635</v>
      </c>
      <c r="G28" s="3" t="s">
        <v>125</v>
      </c>
      <c r="H28" s="12" t="e">
        <f>IF(I28=0,0,#REF!)</f>
        <v>#REF!</v>
      </c>
      <c r="I28" s="2" t="e">
        <f>#REF!</f>
        <v>#REF!</v>
      </c>
      <c r="J28" s="12" t="e">
        <f>IF(K28=0,0,#REF!)</f>
        <v>#REF!</v>
      </c>
      <c r="K28" s="2" t="e">
        <f>#REF!</f>
        <v>#REF!</v>
      </c>
      <c r="L28" s="12" t="e">
        <f>IF(M28=0,0,#REF!)</f>
        <v>#REF!</v>
      </c>
      <c r="M28" s="2" t="e">
        <f>#REF!</f>
        <v>#REF!</v>
      </c>
      <c r="N28" s="61"/>
      <c r="O28" s="61"/>
    </row>
    <row r="29" spans="3:15" x14ac:dyDescent="0.35">
      <c r="C29" s="1" t="s">
        <v>127</v>
      </c>
      <c r="D29" s="14" t="s">
        <v>128</v>
      </c>
      <c r="E29" s="2">
        <v>6563</v>
      </c>
      <c r="F29" s="3">
        <v>208501</v>
      </c>
      <c r="G29" s="3" t="s">
        <v>129</v>
      </c>
      <c r="H29" s="12" t="e">
        <f>IF(I29=0,0,#REF!)</f>
        <v>#REF!</v>
      </c>
      <c r="I29" s="2" t="e">
        <f>#REF!</f>
        <v>#REF!</v>
      </c>
      <c r="J29" s="12" t="e">
        <f>IF(K29=0,0,#REF!)</f>
        <v>#REF!</v>
      </c>
      <c r="K29" s="2" t="e">
        <f>#REF!</f>
        <v>#REF!</v>
      </c>
      <c r="L29" s="12" t="e">
        <f>IF(M29=0,0,#REF!)</f>
        <v>#REF!</v>
      </c>
      <c r="M29" s="2" t="e">
        <f>#REF!</f>
        <v>#REF!</v>
      </c>
      <c r="N29" s="61"/>
      <c r="O29" s="61"/>
    </row>
    <row r="30" spans="3:15" x14ac:dyDescent="0.35">
      <c r="C30" s="1" t="s">
        <v>132</v>
      </c>
      <c r="D30" s="14" t="s">
        <v>133</v>
      </c>
      <c r="E30" s="2">
        <v>6564</v>
      </c>
      <c r="F30" s="3">
        <v>204623</v>
      </c>
      <c r="G30" s="3" t="s">
        <v>134</v>
      </c>
      <c r="H30" s="12" t="e">
        <f>IF(I30=0,0,#REF!)</f>
        <v>#REF!</v>
      </c>
      <c r="I30" s="2" t="e">
        <f>#REF!</f>
        <v>#REF!</v>
      </c>
      <c r="J30" s="12" t="e">
        <f>IF(K30=0,0,#REF!)</f>
        <v>#REF!</v>
      </c>
      <c r="K30" s="2" t="e">
        <f>#REF!</f>
        <v>#REF!</v>
      </c>
      <c r="L30" s="12" t="e">
        <f>IF(M30=0,0,#REF!)</f>
        <v>#REF!</v>
      </c>
      <c r="M30" s="2" t="e">
        <f>#REF!</f>
        <v>#REF!</v>
      </c>
      <c r="N30" s="61"/>
      <c r="O30" s="61"/>
    </row>
    <row r="31" spans="3:15" x14ac:dyDescent="0.35">
      <c r="C31" s="1" t="s">
        <v>136</v>
      </c>
      <c r="D31" s="14" t="s">
        <v>137</v>
      </c>
      <c r="E31" s="2">
        <v>6568</v>
      </c>
      <c r="F31" s="3">
        <v>209683</v>
      </c>
      <c r="G31" s="3" t="s">
        <v>138</v>
      </c>
      <c r="H31" s="12" t="e">
        <f>IF(I31=0,0,#REF!)</f>
        <v>#REF!</v>
      </c>
      <c r="I31" s="2" t="e">
        <f>#REF!</f>
        <v>#REF!</v>
      </c>
      <c r="J31" s="12" t="e">
        <f>IF(K31=0,0,#REF!)</f>
        <v>#REF!</v>
      </c>
      <c r="K31" s="2" t="e">
        <f>#REF!</f>
        <v>#REF!</v>
      </c>
      <c r="L31" s="12" t="e">
        <f>IF(M31=0,0,#REF!)</f>
        <v>#REF!</v>
      </c>
      <c r="M31" s="2" t="e">
        <f>#REF!</f>
        <v>#REF!</v>
      </c>
      <c r="N31" s="61"/>
      <c r="O31" s="61"/>
    </row>
    <row r="32" spans="3:15" x14ac:dyDescent="0.35">
      <c r="C32" s="1" t="s">
        <v>140</v>
      </c>
      <c r="D32" s="14" t="s">
        <v>141</v>
      </c>
      <c r="E32" s="2" t="s">
        <v>61</v>
      </c>
      <c r="F32" s="3" t="s">
        <v>923</v>
      </c>
      <c r="G32" s="3" t="s">
        <v>143</v>
      </c>
      <c r="H32" s="12" t="e">
        <f>IF(I32=0,0,#REF!)</f>
        <v>#REF!</v>
      </c>
      <c r="I32" s="2" t="e">
        <f>#REF!</f>
        <v>#REF!</v>
      </c>
      <c r="J32" s="12" t="e">
        <f>IF(K32=0,0,#REF!)</f>
        <v>#REF!</v>
      </c>
      <c r="K32" s="2" t="e">
        <f>#REF!</f>
        <v>#REF!</v>
      </c>
      <c r="L32" s="12" t="e">
        <f>IF(M32=0,0,#REF!)</f>
        <v>#REF!</v>
      </c>
      <c r="M32" s="2" t="e">
        <f>#REF!</f>
        <v>#REF!</v>
      </c>
      <c r="N32" s="61"/>
      <c r="O32" s="61"/>
    </row>
    <row r="33" spans="3:15" x14ac:dyDescent="0.35">
      <c r="C33" s="1" t="s">
        <v>140</v>
      </c>
      <c r="D33" s="14" t="s">
        <v>141</v>
      </c>
      <c r="E33" s="2">
        <v>6767</v>
      </c>
      <c r="F33" s="3" t="s">
        <v>923</v>
      </c>
      <c r="G33" s="3" t="s">
        <v>924</v>
      </c>
      <c r="H33" s="12" t="e">
        <f>IF(I33=0,0,#REF!)</f>
        <v>#REF!</v>
      </c>
      <c r="I33" s="2" t="e">
        <f>#REF!</f>
        <v>#REF!</v>
      </c>
      <c r="J33" s="12" t="e">
        <f>IF(K33=0,0,#REF!)</f>
        <v>#REF!</v>
      </c>
      <c r="K33" s="2" t="e">
        <f>#REF!</f>
        <v>#REF!</v>
      </c>
      <c r="L33" s="12" t="e">
        <f>IF(M33=0,0,#REF!)</f>
        <v>#REF!</v>
      </c>
      <c r="M33" s="2" t="e">
        <f>#REF!</f>
        <v>#REF!</v>
      </c>
      <c r="N33" s="61"/>
      <c r="O33" s="61"/>
    </row>
    <row r="34" spans="3:15" x14ac:dyDescent="0.35">
      <c r="C34" s="1" t="s">
        <v>147</v>
      </c>
      <c r="D34" s="14" t="s">
        <v>148</v>
      </c>
      <c r="E34" s="2">
        <v>6776</v>
      </c>
      <c r="F34" s="3">
        <v>204970</v>
      </c>
      <c r="G34" s="3" t="s">
        <v>150</v>
      </c>
      <c r="H34" s="12" t="e">
        <f>IF(I34=0,0,#REF!)</f>
        <v>#REF!</v>
      </c>
      <c r="I34" s="2" t="e">
        <f>#REF!</f>
        <v>#REF!</v>
      </c>
      <c r="J34" s="12" t="e">
        <f>IF(K34=0,0,#REF!)</f>
        <v>#REF!</v>
      </c>
      <c r="K34" s="2" t="e">
        <f>#REF!</f>
        <v>#REF!</v>
      </c>
      <c r="L34" s="12" t="e">
        <f>IF(M34=0,0,#REF!)</f>
        <v>#REF!</v>
      </c>
      <c r="M34" s="2" t="e">
        <f>#REF!</f>
        <v>#REF!</v>
      </c>
      <c r="N34" s="61"/>
      <c r="O34" s="61"/>
    </row>
    <row r="35" spans="3:15" x14ac:dyDescent="0.35">
      <c r="C35" s="1" t="s">
        <v>152</v>
      </c>
      <c r="D35" s="14" t="s">
        <v>153</v>
      </c>
      <c r="E35" s="2">
        <v>8580</v>
      </c>
      <c r="F35" s="3">
        <v>205547</v>
      </c>
      <c r="G35" s="3" t="s">
        <v>154</v>
      </c>
      <c r="H35" s="12" t="e">
        <f>IF(I35=0,0,#REF!)</f>
        <v>#REF!</v>
      </c>
      <c r="I35" s="2" t="e">
        <f>#REF!</f>
        <v>#REF!</v>
      </c>
      <c r="J35" s="12" t="e">
        <f>IF(K35=0,0,#REF!)</f>
        <v>#REF!</v>
      </c>
      <c r="K35" s="2" t="e">
        <f>#REF!</f>
        <v>#REF!</v>
      </c>
      <c r="L35" s="12" t="e">
        <f>IF(M35=0,0,#REF!)</f>
        <v>#REF!</v>
      </c>
      <c r="M35" s="2" t="e">
        <f>#REF!</f>
        <v>#REF!</v>
      </c>
      <c r="N35" s="61"/>
      <c r="O35" s="61"/>
    </row>
    <row r="36" spans="3:15" x14ac:dyDescent="0.35">
      <c r="C36" s="1" t="s">
        <v>156</v>
      </c>
      <c r="D36" s="14" t="s">
        <v>157</v>
      </c>
      <c r="E36" s="2">
        <v>8581</v>
      </c>
      <c r="F36" s="3">
        <v>204996</v>
      </c>
      <c r="G36" s="3" t="s">
        <v>159</v>
      </c>
      <c r="H36" s="12" t="e">
        <f>IF(I36=0,0,#REF!)</f>
        <v>#REF!</v>
      </c>
      <c r="I36" s="2" t="e">
        <f>#REF!</f>
        <v>#REF!</v>
      </c>
      <c r="J36" s="12" t="e">
        <f>IF(K36=0,0,#REF!)</f>
        <v>#REF!</v>
      </c>
      <c r="K36" s="2" t="e">
        <f>#REF!</f>
        <v>#REF!</v>
      </c>
      <c r="L36" s="12" t="e">
        <f>IF(M36=0,0,#REF!)</f>
        <v>#REF!</v>
      </c>
      <c r="M36" s="2" t="e">
        <f>#REF!</f>
        <v>#REF!</v>
      </c>
      <c r="N36" s="61"/>
      <c r="O36" s="61"/>
    </row>
    <row r="37" spans="3:15" x14ac:dyDescent="0.35">
      <c r="C37" s="1" t="s">
        <v>161</v>
      </c>
      <c r="D37" s="14" t="s">
        <v>162</v>
      </c>
      <c r="E37" s="2">
        <v>8582</v>
      </c>
      <c r="F37" s="3">
        <v>205022</v>
      </c>
      <c r="G37" s="3" t="s">
        <v>164</v>
      </c>
      <c r="H37" s="12" t="e">
        <f>IF(I37=0,0,#REF!)</f>
        <v>#REF!</v>
      </c>
      <c r="I37" s="2" t="e">
        <f>#REF!</f>
        <v>#REF!</v>
      </c>
      <c r="J37" s="12" t="e">
        <f>IF(K37=0,0,#REF!)</f>
        <v>#REF!</v>
      </c>
      <c r="K37" s="2" t="e">
        <f>#REF!</f>
        <v>#REF!</v>
      </c>
      <c r="L37" s="12" t="e">
        <f>IF(M37=0,0,#REF!)</f>
        <v>#REF!</v>
      </c>
      <c r="M37" s="2" t="e">
        <f>#REF!</f>
        <v>#REF!</v>
      </c>
      <c r="N37" s="61"/>
      <c r="O37" s="61"/>
    </row>
    <row r="38" spans="3:15" x14ac:dyDescent="0.35">
      <c r="C38" s="1" t="s">
        <v>166</v>
      </c>
      <c r="D38" s="14" t="s">
        <v>167</v>
      </c>
      <c r="E38" s="2" t="s">
        <v>61</v>
      </c>
      <c r="F38" s="3">
        <v>206169</v>
      </c>
      <c r="G38" s="3" t="s">
        <v>169</v>
      </c>
      <c r="H38" s="12" t="e">
        <f>IF(I38=0,0,#REF!)</f>
        <v>#REF!</v>
      </c>
      <c r="I38" s="2" t="e">
        <f>#REF!</f>
        <v>#REF!</v>
      </c>
      <c r="J38" s="12" t="e">
        <f>IF(K38=0,0,#REF!)</f>
        <v>#REF!</v>
      </c>
      <c r="K38" s="2" t="e">
        <f>#REF!</f>
        <v>#REF!</v>
      </c>
      <c r="L38" s="12" t="e">
        <f>IF(M38=0,0,#REF!)</f>
        <v>#REF!</v>
      </c>
      <c r="M38" s="2" t="e">
        <f>#REF!</f>
        <v>#REF!</v>
      </c>
      <c r="N38" s="61"/>
      <c r="O38" s="61"/>
    </row>
    <row r="39" spans="3:15" x14ac:dyDescent="0.35">
      <c r="C39" s="1" t="s">
        <v>166</v>
      </c>
      <c r="D39" s="14" t="s">
        <v>167</v>
      </c>
      <c r="E39" s="2">
        <v>8583</v>
      </c>
      <c r="F39" s="3">
        <v>206169</v>
      </c>
      <c r="G39" s="3" t="s">
        <v>171</v>
      </c>
      <c r="H39" s="12" t="e">
        <f>IF(I39=0,0,#REF!)</f>
        <v>#REF!</v>
      </c>
      <c r="I39" s="2" t="e">
        <f>#REF!</f>
        <v>#REF!</v>
      </c>
      <c r="J39" s="12" t="e">
        <f>IF(K39=0,0,#REF!)</f>
        <v>#REF!</v>
      </c>
      <c r="K39" s="2" t="e">
        <f>#REF!</f>
        <v>#REF!</v>
      </c>
      <c r="L39" s="12" t="e">
        <f>IF(M39=0,0,#REF!)</f>
        <v>#REF!</v>
      </c>
      <c r="M39" s="2" t="e">
        <f>#REF!</f>
        <v>#REF!</v>
      </c>
      <c r="N39" s="61"/>
      <c r="O39" s="61"/>
    </row>
    <row r="40" spans="3:15" x14ac:dyDescent="0.35">
      <c r="C40" s="1" t="s">
        <v>172</v>
      </c>
      <c r="D40" s="14" t="s">
        <v>173</v>
      </c>
      <c r="E40" s="2" t="s">
        <v>61</v>
      </c>
      <c r="F40" s="3">
        <v>205547</v>
      </c>
      <c r="G40" s="3" t="s">
        <v>175</v>
      </c>
      <c r="H40" s="12" t="e">
        <f>IF(I40=0,0,#REF!)</f>
        <v>#REF!</v>
      </c>
      <c r="I40" s="2" t="e">
        <f>#REF!</f>
        <v>#REF!</v>
      </c>
      <c r="J40" s="12" t="e">
        <f>IF(K40=0,0,#REF!)</f>
        <v>#REF!</v>
      </c>
      <c r="K40" s="2" t="e">
        <f>#REF!</f>
        <v>#REF!</v>
      </c>
      <c r="L40" s="12" t="e">
        <f>IF(M40=0,0,#REF!)</f>
        <v>#REF!</v>
      </c>
      <c r="M40" s="2" t="e">
        <f>#REF!</f>
        <v>#REF!</v>
      </c>
      <c r="N40" s="61"/>
      <c r="O40" s="61"/>
    </row>
    <row r="41" spans="3:15" x14ac:dyDescent="0.35">
      <c r="C41" s="1" t="s">
        <v>172</v>
      </c>
      <c r="D41" s="14" t="s">
        <v>173</v>
      </c>
      <c r="E41" s="2">
        <v>8584</v>
      </c>
      <c r="F41" s="3">
        <v>205547</v>
      </c>
      <c r="G41" s="3" t="s">
        <v>176</v>
      </c>
      <c r="H41" s="12" t="e">
        <f>IF(I41=0,0,#REF!)</f>
        <v>#REF!</v>
      </c>
      <c r="I41" s="2" t="e">
        <f>#REF!</f>
        <v>#REF!</v>
      </c>
      <c r="J41" s="12" t="e">
        <f>IF(K41=0,0,#REF!)</f>
        <v>#REF!</v>
      </c>
      <c r="K41" s="2" t="e">
        <f>#REF!</f>
        <v>#REF!</v>
      </c>
      <c r="L41" s="12" t="e">
        <f>IF(M41=0,0,#REF!)</f>
        <v>#REF!</v>
      </c>
      <c r="M41" s="2" t="e">
        <f>#REF!</f>
        <v>#REF!</v>
      </c>
      <c r="N41" s="61"/>
      <c r="O41" s="61"/>
    </row>
    <row r="42" spans="3:15" x14ac:dyDescent="0.35">
      <c r="C42" s="1" t="s">
        <v>177</v>
      </c>
      <c r="D42" s="14" t="s">
        <v>167</v>
      </c>
      <c r="E42" s="2" t="s">
        <v>61</v>
      </c>
      <c r="F42" s="3">
        <v>205016</v>
      </c>
      <c r="G42" s="3" t="s">
        <v>178</v>
      </c>
      <c r="H42" s="12" t="e">
        <f>IF(I42=0,0,#REF!)</f>
        <v>#REF!</v>
      </c>
      <c r="I42" s="2" t="e">
        <f>#REF!</f>
        <v>#REF!</v>
      </c>
      <c r="J42" s="12" t="e">
        <f>IF(K42=0,0,#REF!)</f>
        <v>#REF!</v>
      </c>
      <c r="K42" s="2" t="e">
        <f>#REF!</f>
        <v>#REF!</v>
      </c>
      <c r="L42" s="12" t="e">
        <f>IF(M42=0,0,#REF!)</f>
        <v>#REF!</v>
      </c>
      <c r="M42" s="2" t="e">
        <f>#REF!</f>
        <v>#REF!</v>
      </c>
      <c r="N42" s="61"/>
      <c r="O42" s="61"/>
    </row>
    <row r="43" spans="3:15" x14ac:dyDescent="0.35">
      <c r="C43" s="1" t="s">
        <v>177</v>
      </c>
      <c r="D43" s="14" t="s">
        <v>167</v>
      </c>
      <c r="E43" s="2">
        <v>8585</v>
      </c>
      <c r="F43" s="3">
        <v>230435</v>
      </c>
      <c r="G43" s="3" t="s">
        <v>178</v>
      </c>
      <c r="H43" s="12" t="e">
        <f>IF(I43=0,0,#REF!)</f>
        <v>#REF!</v>
      </c>
      <c r="I43" s="2" t="e">
        <f>#REF!</f>
        <v>#REF!</v>
      </c>
      <c r="J43" s="12" t="e">
        <f>IF(K43=0,0,#REF!)</f>
        <v>#REF!</v>
      </c>
      <c r="K43" s="2" t="e">
        <f>#REF!</f>
        <v>#REF!</v>
      </c>
      <c r="L43" s="12" t="e">
        <f>IF(M43=0,0,#REF!)</f>
        <v>#REF!</v>
      </c>
      <c r="M43" s="2" t="e">
        <f>#REF!</f>
        <v>#REF!</v>
      </c>
      <c r="N43" s="61"/>
      <c r="O43" s="61"/>
    </row>
    <row r="44" spans="3:15" x14ac:dyDescent="0.35">
      <c r="C44" s="1" t="s">
        <v>179</v>
      </c>
      <c r="D44" s="14" t="s">
        <v>167</v>
      </c>
      <c r="E44" s="2" t="s">
        <v>61</v>
      </c>
      <c r="F44" s="3">
        <v>206202</v>
      </c>
      <c r="G44" s="3" t="s">
        <v>178</v>
      </c>
      <c r="H44" s="12" t="e">
        <f>IF(I44=0,0,#REF!)</f>
        <v>#REF!</v>
      </c>
      <c r="I44" s="2" t="e">
        <f>#REF!</f>
        <v>#REF!</v>
      </c>
      <c r="J44" s="12" t="e">
        <f>IF(K44=0,0,#REF!)</f>
        <v>#REF!</v>
      </c>
      <c r="K44" s="2" t="e">
        <f>#REF!</f>
        <v>#REF!</v>
      </c>
      <c r="L44" s="12" t="e">
        <f>IF(M44=0,0,#REF!)</f>
        <v>#REF!</v>
      </c>
      <c r="M44" s="2" t="e">
        <f>#REF!</f>
        <v>#REF!</v>
      </c>
      <c r="N44" s="61"/>
      <c r="O44" s="61"/>
    </row>
    <row r="45" spans="3:15" x14ac:dyDescent="0.35">
      <c r="C45" s="1" t="s">
        <v>179</v>
      </c>
      <c r="D45" s="14" t="s">
        <v>167</v>
      </c>
      <c r="E45" s="2">
        <v>8714</v>
      </c>
      <c r="F45" s="3">
        <v>206202</v>
      </c>
      <c r="G45" s="3" t="s">
        <v>178</v>
      </c>
      <c r="H45" s="12" t="e">
        <f>IF(I45=0,0,#REF!)</f>
        <v>#REF!</v>
      </c>
      <c r="I45" s="2" t="e">
        <f>#REF!</f>
        <v>#REF!</v>
      </c>
      <c r="J45" s="12" t="e">
        <f>IF(K45=0,0,#REF!)</f>
        <v>#REF!</v>
      </c>
      <c r="K45" s="2" t="e">
        <f>#REF!</f>
        <v>#REF!</v>
      </c>
      <c r="L45" s="12" t="e">
        <f>IF(M45=0,0,#REF!)</f>
        <v>#REF!</v>
      </c>
      <c r="M45" s="2" t="e">
        <f>#REF!</f>
        <v>#REF!</v>
      </c>
      <c r="N45" s="61"/>
      <c r="O45" s="61"/>
    </row>
    <row r="46" spans="3:15" x14ac:dyDescent="0.35">
      <c r="C46" s="1" t="s">
        <v>180</v>
      </c>
      <c r="D46" s="14" t="s">
        <v>181</v>
      </c>
      <c r="E46" s="2">
        <v>6570</v>
      </c>
      <c r="F46" s="3">
        <v>204572</v>
      </c>
      <c r="G46" s="3" t="s">
        <v>182</v>
      </c>
      <c r="H46" s="12" t="e">
        <f>IF(I46=0,0,#REF!)</f>
        <v>#REF!</v>
      </c>
      <c r="I46" s="2" t="e">
        <f>#REF!</f>
        <v>#REF!</v>
      </c>
      <c r="J46" s="12" t="e">
        <f>IF(K46=0,0,#REF!)</f>
        <v>#REF!</v>
      </c>
      <c r="K46" s="2" t="e">
        <f>#REF!</f>
        <v>#REF!</v>
      </c>
      <c r="L46" s="12" t="e">
        <f>IF(M46=0,0,#REF!)</f>
        <v>#REF!</v>
      </c>
      <c r="M46" s="2" t="e">
        <f>#REF!</f>
        <v>#REF!</v>
      </c>
      <c r="N46" s="61"/>
      <c r="O46" s="61"/>
    </row>
    <row r="47" spans="3:15" x14ac:dyDescent="0.35">
      <c r="C47" s="1" t="s">
        <v>184</v>
      </c>
      <c r="D47" s="14" t="s">
        <v>185</v>
      </c>
      <c r="E47" s="2">
        <v>8712</v>
      </c>
      <c r="F47" s="3" t="s">
        <v>186</v>
      </c>
      <c r="G47" s="3" t="s">
        <v>187</v>
      </c>
      <c r="H47" s="12" t="e">
        <f>IF(I47=0,0,#REF!)</f>
        <v>#REF!</v>
      </c>
      <c r="I47" s="2" t="e">
        <f>#REF!</f>
        <v>#REF!</v>
      </c>
      <c r="J47" s="12" t="e">
        <f>IF(K47=0,0,#REF!)</f>
        <v>#REF!</v>
      </c>
      <c r="K47" s="2" t="e">
        <f>#REF!</f>
        <v>#REF!</v>
      </c>
      <c r="L47" s="12" t="e">
        <f>IF(M47=0,0,#REF!)</f>
        <v>#REF!</v>
      </c>
      <c r="M47" s="2" t="e">
        <f>#REF!</f>
        <v>#REF!</v>
      </c>
      <c r="N47" s="61"/>
      <c r="O47" s="61"/>
    </row>
    <row r="48" spans="3:15" x14ac:dyDescent="0.35">
      <c r="C48" s="1" t="s">
        <v>184</v>
      </c>
      <c r="D48" s="14" t="s">
        <v>185</v>
      </c>
      <c r="E48" s="2">
        <v>8712</v>
      </c>
      <c r="F48" s="3">
        <v>206706</v>
      </c>
      <c r="G48" s="3" t="s">
        <v>189</v>
      </c>
      <c r="H48" s="12" t="e">
        <f>IF(I48=0,0,#REF!)</f>
        <v>#REF!</v>
      </c>
      <c r="I48" s="2" t="e">
        <f>#REF!</f>
        <v>#REF!</v>
      </c>
      <c r="J48" s="12" t="e">
        <f>IF(K48=0,0,#REF!)</f>
        <v>#REF!</v>
      </c>
      <c r="K48" s="2" t="e">
        <f>#REF!</f>
        <v>#REF!</v>
      </c>
      <c r="L48" s="12" t="e">
        <f>IF(M48=0,0,#REF!)</f>
        <v>#REF!</v>
      </c>
      <c r="M48" s="2" t="e">
        <f>#REF!</f>
        <v>#REF!</v>
      </c>
      <c r="N48" s="61"/>
      <c r="O48" s="61"/>
    </row>
    <row r="49" spans="3:15" x14ac:dyDescent="0.35">
      <c r="C49" s="1" t="s">
        <v>191</v>
      </c>
      <c r="D49" s="14" t="s">
        <v>192</v>
      </c>
      <c r="E49" s="2">
        <v>8751</v>
      </c>
      <c r="F49" s="3">
        <v>206512</v>
      </c>
      <c r="G49" s="3" t="s">
        <v>193</v>
      </c>
      <c r="H49" s="12" t="e">
        <f>IF(I49=0,0,#REF!)</f>
        <v>#REF!</v>
      </c>
      <c r="I49" s="2" t="e">
        <f>#REF!</f>
        <v>#REF!</v>
      </c>
      <c r="J49" s="12" t="e">
        <f>IF(K49=0,0,#REF!)</f>
        <v>#REF!</v>
      </c>
      <c r="K49" s="2" t="e">
        <f>#REF!</f>
        <v>#REF!</v>
      </c>
      <c r="L49" s="12" t="e">
        <f>IF(M49=0,0,#REF!)</f>
        <v>#REF!</v>
      </c>
      <c r="M49" s="2" t="e">
        <f>#REF!</f>
        <v>#REF!</v>
      </c>
      <c r="N49" s="61"/>
      <c r="O49" s="61"/>
    </row>
    <row r="50" spans="3:15" x14ac:dyDescent="0.35">
      <c r="C50" s="1" t="s">
        <v>195</v>
      </c>
      <c r="D50" s="14" t="s">
        <v>196</v>
      </c>
      <c r="E50" s="2">
        <v>8750</v>
      </c>
      <c r="F50" s="3">
        <v>206507</v>
      </c>
      <c r="G50" s="3" t="s">
        <v>198</v>
      </c>
      <c r="H50" s="12" t="e">
        <f>IF(I50=0,0,#REF!)</f>
        <v>#REF!</v>
      </c>
      <c r="I50" s="2" t="e">
        <f>#REF!</f>
        <v>#REF!</v>
      </c>
      <c r="J50" s="12" t="e">
        <f>IF(K50=0,0,#REF!)</f>
        <v>#REF!</v>
      </c>
      <c r="K50" s="2" t="e">
        <f>#REF!</f>
        <v>#REF!</v>
      </c>
      <c r="L50" s="12" t="e">
        <f>IF(M50=0,0,#REF!)</f>
        <v>#REF!</v>
      </c>
      <c r="M50" s="2" t="e">
        <f>#REF!</f>
        <v>#REF!</v>
      </c>
      <c r="N50" s="61"/>
      <c r="O50" s="61"/>
    </row>
    <row r="51" spans="3:15" x14ac:dyDescent="0.35">
      <c r="C51" s="1" t="s">
        <v>195</v>
      </c>
      <c r="D51" s="14" t="s">
        <v>196</v>
      </c>
      <c r="E51" s="2">
        <v>8750</v>
      </c>
      <c r="F51" s="3">
        <v>206506</v>
      </c>
      <c r="G51" s="3" t="s">
        <v>199</v>
      </c>
      <c r="H51" s="12" t="e">
        <f>IF(I51=0,0,#REF!)</f>
        <v>#REF!</v>
      </c>
      <c r="I51" s="2" t="e">
        <f>#REF!</f>
        <v>#REF!</v>
      </c>
      <c r="J51" s="12" t="e">
        <f>IF(K51=0,0,#REF!)</f>
        <v>#REF!</v>
      </c>
      <c r="K51" s="2" t="e">
        <f>#REF!</f>
        <v>#REF!</v>
      </c>
      <c r="L51" s="12" t="e">
        <f>IF(M51=0,0,#REF!)</f>
        <v>#REF!</v>
      </c>
      <c r="M51" s="2" t="e">
        <f>#REF!</f>
        <v>#REF!</v>
      </c>
      <c r="N51" s="61"/>
      <c r="O51" s="61"/>
    </row>
    <row r="52" spans="3:15" x14ac:dyDescent="0.35">
      <c r="C52" s="1" t="s">
        <v>195</v>
      </c>
      <c r="D52" s="14" t="s">
        <v>196</v>
      </c>
      <c r="E52" s="2">
        <v>8750</v>
      </c>
      <c r="F52" s="3">
        <v>206508</v>
      </c>
      <c r="G52" s="3" t="s">
        <v>200</v>
      </c>
      <c r="H52" s="12" t="e">
        <f>IF(I52=0,0,#REF!)</f>
        <v>#REF!</v>
      </c>
      <c r="I52" s="2" t="e">
        <f>#REF!</f>
        <v>#REF!</v>
      </c>
      <c r="J52" s="12" t="e">
        <f>IF(K52=0,0,#REF!)</f>
        <v>#REF!</v>
      </c>
      <c r="K52" s="2" t="e">
        <f>#REF!</f>
        <v>#REF!</v>
      </c>
      <c r="L52" s="12" t="e">
        <f>IF(M52=0,0,#REF!)</f>
        <v>#REF!</v>
      </c>
      <c r="M52" s="2" t="e">
        <f>#REF!</f>
        <v>#REF!</v>
      </c>
      <c r="N52" s="61"/>
      <c r="O52" s="61"/>
    </row>
    <row r="53" spans="3:15" x14ac:dyDescent="0.35">
      <c r="C53" s="1" t="s">
        <v>201</v>
      </c>
      <c r="D53" s="14" t="s">
        <v>202</v>
      </c>
      <c r="E53" s="2" t="s">
        <v>61</v>
      </c>
      <c r="F53" s="3">
        <v>206511</v>
      </c>
      <c r="G53" s="3" t="s">
        <v>203</v>
      </c>
      <c r="H53" s="12" t="e">
        <f>IF(I53=0,0,#REF!)</f>
        <v>#REF!</v>
      </c>
      <c r="I53" s="2" t="e">
        <f>#REF!</f>
        <v>#REF!</v>
      </c>
      <c r="J53" s="12" t="e">
        <f>IF(K53=0,0,#REF!)</f>
        <v>#REF!</v>
      </c>
      <c r="K53" s="2" t="e">
        <f>#REF!</f>
        <v>#REF!</v>
      </c>
      <c r="L53" s="12" t="e">
        <f>IF(M53=0,0,#REF!)</f>
        <v>#REF!</v>
      </c>
      <c r="M53" s="2" t="e">
        <f>#REF!</f>
        <v>#REF!</v>
      </c>
      <c r="N53" s="61"/>
      <c r="O53" s="61"/>
    </row>
    <row r="54" spans="3:15" x14ac:dyDescent="0.35">
      <c r="C54" s="1" t="s">
        <v>201</v>
      </c>
      <c r="D54" s="14" t="s">
        <v>202</v>
      </c>
      <c r="E54" s="2">
        <v>8749</v>
      </c>
      <c r="F54" s="3">
        <v>206511</v>
      </c>
      <c r="G54" s="3" t="s">
        <v>204</v>
      </c>
      <c r="H54" s="12" t="e">
        <f>IF(I54=0,0,#REF!)</f>
        <v>#REF!</v>
      </c>
      <c r="I54" s="2" t="e">
        <f>#REF!</f>
        <v>#REF!</v>
      </c>
      <c r="J54" s="12" t="e">
        <f>IF(K54=0,0,#REF!)</f>
        <v>#REF!</v>
      </c>
      <c r="K54" s="2" t="e">
        <f>#REF!</f>
        <v>#REF!</v>
      </c>
      <c r="L54" s="12" t="e">
        <f>IF(M54=0,0,#REF!)</f>
        <v>#REF!</v>
      </c>
      <c r="M54" s="2" t="e">
        <f>#REF!</f>
        <v>#REF!</v>
      </c>
      <c r="N54" s="61"/>
      <c r="O54" s="61"/>
    </row>
    <row r="55" spans="3:15" x14ac:dyDescent="0.35">
      <c r="C55" s="1" t="s">
        <v>205</v>
      </c>
      <c r="D55" s="14" t="s">
        <v>206</v>
      </c>
      <c r="E55" s="2" t="s">
        <v>61</v>
      </c>
      <c r="F55" s="3">
        <v>207689</v>
      </c>
      <c r="G55" s="3" t="s">
        <v>207</v>
      </c>
      <c r="H55" s="12" t="e">
        <f>IF(I55=0,0,#REF!)</f>
        <v>#REF!</v>
      </c>
      <c r="I55" s="2" t="e">
        <f>#REF!</f>
        <v>#REF!</v>
      </c>
      <c r="J55" s="12" t="e">
        <f>IF(K55=0,0,#REF!)</f>
        <v>#REF!</v>
      </c>
      <c r="K55" s="2" t="e">
        <f>#REF!</f>
        <v>#REF!</v>
      </c>
      <c r="L55" s="12" t="e">
        <f>IF(M55=0,0,#REF!)</f>
        <v>#REF!</v>
      </c>
      <c r="M55" s="2" t="e">
        <f>#REF!</f>
        <v>#REF!</v>
      </c>
      <c r="N55" s="61"/>
      <c r="O55" s="61"/>
    </row>
    <row r="56" spans="3:15" x14ac:dyDescent="0.35">
      <c r="C56" s="1" t="s">
        <v>205</v>
      </c>
      <c r="D56" s="14" t="s">
        <v>206</v>
      </c>
      <c r="E56" s="2">
        <v>8860</v>
      </c>
      <c r="F56" s="3">
        <v>207689</v>
      </c>
      <c r="G56" s="3" t="s">
        <v>208</v>
      </c>
      <c r="H56" s="12" t="e">
        <f>IF(I56=0,0,#REF!)</f>
        <v>#REF!</v>
      </c>
      <c r="I56" s="2" t="e">
        <f>#REF!</f>
        <v>#REF!</v>
      </c>
      <c r="J56" s="12" t="e">
        <f>IF(K56=0,0,#REF!)</f>
        <v>#REF!</v>
      </c>
      <c r="K56" s="2" t="e">
        <f>#REF!</f>
        <v>#REF!</v>
      </c>
      <c r="L56" s="12" t="e">
        <f>IF(M56=0,0,#REF!)</f>
        <v>#REF!</v>
      </c>
      <c r="M56" s="2" t="e">
        <f>#REF!</f>
        <v>#REF!</v>
      </c>
      <c r="N56" s="61"/>
      <c r="O56" s="61"/>
    </row>
    <row r="57" spans="3:15" x14ac:dyDescent="0.35">
      <c r="C57" s="1" t="s">
        <v>209</v>
      </c>
      <c r="D57" s="14" t="s">
        <v>210</v>
      </c>
      <c r="E57" s="2" t="s">
        <v>61</v>
      </c>
      <c r="F57" s="3">
        <v>238175</v>
      </c>
      <c r="G57" s="3" t="s">
        <v>211</v>
      </c>
      <c r="H57" s="12" t="e">
        <f>IF(I57=0,0,#REF!)</f>
        <v>#REF!</v>
      </c>
      <c r="I57" s="2" t="e">
        <f>#REF!</f>
        <v>#REF!</v>
      </c>
      <c r="J57" s="12" t="e">
        <f>IF(K57=0,0,#REF!)</f>
        <v>#REF!</v>
      </c>
      <c r="K57" s="2" t="e">
        <f>#REF!</f>
        <v>#REF!</v>
      </c>
      <c r="L57" s="12" t="e">
        <f>IF(M57=0,0,#REF!)</f>
        <v>#REF!</v>
      </c>
      <c r="M57" s="2" t="e">
        <f>#REF!</f>
        <v>#REF!</v>
      </c>
      <c r="N57" s="61"/>
      <c r="O57" s="61"/>
    </row>
    <row r="58" spans="3:15" x14ac:dyDescent="0.35">
      <c r="C58" s="1" t="s">
        <v>209</v>
      </c>
      <c r="D58" s="14" t="s">
        <v>210</v>
      </c>
      <c r="E58" s="2">
        <v>8859</v>
      </c>
      <c r="F58" s="3">
        <v>238175</v>
      </c>
      <c r="G58" s="3" t="s">
        <v>211</v>
      </c>
      <c r="H58" s="12" t="e">
        <f>IF(I58=0,0,#REF!)</f>
        <v>#REF!</v>
      </c>
      <c r="I58" s="2" t="e">
        <f>#REF!</f>
        <v>#REF!</v>
      </c>
      <c r="J58" s="12" t="e">
        <f>IF(K58=0,0,#REF!)</f>
        <v>#REF!</v>
      </c>
      <c r="K58" s="2" t="e">
        <f>#REF!</f>
        <v>#REF!</v>
      </c>
      <c r="L58" s="12" t="e">
        <f>IF(M58=0,0,#REF!)</f>
        <v>#REF!</v>
      </c>
      <c r="M58" s="2" t="e">
        <f>#REF!</f>
        <v>#REF!</v>
      </c>
      <c r="N58" s="61"/>
      <c r="O58" s="61"/>
    </row>
    <row r="59" spans="3:15" x14ac:dyDescent="0.35">
      <c r="C59" s="1" t="s">
        <v>212</v>
      </c>
      <c r="D59" s="14" t="s">
        <v>213</v>
      </c>
      <c r="E59" s="2">
        <v>8976</v>
      </c>
      <c r="F59" s="3">
        <v>219333</v>
      </c>
      <c r="G59" s="3" t="s">
        <v>214</v>
      </c>
      <c r="H59" s="12" t="e">
        <f>IF(I59=0,0,#REF!)</f>
        <v>#REF!</v>
      </c>
      <c r="I59" s="2" t="e">
        <f>#REF!</f>
        <v>#REF!</v>
      </c>
      <c r="J59" s="12" t="e">
        <f>IF(K59=0,0,#REF!)</f>
        <v>#REF!</v>
      </c>
      <c r="K59" s="2" t="e">
        <f>#REF!</f>
        <v>#REF!</v>
      </c>
      <c r="L59" s="12" t="e">
        <f>IF(M59=0,0,#REF!)</f>
        <v>#REF!</v>
      </c>
      <c r="M59" s="2" t="e">
        <f>#REF!</f>
        <v>#REF!</v>
      </c>
      <c r="N59" s="61"/>
      <c r="O59" s="61"/>
    </row>
    <row r="60" spans="3:15" x14ac:dyDescent="0.35">
      <c r="C60" s="1" t="s">
        <v>215</v>
      </c>
      <c r="D60" s="14" t="s">
        <v>216</v>
      </c>
      <c r="E60" s="2">
        <v>9053</v>
      </c>
      <c r="F60" s="3">
        <v>210056</v>
      </c>
      <c r="G60" s="3" t="s">
        <v>217</v>
      </c>
      <c r="H60" s="12" t="e">
        <f>IF(I60=0,0,#REF!)</f>
        <v>#REF!</v>
      </c>
      <c r="I60" s="2" t="e">
        <f>#REF!</f>
        <v>#REF!</v>
      </c>
      <c r="J60" s="12" t="e">
        <f>IF(K60=0,0,#REF!)</f>
        <v>#REF!</v>
      </c>
      <c r="K60" s="2" t="e">
        <f>#REF!</f>
        <v>#REF!</v>
      </c>
      <c r="L60" s="12" t="e">
        <f>IF(M60=0,0,#REF!)</f>
        <v>#REF!</v>
      </c>
      <c r="M60" s="2" t="e">
        <f>#REF!</f>
        <v>#REF!</v>
      </c>
      <c r="N60" s="61"/>
      <c r="O60" s="61"/>
    </row>
    <row r="61" spans="3:15" x14ac:dyDescent="0.35">
      <c r="C61" s="1" t="s">
        <v>219</v>
      </c>
      <c r="D61" s="14" t="s">
        <v>220</v>
      </c>
      <c r="E61" s="2" t="s">
        <v>61</v>
      </c>
      <c r="F61" s="3" t="s">
        <v>925</v>
      </c>
      <c r="G61" s="3" t="s">
        <v>178</v>
      </c>
      <c r="H61" s="12" t="e">
        <f>IF(I61=0,0,#REF!)</f>
        <v>#REF!</v>
      </c>
      <c r="I61" s="2" t="e">
        <f>#REF!</f>
        <v>#REF!</v>
      </c>
      <c r="J61" s="12" t="e">
        <f>IF(K61=0,0,#REF!)</f>
        <v>#REF!</v>
      </c>
      <c r="K61" s="2" t="e">
        <f>#REF!</f>
        <v>#REF!</v>
      </c>
      <c r="L61" s="12" t="e">
        <f>IF(M61=0,0,#REF!)</f>
        <v>#REF!</v>
      </c>
      <c r="M61" s="2" t="e">
        <f>#REF!</f>
        <v>#REF!</v>
      </c>
      <c r="N61" s="61"/>
      <c r="O61" s="61"/>
    </row>
    <row r="62" spans="3:15" x14ac:dyDescent="0.35">
      <c r="C62" s="1" t="s">
        <v>219</v>
      </c>
      <c r="D62" s="14" t="s">
        <v>220</v>
      </c>
      <c r="E62" s="2">
        <v>8968</v>
      </c>
      <c r="F62" s="3" t="s">
        <v>926</v>
      </c>
      <c r="G62" s="3" t="s">
        <v>178</v>
      </c>
      <c r="H62" s="12" t="e">
        <f>IF(I62=0,0,#REF!)</f>
        <v>#REF!</v>
      </c>
      <c r="I62" s="2" t="e">
        <f>#REF!</f>
        <v>#REF!</v>
      </c>
      <c r="J62" s="12" t="e">
        <f>IF(K62=0,0,#REF!)</f>
        <v>#REF!</v>
      </c>
      <c r="K62" s="2" t="e">
        <f>#REF!</f>
        <v>#REF!</v>
      </c>
      <c r="L62" s="12" t="e">
        <f>IF(M62=0,0,#REF!)</f>
        <v>#REF!</v>
      </c>
      <c r="M62" s="2" t="e">
        <f>#REF!</f>
        <v>#REF!</v>
      </c>
      <c r="N62" s="61"/>
      <c r="O62" s="61"/>
    </row>
    <row r="63" spans="3:15" x14ac:dyDescent="0.35">
      <c r="C63" s="1" t="s">
        <v>221</v>
      </c>
      <c r="D63" s="14" t="s">
        <v>222</v>
      </c>
      <c r="E63" s="2">
        <v>6572</v>
      </c>
      <c r="F63" s="3">
        <v>204609</v>
      </c>
      <c r="G63" s="3" t="s">
        <v>223</v>
      </c>
      <c r="H63" s="12" t="e">
        <f>IF(I63=0,0,#REF!)</f>
        <v>#REF!</v>
      </c>
      <c r="I63" s="2" t="e">
        <f>#REF!</f>
        <v>#REF!</v>
      </c>
      <c r="J63" s="12" t="e">
        <f>IF(K63=0,0,#REF!)</f>
        <v>#REF!</v>
      </c>
      <c r="K63" s="2" t="e">
        <f>#REF!</f>
        <v>#REF!</v>
      </c>
      <c r="L63" s="12" t="e">
        <f>IF(M63=0,0,#REF!)</f>
        <v>#REF!</v>
      </c>
      <c r="M63" s="2" t="e">
        <f>#REF!</f>
        <v>#REF!</v>
      </c>
      <c r="N63" s="61"/>
      <c r="O63" s="61"/>
    </row>
    <row r="64" spans="3:15" x14ac:dyDescent="0.35">
      <c r="C64" s="1" t="s">
        <v>224</v>
      </c>
      <c r="D64" s="14" t="s">
        <v>225</v>
      </c>
      <c r="E64" s="2">
        <v>8969</v>
      </c>
      <c r="F64" s="3">
        <v>208873</v>
      </c>
      <c r="G64" s="3" t="s">
        <v>178</v>
      </c>
      <c r="H64" s="12" t="e">
        <f>IF(I64=0,0,#REF!)</f>
        <v>#REF!</v>
      </c>
      <c r="I64" s="2" t="e">
        <f>#REF!</f>
        <v>#REF!</v>
      </c>
      <c r="J64" s="12" t="e">
        <f>IF(K64=0,0,#REF!)</f>
        <v>#REF!</v>
      </c>
      <c r="K64" s="2" t="e">
        <f>#REF!</f>
        <v>#REF!</v>
      </c>
      <c r="L64" s="12" t="e">
        <f>IF(M64=0,0,#REF!)</f>
        <v>#REF!</v>
      </c>
      <c r="M64" s="2" t="e">
        <f>#REF!</f>
        <v>#REF!</v>
      </c>
      <c r="N64" s="61"/>
      <c r="O64" s="61"/>
    </row>
    <row r="65" spans="3:15" x14ac:dyDescent="0.35">
      <c r="C65" s="1" t="s">
        <v>227</v>
      </c>
      <c r="D65" s="14" t="s">
        <v>228</v>
      </c>
      <c r="E65" s="2">
        <v>9072</v>
      </c>
      <c r="F65" s="3">
        <v>210304</v>
      </c>
      <c r="G65" s="3" t="s">
        <v>178</v>
      </c>
      <c r="H65" s="12" t="e">
        <f>IF(I65=0,0,#REF!)</f>
        <v>#REF!</v>
      </c>
      <c r="I65" s="2" t="e">
        <f>#REF!</f>
        <v>#REF!</v>
      </c>
      <c r="J65" s="12" t="e">
        <f>IF(K65=0,0,#REF!)</f>
        <v>#REF!</v>
      </c>
      <c r="K65" s="2" t="e">
        <f>#REF!</f>
        <v>#REF!</v>
      </c>
      <c r="L65" s="12" t="e">
        <f>IF(M65=0,0,#REF!)</f>
        <v>#REF!</v>
      </c>
      <c r="M65" s="2" t="e">
        <f>#REF!</f>
        <v>#REF!</v>
      </c>
      <c r="N65" s="61"/>
      <c r="O65" s="61"/>
    </row>
    <row r="66" spans="3:15" x14ac:dyDescent="0.35">
      <c r="C66" s="1" t="s">
        <v>229</v>
      </c>
      <c r="D66" s="14" t="s">
        <v>230</v>
      </c>
      <c r="E66" s="2">
        <v>9096</v>
      </c>
      <c r="F66" s="3">
        <v>204532</v>
      </c>
      <c r="G66" s="3" t="s">
        <v>927</v>
      </c>
      <c r="H66" s="12" t="e">
        <f>IF(I66=0,0,#REF!)</f>
        <v>#REF!</v>
      </c>
      <c r="I66" s="2" t="e">
        <f>#REF!</f>
        <v>#REF!</v>
      </c>
      <c r="J66" s="12" t="e">
        <f>IF(K66=0,0,#REF!)</f>
        <v>#REF!</v>
      </c>
      <c r="K66" s="2" t="e">
        <f>#REF!</f>
        <v>#REF!</v>
      </c>
      <c r="L66" s="12" t="e">
        <f>IF(M66=0,0,#REF!)</f>
        <v>#REF!</v>
      </c>
      <c r="M66" s="2" t="e">
        <f>#REF!</f>
        <v>#REF!</v>
      </c>
      <c r="N66" s="61"/>
      <c r="O66" s="61"/>
    </row>
    <row r="67" spans="3:15" x14ac:dyDescent="0.35">
      <c r="C67" s="1" t="s">
        <v>232</v>
      </c>
      <c r="D67" s="14" t="s">
        <v>233</v>
      </c>
      <c r="E67" s="2">
        <v>9100</v>
      </c>
      <c r="F67" s="3">
        <v>210438</v>
      </c>
      <c r="G67" s="3" t="s">
        <v>234</v>
      </c>
      <c r="H67" s="12" t="e">
        <f>IF(I67=0,0,#REF!)</f>
        <v>#REF!</v>
      </c>
      <c r="I67" s="2" t="e">
        <f>#REF!</f>
        <v>#REF!</v>
      </c>
      <c r="J67" s="12" t="e">
        <f>IF(K67=0,0,#REF!)</f>
        <v>#REF!</v>
      </c>
      <c r="K67" s="2" t="e">
        <f>#REF!</f>
        <v>#REF!</v>
      </c>
      <c r="L67" s="12" t="e">
        <f>IF(M67=0,0,#REF!)</f>
        <v>#REF!</v>
      </c>
      <c r="M67" s="2" t="e">
        <f>#REF!</f>
        <v>#REF!</v>
      </c>
      <c r="N67" s="61"/>
      <c r="O67" s="61"/>
    </row>
    <row r="68" spans="3:15" x14ac:dyDescent="0.35">
      <c r="C68" s="1" t="s">
        <v>237</v>
      </c>
      <c r="D68" s="14" t="s">
        <v>238</v>
      </c>
      <c r="E68" s="2" t="s">
        <v>61</v>
      </c>
      <c r="F68" s="3">
        <v>204970</v>
      </c>
      <c r="G68" s="3" t="s">
        <v>239</v>
      </c>
      <c r="H68" s="12" t="e">
        <f>IF(I68=0,0,#REF!)</f>
        <v>#REF!</v>
      </c>
      <c r="I68" s="2" t="e">
        <f>#REF!</f>
        <v>#REF!</v>
      </c>
      <c r="J68" s="12" t="e">
        <f>IF(K68=0,0,#REF!)</f>
        <v>#REF!</v>
      </c>
      <c r="K68" s="2" t="e">
        <f>#REF!</f>
        <v>#REF!</v>
      </c>
      <c r="L68" s="12" t="e">
        <f>IF(M68=0,0,#REF!)</f>
        <v>#REF!</v>
      </c>
      <c r="M68" s="2" t="e">
        <f>#REF!</f>
        <v>#REF!</v>
      </c>
      <c r="N68" s="61"/>
      <c r="O68" s="61"/>
    </row>
    <row r="69" spans="3:15" x14ac:dyDescent="0.35">
      <c r="C69" s="1" t="s">
        <v>237</v>
      </c>
      <c r="D69" s="14" t="s">
        <v>238</v>
      </c>
      <c r="E69" s="2">
        <v>9101</v>
      </c>
      <c r="F69" s="3">
        <v>204970</v>
      </c>
      <c r="G69" s="3" t="s">
        <v>239</v>
      </c>
      <c r="H69" s="12" t="e">
        <f>IF(I69=0,0,#REF!)</f>
        <v>#REF!</v>
      </c>
      <c r="I69" s="2" t="e">
        <f>#REF!</f>
        <v>#REF!</v>
      </c>
      <c r="J69" s="12" t="e">
        <f>IF(K69=0,0,#REF!)</f>
        <v>#REF!</v>
      </c>
      <c r="K69" s="2" t="e">
        <f>#REF!</f>
        <v>#REF!</v>
      </c>
      <c r="L69" s="12" t="e">
        <f>IF(M69=0,0,#REF!)</f>
        <v>#REF!</v>
      </c>
      <c r="M69" s="2" t="e">
        <f>#REF!</f>
        <v>#REF!</v>
      </c>
      <c r="N69" s="61"/>
      <c r="O69" s="61"/>
    </row>
    <row r="70" spans="3:15" x14ac:dyDescent="0.35">
      <c r="C70" s="1" t="s">
        <v>240</v>
      </c>
      <c r="D70" s="14" t="s">
        <v>241</v>
      </c>
      <c r="E70" s="2">
        <v>9102</v>
      </c>
      <c r="F70" s="3">
        <v>209672</v>
      </c>
      <c r="G70" s="3" t="s">
        <v>242</v>
      </c>
      <c r="H70" s="12" t="e">
        <f>IF(I70=0,0,#REF!)</f>
        <v>#REF!</v>
      </c>
      <c r="I70" s="2" t="e">
        <f>#REF!</f>
        <v>#REF!</v>
      </c>
      <c r="J70" s="12" t="e">
        <f>IF(K70=0,0,#REF!)</f>
        <v>#REF!</v>
      </c>
      <c r="K70" s="2" t="e">
        <f>#REF!</f>
        <v>#REF!</v>
      </c>
      <c r="L70" s="12" t="e">
        <f>IF(M70=0,0,#REF!)</f>
        <v>#REF!</v>
      </c>
      <c r="M70" s="2" t="e">
        <f>#REF!</f>
        <v>#REF!</v>
      </c>
      <c r="N70" s="61"/>
      <c r="O70" s="61"/>
    </row>
    <row r="71" spans="3:15" x14ac:dyDescent="0.35">
      <c r="C71" s="1" t="s">
        <v>244</v>
      </c>
      <c r="D71" s="14" t="s">
        <v>245</v>
      </c>
      <c r="E71" s="2">
        <v>9120</v>
      </c>
      <c r="F71" s="3">
        <v>211510</v>
      </c>
      <c r="G71" s="3" t="s">
        <v>86</v>
      </c>
      <c r="H71" s="12" t="e">
        <f>IF(I71=0,0,#REF!)</f>
        <v>#REF!</v>
      </c>
      <c r="I71" s="2" t="e">
        <f>#REF!</f>
        <v>#REF!</v>
      </c>
      <c r="J71" s="12" t="e">
        <f>IF(K71=0,0,#REF!)</f>
        <v>#REF!</v>
      </c>
      <c r="K71" s="2" t="e">
        <f>#REF!</f>
        <v>#REF!</v>
      </c>
      <c r="L71" s="12" t="e">
        <f>IF(M71=0,0,#REF!)</f>
        <v>#REF!</v>
      </c>
      <c r="M71" s="2" t="e">
        <f>#REF!</f>
        <v>#REF!</v>
      </c>
      <c r="N71" s="61"/>
      <c r="O71" s="61"/>
    </row>
    <row r="72" spans="3:15" x14ac:dyDescent="0.35">
      <c r="C72" s="1" t="s">
        <v>246</v>
      </c>
      <c r="D72" s="14" t="s">
        <v>247</v>
      </c>
      <c r="E72" s="2">
        <v>9103</v>
      </c>
      <c r="F72" s="3">
        <v>243147</v>
      </c>
      <c r="G72" s="3" t="s">
        <v>249</v>
      </c>
      <c r="H72" s="12" t="e">
        <f>IF(I72=0,0,#REF!)</f>
        <v>#REF!</v>
      </c>
      <c r="I72" s="2" t="e">
        <f>#REF!</f>
        <v>#REF!</v>
      </c>
      <c r="J72" s="12" t="e">
        <f>IF(K72=0,0,#REF!)</f>
        <v>#REF!</v>
      </c>
      <c r="K72" s="2" t="e">
        <f>#REF!</f>
        <v>#REF!</v>
      </c>
      <c r="L72" s="12" t="e">
        <f>IF(M72=0,0,#REF!)</f>
        <v>#REF!</v>
      </c>
      <c r="M72" s="2" t="e">
        <f>#REF!</f>
        <v>#REF!</v>
      </c>
      <c r="N72" s="61"/>
      <c r="O72" s="61"/>
    </row>
    <row r="73" spans="3:15" x14ac:dyDescent="0.35">
      <c r="C73" s="1" t="s">
        <v>250</v>
      </c>
      <c r="D73" s="14" t="s">
        <v>251</v>
      </c>
      <c r="E73" s="2">
        <v>8974</v>
      </c>
      <c r="F73" s="3">
        <v>204532</v>
      </c>
      <c r="G73" s="3" t="s">
        <v>114</v>
      </c>
      <c r="H73" s="12" t="e">
        <f>IF(I73=0,0,#REF!)</f>
        <v>#REF!</v>
      </c>
      <c r="I73" s="2" t="e">
        <f>#REF!</f>
        <v>#REF!</v>
      </c>
      <c r="J73" s="12" t="e">
        <f>IF(K73=0,0,#REF!)</f>
        <v>#REF!</v>
      </c>
      <c r="K73" s="2" t="e">
        <f>#REF!</f>
        <v>#REF!</v>
      </c>
      <c r="L73" s="12" t="e">
        <f>IF(M73=0,0,#REF!)</f>
        <v>#REF!</v>
      </c>
      <c r="M73" s="2" t="e">
        <f>#REF!</f>
        <v>#REF!</v>
      </c>
      <c r="N73" s="61"/>
      <c r="O73" s="61"/>
    </row>
    <row r="74" spans="3:15" x14ac:dyDescent="0.35">
      <c r="C74" s="1" t="s">
        <v>252</v>
      </c>
      <c r="D74" s="14" t="s">
        <v>253</v>
      </c>
      <c r="E74" s="2">
        <v>6573</v>
      </c>
      <c r="F74" s="3">
        <v>204635</v>
      </c>
      <c r="G74" s="3" t="s">
        <v>254</v>
      </c>
      <c r="H74" s="12" t="e">
        <f>IF(I74=0,0,#REF!)</f>
        <v>#REF!</v>
      </c>
      <c r="I74" s="2" t="e">
        <f>#REF!</f>
        <v>#REF!</v>
      </c>
      <c r="J74" s="12" t="e">
        <f>IF(K74=0,0,#REF!)</f>
        <v>#REF!</v>
      </c>
      <c r="K74" s="2" t="e">
        <f>#REF!</f>
        <v>#REF!</v>
      </c>
      <c r="L74" s="12" t="e">
        <f>IF(M74=0,0,#REF!)</f>
        <v>#REF!</v>
      </c>
      <c r="M74" s="2" t="e">
        <f>#REF!</f>
        <v>#REF!</v>
      </c>
      <c r="N74" s="61"/>
      <c r="O74" s="61"/>
    </row>
    <row r="75" spans="3:15" x14ac:dyDescent="0.35">
      <c r="C75" s="1" t="s">
        <v>256</v>
      </c>
      <c r="D75" s="14" t="s">
        <v>257</v>
      </c>
      <c r="E75" s="2">
        <v>9209</v>
      </c>
      <c r="F75" s="3">
        <v>217037</v>
      </c>
      <c r="G75" s="3" t="s">
        <v>258</v>
      </c>
      <c r="H75" s="12" t="e">
        <f>IF(I75=0,0,#REF!)</f>
        <v>#REF!</v>
      </c>
      <c r="I75" s="2" t="e">
        <f>#REF!</f>
        <v>#REF!</v>
      </c>
      <c r="J75" s="12" t="e">
        <f>IF(K75=0,0,#REF!)</f>
        <v>#REF!</v>
      </c>
      <c r="K75" s="2" t="e">
        <f>#REF!</f>
        <v>#REF!</v>
      </c>
      <c r="L75" s="12" t="e">
        <f>IF(M75=0,0,#REF!)</f>
        <v>#REF!</v>
      </c>
      <c r="M75" s="2" t="e">
        <f>#REF!</f>
        <v>#REF!</v>
      </c>
      <c r="N75" s="61"/>
      <c r="O75" s="61"/>
    </row>
    <row r="76" spans="3:15" x14ac:dyDescent="0.35">
      <c r="C76" s="1" t="s">
        <v>260</v>
      </c>
      <c r="D76" s="14" t="s">
        <v>261</v>
      </c>
      <c r="E76" s="2">
        <v>9458</v>
      </c>
      <c r="F76" s="3">
        <v>206286</v>
      </c>
      <c r="G76" s="3" t="s">
        <v>262</v>
      </c>
      <c r="H76" s="12" t="e">
        <f>IF(I76=0,0,#REF!)</f>
        <v>#REF!</v>
      </c>
      <c r="I76" s="2" t="e">
        <f>#REF!</f>
        <v>#REF!</v>
      </c>
      <c r="J76" s="12" t="e">
        <f>IF(K76=0,0,#REF!)</f>
        <v>#REF!</v>
      </c>
      <c r="K76" s="2" t="e">
        <f>#REF!</f>
        <v>#REF!</v>
      </c>
      <c r="L76" s="12" t="e">
        <f>IF(M76=0,0,#REF!)</f>
        <v>#REF!</v>
      </c>
      <c r="M76" s="2" t="e">
        <f>#REF!</f>
        <v>#REF!</v>
      </c>
      <c r="N76" s="61"/>
      <c r="O76" s="61"/>
    </row>
    <row r="77" spans="3:15" x14ac:dyDescent="0.35">
      <c r="C77" s="1" t="s">
        <v>264</v>
      </c>
      <c r="D77" s="14" t="s">
        <v>265</v>
      </c>
      <c r="E77" s="2">
        <v>9595</v>
      </c>
      <c r="F77" s="3" t="s">
        <v>266</v>
      </c>
      <c r="G77" s="3" t="s">
        <v>267</v>
      </c>
      <c r="H77" s="12" t="e">
        <f>IF(I77=0,0,#REF!)</f>
        <v>#REF!</v>
      </c>
      <c r="I77" s="2" t="e">
        <f>#REF!</f>
        <v>#REF!</v>
      </c>
      <c r="J77" s="12" t="e">
        <f>IF(K77=0,0,#REF!)</f>
        <v>#REF!</v>
      </c>
      <c r="K77" s="2" t="e">
        <f>#REF!</f>
        <v>#REF!</v>
      </c>
      <c r="L77" s="12" t="e">
        <f>IF(M77=0,0,#REF!)</f>
        <v>#REF!</v>
      </c>
      <c r="M77" s="2" t="e">
        <f>#REF!</f>
        <v>#REF!</v>
      </c>
      <c r="N77" s="61"/>
      <c r="O77" s="61"/>
    </row>
    <row r="78" spans="3:15" x14ac:dyDescent="0.35">
      <c r="C78" s="1" t="s">
        <v>268</v>
      </c>
      <c r="D78" s="14" t="s">
        <v>269</v>
      </c>
      <c r="E78" s="2">
        <v>9216</v>
      </c>
      <c r="F78" s="3">
        <v>246683</v>
      </c>
      <c r="G78" s="3" t="s">
        <v>270</v>
      </c>
      <c r="H78" s="12" t="e">
        <f>IF(I78=0,0,#REF!)</f>
        <v>#REF!</v>
      </c>
      <c r="I78" s="2" t="e">
        <f>#REF!</f>
        <v>#REF!</v>
      </c>
      <c r="J78" s="12" t="e">
        <f>IF(K78=0,0,#REF!)</f>
        <v>#REF!</v>
      </c>
      <c r="K78" s="2" t="e">
        <f>#REF!</f>
        <v>#REF!</v>
      </c>
      <c r="L78" s="12" t="e">
        <f>IF(M78=0,0,#REF!)</f>
        <v>#REF!</v>
      </c>
      <c r="M78" s="2" t="e">
        <f>#REF!</f>
        <v>#REF!</v>
      </c>
      <c r="N78" s="61"/>
      <c r="O78" s="61"/>
    </row>
    <row r="79" spans="3:15" x14ac:dyDescent="0.35">
      <c r="C79" s="1" t="s">
        <v>271</v>
      </c>
      <c r="D79" s="14" t="s">
        <v>272</v>
      </c>
      <c r="E79" s="2">
        <v>9575</v>
      </c>
      <c r="F79" s="3">
        <v>204547</v>
      </c>
      <c r="G79" s="3" t="s">
        <v>273</v>
      </c>
      <c r="H79" s="12" t="e">
        <f>IF(I79=0,0,#REF!)</f>
        <v>#REF!</v>
      </c>
      <c r="I79" s="2" t="e">
        <f>#REF!</f>
        <v>#REF!</v>
      </c>
      <c r="J79" s="12" t="e">
        <f>IF(K79=0,0,#REF!)</f>
        <v>#REF!</v>
      </c>
      <c r="K79" s="2" t="e">
        <f>#REF!</f>
        <v>#REF!</v>
      </c>
      <c r="L79" s="12" t="e">
        <f>IF(M79=0,0,#REF!)</f>
        <v>#REF!</v>
      </c>
      <c r="M79" s="2" t="e">
        <f>#REF!</f>
        <v>#REF!</v>
      </c>
      <c r="N79" s="61"/>
      <c r="O79" s="61"/>
    </row>
    <row r="80" spans="3:15" x14ac:dyDescent="0.35">
      <c r="C80" s="1" t="s">
        <v>275</v>
      </c>
      <c r="D80" s="14" t="s">
        <v>276</v>
      </c>
      <c r="E80" s="2" t="s">
        <v>61</v>
      </c>
      <c r="F80" s="3">
        <v>228274</v>
      </c>
      <c r="G80" s="3" t="s">
        <v>278</v>
      </c>
      <c r="H80" s="12" t="e">
        <f>IF(I80=0,0,#REF!)</f>
        <v>#REF!</v>
      </c>
      <c r="I80" s="2" t="e">
        <f>#REF!</f>
        <v>#REF!</v>
      </c>
      <c r="J80" s="12" t="e">
        <f>IF(K80=0,0,#REF!)</f>
        <v>#REF!</v>
      </c>
      <c r="K80" s="2" t="e">
        <f>#REF!</f>
        <v>#REF!</v>
      </c>
      <c r="L80" s="12" t="e">
        <f>IF(M80=0,0,#REF!)</f>
        <v>#REF!</v>
      </c>
      <c r="M80" s="2" t="e">
        <f>#REF!</f>
        <v>#REF!</v>
      </c>
      <c r="N80" s="61"/>
      <c r="O80" s="61"/>
    </row>
    <row r="81" spans="3:15" x14ac:dyDescent="0.35">
      <c r="C81" s="1" t="s">
        <v>275</v>
      </c>
      <c r="D81" s="14" t="s">
        <v>276</v>
      </c>
      <c r="E81" s="2">
        <v>9636</v>
      </c>
      <c r="F81" s="3">
        <v>228274</v>
      </c>
      <c r="G81" s="3" t="s">
        <v>280</v>
      </c>
      <c r="H81" s="12" t="e">
        <f>IF(I81=0,0,#REF!)</f>
        <v>#REF!</v>
      </c>
      <c r="I81" s="2" t="e">
        <f>#REF!</f>
        <v>#REF!</v>
      </c>
      <c r="J81" s="12" t="e">
        <f>IF(K81=0,0,#REF!)</f>
        <v>#REF!</v>
      </c>
      <c r="K81" s="2" t="e">
        <f>#REF!</f>
        <v>#REF!</v>
      </c>
      <c r="L81" s="12" t="e">
        <f>IF(M81=0,0,#REF!)</f>
        <v>#REF!</v>
      </c>
      <c r="M81" s="2" t="e">
        <f>#REF!</f>
        <v>#REF!</v>
      </c>
      <c r="N81" s="61"/>
      <c r="O81" s="61"/>
    </row>
    <row r="82" spans="3:15" x14ac:dyDescent="0.35">
      <c r="C82" s="1" t="s">
        <v>281</v>
      </c>
      <c r="D82" s="14" t="s">
        <v>282</v>
      </c>
      <c r="E82" s="2" t="s">
        <v>283</v>
      </c>
      <c r="F82" s="3">
        <v>214089</v>
      </c>
      <c r="G82" s="3" t="s">
        <v>284</v>
      </c>
      <c r="H82" s="12" t="e">
        <f>IF(I82=0,0,#REF!)</f>
        <v>#REF!</v>
      </c>
      <c r="I82" s="2" t="e">
        <f>#REF!</f>
        <v>#REF!</v>
      </c>
      <c r="J82" s="12" t="e">
        <f>IF(K82=0,0,#REF!)</f>
        <v>#REF!</v>
      </c>
      <c r="K82" s="2" t="e">
        <f>#REF!</f>
        <v>#REF!</v>
      </c>
      <c r="L82" s="12" t="e">
        <f>IF(M82=0,0,#REF!)</f>
        <v>#REF!</v>
      </c>
      <c r="M82" s="2" t="e">
        <f>#REF!</f>
        <v>#REF!</v>
      </c>
      <c r="N82" s="61"/>
      <c r="O82" s="61"/>
    </row>
    <row r="83" spans="3:15" x14ac:dyDescent="0.35">
      <c r="C83" s="1" t="s">
        <v>285</v>
      </c>
      <c r="D83" s="14" t="s">
        <v>286</v>
      </c>
      <c r="E83" s="2">
        <v>6574</v>
      </c>
      <c r="F83" s="3" t="s">
        <v>928</v>
      </c>
      <c r="G83" s="3" t="s">
        <v>287</v>
      </c>
      <c r="H83" s="12" t="e">
        <f>IF(I83=0,0,#REF!)</f>
        <v>#REF!</v>
      </c>
      <c r="I83" s="2" t="e">
        <f>#REF!</f>
        <v>#REF!</v>
      </c>
      <c r="J83" s="12" t="e">
        <f>IF(K83=0,0,#REF!)</f>
        <v>#REF!</v>
      </c>
      <c r="K83" s="2" t="e">
        <f>#REF!</f>
        <v>#REF!</v>
      </c>
      <c r="L83" s="12" t="e">
        <f>IF(M83=0,0,#REF!)</f>
        <v>#REF!</v>
      </c>
      <c r="M83" s="2" t="e">
        <f>#REF!</f>
        <v>#REF!</v>
      </c>
      <c r="N83" s="61"/>
      <c r="O83" s="61"/>
    </row>
    <row r="84" spans="3:15" x14ac:dyDescent="0.35">
      <c r="C84" s="1" t="s">
        <v>289</v>
      </c>
      <c r="D84" s="14" t="s">
        <v>290</v>
      </c>
      <c r="E84" s="2">
        <v>6577</v>
      </c>
      <c r="F84" s="3">
        <v>204566</v>
      </c>
      <c r="G84" s="3" t="s">
        <v>291</v>
      </c>
      <c r="H84" s="12" t="e">
        <f>IF(I84=0,0,#REF!)</f>
        <v>#REF!</v>
      </c>
      <c r="I84" s="2" t="e">
        <f>#REF!</f>
        <v>#REF!</v>
      </c>
      <c r="J84" s="12" t="e">
        <f>IF(K84=0,0,#REF!)</f>
        <v>#REF!</v>
      </c>
      <c r="K84" s="2" t="e">
        <f>#REF!</f>
        <v>#REF!</v>
      </c>
      <c r="L84" s="12" t="e">
        <f>IF(M84=0,0,#REF!)</f>
        <v>#REF!</v>
      </c>
      <c r="M84" s="2" t="e">
        <f>#REF!</f>
        <v>#REF!</v>
      </c>
      <c r="N84" s="61"/>
      <c r="O84" s="61"/>
    </row>
    <row r="85" spans="3:15" x14ac:dyDescent="0.35">
      <c r="C85" s="1" t="s">
        <v>292</v>
      </c>
      <c r="D85" s="14" t="s">
        <v>293</v>
      </c>
      <c r="E85" s="2">
        <v>6586</v>
      </c>
      <c r="F85" s="3">
        <v>204692</v>
      </c>
      <c r="G85" s="3" t="s">
        <v>294</v>
      </c>
      <c r="H85" s="12" t="e">
        <f>IF(I85=0,0,#REF!)</f>
        <v>#REF!</v>
      </c>
      <c r="I85" s="2" t="e">
        <f>#REF!</f>
        <v>#REF!</v>
      </c>
      <c r="J85" s="12" t="e">
        <f>IF(K85=0,0,#REF!)</f>
        <v>#REF!</v>
      </c>
      <c r="K85" s="2" t="e">
        <f>#REF!</f>
        <v>#REF!</v>
      </c>
      <c r="L85" s="12" t="e">
        <f>IF(M85=0,0,#REF!)</f>
        <v>#REF!</v>
      </c>
      <c r="M85" s="2" t="e">
        <f>#REF!</f>
        <v>#REF!</v>
      </c>
      <c r="N85" s="61"/>
      <c r="O85" s="61"/>
    </row>
    <row r="86" spans="3:15" x14ac:dyDescent="0.35">
      <c r="C86" s="1" t="s">
        <v>295</v>
      </c>
      <c r="D86" s="14" t="s">
        <v>296</v>
      </c>
      <c r="E86" s="2">
        <v>6598</v>
      </c>
      <c r="F86" s="3">
        <v>204518</v>
      </c>
      <c r="G86" s="3" t="s">
        <v>297</v>
      </c>
      <c r="H86" s="12" t="e">
        <f>IF(I86=0,0,#REF!)</f>
        <v>#REF!</v>
      </c>
      <c r="I86" s="2" t="e">
        <f>#REF!</f>
        <v>#REF!</v>
      </c>
      <c r="J86" s="12" t="e">
        <f>IF(K86=0,0,#REF!)</f>
        <v>#REF!</v>
      </c>
      <c r="K86" s="2" t="e">
        <f>#REF!</f>
        <v>#REF!</v>
      </c>
      <c r="L86" s="12" t="e">
        <f>IF(M86=0,0,#REF!)</f>
        <v>#REF!</v>
      </c>
      <c r="M86" s="2" t="e">
        <f>#REF!</f>
        <v>#REF!</v>
      </c>
      <c r="N86" s="61"/>
      <c r="O86" s="61"/>
    </row>
    <row r="87" spans="3:15" x14ac:dyDescent="0.35">
      <c r="C87" s="1" t="s">
        <v>299</v>
      </c>
      <c r="D87" s="14" t="s">
        <v>300</v>
      </c>
      <c r="E87" s="2">
        <v>6599</v>
      </c>
      <c r="F87" s="3">
        <v>204518</v>
      </c>
      <c r="G87" s="3" t="s">
        <v>301</v>
      </c>
      <c r="H87" s="12" t="e">
        <f>IF(I87=0,0,#REF!)</f>
        <v>#REF!</v>
      </c>
      <c r="I87" s="2" t="e">
        <f>#REF!</f>
        <v>#REF!</v>
      </c>
      <c r="J87" s="12" t="e">
        <f>IF(K87=0,0,#REF!)</f>
        <v>#REF!</v>
      </c>
      <c r="K87" s="2" t="e">
        <f>#REF!</f>
        <v>#REF!</v>
      </c>
      <c r="L87" s="12" t="e">
        <f>IF(M87=0,0,#REF!)</f>
        <v>#REF!</v>
      </c>
      <c r="M87" s="2" t="e">
        <f>#REF!</f>
        <v>#REF!</v>
      </c>
      <c r="N87" s="61"/>
      <c r="O87" s="61"/>
    </row>
    <row r="88" spans="3:15" x14ac:dyDescent="0.35">
      <c r="C88" s="1" t="s">
        <v>302</v>
      </c>
      <c r="D88" s="14" t="s">
        <v>303</v>
      </c>
      <c r="E88" s="2">
        <v>6600</v>
      </c>
      <c r="F88" s="3">
        <v>204517</v>
      </c>
      <c r="G88" s="3" t="s">
        <v>304</v>
      </c>
      <c r="H88" s="12" t="e">
        <f>IF(I88=0,0,#REF!)</f>
        <v>#REF!</v>
      </c>
      <c r="I88" s="2" t="e">
        <f>#REF!</f>
        <v>#REF!</v>
      </c>
      <c r="J88" s="12" t="e">
        <f>IF(K88=0,0,#REF!)</f>
        <v>#REF!</v>
      </c>
      <c r="K88" s="2" t="e">
        <f>#REF!</f>
        <v>#REF!</v>
      </c>
      <c r="L88" s="12" t="e">
        <f>IF(M88=0,0,#REF!)</f>
        <v>#REF!</v>
      </c>
      <c r="M88" s="2" t="e">
        <f>#REF!</f>
        <v>#REF!</v>
      </c>
      <c r="N88" s="61"/>
      <c r="O88" s="61"/>
    </row>
    <row r="89" spans="3:15" x14ac:dyDescent="0.35">
      <c r="C89" s="1" t="s">
        <v>306</v>
      </c>
      <c r="D89" s="14" t="s">
        <v>307</v>
      </c>
      <c r="E89" s="2">
        <v>6601</v>
      </c>
      <c r="F89" s="3" t="s">
        <v>308</v>
      </c>
      <c r="G89" s="3" t="s">
        <v>309</v>
      </c>
      <c r="H89" s="12" t="e">
        <f>IF(I89=0,0,#REF!)</f>
        <v>#REF!</v>
      </c>
      <c r="I89" s="2" t="e">
        <f>#REF!</f>
        <v>#REF!</v>
      </c>
      <c r="J89" s="12" t="e">
        <f>IF(K89=0,0,#REF!)</f>
        <v>#REF!</v>
      </c>
      <c r="K89" s="2" t="e">
        <f>#REF!</f>
        <v>#REF!</v>
      </c>
      <c r="L89" s="12" t="e">
        <f>IF(M89=0,0,#REF!)</f>
        <v>#REF!</v>
      </c>
      <c r="M89" s="2" t="e">
        <f>#REF!</f>
        <v>#REF!</v>
      </c>
      <c r="N89" s="61"/>
      <c r="O89" s="61"/>
    </row>
    <row r="90" spans="3:15" x14ac:dyDescent="0.35">
      <c r="C90" s="1" t="s">
        <v>311</v>
      </c>
      <c r="D90" s="14" t="s">
        <v>312</v>
      </c>
      <c r="E90" s="2">
        <v>6602</v>
      </c>
      <c r="F90" s="3">
        <v>204884</v>
      </c>
      <c r="G90" s="3" t="s">
        <v>313</v>
      </c>
      <c r="H90" s="12" t="e">
        <f>IF(I90=0,0,#REF!)</f>
        <v>#REF!</v>
      </c>
      <c r="I90" s="2" t="e">
        <f>#REF!</f>
        <v>#REF!</v>
      </c>
      <c r="J90" s="12" t="e">
        <f>IF(K90=0,0,#REF!)</f>
        <v>#REF!</v>
      </c>
      <c r="K90" s="2" t="e">
        <f>#REF!</f>
        <v>#REF!</v>
      </c>
      <c r="L90" s="12" t="e">
        <f>IF(M90=0,0,#REF!)</f>
        <v>#REF!</v>
      </c>
      <c r="M90" s="2" t="e">
        <f>#REF!</f>
        <v>#REF!</v>
      </c>
      <c r="N90" s="61"/>
      <c r="O90" s="61"/>
    </row>
    <row r="91" spans="3:15" x14ac:dyDescent="0.35">
      <c r="C91" s="1" t="s">
        <v>315</v>
      </c>
      <c r="D91" s="14" t="s">
        <v>316</v>
      </c>
      <c r="E91" s="2">
        <v>6603</v>
      </c>
      <c r="F91" s="3" t="s">
        <v>929</v>
      </c>
      <c r="G91" s="3" t="s">
        <v>317</v>
      </c>
      <c r="H91" s="12" t="e">
        <f>IF(I91=0,0,#REF!)</f>
        <v>#REF!</v>
      </c>
      <c r="I91" s="2" t="e">
        <f>#REF!</f>
        <v>#REF!</v>
      </c>
      <c r="J91" s="12" t="e">
        <f>IF(K91=0,0,#REF!)</f>
        <v>#REF!</v>
      </c>
      <c r="K91" s="2" t="e">
        <f>#REF!</f>
        <v>#REF!</v>
      </c>
      <c r="L91" s="12" t="e">
        <f>IF(M91=0,0,#REF!)</f>
        <v>#REF!</v>
      </c>
      <c r="M91" s="2" t="e">
        <f>#REF!</f>
        <v>#REF!</v>
      </c>
      <c r="N91" s="61"/>
      <c r="O91" s="61"/>
    </row>
    <row r="92" spans="3:15" x14ac:dyDescent="0.35">
      <c r="C92" s="1" t="s">
        <v>315</v>
      </c>
      <c r="D92" s="14" t="s">
        <v>316</v>
      </c>
      <c r="E92" s="2">
        <v>6603</v>
      </c>
      <c r="F92" s="3" t="s">
        <v>929</v>
      </c>
      <c r="G92" s="3" t="s">
        <v>318</v>
      </c>
      <c r="H92" s="12" t="e">
        <f>IF(I92=0,0,#REF!)</f>
        <v>#REF!</v>
      </c>
      <c r="I92" s="2" t="e">
        <f>#REF!</f>
        <v>#REF!</v>
      </c>
      <c r="J92" s="12" t="e">
        <f>IF(K92=0,0,#REF!)</f>
        <v>#REF!</v>
      </c>
      <c r="K92" s="2" t="e">
        <f>#REF!</f>
        <v>#REF!</v>
      </c>
      <c r="L92" s="12" t="e">
        <f>IF(M92=0,0,#REF!)</f>
        <v>#REF!</v>
      </c>
      <c r="M92" s="2" t="e">
        <f>#REF!</f>
        <v>#REF!</v>
      </c>
      <c r="N92" s="61"/>
      <c r="O92" s="61"/>
    </row>
    <row r="93" spans="3:15" x14ac:dyDescent="0.35">
      <c r="C93" s="1" t="s">
        <v>315</v>
      </c>
      <c r="D93" s="14" t="s">
        <v>316</v>
      </c>
      <c r="E93" s="2">
        <v>6603</v>
      </c>
      <c r="F93" s="3" t="s">
        <v>929</v>
      </c>
      <c r="G93" s="3" t="s">
        <v>319</v>
      </c>
      <c r="H93" s="12" t="e">
        <f>IF(I93=0,0,#REF!)</f>
        <v>#REF!</v>
      </c>
      <c r="I93" s="2" t="e">
        <f>#REF!</f>
        <v>#REF!</v>
      </c>
      <c r="J93" s="12" t="e">
        <f>IF(K93=0,0,#REF!)</f>
        <v>#REF!</v>
      </c>
      <c r="K93" s="2" t="e">
        <f>#REF!</f>
        <v>#REF!</v>
      </c>
      <c r="L93" s="12" t="e">
        <f>IF(M93=0,0,#REF!)</f>
        <v>#REF!</v>
      </c>
      <c r="M93" s="2" t="e">
        <f>#REF!</f>
        <v>#REF!</v>
      </c>
      <c r="N93" s="61"/>
      <c r="O93" s="61"/>
    </row>
    <row r="94" spans="3:15" x14ac:dyDescent="0.35">
      <c r="C94" s="1" t="s">
        <v>315</v>
      </c>
      <c r="D94" s="14" t="s">
        <v>316</v>
      </c>
      <c r="E94" s="2">
        <v>6603</v>
      </c>
      <c r="F94" s="3" t="s">
        <v>929</v>
      </c>
      <c r="G94" s="3" t="s">
        <v>320</v>
      </c>
      <c r="H94" s="12" t="e">
        <f>IF(I94=0,0,#REF!)</f>
        <v>#REF!</v>
      </c>
      <c r="I94" s="2" t="e">
        <f>#REF!</f>
        <v>#REF!</v>
      </c>
      <c r="J94" s="12" t="e">
        <f>IF(K94=0,0,#REF!)</f>
        <v>#REF!</v>
      </c>
      <c r="K94" s="2" t="e">
        <f>#REF!</f>
        <v>#REF!</v>
      </c>
      <c r="L94" s="12" t="e">
        <f>IF(M94=0,0,#REF!)</f>
        <v>#REF!</v>
      </c>
      <c r="M94" s="2" t="e">
        <f>#REF!</f>
        <v>#REF!</v>
      </c>
      <c r="N94" s="61"/>
      <c r="O94" s="61"/>
    </row>
    <row r="95" spans="3:15" x14ac:dyDescent="0.35">
      <c r="C95" s="1" t="s">
        <v>315</v>
      </c>
      <c r="D95" s="14" t="s">
        <v>316</v>
      </c>
      <c r="E95" s="2">
        <v>6603</v>
      </c>
      <c r="F95" s="3" t="s">
        <v>929</v>
      </c>
      <c r="G95" s="3" t="s">
        <v>321</v>
      </c>
      <c r="H95" s="12" t="e">
        <f>IF(I95=0,0,#REF!)</f>
        <v>#REF!</v>
      </c>
      <c r="I95" s="2" t="e">
        <f>#REF!</f>
        <v>#REF!</v>
      </c>
      <c r="J95" s="12" t="e">
        <f>IF(K95=0,0,#REF!)</f>
        <v>#REF!</v>
      </c>
      <c r="K95" s="2" t="e">
        <f>#REF!</f>
        <v>#REF!</v>
      </c>
      <c r="L95" s="12" t="e">
        <f>IF(M95=0,0,#REF!)</f>
        <v>#REF!</v>
      </c>
      <c r="M95" s="2" t="e">
        <f>#REF!</f>
        <v>#REF!</v>
      </c>
      <c r="N95" s="61"/>
      <c r="O95" s="61"/>
    </row>
    <row r="96" spans="3:15" x14ac:dyDescent="0.35">
      <c r="C96" s="1" t="s">
        <v>323</v>
      </c>
      <c r="D96" s="14" t="s">
        <v>324</v>
      </c>
      <c r="E96" s="2">
        <v>6606</v>
      </c>
      <c r="F96" s="3">
        <v>208141</v>
      </c>
      <c r="G96" s="3" t="s">
        <v>325</v>
      </c>
      <c r="H96" s="12" t="e">
        <f>IF(I96=0,0,#REF!)</f>
        <v>#REF!</v>
      </c>
      <c r="I96" s="2" t="e">
        <f>#REF!</f>
        <v>#REF!</v>
      </c>
      <c r="J96" s="12" t="e">
        <f>IF(K96=0,0,#REF!)</f>
        <v>#REF!</v>
      </c>
      <c r="K96" s="2" t="e">
        <f>#REF!</f>
        <v>#REF!</v>
      </c>
      <c r="L96" s="12" t="e">
        <f>IF(M96=0,0,#REF!)</f>
        <v>#REF!</v>
      </c>
      <c r="M96" s="2" t="e">
        <f>#REF!</f>
        <v>#REF!</v>
      </c>
      <c r="N96" s="61"/>
      <c r="O96" s="61"/>
    </row>
    <row r="97" spans="3:15" x14ac:dyDescent="0.35">
      <c r="C97" s="1" t="s">
        <v>328</v>
      </c>
      <c r="D97" s="14" t="s">
        <v>329</v>
      </c>
      <c r="E97" s="2">
        <v>6610</v>
      </c>
      <c r="F97" s="3">
        <v>204587</v>
      </c>
      <c r="G97" s="3" t="s">
        <v>330</v>
      </c>
      <c r="H97" s="12" t="e">
        <f>IF(I97=0,0,#REF!)</f>
        <v>#REF!</v>
      </c>
      <c r="I97" s="2" t="e">
        <f>#REF!</f>
        <v>#REF!</v>
      </c>
      <c r="J97" s="12" t="e">
        <f>IF(K97=0,0,#REF!)</f>
        <v>#REF!</v>
      </c>
      <c r="K97" s="2" t="e">
        <f>#REF!</f>
        <v>#REF!</v>
      </c>
      <c r="L97" s="12" t="e">
        <f>IF(M97=0,0,#REF!)</f>
        <v>#REF!</v>
      </c>
      <c r="M97" s="2" t="e">
        <f>#REF!</f>
        <v>#REF!</v>
      </c>
      <c r="N97" s="61"/>
      <c r="O97" s="61"/>
    </row>
    <row r="98" spans="3:15" x14ac:dyDescent="0.35">
      <c r="C98" s="1" t="s">
        <v>331</v>
      </c>
      <c r="D98" s="14" t="s">
        <v>332</v>
      </c>
      <c r="E98" s="2">
        <v>6616</v>
      </c>
      <c r="F98" s="3">
        <v>214087</v>
      </c>
      <c r="G98" s="3" t="s">
        <v>333</v>
      </c>
      <c r="H98" s="12" t="e">
        <f>IF(I98=0,0,#REF!)</f>
        <v>#REF!</v>
      </c>
      <c r="I98" s="2" t="e">
        <f>#REF!</f>
        <v>#REF!</v>
      </c>
      <c r="J98" s="12" t="e">
        <f>IF(K98=0,0,#REF!)</f>
        <v>#REF!</v>
      </c>
      <c r="K98" s="2" t="e">
        <f>#REF!</f>
        <v>#REF!</v>
      </c>
      <c r="L98" s="12" t="e">
        <f>IF(M98=0,0,#REF!)</f>
        <v>#REF!</v>
      </c>
      <c r="M98" s="2" t="e">
        <f>#REF!</f>
        <v>#REF!</v>
      </c>
      <c r="N98" s="61"/>
      <c r="O98" s="61"/>
    </row>
    <row r="99" spans="3:15" x14ac:dyDescent="0.35">
      <c r="C99" s="1" t="s">
        <v>335</v>
      </c>
      <c r="D99" s="14" t="s">
        <v>336</v>
      </c>
      <c r="E99" s="2">
        <v>6617</v>
      </c>
      <c r="F99" s="3">
        <v>204531</v>
      </c>
      <c r="G99" s="3" t="s">
        <v>337</v>
      </c>
      <c r="H99" s="12" t="e">
        <f>IF(I99=0,0,#REF!)</f>
        <v>#REF!</v>
      </c>
      <c r="I99" s="2" t="e">
        <f>#REF!</f>
        <v>#REF!</v>
      </c>
      <c r="J99" s="12" t="e">
        <f>IF(K99=0,0,#REF!)</f>
        <v>#REF!</v>
      </c>
      <c r="K99" s="2" t="e">
        <f>#REF!</f>
        <v>#REF!</v>
      </c>
      <c r="L99" s="12" t="e">
        <f>IF(M99=0,0,#REF!)</f>
        <v>#REF!</v>
      </c>
      <c r="M99" s="2" t="e">
        <f>#REF!</f>
        <v>#REF!</v>
      </c>
      <c r="N99" s="61"/>
      <c r="O99" s="61"/>
    </row>
    <row r="100" spans="3:15" x14ac:dyDescent="0.35">
      <c r="C100" s="1" t="s">
        <v>339</v>
      </c>
      <c r="D100" s="14" t="s">
        <v>340</v>
      </c>
      <c r="E100" s="2">
        <v>6619</v>
      </c>
      <c r="F100" s="3">
        <v>205529</v>
      </c>
      <c r="G100" s="3" t="s">
        <v>341</v>
      </c>
      <c r="H100" s="12" t="e">
        <f>IF(I100=0,0,#REF!)</f>
        <v>#REF!</v>
      </c>
      <c r="I100" s="2" t="e">
        <f>#REF!</f>
        <v>#REF!</v>
      </c>
      <c r="J100" s="12" t="e">
        <f>IF(K100=0,0,#REF!)</f>
        <v>#REF!</v>
      </c>
      <c r="K100" s="2" t="e">
        <f>#REF!</f>
        <v>#REF!</v>
      </c>
      <c r="L100" s="12" t="e">
        <f>IF(M100=0,0,#REF!)</f>
        <v>#REF!</v>
      </c>
      <c r="M100" s="2" t="e">
        <f>#REF!</f>
        <v>#REF!</v>
      </c>
      <c r="N100" s="61"/>
      <c r="O100" s="61"/>
    </row>
    <row r="101" spans="3:15" x14ac:dyDescent="0.35">
      <c r="C101" s="1" t="s">
        <v>342</v>
      </c>
      <c r="D101" s="14" t="s">
        <v>343</v>
      </c>
      <c r="E101" s="2">
        <v>6620</v>
      </c>
      <c r="F101" s="3" t="s">
        <v>344</v>
      </c>
      <c r="G101" s="3" t="s">
        <v>345</v>
      </c>
      <c r="H101" s="12" t="e">
        <f>IF(I101=0,0,#REF!)</f>
        <v>#REF!</v>
      </c>
      <c r="I101" s="2" t="e">
        <f>#REF!</f>
        <v>#REF!</v>
      </c>
      <c r="J101" s="12" t="e">
        <f>IF(K101=0,0,#REF!)</f>
        <v>#REF!</v>
      </c>
      <c r="K101" s="2" t="e">
        <f>#REF!</f>
        <v>#REF!</v>
      </c>
      <c r="L101" s="12" t="e">
        <f>IF(M101=0,0,#REF!)</f>
        <v>#REF!</v>
      </c>
      <c r="M101" s="2" t="e">
        <f>#REF!</f>
        <v>#REF!</v>
      </c>
      <c r="N101" s="61"/>
      <c r="O101" s="61"/>
    </row>
    <row r="102" spans="3:15" x14ac:dyDescent="0.35">
      <c r="C102" s="1" t="s">
        <v>346</v>
      </c>
      <c r="D102" s="14" t="s">
        <v>347</v>
      </c>
      <c r="E102" s="2">
        <v>6621</v>
      </c>
      <c r="F102" s="3">
        <v>206218</v>
      </c>
      <c r="G102" s="3" t="s">
        <v>348</v>
      </c>
      <c r="H102" s="12" t="e">
        <f>IF(I102=0,0,#REF!)</f>
        <v>#REF!</v>
      </c>
      <c r="I102" s="2" t="e">
        <f>#REF!</f>
        <v>#REF!</v>
      </c>
      <c r="J102" s="12" t="e">
        <f>IF(K102=0,0,#REF!)</f>
        <v>#REF!</v>
      </c>
      <c r="K102" s="2" t="e">
        <f>#REF!</f>
        <v>#REF!</v>
      </c>
      <c r="L102" s="12" t="e">
        <f>IF(M102=0,0,#REF!)</f>
        <v>#REF!</v>
      </c>
      <c r="M102" s="2" t="e">
        <f>#REF!</f>
        <v>#REF!</v>
      </c>
      <c r="N102" s="61"/>
      <c r="O102" s="61"/>
    </row>
    <row r="103" spans="3:15" x14ac:dyDescent="0.35">
      <c r="C103" s="1" t="s">
        <v>350</v>
      </c>
      <c r="D103" s="14" t="s">
        <v>351</v>
      </c>
      <c r="E103" s="2">
        <v>6623</v>
      </c>
      <c r="F103" s="3" t="s">
        <v>930</v>
      </c>
      <c r="G103" s="3" t="s">
        <v>352</v>
      </c>
      <c r="H103" s="12" t="e">
        <f>IF(I103=0,0,#REF!)</f>
        <v>#REF!</v>
      </c>
      <c r="I103" s="2" t="e">
        <f>#REF!</f>
        <v>#REF!</v>
      </c>
      <c r="J103" s="12" t="e">
        <f>IF(K103=0,0,#REF!)</f>
        <v>#REF!</v>
      </c>
      <c r="K103" s="2" t="e">
        <f>#REF!</f>
        <v>#REF!</v>
      </c>
      <c r="L103" s="12" t="e">
        <f>IF(M103=0,0,#REF!)</f>
        <v>#REF!</v>
      </c>
      <c r="M103" s="2" t="e">
        <f>#REF!</f>
        <v>#REF!</v>
      </c>
      <c r="N103" s="61"/>
      <c r="O103" s="61"/>
    </row>
    <row r="104" spans="3:15" x14ac:dyDescent="0.35">
      <c r="C104" s="1" t="s">
        <v>350</v>
      </c>
      <c r="D104" s="14" t="s">
        <v>351</v>
      </c>
      <c r="E104" s="2">
        <v>6623</v>
      </c>
      <c r="F104" s="3"/>
      <c r="G104" s="3" t="s">
        <v>931</v>
      </c>
      <c r="H104" s="12" t="e">
        <f>IF(I104=0,0,#REF!)</f>
        <v>#REF!</v>
      </c>
      <c r="I104" s="2" t="e">
        <f>#REF!</f>
        <v>#REF!</v>
      </c>
      <c r="J104" s="12" t="e">
        <f>IF(K104=0,0,#REF!)</f>
        <v>#REF!</v>
      </c>
      <c r="K104" s="2" t="e">
        <f>#REF!</f>
        <v>#REF!</v>
      </c>
      <c r="L104" s="12" t="e">
        <f>IF(M104=0,0,#REF!)</f>
        <v>#REF!</v>
      </c>
      <c r="M104" s="2" t="e">
        <f>#REF!</f>
        <v>#REF!</v>
      </c>
      <c r="N104" s="61"/>
      <c r="O104" s="61"/>
    </row>
    <row r="105" spans="3:15" x14ac:dyDescent="0.35">
      <c r="C105" s="1" t="s">
        <v>354</v>
      </c>
      <c r="D105" s="14" t="s">
        <v>355</v>
      </c>
      <c r="E105" s="2">
        <v>6626</v>
      </c>
      <c r="F105" s="3">
        <v>204545</v>
      </c>
      <c r="G105" s="3" t="s">
        <v>356</v>
      </c>
      <c r="H105" s="12" t="e">
        <f>IF(I105=0,0,#REF!)</f>
        <v>#REF!</v>
      </c>
      <c r="I105" s="2" t="e">
        <f>#REF!</f>
        <v>#REF!</v>
      </c>
      <c r="J105" s="12" t="e">
        <f>IF(K105=0,0,#REF!)</f>
        <v>#REF!</v>
      </c>
      <c r="K105" s="2" t="e">
        <f>#REF!</f>
        <v>#REF!</v>
      </c>
      <c r="L105" s="12" t="e">
        <f>IF(M105=0,0,#REF!)</f>
        <v>#REF!</v>
      </c>
      <c r="M105" s="2" t="e">
        <f>#REF!</f>
        <v>#REF!</v>
      </c>
      <c r="N105" s="61"/>
      <c r="O105" s="61"/>
    </row>
    <row r="106" spans="3:15" x14ac:dyDescent="0.35">
      <c r="C106" s="1" t="s">
        <v>358</v>
      </c>
      <c r="D106" s="14" t="s">
        <v>359</v>
      </c>
      <c r="E106" s="2">
        <v>6627</v>
      </c>
      <c r="F106" s="3">
        <v>204515</v>
      </c>
      <c r="G106" s="3" t="s">
        <v>360</v>
      </c>
      <c r="H106" s="12" t="e">
        <f>IF(I106=0,0,#REF!)</f>
        <v>#REF!</v>
      </c>
      <c r="I106" s="2" t="e">
        <f>#REF!</f>
        <v>#REF!</v>
      </c>
      <c r="J106" s="12" t="e">
        <f>IF(K106=0,0,#REF!)</f>
        <v>#REF!</v>
      </c>
      <c r="K106" s="2" t="e">
        <f>#REF!</f>
        <v>#REF!</v>
      </c>
      <c r="L106" s="12" t="e">
        <f>IF(M106=0,0,#REF!)</f>
        <v>#REF!</v>
      </c>
      <c r="M106" s="2" t="e">
        <f>#REF!</f>
        <v>#REF!</v>
      </c>
      <c r="N106" s="61"/>
      <c r="O106" s="61"/>
    </row>
    <row r="107" spans="3:15" x14ac:dyDescent="0.35">
      <c r="C107" s="1" t="s">
        <v>362</v>
      </c>
      <c r="D107" s="14" t="s">
        <v>363</v>
      </c>
      <c r="E107" s="2">
        <v>6628</v>
      </c>
      <c r="F107" s="3">
        <v>206108</v>
      </c>
      <c r="G107" s="3" t="s">
        <v>364</v>
      </c>
      <c r="H107" s="12" t="e">
        <f>IF(I107=0,0,#REF!)</f>
        <v>#REF!</v>
      </c>
      <c r="I107" s="2" t="e">
        <f>#REF!</f>
        <v>#REF!</v>
      </c>
      <c r="J107" s="12" t="e">
        <f>IF(K107=0,0,#REF!)</f>
        <v>#REF!</v>
      </c>
      <c r="K107" s="2" t="e">
        <f>#REF!</f>
        <v>#REF!</v>
      </c>
      <c r="L107" s="12" t="e">
        <f>IF(M107=0,0,#REF!)</f>
        <v>#REF!</v>
      </c>
      <c r="M107" s="2" t="e">
        <f>#REF!</f>
        <v>#REF!</v>
      </c>
      <c r="N107" s="61"/>
      <c r="O107" s="61"/>
    </row>
    <row r="108" spans="3:15" x14ac:dyDescent="0.35">
      <c r="C108" s="1" t="s">
        <v>362</v>
      </c>
      <c r="D108" s="14" t="s">
        <v>363</v>
      </c>
      <c r="E108" s="2">
        <v>6628</v>
      </c>
      <c r="F108" s="3">
        <v>206109</v>
      </c>
      <c r="G108" s="3" t="s">
        <v>366</v>
      </c>
      <c r="H108" s="12" t="e">
        <f>IF(I108=0,0,#REF!)</f>
        <v>#REF!</v>
      </c>
      <c r="I108" s="2" t="e">
        <f>#REF!</f>
        <v>#REF!</v>
      </c>
      <c r="J108" s="12" t="e">
        <f>IF(K108=0,0,#REF!)</f>
        <v>#REF!</v>
      </c>
      <c r="K108" s="2" t="e">
        <f>#REF!</f>
        <v>#REF!</v>
      </c>
      <c r="L108" s="12" t="e">
        <f>IF(M108=0,0,#REF!)</f>
        <v>#REF!</v>
      </c>
      <c r="M108" s="2" t="e">
        <f>#REF!</f>
        <v>#REF!</v>
      </c>
      <c r="N108" s="61"/>
      <c r="O108" s="61"/>
    </row>
    <row r="109" spans="3:15" x14ac:dyDescent="0.35">
      <c r="C109" s="1" t="s">
        <v>362</v>
      </c>
      <c r="D109" s="14" t="s">
        <v>363</v>
      </c>
      <c r="E109" s="2">
        <v>6628</v>
      </c>
      <c r="F109" s="3">
        <v>206110</v>
      </c>
      <c r="G109" s="3" t="s">
        <v>367</v>
      </c>
      <c r="H109" s="12" t="e">
        <f>IF(I109=0,0,#REF!)</f>
        <v>#REF!</v>
      </c>
      <c r="I109" s="2" t="e">
        <f>#REF!</f>
        <v>#REF!</v>
      </c>
      <c r="J109" s="12" t="e">
        <f>IF(K109=0,0,#REF!)</f>
        <v>#REF!</v>
      </c>
      <c r="K109" s="2" t="e">
        <f>#REF!</f>
        <v>#REF!</v>
      </c>
      <c r="L109" s="12" t="e">
        <f>IF(M109=0,0,#REF!)</f>
        <v>#REF!</v>
      </c>
      <c r="M109" s="2" t="e">
        <f>#REF!</f>
        <v>#REF!</v>
      </c>
      <c r="N109" s="61"/>
      <c r="O109" s="61"/>
    </row>
    <row r="110" spans="3:15" x14ac:dyDescent="0.35">
      <c r="C110" s="1" t="s">
        <v>369</v>
      </c>
      <c r="D110" s="14" t="s">
        <v>370</v>
      </c>
      <c r="E110" s="2">
        <v>6629</v>
      </c>
      <c r="F110" s="3">
        <v>206755</v>
      </c>
      <c r="G110" s="3" t="s">
        <v>371</v>
      </c>
      <c r="H110" s="12" t="e">
        <f>IF(I110=0,0,#REF!)</f>
        <v>#REF!</v>
      </c>
      <c r="I110" s="2" t="e">
        <f>#REF!</f>
        <v>#REF!</v>
      </c>
      <c r="J110" s="12" t="e">
        <f>IF(K110=0,0,#REF!)</f>
        <v>#REF!</v>
      </c>
      <c r="K110" s="2" t="e">
        <f>#REF!</f>
        <v>#REF!</v>
      </c>
      <c r="L110" s="12" t="e">
        <f>IF(M110=0,0,#REF!)</f>
        <v>#REF!</v>
      </c>
      <c r="M110" s="2" t="e">
        <f>#REF!</f>
        <v>#REF!</v>
      </c>
      <c r="N110" s="61"/>
      <c r="O110" s="61"/>
    </row>
    <row r="111" spans="3:15" x14ac:dyDescent="0.35">
      <c r="C111" s="1" t="s">
        <v>373</v>
      </c>
      <c r="D111" s="14" t="s">
        <v>374</v>
      </c>
      <c r="E111" s="2">
        <v>6632</v>
      </c>
      <c r="F111" s="3">
        <v>206286</v>
      </c>
      <c r="G111" s="3" t="s">
        <v>375</v>
      </c>
      <c r="H111" s="12" t="e">
        <f>IF(I111=0,0,#REF!)</f>
        <v>#REF!</v>
      </c>
      <c r="I111" s="2" t="e">
        <f>#REF!</f>
        <v>#REF!</v>
      </c>
      <c r="J111" s="12" t="e">
        <f>IF(K111=0,0,#REF!)</f>
        <v>#REF!</v>
      </c>
      <c r="K111" s="2" t="e">
        <f>#REF!</f>
        <v>#REF!</v>
      </c>
      <c r="L111" s="12" t="e">
        <f>IF(M111=0,0,#REF!)</f>
        <v>#REF!</v>
      </c>
      <c r="M111" s="2" t="e">
        <f>#REF!</f>
        <v>#REF!</v>
      </c>
      <c r="N111" s="61"/>
      <c r="O111" s="61"/>
    </row>
    <row r="112" spans="3:15" x14ac:dyDescent="0.35">
      <c r="C112" s="1" t="s">
        <v>376</v>
      </c>
      <c r="D112" s="14" t="s">
        <v>377</v>
      </c>
      <c r="E112" s="2">
        <v>6633</v>
      </c>
      <c r="F112" s="3">
        <v>204533</v>
      </c>
      <c r="G112" s="3" t="s">
        <v>378</v>
      </c>
      <c r="H112" s="12" t="e">
        <f>IF(I112=0,0,#REF!)</f>
        <v>#REF!</v>
      </c>
      <c r="I112" s="2" t="e">
        <f>#REF!</f>
        <v>#REF!</v>
      </c>
      <c r="J112" s="12" t="e">
        <f>IF(K112=0,0,#REF!)</f>
        <v>#REF!</v>
      </c>
      <c r="K112" s="2" t="e">
        <f>#REF!</f>
        <v>#REF!</v>
      </c>
      <c r="L112" s="12" t="e">
        <f>IF(M112=0,0,#REF!)</f>
        <v>#REF!</v>
      </c>
      <c r="M112" s="2" t="e">
        <f>#REF!</f>
        <v>#REF!</v>
      </c>
      <c r="N112" s="61"/>
      <c r="O112" s="61"/>
    </row>
    <row r="113" spans="3:15" x14ac:dyDescent="0.35">
      <c r="C113" s="1" t="s">
        <v>380</v>
      </c>
      <c r="D113" s="14" t="s">
        <v>381</v>
      </c>
      <c r="E113" s="2">
        <v>6636</v>
      </c>
      <c r="F113" s="3">
        <v>204588</v>
      </c>
      <c r="G113" s="3" t="s">
        <v>382</v>
      </c>
      <c r="H113" s="12" t="e">
        <f>IF(I113=0,0,#REF!)</f>
        <v>#REF!</v>
      </c>
      <c r="I113" s="2" t="e">
        <f>#REF!</f>
        <v>#REF!</v>
      </c>
      <c r="J113" s="12" t="e">
        <f>IF(K113=0,0,#REF!)</f>
        <v>#REF!</v>
      </c>
      <c r="K113" s="2" t="e">
        <f>#REF!</f>
        <v>#REF!</v>
      </c>
      <c r="L113" s="12" t="e">
        <f>IF(M113=0,0,#REF!)</f>
        <v>#REF!</v>
      </c>
      <c r="M113" s="2" t="e">
        <f>#REF!</f>
        <v>#REF!</v>
      </c>
      <c r="N113" s="61"/>
      <c r="O113" s="61"/>
    </row>
    <row r="114" spans="3:15" x14ac:dyDescent="0.35">
      <c r="C114" s="1" t="s">
        <v>384</v>
      </c>
      <c r="D114" s="14" t="s">
        <v>385</v>
      </c>
      <c r="E114" s="2">
        <v>6638</v>
      </c>
      <c r="F114" s="3">
        <v>204631</v>
      </c>
      <c r="G114" s="3" t="s">
        <v>386</v>
      </c>
      <c r="H114" s="12" t="e">
        <f>IF(I114=0,0,#REF!)</f>
        <v>#REF!</v>
      </c>
      <c r="I114" s="2" t="e">
        <f>#REF!</f>
        <v>#REF!</v>
      </c>
      <c r="J114" s="12" t="e">
        <f>IF(K114=0,0,#REF!)</f>
        <v>#REF!</v>
      </c>
      <c r="K114" s="2" t="e">
        <f>#REF!</f>
        <v>#REF!</v>
      </c>
      <c r="L114" s="12" t="e">
        <f>IF(M114=0,0,#REF!)</f>
        <v>#REF!</v>
      </c>
      <c r="M114" s="2" t="e">
        <f>#REF!</f>
        <v>#REF!</v>
      </c>
      <c r="N114" s="61"/>
      <c r="O114" s="61"/>
    </row>
    <row r="115" spans="3:15" x14ac:dyDescent="0.35">
      <c r="C115" s="1" t="s">
        <v>388</v>
      </c>
      <c r="D115" s="14" t="s">
        <v>389</v>
      </c>
      <c r="E115" s="2" t="s">
        <v>390</v>
      </c>
      <c r="F115" s="3">
        <v>243073</v>
      </c>
      <c r="G115" s="3" t="s">
        <v>391</v>
      </c>
      <c r="H115" s="12" t="e">
        <f>IF(I115=0,0,#REF!)</f>
        <v>#REF!</v>
      </c>
      <c r="I115" s="2" t="e">
        <f>#REF!</f>
        <v>#REF!</v>
      </c>
      <c r="J115" s="12" t="e">
        <f>IF(K115=0,0,#REF!)</f>
        <v>#REF!</v>
      </c>
      <c r="K115" s="2" t="e">
        <f>#REF!</f>
        <v>#REF!</v>
      </c>
      <c r="L115" s="12" t="e">
        <f>IF(M115=0,0,#REF!)</f>
        <v>#REF!</v>
      </c>
      <c r="M115" s="2" t="e">
        <f>#REF!</f>
        <v>#REF!</v>
      </c>
      <c r="N115" s="61"/>
      <c r="O115" s="61"/>
    </row>
    <row r="116" spans="3:15" x14ac:dyDescent="0.35">
      <c r="C116" s="1" t="s">
        <v>388</v>
      </c>
      <c r="D116" s="14" t="s">
        <v>389</v>
      </c>
      <c r="E116" s="2" t="s">
        <v>61</v>
      </c>
      <c r="F116" s="3">
        <v>243073</v>
      </c>
      <c r="G116" s="3" t="s">
        <v>391</v>
      </c>
      <c r="H116" s="12" t="e">
        <f>IF(I116=0,0,#REF!)</f>
        <v>#REF!</v>
      </c>
      <c r="I116" s="2" t="e">
        <f>#REF!</f>
        <v>#REF!</v>
      </c>
      <c r="J116" s="12" t="e">
        <f>IF(K116=0,0,#REF!)</f>
        <v>#REF!</v>
      </c>
      <c r="K116" s="2" t="e">
        <f>#REF!</f>
        <v>#REF!</v>
      </c>
      <c r="L116" s="12" t="e">
        <f>IF(M116=0,0,#REF!)</f>
        <v>#REF!</v>
      </c>
      <c r="M116" s="2" t="e">
        <f>#REF!</f>
        <v>#REF!</v>
      </c>
      <c r="N116" s="61"/>
      <c r="O116" s="61"/>
    </row>
    <row r="117" spans="3:15" x14ac:dyDescent="0.35">
      <c r="C117" s="1" t="s">
        <v>393</v>
      </c>
      <c r="D117" s="14" t="s">
        <v>394</v>
      </c>
      <c r="E117" s="2">
        <v>6649</v>
      </c>
      <c r="F117" s="3" t="s">
        <v>395</v>
      </c>
      <c r="G117" s="3" t="s">
        <v>396</v>
      </c>
      <c r="H117" s="12" t="e">
        <f>IF(I117=0,0,#REF!)</f>
        <v>#REF!</v>
      </c>
      <c r="I117" s="2" t="e">
        <f>#REF!</f>
        <v>#REF!</v>
      </c>
      <c r="J117" s="12" t="e">
        <f>IF(K117=0,0,#REF!)</f>
        <v>#REF!</v>
      </c>
      <c r="K117" s="2" t="e">
        <f>#REF!</f>
        <v>#REF!</v>
      </c>
      <c r="L117" s="12" t="e">
        <f>IF(M117=0,0,#REF!)</f>
        <v>#REF!</v>
      </c>
      <c r="M117" s="2" t="e">
        <f>#REF!</f>
        <v>#REF!</v>
      </c>
      <c r="N117" s="61"/>
      <c r="O117" s="61"/>
    </row>
    <row r="118" spans="3:15" x14ac:dyDescent="0.35">
      <c r="C118" s="1" t="s">
        <v>397</v>
      </c>
      <c r="D118" s="14" t="s">
        <v>398</v>
      </c>
      <c r="E118" s="2">
        <v>6652</v>
      </c>
      <c r="F118" s="3">
        <v>204578</v>
      </c>
      <c r="G118" s="3" t="s">
        <v>399</v>
      </c>
      <c r="H118" s="12" t="e">
        <f>IF(I118=0,0,#REF!)</f>
        <v>#REF!</v>
      </c>
      <c r="I118" s="2" t="e">
        <f>#REF!</f>
        <v>#REF!</v>
      </c>
      <c r="J118" s="12" t="e">
        <f>IF(K118=0,0,#REF!)</f>
        <v>#REF!</v>
      </c>
      <c r="K118" s="2" t="e">
        <f>#REF!</f>
        <v>#REF!</v>
      </c>
      <c r="L118" s="12" t="e">
        <f>IF(M118=0,0,#REF!)</f>
        <v>#REF!</v>
      </c>
      <c r="M118" s="2" t="e">
        <f>#REF!</f>
        <v>#REF!</v>
      </c>
      <c r="N118" s="61"/>
      <c r="O118" s="61"/>
    </row>
    <row r="119" spans="3:15" x14ac:dyDescent="0.35">
      <c r="C119" s="1" t="s">
        <v>401</v>
      </c>
      <c r="D119" s="14" t="s">
        <v>402</v>
      </c>
      <c r="E119" s="2">
        <v>6660</v>
      </c>
      <c r="F119" s="3">
        <v>204583</v>
      </c>
      <c r="G119" s="3" t="s">
        <v>403</v>
      </c>
      <c r="H119" s="12" t="e">
        <f>IF(I119=0,0,#REF!)</f>
        <v>#REF!</v>
      </c>
      <c r="I119" s="2" t="e">
        <f>#REF!</f>
        <v>#REF!</v>
      </c>
      <c r="J119" s="12" t="e">
        <f>IF(K119=0,0,#REF!)</f>
        <v>#REF!</v>
      </c>
      <c r="K119" s="2" t="e">
        <f>#REF!</f>
        <v>#REF!</v>
      </c>
      <c r="L119" s="12" t="e">
        <f>IF(M119=0,0,#REF!)</f>
        <v>#REF!</v>
      </c>
      <c r="M119" s="2" t="e">
        <f>#REF!</f>
        <v>#REF!</v>
      </c>
      <c r="N119" s="61"/>
      <c r="O119" s="61"/>
    </row>
    <row r="120" spans="3:15" x14ac:dyDescent="0.35">
      <c r="C120" s="1" t="s">
        <v>405</v>
      </c>
      <c r="D120" s="14" t="s">
        <v>406</v>
      </c>
      <c r="E120" s="2">
        <v>6664</v>
      </c>
      <c r="F120" s="3">
        <v>204583</v>
      </c>
      <c r="G120" s="3" t="s">
        <v>407</v>
      </c>
      <c r="H120" s="12" t="e">
        <f>IF(I120=0,0,#REF!)</f>
        <v>#REF!</v>
      </c>
      <c r="I120" s="2" t="e">
        <f>#REF!</f>
        <v>#REF!</v>
      </c>
      <c r="J120" s="12" t="e">
        <f>IF(K120=0,0,#REF!)</f>
        <v>#REF!</v>
      </c>
      <c r="K120" s="2" t="e">
        <f>#REF!</f>
        <v>#REF!</v>
      </c>
      <c r="L120" s="12" t="e">
        <f>IF(M120=0,0,#REF!)</f>
        <v>#REF!</v>
      </c>
      <c r="M120" s="2" t="e">
        <f>#REF!</f>
        <v>#REF!</v>
      </c>
      <c r="N120" s="61"/>
      <c r="O120" s="61"/>
    </row>
    <row r="121" spans="3:15" x14ac:dyDescent="0.35">
      <c r="C121" s="1" t="s">
        <v>409</v>
      </c>
      <c r="D121" s="14" t="s">
        <v>410</v>
      </c>
      <c r="E121" s="2">
        <v>6685</v>
      </c>
      <c r="F121" s="3">
        <v>204583</v>
      </c>
      <c r="G121" s="3" t="s">
        <v>411</v>
      </c>
      <c r="H121" s="12" t="e">
        <f>IF(I121=0,0,#REF!)</f>
        <v>#REF!</v>
      </c>
      <c r="I121" s="2" t="e">
        <f>#REF!</f>
        <v>#REF!</v>
      </c>
      <c r="J121" s="12" t="e">
        <f>IF(K121=0,0,#REF!)</f>
        <v>#REF!</v>
      </c>
      <c r="K121" s="2" t="e">
        <f>#REF!</f>
        <v>#REF!</v>
      </c>
      <c r="L121" s="12" t="e">
        <f>IF(M121=0,0,#REF!)</f>
        <v>#REF!</v>
      </c>
      <c r="M121" s="2" t="e">
        <f>#REF!</f>
        <v>#REF!</v>
      </c>
      <c r="N121" s="61"/>
      <c r="O121" s="61"/>
    </row>
    <row r="122" spans="3:15" x14ac:dyDescent="0.35">
      <c r="C122" s="1" t="s">
        <v>412</v>
      </c>
      <c r="D122" s="14" t="s">
        <v>413</v>
      </c>
      <c r="E122" s="2">
        <v>6686</v>
      </c>
      <c r="F122" s="3">
        <v>204593</v>
      </c>
      <c r="G122" s="3" t="s">
        <v>414</v>
      </c>
      <c r="H122" s="12" t="e">
        <f>IF(I122=0,0,#REF!)</f>
        <v>#REF!</v>
      </c>
      <c r="I122" s="2" t="e">
        <f>#REF!</f>
        <v>#REF!</v>
      </c>
      <c r="J122" s="12" t="e">
        <f>IF(K122=0,0,#REF!)</f>
        <v>#REF!</v>
      </c>
      <c r="K122" s="2" t="e">
        <f>#REF!</f>
        <v>#REF!</v>
      </c>
      <c r="L122" s="12" t="e">
        <f>IF(M122=0,0,#REF!)</f>
        <v>#REF!</v>
      </c>
      <c r="M122" s="2" t="e">
        <f>#REF!</f>
        <v>#REF!</v>
      </c>
      <c r="N122" s="61"/>
      <c r="O122" s="61"/>
    </row>
    <row r="123" spans="3:15" x14ac:dyDescent="0.35">
      <c r="C123" s="1" t="s">
        <v>416</v>
      </c>
      <c r="D123" s="14" t="s">
        <v>417</v>
      </c>
      <c r="E123" s="2">
        <v>6687</v>
      </c>
      <c r="F123" s="3">
        <v>204570</v>
      </c>
      <c r="G123" s="3" t="s">
        <v>418</v>
      </c>
      <c r="H123" s="12" t="e">
        <f>IF(I123=0,0,#REF!)</f>
        <v>#REF!</v>
      </c>
      <c r="I123" s="2" t="e">
        <f>#REF!</f>
        <v>#REF!</v>
      </c>
      <c r="J123" s="12" t="e">
        <f>IF(K123=0,0,#REF!)</f>
        <v>#REF!</v>
      </c>
      <c r="K123" s="2" t="e">
        <f>#REF!</f>
        <v>#REF!</v>
      </c>
      <c r="L123" s="12" t="e">
        <f>IF(M123=0,0,#REF!)</f>
        <v>#REF!</v>
      </c>
      <c r="M123" s="2" t="e">
        <f>#REF!</f>
        <v>#REF!</v>
      </c>
      <c r="N123" s="61"/>
      <c r="O123" s="61"/>
    </row>
    <row r="124" spans="3:15" x14ac:dyDescent="0.35">
      <c r="C124" s="1" t="s">
        <v>420</v>
      </c>
      <c r="D124" s="14" t="s">
        <v>421</v>
      </c>
      <c r="E124" s="2">
        <v>6688</v>
      </c>
      <c r="F124" s="3" t="s">
        <v>932</v>
      </c>
      <c r="G124" s="3" t="s">
        <v>422</v>
      </c>
      <c r="H124" s="12" t="e">
        <f>IF(I124=0,0,#REF!)</f>
        <v>#REF!</v>
      </c>
      <c r="I124" s="2" t="e">
        <f>#REF!</f>
        <v>#REF!</v>
      </c>
      <c r="J124" s="12" t="e">
        <f>IF(K124=0,0,#REF!)</f>
        <v>#REF!</v>
      </c>
      <c r="K124" s="2" t="e">
        <f>#REF!</f>
        <v>#REF!</v>
      </c>
      <c r="L124" s="12" t="e">
        <f>IF(M124=0,0,#REF!)</f>
        <v>#REF!</v>
      </c>
      <c r="M124" s="2" t="e">
        <f>#REF!</f>
        <v>#REF!</v>
      </c>
      <c r="N124" s="61"/>
      <c r="O124" s="61"/>
    </row>
    <row r="125" spans="3:15" x14ac:dyDescent="0.35">
      <c r="C125" s="1" t="s">
        <v>424</v>
      </c>
      <c r="D125" s="14" t="s">
        <v>425</v>
      </c>
      <c r="E125" s="2">
        <v>6692</v>
      </c>
      <c r="F125" s="3">
        <v>204942</v>
      </c>
      <c r="G125" s="3" t="s">
        <v>426</v>
      </c>
      <c r="H125" s="12" t="e">
        <f>IF(I125=0,0,#REF!)</f>
        <v>#REF!</v>
      </c>
      <c r="I125" s="2" t="e">
        <f>#REF!</f>
        <v>#REF!</v>
      </c>
      <c r="J125" s="12" t="e">
        <f>IF(K125=0,0,#REF!)</f>
        <v>#REF!</v>
      </c>
      <c r="K125" s="2" t="e">
        <f>#REF!</f>
        <v>#REF!</v>
      </c>
      <c r="L125" s="12" t="e">
        <f>IF(M125=0,0,#REF!)</f>
        <v>#REF!</v>
      </c>
      <c r="M125" s="2" t="e">
        <f>#REF!</f>
        <v>#REF!</v>
      </c>
      <c r="N125" s="61"/>
      <c r="O125" s="61"/>
    </row>
    <row r="126" spans="3:15" x14ac:dyDescent="0.35">
      <c r="C126" s="1" t="s">
        <v>427</v>
      </c>
      <c r="D126" s="14" t="s">
        <v>428</v>
      </c>
      <c r="E126" s="2">
        <v>6693</v>
      </c>
      <c r="F126" s="3">
        <v>208499</v>
      </c>
      <c r="G126" s="3" t="s">
        <v>429</v>
      </c>
      <c r="H126" s="12" t="e">
        <f>IF(I126=0,0,#REF!)</f>
        <v>#REF!</v>
      </c>
      <c r="I126" s="2" t="e">
        <f>#REF!</f>
        <v>#REF!</v>
      </c>
      <c r="J126" s="12" t="e">
        <f>IF(K126=0,0,#REF!)</f>
        <v>#REF!</v>
      </c>
      <c r="K126" s="2" t="e">
        <f>#REF!</f>
        <v>#REF!</v>
      </c>
      <c r="L126" s="12" t="e">
        <f>IF(M126=0,0,#REF!)</f>
        <v>#REF!</v>
      </c>
      <c r="M126" s="2" t="e">
        <f>#REF!</f>
        <v>#REF!</v>
      </c>
      <c r="N126" s="61"/>
      <c r="O126" s="61"/>
    </row>
    <row r="127" spans="3:15" x14ac:dyDescent="0.35">
      <c r="C127" s="1" t="s">
        <v>431</v>
      </c>
      <c r="D127" s="14" t="s">
        <v>432</v>
      </c>
      <c r="E127" s="2">
        <v>6694</v>
      </c>
      <c r="F127" s="3" t="s">
        <v>932</v>
      </c>
      <c r="G127" s="3" t="s">
        <v>433</v>
      </c>
      <c r="H127" s="12" t="e">
        <f>IF(I127=0,0,#REF!)</f>
        <v>#REF!</v>
      </c>
      <c r="I127" s="2" t="e">
        <f>#REF!</f>
        <v>#REF!</v>
      </c>
      <c r="J127" s="12" t="e">
        <f>IF(K127=0,0,#REF!)</f>
        <v>#REF!</v>
      </c>
      <c r="K127" s="2" t="e">
        <f>#REF!</f>
        <v>#REF!</v>
      </c>
      <c r="L127" s="12" t="e">
        <f>IF(M127=0,0,#REF!)</f>
        <v>#REF!</v>
      </c>
      <c r="M127" s="2" t="e">
        <f>#REF!</f>
        <v>#REF!</v>
      </c>
      <c r="N127" s="61"/>
      <c r="O127" s="61"/>
    </row>
    <row r="128" spans="3:15" x14ac:dyDescent="0.35">
      <c r="C128" s="1" t="s">
        <v>434</v>
      </c>
      <c r="D128" s="14" t="s">
        <v>435</v>
      </c>
      <c r="E128" s="2">
        <v>6696</v>
      </c>
      <c r="F128" s="3">
        <v>204637</v>
      </c>
      <c r="G128" s="3" t="s">
        <v>436</v>
      </c>
      <c r="H128" s="12" t="e">
        <f>IF(I128=0,0,#REF!)</f>
        <v>#REF!</v>
      </c>
      <c r="I128" s="2" t="e">
        <f>#REF!</f>
        <v>#REF!</v>
      </c>
      <c r="J128" s="12" t="e">
        <f>IF(K128=0,0,#REF!)</f>
        <v>#REF!</v>
      </c>
      <c r="K128" s="2" t="e">
        <f>#REF!</f>
        <v>#REF!</v>
      </c>
      <c r="L128" s="12" t="e">
        <f>IF(M128=0,0,#REF!)</f>
        <v>#REF!</v>
      </c>
      <c r="M128" s="2" t="e">
        <f>#REF!</f>
        <v>#REF!</v>
      </c>
      <c r="N128" s="61"/>
      <c r="O128" s="61"/>
    </row>
    <row r="129" spans="3:15" x14ac:dyDescent="0.35">
      <c r="C129" s="1" t="s">
        <v>437</v>
      </c>
      <c r="D129" s="14" t="s">
        <v>438</v>
      </c>
      <c r="E129" s="2">
        <v>6699</v>
      </c>
      <c r="F129" s="3" t="s">
        <v>932</v>
      </c>
      <c r="G129" s="3" t="s">
        <v>439</v>
      </c>
      <c r="H129" s="12" t="e">
        <f>IF(I129=0,0,#REF!)</f>
        <v>#REF!</v>
      </c>
      <c r="I129" s="2" t="e">
        <f>#REF!</f>
        <v>#REF!</v>
      </c>
      <c r="J129" s="12" t="e">
        <f>IF(K129=0,0,#REF!)</f>
        <v>#REF!</v>
      </c>
      <c r="K129" s="2" t="e">
        <f>#REF!</f>
        <v>#REF!</v>
      </c>
      <c r="L129" s="12" t="e">
        <f>IF(M129=0,0,#REF!)</f>
        <v>#REF!</v>
      </c>
      <c r="M129" s="2" t="e">
        <f>#REF!</f>
        <v>#REF!</v>
      </c>
      <c r="N129" s="61"/>
      <c r="O129" s="61"/>
    </row>
    <row r="130" spans="3:15" x14ac:dyDescent="0.35">
      <c r="C130" s="1" t="s">
        <v>440</v>
      </c>
      <c r="D130" s="14" t="s">
        <v>441</v>
      </c>
      <c r="E130" s="2">
        <v>6700</v>
      </c>
      <c r="F130" s="3" t="s">
        <v>932</v>
      </c>
      <c r="G130" s="3" t="s">
        <v>442</v>
      </c>
      <c r="H130" s="12" t="e">
        <f>IF(I130=0,0,#REF!)</f>
        <v>#REF!</v>
      </c>
      <c r="I130" s="2" t="e">
        <f>#REF!</f>
        <v>#REF!</v>
      </c>
      <c r="J130" s="12" t="e">
        <f>IF(K130=0,0,#REF!)</f>
        <v>#REF!</v>
      </c>
      <c r="K130" s="2" t="e">
        <f>#REF!</f>
        <v>#REF!</v>
      </c>
      <c r="L130" s="12" t="e">
        <f>IF(M130=0,0,#REF!)</f>
        <v>#REF!</v>
      </c>
      <c r="M130" s="2" t="e">
        <f>#REF!</f>
        <v>#REF!</v>
      </c>
      <c r="N130" s="61"/>
      <c r="O130" s="61"/>
    </row>
    <row r="131" spans="3:15" x14ac:dyDescent="0.35">
      <c r="C131" s="1" t="s">
        <v>443</v>
      </c>
      <c r="D131" s="14" t="s">
        <v>444</v>
      </c>
      <c r="E131" s="2">
        <v>6701</v>
      </c>
      <c r="F131" s="3">
        <v>204603</v>
      </c>
      <c r="G131" s="3" t="s">
        <v>445</v>
      </c>
      <c r="H131" s="12" t="e">
        <f>IF(I131=0,0,#REF!)</f>
        <v>#REF!</v>
      </c>
      <c r="I131" s="2" t="e">
        <f>#REF!</f>
        <v>#REF!</v>
      </c>
      <c r="J131" s="12" t="e">
        <f>IF(K131=0,0,#REF!)</f>
        <v>#REF!</v>
      </c>
      <c r="K131" s="2" t="e">
        <f>#REF!</f>
        <v>#REF!</v>
      </c>
      <c r="L131" s="12" t="e">
        <f>IF(M131=0,0,#REF!)</f>
        <v>#REF!</v>
      </c>
      <c r="M131" s="2" t="e">
        <f>#REF!</f>
        <v>#REF!</v>
      </c>
      <c r="N131" s="61"/>
      <c r="O131" s="61"/>
    </row>
    <row r="132" spans="3:15" x14ac:dyDescent="0.35">
      <c r="C132" s="1" t="s">
        <v>447</v>
      </c>
      <c r="D132" s="14" t="s">
        <v>448</v>
      </c>
      <c r="E132" s="2">
        <v>6711</v>
      </c>
      <c r="F132" s="3">
        <v>204551</v>
      </c>
      <c r="G132" s="3" t="s">
        <v>450</v>
      </c>
      <c r="H132" s="12" t="e">
        <f>IF(I132=0,0,#REF!)</f>
        <v>#REF!</v>
      </c>
      <c r="I132" s="2" t="e">
        <f>#REF!</f>
        <v>#REF!</v>
      </c>
      <c r="J132" s="12" t="e">
        <f>IF(K132=0,0,#REF!)</f>
        <v>#REF!</v>
      </c>
      <c r="K132" s="2" t="e">
        <f>#REF!</f>
        <v>#REF!</v>
      </c>
      <c r="L132" s="12" t="e">
        <f>IF(M132=0,0,#REF!)</f>
        <v>#REF!</v>
      </c>
      <c r="M132" s="2" t="e">
        <f>#REF!</f>
        <v>#REF!</v>
      </c>
      <c r="N132" s="61"/>
      <c r="O132" s="61"/>
    </row>
    <row r="133" spans="3:15" x14ac:dyDescent="0.35">
      <c r="C133" s="1" t="s">
        <v>451</v>
      </c>
      <c r="D133" s="14" t="s">
        <v>452</v>
      </c>
      <c r="E133" s="2">
        <v>6714</v>
      </c>
      <c r="F133" s="3">
        <v>204634</v>
      </c>
      <c r="G133" s="3" t="s">
        <v>453</v>
      </c>
      <c r="H133" s="12" t="e">
        <f>IF(I133=0,0,#REF!)</f>
        <v>#REF!</v>
      </c>
      <c r="I133" s="2" t="e">
        <f>#REF!</f>
        <v>#REF!</v>
      </c>
      <c r="J133" s="12" t="e">
        <f>IF(K133=0,0,#REF!)</f>
        <v>#REF!</v>
      </c>
      <c r="K133" s="2" t="e">
        <f>#REF!</f>
        <v>#REF!</v>
      </c>
      <c r="L133" s="12" t="e">
        <f>IF(M133=0,0,#REF!)</f>
        <v>#REF!</v>
      </c>
      <c r="M133" s="2" t="e">
        <f>#REF!</f>
        <v>#REF!</v>
      </c>
      <c r="N133" s="61"/>
      <c r="O133" s="61"/>
    </row>
    <row r="134" spans="3:15" x14ac:dyDescent="0.35">
      <c r="C134" s="1" t="s">
        <v>455</v>
      </c>
      <c r="D134" s="14" t="s">
        <v>456</v>
      </c>
      <c r="E134" s="2">
        <v>6715</v>
      </c>
      <c r="F134" s="3"/>
      <c r="G134" s="3" t="s">
        <v>458</v>
      </c>
      <c r="H134" s="12" t="e">
        <f>IF(I134=0,0,#REF!)</f>
        <v>#REF!</v>
      </c>
      <c r="I134" s="2" t="e">
        <f>#REF!</f>
        <v>#REF!</v>
      </c>
      <c r="J134" s="12" t="e">
        <f>IF(K134=0,0,#REF!)</f>
        <v>#REF!</v>
      </c>
      <c r="K134" s="2" t="e">
        <f>#REF!</f>
        <v>#REF!</v>
      </c>
      <c r="L134" s="12" t="e">
        <f>IF(M134=0,0,#REF!)</f>
        <v>#REF!</v>
      </c>
      <c r="M134" s="2" t="e">
        <f>#REF!</f>
        <v>#REF!</v>
      </c>
      <c r="N134" s="61"/>
      <c r="O134" s="61"/>
    </row>
    <row r="135" spans="3:15" x14ac:dyDescent="0.35">
      <c r="C135" s="1" t="s">
        <v>460</v>
      </c>
      <c r="D135" s="14" t="s">
        <v>461</v>
      </c>
      <c r="E135" s="2">
        <v>6716</v>
      </c>
      <c r="F135" s="3">
        <v>204550</v>
      </c>
      <c r="G135" s="3" t="s">
        <v>462</v>
      </c>
      <c r="H135" s="12" t="e">
        <f>IF(I135=0,0,#REF!)</f>
        <v>#REF!</v>
      </c>
      <c r="I135" s="2" t="e">
        <f>#REF!</f>
        <v>#REF!</v>
      </c>
      <c r="J135" s="12" t="e">
        <f>IF(K135=0,0,#REF!)</f>
        <v>#REF!</v>
      </c>
      <c r="K135" s="2" t="e">
        <f>#REF!</f>
        <v>#REF!</v>
      </c>
      <c r="L135" s="12" t="e">
        <f>IF(M135=0,0,#REF!)</f>
        <v>#REF!</v>
      </c>
      <c r="M135" s="2" t="e">
        <f>#REF!</f>
        <v>#REF!</v>
      </c>
      <c r="N135" s="61"/>
      <c r="O135" s="61"/>
    </row>
    <row r="136" spans="3:15" x14ac:dyDescent="0.35">
      <c r="C136" s="1" t="s">
        <v>464</v>
      </c>
      <c r="D136" s="14" t="s">
        <v>465</v>
      </c>
      <c r="E136" s="2">
        <v>6717</v>
      </c>
      <c r="F136" s="3" t="s">
        <v>932</v>
      </c>
      <c r="G136" s="3" t="s">
        <v>466</v>
      </c>
      <c r="H136" s="12" t="e">
        <f>IF(I136=0,0,#REF!)</f>
        <v>#REF!</v>
      </c>
      <c r="I136" s="2" t="e">
        <f>#REF!</f>
        <v>#REF!</v>
      </c>
      <c r="J136" s="12" t="e">
        <f>IF(K136=0,0,#REF!)</f>
        <v>#REF!</v>
      </c>
      <c r="K136" s="2" t="e">
        <f>#REF!</f>
        <v>#REF!</v>
      </c>
      <c r="L136" s="12" t="e">
        <f>IF(M136=0,0,#REF!)</f>
        <v>#REF!</v>
      </c>
      <c r="M136" s="2" t="e">
        <f>#REF!</f>
        <v>#REF!</v>
      </c>
      <c r="N136" s="61"/>
      <c r="O136" s="61"/>
    </row>
    <row r="137" spans="3:15" x14ac:dyDescent="0.35">
      <c r="C137" s="1" t="s">
        <v>467</v>
      </c>
      <c r="D137" s="14" t="s">
        <v>468</v>
      </c>
      <c r="E137" s="2">
        <v>6718</v>
      </c>
      <c r="F137" s="3">
        <v>204525</v>
      </c>
      <c r="G137" s="3" t="s">
        <v>469</v>
      </c>
      <c r="H137" s="12" t="e">
        <f>IF(I137=0,0,#REF!)</f>
        <v>#REF!</v>
      </c>
      <c r="I137" s="2" t="e">
        <f>#REF!</f>
        <v>#REF!</v>
      </c>
      <c r="J137" s="12" t="e">
        <f>IF(K137=0,0,#REF!)</f>
        <v>#REF!</v>
      </c>
      <c r="K137" s="2" t="e">
        <f>#REF!</f>
        <v>#REF!</v>
      </c>
      <c r="L137" s="12" t="e">
        <f>IF(M137=0,0,#REF!)</f>
        <v>#REF!</v>
      </c>
      <c r="M137" s="2" t="e">
        <f>#REF!</f>
        <v>#REF!</v>
      </c>
      <c r="N137" s="61"/>
      <c r="O137" s="61"/>
    </row>
    <row r="138" spans="3:15" x14ac:dyDescent="0.35">
      <c r="C138" s="1" t="s">
        <v>470</v>
      </c>
      <c r="D138" s="14" t="s">
        <v>471</v>
      </c>
      <c r="E138" s="2">
        <v>6719</v>
      </c>
      <c r="F138" s="3">
        <v>204512</v>
      </c>
      <c r="G138" s="3" t="s">
        <v>472</v>
      </c>
      <c r="H138" s="12" t="e">
        <f>IF(I138=0,0,#REF!)</f>
        <v>#REF!</v>
      </c>
      <c r="I138" s="2" t="e">
        <f>#REF!</f>
        <v>#REF!</v>
      </c>
      <c r="J138" s="12" t="e">
        <f>IF(K138=0,0,#REF!)</f>
        <v>#REF!</v>
      </c>
      <c r="K138" s="2" t="e">
        <f>#REF!</f>
        <v>#REF!</v>
      </c>
      <c r="L138" s="12" t="e">
        <f>IF(M138=0,0,#REF!)</f>
        <v>#REF!</v>
      </c>
      <c r="M138" s="2" t="e">
        <f>#REF!</f>
        <v>#REF!</v>
      </c>
      <c r="N138" s="61"/>
      <c r="O138" s="61"/>
    </row>
    <row r="139" spans="3:15" x14ac:dyDescent="0.35">
      <c r="C139" s="1" t="s">
        <v>473</v>
      </c>
      <c r="D139" s="14" t="s">
        <v>474</v>
      </c>
      <c r="E139" s="2">
        <v>6759</v>
      </c>
      <c r="F139" s="3" t="s">
        <v>932</v>
      </c>
      <c r="G139" s="3" t="s">
        <v>475</v>
      </c>
      <c r="H139" s="12" t="e">
        <f>IF(I139=0,0,#REF!)</f>
        <v>#REF!</v>
      </c>
      <c r="I139" s="2" t="e">
        <f>#REF!</f>
        <v>#REF!</v>
      </c>
      <c r="J139" s="12" t="e">
        <f>IF(K139=0,0,#REF!)</f>
        <v>#REF!</v>
      </c>
      <c r="K139" s="2" t="e">
        <f>#REF!</f>
        <v>#REF!</v>
      </c>
      <c r="L139" s="12" t="e">
        <f>IF(M139=0,0,#REF!)</f>
        <v>#REF!</v>
      </c>
      <c r="M139" s="2" t="e">
        <f>#REF!</f>
        <v>#REF!</v>
      </c>
      <c r="N139" s="61"/>
      <c r="O139" s="61"/>
    </row>
    <row r="140" spans="3:15" x14ac:dyDescent="0.35">
      <c r="C140" s="1" t="s">
        <v>476</v>
      </c>
      <c r="D140" s="14" t="s">
        <v>477</v>
      </c>
      <c r="E140" s="2">
        <v>6760</v>
      </c>
      <c r="F140" s="3" t="s">
        <v>932</v>
      </c>
      <c r="G140" s="3" t="s">
        <v>478</v>
      </c>
      <c r="H140" s="12" t="e">
        <f>IF(I140=0,0,#REF!)</f>
        <v>#REF!</v>
      </c>
      <c r="I140" s="2" t="e">
        <f>#REF!</f>
        <v>#REF!</v>
      </c>
      <c r="J140" s="12" t="e">
        <f>IF(K140=0,0,#REF!)</f>
        <v>#REF!</v>
      </c>
      <c r="K140" s="2" t="e">
        <f>#REF!</f>
        <v>#REF!</v>
      </c>
      <c r="L140" s="12" t="e">
        <f>IF(M140=0,0,#REF!)</f>
        <v>#REF!</v>
      </c>
      <c r="M140" s="2" t="e">
        <f>#REF!</f>
        <v>#REF!</v>
      </c>
      <c r="N140" s="61"/>
      <c r="O140" s="61"/>
    </row>
    <row r="141" spans="3:15" x14ac:dyDescent="0.35">
      <c r="C141" s="1" t="s">
        <v>479</v>
      </c>
      <c r="D141" s="14" t="s">
        <v>480</v>
      </c>
      <c r="E141" s="2">
        <v>6761</v>
      </c>
      <c r="F141" s="3" t="s">
        <v>481</v>
      </c>
      <c r="G141" s="3" t="s">
        <v>482</v>
      </c>
      <c r="H141" s="12" t="e">
        <f>IF(I141=0,0,#REF!)</f>
        <v>#REF!</v>
      </c>
      <c r="I141" s="2" t="e">
        <f>#REF!</f>
        <v>#REF!</v>
      </c>
      <c r="J141" s="12" t="e">
        <f>IF(K141=0,0,#REF!)</f>
        <v>#REF!</v>
      </c>
      <c r="K141" s="2" t="e">
        <f>#REF!</f>
        <v>#REF!</v>
      </c>
      <c r="L141" s="12" t="e">
        <f>IF(M141=0,0,#REF!)</f>
        <v>#REF!</v>
      </c>
      <c r="M141" s="2" t="e">
        <f>#REF!</f>
        <v>#REF!</v>
      </c>
      <c r="N141" s="61"/>
      <c r="O141" s="61"/>
    </row>
    <row r="142" spans="3:15" x14ac:dyDescent="0.35">
      <c r="C142" s="1" t="s">
        <v>483</v>
      </c>
      <c r="D142" s="14" t="s">
        <v>484</v>
      </c>
      <c r="E142" s="2">
        <v>6762</v>
      </c>
      <c r="F142" s="3">
        <v>204779</v>
      </c>
      <c r="G142" s="3" t="s">
        <v>933</v>
      </c>
      <c r="H142" s="12" t="e">
        <f>IF(I142=0,0,#REF!)</f>
        <v>#REF!</v>
      </c>
      <c r="I142" s="2" t="e">
        <f>#REF!</f>
        <v>#REF!</v>
      </c>
      <c r="J142" s="12" t="e">
        <f>IF(K142=0,0,#REF!)</f>
        <v>#REF!</v>
      </c>
      <c r="K142" s="2" t="e">
        <f>#REF!</f>
        <v>#REF!</v>
      </c>
      <c r="L142" s="12" t="e">
        <f>IF(M142=0,0,#REF!)</f>
        <v>#REF!</v>
      </c>
      <c r="M142" s="2" t="e">
        <f>#REF!</f>
        <v>#REF!</v>
      </c>
      <c r="N142" s="61"/>
      <c r="O142" s="61"/>
    </row>
    <row r="143" spans="3:15" x14ac:dyDescent="0.35">
      <c r="C143" s="1" t="s">
        <v>487</v>
      </c>
      <c r="D143" s="14" t="s">
        <v>488</v>
      </c>
      <c r="E143" s="2">
        <v>6763</v>
      </c>
      <c r="F143" s="3">
        <v>205762</v>
      </c>
      <c r="G143" s="3" t="s">
        <v>489</v>
      </c>
      <c r="H143" s="12" t="e">
        <f>IF(I143=0,0,#REF!)</f>
        <v>#REF!</v>
      </c>
      <c r="I143" s="2" t="e">
        <f>#REF!</f>
        <v>#REF!</v>
      </c>
      <c r="J143" s="12" t="e">
        <f>IF(K143=0,0,#REF!)</f>
        <v>#REF!</v>
      </c>
      <c r="K143" s="2" t="e">
        <f>#REF!</f>
        <v>#REF!</v>
      </c>
      <c r="L143" s="12" t="e">
        <f>IF(M143=0,0,#REF!)</f>
        <v>#REF!</v>
      </c>
      <c r="M143" s="2" t="e">
        <f>#REF!</f>
        <v>#REF!</v>
      </c>
      <c r="N143" s="61"/>
      <c r="O143" s="61"/>
    </row>
    <row r="144" spans="3:15" x14ac:dyDescent="0.35">
      <c r="C144" s="1" t="s">
        <v>487</v>
      </c>
      <c r="D144" s="14" t="s">
        <v>488</v>
      </c>
      <c r="E144" s="2">
        <v>6763</v>
      </c>
      <c r="F144" s="3">
        <v>205764</v>
      </c>
      <c r="G144" s="3" t="s">
        <v>490</v>
      </c>
      <c r="H144" s="12" t="e">
        <f>IF(I144=0,0,#REF!)</f>
        <v>#REF!</v>
      </c>
      <c r="I144" s="2" t="e">
        <f>#REF!</f>
        <v>#REF!</v>
      </c>
      <c r="J144" s="12" t="e">
        <f>IF(K144=0,0,#REF!)</f>
        <v>#REF!</v>
      </c>
      <c r="K144" s="2" t="e">
        <f>#REF!</f>
        <v>#REF!</v>
      </c>
      <c r="L144" s="12" t="e">
        <f>IF(M144=0,0,#REF!)</f>
        <v>#REF!</v>
      </c>
      <c r="M144" s="2" t="e">
        <f>#REF!</f>
        <v>#REF!</v>
      </c>
      <c r="N144" s="61"/>
      <c r="O144" s="61"/>
    </row>
    <row r="145" spans="3:15" x14ac:dyDescent="0.35">
      <c r="C145" s="1" t="s">
        <v>487</v>
      </c>
      <c r="D145" s="14" t="s">
        <v>488</v>
      </c>
      <c r="E145" s="2">
        <v>6763</v>
      </c>
      <c r="F145" s="3">
        <v>205763</v>
      </c>
      <c r="G145" s="3" t="s">
        <v>492</v>
      </c>
      <c r="H145" s="12" t="e">
        <f>IF(I145=0,0,#REF!)</f>
        <v>#REF!</v>
      </c>
      <c r="I145" s="2" t="e">
        <f>#REF!</f>
        <v>#REF!</v>
      </c>
      <c r="J145" s="12" t="e">
        <f>IF(K145=0,0,#REF!)</f>
        <v>#REF!</v>
      </c>
      <c r="K145" s="2" t="e">
        <f>#REF!</f>
        <v>#REF!</v>
      </c>
      <c r="L145" s="12" t="e">
        <f>IF(M145=0,0,#REF!)</f>
        <v>#REF!</v>
      </c>
      <c r="M145" s="2" t="e">
        <f>#REF!</f>
        <v>#REF!</v>
      </c>
      <c r="N145" s="61"/>
      <c r="O145" s="61"/>
    </row>
    <row r="146" spans="3:15" x14ac:dyDescent="0.35">
      <c r="C146" s="1" t="s">
        <v>494</v>
      </c>
      <c r="D146" s="14" t="s">
        <v>495</v>
      </c>
      <c r="E146" s="2">
        <v>6764</v>
      </c>
      <c r="F146" s="3" t="s">
        <v>932</v>
      </c>
      <c r="G146" s="3" t="s">
        <v>496</v>
      </c>
      <c r="H146" s="12" t="e">
        <f>IF(I146=0,0,#REF!)</f>
        <v>#REF!</v>
      </c>
      <c r="I146" s="2" t="e">
        <f>#REF!</f>
        <v>#REF!</v>
      </c>
      <c r="J146" s="12" t="e">
        <f>IF(K146=0,0,#REF!)</f>
        <v>#REF!</v>
      </c>
      <c r="K146" s="2" t="e">
        <f>#REF!</f>
        <v>#REF!</v>
      </c>
      <c r="L146" s="12" t="e">
        <f>IF(M146=0,0,#REF!)</f>
        <v>#REF!</v>
      </c>
      <c r="M146" s="2" t="e">
        <f>#REF!</f>
        <v>#REF!</v>
      </c>
      <c r="N146" s="61"/>
      <c r="O146" s="61"/>
    </row>
    <row r="147" spans="3:15" x14ac:dyDescent="0.35">
      <c r="C147" s="1" t="s">
        <v>497</v>
      </c>
      <c r="D147" s="14" t="s">
        <v>498</v>
      </c>
      <c r="E147" s="2">
        <v>6766</v>
      </c>
      <c r="F147" s="3" t="s">
        <v>932</v>
      </c>
      <c r="G147" s="3" t="s">
        <v>499</v>
      </c>
      <c r="H147" s="12" t="e">
        <f>IF(I147=0,0,#REF!)</f>
        <v>#REF!</v>
      </c>
      <c r="I147" s="2" t="e">
        <f>#REF!</f>
        <v>#REF!</v>
      </c>
      <c r="J147" s="12" t="e">
        <f>IF(K147=0,0,#REF!)</f>
        <v>#REF!</v>
      </c>
      <c r="K147" s="2" t="e">
        <f>#REF!</f>
        <v>#REF!</v>
      </c>
      <c r="L147" s="12" t="e">
        <f>IF(M147=0,0,#REF!)</f>
        <v>#REF!</v>
      </c>
      <c r="M147" s="2" t="e">
        <f>#REF!</f>
        <v>#REF!</v>
      </c>
      <c r="N147" s="61"/>
      <c r="O147" s="61"/>
    </row>
    <row r="148" spans="3:15" x14ac:dyDescent="0.35">
      <c r="C148" s="1"/>
      <c r="D148" s="14"/>
      <c r="E148" s="2"/>
      <c r="F148" s="3"/>
      <c r="G148" s="3"/>
      <c r="H148" s="12" t="e">
        <f>IF(I148=0,0,#REF!)</f>
        <v>#REF!</v>
      </c>
      <c r="I148" s="2" t="e">
        <f>#REF!</f>
        <v>#REF!</v>
      </c>
      <c r="J148" s="12" t="e">
        <f>IF(K148=0,0,#REF!)</f>
        <v>#REF!</v>
      </c>
      <c r="K148" s="2" t="e">
        <f>#REF!</f>
        <v>#REF!</v>
      </c>
      <c r="L148" s="12" t="e">
        <f>IF(M148=0,0,#REF!)</f>
        <v>#REF!</v>
      </c>
      <c r="M148" s="2" t="e">
        <f>#REF!</f>
        <v>#REF!</v>
      </c>
      <c r="N148" s="61"/>
      <c r="O148" s="61"/>
    </row>
    <row r="149" spans="3:15" x14ac:dyDescent="0.35">
      <c r="H149" s="12" t="e">
        <f>SUM(H6:H148)</f>
        <v>#REF!</v>
      </c>
      <c r="I149" s="62"/>
      <c r="J149" s="43" t="e">
        <f>SUM(J6:J148)</f>
        <v>#REF!</v>
      </c>
      <c r="K149" s="62"/>
      <c r="L149" s="43" t="e">
        <f>SUM(L6:L148)</f>
        <v>#REF!</v>
      </c>
      <c r="M149" s="62"/>
      <c r="N149" s="62"/>
      <c r="O149" s="62"/>
    </row>
    <row r="151" spans="3:15" x14ac:dyDescent="0.35">
      <c r="G151" s="59"/>
      <c r="H151" s="13"/>
      <c r="I151" s="64"/>
    </row>
    <row r="152" spans="3:15" x14ac:dyDescent="0.35">
      <c r="H152" s="60"/>
      <c r="I152" s="6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66A8FC2133C14CACED744F245059E0" ma:contentTypeVersion="8" ma:contentTypeDescription="Creare un nuovo documento." ma:contentTypeScope="" ma:versionID="09fab9920899ea95fcf7236ef3d75b73">
  <xsd:schema xmlns:xsd="http://www.w3.org/2001/XMLSchema" xmlns:xs="http://www.w3.org/2001/XMLSchema" xmlns:p="http://schemas.microsoft.com/office/2006/metadata/properties" xmlns:ns3="20d2ddab-9f94-4e80-a7d2-3c1987eaa5e0" xmlns:ns4="2cebb555-fb4e-4f1e-8865-227763f25189" targetNamespace="http://schemas.microsoft.com/office/2006/metadata/properties" ma:root="true" ma:fieldsID="2c1f6fc97cc6a329c33ea9e405a0d07e" ns3:_="" ns4:_="">
    <xsd:import namespace="20d2ddab-9f94-4e80-a7d2-3c1987eaa5e0"/>
    <xsd:import namespace="2cebb555-fb4e-4f1e-8865-227763f251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2ddab-9f94-4e80-a7d2-3c1987eaa5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bb555-fb4e-4f1e-8865-227763f2518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2725CD-2C7B-4A0E-A230-C49A3194CA2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E0ED97A-7C8D-4E4C-8ECD-54A8556325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685502-CC11-4142-B73A-449CD00DF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2ddab-9f94-4e80-a7d2-3c1987eaa5e0"/>
    <ds:schemaRef ds:uri="2cebb555-fb4e-4f1e-8865-227763f251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ARRIENDO 2022</vt:lpstr>
      <vt:lpstr>Hoja1</vt:lpstr>
      <vt:lpstr>ADMON 2022</vt:lpstr>
      <vt:lpstr>a-z admon</vt:lpstr>
      <vt:lpstr>Estadistica</vt:lpstr>
      <vt:lpstr>ADMON 2020</vt:lpstr>
      <vt:lpstr>CONTROL ADM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 Omar</dc:creator>
  <cp:keywords/>
  <dc:description/>
  <cp:lastModifiedBy>LOPEZ Flor</cp:lastModifiedBy>
  <cp:revision/>
  <dcterms:created xsi:type="dcterms:W3CDTF">2020-04-14T18:36:44Z</dcterms:created>
  <dcterms:modified xsi:type="dcterms:W3CDTF">2026-03-31T21:31:46Z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0x0101003566A8FC2133C14CACED744F245059E0</vt:lpwstr>
  </property>
  <property fmtid="{D5CDD505-2E9C-101B-9397-08002B2CF9AE}" pid="3" name="MSIP_Label_2e9a4386-74b9-4603-ae20-950a659f9b6e_Enabled">
    <vt:lpwstr>true</vt:lpwstr>
  </property>
  <property fmtid="{D5CDD505-2E9C-101B-9397-08002B2CF9AE}" pid="4" name="MSIP_Label_2e9a4386-74b9-4603-ae20-950a659f9b6e_SetDate">
    <vt:lpwstr>2022-03-04T16:50:04Z</vt:lpwstr>
  </property>
  <property fmtid="{D5CDD505-2E9C-101B-9397-08002B2CF9AE}" pid="5" name="MSIP_Label_2e9a4386-74b9-4603-ae20-950a659f9b6e_Method">
    <vt:lpwstr>Standard</vt:lpwstr>
  </property>
  <property fmtid="{D5CDD505-2E9C-101B-9397-08002B2CF9AE}" pid="6" name="MSIP_Label_2e9a4386-74b9-4603-ae20-950a659f9b6e_Name">
    <vt:lpwstr>Internal Use Only</vt:lpwstr>
  </property>
  <property fmtid="{D5CDD505-2E9C-101B-9397-08002B2CF9AE}" pid="7" name="MSIP_Label_2e9a4386-74b9-4603-ae20-950a659f9b6e_SiteId">
    <vt:lpwstr>c7d1a8f7-0546-4a0c-8cf5-3ddaebf97d51</vt:lpwstr>
  </property>
  <property fmtid="{D5CDD505-2E9C-101B-9397-08002B2CF9AE}" pid="8" name="MSIP_Label_2e9a4386-74b9-4603-ae20-950a659f9b6e_ActionId">
    <vt:lpwstr>c5bb4eca-c9d9-4e7e-985a-2576cb94c88b</vt:lpwstr>
  </property>
  <property fmtid="{D5CDD505-2E9C-101B-9397-08002B2CF9AE}" pid="9" name="MSIP_Label_2e9a4386-74b9-4603-ae20-950a659f9b6e_ContentBits">
    <vt:lpwstr>0</vt:lpwstr>
  </property>
</Properties>
</file>