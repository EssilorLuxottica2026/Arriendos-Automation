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lor.lopez\Documents\RETAIL\ARRIENDOS\documentos utiles\UTILIZADOS EN POSTEO\"/>
    </mc:Choice>
  </mc:AlternateContent>
  <xr:revisionPtr revIDLastSave="0" documentId="13_ncr:1_{47D4B19B-1A79-433C-A450-FB7C9B732F30}" xr6:coauthVersionLast="47" xr6:coauthVersionMax="47" xr10:uidLastSave="{00000000-0000-0000-0000-000000000000}"/>
  <bookViews>
    <workbookView xWindow="28680" yWindow="-120" windowWidth="24240" windowHeight="13020" tabRatio="715" xr2:uid="{D4F77177-F9E0-4F2A-BB0E-49FCDA490818}"/>
  </bookViews>
  <sheets>
    <sheet name="CONSOLIDADO ARRIENDOS PROY IVA" sheetId="1" r:id="rId1"/>
    <sheet name="facturas marketing junio" sheetId="5" r:id="rId2"/>
    <sheet name="MARZO" sheetId="2" r:id="rId3"/>
    <sheet name="ABRIL" sheetId="3" r:id="rId4"/>
    <sheet name="MAYO" sheetId="4" r:id="rId5"/>
    <sheet name="JUNIO" sheetId="7" r:id="rId6"/>
    <sheet name="consolidado" sheetId="6" r:id="rId7"/>
  </sheets>
  <externalReferences>
    <externalReference r:id="rId8"/>
    <externalReference r:id="rId9"/>
  </externalReferences>
  <definedNames>
    <definedName name="_xlnm._FilterDatabase" localSheetId="0" hidden="1">'CONSOLIDADO ARRIENDOS PROY IVA'!$A$1:$M$106</definedName>
    <definedName name="_xlchart.v1.0" hidden="1">MAYO!$B$29:$B$36</definedName>
    <definedName name="_xlchart.v1.1" hidden="1">MAYO!$C$28</definedName>
    <definedName name="_xlchart.v1.2" hidden="1">MAYO!$C$29:$C$36</definedName>
    <definedName name="_xlchart.v1.3" hidden="1">MAYO!$D$28</definedName>
    <definedName name="_xlchart.v1.4" hidden="1">MAYO!$D$29:$D$36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0" i="1" l="1"/>
  <c r="K30" i="1" s="1"/>
  <c r="N106" i="1"/>
  <c r="O106" i="1" s="1"/>
  <c r="I106" i="1"/>
  <c r="K106" i="1" s="1"/>
  <c r="N103" i="1"/>
  <c r="O103" i="1" s="1"/>
  <c r="I103" i="1"/>
  <c r="K103" i="1" s="1"/>
  <c r="N102" i="1"/>
  <c r="O102" i="1" s="1"/>
  <c r="I102" i="1"/>
  <c r="J102" i="1" s="1"/>
  <c r="N101" i="1"/>
  <c r="O101" i="1" s="1"/>
  <c r="I101" i="1"/>
  <c r="K101" i="1" s="1"/>
  <c r="N100" i="1"/>
  <c r="O100" i="1" s="1"/>
  <c r="K100" i="1"/>
  <c r="I100" i="1"/>
  <c r="J100" i="1" s="1"/>
  <c r="N99" i="1"/>
  <c r="O99" i="1" s="1"/>
  <c r="I99" i="1"/>
  <c r="J99" i="1" s="1"/>
  <c r="N98" i="1"/>
  <c r="O98" i="1" s="1"/>
  <c r="I98" i="1"/>
  <c r="J98" i="1" s="1"/>
  <c r="O97" i="1"/>
  <c r="N97" i="1"/>
  <c r="I97" i="1"/>
  <c r="K97" i="1" s="1"/>
  <c r="N96" i="1"/>
  <c r="O96" i="1" s="1"/>
  <c r="I96" i="1"/>
  <c r="J96" i="1" s="1"/>
  <c r="N95" i="1"/>
  <c r="O95" i="1" s="1"/>
  <c r="I95" i="1"/>
  <c r="K95" i="1" s="1"/>
  <c r="N94" i="1"/>
  <c r="O94" i="1" s="1"/>
  <c r="I94" i="1"/>
  <c r="J94" i="1" s="1"/>
  <c r="N93" i="1"/>
  <c r="O93" i="1" s="1"/>
  <c r="I93" i="1"/>
  <c r="K93" i="1" s="1"/>
  <c r="N92" i="1"/>
  <c r="O92" i="1" s="1"/>
  <c r="I92" i="1"/>
  <c r="J92" i="1" s="1"/>
  <c r="N91" i="1"/>
  <c r="O91" i="1" s="1"/>
  <c r="I91" i="1"/>
  <c r="J91" i="1" s="1"/>
  <c r="O90" i="1"/>
  <c r="N90" i="1"/>
  <c r="I90" i="1"/>
  <c r="J90" i="1" s="1"/>
  <c r="O89" i="1"/>
  <c r="N89" i="1"/>
  <c r="K89" i="1"/>
  <c r="I89" i="1"/>
  <c r="J89" i="1" s="1"/>
  <c r="N88" i="1"/>
  <c r="O88" i="1" s="1"/>
  <c r="I88" i="1"/>
  <c r="K88" i="1" s="1"/>
  <c r="N87" i="1"/>
  <c r="O87" i="1" s="1"/>
  <c r="I87" i="1"/>
  <c r="K87" i="1" s="1"/>
  <c r="N86" i="1"/>
  <c r="O86" i="1" s="1"/>
  <c r="I86" i="1"/>
  <c r="J86" i="1" s="1"/>
  <c r="O85" i="1"/>
  <c r="N85" i="1"/>
  <c r="I85" i="1"/>
  <c r="K85" i="1" s="1"/>
  <c r="N84" i="1"/>
  <c r="O84" i="1" s="1"/>
  <c r="I84" i="1"/>
  <c r="K84" i="1" s="1"/>
  <c r="N83" i="1"/>
  <c r="O83" i="1" s="1"/>
  <c r="I83" i="1"/>
  <c r="J83" i="1" s="1"/>
  <c r="N82" i="1"/>
  <c r="O82" i="1" s="1"/>
  <c r="I82" i="1"/>
  <c r="K82" i="1" s="1"/>
  <c r="N81" i="1"/>
  <c r="O81" i="1" s="1"/>
  <c r="I81" i="1"/>
  <c r="K81" i="1" s="1"/>
  <c r="N80" i="1"/>
  <c r="O80" i="1" s="1"/>
  <c r="I80" i="1"/>
  <c r="K80" i="1" s="1"/>
  <c r="N79" i="1"/>
  <c r="O79" i="1" s="1"/>
  <c r="I79" i="1"/>
  <c r="J79" i="1" s="1"/>
  <c r="N78" i="1"/>
  <c r="O78" i="1" s="1"/>
  <c r="J78" i="1"/>
  <c r="I78" i="1"/>
  <c r="K78" i="1" s="1"/>
  <c r="N77" i="1"/>
  <c r="O77" i="1" s="1"/>
  <c r="I77" i="1"/>
  <c r="K77" i="1" s="1"/>
  <c r="N76" i="1"/>
  <c r="O76" i="1" s="1"/>
  <c r="I76" i="1"/>
  <c r="J76" i="1" s="1"/>
  <c r="N75" i="1"/>
  <c r="O75" i="1" s="1"/>
  <c r="I75" i="1"/>
  <c r="J75" i="1" s="1"/>
  <c r="O74" i="1"/>
  <c r="N74" i="1"/>
  <c r="I74" i="1"/>
  <c r="J74" i="1" s="1"/>
  <c r="O73" i="1"/>
  <c r="N73" i="1"/>
  <c r="K73" i="1"/>
  <c r="I73" i="1"/>
  <c r="J73" i="1" s="1"/>
  <c r="N72" i="1"/>
  <c r="O72" i="1" s="1"/>
  <c r="I72" i="1"/>
  <c r="K72" i="1" s="1"/>
  <c r="N71" i="1"/>
  <c r="O71" i="1" s="1"/>
  <c r="I71" i="1"/>
  <c r="J71" i="1" s="1"/>
  <c r="N70" i="1"/>
  <c r="O70" i="1" s="1"/>
  <c r="J70" i="1"/>
  <c r="I70" i="1"/>
  <c r="K70" i="1" s="1"/>
  <c r="N69" i="1"/>
  <c r="O69" i="1" s="1"/>
  <c r="I69" i="1"/>
  <c r="K69" i="1" s="1"/>
  <c r="N68" i="1"/>
  <c r="O68" i="1" s="1"/>
  <c r="I68" i="1"/>
  <c r="J68" i="1" s="1"/>
  <c r="N67" i="1"/>
  <c r="O67" i="1" s="1"/>
  <c r="K67" i="1"/>
  <c r="I67" i="1"/>
  <c r="J67" i="1" s="1"/>
  <c r="O66" i="1"/>
  <c r="N66" i="1"/>
  <c r="I66" i="1"/>
  <c r="J66" i="1" s="1"/>
  <c r="N65" i="1"/>
  <c r="O65" i="1" s="1"/>
  <c r="I65" i="1"/>
  <c r="K65" i="1" s="1"/>
  <c r="N64" i="1"/>
  <c r="O64" i="1" s="1"/>
  <c r="I64" i="1"/>
  <c r="K64" i="1" s="1"/>
  <c r="N63" i="1"/>
  <c r="O63" i="1" s="1"/>
  <c r="I63" i="1"/>
  <c r="K63" i="1" s="1"/>
  <c r="N62" i="1"/>
  <c r="O62" i="1" s="1"/>
  <c r="I62" i="1"/>
  <c r="K62" i="1" s="1"/>
  <c r="N61" i="1"/>
  <c r="O61" i="1" s="1"/>
  <c r="I61" i="1"/>
  <c r="K61" i="1" s="1"/>
  <c r="N60" i="1"/>
  <c r="O60" i="1" s="1"/>
  <c r="I60" i="1"/>
  <c r="J60" i="1" s="1"/>
  <c r="N59" i="1"/>
  <c r="O59" i="1" s="1"/>
  <c r="I59" i="1"/>
  <c r="J59" i="1" s="1"/>
  <c r="O58" i="1"/>
  <c r="N58" i="1"/>
  <c r="I58" i="1"/>
  <c r="K58" i="1" s="1"/>
  <c r="N57" i="1"/>
  <c r="O57" i="1" s="1"/>
  <c r="I57" i="1"/>
  <c r="K57" i="1" s="1"/>
  <c r="N56" i="1"/>
  <c r="O56" i="1" s="1"/>
  <c r="I56" i="1"/>
  <c r="K56" i="1" s="1"/>
  <c r="N55" i="1"/>
  <c r="O55" i="1" s="1"/>
  <c r="I55" i="1"/>
  <c r="J55" i="1" s="1"/>
  <c r="N54" i="1"/>
  <c r="O54" i="1" s="1"/>
  <c r="I54" i="1"/>
  <c r="K54" i="1" s="1"/>
  <c r="O53" i="1"/>
  <c r="N53" i="1"/>
  <c r="I53" i="1"/>
  <c r="K53" i="1" s="1"/>
  <c r="N52" i="1"/>
  <c r="O52" i="1" s="1"/>
  <c r="I52" i="1"/>
  <c r="K52" i="1" s="1"/>
  <c r="N51" i="1"/>
  <c r="O51" i="1" s="1"/>
  <c r="I51" i="1"/>
  <c r="J51" i="1" s="1"/>
  <c r="N50" i="1"/>
  <c r="O50" i="1" s="1"/>
  <c r="I50" i="1"/>
  <c r="K50" i="1" s="1"/>
  <c r="N49" i="1"/>
  <c r="O49" i="1" s="1"/>
  <c r="I49" i="1"/>
  <c r="K49" i="1" s="1"/>
  <c r="N48" i="1"/>
  <c r="O48" i="1" s="1"/>
  <c r="I48" i="1"/>
  <c r="K48" i="1" s="1"/>
  <c r="N47" i="1"/>
  <c r="O47" i="1" s="1"/>
  <c r="I47" i="1"/>
  <c r="K47" i="1" s="1"/>
  <c r="N46" i="1"/>
  <c r="O46" i="1" s="1"/>
  <c r="I46" i="1"/>
  <c r="K46" i="1" s="1"/>
  <c r="N45" i="1"/>
  <c r="O45" i="1" s="1"/>
  <c r="I45" i="1"/>
  <c r="K45" i="1" s="1"/>
  <c r="N44" i="1"/>
  <c r="O44" i="1" s="1"/>
  <c r="I44" i="1"/>
  <c r="J44" i="1" s="1"/>
  <c r="N43" i="1"/>
  <c r="O43" i="1" s="1"/>
  <c r="I43" i="1"/>
  <c r="J43" i="1" s="1"/>
  <c r="O42" i="1"/>
  <c r="N42" i="1"/>
  <c r="I42" i="1"/>
  <c r="K42" i="1" s="1"/>
  <c r="O41" i="1"/>
  <c r="N41" i="1"/>
  <c r="I41" i="1"/>
  <c r="K41" i="1" s="1"/>
  <c r="N40" i="1"/>
  <c r="O40" i="1" s="1"/>
  <c r="I40" i="1"/>
  <c r="K40" i="1" s="1"/>
  <c r="O39" i="1"/>
  <c r="N39" i="1"/>
  <c r="I39" i="1"/>
  <c r="K39" i="1" s="1"/>
  <c r="N38" i="1"/>
  <c r="O38" i="1" s="1"/>
  <c r="I38" i="1"/>
  <c r="K38" i="1" s="1"/>
  <c r="N37" i="1"/>
  <c r="O37" i="1" s="1"/>
  <c r="I37" i="1"/>
  <c r="K37" i="1" s="1"/>
  <c r="N36" i="1"/>
  <c r="O36" i="1" s="1"/>
  <c r="I36" i="1"/>
  <c r="J36" i="1" s="1"/>
  <c r="N35" i="1"/>
  <c r="O35" i="1" s="1"/>
  <c r="I35" i="1"/>
  <c r="J35" i="1" s="1"/>
  <c r="O34" i="1"/>
  <c r="N34" i="1"/>
  <c r="I34" i="1"/>
  <c r="J34" i="1" s="1"/>
  <c r="O33" i="1"/>
  <c r="N33" i="1"/>
  <c r="I33" i="1"/>
  <c r="K33" i="1" s="1"/>
  <c r="N32" i="1"/>
  <c r="O32" i="1" s="1"/>
  <c r="I32" i="1"/>
  <c r="K32" i="1" s="1"/>
  <c r="N31" i="1"/>
  <c r="O31" i="1" s="1"/>
  <c r="I31" i="1"/>
  <c r="K31" i="1" s="1"/>
  <c r="N30" i="1"/>
  <c r="O30" i="1" s="1"/>
  <c r="N29" i="1"/>
  <c r="O29" i="1" s="1"/>
  <c r="I29" i="1"/>
  <c r="K29" i="1" s="1"/>
  <c r="N28" i="1"/>
  <c r="O28" i="1" s="1"/>
  <c r="I28" i="1"/>
  <c r="J28" i="1" s="1"/>
  <c r="N27" i="1"/>
  <c r="O27" i="1" s="1"/>
  <c r="I27" i="1"/>
  <c r="J27" i="1" s="1"/>
  <c r="O26" i="1"/>
  <c r="N26" i="1"/>
  <c r="I26" i="1"/>
  <c r="J26" i="1" s="1"/>
  <c r="N25" i="1"/>
  <c r="O25" i="1" s="1"/>
  <c r="I25" i="1"/>
  <c r="J25" i="1" s="1"/>
  <c r="N24" i="1"/>
  <c r="O24" i="1" s="1"/>
  <c r="I24" i="1"/>
  <c r="K24" i="1" s="1"/>
  <c r="N23" i="1"/>
  <c r="O23" i="1" s="1"/>
  <c r="I23" i="1"/>
  <c r="K23" i="1" s="1"/>
  <c r="N22" i="1"/>
  <c r="O22" i="1" s="1"/>
  <c r="I22" i="1"/>
  <c r="K22" i="1" s="1"/>
  <c r="N21" i="1"/>
  <c r="O21" i="1" s="1"/>
  <c r="I21" i="1"/>
  <c r="K21" i="1" s="1"/>
  <c r="N20" i="1"/>
  <c r="O20" i="1" s="1"/>
  <c r="I20" i="1"/>
  <c r="J20" i="1" s="1"/>
  <c r="N19" i="1"/>
  <c r="O19" i="1" s="1"/>
  <c r="I19" i="1"/>
  <c r="J19" i="1" s="1"/>
  <c r="N18" i="1"/>
  <c r="O18" i="1" s="1"/>
  <c r="I18" i="1"/>
  <c r="J18" i="1" s="1"/>
  <c r="N17" i="1"/>
  <c r="O17" i="1" s="1"/>
  <c r="I17" i="1"/>
  <c r="J17" i="1" s="1"/>
  <c r="N16" i="1"/>
  <c r="O16" i="1" s="1"/>
  <c r="I16" i="1"/>
  <c r="K16" i="1" s="1"/>
  <c r="N15" i="1"/>
  <c r="O15" i="1" s="1"/>
  <c r="I15" i="1"/>
  <c r="K15" i="1" s="1"/>
  <c r="N14" i="1"/>
  <c r="O14" i="1" s="1"/>
  <c r="I14" i="1"/>
  <c r="J14" i="1" s="1"/>
  <c r="N13" i="1"/>
  <c r="O13" i="1" s="1"/>
  <c r="I13" i="1"/>
  <c r="K13" i="1" s="1"/>
  <c r="N12" i="1"/>
  <c r="O12" i="1" s="1"/>
  <c r="I12" i="1"/>
  <c r="J12" i="1" s="1"/>
  <c r="N11" i="1"/>
  <c r="O11" i="1" s="1"/>
  <c r="I11" i="1"/>
  <c r="J11" i="1" s="1"/>
  <c r="N10" i="1"/>
  <c r="O10" i="1" s="1"/>
  <c r="I10" i="1"/>
  <c r="K10" i="1" s="1"/>
  <c r="O9" i="1"/>
  <c r="N9" i="1"/>
  <c r="I9" i="1"/>
  <c r="K9" i="1" s="1"/>
  <c r="O8" i="1"/>
  <c r="N8" i="1"/>
  <c r="I8" i="1"/>
  <c r="K8" i="1" s="1"/>
  <c r="N7" i="1"/>
  <c r="O7" i="1" s="1"/>
  <c r="I7" i="1"/>
  <c r="K7" i="1" s="1"/>
  <c r="N6" i="1"/>
  <c r="O6" i="1" s="1"/>
  <c r="I6" i="1"/>
  <c r="J6" i="1" s="1"/>
  <c r="N5" i="1"/>
  <c r="O5" i="1" s="1"/>
  <c r="I5" i="1"/>
  <c r="K5" i="1" s="1"/>
  <c r="N4" i="1"/>
  <c r="O4" i="1" s="1"/>
  <c r="I4" i="1"/>
  <c r="J4" i="1" s="1"/>
  <c r="N3" i="1"/>
  <c r="O3" i="1" s="1"/>
  <c r="I3" i="1"/>
  <c r="J3" i="1" s="1"/>
  <c r="O2" i="1"/>
  <c r="N2" i="1"/>
  <c r="I2" i="1"/>
  <c r="J2" i="1" s="1"/>
  <c r="K17" i="1" l="1"/>
  <c r="K4" i="1"/>
  <c r="J24" i="1"/>
  <c r="K51" i="1"/>
  <c r="K92" i="1"/>
  <c r="K96" i="1"/>
  <c r="J81" i="1"/>
  <c r="K90" i="1"/>
  <c r="J22" i="1"/>
  <c r="K25" i="1"/>
  <c r="J65" i="1"/>
  <c r="K98" i="1"/>
  <c r="J30" i="1"/>
  <c r="J9" i="1"/>
  <c r="J16" i="1"/>
  <c r="K19" i="1"/>
  <c r="K71" i="1"/>
  <c r="J33" i="1"/>
  <c r="J56" i="1"/>
  <c r="K66" i="1"/>
  <c r="K36" i="1"/>
  <c r="J64" i="1"/>
  <c r="K75" i="1"/>
  <c r="K2" i="1"/>
  <c r="J15" i="1"/>
  <c r="J23" i="1"/>
  <c r="J7" i="1"/>
  <c r="K11" i="1"/>
  <c r="K27" i="1"/>
  <c r="J40" i="1"/>
  <c r="J48" i="1"/>
  <c r="K68" i="1"/>
  <c r="K20" i="1"/>
  <c r="J38" i="1"/>
  <c r="J84" i="1"/>
  <c r="K28" i="1"/>
  <c r="J31" i="1"/>
  <c r="J41" i="1"/>
  <c r="K43" i="1"/>
  <c r="J46" i="1"/>
  <c r="J49" i="1"/>
  <c r="J54" i="1"/>
  <c r="K59" i="1"/>
  <c r="J62" i="1"/>
  <c r="K76" i="1"/>
  <c r="K79" i="1"/>
  <c r="K91" i="1"/>
  <c r="J97" i="1"/>
  <c r="K99" i="1"/>
  <c r="K35" i="1"/>
  <c r="J8" i="1"/>
  <c r="K12" i="1"/>
  <c r="J10" i="1"/>
  <c r="K18" i="1"/>
  <c r="K26" i="1"/>
  <c r="J52" i="1"/>
  <c r="J57" i="1"/>
  <c r="J72" i="1"/>
  <c r="K74" i="1"/>
  <c r="J88" i="1"/>
  <c r="K3" i="1"/>
  <c r="J32" i="1"/>
  <c r="K34" i="1"/>
  <c r="K44" i="1"/>
  <c r="K55" i="1"/>
  <c r="K60" i="1"/>
  <c r="J63" i="1"/>
  <c r="J80" i="1"/>
  <c r="K83" i="1"/>
  <c r="K6" i="1"/>
  <c r="K14" i="1"/>
  <c r="K86" i="1"/>
  <c r="K94" i="1"/>
  <c r="K102" i="1"/>
  <c r="I104" i="1"/>
  <c r="J5" i="1"/>
  <c r="J13" i="1"/>
  <c r="J21" i="1"/>
  <c r="J29" i="1"/>
  <c r="J37" i="1"/>
  <c r="J45" i="1"/>
  <c r="J53" i="1"/>
  <c r="J61" i="1"/>
  <c r="J69" i="1"/>
  <c r="J77" i="1"/>
  <c r="J85" i="1"/>
  <c r="J93" i="1"/>
  <c r="J101" i="1"/>
  <c r="J42" i="1"/>
  <c r="J50" i="1"/>
  <c r="J58" i="1"/>
  <c r="J82" i="1"/>
  <c r="J39" i="1"/>
  <c r="J47" i="1"/>
  <c r="J87" i="1"/>
  <c r="J95" i="1"/>
  <c r="J103" i="1"/>
  <c r="J106" i="1"/>
  <c r="F22" i="7"/>
  <c r="F21" i="7"/>
  <c r="B26" i="7"/>
  <c r="F26" i="7" s="1"/>
  <c r="I20" i="7"/>
  <c r="H7" i="7"/>
  <c r="J7" i="7" s="1"/>
  <c r="J5" i="7"/>
  <c r="K5" i="7" s="1"/>
  <c r="H16" i="7" s="1"/>
  <c r="H5" i="7"/>
  <c r="I5" i="7" s="1"/>
  <c r="G16" i="7" s="1"/>
  <c r="I16" i="7" s="1"/>
  <c r="H6" i="3"/>
  <c r="I6" i="3" s="1"/>
  <c r="G15" i="3" s="1"/>
  <c r="H6" i="2"/>
  <c r="I6" i="2" s="1"/>
  <c r="G16" i="2" s="1"/>
  <c r="G6" i="2"/>
  <c r="F16" i="2" s="1"/>
  <c r="H16" i="2" s="1"/>
  <c r="F6" i="2"/>
  <c r="E5" i="4"/>
  <c r="G5" i="4" s="1"/>
  <c r="E10" i="7"/>
  <c r="H6" i="7"/>
  <c r="I6" i="7" s="1"/>
  <c r="H4" i="7"/>
  <c r="I4" i="7" s="1"/>
  <c r="J4" i="7" s="1"/>
  <c r="K4" i="7" s="1"/>
  <c r="H3" i="7"/>
  <c r="J3" i="7" s="1"/>
  <c r="K104" i="1" l="1"/>
  <c r="J104" i="1"/>
  <c r="E10" i="4"/>
  <c r="I5" i="4"/>
  <c r="J5" i="4" s="1"/>
  <c r="G14" i="4" s="1"/>
  <c r="J6" i="7"/>
  <c r="K6" i="7" s="1"/>
  <c r="K3" i="7"/>
  <c r="I3" i="7"/>
  <c r="F10" i="7"/>
  <c r="H8" i="7" l="1"/>
  <c r="I8" i="7" l="1"/>
  <c r="J8" i="7" s="1"/>
  <c r="G10" i="7"/>
  <c r="H9" i="7"/>
  <c r="K8" i="7" l="1"/>
  <c r="I9" i="7"/>
  <c r="K9" i="7" s="1"/>
  <c r="J9" i="7"/>
  <c r="J10" i="7" s="1"/>
  <c r="H15" i="7" s="1"/>
  <c r="H10" i="7"/>
  <c r="G15" i="7" s="1"/>
  <c r="I10" i="7" l="1"/>
  <c r="I15" i="7"/>
  <c r="K10" i="7"/>
  <c r="K19" i="4" l="1"/>
  <c r="J23" i="4"/>
  <c r="D12" i="5"/>
  <c r="M50" i="4" l="1"/>
  <c r="M49" i="4"/>
  <c r="D36" i="4"/>
  <c r="C36" i="4"/>
  <c r="F23" i="4" l="1"/>
  <c r="K23" i="4" s="1"/>
  <c r="C23" i="4"/>
  <c r="G4" i="4"/>
  <c r="H4" i="4" s="1"/>
  <c r="I4" i="4" s="1"/>
  <c r="J4" i="4" s="1"/>
  <c r="G8" i="4" l="1"/>
  <c r="F10" i="4"/>
  <c r="D10" i="4"/>
  <c r="G3" i="4"/>
  <c r="G9" i="4"/>
  <c r="G6" i="4"/>
  <c r="G7" i="4"/>
  <c r="H8" i="4" l="1"/>
  <c r="I8" i="4" s="1"/>
  <c r="J8" i="4" s="1"/>
  <c r="H7" i="4"/>
  <c r="I7" i="4" s="1"/>
  <c r="H6" i="4"/>
  <c r="I6" i="4"/>
  <c r="J6" i="4" s="1"/>
  <c r="H9" i="4"/>
  <c r="J9" i="4" s="1"/>
  <c r="I9" i="4"/>
  <c r="H3" i="4"/>
  <c r="H10" i="4" s="1"/>
  <c r="I3" i="4"/>
  <c r="J3" i="4"/>
  <c r="H5" i="4"/>
  <c r="F14" i="4" s="1"/>
  <c r="G10" i="4"/>
  <c r="H14" i="4" l="1"/>
  <c r="C19" i="4" s="1"/>
  <c r="F19" i="4" s="1"/>
  <c r="F13" i="4"/>
  <c r="J10" i="4"/>
  <c r="I10" i="4"/>
  <c r="G13" i="4" s="1"/>
  <c r="H13" i="4" l="1"/>
  <c r="C25" i="3"/>
  <c r="E21" i="3"/>
  <c r="E20" i="3"/>
  <c r="F6" i="3"/>
  <c r="G6" i="3" s="1"/>
  <c r="F15" i="3" s="1"/>
  <c r="C8" i="3"/>
  <c r="C6" i="3"/>
  <c r="C4" i="3"/>
  <c r="E11" i="3"/>
  <c r="D11" i="3"/>
  <c r="F10" i="3"/>
  <c r="H10" i="3" s="1"/>
  <c r="F9" i="3"/>
  <c r="G9" i="3" s="1"/>
  <c r="F8" i="3"/>
  <c r="G8" i="3" s="1"/>
  <c r="F7" i="3"/>
  <c r="G7" i="3" s="1"/>
  <c r="F5" i="3"/>
  <c r="G5" i="3" s="1"/>
  <c r="H5" i="3" s="1"/>
  <c r="I5" i="3" s="1"/>
  <c r="F4" i="3"/>
  <c r="F22" i="2"/>
  <c r="G22" i="2" s="1"/>
  <c r="F20" i="2"/>
  <c r="G20" i="2" s="1"/>
  <c r="F19" i="2"/>
  <c r="D26" i="2"/>
  <c r="H4" i="3" l="1"/>
  <c r="H11" i="3" s="1"/>
  <c r="G14" i="3" s="1"/>
  <c r="F11" i="3"/>
  <c r="F14" i="3" s="1"/>
  <c r="C18" i="4"/>
  <c r="F18" i="4" s="1"/>
  <c r="I19" i="4" s="1"/>
  <c r="L19" i="4" s="1"/>
  <c r="I18" i="7"/>
  <c r="I19" i="7" s="1"/>
  <c r="H7" i="3"/>
  <c r="I7" i="3" s="1"/>
  <c r="G10" i="3"/>
  <c r="I10" i="3" s="1"/>
  <c r="H9" i="3"/>
  <c r="I9" i="3" s="1"/>
  <c r="C11" i="3"/>
  <c r="H8" i="3"/>
  <c r="G4" i="3"/>
  <c r="C26" i="2"/>
  <c r="F24" i="2"/>
  <c r="G24" i="2" s="1"/>
  <c r="E26" i="2"/>
  <c r="F21" i="2"/>
  <c r="G21" i="2" s="1"/>
  <c r="G19" i="2"/>
  <c r="F23" i="2"/>
  <c r="G23" i="2" s="1"/>
  <c r="F25" i="2"/>
  <c r="G25" i="2" s="1"/>
  <c r="G11" i="3" l="1"/>
  <c r="I4" i="3"/>
  <c r="I11" i="3" s="1"/>
  <c r="H15" i="3" s="1"/>
  <c r="H14" i="3"/>
  <c r="F26" i="2"/>
  <c r="G26" i="2"/>
  <c r="E11" i="2" l="1"/>
  <c r="D4" i="2"/>
  <c r="C4" i="2" s="1"/>
  <c r="C11" i="2" s="1"/>
  <c r="F5" i="2"/>
  <c r="F7" i="2"/>
  <c r="G7" i="2" s="1"/>
  <c r="H7" i="2" s="1"/>
  <c r="I7" i="2" s="1"/>
  <c r="F8" i="2"/>
  <c r="D25" i="3" s="1"/>
  <c r="E25" i="3" s="1"/>
  <c r="F9" i="2"/>
  <c r="F10" i="2"/>
  <c r="G10" i="2" s="1"/>
  <c r="I10" i="2" s="1"/>
  <c r="G5" i="2"/>
  <c r="H5" i="2" s="1"/>
  <c r="I5" i="2" s="1"/>
  <c r="G8" i="2"/>
  <c r="C5" i="2"/>
  <c r="C9" i="2"/>
  <c r="H9" i="2" l="1"/>
  <c r="I9" i="2" s="1"/>
  <c r="H10" i="2"/>
  <c r="H8" i="2"/>
  <c r="G9" i="2"/>
  <c r="D11" i="2"/>
  <c r="F4" i="2"/>
  <c r="H4" i="2" l="1"/>
  <c r="H11" i="2" s="1"/>
  <c r="G15" i="2" s="1"/>
  <c r="H15" i="2" s="1"/>
  <c r="F11" i="2"/>
  <c r="F15" i="2" s="1"/>
  <c r="G4" i="2"/>
  <c r="G11" i="2" s="1"/>
  <c r="I4" i="2" l="1"/>
  <c r="I11" i="2" s="1"/>
</calcChain>
</file>

<file path=xl/sharedStrings.xml><?xml version="1.0" encoding="utf-8"?>
<sst xmlns="http://schemas.openxmlformats.org/spreadsheetml/2006/main" count="764" uniqueCount="447">
  <si>
    <t>TIENDA</t>
  </si>
  <si>
    <t>NOMBRE TIENDA</t>
  </si>
  <si>
    <t>CIUDAD</t>
  </si>
  <si>
    <t>CECO</t>
  </si>
  <si>
    <t>ACREEDOR ARRIENDO</t>
  </si>
  <si>
    <t>PROVEEDOR ARRIENDO</t>
  </si>
  <si>
    <t>NIT</t>
  </si>
  <si>
    <t>VALOR ACTUAL CANON</t>
  </si>
  <si>
    <t>IVA CANON</t>
  </si>
  <si>
    <t>IVA DEDUCIBLE VW</t>
  </si>
  <si>
    <t>IVA PRORRATEO VQ</t>
  </si>
  <si>
    <t>PORCENTAJE IVA VW</t>
  </si>
  <si>
    <t>PORCENTAJE IVA VQ</t>
  </si>
  <si>
    <t>OFICINA</t>
  </si>
  <si>
    <t>Nueva Oficina</t>
  </si>
  <si>
    <t>Bogota</t>
  </si>
  <si>
    <t>PATRIMONIOS AUTONOMOS ADMINISTRADOS / DAVIVIENDA</t>
  </si>
  <si>
    <t>830053700-6</t>
  </si>
  <si>
    <t>R001</t>
  </si>
  <si>
    <t>Ray Ban Unicentro</t>
  </si>
  <si>
    <t>FELLINZI LIMITADA</t>
  </si>
  <si>
    <t>R003</t>
  </si>
  <si>
    <t>Ray Ban Colina</t>
  </si>
  <si>
    <t>ADMINISTRADORA PARQUE ARAUCO</t>
  </si>
  <si>
    <t>901394357-2</t>
  </si>
  <si>
    <t>R004</t>
  </si>
  <si>
    <t>Ray Ban Andino</t>
  </si>
  <si>
    <t>PAÑOS ATLAS S.A.</t>
  </si>
  <si>
    <t>R005</t>
  </si>
  <si>
    <t>Ray Ban B/quilla</t>
  </si>
  <si>
    <t>Barranquilla</t>
  </si>
  <si>
    <t>ITAU FIDUCIARIA P.A/patrimonios Autonomos</t>
  </si>
  <si>
    <t>R006</t>
  </si>
  <si>
    <t>Ray Ban Serrezuela</t>
  </si>
  <si>
    <t>Cartagena</t>
  </si>
  <si>
    <t>C965</t>
  </si>
  <si>
    <t>218358/238658</t>
  </si>
  <si>
    <t>PROMOTORA ACR SAS/PLAZA LA SERREZUELA/FIDECOMISOS</t>
  </si>
  <si>
    <t>901249695-7</t>
  </si>
  <si>
    <t>R007</t>
  </si>
  <si>
    <t>Tesoro</t>
  </si>
  <si>
    <t>Medellin</t>
  </si>
  <si>
    <t>E924</t>
  </si>
  <si>
    <t>LA MEMORIA S.A.S</t>
  </si>
  <si>
    <t>900425964-4</t>
  </si>
  <si>
    <t>SGH601</t>
  </si>
  <si>
    <t>CC. ANDINO</t>
  </si>
  <si>
    <t>ADARVE E HIJOS LTDA</t>
  </si>
  <si>
    <t>860053845-4</t>
  </si>
  <si>
    <t>SGH602</t>
  </si>
  <si>
    <t>CC. UNICENTRO BOGOTÁ</t>
  </si>
  <si>
    <t>ANUAR MUSTAFA BASHIR</t>
  </si>
  <si>
    <t>79681254-2</t>
  </si>
  <si>
    <t>SGH604</t>
  </si>
  <si>
    <t>CC. MULTIPLAZA</t>
  </si>
  <si>
    <t>CORPORACION DE INVERSIONES DE COLOMBIA S</t>
  </si>
  <si>
    <t>SGH605</t>
  </si>
  <si>
    <t>CC.PREMIUM OUTLET ARAUCO</t>
  </si>
  <si>
    <t>PARQUE ARAUCO COLOMBIA SAS</t>
  </si>
  <si>
    <t>900.252.139-0</t>
  </si>
  <si>
    <t>SGH606</t>
  </si>
  <si>
    <t>CC. COLINA</t>
  </si>
  <si>
    <t>SGH607</t>
  </si>
  <si>
    <t>AEROPUERTO DORADO</t>
  </si>
  <si>
    <t>PATRIMONIOS AUTONOMOS FIDUCIARIA BA / OPAIN</t>
  </si>
  <si>
    <t>SGH608</t>
  </si>
  <si>
    <t>FONTANAR</t>
  </si>
  <si>
    <t>DESARROLLADORA CC FONTANAR SAS 1</t>
  </si>
  <si>
    <t>900631450-3</t>
  </si>
  <si>
    <t>SGH632</t>
  </si>
  <si>
    <t>AEROPUERTO MEDELLIN</t>
  </si>
  <si>
    <t>A544</t>
  </si>
  <si>
    <t>AIRPLAN/OPERADORA DE AEROPUERTOS AUTONORTE</t>
  </si>
  <si>
    <t>900205407-1</t>
  </si>
  <si>
    <t>SGH635</t>
  </si>
  <si>
    <t>A997</t>
  </si>
  <si>
    <t>T003</t>
  </si>
  <si>
    <t>C.C. Santafé Local 2-127</t>
  </si>
  <si>
    <t>RC 2 SAS</t>
  </si>
  <si>
    <t>T004</t>
  </si>
  <si>
    <t>C.C. El Tesoro</t>
  </si>
  <si>
    <t>SANTA JUANA INMOBILIARIA S,A,</t>
  </si>
  <si>
    <t>800101493-3</t>
  </si>
  <si>
    <t>T005</t>
  </si>
  <si>
    <t>C.C. Centro Chía</t>
  </si>
  <si>
    <t>Chia</t>
  </si>
  <si>
    <t>INVERSIONES GERICO</t>
  </si>
  <si>
    <t>800129936-6</t>
  </si>
  <si>
    <t>T006</t>
  </si>
  <si>
    <t>C.C. Oviedo</t>
  </si>
  <si>
    <t xml:space="preserve">INVERSIONES RZ </t>
  </si>
  <si>
    <t>900467139-4</t>
  </si>
  <si>
    <t>T007</t>
  </si>
  <si>
    <t>C.C. Los Molinos</t>
  </si>
  <si>
    <t>INVERSIONES DAVIDI SAS</t>
  </si>
  <si>
    <t>901030150-3</t>
  </si>
  <si>
    <t>T008</t>
  </si>
  <si>
    <t xml:space="preserve">C.C. Gran Estación </t>
  </si>
  <si>
    <t>INVERSIONES GALMAPO</t>
  </si>
  <si>
    <t>900333654-0</t>
  </si>
  <si>
    <t>T010</t>
  </si>
  <si>
    <t>C.C. San Diego</t>
  </si>
  <si>
    <t>INMOBILIARIA MACLADER S.A.S</t>
  </si>
  <si>
    <t>901026014-4</t>
  </si>
  <si>
    <t>T012</t>
  </si>
  <si>
    <t>Av. 19 Con 138</t>
  </si>
  <si>
    <t>INVERSIONES LEE CARDENAS  SAS</t>
  </si>
  <si>
    <t>T013</t>
  </si>
  <si>
    <t>C.C. Gran Estación</t>
  </si>
  <si>
    <t>ALVARO CORTES</t>
  </si>
  <si>
    <t>19166102-5</t>
  </si>
  <si>
    <t>T014</t>
  </si>
  <si>
    <t>Carrera 7</t>
  </si>
  <si>
    <t>Pereira</t>
  </si>
  <si>
    <t>PEDRO JOSE LEMUS TRUJILLO / PROMOTORA LEMUS</t>
  </si>
  <si>
    <t>816007849-8</t>
  </si>
  <si>
    <t>T019</t>
  </si>
  <si>
    <t>C.C. Unicentro Cali I</t>
  </si>
  <si>
    <t>Cali</t>
  </si>
  <si>
    <t>MYRIAM RAMIREZ NIETO 1</t>
  </si>
  <si>
    <t>31212864-1</t>
  </si>
  <si>
    <t>T022</t>
  </si>
  <si>
    <t>Chipichape</t>
  </si>
  <si>
    <t>CARMEN FARIDE HAZZI</t>
  </si>
  <si>
    <t>29064203-9</t>
  </si>
  <si>
    <t>T025</t>
  </si>
  <si>
    <t>Carrera 8</t>
  </si>
  <si>
    <t>204553/205662/205663/205666</t>
  </si>
  <si>
    <t>GESTIONAR ANGEL Y CIA</t>
  </si>
  <si>
    <t>816003192-1</t>
  </si>
  <si>
    <t>T027</t>
  </si>
  <si>
    <t>C.C. Palmetto Plaza</t>
  </si>
  <si>
    <t>INMUEBLES JAMO SAS</t>
  </si>
  <si>
    <t>900404964-4</t>
  </si>
  <si>
    <t>T030</t>
  </si>
  <si>
    <t>CC. Unicentro Bogotá</t>
  </si>
  <si>
    <t>VANESSA CARVAJAL ENRIQUEZ</t>
  </si>
  <si>
    <t>DAVID ALFONSO CARVAJAL</t>
  </si>
  <si>
    <t>LINA MARIA CARVAJAL ENRIQUEZ</t>
  </si>
  <si>
    <t>SWISS WATCHMAKERS COL SAS</t>
  </si>
  <si>
    <t xml:space="preserve">LYA S.A.S </t>
  </si>
  <si>
    <t>1026261501-3/1019012543-1</t>
  </si>
  <si>
    <t>T032</t>
  </si>
  <si>
    <t>C.C La Florida</t>
  </si>
  <si>
    <t>Bucaramanga</t>
  </si>
  <si>
    <t>DIANA CAROLINA ORTIZ RODRIGUEZ</t>
  </si>
  <si>
    <t>63532730-0</t>
  </si>
  <si>
    <t>T035</t>
  </si>
  <si>
    <t>Bulevar Niza</t>
  </si>
  <si>
    <t>CENTRO COMERCIAL BULEVAR NIZA</t>
  </si>
  <si>
    <t>800056712-9</t>
  </si>
  <si>
    <t>T037</t>
  </si>
  <si>
    <t>C.C. Premium Plaza</t>
  </si>
  <si>
    <t>FRANQUICIAS DE MARCA S,A,</t>
  </si>
  <si>
    <t>T038</t>
  </si>
  <si>
    <t>C.C. Megamall</t>
  </si>
  <si>
    <t>205668/69</t>
  </si>
  <si>
    <t>INMOBILIARIA CECILIA DE DIAZ</t>
  </si>
  <si>
    <t>804000347-7</t>
  </si>
  <si>
    <t>T039</t>
  </si>
  <si>
    <t>Cc Cabecera La Quinta</t>
  </si>
  <si>
    <t>RAFAELA SARA MONTEJO DE ALBA</t>
  </si>
  <si>
    <t>23255390-6</t>
  </si>
  <si>
    <t>T040</t>
  </si>
  <si>
    <t>Cc Salitre Plaza I</t>
  </si>
  <si>
    <t>HILDEBRANDO URDINOLA</t>
  </si>
  <si>
    <t xml:space="preserve">BEATRIZ DE CONTRERAS </t>
  </si>
  <si>
    <t>T041</t>
  </si>
  <si>
    <t>Cc Hayuelos</t>
  </si>
  <si>
    <t>INMOBILIARIA MAURICIO AMAYA O &amp; CIA LTDA</t>
  </si>
  <si>
    <t>800243589-0</t>
  </si>
  <si>
    <t>T043</t>
  </si>
  <si>
    <t>Cc Salitre Plaza Ii</t>
  </si>
  <si>
    <t>CARLOS ENRIQUE STIEFKEN H</t>
  </si>
  <si>
    <t>17074400-2</t>
  </si>
  <si>
    <t>T045</t>
  </si>
  <si>
    <t>Cedritos 2</t>
  </si>
  <si>
    <t>SOCIEDAD DE INMUEBLES AERONATICOS S</t>
  </si>
  <si>
    <t>900499174-1</t>
  </si>
  <si>
    <t>T047</t>
  </si>
  <si>
    <t>Cc Plaza De Las Américas</t>
  </si>
  <si>
    <t>AMBIENTTI CONSTRUCTORA INMOBILIARIA</t>
  </si>
  <si>
    <t>830060858-1</t>
  </si>
  <si>
    <t>T049</t>
  </si>
  <si>
    <t>Cc Mayorca</t>
  </si>
  <si>
    <t>CONSTRUCCIONES Y BIENES S.A.</t>
  </si>
  <si>
    <t>890907824-5</t>
  </si>
  <si>
    <t>T051</t>
  </si>
  <si>
    <t>Armenia Cra 14</t>
  </si>
  <si>
    <t>Armenia</t>
  </si>
  <si>
    <t>T GESTIONA S.A.S.</t>
  </si>
  <si>
    <t>900415305-8</t>
  </si>
  <si>
    <t>T052</t>
  </si>
  <si>
    <t>Cable Plaza</t>
  </si>
  <si>
    <t>Manizales</t>
  </si>
  <si>
    <t>XIMENA RINCON CORREA</t>
  </si>
  <si>
    <t>30327779-2</t>
  </si>
  <si>
    <t>T054</t>
  </si>
  <si>
    <t>Portal 80</t>
  </si>
  <si>
    <t>ZERDA Y CIA SAS</t>
  </si>
  <si>
    <t>860501029-3</t>
  </si>
  <si>
    <t>T055</t>
  </si>
  <si>
    <t>Buenavista</t>
  </si>
  <si>
    <t>INMOBILIARIA SALOMON SALES &amp; CIA S.A</t>
  </si>
  <si>
    <t>890102508-7</t>
  </si>
  <si>
    <t>T061</t>
  </si>
  <si>
    <t>Av. San Martin</t>
  </si>
  <si>
    <t xml:space="preserve">INVERSIONES LEQUERICA BORGE Y </t>
  </si>
  <si>
    <t>900007552-0</t>
  </si>
  <si>
    <t>T064</t>
  </si>
  <si>
    <t>Plaza Imperial 2</t>
  </si>
  <si>
    <t>LABORATORIO FOTOCHROME SAS</t>
  </si>
  <si>
    <t>860014223-7</t>
  </si>
  <si>
    <t>T066</t>
  </si>
  <si>
    <t>Plaza Caribe</t>
  </si>
  <si>
    <t>CARLOS DURAN SAS 1</t>
  </si>
  <si>
    <t>860069492-8</t>
  </si>
  <si>
    <t>T069</t>
  </si>
  <si>
    <t>Jardín Plaza</t>
  </si>
  <si>
    <t>CENTRAL CONTROL SA</t>
  </si>
  <si>
    <t>T070</t>
  </si>
  <si>
    <t>Carrera 11</t>
  </si>
  <si>
    <t>F.A &amp; JOTAS LTDA</t>
  </si>
  <si>
    <t>900153240-2</t>
  </si>
  <si>
    <t>T074</t>
  </si>
  <si>
    <t>Sta. Fe Medellín</t>
  </si>
  <si>
    <t>CARLOS DURAN SAS 3</t>
  </si>
  <si>
    <t>T075</t>
  </si>
  <si>
    <t>Centro Mayor I</t>
  </si>
  <si>
    <t>CARLOS DURAN SAS 4</t>
  </si>
  <si>
    <t>T077</t>
  </si>
  <si>
    <t>Centro 93</t>
  </si>
  <si>
    <t>CAPITAL REAL ESTATE LTDA</t>
  </si>
  <si>
    <t>900094025-1</t>
  </si>
  <si>
    <t>T078</t>
  </si>
  <si>
    <t>San Nicolás</t>
  </si>
  <si>
    <t>Rionegro</t>
  </si>
  <si>
    <t>OBANDO GIRALDO S.A</t>
  </si>
  <si>
    <t>T079</t>
  </si>
  <si>
    <t>Portal Prado</t>
  </si>
  <si>
    <t>SOCINSA S.A</t>
  </si>
  <si>
    <t>802001157-1</t>
  </si>
  <si>
    <t>T080</t>
  </si>
  <si>
    <t>Multicentro</t>
  </si>
  <si>
    <t>Ibague</t>
  </si>
  <si>
    <t>MARIA CLEMENCIA PERDOMO SALAMA</t>
  </si>
  <si>
    <t>65753439-7</t>
  </si>
  <si>
    <t>T081</t>
  </si>
  <si>
    <t>Fundadores</t>
  </si>
  <si>
    <t>TEJARES Y CIA S, EN C,A</t>
  </si>
  <si>
    <t>810006984-8</t>
  </si>
  <si>
    <t>T082</t>
  </si>
  <si>
    <t>Centro Mayor Ii</t>
  </si>
  <si>
    <t>CARLOS DURAN SAS 5</t>
  </si>
  <si>
    <t>T087</t>
  </si>
  <si>
    <t>Molinos Ii</t>
  </si>
  <si>
    <t>CARLOS DURAN SAS 6</t>
  </si>
  <si>
    <t>T088</t>
  </si>
  <si>
    <t>Villa Country</t>
  </si>
  <si>
    <t>CARLOS DURAN SAS 7</t>
  </si>
  <si>
    <t>T090</t>
  </si>
  <si>
    <t>C.C. Atlantis</t>
  </si>
  <si>
    <t>MULTIPLIKA</t>
  </si>
  <si>
    <t>800256769-6</t>
  </si>
  <si>
    <t>T091</t>
  </si>
  <si>
    <t>C.C. Titán</t>
  </si>
  <si>
    <t>CASTAÑEDA Y ABELLO S EN C</t>
  </si>
  <si>
    <t>830508161-0</t>
  </si>
  <si>
    <t>PUNTO S. A</t>
  </si>
  <si>
    <t>MARQUEZ TONO Y ASOCIADOS LTDA</t>
  </si>
  <si>
    <t>800235419-3</t>
  </si>
  <si>
    <t>T092</t>
  </si>
  <si>
    <t>C.C. Estación</t>
  </si>
  <si>
    <t>CARLOS DURAN SAS 8</t>
  </si>
  <si>
    <t>T096</t>
  </si>
  <si>
    <t>C.C. Santafe</t>
  </si>
  <si>
    <t>CARLOS DURAN SAS</t>
  </si>
  <si>
    <t>T100</t>
  </si>
  <si>
    <t>C.C. Buenavista</t>
  </si>
  <si>
    <t>Santa Marta</t>
  </si>
  <si>
    <t>LUIS ALBERTO GARAY MORA</t>
  </si>
  <si>
    <t>4491359-9</t>
  </si>
  <si>
    <t>inversiones glc</t>
  </si>
  <si>
    <t>900025381-4</t>
  </si>
  <si>
    <t>T101</t>
  </si>
  <si>
    <t>Girardot</t>
  </si>
  <si>
    <t>SCORPIO INVERSIONES S,A,</t>
  </si>
  <si>
    <t>830113477-6</t>
  </si>
  <si>
    <t>T102</t>
  </si>
  <si>
    <t>Gran Plaza Del Sol</t>
  </si>
  <si>
    <t>PATRIMONIOS AUTONOMOS FIDUCIARIA BANCOLOMBIA S.A.
GRAN PLAZA DEL SOL</t>
  </si>
  <si>
    <t>830054539-0</t>
  </si>
  <si>
    <t>T104</t>
  </si>
  <si>
    <t>Caracoli</t>
  </si>
  <si>
    <t>T105</t>
  </si>
  <si>
    <t>Cc Unico</t>
  </si>
  <si>
    <t>Pasto</t>
  </si>
  <si>
    <t>CENTROS COMERCIALES DEL SUR SAS</t>
  </si>
  <si>
    <t>900454187-1</t>
  </si>
  <si>
    <t>T106</t>
  </si>
  <si>
    <t>Viva Villavicencio</t>
  </si>
  <si>
    <t>Villavicencio</t>
  </si>
  <si>
    <t>FIDUCOLOMBIA P.A. CONCESION ASEO DC/patrimonos autonomos fiduciaria</t>
  </si>
  <si>
    <t>T107</t>
  </si>
  <si>
    <t>SERVICIOS ESTRATEGICOS</t>
  </si>
  <si>
    <t>T108</t>
  </si>
  <si>
    <t>T110</t>
  </si>
  <si>
    <t>Cc. Arrecife</t>
  </si>
  <si>
    <t>ESTRUCTURA FUTURO SAS</t>
  </si>
  <si>
    <t>830030914-6</t>
  </si>
  <si>
    <t xml:space="preserve">MORALES PRIETO LILIANA </t>
  </si>
  <si>
    <t>52171996-2</t>
  </si>
  <si>
    <t>T111</t>
  </si>
  <si>
    <t>Cc. Bocagrande</t>
  </si>
  <si>
    <t>FURNI</t>
  </si>
  <si>
    <t>900528359-0</t>
  </si>
  <si>
    <t>T115</t>
  </si>
  <si>
    <t>Cc. Colina</t>
  </si>
  <si>
    <t>T116</t>
  </si>
  <si>
    <t>Cc. Mall Plaza</t>
  </si>
  <si>
    <t>MALLPLAZA SERVICIOS SAS</t>
  </si>
  <si>
    <t>T117</t>
  </si>
  <si>
    <t>Cc. San Rafael</t>
  </si>
  <si>
    <t>CONSTRUCTORA URBANA SAN RAFAEL S.A.</t>
  </si>
  <si>
    <t>800140521-8</t>
  </si>
  <si>
    <t>T119</t>
  </si>
  <si>
    <t>Unico Yumbo</t>
  </si>
  <si>
    <t>T120</t>
  </si>
  <si>
    <t>Unico Neiva</t>
  </si>
  <si>
    <t>Neiva</t>
  </si>
  <si>
    <t>T122</t>
  </si>
  <si>
    <t>Unico Barranquilla</t>
  </si>
  <si>
    <t>T125</t>
  </si>
  <si>
    <t>Unicentro V/cencio</t>
  </si>
  <si>
    <t>SCORPIO INVERSIONES SA</t>
  </si>
  <si>
    <t>T126</t>
  </si>
  <si>
    <t>Unicentro Bogota</t>
  </si>
  <si>
    <t>A. MORA E HIJOS SAS</t>
  </si>
  <si>
    <t>900282141-4</t>
  </si>
  <si>
    <t>T127</t>
  </si>
  <si>
    <t>C,C MULTIPLAZA</t>
  </si>
  <si>
    <t>T128</t>
  </si>
  <si>
    <t>Unicentro Armenia</t>
  </si>
  <si>
    <t>CONSTRUCTORA E INMOBILIARIA</t>
  </si>
  <si>
    <t>T129</t>
  </si>
  <si>
    <t>Portal del Norte</t>
  </si>
  <si>
    <t>T130</t>
  </si>
  <si>
    <t>Av. Chile</t>
  </si>
  <si>
    <t>ORGANIZACION SANTAMARIA</t>
  </si>
  <si>
    <t>900161580-5</t>
  </si>
  <si>
    <t>T131</t>
  </si>
  <si>
    <t>Palatino</t>
  </si>
  <si>
    <t>AMBIENTTI CONSTRUCTORA INMOBILIARIA 1</t>
  </si>
  <si>
    <t>T133</t>
  </si>
  <si>
    <t>C.C. Gran Estación III</t>
  </si>
  <si>
    <t>INVERSIONES Y CONSTRUCIONES 79 SAS</t>
  </si>
  <si>
    <t>T134</t>
  </si>
  <si>
    <t>Cacique</t>
  </si>
  <si>
    <t>INMOBILIARIA CECILIA DE DIAZ LTDA</t>
  </si>
  <si>
    <t>T135</t>
  </si>
  <si>
    <t>CC. Viva Envigado</t>
  </si>
  <si>
    <t>Envigado</t>
  </si>
  <si>
    <t>ITAU FIDUCIARIA P.A /patrimonios Autonomos</t>
  </si>
  <si>
    <t>830053963-6</t>
  </si>
  <si>
    <t>T136</t>
  </si>
  <si>
    <t>Fontanar</t>
  </si>
  <si>
    <t>C940</t>
  </si>
  <si>
    <t>DESARROLLADORA CC FONTANAR SAS</t>
  </si>
  <si>
    <t>T138</t>
  </si>
  <si>
    <t>PARQUE ARBOLEDA</t>
  </si>
  <si>
    <t>PEREIRA</t>
  </si>
  <si>
    <t>A854</t>
  </si>
  <si>
    <t>EJE CONSTRUCCIONES SAS</t>
  </si>
  <si>
    <t>900.079.790-5</t>
  </si>
  <si>
    <t xml:space="preserve">CAMPAÑA </t>
  </si>
  <si>
    <t>FACTURA</t>
  </si>
  <si>
    <t>IVA</t>
  </si>
  <si>
    <t>SOL</t>
  </si>
  <si>
    <t>total</t>
  </si>
  <si>
    <t>R</t>
  </si>
  <si>
    <t>PROYECTO DE IVA 2023-Tiendas SGH</t>
  </si>
  <si>
    <t>SIN PROYECTO</t>
  </si>
  <si>
    <t>IVA DESCONTABLE</t>
  </si>
  <si>
    <t>TARIFA IVA TRANSITORIO</t>
  </si>
  <si>
    <t>BASE</t>
  </si>
  <si>
    <t>IVA Descontable</t>
  </si>
  <si>
    <t>Tarifa  IVA Descontable</t>
  </si>
  <si>
    <t xml:space="preserve"> IVA Descontable</t>
  </si>
  <si>
    <t>IVA NO Descontable</t>
  </si>
  <si>
    <t>IMPORTACIONES-1149120007</t>
  </si>
  <si>
    <t>IMPORTACIONES WHOLESALE</t>
  </si>
  <si>
    <t>BIENES  GRAVADOS AL 19%</t>
  </si>
  <si>
    <t>SERVICIOS WHOLESALE</t>
  </si>
  <si>
    <t>Servicion Gravados Deducibles</t>
  </si>
  <si>
    <t>Servicios del exterior WHOLESALE</t>
  </si>
  <si>
    <t>Servicios del exteriorRetail</t>
  </si>
  <si>
    <t xml:space="preserve">TOTAL </t>
  </si>
  <si>
    <t>MARZO PY</t>
  </si>
  <si>
    <t>MARZO SIN PY</t>
  </si>
  <si>
    <t>BENEFICIO</t>
  </si>
  <si>
    <t>OBSERVACION</t>
  </si>
  <si>
    <t>DESCONTABLE IVA</t>
  </si>
  <si>
    <t>AUMENTO DESCONTABLE IVA DECLARACION</t>
  </si>
  <si>
    <t>IVA GASTO</t>
  </si>
  <si>
    <t xml:space="preserve">DISMINUCION GASTO IVA </t>
  </si>
  <si>
    <t>PROYECTO DE IVA 2023-Tiendas SGH Y Rayban</t>
  </si>
  <si>
    <t>ABRIL PY</t>
  </si>
  <si>
    <t>ABRIL SIN PY</t>
  </si>
  <si>
    <t>Beneficio Abril</t>
  </si>
  <si>
    <t>Beneficio Marzo</t>
  </si>
  <si>
    <t>TOTAL</t>
  </si>
  <si>
    <t xml:space="preserve">IVA PROPORCIONADO </t>
  </si>
  <si>
    <t>BENEFICIO FLUJO DE EFECTIVO</t>
  </si>
  <si>
    <t>VALOR DESCONTABLE 100% EN DECLARACION BIM 2-2023 IVA</t>
  </si>
  <si>
    <t>MAYO PY</t>
  </si>
  <si>
    <t>MAYO SIN PY</t>
  </si>
  <si>
    <t>Beneficio Mayo</t>
  </si>
  <si>
    <t>VALOR DESCONTABLE 100% EN DECLARACION BIM 2-2023 IVA y mayo 2023</t>
  </si>
  <si>
    <t>MES</t>
  </si>
  <si>
    <t>FLUJO EFECTIVO</t>
  </si>
  <si>
    <t>JUNIO</t>
  </si>
  <si>
    <t>JULIO</t>
  </si>
  <si>
    <t>AGOSTO</t>
  </si>
  <si>
    <t>SEPTIEMBRE</t>
  </si>
  <si>
    <t>OCTUBRE</t>
  </si>
  <si>
    <t>NOVIEMBRE</t>
  </si>
  <si>
    <t>DICIEMBRE</t>
  </si>
  <si>
    <t>MARZO</t>
  </si>
  <si>
    <t>ABRIL</t>
  </si>
  <si>
    <t>MAYO</t>
  </si>
  <si>
    <t>MAYO Y JUNIO PY</t>
  </si>
  <si>
    <t>JUNIO SIN PY</t>
  </si>
  <si>
    <t>mayo</t>
  </si>
  <si>
    <t>junio</t>
  </si>
  <si>
    <t>Beneficio Junio</t>
  </si>
  <si>
    <t>compra</t>
  </si>
  <si>
    <t>enero</t>
  </si>
  <si>
    <t>febrero</t>
  </si>
  <si>
    <t>marzo</t>
  </si>
  <si>
    <t>abril</t>
  </si>
  <si>
    <t>julio</t>
  </si>
  <si>
    <t>agosto</t>
  </si>
  <si>
    <t>septiembre</t>
  </si>
  <si>
    <t>octubre</t>
  </si>
  <si>
    <t>noviembre</t>
  </si>
  <si>
    <t>diciembre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</si>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</sst>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 * #,##0_ ;_ * \-#,##0_ ;_ * &quot;-&quot;_ ;_ @_ "/>
    <numFmt numFmtId="166" formatCode="0.000%"/>
    <numFmt numFmtId="167" formatCode="0.0%"/>
    <numFmt numFmtId="168" formatCode="_ * #,##0.00000_ ;_ * \-#,##0.00000_ ;_ * &quot;-&quot;_ ;_ @_ "/>
    <numFmt numFmtId="169" formatCode="_-* #,##0_-;\-* #,##0_-;_-* &quot;-&quot;??_-;_-@_-"/>
  </numFmts>
  <fonts count="11" x14ac:knownFonts="1">
    <font>
      <sz val="11"/>
      <color theme="1"/>
      <name val="Calibri"/>
      <family val="2"/>
      <scheme val="minor"/>
    </font>
    <font>
      <sz val="10"/>
      <color theme="1"/>
      <name val="Calibri Light"/>
      <family val="2"/>
      <scheme val="major"/>
    </font>
    <font>
      <b/>
      <sz val="10"/>
      <color theme="1"/>
      <name val="Calibri Light"/>
      <family val="2"/>
      <scheme val="major"/>
    </font>
    <font>
      <sz val="11"/>
      <color theme="1"/>
      <name val="Calibri"/>
      <family val="2"/>
      <scheme val="minor"/>
    </font>
    <font>
      <b/>
      <sz val="12"/>
      <color theme="8" tint="-0.499984740745262"/>
      <name val="Amasis MT Pro Black"/>
      <family val="1"/>
    </font>
    <font>
      <b/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theme="4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double">
        <color theme="4" tint="-0.499984740745262"/>
      </bottom>
      <diagonal/>
    </border>
    <border>
      <left/>
      <right/>
      <top style="hair">
        <color theme="4" tint="-0.499984740745262"/>
      </top>
      <bottom/>
      <diagonal/>
    </border>
    <border>
      <left/>
      <right/>
      <top style="double">
        <color theme="4" tint="-0.499984740745262"/>
      </top>
      <bottom style="hair">
        <color theme="4" tint="-0.499984740745262"/>
      </bottom>
      <diagonal/>
    </border>
    <border>
      <left/>
      <right/>
      <top style="double">
        <color theme="4" tint="-0.499984740745262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double">
        <color theme="4" tint="-0.499984740745262"/>
      </top>
      <bottom style="thin">
        <color indexed="64"/>
      </bottom>
      <diagonal/>
    </border>
  </borders>
  <cellStyleXfs count="5">
    <xf numFmtId="0" fontId="0" fillId="0" borderId="0"/>
    <xf numFmtId="41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34">
    <xf numFmtId="0" fontId="0" fillId="0" borderId="0" xfId="0"/>
    <xf numFmtId="0" fontId="1" fillId="0" borderId="0" xfId="0" applyFont="1" applyAlignment="1">
      <alignment horizontal="right" vertical="center"/>
    </xf>
    <xf numFmtId="164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164" fontId="1" fillId="0" borderId="1" xfId="0" applyNumberFormat="1" applyFont="1" applyBorder="1" applyAlignment="1">
      <alignment horizontal="right" vertical="center"/>
    </xf>
    <xf numFmtId="164" fontId="1" fillId="0" borderId="10" xfId="0" applyNumberFormat="1" applyFont="1" applyBorder="1" applyAlignment="1">
      <alignment horizontal="right" vertical="center"/>
    </xf>
    <xf numFmtId="164" fontId="1" fillId="0" borderId="11" xfId="0" applyNumberFormat="1" applyFont="1" applyBorder="1" applyAlignment="1">
      <alignment horizontal="right" vertical="center"/>
    </xf>
    <xf numFmtId="0" fontId="5" fillId="4" borderId="15" xfId="0" applyFont="1" applyFill="1" applyBorder="1" applyAlignment="1">
      <alignment horizontal="center" vertical="center" wrapText="1"/>
    </xf>
    <xf numFmtId="3" fontId="6" fillId="0" borderId="0" xfId="0" applyNumberFormat="1" applyFont="1"/>
    <xf numFmtId="9" fontId="6" fillId="0" borderId="0" xfId="2" applyFont="1" applyFill="1" applyBorder="1" applyAlignment="1">
      <alignment horizontal="center"/>
    </xf>
    <xf numFmtId="165" fontId="0" fillId="0" borderId="0" xfId="3" applyFont="1" applyFill="1" applyBorder="1" applyAlignment="1"/>
    <xf numFmtId="165" fontId="0" fillId="0" borderId="0" xfId="3" applyFont="1" applyBorder="1"/>
    <xf numFmtId="10" fontId="0" fillId="0" borderId="0" xfId="2" applyNumberFormat="1" applyFont="1" applyFill="1" applyBorder="1" applyAlignment="1">
      <alignment horizontal="center"/>
    </xf>
    <xf numFmtId="41" fontId="6" fillId="0" borderId="0" xfId="1" applyFont="1" applyBorder="1"/>
    <xf numFmtId="3" fontId="6" fillId="5" borderId="0" xfId="0" applyNumberFormat="1" applyFont="1" applyFill="1"/>
    <xf numFmtId="9" fontId="6" fillId="5" borderId="0" xfId="2" applyFont="1" applyFill="1" applyBorder="1" applyAlignment="1">
      <alignment horizontal="center"/>
    </xf>
    <xf numFmtId="165" fontId="0" fillId="5" borderId="0" xfId="3" applyFont="1" applyFill="1" applyBorder="1" applyAlignment="1"/>
    <xf numFmtId="165" fontId="0" fillId="5" borderId="0" xfId="3" applyFont="1" applyFill="1" applyBorder="1"/>
    <xf numFmtId="166" fontId="0" fillId="5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Border="1" applyAlignment="1">
      <alignment horizontal="center"/>
    </xf>
    <xf numFmtId="3" fontId="0" fillId="0" borderId="0" xfId="0" applyNumberFormat="1"/>
    <xf numFmtId="3" fontId="0" fillId="5" borderId="0" xfId="0" applyNumberFormat="1" applyFill="1"/>
    <xf numFmtId="3" fontId="5" fillId="3" borderId="0" xfId="0" applyNumberFormat="1" applyFont="1" applyFill="1"/>
    <xf numFmtId="0" fontId="5" fillId="3" borderId="0" xfId="0" applyFont="1" applyFill="1"/>
    <xf numFmtId="165" fontId="5" fillId="3" borderId="0" xfId="3" applyFont="1" applyFill="1" applyBorder="1" applyAlignment="1">
      <alignment horizontal="right" vertical="center"/>
    </xf>
    <xf numFmtId="166" fontId="5" fillId="3" borderId="0" xfId="2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165" fontId="5" fillId="3" borderId="1" xfId="3" applyFont="1" applyFill="1" applyBorder="1" applyAlignment="1">
      <alignment horizontal="right" vertical="center"/>
    </xf>
    <xf numFmtId="165" fontId="5" fillId="3" borderId="1" xfId="3" applyFont="1" applyFill="1" applyBorder="1" applyAlignment="1">
      <alignment vertical="center"/>
    </xf>
    <xf numFmtId="41" fontId="0" fillId="8" borderId="1" xfId="0" applyNumberFormat="1" applyFill="1" applyBorder="1"/>
    <xf numFmtId="165" fontId="7" fillId="8" borderId="1" xfId="3" applyFont="1" applyFill="1" applyBorder="1" applyAlignment="1">
      <alignment wrapText="1"/>
    </xf>
    <xf numFmtId="165" fontId="0" fillId="8" borderId="1" xfId="3" applyFont="1" applyFill="1" applyBorder="1" applyAlignment="1"/>
    <xf numFmtId="165" fontId="6" fillId="8" borderId="1" xfId="3" applyFont="1" applyFill="1" applyBorder="1" applyAlignment="1">
      <alignment wrapText="1"/>
    </xf>
    <xf numFmtId="41" fontId="0" fillId="2" borderId="1" xfId="0" applyNumberFormat="1" applyFill="1" applyBorder="1"/>
    <xf numFmtId="165" fontId="7" fillId="2" borderId="1" xfId="3" applyFont="1" applyFill="1" applyBorder="1" applyAlignment="1">
      <alignment wrapText="1"/>
    </xf>
    <xf numFmtId="165" fontId="0" fillId="2" borderId="1" xfId="3" applyFont="1" applyFill="1" applyBorder="1" applyAlignment="1"/>
    <xf numFmtId="165" fontId="6" fillId="2" borderId="1" xfId="3" applyFont="1" applyFill="1" applyBorder="1" applyAlignment="1">
      <alignment wrapText="1"/>
    </xf>
    <xf numFmtId="0" fontId="0" fillId="2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0" borderId="1" xfId="0" applyBorder="1" applyAlignment="1">
      <alignment horizontal="center" wrapText="1"/>
    </xf>
    <xf numFmtId="165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vertical="center"/>
    </xf>
    <xf numFmtId="0" fontId="0" fillId="10" borderId="0" xfId="0" applyFill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center" vertical="center"/>
    </xf>
    <xf numFmtId="164" fontId="1" fillId="11" borderId="11" xfId="0" applyNumberFormat="1" applyFont="1" applyFill="1" applyBorder="1" applyAlignment="1">
      <alignment horizontal="right" vertical="center"/>
    </xf>
    <xf numFmtId="41" fontId="0" fillId="0" borderId="0" xfId="0" applyNumberFormat="1"/>
    <xf numFmtId="165" fontId="7" fillId="0" borderId="0" xfId="3" applyFont="1" applyFill="1" applyBorder="1" applyAlignment="1">
      <alignment wrapText="1"/>
    </xf>
    <xf numFmtId="165" fontId="6" fillId="5" borderId="0" xfId="3" applyFont="1" applyFill="1" applyBorder="1" applyAlignment="1">
      <alignment wrapText="1"/>
    </xf>
    <xf numFmtId="165" fontId="6" fillId="0" borderId="0" xfId="3" applyFont="1" applyFill="1" applyBorder="1" applyAlignment="1">
      <alignment wrapText="1"/>
    </xf>
    <xf numFmtId="165" fontId="5" fillId="3" borderId="0" xfId="3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167" fontId="1" fillId="0" borderId="1" xfId="2" applyNumberFormat="1" applyFont="1" applyBorder="1" applyAlignment="1">
      <alignment horizontal="right" vertical="center"/>
    </xf>
    <xf numFmtId="167" fontId="1" fillId="0" borderId="0" xfId="2" applyNumberFormat="1" applyFont="1" applyAlignment="1">
      <alignment horizontal="right" vertical="center"/>
    </xf>
    <xf numFmtId="167" fontId="1" fillId="11" borderId="1" xfId="2" applyNumberFormat="1" applyFont="1" applyFill="1" applyBorder="1" applyAlignment="1">
      <alignment horizontal="right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164" fontId="1" fillId="2" borderId="11" xfId="0" applyNumberFormat="1" applyFont="1" applyFill="1" applyBorder="1" applyAlignment="1">
      <alignment horizontal="right" vertical="center"/>
    </xf>
    <xf numFmtId="164" fontId="1" fillId="2" borderId="10" xfId="0" applyNumberFormat="1" applyFont="1" applyFill="1" applyBorder="1" applyAlignment="1">
      <alignment horizontal="right" vertical="center"/>
    </xf>
    <xf numFmtId="164" fontId="1" fillId="2" borderId="1" xfId="0" applyNumberFormat="1" applyFont="1" applyFill="1" applyBorder="1" applyAlignment="1">
      <alignment horizontal="right" vertical="center"/>
    </xf>
    <xf numFmtId="167" fontId="1" fillId="2" borderId="1" xfId="2" applyNumberFormat="1" applyFont="1" applyFill="1" applyBorder="1" applyAlignment="1">
      <alignment horizontal="right" vertical="center"/>
    </xf>
    <xf numFmtId="0" fontId="2" fillId="12" borderId="3" xfId="0" applyFont="1" applyFill="1" applyBorder="1" applyAlignment="1">
      <alignment horizontal="center" vertical="center" wrapText="1"/>
    </xf>
    <xf numFmtId="0" fontId="2" fillId="12" borderId="4" xfId="0" applyFont="1" applyFill="1" applyBorder="1" applyAlignment="1">
      <alignment horizontal="center" vertical="center" wrapText="1"/>
    </xf>
    <xf numFmtId="164" fontId="2" fillId="12" borderId="9" xfId="0" applyNumberFormat="1" applyFont="1" applyFill="1" applyBorder="1" applyAlignment="1">
      <alignment horizontal="center" vertical="center" wrapText="1"/>
    </xf>
    <xf numFmtId="164" fontId="2" fillId="12" borderId="18" xfId="0" applyNumberFormat="1" applyFont="1" applyFill="1" applyBorder="1" applyAlignment="1">
      <alignment horizontal="center" vertical="center" wrapText="1"/>
    </xf>
    <xf numFmtId="164" fontId="2" fillId="12" borderId="1" xfId="0" applyNumberFormat="1" applyFont="1" applyFill="1" applyBorder="1" applyAlignment="1">
      <alignment horizontal="center" vertical="center" wrapText="1"/>
    </xf>
    <xf numFmtId="167" fontId="2" fillId="12" borderId="1" xfId="2" applyNumberFormat="1" applyFont="1" applyFill="1" applyBorder="1" applyAlignment="1">
      <alignment horizontal="center" vertical="center" wrapText="1"/>
    </xf>
    <xf numFmtId="164" fontId="2" fillId="0" borderId="0" xfId="0" applyNumberFormat="1" applyFont="1" applyAlignment="1">
      <alignment horizontal="right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left" vertical="center"/>
    </xf>
    <xf numFmtId="0" fontId="1" fillId="2" borderId="8" xfId="0" applyFont="1" applyFill="1" applyBorder="1" applyAlignment="1">
      <alignment horizontal="center" vertical="center"/>
    </xf>
    <xf numFmtId="164" fontId="1" fillId="2" borderId="12" xfId="0" applyNumberFormat="1" applyFont="1" applyFill="1" applyBorder="1" applyAlignment="1">
      <alignment horizontal="right" vertical="center"/>
    </xf>
    <xf numFmtId="164" fontId="1" fillId="2" borderId="13" xfId="0" applyNumberFormat="1" applyFont="1" applyFill="1" applyBorder="1" applyAlignment="1">
      <alignment horizontal="right" vertical="center"/>
    </xf>
    <xf numFmtId="167" fontId="0" fillId="2" borderId="1" xfId="0" applyNumberFormat="1" applyFill="1" applyBorder="1"/>
    <xf numFmtId="0" fontId="0" fillId="13" borderId="2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164" fontId="0" fillId="0" borderId="0" xfId="0" applyNumberFormat="1"/>
    <xf numFmtId="0" fontId="8" fillId="0" borderId="0" xfId="0" applyFont="1" applyAlignment="1">
      <alignment horizontal="center"/>
    </xf>
    <xf numFmtId="0" fontId="8" fillId="0" borderId="0" xfId="0" applyFont="1"/>
    <xf numFmtId="0" fontId="8" fillId="6" borderId="0" xfId="0" applyFont="1" applyFill="1"/>
    <xf numFmtId="164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164" fontId="0" fillId="0" borderId="1" xfId="0" applyNumberFormat="1" applyBorder="1"/>
    <xf numFmtId="167" fontId="1" fillId="2" borderId="0" xfId="2" applyNumberFormat="1" applyFont="1" applyFill="1" applyBorder="1" applyAlignment="1">
      <alignment horizontal="right" vertical="center"/>
    </xf>
    <xf numFmtId="0" fontId="1" fillId="14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right" vertical="center"/>
    </xf>
    <xf numFmtId="167" fontId="1" fillId="2" borderId="2" xfId="2" applyNumberFormat="1" applyFont="1" applyFill="1" applyBorder="1" applyAlignment="1">
      <alignment horizontal="right" vertical="center"/>
    </xf>
    <xf numFmtId="164" fontId="1" fillId="11" borderId="10" xfId="0" applyNumberFormat="1" applyFont="1" applyFill="1" applyBorder="1" applyAlignment="1">
      <alignment horizontal="right" vertical="center"/>
    </xf>
    <xf numFmtId="164" fontId="1" fillId="11" borderId="1" xfId="0" applyNumberFormat="1" applyFont="1" applyFill="1" applyBorder="1" applyAlignment="1">
      <alignment horizontal="right" vertical="center"/>
    </xf>
    <xf numFmtId="0" fontId="1" fillId="15" borderId="6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left" vertical="center"/>
    </xf>
    <xf numFmtId="0" fontId="1" fillId="15" borderId="1" xfId="0" applyFont="1" applyFill="1" applyBorder="1" applyAlignment="1">
      <alignment horizontal="center" vertical="center"/>
    </xf>
    <xf numFmtId="164" fontId="1" fillId="15" borderId="11" xfId="0" applyNumberFormat="1" applyFont="1" applyFill="1" applyBorder="1" applyAlignment="1">
      <alignment horizontal="right" vertical="center"/>
    </xf>
    <xf numFmtId="164" fontId="1" fillId="15" borderId="10" xfId="0" applyNumberFormat="1" applyFont="1" applyFill="1" applyBorder="1" applyAlignment="1">
      <alignment horizontal="right" vertical="center"/>
    </xf>
    <xf numFmtId="164" fontId="1" fillId="15" borderId="1" xfId="0" applyNumberFormat="1" applyFont="1" applyFill="1" applyBorder="1" applyAlignment="1">
      <alignment horizontal="right" vertical="center"/>
    </xf>
    <xf numFmtId="167" fontId="1" fillId="15" borderId="1" xfId="2" applyNumberFormat="1" applyFont="1" applyFill="1" applyBorder="1" applyAlignment="1">
      <alignment horizontal="right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164" fontId="1" fillId="2" borderId="0" xfId="0" applyNumberFormat="1" applyFont="1" applyFill="1" applyAlignment="1">
      <alignment horizontal="right" vertical="center"/>
    </xf>
    <xf numFmtId="167" fontId="9" fillId="2" borderId="1" xfId="2" applyNumberFormat="1" applyFont="1" applyFill="1" applyBorder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8" fillId="0" borderId="0" xfId="0" applyNumberFormat="1" applyFont="1" applyAlignment="1">
      <alignment horizontal="center"/>
    </xf>
    <xf numFmtId="0" fontId="0" fillId="7" borderId="17" xfId="0" applyFill="1" applyBorder="1" applyAlignment="1">
      <alignment horizontal="center" wrapText="1"/>
    </xf>
    <xf numFmtId="15" fontId="0" fillId="0" borderId="0" xfId="0" applyNumberFormat="1"/>
    <xf numFmtId="165" fontId="0" fillId="0" borderId="0" xfId="0" applyNumberFormat="1"/>
    <xf numFmtId="168" fontId="0" fillId="0" borderId="0" xfId="0" applyNumberFormat="1"/>
    <xf numFmtId="165" fontId="0" fillId="0" borderId="1" xfId="0" applyNumberFormat="1" applyBorder="1" applyAlignment="1">
      <alignment horizontal="center" vertical="center" wrapText="1"/>
    </xf>
    <xf numFmtId="169" fontId="1" fillId="0" borderId="0" xfId="4" applyNumberFormat="1" applyFont="1" applyAlignment="1">
      <alignment horizontal="right" vertical="center"/>
    </xf>
    <xf numFmtId="0" fontId="4" fillId="3" borderId="14" xfId="0" applyFont="1" applyFill="1" applyBorder="1" applyAlignment="1">
      <alignment horizontal="center"/>
    </xf>
    <xf numFmtId="0" fontId="0" fillId="6" borderId="16" xfId="0" applyFill="1" applyBorder="1" applyAlignment="1">
      <alignment horizontal="center"/>
    </xf>
    <xf numFmtId="0" fontId="0" fillId="6" borderId="17" xfId="0" applyFill="1" applyBorder="1" applyAlignment="1">
      <alignment horizontal="center"/>
    </xf>
    <xf numFmtId="0" fontId="0" fillId="7" borderId="17" xfId="0" applyFill="1" applyBorder="1" applyAlignment="1">
      <alignment horizontal="center" wrapText="1"/>
    </xf>
    <xf numFmtId="0" fontId="8" fillId="0" borderId="1" xfId="0" applyFont="1" applyBorder="1" applyAlignment="1">
      <alignment horizontal="center"/>
    </xf>
    <xf numFmtId="0" fontId="0" fillId="7" borderId="19" xfId="0" applyFill="1" applyBorder="1" applyAlignment="1">
      <alignment horizontal="center" wrapText="1"/>
    </xf>
    <xf numFmtId="9" fontId="1" fillId="2" borderId="1" xfId="2" applyNumberFormat="1" applyFont="1" applyFill="1" applyBorder="1" applyAlignment="1">
      <alignment horizontal="right" vertical="center"/>
    </xf>
  </cellXfs>
  <cellStyles count="5">
    <cellStyle name="Millares" xfId="4" builtinId="3"/>
    <cellStyle name="Millares [0]" xfId="1" builtinId="6"/>
    <cellStyle name="Millares [0] 2" xfId="3" xr:uid="{6BD5FCAD-29B4-4C9E-A407-6F645F0028DE}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b="1"/>
              <a:t>PROYECCION</a:t>
            </a:r>
            <a:r>
              <a:rPr lang="es-CO" b="1" baseline="0"/>
              <a:t> IVA 2023</a:t>
            </a:r>
            <a:endParaRPr lang="es-CO" b="1"/>
          </a:p>
        </c:rich>
      </c:tx>
      <c:layout>
        <c:manualLayout>
          <c:xMode val="edge"/>
          <c:yMode val="edge"/>
          <c:x val="0.37079155730533681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MAYO!$B$49</c:f>
              <c:strCache>
                <c:ptCount val="1"/>
                <c:pt idx="0">
                  <c:v>IVA GASTO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MAYO!$C$48:$M$48</c:f>
              <c:strCache>
                <c:ptCount val="11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  <c:pt idx="10">
                  <c:v>TOTAL</c:v>
                </c:pt>
              </c:strCache>
            </c:strRef>
          </c:cat>
          <c:val>
            <c:numRef>
              <c:f>MAYO!$C$49:$M$49</c:f>
              <c:numCache>
                <c:formatCode>_-"$"\ * #,##0_-;\-"$"\ * #,##0_-;_-"$"\ * "-"??_-;_-@_-</c:formatCode>
                <c:ptCount val="11"/>
                <c:pt idx="0">
                  <c:v>10662429.708859444</c:v>
                </c:pt>
                <c:pt idx="1">
                  <c:v>24504367.904761434</c:v>
                </c:pt>
                <c:pt idx="2">
                  <c:v>26970298.210985303</c:v>
                </c:pt>
                <c:pt idx="3">
                  <c:v>28500000</c:v>
                </c:pt>
                <c:pt idx="4">
                  <c:v>30000000</c:v>
                </c:pt>
                <c:pt idx="5">
                  <c:v>30000000</c:v>
                </c:pt>
                <c:pt idx="6">
                  <c:v>30000000</c:v>
                </c:pt>
                <c:pt idx="7">
                  <c:v>30000000</c:v>
                </c:pt>
                <c:pt idx="8">
                  <c:v>30000000</c:v>
                </c:pt>
                <c:pt idx="9">
                  <c:v>30000000</c:v>
                </c:pt>
                <c:pt idx="10">
                  <c:v>270637095.82460618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99-429B-884B-7AC42A0B25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9072416"/>
        <c:axId val="499073376"/>
      </c:barChart>
      <c:lineChart>
        <c:grouping val="standard"/>
        <c:varyColors val="0"/>
        <c:ser>
          <c:idx val="1"/>
          <c:order val="1"/>
          <c:tx>
            <c:strRef>
              <c:f>MAYO!$B$50</c:f>
              <c:strCache>
                <c:ptCount val="1"/>
                <c:pt idx="0">
                  <c:v>FLUJO EFECTIVO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MAYO!$C$48:$M$48</c:f>
              <c:strCache>
                <c:ptCount val="11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  <c:pt idx="10">
                  <c:v>TOTAL</c:v>
                </c:pt>
              </c:strCache>
            </c:strRef>
          </c:cat>
          <c:val>
            <c:numRef>
              <c:f>MAYO!$C$50:$M$50</c:f>
              <c:numCache>
                <c:formatCode>_-"$"\ * #,##0_-;\-"$"\ * #,##0_-;_-"$"\ * "-"??_-;_-@_-</c:formatCode>
                <c:ptCount val="11"/>
                <c:pt idx="0">
                  <c:v>40279641</c:v>
                </c:pt>
                <c:pt idx="1">
                  <c:v>82721687</c:v>
                </c:pt>
                <c:pt idx="2">
                  <c:v>83431658</c:v>
                </c:pt>
                <c:pt idx="3">
                  <c:v>82000000</c:v>
                </c:pt>
                <c:pt idx="4">
                  <c:v>82000000</c:v>
                </c:pt>
                <c:pt idx="5">
                  <c:v>82000000</c:v>
                </c:pt>
                <c:pt idx="6">
                  <c:v>82000000</c:v>
                </c:pt>
                <c:pt idx="7">
                  <c:v>82000000</c:v>
                </c:pt>
                <c:pt idx="8">
                  <c:v>82000000</c:v>
                </c:pt>
                <c:pt idx="9">
                  <c:v>82000000</c:v>
                </c:pt>
                <c:pt idx="10">
                  <c:v>780432986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99-429B-884B-7AC42A0B25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0942528"/>
        <c:axId val="520942048"/>
      </c:lineChart>
      <c:catAx>
        <c:axId val="499072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99073376"/>
        <c:crosses val="autoZero"/>
        <c:auto val="1"/>
        <c:lblAlgn val="ctr"/>
        <c:lblOffset val="100"/>
        <c:noMultiLvlLbl val="0"/>
      </c:catAx>
      <c:valAx>
        <c:axId val="49907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&quot;$&quot;\ * #,##0_-;\-&quot;$&quot;\ * #,##0_-;_-&quot;$&quot;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99072416"/>
        <c:crosses val="autoZero"/>
        <c:crossBetween val="between"/>
      </c:valAx>
      <c:valAx>
        <c:axId val="520942048"/>
        <c:scaling>
          <c:orientation val="minMax"/>
        </c:scaling>
        <c:delete val="0"/>
        <c:axPos val="r"/>
        <c:numFmt formatCode="_-&quot;$&quot;\ * #,##0_-;\-&quot;$&quot;\ * #,##0_-;_-&quot;$&quot;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20942528"/>
        <c:crosses val="max"/>
        <c:crossBetween val="between"/>
      </c:valAx>
      <c:catAx>
        <c:axId val="5209425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209420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  <cx:data id="1">
      <cx:strDim type="cat">
        <cx:f>_xlchart.v1.0</cx:f>
      </cx:strDim>
      <cx:numDim type="val">
        <cx:f>_xlchart.v1.4</cx:f>
      </cx:numDim>
    </cx:data>
  </cx:chartData>
  <cx:chart>
    <cx:title pos="t" align="ctr" overlay="0">
      <cx:tx>
        <cx:txData>
          <cx:v>PROYECCION SEMESTRE 2-2023 PROYECTO IVA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PROYECCION SEMESTRE 2-2023 PROYECTO IVA</a:t>
          </a:r>
        </a:p>
      </cx:txPr>
    </cx:title>
    <cx:plotArea>
      <cx:plotAreaRegion>
        <cx:plotSurface>
          <cx:spPr>
            <a:ln>
              <a:solidFill>
                <a:schemeClr val="accent1">
                  <a:alpha val="98000"/>
                </a:schemeClr>
              </a:solidFill>
            </a:ln>
          </cx:spPr>
        </cx:plotSurface>
        <cx:series layoutId="clusteredColumn" uniqueId="{11C87821-231E-414F-A0A2-A86E330CED68}" formatIdx="0">
          <cx:tx>
            <cx:txData>
              <cx:f>_xlchart.v1.1</cx:f>
              <cx:v>IVA GASTO</cx:v>
            </cx:txData>
          </cx:tx>
          <cx:dataLabels pos="inEnd">
            <cx:visibility seriesName="0" categoryName="0" value="1"/>
          </cx:dataLabels>
          <cx:dataId val="0"/>
          <cx:layoutPr>
            <cx:aggregation/>
          </cx:layoutPr>
          <cx:axisId val="1"/>
        </cx:series>
        <cx:series layoutId="paretoLine" ownerIdx="0" uniqueId="{E0F0DB99-65E0-4FBD-93FE-D3BF8F4C2CC0}" formatIdx="1">
          <cx:axisId val="2"/>
        </cx:series>
        <cx:series layoutId="clusteredColumn" hidden="1" uniqueId="{E8101EB6-8EE3-422A-983B-747FB534BC26}" formatIdx="2">
          <cx:tx>
            <cx:txData>
              <cx:f>_xlchart.v1.3</cx:f>
              <cx:v>FLUJO EFECTIVO</cx:v>
            </cx:txData>
          </cx:tx>
          <cx:dataLabels pos="inEnd">
            <cx:visibility seriesName="0" categoryName="0" value="1"/>
          </cx:dataLabels>
          <cx:dataId val="1"/>
          <cx:layoutPr>
            <cx:aggregation/>
          </cx:layoutPr>
          <cx:axisId val="1"/>
        </cx:series>
        <cx:series layoutId="paretoLine" ownerIdx="2" uniqueId="{B1D9366E-5037-46A7-9C53-C21233D83C39}" formatIdx="3">
          <cx:axisId val="2"/>
        </cx:series>
      </cx:plotAreaRegion>
      <cx:axis id="0">
        <cx:catScaling gapWidth="0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ln>
                  <a:solidFill>
                    <a:schemeClr val="accent1"/>
                  </a:solidFill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s-ES" sz="900" b="0" i="0" u="none" strike="noStrike" baseline="0">
              <a:ln>
                <a:solidFill>
                  <a:schemeClr val="accent1"/>
                </a:solidFill>
              </a:ln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  <cx:axis id="1" hidden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dk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422274</xdr:colOff>
      <xdr:row>24</xdr:row>
      <xdr:rowOff>79374</xdr:rowOff>
    </xdr:from>
    <xdr:to>
      <xdr:col>9</xdr:col>
      <xdr:colOff>209549</xdr:colOff>
      <xdr:row>45</xdr:row>
      <xdr:rowOff>184149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ACA1068B-33CE-3A09-9D53-A57308424E1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84774" y="6365874"/>
              <a:ext cx="6340475" cy="3902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</xdr:col>
      <xdr:colOff>829469</xdr:colOff>
      <xdr:row>51</xdr:row>
      <xdr:rowOff>88900</xdr:rowOff>
    </xdr:from>
    <xdr:to>
      <xdr:col>8</xdr:col>
      <xdr:colOff>1004094</xdr:colOff>
      <xdr:row>66</xdr:row>
      <xdr:rowOff>93663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4A09F2A6-C057-6577-F363-5D1277D383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881063</xdr:colOff>
      <xdr:row>71</xdr:row>
      <xdr:rowOff>119062</xdr:rowOff>
    </xdr:from>
    <xdr:to>
      <xdr:col>8</xdr:col>
      <xdr:colOff>1404938</xdr:colOff>
      <xdr:row>86</xdr:row>
      <xdr:rowOff>103188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6BC9674-D854-F802-C81E-8E53E53CA9B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19707" t="18483" r="25964" b="19361"/>
        <a:stretch/>
      </xdr:blipFill>
      <xdr:spPr>
        <a:xfrm>
          <a:off x="6611938" y="15557500"/>
          <a:ext cx="4230688" cy="272256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lor.lopez\Desktop\Arriendos%20base%20de%20datos%20Macro%20Final.xlsm" TargetMode="External"/><Relationship Id="rId1" Type="http://schemas.openxmlformats.org/officeDocument/2006/relationships/externalLinkPath" Target="/Users/flor.lopez/Desktop/Arriendos%20base%20de%20datos%20Macro%20Final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luxotticagroup-my.sharepoint.com/personal/sharon_luna_co_luxottica_com/Documents/Cierre%202023/003.%20MARZO/002.%20Prorrateo%20Iva%20Marzo/001%20Prorrateo%20IVA%20Marzo.xlsx" TargetMode="External"/><Relationship Id="rId1" Type="http://schemas.openxmlformats.org/officeDocument/2006/relationships/externalLinkPath" Target="https://luxotticagroup-my.sharepoint.com/personal/sharon_luna_co_luxottica_com/Documents/Cierre%202023/003.%20MARZO/002.%20Prorrateo%20Iva%20Marzo/001%20Prorrateo%20IVA%20Marz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ucy"/>
      <sheetName val="CUENTAS"/>
      <sheetName val="MACHOTE"/>
      <sheetName val="TODOS"/>
      <sheetName val="contratos"/>
      <sheetName val="compenzaciones"/>
      <sheetName val="Hoja1"/>
      <sheetName val="ADMON"/>
      <sheetName val="PRORRATEO"/>
      <sheetName val="arriendo1"/>
    </sheetNames>
    <sheetDataSet>
      <sheetData sheetId="0"/>
      <sheetData sheetId="1"/>
      <sheetData sheetId="2"/>
      <sheetData sheetId="3">
        <row r="5">
          <cell r="H5" t="str">
            <v>APARTIR DEL 1 ENERO 2026</v>
          </cell>
        </row>
        <row r="6">
          <cell r="H6" t="str">
            <v>GRANDES CONTRIBUYENTE EN EL IMPUESTO DE INDUSTRIA Y COMERCIO BOGOTA</v>
          </cell>
        </row>
        <row r="7">
          <cell r="H7" t="str">
            <v>somos autorretenedores</v>
          </cell>
          <cell r="J7" t="str">
            <v>CONTRATOS</v>
          </cell>
          <cell r="O7" t="str">
            <v>PRORRATEO</v>
          </cell>
        </row>
        <row r="8">
          <cell r="H8" t="str">
            <v>C.c.</v>
          </cell>
          <cell r="I8" t="str">
            <v>C.c.</v>
          </cell>
          <cell r="J8" t="str">
            <v>End of Term</v>
          </cell>
          <cell r="K8" t="str">
            <v>Status en REM</v>
          </cell>
          <cell r="L8" t="str">
            <v>RENT MIN RENT</v>
          </cell>
          <cell r="M8" t="str">
            <v>SELL MEDIA</v>
          </cell>
          <cell r="N8" t="str">
            <v>SELL CAM</v>
          </cell>
          <cell r="O8" t="str">
            <v>VALOR ACTUAL CANON</v>
          </cell>
          <cell r="P8" t="str">
            <v>IVA CANON</v>
          </cell>
          <cell r="Q8" t="str">
            <v>IVA DEDUCIBLE VW</v>
          </cell>
          <cell r="R8" t="str">
            <v>IVA PRORRATEO VQ</v>
          </cell>
          <cell r="S8" t="str">
            <v>PORCENTAJE IVA VW</v>
          </cell>
          <cell r="T8" t="str">
            <v>PORCENTAJE IVA VQ</v>
          </cell>
        </row>
        <row r="9">
          <cell r="H9">
            <v>6619</v>
          </cell>
          <cell r="J9">
            <v>45627</v>
          </cell>
          <cell r="K9" t="str">
            <v>OK</v>
          </cell>
          <cell r="L9" t="str">
            <v>VIGENTE</v>
          </cell>
          <cell r="M9">
            <v>0</v>
          </cell>
          <cell r="N9">
            <v>0</v>
          </cell>
          <cell r="O9">
            <v>11540440</v>
          </cell>
          <cell r="P9">
            <v>2192683.6</v>
          </cell>
          <cell r="Q9">
            <v>120597.59800000001</v>
          </cell>
          <cell r="R9">
            <v>2072086.0020000001</v>
          </cell>
          <cell r="S9">
            <v>5.5E-2</v>
          </cell>
          <cell r="T9">
            <v>0.94499999999999995</v>
          </cell>
        </row>
        <row r="10">
          <cell r="I10">
            <v>6619</v>
          </cell>
          <cell r="J10" t="str">
            <v>EXPENSAS</v>
          </cell>
          <cell r="K10">
            <v>2392410</v>
          </cell>
        </row>
        <row r="11">
          <cell r="I11">
            <v>6619</v>
          </cell>
          <cell r="J11" t="str">
            <v>PUBLICIDAD</v>
          </cell>
          <cell r="K11">
            <v>683226</v>
          </cell>
        </row>
        <row r="12">
          <cell r="I12">
            <v>6619</v>
          </cell>
          <cell r="J12" t="str">
            <v>AIRE ACOND</v>
          </cell>
          <cell r="K12">
            <v>193801</v>
          </cell>
        </row>
        <row r="14">
          <cell r="H14">
            <v>6711</v>
          </cell>
          <cell r="J14">
            <v>45505</v>
          </cell>
          <cell r="K14" t="str">
            <v>OK</v>
          </cell>
          <cell r="L14" t="str">
            <v>VIGENTE</v>
          </cell>
          <cell r="M14">
            <v>0</v>
          </cell>
          <cell r="N14">
            <v>0</v>
          </cell>
          <cell r="O14">
            <v>12101549</v>
          </cell>
          <cell r="P14">
            <v>2299294.31</v>
          </cell>
          <cell r="Q14">
            <v>158651.30739000003</v>
          </cell>
          <cell r="R14">
            <v>2140643.0026100003</v>
          </cell>
          <cell r="S14">
            <v>6.9000000000000006E-2</v>
          </cell>
          <cell r="T14">
            <v>0.93100000000000005</v>
          </cell>
        </row>
        <row r="15">
          <cell r="I15">
            <v>6711</v>
          </cell>
          <cell r="L15" t="str">
            <v>T043</v>
          </cell>
        </row>
        <row r="16">
          <cell r="I16">
            <v>6711</v>
          </cell>
        </row>
        <row r="17">
          <cell r="I17">
            <v>6711</v>
          </cell>
        </row>
        <row r="18">
          <cell r="I18">
            <v>6711</v>
          </cell>
        </row>
        <row r="19">
          <cell r="I19">
            <v>6711</v>
          </cell>
        </row>
        <row r="21">
          <cell r="H21">
            <v>6598</v>
          </cell>
          <cell r="J21">
            <v>43466</v>
          </cell>
          <cell r="K21" t="str">
            <v>VENCIDO</v>
          </cell>
          <cell r="L21" t="str">
            <v>CESADO</v>
          </cell>
          <cell r="M21">
            <v>0</v>
          </cell>
          <cell r="N21">
            <v>0</v>
          </cell>
          <cell r="O21">
            <v>19543600</v>
          </cell>
          <cell r="P21">
            <v>3713284</v>
          </cell>
          <cell r="Q21">
            <v>497580.05600000004</v>
          </cell>
          <cell r="R21">
            <v>3215703.9440000001</v>
          </cell>
          <cell r="S21">
            <v>0.13400000000000001</v>
          </cell>
          <cell r="T21">
            <v>0.86599999999999999</v>
          </cell>
        </row>
        <row r="22">
          <cell r="J22" t="str">
            <v>CUOTA DE ADMINISTRACION PPTO GASTOS (PG)</v>
          </cell>
          <cell r="L22">
            <v>2699575</v>
          </cell>
        </row>
        <row r="23">
          <cell r="I23">
            <v>6598</v>
          </cell>
          <cell r="J23" t="str">
            <v>CUOTA DE ADMINISTRACION PUBLICIDAD (P Y P)</v>
          </cell>
          <cell r="L23">
            <v>417217</v>
          </cell>
        </row>
        <row r="24">
          <cell r="I24">
            <v>6598</v>
          </cell>
          <cell r="J24" t="str">
            <v>FONDO DE IMPREVISTOS</v>
          </cell>
          <cell r="L24">
            <v>29961</v>
          </cell>
        </row>
        <row r="25">
          <cell r="I25">
            <v>6598</v>
          </cell>
          <cell r="J25" t="str">
            <v>INTERESES MORA ADMON</v>
          </cell>
          <cell r="L25">
            <v>2727</v>
          </cell>
        </row>
        <row r="27">
          <cell r="H27">
            <v>6776</v>
          </cell>
          <cell r="J27">
            <v>42321</v>
          </cell>
          <cell r="K27" t="str">
            <v>OK</v>
          </cell>
          <cell r="L27" t="str">
            <v>VIGENTE</v>
          </cell>
          <cell r="M27">
            <v>0</v>
          </cell>
          <cell r="N27">
            <v>0</v>
          </cell>
          <cell r="O27">
            <v>14343037</v>
          </cell>
          <cell r="P27">
            <v>2725177.0300000003</v>
          </cell>
          <cell r="Q27">
            <v>196212.74616000001</v>
          </cell>
          <cell r="R27">
            <v>2528964.2838400002</v>
          </cell>
          <cell r="S27">
            <v>7.1999999999999995E-2</v>
          </cell>
          <cell r="T27">
            <v>0.92800000000000005</v>
          </cell>
        </row>
        <row r="29">
          <cell r="I29">
            <v>6776</v>
          </cell>
        </row>
        <row r="30">
          <cell r="I30">
            <v>6776</v>
          </cell>
        </row>
        <row r="31">
          <cell r="I31">
            <v>6776</v>
          </cell>
        </row>
        <row r="33">
          <cell r="H33" t="str">
            <v>6716</v>
          </cell>
          <cell r="J33" t="e">
            <v>#N/A</v>
          </cell>
          <cell r="K33" t="e">
            <v>#N/A</v>
          </cell>
          <cell r="L33" t="e">
            <v>#N/A</v>
          </cell>
          <cell r="M33" t="e">
            <v>#N/A</v>
          </cell>
          <cell r="N33" t="e">
            <v>#N/A</v>
          </cell>
          <cell r="O33">
            <v>2614301</v>
          </cell>
          <cell r="P33" t="e">
            <v>#N/A</v>
          </cell>
          <cell r="Q33" t="e">
            <v>#N/A</v>
          </cell>
          <cell r="R33" t="e">
            <v>#N/A</v>
          </cell>
          <cell r="S33" t="e">
            <v>#N/A</v>
          </cell>
          <cell r="T33" t="e">
            <v>#N/A</v>
          </cell>
        </row>
        <row r="34">
          <cell r="I34" t="str">
            <v>6716</v>
          </cell>
          <cell r="J34" t="e">
            <v>#DIV/0!</v>
          </cell>
          <cell r="K34" t="e">
            <v>#DIV/0!</v>
          </cell>
        </row>
        <row r="35">
          <cell r="I35" t="str">
            <v>6716</v>
          </cell>
          <cell r="J35" t="e">
            <v>#DIV/0!</v>
          </cell>
          <cell r="K35" t="e">
            <v>#DIV/0!</v>
          </cell>
          <cell r="L35" t="str">
            <v>subtotal</v>
          </cell>
          <cell r="M35">
            <v>0</v>
          </cell>
        </row>
        <row r="36">
          <cell r="I36" t="str">
            <v>6716</v>
          </cell>
          <cell r="J36" t="e">
            <v>#DIV/0!</v>
          </cell>
          <cell r="K36" t="e">
            <v>#DIV/0!</v>
          </cell>
        </row>
        <row r="37">
          <cell r="I37" t="str">
            <v>6716</v>
          </cell>
          <cell r="J37" t="e">
            <v>#DIV/0!</v>
          </cell>
          <cell r="K37" t="e">
            <v>#DIV/0!</v>
          </cell>
        </row>
        <row r="38">
          <cell r="I38" t="str">
            <v>6716</v>
          </cell>
          <cell r="J38" t="str">
            <v>INCENTIVO</v>
          </cell>
          <cell r="K38">
            <v>0</v>
          </cell>
        </row>
        <row r="39">
          <cell r="I39" t="str">
            <v>6716</v>
          </cell>
          <cell r="J39" t="str">
            <v>INCENTIVO</v>
          </cell>
          <cell r="K39">
            <v>416418</v>
          </cell>
        </row>
        <row r="40">
          <cell r="I40" t="str">
            <v>6716</v>
          </cell>
        </row>
        <row r="41">
          <cell r="I41" t="str">
            <v>6716</v>
          </cell>
        </row>
        <row r="43">
          <cell r="H43">
            <v>6714</v>
          </cell>
          <cell r="J43">
            <v>42917</v>
          </cell>
          <cell r="K43" t="str">
            <v>OK</v>
          </cell>
          <cell r="L43" t="str">
            <v>VIGENTE</v>
          </cell>
          <cell r="M43">
            <v>0</v>
          </cell>
          <cell r="N43">
            <v>0</v>
          </cell>
          <cell r="O43">
            <v>11203043</v>
          </cell>
          <cell r="P43">
            <v>2128578.17</v>
          </cell>
          <cell r="Q43">
            <v>170286.2536</v>
          </cell>
          <cell r="R43">
            <v>1958291.9164</v>
          </cell>
          <cell r="S43">
            <v>0.08</v>
          </cell>
          <cell r="T43">
            <v>0.92</v>
          </cell>
        </row>
        <row r="44">
          <cell r="I44">
            <v>6714</v>
          </cell>
        </row>
        <row r="46">
          <cell r="H46">
            <v>6640</v>
          </cell>
          <cell r="J46">
            <v>42309</v>
          </cell>
          <cell r="K46" t="str">
            <v>OK</v>
          </cell>
          <cell r="L46" t="str">
            <v>VIGENTE</v>
          </cell>
          <cell r="M46">
            <v>0</v>
          </cell>
          <cell r="N46">
            <v>0</v>
          </cell>
          <cell r="O46">
            <v>5649396</v>
          </cell>
          <cell r="P46">
            <v>1073385.24</v>
          </cell>
          <cell r="Q46">
            <v>94890.773637943901</v>
          </cell>
          <cell r="R46">
            <v>978494.46636205621</v>
          </cell>
          <cell r="S46">
            <v>8.8403277874348166E-2</v>
          </cell>
          <cell r="T46">
            <v>0.9115967221256519</v>
          </cell>
        </row>
        <row r="47">
          <cell r="I47">
            <v>6640</v>
          </cell>
        </row>
        <row r="48">
          <cell r="I48">
            <v>6640</v>
          </cell>
        </row>
        <row r="49">
          <cell r="I49">
            <v>6640</v>
          </cell>
        </row>
        <row r="50">
          <cell r="I50">
            <v>6640</v>
          </cell>
        </row>
        <row r="52">
          <cell r="H52">
            <v>8140074</v>
          </cell>
          <cell r="J52">
            <v>45600</v>
          </cell>
          <cell r="K52" t="str">
            <v>REVISAR FECHAS</v>
          </cell>
          <cell r="L52" t="str">
            <v>VIGENTE</v>
          </cell>
          <cell r="M52">
            <v>0</v>
          </cell>
          <cell r="N52">
            <v>0</v>
          </cell>
          <cell r="O52">
            <v>70594906</v>
          </cell>
          <cell r="P52">
            <v>13413032.140000001</v>
          </cell>
          <cell r="Q52">
            <v>0</v>
          </cell>
          <cell r="R52">
            <v>13413032.140000001</v>
          </cell>
          <cell r="S52">
            <v>0</v>
          </cell>
          <cell r="T52">
            <v>1</v>
          </cell>
        </row>
        <row r="53">
          <cell r="I53">
            <v>8140074</v>
          </cell>
        </row>
        <row r="55">
          <cell r="H55">
            <v>6626</v>
          </cell>
          <cell r="J55">
            <v>45444</v>
          </cell>
          <cell r="K55" t="str">
            <v>OK</v>
          </cell>
          <cell r="L55" t="str">
            <v>VIGENTE</v>
          </cell>
          <cell r="M55">
            <v>0</v>
          </cell>
          <cell r="N55">
            <v>0</v>
          </cell>
          <cell r="O55">
            <v>15101403</v>
          </cell>
          <cell r="P55">
            <v>2869266.57</v>
          </cell>
          <cell r="Q55">
            <v>229541.32559999998</v>
          </cell>
          <cell r="R55">
            <v>2639725.2443999997</v>
          </cell>
          <cell r="S55">
            <v>0.08</v>
          </cell>
          <cell r="T55">
            <v>0.92</v>
          </cell>
        </row>
        <row r="56">
          <cell r="I56">
            <v>6626</v>
          </cell>
        </row>
        <row r="57">
          <cell r="I57">
            <v>6626</v>
          </cell>
        </row>
        <row r="58">
          <cell r="I58">
            <v>6626</v>
          </cell>
          <cell r="J58" t="str">
            <v>lo cambie de ibr a cg solo si es descuento</v>
          </cell>
        </row>
        <row r="60">
          <cell r="H60">
            <v>6759</v>
          </cell>
          <cell r="J60">
            <v>40026</v>
          </cell>
          <cell r="K60" t="str">
            <v>OK</v>
          </cell>
          <cell r="L60" t="str">
            <v>VIGENTE</v>
          </cell>
          <cell r="M60">
            <v>0</v>
          </cell>
          <cell r="N60">
            <v>0</v>
          </cell>
          <cell r="O60">
            <v>16280378</v>
          </cell>
          <cell r="P60">
            <v>3093271.82</v>
          </cell>
          <cell r="Q60">
            <v>191782.85283999998</v>
          </cell>
          <cell r="R60">
            <v>2901488.9671599995</v>
          </cell>
          <cell r="S60">
            <v>6.2E-2</v>
          </cell>
          <cell r="T60">
            <v>0.93799999999999994</v>
          </cell>
        </row>
        <row r="61">
          <cell r="I61">
            <v>6759</v>
          </cell>
        </row>
        <row r="62">
          <cell r="I62">
            <v>6759</v>
          </cell>
        </row>
        <row r="63">
          <cell r="I63">
            <v>6759</v>
          </cell>
        </row>
        <row r="64">
          <cell r="I64">
            <v>6759</v>
          </cell>
        </row>
        <row r="66">
          <cell r="H66">
            <v>6554</v>
          </cell>
          <cell r="J66">
            <v>42309</v>
          </cell>
          <cell r="K66" t="str">
            <v>VENCIDO</v>
          </cell>
          <cell r="L66" t="str">
            <v>CESADO</v>
          </cell>
          <cell r="M66">
            <v>0</v>
          </cell>
          <cell r="N66">
            <v>0</v>
          </cell>
          <cell r="O66">
            <v>24000000</v>
          </cell>
          <cell r="P66">
            <v>4560000</v>
          </cell>
          <cell r="Q66">
            <v>173280</v>
          </cell>
          <cell r="R66">
            <v>4386720</v>
          </cell>
          <cell r="S66">
            <v>3.7999999999999999E-2</v>
          </cell>
          <cell r="T66">
            <v>0.96199999999999997</v>
          </cell>
        </row>
        <row r="67">
          <cell r="I67">
            <v>6554</v>
          </cell>
          <cell r="K67" t="str">
            <v>EXPENSAS COMUNES</v>
          </cell>
          <cell r="L67">
            <v>2294957</v>
          </cell>
        </row>
        <row r="68">
          <cell r="I68">
            <v>6554</v>
          </cell>
          <cell r="K68" t="str">
            <v>PUBLICIDAD</v>
          </cell>
          <cell r="L68">
            <v>448896</v>
          </cell>
        </row>
        <row r="69">
          <cell r="I69">
            <v>6554</v>
          </cell>
          <cell r="K69" t="str">
            <v>MODULO ASCENSOR</v>
          </cell>
          <cell r="L69">
            <v>216232</v>
          </cell>
          <cell r="M69">
            <v>2294957</v>
          </cell>
        </row>
        <row r="70">
          <cell r="I70">
            <v>6554</v>
          </cell>
          <cell r="K70" t="str">
            <v>FONDO LEY 675</v>
          </cell>
          <cell r="L70">
            <v>36719</v>
          </cell>
        </row>
        <row r="71">
          <cell r="I71">
            <v>6554</v>
          </cell>
          <cell r="K71" t="str">
            <v>PARTIDA REPARACIONES NECESARI</v>
          </cell>
        </row>
        <row r="72">
          <cell r="K72" t="str">
            <v>FONDO RESERVA</v>
          </cell>
          <cell r="L72">
            <v>18360</v>
          </cell>
        </row>
        <row r="73">
          <cell r="H73">
            <v>9209</v>
          </cell>
          <cell r="J73">
            <v>43040</v>
          </cell>
          <cell r="K73" t="str">
            <v>CESADO</v>
          </cell>
          <cell r="L73" t="str">
            <v>CERRADA</v>
          </cell>
          <cell r="M73">
            <v>0</v>
          </cell>
          <cell r="N73">
            <v>0</v>
          </cell>
          <cell r="O73">
            <v>101940</v>
          </cell>
          <cell r="P73">
            <v>19368.599999999999</v>
          </cell>
          <cell r="Q73">
            <v>1549.4879999999998</v>
          </cell>
          <cell r="R73">
            <v>17819.112000000001</v>
          </cell>
          <cell r="S73">
            <v>0.08</v>
          </cell>
          <cell r="T73">
            <v>0.92</v>
          </cell>
        </row>
        <row r="74">
          <cell r="I74">
            <v>9209</v>
          </cell>
          <cell r="J74">
            <v>865531</v>
          </cell>
        </row>
        <row r="75">
          <cell r="I75">
            <v>9209</v>
          </cell>
        </row>
        <row r="77">
          <cell r="H77">
            <v>9209</v>
          </cell>
          <cell r="J77">
            <v>43040</v>
          </cell>
          <cell r="K77" t="str">
            <v>CESADO</v>
          </cell>
          <cell r="L77" t="str">
            <v>CERRADA</v>
          </cell>
          <cell r="M77">
            <v>0</v>
          </cell>
          <cell r="N77">
            <v>0</v>
          </cell>
          <cell r="O77">
            <v>101940</v>
          </cell>
          <cell r="P77">
            <v>19368.599999999999</v>
          </cell>
          <cell r="Q77">
            <v>1549.4879999999998</v>
          </cell>
          <cell r="R77">
            <v>17819.112000000001</v>
          </cell>
          <cell r="S77">
            <v>0.08</v>
          </cell>
          <cell r="T77">
            <v>0.92</v>
          </cell>
        </row>
        <row r="78">
          <cell r="I78">
            <v>9209</v>
          </cell>
        </row>
        <row r="79">
          <cell r="I79">
            <v>9209</v>
          </cell>
        </row>
        <row r="81">
          <cell r="H81">
            <v>9209</v>
          </cell>
          <cell r="J81">
            <v>43040</v>
          </cell>
          <cell r="K81" t="str">
            <v>CESADO</v>
          </cell>
          <cell r="L81" t="str">
            <v>CERRADA</v>
          </cell>
          <cell r="M81">
            <v>0</v>
          </cell>
          <cell r="N81">
            <v>0</v>
          </cell>
          <cell r="O81">
            <v>101940</v>
          </cell>
          <cell r="P81">
            <v>19368.599999999999</v>
          </cell>
          <cell r="Q81">
            <v>1549.4879999999998</v>
          </cell>
          <cell r="R81">
            <v>17819.112000000001</v>
          </cell>
          <cell r="S81">
            <v>0.08</v>
          </cell>
          <cell r="T81">
            <v>0.92</v>
          </cell>
        </row>
        <row r="82">
          <cell r="I82">
            <v>9209</v>
          </cell>
        </row>
        <row r="83">
          <cell r="I83">
            <v>9209</v>
          </cell>
        </row>
        <row r="84">
          <cell r="I84">
            <v>9209</v>
          </cell>
        </row>
        <row r="86">
          <cell r="H86">
            <v>6767</v>
          </cell>
          <cell r="J86">
            <v>45582</v>
          </cell>
          <cell r="K86" t="str">
            <v>OK</v>
          </cell>
          <cell r="L86" t="str">
            <v>VIGENTE</v>
          </cell>
          <cell r="M86">
            <v>0</v>
          </cell>
          <cell r="N86">
            <v>0</v>
          </cell>
          <cell r="O86">
            <v>3986803</v>
          </cell>
          <cell r="P86">
            <v>757492.57000000007</v>
          </cell>
          <cell r="Q86">
            <v>65144.361020000004</v>
          </cell>
          <cell r="R86">
            <v>692348.20898000011</v>
          </cell>
          <cell r="S86">
            <v>8.5999999999999993E-2</v>
          </cell>
          <cell r="T86">
            <v>0.91400000000000003</v>
          </cell>
        </row>
        <row r="87">
          <cell r="I87">
            <v>6767</v>
          </cell>
        </row>
        <row r="89">
          <cell r="H89">
            <v>6617</v>
          </cell>
          <cell r="J89">
            <v>40057</v>
          </cell>
          <cell r="K89" t="str">
            <v>VENCIDO</v>
          </cell>
          <cell r="L89" t="str">
            <v>CESADO</v>
          </cell>
          <cell r="M89">
            <v>0</v>
          </cell>
          <cell r="N89">
            <v>0</v>
          </cell>
          <cell r="O89">
            <v>9086819</v>
          </cell>
          <cell r="P89">
            <v>1726495.61</v>
          </cell>
          <cell r="Q89">
            <v>86324.780500000008</v>
          </cell>
          <cell r="R89">
            <v>1640170.8295</v>
          </cell>
          <cell r="S89">
            <v>0.05</v>
          </cell>
          <cell r="T89">
            <v>0.95</v>
          </cell>
        </row>
        <row r="90">
          <cell r="I90">
            <v>6617</v>
          </cell>
        </row>
        <row r="91">
          <cell r="I91">
            <v>6617</v>
          </cell>
        </row>
        <row r="92">
          <cell r="I92">
            <v>6617</v>
          </cell>
        </row>
        <row r="93">
          <cell r="I93">
            <v>6617</v>
          </cell>
        </row>
        <row r="94">
          <cell r="I94">
            <v>6617</v>
          </cell>
        </row>
        <row r="97">
          <cell r="H97">
            <v>6652</v>
          </cell>
          <cell r="J97">
            <v>43480</v>
          </cell>
          <cell r="K97" t="str">
            <v>VENCIDO</v>
          </cell>
          <cell r="L97" t="str">
            <v>CESADO</v>
          </cell>
          <cell r="M97">
            <v>0</v>
          </cell>
          <cell r="N97">
            <v>0</v>
          </cell>
          <cell r="O97">
            <v>15871587</v>
          </cell>
          <cell r="P97">
            <v>3015601.5300000003</v>
          </cell>
          <cell r="Q97">
            <v>160005.1278447978</v>
          </cell>
          <cell r="R97">
            <v>2855596.4021552023</v>
          </cell>
          <cell r="S97">
            <v>5.3059108192188037E-2</v>
          </cell>
          <cell r="T97">
            <v>0.94694089180781194</v>
          </cell>
        </row>
        <row r="98">
          <cell r="I98">
            <v>6652</v>
          </cell>
        </row>
        <row r="99">
          <cell r="I99">
            <v>6652</v>
          </cell>
        </row>
        <row r="101">
          <cell r="H101">
            <v>9209</v>
          </cell>
          <cell r="I101" t="str">
            <v>"11-2023"</v>
          </cell>
          <cell r="J101">
            <v>43040</v>
          </cell>
          <cell r="K101" t="str">
            <v>CESADO</v>
          </cell>
          <cell r="L101" t="str">
            <v>CERRADA</v>
          </cell>
          <cell r="M101">
            <v>0</v>
          </cell>
          <cell r="N101">
            <v>0</v>
          </cell>
          <cell r="O101">
            <v>101940</v>
          </cell>
          <cell r="P101">
            <v>19368.599999999999</v>
          </cell>
          <cell r="Q101">
            <v>1549.4879999999998</v>
          </cell>
          <cell r="R101">
            <v>17819.112000000001</v>
          </cell>
          <cell r="S101">
            <v>0.08</v>
          </cell>
          <cell r="T101">
            <v>0.92</v>
          </cell>
        </row>
        <row r="102">
          <cell r="I102">
            <v>9209</v>
          </cell>
        </row>
        <row r="104">
          <cell r="H104">
            <v>8583</v>
          </cell>
          <cell r="J104">
            <v>42370</v>
          </cell>
          <cell r="K104" t="str">
            <v>VENCIDO</v>
          </cell>
          <cell r="L104" t="str">
            <v>CESADO</v>
          </cell>
          <cell r="M104">
            <v>0</v>
          </cell>
          <cell r="N104">
            <v>0</v>
          </cell>
          <cell r="O104">
            <v>9715141</v>
          </cell>
          <cell r="P104">
            <v>1845876.79</v>
          </cell>
          <cell r="Q104">
            <v>177204.17184</v>
          </cell>
          <cell r="R104">
            <v>1668672.6181600001</v>
          </cell>
          <cell r="S104">
            <v>9.6000000000000002E-2</v>
          </cell>
          <cell r="T104">
            <v>0.90400000000000003</v>
          </cell>
        </row>
        <row r="105">
          <cell r="I105">
            <v>8583</v>
          </cell>
        </row>
        <row r="107">
          <cell r="H107">
            <v>8583</v>
          </cell>
          <cell r="J107">
            <v>42370</v>
          </cell>
          <cell r="K107" t="str">
            <v>VENCIDO</v>
          </cell>
          <cell r="L107" t="str">
            <v>CESADO</v>
          </cell>
          <cell r="M107">
            <v>0</v>
          </cell>
          <cell r="N107">
            <v>0</v>
          </cell>
          <cell r="O107">
            <v>9715141</v>
          </cell>
          <cell r="P107">
            <v>1845876.79</v>
          </cell>
          <cell r="Q107">
            <v>177204.17184</v>
          </cell>
          <cell r="R107">
            <v>1668672.6181600001</v>
          </cell>
          <cell r="S107">
            <v>9.6000000000000002E-2</v>
          </cell>
          <cell r="T107">
            <v>0.90400000000000003</v>
          </cell>
        </row>
        <row r="108">
          <cell r="I108">
            <v>8583</v>
          </cell>
        </row>
        <row r="109">
          <cell r="I109">
            <v>8583</v>
          </cell>
        </row>
        <row r="110">
          <cell r="I110">
            <v>8583</v>
          </cell>
        </row>
        <row r="111">
          <cell r="H111">
            <v>8583</v>
          </cell>
          <cell r="J111">
            <v>42370</v>
          </cell>
          <cell r="K111" t="str">
            <v>VENCIDO</v>
          </cell>
          <cell r="L111" t="str">
            <v>CESADO</v>
          </cell>
          <cell r="M111">
            <v>0</v>
          </cell>
          <cell r="N111">
            <v>0</v>
          </cell>
          <cell r="O111">
            <v>9715141</v>
          </cell>
          <cell r="P111">
            <v>1845876.79</v>
          </cell>
          <cell r="Q111">
            <v>177204.17184</v>
          </cell>
          <cell r="R111">
            <v>1668672.6181600001</v>
          </cell>
          <cell r="S111">
            <v>9.6000000000000002E-2</v>
          </cell>
          <cell r="T111">
            <v>0.90400000000000003</v>
          </cell>
        </row>
        <row r="112">
          <cell r="I112">
            <v>8583</v>
          </cell>
        </row>
        <row r="113">
          <cell r="I113">
            <v>8583</v>
          </cell>
        </row>
        <row r="114">
          <cell r="I114">
            <v>8583</v>
          </cell>
        </row>
        <row r="115">
          <cell r="I115">
            <v>8583</v>
          </cell>
        </row>
        <row r="116">
          <cell r="I116">
            <v>8583</v>
          </cell>
        </row>
        <row r="117">
          <cell r="H117" t="str">
            <v>A854</v>
          </cell>
          <cell r="J117">
            <v>44492</v>
          </cell>
          <cell r="K117" t="str">
            <v>OK</v>
          </cell>
          <cell r="L117" t="str">
            <v>VIGENTE</v>
          </cell>
          <cell r="M117">
            <v>0</v>
          </cell>
          <cell r="N117">
            <v>935593</v>
          </cell>
          <cell r="O117">
            <v>9355925</v>
          </cell>
          <cell r="P117">
            <v>1777625.75</v>
          </cell>
          <cell r="Q117">
            <v>179540.20075000002</v>
          </cell>
          <cell r="R117">
            <v>1598085.5492499999</v>
          </cell>
          <cell r="S117">
            <v>0.10100000000000001</v>
          </cell>
          <cell r="T117">
            <v>0.89900000000000002</v>
          </cell>
        </row>
        <row r="118">
          <cell r="I118" t="str">
            <v>A854</v>
          </cell>
        </row>
        <row r="119">
          <cell r="I119" t="str">
            <v>A854</v>
          </cell>
        </row>
        <row r="120">
          <cell r="I120" t="str">
            <v>A854</v>
          </cell>
        </row>
        <row r="121">
          <cell r="I121" t="str">
            <v>A854</v>
          </cell>
        </row>
        <row r="122">
          <cell r="I122" t="str">
            <v>A854</v>
          </cell>
        </row>
        <row r="123">
          <cell r="I123" t="str">
            <v>A854</v>
          </cell>
        </row>
        <row r="124">
          <cell r="I124" t="str">
            <v>A854</v>
          </cell>
        </row>
        <row r="126">
          <cell r="H126">
            <v>8859</v>
          </cell>
          <cell r="J126">
            <v>42690</v>
          </cell>
          <cell r="K126" t="str">
            <v>OK</v>
          </cell>
          <cell r="L126" t="str">
            <v>VIGENTE</v>
          </cell>
          <cell r="M126">
            <v>0</v>
          </cell>
          <cell r="N126">
            <v>0</v>
          </cell>
          <cell r="O126">
            <v>16580922</v>
          </cell>
          <cell r="P126">
            <v>3150375.18</v>
          </cell>
          <cell r="Q126">
            <v>3150375.18</v>
          </cell>
          <cell r="R126">
            <v>0</v>
          </cell>
          <cell r="S126">
            <v>1</v>
          </cell>
          <cell r="T126">
            <v>0</v>
          </cell>
        </row>
        <row r="127">
          <cell r="I127">
            <v>8859</v>
          </cell>
        </row>
        <row r="128">
          <cell r="I128">
            <v>8859</v>
          </cell>
        </row>
        <row r="129">
          <cell r="I129">
            <v>8859</v>
          </cell>
        </row>
        <row r="130">
          <cell r="I130">
            <v>8859</v>
          </cell>
        </row>
        <row r="131">
          <cell r="I131">
            <v>8859</v>
          </cell>
        </row>
        <row r="132">
          <cell r="I132">
            <v>8859</v>
          </cell>
        </row>
        <row r="133">
          <cell r="H133">
            <v>9264</v>
          </cell>
          <cell r="J133">
            <v>43146</v>
          </cell>
          <cell r="K133" t="str">
            <v>VENCIDO</v>
          </cell>
          <cell r="L133" t="str">
            <v>CESADO</v>
          </cell>
          <cell r="M133">
            <v>0</v>
          </cell>
          <cell r="N133">
            <v>0</v>
          </cell>
          <cell r="O133">
            <v>16580922</v>
          </cell>
          <cell r="P133">
            <v>3150375.18</v>
          </cell>
          <cell r="Q133">
            <v>3150375.18</v>
          </cell>
          <cell r="R133">
            <v>0</v>
          </cell>
          <cell r="S133">
            <v>1</v>
          </cell>
          <cell r="T133">
            <v>0</v>
          </cell>
        </row>
        <row r="134">
          <cell r="I134">
            <v>9264</v>
          </cell>
        </row>
        <row r="135">
          <cell r="I135">
            <v>9264</v>
          </cell>
          <cell r="J135" t="str">
            <v>SIN RETENCIONES</v>
          </cell>
        </row>
        <row r="136">
          <cell r="I136">
            <v>9264</v>
          </cell>
        </row>
        <row r="139">
          <cell r="H139">
            <v>9303</v>
          </cell>
          <cell r="J139">
            <v>43153</v>
          </cell>
          <cell r="K139" t="str">
            <v>VENCIDO</v>
          </cell>
          <cell r="L139" t="str">
            <v>CESADO</v>
          </cell>
          <cell r="M139">
            <v>0</v>
          </cell>
          <cell r="N139">
            <v>0</v>
          </cell>
          <cell r="O139">
            <v>16580922</v>
          </cell>
          <cell r="P139">
            <v>3150375.18</v>
          </cell>
          <cell r="Q139">
            <v>3150375.18</v>
          </cell>
          <cell r="R139">
            <v>0</v>
          </cell>
          <cell r="S139">
            <v>1</v>
          </cell>
          <cell r="T139">
            <v>0</v>
          </cell>
        </row>
        <row r="140">
          <cell r="I140">
            <v>9303</v>
          </cell>
        </row>
        <row r="141">
          <cell r="I141">
            <v>9303</v>
          </cell>
          <cell r="J141" t="str">
            <v>SIN RETENCIONES</v>
          </cell>
        </row>
        <row r="142">
          <cell r="I142">
            <v>9303</v>
          </cell>
        </row>
        <row r="143">
          <cell r="I143">
            <v>9303</v>
          </cell>
        </row>
        <row r="144">
          <cell r="I144">
            <v>9303</v>
          </cell>
        </row>
        <row r="145">
          <cell r="H145">
            <v>9304</v>
          </cell>
          <cell r="J145">
            <v>43059</v>
          </cell>
          <cell r="K145" t="str">
            <v>VENCIDO</v>
          </cell>
          <cell r="L145" t="str">
            <v>CESADO</v>
          </cell>
          <cell r="M145">
            <v>0</v>
          </cell>
          <cell r="N145">
            <v>0</v>
          </cell>
          <cell r="O145">
            <v>16580922</v>
          </cell>
          <cell r="P145">
            <v>3150375.18</v>
          </cell>
          <cell r="Q145">
            <v>3150375.18</v>
          </cell>
          <cell r="R145">
            <v>0</v>
          </cell>
          <cell r="S145">
            <v>1</v>
          </cell>
          <cell r="T145">
            <v>0</v>
          </cell>
        </row>
        <row r="146">
          <cell r="I146">
            <v>9304</v>
          </cell>
        </row>
        <row r="147">
          <cell r="I147">
            <v>9304</v>
          </cell>
        </row>
        <row r="148">
          <cell r="I148">
            <v>9304</v>
          </cell>
          <cell r="J148">
            <v>0</v>
          </cell>
        </row>
        <row r="149">
          <cell r="I149">
            <v>9304</v>
          </cell>
        </row>
        <row r="150">
          <cell r="I150" t="str">
            <v>A2</v>
          </cell>
          <cell r="J150">
            <v>0.04</v>
          </cell>
        </row>
        <row r="152">
          <cell r="H152">
            <v>8582</v>
          </cell>
          <cell r="J152">
            <v>42389</v>
          </cell>
          <cell r="K152" t="str">
            <v>CESADO</v>
          </cell>
          <cell r="L152" t="str">
            <v>REEMPLAZO 5-137</v>
          </cell>
          <cell r="M152">
            <v>0</v>
          </cell>
          <cell r="N152">
            <v>0</v>
          </cell>
          <cell r="O152">
            <v>16580922</v>
          </cell>
          <cell r="P152">
            <v>3150375.18</v>
          </cell>
          <cell r="Q152">
            <v>3150375.18</v>
          </cell>
          <cell r="R152">
            <v>0</v>
          </cell>
          <cell r="S152">
            <v>1</v>
          </cell>
          <cell r="T152">
            <v>0</v>
          </cell>
        </row>
        <row r="153">
          <cell r="I153">
            <v>8582</v>
          </cell>
        </row>
        <row r="154">
          <cell r="I154">
            <v>8582</v>
          </cell>
        </row>
        <row r="155">
          <cell r="I155">
            <v>8582</v>
          </cell>
        </row>
        <row r="156">
          <cell r="I156">
            <v>8582</v>
          </cell>
        </row>
        <row r="157">
          <cell r="I157">
            <v>8582</v>
          </cell>
        </row>
        <row r="158">
          <cell r="I158">
            <v>8582</v>
          </cell>
        </row>
        <row r="159">
          <cell r="I159">
            <v>8582</v>
          </cell>
        </row>
        <row r="160">
          <cell r="I160">
            <v>8582</v>
          </cell>
        </row>
        <row r="161">
          <cell r="H161">
            <v>9302</v>
          </cell>
          <cell r="J161">
            <v>43081</v>
          </cell>
          <cell r="K161" t="str">
            <v>VENCIDO</v>
          </cell>
          <cell r="L161" t="str">
            <v>CESADO</v>
          </cell>
          <cell r="M161">
            <v>0</v>
          </cell>
          <cell r="N161">
            <v>0</v>
          </cell>
          <cell r="O161">
            <v>7483348</v>
          </cell>
          <cell r="P161">
            <v>1421836.12</v>
          </cell>
          <cell r="Q161">
            <v>1421836.12</v>
          </cell>
          <cell r="R161">
            <v>0</v>
          </cell>
          <cell r="S161">
            <v>1</v>
          </cell>
          <cell r="T161">
            <v>0</v>
          </cell>
        </row>
        <row r="162">
          <cell r="I162">
            <v>9302</v>
          </cell>
        </row>
        <row r="163">
          <cell r="I163">
            <v>9302</v>
          </cell>
        </row>
        <row r="164">
          <cell r="I164" t="str">
            <v>A2</v>
          </cell>
          <cell r="J164">
            <v>3.5000000000000003E-2</v>
          </cell>
        </row>
        <row r="166">
          <cell r="H166">
            <v>9302</v>
          </cell>
          <cell r="J166">
            <v>43081</v>
          </cell>
          <cell r="K166" t="str">
            <v>VENCIDO</v>
          </cell>
          <cell r="L166" t="str">
            <v>CESADO</v>
          </cell>
          <cell r="M166">
            <v>0</v>
          </cell>
          <cell r="N166">
            <v>0</v>
          </cell>
          <cell r="O166">
            <v>7483348</v>
          </cell>
          <cell r="P166">
            <v>1421836.12</v>
          </cell>
          <cell r="Q166">
            <v>1421836.12</v>
          </cell>
          <cell r="R166">
            <v>0</v>
          </cell>
          <cell r="S166">
            <v>1</v>
          </cell>
          <cell r="T166">
            <v>0</v>
          </cell>
        </row>
        <row r="167">
          <cell r="I167">
            <v>9302</v>
          </cell>
        </row>
        <row r="168">
          <cell r="I168">
            <v>9302</v>
          </cell>
        </row>
        <row r="169">
          <cell r="I169" t="str">
            <v>A2</v>
          </cell>
          <cell r="J169">
            <v>3.5000000000000003E-2</v>
          </cell>
        </row>
        <row r="171">
          <cell r="H171">
            <v>6715</v>
          </cell>
          <cell r="J171">
            <v>41883</v>
          </cell>
          <cell r="K171" t="str">
            <v>VENCIDO</v>
          </cell>
          <cell r="L171" t="str">
            <v>CESADO</v>
          </cell>
          <cell r="M171">
            <v>0</v>
          </cell>
          <cell r="N171">
            <v>0</v>
          </cell>
          <cell r="O171">
            <v>17158194</v>
          </cell>
          <cell r="P171">
            <v>3260056.86</v>
          </cell>
          <cell r="Q171">
            <v>166262.89985999998</v>
          </cell>
          <cell r="R171">
            <v>3093793.9601399996</v>
          </cell>
          <cell r="S171">
            <v>5.0999999999999997E-2</v>
          </cell>
          <cell r="T171">
            <v>0.94899999999999995</v>
          </cell>
        </row>
        <row r="172">
          <cell r="I172">
            <v>6715</v>
          </cell>
        </row>
        <row r="173">
          <cell r="I173">
            <v>6715</v>
          </cell>
        </row>
        <row r="175">
          <cell r="H175">
            <v>6687</v>
          </cell>
          <cell r="J175">
            <v>45383</v>
          </cell>
          <cell r="K175" t="str">
            <v>OK</v>
          </cell>
          <cell r="L175" t="str">
            <v>VIGENTE</v>
          </cell>
          <cell r="M175">
            <v>0</v>
          </cell>
          <cell r="N175">
            <v>0</v>
          </cell>
          <cell r="O175">
            <v>17578142</v>
          </cell>
          <cell r="P175">
            <v>3339846.98</v>
          </cell>
          <cell r="Q175">
            <v>321139.1326923077</v>
          </cell>
          <cell r="R175">
            <v>3018707.8473076923</v>
          </cell>
          <cell r="S175">
            <v>9.6153846153846159E-2</v>
          </cell>
          <cell r="T175">
            <v>0.90384615384615385</v>
          </cell>
        </row>
        <row r="176">
          <cell r="I176">
            <v>6687</v>
          </cell>
        </row>
        <row r="177">
          <cell r="I177">
            <v>6687</v>
          </cell>
        </row>
        <row r="178">
          <cell r="I178">
            <v>6687</v>
          </cell>
        </row>
        <row r="179">
          <cell r="I179">
            <v>6687</v>
          </cell>
        </row>
        <row r="180">
          <cell r="I180" t="str">
            <v>A2</v>
          </cell>
          <cell r="J180">
            <v>8.781815507008647E-3</v>
          </cell>
        </row>
        <row r="181">
          <cell r="I181" t="str">
            <v>01</v>
          </cell>
          <cell r="J181">
            <v>3.1818209228256317E-2</v>
          </cell>
        </row>
        <row r="183">
          <cell r="H183">
            <v>6767</v>
          </cell>
          <cell r="J183">
            <v>45582</v>
          </cell>
          <cell r="K183" t="str">
            <v>OK</v>
          </cell>
          <cell r="L183" t="str">
            <v>VIGENTE</v>
          </cell>
          <cell r="M183">
            <v>0</v>
          </cell>
          <cell r="N183">
            <v>0</v>
          </cell>
          <cell r="O183">
            <v>3986803</v>
          </cell>
          <cell r="P183">
            <v>757492.57000000007</v>
          </cell>
          <cell r="Q183">
            <v>65144.361020000004</v>
          </cell>
          <cell r="R183">
            <v>692348.20898000011</v>
          </cell>
          <cell r="S183">
            <v>8.5999999999999993E-2</v>
          </cell>
          <cell r="T183">
            <v>0.91400000000000003</v>
          </cell>
        </row>
        <row r="184">
          <cell r="I184">
            <v>6767</v>
          </cell>
        </row>
        <row r="185">
          <cell r="I185">
            <v>6767</v>
          </cell>
        </row>
        <row r="186">
          <cell r="I186">
            <v>6767</v>
          </cell>
        </row>
        <row r="187">
          <cell r="I187">
            <v>6767</v>
          </cell>
        </row>
        <row r="188">
          <cell r="I188" t="str">
            <v>A2</v>
          </cell>
          <cell r="J188">
            <v>1.0000131010169508E-2</v>
          </cell>
        </row>
        <row r="189">
          <cell r="I189" t="str">
            <v>14</v>
          </cell>
          <cell r="J189">
            <v>3.4999990642130746E-2</v>
          </cell>
        </row>
        <row r="191">
          <cell r="H191">
            <v>8582</v>
          </cell>
          <cell r="J191">
            <v>45310</v>
          </cell>
          <cell r="K191" t="str">
            <v>REEMPLAZO 5-137</v>
          </cell>
          <cell r="L191">
            <v>0</v>
          </cell>
          <cell r="M191">
            <v>0</v>
          </cell>
          <cell r="N191">
            <v>0</v>
          </cell>
          <cell r="O191">
            <v>16580922</v>
          </cell>
          <cell r="P191">
            <v>3150375.18</v>
          </cell>
          <cell r="Q191">
            <v>3150375.18</v>
          </cell>
          <cell r="R191">
            <v>0</v>
          </cell>
          <cell r="S191">
            <v>1</v>
          </cell>
          <cell r="T191">
            <v>0</v>
          </cell>
        </row>
        <row r="192">
          <cell r="I192">
            <v>8582</v>
          </cell>
        </row>
        <row r="193">
          <cell r="I193">
            <v>8582</v>
          </cell>
        </row>
        <row r="194">
          <cell r="I194">
            <v>8582</v>
          </cell>
          <cell r="J194">
            <v>9.8000000000000004E-2</v>
          </cell>
        </row>
        <row r="195">
          <cell r="I195">
            <v>8582</v>
          </cell>
          <cell r="J195">
            <v>306362.12180000002</v>
          </cell>
        </row>
        <row r="196">
          <cell r="I196">
            <v>8582</v>
          </cell>
        </row>
        <row r="198">
          <cell r="H198">
            <v>6767</v>
          </cell>
          <cell r="J198">
            <v>45582</v>
          </cell>
          <cell r="K198" t="str">
            <v>OK</v>
          </cell>
          <cell r="L198" t="str">
            <v>VIGENTE</v>
          </cell>
          <cell r="M198">
            <v>0</v>
          </cell>
          <cell r="N198">
            <v>0</v>
          </cell>
          <cell r="O198">
            <v>8516410</v>
          </cell>
          <cell r="P198">
            <v>1618117.9</v>
          </cell>
          <cell r="Q198">
            <v>139158.13939999999</v>
          </cell>
          <cell r="R198">
            <v>1478959.7605999999</v>
          </cell>
          <cell r="S198">
            <v>8.5999999999999993E-2</v>
          </cell>
          <cell r="T198">
            <v>0.91400000000000003</v>
          </cell>
        </row>
        <row r="199">
          <cell r="I199">
            <v>6767</v>
          </cell>
        </row>
        <row r="200">
          <cell r="I200">
            <v>6767</v>
          </cell>
        </row>
        <row r="201">
          <cell r="I201">
            <v>6767</v>
          </cell>
        </row>
        <row r="202">
          <cell r="I202">
            <v>6767</v>
          </cell>
        </row>
        <row r="203">
          <cell r="H203">
            <v>9.659997112664109E-3</v>
          </cell>
          <cell r="I203" t="str">
            <v>A2</v>
          </cell>
        </row>
        <row r="204">
          <cell r="H204">
            <v>3.5000030350193043E-2</v>
          </cell>
          <cell r="I204" t="str">
            <v>01</v>
          </cell>
        </row>
        <row r="206">
          <cell r="H206">
            <v>9120</v>
          </cell>
          <cell r="J206">
            <v>43003</v>
          </cell>
          <cell r="K206" t="str">
            <v>VENCIDO</v>
          </cell>
          <cell r="L206" t="str">
            <v>CESADO</v>
          </cell>
          <cell r="M206">
            <v>0</v>
          </cell>
          <cell r="N206">
            <v>0</v>
          </cell>
          <cell r="O206">
            <v>7483348</v>
          </cell>
          <cell r="P206">
            <v>1421836.12</v>
          </cell>
          <cell r="Q206">
            <v>1421836.12</v>
          </cell>
          <cell r="R206">
            <v>0</v>
          </cell>
          <cell r="S206">
            <v>1</v>
          </cell>
          <cell r="T206">
            <v>0</v>
          </cell>
        </row>
        <row r="207">
          <cell r="I207">
            <v>9120</v>
          </cell>
        </row>
        <row r="208">
          <cell r="I208">
            <v>9120</v>
          </cell>
        </row>
        <row r="209">
          <cell r="I209">
            <v>9120</v>
          </cell>
        </row>
        <row r="210">
          <cell r="I210">
            <v>9120</v>
          </cell>
        </row>
        <row r="211">
          <cell r="I211" t="str">
            <v>A2</v>
          </cell>
          <cell r="J211">
            <v>3.5000030350193043E-2</v>
          </cell>
        </row>
        <row r="213">
          <cell r="H213">
            <v>9209</v>
          </cell>
          <cell r="J213">
            <v>43040</v>
          </cell>
          <cell r="K213" t="str">
            <v>CESADO</v>
          </cell>
          <cell r="L213" t="str">
            <v>CERRADA</v>
          </cell>
          <cell r="M213">
            <v>0</v>
          </cell>
          <cell r="N213">
            <v>0</v>
          </cell>
          <cell r="O213">
            <v>101940</v>
          </cell>
          <cell r="P213">
            <v>19368.599999999999</v>
          </cell>
          <cell r="Q213">
            <v>1549.4879999999998</v>
          </cell>
          <cell r="R213">
            <v>17819.112000000001</v>
          </cell>
          <cell r="S213">
            <v>0.08</v>
          </cell>
          <cell r="T213">
            <v>0.92</v>
          </cell>
        </row>
        <row r="214">
          <cell r="I214">
            <v>9209</v>
          </cell>
        </row>
        <row r="215">
          <cell r="I215">
            <v>9209</v>
          </cell>
        </row>
        <row r="216">
          <cell r="I216">
            <v>9209</v>
          </cell>
        </row>
        <row r="217">
          <cell r="I217">
            <v>9209</v>
          </cell>
        </row>
        <row r="218">
          <cell r="I218" t="str">
            <v>A2</v>
          </cell>
          <cell r="J218">
            <v>9.659997112664109E-3</v>
          </cell>
        </row>
        <row r="219">
          <cell r="I219" t="str">
            <v>01</v>
          </cell>
          <cell r="J219">
            <v>3.5000030350193043E-2</v>
          </cell>
        </row>
        <row r="221">
          <cell r="H221" t="str">
            <v>E924</v>
          </cell>
          <cell r="J221">
            <v>45786</v>
          </cell>
          <cell r="K221" t="str">
            <v>OK</v>
          </cell>
          <cell r="L221" t="str">
            <v>VIGENTE</v>
          </cell>
          <cell r="M221">
            <v>0</v>
          </cell>
          <cell r="N221">
            <v>0</v>
          </cell>
          <cell r="O221">
            <v>16500000</v>
          </cell>
          <cell r="P221">
            <v>3135000</v>
          </cell>
          <cell r="Q221">
            <v>3135000</v>
          </cell>
          <cell r="R221">
            <v>0</v>
          </cell>
          <cell r="S221">
            <v>1</v>
          </cell>
          <cell r="T221">
            <v>0</v>
          </cell>
        </row>
        <row r="222">
          <cell r="I222" t="str">
            <v>E924</v>
          </cell>
          <cell r="K222" t="str">
            <v>EXPENSAS COMUNES</v>
          </cell>
          <cell r="L222">
            <v>2183594</v>
          </cell>
          <cell r="M222">
            <v>926857</v>
          </cell>
        </row>
        <row r="223">
          <cell r="I223" t="str">
            <v>E924</v>
          </cell>
          <cell r="K223" t="str">
            <v>ASENSOR</v>
          </cell>
          <cell r="L223">
            <v>119928</v>
          </cell>
          <cell r="M223">
            <v>34938</v>
          </cell>
          <cell r="N223" t="str">
            <v>FONDO</v>
          </cell>
        </row>
        <row r="224">
          <cell r="I224" t="str">
            <v>E924</v>
          </cell>
          <cell r="K224" t="str">
            <v>MODULO</v>
          </cell>
          <cell r="L224">
            <v>42139</v>
          </cell>
          <cell r="M224">
            <v>43628</v>
          </cell>
          <cell r="N224" t="str">
            <v>FONDO</v>
          </cell>
        </row>
        <row r="225">
          <cell r="I225" t="str">
            <v>E924</v>
          </cell>
          <cell r="K225" t="str">
            <v>PUBLICIDAD</v>
          </cell>
          <cell r="L225">
            <v>427114</v>
          </cell>
          <cell r="M225">
            <v>17469</v>
          </cell>
          <cell r="N225" t="str">
            <v>FONDO</v>
          </cell>
        </row>
        <row r="227">
          <cell r="H227">
            <v>8584</v>
          </cell>
          <cell r="J227">
            <v>45358</v>
          </cell>
          <cell r="K227" t="str">
            <v>OK</v>
          </cell>
          <cell r="L227" t="str">
            <v>POR VENCER</v>
          </cell>
          <cell r="M227">
            <v>0</v>
          </cell>
          <cell r="N227">
            <v>0</v>
          </cell>
          <cell r="O227">
            <v>22377460</v>
          </cell>
          <cell r="P227">
            <v>4251717.4000000004</v>
          </cell>
          <cell r="Q227">
            <v>4251717.4000000004</v>
          </cell>
          <cell r="R227">
            <v>0</v>
          </cell>
          <cell r="S227">
            <v>1</v>
          </cell>
          <cell r="T227">
            <v>0</v>
          </cell>
        </row>
        <row r="228">
          <cell r="I228">
            <v>8584</v>
          </cell>
        </row>
        <row r="229">
          <cell r="I229">
            <v>8584</v>
          </cell>
        </row>
        <row r="230">
          <cell r="I230">
            <v>8584</v>
          </cell>
        </row>
        <row r="231">
          <cell r="H231">
            <v>6688</v>
          </cell>
          <cell r="J231">
            <v>42736</v>
          </cell>
          <cell r="K231" t="str">
            <v>VENCIDO</v>
          </cell>
          <cell r="L231" t="str">
            <v>CESADO</v>
          </cell>
          <cell r="M231">
            <v>0</v>
          </cell>
          <cell r="N231">
            <v>0</v>
          </cell>
          <cell r="O231">
            <v>21214110</v>
          </cell>
          <cell r="P231">
            <v>4030680.9</v>
          </cell>
          <cell r="Q231">
            <v>460797.17418111756</v>
          </cell>
          <cell r="R231">
            <v>3569883.7258188822</v>
          </cell>
          <cell r="S231">
            <v>0.11432241490044959</v>
          </cell>
          <cell r="T231">
            <v>0.88567758509955041</v>
          </cell>
        </row>
        <row r="232">
          <cell r="I232">
            <v>6688</v>
          </cell>
          <cell r="J232" t="str">
            <v>PUBLICIDAD</v>
          </cell>
          <cell r="L232">
            <v>377557</v>
          </cell>
        </row>
        <row r="233">
          <cell r="I233">
            <v>6688</v>
          </cell>
          <cell r="J233" t="str">
            <v>RETRO PUBLICI</v>
          </cell>
        </row>
        <row r="234">
          <cell r="I234">
            <v>6688</v>
          </cell>
          <cell r="J234" t="str">
            <v>ENERGIA</v>
          </cell>
          <cell r="L234">
            <v>182451.87</v>
          </cell>
        </row>
        <row r="235">
          <cell r="I235">
            <v>6688</v>
          </cell>
          <cell r="J235" t="str">
            <v>MTTO</v>
          </cell>
          <cell r="L235">
            <v>52255</v>
          </cell>
        </row>
        <row r="236">
          <cell r="I236">
            <v>6688</v>
          </cell>
          <cell r="J236" t="str">
            <v>RETRO MTTO</v>
          </cell>
        </row>
        <row r="237">
          <cell r="I237">
            <v>6688</v>
          </cell>
          <cell r="J237" t="str">
            <v>RETRO EXPENSAS</v>
          </cell>
        </row>
        <row r="238">
          <cell r="I238">
            <v>6688</v>
          </cell>
          <cell r="J238" t="str">
            <v>EXPENSAS</v>
          </cell>
          <cell r="L238">
            <v>1863741</v>
          </cell>
        </row>
        <row r="239">
          <cell r="I239">
            <v>6688</v>
          </cell>
        </row>
        <row r="240">
          <cell r="H240">
            <v>9103</v>
          </cell>
          <cell r="J240">
            <v>42948</v>
          </cell>
          <cell r="K240" t="str">
            <v>REVISAR FECHAS</v>
          </cell>
          <cell r="L240" t="str">
            <v>CESADO</v>
          </cell>
          <cell r="M240">
            <v>0</v>
          </cell>
          <cell r="N240">
            <v>0</v>
          </cell>
          <cell r="O240">
            <v>11637519</v>
          </cell>
          <cell r="P240">
            <v>2211128.61</v>
          </cell>
          <cell r="Q240">
            <v>179101.41740999999</v>
          </cell>
          <cell r="R240">
            <v>2032027.1925899999</v>
          </cell>
          <cell r="S240">
            <v>8.1000000000000003E-2</v>
          </cell>
          <cell r="T240">
            <v>0.91900000000000004</v>
          </cell>
        </row>
        <row r="241">
          <cell r="I241">
            <v>9103</v>
          </cell>
        </row>
        <row r="242">
          <cell r="I242">
            <v>9103</v>
          </cell>
        </row>
        <row r="243">
          <cell r="I243">
            <v>9103</v>
          </cell>
        </row>
        <row r="245">
          <cell r="H245">
            <v>6564</v>
          </cell>
          <cell r="J245">
            <v>43040</v>
          </cell>
          <cell r="K245" t="str">
            <v>OK</v>
          </cell>
          <cell r="L245" t="str">
            <v>VIGENTE</v>
          </cell>
          <cell r="M245">
            <v>0</v>
          </cell>
          <cell r="N245">
            <v>0</v>
          </cell>
          <cell r="O245">
            <v>17875017</v>
          </cell>
          <cell r="P245">
            <v>3396253.23</v>
          </cell>
          <cell r="Q245">
            <v>353210.33591999998</v>
          </cell>
          <cell r="R245">
            <v>3043042.89408</v>
          </cell>
          <cell r="S245">
            <v>0.104</v>
          </cell>
          <cell r="T245">
            <v>0.89600000000000002</v>
          </cell>
        </row>
        <row r="246">
          <cell r="I246">
            <v>6564</v>
          </cell>
          <cell r="J246" t="str">
            <v>SIN RETENCIONES</v>
          </cell>
        </row>
        <row r="247">
          <cell r="I247">
            <v>6564</v>
          </cell>
        </row>
        <row r="249">
          <cell r="H249">
            <v>6573</v>
          </cell>
          <cell r="J249">
            <v>43466</v>
          </cell>
          <cell r="K249" t="str">
            <v>CESADO</v>
          </cell>
          <cell r="L249" t="str">
            <v>CERRADA</v>
          </cell>
          <cell r="M249">
            <v>0</v>
          </cell>
          <cell r="N249">
            <v>0</v>
          </cell>
          <cell r="O249">
            <v>15500009</v>
          </cell>
          <cell r="P249">
            <v>2945001.71</v>
          </cell>
          <cell r="Q249">
            <v>203205.11799000003</v>
          </cell>
          <cell r="R249">
            <v>2741796.5920100003</v>
          </cell>
          <cell r="S249">
            <v>6.9000000000000006E-2</v>
          </cell>
          <cell r="T249">
            <v>0.93100000000000005</v>
          </cell>
        </row>
        <row r="250">
          <cell r="I250">
            <v>6573</v>
          </cell>
        </row>
        <row r="251">
          <cell r="I251">
            <v>6573</v>
          </cell>
        </row>
        <row r="253">
          <cell r="H253">
            <v>9216</v>
          </cell>
          <cell r="J253">
            <v>43466</v>
          </cell>
          <cell r="K253" t="str">
            <v>VENCIDO</v>
          </cell>
          <cell r="L253" t="str">
            <v>CESADO</v>
          </cell>
          <cell r="M253">
            <v>0</v>
          </cell>
          <cell r="N253">
            <v>0</v>
          </cell>
          <cell r="O253">
            <v>41557941</v>
          </cell>
          <cell r="P253">
            <v>7896008.79</v>
          </cell>
          <cell r="Q253">
            <v>465864.51860999997</v>
          </cell>
          <cell r="R253">
            <v>7430144.2713899994</v>
          </cell>
          <cell r="S253">
            <v>5.8999999999999997E-2</v>
          </cell>
          <cell r="T253">
            <v>0.94099999999999995</v>
          </cell>
        </row>
        <row r="254">
          <cell r="I254">
            <v>9216</v>
          </cell>
          <cell r="J254" t="str">
            <v>SIN RETENCIONES</v>
          </cell>
        </row>
        <row r="255">
          <cell r="I255">
            <v>9216</v>
          </cell>
        </row>
        <row r="257">
          <cell r="H257">
            <v>6764</v>
          </cell>
          <cell r="J257">
            <v>42736</v>
          </cell>
          <cell r="K257" t="str">
            <v>OK</v>
          </cell>
          <cell r="L257" t="str">
            <v>VIGENTE</v>
          </cell>
          <cell r="M257">
            <v>0</v>
          </cell>
          <cell r="N257">
            <v>0</v>
          </cell>
          <cell r="O257">
            <v>14395286</v>
          </cell>
          <cell r="P257">
            <v>2735104.34</v>
          </cell>
          <cell r="Q257">
            <v>235218.97323999996</v>
          </cell>
          <cell r="R257">
            <v>2499885.3667600001</v>
          </cell>
          <cell r="S257">
            <v>8.5999999999999993E-2</v>
          </cell>
          <cell r="T257">
            <v>0.91400000000000003</v>
          </cell>
        </row>
        <row r="258">
          <cell r="I258">
            <v>6764</v>
          </cell>
        </row>
        <row r="259">
          <cell r="I259">
            <v>6764</v>
          </cell>
        </row>
        <row r="260">
          <cell r="I260">
            <v>6764</v>
          </cell>
        </row>
        <row r="262">
          <cell r="H262">
            <v>8751</v>
          </cell>
          <cell r="J262">
            <v>45566</v>
          </cell>
          <cell r="K262" t="str">
            <v>OK</v>
          </cell>
          <cell r="L262" t="str">
            <v>VIGENTE</v>
          </cell>
          <cell r="M262">
            <v>0</v>
          </cell>
          <cell r="N262">
            <v>0</v>
          </cell>
          <cell r="O262">
            <v>13000000</v>
          </cell>
          <cell r="P262">
            <v>2470000</v>
          </cell>
          <cell r="Q262">
            <v>135850</v>
          </cell>
          <cell r="R262">
            <v>2334150</v>
          </cell>
          <cell r="S262">
            <v>5.5E-2</v>
          </cell>
          <cell r="T262">
            <v>0.94499999999999995</v>
          </cell>
        </row>
        <row r="263">
          <cell r="I263">
            <v>8751</v>
          </cell>
        </row>
        <row r="264">
          <cell r="I264">
            <v>8751</v>
          </cell>
        </row>
        <row r="265">
          <cell r="I265">
            <v>8751</v>
          </cell>
        </row>
        <row r="266">
          <cell r="I266">
            <v>8751</v>
          </cell>
        </row>
        <row r="267">
          <cell r="H267">
            <v>6553</v>
          </cell>
          <cell r="J267">
            <v>42370</v>
          </cell>
          <cell r="K267" t="str">
            <v>OK</v>
          </cell>
          <cell r="L267" t="str">
            <v>VIGENTE</v>
          </cell>
          <cell r="M267">
            <v>0</v>
          </cell>
          <cell r="N267">
            <v>0</v>
          </cell>
          <cell r="O267">
            <v>33513583</v>
          </cell>
          <cell r="P267">
            <v>6367580.7700000005</v>
          </cell>
          <cell r="Q267">
            <v>432995.49236000009</v>
          </cell>
          <cell r="R267">
            <v>5934585.2776400009</v>
          </cell>
          <cell r="S267">
            <v>6.8000000000000005E-2</v>
          </cell>
          <cell r="T267">
            <v>0.93200000000000005</v>
          </cell>
        </row>
        <row r="268">
          <cell r="I268">
            <v>6553</v>
          </cell>
        </row>
        <row r="269">
          <cell r="I269">
            <v>6553</v>
          </cell>
        </row>
        <row r="271">
          <cell r="H271">
            <v>6766</v>
          </cell>
          <cell r="J271">
            <v>41913</v>
          </cell>
          <cell r="K271" t="str">
            <v>VENCIDO</v>
          </cell>
          <cell r="L271" t="str">
            <v>CERRADA</v>
          </cell>
          <cell r="M271">
            <v>0</v>
          </cell>
          <cell r="N271">
            <v>0</v>
          </cell>
          <cell r="O271">
            <v>28412800</v>
          </cell>
          <cell r="P271">
            <v>5398432</v>
          </cell>
          <cell r="Q271">
            <v>685600.86400000006</v>
          </cell>
          <cell r="R271">
            <v>4712831.1359999999</v>
          </cell>
          <cell r="S271">
            <v>0.127</v>
          </cell>
          <cell r="T271">
            <v>0.873</v>
          </cell>
        </row>
        <row r="272">
          <cell r="I272">
            <v>6766</v>
          </cell>
        </row>
        <row r="273">
          <cell r="I273">
            <v>6766</v>
          </cell>
        </row>
        <row r="274">
          <cell r="I274">
            <v>6766</v>
          </cell>
        </row>
        <row r="275">
          <cell r="H275">
            <v>6553</v>
          </cell>
          <cell r="J275">
            <v>42370</v>
          </cell>
          <cell r="K275" t="str">
            <v>OK</v>
          </cell>
          <cell r="L275" t="str">
            <v>VIGENTE</v>
          </cell>
          <cell r="M275">
            <v>0</v>
          </cell>
          <cell r="N275">
            <v>0</v>
          </cell>
          <cell r="O275">
            <v>33513583</v>
          </cell>
          <cell r="P275">
            <v>6367580.7700000005</v>
          </cell>
          <cell r="Q275">
            <v>432995.49236000009</v>
          </cell>
          <cell r="R275">
            <v>5934585.2776400009</v>
          </cell>
          <cell r="S275">
            <v>6.8000000000000005E-2</v>
          </cell>
          <cell r="T275">
            <v>0.93200000000000005</v>
          </cell>
        </row>
        <row r="276">
          <cell r="I276">
            <v>6553</v>
          </cell>
        </row>
        <row r="277">
          <cell r="I277">
            <v>6553</v>
          </cell>
        </row>
        <row r="279">
          <cell r="H279">
            <v>6701</v>
          </cell>
          <cell r="J279">
            <v>41760</v>
          </cell>
          <cell r="K279" t="str">
            <v>OK</v>
          </cell>
          <cell r="L279" t="str">
            <v>VIGENTE</v>
          </cell>
          <cell r="M279">
            <v>0</v>
          </cell>
          <cell r="N279">
            <v>0</v>
          </cell>
          <cell r="O279">
            <v>14889000</v>
          </cell>
          <cell r="P279">
            <v>2828910</v>
          </cell>
          <cell r="Q279">
            <v>115985.31</v>
          </cell>
          <cell r="R279">
            <v>2712924.69</v>
          </cell>
          <cell r="S279">
            <v>4.1000000000000002E-2</v>
          </cell>
          <cell r="T279">
            <v>0.95899999999999996</v>
          </cell>
        </row>
        <row r="280">
          <cell r="K280" t="str">
            <v>"03-2026"  RF TT012 6572</v>
          </cell>
          <cell r="P280">
            <v>0</v>
          </cell>
        </row>
        <row r="281">
          <cell r="I281">
            <v>0</v>
          </cell>
        </row>
        <row r="282">
          <cell r="H282">
            <v>6556</v>
          </cell>
          <cell r="J282">
            <v>42345</v>
          </cell>
          <cell r="K282" t="str">
            <v>OK</v>
          </cell>
          <cell r="L282" t="str">
            <v>VIGENTE</v>
          </cell>
          <cell r="M282">
            <v>0</v>
          </cell>
          <cell r="N282">
            <v>0</v>
          </cell>
          <cell r="O282">
            <v>8427956</v>
          </cell>
          <cell r="P282">
            <v>1601311.6400000001</v>
          </cell>
          <cell r="Q282">
            <v>147320.67088000002</v>
          </cell>
          <cell r="R282">
            <v>1453990.9691200003</v>
          </cell>
          <cell r="S282">
            <v>9.1999999999999998E-2</v>
          </cell>
          <cell r="T282">
            <v>0.90800000000000003</v>
          </cell>
        </row>
        <row r="283">
          <cell r="I283">
            <v>6556</v>
          </cell>
        </row>
        <row r="284">
          <cell r="I284">
            <v>6556</v>
          </cell>
        </row>
        <row r="285">
          <cell r="I285">
            <v>6556</v>
          </cell>
        </row>
        <row r="286">
          <cell r="H286">
            <v>6598</v>
          </cell>
          <cell r="J286">
            <v>43466</v>
          </cell>
          <cell r="K286" t="str">
            <v>VENCIDO</v>
          </cell>
          <cell r="L286" t="str">
            <v>CESADO</v>
          </cell>
          <cell r="M286">
            <v>0</v>
          </cell>
          <cell r="N286">
            <v>0</v>
          </cell>
          <cell r="O286">
            <v>19543600</v>
          </cell>
          <cell r="P286">
            <v>3713284</v>
          </cell>
          <cell r="Q286">
            <v>497580.05600000004</v>
          </cell>
          <cell r="R286">
            <v>3215703.9440000001</v>
          </cell>
          <cell r="S286">
            <v>0.13400000000000001</v>
          </cell>
          <cell r="T286">
            <v>0.86599999999999999</v>
          </cell>
        </row>
        <row r="287">
          <cell r="I287">
            <v>6598</v>
          </cell>
        </row>
        <row r="288">
          <cell r="I288">
            <v>6598</v>
          </cell>
        </row>
        <row r="289">
          <cell r="I289">
            <v>6598</v>
          </cell>
        </row>
        <row r="291">
          <cell r="H291">
            <v>6568</v>
          </cell>
          <cell r="J291">
            <v>41609</v>
          </cell>
          <cell r="K291" t="str">
            <v>VENCIDO</v>
          </cell>
          <cell r="L291" t="str">
            <v>CERRADA</v>
          </cell>
          <cell r="M291">
            <v>0</v>
          </cell>
          <cell r="N291">
            <v>0</v>
          </cell>
          <cell r="O291">
            <v>20790000</v>
          </cell>
          <cell r="P291">
            <v>3950100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</row>
        <row r="292">
          <cell r="I292">
            <v>6568</v>
          </cell>
        </row>
        <row r="293">
          <cell r="I293" t="str">
            <v>A2</v>
          </cell>
          <cell r="J293">
            <v>3.5000000000000003E-2</v>
          </cell>
        </row>
        <row r="294">
          <cell r="I294">
            <v>6568</v>
          </cell>
        </row>
        <row r="295">
          <cell r="I295">
            <v>6568</v>
          </cell>
        </row>
        <row r="296">
          <cell r="H296">
            <v>6572</v>
          </cell>
          <cell r="J296">
            <v>42705</v>
          </cell>
          <cell r="K296" t="str">
            <v>OK</v>
          </cell>
          <cell r="L296" t="str">
            <v>VIGENTE</v>
          </cell>
          <cell r="M296">
            <v>0</v>
          </cell>
          <cell r="N296">
            <v>0</v>
          </cell>
          <cell r="O296">
            <v>13950658</v>
          </cell>
          <cell r="P296">
            <v>2650625.02</v>
          </cell>
          <cell r="Q296">
            <v>121928.75092000001</v>
          </cell>
          <cell r="R296">
            <v>2528696.26908</v>
          </cell>
          <cell r="S296">
            <v>4.5999999999999999E-2</v>
          </cell>
          <cell r="T296">
            <v>0.95399999999999996</v>
          </cell>
        </row>
        <row r="297">
          <cell r="I297">
            <v>6572</v>
          </cell>
        </row>
        <row r="298">
          <cell r="I298">
            <v>6572</v>
          </cell>
        </row>
        <row r="299">
          <cell r="I299">
            <v>6572</v>
          </cell>
        </row>
        <row r="300">
          <cell r="I300">
            <v>6572</v>
          </cell>
        </row>
        <row r="301">
          <cell r="I301">
            <v>6572</v>
          </cell>
        </row>
        <row r="302">
          <cell r="I302">
            <v>1</v>
          </cell>
          <cell r="J302">
            <v>9.6600217546508379E-3</v>
          </cell>
        </row>
        <row r="303">
          <cell r="I303" t="str">
            <v>A2</v>
          </cell>
          <cell r="J303">
            <v>-3.5000000000000003E-2</v>
          </cell>
        </row>
        <row r="304">
          <cell r="H304">
            <v>6574</v>
          </cell>
          <cell r="J304">
            <v>42785</v>
          </cell>
          <cell r="K304" t="str">
            <v>VENCIDO</v>
          </cell>
          <cell r="L304" t="str">
            <v>CERRADA</v>
          </cell>
          <cell r="M304">
            <v>0</v>
          </cell>
          <cell r="N304">
            <v>0</v>
          </cell>
          <cell r="O304">
            <v>10354344</v>
          </cell>
          <cell r="P304">
            <v>1967325.36</v>
          </cell>
          <cell r="Q304">
            <v>96398.942640000008</v>
          </cell>
          <cell r="R304">
            <v>1870926.4173600001</v>
          </cell>
          <cell r="S304">
            <v>4.9000000000000002E-2</v>
          </cell>
          <cell r="T304">
            <v>0.95099999999999996</v>
          </cell>
        </row>
        <row r="305">
          <cell r="I305">
            <v>6574</v>
          </cell>
          <cell r="O305">
            <v>5177172.2699999996</v>
          </cell>
          <cell r="P305">
            <v>983662.73129999987</v>
          </cell>
          <cell r="Q305">
            <v>48199.473833699994</v>
          </cell>
        </row>
        <row r="306">
          <cell r="I306">
            <v>6574</v>
          </cell>
        </row>
        <row r="307">
          <cell r="I307">
            <v>6574</v>
          </cell>
        </row>
        <row r="309">
          <cell r="I309" t="str">
            <v>A2</v>
          </cell>
          <cell r="J309">
            <v>-3.5000000000000003E-2</v>
          </cell>
        </row>
        <row r="310">
          <cell r="H310">
            <v>6598</v>
          </cell>
          <cell r="J310">
            <v>43466</v>
          </cell>
          <cell r="K310" t="str">
            <v>VENCIDO</v>
          </cell>
          <cell r="L310" t="str">
            <v>CESADO</v>
          </cell>
          <cell r="M310">
            <v>0</v>
          </cell>
          <cell r="N310">
            <v>0</v>
          </cell>
          <cell r="O310">
            <v>19543600</v>
          </cell>
          <cell r="P310">
            <v>3713284</v>
          </cell>
          <cell r="Q310">
            <v>497580.05600000004</v>
          </cell>
          <cell r="R310">
            <v>3215703.9440000001</v>
          </cell>
          <cell r="S310">
            <v>0.13400000000000001</v>
          </cell>
          <cell r="T310">
            <v>0.86599999999999999</v>
          </cell>
        </row>
        <row r="312">
          <cell r="I312">
            <v>6598</v>
          </cell>
        </row>
        <row r="313">
          <cell r="I313">
            <v>6598</v>
          </cell>
        </row>
        <row r="314">
          <cell r="I314">
            <v>6598</v>
          </cell>
        </row>
        <row r="316">
          <cell r="I316" t="str">
            <v>A2</v>
          </cell>
          <cell r="J316">
            <v>-3.5000000000000003E-2</v>
          </cell>
        </row>
        <row r="317">
          <cell r="H317">
            <v>6600</v>
          </cell>
          <cell r="J317">
            <v>42795</v>
          </cell>
          <cell r="K317" t="str">
            <v>OK</v>
          </cell>
          <cell r="L317" t="str">
            <v>VIGENTE</v>
          </cell>
          <cell r="M317">
            <v>0</v>
          </cell>
          <cell r="N317">
            <v>0</v>
          </cell>
          <cell r="O317">
            <v>29614801</v>
          </cell>
          <cell r="P317">
            <v>5626812.1900000004</v>
          </cell>
          <cell r="Q317">
            <v>692097.89937</v>
          </cell>
          <cell r="R317">
            <v>4934714.2906300006</v>
          </cell>
          <cell r="S317">
            <v>0.123</v>
          </cell>
          <cell r="T317">
            <v>0.877</v>
          </cell>
        </row>
        <row r="319">
          <cell r="I319">
            <v>6600</v>
          </cell>
        </row>
        <row r="320">
          <cell r="I320">
            <v>6600</v>
          </cell>
        </row>
        <row r="321">
          <cell r="I321">
            <v>6600</v>
          </cell>
        </row>
        <row r="323">
          <cell r="I323" t="str">
            <v>A2</v>
          </cell>
          <cell r="J323">
            <v>-3.5000000000000003E-2</v>
          </cell>
        </row>
        <row r="324">
          <cell r="H324">
            <v>6603</v>
          </cell>
          <cell r="J324">
            <v>42926</v>
          </cell>
          <cell r="K324" t="str">
            <v>OK</v>
          </cell>
          <cell r="L324" t="str">
            <v>VIGENTE</v>
          </cell>
          <cell r="M324">
            <v>0</v>
          </cell>
          <cell r="N324">
            <v>0</v>
          </cell>
          <cell r="O324">
            <v>20626238</v>
          </cell>
          <cell r="P324">
            <v>3918985.22</v>
          </cell>
          <cell r="Q324">
            <v>258653.02452000004</v>
          </cell>
          <cell r="R324">
            <v>3660332.1954800002</v>
          </cell>
          <cell r="S324">
            <v>6.6000000000000003E-2</v>
          </cell>
          <cell r="T324">
            <v>0.93400000000000005</v>
          </cell>
        </row>
        <row r="326">
          <cell r="I326">
            <v>6603</v>
          </cell>
        </row>
        <row r="327">
          <cell r="I327">
            <v>6603</v>
          </cell>
        </row>
        <row r="328">
          <cell r="I328">
            <v>6603</v>
          </cell>
        </row>
        <row r="330">
          <cell r="I330" t="str">
            <v>A2</v>
          </cell>
          <cell r="J330">
            <v>3.5000027868039262E-2</v>
          </cell>
        </row>
        <row r="331">
          <cell r="I331">
            <v>1</v>
          </cell>
          <cell r="J331">
            <v>9.6600099210219764E-3</v>
          </cell>
        </row>
        <row r="332">
          <cell r="H332">
            <v>6603</v>
          </cell>
          <cell r="J332">
            <v>42926</v>
          </cell>
          <cell r="K332" t="str">
            <v>OK</v>
          </cell>
          <cell r="L332" t="str">
            <v>VIGENTE</v>
          </cell>
          <cell r="M332">
            <v>0</v>
          </cell>
          <cell r="N332">
            <v>0</v>
          </cell>
          <cell r="O332">
            <v>41252476</v>
          </cell>
          <cell r="P332">
            <v>7837970.4400000004</v>
          </cell>
          <cell r="Q332">
            <v>517306.04904000007</v>
          </cell>
          <cell r="R332">
            <v>7320664.3909600005</v>
          </cell>
          <cell r="S332">
            <v>6.6000000000000003E-2</v>
          </cell>
          <cell r="T332">
            <v>0.93400000000000005</v>
          </cell>
        </row>
        <row r="334">
          <cell r="I334">
            <v>6603</v>
          </cell>
        </row>
        <row r="335">
          <cell r="I335">
            <v>6603</v>
          </cell>
        </row>
        <row r="336">
          <cell r="I336">
            <v>6603</v>
          </cell>
        </row>
        <row r="338">
          <cell r="I338">
            <v>1</v>
          </cell>
          <cell r="J338">
            <v>9.6600099210219764E-3</v>
          </cell>
        </row>
        <row r="339">
          <cell r="I339" t="str">
            <v>A2</v>
          </cell>
          <cell r="J339">
            <v>3.5000027868039262E-2</v>
          </cell>
        </row>
        <row r="340">
          <cell r="H340">
            <v>6603</v>
          </cell>
          <cell r="J340">
            <v>42926</v>
          </cell>
          <cell r="K340" t="str">
            <v>OK</v>
          </cell>
          <cell r="L340" t="str">
            <v>VIGENTE</v>
          </cell>
          <cell r="M340">
            <v>0</v>
          </cell>
          <cell r="N340">
            <v>0</v>
          </cell>
          <cell r="O340">
            <v>13354740</v>
          </cell>
          <cell r="P340">
            <v>2537400.6</v>
          </cell>
          <cell r="Q340">
            <v>167468.43960000001</v>
          </cell>
          <cell r="R340">
            <v>2369932.1604000004</v>
          </cell>
          <cell r="S340">
            <v>6.6000000000000003E-2</v>
          </cell>
          <cell r="T340">
            <v>0.93400000000000005</v>
          </cell>
        </row>
        <row r="342">
          <cell r="I342">
            <v>6603</v>
          </cell>
        </row>
        <row r="343">
          <cell r="I343">
            <v>6603</v>
          </cell>
        </row>
        <row r="344">
          <cell r="I344">
            <v>6603</v>
          </cell>
        </row>
        <row r="346">
          <cell r="I346">
            <v>1</v>
          </cell>
          <cell r="J346">
            <v>9.6600099210219764E-3</v>
          </cell>
        </row>
        <row r="347">
          <cell r="I347" t="str">
            <v>A2</v>
          </cell>
          <cell r="J347">
            <v>3.5000027868039262E-2</v>
          </cell>
        </row>
        <row r="348">
          <cell r="H348">
            <v>6603</v>
          </cell>
          <cell r="J348">
            <v>42926</v>
          </cell>
          <cell r="K348" t="str">
            <v>OK</v>
          </cell>
          <cell r="L348" t="str">
            <v>VIGENTE</v>
          </cell>
          <cell r="M348">
            <v>0</v>
          </cell>
          <cell r="N348">
            <v>0</v>
          </cell>
          <cell r="O348">
            <v>13354740</v>
          </cell>
          <cell r="P348">
            <v>2537400.6</v>
          </cell>
          <cell r="Q348">
            <v>167468.43960000001</v>
          </cell>
          <cell r="R348">
            <v>2369932.1604000004</v>
          </cell>
          <cell r="S348">
            <v>6.6000000000000003E-2</v>
          </cell>
          <cell r="T348">
            <v>0.93400000000000005</v>
          </cell>
        </row>
        <row r="350">
          <cell r="I350">
            <v>6603</v>
          </cell>
        </row>
        <row r="351">
          <cell r="I351">
            <v>6603</v>
          </cell>
        </row>
        <row r="352">
          <cell r="I352">
            <v>6603</v>
          </cell>
        </row>
        <row r="354">
          <cell r="I354">
            <v>1</v>
          </cell>
          <cell r="J354">
            <v>9.6600099210219764E-3</v>
          </cell>
        </row>
        <row r="355">
          <cell r="I355" t="str">
            <v>A2</v>
          </cell>
          <cell r="J355">
            <v>3.5000027868039262E-2</v>
          </cell>
        </row>
        <row r="356">
          <cell r="H356">
            <v>6603</v>
          </cell>
          <cell r="J356">
            <v>42926</v>
          </cell>
          <cell r="K356" t="str">
            <v>OK</v>
          </cell>
          <cell r="L356" t="str">
            <v>VIGENTE</v>
          </cell>
          <cell r="M356">
            <v>0</v>
          </cell>
          <cell r="N356">
            <v>0</v>
          </cell>
          <cell r="O356">
            <v>19606690</v>
          </cell>
          <cell r="P356">
            <v>3725271.1</v>
          </cell>
          <cell r="Q356">
            <v>245867.89260000002</v>
          </cell>
          <cell r="R356">
            <v>3479403.2074000002</v>
          </cell>
          <cell r="S356">
            <v>6.6000000000000003E-2</v>
          </cell>
          <cell r="T356">
            <v>0.93400000000000005</v>
          </cell>
        </row>
        <row r="358">
          <cell r="I358">
            <v>6603</v>
          </cell>
        </row>
        <row r="359">
          <cell r="I359">
            <v>6603</v>
          </cell>
        </row>
        <row r="360">
          <cell r="I360">
            <v>6603</v>
          </cell>
        </row>
        <row r="362">
          <cell r="I362">
            <v>1</v>
          </cell>
          <cell r="J362">
            <v>9.6600099210219764E-3</v>
          </cell>
        </row>
        <row r="363">
          <cell r="I363" t="str">
            <v>A2</v>
          </cell>
          <cell r="J363">
            <v>3.5000027868039262E-2</v>
          </cell>
        </row>
        <row r="364">
          <cell r="H364">
            <v>6640</v>
          </cell>
          <cell r="J364">
            <v>42309</v>
          </cell>
          <cell r="K364" t="str">
            <v>OK</v>
          </cell>
          <cell r="L364" t="str">
            <v>VIGENTE</v>
          </cell>
          <cell r="M364">
            <v>0</v>
          </cell>
          <cell r="N364">
            <v>0</v>
          </cell>
          <cell r="O364">
            <v>5649396</v>
          </cell>
          <cell r="P364">
            <v>1073385.24</v>
          </cell>
          <cell r="Q364">
            <v>94890.773637943901</v>
          </cell>
          <cell r="R364">
            <v>978494.46636205621</v>
          </cell>
          <cell r="S364">
            <v>8.8403277874348166E-2</v>
          </cell>
          <cell r="T364">
            <v>0.9115967221256519</v>
          </cell>
        </row>
        <row r="366">
          <cell r="I366">
            <v>6640</v>
          </cell>
        </row>
        <row r="367">
          <cell r="I367">
            <v>6640</v>
          </cell>
        </row>
        <row r="368">
          <cell r="I368">
            <v>6640</v>
          </cell>
        </row>
        <row r="370">
          <cell r="I370">
            <v>13</v>
          </cell>
          <cell r="J370">
            <v>3.699911455110476E-3</v>
          </cell>
        </row>
        <row r="371">
          <cell r="I371" t="str">
            <v>A2</v>
          </cell>
          <cell r="J371">
            <v>3.5000027868039262E-2</v>
          </cell>
        </row>
        <row r="372">
          <cell r="H372">
            <v>6652</v>
          </cell>
          <cell r="J372">
            <v>43480</v>
          </cell>
          <cell r="K372" t="str">
            <v>VENCIDO</v>
          </cell>
          <cell r="L372" t="str">
            <v>CESADO</v>
          </cell>
          <cell r="M372">
            <v>0</v>
          </cell>
          <cell r="N372">
            <v>0</v>
          </cell>
          <cell r="O372">
            <v>15871587</v>
          </cell>
          <cell r="P372">
            <v>3015601.5300000003</v>
          </cell>
          <cell r="Q372">
            <v>160005.1278447978</v>
          </cell>
          <cell r="R372">
            <v>2855596.4021552023</v>
          </cell>
          <cell r="S372">
            <v>5.3059108192188037E-2</v>
          </cell>
          <cell r="T372">
            <v>0.94694089180781194</v>
          </cell>
        </row>
        <row r="374">
          <cell r="I374">
            <v>6652</v>
          </cell>
        </row>
        <row r="375">
          <cell r="I375">
            <v>6652</v>
          </cell>
          <cell r="K375">
            <v>18887188.530000001</v>
          </cell>
        </row>
        <row r="376">
          <cell r="I376">
            <v>6652</v>
          </cell>
          <cell r="K376">
            <v>18178362.854807626</v>
          </cell>
        </row>
        <row r="378">
          <cell r="I378">
            <v>1</v>
          </cell>
          <cell r="J378">
            <v>9.6600099210219764E-3</v>
          </cell>
        </row>
        <row r="379">
          <cell r="I379" t="str">
            <v>A2</v>
          </cell>
          <cell r="J379">
            <v>3.5000027868039262E-2</v>
          </cell>
        </row>
        <row r="380">
          <cell r="H380">
            <v>6715</v>
          </cell>
          <cell r="J380">
            <v>41883</v>
          </cell>
          <cell r="K380" t="str">
            <v>VENCIDO</v>
          </cell>
          <cell r="L380" t="str">
            <v>CESADO</v>
          </cell>
          <cell r="M380">
            <v>0</v>
          </cell>
          <cell r="N380">
            <v>0</v>
          </cell>
          <cell r="O380">
            <v>17158194</v>
          </cell>
          <cell r="P380">
            <v>3260056.86</v>
          </cell>
          <cell r="Q380">
            <v>166262.89985999998</v>
          </cell>
          <cell r="R380">
            <v>3093793.9601399996</v>
          </cell>
          <cell r="S380">
            <v>5.0999999999999997E-2</v>
          </cell>
          <cell r="T380">
            <v>0.94899999999999995</v>
          </cell>
        </row>
        <row r="382">
          <cell r="I382">
            <v>6715</v>
          </cell>
        </row>
        <row r="383">
          <cell r="I383">
            <v>6715</v>
          </cell>
        </row>
        <row r="384">
          <cell r="I384">
            <v>6715</v>
          </cell>
        </row>
        <row r="386">
          <cell r="I386">
            <v>14</v>
          </cell>
          <cell r="J386">
            <v>1.0000016386082318E-2</v>
          </cell>
        </row>
        <row r="387">
          <cell r="I387" t="str">
            <v>A2</v>
          </cell>
          <cell r="J387">
            <v>3.5000027868039262E-2</v>
          </cell>
        </row>
        <row r="388">
          <cell r="H388">
            <v>9209</v>
          </cell>
          <cell r="J388">
            <v>43040</v>
          </cell>
          <cell r="K388" t="str">
            <v>CESADO</v>
          </cell>
          <cell r="L388" t="str">
            <v>CERRADA</v>
          </cell>
          <cell r="M388">
            <v>0</v>
          </cell>
          <cell r="N388">
            <v>0</v>
          </cell>
          <cell r="O388">
            <v>101940</v>
          </cell>
          <cell r="P388">
            <v>19368.599999999999</v>
          </cell>
          <cell r="Q388">
            <v>1549.4879999999998</v>
          </cell>
          <cell r="R388">
            <v>17819.112000000001</v>
          </cell>
          <cell r="S388">
            <v>0.08</v>
          </cell>
          <cell r="T388">
            <v>0.92</v>
          </cell>
        </row>
        <row r="389">
          <cell r="I389" t="str">
            <v>AIRE ACONDICIONADO SIN RETENCIONES</v>
          </cell>
        </row>
        <row r="390">
          <cell r="I390">
            <v>9209</v>
          </cell>
        </row>
        <row r="392">
          <cell r="H392">
            <v>6573</v>
          </cell>
          <cell r="J392">
            <v>43466</v>
          </cell>
          <cell r="K392" t="str">
            <v>CESADO</v>
          </cell>
          <cell r="L392" t="str">
            <v>CERRADA</v>
          </cell>
          <cell r="M392">
            <v>0</v>
          </cell>
          <cell r="N392">
            <v>0</v>
          </cell>
          <cell r="O392">
            <v>15500009</v>
          </cell>
          <cell r="P392">
            <v>2945001.71</v>
          </cell>
          <cell r="Q392">
            <v>203205.11799000003</v>
          </cell>
          <cell r="R392">
            <v>2741796.5920100003</v>
          </cell>
          <cell r="S392">
            <v>6.9000000000000006E-2</v>
          </cell>
          <cell r="T392">
            <v>0.93100000000000005</v>
          </cell>
        </row>
        <row r="394">
          <cell r="I394">
            <v>6573</v>
          </cell>
        </row>
        <row r="395">
          <cell r="I395">
            <v>6573</v>
          </cell>
        </row>
        <row r="396">
          <cell r="I396">
            <v>6573</v>
          </cell>
        </row>
        <row r="398">
          <cell r="I398">
            <v>1</v>
          </cell>
          <cell r="J398">
            <v>9.6600099210219764E-3</v>
          </cell>
        </row>
        <row r="399">
          <cell r="I399" t="str">
            <v>A2</v>
          </cell>
          <cell r="J399">
            <v>3.5000027868039262E-2</v>
          </cell>
        </row>
        <row r="400">
          <cell r="H400" t="str">
            <v>6606</v>
          </cell>
          <cell r="J400" t="e">
            <v>#N/A</v>
          </cell>
          <cell r="K400" t="e">
            <v>#N/A</v>
          </cell>
          <cell r="L400" t="e">
            <v>#N/A</v>
          </cell>
          <cell r="M400" t="e">
            <v>#N/A</v>
          </cell>
          <cell r="N400" t="e">
            <v>#N/A</v>
          </cell>
          <cell r="O400">
            <v>17205112</v>
          </cell>
          <cell r="P400">
            <v>3268971.2800000003</v>
          </cell>
          <cell r="Q400">
            <v>209214.16192000001</v>
          </cell>
          <cell r="R400">
            <v>3059757.1180800004</v>
          </cell>
          <cell r="S400">
            <v>6.4000000000000001E-2</v>
          </cell>
          <cell r="T400">
            <v>0.93600000000000005</v>
          </cell>
        </row>
        <row r="402">
          <cell r="I402" t="str">
            <v>6606</v>
          </cell>
        </row>
        <row r="403">
          <cell r="I403" t="str">
            <v>6606</v>
          </cell>
        </row>
        <row r="404">
          <cell r="I404" t="str">
            <v>6606</v>
          </cell>
        </row>
        <row r="406">
          <cell r="I406">
            <v>7</v>
          </cell>
          <cell r="J406">
            <v>7.1999854673213031E-3</v>
          </cell>
        </row>
        <row r="407">
          <cell r="I407" t="str">
            <v>A2</v>
          </cell>
          <cell r="J407">
            <v>3.5000027868039262E-2</v>
          </cell>
        </row>
        <row r="408">
          <cell r="H408">
            <v>6763</v>
          </cell>
          <cell r="J408">
            <v>41548</v>
          </cell>
          <cell r="K408" t="str">
            <v>VENCIDO</v>
          </cell>
          <cell r="L408" t="str">
            <v>CESADO</v>
          </cell>
          <cell r="M408">
            <v>0</v>
          </cell>
          <cell r="N408">
            <v>0</v>
          </cell>
          <cell r="O408">
            <v>6551428</v>
          </cell>
          <cell r="P408">
            <v>1244771.32</v>
          </cell>
          <cell r="Q408">
            <v>102071.24824000002</v>
          </cell>
          <cell r="R408">
            <v>1142700.0717600002</v>
          </cell>
          <cell r="S408">
            <v>8.2000000000000003E-2</v>
          </cell>
          <cell r="T408">
            <v>0.91800000000000004</v>
          </cell>
        </row>
        <row r="410">
          <cell r="I410">
            <v>6763</v>
          </cell>
        </row>
        <row r="411">
          <cell r="I411">
            <v>6763</v>
          </cell>
        </row>
        <row r="412">
          <cell r="I412">
            <v>6763</v>
          </cell>
        </row>
        <row r="414">
          <cell r="I414">
            <v>1</v>
          </cell>
          <cell r="J414">
            <v>9.6600099210219764E-3</v>
          </cell>
        </row>
        <row r="415">
          <cell r="I415" t="str">
            <v>A2</v>
          </cell>
          <cell r="J415">
            <v>3.5000027868039262E-2</v>
          </cell>
        </row>
        <row r="416">
          <cell r="H416">
            <v>6620</v>
          </cell>
          <cell r="J416">
            <v>43070</v>
          </cell>
          <cell r="K416" t="str">
            <v>OK</v>
          </cell>
          <cell r="L416" t="str">
            <v>VIGENTE</v>
          </cell>
          <cell r="M416">
            <v>0</v>
          </cell>
          <cell r="N416">
            <v>0</v>
          </cell>
          <cell r="O416">
            <v>11894700</v>
          </cell>
          <cell r="P416">
            <v>2259993</v>
          </cell>
          <cell r="Q416">
            <v>171759.46799999999</v>
          </cell>
          <cell r="R416">
            <v>2088233.5320000001</v>
          </cell>
          <cell r="S416">
            <v>7.5999999999999998E-2</v>
          </cell>
          <cell r="T416">
            <v>0.92400000000000004</v>
          </cell>
        </row>
        <row r="418">
          <cell r="I418">
            <v>6620</v>
          </cell>
        </row>
        <row r="419">
          <cell r="H419">
            <v>6620</v>
          </cell>
          <cell r="J419">
            <v>43070</v>
          </cell>
          <cell r="K419" t="str">
            <v>OK</v>
          </cell>
          <cell r="L419" t="str">
            <v>VIGENTE</v>
          </cell>
          <cell r="M419">
            <v>0</v>
          </cell>
          <cell r="N419">
            <v>0</v>
          </cell>
          <cell r="O419">
            <v>11894700</v>
          </cell>
          <cell r="P419">
            <v>2259993</v>
          </cell>
          <cell r="Q419">
            <v>171759.46799999999</v>
          </cell>
          <cell r="R419">
            <v>2088233.5320000001</v>
          </cell>
          <cell r="S419">
            <v>7.5999999999999998E-2</v>
          </cell>
          <cell r="T419">
            <v>0.92400000000000004</v>
          </cell>
        </row>
        <row r="421">
          <cell r="I421">
            <v>6620</v>
          </cell>
        </row>
        <row r="422">
          <cell r="H422">
            <v>6763</v>
          </cell>
          <cell r="J422">
            <v>41548</v>
          </cell>
          <cell r="K422" t="str">
            <v>VENCIDO</v>
          </cell>
          <cell r="L422" t="str">
            <v>CESADO</v>
          </cell>
          <cell r="M422">
            <v>0</v>
          </cell>
          <cell r="N422">
            <v>0</v>
          </cell>
          <cell r="O422">
            <v>15206566</v>
          </cell>
          <cell r="P422">
            <v>2889247.54</v>
          </cell>
          <cell r="Q422">
            <v>236918.29828000002</v>
          </cell>
          <cell r="R422">
            <v>2652329.2417200003</v>
          </cell>
          <cell r="S422">
            <v>8.2000000000000003E-2</v>
          </cell>
          <cell r="T422">
            <v>0.91800000000000004</v>
          </cell>
        </row>
        <row r="424">
          <cell r="I424">
            <v>6763</v>
          </cell>
        </row>
        <row r="425">
          <cell r="I425">
            <v>6763</v>
          </cell>
        </row>
        <row r="426">
          <cell r="I426">
            <v>6763</v>
          </cell>
        </row>
        <row r="428">
          <cell r="I428">
            <v>1</v>
          </cell>
          <cell r="J428">
            <v>9.6600099210219764E-3</v>
          </cell>
        </row>
        <row r="429">
          <cell r="I429" t="str">
            <v>A2</v>
          </cell>
          <cell r="J429">
            <v>3.5000027868039262E-2</v>
          </cell>
        </row>
        <row r="430">
          <cell r="H430">
            <v>6686</v>
          </cell>
          <cell r="J430">
            <v>45383</v>
          </cell>
          <cell r="K430" t="str">
            <v>OK</v>
          </cell>
          <cell r="L430" t="str">
            <v>POR VENCER</v>
          </cell>
          <cell r="M430">
            <v>0</v>
          </cell>
          <cell r="N430">
            <v>0</v>
          </cell>
          <cell r="O430">
            <v>10645227</v>
          </cell>
          <cell r="P430">
            <v>2022593.1300000001</v>
          </cell>
          <cell r="Q430">
            <v>139963.44459600002</v>
          </cell>
          <cell r="R430">
            <v>1882629.6854040003</v>
          </cell>
          <cell r="S430">
            <v>6.9199999999999998E-2</v>
          </cell>
          <cell r="T430">
            <v>0.93080000000000007</v>
          </cell>
        </row>
        <row r="432">
          <cell r="I432">
            <v>6686</v>
          </cell>
        </row>
        <row r="433">
          <cell r="I433">
            <v>6686</v>
          </cell>
        </row>
        <row r="434">
          <cell r="I434">
            <v>6686</v>
          </cell>
        </row>
        <row r="435">
          <cell r="I435">
            <v>6686</v>
          </cell>
        </row>
        <row r="437">
          <cell r="I437">
            <v>1</v>
          </cell>
          <cell r="J437">
            <v>9.6600099210219764E-3</v>
          </cell>
        </row>
        <row r="438">
          <cell r="I438" t="str">
            <v>A2</v>
          </cell>
          <cell r="J438">
            <v>3.5000027868039262E-2</v>
          </cell>
        </row>
        <row r="439">
          <cell r="H439">
            <v>6600</v>
          </cell>
          <cell r="J439">
            <v>42795</v>
          </cell>
          <cell r="K439" t="str">
            <v>OK</v>
          </cell>
          <cell r="L439" t="str">
            <v>VIGENTE</v>
          </cell>
          <cell r="M439">
            <v>0</v>
          </cell>
          <cell r="N439">
            <v>0</v>
          </cell>
          <cell r="O439">
            <v>29614801</v>
          </cell>
          <cell r="P439">
            <v>5626812.1900000004</v>
          </cell>
          <cell r="Q439">
            <v>692097.89937</v>
          </cell>
          <cell r="R439">
            <v>4934714.2906300006</v>
          </cell>
          <cell r="S439">
            <v>0.123</v>
          </cell>
          <cell r="T439">
            <v>0.877</v>
          </cell>
        </row>
        <row r="441">
          <cell r="I441">
            <v>6600</v>
          </cell>
          <cell r="J441" t="str">
            <v>EXPENSAS</v>
          </cell>
          <cell r="L441">
            <v>597072</v>
          </cell>
        </row>
        <row r="442">
          <cell r="I442">
            <v>6600</v>
          </cell>
          <cell r="J442" t="str">
            <v>PUBLICIDAD</v>
          </cell>
          <cell r="L442">
            <v>394563</v>
          </cell>
        </row>
        <row r="443">
          <cell r="I443">
            <v>6600</v>
          </cell>
          <cell r="J443" t="str">
            <v>VIGILANCIA</v>
          </cell>
          <cell r="L443">
            <v>489200</v>
          </cell>
        </row>
        <row r="444">
          <cell r="I444">
            <v>6600</v>
          </cell>
          <cell r="J444" t="str">
            <v>IMPROVISTOS</v>
          </cell>
          <cell r="L444">
            <v>14808</v>
          </cell>
        </row>
        <row r="445">
          <cell r="I445">
            <v>6600</v>
          </cell>
          <cell r="J445" t="str">
            <v>ACUEDUCTO</v>
          </cell>
        </row>
        <row r="446">
          <cell r="I446">
            <v>6600</v>
          </cell>
          <cell r="J446" t="str">
            <v>RETROACTIVO EXPENSAS</v>
          </cell>
        </row>
        <row r="447">
          <cell r="I447">
            <v>6600</v>
          </cell>
          <cell r="J447" t="str">
            <v>RETROACTIVO PUBLICIDAD</v>
          </cell>
        </row>
        <row r="448">
          <cell r="I448">
            <v>6600</v>
          </cell>
          <cell r="J448" t="str">
            <v>RETROACTIVO VIGILANCIA</v>
          </cell>
        </row>
        <row r="449">
          <cell r="I449">
            <v>6600</v>
          </cell>
          <cell r="J449" t="str">
            <v>RETROACTIVO IMPROVISTOS</v>
          </cell>
        </row>
        <row r="450">
          <cell r="H450">
            <v>6600</v>
          </cell>
          <cell r="J450">
            <v>42795</v>
          </cell>
          <cell r="K450" t="str">
            <v>OK</v>
          </cell>
          <cell r="L450" t="str">
            <v>VIGENTE</v>
          </cell>
          <cell r="M450">
            <v>0</v>
          </cell>
          <cell r="N450">
            <v>0</v>
          </cell>
          <cell r="O450">
            <v>29614801</v>
          </cell>
          <cell r="P450">
            <v>5626812.1900000004</v>
          </cell>
          <cell r="Q450">
            <v>692097.89937</v>
          </cell>
          <cell r="R450">
            <v>4934714.2906300006</v>
          </cell>
          <cell r="S450">
            <v>0.123</v>
          </cell>
          <cell r="T450">
            <v>0.877</v>
          </cell>
        </row>
        <row r="451">
          <cell r="J451" t="str">
            <v>IMPROVISTOS</v>
          </cell>
          <cell r="L451">
            <v>14808</v>
          </cell>
        </row>
        <row r="452">
          <cell r="I452">
            <v>6600</v>
          </cell>
          <cell r="J452" t="str">
            <v>EXPENSAS</v>
          </cell>
          <cell r="L452">
            <v>578606</v>
          </cell>
        </row>
        <row r="453">
          <cell r="I453">
            <v>6600</v>
          </cell>
          <cell r="J453" t="str">
            <v>ACUEDUCTO</v>
          </cell>
          <cell r="L453">
            <v>36113</v>
          </cell>
        </row>
        <row r="454">
          <cell r="I454">
            <v>6600</v>
          </cell>
          <cell r="J454" t="str">
            <v>INTERESES</v>
          </cell>
          <cell r="L454">
            <v>4549</v>
          </cell>
        </row>
        <row r="455">
          <cell r="I455">
            <v>6600</v>
          </cell>
          <cell r="J455" t="str">
            <v>PUBLICIDAD</v>
          </cell>
          <cell r="L455">
            <v>384359</v>
          </cell>
        </row>
        <row r="456">
          <cell r="I456">
            <v>6600</v>
          </cell>
          <cell r="J456" t="str">
            <v>VIGILANCIA</v>
          </cell>
          <cell r="L456">
            <v>474524</v>
          </cell>
        </row>
        <row r="457">
          <cell r="H457">
            <v>6627</v>
          </cell>
          <cell r="J457">
            <v>42154</v>
          </cell>
          <cell r="K457" t="str">
            <v>OK</v>
          </cell>
          <cell r="L457" t="str">
            <v>VIGENTE</v>
          </cell>
          <cell r="M457">
            <v>0</v>
          </cell>
          <cell r="N457">
            <v>0</v>
          </cell>
          <cell r="O457">
            <v>14489143</v>
          </cell>
          <cell r="P457">
            <v>2752937.17</v>
          </cell>
          <cell r="Q457">
            <v>352375.95776000002</v>
          </cell>
          <cell r="R457">
            <v>2400561.2122399998</v>
          </cell>
          <cell r="S457">
            <v>0.128</v>
          </cell>
          <cell r="T457">
            <v>0.872</v>
          </cell>
        </row>
        <row r="459">
          <cell r="I459">
            <v>6627</v>
          </cell>
          <cell r="K459">
            <v>17102114.904872894</v>
          </cell>
        </row>
        <row r="460">
          <cell r="I460">
            <v>6627</v>
          </cell>
        </row>
        <row r="461">
          <cell r="I461">
            <v>6627</v>
          </cell>
        </row>
        <row r="463">
          <cell r="I463">
            <v>1</v>
          </cell>
          <cell r="J463">
            <v>9.6600099210219764E-3</v>
          </cell>
        </row>
        <row r="464">
          <cell r="I464" t="str">
            <v>A2</v>
          </cell>
          <cell r="J464">
            <v>3.5000027868039262E-2</v>
          </cell>
        </row>
        <row r="465">
          <cell r="H465">
            <v>6692</v>
          </cell>
          <cell r="J465">
            <v>43069</v>
          </cell>
          <cell r="K465" t="str">
            <v>VENCIDO</v>
          </cell>
          <cell r="L465" t="str">
            <v>CESADO</v>
          </cell>
          <cell r="M465">
            <v>0</v>
          </cell>
          <cell r="N465">
            <v>0</v>
          </cell>
          <cell r="O465">
            <v>15240965</v>
          </cell>
          <cell r="P465">
            <v>2895783.35</v>
          </cell>
          <cell r="Q465">
            <v>266659.5561540777</v>
          </cell>
          <cell r="R465">
            <v>2629123.7938459227</v>
          </cell>
          <cell r="S465">
            <v>9.2085464941318099E-2</v>
          </cell>
          <cell r="T465">
            <v>0.90791453505868203</v>
          </cell>
        </row>
        <row r="467">
          <cell r="I467">
            <v>6692</v>
          </cell>
        </row>
        <row r="468">
          <cell r="I468">
            <v>6692</v>
          </cell>
        </row>
        <row r="469">
          <cell r="I469">
            <v>6692</v>
          </cell>
        </row>
        <row r="471">
          <cell r="H471">
            <v>6714</v>
          </cell>
          <cell r="J471">
            <v>42917</v>
          </cell>
          <cell r="K471" t="str">
            <v>OK</v>
          </cell>
          <cell r="L471" t="str">
            <v>VIGENTE</v>
          </cell>
          <cell r="M471">
            <v>0</v>
          </cell>
          <cell r="N471">
            <v>0</v>
          </cell>
          <cell r="O471">
            <v>11203043</v>
          </cell>
          <cell r="P471">
            <v>2128578.17</v>
          </cell>
          <cell r="Q471">
            <v>170286.2536</v>
          </cell>
          <cell r="R471">
            <v>1958291.9164</v>
          </cell>
          <cell r="S471">
            <v>0.08</v>
          </cell>
          <cell r="T471">
            <v>0.92</v>
          </cell>
        </row>
        <row r="473">
          <cell r="I473">
            <v>6714</v>
          </cell>
        </row>
        <row r="474">
          <cell r="I474">
            <v>6714</v>
          </cell>
        </row>
        <row r="475">
          <cell r="I475">
            <v>6714</v>
          </cell>
        </row>
        <row r="477">
          <cell r="I477" t="str">
            <v>A2</v>
          </cell>
          <cell r="J477">
            <v>3.5000027868039262E-2</v>
          </cell>
        </row>
        <row r="478">
          <cell r="H478">
            <v>6759</v>
          </cell>
          <cell r="J478">
            <v>40026</v>
          </cell>
          <cell r="K478" t="str">
            <v>OK</v>
          </cell>
          <cell r="L478" t="str">
            <v>VIGENTE</v>
          </cell>
          <cell r="M478">
            <v>0</v>
          </cell>
          <cell r="N478">
            <v>0</v>
          </cell>
          <cell r="O478">
            <v>16280378</v>
          </cell>
          <cell r="P478">
            <v>3093271.82</v>
          </cell>
          <cell r="Q478">
            <v>191782.85283999998</v>
          </cell>
          <cell r="R478">
            <v>2901488.9671599995</v>
          </cell>
          <cell r="S478">
            <v>6.2E-2</v>
          </cell>
          <cell r="T478">
            <v>0.93799999999999994</v>
          </cell>
        </row>
        <row r="479">
          <cell r="I479">
            <v>6759</v>
          </cell>
          <cell r="J479" t="str">
            <v>INCENTIVO 1</v>
          </cell>
          <cell r="K479">
            <v>587323.81000000006</v>
          </cell>
        </row>
        <row r="480">
          <cell r="I480">
            <v>6759</v>
          </cell>
          <cell r="J480" t="str">
            <v>INCENTIVO 2</v>
          </cell>
          <cell r="K480">
            <v>110123.21</v>
          </cell>
        </row>
        <row r="481">
          <cell r="I481">
            <v>6759</v>
          </cell>
          <cell r="J481" t="str">
            <v>TOTAL INC</v>
          </cell>
          <cell r="K481">
            <v>0</v>
          </cell>
        </row>
        <row r="482">
          <cell r="I482">
            <v>6759</v>
          </cell>
          <cell r="J482" t="str">
            <v xml:space="preserve">TOTAL FACTURA </v>
          </cell>
          <cell r="K482">
            <v>4317676</v>
          </cell>
        </row>
        <row r="483">
          <cell r="I483">
            <v>6759</v>
          </cell>
          <cell r="J483">
            <v>0.12847328053332394</v>
          </cell>
          <cell r="K483">
            <v>0</v>
          </cell>
          <cell r="L483">
            <v>3365026</v>
          </cell>
        </row>
        <row r="484">
          <cell r="I484">
            <v>6759</v>
          </cell>
          <cell r="J484">
            <v>1.2851357999071724E-2</v>
          </cell>
          <cell r="K484">
            <v>0</v>
          </cell>
          <cell r="L484">
            <v>-305748</v>
          </cell>
        </row>
        <row r="485">
          <cell r="I485">
            <v>6759</v>
          </cell>
          <cell r="J485">
            <v>8.5017958735208472E-3</v>
          </cell>
          <cell r="K485">
            <v>0</v>
          </cell>
        </row>
        <row r="486">
          <cell r="I486">
            <v>6759</v>
          </cell>
          <cell r="J486">
            <v>0.85017356559408352</v>
          </cell>
          <cell r="K486">
            <v>0</v>
          </cell>
          <cell r="L486">
            <v>646902</v>
          </cell>
        </row>
        <row r="487">
          <cell r="I487">
            <v>6759</v>
          </cell>
          <cell r="K487">
            <v>0</v>
          </cell>
        </row>
        <row r="488">
          <cell r="H488">
            <v>6619</v>
          </cell>
          <cell r="J488">
            <v>45627</v>
          </cell>
          <cell r="K488" t="str">
            <v>OK</v>
          </cell>
          <cell r="L488" t="str">
            <v>VIGENTE</v>
          </cell>
          <cell r="M488">
            <v>0</v>
          </cell>
          <cell r="N488">
            <v>0</v>
          </cell>
          <cell r="O488">
            <v>11540440</v>
          </cell>
          <cell r="P488">
            <v>2192683.6</v>
          </cell>
          <cell r="Q488">
            <v>120597.59800000001</v>
          </cell>
          <cell r="R488">
            <v>2072086.0020000001</v>
          </cell>
          <cell r="S488">
            <v>5.5E-2</v>
          </cell>
          <cell r="T488">
            <v>0.94499999999999995</v>
          </cell>
        </row>
        <row r="490">
          <cell r="I490">
            <v>6619</v>
          </cell>
        </row>
        <row r="491">
          <cell r="I491">
            <v>6619</v>
          </cell>
        </row>
        <row r="492">
          <cell r="I492">
            <v>6619</v>
          </cell>
        </row>
        <row r="494">
          <cell r="I494" t="str">
            <v>A2</v>
          </cell>
          <cell r="J494">
            <v>3.5000027868039262E-2</v>
          </cell>
        </row>
        <row r="495">
          <cell r="H495" t="str">
            <v>6606</v>
          </cell>
          <cell r="J495" t="e">
            <v>#N/A</v>
          </cell>
          <cell r="K495" t="e">
            <v>#N/A</v>
          </cell>
          <cell r="L495" t="e">
            <v>#N/A</v>
          </cell>
          <cell r="M495" t="e">
            <v>#N/A</v>
          </cell>
          <cell r="N495" t="e">
            <v>#N/A</v>
          </cell>
          <cell r="O495" t="e">
            <v>#N/A</v>
          </cell>
          <cell r="P495" t="e">
            <v>#N/A</v>
          </cell>
          <cell r="Q495" t="e">
            <v>#N/A</v>
          </cell>
          <cell r="R495" t="e">
            <v>#N/A</v>
          </cell>
          <cell r="S495" t="e">
            <v>#N/A</v>
          </cell>
          <cell r="T495" t="e">
            <v>#N/A</v>
          </cell>
        </row>
        <row r="497">
          <cell r="I497" t="str">
            <v>6606</v>
          </cell>
        </row>
        <row r="498">
          <cell r="H498">
            <v>6711</v>
          </cell>
          <cell r="J498">
            <v>45505</v>
          </cell>
          <cell r="K498" t="str">
            <v>OK</v>
          </cell>
          <cell r="L498" t="str">
            <v>VIGENTE</v>
          </cell>
          <cell r="M498">
            <v>0</v>
          </cell>
          <cell r="N498">
            <v>0</v>
          </cell>
          <cell r="O498">
            <v>12101549</v>
          </cell>
          <cell r="P498">
            <v>2299294.31</v>
          </cell>
          <cell r="Q498">
            <v>158651.30739000003</v>
          </cell>
          <cell r="R498">
            <v>2140643.0026100003</v>
          </cell>
          <cell r="S498">
            <v>6.9000000000000006E-2</v>
          </cell>
          <cell r="T498">
            <v>0.93100000000000005</v>
          </cell>
        </row>
        <row r="500">
          <cell r="I500">
            <v>6711</v>
          </cell>
        </row>
        <row r="501">
          <cell r="I501">
            <v>6711</v>
          </cell>
        </row>
        <row r="502">
          <cell r="I502">
            <v>6711</v>
          </cell>
        </row>
        <row r="503">
          <cell r="I503">
            <v>6711</v>
          </cell>
        </row>
        <row r="504">
          <cell r="I504">
            <v>6711</v>
          </cell>
        </row>
        <row r="505">
          <cell r="H505">
            <v>6701</v>
          </cell>
          <cell r="J505">
            <v>41760</v>
          </cell>
          <cell r="K505" t="str">
            <v>OK</v>
          </cell>
          <cell r="L505" t="str">
            <v>VIGENTE</v>
          </cell>
          <cell r="M505">
            <v>0</v>
          </cell>
          <cell r="N505">
            <v>0</v>
          </cell>
          <cell r="O505">
            <v>14889000</v>
          </cell>
          <cell r="P505">
            <v>2828910</v>
          </cell>
          <cell r="Q505">
            <v>115985.31</v>
          </cell>
          <cell r="R505">
            <v>2712924.69</v>
          </cell>
          <cell r="S505">
            <v>4.1000000000000002E-2</v>
          </cell>
          <cell r="T505">
            <v>0.95899999999999996</v>
          </cell>
        </row>
        <row r="507">
          <cell r="I507">
            <v>6701</v>
          </cell>
        </row>
        <row r="508">
          <cell r="I508">
            <v>6701</v>
          </cell>
        </row>
        <row r="509">
          <cell r="I509">
            <v>6701</v>
          </cell>
        </row>
        <row r="510">
          <cell r="I510">
            <v>6701</v>
          </cell>
        </row>
        <row r="512">
          <cell r="I512">
            <v>1</v>
          </cell>
          <cell r="J512">
            <v>9.6600099210219764E-3</v>
          </cell>
        </row>
        <row r="513">
          <cell r="I513" t="str">
            <v>A2</v>
          </cell>
          <cell r="J513">
            <v>3.5000027868039262E-2</v>
          </cell>
        </row>
        <row r="514">
          <cell r="H514">
            <v>9053</v>
          </cell>
          <cell r="J514">
            <v>42915</v>
          </cell>
          <cell r="K514" t="str">
            <v>VENCIDO</v>
          </cell>
          <cell r="L514" t="str">
            <v>CESADO</v>
          </cell>
          <cell r="M514">
            <v>0</v>
          </cell>
          <cell r="N514">
            <v>0</v>
          </cell>
          <cell r="O514">
            <v>15558951.35</v>
          </cell>
          <cell r="P514">
            <v>2956200.7565000001</v>
          </cell>
          <cell r="Q514">
            <v>130072.83328599999</v>
          </cell>
          <cell r="R514">
            <v>2826127.9232140002</v>
          </cell>
          <cell r="S514">
            <v>4.3999999999999997E-2</v>
          </cell>
          <cell r="T514">
            <v>0.95599999999999996</v>
          </cell>
        </row>
        <row r="516">
          <cell r="I516">
            <v>9053</v>
          </cell>
          <cell r="K516">
            <v>18515152.1065</v>
          </cell>
        </row>
        <row r="517">
          <cell r="I517">
            <v>9053</v>
          </cell>
        </row>
        <row r="518">
          <cell r="I518">
            <v>9053</v>
          </cell>
        </row>
        <row r="520">
          <cell r="I520">
            <v>1</v>
          </cell>
          <cell r="J520">
            <v>9.6600099210219764E-3</v>
          </cell>
        </row>
        <row r="521">
          <cell r="I521" t="str">
            <v>A2</v>
          </cell>
          <cell r="J521">
            <v>3.5000027868039262E-2</v>
          </cell>
        </row>
        <row r="522">
          <cell r="H522">
            <v>8584</v>
          </cell>
          <cell r="J522">
            <v>45358</v>
          </cell>
          <cell r="K522" t="str">
            <v>OK</v>
          </cell>
          <cell r="L522" t="str">
            <v>POR VENCER</v>
          </cell>
          <cell r="M522">
            <v>0</v>
          </cell>
          <cell r="N522">
            <v>0</v>
          </cell>
          <cell r="O522">
            <v>9592714</v>
          </cell>
          <cell r="P522">
            <v>1822615.66</v>
          </cell>
          <cell r="Q522">
            <v>176793.71901999999</v>
          </cell>
          <cell r="R522">
            <v>1645821.94098</v>
          </cell>
          <cell r="S522">
            <v>9.7000000000000003E-2</v>
          </cell>
          <cell r="T522">
            <v>0.90300000000000002</v>
          </cell>
        </row>
        <row r="524">
          <cell r="I524">
            <v>8584</v>
          </cell>
        </row>
        <row r="525">
          <cell r="I525">
            <v>8584</v>
          </cell>
        </row>
        <row r="526">
          <cell r="H526">
            <v>6621</v>
          </cell>
          <cell r="J526">
            <v>43497</v>
          </cell>
          <cell r="K526" t="str">
            <v>VENCIDO</v>
          </cell>
          <cell r="L526" t="str">
            <v>CESADO</v>
          </cell>
          <cell r="M526">
            <v>0</v>
          </cell>
          <cell r="N526">
            <v>0</v>
          </cell>
          <cell r="O526">
            <v>8412379</v>
          </cell>
          <cell r="P526">
            <v>1598352.01</v>
          </cell>
          <cell r="Q526">
            <v>121474.75276</v>
          </cell>
          <cell r="R526">
            <v>1476877.2572400002</v>
          </cell>
          <cell r="S526">
            <v>7.5999999999999998E-2</v>
          </cell>
          <cell r="T526">
            <v>0.92400000000000004</v>
          </cell>
        </row>
        <row r="528">
          <cell r="I528">
            <v>6621</v>
          </cell>
        </row>
        <row r="529">
          <cell r="I529">
            <v>6621</v>
          </cell>
        </row>
        <row r="530">
          <cell r="I530" t="str">
            <v>.  04</v>
          </cell>
          <cell r="J530">
            <v>4.9999695147045818E-3</v>
          </cell>
        </row>
        <row r="531">
          <cell r="I531" t="str">
            <v>A2</v>
          </cell>
          <cell r="J531">
            <v>3.5000027868039262E-2</v>
          </cell>
        </row>
        <row r="532">
          <cell r="H532" t="str">
            <v>6627</v>
          </cell>
          <cell r="J532" t="e">
            <v>#N/A</v>
          </cell>
          <cell r="K532" t="e">
            <v>#N/A</v>
          </cell>
          <cell r="L532" t="e">
            <v>#N/A</v>
          </cell>
          <cell r="M532" t="e">
            <v>#N/A</v>
          </cell>
          <cell r="N532" t="e">
            <v>#N/A</v>
          </cell>
          <cell r="O532" t="e">
            <v>#N/A</v>
          </cell>
          <cell r="P532" t="e">
            <v>#N/A</v>
          </cell>
          <cell r="Q532" t="e">
            <v>#N/A</v>
          </cell>
          <cell r="R532" t="e">
            <v>#N/A</v>
          </cell>
          <cell r="S532" t="e">
            <v>#N/A</v>
          </cell>
          <cell r="T532" t="e">
            <v>#N/A</v>
          </cell>
        </row>
        <row r="534">
          <cell r="I534" t="str">
            <v>6627</v>
          </cell>
        </row>
        <row r="535">
          <cell r="H535">
            <v>6776</v>
          </cell>
          <cell r="J535">
            <v>42321</v>
          </cell>
          <cell r="K535" t="str">
            <v>OK</v>
          </cell>
          <cell r="L535" t="str">
            <v>VIGENTE</v>
          </cell>
          <cell r="M535">
            <v>0</v>
          </cell>
          <cell r="N535">
            <v>0</v>
          </cell>
          <cell r="O535">
            <v>14343037</v>
          </cell>
          <cell r="P535">
            <v>2725177.0300000003</v>
          </cell>
          <cell r="Q535">
            <v>196212.74616000001</v>
          </cell>
          <cell r="R535">
            <v>2528964.2838400002</v>
          </cell>
          <cell r="S535">
            <v>7.1999999999999995E-2</v>
          </cell>
          <cell r="T535">
            <v>0.92800000000000005</v>
          </cell>
        </row>
        <row r="537">
          <cell r="I537">
            <v>6776</v>
          </cell>
        </row>
        <row r="538">
          <cell r="I538">
            <v>6776</v>
          </cell>
        </row>
        <row r="539">
          <cell r="I539">
            <v>6776</v>
          </cell>
        </row>
        <row r="541">
          <cell r="I541">
            <v>20</v>
          </cell>
          <cell r="J541">
            <v>5.9999900818413394E-3</v>
          </cell>
        </row>
        <row r="542">
          <cell r="I542" t="str">
            <v>A2</v>
          </cell>
          <cell r="J542">
            <v>3.5000027868039262E-2</v>
          </cell>
          <cell r="T542" t="str">
            <v>10-2023 RF T-101 6776</v>
          </cell>
        </row>
        <row r="543">
          <cell r="H543">
            <v>6716</v>
          </cell>
          <cell r="J543">
            <v>43040</v>
          </cell>
          <cell r="K543" t="str">
            <v>OK</v>
          </cell>
          <cell r="L543" t="str">
            <v>VIGENTE</v>
          </cell>
          <cell r="M543">
            <v>0</v>
          </cell>
          <cell r="N543">
            <v>0</v>
          </cell>
          <cell r="O543">
            <v>12654187</v>
          </cell>
          <cell r="P543">
            <v>2404295.5300000003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</row>
        <row r="545">
          <cell r="I545">
            <v>6716</v>
          </cell>
        </row>
        <row r="547">
          <cell r="I547">
            <v>13</v>
          </cell>
          <cell r="J547">
            <v>3.7000385430718827E-3</v>
          </cell>
          <cell r="K547" t="str">
            <v>YA NO APLICA ICA DIJO SHARON</v>
          </cell>
        </row>
        <row r="548">
          <cell r="I548" t="str">
            <v>A2</v>
          </cell>
          <cell r="J548">
            <v>3.5000027868039262E-2</v>
          </cell>
        </row>
        <row r="549">
          <cell r="H549">
            <v>6763</v>
          </cell>
          <cell r="J549">
            <v>41548</v>
          </cell>
          <cell r="K549" t="str">
            <v>VENCIDO</v>
          </cell>
          <cell r="L549" t="str">
            <v>CESADO</v>
          </cell>
          <cell r="M549">
            <v>0</v>
          </cell>
          <cell r="N549">
            <v>0</v>
          </cell>
          <cell r="O549">
            <v>6551428</v>
          </cell>
          <cell r="P549">
            <v>1244771.32</v>
          </cell>
          <cell r="Q549">
            <v>102071.24824000002</v>
          </cell>
          <cell r="R549">
            <v>1142700.0717600002</v>
          </cell>
          <cell r="S549">
            <v>8.2000000000000003E-2</v>
          </cell>
          <cell r="T549">
            <v>0.91800000000000004</v>
          </cell>
        </row>
        <row r="550">
          <cell r="J550" t="str">
            <v>SIN RETENCIONES</v>
          </cell>
        </row>
        <row r="551">
          <cell r="I551">
            <v>6763</v>
          </cell>
        </row>
        <row r="552">
          <cell r="H552">
            <v>6763</v>
          </cell>
          <cell r="J552">
            <v>41548</v>
          </cell>
          <cell r="K552" t="str">
            <v>VENCIDO</v>
          </cell>
          <cell r="L552" t="str">
            <v>CESADO</v>
          </cell>
          <cell r="M552">
            <v>0</v>
          </cell>
          <cell r="N552">
            <v>0</v>
          </cell>
          <cell r="O552">
            <v>6551428</v>
          </cell>
          <cell r="P552">
            <v>1244771.32</v>
          </cell>
          <cell r="Q552">
            <v>102071.24824000002</v>
          </cell>
          <cell r="R552">
            <v>1142700.0717600002</v>
          </cell>
          <cell r="S552">
            <v>8.2000000000000003E-2</v>
          </cell>
          <cell r="T552">
            <v>0.91800000000000004</v>
          </cell>
        </row>
        <row r="553">
          <cell r="J553" t="str">
            <v>SIN RETENCIONES</v>
          </cell>
        </row>
        <row r="554">
          <cell r="I554">
            <v>6763</v>
          </cell>
        </row>
        <row r="555">
          <cell r="H555">
            <v>6638</v>
          </cell>
          <cell r="J555">
            <v>43029</v>
          </cell>
          <cell r="K555" t="str">
            <v>VENCIDO</v>
          </cell>
          <cell r="L555" t="str">
            <v>CESADO</v>
          </cell>
          <cell r="M555">
            <v>0</v>
          </cell>
          <cell r="N555">
            <v>0</v>
          </cell>
          <cell r="O555">
            <v>17000000</v>
          </cell>
          <cell r="P555">
            <v>3230000</v>
          </cell>
          <cell r="Q555">
            <v>131793.4306569343</v>
          </cell>
          <cell r="R555">
            <v>3098206.5693430658</v>
          </cell>
          <cell r="S555">
            <v>4.0802919708029198E-2</v>
          </cell>
          <cell r="T555">
            <v>0.95919708029197082</v>
          </cell>
        </row>
        <row r="557">
          <cell r="I557">
            <v>6638</v>
          </cell>
        </row>
        <row r="558">
          <cell r="I558">
            <v>6638</v>
          </cell>
        </row>
        <row r="559">
          <cell r="I559">
            <v>6638</v>
          </cell>
        </row>
        <row r="561">
          <cell r="I561" t="str">
            <v>A2</v>
          </cell>
          <cell r="J561">
            <v>3.5000027868039262E-2</v>
          </cell>
        </row>
        <row r="562">
          <cell r="H562">
            <v>6714</v>
          </cell>
          <cell r="J562">
            <v>42917</v>
          </cell>
          <cell r="K562" t="str">
            <v>OK</v>
          </cell>
          <cell r="L562" t="str">
            <v>VIGENTE</v>
          </cell>
          <cell r="M562">
            <v>0</v>
          </cell>
          <cell r="N562">
            <v>0</v>
          </cell>
          <cell r="O562">
            <v>11203043</v>
          </cell>
          <cell r="P562">
            <v>2128578.17</v>
          </cell>
          <cell r="Q562">
            <v>170286.2536</v>
          </cell>
          <cell r="R562">
            <v>1958291.9164</v>
          </cell>
          <cell r="S562">
            <v>0.08</v>
          </cell>
          <cell r="T562">
            <v>0.92</v>
          </cell>
        </row>
        <row r="563">
          <cell r="J563" t="str">
            <v>SIN RETENCIONES</v>
          </cell>
        </row>
        <row r="564">
          <cell r="I564">
            <v>6714</v>
          </cell>
        </row>
        <row r="565">
          <cell r="I565">
            <v>6714</v>
          </cell>
        </row>
        <row r="566">
          <cell r="H566">
            <v>8751</v>
          </cell>
          <cell r="J566">
            <v>45566</v>
          </cell>
          <cell r="K566" t="str">
            <v>OK</v>
          </cell>
          <cell r="L566" t="str">
            <v>VIGENTE</v>
          </cell>
          <cell r="M566">
            <v>0</v>
          </cell>
          <cell r="N566">
            <v>0</v>
          </cell>
          <cell r="O566">
            <v>13000000</v>
          </cell>
          <cell r="P566">
            <v>2470000</v>
          </cell>
          <cell r="Q566">
            <v>135850</v>
          </cell>
          <cell r="R566">
            <v>2334150</v>
          </cell>
          <cell r="S566">
            <v>5.5E-2</v>
          </cell>
          <cell r="T566">
            <v>0.94499999999999995</v>
          </cell>
        </row>
        <row r="567">
          <cell r="J567" t="str">
            <v>SIN RETENCIONES</v>
          </cell>
        </row>
        <row r="568">
          <cell r="I568">
            <v>8751</v>
          </cell>
        </row>
        <row r="569">
          <cell r="I569">
            <v>8751</v>
          </cell>
        </row>
        <row r="570">
          <cell r="I570">
            <v>8751</v>
          </cell>
        </row>
        <row r="571">
          <cell r="H571">
            <v>6688</v>
          </cell>
          <cell r="I571">
            <v>74</v>
          </cell>
          <cell r="J571">
            <v>42736</v>
          </cell>
          <cell r="K571" t="str">
            <v>VENCIDO</v>
          </cell>
          <cell r="L571" t="str">
            <v>CESADO</v>
          </cell>
          <cell r="M571">
            <v>0</v>
          </cell>
          <cell r="N571">
            <v>0</v>
          </cell>
          <cell r="O571">
            <v>21214110</v>
          </cell>
          <cell r="P571">
            <v>4030680.9</v>
          </cell>
          <cell r="Q571">
            <v>460797.17418111756</v>
          </cell>
          <cell r="R571">
            <v>3569883.7258188822</v>
          </cell>
          <cell r="S571">
            <v>0.11432241490044959</v>
          </cell>
          <cell r="T571">
            <v>0.88567758509955041</v>
          </cell>
        </row>
        <row r="573">
          <cell r="I573">
            <v>6688</v>
          </cell>
        </row>
        <row r="574">
          <cell r="I574">
            <v>6688</v>
          </cell>
        </row>
        <row r="575">
          <cell r="I575">
            <v>6688</v>
          </cell>
        </row>
        <row r="576">
          <cell r="I576">
            <v>6688</v>
          </cell>
        </row>
        <row r="577">
          <cell r="I577">
            <v>6688</v>
          </cell>
        </row>
        <row r="578">
          <cell r="H578">
            <v>8582</v>
          </cell>
          <cell r="J578">
            <v>42389</v>
          </cell>
          <cell r="K578" t="str">
            <v>CESADO</v>
          </cell>
          <cell r="L578" t="str">
            <v>REEMPLAZO 5-137</v>
          </cell>
          <cell r="M578">
            <v>0</v>
          </cell>
          <cell r="N578">
            <v>0</v>
          </cell>
          <cell r="O578">
            <v>16580922</v>
          </cell>
          <cell r="P578">
            <v>3150375.18</v>
          </cell>
          <cell r="Q578">
            <v>308736.76764000003</v>
          </cell>
          <cell r="R578">
            <v>2841638.4123600004</v>
          </cell>
          <cell r="S578">
            <v>9.8000000000000004E-2</v>
          </cell>
          <cell r="T578">
            <v>0.90200000000000002</v>
          </cell>
        </row>
        <row r="581">
          <cell r="I581">
            <v>8582</v>
          </cell>
        </row>
        <row r="582">
          <cell r="I582">
            <v>8582</v>
          </cell>
        </row>
        <row r="583">
          <cell r="I583">
            <v>8582</v>
          </cell>
        </row>
        <row r="584">
          <cell r="I584">
            <v>8582</v>
          </cell>
        </row>
        <row r="585">
          <cell r="H585">
            <v>9303</v>
          </cell>
          <cell r="J585">
            <v>43153</v>
          </cell>
          <cell r="K585" t="str">
            <v>VENCIDO</v>
          </cell>
          <cell r="L585" t="str">
            <v>CESADO</v>
          </cell>
          <cell r="M585">
            <v>0</v>
          </cell>
          <cell r="N585">
            <v>0</v>
          </cell>
          <cell r="O585">
            <v>16580922</v>
          </cell>
          <cell r="P585">
            <v>3150375.18</v>
          </cell>
          <cell r="Q585">
            <v>3150375.18</v>
          </cell>
          <cell r="R585">
            <v>0</v>
          </cell>
          <cell r="S585">
            <v>1</v>
          </cell>
          <cell r="T585">
            <v>0</v>
          </cell>
        </row>
        <row r="588">
          <cell r="I588">
            <v>9303</v>
          </cell>
        </row>
        <row r="589">
          <cell r="I589">
            <v>9303</v>
          </cell>
        </row>
        <row r="590">
          <cell r="H590">
            <v>9303</v>
          </cell>
          <cell r="J590">
            <v>43153</v>
          </cell>
          <cell r="K590" t="str">
            <v>VENCIDO</v>
          </cell>
          <cell r="L590" t="str">
            <v>CESADO</v>
          </cell>
          <cell r="M590">
            <v>0</v>
          </cell>
          <cell r="N590">
            <v>0</v>
          </cell>
          <cell r="O590">
            <v>16580922</v>
          </cell>
          <cell r="P590">
            <v>3150375.18</v>
          </cell>
          <cell r="Q590">
            <v>3150375.18</v>
          </cell>
          <cell r="R590">
            <v>0</v>
          </cell>
          <cell r="S590">
            <v>1</v>
          </cell>
          <cell r="T590">
            <v>0</v>
          </cell>
        </row>
        <row r="592">
          <cell r="I592">
            <v>9303</v>
          </cell>
        </row>
        <row r="593">
          <cell r="I593">
            <v>9303</v>
          </cell>
        </row>
        <row r="594">
          <cell r="I594">
            <v>9303</v>
          </cell>
        </row>
        <row r="595">
          <cell r="H595">
            <v>8859</v>
          </cell>
          <cell r="J595">
            <v>42690</v>
          </cell>
          <cell r="K595" t="str">
            <v>OK</v>
          </cell>
          <cell r="L595" t="str">
            <v>VIGENTE</v>
          </cell>
          <cell r="M595">
            <v>0</v>
          </cell>
          <cell r="N595">
            <v>0</v>
          </cell>
          <cell r="O595">
            <v>16580922</v>
          </cell>
          <cell r="P595">
            <v>3150375.18</v>
          </cell>
          <cell r="Q595">
            <v>3150375.18</v>
          </cell>
          <cell r="R595">
            <v>0</v>
          </cell>
          <cell r="S595">
            <v>1</v>
          </cell>
          <cell r="T595">
            <v>0</v>
          </cell>
        </row>
        <row r="598">
          <cell r="I598">
            <v>8859</v>
          </cell>
        </row>
        <row r="599">
          <cell r="I599">
            <v>8859</v>
          </cell>
        </row>
        <row r="600">
          <cell r="I600">
            <v>8859</v>
          </cell>
        </row>
        <row r="601">
          <cell r="I601">
            <v>8859</v>
          </cell>
        </row>
        <row r="602">
          <cell r="H602">
            <v>8583</v>
          </cell>
          <cell r="J602">
            <v>42370</v>
          </cell>
          <cell r="K602" t="str">
            <v>VENCIDO</v>
          </cell>
          <cell r="L602" t="str">
            <v>CESADO</v>
          </cell>
          <cell r="M602">
            <v>0</v>
          </cell>
          <cell r="N602">
            <v>0</v>
          </cell>
          <cell r="O602">
            <v>9715141</v>
          </cell>
          <cell r="P602">
            <v>1845876.79</v>
          </cell>
          <cell r="Q602">
            <v>177204.17184</v>
          </cell>
          <cell r="R602">
            <v>1668672.6181600001</v>
          </cell>
          <cell r="S602">
            <v>9.6000000000000002E-2</v>
          </cell>
          <cell r="T602">
            <v>0.90400000000000003</v>
          </cell>
        </row>
        <row r="605">
          <cell r="I605">
            <v>8583</v>
          </cell>
        </row>
        <row r="606">
          <cell r="I606">
            <v>8583</v>
          </cell>
        </row>
        <row r="607">
          <cell r="I607">
            <v>8583</v>
          </cell>
        </row>
        <row r="608">
          <cell r="H608">
            <v>9355</v>
          </cell>
          <cell r="J608">
            <v>43115</v>
          </cell>
          <cell r="K608" t="str">
            <v>VENCIDO</v>
          </cell>
          <cell r="L608" t="str">
            <v>CESADO</v>
          </cell>
          <cell r="M608">
            <v>0</v>
          </cell>
          <cell r="N608">
            <v>0</v>
          </cell>
          <cell r="O608">
            <v>49094705</v>
          </cell>
          <cell r="P608">
            <v>9327993.9499999993</v>
          </cell>
          <cell r="Q608">
            <v>9327993.9499999993</v>
          </cell>
          <cell r="R608">
            <v>0</v>
          </cell>
          <cell r="S608">
            <v>1</v>
          </cell>
          <cell r="T608">
            <v>0</v>
          </cell>
        </row>
        <row r="609">
          <cell r="J609" t="str">
            <v>SIN RETENCIONES</v>
          </cell>
        </row>
        <row r="610">
          <cell r="I610">
            <v>9355</v>
          </cell>
        </row>
        <row r="611">
          <cell r="H611">
            <v>9355</v>
          </cell>
          <cell r="J611">
            <v>43115</v>
          </cell>
          <cell r="K611" t="str">
            <v>VENCIDO</v>
          </cell>
          <cell r="L611" t="str">
            <v>CESADO</v>
          </cell>
          <cell r="M611">
            <v>0</v>
          </cell>
          <cell r="N611">
            <v>0</v>
          </cell>
          <cell r="O611">
            <v>49094705</v>
          </cell>
          <cell r="P611">
            <v>9327993.9499999993</v>
          </cell>
          <cell r="Q611">
            <v>9327993.9499999993</v>
          </cell>
          <cell r="R611">
            <v>0</v>
          </cell>
          <cell r="S611">
            <v>1</v>
          </cell>
          <cell r="T611">
            <v>0</v>
          </cell>
        </row>
        <row r="612">
          <cell r="J612" t="str">
            <v>SIN RETENCIONES</v>
          </cell>
        </row>
        <row r="613">
          <cell r="I613">
            <v>9355</v>
          </cell>
        </row>
        <row r="614">
          <cell r="H614">
            <v>9355</v>
          </cell>
          <cell r="J614">
            <v>43115</v>
          </cell>
          <cell r="K614" t="str">
            <v>VENCIDO</v>
          </cell>
          <cell r="L614" t="str">
            <v>CESADO</v>
          </cell>
          <cell r="M614">
            <v>0</v>
          </cell>
          <cell r="N614">
            <v>0</v>
          </cell>
          <cell r="O614">
            <v>49094705</v>
          </cell>
          <cell r="P614">
            <v>9327993.9499999993</v>
          </cell>
          <cell r="Q614">
            <v>9327993.9499999993</v>
          </cell>
          <cell r="R614">
            <v>0</v>
          </cell>
          <cell r="S614">
            <v>1</v>
          </cell>
          <cell r="T614">
            <v>0</v>
          </cell>
        </row>
        <row r="615">
          <cell r="J615" t="str">
            <v>SIN RETENCIONES</v>
          </cell>
        </row>
        <row r="616">
          <cell r="I616">
            <v>9355</v>
          </cell>
        </row>
        <row r="617">
          <cell r="I617">
            <v>9355</v>
          </cell>
        </row>
        <row r="618">
          <cell r="H618">
            <v>9355</v>
          </cell>
          <cell r="J618">
            <v>43115</v>
          </cell>
          <cell r="K618" t="str">
            <v>VENCIDO</v>
          </cell>
          <cell r="L618" t="str">
            <v>CESADO</v>
          </cell>
          <cell r="M618">
            <v>0</v>
          </cell>
          <cell r="N618">
            <v>0</v>
          </cell>
          <cell r="O618">
            <v>49094705</v>
          </cell>
          <cell r="P618">
            <v>9327993.9499999993</v>
          </cell>
          <cell r="Q618">
            <v>9327993.9499999993</v>
          </cell>
          <cell r="R618">
            <v>0</v>
          </cell>
          <cell r="S618">
            <v>1</v>
          </cell>
          <cell r="T618">
            <v>0</v>
          </cell>
        </row>
        <row r="619">
          <cell r="J619" t="str">
            <v>SIN RETENCIONES</v>
          </cell>
        </row>
        <row r="620">
          <cell r="I620">
            <v>9355</v>
          </cell>
        </row>
        <row r="621">
          <cell r="I621">
            <v>9355</v>
          </cell>
        </row>
        <row r="622">
          <cell r="H622">
            <v>9355</v>
          </cell>
          <cell r="J622">
            <v>43115</v>
          </cell>
          <cell r="K622" t="str">
            <v>VENCIDO</v>
          </cell>
          <cell r="L622" t="str">
            <v>CESADO</v>
          </cell>
          <cell r="M622">
            <v>0</v>
          </cell>
          <cell r="N622">
            <v>0</v>
          </cell>
          <cell r="O622">
            <v>49094705</v>
          </cell>
          <cell r="P622">
            <v>9327993.9499999993</v>
          </cell>
          <cell r="Q622">
            <v>9327993.9499999993</v>
          </cell>
          <cell r="R622">
            <v>0</v>
          </cell>
          <cell r="S622">
            <v>1</v>
          </cell>
          <cell r="T622">
            <v>0</v>
          </cell>
        </row>
        <row r="623">
          <cell r="I623">
            <v>9355</v>
          </cell>
        </row>
        <row r="624">
          <cell r="I624">
            <v>9355</v>
          </cell>
        </row>
        <row r="625">
          <cell r="H625">
            <v>6767</v>
          </cell>
          <cell r="J625">
            <v>45582</v>
          </cell>
          <cell r="K625" t="str">
            <v>OK</v>
          </cell>
          <cell r="L625" t="str">
            <v>VIGENTE</v>
          </cell>
          <cell r="M625">
            <v>0</v>
          </cell>
          <cell r="N625">
            <v>0</v>
          </cell>
          <cell r="O625">
            <v>3986803</v>
          </cell>
          <cell r="P625">
            <v>757492.57000000007</v>
          </cell>
          <cell r="Q625">
            <v>65144.361020000004</v>
          </cell>
          <cell r="R625">
            <v>692348.20898000011</v>
          </cell>
          <cell r="S625">
            <v>8.5999999999999993E-2</v>
          </cell>
          <cell r="T625">
            <v>0.91400000000000003</v>
          </cell>
        </row>
        <row r="626">
          <cell r="J626" t="str">
            <v>SIN RETENCIONES</v>
          </cell>
        </row>
        <row r="628">
          <cell r="H628" t="str">
            <v>E924</v>
          </cell>
          <cell r="J628">
            <v>45786</v>
          </cell>
          <cell r="K628" t="str">
            <v>OK</v>
          </cell>
          <cell r="L628" t="str">
            <v>VIGENTE</v>
          </cell>
          <cell r="M628">
            <v>0</v>
          </cell>
          <cell r="N628">
            <v>0</v>
          </cell>
          <cell r="O628">
            <v>16500000</v>
          </cell>
          <cell r="P628">
            <v>3135000</v>
          </cell>
          <cell r="Q628">
            <v>3135000</v>
          </cell>
          <cell r="R628">
            <v>0</v>
          </cell>
          <cell r="S628">
            <v>1</v>
          </cell>
          <cell r="T628">
            <v>0</v>
          </cell>
        </row>
        <row r="629">
          <cell r="J629" t="str">
            <v>SIN RETENCIONES</v>
          </cell>
        </row>
        <row r="630">
          <cell r="I630" t="str">
            <v>E924</v>
          </cell>
        </row>
        <row r="632">
          <cell r="H632">
            <v>6717</v>
          </cell>
          <cell r="J632">
            <v>42736</v>
          </cell>
          <cell r="K632" t="str">
            <v>OK</v>
          </cell>
          <cell r="L632" t="str">
            <v>VIGENTE</v>
          </cell>
          <cell r="M632">
            <v>0</v>
          </cell>
          <cell r="N632">
            <v>0</v>
          </cell>
          <cell r="O632">
            <v>18577600</v>
          </cell>
          <cell r="P632">
            <v>3529744</v>
          </cell>
          <cell r="Q632">
            <v>363563.63199999998</v>
          </cell>
          <cell r="R632">
            <v>3166180.3680000002</v>
          </cell>
          <cell r="S632">
            <v>0.10299999999999999</v>
          </cell>
          <cell r="T632">
            <v>0.89700000000000002</v>
          </cell>
        </row>
        <row r="633">
          <cell r="J633" t="str">
            <v>EXP.COMUNES DE ADMINISTRACIÓN</v>
          </cell>
          <cell r="L633">
            <v>1824707</v>
          </cell>
        </row>
        <row r="634">
          <cell r="I634">
            <v>6717</v>
          </cell>
          <cell r="J634" t="str">
            <v>EXP.COMUNES DE MERCADEO</v>
          </cell>
          <cell r="L634">
            <v>697086</v>
          </cell>
        </row>
        <row r="635">
          <cell r="I635">
            <v>6717</v>
          </cell>
          <cell r="J635" t="str">
            <v>FONDO DE IMPREVISTOS 1 % LEY 675 2001</v>
          </cell>
          <cell r="L635">
            <v>52325</v>
          </cell>
        </row>
        <row r="636">
          <cell r="I636">
            <v>6717</v>
          </cell>
          <cell r="J636" t="str">
            <v>EXP.COMUNES DE PLANTAS ELECTRICAS</v>
          </cell>
          <cell r="L636">
            <v>23456</v>
          </cell>
        </row>
        <row r="637">
          <cell r="I637">
            <v>6717</v>
          </cell>
          <cell r="J637" t="str">
            <v>REINTEGRO CONSUMO DE AGUA</v>
          </cell>
          <cell r="L637">
            <v>2684</v>
          </cell>
        </row>
        <row r="638">
          <cell r="H638">
            <v>6626</v>
          </cell>
          <cell r="J638">
            <v>45444</v>
          </cell>
          <cell r="K638" t="str">
            <v>OK</v>
          </cell>
          <cell r="L638" t="str">
            <v>VIGENTE</v>
          </cell>
          <cell r="M638">
            <v>0</v>
          </cell>
          <cell r="N638">
            <v>0</v>
          </cell>
          <cell r="O638">
            <v>15101403</v>
          </cell>
          <cell r="P638">
            <v>2869266.57</v>
          </cell>
          <cell r="Q638">
            <v>229541.32559999998</v>
          </cell>
          <cell r="R638">
            <v>2639725.2443999997</v>
          </cell>
          <cell r="S638">
            <v>0.08</v>
          </cell>
          <cell r="T638">
            <v>0.92</v>
          </cell>
        </row>
        <row r="641">
          <cell r="J641" t="str">
            <v>lo cambie de ibr a cg solo si es descuento</v>
          </cell>
        </row>
        <row r="642">
          <cell r="H642">
            <v>6660</v>
          </cell>
          <cell r="J642">
            <v>0</v>
          </cell>
          <cell r="K642" t="str">
            <v>OK</v>
          </cell>
          <cell r="L642" t="str">
            <v>VIGENTE</v>
          </cell>
          <cell r="M642">
            <v>0</v>
          </cell>
          <cell r="N642">
            <v>0</v>
          </cell>
          <cell r="O642">
            <v>11518362</v>
          </cell>
          <cell r="P642">
            <v>2188488.7799999998</v>
          </cell>
          <cell r="Q642">
            <v>204784.43739406776</v>
          </cell>
          <cell r="R642">
            <v>1983704.3426059322</v>
          </cell>
          <cell r="S642">
            <v>9.3573446327683607E-2</v>
          </cell>
          <cell r="T642">
            <v>0.90642655367231639</v>
          </cell>
        </row>
        <row r="645">
          <cell r="I645">
            <v>6660</v>
          </cell>
        </row>
        <row r="646">
          <cell r="I646">
            <v>6660</v>
          </cell>
          <cell r="K646">
            <v>474267.36</v>
          </cell>
        </row>
        <row r="647">
          <cell r="I647">
            <v>6660</v>
          </cell>
        </row>
        <row r="648">
          <cell r="I648">
            <v>6660</v>
          </cell>
          <cell r="K648" t="str">
            <v>cambio de ica</v>
          </cell>
        </row>
        <row r="649">
          <cell r="I649">
            <v>23</v>
          </cell>
          <cell r="J649">
            <v>1.1599999999999999E-2</v>
          </cell>
          <cell r="K649">
            <v>11.6</v>
          </cell>
          <cell r="L649" t="str">
            <v>por mil</v>
          </cell>
        </row>
        <row r="650">
          <cell r="I650" t="str">
            <v>A2</v>
          </cell>
          <cell r="J650">
            <v>3.5000027868039262E-2</v>
          </cell>
        </row>
        <row r="651">
          <cell r="H651">
            <v>8140074</v>
          </cell>
          <cell r="J651">
            <v>45600</v>
          </cell>
          <cell r="K651" t="str">
            <v>REVISAR FECHAS</v>
          </cell>
          <cell r="L651" t="str">
            <v>VIGENTE</v>
          </cell>
          <cell r="M651">
            <v>0</v>
          </cell>
          <cell r="N651">
            <v>0</v>
          </cell>
          <cell r="O651">
            <v>70594906</v>
          </cell>
          <cell r="P651">
            <v>13413032.140000001</v>
          </cell>
          <cell r="Q651">
            <v>0</v>
          </cell>
          <cell r="R651">
            <v>13413032.140000001</v>
          </cell>
          <cell r="S651">
            <v>0</v>
          </cell>
          <cell r="T651">
            <v>1</v>
          </cell>
        </row>
        <row r="652">
          <cell r="I652">
            <v>8140074</v>
          </cell>
        </row>
        <row r="653">
          <cell r="I653">
            <v>8140074</v>
          </cell>
        </row>
        <row r="654">
          <cell r="H654">
            <v>8751</v>
          </cell>
          <cell r="J654">
            <v>45566</v>
          </cell>
          <cell r="K654" t="str">
            <v>OK</v>
          </cell>
          <cell r="L654" t="str">
            <v>VIGENTE</v>
          </cell>
          <cell r="M654">
            <v>0</v>
          </cell>
          <cell r="N654">
            <v>0</v>
          </cell>
          <cell r="O654">
            <v>13000000</v>
          </cell>
          <cell r="P654">
            <v>2470000</v>
          </cell>
          <cell r="Q654">
            <v>135850</v>
          </cell>
          <cell r="R654">
            <v>2334150</v>
          </cell>
          <cell r="S654">
            <v>5.5E-2</v>
          </cell>
          <cell r="T654">
            <v>0.94499999999999995</v>
          </cell>
        </row>
        <row r="656">
          <cell r="I656">
            <v>8751</v>
          </cell>
        </row>
        <row r="657">
          <cell r="I657">
            <v>8751</v>
          </cell>
          <cell r="K657">
            <v>15470000</v>
          </cell>
        </row>
        <row r="658">
          <cell r="I658">
            <v>8751</v>
          </cell>
        </row>
        <row r="659">
          <cell r="I659">
            <v>8751</v>
          </cell>
        </row>
        <row r="660">
          <cell r="I660" t="str">
            <v>A2</v>
          </cell>
          <cell r="J660">
            <v>3.5000027868039262E-2</v>
          </cell>
        </row>
        <row r="661">
          <cell r="I661">
            <v>19</v>
          </cell>
          <cell r="J661">
            <v>1.1039999999999999E-2</v>
          </cell>
        </row>
        <row r="662">
          <cell r="H662">
            <v>6767</v>
          </cell>
          <cell r="J662">
            <v>45582</v>
          </cell>
          <cell r="K662" t="str">
            <v>OK</v>
          </cell>
          <cell r="L662" t="str">
            <v>VIGENTE</v>
          </cell>
          <cell r="M662">
            <v>0</v>
          </cell>
          <cell r="N662">
            <v>0</v>
          </cell>
          <cell r="O662">
            <v>3986803</v>
          </cell>
          <cell r="P662">
            <v>757492.57000000007</v>
          </cell>
          <cell r="Q662">
            <v>65144.361020000004</v>
          </cell>
          <cell r="R662">
            <v>692348.20898000011</v>
          </cell>
          <cell r="S662">
            <v>8.5999999999999993E-2</v>
          </cell>
          <cell r="T662">
            <v>0.91400000000000003</v>
          </cell>
        </row>
        <row r="663">
          <cell r="I663">
            <v>6767</v>
          </cell>
        </row>
        <row r="664">
          <cell r="I664">
            <v>6767</v>
          </cell>
        </row>
        <row r="665">
          <cell r="I665">
            <v>6767</v>
          </cell>
        </row>
        <row r="666">
          <cell r="I666">
            <v>6767</v>
          </cell>
        </row>
        <row r="667">
          <cell r="I667">
            <v>6767</v>
          </cell>
        </row>
        <row r="668">
          <cell r="I668" t="str">
            <v>A2</v>
          </cell>
          <cell r="J668">
            <v>3.5000027868039262E-2</v>
          </cell>
        </row>
        <row r="669">
          <cell r="I669">
            <v>14</v>
          </cell>
          <cell r="J669">
            <v>0.01</v>
          </cell>
        </row>
        <row r="670">
          <cell r="H670">
            <v>9302</v>
          </cell>
          <cell r="I670" t="str">
            <v>A2</v>
          </cell>
          <cell r="J670">
            <v>43081</v>
          </cell>
          <cell r="K670" t="str">
            <v>VENCIDO</v>
          </cell>
          <cell r="L670" t="str">
            <v>CESADO</v>
          </cell>
          <cell r="M670">
            <v>0</v>
          </cell>
          <cell r="N670">
            <v>0</v>
          </cell>
          <cell r="O670">
            <v>7483348</v>
          </cell>
          <cell r="P670">
            <v>1421836.12</v>
          </cell>
          <cell r="Q670">
            <v>1421836.12</v>
          </cell>
          <cell r="R670">
            <v>0</v>
          </cell>
          <cell r="S670">
            <v>1</v>
          </cell>
          <cell r="T670">
            <v>0</v>
          </cell>
        </row>
        <row r="671">
          <cell r="J671" t="str">
            <v>SIN RETENCIONES</v>
          </cell>
        </row>
        <row r="672">
          <cell r="I672">
            <v>9302</v>
          </cell>
        </row>
        <row r="673">
          <cell r="H673">
            <v>9120</v>
          </cell>
          <cell r="I673" t="str">
            <v>A2</v>
          </cell>
          <cell r="J673">
            <v>43003</v>
          </cell>
          <cell r="K673" t="str">
            <v>VENCIDO</v>
          </cell>
          <cell r="L673" t="str">
            <v>CESADO</v>
          </cell>
          <cell r="M673">
            <v>0</v>
          </cell>
          <cell r="N673">
            <v>0</v>
          </cell>
          <cell r="O673">
            <v>28006112</v>
          </cell>
          <cell r="P673">
            <v>5321161.28</v>
          </cell>
          <cell r="Q673">
            <v>271379.22528000001</v>
          </cell>
          <cell r="R673">
            <v>5049782.0547200004</v>
          </cell>
          <cell r="S673">
            <v>5.0999999999999997E-2</v>
          </cell>
          <cell r="T673">
            <v>0.94899999999999995</v>
          </cell>
        </row>
        <row r="675">
          <cell r="I675">
            <v>9120</v>
          </cell>
        </row>
        <row r="676">
          <cell r="H676">
            <v>9596</v>
          </cell>
          <cell r="J676">
            <v>43466</v>
          </cell>
          <cell r="K676" t="str">
            <v>VENCIDO</v>
          </cell>
          <cell r="L676" t="str">
            <v>CESADO</v>
          </cell>
          <cell r="M676">
            <v>0</v>
          </cell>
          <cell r="N676">
            <v>0</v>
          </cell>
          <cell r="O676">
            <v>12509050</v>
          </cell>
          <cell r="P676">
            <v>2376719.5</v>
          </cell>
          <cell r="Q676">
            <v>2376719.5</v>
          </cell>
          <cell r="R676">
            <v>0</v>
          </cell>
          <cell r="S676">
            <v>1</v>
          </cell>
          <cell r="T676">
            <v>0</v>
          </cell>
        </row>
        <row r="677">
          <cell r="I677">
            <v>9596</v>
          </cell>
        </row>
        <row r="678">
          <cell r="I678">
            <v>9596</v>
          </cell>
        </row>
        <row r="680">
          <cell r="H680">
            <v>8584</v>
          </cell>
          <cell r="J680">
            <v>45358</v>
          </cell>
          <cell r="K680" t="str">
            <v>OK</v>
          </cell>
          <cell r="L680" t="str">
            <v>POR VENCER</v>
          </cell>
          <cell r="M680">
            <v>0</v>
          </cell>
          <cell r="N680">
            <v>0</v>
          </cell>
          <cell r="O680">
            <v>9592714</v>
          </cell>
          <cell r="P680">
            <v>1822615.66</v>
          </cell>
          <cell r="Q680">
            <v>176793.71901999999</v>
          </cell>
          <cell r="R680">
            <v>1645821.94098</v>
          </cell>
          <cell r="S680">
            <v>9.7000000000000003E-2</v>
          </cell>
          <cell r="T680">
            <v>0.90300000000000002</v>
          </cell>
        </row>
        <row r="683">
          <cell r="H683">
            <v>8859</v>
          </cell>
          <cell r="J683">
            <v>42690</v>
          </cell>
          <cell r="K683" t="str">
            <v>OK</v>
          </cell>
          <cell r="L683" t="str">
            <v>VIGENTE</v>
          </cell>
          <cell r="M683">
            <v>0</v>
          </cell>
          <cell r="N683">
            <v>0</v>
          </cell>
          <cell r="O683">
            <v>21608861</v>
          </cell>
          <cell r="P683">
            <v>4105683.59</v>
          </cell>
          <cell r="Q683">
            <v>229918.28104</v>
          </cell>
          <cell r="R683">
            <v>3875765.3089599996</v>
          </cell>
          <cell r="S683">
            <v>5.6000000000000001E-2</v>
          </cell>
          <cell r="T683">
            <v>0.94399999999999995</v>
          </cell>
        </row>
        <row r="685">
          <cell r="I685">
            <v>8859</v>
          </cell>
        </row>
        <row r="686">
          <cell r="J686" t="str">
            <v>lo cambie de ibr a cg solo si es descuento</v>
          </cell>
        </row>
        <row r="688">
          <cell r="I688">
            <v>8859</v>
          </cell>
        </row>
        <row r="690">
          <cell r="H690">
            <v>9636</v>
          </cell>
          <cell r="J690">
            <v>43466</v>
          </cell>
          <cell r="K690" t="str">
            <v>VENCIDO</v>
          </cell>
          <cell r="L690" t="str">
            <v>CESADO</v>
          </cell>
          <cell r="M690">
            <v>0</v>
          </cell>
          <cell r="N690">
            <v>0</v>
          </cell>
          <cell r="O690">
            <v>15892835</v>
          </cell>
          <cell r="P690">
            <v>3019638.65</v>
          </cell>
          <cell r="Q690">
            <v>217413.98279999997</v>
          </cell>
          <cell r="R690">
            <v>2802224.6672</v>
          </cell>
          <cell r="S690">
            <v>7.1999999999999995E-2</v>
          </cell>
          <cell r="T690">
            <v>0.92800000000000005</v>
          </cell>
        </row>
        <row r="691">
          <cell r="I691">
            <v>9636</v>
          </cell>
        </row>
        <row r="693">
          <cell r="H693" t="str">
            <v>A997</v>
          </cell>
          <cell r="J693">
            <v>44505</v>
          </cell>
          <cell r="K693" t="str">
            <v>OK</v>
          </cell>
          <cell r="L693" t="str">
            <v>VIGENTE</v>
          </cell>
          <cell r="M693">
            <v>0</v>
          </cell>
          <cell r="N693">
            <v>0</v>
          </cell>
          <cell r="O693">
            <v>28000000</v>
          </cell>
          <cell r="P693">
            <v>5320000</v>
          </cell>
          <cell r="Q693">
            <v>5320000</v>
          </cell>
          <cell r="R693">
            <v>0</v>
          </cell>
          <cell r="S693">
            <v>1</v>
          </cell>
          <cell r="T693">
            <v>0</v>
          </cell>
        </row>
        <row r="694">
          <cell r="I694" t="str">
            <v>A997</v>
          </cell>
        </row>
        <row r="696">
          <cell r="H696">
            <v>8584</v>
          </cell>
          <cell r="J696">
            <v>45358</v>
          </cell>
          <cell r="K696" t="str">
            <v>OK</v>
          </cell>
          <cell r="L696" t="str">
            <v>POR VENCER</v>
          </cell>
          <cell r="M696">
            <v>0</v>
          </cell>
          <cell r="N696">
            <v>0</v>
          </cell>
          <cell r="O696">
            <v>9592714</v>
          </cell>
          <cell r="P696">
            <v>1822615.66</v>
          </cell>
          <cell r="Q696">
            <v>176793.71901999999</v>
          </cell>
          <cell r="R696">
            <v>1645821.94098</v>
          </cell>
          <cell r="S696">
            <v>9.7000000000000003E-2</v>
          </cell>
          <cell r="T696">
            <v>0.90300000000000002</v>
          </cell>
        </row>
        <row r="697">
          <cell r="I697">
            <v>8584</v>
          </cell>
        </row>
        <row r="698">
          <cell r="I698">
            <v>8584</v>
          </cell>
        </row>
        <row r="699">
          <cell r="H699">
            <v>5</v>
          </cell>
        </row>
        <row r="701">
          <cell r="H701">
            <v>6629</v>
          </cell>
          <cell r="J701">
            <v>43466</v>
          </cell>
          <cell r="K701" t="str">
            <v>OK</v>
          </cell>
          <cell r="L701" t="str">
            <v>VIGENTE</v>
          </cell>
          <cell r="M701">
            <v>0</v>
          </cell>
          <cell r="N701">
            <v>0</v>
          </cell>
          <cell r="O701">
            <v>8141716</v>
          </cell>
          <cell r="P701">
            <v>1546926.04</v>
          </cell>
          <cell r="Q701">
            <v>67460.517265300994</v>
          </cell>
          <cell r="R701">
            <v>1479465.5227346993</v>
          </cell>
          <cell r="S701">
            <v>4.3609400527837128E-2</v>
          </cell>
          <cell r="T701">
            <v>0.95639059947216298</v>
          </cell>
        </row>
        <row r="703">
          <cell r="I703">
            <v>6629</v>
          </cell>
        </row>
        <row r="704">
          <cell r="I704">
            <v>6629</v>
          </cell>
        </row>
        <row r="705">
          <cell r="I705">
            <v>6629</v>
          </cell>
        </row>
        <row r="706">
          <cell r="I706">
            <v>6629</v>
          </cell>
        </row>
        <row r="707">
          <cell r="I707" t="str">
            <v>A2</v>
          </cell>
          <cell r="J707">
            <v>3.5000000000000003E-2</v>
          </cell>
        </row>
        <row r="708">
          <cell r="I708">
            <v>1</v>
          </cell>
          <cell r="J708">
            <v>9.6600437810529394E-3</v>
          </cell>
        </row>
        <row r="710">
          <cell r="H710">
            <v>6711</v>
          </cell>
          <cell r="J710">
            <v>45505</v>
          </cell>
          <cell r="K710" t="str">
            <v>OK</v>
          </cell>
          <cell r="L710" t="str">
            <v>VIGENTE</v>
          </cell>
          <cell r="M710">
            <v>0</v>
          </cell>
          <cell r="N710">
            <v>0</v>
          </cell>
          <cell r="O710">
            <v>12101549</v>
          </cell>
          <cell r="P710">
            <v>2299294.31</v>
          </cell>
          <cell r="Q710">
            <v>158651.30739000003</v>
          </cell>
          <cell r="R710">
            <v>2140643.0026100003</v>
          </cell>
          <cell r="S710">
            <v>6.9000000000000006E-2</v>
          </cell>
          <cell r="T710">
            <v>0.93100000000000005</v>
          </cell>
        </row>
        <row r="712">
          <cell r="I712">
            <v>6711</v>
          </cell>
          <cell r="J712" t="str">
            <v>SE COMPENZA AL VENDOR 204551</v>
          </cell>
        </row>
        <row r="713">
          <cell r="I713">
            <v>6711</v>
          </cell>
        </row>
        <row r="714">
          <cell r="I714">
            <v>6711</v>
          </cell>
        </row>
        <row r="715">
          <cell r="I715">
            <v>6711</v>
          </cell>
        </row>
        <row r="716">
          <cell r="I716">
            <v>6711</v>
          </cell>
        </row>
        <row r="718">
          <cell r="I718" t="str">
            <v>A2</v>
          </cell>
          <cell r="J718">
            <v>3.4999990821878213E-2</v>
          </cell>
        </row>
        <row r="719">
          <cell r="H719">
            <v>9209</v>
          </cell>
          <cell r="J719">
            <v>43040</v>
          </cell>
          <cell r="K719" t="str">
            <v>CESADO</v>
          </cell>
          <cell r="L719" t="str">
            <v>CERRADA</v>
          </cell>
          <cell r="M719">
            <v>0</v>
          </cell>
          <cell r="N719">
            <v>0</v>
          </cell>
          <cell r="O719">
            <v>101940</v>
          </cell>
          <cell r="P719">
            <v>19368.599999999999</v>
          </cell>
          <cell r="Q719">
            <v>1549.4879999999998</v>
          </cell>
          <cell r="R719">
            <v>17819.112000000001</v>
          </cell>
          <cell r="S719">
            <v>0.08</v>
          </cell>
          <cell r="T719">
            <v>0.92</v>
          </cell>
        </row>
        <row r="720">
          <cell r="I720">
            <v>9209</v>
          </cell>
        </row>
        <row r="721">
          <cell r="I721">
            <v>9209</v>
          </cell>
        </row>
        <row r="722">
          <cell r="I722">
            <v>9209</v>
          </cell>
        </row>
        <row r="724">
          <cell r="I724" t="str">
            <v>A2</v>
          </cell>
          <cell r="J724">
            <v>3.4999990821878213E-2</v>
          </cell>
        </row>
        <row r="725">
          <cell r="I725">
            <v>1</v>
          </cell>
          <cell r="J725">
            <v>9.6600437810529394E-3</v>
          </cell>
        </row>
        <row r="726">
          <cell r="H726" t="str">
            <v>A544</v>
          </cell>
          <cell r="J726" t="e">
            <v>#N/A</v>
          </cell>
          <cell r="K726" t="e">
            <v>#N/A</v>
          </cell>
          <cell r="L726" t="e">
            <v>#N/A</v>
          </cell>
          <cell r="M726" t="e">
            <v>#N/A</v>
          </cell>
          <cell r="N726" t="e">
            <v>#N/A</v>
          </cell>
          <cell r="O726">
            <v>35897389</v>
          </cell>
          <cell r="P726">
            <v>6820503.9100000001</v>
          </cell>
          <cell r="Q726">
            <v>6820503.9100000001</v>
          </cell>
          <cell r="R726">
            <v>0</v>
          </cell>
          <cell r="S726">
            <v>1</v>
          </cell>
          <cell r="T726">
            <v>0</v>
          </cell>
        </row>
        <row r="728">
          <cell r="I728" t="str">
            <v>A544</v>
          </cell>
          <cell r="J728" t="str">
            <v>ENERGIA Y ACUEDUCTO SIN RETENCION</v>
          </cell>
        </row>
        <row r="730">
          <cell r="I730" t="str">
            <v>A2</v>
          </cell>
          <cell r="J730">
            <v>3.5133053065194375E-2</v>
          </cell>
        </row>
        <row r="731">
          <cell r="H731">
            <v>6623</v>
          </cell>
          <cell r="J731">
            <v>39539</v>
          </cell>
          <cell r="K731" t="str">
            <v>CESADO</v>
          </cell>
          <cell r="L731" t="str">
            <v>CERRADA</v>
          </cell>
          <cell r="M731">
            <v>0</v>
          </cell>
          <cell r="N731">
            <v>0</v>
          </cell>
          <cell r="O731">
            <v>6337200</v>
          </cell>
          <cell r="P731">
            <v>1204068</v>
          </cell>
          <cell r="Q731">
            <v>101141.712</v>
          </cell>
          <cell r="R731">
            <v>1102926.2879999999</v>
          </cell>
          <cell r="S731">
            <v>8.4000000000000005E-2</v>
          </cell>
          <cell r="T731">
            <v>0.91600000000000004</v>
          </cell>
        </row>
        <row r="733">
          <cell r="I733">
            <v>6623</v>
          </cell>
        </row>
        <row r="734">
          <cell r="I734">
            <v>6623</v>
          </cell>
        </row>
        <row r="735">
          <cell r="H735">
            <v>6711</v>
          </cell>
          <cell r="J735">
            <v>45505</v>
          </cell>
          <cell r="K735" t="str">
            <v>OK</v>
          </cell>
          <cell r="L735" t="str">
            <v>VIGENTE</v>
          </cell>
          <cell r="M735">
            <v>0</v>
          </cell>
          <cell r="N735">
            <v>0</v>
          </cell>
          <cell r="O735">
            <v>12101549</v>
          </cell>
          <cell r="P735">
            <v>2299294.31</v>
          </cell>
          <cell r="Q735">
            <v>158651.30739000003</v>
          </cell>
          <cell r="R735">
            <v>2140643.0026100003</v>
          </cell>
          <cell r="S735">
            <v>6.9000000000000006E-2</v>
          </cell>
          <cell r="T735">
            <v>0.93100000000000005</v>
          </cell>
        </row>
        <row r="736">
          <cell r="I736">
            <v>6711</v>
          </cell>
        </row>
        <row r="737">
          <cell r="I737">
            <v>6711</v>
          </cell>
        </row>
        <row r="739">
          <cell r="H739">
            <v>6776</v>
          </cell>
          <cell r="J739">
            <v>42321</v>
          </cell>
          <cell r="K739" t="str">
            <v>OK</v>
          </cell>
          <cell r="L739" t="str">
            <v>VIGENTE</v>
          </cell>
          <cell r="M739">
            <v>0</v>
          </cell>
          <cell r="N739">
            <v>0</v>
          </cell>
          <cell r="O739">
            <v>14343037</v>
          </cell>
          <cell r="P739">
            <v>2725177.0300000003</v>
          </cell>
          <cell r="Q739">
            <v>196212.74616000001</v>
          </cell>
          <cell r="R739">
            <v>2528964.2838400002</v>
          </cell>
          <cell r="S739">
            <v>7.1999999999999995E-2</v>
          </cell>
          <cell r="T739">
            <v>0.92800000000000005</v>
          </cell>
        </row>
        <row r="740">
          <cell r="I740">
            <v>6776</v>
          </cell>
        </row>
        <row r="741">
          <cell r="I741">
            <v>6776</v>
          </cell>
        </row>
        <row r="742">
          <cell r="I742">
            <v>6776</v>
          </cell>
        </row>
        <row r="743">
          <cell r="I743">
            <v>6776</v>
          </cell>
        </row>
        <row r="745">
          <cell r="H745">
            <v>6716</v>
          </cell>
          <cell r="J745">
            <v>43040</v>
          </cell>
          <cell r="K745" t="str">
            <v>OK</v>
          </cell>
          <cell r="L745" t="str">
            <v>VIGENTE</v>
          </cell>
          <cell r="M745">
            <v>0</v>
          </cell>
          <cell r="N745">
            <v>0</v>
          </cell>
          <cell r="O745">
            <v>12654187</v>
          </cell>
          <cell r="P745">
            <v>2404295.5300000003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</row>
        <row r="746">
          <cell r="I746">
            <v>6716</v>
          </cell>
          <cell r="J746" t="str">
            <v>ADMINISTRA</v>
          </cell>
          <cell r="K746">
            <v>3523386</v>
          </cell>
          <cell r="L746">
            <v>0.87426091112174764</v>
          </cell>
          <cell r="M746">
            <v>345733.47139038407</v>
          </cell>
        </row>
        <row r="747">
          <cell r="I747" t="str">
            <v>6716</v>
          </cell>
          <cell r="J747" t="str">
            <v>PUBLICIDAD</v>
          </cell>
          <cell r="K747">
            <v>506745</v>
          </cell>
          <cell r="L747">
            <v>0.12573908887825233</v>
          </cell>
          <cell r="M747">
            <v>49724.528609615911</v>
          </cell>
        </row>
        <row r="748">
          <cell r="I748">
            <v>6716</v>
          </cell>
          <cell r="J748" t="str">
            <v>TOTAL</v>
          </cell>
          <cell r="K748">
            <v>4030131</v>
          </cell>
        </row>
        <row r="749">
          <cell r="I749">
            <v>6716</v>
          </cell>
          <cell r="J749" t="str">
            <v>INCENTIVO</v>
          </cell>
          <cell r="K749">
            <v>395458</v>
          </cell>
        </row>
        <row r="751">
          <cell r="H751">
            <v>6714</v>
          </cell>
          <cell r="J751">
            <v>42917</v>
          </cell>
          <cell r="K751" t="str">
            <v>OK</v>
          </cell>
          <cell r="L751" t="str">
            <v>VIGENTE</v>
          </cell>
          <cell r="M751">
            <v>0</v>
          </cell>
          <cell r="N751">
            <v>0</v>
          </cell>
          <cell r="O751">
            <v>11203043</v>
          </cell>
          <cell r="P751">
            <v>2128578.17</v>
          </cell>
          <cell r="Q751">
            <v>170286.2536</v>
          </cell>
          <cell r="R751">
            <v>1958291.9164</v>
          </cell>
          <cell r="S751">
            <v>0.08</v>
          </cell>
          <cell r="T751">
            <v>0.92</v>
          </cell>
        </row>
        <row r="752">
          <cell r="I752">
            <v>6714</v>
          </cell>
        </row>
        <row r="753">
          <cell r="I753">
            <v>6714</v>
          </cell>
        </row>
        <row r="755">
          <cell r="H755">
            <v>6640</v>
          </cell>
          <cell r="J755">
            <v>42309</v>
          </cell>
          <cell r="K755" t="str">
            <v>OK</v>
          </cell>
          <cell r="L755" t="str">
            <v>VIGENTE</v>
          </cell>
          <cell r="M755">
            <v>0</v>
          </cell>
          <cell r="N755">
            <v>0</v>
          </cell>
          <cell r="O755">
            <v>5649396</v>
          </cell>
          <cell r="P755">
            <v>1073385.24</v>
          </cell>
          <cell r="Q755">
            <v>94890.773637943901</v>
          </cell>
          <cell r="R755">
            <v>978494.46636205621</v>
          </cell>
          <cell r="S755">
            <v>8.8403277874348166E-2</v>
          </cell>
          <cell r="T755">
            <v>0.9115967221256519</v>
          </cell>
        </row>
        <row r="756">
          <cell r="I756">
            <v>6640</v>
          </cell>
        </row>
        <row r="757">
          <cell r="I757">
            <v>6640</v>
          </cell>
        </row>
        <row r="758">
          <cell r="I758">
            <v>6640</v>
          </cell>
        </row>
        <row r="759">
          <cell r="I759">
            <v>6640</v>
          </cell>
        </row>
        <row r="761">
          <cell r="H761">
            <v>8140074</v>
          </cell>
          <cell r="J761">
            <v>45600</v>
          </cell>
          <cell r="K761" t="str">
            <v>REVISAR FECHAS</v>
          </cell>
          <cell r="L761" t="str">
            <v>VIGENTE</v>
          </cell>
          <cell r="M761">
            <v>0</v>
          </cell>
          <cell r="N761">
            <v>0</v>
          </cell>
          <cell r="O761">
            <v>70594906</v>
          </cell>
          <cell r="P761">
            <v>13413032.140000001</v>
          </cell>
          <cell r="Q761">
            <v>0</v>
          </cell>
          <cell r="R761">
            <v>13413032.140000001</v>
          </cell>
          <cell r="S761">
            <v>0</v>
          </cell>
          <cell r="T761">
            <v>1</v>
          </cell>
        </row>
        <row r="762">
          <cell r="I762">
            <v>8140074</v>
          </cell>
        </row>
        <row r="763">
          <cell r="I763">
            <v>8140074</v>
          </cell>
        </row>
        <row r="764">
          <cell r="H764">
            <v>6626</v>
          </cell>
          <cell r="J764">
            <v>45444</v>
          </cell>
          <cell r="K764" t="str">
            <v>OK</v>
          </cell>
          <cell r="L764" t="str">
            <v>VIGENTE</v>
          </cell>
          <cell r="M764">
            <v>0</v>
          </cell>
          <cell r="N764">
            <v>0</v>
          </cell>
          <cell r="O764">
            <v>15101403</v>
          </cell>
          <cell r="P764">
            <v>2869266.57</v>
          </cell>
          <cell r="Q764">
            <v>229541.32559999998</v>
          </cell>
          <cell r="R764">
            <v>2639725.2443999997</v>
          </cell>
          <cell r="S764">
            <v>0.08</v>
          </cell>
          <cell r="T764">
            <v>0.92</v>
          </cell>
        </row>
        <row r="765">
          <cell r="I765">
            <v>6626</v>
          </cell>
        </row>
        <row r="766">
          <cell r="I766">
            <v>6626</v>
          </cell>
          <cell r="J766" t="str">
            <v>lo cambie de ibr a cg solo si es descuento</v>
          </cell>
        </row>
        <row r="768">
          <cell r="H768">
            <v>6759</v>
          </cell>
          <cell r="J768">
            <v>40026</v>
          </cell>
          <cell r="K768" t="str">
            <v>OK</v>
          </cell>
          <cell r="L768" t="str">
            <v>VIGENTE</v>
          </cell>
          <cell r="M768">
            <v>0</v>
          </cell>
          <cell r="N768">
            <v>0</v>
          </cell>
          <cell r="O768">
            <v>16280378</v>
          </cell>
          <cell r="P768">
            <v>3093271.82</v>
          </cell>
          <cell r="Q768">
            <v>191782.85283999998</v>
          </cell>
          <cell r="R768">
            <v>2901488.9671599995</v>
          </cell>
          <cell r="S768">
            <v>6.2E-2</v>
          </cell>
          <cell r="T768">
            <v>0.93799999999999994</v>
          </cell>
        </row>
        <row r="769">
          <cell r="I769">
            <v>6759</v>
          </cell>
        </row>
        <row r="770">
          <cell r="I770">
            <v>6759</v>
          </cell>
        </row>
        <row r="771">
          <cell r="I771">
            <v>6759</v>
          </cell>
        </row>
        <row r="772">
          <cell r="I772">
            <v>6759</v>
          </cell>
        </row>
        <row r="774">
          <cell r="H774">
            <v>6554</v>
          </cell>
          <cell r="J774">
            <v>42309</v>
          </cell>
          <cell r="K774" t="str">
            <v>VENCIDO</v>
          </cell>
          <cell r="L774" t="str">
            <v>CESADO</v>
          </cell>
          <cell r="M774">
            <v>0</v>
          </cell>
          <cell r="N774">
            <v>0</v>
          </cell>
          <cell r="O774">
            <v>24000000</v>
          </cell>
          <cell r="P774">
            <v>4560000</v>
          </cell>
          <cell r="Q774">
            <v>173280</v>
          </cell>
          <cell r="R774">
            <v>4386720</v>
          </cell>
          <cell r="S774">
            <v>3.7999999999999999E-2</v>
          </cell>
          <cell r="T774">
            <v>0.96199999999999997</v>
          </cell>
        </row>
        <row r="775">
          <cell r="I775">
            <v>6554</v>
          </cell>
        </row>
        <row r="776">
          <cell r="I776" t="str">
            <v>6554</v>
          </cell>
        </row>
        <row r="777">
          <cell r="I777">
            <v>6554</v>
          </cell>
        </row>
        <row r="778">
          <cell r="I778">
            <v>6554</v>
          </cell>
        </row>
        <row r="779">
          <cell r="I779">
            <v>297634</v>
          </cell>
        </row>
        <row r="780">
          <cell r="H780" t="e">
            <v>#N/A</v>
          </cell>
          <cell r="I780">
            <v>87863</v>
          </cell>
          <cell r="J780" t="e">
            <v>#N/A</v>
          </cell>
          <cell r="K780" t="e">
            <v>#N/A</v>
          </cell>
          <cell r="L780" t="e">
            <v>#N/A</v>
          </cell>
          <cell r="M780" t="e">
            <v>#N/A</v>
          </cell>
          <cell r="N780" t="e">
            <v>#N/A</v>
          </cell>
          <cell r="O780" t="e">
            <v>#N/A</v>
          </cell>
          <cell r="P780" t="e">
            <v>#N/A</v>
          </cell>
          <cell r="Q780" t="e">
            <v>#N/A</v>
          </cell>
          <cell r="R780" t="e">
            <v>#N/A</v>
          </cell>
          <cell r="S780" t="e">
            <v>#N/A</v>
          </cell>
          <cell r="T780" t="e">
            <v>#N/A</v>
          </cell>
        </row>
        <row r="781">
          <cell r="L781">
            <v>555427</v>
          </cell>
        </row>
        <row r="782">
          <cell r="L782">
            <v>12470</v>
          </cell>
        </row>
        <row r="783">
          <cell r="I783">
            <v>953394</v>
          </cell>
        </row>
        <row r="784">
          <cell r="H784">
            <v>9209</v>
          </cell>
          <cell r="J784">
            <v>43040</v>
          </cell>
          <cell r="K784" t="str">
            <v>CESADO</v>
          </cell>
          <cell r="L784" t="str">
            <v>CERRADA</v>
          </cell>
          <cell r="M784">
            <v>0</v>
          </cell>
          <cell r="N784">
            <v>0</v>
          </cell>
          <cell r="O784">
            <v>101940</v>
          </cell>
          <cell r="P784">
            <v>19368.599999999999</v>
          </cell>
          <cell r="Q784">
            <v>1549.4879999999998</v>
          </cell>
          <cell r="R784">
            <v>17819.112000000001</v>
          </cell>
          <cell r="S784">
            <v>0.08</v>
          </cell>
          <cell r="T784">
            <v>0.92</v>
          </cell>
        </row>
        <row r="785">
          <cell r="I785">
            <v>9209</v>
          </cell>
        </row>
        <row r="786">
          <cell r="I786">
            <v>9209</v>
          </cell>
        </row>
        <row r="787">
          <cell r="I787">
            <v>9209</v>
          </cell>
        </row>
        <row r="788">
          <cell r="H788">
            <v>6767</v>
          </cell>
          <cell r="J788">
            <v>45582</v>
          </cell>
          <cell r="K788" t="str">
            <v>OK</v>
          </cell>
          <cell r="L788" t="str">
            <v>VIGENTE</v>
          </cell>
          <cell r="M788">
            <v>0</v>
          </cell>
          <cell r="N788">
            <v>0</v>
          </cell>
          <cell r="O788">
            <v>3986803</v>
          </cell>
          <cell r="P788">
            <v>757492.57000000007</v>
          </cell>
          <cell r="Q788">
            <v>65144.361020000004</v>
          </cell>
          <cell r="R788">
            <v>692348.20898000011</v>
          </cell>
          <cell r="S788">
            <v>8.5999999999999993E-2</v>
          </cell>
          <cell r="T788">
            <v>0.91400000000000003</v>
          </cell>
        </row>
        <row r="791">
          <cell r="H791">
            <v>6617</v>
          </cell>
          <cell r="J791">
            <v>40057</v>
          </cell>
          <cell r="K791" t="str">
            <v>VENCIDO</v>
          </cell>
          <cell r="L791" t="str">
            <v>CESADO</v>
          </cell>
          <cell r="M791">
            <v>0</v>
          </cell>
          <cell r="N791">
            <v>0</v>
          </cell>
          <cell r="O791">
            <v>9086819</v>
          </cell>
          <cell r="P791">
            <v>1726495.61</v>
          </cell>
          <cell r="Q791">
            <v>86324.780500000008</v>
          </cell>
          <cell r="R791">
            <v>1640170.8295</v>
          </cell>
          <cell r="S791">
            <v>0.05</v>
          </cell>
          <cell r="T791">
            <v>0.95</v>
          </cell>
        </row>
        <row r="792">
          <cell r="I792">
            <v>6617</v>
          </cell>
        </row>
        <row r="793">
          <cell r="I793">
            <v>6617</v>
          </cell>
        </row>
        <row r="794">
          <cell r="I794">
            <v>6617</v>
          </cell>
        </row>
        <row r="795">
          <cell r="I795">
            <v>6617</v>
          </cell>
        </row>
        <row r="796">
          <cell r="I796">
            <v>6617</v>
          </cell>
        </row>
        <row r="797">
          <cell r="I797">
            <v>6617</v>
          </cell>
        </row>
        <row r="798">
          <cell r="I798">
            <v>6617</v>
          </cell>
        </row>
        <row r="799">
          <cell r="H799">
            <v>6652</v>
          </cell>
          <cell r="J799">
            <v>43480</v>
          </cell>
          <cell r="K799" t="str">
            <v>VENCIDO</v>
          </cell>
          <cell r="L799" t="str">
            <v>CESADO</v>
          </cell>
          <cell r="M799">
            <v>0</v>
          </cell>
          <cell r="N799">
            <v>0</v>
          </cell>
          <cell r="O799">
            <v>15871587</v>
          </cell>
          <cell r="P799">
            <v>3015601.5300000003</v>
          </cell>
          <cell r="Q799">
            <v>160005.1278447978</v>
          </cell>
          <cell r="R799">
            <v>2855596.4021552023</v>
          </cell>
          <cell r="S799">
            <v>5.3059108192188037E-2</v>
          </cell>
          <cell r="T799">
            <v>0.94694089180781194</v>
          </cell>
        </row>
        <row r="800">
          <cell r="I800">
            <v>6652</v>
          </cell>
        </row>
        <row r="801">
          <cell r="I801">
            <v>6652</v>
          </cell>
        </row>
        <row r="802">
          <cell r="I802">
            <v>6652</v>
          </cell>
        </row>
        <row r="803">
          <cell r="H803">
            <v>9209</v>
          </cell>
          <cell r="I803" t="str">
            <v>"11-2023"</v>
          </cell>
          <cell r="J803">
            <v>43040</v>
          </cell>
          <cell r="K803" t="str">
            <v>CESADO</v>
          </cell>
          <cell r="L803" t="str">
            <v>CERRADA</v>
          </cell>
          <cell r="M803">
            <v>0</v>
          </cell>
          <cell r="N803">
            <v>0</v>
          </cell>
          <cell r="O803">
            <v>101940</v>
          </cell>
          <cell r="P803">
            <v>19368.599999999999</v>
          </cell>
          <cell r="Q803">
            <v>1549.4879999999998</v>
          </cell>
          <cell r="R803">
            <v>17819.112000000001</v>
          </cell>
          <cell r="S803">
            <v>0.08</v>
          </cell>
          <cell r="T803">
            <v>0.92</v>
          </cell>
        </row>
        <row r="804">
          <cell r="I804">
            <v>9209</v>
          </cell>
        </row>
        <row r="805">
          <cell r="I805">
            <v>9209</v>
          </cell>
        </row>
        <row r="806">
          <cell r="H806">
            <v>8583</v>
          </cell>
          <cell r="J806">
            <v>42370</v>
          </cell>
          <cell r="K806" t="str">
            <v>VENCIDO</v>
          </cell>
          <cell r="L806" t="str">
            <v>CESADO</v>
          </cell>
          <cell r="M806">
            <v>0</v>
          </cell>
          <cell r="N806">
            <v>0</v>
          </cell>
          <cell r="O806">
            <v>9715141</v>
          </cell>
          <cell r="P806">
            <v>1845876.79</v>
          </cell>
          <cell r="Q806">
            <v>177204.17184</v>
          </cell>
          <cell r="R806">
            <v>1668672.6181600001</v>
          </cell>
          <cell r="S806">
            <v>9.6000000000000002E-2</v>
          </cell>
          <cell r="T806">
            <v>0.90400000000000003</v>
          </cell>
        </row>
        <row r="807">
          <cell r="I807">
            <v>8583</v>
          </cell>
        </row>
        <row r="808">
          <cell r="I808">
            <v>8583</v>
          </cell>
        </row>
        <row r="809">
          <cell r="H809" t="str">
            <v>A854</v>
          </cell>
          <cell r="J809">
            <v>44492</v>
          </cell>
          <cell r="K809" t="str">
            <v>OK</v>
          </cell>
          <cell r="L809" t="str">
            <v>VIGENTE</v>
          </cell>
          <cell r="M809">
            <v>0</v>
          </cell>
          <cell r="N809">
            <v>935593</v>
          </cell>
          <cell r="O809">
            <v>9355925</v>
          </cell>
          <cell r="P809">
            <v>1777625.75</v>
          </cell>
          <cell r="Q809">
            <v>179540.20075000002</v>
          </cell>
          <cell r="R809">
            <v>1598085.5492499999</v>
          </cell>
          <cell r="S809">
            <v>0.10100000000000001</v>
          </cell>
          <cell r="T809">
            <v>0.89900000000000002</v>
          </cell>
        </row>
        <row r="810">
          <cell r="I810" t="str">
            <v>A854</v>
          </cell>
        </row>
        <row r="811">
          <cell r="I811" t="str">
            <v>A854</v>
          </cell>
        </row>
        <row r="812">
          <cell r="I812" t="str">
            <v>A854</v>
          </cell>
        </row>
        <row r="813">
          <cell r="I813" t="str">
            <v>A854</v>
          </cell>
          <cell r="K813">
            <v>15324490.84</v>
          </cell>
        </row>
        <row r="814">
          <cell r="I814" t="str">
            <v>A854</v>
          </cell>
        </row>
        <row r="815">
          <cell r="I815" t="str">
            <v>A854</v>
          </cell>
        </row>
        <row r="816">
          <cell r="I816" t="str">
            <v>A854</v>
          </cell>
        </row>
        <row r="817">
          <cell r="I817" t="str">
            <v>A854</v>
          </cell>
        </row>
        <row r="818">
          <cell r="H818">
            <v>9264</v>
          </cell>
          <cell r="J818">
            <v>43146</v>
          </cell>
          <cell r="K818" t="str">
            <v>VENCIDO</v>
          </cell>
          <cell r="L818" t="str">
            <v>CESADO</v>
          </cell>
          <cell r="M818">
            <v>0</v>
          </cell>
          <cell r="N818">
            <v>0</v>
          </cell>
          <cell r="O818">
            <v>16580922</v>
          </cell>
          <cell r="P818">
            <v>3150375.18</v>
          </cell>
          <cell r="Q818">
            <v>3150375.18</v>
          </cell>
          <cell r="R818">
            <v>0</v>
          </cell>
          <cell r="S818">
            <v>1</v>
          </cell>
          <cell r="T818">
            <v>0</v>
          </cell>
        </row>
        <row r="819">
          <cell r="I819">
            <v>9264</v>
          </cell>
        </row>
        <row r="820">
          <cell r="I820">
            <v>9264</v>
          </cell>
        </row>
        <row r="821">
          <cell r="I821">
            <v>9264</v>
          </cell>
        </row>
        <row r="822">
          <cell r="I822">
            <v>9264</v>
          </cell>
        </row>
        <row r="823">
          <cell r="I823">
            <v>9264</v>
          </cell>
        </row>
        <row r="824">
          <cell r="I824">
            <v>9264</v>
          </cell>
        </row>
        <row r="825">
          <cell r="H825">
            <v>9264</v>
          </cell>
          <cell r="J825">
            <v>43146</v>
          </cell>
          <cell r="K825" t="str">
            <v>VENCIDO</v>
          </cell>
          <cell r="L825" t="str">
            <v>CESADO</v>
          </cell>
          <cell r="M825">
            <v>0</v>
          </cell>
          <cell r="N825">
            <v>0</v>
          </cell>
          <cell r="O825">
            <v>16580922</v>
          </cell>
          <cell r="P825">
            <v>3150375.18</v>
          </cell>
          <cell r="Q825">
            <v>3150375.18</v>
          </cell>
          <cell r="R825">
            <v>0</v>
          </cell>
          <cell r="S825">
            <v>1</v>
          </cell>
          <cell r="T825">
            <v>0</v>
          </cell>
        </row>
        <row r="826">
          <cell r="I826">
            <v>9264</v>
          </cell>
        </row>
        <row r="827">
          <cell r="I827">
            <v>9264</v>
          </cell>
        </row>
        <row r="828">
          <cell r="I828">
            <v>9264</v>
          </cell>
        </row>
        <row r="829">
          <cell r="I829">
            <v>9264</v>
          </cell>
        </row>
        <row r="830">
          <cell r="I830">
            <v>9264</v>
          </cell>
        </row>
        <row r="831">
          <cell r="I831">
            <v>9264</v>
          </cell>
        </row>
        <row r="832">
          <cell r="H832">
            <v>9264</v>
          </cell>
          <cell r="J832">
            <v>43146</v>
          </cell>
          <cell r="K832" t="str">
            <v>VENCIDO</v>
          </cell>
          <cell r="L832" t="str">
            <v>CESADO</v>
          </cell>
          <cell r="M832">
            <v>0</v>
          </cell>
          <cell r="N832">
            <v>0</v>
          </cell>
          <cell r="O832">
            <v>16580922</v>
          </cell>
          <cell r="P832">
            <v>3150375.18</v>
          </cell>
          <cell r="Q832">
            <v>3150375.18</v>
          </cell>
          <cell r="R832">
            <v>0</v>
          </cell>
          <cell r="S832">
            <v>1</v>
          </cell>
          <cell r="T832">
            <v>0</v>
          </cell>
        </row>
        <row r="833">
          <cell r="I833">
            <v>9264</v>
          </cell>
        </row>
        <row r="834">
          <cell r="I834">
            <v>9264</v>
          </cell>
        </row>
        <row r="835">
          <cell r="I835">
            <v>9264</v>
          </cell>
        </row>
        <row r="836">
          <cell r="I836">
            <v>9264</v>
          </cell>
        </row>
        <row r="837">
          <cell r="I837">
            <v>9264</v>
          </cell>
        </row>
        <row r="839">
          <cell r="H839">
            <v>9264</v>
          </cell>
          <cell r="J839">
            <v>43146</v>
          </cell>
          <cell r="K839" t="str">
            <v>VENCIDO</v>
          </cell>
          <cell r="L839" t="str">
            <v>CESADO</v>
          </cell>
          <cell r="M839">
            <v>0</v>
          </cell>
          <cell r="N839">
            <v>0</v>
          </cell>
          <cell r="O839">
            <v>16580922</v>
          </cell>
          <cell r="P839">
            <v>3150375.18</v>
          </cell>
          <cell r="Q839">
            <v>3150375.18</v>
          </cell>
          <cell r="R839">
            <v>0</v>
          </cell>
          <cell r="S839">
            <v>1</v>
          </cell>
          <cell r="T839">
            <v>0</v>
          </cell>
        </row>
        <row r="840">
          <cell r="I840">
            <v>9264</v>
          </cell>
        </row>
        <row r="841">
          <cell r="I841">
            <v>9264</v>
          </cell>
        </row>
        <row r="842">
          <cell r="I842">
            <v>9264</v>
          </cell>
        </row>
        <row r="843">
          <cell r="I843">
            <v>9264</v>
          </cell>
        </row>
        <row r="844">
          <cell r="I844">
            <v>9264</v>
          </cell>
        </row>
        <row r="845">
          <cell r="I845">
            <v>9264</v>
          </cell>
        </row>
        <row r="846">
          <cell r="I846">
            <v>9264</v>
          </cell>
        </row>
        <row r="847">
          <cell r="I847">
            <v>9264</v>
          </cell>
        </row>
        <row r="848">
          <cell r="H848">
            <v>9302</v>
          </cell>
          <cell r="J848">
            <v>43081</v>
          </cell>
          <cell r="K848" t="str">
            <v>VENCIDO</v>
          </cell>
          <cell r="L848" t="str">
            <v>CESADO</v>
          </cell>
          <cell r="M848">
            <v>0</v>
          </cell>
          <cell r="N848">
            <v>0</v>
          </cell>
          <cell r="O848">
            <v>7483348</v>
          </cell>
          <cell r="P848">
            <v>1421836.12</v>
          </cell>
          <cell r="Q848">
            <v>1421836.12</v>
          </cell>
          <cell r="R848">
            <v>0</v>
          </cell>
          <cell r="S848">
            <v>1</v>
          </cell>
          <cell r="T848">
            <v>0</v>
          </cell>
        </row>
        <row r="849">
          <cell r="I849">
            <v>9302</v>
          </cell>
        </row>
        <row r="850">
          <cell r="I850">
            <v>9302</v>
          </cell>
        </row>
        <row r="851">
          <cell r="I851" t="str">
            <v>A2</v>
          </cell>
        </row>
        <row r="853">
          <cell r="H853">
            <v>9302</v>
          </cell>
          <cell r="J853">
            <v>43081</v>
          </cell>
          <cell r="K853" t="str">
            <v>VENCIDO</v>
          </cell>
          <cell r="L853" t="str">
            <v>CESADO</v>
          </cell>
          <cell r="M853">
            <v>0</v>
          </cell>
          <cell r="N853">
            <v>0</v>
          </cell>
          <cell r="O853">
            <v>7483348</v>
          </cell>
          <cell r="P853">
            <v>1421836.12</v>
          </cell>
          <cell r="Q853">
            <v>1421836.12</v>
          </cell>
          <cell r="R853">
            <v>0</v>
          </cell>
          <cell r="S853">
            <v>1</v>
          </cell>
          <cell r="T853">
            <v>0</v>
          </cell>
        </row>
        <row r="854">
          <cell r="I854">
            <v>9302</v>
          </cell>
        </row>
        <row r="855">
          <cell r="I855">
            <v>9302</v>
          </cell>
        </row>
        <row r="856">
          <cell r="I856" t="str">
            <v>A2</v>
          </cell>
        </row>
        <row r="858">
          <cell r="H858">
            <v>9302</v>
          </cell>
          <cell r="J858">
            <v>43081</v>
          </cell>
          <cell r="K858" t="str">
            <v>VENCIDO</v>
          </cell>
          <cell r="L858" t="str">
            <v>CESADO</v>
          </cell>
          <cell r="M858">
            <v>0</v>
          </cell>
          <cell r="N858">
            <v>0</v>
          </cell>
          <cell r="O858">
            <v>7483348</v>
          </cell>
          <cell r="P858">
            <v>1421836.12</v>
          </cell>
          <cell r="Q858">
            <v>1421836.12</v>
          </cell>
          <cell r="R858">
            <v>0</v>
          </cell>
          <cell r="S858">
            <v>1</v>
          </cell>
          <cell r="T858">
            <v>0</v>
          </cell>
        </row>
        <row r="859">
          <cell r="I859">
            <v>9302</v>
          </cell>
        </row>
        <row r="860">
          <cell r="I860">
            <v>9302</v>
          </cell>
        </row>
        <row r="861">
          <cell r="I861" t="str">
            <v>A2</v>
          </cell>
          <cell r="J861">
            <v>3.5000027868039262E-2</v>
          </cell>
        </row>
        <row r="863">
          <cell r="H863">
            <v>6715</v>
          </cell>
          <cell r="J863">
            <v>41883</v>
          </cell>
          <cell r="K863" t="str">
            <v>VENCIDO</v>
          </cell>
          <cell r="L863" t="str">
            <v>CESADO</v>
          </cell>
          <cell r="M863">
            <v>0</v>
          </cell>
          <cell r="N863">
            <v>0</v>
          </cell>
          <cell r="O863">
            <v>17158194</v>
          </cell>
          <cell r="P863">
            <v>3260056.86</v>
          </cell>
          <cell r="Q863">
            <v>166262.89985999998</v>
          </cell>
          <cell r="R863">
            <v>3093793.9601399996</v>
          </cell>
          <cell r="S863">
            <v>5.0999999999999997E-2</v>
          </cell>
          <cell r="T863">
            <v>0.94899999999999995</v>
          </cell>
        </row>
        <row r="864">
          <cell r="I864">
            <v>6715</v>
          </cell>
        </row>
        <row r="865">
          <cell r="I865">
            <v>6715</v>
          </cell>
        </row>
        <row r="866">
          <cell r="I866">
            <v>6715</v>
          </cell>
        </row>
        <row r="868">
          <cell r="H868">
            <v>6699</v>
          </cell>
          <cell r="J868">
            <v>40210</v>
          </cell>
          <cell r="K868" t="str">
            <v>OK</v>
          </cell>
          <cell r="L868" t="str">
            <v>VIGENTE</v>
          </cell>
          <cell r="M868">
            <v>0</v>
          </cell>
          <cell r="N868">
            <v>0</v>
          </cell>
          <cell r="O868">
            <v>29641526</v>
          </cell>
          <cell r="P868">
            <v>5631889.9400000004</v>
          </cell>
          <cell r="Q868">
            <v>309753.94670000003</v>
          </cell>
          <cell r="R868">
            <v>5322135.9933000002</v>
          </cell>
          <cell r="S868">
            <v>5.5E-2</v>
          </cell>
          <cell r="T868">
            <v>0.94499999999999995</v>
          </cell>
        </row>
        <row r="869">
          <cell r="I869">
            <v>6699</v>
          </cell>
          <cell r="J869" t="str">
            <v>EXPENSAS</v>
          </cell>
          <cell r="K869">
            <v>2043777</v>
          </cell>
        </row>
        <row r="870">
          <cell r="I870">
            <v>6699</v>
          </cell>
          <cell r="J870" t="str">
            <v>ESPENSAS</v>
          </cell>
          <cell r="K870">
            <v>700272</v>
          </cell>
        </row>
        <row r="871">
          <cell r="I871">
            <v>6699</v>
          </cell>
          <cell r="J871" t="str">
            <v>F IMPROVISTOS</v>
          </cell>
          <cell r="K871">
            <v>27440</v>
          </cell>
        </row>
        <row r="872">
          <cell r="J872" t="str">
            <v>F SOLIDARIDAD</v>
          </cell>
          <cell r="K872">
            <v>5483</v>
          </cell>
        </row>
        <row r="873">
          <cell r="H873">
            <v>6600</v>
          </cell>
          <cell r="J873">
            <v>42795</v>
          </cell>
          <cell r="K873" t="str">
            <v>OK</v>
          </cell>
          <cell r="L873" t="str">
            <v>VIGENTE</v>
          </cell>
          <cell r="M873">
            <v>0</v>
          </cell>
          <cell r="N873">
            <v>0</v>
          </cell>
          <cell r="O873">
            <v>29614801</v>
          </cell>
          <cell r="P873">
            <v>5626812.1900000004</v>
          </cell>
          <cell r="Q873">
            <v>692097.89937</v>
          </cell>
          <cell r="R873">
            <v>4934714.2906300006</v>
          </cell>
          <cell r="S873">
            <v>0.123</v>
          </cell>
          <cell r="T873">
            <v>0.877</v>
          </cell>
        </row>
        <row r="874">
          <cell r="I874">
            <v>6600</v>
          </cell>
        </row>
        <row r="875">
          <cell r="I875">
            <v>6600</v>
          </cell>
        </row>
        <row r="876">
          <cell r="I876">
            <v>6600</v>
          </cell>
        </row>
        <row r="877">
          <cell r="I877">
            <v>6600</v>
          </cell>
        </row>
        <row r="878">
          <cell r="I878">
            <v>6600</v>
          </cell>
        </row>
        <row r="880">
          <cell r="H880">
            <v>6638</v>
          </cell>
          <cell r="J880">
            <v>43029</v>
          </cell>
          <cell r="K880" t="str">
            <v>VENCIDO</v>
          </cell>
          <cell r="L880" t="str">
            <v>CESADO</v>
          </cell>
          <cell r="M880">
            <v>0</v>
          </cell>
          <cell r="N880">
            <v>0</v>
          </cell>
          <cell r="O880">
            <v>17000000</v>
          </cell>
          <cell r="P880">
            <v>3230000</v>
          </cell>
          <cell r="Q880">
            <v>131793.4306569343</v>
          </cell>
          <cell r="R880">
            <v>3098206.5693430658</v>
          </cell>
          <cell r="S880">
            <v>4.0802919708029198E-2</v>
          </cell>
          <cell r="T880">
            <v>0.95919708029197082</v>
          </cell>
        </row>
        <row r="881">
          <cell r="I881">
            <v>6638</v>
          </cell>
        </row>
        <row r="882">
          <cell r="I882">
            <v>6638</v>
          </cell>
        </row>
        <row r="883">
          <cell r="I883">
            <v>6638</v>
          </cell>
        </row>
        <row r="885">
          <cell r="I885" t="str">
            <v>A2</v>
          </cell>
          <cell r="J885">
            <v>3.4999990821878213E-2</v>
          </cell>
        </row>
        <row r="887">
          <cell r="H887">
            <v>8583</v>
          </cell>
          <cell r="J887">
            <v>42370</v>
          </cell>
          <cell r="K887" t="str">
            <v>VENCIDO</v>
          </cell>
          <cell r="L887" t="str">
            <v>CESADO</v>
          </cell>
          <cell r="M887">
            <v>0</v>
          </cell>
          <cell r="N887">
            <v>0</v>
          </cell>
          <cell r="O887">
            <v>9715141</v>
          </cell>
          <cell r="P887">
            <v>1845876.79</v>
          </cell>
          <cell r="Q887">
            <v>177204.17184</v>
          </cell>
          <cell r="R887">
            <v>1668672.6181600001</v>
          </cell>
          <cell r="S887">
            <v>9.6000000000000002E-2</v>
          </cell>
          <cell r="T887">
            <v>0.90400000000000003</v>
          </cell>
        </row>
        <row r="888">
          <cell r="I888">
            <v>8583</v>
          </cell>
        </row>
        <row r="889">
          <cell r="I889">
            <v>8583</v>
          </cell>
        </row>
        <row r="891">
          <cell r="H891">
            <v>9102</v>
          </cell>
          <cell r="J891">
            <v>45870</v>
          </cell>
          <cell r="K891" t="str">
            <v>OK</v>
          </cell>
          <cell r="L891" t="str">
            <v>VIGENTE</v>
          </cell>
          <cell r="M891">
            <v>0</v>
          </cell>
          <cell r="N891">
            <v>0</v>
          </cell>
          <cell r="O891">
            <v>93440962</v>
          </cell>
          <cell r="P891">
            <v>17753782.780000001</v>
          </cell>
          <cell r="Q891">
            <v>1136242.0979200001</v>
          </cell>
          <cell r="R891">
            <v>16617540.682080003</v>
          </cell>
          <cell r="S891">
            <v>6.4000000000000001E-2</v>
          </cell>
          <cell r="T891">
            <v>0.93600000000000005</v>
          </cell>
        </row>
        <row r="892">
          <cell r="I892">
            <v>9102</v>
          </cell>
        </row>
        <row r="893">
          <cell r="I893">
            <v>9102</v>
          </cell>
        </row>
        <row r="894">
          <cell r="I894">
            <v>9102</v>
          </cell>
        </row>
        <row r="895">
          <cell r="I895">
            <v>9102</v>
          </cell>
        </row>
        <row r="896">
          <cell r="I896">
            <v>1</v>
          </cell>
          <cell r="J896">
            <v>9.6600437810529394E-3</v>
          </cell>
        </row>
        <row r="897">
          <cell r="I897" t="str">
            <v>A2</v>
          </cell>
          <cell r="J897">
            <v>3.4999990821878213E-2</v>
          </cell>
        </row>
        <row r="899">
          <cell r="H899">
            <v>9058</v>
          </cell>
          <cell r="I899" t="str">
            <v>A2 A1</v>
          </cell>
          <cell r="J899">
            <v>42887</v>
          </cell>
          <cell r="K899" t="str">
            <v>OK</v>
          </cell>
          <cell r="L899" t="str">
            <v>VIGENTE</v>
          </cell>
          <cell r="M899">
            <v>0</v>
          </cell>
          <cell r="N899">
            <v>0</v>
          </cell>
          <cell r="O899">
            <v>33947300</v>
          </cell>
          <cell r="P899">
            <v>6449987</v>
          </cell>
          <cell r="Q899">
            <v>6449987</v>
          </cell>
          <cell r="R899">
            <v>0</v>
          </cell>
          <cell r="S899">
            <v>1</v>
          </cell>
          <cell r="T899">
            <v>0</v>
          </cell>
        </row>
        <row r="900">
          <cell r="I900">
            <v>9058</v>
          </cell>
        </row>
        <row r="901">
          <cell r="I901">
            <v>9058</v>
          </cell>
          <cell r="K901" t="str">
            <v>BASE DE RETENCIONES</v>
          </cell>
        </row>
        <row r="902">
          <cell r="I902">
            <v>9058</v>
          </cell>
          <cell r="K902">
            <v>35034273</v>
          </cell>
        </row>
        <row r="903">
          <cell r="I903">
            <v>9058</v>
          </cell>
        </row>
        <row r="904">
          <cell r="I904" t="str">
            <v>01</v>
          </cell>
          <cell r="J904">
            <v>9.6600127605866986E-3</v>
          </cell>
        </row>
        <row r="905">
          <cell r="I905" t="str">
            <v>A2</v>
          </cell>
          <cell r="J905">
            <v>3.4999998798890562E-2</v>
          </cell>
        </row>
        <row r="906">
          <cell r="J906">
            <v>3.5000014728711858E-2</v>
          </cell>
        </row>
        <row r="907">
          <cell r="H907">
            <v>9458</v>
          </cell>
          <cell r="J907">
            <v>43237</v>
          </cell>
          <cell r="K907" t="str">
            <v>CESADO</v>
          </cell>
          <cell r="L907" t="str">
            <v>REEMPLAZO 5-136</v>
          </cell>
          <cell r="M907">
            <v>0</v>
          </cell>
          <cell r="N907">
            <v>0</v>
          </cell>
          <cell r="O907">
            <v>16289886</v>
          </cell>
          <cell r="P907">
            <v>3095078.34</v>
          </cell>
          <cell r="Q907">
            <v>207370.24877999999</v>
          </cell>
          <cell r="R907">
            <v>2887708.0912199998</v>
          </cell>
          <cell r="S907">
            <v>6.7000000000000004E-2</v>
          </cell>
          <cell r="T907">
            <v>0.93300000000000005</v>
          </cell>
        </row>
        <row r="908">
          <cell r="I908">
            <v>9458</v>
          </cell>
        </row>
        <row r="909">
          <cell r="I909">
            <v>9458</v>
          </cell>
        </row>
        <row r="910">
          <cell r="I910">
            <v>9458</v>
          </cell>
        </row>
        <row r="911">
          <cell r="I911">
            <v>9458</v>
          </cell>
        </row>
        <row r="912">
          <cell r="I912">
            <v>9458</v>
          </cell>
        </row>
        <row r="913">
          <cell r="I913">
            <v>9458</v>
          </cell>
          <cell r="J913">
            <v>1</v>
          </cell>
          <cell r="K913">
            <v>9.6600000000000002E-3</v>
          </cell>
        </row>
        <row r="914">
          <cell r="I914">
            <v>9458</v>
          </cell>
          <cell r="J914" t="str">
            <v>A2</v>
          </cell>
          <cell r="K914">
            <v>3.5000000000000003E-2</v>
          </cell>
        </row>
        <row r="916">
          <cell r="H916">
            <v>6632</v>
          </cell>
          <cell r="J916">
            <v>42622</v>
          </cell>
          <cell r="K916" t="str">
            <v>N/A</v>
          </cell>
          <cell r="L916" t="str">
            <v>REEMPLAZO 5-129</v>
          </cell>
          <cell r="M916">
            <v>0</v>
          </cell>
          <cell r="N916">
            <v>0</v>
          </cell>
          <cell r="O916">
            <v>25832541</v>
          </cell>
          <cell r="P916">
            <v>4908182.79</v>
          </cell>
          <cell r="Q916">
            <v>389888.62090827333</v>
          </cell>
          <cell r="R916">
            <v>4518294.1690917267</v>
          </cell>
          <cell r="S916">
            <v>7.9436450839328529E-2</v>
          </cell>
          <cell r="T916">
            <v>0.9205635491606714</v>
          </cell>
        </row>
        <row r="917">
          <cell r="I917">
            <v>6632</v>
          </cell>
        </row>
        <row r="918">
          <cell r="I918">
            <v>6632</v>
          </cell>
        </row>
        <row r="919">
          <cell r="I919">
            <v>6632</v>
          </cell>
        </row>
        <row r="920">
          <cell r="I920">
            <v>6632</v>
          </cell>
        </row>
        <row r="921">
          <cell r="I921">
            <v>6632</v>
          </cell>
        </row>
        <row r="922">
          <cell r="I922">
            <v>6632</v>
          </cell>
          <cell r="J922">
            <v>1</v>
          </cell>
          <cell r="K922">
            <v>9.6599862297717352E-3</v>
          </cell>
        </row>
        <row r="923">
          <cell r="I923">
            <v>6632</v>
          </cell>
          <cell r="J923" t="str">
            <v>A2</v>
          </cell>
          <cell r="K923">
            <v>3.5000000000000003E-2</v>
          </cell>
        </row>
        <row r="924">
          <cell r="I924">
            <v>6632</v>
          </cell>
        </row>
        <row r="925">
          <cell r="H925">
            <v>6688</v>
          </cell>
          <cell r="J925">
            <v>42736</v>
          </cell>
          <cell r="K925" t="str">
            <v>VENCIDO</v>
          </cell>
          <cell r="L925" t="str">
            <v>CESADO</v>
          </cell>
          <cell r="M925">
            <v>0</v>
          </cell>
          <cell r="N925">
            <v>0</v>
          </cell>
          <cell r="O925">
            <v>21214110</v>
          </cell>
          <cell r="P925">
            <v>4030680.9</v>
          </cell>
          <cell r="Q925">
            <v>460797.17418111756</v>
          </cell>
          <cell r="R925">
            <v>3569883.7258188822</v>
          </cell>
          <cell r="S925">
            <v>0.11432241490044959</v>
          </cell>
          <cell r="T925">
            <v>0.88567758509955041</v>
          </cell>
        </row>
        <row r="926">
          <cell r="I926">
            <v>6688</v>
          </cell>
        </row>
        <row r="927">
          <cell r="I927">
            <v>6688</v>
          </cell>
          <cell r="K927">
            <v>29022057.960000001</v>
          </cell>
        </row>
        <row r="928">
          <cell r="I928">
            <v>6688</v>
          </cell>
        </row>
        <row r="929">
          <cell r="I929">
            <v>6688</v>
          </cell>
        </row>
        <row r="930">
          <cell r="I930">
            <v>6688</v>
          </cell>
          <cell r="J930">
            <v>1</v>
          </cell>
          <cell r="K930">
            <v>9.6599662362468804E-3</v>
          </cell>
        </row>
        <row r="931">
          <cell r="I931">
            <v>6688</v>
          </cell>
          <cell r="J931" t="str">
            <v>A2</v>
          </cell>
          <cell r="K931">
            <v>3.5000002460197695E-2</v>
          </cell>
        </row>
        <row r="932">
          <cell r="I932">
            <v>6688</v>
          </cell>
        </row>
        <row r="933">
          <cell r="H933">
            <v>6699</v>
          </cell>
          <cell r="J933">
            <v>40210</v>
          </cell>
          <cell r="K933" t="str">
            <v>OK</v>
          </cell>
          <cell r="L933" t="str">
            <v>VIGENTE</v>
          </cell>
          <cell r="M933">
            <v>0</v>
          </cell>
          <cell r="N933">
            <v>0</v>
          </cell>
          <cell r="O933">
            <v>29641526</v>
          </cell>
          <cell r="P933">
            <v>5631889.9400000004</v>
          </cell>
          <cell r="Q933">
            <v>309753.94670000003</v>
          </cell>
          <cell r="R933">
            <v>5322135.9933000002</v>
          </cell>
          <cell r="S933">
            <v>5.5E-2</v>
          </cell>
          <cell r="T933">
            <v>0.94499999999999995</v>
          </cell>
        </row>
        <row r="934">
          <cell r="I934">
            <v>6699</v>
          </cell>
        </row>
        <row r="935">
          <cell r="I935">
            <v>6699</v>
          </cell>
        </row>
        <row r="936">
          <cell r="I936">
            <v>6699</v>
          </cell>
          <cell r="K936">
            <v>35273415.939999998</v>
          </cell>
        </row>
        <row r="937">
          <cell r="I937">
            <v>6699</v>
          </cell>
        </row>
        <row r="938">
          <cell r="I938">
            <v>6699</v>
          </cell>
        </row>
        <row r="939">
          <cell r="I939">
            <v>6699</v>
          </cell>
          <cell r="J939">
            <v>1</v>
          </cell>
          <cell r="K939">
            <v>9.6599912356512239E-3</v>
          </cell>
        </row>
        <row r="940">
          <cell r="I940">
            <v>6699</v>
          </cell>
          <cell r="J940" t="str">
            <v>A2</v>
          </cell>
          <cell r="K940">
            <v>3.5000000000000003E-2</v>
          </cell>
        </row>
        <row r="941">
          <cell r="H941">
            <v>6700</v>
          </cell>
          <cell r="J941">
            <v>42736</v>
          </cell>
          <cell r="K941" t="str">
            <v>OK</v>
          </cell>
          <cell r="L941" t="str">
            <v>VIGENTE</v>
          </cell>
          <cell r="M941">
            <v>0</v>
          </cell>
          <cell r="N941">
            <v>0</v>
          </cell>
          <cell r="O941">
            <v>24244695</v>
          </cell>
          <cell r="P941">
            <v>4606492.05</v>
          </cell>
          <cell r="Q941">
            <v>488288.15729999996</v>
          </cell>
          <cell r="R941">
            <v>4118203.8926999997</v>
          </cell>
          <cell r="S941">
            <v>0.106</v>
          </cell>
          <cell r="T941">
            <v>0.89400000000000002</v>
          </cell>
        </row>
        <row r="942">
          <cell r="I942">
            <v>6700</v>
          </cell>
        </row>
        <row r="943">
          <cell r="I943">
            <v>6700</v>
          </cell>
        </row>
        <row r="944">
          <cell r="I944">
            <v>6700</v>
          </cell>
        </row>
        <row r="945">
          <cell r="I945">
            <v>6700</v>
          </cell>
        </row>
        <row r="946">
          <cell r="I946">
            <v>6700</v>
          </cell>
        </row>
        <row r="947">
          <cell r="I947">
            <v>6700</v>
          </cell>
        </row>
        <row r="948">
          <cell r="I948">
            <v>6700</v>
          </cell>
        </row>
        <row r="949">
          <cell r="H949">
            <v>6717</v>
          </cell>
          <cell r="J949">
            <v>42736</v>
          </cell>
          <cell r="K949" t="str">
            <v>OK</v>
          </cell>
          <cell r="L949" t="str">
            <v>VIGENTE</v>
          </cell>
          <cell r="M949">
            <v>0</v>
          </cell>
          <cell r="N949">
            <v>0</v>
          </cell>
          <cell r="O949">
            <v>18577600</v>
          </cell>
          <cell r="P949">
            <v>3529744</v>
          </cell>
          <cell r="Q949">
            <v>363563.63199999998</v>
          </cell>
          <cell r="R949">
            <v>3166180.3680000002</v>
          </cell>
          <cell r="S949">
            <v>0.10299999999999999</v>
          </cell>
          <cell r="T949">
            <v>0.89700000000000002</v>
          </cell>
        </row>
        <row r="950">
          <cell r="I950">
            <v>6717</v>
          </cell>
        </row>
        <row r="951">
          <cell r="I951">
            <v>6717</v>
          </cell>
          <cell r="S951">
            <v>2128578</v>
          </cell>
        </row>
        <row r="952">
          <cell r="I952">
            <v>6717</v>
          </cell>
          <cell r="S952">
            <v>219243.53399999999</v>
          </cell>
        </row>
        <row r="953">
          <cell r="I953">
            <v>6717</v>
          </cell>
        </row>
        <row r="954">
          <cell r="I954">
            <v>6717</v>
          </cell>
          <cell r="J954">
            <v>1</v>
          </cell>
          <cell r="K954">
            <v>9.6600206700542587E-3</v>
          </cell>
        </row>
        <row r="955">
          <cell r="I955">
            <v>6717</v>
          </cell>
          <cell r="J955" t="str">
            <v>A2</v>
          </cell>
          <cell r="K955">
            <v>3.5000000000000003E-2</v>
          </cell>
        </row>
        <row r="956">
          <cell r="I956">
            <v>6717</v>
          </cell>
        </row>
        <row r="957">
          <cell r="H957">
            <v>6759</v>
          </cell>
          <cell r="J957">
            <v>40026</v>
          </cell>
          <cell r="K957" t="str">
            <v>OK</v>
          </cell>
          <cell r="L957" t="str">
            <v>VIGENTE</v>
          </cell>
          <cell r="M957">
            <v>0</v>
          </cell>
          <cell r="N957">
            <v>0</v>
          </cell>
          <cell r="O957">
            <v>16280378</v>
          </cell>
          <cell r="P957">
            <v>3093271.82</v>
          </cell>
          <cell r="Q957">
            <v>191782.85283999998</v>
          </cell>
          <cell r="R957">
            <v>2901488.9671599995</v>
          </cell>
          <cell r="S957">
            <v>6.2E-2</v>
          </cell>
          <cell r="T957">
            <v>0.93799999999999994</v>
          </cell>
        </row>
        <row r="958">
          <cell r="I958">
            <v>6759</v>
          </cell>
        </row>
        <row r="959">
          <cell r="I959">
            <v>6759</v>
          </cell>
        </row>
        <row r="960">
          <cell r="I960">
            <v>6759</v>
          </cell>
        </row>
        <row r="961">
          <cell r="I961">
            <v>6759</v>
          </cell>
        </row>
        <row r="962">
          <cell r="I962">
            <v>6759</v>
          </cell>
        </row>
        <row r="963">
          <cell r="I963">
            <v>6759</v>
          </cell>
        </row>
        <row r="964">
          <cell r="I964">
            <v>6759</v>
          </cell>
        </row>
        <row r="965">
          <cell r="H965">
            <v>6759</v>
          </cell>
          <cell r="J965">
            <v>40026</v>
          </cell>
          <cell r="K965" t="str">
            <v>OK</v>
          </cell>
          <cell r="L965" t="str">
            <v>VIGENTE</v>
          </cell>
          <cell r="M965">
            <v>0</v>
          </cell>
          <cell r="N965">
            <v>0</v>
          </cell>
          <cell r="O965">
            <v>16280378</v>
          </cell>
          <cell r="P965">
            <v>3093271.82</v>
          </cell>
          <cell r="Q965">
            <v>191782.85283999998</v>
          </cell>
          <cell r="R965">
            <v>2901488.9671599995</v>
          </cell>
          <cell r="S965">
            <v>6.2E-2</v>
          </cell>
          <cell r="T965">
            <v>0.93799999999999994</v>
          </cell>
        </row>
        <row r="966">
          <cell r="I966">
            <v>6759</v>
          </cell>
        </row>
        <row r="967">
          <cell r="I967">
            <v>6759</v>
          </cell>
        </row>
        <row r="968">
          <cell r="I968">
            <v>6759</v>
          </cell>
        </row>
        <row r="969">
          <cell r="I969">
            <v>6759</v>
          </cell>
        </row>
        <row r="971">
          <cell r="H971">
            <v>6760</v>
          </cell>
          <cell r="J971">
            <v>40057</v>
          </cell>
          <cell r="K971" t="str">
            <v>OK</v>
          </cell>
          <cell r="L971" t="str">
            <v>VIGENTE</v>
          </cell>
          <cell r="M971">
            <v>0</v>
          </cell>
          <cell r="N971">
            <v>0</v>
          </cell>
          <cell r="O971">
            <v>17558152</v>
          </cell>
          <cell r="P971">
            <v>3336048.88</v>
          </cell>
          <cell r="Q971">
            <v>423678.20776000002</v>
          </cell>
          <cell r="R971">
            <v>2912370.6722399998</v>
          </cell>
          <cell r="S971">
            <v>0.127</v>
          </cell>
          <cell r="T971">
            <v>0.873</v>
          </cell>
        </row>
        <row r="972">
          <cell r="I972">
            <v>6760</v>
          </cell>
        </row>
        <row r="973">
          <cell r="I973">
            <v>6760</v>
          </cell>
        </row>
        <row r="974">
          <cell r="I974">
            <v>6760</v>
          </cell>
        </row>
        <row r="975">
          <cell r="I975">
            <v>6760</v>
          </cell>
        </row>
        <row r="976">
          <cell r="I976">
            <v>6760</v>
          </cell>
          <cell r="J976">
            <v>1</v>
          </cell>
          <cell r="K976">
            <v>9.6600000000000002E-3</v>
          </cell>
        </row>
        <row r="977">
          <cell r="I977">
            <v>6760</v>
          </cell>
          <cell r="J977" t="str">
            <v>A2</v>
          </cell>
          <cell r="K977">
            <v>3.5000000000000003E-2</v>
          </cell>
        </row>
        <row r="979">
          <cell r="H979">
            <v>6764</v>
          </cell>
          <cell r="J979">
            <v>42736</v>
          </cell>
          <cell r="K979" t="str">
            <v>OK</v>
          </cell>
          <cell r="L979" t="str">
            <v>VIGENTE</v>
          </cell>
          <cell r="M979">
            <v>0</v>
          </cell>
          <cell r="N979">
            <v>0</v>
          </cell>
          <cell r="O979">
            <v>14395286</v>
          </cell>
          <cell r="P979">
            <v>2735104.34</v>
          </cell>
          <cell r="Q979">
            <v>235218.97323999996</v>
          </cell>
          <cell r="R979">
            <v>2499885.3667600001</v>
          </cell>
          <cell r="S979">
            <v>8.5999999999999993E-2</v>
          </cell>
          <cell r="T979">
            <v>0.91400000000000003</v>
          </cell>
        </row>
        <row r="980">
          <cell r="I980">
            <v>6764</v>
          </cell>
        </row>
        <row r="981">
          <cell r="I981">
            <v>6764</v>
          </cell>
        </row>
        <row r="982">
          <cell r="I982">
            <v>6764</v>
          </cell>
        </row>
        <row r="983">
          <cell r="I983">
            <v>6764</v>
          </cell>
        </row>
        <row r="984">
          <cell r="I984">
            <v>6764</v>
          </cell>
        </row>
        <row r="985">
          <cell r="I985">
            <v>6764</v>
          </cell>
        </row>
        <row r="986">
          <cell r="I986">
            <v>6764</v>
          </cell>
        </row>
        <row r="987">
          <cell r="H987">
            <v>6766</v>
          </cell>
          <cell r="J987">
            <v>41913</v>
          </cell>
          <cell r="K987" t="str">
            <v>VENCIDO</v>
          </cell>
          <cell r="L987" t="str">
            <v>CERRADA</v>
          </cell>
          <cell r="M987">
            <v>0</v>
          </cell>
          <cell r="N987">
            <v>0</v>
          </cell>
          <cell r="O987">
            <v>28412800</v>
          </cell>
          <cell r="P987">
            <v>5398432</v>
          </cell>
          <cell r="Q987">
            <v>685600.86400000006</v>
          </cell>
          <cell r="R987">
            <v>4712831.1359999999</v>
          </cell>
          <cell r="S987">
            <v>0.127</v>
          </cell>
          <cell r="T987">
            <v>0.873</v>
          </cell>
        </row>
        <row r="995">
          <cell r="H995">
            <v>6766</v>
          </cell>
          <cell r="I995" t="str">
            <v>A2 A1</v>
          </cell>
          <cell r="J995">
            <v>41913</v>
          </cell>
          <cell r="K995" t="str">
            <v>VENCIDO</v>
          </cell>
          <cell r="L995" t="str">
            <v>CERRADA</v>
          </cell>
          <cell r="M995">
            <v>0</v>
          </cell>
          <cell r="N995">
            <v>0</v>
          </cell>
          <cell r="O995">
            <v>28412800</v>
          </cell>
          <cell r="P995">
            <v>5398432</v>
          </cell>
          <cell r="Q995">
            <v>685600.86400000006</v>
          </cell>
          <cell r="R995">
            <v>4712831.1359999999</v>
          </cell>
          <cell r="S995">
            <v>0.127</v>
          </cell>
          <cell r="T995">
            <v>0.873</v>
          </cell>
        </row>
        <row r="996">
          <cell r="I996">
            <v>6766</v>
          </cell>
        </row>
        <row r="997">
          <cell r="I997">
            <v>6766</v>
          </cell>
        </row>
        <row r="1001">
          <cell r="H1001">
            <v>9104</v>
          </cell>
          <cell r="I1001" t="str">
            <v>A2 19</v>
          </cell>
          <cell r="J1001">
            <v>42917</v>
          </cell>
          <cell r="K1001" t="str">
            <v>VENCIDO</v>
          </cell>
          <cell r="L1001" t="str">
            <v>CESADO</v>
          </cell>
          <cell r="M1001">
            <v>0</v>
          </cell>
          <cell r="N1001">
            <v>0</v>
          </cell>
          <cell r="O1001">
            <v>45697694</v>
          </cell>
          <cell r="P1001">
            <v>8682561.8599999994</v>
          </cell>
          <cell r="Q1001">
            <v>8682561.8599999994</v>
          </cell>
          <cell r="R1001">
            <v>0</v>
          </cell>
          <cell r="S1001">
            <v>1</v>
          </cell>
          <cell r="T1001">
            <v>0</v>
          </cell>
        </row>
        <row r="1002">
          <cell r="I1002">
            <v>9104</v>
          </cell>
        </row>
        <row r="1003">
          <cell r="I1003">
            <v>9104</v>
          </cell>
        </row>
        <row r="1004">
          <cell r="I1004">
            <v>9104</v>
          </cell>
          <cell r="J1004">
            <v>9.6600060388167507E-3</v>
          </cell>
          <cell r="K1004">
            <v>1</v>
          </cell>
        </row>
        <row r="1005">
          <cell r="I1005">
            <v>9104</v>
          </cell>
          <cell r="J1005">
            <v>-3.4999989238844328E-2</v>
          </cell>
          <cell r="K1005" t="str">
            <v>A2</v>
          </cell>
        </row>
        <row r="1007">
          <cell r="H1007">
            <v>6692</v>
          </cell>
          <cell r="I1007" t="str">
            <v>NO</v>
          </cell>
          <cell r="J1007">
            <v>43069</v>
          </cell>
          <cell r="K1007" t="str">
            <v>VENCIDO</v>
          </cell>
          <cell r="L1007" t="str">
            <v>CESADO</v>
          </cell>
          <cell r="M1007">
            <v>0</v>
          </cell>
          <cell r="N1007">
            <v>0</v>
          </cell>
          <cell r="O1007">
            <v>15240965</v>
          </cell>
          <cell r="P1007">
            <v>2895783.35</v>
          </cell>
          <cell r="Q1007">
            <v>266659.5561540777</v>
          </cell>
          <cell r="R1007">
            <v>2629123.7938459227</v>
          </cell>
          <cell r="S1007">
            <v>9.2085464941318099E-2</v>
          </cell>
          <cell r="T1007">
            <v>0.90791453505868203</v>
          </cell>
        </row>
        <row r="1008">
          <cell r="I1008">
            <v>6692</v>
          </cell>
        </row>
        <row r="1009">
          <cell r="I1009">
            <v>6692</v>
          </cell>
        </row>
        <row r="1011">
          <cell r="H1011">
            <v>8712</v>
          </cell>
          <cell r="J1011">
            <v>42621</v>
          </cell>
          <cell r="K1011" t="str">
            <v>OK</v>
          </cell>
          <cell r="L1011" t="str">
            <v>VIGENTE</v>
          </cell>
          <cell r="M1011">
            <v>0</v>
          </cell>
          <cell r="N1011">
            <v>0</v>
          </cell>
          <cell r="O1011">
            <v>1815944</v>
          </cell>
          <cell r="P1011">
            <v>345029.36</v>
          </cell>
          <cell r="Q1011">
            <v>34847.965360000002</v>
          </cell>
          <cell r="R1011">
            <v>310181.39464000001</v>
          </cell>
          <cell r="S1011">
            <v>0.10100000000000001</v>
          </cell>
          <cell r="T1011">
            <v>0.89900000000000002</v>
          </cell>
        </row>
        <row r="1012">
          <cell r="I1012">
            <v>8712</v>
          </cell>
        </row>
        <row r="1014">
          <cell r="H1014">
            <v>6660</v>
          </cell>
          <cell r="J1014">
            <v>0</v>
          </cell>
          <cell r="K1014" t="str">
            <v>OK</v>
          </cell>
          <cell r="L1014" t="str">
            <v>VIGENTE</v>
          </cell>
          <cell r="M1014">
            <v>0</v>
          </cell>
          <cell r="N1014">
            <v>0</v>
          </cell>
          <cell r="O1014">
            <v>11518362</v>
          </cell>
          <cell r="P1014">
            <v>2188488.7799999998</v>
          </cell>
          <cell r="Q1014">
            <v>204784.43739406776</v>
          </cell>
          <cell r="R1014">
            <v>1983704.3426059322</v>
          </cell>
          <cell r="S1014">
            <v>9.3573446327683607E-2</v>
          </cell>
          <cell r="T1014">
            <v>0.90642655367231639</v>
          </cell>
        </row>
        <row r="1015">
          <cell r="I1015">
            <v>6660</v>
          </cell>
        </row>
        <row r="1016">
          <cell r="I1016" t="str">
            <v>6660</v>
          </cell>
        </row>
        <row r="1017">
          <cell r="I1017" t="str">
            <v>6660</v>
          </cell>
        </row>
        <row r="1019">
          <cell r="I1019" t="str">
            <v>6660</v>
          </cell>
        </row>
        <row r="1020">
          <cell r="H1020">
            <v>9053</v>
          </cell>
          <cell r="I1020" t="str">
            <v>NO</v>
          </cell>
          <cell r="J1020">
            <v>42915</v>
          </cell>
          <cell r="K1020" t="str">
            <v>VENCIDO</v>
          </cell>
          <cell r="L1020" t="str">
            <v>CESADO</v>
          </cell>
          <cell r="M1020">
            <v>0</v>
          </cell>
          <cell r="N1020">
            <v>0</v>
          </cell>
          <cell r="O1020">
            <v>15558951.35</v>
          </cell>
          <cell r="P1020">
            <v>2956200.7565000001</v>
          </cell>
          <cell r="Q1020">
            <v>130072.83328599999</v>
          </cell>
          <cell r="R1020">
            <v>2826127.9232140002</v>
          </cell>
          <cell r="S1020">
            <v>4.3999999999999997E-2</v>
          </cell>
          <cell r="T1020">
            <v>0.95599999999999996</v>
          </cell>
        </row>
        <row r="1021">
          <cell r="I1021">
            <v>9053</v>
          </cell>
        </row>
        <row r="1022">
          <cell r="I1022">
            <v>9053</v>
          </cell>
        </row>
        <row r="1023">
          <cell r="I1023">
            <v>9053</v>
          </cell>
        </row>
        <row r="1024">
          <cell r="I1024">
            <v>9053</v>
          </cell>
        </row>
        <row r="1026">
          <cell r="H1026">
            <v>9205</v>
          </cell>
          <cell r="J1026">
            <v>43009</v>
          </cell>
          <cell r="K1026" t="str">
            <v>OK</v>
          </cell>
          <cell r="L1026" t="str">
            <v>VIGENTE</v>
          </cell>
          <cell r="M1026">
            <v>0</v>
          </cell>
          <cell r="N1026">
            <v>0</v>
          </cell>
          <cell r="O1026">
            <v>42915064</v>
          </cell>
          <cell r="P1026">
            <v>8153862.1600000001</v>
          </cell>
          <cell r="Q1026">
            <v>8153862.1600000001</v>
          </cell>
          <cell r="R1026">
            <v>0</v>
          </cell>
          <cell r="S1026">
            <v>1</v>
          </cell>
          <cell r="T1026">
            <v>0</v>
          </cell>
        </row>
        <row r="1027">
          <cell r="I1027">
            <v>9205</v>
          </cell>
        </row>
        <row r="1028">
          <cell r="I1028">
            <v>9205</v>
          </cell>
        </row>
        <row r="1030">
          <cell r="H1030">
            <v>9104</v>
          </cell>
          <cell r="J1030">
            <v>42917</v>
          </cell>
          <cell r="K1030" t="str">
            <v>VENCIDO</v>
          </cell>
          <cell r="L1030" t="str">
            <v>CESADO</v>
          </cell>
          <cell r="M1030">
            <v>0</v>
          </cell>
          <cell r="N1030">
            <v>0</v>
          </cell>
          <cell r="O1030">
            <v>45697694</v>
          </cell>
          <cell r="P1030">
            <v>8682561.8599999994</v>
          </cell>
          <cell r="Q1030">
            <v>8682561.8599999994</v>
          </cell>
          <cell r="R1030">
            <v>0</v>
          </cell>
          <cell r="S1030">
            <v>1</v>
          </cell>
          <cell r="T1030">
            <v>0</v>
          </cell>
        </row>
        <row r="1031">
          <cell r="I1031">
            <v>9104</v>
          </cell>
        </row>
        <row r="1032">
          <cell r="I1032">
            <v>9104</v>
          </cell>
        </row>
        <row r="1034">
          <cell r="H1034">
            <v>6603</v>
          </cell>
          <cell r="J1034">
            <v>42926</v>
          </cell>
          <cell r="K1034" t="str">
            <v>OK</v>
          </cell>
          <cell r="L1034" t="str">
            <v>VIGENTE</v>
          </cell>
          <cell r="M1034">
            <v>0</v>
          </cell>
          <cell r="N1034">
            <v>0</v>
          </cell>
          <cell r="O1034">
            <v>13354740</v>
          </cell>
          <cell r="P1034">
            <v>2537400.6</v>
          </cell>
          <cell r="Q1034">
            <v>167468.43960000001</v>
          </cell>
          <cell r="R1034">
            <v>2369932.1604000004</v>
          </cell>
          <cell r="S1034">
            <v>6.6000000000000003E-2</v>
          </cell>
          <cell r="T1034">
            <v>0.93400000000000005</v>
          </cell>
        </row>
        <row r="1035">
          <cell r="I1035">
            <v>6603</v>
          </cell>
          <cell r="J1035">
            <v>1038456</v>
          </cell>
          <cell r="K1035" t="str">
            <v>CUOTA DE ADMINISTRACION</v>
          </cell>
        </row>
        <row r="1036">
          <cell r="I1036" t="str">
            <v>6603</v>
          </cell>
          <cell r="J1036">
            <v>36840</v>
          </cell>
          <cell r="K1036" t="str">
            <v>FONDO DE IMPREVISTOS</v>
          </cell>
        </row>
        <row r="1038">
          <cell r="H1038">
            <v>6603</v>
          </cell>
          <cell r="J1038">
            <v>42926</v>
          </cell>
          <cell r="K1038" t="str">
            <v>OK</v>
          </cell>
          <cell r="L1038" t="str">
            <v>VIGENTE</v>
          </cell>
          <cell r="M1038">
            <v>0</v>
          </cell>
          <cell r="N1038">
            <v>0</v>
          </cell>
          <cell r="O1038">
            <v>13354740</v>
          </cell>
          <cell r="P1038">
            <v>2537400.6</v>
          </cell>
          <cell r="Q1038">
            <v>167468.43960000001</v>
          </cell>
          <cell r="R1038">
            <v>2369932.1604000004</v>
          </cell>
          <cell r="S1038">
            <v>6.6000000000000003E-2</v>
          </cell>
          <cell r="T1038">
            <v>0.93400000000000005</v>
          </cell>
        </row>
        <row r="1039">
          <cell r="I1039">
            <v>6603</v>
          </cell>
        </row>
        <row r="1040">
          <cell r="I1040" t="str">
            <v>6603</v>
          </cell>
        </row>
        <row r="1042">
          <cell r="H1042">
            <v>9102</v>
          </cell>
          <cell r="J1042">
            <v>45870</v>
          </cell>
          <cell r="K1042" t="str">
            <v>OK</v>
          </cell>
          <cell r="L1042" t="str">
            <v>VIGENTE</v>
          </cell>
          <cell r="M1042">
            <v>0</v>
          </cell>
          <cell r="N1042">
            <v>0</v>
          </cell>
          <cell r="O1042">
            <v>93440962</v>
          </cell>
          <cell r="P1042">
            <v>17753782.780000001</v>
          </cell>
          <cell r="Q1042">
            <v>1136242.0979200001</v>
          </cell>
          <cell r="R1042">
            <v>16617540.682080003</v>
          </cell>
          <cell r="S1042">
            <v>6.4000000000000001E-2</v>
          </cell>
          <cell r="T1042">
            <v>0.93600000000000005</v>
          </cell>
        </row>
        <row r="1043">
          <cell r="I1043" t="str">
            <v>9102</v>
          </cell>
        </row>
        <row r="1044">
          <cell r="I1044" t="str">
            <v>9102</v>
          </cell>
        </row>
        <row r="1046">
          <cell r="H1046">
            <v>6619</v>
          </cell>
          <cell r="J1046">
            <v>45627</v>
          </cell>
          <cell r="K1046" t="str">
            <v>OK</v>
          </cell>
          <cell r="L1046" t="str">
            <v>VIGENTE</v>
          </cell>
          <cell r="M1046">
            <v>0</v>
          </cell>
          <cell r="N1046">
            <v>0</v>
          </cell>
          <cell r="O1046">
            <v>11540440</v>
          </cell>
          <cell r="P1046">
            <v>2192683.6</v>
          </cell>
          <cell r="Q1046">
            <v>120597.59800000001</v>
          </cell>
          <cell r="R1046">
            <v>2072086.0020000001</v>
          </cell>
          <cell r="S1046">
            <v>5.5E-2</v>
          </cell>
          <cell r="T1046">
            <v>0.94499999999999995</v>
          </cell>
        </row>
        <row r="1047">
          <cell r="I1047">
            <v>6619</v>
          </cell>
        </row>
        <row r="1048">
          <cell r="I1048">
            <v>6619</v>
          </cell>
        </row>
        <row r="1049">
          <cell r="I1049">
            <v>6619</v>
          </cell>
        </row>
        <row r="1050">
          <cell r="I1050">
            <v>6619</v>
          </cell>
        </row>
        <row r="1051">
          <cell r="H1051">
            <v>6568</v>
          </cell>
          <cell r="J1051">
            <v>41609</v>
          </cell>
          <cell r="K1051" t="str">
            <v>VENCIDO</v>
          </cell>
          <cell r="L1051" t="str">
            <v>CERRADA</v>
          </cell>
          <cell r="M1051">
            <v>0</v>
          </cell>
          <cell r="N1051">
            <v>0</v>
          </cell>
          <cell r="O1051">
            <v>20790000</v>
          </cell>
          <cell r="P1051">
            <v>3950100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</row>
        <row r="1052">
          <cell r="I1052">
            <v>6568</v>
          </cell>
        </row>
        <row r="1053">
          <cell r="I1053">
            <v>6568</v>
          </cell>
        </row>
        <row r="1054">
          <cell r="H1054">
            <v>9205</v>
          </cell>
          <cell r="I1054" t="str">
            <v>A2 01</v>
          </cell>
          <cell r="J1054">
            <v>43009</v>
          </cell>
          <cell r="K1054" t="str">
            <v>OK</v>
          </cell>
          <cell r="L1054" t="str">
            <v>VIGENTE</v>
          </cell>
          <cell r="M1054">
            <v>0</v>
          </cell>
          <cell r="N1054">
            <v>0</v>
          </cell>
          <cell r="O1054">
            <v>42915064</v>
          </cell>
          <cell r="P1054">
            <v>8153862.1600000001</v>
          </cell>
          <cell r="Q1054">
            <v>8153862.1600000001</v>
          </cell>
          <cell r="R1054">
            <v>0</v>
          </cell>
          <cell r="S1054">
            <v>1</v>
          </cell>
          <cell r="T1054">
            <v>0</v>
          </cell>
        </row>
        <row r="1055">
          <cell r="I1055">
            <v>9205</v>
          </cell>
        </row>
        <row r="1056">
          <cell r="I1056">
            <v>9205</v>
          </cell>
        </row>
        <row r="1057">
          <cell r="I1057">
            <v>9205</v>
          </cell>
          <cell r="J1057">
            <v>1</v>
          </cell>
          <cell r="K1057">
            <v>-9.6600004309479771E-3</v>
          </cell>
        </row>
        <row r="1058">
          <cell r="I1058">
            <v>9205</v>
          </cell>
          <cell r="J1058" t="str">
            <v>A2</v>
          </cell>
          <cell r="K1058">
            <v>-3.5000011153659256E-2</v>
          </cell>
        </row>
        <row r="1059">
          <cell r="I1059">
            <v>9205</v>
          </cell>
        </row>
        <row r="1060">
          <cell r="H1060">
            <v>9216</v>
          </cell>
          <cell r="I1060">
            <v>1748.95</v>
          </cell>
          <cell r="J1060">
            <v>43466</v>
          </cell>
          <cell r="K1060" t="str">
            <v>VENCIDO</v>
          </cell>
          <cell r="L1060" t="str">
            <v>CESADO</v>
          </cell>
          <cell r="M1060">
            <v>0</v>
          </cell>
          <cell r="N1060">
            <v>0</v>
          </cell>
          <cell r="O1060">
            <v>41557941</v>
          </cell>
          <cell r="P1060">
            <v>7896008.79</v>
          </cell>
          <cell r="Q1060">
            <v>465864.51860999997</v>
          </cell>
          <cell r="R1060">
            <v>7430144.2713899994</v>
          </cell>
          <cell r="S1060">
            <v>5.8999999999999997E-2</v>
          </cell>
          <cell r="T1060">
            <v>0.94099999999999995</v>
          </cell>
        </row>
        <row r="1061">
          <cell r="I1061">
            <v>9216</v>
          </cell>
        </row>
        <row r="1062">
          <cell r="I1062">
            <v>9216</v>
          </cell>
        </row>
        <row r="1063">
          <cell r="I1063">
            <v>9216</v>
          </cell>
        </row>
        <row r="1064">
          <cell r="I1064">
            <v>9216</v>
          </cell>
        </row>
        <row r="1065">
          <cell r="I1065">
            <v>1</v>
          </cell>
          <cell r="J1065">
            <v>9.6000000000000002E-2</v>
          </cell>
        </row>
        <row r="1067">
          <cell r="H1067">
            <v>9103</v>
          </cell>
          <cell r="J1067">
            <v>42948</v>
          </cell>
          <cell r="K1067" t="str">
            <v>REVISAR FECHAS</v>
          </cell>
          <cell r="L1067" t="str">
            <v>CESADO</v>
          </cell>
          <cell r="M1067">
            <v>0</v>
          </cell>
          <cell r="N1067">
            <v>0</v>
          </cell>
          <cell r="O1067">
            <v>11637519</v>
          </cell>
          <cell r="P1067">
            <v>2211128.61</v>
          </cell>
          <cell r="Q1067">
            <v>179101.41740999999</v>
          </cell>
          <cell r="R1067">
            <v>2032027.1925899999</v>
          </cell>
          <cell r="S1067">
            <v>8.1000000000000003E-2</v>
          </cell>
          <cell r="T1067">
            <v>0.91900000000000004</v>
          </cell>
        </row>
        <row r="1068">
          <cell r="I1068">
            <v>9103</v>
          </cell>
        </row>
        <row r="1069">
          <cell r="I1069">
            <v>9103</v>
          </cell>
        </row>
        <row r="1070">
          <cell r="I1070">
            <v>9103</v>
          </cell>
        </row>
        <row r="1071">
          <cell r="I1071">
            <v>9103</v>
          </cell>
        </row>
        <row r="1072">
          <cell r="I1072" t="str">
            <v xml:space="preserve">A2 </v>
          </cell>
          <cell r="J1072">
            <v>3.5000000000000003E-2</v>
          </cell>
        </row>
        <row r="1074">
          <cell r="H1074">
            <v>9305</v>
          </cell>
          <cell r="J1074">
            <v>43195</v>
          </cell>
          <cell r="K1074" t="str">
            <v>OK</v>
          </cell>
          <cell r="L1074" t="str">
            <v>VIGENTE</v>
          </cell>
          <cell r="M1074">
            <v>0</v>
          </cell>
          <cell r="N1074">
            <v>0</v>
          </cell>
          <cell r="O1074">
            <v>15918945</v>
          </cell>
          <cell r="P1074">
            <v>3024599.55</v>
          </cell>
          <cell r="Q1074">
            <v>3024599.55</v>
          </cell>
          <cell r="R1074">
            <v>0</v>
          </cell>
          <cell r="S1074">
            <v>1</v>
          </cell>
          <cell r="T1074">
            <v>0</v>
          </cell>
        </row>
        <row r="1075">
          <cell r="I1075">
            <v>9305</v>
          </cell>
        </row>
        <row r="1076">
          <cell r="I1076">
            <v>9305</v>
          </cell>
        </row>
        <row r="1077">
          <cell r="I1077">
            <v>9305</v>
          </cell>
        </row>
        <row r="1078">
          <cell r="I1078">
            <v>9305</v>
          </cell>
          <cell r="J1078" t="e">
            <v>#DIV/0!</v>
          </cell>
        </row>
        <row r="1079">
          <cell r="I1079">
            <v>9305</v>
          </cell>
        </row>
        <row r="1080">
          <cell r="I1080">
            <v>9305</v>
          </cell>
        </row>
        <row r="1081">
          <cell r="I1081">
            <v>24</v>
          </cell>
          <cell r="J1081">
            <v>6.9999913273144894E-3</v>
          </cell>
        </row>
        <row r="1083">
          <cell r="H1083" t="str">
            <v>C940</v>
          </cell>
          <cell r="I1083" t="str">
            <v>ICA 24 YC</v>
          </cell>
          <cell r="J1083">
            <v>43554</v>
          </cell>
          <cell r="K1083" t="str">
            <v>CESADO</v>
          </cell>
          <cell r="L1083" t="str">
            <v>CESADO</v>
          </cell>
          <cell r="M1083">
            <v>0</v>
          </cell>
          <cell r="N1083">
            <v>0</v>
          </cell>
          <cell r="O1083">
            <v>15918945</v>
          </cell>
          <cell r="P1083">
            <v>3024599.55</v>
          </cell>
          <cell r="Q1083">
            <v>3024599.55</v>
          </cell>
          <cell r="R1083">
            <v>0</v>
          </cell>
          <cell r="S1083">
            <v>1</v>
          </cell>
          <cell r="T1083">
            <v>0</v>
          </cell>
        </row>
        <row r="1084">
          <cell r="I1084" t="str">
            <v>C940</v>
          </cell>
        </row>
        <row r="1085">
          <cell r="I1085" t="str">
            <v>C940</v>
          </cell>
        </row>
        <row r="1086">
          <cell r="I1086" t="str">
            <v>C940</v>
          </cell>
          <cell r="K1086">
            <v>33062031</v>
          </cell>
        </row>
        <row r="1087">
          <cell r="I1087" t="str">
            <v>C940</v>
          </cell>
        </row>
        <row r="1090">
          <cell r="H1090" t="str">
            <v>C940</v>
          </cell>
          <cell r="I1090" t="str">
            <v>ICA 24 YC</v>
          </cell>
          <cell r="J1090">
            <v>43554</v>
          </cell>
          <cell r="K1090" t="str">
            <v>CESADO</v>
          </cell>
          <cell r="L1090" t="str">
            <v>CESADO</v>
          </cell>
          <cell r="M1090">
            <v>0</v>
          </cell>
          <cell r="N1090">
            <v>0</v>
          </cell>
          <cell r="O1090">
            <v>23961662</v>
          </cell>
          <cell r="P1090">
            <v>4552715.78</v>
          </cell>
          <cell r="Q1090">
            <v>409744.42019999999</v>
          </cell>
          <cell r="R1090">
            <v>4147524.0755800004</v>
          </cell>
          <cell r="S1090">
            <v>0.09</v>
          </cell>
          <cell r="T1090">
            <v>0.91100000000000003</v>
          </cell>
        </row>
        <row r="1091">
          <cell r="I1091" t="str">
            <v>C940</v>
          </cell>
        </row>
        <row r="1092">
          <cell r="I1092" t="str">
            <v>C940</v>
          </cell>
        </row>
        <row r="1093">
          <cell r="I1093">
            <v>24</v>
          </cell>
          <cell r="J1093">
            <v>6.9990675647965085E-3</v>
          </cell>
        </row>
        <row r="1094">
          <cell r="H1094">
            <v>6700</v>
          </cell>
          <cell r="I1094" t="str">
            <v>NO</v>
          </cell>
          <cell r="J1094">
            <v>42736</v>
          </cell>
          <cell r="K1094" t="str">
            <v>OK</v>
          </cell>
          <cell r="L1094" t="str">
            <v>VIGENTE</v>
          </cell>
          <cell r="M1094">
            <v>0</v>
          </cell>
          <cell r="N1094">
            <v>0</v>
          </cell>
          <cell r="O1094">
            <v>24244695</v>
          </cell>
          <cell r="P1094">
            <v>4606492.05</v>
          </cell>
          <cell r="Q1094">
            <v>488288.15729999996</v>
          </cell>
          <cell r="R1094">
            <v>4118203.8926999997</v>
          </cell>
          <cell r="S1094">
            <v>0.106</v>
          </cell>
          <cell r="T1094">
            <v>0.89400000000000002</v>
          </cell>
        </row>
        <row r="1095">
          <cell r="I1095">
            <v>6700</v>
          </cell>
        </row>
        <row r="1096">
          <cell r="I1096">
            <v>6700</v>
          </cell>
        </row>
        <row r="1097">
          <cell r="I1097">
            <v>6700</v>
          </cell>
        </row>
        <row r="1098">
          <cell r="I1098">
            <v>6700</v>
          </cell>
        </row>
        <row r="1100">
          <cell r="H1100" t="str">
            <v>C965</v>
          </cell>
          <cell r="I1100" t="str">
            <v>NO</v>
          </cell>
          <cell r="J1100">
            <v>45399</v>
          </cell>
          <cell r="K1100" t="str">
            <v>OK</v>
          </cell>
          <cell r="L1100" t="str">
            <v>VIGENTE</v>
          </cell>
          <cell r="M1100">
            <v>0</v>
          </cell>
          <cell r="N1100">
            <v>0</v>
          </cell>
          <cell r="O1100">
            <v>14162516</v>
          </cell>
          <cell r="P1100">
            <v>2690878.04</v>
          </cell>
          <cell r="Q1100">
            <v>2690878.04</v>
          </cell>
          <cell r="R1100">
            <v>0</v>
          </cell>
          <cell r="S1100">
            <v>1</v>
          </cell>
          <cell r="T1100">
            <v>0</v>
          </cell>
        </row>
        <row r="1101">
          <cell r="I1101" t="str">
            <v>C965</v>
          </cell>
        </row>
        <row r="1102">
          <cell r="I1102" t="str">
            <v>C965</v>
          </cell>
        </row>
        <row r="1103">
          <cell r="I1103" t="str">
            <v>C965</v>
          </cell>
        </row>
        <row r="1104">
          <cell r="J1104" t="str">
            <v>C965</v>
          </cell>
        </row>
        <row r="1105">
          <cell r="I1105" t="str">
            <v>C965</v>
          </cell>
        </row>
        <row r="1106">
          <cell r="I1106" t="str">
            <v>C965</v>
          </cell>
        </row>
        <row r="1107">
          <cell r="I1107" t="str">
            <v>C965</v>
          </cell>
        </row>
        <row r="1109">
          <cell r="H1109">
            <v>6553</v>
          </cell>
          <cell r="J1109">
            <v>42370</v>
          </cell>
          <cell r="K1109" t="str">
            <v>OK</v>
          </cell>
          <cell r="L1109" t="str">
            <v>VIGENTE</v>
          </cell>
          <cell r="M1109">
            <v>0</v>
          </cell>
          <cell r="N1109">
            <v>0</v>
          </cell>
          <cell r="O1109">
            <v>33513583</v>
          </cell>
          <cell r="P1109">
            <v>6367580.7700000005</v>
          </cell>
          <cell r="Q1109">
            <v>432995.49236000009</v>
          </cell>
          <cell r="R1109">
            <v>5934585.2776400009</v>
          </cell>
          <cell r="S1109">
            <v>6.8000000000000005E-2</v>
          </cell>
          <cell r="T1109">
            <v>0.93200000000000005</v>
          </cell>
        </row>
        <row r="1110">
          <cell r="I1110">
            <v>6553</v>
          </cell>
        </row>
        <row r="1111">
          <cell r="I1111">
            <v>6553</v>
          </cell>
        </row>
        <row r="1112">
          <cell r="I1112">
            <v>6553</v>
          </cell>
          <cell r="K1112">
            <v>39881163.770000003</v>
          </cell>
        </row>
        <row r="1113">
          <cell r="I1113">
            <v>6553</v>
          </cell>
        </row>
        <row r="1114">
          <cell r="I1114">
            <v>1</v>
          </cell>
          <cell r="J1114">
            <v>9.6599915618917741E-3</v>
          </cell>
        </row>
        <row r="1115">
          <cell r="I1115" t="str">
            <v>A2</v>
          </cell>
          <cell r="J1115">
            <v>3.4999998714039068E-2</v>
          </cell>
        </row>
        <row r="1117">
          <cell r="H1117">
            <v>6563</v>
          </cell>
          <cell r="I1117" t="str">
            <v>A2</v>
          </cell>
          <cell r="J1117">
            <v>42736</v>
          </cell>
          <cell r="K1117" t="str">
            <v>OK</v>
          </cell>
          <cell r="L1117" t="str">
            <v>VIGENTE</v>
          </cell>
          <cell r="M1117">
            <v>0</v>
          </cell>
          <cell r="N1117">
            <v>0</v>
          </cell>
          <cell r="O1117">
            <v>13109640</v>
          </cell>
          <cell r="P1117">
            <v>2490831.6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</row>
        <row r="1118">
          <cell r="I1118">
            <v>6563</v>
          </cell>
        </row>
        <row r="1119">
          <cell r="I1119">
            <v>6563</v>
          </cell>
        </row>
        <row r="1120">
          <cell r="I1120">
            <v>6563</v>
          </cell>
        </row>
        <row r="1121">
          <cell r="I1121" t="str">
            <v>A2</v>
          </cell>
          <cell r="J1121">
            <v>3.5000000000000003E-2</v>
          </cell>
        </row>
        <row r="1123">
          <cell r="H1123">
            <v>6561</v>
          </cell>
          <cell r="I1123" t="str">
            <v>A2</v>
          </cell>
          <cell r="J1123">
            <v>41699</v>
          </cell>
          <cell r="K1123" t="str">
            <v>OK</v>
          </cell>
          <cell r="L1123" t="str">
            <v>VIGENTE</v>
          </cell>
          <cell r="M1123">
            <v>0</v>
          </cell>
          <cell r="N1123">
            <v>0</v>
          </cell>
          <cell r="O1123">
            <v>16368010</v>
          </cell>
          <cell r="P1123">
            <v>3109921.9</v>
          </cell>
          <cell r="Q1123">
            <v>202144.9235</v>
          </cell>
          <cell r="R1123">
            <v>2907776.9764999999</v>
          </cell>
          <cell r="S1123">
            <v>6.5000000000000002E-2</v>
          </cell>
          <cell r="T1123">
            <v>0.93500000000000005</v>
          </cell>
        </row>
        <row r="1124">
          <cell r="I1124">
            <v>6561</v>
          </cell>
        </row>
        <row r="1125">
          <cell r="I1125">
            <v>6561</v>
          </cell>
          <cell r="K1125">
            <v>1245802</v>
          </cell>
        </row>
        <row r="1126">
          <cell r="I1126">
            <v>6561</v>
          </cell>
          <cell r="K1126">
            <v>17546507</v>
          </cell>
        </row>
        <row r="1127">
          <cell r="I1127">
            <v>6561</v>
          </cell>
          <cell r="K1127">
            <v>0</v>
          </cell>
        </row>
        <row r="1128">
          <cell r="I1128">
            <v>6561</v>
          </cell>
          <cell r="J1128" t="str">
            <v>A2</v>
          </cell>
          <cell r="K1128">
            <v>3.5000000000000003E-2</v>
          </cell>
        </row>
        <row r="1129">
          <cell r="I1129">
            <v>6561</v>
          </cell>
        </row>
        <row r="1130">
          <cell r="H1130">
            <v>6561</v>
          </cell>
          <cell r="I1130" t="str">
            <v>NO</v>
          </cell>
          <cell r="J1130">
            <v>41699</v>
          </cell>
          <cell r="K1130" t="str">
            <v>OK</v>
          </cell>
          <cell r="L1130" t="str">
            <v>VIGENTE</v>
          </cell>
          <cell r="M1130">
            <v>0</v>
          </cell>
          <cell r="N1130">
            <v>0</v>
          </cell>
          <cell r="O1130">
            <v>16368010</v>
          </cell>
          <cell r="P1130">
            <v>3109921.9</v>
          </cell>
          <cell r="Q1130">
            <v>202144.9235</v>
          </cell>
          <cell r="R1130">
            <v>2907776.9764999999</v>
          </cell>
          <cell r="S1130">
            <v>6.5000000000000002E-2</v>
          </cell>
          <cell r="T1130">
            <v>0.93500000000000005</v>
          </cell>
        </row>
        <row r="1131">
          <cell r="I1131">
            <v>6561</v>
          </cell>
        </row>
        <row r="1132">
          <cell r="I1132">
            <v>6561</v>
          </cell>
        </row>
        <row r="1133">
          <cell r="H1133">
            <v>6627</v>
          </cell>
          <cell r="I1133" t="str">
            <v>NO</v>
          </cell>
          <cell r="J1133">
            <v>42154</v>
          </cell>
          <cell r="K1133" t="str">
            <v>OK</v>
          </cell>
          <cell r="L1133" t="str">
            <v>VIGENTE</v>
          </cell>
          <cell r="M1133">
            <v>0</v>
          </cell>
          <cell r="N1133">
            <v>0</v>
          </cell>
          <cell r="O1133">
            <v>14489143</v>
          </cell>
          <cell r="P1133">
            <v>2752937.17</v>
          </cell>
          <cell r="Q1133">
            <v>352375.95776000002</v>
          </cell>
          <cell r="R1133">
            <v>2400561.2122399998</v>
          </cell>
          <cell r="S1133">
            <v>0.128</v>
          </cell>
          <cell r="T1133">
            <v>0.872</v>
          </cell>
        </row>
        <row r="1134">
          <cell r="I1134">
            <v>6627</v>
          </cell>
        </row>
        <row r="1135">
          <cell r="I1135">
            <v>6627</v>
          </cell>
        </row>
        <row r="1136">
          <cell r="H1136">
            <v>6693</v>
          </cell>
          <cell r="I1136" t="str">
            <v>NO</v>
          </cell>
          <cell r="J1136">
            <v>43002</v>
          </cell>
          <cell r="K1136" t="str">
            <v>OK</v>
          </cell>
          <cell r="L1136" t="str">
            <v>VIGENTE</v>
          </cell>
          <cell r="M1136">
            <v>0</v>
          </cell>
          <cell r="N1136">
            <v>0</v>
          </cell>
          <cell r="O1136">
            <v>23669640</v>
          </cell>
          <cell r="P1136">
            <v>4497231.5999999996</v>
          </cell>
          <cell r="Q1136">
            <v>218113.55581800579</v>
          </cell>
          <cell r="R1136">
            <v>4279118.0441819942</v>
          </cell>
          <cell r="S1136">
            <v>4.849951597289448E-2</v>
          </cell>
          <cell r="T1136">
            <v>0.95150048402710552</v>
          </cell>
        </row>
        <row r="1137">
          <cell r="I1137">
            <v>6693</v>
          </cell>
        </row>
        <row r="1138">
          <cell r="I1138">
            <v>6693</v>
          </cell>
        </row>
        <row r="1139">
          <cell r="H1139">
            <v>9209</v>
          </cell>
          <cell r="I1139" t="str">
            <v>NO</v>
          </cell>
          <cell r="J1139">
            <v>43040</v>
          </cell>
          <cell r="K1139" t="str">
            <v>CESADO</v>
          </cell>
          <cell r="L1139" t="str">
            <v>CERRADA</v>
          </cell>
          <cell r="M1139">
            <v>0</v>
          </cell>
          <cell r="N1139">
            <v>0</v>
          </cell>
          <cell r="O1139">
            <v>101940</v>
          </cell>
          <cell r="P1139">
            <v>19368.599999999999</v>
          </cell>
          <cell r="Q1139">
            <v>1549.4879999999998</v>
          </cell>
          <cell r="R1139">
            <v>17819.112000000001</v>
          </cell>
          <cell r="S1139">
            <v>0.08</v>
          </cell>
          <cell r="T1139">
            <v>0.92</v>
          </cell>
        </row>
        <row r="1140">
          <cell r="I1140">
            <v>9209</v>
          </cell>
        </row>
        <row r="1141">
          <cell r="I1141">
            <v>9209</v>
          </cell>
        </row>
        <row r="1142">
          <cell r="H1142">
            <v>9355</v>
          </cell>
          <cell r="I1142" t="str">
            <v>NO</v>
          </cell>
          <cell r="J1142">
            <v>43115</v>
          </cell>
          <cell r="K1142" t="str">
            <v>VENCIDO</v>
          </cell>
          <cell r="L1142" t="str">
            <v>CESADO</v>
          </cell>
          <cell r="M1142">
            <v>0</v>
          </cell>
          <cell r="N1142">
            <v>0</v>
          </cell>
          <cell r="O1142">
            <v>49094705</v>
          </cell>
          <cell r="P1142">
            <v>9327993.9499999993</v>
          </cell>
          <cell r="Q1142">
            <v>9327993.9499999993</v>
          </cell>
          <cell r="R1142">
            <v>0</v>
          </cell>
          <cell r="S1142">
            <v>1</v>
          </cell>
          <cell r="T1142">
            <v>0</v>
          </cell>
        </row>
        <row r="1143">
          <cell r="I1143">
            <v>9355</v>
          </cell>
        </row>
        <row r="1144">
          <cell r="I1144" t="str">
            <v>9355</v>
          </cell>
        </row>
        <row r="1145">
          <cell r="I1145">
            <v>9355</v>
          </cell>
        </row>
        <row r="1147">
          <cell r="H1147">
            <v>9305</v>
          </cell>
          <cell r="I1147" t="str">
            <v>NO</v>
          </cell>
          <cell r="J1147">
            <v>43195</v>
          </cell>
          <cell r="K1147" t="str">
            <v>OK</v>
          </cell>
          <cell r="L1147" t="str">
            <v>VIGENTE</v>
          </cell>
          <cell r="M1147">
            <v>0</v>
          </cell>
          <cell r="N1147">
            <v>0</v>
          </cell>
          <cell r="O1147">
            <v>15918945</v>
          </cell>
          <cell r="P1147">
            <v>3024599.55</v>
          </cell>
          <cell r="Q1147">
            <v>3024599.55</v>
          </cell>
          <cell r="R1147">
            <v>0</v>
          </cell>
          <cell r="S1147">
            <v>1</v>
          </cell>
          <cell r="T1147">
            <v>0</v>
          </cell>
        </row>
        <row r="1148">
          <cell r="I1148">
            <v>24</v>
          </cell>
          <cell r="J1148">
            <v>7.0000000000000001E-3</v>
          </cell>
        </row>
        <row r="1149">
          <cell r="I1149">
            <v>9305</v>
          </cell>
        </row>
        <row r="1150">
          <cell r="I1150">
            <v>9305</v>
          </cell>
        </row>
        <row r="1151">
          <cell r="J1151" t="e">
            <v>#N/A</v>
          </cell>
          <cell r="K1151" t="e">
            <v>#N/A</v>
          </cell>
          <cell r="L1151" t="e">
            <v>#N/A</v>
          </cell>
          <cell r="M1151" t="e">
            <v>#N/A</v>
          </cell>
          <cell r="N1151" t="e">
            <v>#N/A</v>
          </cell>
        </row>
        <row r="1152">
          <cell r="H1152" t="str">
            <v>A854</v>
          </cell>
          <cell r="I1152" t="str">
            <v>NO</v>
          </cell>
          <cell r="J1152">
            <v>44492</v>
          </cell>
          <cell r="K1152" t="str">
            <v>OK</v>
          </cell>
          <cell r="L1152" t="str">
            <v>VIGENTE</v>
          </cell>
          <cell r="M1152">
            <v>0</v>
          </cell>
          <cell r="N1152">
            <v>935593</v>
          </cell>
          <cell r="O1152">
            <v>9355925</v>
          </cell>
          <cell r="P1152">
            <v>1777625.75</v>
          </cell>
          <cell r="Q1152">
            <v>179540.20075000002</v>
          </cell>
          <cell r="R1152">
            <v>1598085.5492499999</v>
          </cell>
          <cell r="S1152">
            <v>0.10100000000000001</v>
          </cell>
          <cell r="T1152">
            <v>0.89900000000000002</v>
          </cell>
        </row>
        <row r="1153">
          <cell r="I1153" t="str">
            <v>A854</v>
          </cell>
        </row>
        <row r="1154">
          <cell r="I1154" t="str">
            <v>A854</v>
          </cell>
        </row>
        <row r="1155">
          <cell r="I1155" t="str">
            <v>A854</v>
          </cell>
        </row>
        <row r="1156">
          <cell r="I1156" t="str">
            <v>A854</v>
          </cell>
        </row>
        <row r="1157">
          <cell r="I1157" t="str">
            <v>A854</v>
          </cell>
        </row>
        <row r="1158">
          <cell r="I1158" t="str">
            <v>A854</v>
          </cell>
        </row>
        <row r="1159">
          <cell r="I1159" t="str">
            <v>A854</v>
          </cell>
        </row>
        <row r="1161">
          <cell r="H1161">
            <v>8583</v>
          </cell>
          <cell r="I1161" t="str">
            <v>NO</v>
          </cell>
          <cell r="J1161">
            <v>42370</v>
          </cell>
          <cell r="K1161" t="str">
            <v>VENCIDO</v>
          </cell>
          <cell r="L1161" t="str">
            <v>CESADO</v>
          </cell>
          <cell r="M1161">
            <v>0</v>
          </cell>
          <cell r="N1161">
            <v>0</v>
          </cell>
          <cell r="O1161">
            <v>9715141</v>
          </cell>
          <cell r="P1161">
            <v>1845876.79</v>
          </cell>
          <cell r="Q1161">
            <v>177204.17184</v>
          </cell>
          <cell r="R1161">
            <v>1668672.6181600001</v>
          </cell>
          <cell r="S1161">
            <v>9.6000000000000002E-2</v>
          </cell>
          <cell r="T1161">
            <v>0.90400000000000003</v>
          </cell>
        </row>
        <row r="1162">
          <cell r="I1162">
            <v>8583</v>
          </cell>
        </row>
        <row r="1163">
          <cell r="I1163">
            <v>8583</v>
          </cell>
        </row>
        <row r="1164">
          <cell r="H1164">
            <v>9072</v>
          </cell>
          <cell r="I1164" t="str">
            <v>NO</v>
          </cell>
          <cell r="J1164">
            <v>45457</v>
          </cell>
          <cell r="K1164" t="str">
            <v>VIGENTE</v>
          </cell>
          <cell r="L1164">
            <v>15765508</v>
          </cell>
          <cell r="M1164">
            <v>0</v>
          </cell>
          <cell r="N1164">
            <v>2053395</v>
          </cell>
          <cell r="O1164">
            <v>13411113</v>
          </cell>
          <cell r="P1164">
            <v>2548111.4700000002</v>
          </cell>
          <cell r="Q1164">
            <v>119761.23909</v>
          </cell>
          <cell r="R1164">
            <v>2428350.2309099999</v>
          </cell>
          <cell r="S1164">
            <v>4.7E-2</v>
          </cell>
          <cell r="T1164">
            <v>0.95299999999999996</v>
          </cell>
        </row>
        <row r="1165">
          <cell r="I1165">
            <v>9072</v>
          </cell>
        </row>
        <row r="1167">
          <cell r="H1167">
            <v>8968</v>
          </cell>
          <cell r="I1167" t="str">
            <v>NO</v>
          </cell>
          <cell r="J1167">
            <v>42767</v>
          </cell>
          <cell r="K1167" t="str">
            <v>CESADO</v>
          </cell>
          <cell r="L1167" t="str">
            <v>CERRADA</v>
          </cell>
          <cell r="M1167">
            <v>0</v>
          </cell>
          <cell r="N1167">
            <v>0</v>
          </cell>
          <cell r="O1167">
            <v>5115034</v>
          </cell>
          <cell r="P1167">
            <v>971856.46</v>
          </cell>
          <cell r="Q1167">
            <v>74832.947419999997</v>
          </cell>
          <cell r="R1167">
            <v>897023.51257999998</v>
          </cell>
          <cell r="S1167">
            <v>7.6999999999999999E-2</v>
          </cell>
          <cell r="T1167">
            <v>0.92300000000000004</v>
          </cell>
        </row>
        <row r="1168">
          <cell r="I1168">
            <v>8968</v>
          </cell>
        </row>
        <row r="1169">
          <cell r="I1169">
            <v>8968</v>
          </cell>
        </row>
        <row r="1171">
          <cell r="H1171">
            <v>8969</v>
          </cell>
          <cell r="I1171" t="str">
            <v>NO</v>
          </cell>
          <cell r="J1171">
            <v>42767</v>
          </cell>
          <cell r="K1171" t="str">
            <v>VENCIDO</v>
          </cell>
          <cell r="L1171" t="str">
            <v>CESADO</v>
          </cell>
          <cell r="M1171">
            <v>0</v>
          </cell>
          <cell r="N1171">
            <v>0</v>
          </cell>
          <cell r="O1171">
            <v>8037911</v>
          </cell>
          <cell r="P1171">
            <v>1527203.09</v>
          </cell>
          <cell r="Q1171">
            <v>97740.997760000013</v>
          </cell>
          <cell r="R1171">
            <v>1429462.0922400001</v>
          </cell>
          <cell r="S1171">
            <v>6.4000000000000001E-2</v>
          </cell>
          <cell r="T1171">
            <v>0.93600000000000005</v>
          </cell>
        </row>
        <row r="1172">
          <cell r="I1172">
            <v>8969</v>
          </cell>
        </row>
        <row r="1173">
          <cell r="I1173">
            <v>8969</v>
          </cell>
        </row>
        <row r="1175">
          <cell r="H1175">
            <v>8714</v>
          </cell>
          <cell r="I1175" t="str">
            <v>NO</v>
          </cell>
          <cell r="J1175">
            <v>42461</v>
          </cell>
          <cell r="K1175" t="str">
            <v>OK</v>
          </cell>
          <cell r="L1175" t="str">
            <v>POR VENCER</v>
          </cell>
          <cell r="M1175">
            <v>0</v>
          </cell>
          <cell r="N1175">
            <v>0</v>
          </cell>
          <cell r="O1175">
            <v>9464576</v>
          </cell>
          <cell r="P1175">
            <v>1798269.44</v>
          </cell>
          <cell r="Q1175">
            <v>120484.05248</v>
          </cell>
          <cell r="R1175">
            <v>1677785.3875200001</v>
          </cell>
          <cell r="S1175">
            <v>6.7000000000000004E-2</v>
          </cell>
          <cell r="T1175">
            <v>0.93300000000000005</v>
          </cell>
        </row>
        <row r="1176">
          <cell r="I1176">
            <v>8714</v>
          </cell>
        </row>
        <row r="1177">
          <cell r="I1177">
            <v>8714</v>
          </cell>
        </row>
        <row r="1179">
          <cell r="H1179">
            <v>8585</v>
          </cell>
          <cell r="I1179" t="str">
            <v>NO</v>
          </cell>
          <cell r="J1179">
            <v>42415</v>
          </cell>
          <cell r="K1179" t="str">
            <v>VENCIDO</v>
          </cell>
          <cell r="L1179" t="str">
            <v>CESADO</v>
          </cell>
          <cell r="M1179">
            <v>0</v>
          </cell>
          <cell r="N1179">
            <v>0</v>
          </cell>
          <cell r="O1179">
            <v>20151876</v>
          </cell>
          <cell r="P1179">
            <v>3828856.44</v>
          </cell>
          <cell r="Q1179">
            <v>264191.09436000005</v>
          </cell>
          <cell r="R1179">
            <v>3564665.34564</v>
          </cell>
          <cell r="S1179">
            <v>6.9000000000000006E-2</v>
          </cell>
          <cell r="T1179">
            <v>0.93100000000000005</v>
          </cell>
        </row>
        <row r="1180">
          <cell r="I1180">
            <v>8585</v>
          </cell>
        </row>
        <row r="1181">
          <cell r="I1181">
            <v>8585</v>
          </cell>
        </row>
        <row r="1183">
          <cell r="H1183">
            <v>6640</v>
          </cell>
          <cell r="I1183" t="str">
            <v>NO</v>
          </cell>
          <cell r="J1183">
            <v>42309</v>
          </cell>
          <cell r="K1183" t="str">
            <v>OK</v>
          </cell>
          <cell r="L1183" t="str">
            <v>VIGENTE</v>
          </cell>
          <cell r="M1183">
            <v>0</v>
          </cell>
          <cell r="N1183">
            <v>0</v>
          </cell>
          <cell r="O1183">
            <v>5649396</v>
          </cell>
          <cell r="P1183">
            <v>1073385.24</v>
          </cell>
          <cell r="Q1183">
            <v>94890.773637943901</v>
          </cell>
          <cell r="R1183">
            <v>978494.46636205621</v>
          </cell>
          <cell r="S1183">
            <v>8.8403277874348166E-2</v>
          </cell>
          <cell r="T1183">
            <v>0.9115967221256519</v>
          </cell>
        </row>
        <row r="1184">
          <cell r="I1184">
            <v>6640</v>
          </cell>
        </row>
        <row r="1185">
          <cell r="I1185">
            <v>6640</v>
          </cell>
        </row>
        <row r="1186">
          <cell r="I1186">
            <v>6640</v>
          </cell>
        </row>
        <row r="1187">
          <cell r="I1187">
            <v>6640</v>
          </cell>
        </row>
        <row r="1188">
          <cell r="I1188">
            <v>6640</v>
          </cell>
        </row>
        <row r="1189">
          <cell r="H1189">
            <v>9072</v>
          </cell>
          <cell r="I1189" t="str">
            <v>NO</v>
          </cell>
          <cell r="J1189">
            <v>45458</v>
          </cell>
          <cell r="K1189" t="str">
            <v>OK</v>
          </cell>
          <cell r="L1189" t="str">
            <v>VIGENTE</v>
          </cell>
          <cell r="M1189">
            <v>0</v>
          </cell>
          <cell r="N1189">
            <v>0</v>
          </cell>
          <cell r="O1189">
            <v>15417759</v>
          </cell>
          <cell r="P1189">
            <v>2929374.21</v>
          </cell>
          <cell r="Q1189">
            <v>137680.58786999999</v>
          </cell>
          <cell r="R1189">
            <v>2791693.62213</v>
          </cell>
          <cell r="S1189">
            <v>4.7E-2</v>
          </cell>
          <cell r="T1189">
            <v>0.95299999999999996</v>
          </cell>
        </row>
        <row r="1190">
          <cell r="I1190">
            <v>9072</v>
          </cell>
        </row>
        <row r="1191">
          <cell r="I1191">
            <v>9072</v>
          </cell>
        </row>
        <row r="1193">
          <cell r="H1193">
            <v>6636</v>
          </cell>
          <cell r="I1193" t="str">
            <v>NO</v>
          </cell>
          <cell r="J1193">
            <v>43709</v>
          </cell>
          <cell r="K1193" t="str">
            <v>VENCIDO</v>
          </cell>
          <cell r="L1193" t="str">
            <v>CESADO</v>
          </cell>
          <cell r="M1193">
            <v>0</v>
          </cell>
          <cell r="N1193">
            <v>0</v>
          </cell>
          <cell r="O1193">
            <v>16023627</v>
          </cell>
          <cell r="P1193">
            <v>3044489.13</v>
          </cell>
          <cell r="Q1193">
            <v>191717.36649950134</v>
          </cell>
          <cell r="R1193">
            <v>2852771.7635004986</v>
          </cell>
          <cell r="S1193">
            <v>6.29719333238353E-2</v>
          </cell>
          <cell r="T1193">
            <v>0.93702806667616478</v>
          </cell>
        </row>
        <row r="1194">
          <cell r="I1194">
            <v>6636</v>
          </cell>
        </row>
        <row r="1195">
          <cell r="I1195">
            <v>6636</v>
          </cell>
          <cell r="L1195">
            <v>3.9999923674585325E-2</v>
          </cell>
        </row>
        <row r="1196">
          <cell r="I1196">
            <v>6636</v>
          </cell>
          <cell r="J1196">
            <v>0.04</v>
          </cell>
        </row>
        <row r="1198">
          <cell r="H1198">
            <v>6606</v>
          </cell>
          <cell r="I1198" t="str">
            <v>NO</v>
          </cell>
          <cell r="J1198">
            <v>41883</v>
          </cell>
          <cell r="K1198" t="str">
            <v>OK</v>
          </cell>
          <cell r="L1198" t="str">
            <v>VIGENTE</v>
          </cell>
          <cell r="M1198">
            <v>0</v>
          </cell>
          <cell r="N1198">
            <v>0</v>
          </cell>
          <cell r="O1198">
            <v>17205112</v>
          </cell>
          <cell r="P1198">
            <v>3268971.2800000003</v>
          </cell>
          <cell r="Q1198">
            <v>209214.16192000001</v>
          </cell>
          <cell r="R1198">
            <v>3059757.1180800004</v>
          </cell>
          <cell r="S1198">
            <v>6.4000000000000001E-2</v>
          </cell>
          <cell r="T1198">
            <v>0.93600000000000005</v>
          </cell>
        </row>
        <row r="1199">
          <cell r="I1199">
            <v>6606</v>
          </cell>
        </row>
        <row r="1200">
          <cell r="I1200">
            <v>6606</v>
          </cell>
        </row>
        <row r="1201">
          <cell r="H1201">
            <v>9101</v>
          </cell>
          <cell r="J1201">
            <v>45474</v>
          </cell>
          <cell r="K1201" t="str">
            <v>OK</v>
          </cell>
          <cell r="L1201" t="str">
            <v>VIGENTE</v>
          </cell>
          <cell r="M1201">
            <v>0</v>
          </cell>
          <cell r="N1201">
            <v>0</v>
          </cell>
          <cell r="O1201">
            <v>14343037</v>
          </cell>
          <cell r="P1201">
            <v>2725177.0300000003</v>
          </cell>
          <cell r="Q1201">
            <v>196212.74616000001</v>
          </cell>
          <cell r="R1201">
            <v>2528964.2838400002</v>
          </cell>
          <cell r="S1201">
            <v>7.1999999999999995E-2</v>
          </cell>
          <cell r="T1201">
            <v>0.92800000000000005</v>
          </cell>
        </row>
        <row r="1202">
          <cell r="I1202">
            <v>9101</v>
          </cell>
        </row>
        <row r="1203">
          <cell r="I1203">
            <v>9101</v>
          </cell>
        </row>
        <row r="1204">
          <cell r="I1204">
            <v>9101</v>
          </cell>
        </row>
        <row r="1205">
          <cell r="I1205">
            <v>9101</v>
          </cell>
        </row>
        <row r="1206">
          <cell r="I1206" t="str">
            <v>A2</v>
          </cell>
          <cell r="J1206">
            <v>3.5000000000000003E-2</v>
          </cell>
        </row>
        <row r="1208">
          <cell r="H1208">
            <v>6554</v>
          </cell>
          <cell r="J1208">
            <v>42309</v>
          </cell>
          <cell r="K1208" t="str">
            <v>VENCIDO</v>
          </cell>
          <cell r="L1208" t="str">
            <v>CESADO</v>
          </cell>
          <cell r="M1208">
            <v>0</v>
          </cell>
          <cell r="N1208">
            <v>0</v>
          </cell>
          <cell r="O1208">
            <v>24000000</v>
          </cell>
          <cell r="P1208">
            <v>4560000</v>
          </cell>
          <cell r="Q1208">
            <v>173280</v>
          </cell>
          <cell r="R1208">
            <v>4386720</v>
          </cell>
          <cell r="S1208">
            <v>3.7999999999999999E-2</v>
          </cell>
          <cell r="T1208">
            <v>0.96199999999999997</v>
          </cell>
        </row>
        <row r="1209">
          <cell r="I1209">
            <v>6554</v>
          </cell>
        </row>
        <row r="1210">
          <cell r="I1210">
            <v>6554</v>
          </cell>
        </row>
        <row r="1211">
          <cell r="I1211">
            <v>6554</v>
          </cell>
          <cell r="J1211">
            <v>0.11692287649817613</v>
          </cell>
        </row>
        <row r="1212">
          <cell r="I1212">
            <v>6554</v>
          </cell>
        </row>
        <row r="1213">
          <cell r="I1213" t="str">
            <v>A2</v>
          </cell>
          <cell r="J1213">
            <v>3.4999705327675622E-2</v>
          </cell>
        </row>
        <row r="1215">
          <cell r="H1215">
            <v>6554</v>
          </cell>
          <cell r="I1215" t="str">
            <v>A2</v>
          </cell>
          <cell r="J1215">
            <v>42309</v>
          </cell>
          <cell r="K1215" t="str">
            <v>VENCIDO</v>
          </cell>
          <cell r="L1215" t="str">
            <v>CESADO</v>
          </cell>
          <cell r="M1215">
            <v>0</v>
          </cell>
          <cell r="N1215">
            <v>0</v>
          </cell>
          <cell r="O1215">
            <v>24000000</v>
          </cell>
          <cell r="P1215">
            <v>4560000</v>
          </cell>
          <cell r="Q1215">
            <v>173280</v>
          </cell>
          <cell r="R1215">
            <v>4386720</v>
          </cell>
          <cell r="S1215">
            <v>3.7999999999999999E-2</v>
          </cell>
          <cell r="T1215">
            <v>0.96199999999999997</v>
          </cell>
        </row>
        <row r="1216">
          <cell r="I1216">
            <v>6554</v>
          </cell>
        </row>
        <row r="1217">
          <cell r="I1217">
            <v>6554</v>
          </cell>
        </row>
        <row r="1218">
          <cell r="I1218">
            <v>6554</v>
          </cell>
        </row>
        <row r="1219">
          <cell r="I1219" t="str">
            <v>A2</v>
          </cell>
          <cell r="J1219">
            <v>3.4999705327675622E-2</v>
          </cell>
        </row>
        <row r="1220">
          <cell r="H1220">
            <v>6554</v>
          </cell>
          <cell r="J1220">
            <v>42309</v>
          </cell>
          <cell r="K1220" t="str">
            <v>VENCIDO</v>
          </cell>
          <cell r="L1220" t="str">
            <v>CESADO</v>
          </cell>
          <cell r="M1220">
            <v>0</v>
          </cell>
          <cell r="N1220">
            <v>0</v>
          </cell>
          <cell r="O1220">
            <v>24000000</v>
          </cell>
          <cell r="P1220">
            <v>4560000</v>
          </cell>
          <cell r="Q1220">
            <v>173280</v>
          </cell>
          <cell r="R1220">
            <v>4386720</v>
          </cell>
          <cell r="S1220">
            <v>3.7999999999999999E-2</v>
          </cell>
          <cell r="T1220">
            <v>0.96199999999999997</v>
          </cell>
        </row>
        <row r="1221">
          <cell r="I1221">
            <v>6554</v>
          </cell>
        </row>
        <row r="1222">
          <cell r="I1222">
            <v>6554</v>
          </cell>
        </row>
        <row r="1223">
          <cell r="I1223" t="str">
            <v>A2</v>
          </cell>
          <cell r="J1223">
            <v>3.4999705327675622E-2</v>
          </cell>
        </row>
        <row r="1225">
          <cell r="H1225">
            <v>6554</v>
          </cell>
          <cell r="I1225" t="str">
            <v>A2</v>
          </cell>
          <cell r="J1225">
            <v>42309</v>
          </cell>
          <cell r="K1225" t="str">
            <v>VENCIDO</v>
          </cell>
          <cell r="L1225" t="str">
            <v>CESADO</v>
          </cell>
          <cell r="M1225">
            <v>0</v>
          </cell>
          <cell r="N1225">
            <v>0</v>
          </cell>
          <cell r="O1225">
            <v>24000000</v>
          </cell>
          <cell r="P1225">
            <v>4560000</v>
          </cell>
          <cell r="Q1225">
            <v>173280</v>
          </cell>
          <cell r="R1225">
            <v>4386720</v>
          </cell>
          <cell r="S1225">
            <v>3.7999999999999999E-2</v>
          </cell>
          <cell r="T1225">
            <v>0.96199999999999997</v>
          </cell>
        </row>
        <row r="1226">
          <cell r="I1226">
            <v>6554</v>
          </cell>
        </row>
        <row r="1227">
          <cell r="I1227">
            <v>6554</v>
          </cell>
        </row>
        <row r="1228">
          <cell r="I1228">
            <v>6554</v>
          </cell>
        </row>
        <row r="1229">
          <cell r="I1229">
            <v>6554</v>
          </cell>
        </row>
        <row r="1230">
          <cell r="H1230">
            <v>6554</v>
          </cell>
          <cell r="I1230" t="str">
            <v>A2</v>
          </cell>
          <cell r="J1230">
            <v>42309</v>
          </cell>
          <cell r="K1230" t="str">
            <v>VENCIDO</v>
          </cell>
          <cell r="L1230" t="str">
            <v>CESADO</v>
          </cell>
          <cell r="M1230">
            <v>0</v>
          </cell>
          <cell r="N1230">
            <v>0</v>
          </cell>
          <cell r="O1230">
            <v>24000000</v>
          </cell>
          <cell r="P1230">
            <v>4560000</v>
          </cell>
          <cell r="Q1230">
            <v>173280</v>
          </cell>
          <cell r="R1230">
            <v>4386720</v>
          </cell>
          <cell r="S1230">
            <v>3.7999999999999999E-2</v>
          </cell>
          <cell r="T1230">
            <v>0.96199999999999997</v>
          </cell>
        </row>
        <row r="1231">
          <cell r="I1231">
            <v>6554</v>
          </cell>
        </row>
        <row r="1232">
          <cell r="I1232">
            <v>6554</v>
          </cell>
        </row>
        <row r="1233">
          <cell r="I1233">
            <v>6554</v>
          </cell>
          <cell r="J1233" t="str">
            <v>A2</v>
          </cell>
        </row>
        <row r="1234">
          <cell r="I1234">
            <v>6554</v>
          </cell>
        </row>
        <row r="1235">
          <cell r="H1235">
            <v>6554</v>
          </cell>
          <cell r="I1235" t="str">
            <v>A2</v>
          </cell>
          <cell r="J1235">
            <v>42309</v>
          </cell>
          <cell r="K1235" t="str">
            <v>VENCIDO</v>
          </cell>
          <cell r="L1235" t="str">
            <v>CESADO</v>
          </cell>
          <cell r="M1235">
            <v>0</v>
          </cell>
          <cell r="N1235">
            <v>0</v>
          </cell>
          <cell r="O1235">
            <v>24000000</v>
          </cell>
          <cell r="P1235">
            <v>4560000</v>
          </cell>
          <cell r="Q1235">
            <v>173280</v>
          </cell>
          <cell r="R1235">
            <v>4386720</v>
          </cell>
          <cell r="S1235">
            <v>3.7999999999999999E-2</v>
          </cell>
          <cell r="T1235">
            <v>0.96199999999999997</v>
          </cell>
        </row>
        <row r="1236">
          <cell r="I1236">
            <v>6554</v>
          </cell>
        </row>
        <row r="1237">
          <cell r="I1237">
            <v>6554</v>
          </cell>
        </row>
        <row r="1238">
          <cell r="I1238" t="str">
            <v>A2</v>
          </cell>
          <cell r="J1238">
            <v>3.4999705327675622E-2</v>
          </cell>
        </row>
        <row r="1240">
          <cell r="H1240">
            <v>8974</v>
          </cell>
          <cell r="I1240" t="str">
            <v>A2</v>
          </cell>
          <cell r="J1240">
            <v>42979</v>
          </cell>
          <cell r="K1240" t="str">
            <v>VENCIDO</v>
          </cell>
          <cell r="L1240" t="str">
            <v>CESADO</v>
          </cell>
          <cell r="M1240">
            <v>0</v>
          </cell>
          <cell r="N1240">
            <v>0</v>
          </cell>
          <cell r="O1240">
            <v>24000000</v>
          </cell>
          <cell r="P1240">
            <v>4560000</v>
          </cell>
          <cell r="Q1240">
            <v>173280</v>
          </cell>
          <cell r="R1240">
            <v>4386720</v>
          </cell>
          <cell r="S1240">
            <v>3.7999999999999999E-2</v>
          </cell>
          <cell r="T1240">
            <v>0.96199999999999997</v>
          </cell>
        </row>
        <row r="1241">
          <cell r="I1241">
            <v>8974</v>
          </cell>
        </row>
        <row r="1242">
          <cell r="I1242">
            <v>8974</v>
          </cell>
        </row>
        <row r="1243">
          <cell r="I1243">
            <v>8974</v>
          </cell>
        </row>
        <row r="1244">
          <cell r="I1244">
            <v>8974</v>
          </cell>
        </row>
        <row r="1245">
          <cell r="I1245">
            <v>8974</v>
          </cell>
        </row>
        <row r="1246">
          <cell r="I1246">
            <v>8974</v>
          </cell>
          <cell r="J1246" t="str">
            <v>A2</v>
          </cell>
          <cell r="K1246">
            <v>3.5000000000000003E-2</v>
          </cell>
        </row>
        <row r="1247">
          <cell r="I1247">
            <v>8974</v>
          </cell>
        </row>
        <row r="1248">
          <cell r="H1248">
            <v>9072</v>
          </cell>
          <cell r="I1248" t="str">
            <v>NO</v>
          </cell>
          <cell r="J1248">
            <v>45458</v>
          </cell>
          <cell r="K1248" t="str">
            <v>OK</v>
          </cell>
          <cell r="L1248" t="str">
            <v>VIGENTE</v>
          </cell>
          <cell r="M1248">
            <v>0</v>
          </cell>
          <cell r="N1248">
            <v>0</v>
          </cell>
          <cell r="O1248">
            <v>15417759</v>
          </cell>
          <cell r="P1248">
            <v>2929374.21</v>
          </cell>
          <cell r="Q1248">
            <v>137680.58786999999</v>
          </cell>
          <cell r="R1248">
            <v>2791693.62213</v>
          </cell>
          <cell r="S1248">
            <v>4.7E-2</v>
          </cell>
          <cell r="T1248">
            <v>0.95299999999999996</v>
          </cell>
        </row>
        <row r="1249">
          <cell r="I1249">
            <v>9072</v>
          </cell>
        </row>
        <row r="1250">
          <cell r="I1250">
            <v>9072</v>
          </cell>
        </row>
        <row r="1251">
          <cell r="I1251">
            <v>9072</v>
          </cell>
        </row>
        <row r="1252">
          <cell r="I1252">
            <v>9072</v>
          </cell>
        </row>
        <row r="1254">
          <cell r="H1254">
            <v>9072</v>
          </cell>
          <cell r="I1254" t="str">
            <v>NO</v>
          </cell>
          <cell r="J1254">
            <v>45457</v>
          </cell>
          <cell r="K1254" t="str">
            <v>REEMPLAZO 5-143</v>
          </cell>
          <cell r="L1254" t="str">
            <v>CESADO</v>
          </cell>
          <cell r="M1254">
            <v>0</v>
          </cell>
          <cell r="N1254">
            <v>0</v>
          </cell>
          <cell r="O1254">
            <v>20151876</v>
          </cell>
          <cell r="P1254">
            <v>3828856.44</v>
          </cell>
          <cell r="Q1254">
            <v>264191.09436000005</v>
          </cell>
          <cell r="R1254">
            <v>3564665.34564</v>
          </cell>
          <cell r="S1254">
            <v>6.9000000000000006E-2</v>
          </cell>
          <cell r="T1254">
            <v>0.93100000000000005</v>
          </cell>
        </row>
        <row r="1255">
          <cell r="I1255">
            <v>9072</v>
          </cell>
        </row>
        <row r="1256">
          <cell r="I1256">
            <v>9072</v>
          </cell>
          <cell r="J1256" t="str">
            <v>SEGUNDO CONTRATO VENCIDO</v>
          </cell>
        </row>
        <row r="1257">
          <cell r="I1257">
            <v>9072</v>
          </cell>
        </row>
        <row r="1258">
          <cell r="I1258">
            <v>9072</v>
          </cell>
        </row>
        <row r="1260">
          <cell r="H1260">
            <v>8968</v>
          </cell>
          <cell r="I1260" t="str">
            <v>NO</v>
          </cell>
          <cell r="J1260">
            <v>42767</v>
          </cell>
          <cell r="K1260" t="str">
            <v>CESADO</v>
          </cell>
          <cell r="L1260" t="str">
            <v>CERRADA</v>
          </cell>
          <cell r="M1260">
            <v>0</v>
          </cell>
          <cell r="N1260">
            <v>0</v>
          </cell>
          <cell r="O1260">
            <v>5115034</v>
          </cell>
          <cell r="P1260">
            <v>971856.46</v>
          </cell>
          <cell r="Q1260">
            <v>74832.947419999997</v>
          </cell>
          <cell r="R1260">
            <v>897023.51257999998</v>
          </cell>
          <cell r="S1260">
            <v>7.6999999999999999E-2</v>
          </cell>
          <cell r="T1260">
            <v>0.92300000000000004</v>
          </cell>
        </row>
        <row r="1261">
          <cell r="I1261">
            <v>8968</v>
          </cell>
        </row>
        <row r="1262">
          <cell r="I1262">
            <v>8968</v>
          </cell>
        </row>
        <row r="1263">
          <cell r="I1263">
            <v>8968</v>
          </cell>
        </row>
        <row r="1264">
          <cell r="I1264">
            <v>8968</v>
          </cell>
        </row>
        <row r="1265">
          <cell r="I1265">
            <v>8968</v>
          </cell>
        </row>
        <row r="1266">
          <cell r="H1266">
            <v>8714</v>
          </cell>
          <cell r="J1266">
            <v>42461</v>
          </cell>
          <cell r="K1266" t="str">
            <v>OK</v>
          </cell>
          <cell r="L1266" t="str">
            <v>POR VENCER</v>
          </cell>
          <cell r="M1266">
            <v>0</v>
          </cell>
          <cell r="N1266">
            <v>0</v>
          </cell>
          <cell r="O1266">
            <v>9464576</v>
          </cell>
          <cell r="P1266">
            <v>1798269.44</v>
          </cell>
          <cell r="Q1266">
            <v>120484.05248</v>
          </cell>
          <cell r="R1266">
            <v>1677785.3875200001</v>
          </cell>
          <cell r="S1266">
            <v>6.7000000000000004E-2</v>
          </cell>
          <cell r="T1266">
            <v>0.93300000000000005</v>
          </cell>
        </row>
        <row r="1267">
          <cell r="I1267">
            <v>8714</v>
          </cell>
        </row>
        <row r="1268">
          <cell r="I1268">
            <v>8714</v>
          </cell>
        </row>
        <row r="1269">
          <cell r="I1269">
            <v>8714</v>
          </cell>
        </row>
        <row r="1270">
          <cell r="I1270">
            <v>8714</v>
          </cell>
        </row>
        <row r="1271">
          <cell r="I1271">
            <v>8714</v>
          </cell>
        </row>
        <row r="1272">
          <cell r="H1272">
            <v>8969</v>
          </cell>
          <cell r="J1272">
            <v>42767</v>
          </cell>
          <cell r="K1272" t="str">
            <v>VENCIDO</v>
          </cell>
          <cell r="L1272" t="str">
            <v>CESADO</v>
          </cell>
          <cell r="M1272">
            <v>0</v>
          </cell>
          <cell r="N1272">
            <v>0</v>
          </cell>
          <cell r="O1272">
            <v>8037911</v>
          </cell>
          <cell r="P1272">
            <v>1527203.09</v>
          </cell>
          <cell r="Q1272">
            <v>97740.997760000013</v>
          </cell>
          <cell r="R1272">
            <v>1429462.0922400001</v>
          </cell>
          <cell r="S1272">
            <v>6.4000000000000001E-2</v>
          </cell>
          <cell r="T1272">
            <v>0.93600000000000005</v>
          </cell>
        </row>
        <row r="1273">
          <cell r="I1273">
            <v>8969</v>
          </cell>
        </row>
        <row r="1274">
          <cell r="I1274">
            <v>8969</v>
          </cell>
        </row>
        <row r="1275">
          <cell r="I1275">
            <v>8969</v>
          </cell>
        </row>
        <row r="1278">
          <cell r="H1278">
            <v>6636</v>
          </cell>
          <cell r="J1278">
            <v>43709</v>
          </cell>
          <cell r="K1278" t="str">
            <v>VENCIDO</v>
          </cell>
          <cell r="L1278" t="str">
            <v>CESADO</v>
          </cell>
          <cell r="M1278">
            <v>0</v>
          </cell>
          <cell r="N1278">
            <v>0</v>
          </cell>
          <cell r="O1278">
            <v>16023627</v>
          </cell>
          <cell r="P1278">
            <v>3044489.13</v>
          </cell>
          <cell r="Q1278">
            <v>191717.36649950134</v>
          </cell>
          <cell r="R1278">
            <v>2852771.7635004986</v>
          </cell>
          <cell r="S1278">
            <v>6.29719333238353E-2</v>
          </cell>
          <cell r="T1278">
            <v>0.93702806667616478</v>
          </cell>
        </row>
        <row r="1279">
          <cell r="I1279">
            <v>6636</v>
          </cell>
        </row>
        <row r="1280">
          <cell r="I1280">
            <v>6636</v>
          </cell>
        </row>
        <row r="1281">
          <cell r="I1281">
            <v>6636</v>
          </cell>
        </row>
        <row r="1282">
          <cell r="I1282">
            <v>6636</v>
          </cell>
        </row>
        <row r="1283">
          <cell r="I1283">
            <v>6636</v>
          </cell>
        </row>
        <row r="1284">
          <cell r="H1284">
            <v>6636</v>
          </cell>
          <cell r="J1284">
            <v>43709</v>
          </cell>
          <cell r="K1284" t="str">
            <v>VENCIDO</v>
          </cell>
          <cell r="L1284" t="str">
            <v>CESADO</v>
          </cell>
          <cell r="M1284">
            <v>0</v>
          </cell>
          <cell r="N1284">
            <v>0</v>
          </cell>
          <cell r="O1284">
            <v>16023627</v>
          </cell>
          <cell r="P1284">
            <v>3044489.13</v>
          </cell>
          <cell r="Q1284">
            <v>191717.36649950134</v>
          </cell>
          <cell r="R1284">
            <v>2852771.7635004986</v>
          </cell>
          <cell r="S1284">
            <v>6.29719333238353E-2</v>
          </cell>
          <cell r="T1284">
            <v>0.93702806667616478</v>
          </cell>
        </row>
        <row r="1285">
          <cell r="I1285">
            <v>6636</v>
          </cell>
        </row>
        <row r="1286">
          <cell r="I1286">
            <v>6636</v>
          </cell>
        </row>
        <row r="1288">
          <cell r="H1288">
            <v>6701</v>
          </cell>
          <cell r="J1288">
            <v>41760</v>
          </cell>
          <cell r="K1288" t="str">
            <v>OK</v>
          </cell>
          <cell r="L1288" t="str">
            <v>VIGENTE</v>
          </cell>
          <cell r="M1288">
            <v>0</v>
          </cell>
          <cell r="N1288">
            <v>0</v>
          </cell>
          <cell r="O1288">
            <v>14889000</v>
          </cell>
          <cell r="P1288">
            <v>2828910</v>
          </cell>
          <cell r="Q1288">
            <v>115985.31</v>
          </cell>
          <cell r="R1288">
            <v>2712924.69</v>
          </cell>
          <cell r="S1288">
            <v>4.1000000000000002E-2</v>
          </cell>
          <cell r="T1288">
            <v>0.95899999999999996</v>
          </cell>
        </row>
        <row r="1289">
          <cell r="I1289">
            <v>6701</v>
          </cell>
        </row>
        <row r="1290">
          <cell r="I1290">
            <v>6701</v>
          </cell>
        </row>
        <row r="1291">
          <cell r="H1291">
            <v>6763</v>
          </cell>
          <cell r="I1291" t="str">
            <v>A2 01</v>
          </cell>
          <cell r="J1291">
            <v>45931</v>
          </cell>
          <cell r="K1291" t="str">
            <v>VIGENTE</v>
          </cell>
          <cell r="L1291">
            <v>13102855</v>
          </cell>
          <cell r="M1291">
            <v>0</v>
          </cell>
          <cell r="N1291">
            <v>1925792</v>
          </cell>
          <cell r="O1291">
            <v>6551428</v>
          </cell>
          <cell r="P1291">
            <v>1244771.32</v>
          </cell>
          <cell r="Q1291">
            <v>102071.24824000002</v>
          </cell>
          <cell r="R1291">
            <v>1142700.0717600002</v>
          </cell>
          <cell r="S1291">
            <v>8.2000000000000003E-2</v>
          </cell>
          <cell r="T1291">
            <v>0.91800000000000004</v>
          </cell>
        </row>
        <row r="1292">
          <cell r="I1292">
            <v>6763</v>
          </cell>
          <cell r="J1292" t="str">
            <v>A2</v>
          </cell>
          <cell r="K1292">
            <v>3.5000000000000003E-2</v>
          </cell>
        </row>
        <row r="1293">
          <cell r="I1293">
            <v>6763</v>
          </cell>
          <cell r="J1293">
            <v>1</v>
          </cell>
          <cell r="K1293">
            <v>9.6600000000000002E-3</v>
          </cell>
        </row>
        <row r="1294">
          <cell r="I1294">
            <v>6763</v>
          </cell>
        </row>
        <row r="1295">
          <cell r="I1295">
            <v>6763</v>
          </cell>
        </row>
        <row r="1296">
          <cell r="I1296">
            <v>6763</v>
          </cell>
        </row>
        <row r="1297">
          <cell r="I1297">
            <v>6763</v>
          </cell>
        </row>
        <row r="1299">
          <cell r="H1299">
            <v>6602</v>
          </cell>
          <cell r="I1299" t="str">
            <v>NO</v>
          </cell>
          <cell r="J1299">
            <v>41730</v>
          </cell>
          <cell r="K1299" t="str">
            <v>OK</v>
          </cell>
          <cell r="L1299" t="str">
            <v>VIGENTE</v>
          </cell>
          <cell r="M1299">
            <v>0</v>
          </cell>
          <cell r="N1299">
            <v>0</v>
          </cell>
          <cell r="O1299">
            <v>9759288</v>
          </cell>
          <cell r="P1299">
            <v>1854264.72</v>
          </cell>
          <cell r="Q1299">
            <v>64899.265200000002</v>
          </cell>
          <cell r="R1299">
            <v>1789365.4547999999</v>
          </cell>
          <cell r="S1299">
            <v>3.5000000000000003E-2</v>
          </cell>
          <cell r="T1299">
            <v>0.96499999999999997</v>
          </cell>
        </row>
        <row r="1300">
          <cell r="I1300">
            <v>6602</v>
          </cell>
        </row>
        <row r="1301">
          <cell r="I1301">
            <v>6602</v>
          </cell>
        </row>
        <row r="1302">
          <cell r="I1302">
            <v>6602</v>
          </cell>
        </row>
        <row r="1304">
          <cell r="H1304">
            <v>6760</v>
          </cell>
          <cell r="I1304" t="str">
            <v>NO</v>
          </cell>
          <cell r="J1304">
            <v>40057</v>
          </cell>
          <cell r="K1304" t="str">
            <v>OK</v>
          </cell>
          <cell r="L1304" t="str">
            <v>VIGENTE</v>
          </cell>
          <cell r="M1304">
            <v>0</v>
          </cell>
          <cell r="N1304">
            <v>0</v>
          </cell>
          <cell r="O1304">
            <v>17558152</v>
          </cell>
          <cell r="P1304">
            <v>3336048.88</v>
          </cell>
          <cell r="Q1304">
            <v>423678.20776000002</v>
          </cell>
          <cell r="R1304">
            <v>2912370.6722399998</v>
          </cell>
          <cell r="S1304">
            <v>0.127</v>
          </cell>
          <cell r="T1304">
            <v>0.873</v>
          </cell>
        </row>
        <row r="1305">
          <cell r="I1305">
            <v>6760</v>
          </cell>
        </row>
        <row r="1307">
          <cell r="H1307">
            <v>6598</v>
          </cell>
          <cell r="I1307" t="str">
            <v>NO</v>
          </cell>
          <cell r="J1307">
            <v>43466</v>
          </cell>
          <cell r="K1307" t="str">
            <v>VENCIDO</v>
          </cell>
          <cell r="L1307" t="str">
            <v>CESADO</v>
          </cell>
          <cell r="M1307">
            <v>0</v>
          </cell>
          <cell r="N1307">
            <v>0</v>
          </cell>
          <cell r="O1307">
            <v>19543600</v>
          </cell>
          <cell r="P1307">
            <v>3713284</v>
          </cell>
          <cell r="Q1307">
            <v>497580.05600000004</v>
          </cell>
          <cell r="R1307">
            <v>3215703.9440000001</v>
          </cell>
          <cell r="S1307">
            <v>0.13400000000000001</v>
          </cell>
          <cell r="T1307">
            <v>0.86599999999999999</v>
          </cell>
        </row>
        <row r="1308">
          <cell r="I1308">
            <v>6598</v>
          </cell>
        </row>
        <row r="1309">
          <cell r="I1309">
            <v>6598</v>
          </cell>
        </row>
        <row r="1310">
          <cell r="I1310">
            <v>6598</v>
          </cell>
        </row>
        <row r="1311">
          <cell r="H1311">
            <v>6717</v>
          </cell>
          <cell r="I1311" t="str">
            <v>NO</v>
          </cell>
          <cell r="J1311">
            <v>42736</v>
          </cell>
          <cell r="K1311" t="str">
            <v>OK</v>
          </cell>
          <cell r="L1311" t="str">
            <v>VIGENTE</v>
          </cell>
          <cell r="M1311">
            <v>0</v>
          </cell>
          <cell r="N1311">
            <v>0</v>
          </cell>
          <cell r="O1311">
            <v>18577600</v>
          </cell>
          <cell r="P1311">
            <v>3529744</v>
          </cell>
          <cell r="Q1311">
            <v>363563.63199999998</v>
          </cell>
          <cell r="R1311">
            <v>3166180.3680000002</v>
          </cell>
          <cell r="S1311">
            <v>0.10299999999999999</v>
          </cell>
          <cell r="T1311">
            <v>0.89700000000000002</v>
          </cell>
        </row>
        <row r="1312">
          <cell r="I1312">
            <v>6717</v>
          </cell>
        </row>
        <row r="1313">
          <cell r="I1313">
            <v>6717</v>
          </cell>
        </row>
        <row r="1314">
          <cell r="I1314">
            <v>6717</v>
          </cell>
        </row>
        <row r="1315">
          <cell r="I1315">
            <v>6717</v>
          </cell>
        </row>
        <row r="1317">
          <cell r="H1317">
            <v>6693</v>
          </cell>
          <cell r="I1317" t="str">
            <v>A2</v>
          </cell>
          <cell r="J1317">
            <v>43002</v>
          </cell>
          <cell r="K1317" t="str">
            <v>OK</v>
          </cell>
          <cell r="L1317" t="str">
            <v>VIGENTE</v>
          </cell>
          <cell r="M1317">
            <v>0</v>
          </cell>
          <cell r="N1317">
            <v>0</v>
          </cell>
          <cell r="O1317">
            <v>23669640</v>
          </cell>
          <cell r="P1317">
            <v>4497231.5999999996</v>
          </cell>
          <cell r="Q1317">
            <v>218113.55581800579</v>
          </cell>
          <cell r="R1317">
            <v>4279118.0441819942</v>
          </cell>
          <cell r="S1317">
            <v>4.849951597289448E-2</v>
          </cell>
          <cell r="T1317">
            <v>0.95150048402710552</v>
          </cell>
        </row>
        <row r="1318">
          <cell r="I1318">
            <v>6693</v>
          </cell>
          <cell r="J1318" t="str">
            <v>A2</v>
          </cell>
          <cell r="K1318">
            <v>3.5000000000000003E-2</v>
          </cell>
        </row>
        <row r="1319">
          <cell r="I1319">
            <v>6693</v>
          </cell>
        </row>
        <row r="1320">
          <cell r="I1320">
            <v>6693</v>
          </cell>
          <cell r="K1320">
            <v>32689164.34</v>
          </cell>
        </row>
        <row r="1321">
          <cell r="I1321">
            <v>6693</v>
          </cell>
        </row>
        <row r="1322">
          <cell r="I1322">
            <v>6693</v>
          </cell>
        </row>
        <row r="1323">
          <cell r="I1323">
            <v>6693</v>
          </cell>
        </row>
        <row r="1324">
          <cell r="H1324">
            <v>6602</v>
          </cell>
          <cell r="I1324" t="str">
            <v>A2 10</v>
          </cell>
          <cell r="J1324">
            <v>41730</v>
          </cell>
          <cell r="K1324" t="str">
            <v>OK</v>
          </cell>
          <cell r="L1324" t="str">
            <v>VIGENTE</v>
          </cell>
          <cell r="M1324">
            <v>0</v>
          </cell>
          <cell r="N1324">
            <v>0</v>
          </cell>
          <cell r="O1324">
            <v>9759288</v>
          </cell>
          <cell r="P1324">
            <v>1854264.72</v>
          </cell>
          <cell r="Q1324">
            <v>64899.265200000002</v>
          </cell>
          <cell r="R1324">
            <v>1789365.4547999999</v>
          </cell>
          <cell r="S1324">
            <v>3.5000000000000003E-2</v>
          </cell>
          <cell r="T1324">
            <v>0.96499999999999997</v>
          </cell>
        </row>
        <row r="1325">
          <cell r="I1325">
            <v>10</v>
          </cell>
          <cell r="J1325">
            <v>1.000001229597897E-2</v>
          </cell>
        </row>
        <row r="1326">
          <cell r="I1326" t="str">
            <v>A2</v>
          </cell>
          <cell r="J1326">
            <v>3.5000000000000003E-2</v>
          </cell>
        </row>
        <row r="1327">
          <cell r="I1327">
            <v>6602</v>
          </cell>
        </row>
        <row r="1328">
          <cell r="I1328">
            <v>6602</v>
          </cell>
        </row>
        <row r="1329">
          <cell r="I1329">
            <v>6602</v>
          </cell>
        </row>
        <row r="1330">
          <cell r="I1330">
            <v>6602</v>
          </cell>
        </row>
        <row r="1332">
          <cell r="H1332">
            <v>8976</v>
          </cell>
          <cell r="J1332">
            <v>45839</v>
          </cell>
          <cell r="K1332" t="str">
            <v>OK</v>
          </cell>
          <cell r="L1332" t="str">
            <v>VIGENTE</v>
          </cell>
          <cell r="M1332">
            <v>0</v>
          </cell>
          <cell r="N1332">
            <v>1545851</v>
          </cell>
          <cell r="O1332">
            <v>23498968</v>
          </cell>
          <cell r="P1332">
            <v>4464803.92</v>
          </cell>
          <cell r="Q1332">
            <v>361649.11752000003</v>
          </cell>
          <cell r="R1332">
            <v>4103154.8024800001</v>
          </cell>
          <cell r="S1332">
            <v>8.1000000000000003E-2</v>
          </cell>
          <cell r="T1332">
            <v>0.91900000000000004</v>
          </cell>
        </row>
        <row r="1333">
          <cell r="I1333">
            <v>8976</v>
          </cell>
        </row>
        <row r="1334">
          <cell r="I1334">
            <v>8976</v>
          </cell>
        </row>
        <row r="1335">
          <cell r="I1335">
            <v>8976</v>
          </cell>
        </row>
        <row r="1336">
          <cell r="H1336">
            <v>8976</v>
          </cell>
          <cell r="I1336" t="str">
            <v>NO</v>
          </cell>
          <cell r="J1336">
            <v>45839</v>
          </cell>
          <cell r="K1336" t="str">
            <v>OK</v>
          </cell>
          <cell r="L1336" t="str">
            <v>VIGENTE</v>
          </cell>
          <cell r="M1336">
            <v>0</v>
          </cell>
          <cell r="N1336">
            <v>1545851</v>
          </cell>
          <cell r="O1336">
            <v>23498968</v>
          </cell>
          <cell r="P1336">
            <v>4464803.92</v>
          </cell>
          <cell r="Q1336">
            <v>361649.11752000003</v>
          </cell>
          <cell r="R1336">
            <v>4103154.8024800001</v>
          </cell>
          <cell r="S1336">
            <v>8.1000000000000003E-2</v>
          </cell>
          <cell r="T1336">
            <v>0.91900000000000004</v>
          </cell>
        </row>
        <row r="1337">
          <cell r="I1337">
            <v>8976</v>
          </cell>
        </row>
        <row r="1338">
          <cell r="I1338">
            <v>8976</v>
          </cell>
        </row>
        <row r="1339">
          <cell r="I1339">
            <v>8976</v>
          </cell>
        </row>
        <row r="1340">
          <cell r="I1340">
            <v>8976</v>
          </cell>
        </row>
        <row r="1341">
          <cell r="I1341">
            <v>8976</v>
          </cell>
        </row>
        <row r="1342">
          <cell r="I1342">
            <v>8976</v>
          </cell>
          <cell r="K1342">
            <v>16555396</v>
          </cell>
        </row>
        <row r="1343">
          <cell r="I1343">
            <v>8976</v>
          </cell>
          <cell r="K1343">
            <v>33110792</v>
          </cell>
        </row>
        <row r="1344">
          <cell r="I1344">
            <v>8976</v>
          </cell>
          <cell r="K1344">
            <v>6291050.4800000004</v>
          </cell>
        </row>
        <row r="1345">
          <cell r="I1345">
            <v>8976</v>
          </cell>
          <cell r="K1345">
            <v>8306770.7400000002</v>
          </cell>
        </row>
        <row r="1346">
          <cell r="I1346">
            <v>8976</v>
          </cell>
        </row>
        <row r="1347">
          <cell r="H1347" t="str">
            <v>P362</v>
          </cell>
          <cell r="J1347">
            <v>45332</v>
          </cell>
          <cell r="K1347" t="str">
            <v>OK</v>
          </cell>
          <cell r="L1347" t="str">
            <v>VIGENTE</v>
          </cell>
          <cell r="M1347">
            <v>0</v>
          </cell>
          <cell r="N1347">
            <v>1632233</v>
          </cell>
          <cell r="O1347">
            <v>23498968</v>
          </cell>
          <cell r="P1347">
            <v>4464803.92</v>
          </cell>
          <cell r="Q1347">
            <v>4464803.92</v>
          </cell>
          <cell r="R1347">
            <v>0</v>
          </cell>
          <cell r="S1347">
            <v>1</v>
          </cell>
          <cell r="T1347">
            <v>0</v>
          </cell>
        </row>
        <row r="1348">
          <cell r="I1348" t="str">
            <v>P362</v>
          </cell>
        </row>
        <row r="1349">
          <cell r="I1349" t="str">
            <v>P362</v>
          </cell>
        </row>
        <row r="1350">
          <cell r="I1350" t="str">
            <v>P362</v>
          </cell>
        </row>
        <row r="1351">
          <cell r="I1351" t="str">
            <v>P362</v>
          </cell>
        </row>
        <row r="1352">
          <cell r="I1352" t="str">
            <v>P362</v>
          </cell>
        </row>
        <row r="1353">
          <cell r="I1353" t="str">
            <v>P362</v>
          </cell>
        </row>
        <row r="1354">
          <cell r="I1354" t="str">
            <v>P362</v>
          </cell>
        </row>
        <row r="1355">
          <cell r="H1355" t="str">
            <v>P362</v>
          </cell>
          <cell r="J1355">
            <v>45332</v>
          </cell>
          <cell r="K1355" t="str">
            <v>OK</v>
          </cell>
          <cell r="L1355" t="str">
            <v>VIGENTE</v>
          </cell>
          <cell r="M1355">
            <v>0</v>
          </cell>
          <cell r="N1355">
            <v>1632233</v>
          </cell>
          <cell r="O1355">
            <v>23498968</v>
          </cell>
          <cell r="P1355">
            <v>4464803.92</v>
          </cell>
          <cell r="Q1355">
            <v>4464803.92</v>
          </cell>
          <cell r="R1355">
            <v>0</v>
          </cell>
          <cell r="S1355">
            <v>1</v>
          </cell>
          <cell r="T1355">
            <v>0</v>
          </cell>
        </row>
        <row r="1356">
          <cell r="I1356" t="str">
            <v>P362</v>
          </cell>
        </row>
        <row r="1357">
          <cell r="I1357" t="str">
            <v>P362</v>
          </cell>
        </row>
        <row r="1358">
          <cell r="I1358" t="str">
            <v>P362</v>
          </cell>
        </row>
        <row r="1359">
          <cell r="I1359" t="str">
            <v>P362</v>
          </cell>
        </row>
        <row r="1360">
          <cell r="I1360" t="str">
            <v>P362</v>
          </cell>
        </row>
        <row r="1361">
          <cell r="I1361" t="str">
            <v>P362</v>
          </cell>
        </row>
        <row r="1362">
          <cell r="I1362" t="str">
            <v>P362</v>
          </cell>
        </row>
        <row r="1363">
          <cell r="H1363" t="str">
            <v>P362</v>
          </cell>
          <cell r="J1363">
            <v>45332</v>
          </cell>
          <cell r="K1363" t="str">
            <v>OK</v>
          </cell>
          <cell r="L1363" t="str">
            <v>VIGENTE</v>
          </cell>
          <cell r="M1363">
            <v>0</v>
          </cell>
          <cell r="N1363">
            <v>1632233</v>
          </cell>
          <cell r="O1363">
            <v>23498968</v>
          </cell>
          <cell r="P1363">
            <v>4464803.92</v>
          </cell>
          <cell r="Q1363">
            <v>4464803.92</v>
          </cell>
          <cell r="R1363">
            <v>0</v>
          </cell>
          <cell r="S1363">
            <v>1</v>
          </cell>
          <cell r="T1363">
            <v>0</v>
          </cell>
        </row>
        <row r="1364">
          <cell r="I1364" t="str">
            <v>P362</v>
          </cell>
        </row>
        <row r="1365">
          <cell r="I1365" t="str">
            <v>P362</v>
          </cell>
        </row>
        <row r="1366">
          <cell r="I1366" t="str">
            <v>P362</v>
          </cell>
        </row>
        <row r="1367">
          <cell r="I1367" t="str">
            <v>P362</v>
          </cell>
        </row>
        <row r="1368">
          <cell r="I1368" t="str">
            <v>P362</v>
          </cell>
        </row>
        <row r="1369">
          <cell r="I1369" t="str">
            <v>P362</v>
          </cell>
        </row>
        <row r="1370">
          <cell r="I1370" t="str">
            <v>P362</v>
          </cell>
        </row>
        <row r="1371">
          <cell r="I1371" t="str">
            <v>P362</v>
          </cell>
        </row>
        <row r="1372">
          <cell r="H1372" t="str">
            <v>P757</v>
          </cell>
          <cell r="J1372">
            <v>45372</v>
          </cell>
          <cell r="K1372" t="str">
            <v>OK</v>
          </cell>
          <cell r="L1372" t="str">
            <v>VIGENTE</v>
          </cell>
          <cell r="M1372">
            <v>0</v>
          </cell>
          <cell r="N1372">
            <v>941951</v>
          </cell>
          <cell r="O1372">
            <v>23498968</v>
          </cell>
          <cell r="P1372">
            <v>4464803.92</v>
          </cell>
          <cell r="Q1372">
            <v>4464803.92</v>
          </cell>
          <cell r="R1372">
            <v>0</v>
          </cell>
          <cell r="S1372">
            <v>1</v>
          </cell>
          <cell r="T1372">
            <v>0</v>
          </cell>
        </row>
        <row r="1373">
          <cell r="I1373" t="str">
            <v>P757</v>
          </cell>
        </row>
        <row r="1374">
          <cell r="I1374" t="str">
            <v>P757</v>
          </cell>
        </row>
        <row r="1375">
          <cell r="I1375" t="str">
            <v>P757</v>
          </cell>
        </row>
        <row r="1376">
          <cell r="I1376" t="str">
            <v>P757</v>
          </cell>
        </row>
        <row r="1377">
          <cell r="I1377" t="str">
            <v>P757</v>
          </cell>
        </row>
        <row r="1378">
          <cell r="I1378" t="str">
            <v>P757</v>
          </cell>
        </row>
        <row r="1379">
          <cell r="I1379" t="str">
            <v>P757</v>
          </cell>
        </row>
        <row r="1380">
          <cell r="I1380" t="str">
            <v>P757</v>
          </cell>
        </row>
        <row r="1381">
          <cell r="I1381" t="str">
            <v>P757</v>
          </cell>
        </row>
        <row r="1382">
          <cell r="H1382" t="str">
            <v>P757</v>
          </cell>
          <cell r="J1382">
            <v>45372</v>
          </cell>
          <cell r="K1382" t="str">
            <v>OK</v>
          </cell>
          <cell r="L1382" t="str">
            <v>VIGENTE</v>
          </cell>
          <cell r="M1382">
            <v>0</v>
          </cell>
          <cell r="N1382">
            <v>941951</v>
          </cell>
          <cell r="O1382">
            <v>23498968</v>
          </cell>
          <cell r="P1382">
            <v>4464803.92</v>
          </cell>
          <cell r="Q1382">
            <v>4464803.92</v>
          </cell>
          <cell r="R1382">
            <v>0</v>
          </cell>
          <cell r="S1382">
            <v>1</v>
          </cell>
          <cell r="T1382">
            <v>0</v>
          </cell>
        </row>
        <row r="1383">
          <cell r="I1383" t="str">
            <v>P757</v>
          </cell>
        </row>
        <row r="1384">
          <cell r="I1384" t="str">
            <v>P757</v>
          </cell>
        </row>
        <row r="1385">
          <cell r="I1385" t="str">
            <v>P757</v>
          </cell>
        </row>
        <row r="1386">
          <cell r="I1386" t="str">
            <v>P757</v>
          </cell>
        </row>
        <row r="1387">
          <cell r="I1387" t="str">
            <v>P757</v>
          </cell>
        </row>
        <row r="1388">
          <cell r="I1388" t="str">
            <v>P757</v>
          </cell>
        </row>
        <row r="1389">
          <cell r="I1389" t="str">
            <v>P757</v>
          </cell>
        </row>
        <row r="1390">
          <cell r="H1390" t="str">
            <v>P757</v>
          </cell>
          <cell r="J1390">
            <v>45372</v>
          </cell>
          <cell r="K1390" t="str">
            <v>OK</v>
          </cell>
          <cell r="L1390" t="str">
            <v>VIGENTE</v>
          </cell>
          <cell r="M1390">
            <v>0</v>
          </cell>
          <cell r="N1390">
            <v>941951</v>
          </cell>
          <cell r="O1390">
            <v>23498968</v>
          </cell>
          <cell r="P1390">
            <v>4464803.92</v>
          </cell>
          <cell r="Q1390">
            <v>4464803.92</v>
          </cell>
          <cell r="R1390">
            <v>0</v>
          </cell>
          <cell r="S1390">
            <v>1</v>
          </cell>
          <cell r="T1390">
            <v>0</v>
          </cell>
        </row>
        <row r="1391">
          <cell r="I1391" t="str">
            <v>P757</v>
          </cell>
        </row>
        <row r="1392">
          <cell r="I1392" t="str">
            <v>P757</v>
          </cell>
        </row>
        <row r="1393">
          <cell r="I1393" t="str">
            <v>P757</v>
          </cell>
        </row>
        <row r="1394">
          <cell r="I1394" t="str">
            <v>P757</v>
          </cell>
        </row>
        <row r="1395">
          <cell r="I1395" t="str">
            <v>P757</v>
          </cell>
        </row>
        <row r="1396">
          <cell r="I1396" t="str">
            <v>P757</v>
          </cell>
        </row>
        <row r="1397">
          <cell r="I1397" t="str">
            <v>P757</v>
          </cell>
        </row>
        <row r="1398">
          <cell r="H1398">
            <v>9302</v>
          </cell>
          <cell r="J1398">
            <v>43081</v>
          </cell>
          <cell r="K1398" t="str">
            <v>VENCIDO</v>
          </cell>
          <cell r="L1398" t="str">
            <v>CESADO</v>
          </cell>
          <cell r="M1398">
            <v>0</v>
          </cell>
          <cell r="N1398">
            <v>0</v>
          </cell>
          <cell r="O1398">
            <v>7483348</v>
          </cell>
          <cell r="P1398">
            <v>1421836.12</v>
          </cell>
          <cell r="Q1398">
            <v>1421836.12</v>
          </cell>
          <cell r="R1398">
            <v>0</v>
          </cell>
          <cell r="S1398">
            <v>1</v>
          </cell>
          <cell r="T1398">
            <v>0</v>
          </cell>
        </row>
        <row r="1399">
          <cell r="I1399" t="str">
            <v>A2</v>
          </cell>
          <cell r="J1399">
            <v>3.5000027868039262E-2</v>
          </cell>
        </row>
        <row r="1400">
          <cell r="I1400">
            <v>9302</v>
          </cell>
        </row>
        <row r="1401">
          <cell r="I1401">
            <v>9302</v>
          </cell>
        </row>
        <row r="1403">
          <cell r="H1403" t="str">
            <v>A544</v>
          </cell>
          <cell r="I1403" t="str">
            <v>A2</v>
          </cell>
          <cell r="J1403" t="e">
            <v>#N/A</v>
          </cell>
          <cell r="K1403" t="e">
            <v>#N/A</v>
          </cell>
          <cell r="L1403" t="e">
            <v>#N/A</v>
          </cell>
          <cell r="M1403" t="e">
            <v>#N/A</v>
          </cell>
          <cell r="N1403" t="e">
            <v>#N/A</v>
          </cell>
          <cell r="O1403">
            <v>35897389</v>
          </cell>
          <cell r="P1403">
            <v>6820503.9100000001</v>
          </cell>
          <cell r="Q1403">
            <v>6820503.9100000001</v>
          </cell>
          <cell r="R1403">
            <v>0</v>
          </cell>
          <cell r="S1403">
            <v>1</v>
          </cell>
          <cell r="T1403">
            <v>0</v>
          </cell>
        </row>
        <row r="1404">
          <cell r="I1404" t="str">
            <v>A544</v>
          </cell>
        </row>
        <row r="1405">
          <cell r="I1405" t="str">
            <v>A2</v>
          </cell>
          <cell r="J1405">
            <v>3.5000000000000003E-2</v>
          </cell>
        </row>
        <row r="1406">
          <cell r="I1406" t="str">
            <v>A544</v>
          </cell>
        </row>
        <row r="1407">
          <cell r="I1407" t="str">
            <v>A544</v>
          </cell>
        </row>
        <row r="1408">
          <cell r="H1408">
            <v>6556</v>
          </cell>
          <cell r="I1408" t="str">
            <v>NO</v>
          </cell>
          <cell r="J1408">
            <v>42345</v>
          </cell>
          <cell r="K1408" t="str">
            <v>OK</v>
          </cell>
          <cell r="L1408" t="str">
            <v>VIGENTE</v>
          </cell>
          <cell r="M1408">
            <v>0</v>
          </cell>
          <cell r="N1408">
            <v>0</v>
          </cell>
          <cell r="O1408">
            <v>8427956</v>
          </cell>
          <cell r="P1408">
            <v>1601311.6400000001</v>
          </cell>
          <cell r="Q1408">
            <v>147320.67088000002</v>
          </cell>
          <cell r="R1408">
            <v>1453990.9691200003</v>
          </cell>
          <cell r="S1408">
            <v>9.1999999999999998E-2</v>
          </cell>
          <cell r="T1408">
            <v>0.90800000000000003</v>
          </cell>
        </row>
        <row r="1409">
          <cell r="I1409">
            <v>6556</v>
          </cell>
        </row>
        <row r="1410">
          <cell r="I1410">
            <v>6556</v>
          </cell>
        </row>
        <row r="1411">
          <cell r="I1411">
            <v>6556</v>
          </cell>
        </row>
        <row r="1412">
          <cell r="I1412">
            <v>6556</v>
          </cell>
        </row>
        <row r="1413">
          <cell r="I1413">
            <v>6556</v>
          </cell>
        </row>
        <row r="1414">
          <cell r="H1414">
            <v>9103</v>
          </cell>
          <cell r="I1414" t="str">
            <v>NO</v>
          </cell>
          <cell r="J1414">
            <v>45869</v>
          </cell>
          <cell r="K1414" t="str">
            <v>VIGENTE</v>
          </cell>
          <cell r="L1414">
            <v>10027558</v>
          </cell>
          <cell r="M1414">
            <v>0</v>
          </cell>
          <cell r="N1414">
            <v>0</v>
          </cell>
          <cell r="O1414">
            <v>10027559</v>
          </cell>
          <cell r="P1414">
            <v>1905236.21</v>
          </cell>
          <cell r="Q1414">
            <v>154324.13300999999</v>
          </cell>
          <cell r="R1414">
            <v>1750912.07699</v>
          </cell>
          <cell r="S1414">
            <v>8.1000000000000003E-2</v>
          </cell>
          <cell r="T1414">
            <v>0.91900000000000004</v>
          </cell>
        </row>
        <row r="1415">
          <cell r="I1415">
            <v>9103</v>
          </cell>
        </row>
        <row r="1416">
          <cell r="I1416">
            <v>9103</v>
          </cell>
          <cell r="J1416">
            <v>1822000</v>
          </cell>
        </row>
        <row r="1417">
          <cell r="I1417">
            <v>9103</v>
          </cell>
        </row>
        <row r="1418">
          <cell r="I1418">
            <v>9103</v>
          </cell>
        </row>
        <row r="1419">
          <cell r="I1419">
            <v>9103</v>
          </cell>
        </row>
        <row r="1420">
          <cell r="H1420">
            <v>9101</v>
          </cell>
          <cell r="I1420" t="str">
            <v>NO</v>
          </cell>
          <cell r="J1420">
            <v>45473</v>
          </cell>
          <cell r="K1420" t="str">
            <v>VIGENTE</v>
          </cell>
          <cell r="L1420">
            <v>13867133</v>
          </cell>
          <cell r="M1420">
            <v>0</v>
          </cell>
          <cell r="N1420">
            <v>2431336</v>
          </cell>
          <cell r="O1420">
            <v>13867133</v>
          </cell>
          <cell r="P1420">
            <v>2634755.27</v>
          </cell>
          <cell r="Q1420">
            <v>152815.80566000001</v>
          </cell>
          <cell r="R1420">
            <v>2481939.4643399999</v>
          </cell>
          <cell r="S1420">
            <v>5.8000000000000003E-2</v>
          </cell>
          <cell r="T1420">
            <v>0.94199999999999995</v>
          </cell>
        </row>
        <row r="1421">
          <cell r="I1421">
            <v>9101</v>
          </cell>
        </row>
        <row r="1422">
          <cell r="I1422">
            <v>9101</v>
          </cell>
        </row>
        <row r="1423">
          <cell r="H1423">
            <v>8583</v>
          </cell>
          <cell r="J1423">
            <v>45657</v>
          </cell>
          <cell r="K1423" t="str">
            <v>VIGENTE</v>
          </cell>
          <cell r="L1423">
            <v>6573621</v>
          </cell>
          <cell r="M1423">
            <v>0</v>
          </cell>
          <cell r="N1423">
            <v>1340302</v>
          </cell>
          <cell r="O1423">
            <v>742041</v>
          </cell>
          <cell r="P1423">
            <v>140987.79</v>
          </cell>
          <cell r="Q1423">
            <v>13534.827840000002</v>
          </cell>
          <cell r="R1423">
            <v>127452.96216000001</v>
          </cell>
          <cell r="S1423">
            <v>9.6000000000000002E-2</v>
          </cell>
          <cell r="T1423">
            <v>0.90400000000000003</v>
          </cell>
        </row>
        <row r="1424">
          <cell r="I1424">
            <v>8583</v>
          </cell>
        </row>
        <row r="1425">
          <cell r="I1425">
            <v>8583</v>
          </cell>
        </row>
        <row r="1426">
          <cell r="I1426">
            <v>8583</v>
          </cell>
        </row>
        <row r="1427">
          <cell r="I1427">
            <v>8583</v>
          </cell>
        </row>
        <row r="1428">
          <cell r="I1428">
            <v>8583</v>
          </cell>
        </row>
        <row r="1429">
          <cell r="H1429">
            <v>9120</v>
          </cell>
          <cell r="J1429">
            <v>45923</v>
          </cell>
          <cell r="K1429" t="str">
            <v>VIGENTE</v>
          </cell>
          <cell r="L1429">
            <v>24361072</v>
          </cell>
          <cell r="M1429">
            <v>0</v>
          </cell>
          <cell r="N1429">
            <v>3808389</v>
          </cell>
          <cell r="O1429">
            <v>28006112</v>
          </cell>
          <cell r="P1429">
            <v>5321161.28</v>
          </cell>
          <cell r="Q1429">
            <v>271379.22528000001</v>
          </cell>
          <cell r="R1429">
            <v>5049782.0547200004</v>
          </cell>
          <cell r="S1429">
            <v>5.0999999999999997E-2</v>
          </cell>
          <cell r="T1429">
            <v>0.94899999999999995</v>
          </cell>
        </row>
        <row r="1430">
          <cell r="I1430" t="str">
            <v>A2</v>
          </cell>
          <cell r="J1430">
            <v>3.5000027868039262E-2</v>
          </cell>
        </row>
        <row r="1431">
          <cell r="I1431">
            <v>9120</v>
          </cell>
        </row>
        <row r="1432">
          <cell r="I1432">
            <v>9120</v>
          </cell>
        </row>
        <row r="1433">
          <cell r="I1433">
            <v>9120</v>
          </cell>
        </row>
        <row r="1434">
          <cell r="I1434">
            <v>9120</v>
          </cell>
        </row>
        <row r="1435">
          <cell r="I1435">
            <v>9120</v>
          </cell>
        </row>
        <row r="1436">
          <cell r="H1436" t="str">
            <v>A854</v>
          </cell>
          <cell r="J1436">
            <v>44492</v>
          </cell>
          <cell r="K1436" t="str">
            <v>OK</v>
          </cell>
          <cell r="L1436" t="str">
            <v>VIGENTE</v>
          </cell>
          <cell r="M1436">
            <v>0</v>
          </cell>
          <cell r="N1436">
            <v>935593</v>
          </cell>
          <cell r="O1436">
            <v>9355925</v>
          </cell>
          <cell r="P1436">
            <v>1777625.75</v>
          </cell>
          <cell r="Q1436">
            <v>179540.20075000002</v>
          </cell>
          <cell r="R1436">
            <v>1598085.5492499999</v>
          </cell>
          <cell r="S1436">
            <v>0.10100000000000001</v>
          </cell>
          <cell r="T1436">
            <v>0.89900000000000002</v>
          </cell>
        </row>
        <row r="1437">
          <cell r="I1437" t="str">
            <v>A854</v>
          </cell>
        </row>
        <row r="1438">
          <cell r="I1438" t="str">
            <v>A854</v>
          </cell>
        </row>
        <row r="1439">
          <cell r="I1439" t="str">
            <v>A854</v>
          </cell>
        </row>
        <row r="1440">
          <cell r="I1440" t="str">
            <v>A854</v>
          </cell>
        </row>
        <row r="1441">
          <cell r="I1441" t="str">
            <v>A854</v>
          </cell>
        </row>
        <row r="1442">
          <cell r="I1442" t="str">
            <v>A854</v>
          </cell>
        </row>
        <row r="1443">
          <cell r="H1443" t="str">
            <v>A854</v>
          </cell>
          <cell r="J1443">
            <v>44492</v>
          </cell>
          <cell r="K1443" t="str">
            <v>OK</v>
          </cell>
          <cell r="L1443" t="str">
            <v>VIGENTE</v>
          </cell>
          <cell r="M1443">
            <v>0</v>
          </cell>
          <cell r="N1443">
            <v>935593</v>
          </cell>
          <cell r="O1443">
            <v>9355925</v>
          </cell>
          <cell r="P1443">
            <v>1777625.75</v>
          </cell>
          <cell r="Q1443">
            <v>179540.20075000002</v>
          </cell>
          <cell r="R1443">
            <v>1598085.5492499999</v>
          </cell>
          <cell r="S1443">
            <v>0.10100000000000001</v>
          </cell>
          <cell r="T1443">
            <v>0.89900000000000002</v>
          </cell>
        </row>
        <row r="1444">
          <cell r="I1444" t="str">
            <v>A854</v>
          </cell>
          <cell r="K1444">
            <v>4752740</v>
          </cell>
          <cell r="L1444" t="str">
            <v>CONCESION DE ESPACIO VARIABLE LOCALES</v>
          </cell>
        </row>
        <row r="1445">
          <cell r="I1445" t="str">
            <v>A854</v>
          </cell>
          <cell r="J1445">
            <v>9.1818721405861545E-2</v>
          </cell>
          <cell r="K1445">
            <v>1120877</v>
          </cell>
          <cell r="L1445" t="str">
            <v>SERV PARA USO Y APROVEC DEL INMUEB LOCALES</v>
          </cell>
        </row>
        <row r="1446">
          <cell r="I1446" t="str">
            <v>A854</v>
          </cell>
          <cell r="K1446">
            <v>475274</v>
          </cell>
          <cell r="L1446" t="str">
            <v>FONDO DE PROMOCION LOCALES</v>
          </cell>
        </row>
        <row r="1447">
          <cell r="I1447" t="str">
            <v>A854</v>
          </cell>
        </row>
        <row r="1449">
          <cell r="H1449">
            <v>9101</v>
          </cell>
          <cell r="J1449">
            <v>45473</v>
          </cell>
          <cell r="K1449" t="str">
            <v>VIGENTE</v>
          </cell>
          <cell r="L1449">
            <v>13867133</v>
          </cell>
          <cell r="M1449">
            <v>0</v>
          </cell>
          <cell r="N1449">
            <v>2431336</v>
          </cell>
          <cell r="O1449">
            <v>13867133</v>
          </cell>
          <cell r="P1449">
            <v>2634755.27</v>
          </cell>
          <cell r="Q1449">
            <v>152815.80566000001</v>
          </cell>
          <cell r="R1449">
            <v>2481939.4643399999</v>
          </cell>
          <cell r="S1449">
            <v>5.8000000000000003E-2</v>
          </cell>
          <cell r="T1449">
            <v>0.94199999999999995</v>
          </cell>
        </row>
        <row r="1450">
          <cell r="I1450">
            <v>9101</v>
          </cell>
        </row>
        <row r="1451">
          <cell r="I1451">
            <v>9101</v>
          </cell>
        </row>
        <row r="1452">
          <cell r="H1452">
            <v>6626</v>
          </cell>
          <cell r="I1452" t="str">
            <v>A2 01</v>
          </cell>
          <cell r="J1452">
            <v>45444</v>
          </cell>
          <cell r="K1452" t="str">
            <v>OK</v>
          </cell>
          <cell r="L1452" t="str">
            <v>VIGENTE</v>
          </cell>
          <cell r="M1452">
            <v>0</v>
          </cell>
          <cell r="N1452">
            <v>0</v>
          </cell>
          <cell r="O1452">
            <v>15101403</v>
          </cell>
          <cell r="P1452">
            <v>2869266.57</v>
          </cell>
          <cell r="Q1452">
            <v>229541.32559999998</v>
          </cell>
          <cell r="R1452">
            <v>2639725.2443999997</v>
          </cell>
          <cell r="S1452">
            <v>0.08</v>
          </cell>
          <cell r="T1452">
            <v>0.92</v>
          </cell>
        </row>
        <row r="1453">
          <cell r="I1453">
            <v>1</v>
          </cell>
          <cell r="J1453">
            <v>9.6600000000000002E-3</v>
          </cell>
        </row>
        <row r="1454">
          <cell r="I1454" t="str">
            <v>A2</v>
          </cell>
          <cell r="J1454">
            <v>3.5000000000000003E-2</v>
          </cell>
        </row>
        <row r="1455">
          <cell r="I1455">
            <v>6626</v>
          </cell>
        </row>
        <row r="1456">
          <cell r="I1456">
            <v>6626</v>
          </cell>
        </row>
        <row r="1457">
          <cell r="I1457">
            <v>6626</v>
          </cell>
        </row>
        <row r="1460">
          <cell r="H1460">
            <v>6564</v>
          </cell>
          <cell r="I1460" t="str">
            <v>A2 01</v>
          </cell>
          <cell r="J1460">
            <v>43040</v>
          </cell>
          <cell r="K1460" t="str">
            <v>OK</v>
          </cell>
          <cell r="L1460" t="str">
            <v>VIGENTE</v>
          </cell>
          <cell r="M1460">
            <v>0</v>
          </cell>
          <cell r="N1460">
            <v>0</v>
          </cell>
          <cell r="O1460">
            <v>17875017</v>
          </cell>
          <cell r="P1460">
            <v>3396253.23</v>
          </cell>
          <cell r="Q1460">
            <v>353210.33591999998</v>
          </cell>
          <cell r="R1460">
            <v>3043042.89408</v>
          </cell>
          <cell r="S1460">
            <v>0.104</v>
          </cell>
          <cell r="T1460">
            <v>0.89600000000000002</v>
          </cell>
        </row>
        <row r="1461">
          <cell r="I1461">
            <v>1</v>
          </cell>
          <cell r="J1461">
            <v>9.6600000000000002E-3</v>
          </cell>
        </row>
        <row r="1462">
          <cell r="I1462" t="str">
            <v>A2</v>
          </cell>
          <cell r="J1462">
            <v>3.5000000000000003E-2</v>
          </cell>
        </row>
        <row r="1463">
          <cell r="I1463">
            <v>6564</v>
          </cell>
        </row>
        <row r="1464">
          <cell r="I1464">
            <v>6564</v>
          </cell>
        </row>
        <row r="1465">
          <cell r="I1465">
            <v>6564</v>
          </cell>
        </row>
        <row r="1468">
          <cell r="H1468">
            <v>6767</v>
          </cell>
          <cell r="I1468" t="str">
            <v>A2 01</v>
          </cell>
          <cell r="J1468">
            <v>45582</v>
          </cell>
          <cell r="K1468" t="str">
            <v>OK</v>
          </cell>
          <cell r="L1468" t="str">
            <v>VIGENTE</v>
          </cell>
          <cell r="M1468">
            <v>0</v>
          </cell>
          <cell r="N1468">
            <v>0</v>
          </cell>
          <cell r="O1468">
            <v>8516410</v>
          </cell>
          <cell r="P1468">
            <v>1618117.9</v>
          </cell>
          <cell r="Q1468">
            <v>139158.13939999999</v>
          </cell>
          <cell r="R1468">
            <v>1478959.7605999999</v>
          </cell>
          <cell r="S1468">
            <v>8.5999999999999993E-2</v>
          </cell>
          <cell r="T1468">
            <v>0.91400000000000003</v>
          </cell>
        </row>
        <row r="1469">
          <cell r="I1469">
            <v>1</v>
          </cell>
          <cell r="J1469">
            <v>0.96</v>
          </cell>
        </row>
        <row r="1470">
          <cell r="I1470" t="str">
            <v>A2</v>
          </cell>
          <cell r="J1470">
            <v>3.5000000000000003E-2</v>
          </cell>
        </row>
        <row r="1471">
          <cell r="I1471">
            <v>6767</v>
          </cell>
        </row>
        <row r="1472">
          <cell r="I1472">
            <v>6767</v>
          </cell>
        </row>
        <row r="1473">
          <cell r="I1473">
            <v>6767</v>
          </cell>
        </row>
        <row r="1474">
          <cell r="I1474">
            <v>6767</v>
          </cell>
        </row>
        <row r="1476">
          <cell r="H1476" t="str">
            <v>E924</v>
          </cell>
          <cell r="J1476">
            <v>45785</v>
          </cell>
          <cell r="K1476" t="str">
            <v>VIGENTE</v>
          </cell>
          <cell r="L1476">
            <v>12751025</v>
          </cell>
          <cell r="M1476">
            <v>0</v>
          </cell>
          <cell r="N1476">
            <v>0</v>
          </cell>
          <cell r="O1476">
            <v>11805253</v>
          </cell>
          <cell r="P1476">
            <v>2242998.0699999998</v>
          </cell>
          <cell r="Q1476">
            <v>2242998.0699999998</v>
          </cell>
          <cell r="R1476">
            <v>0</v>
          </cell>
          <cell r="S1476">
            <v>1</v>
          </cell>
          <cell r="T1476">
            <v>0</v>
          </cell>
        </row>
        <row r="1477">
          <cell r="I1477" t="str">
            <v>E924</v>
          </cell>
        </row>
        <row r="1478">
          <cell r="I1478" t="str">
            <v>E924</v>
          </cell>
        </row>
        <row r="1479">
          <cell r="I1479" t="str">
            <v>E924</v>
          </cell>
        </row>
        <row r="1480">
          <cell r="I1480" t="str">
            <v>E924</v>
          </cell>
        </row>
        <row r="1481">
          <cell r="H1481">
            <v>6554</v>
          </cell>
          <cell r="J1481">
            <v>42309</v>
          </cell>
          <cell r="K1481" t="str">
            <v>VENCIDO</v>
          </cell>
          <cell r="L1481" t="str">
            <v>CESADO</v>
          </cell>
          <cell r="M1481">
            <v>0</v>
          </cell>
          <cell r="N1481">
            <v>0</v>
          </cell>
          <cell r="O1481">
            <v>24000000</v>
          </cell>
          <cell r="P1481">
            <v>4560000</v>
          </cell>
          <cell r="Q1481">
            <v>173280</v>
          </cell>
          <cell r="R1481">
            <v>4386720</v>
          </cell>
          <cell r="S1481">
            <v>3.7999999999999999E-2</v>
          </cell>
          <cell r="T1481">
            <v>0.96199999999999997</v>
          </cell>
        </row>
        <row r="1482">
          <cell r="I1482">
            <v>6554</v>
          </cell>
        </row>
        <row r="1483">
          <cell r="I1483">
            <v>6554</v>
          </cell>
        </row>
        <row r="1484">
          <cell r="I1484">
            <v>6554</v>
          </cell>
        </row>
        <row r="1485">
          <cell r="I1485">
            <v>6554</v>
          </cell>
        </row>
        <row r="1486">
          <cell r="I1486">
            <v>6554</v>
          </cell>
        </row>
        <row r="1487">
          <cell r="H1487">
            <v>9636</v>
          </cell>
          <cell r="I1487" t="str">
            <v>NO</v>
          </cell>
          <cell r="J1487">
            <v>43466</v>
          </cell>
          <cell r="K1487" t="str">
            <v>VENCIDO</v>
          </cell>
          <cell r="L1487" t="str">
            <v>CESADO</v>
          </cell>
          <cell r="M1487">
            <v>0</v>
          </cell>
          <cell r="N1487">
            <v>0</v>
          </cell>
          <cell r="O1487">
            <v>15892835</v>
          </cell>
          <cell r="P1487">
            <v>3019638.65</v>
          </cell>
          <cell r="Q1487">
            <v>217413.98279999997</v>
          </cell>
          <cell r="R1487">
            <v>2802224.6672</v>
          </cell>
          <cell r="S1487">
            <v>7.1999999999999995E-2</v>
          </cell>
          <cell r="T1487">
            <v>0.92800000000000005</v>
          </cell>
        </row>
        <row r="1488">
          <cell r="I1488">
            <v>9636</v>
          </cell>
        </row>
        <row r="1489">
          <cell r="I1489">
            <v>9636</v>
          </cell>
        </row>
        <row r="1490">
          <cell r="I1490">
            <v>9636</v>
          </cell>
        </row>
        <row r="1491">
          <cell r="I1491">
            <v>9636</v>
          </cell>
        </row>
        <row r="1493">
          <cell r="H1493">
            <v>9636</v>
          </cell>
          <cell r="I1493" t="str">
            <v>NO</v>
          </cell>
          <cell r="J1493">
            <v>43466</v>
          </cell>
          <cell r="K1493" t="str">
            <v>VENCIDO</v>
          </cell>
          <cell r="L1493" t="str">
            <v>CESADO</v>
          </cell>
          <cell r="M1493">
            <v>0</v>
          </cell>
          <cell r="N1493">
            <v>0</v>
          </cell>
          <cell r="O1493">
            <v>15892835</v>
          </cell>
          <cell r="P1493">
            <v>3019638.65</v>
          </cell>
          <cell r="Q1493">
            <v>217413.98279999997</v>
          </cell>
          <cell r="R1493">
            <v>2802224.6672</v>
          </cell>
          <cell r="S1493">
            <v>7.1999999999999995E-2</v>
          </cell>
          <cell r="T1493">
            <v>0.92800000000000005</v>
          </cell>
        </row>
        <row r="1495">
          <cell r="I1495">
            <v>9636</v>
          </cell>
          <cell r="J1495" t="str">
            <v>07-2023 RF/GC T-115 8859</v>
          </cell>
        </row>
        <row r="1496">
          <cell r="I1496">
            <v>9636</v>
          </cell>
        </row>
        <row r="1497">
          <cell r="I1497">
            <v>9636</v>
          </cell>
        </row>
        <row r="1500">
          <cell r="H1500">
            <v>9636</v>
          </cell>
          <cell r="I1500" t="str">
            <v>NO</v>
          </cell>
          <cell r="J1500">
            <v>43466</v>
          </cell>
          <cell r="K1500" t="str">
            <v>VENCIDO</v>
          </cell>
          <cell r="L1500" t="str">
            <v>CESADO</v>
          </cell>
          <cell r="M1500">
            <v>0</v>
          </cell>
          <cell r="N1500">
            <v>0</v>
          </cell>
          <cell r="O1500">
            <v>15892835</v>
          </cell>
          <cell r="P1500">
            <v>3019638.65</v>
          </cell>
          <cell r="Q1500">
            <v>217413.98279999997</v>
          </cell>
          <cell r="R1500">
            <v>2802224.6672</v>
          </cell>
          <cell r="S1500">
            <v>7.1999999999999995E-2</v>
          </cell>
          <cell r="T1500">
            <v>0.92800000000000005</v>
          </cell>
        </row>
        <row r="1501">
          <cell r="I1501">
            <v>9636</v>
          </cell>
        </row>
        <row r="1503">
          <cell r="H1503">
            <v>9301</v>
          </cell>
          <cell r="I1503" t="str">
            <v>NO</v>
          </cell>
          <cell r="J1503">
            <v>43123</v>
          </cell>
          <cell r="K1503" t="str">
            <v>VENCIDO</v>
          </cell>
          <cell r="L1503" t="str">
            <v>CESADO</v>
          </cell>
          <cell r="M1503">
            <v>0</v>
          </cell>
          <cell r="N1503">
            <v>0</v>
          </cell>
          <cell r="O1503">
            <v>22377460</v>
          </cell>
          <cell r="P1503">
            <v>4251717.4000000004</v>
          </cell>
          <cell r="Q1503">
            <v>4251717.4000000004</v>
          </cell>
          <cell r="R1503">
            <v>0</v>
          </cell>
          <cell r="S1503">
            <v>1</v>
          </cell>
          <cell r="T1503">
            <v>0</v>
          </cell>
        </row>
        <row r="1504">
          <cell r="I1504">
            <v>9301</v>
          </cell>
        </row>
        <row r="1505">
          <cell r="I1505">
            <v>9301</v>
          </cell>
        </row>
        <row r="1507">
          <cell r="H1507">
            <v>9301</v>
          </cell>
          <cell r="I1507" t="str">
            <v>NO</v>
          </cell>
          <cell r="J1507">
            <v>43123</v>
          </cell>
          <cell r="K1507" t="str">
            <v>VENCIDO</v>
          </cell>
          <cell r="L1507" t="str">
            <v>CESADO</v>
          </cell>
          <cell r="M1507">
            <v>0</v>
          </cell>
          <cell r="N1507">
            <v>0</v>
          </cell>
          <cell r="O1507">
            <v>22377460</v>
          </cell>
          <cell r="P1507">
            <v>4251717.4000000004</v>
          </cell>
          <cell r="Q1507">
            <v>4251717.4000000004</v>
          </cell>
          <cell r="R1507">
            <v>0</v>
          </cell>
          <cell r="S1507">
            <v>1</v>
          </cell>
          <cell r="T1507">
            <v>0</v>
          </cell>
        </row>
        <row r="1508">
          <cell r="I1508">
            <v>9301</v>
          </cell>
        </row>
        <row r="1509">
          <cell r="I1509">
            <v>9301</v>
          </cell>
        </row>
        <row r="1510">
          <cell r="I1510">
            <v>9301</v>
          </cell>
        </row>
        <row r="1511">
          <cell r="H1511" t="str">
            <v>A997</v>
          </cell>
          <cell r="I1511" t="str">
            <v>NO</v>
          </cell>
          <cell r="J1511">
            <v>44505</v>
          </cell>
          <cell r="K1511" t="str">
            <v>OK</v>
          </cell>
          <cell r="L1511" t="str">
            <v>VIGENTE</v>
          </cell>
          <cell r="M1511">
            <v>0</v>
          </cell>
          <cell r="N1511">
            <v>0</v>
          </cell>
          <cell r="O1511">
            <v>22377460</v>
          </cell>
          <cell r="P1511">
            <v>4251717.4000000004</v>
          </cell>
          <cell r="Q1511">
            <v>4251717.4000000004</v>
          </cell>
          <cell r="R1511">
            <v>0</v>
          </cell>
          <cell r="S1511">
            <v>1</v>
          </cell>
          <cell r="T1511">
            <v>0</v>
          </cell>
        </row>
        <row r="1512">
          <cell r="I1512" t="str">
            <v>A997</v>
          </cell>
        </row>
        <row r="1513">
          <cell r="I1513" t="str">
            <v>A997</v>
          </cell>
        </row>
        <row r="1514">
          <cell r="I1514" t="str">
            <v>A997</v>
          </cell>
        </row>
        <row r="1515">
          <cell r="H1515">
            <v>8580</v>
          </cell>
          <cell r="I1515" t="str">
            <v>NO</v>
          </cell>
          <cell r="J1515">
            <v>45364</v>
          </cell>
          <cell r="K1515" t="str">
            <v>OK</v>
          </cell>
          <cell r="L1515" t="str">
            <v>POR VENCER</v>
          </cell>
          <cell r="M1515">
            <v>0</v>
          </cell>
          <cell r="N1515">
            <v>0</v>
          </cell>
          <cell r="O1515">
            <v>22377460</v>
          </cell>
          <cell r="P1515">
            <v>4251717.4000000004</v>
          </cell>
          <cell r="Q1515">
            <v>4251717.4000000004</v>
          </cell>
          <cell r="R1515">
            <v>0</v>
          </cell>
          <cell r="S1515">
            <v>1</v>
          </cell>
          <cell r="T1515">
            <v>0</v>
          </cell>
        </row>
        <row r="1516">
          <cell r="I1516">
            <v>8580</v>
          </cell>
        </row>
        <row r="1517">
          <cell r="I1517">
            <v>8580</v>
          </cell>
        </row>
        <row r="1518">
          <cell r="I1518">
            <v>8580</v>
          </cell>
        </row>
        <row r="1519">
          <cell r="I1519">
            <v>8580</v>
          </cell>
        </row>
        <row r="1520">
          <cell r="I1520">
            <v>8580</v>
          </cell>
        </row>
        <row r="1521">
          <cell r="H1521">
            <v>8584</v>
          </cell>
          <cell r="I1521" t="str">
            <v>NO</v>
          </cell>
          <cell r="J1521">
            <v>45358</v>
          </cell>
          <cell r="K1521" t="str">
            <v>OK</v>
          </cell>
          <cell r="L1521" t="str">
            <v>POR VENCER</v>
          </cell>
          <cell r="M1521">
            <v>0</v>
          </cell>
          <cell r="N1521">
            <v>0</v>
          </cell>
          <cell r="O1521">
            <v>22377460</v>
          </cell>
          <cell r="P1521">
            <v>4251717.4000000004</v>
          </cell>
          <cell r="Q1521">
            <v>4251717.4000000004</v>
          </cell>
          <cell r="R1521">
            <v>0</v>
          </cell>
          <cell r="S1521">
            <v>1</v>
          </cell>
          <cell r="T1521">
            <v>0</v>
          </cell>
        </row>
        <row r="1522">
          <cell r="I1522">
            <v>8584</v>
          </cell>
        </row>
        <row r="1523">
          <cell r="I1523">
            <v>8584</v>
          </cell>
        </row>
        <row r="1524">
          <cell r="I1524">
            <v>8584</v>
          </cell>
        </row>
        <row r="1525">
          <cell r="I1525">
            <v>8584</v>
          </cell>
        </row>
        <row r="1526">
          <cell r="I1526">
            <v>8584</v>
          </cell>
        </row>
        <row r="1527">
          <cell r="H1527">
            <v>8584</v>
          </cell>
          <cell r="I1527" t="str">
            <v>NO</v>
          </cell>
          <cell r="J1527">
            <v>45358</v>
          </cell>
          <cell r="K1527" t="str">
            <v>OK</v>
          </cell>
          <cell r="L1527" t="str">
            <v>POR VENCER</v>
          </cell>
          <cell r="M1527">
            <v>0</v>
          </cell>
          <cell r="N1527">
            <v>0</v>
          </cell>
          <cell r="O1527">
            <v>22377460</v>
          </cell>
          <cell r="P1527">
            <v>4251717.4000000004</v>
          </cell>
          <cell r="Q1527">
            <v>4251717.4000000004</v>
          </cell>
          <cell r="R1527">
            <v>0</v>
          </cell>
          <cell r="S1527">
            <v>1</v>
          </cell>
          <cell r="T1527">
            <v>0</v>
          </cell>
        </row>
        <row r="1528">
          <cell r="I1528">
            <v>8584</v>
          </cell>
        </row>
        <row r="1529">
          <cell r="I1529">
            <v>8584</v>
          </cell>
        </row>
        <row r="1530">
          <cell r="I1530">
            <v>8584</v>
          </cell>
        </row>
        <row r="1531">
          <cell r="I1531">
            <v>8584</v>
          </cell>
        </row>
        <row r="1533">
          <cell r="H1533">
            <v>9596</v>
          </cell>
          <cell r="I1533" t="str">
            <v>NO</v>
          </cell>
          <cell r="J1533">
            <v>43466</v>
          </cell>
          <cell r="K1533" t="str">
            <v>VENCIDO</v>
          </cell>
          <cell r="L1533" t="str">
            <v>CESADO</v>
          </cell>
          <cell r="M1533">
            <v>0</v>
          </cell>
          <cell r="N1533">
            <v>0</v>
          </cell>
          <cell r="O1533">
            <v>12509050</v>
          </cell>
          <cell r="P1533">
            <v>2376719.5</v>
          </cell>
          <cell r="Q1533">
            <v>2376719.5</v>
          </cell>
          <cell r="R1533">
            <v>0</v>
          </cell>
          <cell r="S1533">
            <v>1</v>
          </cell>
          <cell r="T1533">
            <v>0</v>
          </cell>
        </row>
        <row r="1534">
          <cell r="I1534">
            <v>9596</v>
          </cell>
        </row>
        <row r="1535">
          <cell r="I1535">
            <v>9596</v>
          </cell>
        </row>
        <row r="1537">
          <cell r="H1537">
            <v>8580</v>
          </cell>
          <cell r="I1537" t="str">
            <v>NO</v>
          </cell>
          <cell r="J1537">
            <v>45364</v>
          </cell>
          <cell r="K1537" t="str">
            <v>OK</v>
          </cell>
          <cell r="L1537" t="str">
            <v>POR VENCER</v>
          </cell>
          <cell r="M1537">
            <v>0</v>
          </cell>
          <cell r="N1537">
            <v>0</v>
          </cell>
          <cell r="O1537">
            <v>8623865</v>
          </cell>
          <cell r="P1537">
            <v>1638534.35</v>
          </cell>
          <cell r="Q1537">
            <v>135998.35105000003</v>
          </cell>
          <cell r="R1537">
            <v>1502535.9989500002</v>
          </cell>
          <cell r="S1537">
            <v>8.3000000000000004E-2</v>
          </cell>
          <cell r="T1537">
            <v>0.91700000000000004</v>
          </cell>
        </row>
        <row r="1538">
          <cell r="I1538">
            <v>8580</v>
          </cell>
          <cell r="J1538">
            <v>1588820.85</v>
          </cell>
        </row>
        <row r="1539">
          <cell r="I1539">
            <v>8580</v>
          </cell>
          <cell r="J1539">
            <v>0</v>
          </cell>
        </row>
        <row r="1540">
          <cell r="I1540">
            <v>8580</v>
          </cell>
          <cell r="J1540">
            <v>27569.740999999998</v>
          </cell>
        </row>
        <row r="1541">
          <cell r="I1541">
            <v>8580</v>
          </cell>
          <cell r="J1541">
            <v>0</v>
          </cell>
        </row>
        <row r="1542">
          <cell r="I1542">
            <v>8580</v>
          </cell>
          <cell r="J1542">
            <v>8362215</v>
          </cell>
        </row>
        <row r="1543">
          <cell r="I1543">
            <v>8580</v>
          </cell>
        </row>
        <row r="1544">
          <cell r="H1544">
            <v>6687</v>
          </cell>
          <cell r="I1544" t="str">
            <v>NO</v>
          </cell>
          <cell r="J1544">
            <v>45383</v>
          </cell>
          <cell r="K1544" t="str">
            <v>OK</v>
          </cell>
          <cell r="L1544" t="str">
            <v>VIGENTE</v>
          </cell>
          <cell r="M1544">
            <v>0</v>
          </cell>
          <cell r="N1544">
            <v>0</v>
          </cell>
          <cell r="O1544">
            <v>17578142</v>
          </cell>
          <cell r="P1544">
            <v>3339846.98</v>
          </cell>
          <cell r="Q1544">
            <v>321139.1326923077</v>
          </cell>
          <cell r="R1544">
            <v>3018707.8473076923</v>
          </cell>
          <cell r="S1544">
            <v>9.6153846153846159E-2</v>
          </cell>
          <cell r="T1544">
            <v>0.90384615384615385</v>
          </cell>
        </row>
        <row r="1545">
          <cell r="I1545">
            <v>6687</v>
          </cell>
          <cell r="K1545">
            <v>37432</v>
          </cell>
          <cell r="L1545" t="str">
            <v>CUOTA DE PUBLICIDAD</v>
          </cell>
        </row>
        <row r="1546">
          <cell r="I1546">
            <v>6687</v>
          </cell>
          <cell r="L1546" t="str">
            <v>SERVICIODE ACUEDUCTODE LOCALES</v>
          </cell>
        </row>
        <row r="1547">
          <cell r="I1547">
            <v>6687</v>
          </cell>
        </row>
        <row r="1548">
          <cell r="I1548">
            <v>6687</v>
          </cell>
          <cell r="K1548">
            <v>106900</v>
          </cell>
          <cell r="L1548" t="str">
            <v>CUOTA DE ADMINISTRACION</v>
          </cell>
        </row>
        <row r="1549">
          <cell r="I1549">
            <v>6687</v>
          </cell>
          <cell r="K1549">
            <v>14551</v>
          </cell>
          <cell r="L1549" t="str">
            <v>FONDODE IMPREVISTOS</v>
          </cell>
        </row>
        <row r="1550">
          <cell r="H1550">
            <v>8712</v>
          </cell>
          <cell r="J1550">
            <v>42621</v>
          </cell>
          <cell r="K1550" t="str">
            <v>OK</v>
          </cell>
          <cell r="L1550" t="str">
            <v>VIGENTE</v>
          </cell>
          <cell r="M1550">
            <v>0</v>
          </cell>
          <cell r="N1550">
            <v>0</v>
          </cell>
          <cell r="O1550">
            <v>1815944</v>
          </cell>
          <cell r="P1550">
            <v>345029.36</v>
          </cell>
          <cell r="Q1550">
            <v>34847.965360000002</v>
          </cell>
          <cell r="R1550">
            <v>310181.39464000001</v>
          </cell>
          <cell r="S1550">
            <v>0.10100000000000001</v>
          </cell>
          <cell r="T1550">
            <v>0.89900000000000002</v>
          </cell>
        </row>
        <row r="1551">
          <cell r="I1551">
            <v>8712</v>
          </cell>
          <cell r="K1551" t="str">
            <v>Retencion ica arrendamiento Safta 901638515 Santa Marta</v>
          </cell>
        </row>
        <row r="1552">
          <cell r="I1552">
            <v>8712</v>
          </cell>
        </row>
        <row r="1553">
          <cell r="I1553">
            <v>8712</v>
          </cell>
        </row>
        <row r="1554">
          <cell r="I1554">
            <v>8712</v>
          </cell>
        </row>
        <row r="1555">
          <cell r="I1555">
            <v>8712</v>
          </cell>
          <cell r="J1555">
            <v>1</v>
          </cell>
          <cell r="K1555">
            <v>9.6600391843842965E-3</v>
          </cell>
        </row>
        <row r="1556">
          <cell r="I1556">
            <v>8712</v>
          </cell>
          <cell r="J1556" t="str">
            <v>A2</v>
          </cell>
          <cell r="K1556">
            <v>3.4999879060542291E-2</v>
          </cell>
        </row>
        <row r="1558">
          <cell r="H1558">
            <v>8140074</v>
          </cell>
          <cell r="J1558">
            <v>45600</v>
          </cell>
          <cell r="K1558" t="str">
            <v>REVISAR FECHAS</v>
          </cell>
          <cell r="L1558" t="str">
            <v>VIGENTE</v>
          </cell>
          <cell r="M1558">
            <v>0</v>
          </cell>
          <cell r="N1558">
            <v>0</v>
          </cell>
          <cell r="O1558">
            <v>70594906</v>
          </cell>
          <cell r="P1558">
            <v>13413032.140000001</v>
          </cell>
          <cell r="Q1558">
            <v>0</v>
          </cell>
          <cell r="R1558">
            <v>13413032.140000001</v>
          </cell>
          <cell r="S1558">
            <v>0</v>
          </cell>
          <cell r="T1558">
            <v>1</v>
          </cell>
        </row>
        <row r="1559">
          <cell r="I1559">
            <v>8140074</v>
          </cell>
        </row>
        <row r="1560">
          <cell r="I1560">
            <v>8140074</v>
          </cell>
        </row>
        <row r="1561">
          <cell r="I1561">
            <v>8140074</v>
          </cell>
        </row>
        <row r="1562">
          <cell r="H1562">
            <v>9596</v>
          </cell>
          <cell r="J1562">
            <v>43466</v>
          </cell>
          <cell r="K1562" t="str">
            <v>VENCIDO</v>
          </cell>
          <cell r="L1562" t="str">
            <v>CESADO</v>
          </cell>
          <cell r="M1562">
            <v>0</v>
          </cell>
          <cell r="N1562">
            <v>0</v>
          </cell>
          <cell r="O1562">
            <v>12509050</v>
          </cell>
          <cell r="P1562">
            <v>2376719.5</v>
          </cell>
          <cell r="Q1562">
            <v>2376719.5</v>
          </cell>
          <cell r="R1562">
            <v>0</v>
          </cell>
          <cell r="S1562">
            <v>1</v>
          </cell>
          <cell r="T1562">
            <v>0</v>
          </cell>
        </row>
        <row r="1563">
          <cell r="I1563">
            <v>9596</v>
          </cell>
        </row>
        <row r="1564">
          <cell r="I1564">
            <v>9596</v>
          </cell>
        </row>
        <row r="1565">
          <cell r="I1565">
            <v>9596</v>
          </cell>
        </row>
        <row r="1566">
          <cell r="H1566">
            <v>9596</v>
          </cell>
          <cell r="J1566">
            <v>43466</v>
          </cell>
          <cell r="K1566" t="str">
            <v>VENCIDO</v>
          </cell>
          <cell r="L1566" t="str">
            <v>CESADO</v>
          </cell>
          <cell r="M1566">
            <v>0</v>
          </cell>
          <cell r="N1566">
            <v>0</v>
          </cell>
          <cell r="O1566">
            <v>12509050</v>
          </cell>
          <cell r="P1566">
            <v>2376719.5</v>
          </cell>
          <cell r="Q1566">
            <v>2376719.5</v>
          </cell>
          <cell r="R1566">
            <v>0</v>
          </cell>
          <cell r="S1566">
            <v>1</v>
          </cell>
          <cell r="T1566">
            <v>0</v>
          </cell>
        </row>
        <row r="1567">
          <cell r="I1567">
            <v>9596</v>
          </cell>
        </row>
        <row r="1568">
          <cell r="I1568">
            <v>9596</v>
          </cell>
        </row>
        <row r="1570">
          <cell r="H1570">
            <v>9596</v>
          </cell>
          <cell r="J1570">
            <v>43466</v>
          </cell>
          <cell r="K1570" t="str">
            <v>VENCIDO</v>
          </cell>
          <cell r="L1570" t="str">
            <v>CESADO</v>
          </cell>
          <cell r="M1570">
            <v>0</v>
          </cell>
          <cell r="N1570">
            <v>0</v>
          </cell>
          <cell r="O1570">
            <v>12509050</v>
          </cell>
          <cell r="P1570">
            <v>2376719.5</v>
          </cell>
          <cell r="Q1570">
            <v>2376719.5</v>
          </cell>
          <cell r="R1570">
            <v>0</v>
          </cell>
          <cell r="S1570">
            <v>1</v>
          </cell>
          <cell r="T1570">
            <v>0</v>
          </cell>
        </row>
        <row r="1571">
          <cell r="I1571">
            <v>9596</v>
          </cell>
        </row>
        <row r="1572">
          <cell r="I1572">
            <v>9596</v>
          </cell>
        </row>
        <row r="1574">
          <cell r="H1574">
            <v>9355</v>
          </cell>
          <cell r="I1574" t="str">
            <v>NO</v>
          </cell>
          <cell r="J1574">
            <v>43115</v>
          </cell>
          <cell r="K1574" t="str">
            <v>VENCIDO</v>
          </cell>
          <cell r="L1574" t="str">
            <v>CESADO</v>
          </cell>
          <cell r="M1574">
            <v>0</v>
          </cell>
          <cell r="N1574">
            <v>0</v>
          </cell>
          <cell r="O1574">
            <v>49094705</v>
          </cell>
          <cell r="P1574">
            <v>9327993.9499999993</v>
          </cell>
          <cell r="Q1574">
            <v>9327993.9499999993</v>
          </cell>
          <cell r="R1574">
            <v>0</v>
          </cell>
          <cell r="S1574">
            <v>1</v>
          </cell>
          <cell r="T1574">
            <v>0</v>
          </cell>
        </row>
        <row r="1576">
          <cell r="I1576">
            <v>9355</v>
          </cell>
        </row>
        <row r="1577">
          <cell r="I1577">
            <v>9355</v>
          </cell>
        </row>
        <row r="1580">
          <cell r="H1580">
            <v>9355</v>
          </cell>
          <cell r="I1580" t="str">
            <v>A2 01</v>
          </cell>
          <cell r="J1580">
            <v>43115</v>
          </cell>
          <cell r="K1580" t="str">
            <v>VENCIDO</v>
          </cell>
          <cell r="L1580" t="str">
            <v>CESADO</v>
          </cell>
          <cell r="M1580">
            <v>0</v>
          </cell>
          <cell r="N1580">
            <v>0</v>
          </cell>
          <cell r="O1580">
            <v>49094705</v>
          </cell>
          <cell r="P1580">
            <v>9327993.9499999993</v>
          </cell>
          <cell r="Q1580">
            <v>9327993.9499999993</v>
          </cell>
          <cell r="R1580">
            <v>0</v>
          </cell>
          <cell r="S1580">
            <v>1</v>
          </cell>
          <cell r="T1580">
            <v>0</v>
          </cell>
        </row>
        <row r="1581">
          <cell r="I1581">
            <v>9355</v>
          </cell>
          <cell r="J1581" t="str">
            <v>SIN RETENCIONES ACTUALMENTE</v>
          </cell>
        </row>
        <row r="1582">
          <cell r="I1582">
            <v>9355</v>
          </cell>
        </row>
        <row r="1584">
          <cell r="H1584">
            <v>6556</v>
          </cell>
          <cell r="I1584" t="str">
            <v>A2 01</v>
          </cell>
          <cell r="J1584">
            <v>42345</v>
          </cell>
          <cell r="K1584" t="str">
            <v>OK</v>
          </cell>
          <cell r="L1584" t="str">
            <v>VIGENTE</v>
          </cell>
          <cell r="M1584">
            <v>0</v>
          </cell>
          <cell r="N1584">
            <v>0</v>
          </cell>
          <cell r="O1584">
            <v>8427956</v>
          </cell>
          <cell r="P1584">
            <v>1601311.6400000001</v>
          </cell>
          <cell r="Q1584">
            <v>147320.67088000002</v>
          </cell>
          <cell r="R1584">
            <v>1453990.9691200003</v>
          </cell>
          <cell r="S1584">
            <v>9.1999999999999998E-2</v>
          </cell>
          <cell r="T1584">
            <v>0.90800000000000003</v>
          </cell>
        </row>
        <row r="1585">
          <cell r="I1585">
            <v>6556</v>
          </cell>
        </row>
        <row r="1586">
          <cell r="I1586">
            <v>6556</v>
          </cell>
        </row>
        <row r="1587">
          <cell r="I1587">
            <v>6556</v>
          </cell>
        </row>
        <row r="1588">
          <cell r="I1588">
            <v>6556</v>
          </cell>
        </row>
        <row r="1589">
          <cell r="I1589">
            <v>24</v>
          </cell>
          <cell r="J1589">
            <v>7.0000000000000001E-3</v>
          </cell>
          <cell r="K1589" t="str">
            <v>ICA DE CHIA 7 X MIL</v>
          </cell>
        </row>
        <row r="1590">
          <cell r="I1590" t="str">
            <v>A2</v>
          </cell>
          <cell r="J1590">
            <v>3.4999990821878213E-2</v>
          </cell>
        </row>
        <row r="1592">
          <cell r="H1592">
            <v>8584</v>
          </cell>
          <cell r="I1592" t="str">
            <v>NO TIENE</v>
          </cell>
          <cell r="J1592">
            <v>45357</v>
          </cell>
          <cell r="K1592" t="str">
            <v>VIGENTE</v>
          </cell>
          <cell r="L1592">
            <v>8778106</v>
          </cell>
          <cell r="M1592">
            <v>0</v>
          </cell>
          <cell r="N1592">
            <v>0</v>
          </cell>
          <cell r="O1592">
            <v>8778106</v>
          </cell>
          <cell r="P1592">
            <v>1667840.1400000001</v>
          </cell>
          <cell r="Q1592">
            <v>161780.49358000001</v>
          </cell>
          <cell r="R1592">
            <v>1506059.6464200001</v>
          </cell>
          <cell r="S1592">
            <v>9.7000000000000003E-2</v>
          </cell>
          <cell r="T1592">
            <v>0.90300000000000002</v>
          </cell>
        </row>
        <row r="1593">
          <cell r="I1593">
            <v>8584</v>
          </cell>
        </row>
        <row r="1594">
          <cell r="I1594">
            <v>8584</v>
          </cell>
        </row>
        <row r="1595">
          <cell r="I1595">
            <v>8584</v>
          </cell>
        </row>
        <row r="1596">
          <cell r="H1596">
            <v>6617</v>
          </cell>
          <cell r="J1596">
            <v>45533</v>
          </cell>
          <cell r="K1596" t="str">
            <v>VIGENTE</v>
          </cell>
          <cell r="L1596">
            <v>8349891</v>
          </cell>
          <cell r="M1596">
            <v>0</v>
          </cell>
          <cell r="N1596">
            <v>0</v>
          </cell>
          <cell r="O1596">
            <v>7381445</v>
          </cell>
          <cell r="P1596">
            <v>1402474.55</v>
          </cell>
          <cell r="Q1596">
            <v>70123.727500000008</v>
          </cell>
          <cell r="R1596">
            <v>1332350.8225</v>
          </cell>
          <cell r="S1596">
            <v>0.05</v>
          </cell>
          <cell r="T1596">
            <v>0.95</v>
          </cell>
        </row>
        <row r="1597">
          <cell r="I1597">
            <v>6617</v>
          </cell>
        </row>
        <row r="1598">
          <cell r="I1598">
            <v>6617</v>
          </cell>
        </row>
        <row r="1599">
          <cell r="I1599">
            <v>6617</v>
          </cell>
        </row>
        <row r="1600">
          <cell r="I1600">
            <v>6617</v>
          </cell>
        </row>
        <row r="1601">
          <cell r="I1601">
            <v>6617</v>
          </cell>
        </row>
        <row r="1602">
          <cell r="I1602">
            <v>6617</v>
          </cell>
        </row>
        <row r="1603">
          <cell r="I1603">
            <v>6617</v>
          </cell>
        </row>
        <row r="1604">
          <cell r="H1604">
            <v>9636</v>
          </cell>
          <cell r="I1604" t="str">
            <v>checar arriendo fijo</v>
          </cell>
          <cell r="J1604">
            <v>43466</v>
          </cell>
          <cell r="K1604" t="str">
            <v>VENCIDO</v>
          </cell>
          <cell r="L1604" t="str">
            <v>CESADO</v>
          </cell>
          <cell r="M1604">
            <v>0</v>
          </cell>
          <cell r="N1604">
            <v>0</v>
          </cell>
          <cell r="O1604">
            <v>15892835</v>
          </cell>
          <cell r="P1604">
            <v>3019638.65</v>
          </cell>
          <cell r="Q1604">
            <v>217413.98279999997</v>
          </cell>
          <cell r="R1604">
            <v>2802224.6672</v>
          </cell>
          <cell r="S1604">
            <v>7.1999999999999995E-2</v>
          </cell>
          <cell r="T1604">
            <v>0.92800000000000005</v>
          </cell>
        </row>
        <row r="1605">
          <cell r="I1605">
            <v>9636</v>
          </cell>
        </row>
        <row r="1606">
          <cell r="I1606">
            <v>9636</v>
          </cell>
        </row>
        <row r="1607">
          <cell r="I1607">
            <v>9636</v>
          </cell>
        </row>
        <row r="1608">
          <cell r="I1608">
            <v>9636</v>
          </cell>
        </row>
        <row r="1609">
          <cell r="I1609">
            <v>9636</v>
          </cell>
        </row>
        <row r="1610">
          <cell r="H1610">
            <v>9636</v>
          </cell>
          <cell r="J1610">
            <v>43466</v>
          </cell>
          <cell r="K1610" t="str">
            <v>VENCIDO</v>
          </cell>
          <cell r="L1610" t="str">
            <v>CESADO</v>
          </cell>
          <cell r="M1610">
            <v>0</v>
          </cell>
          <cell r="N1610">
            <v>0</v>
          </cell>
          <cell r="O1610">
            <v>15892835</v>
          </cell>
          <cell r="P1610">
            <v>3019638.65</v>
          </cell>
          <cell r="Q1610">
            <v>217413.98279999997</v>
          </cell>
          <cell r="R1610">
            <v>2802224.6672</v>
          </cell>
          <cell r="S1610">
            <v>7.1999999999999995E-2</v>
          </cell>
          <cell r="T1610">
            <v>0.92800000000000005</v>
          </cell>
        </row>
        <row r="1611">
          <cell r="I1611">
            <v>9636</v>
          </cell>
        </row>
        <row r="1612">
          <cell r="I1612">
            <v>9636</v>
          </cell>
        </row>
        <row r="1613">
          <cell r="I1613">
            <v>9636</v>
          </cell>
        </row>
        <row r="1615">
          <cell r="I1615">
            <v>0</v>
          </cell>
        </row>
        <row r="1616">
          <cell r="I1616">
            <v>0</v>
          </cell>
        </row>
        <row r="1617">
          <cell r="H1617">
            <v>9072</v>
          </cell>
          <cell r="J1617">
            <v>45458</v>
          </cell>
          <cell r="K1617" t="str">
            <v>OK</v>
          </cell>
          <cell r="L1617" t="str">
            <v>VIGENTE</v>
          </cell>
          <cell r="M1617">
            <v>0</v>
          </cell>
          <cell r="N1617">
            <v>0</v>
          </cell>
          <cell r="O1617">
            <v>15417759</v>
          </cell>
          <cell r="P1617">
            <v>2929374.21</v>
          </cell>
          <cell r="Q1617">
            <v>137680.58786999999</v>
          </cell>
          <cell r="R1617">
            <v>2791693.62213</v>
          </cell>
          <cell r="S1617">
            <v>4.7E-2</v>
          </cell>
          <cell r="T1617">
            <v>0.95299999999999996</v>
          </cell>
        </row>
        <row r="1618">
          <cell r="I1618">
            <v>9072</v>
          </cell>
        </row>
        <row r="1620">
          <cell r="H1620">
            <v>9072</v>
          </cell>
          <cell r="J1620">
            <v>45458</v>
          </cell>
          <cell r="K1620" t="str">
            <v>OK</v>
          </cell>
          <cell r="L1620" t="str">
            <v>VIGENTE</v>
          </cell>
          <cell r="M1620">
            <v>0</v>
          </cell>
          <cell r="N1620">
            <v>0</v>
          </cell>
          <cell r="O1620">
            <v>15417759</v>
          </cell>
          <cell r="P1620">
            <v>2929374.21</v>
          </cell>
          <cell r="Q1620">
            <v>137680.58786999999</v>
          </cell>
          <cell r="R1620">
            <v>2791693.62213</v>
          </cell>
          <cell r="S1620">
            <v>4.7E-2</v>
          </cell>
          <cell r="T1620">
            <v>0.95299999999999996</v>
          </cell>
        </row>
        <row r="1621">
          <cell r="I1621">
            <v>9072</v>
          </cell>
        </row>
        <row r="1622">
          <cell r="I1622">
            <v>9072</v>
          </cell>
        </row>
        <row r="1624">
          <cell r="H1624" t="str">
            <v>Q137</v>
          </cell>
          <cell r="J1624">
            <v>45567</v>
          </cell>
          <cell r="K1624" t="str">
            <v>OK</v>
          </cell>
          <cell r="L1624" t="str">
            <v>VIGENTE</v>
          </cell>
          <cell r="M1624">
            <v>0</v>
          </cell>
          <cell r="N1624">
            <v>0</v>
          </cell>
          <cell r="O1624" t="e">
            <v>#N/A</v>
          </cell>
          <cell r="P1624" t="e">
            <v>#N/A</v>
          </cell>
          <cell r="Q1624" t="e">
            <v>#N/A</v>
          </cell>
          <cell r="R1624" t="e">
            <v>#N/A</v>
          </cell>
          <cell r="S1624" t="e">
            <v>#N/A</v>
          </cell>
          <cell r="T1624" t="e">
            <v>#N/A</v>
          </cell>
        </row>
        <row r="1625">
          <cell r="I1625" t="str">
            <v>Q137</v>
          </cell>
        </row>
        <row r="1626">
          <cell r="I1626" t="str">
            <v>Q137</v>
          </cell>
        </row>
        <row r="1628">
          <cell r="H1628">
            <v>9575</v>
          </cell>
          <cell r="J1628">
            <v>45552</v>
          </cell>
          <cell r="K1628" t="str">
            <v>OK</v>
          </cell>
          <cell r="L1628" t="str">
            <v>VIGENTE</v>
          </cell>
          <cell r="M1628">
            <v>0</v>
          </cell>
          <cell r="N1628">
            <v>0</v>
          </cell>
          <cell r="O1628">
            <v>14238800</v>
          </cell>
          <cell r="P1628">
            <v>2705372</v>
          </cell>
          <cell r="Q1628">
            <v>254304.96799999999</v>
          </cell>
          <cell r="R1628">
            <v>2451067.0320000001</v>
          </cell>
          <cell r="S1628">
            <v>9.4E-2</v>
          </cell>
          <cell r="T1628">
            <v>0.90600000000000003</v>
          </cell>
        </row>
        <row r="1629">
          <cell r="I1629">
            <v>9575</v>
          </cell>
        </row>
        <row r="1630">
          <cell r="I1630">
            <v>9575</v>
          </cell>
        </row>
        <row r="1631">
          <cell r="I1631">
            <v>9575</v>
          </cell>
        </row>
        <row r="1632">
          <cell r="I1632" t="str">
            <v>A2</v>
          </cell>
          <cell r="J1632">
            <v>3.4999990821878213E-2</v>
          </cell>
        </row>
        <row r="1634">
          <cell r="H1634">
            <v>8751</v>
          </cell>
          <cell r="J1634">
            <v>45566</v>
          </cell>
          <cell r="K1634" t="str">
            <v>OK</v>
          </cell>
          <cell r="L1634" t="str">
            <v>VIGENTE</v>
          </cell>
          <cell r="M1634">
            <v>0</v>
          </cell>
          <cell r="N1634">
            <v>0</v>
          </cell>
          <cell r="O1634">
            <v>13000000</v>
          </cell>
          <cell r="P1634">
            <v>2470000</v>
          </cell>
          <cell r="Q1634">
            <v>135850</v>
          </cell>
          <cell r="R1634">
            <v>2334150</v>
          </cell>
          <cell r="S1634">
            <v>5.5E-2</v>
          </cell>
          <cell r="T1634">
            <v>0.94499999999999995</v>
          </cell>
        </row>
        <row r="1635">
          <cell r="I1635">
            <v>8751</v>
          </cell>
          <cell r="J1635" t="str">
            <v>PUBLICIDAD</v>
          </cell>
          <cell r="L1635">
            <v>467381</v>
          </cell>
        </row>
        <row r="1636">
          <cell r="I1636">
            <v>8751</v>
          </cell>
          <cell r="J1636" t="str">
            <v>ENERGIA</v>
          </cell>
          <cell r="L1636">
            <v>544126</v>
          </cell>
        </row>
        <row r="1637">
          <cell r="I1637">
            <v>8751</v>
          </cell>
          <cell r="J1637" t="str">
            <v>COPROPIEDAD</v>
          </cell>
          <cell r="L1637">
            <v>3771393</v>
          </cell>
        </row>
        <row r="1638">
          <cell r="I1638">
            <v>8751</v>
          </cell>
        </row>
        <row r="1639">
          <cell r="H1639" t="str">
            <v>P834</v>
          </cell>
          <cell r="I1639" t="str">
            <v>NO</v>
          </cell>
          <cell r="J1639">
            <v>45366</v>
          </cell>
          <cell r="K1639" t="str">
            <v>OK</v>
          </cell>
          <cell r="L1639" t="str">
            <v>VIGENTE</v>
          </cell>
          <cell r="M1639">
            <v>0</v>
          </cell>
          <cell r="N1639">
            <v>0</v>
          </cell>
          <cell r="O1639" t="e">
            <v>#N/A</v>
          </cell>
          <cell r="P1639" t="e">
            <v>#N/A</v>
          </cell>
          <cell r="Q1639" t="e">
            <v>#N/A</v>
          </cell>
          <cell r="R1639" t="e">
            <v>#N/A</v>
          </cell>
          <cell r="S1639" t="e">
            <v>#N/A</v>
          </cell>
          <cell r="T1639" t="e">
            <v>#N/A</v>
          </cell>
        </row>
        <row r="1640">
          <cell r="J1640" t="str">
            <v>P834</v>
          </cell>
        </row>
        <row r="1642">
          <cell r="H1642" t="str">
            <v>P834</v>
          </cell>
          <cell r="I1642" t="str">
            <v>NO</v>
          </cell>
          <cell r="J1642">
            <v>45366</v>
          </cell>
          <cell r="K1642" t="str">
            <v>OK</v>
          </cell>
          <cell r="L1642" t="str">
            <v>VIGENTE</v>
          </cell>
          <cell r="M1642">
            <v>0</v>
          </cell>
          <cell r="N1642">
            <v>0</v>
          </cell>
          <cell r="O1642" t="e">
            <v>#N/A</v>
          </cell>
          <cell r="P1642" t="e">
            <v>#N/A</v>
          </cell>
          <cell r="Q1642" t="e">
            <v>#N/A</v>
          </cell>
          <cell r="R1642" t="e">
            <v>#N/A</v>
          </cell>
          <cell r="S1642" t="e">
            <v>#N/A</v>
          </cell>
          <cell r="T1642" t="e">
            <v>#N/A</v>
          </cell>
        </row>
        <row r="1643">
          <cell r="J1643" t="str">
            <v>P834</v>
          </cell>
        </row>
        <row r="1645">
          <cell r="H1645" t="str">
            <v>P336</v>
          </cell>
          <cell r="J1645">
            <v>45292</v>
          </cell>
          <cell r="K1645" t="str">
            <v>OK</v>
          </cell>
          <cell r="L1645" t="str">
            <v>VIGENTE</v>
          </cell>
          <cell r="M1645">
            <v>0</v>
          </cell>
          <cell r="N1645">
            <v>0</v>
          </cell>
          <cell r="O1645">
            <v>22377460</v>
          </cell>
          <cell r="P1645">
            <v>4251717.4000000004</v>
          </cell>
          <cell r="Q1645">
            <v>4251717.4000000004</v>
          </cell>
          <cell r="R1645">
            <v>0</v>
          </cell>
          <cell r="S1645">
            <v>1</v>
          </cell>
          <cell r="T1645">
            <v>0</v>
          </cell>
        </row>
        <row r="1646">
          <cell r="I1646" t="str">
            <v>P336</v>
          </cell>
        </row>
        <row r="1649">
          <cell r="H1649" t="str">
            <v>P336</v>
          </cell>
          <cell r="J1649">
            <v>45292</v>
          </cell>
          <cell r="K1649" t="str">
            <v>OK</v>
          </cell>
          <cell r="L1649" t="str">
            <v>VIGENTE</v>
          </cell>
          <cell r="M1649">
            <v>0</v>
          </cell>
          <cell r="N1649">
            <v>0</v>
          </cell>
          <cell r="O1649">
            <v>22377460</v>
          </cell>
          <cell r="P1649">
            <v>4251717.4000000004</v>
          </cell>
          <cell r="Q1649">
            <v>4251717.4000000004</v>
          </cell>
          <cell r="R1649">
            <v>0</v>
          </cell>
          <cell r="S1649">
            <v>1</v>
          </cell>
          <cell r="T1649">
            <v>0</v>
          </cell>
        </row>
        <row r="1650">
          <cell r="I1650" t="str">
            <v>P336</v>
          </cell>
        </row>
        <row r="1652">
          <cell r="H1652" t="str">
            <v>P336</v>
          </cell>
          <cell r="J1652">
            <v>45292</v>
          </cell>
          <cell r="K1652" t="str">
            <v>OK</v>
          </cell>
          <cell r="L1652" t="str">
            <v>VIGENTE</v>
          </cell>
          <cell r="M1652">
            <v>0</v>
          </cell>
          <cell r="N1652">
            <v>0</v>
          </cell>
          <cell r="O1652">
            <v>22377460</v>
          </cell>
          <cell r="P1652">
            <v>4251717.4000000004</v>
          </cell>
          <cell r="Q1652">
            <v>4251717.4000000004</v>
          </cell>
          <cell r="R1652">
            <v>0</v>
          </cell>
          <cell r="S1652">
            <v>1</v>
          </cell>
          <cell r="T1652">
            <v>0</v>
          </cell>
        </row>
        <row r="1653">
          <cell r="I1653" t="str">
            <v>P336</v>
          </cell>
        </row>
        <row r="1655">
          <cell r="H1655" t="str">
            <v>P336</v>
          </cell>
          <cell r="J1655">
            <v>45292</v>
          </cell>
          <cell r="K1655" t="str">
            <v>OK</v>
          </cell>
          <cell r="L1655" t="str">
            <v>VIGENTE</v>
          </cell>
          <cell r="M1655">
            <v>0</v>
          </cell>
          <cell r="N1655">
            <v>0</v>
          </cell>
          <cell r="O1655">
            <v>22377460</v>
          </cell>
          <cell r="P1655">
            <v>4251717.4000000004</v>
          </cell>
          <cell r="Q1655">
            <v>4251717.4000000004</v>
          </cell>
          <cell r="R1655">
            <v>0</v>
          </cell>
          <cell r="S1655">
            <v>1</v>
          </cell>
          <cell r="T1655">
            <v>0</v>
          </cell>
        </row>
        <row r="1656">
          <cell r="I1656" t="str">
            <v>P336</v>
          </cell>
        </row>
        <row r="1658">
          <cell r="H1658" t="str">
            <v>A544</v>
          </cell>
          <cell r="J1658" t="e">
            <v>#N/A</v>
          </cell>
          <cell r="K1658" t="e">
            <v>#N/A</v>
          </cell>
          <cell r="L1658" t="e">
            <v>#N/A</v>
          </cell>
          <cell r="M1658" t="e">
            <v>#N/A</v>
          </cell>
          <cell r="N1658" t="e">
            <v>#N/A</v>
          </cell>
          <cell r="O1658">
            <v>35897389</v>
          </cell>
          <cell r="P1658">
            <v>6820503.9100000001</v>
          </cell>
          <cell r="Q1658">
            <v>6820503.9100000001</v>
          </cell>
          <cell r="R1658">
            <v>0</v>
          </cell>
          <cell r="S1658">
            <v>1</v>
          </cell>
          <cell r="T1658">
            <v>0</v>
          </cell>
        </row>
        <row r="1660">
          <cell r="I1660" t="str">
            <v>A544</v>
          </cell>
        </row>
        <row r="1662">
          <cell r="I1662" t="str">
            <v>A2</v>
          </cell>
          <cell r="J1662">
            <v>3.4999990821878213E-2</v>
          </cell>
        </row>
        <row r="1663">
          <cell r="H1663" t="str">
            <v>A997</v>
          </cell>
          <cell r="I1663" t="str">
            <v>NO</v>
          </cell>
          <cell r="J1663">
            <v>44505</v>
          </cell>
          <cell r="K1663" t="str">
            <v>OK</v>
          </cell>
          <cell r="L1663" t="str">
            <v>VIGENTE</v>
          </cell>
          <cell r="M1663">
            <v>0</v>
          </cell>
          <cell r="N1663">
            <v>0</v>
          </cell>
          <cell r="O1663">
            <v>22377460</v>
          </cell>
          <cell r="P1663">
            <v>4251717.4000000004</v>
          </cell>
          <cell r="Q1663">
            <v>4251717.4000000004</v>
          </cell>
          <cell r="R1663">
            <v>0</v>
          </cell>
          <cell r="S1663">
            <v>1</v>
          </cell>
          <cell r="T1663">
            <v>0</v>
          </cell>
        </row>
        <row r="1664">
          <cell r="I1664" t="str">
            <v>A997</v>
          </cell>
        </row>
        <row r="1665">
          <cell r="I1665" t="str">
            <v>A997</v>
          </cell>
        </row>
        <row r="1666">
          <cell r="H1666">
            <v>9304</v>
          </cell>
          <cell r="J1666">
            <v>43059</v>
          </cell>
          <cell r="K1666" t="str">
            <v>VENCIDO</v>
          </cell>
          <cell r="L1666" t="str">
            <v>CESADO</v>
          </cell>
          <cell r="M1666">
            <v>0</v>
          </cell>
          <cell r="N1666">
            <v>0</v>
          </cell>
          <cell r="O1666" t="e">
            <v>#N/A</v>
          </cell>
          <cell r="P1666" t="e">
            <v>#N/A</v>
          </cell>
          <cell r="Q1666" t="e">
            <v>#N/A</v>
          </cell>
          <cell r="R1666" t="e">
            <v>#N/A</v>
          </cell>
          <cell r="S1666" t="e">
            <v>#N/A</v>
          </cell>
          <cell r="T1666" t="e">
            <v>#N/A</v>
          </cell>
        </row>
        <row r="1667">
          <cell r="I1667">
            <v>9304</v>
          </cell>
        </row>
        <row r="1668">
          <cell r="I1668">
            <v>9304</v>
          </cell>
          <cell r="K1668">
            <v>8358356</v>
          </cell>
        </row>
        <row r="1669">
          <cell r="I1669">
            <v>9304</v>
          </cell>
        </row>
        <row r="1670">
          <cell r="I1670">
            <v>9304</v>
          </cell>
        </row>
        <row r="1671">
          <cell r="I1671">
            <v>9304</v>
          </cell>
          <cell r="J1671" t="str">
            <v>J7</v>
          </cell>
          <cell r="K1671">
            <v>4.0000065448479567E-2</v>
          </cell>
        </row>
        <row r="1672">
          <cell r="H1672" t="str">
            <v>P834</v>
          </cell>
          <cell r="I1672" t="str">
            <v>NO</v>
          </cell>
          <cell r="J1672">
            <v>45366</v>
          </cell>
          <cell r="K1672" t="str">
            <v>OK</v>
          </cell>
          <cell r="L1672" t="str">
            <v>VIGENTE</v>
          </cell>
          <cell r="M1672">
            <v>0</v>
          </cell>
          <cell r="N1672">
            <v>0</v>
          </cell>
          <cell r="O1672">
            <v>14162516</v>
          </cell>
          <cell r="P1672">
            <v>2690878.04</v>
          </cell>
          <cell r="Q1672">
            <v>2690878.04</v>
          </cell>
          <cell r="R1672">
            <v>0</v>
          </cell>
          <cell r="S1672">
            <v>1</v>
          </cell>
          <cell r="T1672">
            <v>0</v>
          </cell>
        </row>
        <row r="1673">
          <cell r="I1673" t="str">
            <v>P834</v>
          </cell>
        </row>
        <row r="1674">
          <cell r="I1674" t="str">
            <v>P834</v>
          </cell>
        </row>
        <row r="1675">
          <cell r="I1675" t="str">
            <v>P834</v>
          </cell>
        </row>
        <row r="1676">
          <cell r="I1676" t="str">
            <v>P834</v>
          </cell>
        </row>
        <row r="1678">
          <cell r="H1678">
            <v>8140074</v>
          </cell>
        </row>
        <row r="1679">
          <cell r="I1679">
            <v>8140074</v>
          </cell>
        </row>
        <row r="1680">
          <cell r="I1680">
            <v>8140074</v>
          </cell>
        </row>
        <row r="1681">
          <cell r="I1681">
            <v>8140074</v>
          </cell>
        </row>
        <row r="1682">
          <cell r="I1682">
            <v>8140074</v>
          </cell>
        </row>
        <row r="1685">
          <cell r="H1685" t="str">
            <v>P834</v>
          </cell>
          <cell r="I1685" t="str">
            <v>NO</v>
          </cell>
          <cell r="J1685">
            <v>45366</v>
          </cell>
          <cell r="K1685" t="str">
            <v>OK</v>
          </cell>
          <cell r="L1685" t="str">
            <v>VIGENTE</v>
          </cell>
          <cell r="M1685">
            <v>0</v>
          </cell>
          <cell r="N1685">
            <v>0</v>
          </cell>
          <cell r="O1685" t="e">
            <v>#N/A</v>
          </cell>
          <cell r="P1685" t="e">
            <v>#N/A</v>
          </cell>
          <cell r="Q1685" t="e">
            <v>#N/A</v>
          </cell>
          <cell r="R1685" t="e">
            <v>#N/A</v>
          </cell>
          <cell r="S1685" t="e">
            <v>#N/A</v>
          </cell>
          <cell r="T1685" t="e">
            <v>#N/A</v>
          </cell>
        </row>
        <row r="1686">
          <cell r="I1686" t="str">
            <v>P834</v>
          </cell>
        </row>
        <row r="1687">
          <cell r="I1687" t="str">
            <v>P834</v>
          </cell>
        </row>
        <row r="1689">
          <cell r="H1689" t="str">
            <v>P336</v>
          </cell>
          <cell r="J1689">
            <v>45292</v>
          </cell>
          <cell r="K1689" t="str">
            <v>OK</v>
          </cell>
          <cell r="L1689" t="str">
            <v>VIGENTE</v>
          </cell>
          <cell r="M1689">
            <v>0</v>
          </cell>
          <cell r="N1689">
            <v>0</v>
          </cell>
          <cell r="O1689" t="e">
            <v>#N/A</v>
          </cell>
          <cell r="P1689" t="e">
            <v>#N/A</v>
          </cell>
          <cell r="Q1689" t="e">
            <v>#N/A</v>
          </cell>
          <cell r="R1689" t="e">
            <v>#N/A</v>
          </cell>
          <cell r="S1689" t="e">
            <v>#N/A</v>
          </cell>
          <cell r="T1689" t="e">
            <v>#N/A</v>
          </cell>
        </row>
        <row r="1690">
          <cell r="I1690" t="str">
            <v>P336</v>
          </cell>
        </row>
        <row r="1691">
          <cell r="I1691" t="str">
            <v>P336</v>
          </cell>
        </row>
        <row r="1693">
          <cell r="H1693">
            <v>9304</v>
          </cell>
          <cell r="J1693">
            <v>43059</v>
          </cell>
          <cell r="K1693" t="str">
            <v>VENCIDO</v>
          </cell>
          <cell r="L1693" t="str">
            <v>CESADO</v>
          </cell>
          <cell r="M1693">
            <v>0</v>
          </cell>
          <cell r="N1693">
            <v>0</v>
          </cell>
          <cell r="O1693" t="e">
            <v>#N/A</v>
          </cell>
          <cell r="P1693" t="e">
            <v>#N/A</v>
          </cell>
          <cell r="Q1693" t="e">
            <v>#N/A</v>
          </cell>
          <cell r="R1693" t="e">
            <v>#N/A</v>
          </cell>
          <cell r="S1693" t="e">
            <v>#N/A</v>
          </cell>
          <cell r="T1693" t="e">
            <v>#N/A</v>
          </cell>
        </row>
        <row r="1694">
          <cell r="I1694">
            <v>9304</v>
          </cell>
          <cell r="J1694" t="str">
            <v>P336</v>
          </cell>
        </row>
        <row r="1695">
          <cell r="I1695">
            <v>9304</v>
          </cell>
          <cell r="J1695" t="str">
            <v>P336</v>
          </cell>
        </row>
        <row r="1697">
          <cell r="I1697">
            <v>3.9999639254700209E-2</v>
          </cell>
          <cell r="J1697" t="str">
            <v>J7</v>
          </cell>
        </row>
        <row r="1698">
          <cell r="H1698">
            <v>9302</v>
          </cell>
          <cell r="J1698">
            <v>43081</v>
          </cell>
          <cell r="K1698" t="str">
            <v>VENCIDO</v>
          </cell>
          <cell r="L1698" t="str">
            <v>CESADO</v>
          </cell>
          <cell r="M1698">
            <v>0</v>
          </cell>
          <cell r="N1698">
            <v>0</v>
          </cell>
          <cell r="O1698" t="e">
            <v>#N/A</v>
          </cell>
          <cell r="P1698" t="e">
            <v>#N/A</v>
          </cell>
          <cell r="Q1698" t="e">
            <v>#N/A</v>
          </cell>
          <cell r="R1698" t="e">
            <v>#N/A</v>
          </cell>
          <cell r="S1698" t="e">
            <v>#N/A</v>
          </cell>
          <cell r="T1698" t="e">
            <v>#N/A</v>
          </cell>
        </row>
        <row r="1699">
          <cell r="I1699">
            <v>9302</v>
          </cell>
        </row>
        <row r="1700">
          <cell r="H1700">
            <v>6764</v>
          </cell>
          <cell r="J1700">
            <v>42736</v>
          </cell>
          <cell r="K1700" t="str">
            <v>OK</v>
          </cell>
          <cell r="L1700" t="str">
            <v>VIGENTE</v>
          </cell>
          <cell r="M1700">
            <v>0</v>
          </cell>
          <cell r="N1700">
            <v>0</v>
          </cell>
          <cell r="O1700">
            <v>14395286</v>
          </cell>
          <cell r="P1700">
            <v>2735104.34</v>
          </cell>
          <cell r="Q1700">
            <v>235218.97323999996</v>
          </cell>
          <cell r="R1700">
            <v>2499885.3667600001</v>
          </cell>
          <cell r="S1700">
            <v>8.5999999999999993E-2</v>
          </cell>
          <cell r="T1700">
            <v>0.91400000000000003</v>
          </cell>
        </row>
        <row r="1701">
          <cell r="I1701">
            <v>6764</v>
          </cell>
        </row>
        <row r="1702">
          <cell r="I1702">
            <v>6764</v>
          </cell>
        </row>
        <row r="1703">
          <cell r="I1703">
            <v>6764</v>
          </cell>
        </row>
        <row r="1704">
          <cell r="I1704">
            <v>6764</v>
          </cell>
        </row>
        <row r="1705">
          <cell r="I1705" t="str">
            <v>A2</v>
          </cell>
          <cell r="J1705">
            <v>3.5000000000000003E-2</v>
          </cell>
        </row>
        <row r="1706">
          <cell r="I1706">
            <v>1</v>
          </cell>
          <cell r="J1706">
            <v>9.6600123887825209E-3</v>
          </cell>
        </row>
        <row r="1708">
          <cell r="H1708">
            <v>6766</v>
          </cell>
          <cell r="J1708">
            <v>41913</v>
          </cell>
          <cell r="K1708" t="str">
            <v>VENCIDO</v>
          </cell>
          <cell r="L1708" t="str">
            <v>CERRADA</v>
          </cell>
          <cell r="M1708">
            <v>0</v>
          </cell>
          <cell r="N1708">
            <v>0</v>
          </cell>
          <cell r="O1708">
            <v>28412800</v>
          </cell>
          <cell r="P1708">
            <v>5398432</v>
          </cell>
          <cell r="Q1708">
            <v>685600.86400000006</v>
          </cell>
          <cell r="R1708">
            <v>4712831.1359999999</v>
          </cell>
          <cell r="S1708">
            <v>0.127</v>
          </cell>
          <cell r="T1708">
            <v>0.873</v>
          </cell>
        </row>
        <row r="1709">
          <cell r="I1709">
            <v>6766</v>
          </cell>
        </row>
        <row r="1710">
          <cell r="I1710">
            <v>6766</v>
          </cell>
        </row>
        <row r="1711">
          <cell r="I1711">
            <v>6766</v>
          </cell>
        </row>
        <row r="1713">
          <cell r="I1713" t="str">
            <v>A2</v>
          </cell>
          <cell r="J1713">
            <v>3.5000000000000003E-2</v>
          </cell>
        </row>
        <row r="1714">
          <cell r="I1714">
            <v>1</v>
          </cell>
          <cell r="J1714">
            <v>9.6600123887825209E-3</v>
          </cell>
        </row>
        <row r="1716">
          <cell r="H1716">
            <v>8712</v>
          </cell>
          <cell r="J1716">
            <v>42621</v>
          </cell>
          <cell r="K1716" t="str">
            <v>OK</v>
          </cell>
          <cell r="L1716" t="str">
            <v>VIGENTE</v>
          </cell>
          <cell r="M1716">
            <v>0</v>
          </cell>
          <cell r="N1716">
            <v>0</v>
          </cell>
          <cell r="O1716">
            <v>1815944</v>
          </cell>
          <cell r="P1716">
            <v>345029.36</v>
          </cell>
          <cell r="Q1716">
            <v>34847.965360000002</v>
          </cell>
          <cell r="R1716">
            <v>310181.39464000001</v>
          </cell>
          <cell r="S1716">
            <v>0.10100000000000001</v>
          </cell>
          <cell r="T1716">
            <v>0.89900000000000002</v>
          </cell>
        </row>
        <row r="1717">
          <cell r="I1717">
            <v>8712</v>
          </cell>
        </row>
        <row r="1718">
          <cell r="I1718">
            <v>8712</v>
          </cell>
          <cell r="J1718" t="str">
            <v>A2</v>
          </cell>
          <cell r="K1718">
            <v>3.4999879060542291E-2</v>
          </cell>
        </row>
        <row r="1719">
          <cell r="I1719">
            <v>8712</v>
          </cell>
          <cell r="J1719">
            <v>1</v>
          </cell>
          <cell r="K1719">
            <v>9.6600391843842965E-3</v>
          </cell>
        </row>
        <row r="1720">
          <cell r="H1720" t="str">
            <v>Q137</v>
          </cell>
          <cell r="J1720">
            <v>45567</v>
          </cell>
          <cell r="K1720" t="str">
            <v>OK</v>
          </cell>
          <cell r="L1720" t="str">
            <v>VIGENTE</v>
          </cell>
          <cell r="M1720">
            <v>0</v>
          </cell>
          <cell r="N1720">
            <v>0</v>
          </cell>
          <cell r="O1720" t="e">
            <v>#N/A</v>
          </cell>
          <cell r="P1720" t="e">
            <v>#N/A</v>
          </cell>
          <cell r="Q1720" t="e">
            <v>#N/A</v>
          </cell>
          <cell r="R1720" t="e">
            <v>#N/A</v>
          </cell>
          <cell r="S1720" t="e">
            <v>#N/A</v>
          </cell>
          <cell r="T1720" t="e">
            <v>#N/A</v>
          </cell>
        </row>
        <row r="1721">
          <cell r="I1721" t="str">
            <v>Q137</v>
          </cell>
        </row>
        <row r="1722">
          <cell r="I1722" t="str">
            <v>Q137</v>
          </cell>
        </row>
        <row r="1724">
          <cell r="H1724">
            <v>9058</v>
          </cell>
          <cell r="J1724">
            <v>42887</v>
          </cell>
          <cell r="K1724" t="str">
            <v>OK</v>
          </cell>
          <cell r="L1724" t="str">
            <v>VIGENTE</v>
          </cell>
          <cell r="M1724">
            <v>0</v>
          </cell>
          <cell r="N1724">
            <v>0</v>
          </cell>
          <cell r="O1724">
            <v>33947300</v>
          </cell>
          <cell r="P1724">
            <v>6449987</v>
          </cell>
          <cell r="Q1724">
            <v>6449987</v>
          </cell>
          <cell r="R1724">
            <v>0</v>
          </cell>
          <cell r="S1724">
            <v>1</v>
          </cell>
          <cell r="T1724">
            <v>0</v>
          </cell>
        </row>
        <row r="1725">
          <cell r="I1725">
            <v>9058</v>
          </cell>
        </row>
        <row r="1726">
          <cell r="I1726">
            <v>9058</v>
          </cell>
        </row>
        <row r="1728">
          <cell r="H1728" t="str">
            <v>8140074</v>
          </cell>
          <cell r="J1728" t="e">
            <v>#N/A</v>
          </cell>
          <cell r="K1728" t="e">
            <v>#N/A</v>
          </cell>
          <cell r="L1728" t="e">
            <v>#N/A</v>
          </cell>
          <cell r="M1728" t="e">
            <v>#N/A</v>
          </cell>
          <cell r="N1728" t="e">
            <v>#N/A</v>
          </cell>
          <cell r="O1728" t="e">
            <v>#N/A</v>
          </cell>
          <cell r="P1728" t="e">
            <v>#N/A</v>
          </cell>
          <cell r="Q1728" t="e">
            <v>#N/A</v>
          </cell>
          <cell r="R1728" t="e">
            <v>#N/A</v>
          </cell>
          <cell r="S1728" t="e">
            <v>#N/A</v>
          </cell>
          <cell r="T1728" t="e">
            <v>#N/A</v>
          </cell>
        </row>
        <row r="1729">
          <cell r="I1729" t="str">
            <v>8140074</v>
          </cell>
        </row>
        <row r="1730">
          <cell r="I1730" t="str">
            <v>8140074</v>
          </cell>
        </row>
        <row r="1731">
          <cell r="H1731">
            <v>6652</v>
          </cell>
          <cell r="J1731">
            <v>43480</v>
          </cell>
          <cell r="K1731" t="str">
            <v>VENCIDO</v>
          </cell>
          <cell r="L1731" t="str">
            <v>CESADO</v>
          </cell>
          <cell r="M1731">
            <v>0</v>
          </cell>
          <cell r="N1731">
            <v>0</v>
          </cell>
          <cell r="O1731">
            <v>15871587</v>
          </cell>
          <cell r="P1731">
            <v>3015601.5300000003</v>
          </cell>
          <cell r="Q1731">
            <v>160005.1278447978</v>
          </cell>
          <cell r="R1731">
            <v>2855596.4021552023</v>
          </cell>
          <cell r="S1731">
            <v>5.3059108192188037E-2</v>
          </cell>
          <cell r="T1731">
            <v>0.94694089180781194</v>
          </cell>
        </row>
        <row r="1733">
          <cell r="I1733">
            <v>6652</v>
          </cell>
        </row>
        <row r="1734">
          <cell r="I1734">
            <v>6652</v>
          </cell>
          <cell r="K1734">
            <v>18887188.530000001</v>
          </cell>
        </row>
        <row r="1735">
          <cell r="I1735">
            <v>6652</v>
          </cell>
          <cell r="K1735">
            <v>18178362.854807626</v>
          </cell>
        </row>
        <row r="1737">
          <cell r="I1737">
            <v>1</v>
          </cell>
          <cell r="J1737">
            <v>9.6600099210219764E-3</v>
          </cell>
        </row>
        <row r="1738">
          <cell r="I1738" t="str">
            <v>K6</v>
          </cell>
          <cell r="J1738">
            <v>3.5000027868039262E-2</v>
          </cell>
        </row>
        <row r="1740">
          <cell r="H1740">
            <v>8140015</v>
          </cell>
          <cell r="J1740">
            <v>44652</v>
          </cell>
          <cell r="K1740" t="str">
            <v>CESADO</v>
          </cell>
          <cell r="L1740" t="str">
            <v>CERRADA</v>
          </cell>
          <cell r="M1740">
            <v>0</v>
          </cell>
          <cell r="N1740">
            <v>0</v>
          </cell>
          <cell r="O1740" t="e">
            <v>#N/A</v>
          </cell>
          <cell r="P1740" t="e">
            <v>#N/A</v>
          </cell>
          <cell r="Q1740" t="e">
            <v>#N/A</v>
          </cell>
          <cell r="R1740" t="e">
            <v>#N/A</v>
          </cell>
          <cell r="S1740" t="e">
            <v>#N/A</v>
          </cell>
          <cell r="T1740" t="e">
            <v>#N/A</v>
          </cell>
        </row>
        <row r="1741">
          <cell r="I1741">
            <v>8140015</v>
          </cell>
        </row>
        <row r="1742">
          <cell r="I1742">
            <v>8140015</v>
          </cell>
        </row>
        <row r="1743">
          <cell r="H1743" t="str">
            <v>P362</v>
          </cell>
          <cell r="J1743">
            <v>45332</v>
          </cell>
          <cell r="K1743" t="str">
            <v>OK</v>
          </cell>
          <cell r="L1743" t="str">
            <v>VIGENTE</v>
          </cell>
          <cell r="M1743">
            <v>0</v>
          </cell>
          <cell r="N1743">
            <v>1632233</v>
          </cell>
          <cell r="O1743">
            <v>23498968</v>
          </cell>
          <cell r="P1743">
            <v>4464803.92</v>
          </cell>
          <cell r="Q1743">
            <v>4464803.92</v>
          </cell>
          <cell r="R1743">
            <v>0</v>
          </cell>
          <cell r="S1743">
            <v>1</v>
          </cell>
          <cell r="T1743">
            <v>0</v>
          </cell>
        </row>
        <row r="1744">
          <cell r="I1744" t="str">
            <v>P362</v>
          </cell>
        </row>
        <row r="1745">
          <cell r="I1745" t="str">
            <v>P362</v>
          </cell>
        </row>
        <row r="1747">
          <cell r="H1747">
            <v>9101</v>
          </cell>
          <cell r="J1747">
            <v>45474</v>
          </cell>
          <cell r="K1747" t="str">
            <v>OK</v>
          </cell>
          <cell r="L1747" t="str">
            <v>VIGENTE</v>
          </cell>
          <cell r="M1747">
            <v>0</v>
          </cell>
          <cell r="N1747">
            <v>0</v>
          </cell>
          <cell r="O1747">
            <v>15609400</v>
          </cell>
          <cell r="P1747">
            <v>2965786</v>
          </cell>
          <cell r="Q1747">
            <v>172015.58800000002</v>
          </cell>
          <cell r="R1747">
            <v>2793770.412</v>
          </cell>
          <cell r="S1747">
            <v>5.8000000000000003E-2</v>
          </cell>
          <cell r="T1747">
            <v>0.94199999999999995</v>
          </cell>
        </row>
        <row r="1748">
          <cell r="I1748">
            <v>9101</v>
          </cell>
        </row>
        <row r="1749">
          <cell r="I1749">
            <v>9101</v>
          </cell>
        </row>
        <row r="1750">
          <cell r="I1750">
            <v>9101</v>
          </cell>
        </row>
        <row r="1751">
          <cell r="I1751">
            <v>9101</v>
          </cell>
        </row>
        <row r="1753">
          <cell r="K1753">
            <v>0.12846948566906477</v>
          </cell>
          <cell r="L1753" t="str">
            <v>porcentaje del total incentivo</v>
          </cell>
        </row>
        <row r="1754">
          <cell r="K1754">
            <v>1.2850985134219601E-2</v>
          </cell>
          <cell r="L1754">
            <v>545925.5</v>
          </cell>
        </row>
        <row r="1755">
          <cell r="K1755">
            <v>8.5017084397396563E-3</v>
          </cell>
          <cell r="L1755">
            <v>102360.84</v>
          </cell>
        </row>
        <row r="1756">
          <cell r="K1756" t="str">
            <v>lo cambie de ibr a cg solo si es descuento</v>
          </cell>
        </row>
        <row r="1757">
          <cell r="K1757" t="str">
            <v>subtotal</v>
          </cell>
          <cell r="L1757">
            <v>4013311</v>
          </cell>
        </row>
        <row r="1758">
          <cell r="H1758" t="str">
            <v>P757</v>
          </cell>
          <cell r="J1758">
            <v>45372</v>
          </cell>
          <cell r="K1758" t="str">
            <v>OK</v>
          </cell>
          <cell r="L1758" t="str">
            <v>VIGENTE</v>
          </cell>
          <cell r="M1758">
            <v>0</v>
          </cell>
          <cell r="N1758">
            <v>941951</v>
          </cell>
          <cell r="O1758">
            <v>23498968</v>
          </cell>
          <cell r="P1758">
            <v>4464803.92</v>
          </cell>
          <cell r="Q1758">
            <v>4464803.92</v>
          </cell>
          <cell r="R1758">
            <v>0</v>
          </cell>
          <cell r="S1758">
            <v>1</v>
          </cell>
          <cell r="T1758">
            <v>0</v>
          </cell>
        </row>
        <row r="1759">
          <cell r="I1759" t="str">
            <v>P757</v>
          </cell>
        </row>
        <row r="1760">
          <cell r="I1760" t="str">
            <v>P757</v>
          </cell>
        </row>
      </sheetData>
      <sheetData sheetId="4"/>
      <sheetData sheetId="5"/>
      <sheetData sheetId="6"/>
      <sheetData sheetId="7"/>
      <sheetData sheetId="8">
        <row r="2">
          <cell r="F2">
            <v>8140074</v>
          </cell>
        </row>
        <row r="3">
          <cell r="F3">
            <v>9205</v>
          </cell>
        </row>
        <row r="4">
          <cell r="F4">
            <v>9264</v>
          </cell>
        </row>
        <row r="5">
          <cell r="F5">
            <v>9355</v>
          </cell>
        </row>
        <row r="6">
          <cell r="F6">
            <v>9596</v>
          </cell>
        </row>
        <row r="7">
          <cell r="F7" t="str">
            <v>C965</v>
          </cell>
        </row>
        <row r="8">
          <cell r="F8" t="str">
            <v>E924</v>
          </cell>
        </row>
        <row r="9">
          <cell r="F9">
            <v>9058</v>
          </cell>
        </row>
        <row r="10">
          <cell r="F10">
            <v>9104</v>
          </cell>
        </row>
        <row r="11">
          <cell r="F11">
            <v>9302</v>
          </cell>
        </row>
        <row r="12">
          <cell r="F12">
            <v>9304</v>
          </cell>
        </row>
        <row r="13">
          <cell r="F13">
            <v>9303</v>
          </cell>
        </row>
        <row r="14">
          <cell r="F14">
            <v>9301</v>
          </cell>
        </row>
        <row r="15">
          <cell r="F15">
            <v>9305</v>
          </cell>
        </row>
        <row r="16">
          <cell r="F16" t="str">
            <v>A544</v>
          </cell>
        </row>
        <row r="17">
          <cell r="F17" t="str">
            <v>A997</v>
          </cell>
        </row>
        <row r="18">
          <cell r="F18">
            <v>6553</v>
          </cell>
        </row>
        <row r="19">
          <cell r="F19">
            <v>6554</v>
          </cell>
        </row>
        <row r="20">
          <cell r="F20">
            <v>6556</v>
          </cell>
        </row>
        <row r="21">
          <cell r="F21">
            <v>6561</v>
          </cell>
        </row>
        <row r="22">
          <cell r="F22">
            <v>6563</v>
          </cell>
        </row>
        <row r="23">
          <cell r="F23">
            <v>6564</v>
          </cell>
        </row>
        <row r="24">
          <cell r="F24">
            <v>6568</v>
          </cell>
        </row>
        <row r="25">
          <cell r="F25">
            <v>6572</v>
          </cell>
        </row>
        <row r="26">
          <cell r="F26">
            <v>6573</v>
          </cell>
        </row>
        <row r="27">
          <cell r="F27">
            <v>6574</v>
          </cell>
        </row>
        <row r="28">
          <cell r="F28">
            <v>6598</v>
          </cell>
        </row>
        <row r="29">
          <cell r="F29">
            <v>6600</v>
          </cell>
        </row>
        <row r="30">
          <cell r="F30">
            <v>6601</v>
          </cell>
        </row>
        <row r="31">
          <cell r="F31">
            <v>6602</v>
          </cell>
        </row>
        <row r="32">
          <cell r="F32">
            <v>6603</v>
          </cell>
        </row>
        <row r="33">
          <cell r="F33">
            <v>6603</v>
          </cell>
        </row>
        <row r="34">
          <cell r="F34">
            <v>6603</v>
          </cell>
        </row>
        <row r="35">
          <cell r="F35">
            <v>6603</v>
          </cell>
        </row>
        <row r="36">
          <cell r="F36">
            <v>6603</v>
          </cell>
        </row>
        <row r="37">
          <cell r="F37">
            <v>6606</v>
          </cell>
        </row>
        <row r="38">
          <cell r="F38">
            <v>6617</v>
          </cell>
        </row>
        <row r="39">
          <cell r="F39">
            <v>6619</v>
          </cell>
        </row>
        <row r="40">
          <cell r="F40">
            <v>6620</v>
          </cell>
        </row>
        <row r="41">
          <cell r="F41">
            <v>6621</v>
          </cell>
        </row>
        <row r="42">
          <cell r="F42">
            <v>6623</v>
          </cell>
        </row>
        <row r="43">
          <cell r="F43">
            <v>6623</v>
          </cell>
        </row>
        <row r="44">
          <cell r="F44">
            <v>6626</v>
          </cell>
        </row>
        <row r="45">
          <cell r="F45">
            <v>6627</v>
          </cell>
        </row>
        <row r="46">
          <cell r="F46">
            <v>6629</v>
          </cell>
        </row>
        <row r="47">
          <cell r="F47">
            <v>6632</v>
          </cell>
        </row>
        <row r="48">
          <cell r="F48">
            <v>6636</v>
          </cell>
        </row>
        <row r="49">
          <cell r="F49">
            <v>6638</v>
          </cell>
        </row>
        <row r="50">
          <cell r="F50">
            <v>6640</v>
          </cell>
        </row>
        <row r="51">
          <cell r="F51">
            <v>6652</v>
          </cell>
        </row>
        <row r="52">
          <cell r="F52">
            <v>6660</v>
          </cell>
        </row>
        <row r="53">
          <cell r="F53">
            <v>6686</v>
          </cell>
        </row>
        <row r="54">
          <cell r="F54">
            <v>6687</v>
          </cell>
        </row>
        <row r="55">
          <cell r="F55">
            <v>6688</v>
          </cell>
        </row>
        <row r="56">
          <cell r="F56">
            <v>6692</v>
          </cell>
        </row>
        <row r="57">
          <cell r="F57">
            <v>6693</v>
          </cell>
        </row>
        <row r="58">
          <cell r="F58">
            <v>6699</v>
          </cell>
        </row>
        <row r="59">
          <cell r="F59">
            <v>6700</v>
          </cell>
        </row>
        <row r="60">
          <cell r="F60">
            <v>6701</v>
          </cell>
        </row>
        <row r="61">
          <cell r="F61">
            <v>6711</v>
          </cell>
        </row>
        <row r="62">
          <cell r="F62">
            <v>6714</v>
          </cell>
        </row>
        <row r="63">
          <cell r="F63">
            <v>6715</v>
          </cell>
        </row>
        <row r="64">
          <cell r="F64">
            <v>6716</v>
          </cell>
        </row>
        <row r="65">
          <cell r="F65">
            <v>6717</v>
          </cell>
        </row>
        <row r="66">
          <cell r="F66">
            <v>6759</v>
          </cell>
        </row>
        <row r="67">
          <cell r="F67">
            <v>6760</v>
          </cell>
        </row>
        <row r="68">
          <cell r="F68">
            <v>6762</v>
          </cell>
        </row>
        <row r="69">
          <cell r="F69">
            <v>6763</v>
          </cell>
        </row>
        <row r="70">
          <cell r="F70">
            <v>6763</v>
          </cell>
        </row>
        <row r="71">
          <cell r="F71">
            <v>6763</v>
          </cell>
        </row>
        <row r="72">
          <cell r="F72">
            <v>6764</v>
          </cell>
        </row>
        <row r="73">
          <cell r="F73">
            <v>6766</v>
          </cell>
        </row>
        <row r="74">
          <cell r="F74">
            <v>6767</v>
          </cell>
        </row>
        <row r="75">
          <cell r="F75">
            <v>6767</v>
          </cell>
        </row>
        <row r="76">
          <cell r="F76">
            <v>6776</v>
          </cell>
        </row>
        <row r="77">
          <cell r="F77">
            <v>8580</v>
          </cell>
        </row>
        <row r="78">
          <cell r="F78">
            <v>8582</v>
          </cell>
        </row>
        <row r="79">
          <cell r="F79">
            <v>8583</v>
          </cell>
        </row>
        <row r="80">
          <cell r="F80">
            <v>8584</v>
          </cell>
        </row>
        <row r="81">
          <cell r="F81">
            <v>8585</v>
          </cell>
        </row>
        <row r="82">
          <cell r="F82">
            <v>8714</v>
          </cell>
        </row>
        <row r="83">
          <cell r="F83">
            <v>8712</v>
          </cell>
        </row>
        <row r="84">
          <cell r="F84">
            <v>8712</v>
          </cell>
        </row>
        <row r="85">
          <cell r="F85">
            <v>8751</v>
          </cell>
        </row>
        <row r="86">
          <cell r="F86">
            <v>8859</v>
          </cell>
        </row>
        <row r="87">
          <cell r="F87">
            <v>8976</v>
          </cell>
        </row>
        <row r="88">
          <cell r="F88">
            <v>9053</v>
          </cell>
        </row>
        <row r="89">
          <cell r="F89">
            <v>8968</v>
          </cell>
        </row>
        <row r="90">
          <cell r="F90">
            <v>8969</v>
          </cell>
        </row>
        <row r="91">
          <cell r="F91">
            <v>9072</v>
          </cell>
        </row>
        <row r="92">
          <cell r="F92">
            <v>9101</v>
          </cell>
        </row>
        <row r="93">
          <cell r="F93">
            <v>9102</v>
          </cell>
        </row>
        <row r="94">
          <cell r="F94">
            <v>9120</v>
          </cell>
        </row>
        <row r="95">
          <cell r="F95">
            <v>9103</v>
          </cell>
        </row>
        <row r="96">
          <cell r="F96">
            <v>8974</v>
          </cell>
        </row>
        <row r="97">
          <cell r="F97">
            <v>9209</v>
          </cell>
        </row>
        <row r="98">
          <cell r="F98">
            <v>9458</v>
          </cell>
        </row>
        <row r="99">
          <cell r="F99">
            <v>9216</v>
          </cell>
        </row>
        <row r="100">
          <cell r="F100">
            <v>9575</v>
          </cell>
        </row>
        <row r="101">
          <cell r="F101">
            <v>9636</v>
          </cell>
        </row>
        <row r="102">
          <cell r="F102" t="str">
            <v>C940</v>
          </cell>
        </row>
        <row r="103">
          <cell r="F103" t="str">
            <v>A854</v>
          </cell>
        </row>
        <row r="106">
          <cell r="F106">
            <v>8976</v>
          </cell>
        </row>
      </sheetData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lance Marzo"/>
      <sheetName val="VENTAS GMO MARZO"/>
      <sheetName val="Wholesale Mar"/>
      <sheetName val="Ingresos "/>
      <sheetName val="Prorrateo MARZO"/>
      <sheetName val="ANALISIS IVA MARZO"/>
      <sheetName val="IVA Import"/>
      <sheetName val="IVA Compras Prorrateadas"/>
      <sheetName val="IVA Compras deducibles"/>
      <sheetName val="Rete IVA "/>
      <sheetName val="Antc IVA"/>
      <sheetName val="IVA"/>
      <sheetName val="Formulario"/>
      <sheetName val="Anexo"/>
      <sheetName val="Base Tiendas "/>
    </sheetNames>
    <sheetDataSet>
      <sheetData sheetId="0"/>
      <sheetData sheetId="1"/>
      <sheetData sheetId="2"/>
      <sheetData sheetId="3">
        <row r="14">
          <cell r="E14">
            <v>4135640300</v>
          </cell>
        </row>
      </sheetData>
      <sheetData sheetId="4"/>
      <sheetData sheetId="5"/>
      <sheetData sheetId="6"/>
      <sheetData sheetId="7"/>
      <sheetData sheetId="8"/>
      <sheetData sheetId="9"/>
      <sheetData sheetId="10">
        <row r="38">
          <cell r="I38"/>
        </row>
      </sheetData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E8DB7-2A56-4FF0-A3BC-F776526FAB49}">
  <dimension ref="A1:O106"/>
  <sheetViews>
    <sheetView tabSelected="1" zoomScaleNormal="100" workbookViewId="0">
      <pane ySplit="1" topLeftCell="A30" activePane="bottomLeft" state="frozen"/>
      <selection pane="bottomLeft" activeCell="L30" sqref="L30"/>
    </sheetView>
  </sheetViews>
  <sheetFormatPr baseColWidth="10" defaultColWidth="12" defaultRowHeight="13" x14ac:dyDescent="0.35"/>
  <cols>
    <col min="1" max="1" width="10.54296875" style="3" customWidth="1"/>
    <col min="2" max="2" width="25.453125" style="4" customWidth="1"/>
    <col min="3" max="3" width="14.81640625" style="3" customWidth="1"/>
    <col min="4" max="4" width="24.08984375" style="3" bestFit="1" customWidth="1"/>
    <col min="5" max="5" width="12" style="3" customWidth="1"/>
    <col min="6" max="6" width="9.81640625" style="4" customWidth="1"/>
    <col min="7" max="7" width="21.08984375" style="4" customWidth="1"/>
    <col min="8" max="8" width="14.453125" style="2" bestFit="1" customWidth="1"/>
    <col min="9" max="9" width="14.453125" style="2" customWidth="1"/>
    <col min="10" max="10" width="14.1796875" style="1" customWidth="1"/>
    <col min="11" max="11" width="17" style="1" customWidth="1"/>
    <col min="12" max="12" width="13.7265625" style="66" customWidth="1"/>
    <col min="13" max="13" width="14.54296875" style="66" customWidth="1"/>
    <col min="14" max="16384" width="12" style="1"/>
  </cols>
  <sheetData>
    <row r="1" spans="1:15" s="5" customFormat="1" ht="25.5" customHeight="1" thickBot="1" x14ac:dyDescent="0.4">
      <c r="A1" s="76" t="s">
        <v>4</v>
      </c>
      <c r="B1" s="76" t="s">
        <v>5</v>
      </c>
      <c r="C1" s="75" t="s">
        <v>0</v>
      </c>
      <c r="D1" s="76" t="s">
        <v>1</v>
      </c>
      <c r="E1" s="76" t="s">
        <v>2</v>
      </c>
      <c r="F1" s="76" t="s">
        <v>3</v>
      </c>
      <c r="G1" s="76" t="s">
        <v>6</v>
      </c>
      <c r="H1" s="77" t="s">
        <v>7</v>
      </c>
      <c r="I1" s="78" t="s">
        <v>8</v>
      </c>
      <c r="J1" s="79" t="s">
        <v>9</v>
      </c>
      <c r="K1" s="79" t="s">
        <v>10</v>
      </c>
      <c r="L1" s="80" t="s">
        <v>11</v>
      </c>
      <c r="M1" s="80" t="s">
        <v>12</v>
      </c>
    </row>
    <row r="2" spans="1:15" x14ac:dyDescent="0.35">
      <c r="A2" s="109">
        <v>246135</v>
      </c>
      <c r="B2" s="108" t="s">
        <v>16</v>
      </c>
      <c r="C2" s="107" t="s">
        <v>13</v>
      </c>
      <c r="D2" s="108" t="s">
        <v>14</v>
      </c>
      <c r="E2" s="109" t="s">
        <v>15</v>
      </c>
      <c r="F2" s="109">
        <v>8140074</v>
      </c>
      <c r="G2" s="108" t="s">
        <v>17</v>
      </c>
      <c r="H2" s="110">
        <v>70594906</v>
      </c>
      <c r="I2" s="111">
        <f t="shared" ref="I2:I65" si="0">+H2*19%</f>
        <v>13413032.140000001</v>
      </c>
      <c r="J2" s="112">
        <f t="shared" ref="J2:J65" si="1">+I2*L2</f>
        <v>0</v>
      </c>
      <c r="K2" s="112">
        <f t="shared" ref="K2:K65" si="2">+I2*M2</f>
        <v>13413032.140000001</v>
      </c>
      <c r="L2" s="113">
        <v>0</v>
      </c>
      <c r="M2" s="113">
        <v>1</v>
      </c>
      <c r="N2" s="1">
        <f>+VLOOKUP([1]PRORRATEO!F2,[1]TODOS!H:T,8,0)</f>
        <v>70594906</v>
      </c>
      <c r="O2" s="2">
        <f>+N2-H2</f>
        <v>0</v>
      </c>
    </row>
    <row r="3" spans="1:15" x14ac:dyDescent="0.35">
      <c r="A3" s="52">
        <v>366495</v>
      </c>
      <c r="B3" s="51" t="s">
        <v>20</v>
      </c>
      <c r="C3" s="50" t="s">
        <v>18</v>
      </c>
      <c r="D3" s="51" t="s">
        <v>19</v>
      </c>
      <c r="E3" s="52" t="s">
        <v>15</v>
      </c>
      <c r="F3" s="52">
        <v>9205</v>
      </c>
      <c r="G3" s="51">
        <v>800200760</v>
      </c>
      <c r="H3" s="53">
        <v>42915064</v>
      </c>
      <c r="I3" s="105">
        <f t="shared" si="0"/>
        <v>8153862.1600000001</v>
      </c>
      <c r="J3" s="106">
        <f t="shared" si="1"/>
        <v>8153862.1600000001</v>
      </c>
      <c r="K3" s="106">
        <f t="shared" si="2"/>
        <v>0</v>
      </c>
      <c r="L3" s="67">
        <v>1</v>
      </c>
      <c r="M3" s="67">
        <v>0</v>
      </c>
      <c r="N3" s="1">
        <f>+VLOOKUP([1]PRORRATEO!F3,[1]TODOS!H:T,8,0)</f>
        <v>42915064</v>
      </c>
      <c r="O3" s="2">
        <f t="shared" ref="O3:O66" si="3">+N3-H3</f>
        <v>0</v>
      </c>
    </row>
    <row r="4" spans="1:15" x14ac:dyDescent="0.35">
      <c r="A4" s="52">
        <v>289666</v>
      </c>
      <c r="B4" s="51" t="s">
        <v>23</v>
      </c>
      <c r="C4" s="50" t="s">
        <v>21</v>
      </c>
      <c r="D4" s="51" t="s">
        <v>22</v>
      </c>
      <c r="E4" s="52" t="s">
        <v>15</v>
      </c>
      <c r="F4" s="52">
        <v>9264</v>
      </c>
      <c r="G4" s="51" t="s">
        <v>24</v>
      </c>
      <c r="H4" s="53">
        <v>16580922</v>
      </c>
      <c r="I4" s="105">
        <f t="shared" si="0"/>
        <v>3150375.18</v>
      </c>
      <c r="J4" s="106">
        <f t="shared" si="1"/>
        <v>3150375.18</v>
      </c>
      <c r="K4" s="106">
        <f t="shared" si="2"/>
        <v>0</v>
      </c>
      <c r="L4" s="67">
        <v>1</v>
      </c>
      <c r="M4" s="67">
        <v>0</v>
      </c>
      <c r="N4" s="1">
        <f>+VLOOKUP([1]PRORRATEO!F4,[1]TODOS!H:T,8,0)</f>
        <v>16580922</v>
      </c>
      <c r="O4" s="2">
        <f t="shared" si="3"/>
        <v>0</v>
      </c>
    </row>
    <row r="5" spans="1:15" x14ac:dyDescent="0.35">
      <c r="A5" s="52"/>
      <c r="B5" s="51" t="s">
        <v>27</v>
      </c>
      <c r="C5" s="50" t="s">
        <v>25</v>
      </c>
      <c r="D5" s="51" t="s">
        <v>26</v>
      </c>
      <c r="E5" s="52" t="s">
        <v>15</v>
      </c>
      <c r="F5" s="52">
        <v>9355</v>
      </c>
      <c r="G5" s="51">
        <v>860001743</v>
      </c>
      <c r="H5" s="53">
        <v>49094705</v>
      </c>
      <c r="I5" s="105">
        <f t="shared" si="0"/>
        <v>9327993.9499999993</v>
      </c>
      <c r="J5" s="106">
        <f t="shared" si="1"/>
        <v>9327993.9499999993</v>
      </c>
      <c r="K5" s="106">
        <f t="shared" si="2"/>
        <v>0</v>
      </c>
      <c r="L5" s="67">
        <v>1</v>
      </c>
      <c r="M5" s="67">
        <v>0</v>
      </c>
      <c r="N5" s="1">
        <f>+VLOOKUP([1]PRORRATEO!F5,[1]TODOS!H:T,8,0)</f>
        <v>49094705</v>
      </c>
      <c r="O5" s="2">
        <f t="shared" si="3"/>
        <v>0</v>
      </c>
    </row>
    <row r="6" spans="1:15" x14ac:dyDescent="0.35">
      <c r="A6" s="52">
        <v>230440</v>
      </c>
      <c r="B6" s="51" t="s">
        <v>31</v>
      </c>
      <c r="C6" s="50" t="s">
        <v>28</v>
      </c>
      <c r="D6" s="51" t="s">
        <v>29</v>
      </c>
      <c r="E6" s="52" t="s">
        <v>30</v>
      </c>
      <c r="F6" s="52">
        <v>9596</v>
      </c>
      <c r="G6" s="51">
        <v>830054539</v>
      </c>
      <c r="H6" s="53">
        <v>12509050</v>
      </c>
      <c r="I6" s="105">
        <f t="shared" si="0"/>
        <v>2376719.5</v>
      </c>
      <c r="J6" s="106">
        <f t="shared" si="1"/>
        <v>2376719.5</v>
      </c>
      <c r="K6" s="106">
        <f t="shared" si="2"/>
        <v>0</v>
      </c>
      <c r="L6" s="67">
        <v>1</v>
      </c>
      <c r="M6" s="67">
        <v>0</v>
      </c>
      <c r="N6" s="1">
        <f>+VLOOKUP([1]PRORRATEO!F6,[1]TODOS!H:T,8,0)</f>
        <v>12509050</v>
      </c>
      <c r="O6" s="2">
        <f t="shared" si="3"/>
        <v>0</v>
      </c>
    </row>
    <row r="7" spans="1:15" x14ac:dyDescent="0.35">
      <c r="A7" s="52" t="s">
        <v>36</v>
      </c>
      <c r="B7" s="51" t="s">
        <v>37</v>
      </c>
      <c r="C7" s="50" t="s">
        <v>32</v>
      </c>
      <c r="D7" s="51" t="s">
        <v>33</v>
      </c>
      <c r="E7" s="52" t="s">
        <v>34</v>
      </c>
      <c r="F7" s="52" t="s">
        <v>35</v>
      </c>
      <c r="G7" s="51" t="s">
        <v>38</v>
      </c>
      <c r="H7" s="53">
        <v>14162516</v>
      </c>
      <c r="I7" s="105">
        <f t="shared" si="0"/>
        <v>2690878.04</v>
      </c>
      <c r="J7" s="106">
        <f t="shared" si="1"/>
        <v>2690878.04</v>
      </c>
      <c r="K7" s="106">
        <f t="shared" si="2"/>
        <v>0</v>
      </c>
      <c r="L7" s="67">
        <v>1</v>
      </c>
      <c r="M7" s="67">
        <v>0</v>
      </c>
      <c r="N7" s="1">
        <f>+VLOOKUP([1]PRORRATEO!F7,[1]TODOS!H:T,8,0)</f>
        <v>14162516</v>
      </c>
      <c r="O7" s="2">
        <f t="shared" si="3"/>
        <v>0</v>
      </c>
    </row>
    <row r="8" spans="1:15" x14ac:dyDescent="0.35">
      <c r="A8" s="52">
        <v>332321</v>
      </c>
      <c r="B8" s="51" t="s">
        <v>43</v>
      </c>
      <c r="C8" s="50" t="s">
        <v>39</v>
      </c>
      <c r="D8" s="51" t="s">
        <v>40</v>
      </c>
      <c r="E8" s="52" t="s">
        <v>41</v>
      </c>
      <c r="F8" s="52" t="s">
        <v>42</v>
      </c>
      <c r="G8" s="51" t="s">
        <v>44</v>
      </c>
      <c r="H8" s="53">
        <v>16500000</v>
      </c>
      <c r="I8" s="105">
        <f t="shared" si="0"/>
        <v>3135000</v>
      </c>
      <c r="J8" s="106">
        <f t="shared" si="1"/>
        <v>3135000</v>
      </c>
      <c r="K8" s="106">
        <f t="shared" si="2"/>
        <v>0</v>
      </c>
      <c r="L8" s="67">
        <v>1</v>
      </c>
      <c r="M8" s="67">
        <v>0</v>
      </c>
      <c r="N8" s="1">
        <f>+VLOOKUP([1]PRORRATEO!F8,[1]TODOS!H:T,8,0)</f>
        <v>16500000</v>
      </c>
      <c r="O8" s="2">
        <f t="shared" si="3"/>
        <v>0</v>
      </c>
    </row>
    <row r="9" spans="1:15" x14ac:dyDescent="0.35">
      <c r="A9" s="52">
        <v>209631</v>
      </c>
      <c r="B9" s="51" t="s">
        <v>47</v>
      </c>
      <c r="C9" s="50" t="s">
        <v>45</v>
      </c>
      <c r="D9" s="51" t="s">
        <v>46</v>
      </c>
      <c r="E9" s="52" t="s">
        <v>15</v>
      </c>
      <c r="F9" s="52">
        <v>9058</v>
      </c>
      <c r="G9" s="51" t="s">
        <v>48</v>
      </c>
      <c r="H9" s="53">
        <v>33947300</v>
      </c>
      <c r="I9" s="105">
        <f t="shared" si="0"/>
        <v>6449987</v>
      </c>
      <c r="J9" s="106">
        <f t="shared" si="1"/>
        <v>6449987</v>
      </c>
      <c r="K9" s="106">
        <f t="shared" si="2"/>
        <v>0</v>
      </c>
      <c r="L9" s="67">
        <v>1</v>
      </c>
      <c r="M9" s="67">
        <v>0</v>
      </c>
      <c r="N9" s="1">
        <f>+VLOOKUP([1]PRORRATEO!F9,[1]TODOS!H:T,8,0)</f>
        <v>33947300</v>
      </c>
      <c r="O9" s="2">
        <f t="shared" si="3"/>
        <v>0</v>
      </c>
    </row>
    <row r="10" spans="1:15" x14ac:dyDescent="0.35">
      <c r="A10" s="52">
        <v>210118</v>
      </c>
      <c r="B10" s="51" t="s">
        <v>51</v>
      </c>
      <c r="C10" s="50" t="s">
        <v>49</v>
      </c>
      <c r="D10" s="51" t="s">
        <v>50</v>
      </c>
      <c r="E10" s="52" t="s">
        <v>15</v>
      </c>
      <c r="F10" s="52">
        <v>9104</v>
      </c>
      <c r="G10" s="51" t="s">
        <v>52</v>
      </c>
      <c r="H10" s="53">
        <v>45697694</v>
      </c>
      <c r="I10" s="105">
        <f t="shared" si="0"/>
        <v>8682561.8599999994</v>
      </c>
      <c r="J10" s="106">
        <f t="shared" si="1"/>
        <v>8682561.8599999994</v>
      </c>
      <c r="K10" s="106">
        <f t="shared" si="2"/>
        <v>0</v>
      </c>
      <c r="L10" s="67">
        <v>1</v>
      </c>
      <c r="M10" s="67">
        <v>0</v>
      </c>
      <c r="N10" s="1">
        <f>+VLOOKUP([1]PRORRATEO!F10,[1]TODOS!H:T,8,0)</f>
        <v>45697694</v>
      </c>
      <c r="O10" s="2">
        <f t="shared" si="3"/>
        <v>0</v>
      </c>
    </row>
    <row r="11" spans="1:15" x14ac:dyDescent="0.35">
      <c r="A11" s="52">
        <v>211510</v>
      </c>
      <c r="B11" s="51" t="s">
        <v>55</v>
      </c>
      <c r="C11" s="50" t="s">
        <v>53</v>
      </c>
      <c r="D11" s="51" t="s">
        <v>54</v>
      </c>
      <c r="E11" s="52" t="s">
        <v>15</v>
      </c>
      <c r="F11" s="52">
        <v>9302</v>
      </c>
      <c r="G11" s="51">
        <v>900536058</v>
      </c>
      <c r="H11" s="53">
        <v>7483348</v>
      </c>
      <c r="I11" s="105">
        <f t="shared" si="0"/>
        <v>1421836.12</v>
      </c>
      <c r="J11" s="106">
        <f t="shared" si="1"/>
        <v>1421836.12</v>
      </c>
      <c r="K11" s="106">
        <f t="shared" si="2"/>
        <v>0</v>
      </c>
      <c r="L11" s="67">
        <v>1</v>
      </c>
      <c r="M11" s="67">
        <v>0</v>
      </c>
      <c r="N11" s="1">
        <f>+VLOOKUP([1]PRORRATEO!F11,[1]TODOS!H:T,8,0)</f>
        <v>7483348</v>
      </c>
      <c r="O11" s="2">
        <f t="shared" si="3"/>
        <v>0</v>
      </c>
    </row>
    <row r="12" spans="1:15" x14ac:dyDescent="0.35">
      <c r="A12" s="52">
        <v>217751</v>
      </c>
      <c r="B12" s="51" t="s">
        <v>58</v>
      </c>
      <c r="C12" s="50" t="s">
        <v>56</v>
      </c>
      <c r="D12" s="51" t="s">
        <v>57</v>
      </c>
      <c r="E12" s="52" t="s">
        <v>15</v>
      </c>
      <c r="F12" s="52">
        <v>9304</v>
      </c>
      <c r="G12" s="51" t="s">
        <v>59</v>
      </c>
      <c r="H12" s="53">
        <v>5240611</v>
      </c>
      <c r="I12" s="105">
        <f t="shared" si="0"/>
        <v>995716.09</v>
      </c>
      <c r="J12" s="106">
        <f t="shared" si="1"/>
        <v>995716.09</v>
      </c>
      <c r="K12" s="106">
        <f t="shared" si="2"/>
        <v>0</v>
      </c>
      <c r="L12" s="67">
        <v>1</v>
      </c>
      <c r="M12" s="67">
        <v>0</v>
      </c>
      <c r="N12" s="1">
        <f>+VLOOKUP([1]PRORRATEO!F12,[1]TODOS!H:T,8,0)</f>
        <v>16580922</v>
      </c>
      <c r="O12" s="2">
        <f t="shared" si="3"/>
        <v>11340311</v>
      </c>
    </row>
    <row r="13" spans="1:15" x14ac:dyDescent="0.35">
      <c r="A13" s="52">
        <v>289666</v>
      </c>
      <c r="B13" s="51" t="s">
        <v>23</v>
      </c>
      <c r="C13" s="50" t="s">
        <v>60</v>
      </c>
      <c r="D13" s="51" t="s">
        <v>61</v>
      </c>
      <c r="E13" s="52" t="s">
        <v>15</v>
      </c>
      <c r="F13" s="52">
        <v>9303</v>
      </c>
      <c r="G13" s="51" t="s">
        <v>24</v>
      </c>
      <c r="H13" s="53">
        <v>16580922</v>
      </c>
      <c r="I13" s="105">
        <f t="shared" si="0"/>
        <v>3150375.18</v>
      </c>
      <c r="J13" s="106">
        <f t="shared" si="1"/>
        <v>3150375.18</v>
      </c>
      <c r="K13" s="106">
        <f t="shared" si="2"/>
        <v>0</v>
      </c>
      <c r="L13" s="67">
        <v>1</v>
      </c>
      <c r="M13" s="67">
        <v>0</v>
      </c>
      <c r="N13" s="126">
        <f>+VLOOKUP([1]PRORRATEO!F13,[1]TODOS!H:T,8,0)</f>
        <v>16580922</v>
      </c>
      <c r="O13" s="126">
        <f t="shared" si="3"/>
        <v>0</v>
      </c>
    </row>
    <row r="14" spans="1:15" x14ac:dyDescent="0.35">
      <c r="A14" s="52">
        <v>205547</v>
      </c>
      <c r="B14" s="51" t="s">
        <v>64</v>
      </c>
      <c r="C14" s="50" t="s">
        <v>62</v>
      </c>
      <c r="D14" s="51" t="s">
        <v>63</v>
      </c>
      <c r="E14" s="52" t="s">
        <v>15</v>
      </c>
      <c r="F14" s="52">
        <v>9301</v>
      </c>
      <c r="G14" s="51">
        <v>830054539</v>
      </c>
      <c r="H14" s="53">
        <v>22377460</v>
      </c>
      <c r="I14" s="105">
        <f t="shared" si="0"/>
        <v>4251717.4000000004</v>
      </c>
      <c r="J14" s="106">
        <f t="shared" si="1"/>
        <v>4251717.4000000004</v>
      </c>
      <c r="K14" s="106">
        <f t="shared" si="2"/>
        <v>0</v>
      </c>
      <c r="L14" s="67">
        <v>1</v>
      </c>
      <c r="M14" s="67">
        <v>0</v>
      </c>
      <c r="N14" s="1">
        <f>+VLOOKUP([1]PRORRATEO!F14,[1]TODOS!H:T,8,0)</f>
        <v>22377460</v>
      </c>
      <c r="O14" s="2">
        <f t="shared" si="3"/>
        <v>0</v>
      </c>
    </row>
    <row r="15" spans="1:15" x14ac:dyDescent="0.35">
      <c r="A15" s="52">
        <v>214089</v>
      </c>
      <c r="B15" s="51" t="s">
        <v>67</v>
      </c>
      <c r="C15" s="50" t="s">
        <v>65</v>
      </c>
      <c r="D15" s="51" t="s">
        <v>66</v>
      </c>
      <c r="E15" s="52" t="s">
        <v>15</v>
      </c>
      <c r="F15" s="52">
        <v>9305</v>
      </c>
      <c r="G15" s="51" t="s">
        <v>68</v>
      </c>
      <c r="H15" s="53">
        <v>15918945</v>
      </c>
      <c r="I15" s="105">
        <f t="shared" si="0"/>
        <v>3024599.55</v>
      </c>
      <c r="J15" s="106">
        <f t="shared" si="1"/>
        <v>3024599.55</v>
      </c>
      <c r="K15" s="106">
        <f t="shared" si="2"/>
        <v>0</v>
      </c>
      <c r="L15" s="67">
        <v>1</v>
      </c>
      <c r="M15" s="67">
        <v>0</v>
      </c>
      <c r="N15" s="1">
        <f>+VLOOKUP([1]PRORRATEO!F15,[1]TODOS!H:T,8,0)</f>
        <v>15918945</v>
      </c>
      <c r="O15" s="2">
        <f t="shared" si="3"/>
        <v>0</v>
      </c>
    </row>
    <row r="16" spans="1:15" x14ac:dyDescent="0.35">
      <c r="A16" s="52">
        <v>243073</v>
      </c>
      <c r="B16" s="51" t="s">
        <v>72</v>
      </c>
      <c r="C16" s="50" t="s">
        <v>69</v>
      </c>
      <c r="D16" s="51" t="s">
        <v>70</v>
      </c>
      <c r="E16" s="52" t="s">
        <v>41</v>
      </c>
      <c r="F16" s="52" t="s">
        <v>71</v>
      </c>
      <c r="G16" s="51" t="s">
        <v>73</v>
      </c>
      <c r="H16" s="53">
        <v>35897389</v>
      </c>
      <c r="I16" s="105">
        <f t="shared" si="0"/>
        <v>6820503.9100000001</v>
      </c>
      <c r="J16" s="106">
        <f t="shared" si="1"/>
        <v>6820503.9100000001</v>
      </c>
      <c r="K16" s="106">
        <f t="shared" si="2"/>
        <v>0</v>
      </c>
      <c r="L16" s="67">
        <v>1</v>
      </c>
      <c r="M16" s="67">
        <v>0</v>
      </c>
      <c r="N16" s="1">
        <f>+VLOOKUP([1]PRORRATEO!F16,[1]TODOS!H:T,8,0)</f>
        <v>35897389</v>
      </c>
      <c r="O16" s="2">
        <f t="shared" si="3"/>
        <v>0</v>
      </c>
    </row>
    <row r="17" spans="1:15" x14ac:dyDescent="0.35">
      <c r="A17" s="52">
        <v>205547</v>
      </c>
      <c r="B17" s="51" t="s">
        <v>64</v>
      </c>
      <c r="C17" s="50" t="s">
        <v>74</v>
      </c>
      <c r="D17" s="51" t="s">
        <v>63</v>
      </c>
      <c r="E17" s="52" t="s">
        <v>15</v>
      </c>
      <c r="F17" s="52" t="s">
        <v>75</v>
      </c>
      <c r="G17" s="51">
        <v>830054539</v>
      </c>
      <c r="H17" s="53">
        <v>28000000</v>
      </c>
      <c r="I17" s="105">
        <f t="shared" si="0"/>
        <v>5320000</v>
      </c>
      <c r="J17" s="106">
        <f t="shared" si="1"/>
        <v>5320000</v>
      </c>
      <c r="K17" s="106">
        <f t="shared" si="2"/>
        <v>0</v>
      </c>
      <c r="L17" s="67">
        <v>1</v>
      </c>
      <c r="M17" s="67">
        <v>0</v>
      </c>
      <c r="N17" s="126">
        <f>+VLOOKUP([1]PRORRATEO!F17,[1]TODOS!H:T,8,0)</f>
        <v>28000000</v>
      </c>
      <c r="O17" s="126">
        <f t="shared" si="3"/>
        <v>0</v>
      </c>
    </row>
    <row r="18" spans="1:15" x14ac:dyDescent="0.35">
      <c r="A18" s="70">
        <v>208094</v>
      </c>
      <c r="B18" s="69" t="s">
        <v>78</v>
      </c>
      <c r="C18" s="68" t="s">
        <v>76</v>
      </c>
      <c r="D18" s="69" t="s">
        <v>77</v>
      </c>
      <c r="E18" s="70" t="s">
        <v>15</v>
      </c>
      <c r="F18" s="70">
        <v>6553</v>
      </c>
      <c r="G18" s="69">
        <v>900699834</v>
      </c>
      <c r="H18" s="71">
        <v>33513583</v>
      </c>
      <c r="I18" s="72">
        <f t="shared" si="0"/>
        <v>6367580.7700000005</v>
      </c>
      <c r="J18" s="73">
        <f t="shared" si="1"/>
        <v>432995.49236000009</v>
      </c>
      <c r="K18" s="73">
        <f t="shared" si="2"/>
        <v>5934585.2776400009</v>
      </c>
      <c r="L18" s="74">
        <v>6.8000000000000005E-2</v>
      </c>
      <c r="M18" s="74">
        <v>0.93200000000000005</v>
      </c>
      <c r="N18" s="1">
        <f>+VLOOKUP([1]PRORRATEO!F18,[1]TODOS!H:T,8,0)</f>
        <v>33513583</v>
      </c>
      <c r="O18" s="2">
        <f t="shared" si="3"/>
        <v>0</v>
      </c>
    </row>
    <row r="19" spans="1:15" x14ac:dyDescent="0.35">
      <c r="A19" s="70">
        <v>204532</v>
      </c>
      <c r="B19" s="69" t="s">
        <v>81</v>
      </c>
      <c r="C19" s="68" t="s">
        <v>79</v>
      </c>
      <c r="D19" s="69" t="s">
        <v>80</v>
      </c>
      <c r="E19" s="70" t="s">
        <v>41</v>
      </c>
      <c r="F19" s="70">
        <v>6554</v>
      </c>
      <c r="G19" s="69" t="s">
        <v>82</v>
      </c>
      <c r="H19" s="71">
        <v>24000000</v>
      </c>
      <c r="I19" s="72">
        <f t="shared" si="0"/>
        <v>4560000</v>
      </c>
      <c r="J19" s="73">
        <f t="shared" si="1"/>
        <v>173280</v>
      </c>
      <c r="K19" s="73">
        <f t="shared" si="2"/>
        <v>4386720</v>
      </c>
      <c r="L19" s="74">
        <v>3.7999999999999999E-2</v>
      </c>
      <c r="M19" s="74">
        <v>0.96199999999999997</v>
      </c>
      <c r="N19" s="1">
        <f>+VLOOKUP([1]PRORRATEO!F19,[1]TODOS!H:T,8,0)</f>
        <v>24000000</v>
      </c>
      <c r="O19" s="2">
        <f t="shared" si="3"/>
        <v>0</v>
      </c>
    </row>
    <row r="20" spans="1:15" x14ac:dyDescent="0.35">
      <c r="A20" s="70">
        <v>204535</v>
      </c>
      <c r="B20" s="69" t="s">
        <v>86</v>
      </c>
      <c r="C20" s="68" t="s">
        <v>83</v>
      </c>
      <c r="D20" s="69" t="s">
        <v>84</v>
      </c>
      <c r="E20" s="70" t="s">
        <v>85</v>
      </c>
      <c r="F20" s="70">
        <v>6556</v>
      </c>
      <c r="G20" s="69" t="s">
        <v>87</v>
      </c>
      <c r="H20" s="71">
        <v>8427956</v>
      </c>
      <c r="I20" s="72">
        <f t="shared" si="0"/>
        <v>1601311.6400000001</v>
      </c>
      <c r="J20" s="73">
        <f t="shared" si="1"/>
        <v>147320.67088000002</v>
      </c>
      <c r="K20" s="73">
        <f t="shared" si="2"/>
        <v>1453990.9691200003</v>
      </c>
      <c r="L20" s="74">
        <v>9.1999999999999998E-2</v>
      </c>
      <c r="M20" s="74">
        <v>0.90800000000000003</v>
      </c>
      <c r="N20" s="1">
        <f>+VLOOKUP([1]PRORRATEO!F20,[1]TODOS!H:T,8,0)</f>
        <v>8427956</v>
      </c>
      <c r="O20" s="2">
        <f t="shared" si="3"/>
        <v>0</v>
      </c>
    </row>
    <row r="21" spans="1:15" x14ac:dyDescent="0.35">
      <c r="A21" s="70">
        <v>205635</v>
      </c>
      <c r="B21" s="69" t="s">
        <v>90</v>
      </c>
      <c r="C21" s="68" t="s">
        <v>88</v>
      </c>
      <c r="D21" s="69" t="s">
        <v>89</v>
      </c>
      <c r="E21" s="70" t="s">
        <v>41</v>
      </c>
      <c r="F21" s="70">
        <v>6561</v>
      </c>
      <c r="G21" s="69" t="s">
        <v>91</v>
      </c>
      <c r="H21" s="71">
        <v>16368010</v>
      </c>
      <c r="I21" s="72">
        <f t="shared" si="0"/>
        <v>3109921.9</v>
      </c>
      <c r="J21" s="73">
        <f t="shared" si="1"/>
        <v>202144.9235</v>
      </c>
      <c r="K21" s="73">
        <f t="shared" si="2"/>
        <v>2907776.9764999999</v>
      </c>
      <c r="L21" s="74">
        <v>6.5000000000000002E-2</v>
      </c>
      <c r="M21" s="74">
        <v>0.93500000000000005</v>
      </c>
      <c r="N21" s="1">
        <f>+VLOOKUP([1]PRORRATEO!F21,[1]TODOS!H:T,8,0)</f>
        <v>16368010</v>
      </c>
      <c r="O21" s="2">
        <f t="shared" si="3"/>
        <v>0</v>
      </c>
    </row>
    <row r="22" spans="1:15" x14ac:dyDescent="0.35">
      <c r="A22" s="6">
        <v>208501</v>
      </c>
      <c r="B22" s="7" t="s">
        <v>94</v>
      </c>
      <c r="C22" s="99" t="s">
        <v>92</v>
      </c>
      <c r="D22" s="7" t="s">
        <v>93</v>
      </c>
      <c r="E22" s="6" t="s">
        <v>41</v>
      </c>
      <c r="F22" s="6">
        <v>6563</v>
      </c>
      <c r="G22" s="7" t="s">
        <v>95</v>
      </c>
      <c r="H22" s="10">
        <v>13109640</v>
      </c>
      <c r="I22" s="9">
        <f t="shared" si="0"/>
        <v>2490831.6</v>
      </c>
      <c r="J22" s="8">
        <f t="shared" si="1"/>
        <v>0</v>
      </c>
      <c r="K22" s="8">
        <f t="shared" si="2"/>
        <v>0</v>
      </c>
      <c r="L22" s="65"/>
      <c r="M22" s="65"/>
      <c r="N22" s="126">
        <f>+VLOOKUP([1]PRORRATEO!F22,[1]TODOS!H:T,8,0)</f>
        <v>13109640</v>
      </c>
      <c r="O22" s="126">
        <f t="shared" si="3"/>
        <v>0</v>
      </c>
    </row>
    <row r="23" spans="1:15" x14ac:dyDescent="0.35">
      <c r="A23" s="70">
        <v>204623</v>
      </c>
      <c r="B23" s="69" t="s">
        <v>98</v>
      </c>
      <c r="C23" s="68" t="s">
        <v>96</v>
      </c>
      <c r="D23" s="69" t="s">
        <v>97</v>
      </c>
      <c r="E23" s="70" t="s">
        <v>15</v>
      </c>
      <c r="F23" s="70">
        <v>6564</v>
      </c>
      <c r="G23" s="69" t="s">
        <v>99</v>
      </c>
      <c r="H23" s="71">
        <v>17875017</v>
      </c>
      <c r="I23" s="72">
        <f t="shared" si="0"/>
        <v>3396253.23</v>
      </c>
      <c r="J23" s="73">
        <f t="shared" si="1"/>
        <v>353210.33591999998</v>
      </c>
      <c r="K23" s="73">
        <f t="shared" si="2"/>
        <v>3043042.89408</v>
      </c>
      <c r="L23" s="74">
        <v>0.104</v>
      </c>
      <c r="M23" s="74">
        <v>0.89600000000000002</v>
      </c>
      <c r="N23" s="1">
        <f>+VLOOKUP([1]PRORRATEO!F23,[1]TODOS!H:T,8,0)</f>
        <v>17875017</v>
      </c>
      <c r="O23" s="2">
        <f t="shared" si="3"/>
        <v>0</v>
      </c>
    </row>
    <row r="24" spans="1:15" x14ac:dyDescent="0.35">
      <c r="A24" s="6">
        <v>209683</v>
      </c>
      <c r="B24" s="7" t="s">
        <v>102</v>
      </c>
      <c r="C24" s="99" t="s">
        <v>100</v>
      </c>
      <c r="D24" s="7" t="s">
        <v>101</v>
      </c>
      <c r="E24" s="6" t="s">
        <v>41</v>
      </c>
      <c r="F24" s="6">
        <v>6568</v>
      </c>
      <c r="G24" s="7" t="s">
        <v>103</v>
      </c>
      <c r="H24" s="10">
        <v>20790000</v>
      </c>
      <c r="I24" s="9">
        <f t="shared" si="0"/>
        <v>3950100</v>
      </c>
      <c r="J24" s="8">
        <f t="shared" si="1"/>
        <v>0</v>
      </c>
      <c r="K24" s="8">
        <f t="shared" si="2"/>
        <v>0</v>
      </c>
      <c r="L24" s="65"/>
      <c r="M24" s="65"/>
      <c r="N24" s="1">
        <f>+VLOOKUP([1]PRORRATEO!F24,[1]TODOS!H:T,8,0)</f>
        <v>20790000</v>
      </c>
      <c r="O24" s="2">
        <f t="shared" si="3"/>
        <v>0</v>
      </c>
    </row>
    <row r="25" spans="1:15" x14ac:dyDescent="0.35">
      <c r="A25" s="70">
        <v>204609</v>
      </c>
      <c r="B25" s="69" t="s">
        <v>106</v>
      </c>
      <c r="C25" s="68" t="s">
        <v>104</v>
      </c>
      <c r="D25" s="69" t="s">
        <v>105</v>
      </c>
      <c r="E25" s="70" t="s">
        <v>15</v>
      </c>
      <c r="F25" s="70">
        <v>6572</v>
      </c>
      <c r="G25" s="69">
        <v>9001641085</v>
      </c>
      <c r="H25" s="71">
        <v>13950658</v>
      </c>
      <c r="I25" s="72">
        <f t="shared" si="0"/>
        <v>2650625.02</v>
      </c>
      <c r="J25" s="73">
        <f t="shared" si="1"/>
        <v>121928.75092000001</v>
      </c>
      <c r="K25" s="73">
        <f t="shared" si="2"/>
        <v>2528696.26908</v>
      </c>
      <c r="L25" s="74">
        <v>4.5999999999999999E-2</v>
      </c>
      <c r="M25" s="74">
        <v>0.95399999999999996</v>
      </c>
      <c r="N25" s="1">
        <f>+VLOOKUP([1]PRORRATEO!F25,[1]TODOS!H:T,8,0)</f>
        <v>13950658</v>
      </c>
      <c r="O25" s="2">
        <f t="shared" si="3"/>
        <v>0</v>
      </c>
    </row>
    <row r="26" spans="1:15" x14ac:dyDescent="0.35">
      <c r="A26" s="70">
        <v>204635</v>
      </c>
      <c r="B26" s="69" t="s">
        <v>109</v>
      </c>
      <c r="C26" s="68" t="s">
        <v>107</v>
      </c>
      <c r="D26" s="69" t="s">
        <v>108</v>
      </c>
      <c r="E26" s="70" t="s">
        <v>15</v>
      </c>
      <c r="F26" s="70">
        <v>6573</v>
      </c>
      <c r="G26" s="69" t="s">
        <v>110</v>
      </c>
      <c r="H26" s="71">
        <v>15500009</v>
      </c>
      <c r="I26" s="72">
        <f t="shared" si="0"/>
        <v>2945001.71</v>
      </c>
      <c r="J26" s="73">
        <f t="shared" si="1"/>
        <v>203205.11799000003</v>
      </c>
      <c r="K26" s="73">
        <f t="shared" si="2"/>
        <v>2741796.5920100003</v>
      </c>
      <c r="L26" s="74">
        <v>6.9000000000000006E-2</v>
      </c>
      <c r="M26" s="74">
        <v>0.93100000000000005</v>
      </c>
      <c r="N26" s="1">
        <f>+VLOOKUP([1]PRORRATEO!F26,[1]TODOS!H:T,8,0)</f>
        <v>15500009</v>
      </c>
      <c r="O26" s="2">
        <f t="shared" si="3"/>
        <v>0</v>
      </c>
    </row>
    <row r="27" spans="1:15" x14ac:dyDescent="0.35">
      <c r="A27" s="70">
        <v>219814</v>
      </c>
      <c r="B27" s="69" t="s">
        <v>114</v>
      </c>
      <c r="C27" s="68" t="s">
        <v>111</v>
      </c>
      <c r="D27" s="69" t="s">
        <v>112</v>
      </c>
      <c r="E27" s="70" t="s">
        <v>113</v>
      </c>
      <c r="F27" s="70">
        <v>6574</v>
      </c>
      <c r="G27" s="69" t="s">
        <v>115</v>
      </c>
      <c r="H27" s="71">
        <v>10354344</v>
      </c>
      <c r="I27" s="72">
        <f t="shared" si="0"/>
        <v>1967325.36</v>
      </c>
      <c r="J27" s="73">
        <f t="shared" si="1"/>
        <v>96398.942640000008</v>
      </c>
      <c r="K27" s="73">
        <f t="shared" si="2"/>
        <v>1870926.4173600001</v>
      </c>
      <c r="L27" s="74">
        <v>4.9000000000000002E-2</v>
      </c>
      <c r="M27" s="74">
        <v>0.95099999999999996</v>
      </c>
      <c r="N27" s="1">
        <f>+VLOOKUP([1]PRORRATEO!F27,[1]TODOS!H:T,8,0)</f>
        <v>10354344</v>
      </c>
      <c r="O27" s="2">
        <f t="shared" si="3"/>
        <v>0</v>
      </c>
    </row>
    <row r="28" spans="1:15" x14ac:dyDescent="0.35">
      <c r="A28" s="70">
        <v>204518</v>
      </c>
      <c r="B28" s="69" t="s">
        <v>119</v>
      </c>
      <c r="C28" s="68" t="s">
        <v>116</v>
      </c>
      <c r="D28" s="69" t="s">
        <v>117</v>
      </c>
      <c r="E28" s="70" t="s">
        <v>118</v>
      </c>
      <c r="F28" s="70">
        <v>6598</v>
      </c>
      <c r="G28" s="69" t="s">
        <v>120</v>
      </c>
      <c r="H28" s="71">
        <v>19543600</v>
      </c>
      <c r="I28" s="72">
        <f t="shared" si="0"/>
        <v>3713284</v>
      </c>
      <c r="J28" s="73">
        <f t="shared" si="1"/>
        <v>497580.05600000004</v>
      </c>
      <c r="K28" s="73">
        <f t="shared" si="2"/>
        <v>3215703.9440000001</v>
      </c>
      <c r="L28" s="74">
        <v>0.13400000000000001</v>
      </c>
      <c r="M28" s="74">
        <v>0.86599999999999999</v>
      </c>
      <c r="N28" s="1">
        <f>+VLOOKUP([1]PRORRATEO!F28,[1]TODOS!H:T,8,0)</f>
        <v>19543600</v>
      </c>
      <c r="O28" s="2">
        <f t="shared" si="3"/>
        <v>0</v>
      </c>
    </row>
    <row r="29" spans="1:15" x14ac:dyDescent="0.35">
      <c r="A29" s="70">
        <v>204517</v>
      </c>
      <c r="B29" s="69" t="s">
        <v>123</v>
      </c>
      <c r="C29" s="68" t="s">
        <v>121</v>
      </c>
      <c r="D29" s="69" t="s">
        <v>122</v>
      </c>
      <c r="E29" s="70" t="s">
        <v>118</v>
      </c>
      <c r="F29" s="70">
        <v>6600</v>
      </c>
      <c r="G29" s="69" t="s">
        <v>124</v>
      </c>
      <c r="H29" s="71">
        <v>29614801</v>
      </c>
      <c r="I29" s="72">
        <f t="shared" si="0"/>
        <v>5626812.1900000004</v>
      </c>
      <c r="J29" s="73">
        <f t="shared" si="1"/>
        <v>692097.89937</v>
      </c>
      <c r="K29" s="73">
        <f t="shared" si="2"/>
        <v>4934714.2906300006</v>
      </c>
      <c r="L29" s="74">
        <v>0.123</v>
      </c>
      <c r="M29" s="74">
        <v>0.877</v>
      </c>
      <c r="N29" s="1">
        <f>+VLOOKUP([1]PRORRATEO!F29,[1]TODOS!H:T,8,0)</f>
        <v>29614801</v>
      </c>
      <c r="O29" s="2">
        <f t="shared" si="3"/>
        <v>0</v>
      </c>
    </row>
    <row r="30" spans="1:15" x14ac:dyDescent="0.35">
      <c r="A30" s="70" t="s">
        <v>127</v>
      </c>
      <c r="B30" s="69" t="s">
        <v>128</v>
      </c>
      <c r="C30" s="68" t="s">
        <v>125</v>
      </c>
      <c r="D30" s="69" t="s">
        <v>126</v>
      </c>
      <c r="E30" s="70" t="s">
        <v>113</v>
      </c>
      <c r="F30" s="70">
        <v>6601</v>
      </c>
      <c r="G30" s="69" t="s">
        <v>129</v>
      </c>
      <c r="H30" s="72">
        <v>17324000</v>
      </c>
      <c r="I30" s="72">
        <f>+H30*19%</f>
        <v>3291560</v>
      </c>
      <c r="J30" s="73">
        <f>+I30*L30</f>
        <v>184327.36000000002</v>
      </c>
      <c r="K30" s="73">
        <f t="shared" si="2"/>
        <v>3107232.6399999997</v>
      </c>
      <c r="L30" s="133">
        <v>5.6000000000000001E-2</v>
      </c>
      <c r="M30" s="74">
        <v>0.94399999999999995</v>
      </c>
      <c r="N30" s="1" t="e">
        <f>+VLOOKUP([1]PRORRATEO!F30,[1]TODOS!H:T,8,0)</f>
        <v>#N/A</v>
      </c>
      <c r="O30" s="2" t="e">
        <f t="shared" si="3"/>
        <v>#N/A</v>
      </c>
    </row>
    <row r="31" spans="1:15" x14ac:dyDescent="0.35">
      <c r="A31" s="70">
        <v>204884</v>
      </c>
      <c r="B31" s="69" t="s">
        <v>132</v>
      </c>
      <c r="C31" s="68" t="s">
        <v>130</v>
      </c>
      <c r="D31" s="69" t="s">
        <v>131</v>
      </c>
      <c r="E31" s="70" t="s">
        <v>118</v>
      </c>
      <c r="F31" s="70">
        <v>6602</v>
      </c>
      <c r="G31" s="69" t="s">
        <v>133</v>
      </c>
      <c r="H31" s="71">
        <v>9759288</v>
      </c>
      <c r="I31" s="72">
        <f t="shared" si="0"/>
        <v>1854264.72</v>
      </c>
      <c r="J31" s="73">
        <f t="shared" si="1"/>
        <v>64899.265200000002</v>
      </c>
      <c r="K31" s="73">
        <f t="shared" si="2"/>
        <v>1789365.4547999999</v>
      </c>
      <c r="L31" s="74">
        <v>3.5000000000000003E-2</v>
      </c>
      <c r="M31" s="74">
        <v>0.96499999999999997</v>
      </c>
      <c r="N31" s="1">
        <f>+VLOOKUP([1]PRORRATEO!F31,[1]TODOS!H:T,8,0)</f>
        <v>9759288</v>
      </c>
      <c r="O31" s="2">
        <f t="shared" si="3"/>
        <v>0</v>
      </c>
    </row>
    <row r="32" spans="1:15" x14ac:dyDescent="0.35">
      <c r="A32" s="70">
        <v>204816</v>
      </c>
      <c r="B32" s="69" t="s">
        <v>136</v>
      </c>
      <c r="C32" s="68" t="s">
        <v>134</v>
      </c>
      <c r="D32" s="69" t="s">
        <v>135</v>
      </c>
      <c r="E32" s="70" t="s">
        <v>15</v>
      </c>
      <c r="F32" s="70">
        <v>6603</v>
      </c>
      <c r="G32" s="69">
        <v>1026261501</v>
      </c>
      <c r="H32" s="71">
        <v>13354740</v>
      </c>
      <c r="I32" s="72">
        <f t="shared" si="0"/>
        <v>2537400.6</v>
      </c>
      <c r="J32" s="73">
        <f t="shared" si="1"/>
        <v>167468.43960000001</v>
      </c>
      <c r="K32" s="73">
        <f t="shared" si="2"/>
        <v>2369932.1604000004</v>
      </c>
      <c r="L32" s="74">
        <v>6.6000000000000003E-2</v>
      </c>
      <c r="M32" s="74">
        <v>0.93400000000000005</v>
      </c>
      <c r="N32" s="126">
        <f>+VLOOKUP([1]PRORRATEO!F32,[1]TODOS!H:T,8,0)</f>
        <v>20626238</v>
      </c>
      <c r="O32" s="126">
        <f t="shared" si="3"/>
        <v>7271498</v>
      </c>
    </row>
    <row r="33" spans="1:15" x14ac:dyDescent="0.35">
      <c r="A33" s="70">
        <v>204815</v>
      </c>
      <c r="B33" s="69" t="s">
        <v>137</v>
      </c>
      <c r="C33" s="68" t="s">
        <v>134</v>
      </c>
      <c r="D33" s="69" t="s">
        <v>135</v>
      </c>
      <c r="E33" s="70" t="s">
        <v>15</v>
      </c>
      <c r="F33" s="70">
        <v>6603</v>
      </c>
      <c r="G33" s="69">
        <v>1019012543</v>
      </c>
      <c r="H33" s="71">
        <v>13354740</v>
      </c>
      <c r="I33" s="72">
        <f t="shared" si="0"/>
        <v>2537400.6</v>
      </c>
      <c r="J33" s="73">
        <f t="shared" si="1"/>
        <v>167468.43960000001</v>
      </c>
      <c r="K33" s="73">
        <f t="shared" si="2"/>
        <v>2369932.1604000004</v>
      </c>
      <c r="L33" s="74">
        <v>6.6000000000000003E-2</v>
      </c>
      <c r="M33" s="74">
        <v>0.93400000000000005</v>
      </c>
      <c r="N33" s="126">
        <f>+VLOOKUP([1]PRORRATEO!F33,[1]TODOS!H:T,8,0)</f>
        <v>20626238</v>
      </c>
      <c r="O33" s="126">
        <f t="shared" si="3"/>
        <v>7271498</v>
      </c>
    </row>
    <row r="34" spans="1:15" x14ac:dyDescent="0.35">
      <c r="A34" s="70">
        <v>204522</v>
      </c>
      <c r="B34" s="69" t="s">
        <v>138</v>
      </c>
      <c r="C34" s="68" t="s">
        <v>134</v>
      </c>
      <c r="D34" s="69" t="s">
        <v>135</v>
      </c>
      <c r="E34" s="70" t="s">
        <v>15</v>
      </c>
      <c r="F34" s="70">
        <v>6603</v>
      </c>
      <c r="G34" s="69">
        <v>52415336</v>
      </c>
      <c r="H34" s="71">
        <v>20626238</v>
      </c>
      <c r="I34" s="72">
        <f>+H34*19%</f>
        <v>3918985.22</v>
      </c>
      <c r="J34" s="73">
        <f t="shared" si="1"/>
        <v>258653.02452000004</v>
      </c>
      <c r="K34" s="73">
        <f t="shared" si="2"/>
        <v>3660332.1954800002</v>
      </c>
      <c r="L34" s="74">
        <v>6.6000000000000003E-2</v>
      </c>
      <c r="M34" s="74">
        <v>0.93400000000000005</v>
      </c>
      <c r="N34" s="1">
        <f>+VLOOKUP([1]PRORRATEO!F34,[1]TODOS!H:T,8,0)</f>
        <v>20626238</v>
      </c>
      <c r="O34" s="2">
        <f t="shared" si="3"/>
        <v>0</v>
      </c>
    </row>
    <row r="35" spans="1:15" x14ac:dyDescent="0.35">
      <c r="A35" s="70">
        <v>366703</v>
      </c>
      <c r="B35" s="69" t="s">
        <v>139</v>
      </c>
      <c r="C35" s="68" t="s">
        <v>134</v>
      </c>
      <c r="D35" s="69" t="s">
        <v>135</v>
      </c>
      <c r="E35" s="70" t="s">
        <v>15</v>
      </c>
      <c r="F35" s="70">
        <v>6603</v>
      </c>
      <c r="G35" s="69">
        <v>901200161</v>
      </c>
      <c r="H35" s="71">
        <v>19606690</v>
      </c>
      <c r="I35" s="72">
        <f t="shared" si="0"/>
        <v>3725271.1</v>
      </c>
      <c r="J35" s="73">
        <f t="shared" si="1"/>
        <v>245867.89260000002</v>
      </c>
      <c r="K35" s="73">
        <f t="shared" si="2"/>
        <v>3479403.2074000002</v>
      </c>
      <c r="L35" s="74">
        <v>6.6000000000000003E-2</v>
      </c>
      <c r="M35" s="74">
        <v>0.93400000000000005</v>
      </c>
      <c r="N35" s="1">
        <f>+VLOOKUP([1]PRORRATEO!F35,[1]TODOS!H:T,8,0)</f>
        <v>20626238</v>
      </c>
      <c r="O35" s="2">
        <f t="shared" si="3"/>
        <v>1019548</v>
      </c>
    </row>
    <row r="36" spans="1:15" x14ac:dyDescent="0.35">
      <c r="A36" s="70">
        <v>204617</v>
      </c>
      <c r="B36" s="69" t="s">
        <v>140</v>
      </c>
      <c r="C36" s="68" t="s">
        <v>134</v>
      </c>
      <c r="D36" s="69" t="s">
        <v>135</v>
      </c>
      <c r="E36" s="70" t="s">
        <v>15</v>
      </c>
      <c r="F36" s="70">
        <v>6603</v>
      </c>
      <c r="G36" s="69" t="s">
        <v>141</v>
      </c>
      <c r="H36" s="71">
        <v>41252476</v>
      </c>
      <c r="I36" s="72">
        <f t="shared" si="0"/>
        <v>7837970.4400000004</v>
      </c>
      <c r="J36" s="73">
        <f t="shared" si="1"/>
        <v>517306.04904000007</v>
      </c>
      <c r="K36" s="73">
        <f t="shared" si="2"/>
        <v>7320664.3909600005</v>
      </c>
      <c r="L36" s="74">
        <v>6.6000000000000003E-2</v>
      </c>
      <c r="M36" s="74">
        <v>0.93400000000000005</v>
      </c>
      <c r="N36" s="126">
        <f>+VLOOKUP([1]PRORRATEO!F36,[1]TODOS!H:T,8,0)</f>
        <v>20626238</v>
      </c>
      <c r="O36" s="126">
        <f t="shared" si="3"/>
        <v>-20626238</v>
      </c>
    </row>
    <row r="37" spans="1:15" x14ac:dyDescent="0.35">
      <c r="A37" s="70">
        <v>208141</v>
      </c>
      <c r="B37" s="69" t="s">
        <v>145</v>
      </c>
      <c r="C37" s="68" t="s">
        <v>142</v>
      </c>
      <c r="D37" s="69" t="s">
        <v>143</v>
      </c>
      <c r="E37" s="70" t="s">
        <v>144</v>
      </c>
      <c r="F37" s="70">
        <v>6606</v>
      </c>
      <c r="G37" s="69" t="s">
        <v>146</v>
      </c>
      <c r="H37" s="71">
        <v>17205112</v>
      </c>
      <c r="I37" s="72">
        <f t="shared" si="0"/>
        <v>3268971.2800000003</v>
      </c>
      <c r="J37" s="73">
        <f t="shared" si="1"/>
        <v>209214.16192000001</v>
      </c>
      <c r="K37" s="73">
        <f t="shared" si="2"/>
        <v>3059757.1180800004</v>
      </c>
      <c r="L37" s="74">
        <v>6.4000000000000001E-2</v>
      </c>
      <c r="M37" s="74">
        <v>0.93600000000000005</v>
      </c>
      <c r="N37" s="1">
        <f>+VLOOKUP([1]PRORRATEO!F37,[1]TODOS!H:T,8,0)</f>
        <v>17205112</v>
      </c>
      <c r="O37" s="2">
        <f t="shared" si="3"/>
        <v>0</v>
      </c>
    </row>
    <row r="38" spans="1:15" x14ac:dyDescent="0.35">
      <c r="A38" s="70">
        <v>204531</v>
      </c>
      <c r="B38" s="69" t="s">
        <v>149</v>
      </c>
      <c r="C38" s="68" t="s">
        <v>147</v>
      </c>
      <c r="D38" s="69" t="s">
        <v>148</v>
      </c>
      <c r="E38" s="70" t="s">
        <v>15</v>
      </c>
      <c r="F38" s="70">
        <v>6617</v>
      </c>
      <c r="G38" s="69" t="s">
        <v>150</v>
      </c>
      <c r="H38" s="71">
        <v>9086819</v>
      </c>
      <c r="I38" s="72">
        <f t="shared" si="0"/>
        <v>1726495.61</v>
      </c>
      <c r="J38" s="73">
        <f t="shared" si="1"/>
        <v>86324.780500000008</v>
      </c>
      <c r="K38" s="73">
        <f t="shared" si="2"/>
        <v>1640170.8295</v>
      </c>
      <c r="L38" s="74">
        <v>0.05</v>
      </c>
      <c r="M38" s="74">
        <v>0.95</v>
      </c>
      <c r="N38" s="1">
        <f>+VLOOKUP([1]PRORRATEO!F38,[1]TODOS!H:T,8,0)</f>
        <v>9086819</v>
      </c>
      <c r="O38" s="2">
        <f t="shared" si="3"/>
        <v>0</v>
      </c>
    </row>
    <row r="39" spans="1:15" x14ac:dyDescent="0.35">
      <c r="A39" s="70">
        <v>205529</v>
      </c>
      <c r="B39" s="69" t="s">
        <v>153</v>
      </c>
      <c r="C39" s="68" t="s">
        <v>151</v>
      </c>
      <c r="D39" s="69" t="s">
        <v>152</v>
      </c>
      <c r="E39" s="70" t="s">
        <v>41</v>
      </c>
      <c r="F39" s="70">
        <v>6619</v>
      </c>
      <c r="G39" s="69">
        <v>9002479436</v>
      </c>
      <c r="H39" s="71">
        <v>11540440</v>
      </c>
      <c r="I39" s="72">
        <f t="shared" si="0"/>
        <v>2192683.6</v>
      </c>
      <c r="J39" s="73">
        <f t="shared" si="1"/>
        <v>120597.59800000001</v>
      </c>
      <c r="K39" s="73">
        <f t="shared" si="2"/>
        <v>2072086.0020000001</v>
      </c>
      <c r="L39" s="74">
        <v>5.5E-2</v>
      </c>
      <c r="M39" s="74">
        <v>0.94499999999999995</v>
      </c>
      <c r="N39" s="1">
        <f>+VLOOKUP([1]PRORRATEO!F39,[1]TODOS!H:T,8,0)</f>
        <v>11540440</v>
      </c>
      <c r="O39" s="2">
        <f t="shared" si="3"/>
        <v>0</v>
      </c>
    </row>
    <row r="40" spans="1:15" x14ac:dyDescent="0.35">
      <c r="A40" s="70" t="s">
        <v>156</v>
      </c>
      <c r="B40" s="69" t="s">
        <v>157</v>
      </c>
      <c r="C40" s="68" t="s">
        <v>154</v>
      </c>
      <c r="D40" s="69" t="s">
        <v>155</v>
      </c>
      <c r="E40" s="70" t="s">
        <v>144</v>
      </c>
      <c r="F40" s="70">
        <v>6620</v>
      </c>
      <c r="G40" s="69" t="s">
        <v>158</v>
      </c>
      <c r="H40" s="71">
        <v>11894700</v>
      </c>
      <c r="I40" s="72">
        <f t="shared" si="0"/>
        <v>2259993</v>
      </c>
      <c r="J40" s="73">
        <f t="shared" si="1"/>
        <v>171759.46799999999</v>
      </c>
      <c r="K40" s="73">
        <f t="shared" si="2"/>
        <v>2088233.5320000001</v>
      </c>
      <c r="L40" s="74">
        <v>7.5999999999999998E-2</v>
      </c>
      <c r="M40" s="74">
        <v>0.92400000000000004</v>
      </c>
      <c r="N40" s="1">
        <f>+VLOOKUP([1]PRORRATEO!F40,[1]TODOS!H:T,8,0)</f>
        <v>11894700</v>
      </c>
      <c r="O40" s="2">
        <f t="shared" si="3"/>
        <v>0</v>
      </c>
    </row>
    <row r="41" spans="1:15" x14ac:dyDescent="0.35">
      <c r="A41" s="70">
        <v>206218</v>
      </c>
      <c r="B41" s="69" t="s">
        <v>161</v>
      </c>
      <c r="C41" s="68" t="s">
        <v>159</v>
      </c>
      <c r="D41" s="69" t="s">
        <v>160</v>
      </c>
      <c r="E41" s="70" t="s">
        <v>144</v>
      </c>
      <c r="F41" s="70">
        <v>6621</v>
      </c>
      <c r="G41" s="69" t="s">
        <v>162</v>
      </c>
      <c r="H41" s="71">
        <v>8412379</v>
      </c>
      <c r="I41" s="72">
        <f t="shared" si="0"/>
        <v>1598352.01</v>
      </c>
      <c r="J41" s="73">
        <f t="shared" si="1"/>
        <v>121474.75276</v>
      </c>
      <c r="K41" s="73">
        <f t="shared" si="2"/>
        <v>1476877.2572400002</v>
      </c>
      <c r="L41" s="74">
        <v>7.5999999999999998E-2</v>
      </c>
      <c r="M41" s="74">
        <v>0.92400000000000004</v>
      </c>
      <c r="N41" s="1">
        <f>+VLOOKUP([1]PRORRATEO!F41,[1]TODOS!H:T,8,0)</f>
        <v>8412379</v>
      </c>
      <c r="O41" s="2">
        <f t="shared" si="3"/>
        <v>0</v>
      </c>
    </row>
    <row r="42" spans="1:15" x14ac:dyDescent="0.35">
      <c r="A42" s="70">
        <v>204516</v>
      </c>
      <c r="B42" s="69" t="s">
        <v>165</v>
      </c>
      <c r="C42" s="68" t="s">
        <v>163</v>
      </c>
      <c r="D42" s="69" t="s">
        <v>164</v>
      </c>
      <c r="E42" s="70" t="s">
        <v>15</v>
      </c>
      <c r="F42" s="70">
        <v>6623</v>
      </c>
      <c r="G42" s="69"/>
      <c r="H42" s="71">
        <v>6337200</v>
      </c>
      <c r="I42" s="72">
        <f t="shared" si="0"/>
        <v>1204068</v>
      </c>
      <c r="J42" s="73">
        <f t="shared" si="1"/>
        <v>101141.712</v>
      </c>
      <c r="K42" s="73">
        <f t="shared" si="2"/>
        <v>1102926.2879999999</v>
      </c>
      <c r="L42" s="74">
        <v>8.4000000000000005E-2</v>
      </c>
      <c r="M42" s="74">
        <v>0.91600000000000004</v>
      </c>
      <c r="N42" s="1">
        <f>+VLOOKUP([1]PRORRATEO!F42,[1]TODOS!H:T,8,0)</f>
        <v>6337200</v>
      </c>
      <c r="O42" s="2">
        <f t="shared" si="3"/>
        <v>0</v>
      </c>
    </row>
    <row r="43" spans="1:15" x14ac:dyDescent="0.35">
      <c r="A43" s="70">
        <v>204519</v>
      </c>
      <c r="B43" s="69" t="s">
        <v>166</v>
      </c>
      <c r="C43" s="68" t="s">
        <v>163</v>
      </c>
      <c r="D43" s="69" t="s">
        <v>164</v>
      </c>
      <c r="E43" s="70" t="s">
        <v>15</v>
      </c>
      <c r="F43" s="70">
        <v>6623</v>
      </c>
      <c r="G43" s="69">
        <v>41437669</v>
      </c>
      <c r="H43" s="71">
        <v>6337200</v>
      </c>
      <c r="I43" s="72">
        <f t="shared" si="0"/>
        <v>1204068</v>
      </c>
      <c r="J43" s="73">
        <f t="shared" si="1"/>
        <v>101141.712</v>
      </c>
      <c r="K43" s="73">
        <f t="shared" si="2"/>
        <v>1102926.2879999999</v>
      </c>
      <c r="L43" s="74">
        <v>8.4000000000000005E-2</v>
      </c>
      <c r="M43" s="74">
        <v>0.91600000000000004</v>
      </c>
      <c r="N43" s="1">
        <f>+VLOOKUP([1]PRORRATEO!F43,[1]TODOS!H:T,8,0)</f>
        <v>6337200</v>
      </c>
      <c r="O43" s="2">
        <f t="shared" si="3"/>
        <v>0</v>
      </c>
    </row>
    <row r="44" spans="1:15" x14ac:dyDescent="0.35">
      <c r="A44" s="70">
        <v>204545</v>
      </c>
      <c r="B44" s="69" t="s">
        <v>169</v>
      </c>
      <c r="C44" s="68" t="s">
        <v>167</v>
      </c>
      <c r="D44" s="69" t="s">
        <v>168</v>
      </c>
      <c r="E44" s="70" t="s">
        <v>15</v>
      </c>
      <c r="F44" s="70">
        <v>6626</v>
      </c>
      <c r="G44" s="69" t="s">
        <v>170</v>
      </c>
      <c r="H44" s="71">
        <v>15101403</v>
      </c>
      <c r="I44" s="72">
        <f t="shared" si="0"/>
        <v>2869266.57</v>
      </c>
      <c r="J44" s="73">
        <f t="shared" si="1"/>
        <v>229541.32559999998</v>
      </c>
      <c r="K44" s="73">
        <f t="shared" si="2"/>
        <v>2639725.2443999997</v>
      </c>
      <c r="L44" s="74">
        <v>0.08</v>
      </c>
      <c r="M44" s="74">
        <v>0.92</v>
      </c>
      <c r="N44" s="1">
        <f>+VLOOKUP([1]PRORRATEO!F44,[1]TODOS!H:T,8,0)</f>
        <v>15101403</v>
      </c>
      <c r="O44" s="2">
        <f t="shared" si="3"/>
        <v>0</v>
      </c>
    </row>
    <row r="45" spans="1:15" x14ac:dyDescent="0.35">
      <c r="A45" s="70">
        <v>204515</v>
      </c>
      <c r="B45" s="69" t="s">
        <v>173</v>
      </c>
      <c r="C45" s="68" t="s">
        <v>171</v>
      </c>
      <c r="D45" s="69" t="s">
        <v>172</v>
      </c>
      <c r="E45" s="70" t="s">
        <v>15</v>
      </c>
      <c r="F45" s="70">
        <v>6627</v>
      </c>
      <c r="G45" s="69" t="s">
        <v>174</v>
      </c>
      <c r="H45" s="71">
        <v>14489143</v>
      </c>
      <c r="I45" s="72">
        <f t="shared" si="0"/>
        <v>2752937.17</v>
      </c>
      <c r="J45" s="73">
        <f t="shared" si="1"/>
        <v>352375.95776000002</v>
      </c>
      <c r="K45" s="73">
        <f t="shared" si="2"/>
        <v>2400561.2122399998</v>
      </c>
      <c r="L45" s="74">
        <v>0.128</v>
      </c>
      <c r="M45" s="74">
        <v>0.872</v>
      </c>
      <c r="N45" s="1">
        <f>+VLOOKUP([1]PRORRATEO!F45,[1]TODOS!H:T,8,0)</f>
        <v>14489143</v>
      </c>
      <c r="O45" s="2">
        <f t="shared" si="3"/>
        <v>0</v>
      </c>
    </row>
    <row r="46" spans="1:15" x14ac:dyDescent="0.35">
      <c r="A46" s="70">
        <v>206755</v>
      </c>
      <c r="B46" s="69" t="s">
        <v>177</v>
      </c>
      <c r="C46" s="68" t="s">
        <v>175</v>
      </c>
      <c r="D46" s="69" t="s">
        <v>176</v>
      </c>
      <c r="E46" s="70" t="s">
        <v>15</v>
      </c>
      <c r="F46" s="70">
        <v>6629</v>
      </c>
      <c r="G46" s="69" t="s">
        <v>178</v>
      </c>
      <c r="H46" s="71">
        <v>8141716</v>
      </c>
      <c r="I46" s="72">
        <f t="shared" si="0"/>
        <v>1546926.04</v>
      </c>
      <c r="J46" s="73">
        <f t="shared" si="1"/>
        <v>67460.517265300994</v>
      </c>
      <c r="K46" s="73">
        <f t="shared" si="2"/>
        <v>1479465.5227346993</v>
      </c>
      <c r="L46" s="74">
        <v>4.3609400527837128E-2</v>
      </c>
      <c r="M46" s="74">
        <v>0.95639059947216298</v>
      </c>
      <c r="N46" s="1">
        <f>+VLOOKUP([1]PRORRATEO!F46,[1]TODOS!H:T,8,0)</f>
        <v>8141716</v>
      </c>
      <c r="O46" s="2">
        <f t="shared" si="3"/>
        <v>0</v>
      </c>
    </row>
    <row r="47" spans="1:15" x14ac:dyDescent="0.35">
      <c r="A47" s="70">
        <v>206286</v>
      </c>
      <c r="B47" s="69" t="s">
        <v>181</v>
      </c>
      <c r="C47" s="70" t="s">
        <v>179</v>
      </c>
      <c r="D47" s="69" t="s">
        <v>180</v>
      </c>
      <c r="E47" s="70" t="s">
        <v>15</v>
      </c>
      <c r="F47" s="70">
        <v>6632</v>
      </c>
      <c r="G47" s="69" t="s">
        <v>182</v>
      </c>
      <c r="H47" s="73">
        <v>25832541</v>
      </c>
      <c r="I47" s="73">
        <f t="shared" si="0"/>
        <v>4908182.79</v>
      </c>
      <c r="J47" s="73">
        <f t="shared" si="1"/>
        <v>389888.62090827333</v>
      </c>
      <c r="K47" s="73">
        <f t="shared" si="2"/>
        <v>4518294.1690917267</v>
      </c>
      <c r="L47" s="74">
        <v>7.9436450839328529E-2</v>
      </c>
      <c r="M47" s="74">
        <v>0.9205635491606714</v>
      </c>
      <c r="N47" s="126">
        <f>+VLOOKUP([1]PRORRATEO!F47,[1]TODOS!H:T,8,0)</f>
        <v>25832541</v>
      </c>
      <c r="O47" s="126">
        <f t="shared" si="3"/>
        <v>0</v>
      </c>
    </row>
    <row r="48" spans="1:15" x14ac:dyDescent="0.35">
      <c r="A48" s="102">
        <v>204588</v>
      </c>
      <c r="B48" s="101" t="s">
        <v>185</v>
      </c>
      <c r="C48" s="100" t="s">
        <v>183</v>
      </c>
      <c r="D48" s="101" t="s">
        <v>184</v>
      </c>
      <c r="E48" s="102" t="s">
        <v>41</v>
      </c>
      <c r="F48" s="102">
        <v>6636</v>
      </c>
      <c r="G48" s="101" t="s">
        <v>186</v>
      </c>
      <c r="H48" s="72">
        <v>16023627</v>
      </c>
      <c r="I48" s="72">
        <f t="shared" si="0"/>
        <v>3044489.13</v>
      </c>
      <c r="J48" s="103">
        <f t="shared" si="1"/>
        <v>191717.36649950134</v>
      </c>
      <c r="K48" s="103">
        <f t="shared" si="2"/>
        <v>2852771.7635004986</v>
      </c>
      <c r="L48" s="98">
        <v>6.29719333238353E-2</v>
      </c>
      <c r="M48" s="104">
        <v>0.93702806667616478</v>
      </c>
      <c r="N48" s="126">
        <f>+VLOOKUP([1]PRORRATEO!F48,[1]TODOS!H:T,8,0)</f>
        <v>16023627</v>
      </c>
      <c r="O48" s="126">
        <f t="shared" si="3"/>
        <v>0</v>
      </c>
    </row>
    <row r="49" spans="1:15" x14ac:dyDescent="0.35">
      <c r="A49" s="70">
        <v>204631</v>
      </c>
      <c r="B49" s="69" t="s">
        <v>190</v>
      </c>
      <c r="C49" s="68" t="s">
        <v>187</v>
      </c>
      <c r="D49" s="69" t="s">
        <v>188</v>
      </c>
      <c r="E49" s="70" t="s">
        <v>189</v>
      </c>
      <c r="F49" s="70">
        <v>6638</v>
      </c>
      <c r="G49" s="69" t="s">
        <v>191</v>
      </c>
      <c r="H49" s="71">
        <v>17000000</v>
      </c>
      <c r="I49" s="72">
        <f t="shared" si="0"/>
        <v>3230000</v>
      </c>
      <c r="J49" s="73">
        <f>+I49*L49</f>
        <v>131793.4306569343</v>
      </c>
      <c r="K49" s="73">
        <f t="shared" si="2"/>
        <v>3098206.5693430658</v>
      </c>
      <c r="L49" s="74">
        <v>4.0802919708029198E-2</v>
      </c>
      <c r="M49" s="74">
        <v>0.95919708029197082</v>
      </c>
      <c r="N49" s="1">
        <f>+VLOOKUP([1]PRORRATEO!F49,[1]TODOS!H:T,8,0)</f>
        <v>17000000</v>
      </c>
      <c r="O49" s="2">
        <f t="shared" si="3"/>
        <v>0</v>
      </c>
    </row>
    <row r="50" spans="1:15" x14ac:dyDescent="0.35">
      <c r="A50" s="70">
        <v>204900</v>
      </c>
      <c r="B50" s="69" t="s">
        <v>195</v>
      </c>
      <c r="C50" s="68" t="s">
        <v>192</v>
      </c>
      <c r="D50" s="69" t="s">
        <v>193</v>
      </c>
      <c r="E50" s="70" t="s">
        <v>194</v>
      </c>
      <c r="F50" s="70">
        <v>6640</v>
      </c>
      <c r="G50" s="69" t="s">
        <v>196</v>
      </c>
      <c r="H50" s="71">
        <v>5649396</v>
      </c>
      <c r="I50" s="72">
        <f t="shared" si="0"/>
        <v>1073385.24</v>
      </c>
      <c r="J50" s="73">
        <f t="shared" si="1"/>
        <v>94890.773637943901</v>
      </c>
      <c r="K50" s="73">
        <f t="shared" si="2"/>
        <v>978494.46636205621</v>
      </c>
      <c r="L50" s="74">
        <v>8.8403277874348166E-2</v>
      </c>
      <c r="M50" s="74">
        <v>0.9115967221256519</v>
      </c>
      <c r="N50" s="1">
        <f>+VLOOKUP([1]PRORRATEO!F50,[1]TODOS!H:T,8,0)</f>
        <v>5649396</v>
      </c>
      <c r="O50" s="2">
        <f t="shared" si="3"/>
        <v>0</v>
      </c>
    </row>
    <row r="51" spans="1:15" ht="14.5" x14ac:dyDescent="0.35">
      <c r="A51" s="70">
        <v>204578</v>
      </c>
      <c r="B51" s="69" t="s">
        <v>199</v>
      </c>
      <c r="C51" s="68" t="s">
        <v>197</v>
      </c>
      <c r="D51" s="69" t="s">
        <v>198</v>
      </c>
      <c r="E51" s="70" t="s">
        <v>15</v>
      </c>
      <c r="F51" s="70">
        <v>6652</v>
      </c>
      <c r="G51" s="69" t="s">
        <v>200</v>
      </c>
      <c r="H51" s="71">
        <v>15871587</v>
      </c>
      <c r="I51" s="72">
        <f t="shared" si="0"/>
        <v>3015601.5300000003</v>
      </c>
      <c r="J51" s="73">
        <f t="shared" si="1"/>
        <v>160005.1278447978</v>
      </c>
      <c r="K51" s="73">
        <f t="shared" si="2"/>
        <v>2855596.4021552023</v>
      </c>
      <c r="L51" s="87">
        <v>5.3059108192188037E-2</v>
      </c>
      <c r="M51" s="74">
        <v>0.94694089180781194</v>
      </c>
      <c r="N51" s="1">
        <f>+VLOOKUP([1]PRORRATEO!F51,[1]TODOS!H:T,8,0)</f>
        <v>15871587</v>
      </c>
      <c r="O51" s="2">
        <f t="shared" si="3"/>
        <v>0</v>
      </c>
    </row>
    <row r="52" spans="1:15" ht="14.5" x14ac:dyDescent="0.35">
      <c r="A52" s="70">
        <v>204583</v>
      </c>
      <c r="B52" s="69" t="s">
        <v>203</v>
      </c>
      <c r="C52" s="68" t="s">
        <v>201</v>
      </c>
      <c r="D52" s="69" t="s">
        <v>202</v>
      </c>
      <c r="E52" s="70" t="s">
        <v>30</v>
      </c>
      <c r="F52" s="70">
        <v>6660</v>
      </c>
      <c r="G52" s="69" t="s">
        <v>204</v>
      </c>
      <c r="H52" s="71">
        <v>11518362</v>
      </c>
      <c r="I52" s="72">
        <f t="shared" si="0"/>
        <v>2188488.7799999998</v>
      </c>
      <c r="J52" s="73">
        <f t="shared" si="1"/>
        <v>204784.43739406776</v>
      </c>
      <c r="K52" s="73">
        <f t="shared" si="2"/>
        <v>1983704.3426059322</v>
      </c>
      <c r="L52" s="87">
        <v>9.3573446327683607E-2</v>
      </c>
      <c r="M52" s="74">
        <v>0.90642655367231639</v>
      </c>
      <c r="N52" s="1">
        <f>+VLOOKUP([1]PRORRATEO!F52,[1]TODOS!H:T,8,0)</f>
        <v>11518362</v>
      </c>
      <c r="O52" s="2">
        <f t="shared" si="3"/>
        <v>0</v>
      </c>
    </row>
    <row r="53" spans="1:15" x14ac:dyDescent="0.35">
      <c r="A53" s="70">
        <v>204593</v>
      </c>
      <c r="B53" s="69" t="s">
        <v>207</v>
      </c>
      <c r="C53" s="68" t="s">
        <v>205</v>
      </c>
      <c r="D53" s="69" t="s">
        <v>206</v>
      </c>
      <c r="E53" s="70" t="s">
        <v>34</v>
      </c>
      <c r="F53" s="70">
        <v>6686</v>
      </c>
      <c r="G53" s="69" t="s">
        <v>208</v>
      </c>
      <c r="H53" s="72">
        <v>10645227</v>
      </c>
      <c r="I53" s="72">
        <f>+H53*19%</f>
        <v>2022593.1300000001</v>
      </c>
      <c r="J53" s="73">
        <f t="shared" si="1"/>
        <v>139963.44459600002</v>
      </c>
      <c r="K53" s="73">
        <f t="shared" si="2"/>
        <v>1882629.6854040003</v>
      </c>
      <c r="L53" s="74">
        <v>6.9199999999999998E-2</v>
      </c>
      <c r="M53" s="74">
        <v>0.93080000000000007</v>
      </c>
      <c r="N53" s="1">
        <f>+VLOOKUP([1]PRORRATEO!F53,[1]TODOS!H:T,8,0)</f>
        <v>10645227</v>
      </c>
      <c r="O53" s="2">
        <f t="shared" si="3"/>
        <v>0</v>
      </c>
    </row>
    <row r="54" spans="1:15" x14ac:dyDescent="0.35">
      <c r="A54" s="70">
        <v>204570</v>
      </c>
      <c r="B54" s="69" t="s">
        <v>211</v>
      </c>
      <c r="C54" s="68" t="s">
        <v>209</v>
      </c>
      <c r="D54" s="69" t="s">
        <v>210</v>
      </c>
      <c r="E54" s="70" t="s">
        <v>15</v>
      </c>
      <c r="F54" s="70">
        <v>6687</v>
      </c>
      <c r="G54" s="69" t="s">
        <v>212</v>
      </c>
      <c r="H54" s="71">
        <v>17578142</v>
      </c>
      <c r="I54" s="72">
        <f t="shared" si="0"/>
        <v>3339846.98</v>
      </c>
      <c r="J54" s="73">
        <f t="shared" si="1"/>
        <v>321139.1326923077</v>
      </c>
      <c r="K54" s="73">
        <f t="shared" si="2"/>
        <v>3018707.8473076923</v>
      </c>
      <c r="L54" s="74">
        <v>9.6153846153846159E-2</v>
      </c>
      <c r="M54" s="74">
        <v>0.90384615384615385</v>
      </c>
      <c r="N54" s="1">
        <f>+VLOOKUP([1]PRORRATEO!F54,[1]TODOS!H:T,8,0)</f>
        <v>17578142</v>
      </c>
      <c r="O54" s="2">
        <f t="shared" si="3"/>
        <v>0</v>
      </c>
    </row>
    <row r="55" spans="1:15" x14ac:dyDescent="0.35">
      <c r="A55" s="70">
        <v>207634</v>
      </c>
      <c r="B55" s="69" t="s">
        <v>215</v>
      </c>
      <c r="C55" s="68" t="s">
        <v>213</v>
      </c>
      <c r="D55" s="69" t="s">
        <v>214</v>
      </c>
      <c r="E55" s="70" t="s">
        <v>34</v>
      </c>
      <c r="F55" s="70">
        <v>6688</v>
      </c>
      <c r="G55" s="69" t="s">
        <v>216</v>
      </c>
      <c r="H55" s="71">
        <v>21214110</v>
      </c>
      <c r="I55" s="72">
        <f t="shared" si="0"/>
        <v>4030680.9</v>
      </c>
      <c r="J55" s="73">
        <f t="shared" si="1"/>
        <v>460797.17418111756</v>
      </c>
      <c r="K55" s="73">
        <f t="shared" si="2"/>
        <v>3569883.7258188822</v>
      </c>
      <c r="L55" s="74">
        <v>0.11432241490044959</v>
      </c>
      <c r="M55" s="74">
        <v>0.88567758509955041</v>
      </c>
      <c r="N55" s="1">
        <f>+VLOOKUP([1]PRORRATEO!F55,[1]TODOS!H:T,8,0)</f>
        <v>21214110</v>
      </c>
      <c r="O55" s="2">
        <f t="shared" si="3"/>
        <v>0</v>
      </c>
    </row>
    <row r="56" spans="1:15" x14ac:dyDescent="0.35">
      <c r="A56" s="70">
        <v>204942</v>
      </c>
      <c r="B56" s="69" t="s">
        <v>219</v>
      </c>
      <c r="C56" s="68" t="s">
        <v>217</v>
      </c>
      <c r="D56" s="69" t="s">
        <v>218</v>
      </c>
      <c r="E56" s="70" t="s">
        <v>118</v>
      </c>
      <c r="F56" s="70">
        <v>6692</v>
      </c>
      <c r="G56" s="69">
        <v>8050305871</v>
      </c>
      <c r="H56" s="71">
        <v>15240965</v>
      </c>
      <c r="I56" s="72">
        <f t="shared" si="0"/>
        <v>2895783.35</v>
      </c>
      <c r="J56" s="73">
        <f t="shared" si="1"/>
        <v>266659.5561540777</v>
      </c>
      <c r="K56" s="73">
        <f t="shared" si="2"/>
        <v>2629123.7938459227</v>
      </c>
      <c r="L56" s="74">
        <v>9.2085464941318099E-2</v>
      </c>
      <c r="M56" s="74">
        <v>0.90791453505868203</v>
      </c>
      <c r="N56" s="1">
        <f>+VLOOKUP([1]PRORRATEO!F56,[1]TODOS!H:T,8,0)</f>
        <v>15240965</v>
      </c>
      <c r="O56" s="2">
        <f t="shared" si="3"/>
        <v>0</v>
      </c>
    </row>
    <row r="57" spans="1:15" x14ac:dyDescent="0.35">
      <c r="A57" s="70">
        <v>208499</v>
      </c>
      <c r="B57" s="69" t="s">
        <v>222</v>
      </c>
      <c r="C57" s="68" t="s">
        <v>220</v>
      </c>
      <c r="D57" s="69" t="s">
        <v>221</v>
      </c>
      <c r="E57" s="70" t="s">
        <v>15</v>
      </c>
      <c r="F57" s="70">
        <v>6693</v>
      </c>
      <c r="G57" s="69" t="s">
        <v>223</v>
      </c>
      <c r="H57" s="71">
        <v>23669640</v>
      </c>
      <c r="I57" s="72">
        <f t="shared" si="0"/>
        <v>4497231.5999999996</v>
      </c>
      <c r="J57" s="73">
        <f t="shared" si="1"/>
        <v>218113.55581800579</v>
      </c>
      <c r="K57" s="73">
        <f t="shared" si="2"/>
        <v>4279118.0441819942</v>
      </c>
      <c r="L57" s="74">
        <v>4.849951597289448E-2</v>
      </c>
      <c r="M57" s="74">
        <v>0.95150048402710552</v>
      </c>
      <c r="N57" s="126">
        <f>+VLOOKUP([1]PRORRATEO!F57,[1]TODOS!H:T,8,0)</f>
        <v>23669640</v>
      </c>
      <c r="O57" s="126">
        <f t="shared" si="3"/>
        <v>0</v>
      </c>
    </row>
    <row r="58" spans="1:15" x14ac:dyDescent="0.35">
      <c r="A58" s="70">
        <v>207634</v>
      </c>
      <c r="B58" s="69" t="s">
        <v>226</v>
      </c>
      <c r="C58" s="68" t="s">
        <v>224</v>
      </c>
      <c r="D58" s="69" t="s">
        <v>225</v>
      </c>
      <c r="E58" s="70" t="s">
        <v>41</v>
      </c>
      <c r="F58" s="70">
        <v>6699</v>
      </c>
      <c r="G58" s="69" t="s">
        <v>216</v>
      </c>
      <c r="H58" s="71">
        <v>29641526</v>
      </c>
      <c r="I58" s="72">
        <f t="shared" si="0"/>
        <v>5631889.9400000004</v>
      </c>
      <c r="J58" s="73">
        <f t="shared" si="1"/>
        <v>309753.94670000003</v>
      </c>
      <c r="K58" s="73">
        <f t="shared" si="2"/>
        <v>5322135.9933000002</v>
      </c>
      <c r="L58" s="74">
        <v>5.5E-2</v>
      </c>
      <c r="M58" s="74">
        <v>0.94499999999999995</v>
      </c>
      <c r="N58" s="126">
        <f>+VLOOKUP([1]PRORRATEO!F58,[1]TODOS!H:T,8,0)</f>
        <v>29641526</v>
      </c>
      <c r="O58" s="126">
        <f t="shared" si="3"/>
        <v>0</v>
      </c>
    </row>
    <row r="59" spans="1:15" x14ac:dyDescent="0.35">
      <c r="A59" s="70">
        <v>207634</v>
      </c>
      <c r="B59" s="69" t="s">
        <v>229</v>
      </c>
      <c r="C59" s="68" t="s">
        <v>227</v>
      </c>
      <c r="D59" s="69" t="s">
        <v>228</v>
      </c>
      <c r="E59" s="70" t="s">
        <v>15</v>
      </c>
      <c r="F59" s="70">
        <v>6700</v>
      </c>
      <c r="G59" s="69" t="s">
        <v>216</v>
      </c>
      <c r="H59" s="71">
        <v>24244695</v>
      </c>
      <c r="I59" s="72">
        <f t="shared" si="0"/>
        <v>4606492.05</v>
      </c>
      <c r="J59" s="73">
        <f t="shared" si="1"/>
        <v>488288.15729999996</v>
      </c>
      <c r="K59" s="73">
        <f t="shared" si="2"/>
        <v>4118203.8926999997</v>
      </c>
      <c r="L59" s="74">
        <v>0.106</v>
      </c>
      <c r="M59" s="74">
        <v>0.89400000000000002</v>
      </c>
      <c r="N59" s="126">
        <f>+VLOOKUP([1]PRORRATEO!F59,[1]TODOS!H:T,8,0)</f>
        <v>24244695</v>
      </c>
      <c r="O59" s="126">
        <f t="shared" si="3"/>
        <v>0</v>
      </c>
    </row>
    <row r="60" spans="1:15" x14ac:dyDescent="0.35">
      <c r="A60" s="70">
        <v>204603</v>
      </c>
      <c r="B60" s="69" t="s">
        <v>232</v>
      </c>
      <c r="C60" s="68" t="s">
        <v>230</v>
      </c>
      <c r="D60" s="69" t="s">
        <v>231</v>
      </c>
      <c r="E60" s="70" t="s">
        <v>15</v>
      </c>
      <c r="F60" s="70">
        <v>6701</v>
      </c>
      <c r="G60" s="69" t="s">
        <v>233</v>
      </c>
      <c r="H60" s="71">
        <v>14889000</v>
      </c>
      <c r="I60" s="72">
        <f t="shared" si="0"/>
        <v>2828910</v>
      </c>
      <c r="J60" s="73">
        <f t="shared" si="1"/>
        <v>115985.31</v>
      </c>
      <c r="K60" s="73">
        <f t="shared" si="2"/>
        <v>2712924.69</v>
      </c>
      <c r="L60" s="74">
        <v>4.1000000000000002E-2</v>
      </c>
      <c r="M60" s="74">
        <v>0.95899999999999996</v>
      </c>
      <c r="N60" s="1">
        <f>+VLOOKUP([1]PRORRATEO!F60,[1]TODOS!H:T,8,0)</f>
        <v>14889000</v>
      </c>
      <c r="O60" s="2">
        <f t="shared" si="3"/>
        <v>0</v>
      </c>
    </row>
    <row r="61" spans="1:15" x14ac:dyDescent="0.35">
      <c r="A61" s="70">
        <v>204551</v>
      </c>
      <c r="B61" s="69" t="s">
        <v>237</v>
      </c>
      <c r="C61" s="68" t="s">
        <v>234</v>
      </c>
      <c r="D61" s="69" t="s">
        <v>235</v>
      </c>
      <c r="E61" s="70" t="s">
        <v>236</v>
      </c>
      <c r="F61" s="70">
        <v>6711</v>
      </c>
      <c r="G61" s="69">
        <v>8110355281</v>
      </c>
      <c r="H61" s="71">
        <v>12101549</v>
      </c>
      <c r="I61" s="72">
        <f t="shared" si="0"/>
        <v>2299294.31</v>
      </c>
      <c r="J61" s="73">
        <f t="shared" si="1"/>
        <v>158651.30739000003</v>
      </c>
      <c r="K61" s="73">
        <f t="shared" si="2"/>
        <v>2140643.0026100003</v>
      </c>
      <c r="L61" s="74">
        <v>6.9000000000000006E-2</v>
      </c>
      <c r="M61" s="74">
        <v>0.93100000000000005</v>
      </c>
      <c r="N61" s="1">
        <f>+VLOOKUP([1]PRORRATEO!F61,[1]TODOS!H:T,8,0)</f>
        <v>12101549</v>
      </c>
      <c r="O61" s="2">
        <f t="shared" si="3"/>
        <v>0</v>
      </c>
    </row>
    <row r="62" spans="1:15" x14ac:dyDescent="0.35">
      <c r="A62" s="70">
        <v>204634</v>
      </c>
      <c r="B62" s="69" t="s">
        <v>240</v>
      </c>
      <c r="C62" s="68" t="s">
        <v>238</v>
      </c>
      <c r="D62" s="69" t="s">
        <v>239</v>
      </c>
      <c r="E62" s="70" t="s">
        <v>30</v>
      </c>
      <c r="F62" s="70">
        <v>6714</v>
      </c>
      <c r="G62" s="69" t="s">
        <v>241</v>
      </c>
      <c r="H62" s="71">
        <v>11203043</v>
      </c>
      <c r="I62" s="72">
        <f t="shared" si="0"/>
        <v>2128578.17</v>
      </c>
      <c r="J62" s="73">
        <f>+I62*L62</f>
        <v>170286.2536</v>
      </c>
      <c r="K62" s="73">
        <f t="shared" si="2"/>
        <v>1958291.9164</v>
      </c>
      <c r="L62" s="74">
        <v>0.08</v>
      </c>
      <c r="M62" s="74">
        <v>0.92</v>
      </c>
      <c r="N62" s="1">
        <f>+VLOOKUP([1]PRORRATEO!F62,[1]TODOS!H:T,8,0)</f>
        <v>11203043</v>
      </c>
      <c r="O62" s="2">
        <f t="shared" si="3"/>
        <v>0</v>
      </c>
    </row>
    <row r="63" spans="1:15" x14ac:dyDescent="0.35">
      <c r="A63" s="70">
        <v>204523</v>
      </c>
      <c r="B63" s="69" t="s">
        <v>245</v>
      </c>
      <c r="C63" s="68" t="s">
        <v>242</v>
      </c>
      <c r="D63" s="69" t="s">
        <v>243</v>
      </c>
      <c r="E63" s="70" t="s">
        <v>244</v>
      </c>
      <c r="F63" s="70">
        <v>6715</v>
      </c>
      <c r="G63" s="69" t="s">
        <v>246</v>
      </c>
      <c r="H63" s="71">
        <v>17158194</v>
      </c>
      <c r="I63" s="72">
        <f t="shared" si="0"/>
        <v>3260056.86</v>
      </c>
      <c r="J63" s="73">
        <f t="shared" si="1"/>
        <v>166262.89985999998</v>
      </c>
      <c r="K63" s="73">
        <f t="shared" si="2"/>
        <v>3093793.9601399996</v>
      </c>
      <c r="L63" s="74">
        <v>5.0999999999999997E-2</v>
      </c>
      <c r="M63" s="74">
        <v>0.94899999999999995</v>
      </c>
      <c r="N63" s="1">
        <f>+VLOOKUP([1]PRORRATEO!F63,[1]TODOS!H:T,8,0)</f>
        <v>17158194</v>
      </c>
      <c r="O63" s="2">
        <f t="shared" si="3"/>
        <v>0</v>
      </c>
    </row>
    <row r="64" spans="1:15" x14ac:dyDescent="0.35">
      <c r="A64" s="6">
        <v>204550</v>
      </c>
      <c r="B64" s="7" t="s">
        <v>249</v>
      </c>
      <c r="C64" s="99" t="s">
        <v>247</v>
      </c>
      <c r="D64" s="7" t="s">
        <v>248</v>
      </c>
      <c r="E64" s="6" t="s">
        <v>194</v>
      </c>
      <c r="F64" s="6">
        <v>6716</v>
      </c>
      <c r="G64" s="7" t="s">
        <v>250</v>
      </c>
      <c r="H64" s="10">
        <v>12654187</v>
      </c>
      <c r="I64" s="9">
        <f t="shared" si="0"/>
        <v>2404295.5300000003</v>
      </c>
      <c r="J64" s="8">
        <f t="shared" si="1"/>
        <v>0</v>
      </c>
      <c r="K64" s="8">
        <f t="shared" si="2"/>
        <v>0</v>
      </c>
      <c r="L64" s="65"/>
      <c r="M64" s="65"/>
      <c r="N64" s="1">
        <f>+VLOOKUP([1]PRORRATEO!F64,[1]TODOS!H:T,8,0)</f>
        <v>12654187</v>
      </c>
      <c r="O64" s="2">
        <f t="shared" si="3"/>
        <v>0</v>
      </c>
    </row>
    <row r="65" spans="1:15" x14ac:dyDescent="0.35">
      <c r="A65" s="70">
        <v>207634</v>
      </c>
      <c r="B65" s="69" t="s">
        <v>253</v>
      </c>
      <c r="C65" s="68" t="s">
        <v>251</v>
      </c>
      <c r="D65" s="69" t="s">
        <v>252</v>
      </c>
      <c r="E65" s="70" t="s">
        <v>15</v>
      </c>
      <c r="F65" s="70">
        <v>6717</v>
      </c>
      <c r="G65" s="69" t="s">
        <v>216</v>
      </c>
      <c r="H65" s="71">
        <v>18577600</v>
      </c>
      <c r="I65" s="72">
        <f t="shared" si="0"/>
        <v>3529744</v>
      </c>
      <c r="J65" s="73">
        <f t="shared" si="1"/>
        <v>363563.63199999998</v>
      </c>
      <c r="K65" s="73">
        <f t="shared" si="2"/>
        <v>3166180.3680000002</v>
      </c>
      <c r="L65" s="74">
        <v>0.10299999999999999</v>
      </c>
      <c r="M65" s="74">
        <v>0.89700000000000002</v>
      </c>
      <c r="N65" s="1">
        <f>+VLOOKUP([1]PRORRATEO!F65,[1]TODOS!H:T,8,0)</f>
        <v>18577600</v>
      </c>
      <c r="O65" s="2">
        <f t="shared" si="3"/>
        <v>0</v>
      </c>
    </row>
    <row r="66" spans="1:15" x14ac:dyDescent="0.35">
      <c r="A66" s="70">
        <v>207634</v>
      </c>
      <c r="B66" s="69" t="s">
        <v>256</v>
      </c>
      <c r="C66" s="68" t="s">
        <v>254</v>
      </c>
      <c r="D66" s="69" t="s">
        <v>255</v>
      </c>
      <c r="E66" s="70" t="s">
        <v>41</v>
      </c>
      <c r="F66" s="70">
        <v>6759</v>
      </c>
      <c r="G66" s="69" t="s">
        <v>216</v>
      </c>
      <c r="H66" s="71">
        <v>16280378</v>
      </c>
      <c r="I66" s="72">
        <f t="shared" ref="I66:I103" si="4">+H66*19%</f>
        <v>3093271.82</v>
      </c>
      <c r="J66" s="73">
        <f t="shared" ref="J66:J103" si="5">+I66*L66</f>
        <v>191782.85283999998</v>
      </c>
      <c r="K66" s="73">
        <f t="shared" ref="K66:K103" si="6">+I66*M66</f>
        <v>2901488.9671599995</v>
      </c>
      <c r="L66" s="74">
        <v>6.2E-2</v>
      </c>
      <c r="M66" s="74">
        <v>0.93799999999999994</v>
      </c>
      <c r="N66" s="1">
        <f>+VLOOKUP([1]PRORRATEO!F66,[1]TODOS!H:T,8,0)</f>
        <v>16280378</v>
      </c>
      <c r="O66" s="2">
        <f t="shared" si="3"/>
        <v>0</v>
      </c>
    </row>
    <row r="67" spans="1:15" x14ac:dyDescent="0.35">
      <c r="A67" s="70">
        <v>207634</v>
      </c>
      <c r="B67" s="69" t="s">
        <v>259</v>
      </c>
      <c r="C67" s="68" t="s">
        <v>257</v>
      </c>
      <c r="D67" s="69" t="s">
        <v>258</v>
      </c>
      <c r="E67" s="70" t="s">
        <v>30</v>
      </c>
      <c r="F67" s="70">
        <v>6760</v>
      </c>
      <c r="G67" s="69" t="s">
        <v>216</v>
      </c>
      <c r="H67" s="71">
        <v>17558152</v>
      </c>
      <c r="I67" s="72">
        <f t="shared" si="4"/>
        <v>3336048.88</v>
      </c>
      <c r="J67" s="73">
        <f t="shared" si="5"/>
        <v>423678.20776000002</v>
      </c>
      <c r="K67" s="73">
        <f t="shared" si="6"/>
        <v>2912370.6722399998</v>
      </c>
      <c r="L67" s="74">
        <v>0.127</v>
      </c>
      <c r="M67" s="74">
        <v>0.873</v>
      </c>
      <c r="N67" s="126">
        <f>+VLOOKUP([1]PRORRATEO!F67,[1]TODOS!H:T,8,0)</f>
        <v>17558152</v>
      </c>
      <c r="O67" s="126">
        <f t="shared" ref="O67:O103" si="7">+N67-H67</f>
        <v>0</v>
      </c>
    </row>
    <row r="68" spans="1:15" x14ac:dyDescent="0.35">
      <c r="A68" s="70">
        <v>254545</v>
      </c>
      <c r="B68" s="69" t="s">
        <v>262</v>
      </c>
      <c r="C68" s="68" t="s">
        <v>260</v>
      </c>
      <c r="D68" s="69" t="s">
        <v>261</v>
      </c>
      <c r="E68" s="70" t="s">
        <v>15</v>
      </c>
      <c r="F68" s="70">
        <v>6762</v>
      </c>
      <c r="G68" s="69" t="s">
        <v>263</v>
      </c>
      <c r="H68" s="71">
        <v>30667760</v>
      </c>
      <c r="I68" s="72">
        <f t="shared" si="4"/>
        <v>5826874.4000000004</v>
      </c>
      <c r="J68" s="73">
        <f t="shared" si="5"/>
        <v>629302.43520000007</v>
      </c>
      <c r="K68" s="73">
        <f t="shared" si="6"/>
        <v>5197571.9648000002</v>
      </c>
      <c r="L68" s="74">
        <v>0.108</v>
      </c>
      <c r="M68" s="74">
        <v>0.89200000000000002</v>
      </c>
      <c r="N68" s="1" t="e">
        <f>+VLOOKUP([1]PRORRATEO!F68,[1]TODOS!H:T,8,0)</f>
        <v>#N/A</v>
      </c>
      <c r="O68" s="2" t="e">
        <f t="shared" si="7"/>
        <v>#N/A</v>
      </c>
    </row>
    <row r="69" spans="1:15" x14ac:dyDescent="0.35">
      <c r="A69" s="70">
        <v>205763</v>
      </c>
      <c r="B69" s="69" t="s">
        <v>266</v>
      </c>
      <c r="C69" s="68" t="s">
        <v>264</v>
      </c>
      <c r="D69" s="69" t="s">
        <v>265</v>
      </c>
      <c r="E69" s="70" t="s">
        <v>15</v>
      </c>
      <c r="F69" s="70">
        <v>6763</v>
      </c>
      <c r="G69" s="69" t="s">
        <v>267</v>
      </c>
      <c r="H69" s="71">
        <v>6551428</v>
      </c>
      <c r="I69" s="72">
        <f t="shared" si="4"/>
        <v>1244771.32</v>
      </c>
      <c r="J69" s="73">
        <f t="shared" si="5"/>
        <v>102071.24824000002</v>
      </c>
      <c r="K69" s="73">
        <f t="shared" si="6"/>
        <v>1142700.0717600002</v>
      </c>
      <c r="L69" s="74">
        <v>8.2000000000000003E-2</v>
      </c>
      <c r="M69" s="74">
        <v>0.91800000000000004</v>
      </c>
      <c r="N69" s="1">
        <f>+VLOOKUP([1]PRORRATEO!F69,[1]TODOS!H:T,8,0)</f>
        <v>6551428</v>
      </c>
      <c r="O69" s="2">
        <f t="shared" si="7"/>
        <v>0</v>
      </c>
    </row>
    <row r="70" spans="1:15" x14ac:dyDescent="0.35">
      <c r="A70" s="70">
        <v>205762</v>
      </c>
      <c r="B70" s="69" t="s">
        <v>268</v>
      </c>
      <c r="C70" s="68" t="s">
        <v>264</v>
      </c>
      <c r="D70" s="69" t="s">
        <v>265</v>
      </c>
      <c r="E70" s="70" t="s">
        <v>15</v>
      </c>
      <c r="F70" s="70">
        <v>6763</v>
      </c>
      <c r="G70" s="69">
        <v>900699834</v>
      </c>
      <c r="H70" s="71">
        <v>15206566</v>
      </c>
      <c r="I70" s="72">
        <f t="shared" si="4"/>
        <v>2889247.54</v>
      </c>
      <c r="J70" s="73">
        <f t="shared" si="5"/>
        <v>236918.29828000002</v>
      </c>
      <c r="K70" s="73">
        <f t="shared" si="6"/>
        <v>2652329.2417200003</v>
      </c>
      <c r="L70" s="74">
        <v>8.2000000000000003E-2</v>
      </c>
      <c r="M70" s="74">
        <v>0.91800000000000004</v>
      </c>
      <c r="N70" s="126">
        <f>+VLOOKUP([1]PRORRATEO!F70,[1]TODOS!H:T,8,0)</f>
        <v>6551428</v>
      </c>
      <c r="O70" s="126">
        <f t="shared" si="7"/>
        <v>-8655138</v>
      </c>
    </row>
    <row r="71" spans="1:15" x14ac:dyDescent="0.35">
      <c r="A71" s="70">
        <v>205764</v>
      </c>
      <c r="B71" s="69" t="s">
        <v>269</v>
      </c>
      <c r="C71" s="68" t="s">
        <v>264</v>
      </c>
      <c r="D71" s="69" t="s">
        <v>265</v>
      </c>
      <c r="E71" s="70" t="s">
        <v>15</v>
      </c>
      <c r="F71" s="70">
        <v>6763</v>
      </c>
      <c r="G71" s="69" t="s">
        <v>270</v>
      </c>
      <c r="H71" s="71">
        <v>6551428</v>
      </c>
      <c r="I71" s="72">
        <f t="shared" si="4"/>
        <v>1244771.32</v>
      </c>
      <c r="J71" s="73">
        <f t="shared" si="5"/>
        <v>102071.24824000002</v>
      </c>
      <c r="K71" s="73">
        <f t="shared" si="6"/>
        <v>1142700.0717600002</v>
      </c>
      <c r="L71" s="74">
        <v>8.2000000000000003E-2</v>
      </c>
      <c r="M71" s="74">
        <v>0.91800000000000004</v>
      </c>
      <c r="N71" s="1">
        <f>+VLOOKUP([1]PRORRATEO!F71,[1]TODOS!H:T,8,0)</f>
        <v>6551428</v>
      </c>
      <c r="O71" s="2">
        <f t="shared" si="7"/>
        <v>0</v>
      </c>
    </row>
    <row r="72" spans="1:15" x14ac:dyDescent="0.35">
      <c r="A72" s="70">
        <v>207634</v>
      </c>
      <c r="B72" s="69" t="s">
        <v>273</v>
      </c>
      <c r="C72" s="68" t="s">
        <v>271</v>
      </c>
      <c r="D72" s="69" t="s">
        <v>272</v>
      </c>
      <c r="E72" s="70" t="s">
        <v>244</v>
      </c>
      <c r="F72" s="70">
        <v>6764</v>
      </c>
      <c r="G72" s="69" t="s">
        <v>216</v>
      </c>
      <c r="H72" s="71">
        <v>14395286</v>
      </c>
      <c r="I72" s="72">
        <f t="shared" si="4"/>
        <v>2735104.34</v>
      </c>
      <c r="J72" s="73">
        <f t="shared" si="5"/>
        <v>235218.97323999996</v>
      </c>
      <c r="K72" s="73">
        <f t="shared" si="6"/>
        <v>2499885.3667600001</v>
      </c>
      <c r="L72" s="74">
        <v>8.5999999999999993E-2</v>
      </c>
      <c r="M72" s="74">
        <v>0.91400000000000003</v>
      </c>
      <c r="N72" s="1">
        <f>+VLOOKUP([1]PRORRATEO!F72,[1]TODOS!H:T,8,0)</f>
        <v>14395286</v>
      </c>
      <c r="O72" s="2">
        <f t="shared" si="7"/>
        <v>0</v>
      </c>
    </row>
    <row r="73" spans="1:15" x14ac:dyDescent="0.35">
      <c r="A73" s="70">
        <v>207634</v>
      </c>
      <c r="B73" s="69" t="s">
        <v>276</v>
      </c>
      <c r="C73" s="68" t="s">
        <v>274</v>
      </c>
      <c r="D73" s="69" t="s">
        <v>275</v>
      </c>
      <c r="E73" s="70" t="s">
        <v>15</v>
      </c>
      <c r="F73" s="70">
        <v>6766</v>
      </c>
      <c r="G73" s="69" t="s">
        <v>216</v>
      </c>
      <c r="H73" s="71">
        <v>28412800</v>
      </c>
      <c r="I73" s="72">
        <f t="shared" si="4"/>
        <v>5398432</v>
      </c>
      <c r="J73" s="73">
        <f t="shared" si="5"/>
        <v>685600.86400000006</v>
      </c>
      <c r="K73" s="73">
        <f t="shared" si="6"/>
        <v>4712831.1359999999</v>
      </c>
      <c r="L73" s="74">
        <v>0.127</v>
      </c>
      <c r="M73" s="74">
        <v>0.873</v>
      </c>
      <c r="N73" s="1">
        <f>+VLOOKUP([1]PRORRATEO!F73,[1]TODOS!H:T,8,0)</f>
        <v>28412800</v>
      </c>
      <c r="O73" s="2">
        <f t="shared" si="7"/>
        <v>0</v>
      </c>
    </row>
    <row r="74" spans="1:15" x14ac:dyDescent="0.35">
      <c r="A74" s="70">
        <v>204883</v>
      </c>
      <c r="B74" s="69" t="s">
        <v>280</v>
      </c>
      <c r="C74" s="68" t="s">
        <v>277</v>
      </c>
      <c r="D74" s="69" t="s">
        <v>278</v>
      </c>
      <c r="E74" s="70" t="s">
        <v>279</v>
      </c>
      <c r="F74" s="70">
        <v>6767</v>
      </c>
      <c r="G74" s="69" t="s">
        <v>281</v>
      </c>
      <c r="H74" s="71">
        <v>3986803</v>
      </c>
      <c r="I74" s="72">
        <f t="shared" si="4"/>
        <v>757492.57000000007</v>
      </c>
      <c r="J74" s="73">
        <f t="shared" si="5"/>
        <v>65144.361020000004</v>
      </c>
      <c r="K74" s="73">
        <f t="shared" si="6"/>
        <v>692348.20898000011</v>
      </c>
      <c r="L74" s="74">
        <v>8.5999999999999993E-2</v>
      </c>
      <c r="M74" s="74">
        <v>0.91400000000000003</v>
      </c>
      <c r="N74" s="1">
        <f>+VLOOKUP([1]PRORRATEO!F74,[1]TODOS!H:T,8,0)</f>
        <v>3986803</v>
      </c>
      <c r="O74" s="2">
        <f t="shared" si="7"/>
        <v>0</v>
      </c>
    </row>
    <row r="75" spans="1:15" x14ac:dyDescent="0.35">
      <c r="A75" s="70">
        <v>206033</v>
      </c>
      <c r="B75" s="69" t="s">
        <v>282</v>
      </c>
      <c r="C75" s="68" t="s">
        <v>277</v>
      </c>
      <c r="D75" s="69" t="s">
        <v>278</v>
      </c>
      <c r="E75" s="70" t="s">
        <v>279</v>
      </c>
      <c r="F75" s="70">
        <v>6767</v>
      </c>
      <c r="G75" s="69" t="s">
        <v>283</v>
      </c>
      <c r="H75" s="71">
        <v>8516410</v>
      </c>
      <c r="I75" s="72">
        <f t="shared" si="4"/>
        <v>1618117.9</v>
      </c>
      <c r="J75" s="73">
        <f t="shared" si="5"/>
        <v>139158.13939999999</v>
      </c>
      <c r="K75" s="73">
        <f t="shared" si="6"/>
        <v>1478959.7605999999</v>
      </c>
      <c r="L75" s="74">
        <v>8.5999999999999993E-2</v>
      </c>
      <c r="M75" s="74">
        <v>0.91400000000000003</v>
      </c>
      <c r="N75" s="1">
        <f>+VLOOKUP([1]PRORRATEO!F75,[1]TODOS!H:T,8,0)</f>
        <v>3986803</v>
      </c>
      <c r="O75" s="2">
        <f t="shared" si="7"/>
        <v>-4529607</v>
      </c>
    </row>
    <row r="76" spans="1:15" x14ac:dyDescent="0.35">
      <c r="A76" s="70">
        <v>204970</v>
      </c>
      <c r="B76" s="69" t="s">
        <v>286</v>
      </c>
      <c r="C76" s="68" t="s">
        <v>284</v>
      </c>
      <c r="D76" s="69" t="s">
        <v>285</v>
      </c>
      <c r="E76" s="70" t="s">
        <v>285</v>
      </c>
      <c r="F76" s="70">
        <v>6776</v>
      </c>
      <c r="G76" s="69" t="s">
        <v>287</v>
      </c>
      <c r="H76" s="71">
        <v>14343037</v>
      </c>
      <c r="I76" s="72">
        <f t="shared" si="4"/>
        <v>2725177.0300000003</v>
      </c>
      <c r="J76" s="73">
        <f t="shared" si="5"/>
        <v>196212.74616000001</v>
      </c>
      <c r="K76" s="73">
        <f t="shared" si="6"/>
        <v>2528964.2838400002</v>
      </c>
      <c r="L76" s="74">
        <v>7.1999999999999995E-2</v>
      </c>
      <c r="M76" s="74">
        <v>0.92800000000000005</v>
      </c>
      <c r="N76" s="1">
        <f>+VLOOKUP([1]PRORRATEO!F76,[1]TODOS!H:T,8,0)</f>
        <v>14343037</v>
      </c>
      <c r="O76" s="2">
        <f t="shared" si="7"/>
        <v>0</v>
      </c>
    </row>
    <row r="77" spans="1:15" x14ac:dyDescent="0.35">
      <c r="A77" s="70">
        <v>205547</v>
      </c>
      <c r="B77" s="69" t="s">
        <v>290</v>
      </c>
      <c r="C77" s="68" t="s">
        <v>288</v>
      </c>
      <c r="D77" s="69" t="s">
        <v>289</v>
      </c>
      <c r="E77" s="70" t="s">
        <v>30</v>
      </c>
      <c r="F77" s="70">
        <v>8580</v>
      </c>
      <c r="G77" s="69" t="s">
        <v>291</v>
      </c>
      <c r="H77" s="71">
        <v>8623865</v>
      </c>
      <c r="I77" s="72">
        <f t="shared" si="4"/>
        <v>1638534.35</v>
      </c>
      <c r="J77" s="73">
        <f t="shared" si="5"/>
        <v>135998.35105000003</v>
      </c>
      <c r="K77" s="73">
        <f t="shared" si="6"/>
        <v>1502535.9989500002</v>
      </c>
      <c r="L77" s="74">
        <v>8.3000000000000004E-2</v>
      </c>
      <c r="M77" s="74">
        <v>0.91700000000000004</v>
      </c>
      <c r="N77" s="1">
        <f>+VLOOKUP([1]PRORRATEO!F77,[1]TODOS!H:T,8,0)</f>
        <v>22377460</v>
      </c>
      <c r="O77" s="2">
        <f t="shared" si="7"/>
        <v>13753595</v>
      </c>
    </row>
    <row r="78" spans="1:15" x14ac:dyDescent="0.35">
      <c r="A78" s="70">
        <v>289666</v>
      </c>
      <c r="B78" s="69" t="s">
        <v>23</v>
      </c>
      <c r="C78" s="68" t="s">
        <v>292</v>
      </c>
      <c r="D78" s="69" t="s">
        <v>293</v>
      </c>
      <c r="E78" s="70" t="s">
        <v>144</v>
      </c>
      <c r="F78" s="70">
        <v>8582</v>
      </c>
      <c r="G78" s="69" t="s">
        <v>24</v>
      </c>
      <c r="H78" s="71">
        <v>16580922</v>
      </c>
      <c r="I78" s="72">
        <f t="shared" si="4"/>
        <v>3150375.18</v>
      </c>
      <c r="J78" s="73">
        <f>+I78*L78</f>
        <v>308736.76764000003</v>
      </c>
      <c r="K78" s="73">
        <f t="shared" si="6"/>
        <v>2841638.4123600004</v>
      </c>
      <c r="L78" s="74">
        <v>9.8000000000000004E-2</v>
      </c>
      <c r="M78" s="74">
        <v>0.90200000000000002</v>
      </c>
      <c r="N78" s="126">
        <f>+VLOOKUP([1]PRORRATEO!F78,[1]TODOS!H:T,8,0)</f>
        <v>16580922</v>
      </c>
      <c r="O78" s="126">
        <f t="shared" si="7"/>
        <v>0</v>
      </c>
    </row>
    <row r="79" spans="1:15" x14ac:dyDescent="0.35">
      <c r="A79" s="70">
        <v>206169</v>
      </c>
      <c r="B79" s="69" t="s">
        <v>297</v>
      </c>
      <c r="C79" s="68" t="s">
        <v>294</v>
      </c>
      <c r="D79" s="69" t="s">
        <v>295</v>
      </c>
      <c r="E79" s="70" t="s">
        <v>296</v>
      </c>
      <c r="F79" s="70">
        <v>8583</v>
      </c>
      <c r="G79" s="69" t="s">
        <v>298</v>
      </c>
      <c r="H79" s="71">
        <v>9715141</v>
      </c>
      <c r="I79" s="72">
        <f t="shared" si="4"/>
        <v>1845876.79</v>
      </c>
      <c r="J79" s="73">
        <f t="shared" si="5"/>
        <v>177204.17184</v>
      </c>
      <c r="K79" s="73">
        <f t="shared" si="6"/>
        <v>1668672.6181600001</v>
      </c>
      <c r="L79" s="74">
        <v>9.6000000000000002E-2</v>
      </c>
      <c r="M79" s="74">
        <v>0.90400000000000003</v>
      </c>
      <c r="N79" s="1">
        <f>+VLOOKUP([1]PRORRATEO!F79,[1]TODOS!H:T,8,0)</f>
        <v>9715141</v>
      </c>
      <c r="O79" s="2">
        <f t="shared" si="7"/>
        <v>0</v>
      </c>
    </row>
    <row r="80" spans="1:15" x14ac:dyDescent="0.35">
      <c r="A80" s="70">
        <v>205547</v>
      </c>
      <c r="B80" s="69" t="s">
        <v>302</v>
      </c>
      <c r="C80" s="68" t="s">
        <v>299</v>
      </c>
      <c r="D80" s="69" t="s">
        <v>300</v>
      </c>
      <c r="E80" s="70" t="s">
        <v>301</v>
      </c>
      <c r="F80" s="70">
        <v>8584</v>
      </c>
      <c r="G80" s="69">
        <v>830054539</v>
      </c>
      <c r="H80" s="71">
        <v>9592714</v>
      </c>
      <c r="I80" s="72">
        <f t="shared" si="4"/>
        <v>1822615.66</v>
      </c>
      <c r="J80" s="73">
        <f t="shared" si="5"/>
        <v>176793.71901999999</v>
      </c>
      <c r="K80" s="73">
        <f t="shared" si="6"/>
        <v>1645821.94098</v>
      </c>
      <c r="L80" s="74">
        <v>9.7000000000000003E-2</v>
      </c>
      <c r="M80" s="74">
        <v>0.90300000000000002</v>
      </c>
      <c r="N80" s="1">
        <f>+VLOOKUP([1]PRORRATEO!F80,[1]TODOS!H:T,8,0)</f>
        <v>22377460</v>
      </c>
      <c r="O80" s="2">
        <f t="shared" si="7"/>
        <v>12784746</v>
      </c>
    </row>
    <row r="81" spans="1:15" x14ac:dyDescent="0.35">
      <c r="A81" s="70">
        <v>231456</v>
      </c>
      <c r="B81" s="69" t="s">
        <v>304</v>
      </c>
      <c r="C81" s="68" t="s">
        <v>303</v>
      </c>
      <c r="D81" s="69" t="s">
        <v>295</v>
      </c>
      <c r="E81" s="70" t="s">
        <v>118</v>
      </c>
      <c r="F81" s="70">
        <v>8585</v>
      </c>
      <c r="G81" s="69">
        <v>9006121181</v>
      </c>
      <c r="H81" s="71">
        <v>20151876</v>
      </c>
      <c r="I81" s="72">
        <f t="shared" si="4"/>
        <v>3828856.44</v>
      </c>
      <c r="J81" s="73">
        <f t="shared" si="5"/>
        <v>264191.09436000005</v>
      </c>
      <c r="K81" s="73">
        <f t="shared" si="6"/>
        <v>3564665.34564</v>
      </c>
      <c r="L81" s="74">
        <v>6.9000000000000006E-2</v>
      </c>
      <c r="M81" s="74">
        <v>0.93100000000000005</v>
      </c>
      <c r="N81" s="1">
        <f>+VLOOKUP([1]PRORRATEO!F81,[1]TODOS!H:T,8,0)</f>
        <v>20151876</v>
      </c>
      <c r="O81" s="2">
        <f t="shared" si="7"/>
        <v>0</v>
      </c>
    </row>
    <row r="82" spans="1:15" x14ac:dyDescent="0.35">
      <c r="A82" s="70">
        <v>231457</v>
      </c>
      <c r="B82" s="69" t="s">
        <v>304</v>
      </c>
      <c r="C82" s="68" t="s">
        <v>305</v>
      </c>
      <c r="D82" s="69" t="s">
        <v>295</v>
      </c>
      <c r="E82" s="70" t="s">
        <v>301</v>
      </c>
      <c r="F82" s="70">
        <v>8714</v>
      </c>
      <c r="G82" s="69">
        <v>9006121181</v>
      </c>
      <c r="H82" s="71">
        <v>9464576</v>
      </c>
      <c r="I82" s="72">
        <f t="shared" si="4"/>
        <v>1798269.44</v>
      </c>
      <c r="J82" s="73">
        <f t="shared" si="5"/>
        <v>120484.05248</v>
      </c>
      <c r="K82" s="73">
        <f t="shared" si="6"/>
        <v>1677785.3875200001</v>
      </c>
      <c r="L82" s="74">
        <v>6.7000000000000004E-2</v>
      </c>
      <c r="M82" s="74">
        <v>0.93300000000000005</v>
      </c>
      <c r="N82" s="1">
        <f>+VLOOKUP([1]PRORRATEO!F82,[1]TODOS!H:T,8,0)</f>
        <v>9464576</v>
      </c>
      <c r="O82" s="2">
        <f t="shared" si="7"/>
        <v>0</v>
      </c>
    </row>
    <row r="83" spans="1:15" x14ac:dyDescent="0.35">
      <c r="A83" s="70">
        <v>206707</v>
      </c>
      <c r="B83" s="69" t="s">
        <v>308</v>
      </c>
      <c r="C83" s="68" t="s">
        <v>306</v>
      </c>
      <c r="D83" s="69" t="s">
        <v>307</v>
      </c>
      <c r="E83" s="70" t="s">
        <v>279</v>
      </c>
      <c r="F83" s="70">
        <v>8712</v>
      </c>
      <c r="G83" s="69" t="s">
        <v>309</v>
      </c>
      <c r="H83" s="71">
        <v>1815944</v>
      </c>
      <c r="I83" s="72">
        <f t="shared" si="4"/>
        <v>345029.36</v>
      </c>
      <c r="J83" s="73">
        <f t="shared" si="5"/>
        <v>34847.965360000002</v>
      </c>
      <c r="K83" s="73">
        <f t="shared" si="6"/>
        <v>310181.39464000001</v>
      </c>
      <c r="L83" s="74">
        <v>0.10100000000000001</v>
      </c>
      <c r="M83" s="74">
        <v>0.89900000000000002</v>
      </c>
      <c r="N83" s="1">
        <f>+VLOOKUP([1]PRORRATEO!F83,[1]TODOS!H:T,8,0)</f>
        <v>1815944</v>
      </c>
      <c r="O83" s="2">
        <f t="shared" si="7"/>
        <v>0</v>
      </c>
    </row>
    <row r="84" spans="1:15" x14ac:dyDescent="0.35">
      <c r="A84" s="70">
        <v>206706</v>
      </c>
      <c r="B84" s="69" t="s">
        <v>310</v>
      </c>
      <c r="C84" s="68" t="s">
        <v>306</v>
      </c>
      <c r="D84" s="69" t="s">
        <v>307</v>
      </c>
      <c r="E84" s="70" t="s">
        <v>279</v>
      </c>
      <c r="F84" s="70">
        <v>8712</v>
      </c>
      <c r="G84" s="69" t="s">
        <v>311</v>
      </c>
      <c r="H84" s="71">
        <v>1815944</v>
      </c>
      <c r="I84" s="72">
        <f t="shared" si="4"/>
        <v>345029.36</v>
      </c>
      <c r="J84" s="73">
        <f t="shared" si="5"/>
        <v>34847.965360000002</v>
      </c>
      <c r="K84" s="73">
        <f t="shared" si="6"/>
        <v>310181.39464000001</v>
      </c>
      <c r="L84" s="74">
        <v>0.10100000000000001</v>
      </c>
      <c r="M84" s="74">
        <v>0.89900000000000002</v>
      </c>
      <c r="N84" s="1">
        <f>+VLOOKUP([1]PRORRATEO!F84,[1]TODOS!H:T,8,0)</f>
        <v>1815944</v>
      </c>
      <c r="O84" s="2">
        <f t="shared" si="7"/>
        <v>0</v>
      </c>
    </row>
    <row r="85" spans="1:15" x14ac:dyDescent="0.35">
      <c r="A85" s="70">
        <v>285926</v>
      </c>
      <c r="B85" s="69" t="s">
        <v>314</v>
      </c>
      <c r="C85" s="68" t="s">
        <v>312</v>
      </c>
      <c r="D85" s="69" t="s">
        <v>313</v>
      </c>
      <c r="E85" s="70" t="s">
        <v>34</v>
      </c>
      <c r="F85" s="70">
        <v>8751</v>
      </c>
      <c r="G85" s="69" t="s">
        <v>315</v>
      </c>
      <c r="H85" s="71">
        <v>13000000</v>
      </c>
      <c r="I85" s="72">
        <f t="shared" si="4"/>
        <v>2470000</v>
      </c>
      <c r="J85" s="73">
        <f t="shared" si="5"/>
        <v>135850</v>
      </c>
      <c r="K85" s="73">
        <f t="shared" si="6"/>
        <v>2334150</v>
      </c>
      <c r="L85" s="74">
        <v>5.5E-2</v>
      </c>
      <c r="M85" s="74">
        <v>0.94499999999999995</v>
      </c>
      <c r="N85" s="1">
        <f>+VLOOKUP([1]PRORRATEO!F85,[1]TODOS!H:T,8,0)</f>
        <v>13000000</v>
      </c>
      <c r="O85" s="2">
        <f t="shared" si="7"/>
        <v>0</v>
      </c>
    </row>
    <row r="86" spans="1:15" x14ac:dyDescent="0.3">
      <c r="A86" s="70">
        <v>289666</v>
      </c>
      <c r="B86" s="69" t="s">
        <v>23</v>
      </c>
      <c r="C86" s="68" t="s">
        <v>316</v>
      </c>
      <c r="D86" s="69" t="s">
        <v>317</v>
      </c>
      <c r="E86" s="70" t="s">
        <v>15</v>
      </c>
      <c r="F86" s="70">
        <v>8859</v>
      </c>
      <c r="G86" s="69" t="s">
        <v>24</v>
      </c>
      <c r="H86" s="85">
        <v>21608861</v>
      </c>
      <c r="I86" s="72">
        <f t="shared" si="4"/>
        <v>4105683.59</v>
      </c>
      <c r="J86" s="73">
        <f t="shared" si="5"/>
        <v>229918.28104</v>
      </c>
      <c r="K86" s="73">
        <f t="shared" si="6"/>
        <v>3875765.3089599996</v>
      </c>
      <c r="L86" s="74">
        <v>5.6000000000000001E-2</v>
      </c>
      <c r="M86" s="117">
        <v>0.94399999999999995</v>
      </c>
      <c r="N86" s="126">
        <f>+VLOOKUP([1]PRORRATEO!F86,[1]TODOS!H:T,8,0)</f>
        <v>16580922</v>
      </c>
      <c r="O86" s="126">
        <f t="shared" si="7"/>
        <v>-5027939</v>
      </c>
    </row>
    <row r="87" spans="1:15" x14ac:dyDescent="0.35">
      <c r="A87" s="70">
        <v>219333</v>
      </c>
      <c r="B87" s="69" t="s">
        <v>320</v>
      </c>
      <c r="C87" s="68" t="s">
        <v>318</v>
      </c>
      <c r="D87" s="69" t="s">
        <v>319</v>
      </c>
      <c r="E87" s="70" t="s">
        <v>34</v>
      </c>
      <c r="F87" s="70">
        <v>8976</v>
      </c>
      <c r="G87" s="69">
        <v>9011209433</v>
      </c>
      <c r="H87" s="71">
        <v>23498968</v>
      </c>
      <c r="I87" s="72">
        <f t="shared" si="4"/>
        <v>4464803.92</v>
      </c>
      <c r="J87" s="73">
        <f t="shared" si="5"/>
        <v>361649.11752000003</v>
      </c>
      <c r="K87" s="73">
        <f t="shared" si="6"/>
        <v>4103154.8024800001</v>
      </c>
      <c r="L87" s="74">
        <v>8.1000000000000003E-2</v>
      </c>
      <c r="M87" s="74">
        <v>0.91900000000000004</v>
      </c>
      <c r="N87" s="126">
        <f>+VLOOKUP([1]PRORRATEO!F87,[1]TODOS!H:T,8,0)</f>
        <v>23498968</v>
      </c>
      <c r="O87" s="126">
        <f t="shared" si="7"/>
        <v>0</v>
      </c>
    </row>
    <row r="88" spans="1:15" x14ac:dyDescent="0.35">
      <c r="A88" s="70">
        <v>210056</v>
      </c>
      <c r="B88" s="69" t="s">
        <v>323</v>
      </c>
      <c r="C88" s="68" t="s">
        <v>321</v>
      </c>
      <c r="D88" s="69" t="s">
        <v>322</v>
      </c>
      <c r="E88" s="70" t="s">
        <v>15</v>
      </c>
      <c r="F88" s="70">
        <v>9053</v>
      </c>
      <c r="G88" s="69" t="s">
        <v>324</v>
      </c>
      <c r="H88" s="71">
        <v>15558951.35</v>
      </c>
      <c r="I88" s="72">
        <f t="shared" si="4"/>
        <v>2956200.7565000001</v>
      </c>
      <c r="J88" s="73">
        <f t="shared" si="5"/>
        <v>130072.83328599999</v>
      </c>
      <c r="K88" s="73">
        <f t="shared" si="6"/>
        <v>2826127.9232140002</v>
      </c>
      <c r="L88" s="74">
        <v>4.3999999999999997E-2</v>
      </c>
      <c r="M88" s="74">
        <v>0.95599999999999996</v>
      </c>
      <c r="N88" s="1">
        <f>+VLOOKUP([1]PRORRATEO!F88,[1]TODOS!H:T,8,0)</f>
        <v>15558951.35</v>
      </c>
      <c r="O88" s="2">
        <f t="shared" si="7"/>
        <v>0</v>
      </c>
    </row>
    <row r="89" spans="1:15" x14ac:dyDescent="0.35">
      <c r="A89" s="70">
        <v>231459</v>
      </c>
      <c r="B89" s="69" t="s">
        <v>304</v>
      </c>
      <c r="C89" s="68" t="s">
        <v>325</v>
      </c>
      <c r="D89" s="69" t="s">
        <v>326</v>
      </c>
      <c r="E89" s="70" t="s">
        <v>118</v>
      </c>
      <c r="F89" s="70">
        <v>8968</v>
      </c>
      <c r="G89" s="69">
        <v>9006121181</v>
      </c>
      <c r="H89" s="71">
        <v>5115034</v>
      </c>
      <c r="I89" s="72">
        <f t="shared" si="4"/>
        <v>971856.46</v>
      </c>
      <c r="J89" s="73">
        <f t="shared" si="5"/>
        <v>74832.947419999997</v>
      </c>
      <c r="K89" s="73">
        <f t="shared" si="6"/>
        <v>897023.51257999998</v>
      </c>
      <c r="L89" s="74">
        <v>7.6999999999999999E-2</v>
      </c>
      <c r="M89" s="74">
        <v>0.92300000000000004</v>
      </c>
      <c r="N89" s="1">
        <f>+VLOOKUP([1]PRORRATEO!F89,[1]TODOS!H:T,8,0)</f>
        <v>5115034</v>
      </c>
      <c r="O89" s="2">
        <f t="shared" si="7"/>
        <v>0</v>
      </c>
    </row>
    <row r="90" spans="1:15" x14ac:dyDescent="0.35">
      <c r="A90" s="70">
        <v>231458</v>
      </c>
      <c r="B90" s="69" t="s">
        <v>304</v>
      </c>
      <c r="C90" s="68" t="s">
        <v>327</v>
      </c>
      <c r="D90" s="69" t="s">
        <v>328</v>
      </c>
      <c r="E90" s="70" t="s">
        <v>329</v>
      </c>
      <c r="F90" s="70">
        <v>8969</v>
      </c>
      <c r="G90" s="69">
        <v>9006121181</v>
      </c>
      <c r="H90" s="71">
        <v>8037911</v>
      </c>
      <c r="I90" s="72">
        <f t="shared" si="4"/>
        <v>1527203.09</v>
      </c>
      <c r="J90" s="73">
        <f t="shared" si="5"/>
        <v>97740.997760000013</v>
      </c>
      <c r="K90" s="73">
        <f t="shared" si="6"/>
        <v>1429462.0922400001</v>
      </c>
      <c r="L90" s="74">
        <v>6.4000000000000001E-2</v>
      </c>
      <c r="M90" s="74">
        <v>0.93600000000000005</v>
      </c>
      <c r="N90" s="1">
        <f>+VLOOKUP([1]PRORRATEO!F90,[1]TODOS!H:T,8,0)</f>
        <v>8037911</v>
      </c>
      <c r="O90" s="2">
        <f t="shared" si="7"/>
        <v>0</v>
      </c>
    </row>
    <row r="91" spans="1:15" x14ac:dyDescent="0.35">
      <c r="A91" s="70">
        <v>231460</v>
      </c>
      <c r="B91" s="69" t="s">
        <v>304</v>
      </c>
      <c r="C91" s="68" t="s">
        <v>330</v>
      </c>
      <c r="D91" s="69" t="s">
        <v>331</v>
      </c>
      <c r="E91" s="70" t="s">
        <v>30</v>
      </c>
      <c r="F91" s="70">
        <v>9072</v>
      </c>
      <c r="G91" s="69">
        <v>9006121181</v>
      </c>
      <c r="H91" s="71">
        <v>15417759</v>
      </c>
      <c r="I91" s="72">
        <f t="shared" si="4"/>
        <v>2929374.21</v>
      </c>
      <c r="J91" s="73">
        <f t="shared" si="5"/>
        <v>137680.58786999999</v>
      </c>
      <c r="K91" s="73">
        <f t="shared" si="6"/>
        <v>2791693.62213</v>
      </c>
      <c r="L91" s="74">
        <v>4.7E-2</v>
      </c>
      <c r="M91" s="74">
        <v>0.95299999999999996</v>
      </c>
      <c r="N91" s="1">
        <f>+VLOOKUP([1]PRORRATEO!F91,[1]TODOS!H:T,8,0)</f>
        <v>13411113</v>
      </c>
      <c r="O91" s="2">
        <f t="shared" si="7"/>
        <v>-2006646</v>
      </c>
    </row>
    <row r="92" spans="1:15" x14ac:dyDescent="0.35">
      <c r="A92" s="70">
        <v>204970</v>
      </c>
      <c r="B92" s="69" t="s">
        <v>334</v>
      </c>
      <c r="C92" s="68" t="s">
        <v>332</v>
      </c>
      <c r="D92" s="69" t="s">
        <v>333</v>
      </c>
      <c r="E92" s="70" t="s">
        <v>301</v>
      </c>
      <c r="F92" s="70">
        <v>9101</v>
      </c>
      <c r="G92" s="69">
        <v>8301134776</v>
      </c>
      <c r="H92" s="71">
        <v>15609400</v>
      </c>
      <c r="I92" s="72">
        <f t="shared" si="4"/>
        <v>2965786</v>
      </c>
      <c r="J92" s="73">
        <f t="shared" si="5"/>
        <v>172015.58800000002</v>
      </c>
      <c r="K92" s="73">
        <f t="shared" si="6"/>
        <v>2793770.412</v>
      </c>
      <c r="L92" s="74">
        <v>5.8000000000000003E-2</v>
      </c>
      <c r="M92" s="74">
        <v>0.94199999999999995</v>
      </c>
      <c r="N92" s="126">
        <f>+VLOOKUP([1]PRORRATEO!F92,[1]TODOS!H:T,8,0)</f>
        <v>14343037</v>
      </c>
      <c r="O92" s="126">
        <f t="shared" si="7"/>
        <v>-1266363</v>
      </c>
    </row>
    <row r="93" spans="1:15" x14ac:dyDescent="0.35">
      <c r="A93" s="70">
        <v>209672</v>
      </c>
      <c r="B93" s="69" t="s">
        <v>337</v>
      </c>
      <c r="C93" s="68" t="s">
        <v>335</v>
      </c>
      <c r="D93" s="69" t="s">
        <v>336</v>
      </c>
      <c r="E93" s="70" t="s">
        <v>15</v>
      </c>
      <c r="F93" s="70">
        <v>9102</v>
      </c>
      <c r="G93" s="69" t="s">
        <v>338</v>
      </c>
      <c r="H93" s="71">
        <v>93440962</v>
      </c>
      <c r="I93" s="72">
        <f>+H93*19%</f>
        <v>17753782.780000001</v>
      </c>
      <c r="J93" s="73">
        <f>+I93*L93</f>
        <v>1136242.0979200001</v>
      </c>
      <c r="K93" s="73">
        <f t="shared" si="6"/>
        <v>16617540.682080003</v>
      </c>
      <c r="L93" s="74">
        <v>6.4000000000000001E-2</v>
      </c>
      <c r="M93" s="74">
        <v>0.93600000000000005</v>
      </c>
      <c r="N93" s="1">
        <f>+VLOOKUP([1]PRORRATEO!F93,[1]TODOS!H:T,8,0)</f>
        <v>93440962</v>
      </c>
      <c r="O93" s="2">
        <f t="shared" si="7"/>
        <v>0</v>
      </c>
    </row>
    <row r="94" spans="1:15" x14ac:dyDescent="0.35">
      <c r="A94" s="70">
        <v>211510</v>
      </c>
      <c r="B94" s="69" t="s">
        <v>55</v>
      </c>
      <c r="C94" s="68" t="s">
        <v>339</v>
      </c>
      <c r="D94" s="69" t="s">
        <v>340</v>
      </c>
      <c r="E94" s="70" t="s">
        <v>15</v>
      </c>
      <c r="F94" s="70">
        <v>9120</v>
      </c>
      <c r="G94" s="69">
        <v>9005360582</v>
      </c>
      <c r="H94" s="71">
        <v>28006112</v>
      </c>
      <c r="I94" s="72">
        <f t="shared" si="4"/>
        <v>5321161.28</v>
      </c>
      <c r="J94" s="73">
        <f t="shared" si="5"/>
        <v>271379.22528000001</v>
      </c>
      <c r="K94" s="73">
        <f t="shared" si="6"/>
        <v>5049782.0547200004</v>
      </c>
      <c r="L94" s="74">
        <v>5.0999999999999997E-2</v>
      </c>
      <c r="M94" s="74">
        <v>0.94899999999999995</v>
      </c>
      <c r="N94" s="1">
        <f>+VLOOKUP([1]PRORRATEO!F94,[1]TODOS!H:T,8,0)</f>
        <v>7483348</v>
      </c>
      <c r="O94" s="2">
        <f t="shared" si="7"/>
        <v>-20522764</v>
      </c>
    </row>
    <row r="95" spans="1:15" x14ac:dyDescent="0.35">
      <c r="A95" s="70">
        <v>243147</v>
      </c>
      <c r="B95" s="69" t="s">
        <v>343</v>
      </c>
      <c r="C95" s="68" t="s">
        <v>341</v>
      </c>
      <c r="D95" s="69" t="s">
        <v>342</v>
      </c>
      <c r="E95" s="70" t="s">
        <v>189</v>
      </c>
      <c r="F95" s="70">
        <v>9103</v>
      </c>
      <c r="G95" s="69">
        <v>9004868496</v>
      </c>
      <c r="H95" s="71">
        <v>11637519</v>
      </c>
      <c r="I95" s="72">
        <f t="shared" si="4"/>
        <v>2211128.61</v>
      </c>
      <c r="J95" s="73">
        <f t="shared" si="5"/>
        <v>179101.41740999999</v>
      </c>
      <c r="K95" s="73">
        <f t="shared" si="6"/>
        <v>2032027.1925899999</v>
      </c>
      <c r="L95" s="74">
        <v>8.1000000000000003E-2</v>
      </c>
      <c r="M95" s="74">
        <v>0.91900000000000004</v>
      </c>
      <c r="N95" s="1">
        <f>+VLOOKUP([1]PRORRATEO!F95,[1]TODOS!H:T,8,0)</f>
        <v>11637519</v>
      </c>
      <c r="O95" s="2">
        <f t="shared" si="7"/>
        <v>0</v>
      </c>
    </row>
    <row r="96" spans="1:15" x14ac:dyDescent="0.35">
      <c r="A96" s="70">
        <v>204532</v>
      </c>
      <c r="B96" s="69" t="s">
        <v>81</v>
      </c>
      <c r="C96" s="68" t="s">
        <v>344</v>
      </c>
      <c r="D96" s="69" t="s">
        <v>345</v>
      </c>
      <c r="E96" s="70" t="s">
        <v>41</v>
      </c>
      <c r="F96" s="70">
        <v>8974</v>
      </c>
      <c r="G96" s="69" t="s">
        <v>82</v>
      </c>
      <c r="H96" s="72">
        <v>17003283</v>
      </c>
      <c r="I96" s="72">
        <f t="shared" si="4"/>
        <v>3230623.77</v>
      </c>
      <c r="J96" s="73">
        <f t="shared" si="5"/>
        <v>184145.55489</v>
      </c>
      <c r="K96" s="73">
        <f t="shared" si="6"/>
        <v>3046478.2151099998</v>
      </c>
      <c r="L96" s="74">
        <v>5.7000000000000002E-2</v>
      </c>
      <c r="M96" s="74">
        <v>0.94299999999999995</v>
      </c>
      <c r="N96" s="126">
        <f>+VLOOKUP([1]PRORRATEO!F96,[1]TODOS!H:T,8,0)</f>
        <v>24000000</v>
      </c>
      <c r="O96" s="126">
        <f t="shared" si="7"/>
        <v>6996717</v>
      </c>
    </row>
    <row r="97" spans="1:15" x14ac:dyDescent="0.35">
      <c r="A97" s="70">
        <v>217037</v>
      </c>
      <c r="B97" s="69" t="s">
        <v>348</v>
      </c>
      <c r="C97" s="68" t="s">
        <v>346</v>
      </c>
      <c r="D97" s="69" t="s">
        <v>347</v>
      </c>
      <c r="E97" s="70" t="s">
        <v>15</v>
      </c>
      <c r="F97" s="70">
        <v>9209</v>
      </c>
      <c r="G97" s="69" t="s">
        <v>349</v>
      </c>
      <c r="H97" s="71">
        <v>101940</v>
      </c>
      <c r="I97" s="72">
        <f t="shared" si="4"/>
        <v>19368.599999999999</v>
      </c>
      <c r="J97" s="73">
        <f t="shared" si="5"/>
        <v>1549.4879999999998</v>
      </c>
      <c r="K97" s="73">
        <f t="shared" si="6"/>
        <v>17819.112000000001</v>
      </c>
      <c r="L97" s="74">
        <v>0.08</v>
      </c>
      <c r="M97" s="74">
        <v>0.92</v>
      </c>
      <c r="N97" s="1">
        <f>+VLOOKUP([1]PRORRATEO!F97,[1]TODOS!H:T,8,0)</f>
        <v>101940</v>
      </c>
      <c r="O97" s="2">
        <f t="shared" si="7"/>
        <v>0</v>
      </c>
    </row>
    <row r="98" spans="1:15" x14ac:dyDescent="0.35">
      <c r="A98" s="70">
        <v>206286</v>
      </c>
      <c r="B98" s="69" t="s">
        <v>352</v>
      </c>
      <c r="C98" s="68" t="s">
        <v>350</v>
      </c>
      <c r="D98" s="69" t="s">
        <v>351</v>
      </c>
      <c r="E98" s="70" t="s">
        <v>15</v>
      </c>
      <c r="F98" s="70">
        <v>9458</v>
      </c>
      <c r="G98" s="69" t="s">
        <v>182</v>
      </c>
      <c r="H98" s="71">
        <v>16289886</v>
      </c>
      <c r="I98" s="72">
        <f t="shared" si="4"/>
        <v>3095078.34</v>
      </c>
      <c r="J98" s="73">
        <f t="shared" si="5"/>
        <v>207370.24877999999</v>
      </c>
      <c r="K98" s="73">
        <f t="shared" si="6"/>
        <v>2887708.0912199998</v>
      </c>
      <c r="L98" s="74">
        <v>6.7000000000000004E-2</v>
      </c>
      <c r="M98" s="74">
        <v>0.93300000000000005</v>
      </c>
      <c r="N98" s="126">
        <f>+VLOOKUP([1]PRORRATEO!F98,[1]TODOS!H:T,8,0)</f>
        <v>16289886</v>
      </c>
      <c r="O98" s="126">
        <f t="shared" si="7"/>
        <v>0</v>
      </c>
    </row>
    <row r="99" spans="1:15" x14ac:dyDescent="0.35">
      <c r="A99" s="70">
        <v>246683</v>
      </c>
      <c r="B99" s="69" t="s">
        <v>355</v>
      </c>
      <c r="C99" s="68" t="s">
        <v>353</v>
      </c>
      <c r="D99" s="69" t="s">
        <v>354</v>
      </c>
      <c r="E99" s="70" t="s">
        <v>15</v>
      </c>
      <c r="F99" s="70">
        <v>9216</v>
      </c>
      <c r="G99" s="69">
        <v>8303534506</v>
      </c>
      <c r="H99" s="71">
        <v>41557941</v>
      </c>
      <c r="I99" s="72">
        <f t="shared" si="4"/>
        <v>7896008.79</v>
      </c>
      <c r="J99" s="73">
        <f t="shared" si="5"/>
        <v>465864.51860999997</v>
      </c>
      <c r="K99" s="73">
        <f t="shared" si="6"/>
        <v>7430144.2713899994</v>
      </c>
      <c r="L99" s="74">
        <v>5.8999999999999997E-2</v>
      </c>
      <c r="M99" s="74">
        <v>0.94099999999999995</v>
      </c>
      <c r="N99" s="1">
        <f>+VLOOKUP([1]PRORRATEO!F99,[1]TODOS!H:T,8,0)</f>
        <v>41557941</v>
      </c>
      <c r="O99" s="2">
        <f t="shared" si="7"/>
        <v>0</v>
      </c>
    </row>
    <row r="100" spans="1:15" x14ac:dyDescent="0.35">
      <c r="A100" s="70">
        <v>204547</v>
      </c>
      <c r="B100" s="69" t="s">
        <v>358</v>
      </c>
      <c r="C100" s="68" t="s">
        <v>356</v>
      </c>
      <c r="D100" s="69" t="s">
        <v>357</v>
      </c>
      <c r="E100" s="70" t="s">
        <v>144</v>
      </c>
      <c r="F100" s="70">
        <v>9575</v>
      </c>
      <c r="G100" s="69" t="s">
        <v>158</v>
      </c>
      <c r="H100" s="71">
        <v>14238800</v>
      </c>
      <c r="I100" s="72">
        <f t="shared" si="4"/>
        <v>2705372</v>
      </c>
      <c r="J100" s="73">
        <f t="shared" si="5"/>
        <v>254304.96799999999</v>
      </c>
      <c r="K100" s="73">
        <f t="shared" si="6"/>
        <v>2451067.0320000001</v>
      </c>
      <c r="L100" s="74">
        <v>9.4E-2</v>
      </c>
      <c r="M100" s="74">
        <v>0.90600000000000003</v>
      </c>
      <c r="N100" s="1">
        <f>+VLOOKUP([1]PRORRATEO!F100,[1]TODOS!H:T,8,0)</f>
        <v>14238800</v>
      </c>
      <c r="O100" s="2">
        <f t="shared" si="7"/>
        <v>0</v>
      </c>
    </row>
    <row r="101" spans="1:15" x14ac:dyDescent="0.35">
      <c r="A101" s="70">
        <v>228274</v>
      </c>
      <c r="B101" s="69" t="s">
        <v>362</v>
      </c>
      <c r="C101" s="68" t="s">
        <v>359</v>
      </c>
      <c r="D101" s="69" t="s">
        <v>360</v>
      </c>
      <c r="E101" s="70" t="s">
        <v>361</v>
      </c>
      <c r="F101" s="70">
        <v>9636</v>
      </c>
      <c r="G101" s="69" t="s">
        <v>363</v>
      </c>
      <c r="H101" s="71">
        <v>15892835</v>
      </c>
      <c r="I101" s="72">
        <f t="shared" si="4"/>
        <v>3019638.65</v>
      </c>
      <c r="J101" s="73">
        <f t="shared" si="5"/>
        <v>217413.98279999997</v>
      </c>
      <c r="K101" s="73">
        <f t="shared" si="6"/>
        <v>2802224.6672</v>
      </c>
      <c r="L101" s="74">
        <v>7.1999999999999995E-2</v>
      </c>
      <c r="M101" s="74">
        <v>0.92800000000000005</v>
      </c>
      <c r="N101" s="126">
        <f>+VLOOKUP([1]PRORRATEO!F101,[1]TODOS!H:T,8,0)</f>
        <v>15892835</v>
      </c>
      <c r="O101" s="126">
        <f t="shared" si="7"/>
        <v>0</v>
      </c>
    </row>
    <row r="102" spans="1:15" ht="13.5" thickBot="1" x14ac:dyDescent="0.4">
      <c r="A102" s="84">
        <v>214089</v>
      </c>
      <c r="B102" s="83" t="s">
        <v>367</v>
      </c>
      <c r="C102" s="82" t="s">
        <v>364</v>
      </c>
      <c r="D102" s="83" t="s">
        <v>365</v>
      </c>
      <c r="E102" s="84" t="s">
        <v>85</v>
      </c>
      <c r="F102" s="84" t="s">
        <v>366</v>
      </c>
      <c r="G102" s="83" t="s">
        <v>68</v>
      </c>
      <c r="H102" s="86">
        <v>23961662</v>
      </c>
      <c r="I102" s="72">
        <f t="shared" si="4"/>
        <v>4552715.78</v>
      </c>
      <c r="J102" s="73">
        <f t="shared" si="5"/>
        <v>409744.42019999999</v>
      </c>
      <c r="K102" s="73">
        <f t="shared" si="6"/>
        <v>4147524.0755800004</v>
      </c>
      <c r="L102" s="74">
        <v>0.09</v>
      </c>
      <c r="M102" s="74">
        <v>0.91100000000000003</v>
      </c>
      <c r="N102" s="126">
        <f>+VLOOKUP([1]PRORRATEO!F102,[1]TODOS!H:T,8,0)</f>
        <v>15918945</v>
      </c>
      <c r="O102" s="126">
        <f t="shared" si="7"/>
        <v>-8042717</v>
      </c>
    </row>
    <row r="103" spans="1:15" x14ac:dyDescent="0.35">
      <c r="A103" s="114">
        <v>348824</v>
      </c>
      <c r="B103" s="115" t="s">
        <v>372</v>
      </c>
      <c r="C103" s="114" t="s">
        <v>368</v>
      </c>
      <c r="D103" s="115" t="s">
        <v>369</v>
      </c>
      <c r="E103" s="114" t="s">
        <v>370</v>
      </c>
      <c r="F103" s="114" t="s">
        <v>371</v>
      </c>
      <c r="G103" s="115" t="s">
        <v>373</v>
      </c>
      <c r="H103" s="116">
        <v>9355925</v>
      </c>
      <c r="I103" s="116">
        <f t="shared" si="4"/>
        <v>1777625.75</v>
      </c>
      <c r="J103" s="73">
        <f t="shared" si="5"/>
        <v>179540.20075000002</v>
      </c>
      <c r="K103" s="73">
        <f t="shared" si="6"/>
        <v>1598085.5492499999</v>
      </c>
      <c r="L103" s="98">
        <v>0.10100000000000001</v>
      </c>
      <c r="M103" s="98">
        <v>0.89900000000000002</v>
      </c>
      <c r="N103" s="126">
        <f>+VLOOKUP([1]PRORRATEO!F103,[1]TODOS!H:T,8,0)</f>
        <v>9355925</v>
      </c>
      <c r="O103" s="126">
        <f t="shared" si="7"/>
        <v>0</v>
      </c>
    </row>
    <row r="104" spans="1:15" x14ac:dyDescent="0.35">
      <c r="D104" s="4"/>
      <c r="F104" s="3"/>
      <c r="I104" s="81">
        <f>SUM(I2:I103)</f>
        <v>351623671.82649982</v>
      </c>
      <c r="J104" s="81">
        <f>SUM(J2:J103)</f>
        <v>88498534.65020436</v>
      </c>
      <c r="K104" s="81">
        <f>SUM(K2:K103)</f>
        <v>254284462.76207566</v>
      </c>
    </row>
    <row r="105" spans="1:15" x14ac:dyDescent="0.35">
      <c r="D105" s="4"/>
      <c r="F105" s="3"/>
      <c r="H105" s="2" t="s">
        <v>446</v>
      </c>
    </row>
    <row r="106" spans="1:15" x14ac:dyDescent="0.35">
      <c r="A106" s="70">
        <v>452333</v>
      </c>
      <c r="B106" s="69" t="s">
        <v>320</v>
      </c>
      <c r="C106" s="68" t="s">
        <v>318</v>
      </c>
      <c r="D106" s="69" t="s">
        <v>319</v>
      </c>
      <c r="E106" s="70" t="s">
        <v>34</v>
      </c>
      <c r="F106" s="70">
        <v>8976</v>
      </c>
      <c r="G106" s="69">
        <v>9011209433</v>
      </c>
      <c r="H106" s="71">
        <v>23498968</v>
      </c>
      <c r="I106" s="72">
        <f t="shared" ref="I106" si="8">+H106*19%</f>
        <v>4464803.92</v>
      </c>
      <c r="J106" s="73">
        <f t="shared" ref="J106" si="9">+I106*L106</f>
        <v>4464803.92</v>
      </c>
      <c r="K106" s="73">
        <f t="shared" ref="K106" si="10">+I106*M106</f>
        <v>0</v>
      </c>
      <c r="L106" s="74">
        <v>1</v>
      </c>
      <c r="M106" s="74">
        <v>0</v>
      </c>
      <c r="N106" s="126">
        <f>+VLOOKUP([1]PRORRATEO!F106,[1]TODOS!H:T,8,0)</f>
        <v>23498968</v>
      </c>
      <c r="O106" s="126">
        <f t="shared" ref="O106" si="11">+N106-H106</f>
        <v>0</v>
      </c>
    </row>
  </sheetData>
  <autoFilter ref="A1:M106" xr:uid="{289E8DB7-2A56-4FF0-A3BC-F776526FAB49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BD772-4C84-447B-9A0B-361D6155F177}">
  <dimension ref="B1:D12"/>
  <sheetViews>
    <sheetView workbookViewId="0">
      <selection activeCell="D12" sqref="D12"/>
    </sheetView>
  </sheetViews>
  <sheetFormatPr baseColWidth="10" defaultColWidth="11.453125" defaultRowHeight="14.5" x14ac:dyDescent="0.35"/>
  <cols>
    <col min="4" max="4" width="14.1796875" style="91" bestFit="1" customWidth="1"/>
  </cols>
  <sheetData>
    <row r="1" spans="2:4" x14ac:dyDescent="0.35">
      <c r="B1" s="118" t="s">
        <v>374</v>
      </c>
      <c r="C1" s="118" t="s">
        <v>375</v>
      </c>
      <c r="D1" s="119" t="s">
        <v>376</v>
      </c>
    </row>
    <row r="2" spans="2:4" x14ac:dyDescent="0.35">
      <c r="B2" t="s">
        <v>377</v>
      </c>
      <c r="C2">
        <v>1441</v>
      </c>
      <c r="D2" s="91">
        <v>350028</v>
      </c>
    </row>
    <row r="3" spans="2:4" x14ac:dyDescent="0.35">
      <c r="B3" t="s">
        <v>377</v>
      </c>
      <c r="C3">
        <v>1445</v>
      </c>
      <c r="D3" s="91">
        <v>257260</v>
      </c>
    </row>
    <row r="4" spans="2:4" x14ac:dyDescent="0.35">
      <c r="B4" t="s">
        <v>377</v>
      </c>
      <c r="C4">
        <v>7420</v>
      </c>
      <c r="D4" s="91">
        <v>153368</v>
      </c>
    </row>
    <row r="5" spans="2:4" x14ac:dyDescent="0.35">
      <c r="B5" t="s">
        <v>377</v>
      </c>
      <c r="C5">
        <v>1432</v>
      </c>
      <c r="D5" s="91">
        <v>350028</v>
      </c>
    </row>
    <row r="6" spans="2:4" x14ac:dyDescent="0.35">
      <c r="B6" t="s">
        <v>377</v>
      </c>
      <c r="C6">
        <v>3355</v>
      </c>
      <c r="D6" s="91">
        <v>239685</v>
      </c>
    </row>
    <row r="7" spans="2:4" x14ac:dyDescent="0.35">
      <c r="B7" t="s">
        <v>377</v>
      </c>
      <c r="C7">
        <v>1910</v>
      </c>
      <c r="D7" s="91">
        <v>257583</v>
      </c>
    </row>
    <row r="8" spans="2:4" x14ac:dyDescent="0.35">
      <c r="B8" t="s">
        <v>377</v>
      </c>
      <c r="C8">
        <v>4852</v>
      </c>
      <c r="D8" s="91">
        <v>112736</v>
      </c>
    </row>
    <row r="9" spans="2:4" x14ac:dyDescent="0.35">
      <c r="B9" t="s">
        <v>377</v>
      </c>
      <c r="C9">
        <v>1431</v>
      </c>
      <c r="D9" s="91">
        <v>884830</v>
      </c>
    </row>
    <row r="10" spans="2:4" x14ac:dyDescent="0.35">
      <c r="B10" t="s">
        <v>377</v>
      </c>
      <c r="C10">
        <v>2118</v>
      </c>
      <c r="D10" s="91">
        <v>657400</v>
      </c>
    </row>
    <row r="12" spans="2:4" x14ac:dyDescent="0.35">
      <c r="B12" t="s">
        <v>378</v>
      </c>
      <c r="D12" s="91">
        <f>SUM(D2:D11)</f>
        <v>3262918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BDE77-2A25-46E5-A633-31C94726F933}">
  <dimension ref="A1:K26"/>
  <sheetViews>
    <sheetView zoomScale="70" zoomScaleNormal="70" workbookViewId="0">
      <selection activeCell="I8" sqref="I8"/>
    </sheetView>
  </sheetViews>
  <sheetFormatPr baseColWidth="10" defaultColWidth="11.453125" defaultRowHeight="14.5" x14ac:dyDescent="0.35"/>
  <cols>
    <col min="1" max="1" width="30.1796875" customWidth="1"/>
    <col min="2" max="2" width="8.7265625" customWidth="1"/>
    <col min="3" max="3" width="14.81640625" customWidth="1"/>
    <col min="4" max="4" width="13.54296875" customWidth="1"/>
    <col min="5" max="5" width="13.7265625" customWidth="1"/>
    <col min="6" max="6" width="19.1796875" customWidth="1"/>
    <col min="7" max="8" width="16.81640625" customWidth="1"/>
    <col min="9" max="9" width="19.54296875" customWidth="1"/>
  </cols>
  <sheetData>
    <row r="1" spans="1:11" ht="17" thickBot="1" x14ac:dyDescent="0.5">
      <c r="A1" s="127" t="s">
        <v>379</v>
      </c>
      <c r="B1" s="127"/>
      <c r="C1" s="127"/>
      <c r="D1" s="127"/>
      <c r="E1" s="127"/>
      <c r="F1" s="127"/>
      <c r="G1" s="127"/>
      <c r="H1" s="127"/>
      <c r="I1" s="127"/>
    </row>
    <row r="2" spans="1:11" ht="15" thickTop="1" x14ac:dyDescent="0.35">
      <c r="A2" s="128" t="s">
        <v>380</v>
      </c>
      <c r="B2" s="128"/>
      <c r="C2" s="128"/>
      <c r="D2" s="128"/>
      <c r="E2" s="128"/>
      <c r="F2" s="129"/>
      <c r="G2" s="129"/>
      <c r="H2" s="130" t="s">
        <v>381</v>
      </c>
      <c r="I2" s="130"/>
    </row>
    <row r="3" spans="1:11" ht="58" x14ac:dyDescent="0.35">
      <c r="A3" s="11" t="s">
        <v>382</v>
      </c>
      <c r="B3" s="11" t="s">
        <v>383</v>
      </c>
      <c r="C3" s="11" t="s">
        <v>384</v>
      </c>
      <c r="D3" s="11" t="s">
        <v>385</v>
      </c>
      <c r="E3" s="11" t="s">
        <v>386</v>
      </c>
      <c r="F3" s="30" t="s">
        <v>387</v>
      </c>
      <c r="G3" s="30" t="s">
        <v>388</v>
      </c>
      <c r="H3" s="30" t="s">
        <v>387</v>
      </c>
      <c r="I3" s="30" t="s">
        <v>388</v>
      </c>
    </row>
    <row r="4" spans="1:11" x14ac:dyDescent="0.35">
      <c r="A4" s="12" t="s">
        <v>389</v>
      </c>
      <c r="B4" s="13">
        <v>0.19</v>
      </c>
      <c r="C4" s="14">
        <f t="shared" ref="C4:C9" si="0">D4/0.19</f>
        <v>21766527894.736843</v>
      </c>
      <c r="D4" s="15">
        <f>+'[2]Ingresos '!E14</f>
        <v>4135640300</v>
      </c>
      <c r="E4" s="16">
        <v>1</v>
      </c>
      <c r="F4" s="37">
        <f>+E4*D4</f>
        <v>4135640300</v>
      </c>
      <c r="G4" s="38">
        <f>+D4-F4</f>
        <v>0</v>
      </c>
      <c r="H4" s="33">
        <f>+F4</f>
        <v>4135640300</v>
      </c>
      <c r="I4" s="34">
        <f>+F4-H4</f>
        <v>0</v>
      </c>
    </row>
    <row r="5" spans="1:11" x14ac:dyDescent="0.35">
      <c r="A5" s="12" t="s">
        <v>390</v>
      </c>
      <c r="B5" s="13">
        <v>0.19</v>
      </c>
      <c r="C5" s="14">
        <f t="shared" si="0"/>
        <v>0</v>
      </c>
      <c r="D5" s="17"/>
      <c r="E5" s="16">
        <v>1</v>
      </c>
      <c r="F5" s="37">
        <f>+E5*D5</f>
        <v>0</v>
      </c>
      <c r="G5" s="38">
        <f t="shared" ref="G5:G9" si="1">+D5-F5</f>
        <v>0</v>
      </c>
      <c r="H5" s="33">
        <f>+G5*F5</f>
        <v>0</v>
      </c>
      <c r="I5" s="34">
        <f t="shared" ref="I5" si="2">+F5-H5</f>
        <v>0</v>
      </c>
    </row>
    <row r="6" spans="1:11" x14ac:dyDescent="0.35">
      <c r="A6" s="18" t="s">
        <v>391</v>
      </c>
      <c r="B6" s="19">
        <v>0.19</v>
      </c>
      <c r="C6" s="20">
        <v>2517605668.4210525</v>
      </c>
      <c r="D6" s="21">
        <v>478345077</v>
      </c>
      <c r="E6" s="22">
        <v>0.73528985253717616</v>
      </c>
      <c r="F6" s="39">
        <f>+D6*E6</f>
        <v>351722281.12921417</v>
      </c>
      <c r="G6" s="40">
        <f>+D6-F6</f>
        <v>126622795.87078583</v>
      </c>
      <c r="H6" s="35">
        <f>+((D6+D8)*E6)</f>
        <v>381339492.42035455</v>
      </c>
      <c r="I6" s="36">
        <f>+D6+D8-H6</f>
        <v>137285225.57964545</v>
      </c>
      <c r="K6" s="123"/>
    </row>
    <row r="7" spans="1:11" x14ac:dyDescent="0.35">
      <c r="A7" s="12" t="s">
        <v>392</v>
      </c>
      <c r="B7" s="13">
        <v>0.19</v>
      </c>
      <c r="C7" s="14">
        <v>0</v>
      </c>
      <c r="D7" s="15"/>
      <c r="E7" s="23">
        <v>0.73528985253717616</v>
      </c>
      <c r="F7" s="39">
        <f>+D7*E7</f>
        <v>0</v>
      </c>
      <c r="G7" s="40">
        <f t="shared" si="1"/>
        <v>0</v>
      </c>
      <c r="H7" s="35">
        <f>+F7*G7</f>
        <v>0</v>
      </c>
      <c r="I7" s="36">
        <f t="shared" ref="I7" si="3">+F7-H7</f>
        <v>0</v>
      </c>
    </row>
    <row r="8" spans="1:11" x14ac:dyDescent="0.35">
      <c r="A8" s="12" t="s">
        <v>393</v>
      </c>
      <c r="B8" s="13">
        <v>0.19</v>
      </c>
      <c r="C8" s="14">
        <v>211998110.52631578</v>
      </c>
      <c r="D8" s="24">
        <v>40279641</v>
      </c>
      <c r="E8" s="16">
        <v>1</v>
      </c>
      <c r="F8" s="39">
        <f>+D8*E8</f>
        <v>40279641</v>
      </c>
      <c r="G8" s="40">
        <f>+D8-F8</f>
        <v>0</v>
      </c>
      <c r="H8" s="35">
        <f>+F8*G8</f>
        <v>0</v>
      </c>
      <c r="I8" s="36"/>
    </row>
    <row r="9" spans="1:11" x14ac:dyDescent="0.35">
      <c r="A9" s="12" t="s">
        <v>394</v>
      </c>
      <c r="B9" s="13">
        <v>0.19</v>
      </c>
      <c r="C9" s="14">
        <f t="shared" si="0"/>
        <v>0</v>
      </c>
      <c r="D9" s="17"/>
      <c r="E9" s="23">
        <v>0.73528985253717616</v>
      </c>
      <c r="F9" s="39">
        <f>+D9*E9</f>
        <v>0</v>
      </c>
      <c r="G9" s="40">
        <f t="shared" si="1"/>
        <v>0</v>
      </c>
      <c r="H9" s="35">
        <f>+F9*G9</f>
        <v>0</v>
      </c>
      <c r="I9" s="36">
        <f t="shared" ref="I9" si="4">+F9-H9</f>
        <v>0</v>
      </c>
    </row>
    <row r="10" spans="1:11" x14ac:dyDescent="0.35">
      <c r="A10" s="18" t="s">
        <v>395</v>
      </c>
      <c r="B10" s="19">
        <v>0.19</v>
      </c>
      <c r="C10" s="20">
        <v>1467017640</v>
      </c>
      <c r="D10" s="25">
        <v>73350882</v>
      </c>
      <c r="E10" s="22">
        <v>0.73528985253717616</v>
      </c>
      <c r="F10" s="39">
        <f>+D10*E10</f>
        <v>53934159.209251806</v>
      </c>
      <c r="G10" s="40">
        <f>+D10-F10</f>
        <v>19416722.790748194</v>
      </c>
      <c r="H10" s="35">
        <f>+F10</f>
        <v>53934159.209251806</v>
      </c>
      <c r="I10" s="36">
        <f>+G10</f>
        <v>19416722.790748194</v>
      </c>
    </row>
    <row r="11" spans="1:11" x14ac:dyDescent="0.35">
      <c r="A11" s="26" t="s">
        <v>396</v>
      </c>
      <c r="B11" s="27"/>
      <c r="C11" s="28">
        <f>SUM(C4:C10)</f>
        <v>25963149313.684212</v>
      </c>
      <c r="D11" s="28">
        <f>SUM(D4:D10)</f>
        <v>4727615900</v>
      </c>
      <c r="E11" s="29">
        <f>+E10</f>
        <v>0.73528985253717616</v>
      </c>
      <c r="F11" s="31">
        <f>SUM(F4:F10)</f>
        <v>4581576381.3384657</v>
      </c>
      <c r="G11" s="32">
        <f>SUM(G4:G10)</f>
        <v>146039518.66153401</v>
      </c>
      <c r="H11" s="31">
        <f>SUM(H4:H10)</f>
        <v>4570913951.6296062</v>
      </c>
      <c r="I11" s="32">
        <f>SUM(I4:I10)</f>
        <v>156701948.37039363</v>
      </c>
    </row>
    <row r="14" spans="1:11" x14ac:dyDescent="0.35">
      <c r="F14" s="41" t="s">
        <v>397</v>
      </c>
      <c r="G14" s="42" t="s">
        <v>398</v>
      </c>
      <c r="H14" s="43" t="s">
        <v>399</v>
      </c>
      <c r="I14" s="47" t="s">
        <v>400</v>
      </c>
    </row>
    <row r="15" spans="1:11" ht="43.5" x14ac:dyDescent="0.35">
      <c r="E15" s="48" t="s">
        <v>401</v>
      </c>
      <c r="F15" s="45">
        <f>+F11</f>
        <v>4581576381.3384657</v>
      </c>
      <c r="G15" s="45">
        <f>+H11</f>
        <v>4570913951.6296062</v>
      </c>
      <c r="H15" s="46">
        <f>+F15-G15</f>
        <v>10662429.708859444</v>
      </c>
      <c r="I15" s="44" t="s">
        <v>402</v>
      </c>
    </row>
    <row r="16" spans="1:11" ht="29" x14ac:dyDescent="0.35">
      <c r="E16" s="49" t="s">
        <v>403</v>
      </c>
      <c r="F16" s="45">
        <f>+G6</f>
        <v>126622795.87078583</v>
      </c>
      <c r="G16" s="45">
        <f>+I6</f>
        <v>137285225.57964545</v>
      </c>
      <c r="H16" s="46">
        <f>+F16-G16</f>
        <v>-10662429.708859622</v>
      </c>
      <c r="I16" s="44" t="s">
        <v>404</v>
      </c>
    </row>
    <row r="18" spans="1:7" ht="58" x14ac:dyDescent="0.35">
      <c r="A18" s="11" t="s">
        <v>382</v>
      </c>
      <c r="B18" s="11" t="s">
        <v>383</v>
      </c>
      <c r="C18" s="11" t="s">
        <v>384</v>
      </c>
      <c r="D18" s="11" t="s">
        <v>385</v>
      </c>
      <c r="E18" s="11" t="s">
        <v>386</v>
      </c>
      <c r="F18" s="11" t="s">
        <v>387</v>
      </c>
      <c r="G18" s="11" t="s">
        <v>388</v>
      </c>
    </row>
    <row r="19" spans="1:7" x14ac:dyDescent="0.35">
      <c r="A19" s="12" t="s">
        <v>389</v>
      </c>
      <c r="B19" s="13">
        <v>0.19</v>
      </c>
      <c r="C19" s="14">
        <v>4118613326.3157892</v>
      </c>
      <c r="D19" s="15">
        <v>782536532</v>
      </c>
      <c r="E19" s="16">
        <v>1</v>
      </c>
      <c r="F19" s="54">
        <f>+E19*D19</f>
        <v>782536532</v>
      </c>
      <c r="G19" s="55">
        <f>+D19-F19</f>
        <v>0</v>
      </c>
    </row>
    <row r="20" spans="1:7" x14ac:dyDescent="0.35">
      <c r="A20" s="12" t="s">
        <v>390</v>
      </c>
      <c r="B20" s="13">
        <v>0.19</v>
      </c>
      <c r="C20" s="14">
        <v>0</v>
      </c>
      <c r="D20" s="17"/>
      <c r="E20" s="16">
        <v>1</v>
      </c>
      <c r="F20" s="54">
        <f>+E20*D20</f>
        <v>0</v>
      </c>
      <c r="G20" s="55">
        <f t="shared" ref="G20:G24" si="5">+D20-F20</f>
        <v>0</v>
      </c>
    </row>
    <row r="21" spans="1:7" x14ac:dyDescent="0.35">
      <c r="A21" s="18" t="s">
        <v>391</v>
      </c>
      <c r="B21" s="19">
        <v>0.19</v>
      </c>
      <c r="C21" s="20">
        <v>4697667157.8947372</v>
      </c>
      <c r="D21" s="21">
        <v>892556760</v>
      </c>
      <c r="E21" s="22">
        <v>0.70377335383934547</v>
      </c>
      <c r="F21" s="20">
        <f>+D21*E21</f>
        <v>628157664.47717977</v>
      </c>
      <c r="G21" s="56">
        <f>+D21-F21</f>
        <v>264399095.52282023</v>
      </c>
    </row>
    <row r="22" spans="1:7" x14ac:dyDescent="0.35">
      <c r="A22" s="12" t="s">
        <v>392</v>
      </c>
      <c r="B22" s="13">
        <v>0.19</v>
      </c>
      <c r="C22" s="14">
        <v>0</v>
      </c>
      <c r="D22" s="15"/>
      <c r="E22" s="23">
        <v>0.70377335383934547</v>
      </c>
      <c r="F22" s="14">
        <f>+D22*E22</f>
        <v>0</v>
      </c>
      <c r="G22" s="57">
        <f t="shared" si="5"/>
        <v>0</v>
      </c>
    </row>
    <row r="23" spans="1:7" x14ac:dyDescent="0.35">
      <c r="A23" s="12" t="s">
        <v>393</v>
      </c>
      <c r="B23" s="13">
        <v>0.19</v>
      </c>
      <c r="C23" s="14">
        <v>790958410.52631581</v>
      </c>
      <c r="D23" s="24">
        <v>150282098</v>
      </c>
      <c r="E23" s="16">
        <v>1</v>
      </c>
      <c r="F23" s="14">
        <f>+D23*E23</f>
        <v>150282098</v>
      </c>
      <c r="G23" s="57">
        <f>+D23-F23</f>
        <v>0</v>
      </c>
    </row>
    <row r="24" spans="1:7" x14ac:dyDescent="0.35">
      <c r="A24" s="12" t="s">
        <v>394</v>
      </c>
      <c r="B24" s="13">
        <v>0.19</v>
      </c>
      <c r="C24" s="14">
        <v>0</v>
      </c>
      <c r="D24" s="17"/>
      <c r="E24" s="23">
        <v>0.70377335383934547</v>
      </c>
      <c r="F24" s="14">
        <f>+D24*E24</f>
        <v>0</v>
      </c>
      <c r="G24" s="57">
        <f t="shared" si="5"/>
        <v>0</v>
      </c>
    </row>
    <row r="25" spans="1:7" x14ac:dyDescent="0.35">
      <c r="A25" s="18" t="s">
        <v>395</v>
      </c>
      <c r="B25" s="19">
        <v>0.19</v>
      </c>
      <c r="C25" s="20">
        <v>1073969600</v>
      </c>
      <c r="D25" s="25">
        <v>53698480</v>
      </c>
      <c r="E25" s="22">
        <v>0.70377335383934547</v>
      </c>
      <c r="F25" s="20">
        <f>+D25*E25</f>
        <v>37791559.365675017</v>
      </c>
      <c r="G25" s="56">
        <f>+D25-F25</f>
        <v>15906920.634324983</v>
      </c>
    </row>
    <row r="26" spans="1:7" x14ac:dyDescent="0.35">
      <c r="A26" s="26" t="s">
        <v>396</v>
      </c>
      <c r="B26" s="27"/>
      <c r="C26" s="28">
        <f>SUM(C19:C25)</f>
        <v>10681208494.736841</v>
      </c>
      <c r="D26" s="28">
        <f>SUM(D19:D25)</f>
        <v>1879073870</v>
      </c>
      <c r="E26" s="29">
        <f>+E25</f>
        <v>0.70377335383934547</v>
      </c>
      <c r="F26" s="28">
        <f>SUM(F19:F25)</f>
        <v>1598767853.8428547</v>
      </c>
      <c r="G26" s="58">
        <f>SUM(G19:G25)</f>
        <v>280306016.1571452</v>
      </c>
    </row>
  </sheetData>
  <mergeCells count="3">
    <mergeCell ref="A1:I1"/>
    <mergeCell ref="A2:G2"/>
    <mergeCell ref="H2:I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9DE82-58FE-4A01-A79D-90A94B99F5E9}">
  <dimension ref="A1:J25"/>
  <sheetViews>
    <sheetView zoomScale="90" zoomScaleNormal="90" workbookViewId="0">
      <selection activeCell="H4" sqref="H4:I10"/>
    </sheetView>
  </sheetViews>
  <sheetFormatPr baseColWidth="10" defaultColWidth="11.453125" defaultRowHeight="14.5" x14ac:dyDescent="0.35"/>
  <cols>
    <col min="1" max="1" width="28.81640625" customWidth="1"/>
    <col min="2" max="2" width="20.54296875" customWidth="1"/>
    <col min="3" max="3" width="15.1796875" customWidth="1"/>
    <col min="4" max="4" width="14.54296875" customWidth="1"/>
    <col min="5" max="5" width="15.7265625" customWidth="1"/>
    <col min="6" max="7" width="17.453125" customWidth="1"/>
    <col min="8" max="8" width="16.81640625" customWidth="1"/>
    <col min="9" max="9" width="18.453125" customWidth="1"/>
  </cols>
  <sheetData>
    <row r="1" spans="1:10" ht="15" thickBot="1" x14ac:dyDescent="0.4"/>
    <row r="2" spans="1:10" ht="15" thickTop="1" x14ac:dyDescent="0.35">
      <c r="A2" s="128" t="s">
        <v>405</v>
      </c>
      <c r="B2" s="128"/>
      <c r="C2" s="128"/>
      <c r="D2" s="128"/>
      <c r="E2" s="128"/>
      <c r="F2" s="129"/>
      <c r="G2" s="129"/>
      <c r="H2" s="130" t="s">
        <v>381</v>
      </c>
      <c r="I2" s="130"/>
    </row>
    <row r="3" spans="1:10" ht="29" x14ac:dyDescent="0.35">
      <c r="A3" s="11" t="s">
        <v>382</v>
      </c>
      <c r="B3" s="11" t="s">
        <v>383</v>
      </c>
      <c r="C3" s="11" t="s">
        <v>384</v>
      </c>
      <c r="D3" s="11" t="s">
        <v>385</v>
      </c>
      <c r="E3" s="11" t="s">
        <v>386</v>
      </c>
      <c r="F3" s="11" t="s">
        <v>387</v>
      </c>
      <c r="G3" s="11" t="s">
        <v>388</v>
      </c>
      <c r="H3" s="30" t="s">
        <v>387</v>
      </c>
      <c r="I3" s="30" t="s">
        <v>388</v>
      </c>
    </row>
    <row r="4" spans="1:10" x14ac:dyDescent="0.35">
      <c r="A4" s="12" t="s">
        <v>389</v>
      </c>
      <c r="B4" s="13">
        <v>0.19</v>
      </c>
      <c r="C4" s="14">
        <f>+D4/19%</f>
        <v>1682184210.5263157</v>
      </c>
      <c r="D4" s="15">
        <v>319615000</v>
      </c>
      <c r="E4" s="16">
        <v>1</v>
      </c>
      <c r="F4" s="54">
        <f>+E4*D4</f>
        <v>319615000</v>
      </c>
      <c r="G4" s="55">
        <f>+D4-F4</f>
        <v>0</v>
      </c>
      <c r="H4" s="33">
        <f>+F4</f>
        <v>319615000</v>
      </c>
      <c r="I4" s="34">
        <f>+F4-H4</f>
        <v>0</v>
      </c>
    </row>
    <row r="5" spans="1:10" x14ac:dyDescent="0.35">
      <c r="A5" s="12" t="s">
        <v>390</v>
      </c>
      <c r="B5" s="13">
        <v>0.19</v>
      </c>
      <c r="C5" s="14">
        <v>0</v>
      </c>
      <c r="D5" s="17"/>
      <c r="E5" s="16">
        <v>1</v>
      </c>
      <c r="F5" s="54">
        <f>+E5*D5</f>
        <v>0</v>
      </c>
      <c r="G5" s="55">
        <f t="shared" ref="G5:G9" si="0">+D5-F5</f>
        <v>0</v>
      </c>
      <c r="H5" s="33">
        <f>+G5*F5</f>
        <v>0</v>
      </c>
      <c r="I5" s="34">
        <f t="shared" ref="I5" si="1">+F5-H5</f>
        <v>0</v>
      </c>
    </row>
    <row r="6" spans="1:10" x14ac:dyDescent="0.35">
      <c r="A6" s="18" t="s">
        <v>391</v>
      </c>
      <c r="B6" s="19">
        <v>0.19</v>
      </c>
      <c r="C6" s="20">
        <f>+D6/19%</f>
        <v>2323644489.4736843</v>
      </c>
      <c r="D6" s="21">
        <v>441492453</v>
      </c>
      <c r="E6" s="22">
        <v>0.70377335383934547</v>
      </c>
      <c r="F6" s="20">
        <f>+D6*E6</f>
        <v>310710624.34256959</v>
      </c>
      <c r="G6" s="56">
        <f>+D6-F6</f>
        <v>130781828.65743041</v>
      </c>
      <c r="H6" s="35">
        <f>+((D6+D8)*E6)</f>
        <v>368927943.43780816</v>
      </c>
      <c r="I6" s="36">
        <f>+D6+D8-H6</f>
        <v>155286196.56219184</v>
      </c>
    </row>
    <row r="7" spans="1:10" x14ac:dyDescent="0.35">
      <c r="A7" s="12" t="s">
        <v>392</v>
      </c>
      <c r="B7" s="13">
        <v>0.19</v>
      </c>
      <c r="C7" s="14">
        <v>0</v>
      </c>
      <c r="D7" s="15"/>
      <c r="E7" s="23">
        <v>0.70377335383934547</v>
      </c>
      <c r="F7" s="14">
        <f>+D7*E7</f>
        <v>0</v>
      </c>
      <c r="G7" s="57">
        <f t="shared" si="0"/>
        <v>0</v>
      </c>
      <c r="H7" s="35">
        <f>+F7*G7</f>
        <v>0</v>
      </c>
      <c r="I7" s="36">
        <f t="shared" ref="I7" si="2">+F7-H7</f>
        <v>0</v>
      </c>
      <c r="J7" s="124"/>
    </row>
    <row r="8" spans="1:10" x14ac:dyDescent="0.35">
      <c r="A8" s="12" t="s">
        <v>393</v>
      </c>
      <c r="B8" s="13">
        <v>0.19</v>
      </c>
      <c r="C8" s="14">
        <f>+D8/19%</f>
        <v>435377300</v>
      </c>
      <c r="D8" s="24">
        <v>82721687</v>
      </c>
      <c r="E8" s="16">
        <v>1</v>
      </c>
      <c r="F8" s="14">
        <f>+D8*E8</f>
        <v>82721687</v>
      </c>
      <c r="G8" s="57">
        <f>+D8-F8</f>
        <v>0</v>
      </c>
      <c r="H8" s="35">
        <f>+F8*G8</f>
        <v>0</v>
      </c>
      <c r="I8" s="36"/>
    </row>
    <row r="9" spans="1:10" x14ac:dyDescent="0.35">
      <c r="A9" s="12" t="s">
        <v>394</v>
      </c>
      <c r="B9" s="13">
        <v>0.19</v>
      </c>
      <c r="C9" s="14">
        <v>0</v>
      </c>
      <c r="D9" s="17"/>
      <c r="E9" s="23">
        <v>0.70377335383934547</v>
      </c>
      <c r="F9" s="14">
        <f>+D9*E9</f>
        <v>0</v>
      </c>
      <c r="G9" s="57">
        <f t="shared" si="0"/>
        <v>0</v>
      </c>
      <c r="H9" s="35">
        <f>+F9*G9</f>
        <v>0</v>
      </c>
      <c r="I9" s="36">
        <f t="shared" ref="I9" si="3">+F9-H9</f>
        <v>0</v>
      </c>
    </row>
    <row r="10" spans="1:10" x14ac:dyDescent="0.35">
      <c r="A10" s="18" t="s">
        <v>395</v>
      </c>
      <c r="B10" s="19">
        <v>0.19</v>
      </c>
      <c r="C10" s="20">
        <v>1073969600</v>
      </c>
      <c r="D10" s="25">
        <v>53698480</v>
      </c>
      <c r="E10" s="22">
        <v>0.70377335383934547</v>
      </c>
      <c r="F10" s="20">
        <f>+D10*E10</f>
        <v>37791559.365675017</v>
      </c>
      <c r="G10" s="56">
        <f>+D10-F10</f>
        <v>15906920.634324983</v>
      </c>
      <c r="H10" s="35">
        <f>+F10</f>
        <v>37791559.365675017</v>
      </c>
      <c r="I10" s="36">
        <f>+G10</f>
        <v>15906920.634324983</v>
      </c>
    </row>
    <row r="11" spans="1:10" x14ac:dyDescent="0.35">
      <c r="A11" s="26" t="s">
        <v>396</v>
      </c>
      <c r="B11" s="27"/>
      <c r="C11" s="28">
        <f>SUM(C4:C10)</f>
        <v>5515175600</v>
      </c>
      <c r="D11" s="28">
        <f>SUM(D4:D10)</f>
        <v>897527620</v>
      </c>
      <c r="E11" s="29">
        <f>+E10</f>
        <v>0.70377335383934547</v>
      </c>
      <c r="F11" s="28">
        <f>SUM(F4:F10)</f>
        <v>750838870.70824456</v>
      </c>
      <c r="G11" s="58">
        <f>SUM(G4:G10)</f>
        <v>146688749.29175538</v>
      </c>
      <c r="H11" s="31">
        <f>SUM(H4:H10)</f>
        <v>726334502.80348313</v>
      </c>
      <c r="I11" s="32">
        <f>SUM(I4:I10)</f>
        <v>171193117.19651681</v>
      </c>
    </row>
    <row r="13" spans="1:10" x14ac:dyDescent="0.35">
      <c r="F13" s="41" t="s">
        <v>406</v>
      </c>
      <c r="G13" s="42" t="s">
        <v>407</v>
      </c>
      <c r="H13" s="43" t="s">
        <v>399</v>
      </c>
      <c r="I13" s="47" t="s">
        <v>400</v>
      </c>
    </row>
    <row r="14" spans="1:10" ht="43.5" x14ac:dyDescent="0.35">
      <c r="E14" s="48" t="s">
        <v>401</v>
      </c>
      <c r="F14" s="45">
        <f>+F11</f>
        <v>750838870.70824456</v>
      </c>
      <c r="G14" s="45">
        <f>+H11</f>
        <v>726334502.80348313</v>
      </c>
      <c r="H14" s="46">
        <f>+F14-G14</f>
        <v>24504367.904761434</v>
      </c>
      <c r="I14" s="44" t="s">
        <v>402</v>
      </c>
    </row>
    <row r="15" spans="1:10" ht="29" x14ac:dyDescent="0.35">
      <c r="E15" s="49" t="s">
        <v>403</v>
      </c>
      <c r="F15" s="45">
        <f>+G6</f>
        <v>130781828.65743041</v>
      </c>
      <c r="G15" s="45">
        <f>+I6</f>
        <v>155286196.56219184</v>
      </c>
      <c r="H15" s="46">
        <f>+F15-G15</f>
        <v>-24504367.904761434</v>
      </c>
      <c r="I15" s="44" t="s">
        <v>404</v>
      </c>
    </row>
    <row r="19" spans="2:6" x14ac:dyDescent="0.35">
      <c r="C19" s="41" t="s">
        <v>408</v>
      </c>
      <c r="D19" s="42" t="s">
        <v>409</v>
      </c>
      <c r="E19" s="42" t="s">
        <v>410</v>
      </c>
      <c r="F19" s="47" t="s">
        <v>400</v>
      </c>
    </row>
    <row r="20" spans="2:6" ht="43.5" x14ac:dyDescent="0.35">
      <c r="B20" s="48" t="s">
        <v>411</v>
      </c>
      <c r="C20" s="45">
        <v>24504367.904761434</v>
      </c>
      <c r="D20" s="46">
        <v>10662429.708859444</v>
      </c>
      <c r="E20" s="46">
        <f>+C20+D20</f>
        <v>35166797.613620877</v>
      </c>
      <c r="F20" s="44" t="s">
        <v>402</v>
      </c>
    </row>
    <row r="21" spans="2:6" ht="48.65" customHeight="1" x14ac:dyDescent="0.35">
      <c r="B21" s="49" t="s">
        <v>403</v>
      </c>
      <c r="C21" s="45">
        <v>-24504367.904761434</v>
      </c>
      <c r="D21" s="46">
        <v>-10662429.708859622</v>
      </c>
      <c r="E21" s="46">
        <f>+C21+D21</f>
        <v>-35166797.613621056</v>
      </c>
      <c r="F21" s="44" t="s">
        <v>404</v>
      </c>
    </row>
    <row r="22" spans="2:6" ht="48.65" customHeight="1" x14ac:dyDescent="0.35">
      <c r="B22" s="59"/>
      <c r="C22" s="60"/>
      <c r="D22" s="61"/>
      <c r="E22" s="61"/>
      <c r="F22" s="62"/>
    </row>
    <row r="23" spans="2:6" x14ac:dyDescent="0.35">
      <c r="B23" s="131" t="s">
        <v>412</v>
      </c>
      <c r="C23" s="131"/>
      <c r="D23" s="131"/>
      <c r="E23" s="131"/>
      <c r="F23" s="131"/>
    </row>
    <row r="24" spans="2:6" x14ac:dyDescent="0.35">
      <c r="C24" s="63" t="s">
        <v>408</v>
      </c>
      <c r="D24" s="64" t="s">
        <v>409</v>
      </c>
      <c r="E24" s="64" t="s">
        <v>410</v>
      </c>
      <c r="F24" s="47" t="s">
        <v>400</v>
      </c>
    </row>
    <row r="25" spans="2:6" ht="72.5" x14ac:dyDescent="0.35">
      <c r="B25" s="48" t="s">
        <v>401</v>
      </c>
      <c r="C25" s="45">
        <f>+D8</f>
        <v>82721687</v>
      </c>
      <c r="D25" s="46">
        <f>+MARZO!F8</f>
        <v>40279641</v>
      </c>
      <c r="E25" s="46">
        <f>+C25+D25</f>
        <v>123001328</v>
      </c>
      <c r="F25" s="44" t="s">
        <v>413</v>
      </c>
    </row>
  </sheetData>
  <mergeCells count="3">
    <mergeCell ref="A2:G2"/>
    <mergeCell ref="H2:I2"/>
    <mergeCell ref="B23:F23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9B55-5F25-49B2-8F38-78E5BCA52FED}">
  <dimension ref="B1:M50"/>
  <sheetViews>
    <sheetView topLeftCell="A13" zoomScale="80" zoomScaleNormal="80" workbookViewId="0">
      <selection activeCell="C23" sqref="C23"/>
    </sheetView>
  </sheetViews>
  <sheetFormatPr baseColWidth="10" defaultColWidth="11.453125" defaultRowHeight="14.5" x14ac:dyDescent="0.35"/>
  <cols>
    <col min="2" max="2" width="24.1796875" customWidth="1"/>
    <col min="3" max="3" width="15.81640625" customWidth="1"/>
    <col min="4" max="4" width="16.81640625" customWidth="1"/>
    <col min="5" max="5" width="14.1796875" customWidth="1"/>
    <col min="6" max="6" width="18" customWidth="1"/>
    <col min="7" max="7" width="20.453125" customWidth="1"/>
    <col min="8" max="8" width="14.7265625" customWidth="1"/>
    <col min="9" max="9" width="26.453125" customWidth="1"/>
    <col min="10" max="10" width="21.54296875" customWidth="1"/>
    <col min="11" max="11" width="14.453125" customWidth="1"/>
    <col min="12" max="12" width="14.81640625" customWidth="1"/>
    <col min="13" max="13" width="14.1796875" bestFit="1" customWidth="1"/>
  </cols>
  <sheetData>
    <row r="1" spans="2:10" ht="15" thickTop="1" x14ac:dyDescent="0.35">
      <c r="I1" s="121" t="s">
        <v>381</v>
      </c>
      <c r="J1" s="121"/>
    </row>
    <row r="2" spans="2:10" ht="29" x14ac:dyDescent="0.35">
      <c r="B2" s="11" t="s">
        <v>382</v>
      </c>
      <c r="C2" s="11" t="s">
        <v>383</v>
      </c>
      <c r="D2" s="11" t="s">
        <v>384</v>
      </c>
      <c r="E2" s="11" t="s">
        <v>385</v>
      </c>
      <c r="F2" s="11" t="s">
        <v>386</v>
      </c>
      <c r="G2" s="11" t="s">
        <v>387</v>
      </c>
      <c r="H2" s="11" t="s">
        <v>388</v>
      </c>
      <c r="I2" s="30" t="s">
        <v>387</v>
      </c>
      <c r="J2" s="30" t="s">
        <v>388</v>
      </c>
    </row>
    <row r="3" spans="2:10" ht="29.15" customHeight="1" x14ac:dyDescent="0.35">
      <c r="B3" s="12" t="s">
        <v>389</v>
      </c>
      <c r="C3" s="13">
        <v>0.19</v>
      </c>
      <c r="D3" s="14">
        <v>1222026315.7894738</v>
      </c>
      <c r="E3" s="15">
        <v>232185000</v>
      </c>
      <c r="F3" s="16">
        <v>1</v>
      </c>
      <c r="G3" s="54">
        <f>+F3*E3</f>
        <v>232185000</v>
      </c>
      <c r="H3" s="55">
        <f>+E3-G3</f>
        <v>0</v>
      </c>
      <c r="I3" s="33">
        <f>+G3</f>
        <v>232185000</v>
      </c>
      <c r="J3" s="34">
        <f>+G3-I3</f>
        <v>0</v>
      </c>
    </row>
    <row r="4" spans="2:10" x14ac:dyDescent="0.35">
      <c r="B4" s="12" t="s">
        <v>390</v>
      </c>
      <c r="C4" s="13">
        <v>0.19</v>
      </c>
      <c r="D4" s="14">
        <v>0</v>
      </c>
      <c r="E4" s="17"/>
      <c r="F4" s="16">
        <v>1</v>
      </c>
      <c r="G4" s="54">
        <f>+F4*E4</f>
        <v>0</v>
      </c>
      <c r="H4" s="55">
        <f t="shared" ref="H4:H8" si="0">+E4-G4</f>
        <v>0</v>
      </c>
      <c r="I4" s="33">
        <f>+H4*G4</f>
        <v>0</v>
      </c>
      <c r="J4" s="34">
        <f t="shared" ref="J4" si="1">+G4-I4</f>
        <v>0</v>
      </c>
    </row>
    <row r="5" spans="2:10" x14ac:dyDescent="0.35">
      <c r="B5" s="18" t="s">
        <v>391</v>
      </c>
      <c r="C5" s="19">
        <v>0.19</v>
      </c>
      <c r="D5" s="20">
        <v>2369180657.8947368</v>
      </c>
      <c r="E5" s="21">
        <f>450144325</f>
        <v>450144325</v>
      </c>
      <c r="F5" s="22">
        <v>0.67673783720101532</v>
      </c>
      <c r="G5" s="20">
        <f>+E5*F5</f>
        <v>304629696.92881095</v>
      </c>
      <c r="H5" s="56">
        <f>+E5-G5</f>
        <v>145514628.07118905</v>
      </c>
      <c r="I5" s="35">
        <f>+((E5+E7)*F5)</f>
        <v>361091056.71782571</v>
      </c>
      <c r="J5" s="36">
        <f>+E5+E7-I5</f>
        <v>172484926.28217429</v>
      </c>
    </row>
    <row r="6" spans="2:10" x14ac:dyDescent="0.35">
      <c r="B6" s="12" t="s">
        <v>392</v>
      </c>
      <c r="C6" s="13">
        <v>0.19</v>
      </c>
      <c r="D6" s="14">
        <v>0</v>
      </c>
      <c r="E6" s="15"/>
      <c r="F6" s="23">
        <v>0.67673783720101532</v>
      </c>
      <c r="G6" s="14">
        <f>+E6*F6</f>
        <v>0</v>
      </c>
      <c r="H6" s="57">
        <f t="shared" si="0"/>
        <v>0</v>
      </c>
      <c r="I6" s="35">
        <f>+G6*H6</f>
        <v>0</v>
      </c>
      <c r="J6" s="36">
        <f t="shared" ref="J6" si="2">+G6-I6</f>
        <v>0</v>
      </c>
    </row>
    <row r="7" spans="2:10" x14ac:dyDescent="0.35">
      <c r="B7" s="12" t="s">
        <v>393</v>
      </c>
      <c r="C7" s="13">
        <v>0.19</v>
      </c>
      <c r="D7" s="14">
        <v>439113989.47368419</v>
      </c>
      <c r="E7" s="24">
        <v>83431658</v>
      </c>
      <c r="F7" s="16">
        <v>1</v>
      </c>
      <c r="G7" s="14">
        <f>+E7*F7</f>
        <v>83431658</v>
      </c>
      <c r="H7" s="57">
        <f>+E7-G7</f>
        <v>0</v>
      </c>
      <c r="I7" s="35">
        <f>+G7*H7</f>
        <v>0</v>
      </c>
      <c r="J7" s="36"/>
    </row>
    <row r="8" spans="2:10" x14ac:dyDescent="0.35">
      <c r="B8" s="12" t="s">
        <v>394</v>
      </c>
      <c r="C8" s="13">
        <v>0.19</v>
      </c>
      <c r="D8" s="14">
        <v>0</v>
      </c>
      <c r="E8" s="17"/>
      <c r="F8" s="23">
        <v>0.67673783720101532</v>
      </c>
      <c r="G8" s="14">
        <f>+E8*F8</f>
        <v>0</v>
      </c>
      <c r="H8" s="57">
        <f t="shared" si="0"/>
        <v>0</v>
      </c>
      <c r="I8" s="35">
        <f>+G8*H8</f>
        <v>0</v>
      </c>
      <c r="J8" s="36">
        <f t="shared" ref="J8" si="3">+G8-I8</f>
        <v>0</v>
      </c>
    </row>
    <row r="9" spans="2:10" x14ac:dyDescent="0.35">
      <c r="B9" s="18" t="s">
        <v>395</v>
      </c>
      <c r="C9" s="19">
        <v>0.19</v>
      </c>
      <c r="D9" s="20">
        <v>595697380</v>
      </c>
      <c r="E9" s="25">
        <v>29784869</v>
      </c>
      <c r="F9" s="22">
        <v>0.67673783720101532</v>
      </c>
      <c r="G9" s="20">
        <f>+E9*F9</f>
        <v>20156547.828375567</v>
      </c>
      <c r="H9" s="56">
        <f>+E9-G9</f>
        <v>9628321.1716244332</v>
      </c>
      <c r="I9" s="35">
        <f>+G9</f>
        <v>20156547.828375567</v>
      </c>
      <c r="J9" s="36">
        <f>+H9</f>
        <v>9628321.1716244332</v>
      </c>
    </row>
    <row r="10" spans="2:10" x14ac:dyDescent="0.35">
      <c r="B10" s="26" t="s">
        <v>396</v>
      </c>
      <c r="C10" s="27"/>
      <c r="D10" s="28">
        <f>SUM(D3:D9)</f>
        <v>4626018343.1578951</v>
      </c>
      <c r="E10" s="28">
        <f>SUM(E3:E9)</f>
        <v>795545852</v>
      </c>
      <c r="F10" s="29">
        <f>+F9</f>
        <v>0.67673783720101532</v>
      </c>
      <c r="G10" s="28">
        <f>SUM(G3:G9)</f>
        <v>640402902.75718653</v>
      </c>
      <c r="H10" s="58">
        <f>SUM(H3:H9)</f>
        <v>155142949.24281347</v>
      </c>
      <c r="I10" s="31">
        <f>SUM(I3:I9)</f>
        <v>613432604.54620123</v>
      </c>
      <c r="J10" s="32">
        <f>SUM(J3:J9)</f>
        <v>182113247.45379871</v>
      </c>
    </row>
    <row r="11" spans="2:10" x14ac:dyDescent="0.35">
      <c r="B11" s="26"/>
      <c r="C11" s="27"/>
      <c r="D11" s="28"/>
      <c r="E11" s="28"/>
      <c r="F11" s="29"/>
      <c r="G11" s="28"/>
      <c r="H11" s="58"/>
    </row>
    <row r="12" spans="2:10" x14ac:dyDescent="0.35">
      <c r="B12" s="26"/>
      <c r="C12" s="27"/>
      <c r="D12" s="28"/>
      <c r="F12" s="41" t="s">
        <v>414</v>
      </c>
      <c r="G12" s="42" t="s">
        <v>415</v>
      </c>
      <c r="H12" s="43" t="s">
        <v>399</v>
      </c>
      <c r="I12" s="47" t="s">
        <v>400</v>
      </c>
    </row>
    <row r="13" spans="2:10" ht="48.65" customHeight="1" x14ac:dyDescent="0.35">
      <c r="B13" s="26"/>
      <c r="C13" s="27"/>
      <c r="D13" s="28"/>
      <c r="E13" s="48" t="s">
        <v>401</v>
      </c>
      <c r="F13" s="45">
        <f>+G10</f>
        <v>640402902.75718653</v>
      </c>
      <c r="G13" s="45">
        <f>+I10</f>
        <v>613432604.54620123</v>
      </c>
      <c r="H13" s="46">
        <f>+F13-G13</f>
        <v>26970298.210985303</v>
      </c>
      <c r="I13" s="44" t="s">
        <v>402</v>
      </c>
    </row>
    <row r="14" spans="2:10" x14ac:dyDescent="0.35">
      <c r="B14" s="26"/>
      <c r="C14" s="27"/>
      <c r="D14" s="28"/>
      <c r="E14" s="49" t="s">
        <v>403</v>
      </c>
      <c r="F14" s="45">
        <f>+H5</f>
        <v>145514628.07118905</v>
      </c>
      <c r="G14" s="45">
        <f>+J5</f>
        <v>172484926.28217429</v>
      </c>
      <c r="H14" s="46">
        <f>+F14-G14</f>
        <v>-26970298.210985243</v>
      </c>
      <c r="I14" s="44" t="s">
        <v>404</v>
      </c>
    </row>
    <row r="15" spans="2:10" x14ac:dyDescent="0.35">
      <c r="B15" s="26"/>
      <c r="C15" s="27"/>
      <c r="D15" s="28"/>
      <c r="E15" s="28"/>
      <c r="F15" s="29"/>
      <c r="G15" s="28"/>
      <c r="H15" s="58"/>
    </row>
    <row r="17" spans="2:12" x14ac:dyDescent="0.35">
      <c r="C17" s="89" t="s">
        <v>416</v>
      </c>
      <c r="D17" s="41" t="s">
        <v>408</v>
      </c>
      <c r="E17" s="42" t="s">
        <v>409</v>
      </c>
      <c r="F17" s="89" t="s">
        <v>410</v>
      </c>
      <c r="G17" s="47" t="s">
        <v>400</v>
      </c>
    </row>
    <row r="18" spans="2:12" ht="43.5" x14ac:dyDescent="0.35">
      <c r="B18" s="48" t="s">
        <v>411</v>
      </c>
      <c r="C18" s="45">
        <f>+H13</f>
        <v>26970298.210985303</v>
      </c>
      <c r="D18" s="45">
        <v>24504367.904761434</v>
      </c>
      <c r="E18" s="46">
        <v>10662429.708859444</v>
      </c>
      <c r="F18" s="46">
        <f>+D18+E18+C18</f>
        <v>62137095.82460618</v>
      </c>
      <c r="G18" s="44" t="s">
        <v>402</v>
      </c>
    </row>
    <row r="19" spans="2:12" ht="29" x14ac:dyDescent="0.35">
      <c r="B19" s="49" t="s">
        <v>403</v>
      </c>
      <c r="C19" s="45">
        <f>-H14</f>
        <v>26970298.210985243</v>
      </c>
      <c r="D19" s="45">
        <v>-24504367.904761434</v>
      </c>
      <c r="E19" s="46">
        <v>-10662429.708859622</v>
      </c>
      <c r="F19" s="46">
        <f>+D19+E19+C19</f>
        <v>-8196499.4026358128</v>
      </c>
      <c r="G19" s="44" t="s">
        <v>404</v>
      </c>
      <c r="I19" s="123">
        <f>+F18</f>
        <v>62137095.82460618</v>
      </c>
      <c r="J19">
        <v>30500000</v>
      </c>
      <c r="K19">
        <f>+J19*7</f>
        <v>213500000</v>
      </c>
      <c r="L19" s="123">
        <f>+K19+I19</f>
        <v>275637095.82460618</v>
      </c>
    </row>
    <row r="20" spans="2:12" x14ac:dyDescent="0.35">
      <c r="C20" s="59"/>
      <c r="D20" s="60"/>
      <c r="E20" s="61"/>
      <c r="F20" s="61"/>
      <c r="G20" s="62"/>
    </row>
    <row r="21" spans="2:12" x14ac:dyDescent="0.35">
      <c r="C21" s="131" t="s">
        <v>412</v>
      </c>
      <c r="D21" s="131"/>
      <c r="E21" s="131"/>
      <c r="F21" s="131"/>
      <c r="G21" s="131"/>
    </row>
    <row r="22" spans="2:12" x14ac:dyDescent="0.35">
      <c r="C22" s="88" t="s">
        <v>416</v>
      </c>
      <c r="D22" s="63" t="s">
        <v>408</v>
      </c>
      <c r="E22" s="64" t="s">
        <v>409</v>
      </c>
      <c r="F22" s="88" t="s">
        <v>410</v>
      </c>
      <c r="G22" s="47" t="s">
        <v>400</v>
      </c>
    </row>
    <row r="23" spans="2:12" ht="58" x14ac:dyDescent="0.35">
      <c r="B23" s="48" t="s">
        <v>401</v>
      </c>
      <c r="C23" s="45">
        <f>+E7</f>
        <v>83431658</v>
      </c>
      <c r="D23" s="45">
        <v>82721687</v>
      </c>
      <c r="E23" s="46">
        <v>40279641</v>
      </c>
      <c r="F23" s="46">
        <f>+E23+D23+C23</f>
        <v>206432986</v>
      </c>
      <c r="G23" s="44" t="s">
        <v>417</v>
      </c>
      <c r="I23">
        <v>83000000</v>
      </c>
      <c r="J23">
        <f>+I23*7</f>
        <v>581000000</v>
      </c>
      <c r="K23" s="123">
        <f>+J23+F23</f>
        <v>787432986</v>
      </c>
    </row>
    <row r="28" spans="2:12" x14ac:dyDescent="0.35">
      <c r="B28" s="93" t="s">
        <v>418</v>
      </c>
      <c r="C28" s="92" t="s">
        <v>403</v>
      </c>
      <c r="D28" s="92" t="s">
        <v>419</v>
      </c>
    </row>
    <row r="29" spans="2:12" x14ac:dyDescent="0.35">
      <c r="B29" t="s">
        <v>420</v>
      </c>
      <c r="C29" s="91">
        <v>28500000</v>
      </c>
      <c r="D29" s="91">
        <v>82000000</v>
      </c>
    </row>
    <row r="30" spans="2:12" x14ac:dyDescent="0.35">
      <c r="B30" t="s">
        <v>421</v>
      </c>
      <c r="C30" s="91">
        <v>30000000</v>
      </c>
      <c r="D30" s="91">
        <v>80000000</v>
      </c>
    </row>
    <row r="31" spans="2:12" x14ac:dyDescent="0.35">
      <c r="B31" t="s">
        <v>422</v>
      </c>
      <c r="C31" s="91">
        <v>30000000</v>
      </c>
      <c r="D31" s="91">
        <v>80000000</v>
      </c>
    </row>
    <row r="32" spans="2:12" x14ac:dyDescent="0.35">
      <c r="B32" t="s">
        <v>423</v>
      </c>
      <c r="C32" s="91">
        <v>30000000</v>
      </c>
      <c r="D32" s="91">
        <v>80000000</v>
      </c>
    </row>
    <row r="33" spans="2:13" x14ac:dyDescent="0.35">
      <c r="B33" t="s">
        <v>424</v>
      </c>
      <c r="C33" s="91">
        <v>30000000</v>
      </c>
      <c r="D33" s="91">
        <v>80000000</v>
      </c>
    </row>
    <row r="34" spans="2:13" x14ac:dyDescent="0.35">
      <c r="B34" t="s">
        <v>425</v>
      </c>
      <c r="C34" s="91">
        <v>30000000</v>
      </c>
      <c r="D34" s="91">
        <v>80000000</v>
      </c>
    </row>
    <row r="35" spans="2:13" x14ac:dyDescent="0.35">
      <c r="B35" t="s">
        <v>426</v>
      </c>
      <c r="C35" s="91">
        <v>30000000</v>
      </c>
      <c r="D35" s="91">
        <v>80000000</v>
      </c>
    </row>
    <row r="36" spans="2:13" x14ac:dyDescent="0.35">
      <c r="B36" s="94" t="s">
        <v>396</v>
      </c>
      <c r="C36" s="91">
        <f>SUM(C29:C35)</f>
        <v>208500000</v>
      </c>
      <c r="D36" s="91">
        <f>SUM(D29:D35)</f>
        <v>562000000</v>
      </c>
    </row>
    <row r="48" spans="2:13" x14ac:dyDescent="0.35">
      <c r="B48" s="90" t="s">
        <v>418</v>
      </c>
      <c r="C48" s="90" t="s">
        <v>427</v>
      </c>
      <c r="D48" s="90" t="s">
        <v>428</v>
      </c>
      <c r="E48" s="90" t="s">
        <v>429</v>
      </c>
      <c r="F48" s="90" t="s">
        <v>420</v>
      </c>
      <c r="G48" s="90" t="s">
        <v>421</v>
      </c>
      <c r="H48" s="90" t="s">
        <v>422</v>
      </c>
      <c r="I48" s="90" t="s">
        <v>423</v>
      </c>
      <c r="J48" s="90" t="s">
        <v>424</v>
      </c>
      <c r="K48" s="90" t="s">
        <v>425</v>
      </c>
      <c r="L48" s="90" t="s">
        <v>426</v>
      </c>
      <c r="M48" s="90" t="s">
        <v>410</v>
      </c>
    </row>
    <row r="49" spans="2:13" x14ac:dyDescent="0.35">
      <c r="B49" s="90" t="s">
        <v>403</v>
      </c>
      <c r="C49" s="95">
        <v>10662429.708859444</v>
      </c>
      <c r="D49" s="96">
        <v>24504367.904761434</v>
      </c>
      <c r="E49" s="96">
        <v>26970298.210985303</v>
      </c>
      <c r="F49" s="97">
        <v>28500000</v>
      </c>
      <c r="G49" s="97">
        <v>30000000</v>
      </c>
      <c r="H49" s="97">
        <v>30000000</v>
      </c>
      <c r="I49" s="97">
        <v>30000000</v>
      </c>
      <c r="J49" s="97">
        <v>30000000</v>
      </c>
      <c r="K49" s="97">
        <v>30000000</v>
      </c>
      <c r="L49" s="97">
        <v>30000000</v>
      </c>
      <c r="M49" s="97">
        <f>SUM(C49:L49)</f>
        <v>270637095.82460618</v>
      </c>
    </row>
    <row r="50" spans="2:13" x14ac:dyDescent="0.35">
      <c r="B50" s="90" t="s">
        <v>419</v>
      </c>
      <c r="C50" s="95">
        <v>40279641</v>
      </c>
      <c r="D50" s="96">
        <v>82721687</v>
      </c>
      <c r="E50" s="97">
        <v>83431658</v>
      </c>
      <c r="F50" s="97">
        <v>82000000</v>
      </c>
      <c r="G50" s="97">
        <v>82000000</v>
      </c>
      <c r="H50" s="97">
        <v>82000000</v>
      </c>
      <c r="I50" s="97">
        <v>82000000</v>
      </c>
      <c r="J50" s="97">
        <v>82000000</v>
      </c>
      <c r="K50" s="97">
        <v>82000000</v>
      </c>
      <c r="L50" s="97">
        <v>82000000</v>
      </c>
      <c r="M50" s="97">
        <f>SUM(C50:L50)</f>
        <v>780432986</v>
      </c>
    </row>
  </sheetData>
  <mergeCells count="1">
    <mergeCell ref="C21:G21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250F4-8281-4338-AD91-3C618F43BC95}">
  <dimension ref="A1:K26"/>
  <sheetViews>
    <sheetView topLeftCell="A21" workbookViewId="0">
      <selection activeCell="F26" sqref="F26"/>
    </sheetView>
  </sheetViews>
  <sheetFormatPr baseColWidth="10" defaultColWidth="11.453125" defaultRowHeight="14.5" x14ac:dyDescent="0.35"/>
  <cols>
    <col min="1" max="1" width="18.81640625" customWidth="1"/>
    <col min="2" max="2" width="17.81640625" customWidth="1"/>
    <col min="3" max="3" width="17.54296875" customWidth="1"/>
    <col min="4" max="5" width="16.81640625" customWidth="1"/>
    <col min="6" max="6" width="16.1796875" customWidth="1"/>
    <col min="7" max="7" width="22.81640625" customWidth="1"/>
    <col min="8" max="9" width="13.453125" customWidth="1"/>
    <col min="10" max="10" width="18" customWidth="1"/>
    <col min="11" max="11" width="17.1796875" customWidth="1"/>
  </cols>
  <sheetData>
    <row r="1" spans="3:11" ht="15" thickTop="1" x14ac:dyDescent="0.35">
      <c r="J1" s="132" t="s">
        <v>381</v>
      </c>
      <c r="K1" s="132"/>
    </row>
    <row r="2" spans="3:11" ht="29" x14ac:dyDescent="0.35">
      <c r="C2" s="11" t="s">
        <v>382</v>
      </c>
      <c r="D2" s="11" t="s">
        <v>383</v>
      </c>
      <c r="E2" s="11" t="s">
        <v>384</v>
      </c>
      <c r="F2" s="11" t="s">
        <v>385</v>
      </c>
      <c r="G2" s="11" t="s">
        <v>386</v>
      </c>
      <c r="H2" s="11" t="s">
        <v>387</v>
      </c>
      <c r="I2" s="11" t="s">
        <v>388</v>
      </c>
      <c r="J2" s="30" t="s">
        <v>387</v>
      </c>
      <c r="K2" s="30" t="s">
        <v>388</v>
      </c>
    </row>
    <row r="3" spans="3:11" x14ac:dyDescent="0.35">
      <c r="C3" s="12" t="s">
        <v>389</v>
      </c>
      <c r="D3" s="13">
        <v>0.19</v>
      </c>
      <c r="E3" s="14">
        <v>3995268421.0526314</v>
      </c>
      <c r="F3" s="15">
        <v>759101000</v>
      </c>
      <c r="G3" s="16">
        <v>1</v>
      </c>
      <c r="H3" s="54">
        <f>+G3*F3</f>
        <v>759101000</v>
      </c>
      <c r="I3" s="55">
        <f>+F3-H3</f>
        <v>0</v>
      </c>
      <c r="J3" s="33">
        <f>+H3</f>
        <v>759101000</v>
      </c>
      <c r="K3" s="34">
        <f>+H3-J3</f>
        <v>0</v>
      </c>
    </row>
    <row r="4" spans="3:11" x14ac:dyDescent="0.35">
      <c r="C4" s="12" t="s">
        <v>390</v>
      </c>
      <c r="D4" s="13">
        <v>0.19</v>
      </c>
      <c r="E4" s="14">
        <v>0</v>
      </c>
      <c r="F4" s="17"/>
      <c r="G4" s="16">
        <v>1</v>
      </c>
      <c r="H4" s="54">
        <f>+G4*F4</f>
        <v>0</v>
      </c>
      <c r="I4" s="55">
        <f t="shared" ref="I4:I8" si="0">+F4-H4</f>
        <v>0</v>
      </c>
      <c r="J4" s="33">
        <f>+I4*H4</f>
        <v>0</v>
      </c>
      <c r="K4" s="34">
        <f t="shared" ref="K4" si="1">+H4-J4</f>
        <v>0</v>
      </c>
    </row>
    <row r="5" spans="3:11" x14ac:dyDescent="0.35">
      <c r="C5" s="18" t="s">
        <v>391</v>
      </c>
      <c r="D5" s="19">
        <v>0.19</v>
      </c>
      <c r="E5" s="20">
        <v>4215498821.0526314</v>
      </c>
      <c r="F5" s="21">
        <v>800944776</v>
      </c>
      <c r="G5" s="22">
        <v>0.69383535074016645</v>
      </c>
      <c r="H5" s="20">
        <f>+F5*G5</f>
        <v>555723799.57946408</v>
      </c>
      <c r="I5" s="56">
        <f>+F5-H5</f>
        <v>245220976.42053592</v>
      </c>
      <c r="J5" s="35">
        <f>+((F5+F7)*G5)</f>
        <v>684176814.35251725</v>
      </c>
      <c r="K5" s="36">
        <f>+F5+F7-J5</f>
        <v>301902683.64748275</v>
      </c>
    </row>
    <row r="6" spans="3:11" x14ac:dyDescent="0.35">
      <c r="C6" s="12" t="s">
        <v>392</v>
      </c>
      <c r="D6" s="13">
        <v>0.19</v>
      </c>
      <c r="E6" s="14">
        <v>0</v>
      </c>
      <c r="F6" s="15"/>
      <c r="G6" s="23">
        <v>0.69383535074016645</v>
      </c>
      <c r="H6" s="14">
        <f>+F6*G6</f>
        <v>0</v>
      </c>
      <c r="I6" s="57">
        <f t="shared" si="0"/>
        <v>0</v>
      </c>
      <c r="J6" s="35">
        <f>+H6*I6</f>
        <v>0</v>
      </c>
      <c r="K6" s="36">
        <f t="shared" ref="K6" si="2">+H6-J6</f>
        <v>0</v>
      </c>
    </row>
    <row r="7" spans="3:11" x14ac:dyDescent="0.35">
      <c r="C7" s="12" t="s">
        <v>393</v>
      </c>
      <c r="D7" s="13">
        <v>0.19</v>
      </c>
      <c r="E7" s="14">
        <v>974393273.68421054</v>
      </c>
      <c r="F7" s="24">
        <v>185134722</v>
      </c>
      <c r="G7" s="16">
        <v>1</v>
      </c>
      <c r="H7" s="14">
        <f>+F7</f>
        <v>185134722</v>
      </c>
      <c r="I7" s="57"/>
      <c r="J7" s="35">
        <f>+H7*I7</f>
        <v>0</v>
      </c>
      <c r="K7" s="36"/>
    </row>
    <row r="8" spans="3:11" x14ac:dyDescent="0.35">
      <c r="C8" s="12" t="s">
        <v>394</v>
      </c>
      <c r="D8" s="13">
        <v>0.19</v>
      </c>
      <c r="E8" s="14">
        <v>0</v>
      </c>
      <c r="F8" s="17"/>
      <c r="G8" s="23">
        <v>0.69383535074016645</v>
      </c>
      <c r="H8" s="14">
        <f>+F8*G8</f>
        <v>0</v>
      </c>
      <c r="I8" s="57">
        <f t="shared" si="0"/>
        <v>0</v>
      </c>
      <c r="J8" s="35">
        <f>+H8*I8</f>
        <v>0</v>
      </c>
      <c r="K8" s="36">
        <f t="shared" ref="K8" si="3">+H8-J8</f>
        <v>0</v>
      </c>
    </row>
    <row r="9" spans="3:11" x14ac:dyDescent="0.35">
      <c r="C9" s="18" t="s">
        <v>395</v>
      </c>
      <c r="D9" s="19">
        <v>0.19</v>
      </c>
      <c r="E9" s="20">
        <v>1042079420</v>
      </c>
      <c r="F9" s="25">
        <v>52103971</v>
      </c>
      <c r="G9" s="22">
        <v>0.69383535074016645</v>
      </c>
      <c r="H9" s="20">
        <f>+F9*G9</f>
        <v>36151576.993740462</v>
      </c>
      <c r="I9" s="56">
        <f>+F9-H9</f>
        <v>15952394.006259538</v>
      </c>
      <c r="J9" s="35">
        <f>+H9</f>
        <v>36151576.993740462</v>
      </c>
      <c r="K9" s="36">
        <f>+I9</f>
        <v>15952394.006259538</v>
      </c>
    </row>
    <row r="10" spans="3:11" x14ac:dyDescent="0.35">
      <c r="C10" s="26" t="s">
        <v>396</v>
      </c>
      <c r="D10" s="27"/>
      <c r="E10" s="28">
        <f>SUM(E3:E9)</f>
        <v>10227239935.789473</v>
      </c>
      <c r="F10" s="28">
        <f>SUM(F3:F9)</f>
        <v>1797284469</v>
      </c>
      <c r="G10" s="29">
        <f>+G9</f>
        <v>0.69383535074016645</v>
      </c>
      <c r="H10" s="28">
        <f>SUM(H3:H9)</f>
        <v>1536111098.5732045</v>
      </c>
      <c r="I10" s="58">
        <f>SUM(I3:I9)</f>
        <v>261173370.42679545</v>
      </c>
      <c r="J10" s="31">
        <f>SUM(J3:J9)</f>
        <v>1479429391.3462577</v>
      </c>
      <c r="K10" s="32">
        <f>SUM(K3:K9)</f>
        <v>317855077.65374231</v>
      </c>
    </row>
    <row r="14" spans="3:11" x14ac:dyDescent="0.35">
      <c r="G14" s="41" t="s">
        <v>430</v>
      </c>
      <c r="H14" s="42" t="s">
        <v>431</v>
      </c>
      <c r="I14" s="43" t="s">
        <v>399</v>
      </c>
      <c r="J14" s="47" t="s">
        <v>400</v>
      </c>
    </row>
    <row r="15" spans="3:11" ht="43.5" x14ac:dyDescent="0.35">
      <c r="F15" s="48" t="s">
        <v>401</v>
      </c>
      <c r="G15" s="45">
        <f>+H10</f>
        <v>1536111098.5732045</v>
      </c>
      <c r="H15" s="45">
        <f>+J10</f>
        <v>1479429391.3462577</v>
      </c>
      <c r="I15" s="46">
        <f>+G15-H15</f>
        <v>56681707.226946831</v>
      </c>
      <c r="J15" s="44" t="s">
        <v>402</v>
      </c>
    </row>
    <row r="16" spans="3:11" ht="29" x14ac:dyDescent="0.35">
      <c r="F16" s="49" t="s">
        <v>403</v>
      </c>
      <c r="G16" s="45">
        <f>+I5</f>
        <v>245220976.42053592</v>
      </c>
      <c r="H16" s="45">
        <f>+K5</f>
        <v>301902683.64748275</v>
      </c>
      <c r="I16" s="46">
        <f>+G16-H16</f>
        <v>-56681707.226946831</v>
      </c>
      <c r="J16" s="44" t="s">
        <v>404</v>
      </c>
    </row>
    <row r="18" spans="1:9" x14ac:dyDescent="0.35">
      <c r="H18" t="s">
        <v>432</v>
      </c>
      <c r="I18" s="91">
        <f>+MAYO!H13</f>
        <v>26970298.210985303</v>
      </c>
    </row>
    <row r="19" spans="1:9" x14ac:dyDescent="0.35">
      <c r="H19" t="s">
        <v>433</v>
      </c>
      <c r="I19" s="91">
        <f>+I16+I18</f>
        <v>-29711409.015961528</v>
      </c>
    </row>
    <row r="20" spans="1:9" x14ac:dyDescent="0.35">
      <c r="B20" s="89" t="s">
        <v>434</v>
      </c>
      <c r="C20" s="89" t="s">
        <v>416</v>
      </c>
      <c r="D20" s="41" t="s">
        <v>408</v>
      </c>
      <c r="E20" s="42" t="s">
        <v>409</v>
      </c>
      <c r="F20" s="89" t="s">
        <v>410</v>
      </c>
      <c r="G20" s="47" t="s">
        <v>400</v>
      </c>
      <c r="I20" s="123">
        <f>+F7-C26</f>
        <v>101703064</v>
      </c>
    </row>
    <row r="21" spans="1:9" ht="29" x14ac:dyDescent="0.35">
      <c r="A21" s="48" t="s">
        <v>411</v>
      </c>
      <c r="B21" s="45">
        <v>29711409</v>
      </c>
      <c r="C21" s="45">
        <v>26970298.210985303</v>
      </c>
      <c r="D21" s="45">
        <v>24504367.904761434</v>
      </c>
      <c r="E21" s="46">
        <v>10662429.708859444</v>
      </c>
      <c r="F21" s="46">
        <f>SUM(B21:E21)</f>
        <v>91848504.82460618</v>
      </c>
      <c r="G21" s="44" t="s">
        <v>402</v>
      </c>
    </row>
    <row r="22" spans="1:9" ht="36.65" customHeight="1" x14ac:dyDescent="0.35">
      <c r="A22" s="49" t="s">
        <v>403</v>
      </c>
      <c r="B22" s="46">
        <v>-29711409</v>
      </c>
      <c r="C22" s="46">
        <v>-26970298.210985243</v>
      </c>
      <c r="D22" s="45">
        <v>-24504367.904761434</v>
      </c>
      <c r="E22" s="46">
        <v>-10662429.708859622</v>
      </c>
      <c r="F22" s="46">
        <f>SUM(B22:E22)</f>
        <v>-91848504.824606299</v>
      </c>
      <c r="G22" s="44" t="s">
        <v>404</v>
      </c>
    </row>
    <row r="23" spans="1:9" x14ac:dyDescent="0.35">
      <c r="C23" s="59"/>
      <c r="D23" s="60"/>
      <c r="E23" s="61"/>
      <c r="F23" s="61"/>
      <c r="G23" s="62"/>
    </row>
    <row r="24" spans="1:9" x14ac:dyDescent="0.35">
      <c r="B24" s="131" t="s">
        <v>412</v>
      </c>
      <c r="C24" s="131"/>
      <c r="D24" s="131"/>
      <c r="E24" s="131"/>
      <c r="F24" s="131"/>
      <c r="G24" s="131"/>
    </row>
    <row r="25" spans="1:9" ht="29.5" customHeight="1" x14ac:dyDescent="0.35">
      <c r="B25" s="88" t="s">
        <v>434</v>
      </c>
      <c r="C25" s="88" t="s">
        <v>416</v>
      </c>
      <c r="D25" s="63" t="s">
        <v>408</v>
      </c>
      <c r="E25" s="64" t="s">
        <v>409</v>
      </c>
      <c r="F25" s="88" t="s">
        <v>410</v>
      </c>
      <c r="G25" s="47" t="s">
        <v>400</v>
      </c>
    </row>
    <row r="26" spans="1:9" ht="62.15" customHeight="1" x14ac:dyDescent="0.35">
      <c r="A26" s="48" t="s">
        <v>401</v>
      </c>
      <c r="B26" s="125">
        <f>+I20</f>
        <v>101703064</v>
      </c>
      <c r="C26" s="45">
        <v>83431658</v>
      </c>
      <c r="D26" s="45">
        <v>82721687</v>
      </c>
      <c r="E26" s="46">
        <v>40279641</v>
      </c>
      <c r="F26" s="46">
        <f>SUM(B26:E26)</f>
        <v>308136050</v>
      </c>
      <c r="G26" s="44" t="s">
        <v>417</v>
      </c>
    </row>
  </sheetData>
  <mergeCells count="2">
    <mergeCell ref="J1:K1"/>
    <mergeCell ref="B24:G2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F418F-2DCF-44E8-9672-9B7A24AD9C8B}">
  <dimension ref="A2:F38"/>
  <sheetViews>
    <sheetView workbookViewId="0">
      <selection activeCell="B38" sqref="A21:B38"/>
    </sheetView>
  </sheetViews>
  <sheetFormatPr baseColWidth="10" defaultColWidth="11.453125" defaultRowHeight="14.5" x14ac:dyDescent="0.35"/>
  <cols>
    <col min="2" max="2" width="17.1796875" customWidth="1"/>
    <col min="3" max="3" width="15.81640625" style="91" customWidth="1"/>
    <col min="4" max="4" width="17" style="91" customWidth="1"/>
    <col min="5" max="5" width="16.54296875" style="91" customWidth="1"/>
    <col min="6" max="6" width="45.81640625" customWidth="1"/>
  </cols>
  <sheetData>
    <row r="2" spans="2:6" x14ac:dyDescent="0.35">
      <c r="C2" s="120" t="s">
        <v>397</v>
      </c>
      <c r="D2" s="120" t="s">
        <v>398</v>
      </c>
      <c r="E2" s="120" t="s">
        <v>399</v>
      </c>
      <c r="F2" s="92" t="s">
        <v>400</v>
      </c>
    </row>
    <row r="3" spans="2:6" ht="20.5" customHeight="1" x14ac:dyDescent="0.35">
      <c r="B3" t="s">
        <v>401</v>
      </c>
      <c r="C3" s="91">
        <v>4581576381.3384657</v>
      </c>
      <c r="D3" s="91">
        <v>4570913951.6296062</v>
      </c>
      <c r="E3" s="91">
        <v>10662429.708859444</v>
      </c>
      <c r="F3" t="s">
        <v>402</v>
      </c>
    </row>
    <row r="4" spans="2:6" x14ac:dyDescent="0.35">
      <c r="B4" t="s">
        <v>403</v>
      </c>
      <c r="C4" s="91">
        <v>146039518.66153401</v>
      </c>
      <c r="D4" s="91">
        <v>156701948.37039363</v>
      </c>
      <c r="E4" s="91">
        <v>-10662429.708859622</v>
      </c>
      <c r="F4" t="s">
        <v>404</v>
      </c>
    </row>
    <row r="6" spans="2:6" x14ac:dyDescent="0.35">
      <c r="C6" s="120" t="s">
        <v>406</v>
      </c>
      <c r="D6" s="120" t="s">
        <v>407</v>
      </c>
      <c r="E6" s="120" t="s">
        <v>399</v>
      </c>
      <c r="F6" s="92" t="s">
        <v>400</v>
      </c>
    </row>
    <row r="7" spans="2:6" x14ac:dyDescent="0.35">
      <c r="B7" t="s">
        <v>401</v>
      </c>
      <c r="C7" s="91">
        <v>750838870.70824456</v>
      </c>
      <c r="D7" s="91">
        <v>726334502.80348313</v>
      </c>
      <c r="E7" s="91">
        <v>24504367.904761434</v>
      </c>
      <c r="F7" t="s">
        <v>402</v>
      </c>
    </row>
    <row r="8" spans="2:6" x14ac:dyDescent="0.35">
      <c r="B8" t="s">
        <v>403</v>
      </c>
      <c r="C8" s="91">
        <v>146688749.29175538</v>
      </c>
      <c r="D8" s="91">
        <v>171193117.19651681</v>
      </c>
      <c r="E8" s="91">
        <v>-24504367.904761434</v>
      </c>
      <c r="F8" t="s">
        <v>404</v>
      </c>
    </row>
    <row r="10" spans="2:6" x14ac:dyDescent="0.35">
      <c r="C10" s="120" t="s">
        <v>414</v>
      </c>
      <c r="D10" s="120" t="s">
        <v>415</v>
      </c>
      <c r="E10" s="120" t="s">
        <v>399</v>
      </c>
      <c r="F10" s="92" t="s">
        <v>400</v>
      </c>
    </row>
    <row r="11" spans="2:6" x14ac:dyDescent="0.35">
      <c r="B11" t="s">
        <v>401</v>
      </c>
      <c r="C11" s="91">
        <v>640402902.75718653</v>
      </c>
      <c r="D11" s="91">
        <v>613432604.54620123</v>
      </c>
      <c r="E11" s="91">
        <v>26970298.210985303</v>
      </c>
      <c r="F11" t="s">
        <v>402</v>
      </c>
    </row>
    <row r="12" spans="2:6" x14ac:dyDescent="0.35">
      <c r="B12" t="s">
        <v>403</v>
      </c>
      <c r="C12" s="91">
        <v>640402902.75718653</v>
      </c>
      <c r="D12" s="91">
        <v>613432604.54620123</v>
      </c>
      <c r="E12" s="91">
        <v>26970298.210985303</v>
      </c>
      <c r="F12" t="s">
        <v>404</v>
      </c>
    </row>
    <row r="20" spans="1:2" x14ac:dyDescent="0.35">
      <c r="A20" s="122">
        <v>44533</v>
      </c>
      <c r="B20" t="s">
        <v>435</v>
      </c>
    </row>
    <row r="21" spans="1:2" x14ac:dyDescent="0.35">
      <c r="A21" s="122" t="s">
        <v>436</v>
      </c>
      <c r="B21">
        <v>1</v>
      </c>
    </row>
    <row r="22" spans="1:2" x14ac:dyDescent="0.35">
      <c r="A22" s="122" t="s">
        <v>437</v>
      </c>
      <c r="B22">
        <v>2</v>
      </c>
    </row>
    <row r="23" spans="1:2" x14ac:dyDescent="0.35">
      <c r="A23" s="122" t="s">
        <v>438</v>
      </c>
      <c r="B23">
        <v>3</v>
      </c>
    </row>
    <row r="24" spans="1:2" x14ac:dyDescent="0.35">
      <c r="A24" s="122" t="s">
        <v>439</v>
      </c>
      <c r="B24">
        <v>4</v>
      </c>
    </row>
    <row r="25" spans="1:2" x14ac:dyDescent="0.35">
      <c r="A25" s="122" t="s">
        <v>432</v>
      </c>
      <c r="B25">
        <v>5</v>
      </c>
    </row>
    <row r="26" spans="1:2" x14ac:dyDescent="0.35">
      <c r="A26" s="122" t="s">
        <v>433</v>
      </c>
      <c r="B26">
        <v>6</v>
      </c>
    </row>
    <row r="27" spans="1:2" x14ac:dyDescent="0.35">
      <c r="A27" s="122" t="s">
        <v>440</v>
      </c>
      <c r="B27">
        <v>7</v>
      </c>
    </row>
    <row r="28" spans="1:2" x14ac:dyDescent="0.35">
      <c r="A28" s="122" t="s">
        <v>441</v>
      </c>
      <c r="B28">
        <v>8</v>
      </c>
    </row>
    <row r="29" spans="1:2" x14ac:dyDescent="0.35">
      <c r="A29" s="122" t="s">
        <v>442</v>
      </c>
      <c r="B29">
        <v>9</v>
      </c>
    </row>
    <row r="30" spans="1:2" x14ac:dyDescent="0.35">
      <c r="A30" s="122" t="s">
        <v>443</v>
      </c>
      <c r="B30">
        <v>10</v>
      </c>
    </row>
    <row r="31" spans="1:2" x14ac:dyDescent="0.35">
      <c r="A31" s="122" t="s">
        <v>444</v>
      </c>
      <c r="B31">
        <v>11</v>
      </c>
    </row>
    <row r="32" spans="1:2" x14ac:dyDescent="0.35">
      <c r="A32" s="122" t="s">
        <v>445</v>
      </c>
      <c r="B32">
        <v>12</v>
      </c>
    </row>
    <row r="33" spans="1:2" x14ac:dyDescent="0.35">
      <c r="A33" s="122" t="s">
        <v>436</v>
      </c>
      <c r="B33">
        <v>13</v>
      </c>
    </row>
    <row r="34" spans="1:2" x14ac:dyDescent="0.35">
      <c r="A34" s="122" t="s">
        <v>437</v>
      </c>
      <c r="B34">
        <v>14</v>
      </c>
    </row>
    <row r="35" spans="1:2" x14ac:dyDescent="0.35">
      <c r="A35" s="122" t="s">
        <v>438</v>
      </c>
      <c r="B35">
        <v>15</v>
      </c>
    </row>
    <row r="36" spans="1:2" x14ac:dyDescent="0.35">
      <c r="A36" s="122" t="s">
        <v>439</v>
      </c>
      <c r="B36">
        <v>16</v>
      </c>
    </row>
    <row r="37" spans="1:2" x14ac:dyDescent="0.35">
      <c r="A37" s="122" t="s">
        <v>432</v>
      </c>
      <c r="B37">
        <v>17</v>
      </c>
    </row>
    <row r="38" spans="1:2" x14ac:dyDescent="0.35">
      <c r="A38" s="122" t="s">
        <v>433</v>
      </c>
      <c r="B38">
        <v>18</v>
      </c>
    </row>
  </sheetData>
  <phoneticPr fontId="10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 ARRIENDOS PROY IVA</vt:lpstr>
      <vt:lpstr>facturas marketing junio</vt:lpstr>
      <vt:lpstr>MARZO</vt:lpstr>
      <vt:lpstr>ABRIL</vt:lpstr>
      <vt:lpstr>MAYO</vt:lpstr>
      <vt:lpstr>JUNIO</vt:lpstr>
      <vt:lpstr>consolidado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Marin Camacho Julied Ximena</dc:creator>
  <cp:keywords/>
  <dc:description/>
  <cp:lastModifiedBy>LOPEZ Flor</cp:lastModifiedBy>
  <cp:revision/>
  <dcterms:created xsi:type="dcterms:W3CDTF">2023-03-01T17:00:13Z</dcterms:created>
  <dcterms:modified xsi:type="dcterms:W3CDTF">2026-04-01T17:29:32Z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e9a4386-74b9-4603-ae20-950a659f9b6e_Enabled">
    <vt:lpwstr>true</vt:lpwstr>
  </property>
  <property fmtid="{D5CDD505-2E9C-101B-9397-08002B2CF9AE}" pid="3" name="MSIP_Label_2e9a4386-74b9-4603-ae20-950a659f9b6e_SetDate">
    <vt:lpwstr>2023-03-22T17:06:43Z</vt:lpwstr>
  </property>
  <property fmtid="{D5CDD505-2E9C-101B-9397-08002B2CF9AE}" pid="4" name="MSIP_Label_2e9a4386-74b9-4603-ae20-950a659f9b6e_Method">
    <vt:lpwstr>Standard</vt:lpwstr>
  </property>
  <property fmtid="{D5CDD505-2E9C-101B-9397-08002B2CF9AE}" pid="5" name="MSIP_Label_2e9a4386-74b9-4603-ae20-950a659f9b6e_Name">
    <vt:lpwstr>Internal Use Only</vt:lpwstr>
  </property>
  <property fmtid="{D5CDD505-2E9C-101B-9397-08002B2CF9AE}" pid="6" name="MSIP_Label_2e9a4386-74b9-4603-ae20-950a659f9b6e_SiteId">
    <vt:lpwstr>c7d1a8f7-0546-4a0c-8cf5-3ddaebf97d51</vt:lpwstr>
  </property>
  <property fmtid="{D5CDD505-2E9C-101B-9397-08002B2CF9AE}" pid="7" name="MSIP_Label_2e9a4386-74b9-4603-ae20-950a659f9b6e_ActionId">
    <vt:lpwstr>1f358ff0-abda-4d1b-9510-2249d643c49a</vt:lpwstr>
  </property>
  <property fmtid="{D5CDD505-2E9C-101B-9397-08002B2CF9AE}" pid="8" name="MSIP_Label_2e9a4386-74b9-4603-ae20-950a659f9b6e_ContentBits">
    <vt:lpwstr>0</vt:lpwstr>
  </property>
</Properties>
</file>